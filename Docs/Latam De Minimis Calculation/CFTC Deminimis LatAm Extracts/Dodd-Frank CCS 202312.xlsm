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2827152.SCGLOBAL\Documents\December\Latam De Minimis Calculation\CFTC Deminimis LatAm Extracts\"/>
    </mc:Choice>
  </mc:AlternateContent>
  <xr:revisionPtr revIDLastSave="0" documentId="13_ncr:1_{6AEC32A8-141F-4940-9A20-EB59F26944B0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Datos" sheetId="1" r:id="rId1"/>
    <sheet name="Legal Name" sheetId="2" r:id="rId2"/>
  </sheets>
  <definedNames>
    <definedName name="_xlnm._FilterDatabase" localSheetId="0" hidden="1">Datos!$A$1:$O$369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43" i="1" l="1"/>
  <c r="K542" i="1"/>
  <c r="K541" i="1"/>
  <c r="K540" i="1"/>
  <c r="K539" i="1"/>
  <c r="K538" i="1"/>
  <c r="K537" i="1"/>
  <c r="K536" i="1"/>
  <c r="K535" i="1" l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B308" i="1" l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A56" i="1" l="1"/>
  <c r="B168" i="1" l="1"/>
  <c r="B169" i="1"/>
  <c r="B170" i="1"/>
  <c r="B171" i="1"/>
  <c r="B172" i="1"/>
  <c r="B173" i="1"/>
  <c r="B174" i="1"/>
  <c r="M1" i="1" l="1"/>
  <c r="B167" i="1" l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 l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 l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Ernesto Quispe Martel</author>
    <author>Edgar Jose Castro Ruiz</author>
  </authors>
  <commentList>
    <comment ref="C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Hedge: 50391</t>
        </r>
      </text>
    </comment>
    <comment ref="C1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Hedge: 49496</t>
        </r>
      </text>
    </comment>
    <comment ref="C1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Hedge: 49497</t>
        </r>
      </text>
    </comment>
    <comment ref="C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Hedge: 49498</t>
        </r>
      </text>
    </comment>
    <comment ref="C1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Hedge: 41042</t>
        </r>
      </text>
    </comment>
    <comment ref="C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Hedge: 41041</t>
        </r>
      </text>
    </comment>
    <comment ref="C2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Hedge: 55686</t>
        </r>
      </text>
    </comment>
    <comment ref="C26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Hedge: 55684
A PARTIR DE AQUÍ DEJE DE CUADRAR</t>
        </r>
      </text>
    </comment>
    <comment ref="C41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Hedge: 55687</t>
        </r>
      </text>
    </comment>
    <comment ref="C42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Hedge: 49582</t>
        </r>
      </text>
    </comment>
    <comment ref="C55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Hedge: 55683</t>
        </r>
      </text>
    </comment>
    <comment ref="C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Hedge: 50394</t>
        </r>
      </text>
    </comment>
    <comment ref="C63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Hedge: 55689</t>
        </r>
      </text>
    </comment>
  </commentList>
</comments>
</file>

<file path=xl/sharedStrings.xml><?xml version="1.0" encoding="utf-8"?>
<sst xmlns="http://schemas.openxmlformats.org/spreadsheetml/2006/main" count="2487" uniqueCount="546">
  <si>
    <t>Compra o Venta</t>
  </si>
  <si>
    <t>Mark to Market</t>
  </si>
  <si>
    <t>Currency</t>
  </si>
  <si>
    <t>SWAPC41033</t>
  </si>
  <si>
    <t>SWAPV41042</t>
  </si>
  <si>
    <t>SWAPV46537</t>
  </si>
  <si>
    <t>SWAPC46538</t>
  </si>
  <si>
    <t>SWAPC46612</t>
  </si>
  <si>
    <t>SWAPV46613</t>
  </si>
  <si>
    <t>SWAPV46906</t>
  </si>
  <si>
    <t>SWAPC46907</t>
  </si>
  <si>
    <t>SWAPC47135</t>
  </si>
  <si>
    <t>SWAPC47168</t>
  </si>
  <si>
    <t>SWAPV47177</t>
  </si>
  <si>
    <t>SWAPV48708</t>
  </si>
  <si>
    <t>SWAPC48710</t>
  </si>
  <si>
    <t>SWAPC49576</t>
  </si>
  <si>
    <t>SWAPV49582</t>
  </si>
  <si>
    <t>SWAPV50394</t>
  </si>
  <si>
    <t>SWAPV50499</t>
  </si>
  <si>
    <t>SWAPC50501</t>
  </si>
  <si>
    <t>SWAPV52893</t>
  </si>
  <si>
    <t>SWAPC52894</t>
  </si>
  <si>
    <t>SWAPC53413</t>
  </si>
  <si>
    <t>SWAPV53414</t>
  </si>
  <si>
    <t>SWAPV54072</t>
  </si>
  <si>
    <t>SWAPC54073</t>
  </si>
  <si>
    <t>Cross Currency Swaps</t>
  </si>
  <si>
    <t>SWAPC56781</t>
  </si>
  <si>
    <t>SWAPV56782</t>
  </si>
  <si>
    <t>SWAPV57457</t>
  </si>
  <si>
    <t>SWAPC57458</t>
  </si>
  <si>
    <t>SWAPV57771</t>
  </si>
  <si>
    <t>SWAPC57772</t>
  </si>
  <si>
    <t>Counterparty Name</t>
  </si>
  <si>
    <t>Current Notional</t>
  </si>
  <si>
    <t>Maturity Date</t>
  </si>
  <si>
    <t>Resident
Not Resident</t>
  </si>
  <si>
    <t>US Person Status</t>
  </si>
  <si>
    <t>Val Date</t>
  </si>
  <si>
    <t>Reports</t>
  </si>
  <si>
    <t>Consultas:</t>
  </si>
  <si>
    <t>1. Universo</t>
  </si>
  <si>
    <t>2. Datos</t>
  </si>
  <si>
    <t>SWAPC60529</t>
  </si>
  <si>
    <t>SWAPV60532</t>
  </si>
  <si>
    <t>SWAPV60533</t>
  </si>
  <si>
    <t>SWAPC60534</t>
  </si>
  <si>
    <t>SWAPV60535</t>
  </si>
  <si>
    <t>SWAPC60536</t>
  </si>
  <si>
    <t>SWAPV60540</t>
  </si>
  <si>
    <t>SWAPC60541</t>
  </si>
  <si>
    <t>SWAPV60966</t>
  </si>
  <si>
    <t>SWAPC60967</t>
  </si>
  <si>
    <t>SWAPC61560</t>
  </si>
  <si>
    <t>SWAPV61653</t>
  </si>
  <si>
    <t>SWAPV62523</t>
  </si>
  <si>
    <t>SWAPC62524</t>
  </si>
  <si>
    <t>SWAPC64489</t>
  </si>
  <si>
    <t>SWAPV64490</t>
  </si>
  <si>
    <t>SWAPV65353</t>
  </si>
  <si>
    <t>SWAPC65354</t>
  </si>
  <si>
    <t>SWAPV66675</t>
  </si>
  <si>
    <t>SWAPC66676</t>
  </si>
  <si>
    <t>SWAPV66677</t>
  </si>
  <si>
    <t>SWAPC66678</t>
  </si>
  <si>
    <t>SWAPV29119</t>
  </si>
  <si>
    <t>SWAPV29179</t>
  </si>
  <si>
    <t>Venta Swaps</t>
  </si>
  <si>
    <t>USD</t>
  </si>
  <si>
    <t>NR</t>
  </si>
  <si>
    <t>BANK OF NOVA SCOTIA</t>
  </si>
  <si>
    <t>Compra Swaps</t>
  </si>
  <si>
    <t>R</t>
  </si>
  <si>
    <t>INKA TERRA PERU S.A.C.</t>
  </si>
  <si>
    <t>MONTANA SA</t>
  </si>
  <si>
    <t>JAHESA SA</t>
  </si>
  <si>
    <t>ENGIE ENERGIA PERU S A</t>
  </si>
  <si>
    <t>REPRESENTACIONES CENTER S A</t>
  </si>
  <si>
    <t>KOPLAST INDUSTRIAL S A C</t>
  </si>
  <si>
    <t>TEXTILES CAMONES S.A.</t>
  </si>
  <si>
    <t>POLINPLAST S.A.C.</t>
  </si>
  <si>
    <t>FARMAGRO SA</t>
  </si>
  <si>
    <t>INVERFAL PERU SA</t>
  </si>
  <si>
    <t>SAPISCO COMERCIAL S A C</t>
  </si>
  <si>
    <t>DINSURA S.A.C.</t>
  </si>
  <si>
    <t>RENOVA S.A.C.</t>
  </si>
  <si>
    <t>GAS NATURAL DE LIMA Y CALLAO S</t>
  </si>
  <si>
    <t>PAPELERA DEL SUR S A</t>
  </si>
  <si>
    <t>J N ACEROS SA</t>
  </si>
  <si>
    <t>VIRU S.A.</t>
  </si>
  <si>
    <t>COMERCIO &amp; CIA S.A</t>
  </si>
  <si>
    <t>CARBAJALES UNIDOS S A C</t>
  </si>
  <si>
    <t>INDELAT S.A.</t>
  </si>
  <si>
    <t>COMERCIAL INDUSTRIAL DELTA S A</t>
  </si>
  <si>
    <t>MERCANTIL S A</t>
  </si>
  <si>
    <t>SWAPV29529</t>
  </si>
  <si>
    <t>SWAPV29531</t>
  </si>
  <si>
    <t>LegalName</t>
  </si>
  <si>
    <t>GMEI/LEINumber</t>
  </si>
  <si>
    <t>AssociatedAssetManager</t>
  </si>
  <si>
    <t>DoddFrankCompliance</t>
  </si>
  <si>
    <t>CrossBorderStatus</t>
  </si>
  <si>
    <t>Pre-TradeMid-MarketMarksDisclosures</t>
  </si>
  <si>
    <t>WaiversforPre-TradeMid-MarketMarksDisclosures</t>
  </si>
  <si>
    <t>EndUserMandatoryClearingExemption</t>
  </si>
  <si>
    <t>CounterpartyTradingDesignation</t>
  </si>
  <si>
    <t>IndependentAmount</t>
  </si>
  <si>
    <t>OnboardedSwapProducts</t>
  </si>
  <si>
    <t>BANCO CENTRAL DE RESERVA DEL PER</t>
  </si>
  <si>
    <t>C</t>
  </si>
  <si>
    <t>SWAPC35245</t>
  </si>
  <si>
    <t>SWAPC35272</t>
  </si>
  <si>
    <t>SWAPC35274</t>
  </si>
  <si>
    <t>SWAPC35275</t>
  </si>
  <si>
    <t>SWAPC35276</t>
  </si>
  <si>
    <t>SWAPC35277</t>
  </si>
  <si>
    <t>SWAPC35278</t>
  </si>
  <si>
    <t>SWAPC35279</t>
  </si>
  <si>
    <t>SWAPC35744</t>
  </si>
  <si>
    <t>SWAPC35745</t>
  </si>
  <si>
    <t>SWAPC35746</t>
  </si>
  <si>
    <t>SWAPC35762</t>
  </si>
  <si>
    <t>SWAPC35816</t>
  </si>
  <si>
    <t>SWAPC35894</t>
  </si>
  <si>
    <t>SWAPC35895</t>
  </si>
  <si>
    <t>SWAPC36151</t>
  </si>
  <si>
    <t>SWAPC36152</t>
  </si>
  <si>
    <t>SWAPC36153</t>
  </si>
  <si>
    <t>SWAPC36154</t>
  </si>
  <si>
    <t>SWAPC36184</t>
  </si>
  <si>
    <t>SWAPC36185</t>
  </si>
  <si>
    <t>SWAPC36186</t>
  </si>
  <si>
    <t>SWAPC36208</t>
  </si>
  <si>
    <t>SWAPC36209</t>
  </si>
  <si>
    <t>SWAPC36239</t>
  </si>
  <si>
    <t>SWAPC36240</t>
  </si>
  <si>
    <t>SWAPC36241</t>
  </si>
  <si>
    <t>SWAPC36242</t>
  </si>
  <si>
    <t>SWAPC36243</t>
  </si>
  <si>
    <t>SWAPC36244</t>
  </si>
  <si>
    <t>SWAPC36268</t>
  </si>
  <si>
    <t>SWAPC36269</t>
  </si>
  <si>
    <t>SWAPC36322</t>
  </si>
  <si>
    <t>SWAPC36362</t>
  </si>
  <si>
    <t>SWAPC36363</t>
  </si>
  <si>
    <t>SWAPC36364</t>
  </si>
  <si>
    <t>SWAPC36402</t>
  </si>
  <si>
    <t>SWAPC36403</t>
  </si>
  <si>
    <t>SWAPC36404</t>
  </si>
  <si>
    <t>SWAPC36405</t>
  </si>
  <si>
    <t>SWAPC36406</t>
  </si>
  <si>
    <t>SWAPC36407</t>
  </si>
  <si>
    <t>SWAPC36408</t>
  </si>
  <si>
    <t>SWAPC36543</t>
  </si>
  <si>
    <t>SWAPC36544</t>
  </si>
  <si>
    <t>SWAPC36545</t>
  </si>
  <si>
    <t>SWAPC36566</t>
  </si>
  <si>
    <t>SWAPC36650</t>
  </si>
  <si>
    <t>SWAPC36651</t>
  </si>
  <si>
    <t>SWAPC36652</t>
  </si>
  <si>
    <t>SWAPC36676</t>
  </si>
  <si>
    <t>SWAPC36689</t>
  </si>
  <si>
    <t>SWAPC36690</t>
  </si>
  <si>
    <t>SWAPC36691</t>
  </si>
  <si>
    <t>SWAPC36705</t>
  </si>
  <si>
    <t>SWAPC36706</t>
  </si>
  <si>
    <t>SWAPC36725</t>
  </si>
  <si>
    <t>SWAPC36726</t>
  </si>
  <si>
    <t>SWAPC36727</t>
  </si>
  <si>
    <t>SWAPC36766</t>
  </si>
  <si>
    <t>SWAPC36767</t>
  </si>
  <si>
    <t>SWAPC36768</t>
  </si>
  <si>
    <t>SWAPC36769</t>
  </si>
  <si>
    <t>SWAPC36770</t>
  </si>
  <si>
    <t>SWAPC36797</t>
  </si>
  <si>
    <t>SWAPC36798</t>
  </si>
  <si>
    <t>SWAPC36851</t>
  </si>
  <si>
    <t>SWAPC36852</t>
  </si>
  <si>
    <t>SWAPC36903</t>
  </si>
  <si>
    <t>SWAPC36904</t>
  </si>
  <si>
    <t>SWAPC36937</t>
  </si>
  <si>
    <t>SWAPC36938</t>
  </si>
  <si>
    <t>SWAPC37057</t>
  </si>
  <si>
    <t>SWAPC37245</t>
  </si>
  <si>
    <t>SWAPC37275</t>
  </si>
  <si>
    <t>SWAPC37276</t>
  </si>
  <si>
    <t>SWAPC37277</t>
  </si>
  <si>
    <t>SWAPC37278</t>
  </si>
  <si>
    <t>SWAPC37279</t>
  </si>
  <si>
    <t>SWAPC37311</t>
  </si>
  <si>
    <t>SWAPC37312</t>
  </si>
  <si>
    <t>SWAPC37313</t>
  </si>
  <si>
    <t>SWAPC37346</t>
  </si>
  <si>
    <t>SWAPC37347</t>
  </si>
  <si>
    <t>SWAPC37393</t>
  </si>
  <si>
    <t>SWAPC37424</t>
  </si>
  <si>
    <t>SWAPC37425</t>
  </si>
  <si>
    <t>SWAPC37426</t>
  </si>
  <si>
    <t>SWAPV37394</t>
  </si>
  <si>
    <t>SWAPC37507</t>
  </si>
  <si>
    <t>SWAPC37508</t>
  </si>
  <si>
    <t>SWAPC37509</t>
  </si>
  <si>
    <t>SWAPC37510</t>
  </si>
  <si>
    <t>SWAPC37534</t>
  </si>
  <si>
    <t>SWAPC37612</t>
  </si>
  <si>
    <t>SWAPC37613</t>
  </si>
  <si>
    <t>SWAPC38154</t>
  </si>
  <si>
    <t>SWAPC38333</t>
  </si>
  <si>
    <t>SWAPC38334</t>
  </si>
  <si>
    <t>SWAPC38335</t>
  </si>
  <si>
    <t>SWAPC38336</t>
  </si>
  <si>
    <t>SWAPC38449</t>
  </si>
  <si>
    <t>SWAPC38535</t>
  </si>
  <si>
    <t>SWAPC38536</t>
  </si>
  <si>
    <t>SWAPC38537</t>
  </si>
  <si>
    <t>SWAPC38538</t>
  </si>
  <si>
    <t>SWAPC38551</t>
  </si>
  <si>
    <t>SWAPC38880</t>
  </si>
  <si>
    <t>SWAPV38816</t>
  </si>
  <si>
    <t>SWAPC39081</t>
  </si>
  <si>
    <t>SWAPC39142</t>
  </si>
  <si>
    <t>SWAPC39225</t>
  </si>
  <si>
    <t>SWAPC39310</t>
  </si>
  <si>
    <t>SWAPC39311</t>
  </si>
  <si>
    <t>SWAPC39505</t>
  </si>
  <si>
    <t>SWAPC39544</t>
  </si>
  <si>
    <t>SWAPC39826</t>
  </si>
  <si>
    <t>SWAPC39827</t>
  </si>
  <si>
    <t>SWAPC39889</t>
  </si>
  <si>
    <t>SWAPC39890</t>
  </si>
  <si>
    <t>SWAPC39891</t>
  </si>
  <si>
    <t>SWAPC39947</t>
  </si>
  <si>
    <t>SWAPC40089</t>
  </si>
  <si>
    <t>SWAPC40130</t>
  </si>
  <si>
    <t>SWAPC40131</t>
  </si>
  <si>
    <t>SWAPC40159</t>
  </si>
  <si>
    <t>SWAPC40160</t>
  </si>
  <si>
    <t>SWAPC40161</t>
  </si>
  <si>
    <t>SWAPC40192</t>
  </si>
  <si>
    <t>SWAPC40193</t>
  </si>
  <si>
    <t>SWAPC40194</t>
  </si>
  <si>
    <t>SWAPC40230</t>
  </si>
  <si>
    <t>SWAPC40231</t>
  </si>
  <si>
    <t>SWAPC40232</t>
  </si>
  <si>
    <t>SWAPC40391</t>
  </si>
  <si>
    <t>SWAPC40477</t>
  </si>
  <si>
    <t>SWAPC40478</t>
  </si>
  <si>
    <t>SWAPC40512</t>
  </si>
  <si>
    <t>SWAPC40754</t>
  </si>
  <si>
    <t>SWAPC40755</t>
  </si>
  <si>
    <t>SWAPC40756</t>
  </si>
  <si>
    <t>SWAPC40789</t>
  </si>
  <si>
    <t>SWAPC40790</t>
  </si>
  <si>
    <t>SWAPC40944</t>
  </si>
  <si>
    <t>SWAPC40993</t>
  </si>
  <si>
    <t>SWAPC0029118</t>
  </si>
  <si>
    <t>SWAPC0029180</t>
  </si>
  <si>
    <t>SWAPC0029528</t>
  </si>
  <si>
    <t>SWAPC0029530</t>
  </si>
  <si>
    <t>SWAPC0034125</t>
  </si>
  <si>
    <t>SWAPC0034158</t>
  </si>
  <si>
    <t>SWAPC0034159</t>
  </si>
  <si>
    <t>SWAPC0034251</t>
  </si>
  <si>
    <t>SWAPC0034485</t>
  </si>
  <si>
    <t>SWAPC0034500</t>
  </si>
  <si>
    <t>SWAPC0034501</t>
  </si>
  <si>
    <t>SWAPC0034589</t>
  </si>
  <si>
    <t>SWAPC0034590</t>
  </si>
  <si>
    <t>SWAPC0034611</t>
  </si>
  <si>
    <t>SWAPC0034612</t>
  </si>
  <si>
    <t>SWAPC0034613</t>
  </si>
  <si>
    <t>SWAPC0034662</t>
  </si>
  <si>
    <t>SWAPC0034688</t>
  </si>
  <si>
    <t>SWAPC0034689</t>
  </si>
  <si>
    <t>SWAPC0035017</t>
  </si>
  <si>
    <t>SWAPC0035018</t>
  </si>
  <si>
    <t>SWAPC0035019</t>
  </si>
  <si>
    <t>SWAPC0035274</t>
  </si>
  <si>
    <t>SWAPC0035275</t>
  </si>
  <si>
    <t>SWAPC0035276</t>
  </si>
  <si>
    <t>SWAPC0035277</t>
  </si>
  <si>
    <t>SWAPC0035278</t>
  </si>
  <si>
    <t>SWAPC0035279</t>
  </si>
  <si>
    <t>SWAPC0035744</t>
  </si>
  <si>
    <t>SWAPC0035745</t>
  </si>
  <si>
    <t>SWAPC0035746</t>
  </si>
  <si>
    <t>SWAPC0035762</t>
  </si>
  <si>
    <t>SWAPC0035816</t>
  </si>
  <si>
    <t>SWAPC0035894</t>
  </si>
  <si>
    <t>SWAPC0035895</t>
  </si>
  <si>
    <t>SWAPC0036151</t>
  </si>
  <si>
    <t>SWAPC0036152</t>
  </si>
  <si>
    <t>SWAPC0036153</t>
  </si>
  <si>
    <t>SWAPC0036154</t>
  </si>
  <si>
    <t>SWAPC0036184</t>
  </si>
  <si>
    <t>SWAPC0036208</t>
  </si>
  <si>
    <t>SWAPC0036209</t>
  </si>
  <si>
    <t>SWAPC0037245</t>
  </si>
  <si>
    <t>SWAPC0037312</t>
  </si>
  <si>
    <t>SWAPC0037313</t>
  </si>
  <si>
    <t>SWAPC0037346</t>
  </si>
  <si>
    <t>SWAPC0037347</t>
  </si>
  <si>
    <t>SWAPC0037393</t>
  </si>
  <si>
    <t>SWAPC0037424</t>
  </si>
  <si>
    <t>SWAPC0037425</t>
  </si>
  <si>
    <t>SWAPC0037426</t>
  </si>
  <si>
    <t>SWAPC0037509</t>
  </si>
  <si>
    <t>SWAPC0037510</t>
  </si>
  <si>
    <t>SWAPC0038449</t>
  </si>
  <si>
    <t>SWAPC0038535</t>
  </si>
  <si>
    <t>SWAPC0038536</t>
  </si>
  <si>
    <t>SWAPC0038537</t>
  </si>
  <si>
    <t>SWAPC0038538</t>
  </si>
  <si>
    <t>SWAPC0038551</t>
  </si>
  <si>
    <t>SWAPC0038880</t>
  </si>
  <si>
    <t>SWAPC0039081</t>
  </si>
  <si>
    <t>SWAPC0039142</t>
  </si>
  <si>
    <t>SWAPC0039225</t>
  </si>
  <si>
    <t>SWAPC0039310</t>
  </si>
  <si>
    <t>SWAPC0039311</t>
  </si>
  <si>
    <t>SWAPC0039505</t>
  </si>
  <si>
    <t>SWAPC0039544</t>
  </si>
  <si>
    <t>SWAPC0039826</t>
  </si>
  <si>
    <t>SWAPC0039827</t>
  </si>
  <si>
    <t>SWAPC0039889</t>
  </si>
  <si>
    <t>SWAPC0039890</t>
  </si>
  <si>
    <t>SWAPC0039891</t>
  </si>
  <si>
    <t>SWAPC0039947</t>
  </si>
  <si>
    <t>SWAPC0040089</t>
  </si>
  <si>
    <t>SWAPC0040130</t>
  </si>
  <si>
    <t>SWAPC0040131</t>
  </si>
  <si>
    <t>SWAPC0040159</t>
  </si>
  <si>
    <t>SWAPC0040160</t>
  </si>
  <si>
    <t>SWAPC0040161</t>
  </si>
  <si>
    <t>SWAPC0040192</t>
  </si>
  <si>
    <t>SWAPC0040193</t>
  </si>
  <si>
    <t>SWAPC0040194</t>
  </si>
  <si>
    <t>SWAPC0040230</t>
  </si>
  <si>
    <t>SWAPC0040231</t>
  </si>
  <si>
    <t>SWAPC0040232</t>
  </si>
  <si>
    <t>SWAPC0040391</t>
  </si>
  <si>
    <t>SWAPC0040477</t>
  </si>
  <si>
    <t>SWAPC0040478</t>
  </si>
  <si>
    <t>SWAPC0040512</t>
  </si>
  <si>
    <t>SWAPC0040754</t>
  </si>
  <si>
    <t>SWAPC0040755</t>
  </si>
  <si>
    <t>SWAPC0040756</t>
  </si>
  <si>
    <t>SWAPC0040789</t>
  </si>
  <si>
    <t>SWAPC0040790</t>
  </si>
  <si>
    <t>SWAPC0040944</t>
  </si>
  <si>
    <t>SWAPC0040993</t>
  </si>
  <si>
    <t>SWAPC0041033</t>
  </si>
  <si>
    <t>SWAPC0041169</t>
  </si>
  <si>
    <t>SWAPC0041211</t>
  </si>
  <si>
    <t>SWAPC0041212</t>
  </si>
  <si>
    <t>SWAPC0046907</t>
  </si>
  <si>
    <t>SWAPC0047135</t>
  </si>
  <si>
    <t>SWAPC0047168</t>
  </si>
  <si>
    <t>SWAPC0048710</t>
  </si>
  <si>
    <t>SWAPC0049576</t>
  </si>
  <si>
    <t>SWAPC0050501</t>
  </si>
  <si>
    <t>SWAPC0052894</t>
  </si>
  <si>
    <t>SWAPC0053413</t>
  </si>
  <si>
    <t>SWAPC0054073</t>
  </si>
  <si>
    <t>SWAPC0056781</t>
  </si>
  <si>
    <t>SWAPC0057458</t>
  </si>
  <si>
    <t>SWAPC0057772</t>
  </si>
  <si>
    <t>SWAPC0060529</t>
  </si>
  <si>
    <t>SWAPC0060534</t>
  </si>
  <si>
    <t>SWAPC0060536</t>
  </si>
  <si>
    <t>SWAPC0060541</t>
  </si>
  <si>
    <t>SWAPC0060967</t>
  </si>
  <si>
    <t>SWAPC0061560</t>
  </si>
  <si>
    <t>SWAPC0062524</t>
  </si>
  <si>
    <t>SWAPC0064489</t>
  </si>
  <si>
    <t>SWAPC0065354</t>
  </si>
  <si>
    <t>SWAPC0066676</t>
  </si>
  <si>
    <t>SWAPC0066678</t>
  </si>
  <si>
    <t>SWAPV0029119</t>
  </si>
  <si>
    <t>SWAPV0029179</t>
  </si>
  <si>
    <t>SWAPV0029529</t>
  </si>
  <si>
    <t>SWAPV0029531</t>
  </si>
  <si>
    <t>SWAPV0037394</t>
  </si>
  <si>
    <t>SWAPV0038816</t>
  </si>
  <si>
    <t>SWAPV0041042</t>
  </si>
  <si>
    <t>SWAPV0046906</t>
  </si>
  <si>
    <t>SWAPV0047177</t>
  </si>
  <si>
    <t>SWAPV0048708</t>
  </si>
  <si>
    <t>SWAPV0049582</t>
  </si>
  <si>
    <t>SWAPV0050394</t>
  </si>
  <si>
    <t>SWAPV0050499</t>
  </si>
  <si>
    <t>SWAPV0052893</t>
  </si>
  <si>
    <t>SWAPV0053414</t>
  </si>
  <si>
    <t>SWAPV0054072</t>
  </si>
  <si>
    <t>SWAPV0056782</t>
  </si>
  <si>
    <t>SWAPV0057457</t>
  </si>
  <si>
    <t>SWAPV0057771</t>
  </si>
  <si>
    <t>SWAPV0060532</t>
  </si>
  <si>
    <t>SWAPV0060533</t>
  </si>
  <si>
    <t>SWAPV0060535</t>
  </si>
  <si>
    <t>SWAPV0060540</t>
  </si>
  <si>
    <t>SWAPV0060966</t>
  </si>
  <si>
    <t>SWAPV0061653</t>
  </si>
  <si>
    <t>SWAPV0062523</t>
  </si>
  <si>
    <t>SWAPV0064490</t>
  </si>
  <si>
    <t>SWAPV0065353</t>
  </si>
  <si>
    <t>SWAPV0066675</t>
  </si>
  <si>
    <t>SWAPV0066677</t>
  </si>
  <si>
    <t>SWAPC0042373</t>
  </si>
  <si>
    <t>SWAPC0042374</t>
  </si>
  <si>
    <t>SWAPC0042430</t>
  </si>
  <si>
    <t>SWAPC0042610</t>
  </si>
  <si>
    <t>SWAPC0042611</t>
  </si>
  <si>
    <t>SWAPC0042612</t>
  </si>
  <si>
    <t>SWAPC0042613</t>
  </si>
  <si>
    <t>SWAPV0042740</t>
  </si>
  <si>
    <t>SWAPC0042927</t>
  </si>
  <si>
    <t>SWAPC0042981</t>
  </si>
  <si>
    <t>SWAPC0043043</t>
  </si>
  <si>
    <t>SWAPC0043044</t>
  </si>
  <si>
    <t>SWAPC0043045</t>
  </si>
  <si>
    <t>SWAPC0043046</t>
  </si>
  <si>
    <t>SWAPC0043047</t>
  </si>
  <si>
    <t>SWAPC0043048</t>
  </si>
  <si>
    <t>SWAPC0043049</t>
  </si>
  <si>
    <t>SWAPC0043075</t>
  </si>
  <si>
    <t>SWAPC0043108</t>
  </si>
  <si>
    <t>SWAPC0043109</t>
  </si>
  <si>
    <t>SWAPC0043110</t>
  </si>
  <si>
    <t>SWAPC0043111</t>
  </si>
  <si>
    <t>SWAPC0043187</t>
  </si>
  <si>
    <t>SWAPC0043188</t>
  </si>
  <si>
    <t>SWAPC0043189</t>
  </si>
  <si>
    <t>SWAPC0043217</t>
  </si>
  <si>
    <t>SWAPC0043218</t>
  </si>
  <si>
    <t>SWAPC0043219</t>
  </si>
  <si>
    <t>SWAPC0043220</t>
  </si>
  <si>
    <t>SWAPV0043320</t>
  </si>
  <si>
    <t>SWAPC0043588</t>
  </si>
  <si>
    <t>SWAPC0043589</t>
  </si>
  <si>
    <t>SWAPC0043590</t>
  </si>
  <si>
    <t>SWAPC0043609</t>
  </si>
  <si>
    <t>SWAPC0043646</t>
  </si>
  <si>
    <t>SWAPC0043690</t>
  </si>
  <si>
    <t>SWAPC0043801</t>
  </si>
  <si>
    <t>SWAPC0043802</t>
  </si>
  <si>
    <t>SWAPC0043803</t>
  </si>
  <si>
    <t>SWAPC0043804</t>
  </si>
  <si>
    <t>SWAPC0043842</t>
  </si>
  <si>
    <t>SWAPC0043843</t>
  </si>
  <si>
    <t>SWAPC0043844</t>
  </si>
  <si>
    <t>SWAPC0043845</t>
  </si>
  <si>
    <t>SWAPC0043846</t>
  </si>
  <si>
    <t>SWAPC0043945</t>
  </si>
  <si>
    <t>SWAPC0043946</t>
  </si>
  <si>
    <t>SWAPC0043947</t>
  </si>
  <si>
    <t>SWAPC0043979</t>
  </si>
  <si>
    <t>SWAPC0043980</t>
  </si>
  <si>
    <t>SWAPC0043981</t>
  </si>
  <si>
    <t>SWAPC0043982</t>
  </si>
  <si>
    <t>SWAPC0043983</t>
  </si>
  <si>
    <t>SWAPC0044012</t>
  </si>
  <si>
    <t>SWAPC0044013</t>
  </si>
  <si>
    <t>SWAPC0044014</t>
  </si>
  <si>
    <t>SWAPC0044015</t>
  </si>
  <si>
    <t>SWAPC0044046</t>
  </si>
  <si>
    <t>SWAPC0044212</t>
  </si>
  <si>
    <t>SWAPC0044213</t>
  </si>
  <si>
    <t>SWAPC0044239</t>
  </si>
  <si>
    <t>SWAPC0044307</t>
  </si>
  <si>
    <t>SWAPC0044308</t>
  </si>
  <si>
    <t>SWAPC0044379</t>
  </si>
  <si>
    <t>SWAPC0044380</t>
  </si>
  <si>
    <t>SWAPC0044468</t>
  </si>
  <si>
    <t>SWAPC0044580</t>
  </si>
  <si>
    <t>SWAPC0044581</t>
  </si>
  <si>
    <t>SWAPC0044613</t>
  </si>
  <si>
    <t>SWAPC0044636</t>
  </si>
  <si>
    <t>SWAPC0044637</t>
  </si>
  <si>
    <t>SWAPC0044638</t>
  </si>
  <si>
    <t>SWAPC0044652</t>
  </si>
  <si>
    <t>SWAPC0044753</t>
  </si>
  <si>
    <t>SWAPC0044750</t>
  </si>
  <si>
    <t>SWAPC0044772</t>
  </si>
  <si>
    <t>SWAPC0044853</t>
  </si>
  <si>
    <t>SWAPC0044881</t>
  </si>
  <si>
    <t>SWAPC0044926</t>
  </si>
  <si>
    <t>SWAPC0044927</t>
  </si>
  <si>
    <t>SWAPC0044929</t>
  </si>
  <si>
    <t>SWAPC0044960</t>
  </si>
  <si>
    <t>SWAPC0044961</t>
  </si>
  <si>
    <t>SWAPC0044998</t>
  </si>
  <si>
    <t>SWAPC0044999</t>
  </si>
  <si>
    <t>SWAPV0044935</t>
  </si>
  <si>
    <t>SWAPV0045033</t>
  </si>
  <si>
    <t>SWAPC0045034</t>
  </si>
  <si>
    <t>SWAPC0045035</t>
  </si>
  <si>
    <t>SWAPC0045052</t>
  </si>
  <si>
    <t>SWAPC0045080</t>
  </si>
  <si>
    <t>SWAPC0045107</t>
  </si>
  <si>
    <t>SWAPC0045108</t>
  </si>
  <si>
    <t>SWAPC0045109</t>
  </si>
  <si>
    <t>SWAPC0045139</t>
  </si>
  <si>
    <t>SWAPC0045265</t>
  </si>
  <si>
    <t>SWAPC0045266</t>
  </si>
  <si>
    <t>SWAPC0045267</t>
  </si>
  <si>
    <t>SWAPC0045268</t>
  </si>
  <si>
    <t>SWAPC0045229</t>
  </si>
  <si>
    <t>SWAPC0045190</t>
  </si>
  <si>
    <t>SWAPC0045170</t>
  </si>
  <si>
    <t>SWAPC0045171</t>
  </si>
  <si>
    <t>SWAPC0045309</t>
  </si>
  <si>
    <t>SWAPC0045475</t>
  </si>
  <si>
    <t>SWAPC0045476</t>
  </si>
  <si>
    <t>SWAPC0045477</t>
  </si>
  <si>
    <t>SWAPC0045478</t>
  </si>
  <si>
    <t>SWAPC0045479</t>
  </si>
  <si>
    <t>SWAPC0045586</t>
  </si>
  <si>
    <t>SWAPC0045622</t>
  </si>
  <si>
    <t>SWAPC0045698</t>
  </si>
  <si>
    <t>SWAPC0045699</t>
  </si>
  <si>
    <t>SWAPC0045867</t>
  </si>
  <si>
    <t>SWAPC0045868</t>
  </si>
  <si>
    <t>SWAPC0046230</t>
  </si>
  <si>
    <t>SWAPC0046231</t>
  </si>
  <si>
    <t>SWAPC0046232</t>
  </si>
  <si>
    <t>ARAUCO HOLDING PERU SAC</t>
  </si>
  <si>
    <t>SWAPC0046266</t>
  </si>
  <si>
    <t>SWAPC0046267</t>
  </si>
  <si>
    <t>SWAPC0046268</t>
  </si>
  <si>
    <t>SWAPC0046296</t>
  </si>
  <si>
    <t>SWAPC0046297</t>
  </si>
  <si>
    <t>SWAPC0046328</t>
  </si>
  <si>
    <t>SWAPC0046375</t>
  </si>
  <si>
    <t>SWAPC0046376</t>
  </si>
  <si>
    <t>SWAPC0046377</t>
  </si>
  <si>
    <t>SWAPC0046414</t>
  </si>
  <si>
    <t>SWAPC0046530</t>
  </si>
  <si>
    <t>SWAPC0046760</t>
  </si>
  <si>
    <t>SWAPC0046761</t>
  </si>
  <si>
    <t>SWAPC0046824</t>
  </si>
  <si>
    <t>SWAPC0046825</t>
  </si>
  <si>
    <t>SWAPC0046834</t>
  </si>
  <si>
    <t>SWAPC0046835</t>
  </si>
  <si>
    <t>SWAPC0046836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</si>
</sst>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4" applyNumberFormat="0" applyAlignment="0" applyProtection="0"/>
    <xf numFmtId="0" fontId="14" fillId="8" borderId="5" applyNumberFormat="0" applyAlignment="0" applyProtection="0"/>
    <xf numFmtId="0" fontId="15" fillId="8" borderId="4" applyNumberFormat="0" applyAlignment="0" applyProtection="0"/>
    <xf numFmtId="0" fontId="16" fillId="0" borderId="6" applyNumberFormat="0" applyFill="0" applyAlignment="0" applyProtection="0"/>
    <xf numFmtId="0" fontId="17" fillId="9" borderId="7" applyNumberFormat="0" applyAlignment="0" applyProtection="0"/>
    <xf numFmtId="0" fontId="18" fillId="0" borderId="0" applyNumberFormat="0" applyFill="0" applyBorder="0" applyAlignment="0" applyProtection="0"/>
    <xf numFmtId="0" fontId="6" fillId="10" borderId="8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3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3" fillId="34" borderId="0" applyNumberFormat="0" applyBorder="0" applyAlignment="0" applyProtection="0"/>
  </cellStyleXfs>
  <cellXfs count="25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" fontId="0" fillId="3" borderId="0" xfId="0" applyNumberFormat="1" applyFill="1"/>
    <xf numFmtId="14" fontId="0" fillId="4" borderId="0" xfId="0" applyNumberFormat="1" applyFill="1"/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/>
    <xf numFmtId="0" fontId="21" fillId="36" borderId="0" xfId="0" applyFont="1" applyFill="1" applyAlignment="1">
      <alignment horizontal="center"/>
    </xf>
    <xf numFmtId="0" fontId="22" fillId="35" borderId="0" xfId="0" applyFont="1" applyFill="1" applyAlignment="1">
      <alignment horizontal="center" vertical="center" wrapText="1"/>
    </xf>
    <xf numFmtId="0" fontId="1" fillId="0" borderId="0" xfId="0" applyFont="1"/>
    <xf numFmtId="0" fontId="1" fillId="0" borderId="0" xfId="0" quotePrefix="1" applyFont="1"/>
    <xf numFmtId="0" fontId="4" fillId="37" borderId="0" xfId="0" applyFont="1" applyFill="1" applyAlignment="1">
      <alignment horizontal="center" vertical="center" wrapText="1"/>
    </xf>
    <xf numFmtId="0" fontId="0" fillId="37" borderId="0" xfId="0" applyFill="1"/>
    <xf numFmtId="0" fontId="0" fillId="37" borderId="0" xfId="0" applyFill="1" applyAlignment="1">
      <alignment horizontal="center"/>
    </xf>
    <xf numFmtId="3" fontId="0" fillId="37" borderId="0" xfId="0" applyNumberFormat="1" applyFill="1"/>
    <xf numFmtId="14" fontId="0" fillId="37" borderId="0" xfId="0" applyNumberFormat="1" applyFill="1"/>
    <xf numFmtId="0" fontId="18" fillId="0" borderId="0" xfId="0" applyFont="1"/>
    <xf numFmtId="11" fontId="0" fillId="0" borderId="0" xfId="0" applyNumberFormat="1"/>
    <xf numFmtId="0" fontId="23" fillId="38" borderId="10" xfId="0" applyFont="1" applyFill="1" applyBorder="1"/>
    <xf numFmtId="0" fontId="23" fillId="38" borderId="11" xfId="0" applyFont="1" applyFill="1" applyBorder="1"/>
    <xf numFmtId="0" fontId="24" fillId="0" borderId="10" xfId="0" applyFont="1" applyBorder="1"/>
    <xf numFmtId="0" fontId="24" fillId="0" borderId="12" xfId="0" applyFont="1" applyBorder="1"/>
    <xf numFmtId="0" fontId="25" fillId="0" borderId="10" xfId="0" applyFont="1" applyBorder="1"/>
    <xf numFmtId="0" fontId="25" fillId="0" borderId="11" xfId="0" applyFont="1" applyBorder="1"/>
    <xf numFmtId="0" fontId="25" fillId="0" borderId="12" xfId="0" applyFont="1" applyBorder="1"/>
    <xf numFmtId="0" fontId="25" fillId="0" borderId="13" xfId="0" applyFont="1" applyBorder="1"/>
  </cellXfs>
  <cellStyles count="45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9" builtinId="53" customBuiltin="1"/>
    <cellStyle name="Good" xfId="1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21000000}"/>
    <cellStyle name="Normal 2 2" xfId="4" xr:uid="{00000000-0005-0000-0000-000022000000}"/>
    <cellStyle name="Normal 4" xfId="3" xr:uid="{00000000-0005-0000-0000-000023000000}"/>
    <cellStyle name="Note" xfId="18" builtinId="10" customBuiltin="1"/>
    <cellStyle name="Output" xfId="13" builtinId="21" customBuiltin="1"/>
    <cellStyle name="Title" xfId="5" builtinId="15" customBuiltin="1"/>
    <cellStyle name="Total" xfId="20" builtinId="25" customBuiltin="1"/>
    <cellStyle name="Warning Text" xfId="17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13</xdr:col>
      <xdr:colOff>152400</xdr:colOff>
      <xdr:row>7</xdr:row>
      <xdr:rowOff>152400</xdr:rowOff>
    </xdr:to>
    <xdr:pic macro="[0]!UniversoForwards">
      <xdr:nvPicPr>
        <xdr:cNvPr id="3" name="Gráfico 2" descr="Base de datos">
          <a:extLst>
            <a:ext uri="{FF2B5EF4-FFF2-40B4-BE49-F238E27FC236}">
              <a16:creationId xmlns:a16="http://schemas.microsoft.com/office/drawing/2014/main" id="{79712D71-CAE5-4F6A-978B-C328D8E78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30853" y="7620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15</xdr:col>
      <xdr:colOff>152400</xdr:colOff>
      <xdr:row>7</xdr:row>
      <xdr:rowOff>152400</xdr:rowOff>
    </xdr:to>
    <xdr:pic macro="[0]!DatosUniverso">
      <xdr:nvPicPr>
        <xdr:cNvPr id="4" name="Gráfico 3" descr="Base de datos">
          <a:extLst>
            <a:ext uri="{FF2B5EF4-FFF2-40B4-BE49-F238E27FC236}">
              <a16:creationId xmlns:a16="http://schemas.microsoft.com/office/drawing/2014/main" id="{7F10075B-31F6-45B4-B2DA-C94AAEE7C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054853" y="7620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543"/>
  <sheetViews>
    <sheetView zoomScale="70" zoomScaleNormal="70" workbookViewId="0">
      <selection activeCell="A2" sqref="A2:K53"/>
    </sheetView>
  </sheetViews>
  <sheetFormatPr defaultColWidth="10.90625" defaultRowHeight="14.5" x14ac:dyDescent="0.35"/>
  <cols>
    <col min="1" max="1" width="12.81640625" customWidth="1"/>
    <col min="2" max="2" width="4.26953125" customWidth="1"/>
    <col min="3" max="3" width="12.54296875" bestFit="1" customWidth="1"/>
    <col min="4" max="4" width="18.453125" bestFit="1" customWidth="1"/>
    <col min="5" max="5" width="8" bestFit="1" customWidth="1"/>
    <col min="6" max="6" width="12.81640625" customWidth="1"/>
    <col min="7" max="7" width="13.453125" customWidth="1"/>
    <col min="9" max="9" width="42.81640625" bestFit="1" customWidth="1"/>
    <col min="10" max="10" width="12.81640625" customWidth="1"/>
  </cols>
  <sheetData>
    <row r="1" spans="1:15" ht="30" customHeight="1" x14ac:dyDescent="0.35">
      <c r="A1" s="4" t="s">
        <v>40</v>
      </c>
      <c r="C1" s="1" t="s">
        <v>27</v>
      </c>
      <c r="D1" s="10" t="s">
        <v>0</v>
      </c>
      <c r="E1" s="10" t="s">
        <v>2</v>
      </c>
      <c r="F1" s="10" t="s">
        <v>35</v>
      </c>
      <c r="G1" s="10" t="s">
        <v>36</v>
      </c>
      <c r="H1" s="10" t="s">
        <v>37</v>
      </c>
      <c r="I1" s="10" t="s">
        <v>34</v>
      </c>
      <c r="J1" s="10" t="s">
        <v>1</v>
      </c>
      <c r="K1" s="7" t="s">
        <v>38</v>
      </c>
      <c r="M1">
        <f>+COUNTIF($K$2:$K$307,"&lt;&gt;N")</f>
        <v>52</v>
      </c>
    </row>
    <row r="2" spans="1:15" x14ac:dyDescent="0.35">
      <c r="A2" s="3"/>
      <c r="C2" s="2"/>
      <c r="D2" s="11"/>
      <c r="E2" s="12"/>
      <c r="F2" s="13"/>
      <c r="G2" s="14"/>
      <c r="H2" s="12"/>
      <c r="I2" s="14"/>
      <c r="J2" s="13"/>
      <c r="K2" s="6"/>
      <c r="M2" s="8" t="s">
        <v>41</v>
      </c>
    </row>
    <row r="3" spans="1:15" x14ac:dyDescent="0.35">
      <c r="A3" s="3"/>
      <c r="C3" s="2"/>
      <c r="D3" s="11"/>
      <c r="E3" s="12"/>
      <c r="F3" s="13"/>
      <c r="G3" s="14"/>
      <c r="H3" s="12"/>
      <c r="I3" s="14"/>
      <c r="J3" s="13"/>
      <c r="K3" s="6"/>
      <c r="M3" s="9" t="s">
        <v>42</v>
      </c>
      <c r="O3" s="9" t="s">
        <v>43</v>
      </c>
    </row>
    <row r="4" spans="1:15" x14ac:dyDescent="0.35">
      <c r="A4" s="3"/>
      <c r="C4" s="2"/>
      <c r="D4" s="11"/>
      <c r="E4" s="12"/>
      <c r="F4" s="13"/>
      <c r="G4" s="14"/>
      <c r="H4" s="12"/>
      <c r="I4" s="14"/>
      <c r="J4" s="13"/>
      <c r="K4" s="6"/>
    </row>
    <row r="5" spans="1:15" x14ac:dyDescent="0.35">
      <c r="A5" s="3"/>
      <c r="C5" s="2"/>
      <c r="D5" s="11"/>
      <c r="E5" s="12"/>
      <c r="F5" s="13"/>
      <c r="G5" s="14"/>
      <c r="H5" s="12"/>
      <c r="I5" s="14"/>
      <c r="J5" s="13"/>
      <c r="K5" s="6"/>
    </row>
    <row r="6" spans="1:15" x14ac:dyDescent="0.35">
      <c r="A6" s="3"/>
      <c r="C6" s="2"/>
      <c r="D6" s="11"/>
      <c r="E6" s="12"/>
      <c r="F6" s="13"/>
      <c r="G6" s="14"/>
      <c r="H6" s="12"/>
      <c r="I6" s="14"/>
      <c r="J6" s="13"/>
      <c r="K6" s="6"/>
    </row>
    <row r="7" spans="1:15" x14ac:dyDescent="0.35">
      <c r="A7" s="3"/>
      <c r="C7" s="2"/>
      <c r="D7" s="11"/>
      <c r="E7" s="12"/>
      <c r="F7" s="13"/>
      <c r="G7" s="14"/>
      <c r="H7" s="12"/>
      <c r="I7" s="14"/>
      <c r="J7" s="13"/>
      <c r="K7" s="6"/>
    </row>
    <row r="8" spans="1:15" x14ac:dyDescent="0.35">
      <c r="A8" s="3"/>
      <c r="C8" s="2"/>
      <c r="D8" s="11"/>
      <c r="E8" s="12"/>
      <c r="F8" s="13"/>
      <c r="G8" s="14"/>
      <c r="H8" s="12"/>
      <c r="I8" s="14"/>
      <c r="J8" s="13"/>
      <c r="K8" s="6"/>
    </row>
    <row r="9" spans="1:15" x14ac:dyDescent="0.35">
      <c r="A9" s="3"/>
      <c r="C9" s="2"/>
      <c r="D9" s="11"/>
      <c r="E9" s="12"/>
      <c r="F9" s="13"/>
      <c r="G9" s="14"/>
      <c r="H9" s="12"/>
      <c r="I9" s="14"/>
      <c r="J9" s="13"/>
      <c r="K9" s="6"/>
    </row>
    <row r="10" spans="1:15" x14ac:dyDescent="0.35">
      <c r="A10" s="3"/>
      <c r="C10" s="2"/>
      <c r="D10" s="11"/>
      <c r="E10" s="12"/>
      <c r="F10" s="13"/>
      <c r="G10" s="14"/>
      <c r="H10" s="12"/>
      <c r="I10" s="14"/>
      <c r="J10" s="13"/>
      <c r="K10" s="6"/>
    </row>
    <row r="11" spans="1:15" x14ac:dyDescent="0.35">
      <c r="A11" s="3"/>
      <c r="C11" s="2"/>
      <c r="D11" s="11"/>
      <c r="E11" s="12"/>
      <c r="F11" s="13"/>
      <c r="G11" s="14"/>
      <c r="H11" s="12"/>
      <c r="I11" s="14"/>
      <c r="J11" s="13"/>
      <c r="K11" s="6"/>
    </row>
    <row r="12" spans="1:15" x14ac:dyDescent="0.35">
      <c r="A12" s="3"/>
      <c r="C12" s="2"/>
      <c r="D12" s="11"/>
      <c r="E12" s="12"/>
      <c r="F12" s="13"/>
      <c r="G12" s="14"/>
      <c r="H12" s="12"/>
      <c r="I12" s="14"/>
      <c r="J12" s="13"/>
      <c r="K12" s="6"/>
    </row>
    <row r="13" spans="1:15" x14ac:dyDescent="0.35">
      <c r="A13" s="3"/>
      <c r="C13" s="2"/>
      <c r="D13" s="11"/>
      <c r="E13" s="12"/>
      <c r="F13" s="13"/>
      <c r="G13" s="14"/>
      <c r="H13" s="12"/>
      <c r="I13" s="14"/>
      <c r="J13" s="13"/>
      <c r="K13" s="6"/>
    </row>
    <row r="14" spans="1:15" x14ac:dyDescent="0.35">
      <c r="A14" s="3"/>
      <c r="C14" s="2"/>
      <c r="D14" s="11"/>
      <c r="E14" s="12"/>
      <c r="F14" s="13"/>
      <c r="G14" s="14"/>
      <c r="H14" s="12"/>
      <c r="I14" s="14"/>
      <c r="J14" s="13"/>
      <c r="K14" s="6"/>
    </row>
    <row r="15" spans="1:15" x14ac:dyDescent="0.35">
      <c r="A15" s="3"/>
      <c r="C15" s="2"/>
      <c r="D15" s="11"/>
      <c r="E15" s="12"/>
      <c r="F15" s="13"/>
      <c r="G15" s="14"/>
      <c r="H15" s="12"/>
      <c r="I15" s="14"/>
      <c r="J15" s="13"/>
      <c r="K15" s="6"/>
    </row>
    <row r="16" spans="1:15" x14ac:dyDescent="0.35">
      <c r="A16" s="3"/>
      <c r="C16" s="2"/>
      <c r="D16" s="11"/>
      <c r="E16" s="12"/>
      <c r="F16" s="13"/>
      <c r="G16" s="14"/>
      <c r="H16" s="12"/>
      <c r="I16" s="14"/>
      <c r="J16" s="13"/>
      <c r="K16" s="6"/>
    </row>
    <row r="17" spans="1:11" x14ac:dyDescent="0.35">
      <c r="A17" s="3"/>
      <c r="C17" s="2"/>
      <c r="D17" s="11"/>
      <c r="E17" s="12"/>
      <c r="F17" s="13"/>
      <c r="G17" s="14"/>
      <c r="H17" s="12"/>
      <c r="I17" s="14"/>
      <c r="J17" s="13"/>
      <c r="K17" s="6"/>
    </row>
    <row r="18" spans="1:11" x14ac:dyDescent="0.35">
      <c r="A18" s="3"/>
      <c r="C18" s="2"/>
      <c r="D18" s="11"/>
      <c r="E18" s="12"/>
      <c r="F18" s="13"/>
      <c r="G18" s="14"/>
      <c r="H18" s="12"/>
      <c r="I18" s="14"/>
      <c r="J18" s="13"/>
      <c r="K18" s="6"/>
    </row>
    <row r="19" spans="1:11" x14ac:dyDescent="0.35">
      <c r="A19" s="3"/>
      <c r="C19" s="2"/>
      <c r="D19" s="11"/>
      <c r="E19" s="12"/>
      <c r="F19" s="13"/>
      <c r="G19" s="14"/>
      <c r="H19" s="12"/>
      <c r="I19" s="14"/>
      <c r="J19" s="13"/>
      <c r="K19" s="6"/>
    </row>
    <row r="20" spans="1:11" x14ac:dyDescent="0.35">
      <c r="A20" s="3"/>
      <c r="C20" s="2"/>
      <c r="D20" s="11"/>
      <c r="E20" s="12"/>
      <c r="F20" s="13"/>
      <c r="G20" s="14"/>
      <c r="H20" s="12"/>
      <c r="I20" s="14"/>
      <c r="J20" s="13"/>
      <c r="K20" s="6"/>
    </row>
    <row r="21" spans="1:11" x14ac:dyDescent="0.35">
      <c r="A21" s="3"/>
      <c r="C21" s="2"/>
      <c r="D21" s="11"/>
      <c r="E21" s="12"/>
      <c r="F21" s="13"/>
      <c r="G21" s="14"/>
      <c r="H21" s="12"/>
      <c r="I21" s="14"/>
      <c r="J21" s="13"/>
      <c r="K21" s="6"/>
    </row>
    <row r="22" spans="1:11" x14ac:dyDescent="0.35">
      <c r="A22" s="3"/>
      <c r="C22" s="2"/>
      <c r="D22" s="11"/>
      <c r="E22" s="12"/>
      <c r="F22" s="13"/>
      <c r="G22" s="14"/>
      <c r="H22" s="12"/>
      <c r="I22" s="14"/>
      <c r="J22" s="13"/>
      <c r="K22" s="6"/>
    </row>
    <row r="23" spans="1:11" x14ac:dyDescent="0.35">
      <c r="A23" s="3"/>
      <c r="C23" s="2"/>
      <c r="D23" s="11"/>
      <c r="E23" s="12"/>
      <c r="F23" s="13"/>
      <c r="G23" s="14"/>
      <c r="H23" s="12"/>
      <c r="I23" s="14"/>
      <c r="J23" s="13"/>
      <c r="K23" s="6"/>
    </row>
    <row r="24" spans="1:11" x14ac:dyDescent="0.35">
      <c r="A24" s="3"/>
      <c r="C24" s="2"/>
      <c r="D24" s="11"/>
      <c r="E24" s="12"/>
      <c r="F24" s="13"/>
      <c r="G24" s="14"/>
      <c r="H24" s="12"/>
      <c r="I24" s="14"/>
      <c r="J24" s="13"/>
      <c r="K24" s="6"/>
    </row>
    <row r="25" spans="1:11" x14ac:dyDescent="0.35">
      <c r="A25" s="3"/>
      <c r="C25" s="2"/>
      <c r="D25" s="11"/>
      <c r="E25" s="12"/>
      <c r="F25" s="13"/>
      <c r="G25" s="14"/>
      <c r="H25" s="12"/>
      <c r="I25" s="14"/>
      <c r="J25" s="13"/>
      <c r="K25" s="6"/>
    </row>
    <row r="26" spans="1:11" x14ac:dyDescent="0.35">
      <c r="A26" s="3"/>
      <c r="C26" s="2"/>
      <c r="D26" s="11"/>
      <c r="E26" s="12"/>
      <c r="F26" s="13"/>
      <c r="G26" s="14"/>
      <c r="H26" s="12"/>
      <c r="I26" s="14"/>
      <c r="J26" s="13"/>
      <c r="K26" s="6"/>
    </row>
    <row r="27" spans="1:11" x14ac:dyDescent="0.35">
      <c r="A27" s="3"/>
      <c r="C27" s="2"/>
      <c r="D27" s="11"/>
      <c r="E27" s="12"/>
      <c r="F27" s="13"/>
      <c r="G27" s="14"/>
      <c r="H27" s="12"/>
      <c r="I27" s="14"/>
      <c r="J27" s="13"/>
      <c r="K27" s="6"/>
    </row>
    <row r="28" spans="1:11" x14ac:dyDescent="0.35">
      <c r="A28" s="3"/>
      <c r="C28" s="2"/>
      <c r="D28" s="11"/>
      <c r="E28" s="12"/>
      <c r="F28" s="13"/>
      <c r="G28" s="14"/>
      <c r="H28" s="12"/>
      <c r="I28" s="14"/>
      <c r="J28" s="13"/>
      <c r="K28" s="6"/>
    </row>
    <row r="29" spans="1:11" x14ac:dyDescent="0.35">
      <c r="A29" s="3"/>
      <c r="C29" s="2"/>
      <c r="D29" s="11"/>
      <c r="E29" s="12"/>
      <c r="F29" s="13"/>
      <c r="G29" s="14"/>
      <c r="H29" s="12"/>
      <c r="I29" s="14"/>
      <c r="J29" s="13"/>
      <c r="K29" s="6"/>
    </row>
    <row r="30" spans="1:11" x14ac:dyDescent="0.35">
      <c r="A30" s="3"/>
      <c r="C30" s="2"/>
      <c r="D30" s="11"/>
      <c r="E30" s="12"/>
      <c r="F30" s="13"/>
      <c r="G30" s="14"/>
      <c r="H30" s="12"/>
      <c r="I30" s="14"/>
      <c r="J30" s="13"/>
      <c r="K30" s="6"/>
    </row>
    <row r="31" spans="1:11" x14ac:dyDescent="0.35">
      <c r="A31" s="3"/>
      <c r="C31" s="2"/>
      <c r="D31" s="11"/>
      <c r="E31" s="12"/>
      <c r="F31" s="13"/>
      <c r="G31" s="14"/>
      <c r="H31" s="12"/>
      <c r="I31" s="14"/>
      <c r="J31" s="13"/>
      <c r="K31" s="6"/>
    </row>
    <row r="32" spans="1:11" x14ac:dyDescent="0.35">
      <c r="A32" s="3"/>
      <c r="C32" s="2"/>
      <c r="D32" s="11"/>
      <c r="E32" s="12"/>
      <c r="F32" s="13"/>
      <c r="G32" s="14"/>
      <c r="H32" s="12"/>
      <c r="I32" s="14"/>
      <c r="J32" s="13"/>
      <c r="K32" s="6"/>
    </row>
    <row r="33" spans="1:11" x14ac:dyDescent="0.35">
      <c r="A33" s="3"/>
      <c r="C33" s="2"/>
      <c r="D33" s="11"/>
      <c r="E33" s="12"/>
      <c r="F33" s="13"/>
      <c r="G33" s="14"/>
      <c r="H33" s="12"/>
      <c r="I33" s="14"/>
      <c r="J33" s="13"/>
      <c r="K33" s="6"/>
    </row>
    <row r="34" spans="1:11" x14ac:dyDescent="0.35">
      <c r="A34" s="3"/>
      <c r="C34" s="2"/>
      <c r="D34" s="11"/>
      <c r="E34" s="12"/>
      <c r="F34" s="13"/>
      <c r="G34" s="14"/>
      <c r="H34" s="12"/>
      <c r="I34" s="14"/>
      <c r="J34" s="13"/>
      <c r="K34" s="6"/>
    </row>
    <row r="35" spans="1:11" x14ac:dyDescent="0.35">
      <c r="A35" s="3"/>
      <c r="C35" s="2"/>
      <c r="D35" s="11"/>
      <c r="E35" s="12"/>
      <c r="F35" s="13"/>
      <c r="G35" s="14"/>
      <c r="H35" s="12"/>
      <c r="I35" s="14"/>
      <c r="J35" s="13"/>
      <c r="K35" s="6"/>
    </row>
    <row r="36" spans="1:11" x14ac:dyDescent="0.35">
      <c r="A36" s="3"/>
      <c r="C36" s="2"/>
      <c r="D36" s="11"/>
      <c r="E36" s="12"/>
      <c r="F36" s="13"/>
      <c r="G36" s="14"/>
      <c r="H36" s="12"/>
      <c r="I36" s="14"/>
      <c r="J36" s="13"/>
      <c r="K36" s="6"/>
    </row>
    <row r="37" spans="1:11" x14ac:dyDescent="0.35">
      <c r="A37" s="3"/>
      <c r="C37" s="2"/>
      <c r="D37" s="11"/>
      <c r="E37" s="12"/>
      <c r="F37" s="13"/>
      <c r="G37" s="14"/>
      <c r="H37" s="12"/>
      <c r="I37" s="14"/>
      <c r="J37" s="13"/>
      <c r="K37" s="6"/>
    </row>
    <row r="38" spans="1:11" x14ac:dyDescent="0.35">
      <c r="A38" s="3"/>
      <c r="C38" s="2"/>
      <c r="D38" s="11"/>
      <c r="E38" s="12"/>
      <c r="F38" s="13"/>
      <c r="G38" s="14"/>
      <c r="H38" s="12"/>
      <c r="I38" s="14"/>
      <c r="J38" s="13"/>
      <c r="K38" s="6"/>
    </row>
    <row r="39" spans="1:11" x14ac:dyDescent="0.35">
      <c r="A39" s="3"/>
      <c r="C39" s="2"/>
      <c r="D39" s="11"/>
      <c r="E39" s="12"/>
      <c r="F39" s="13"/>
      <c r="G39" s="14"/>
      <c r="H39" s="12"/>
      <c r="I39" s="14"/>
      <c r="J39" s="13"/>
      <c r="K39" s="6"/>
    </row>
    <row r="40" spans="1:11" x14ac:dyDescent="0.35">
      <c r="A40" s="3"/>
      <c r="C40" s="2"/>
      <c r="D40" s="11"/>
      <c r="E40" s="12"/>
      <c r="F40" s="13"/>
      <c r="G40" s="14"/>
      <c r="H40" s="12"/>
      <c r="I40" s="14"/>
      <c r="J40" s="13"/>
      <c r="K40" s="6"/>
    </row>
    <row r="41" spans="1:11" x14ac:dyDescent="0.35">
      <c r="A41" s="3"/>
      <c r="C41" s="2"/>
      <c r="D41" s="11"/>
      <c r="E41" s="12"/>
      <c r="F41" s="13"/>
      <c r="G41" s="14"/>
      <c r="H41" s="12"/>
      <c r="I41" s="14"/>
      <c r="J41" s="13"/>
      <c r="K41" s="6"/>
    </row>
    <row r="42" spans="1:11" x14ac:dyDescent="0.35">
      <c r="A42" s="3"/>
      <c r="C42" s="2"/>
      <c r="D42" s="11"/>
      <c r="E42" s="12"/>
      <c r="F42" s="13"/>
      <c r="G42" s="14"/>
      <c r="H42" s="12"/>
      <c r="I42" s="14"/>
      <c r="J42" s="13"/>
      <c r="K42" s="6"/>
    </row>
    <row r="43" spans="1:11" x14ac:dyDescent="0.35">
      <c r="A43" s="3"/>
      <c r="C43" s="2"/>
      <c r="D43" s="11"/>
      <c r="E43" s="12"/>
      <c r="F43" s="13"/>
      <c r="G43" s="14"/>
      <c r="H43" s="12"/>
      <c r="I43" s="14"/>
      <c r="J43" s="13"/>
      <c r="K43" s="6"/>
    </row>
    <row r="44" spans="1:11" x14ac:dyDescent="0.35">
      <c r="A44" s="3"/>
      <c r="C44" s="2"/>
      <c r="D44" s="11"/>
      <c r="E44" s="12"/>
      <c r="F44" s="13"/>
      <c r="G44" s="14"/>
      <c r="H44" s="12"/>
      <c r="I44" s="14"/>
      <c r="J44" s="13"/>
      <c r="K44" s="6"/>
    </row>
    <row r="45" spans="1:11" x14ac:dyDescent="0.35">
      <c r="A45" s="3"/>
      <c r="C45" s="2"/>
      <c r="D45" s="11"/>
      <c r="E45" s="12"/>
      <c r="F45" s="13"/>
      <c r="G45" s="14"/>
      <c r="H45" s="12"/>
      <c r="I45" s="14"/>
      <c r="J45" s="13"/>
      <c r="K45" s="6"/>
    </row>
    <row r="46" spans="1:11" x14ac:dyDescent="0.35">
      <c r="A46" s="3"/>
      <c r="C46" s="2"/>
      <c r="D46" s="11"/>
      <c r="E46" s="12"/>
      <c r="F46" s="13"/>
      <c r="G46" s="14"/>
      <c r="H46" s="12"/>
      <c r="I46" s="14"/>
      <c r="J46" s="13"/>
      <c r="K46" s="6"/>
    </row>
    <row r="47" spans="1:11" x14ac:dyDescent="0.35">
      <c r="A47" s="3"/>
      <c r="C47" s="2"/>
      <c r="D47" s="11"/>
      <c r="E47" s="12"/>
      <c r="F47" s="13"/>
      <c r="G47" s="14"/>
      <c r="H47" s="12"/>
      <c r="I47" s="14"/>
      <c r="J47" s="13"/>
      <c r="K47" s="6"/>
    </row>
    <row r="48" spans="1:11" x14ac:dyDescent="0.35">
      <c r="A48" s="3"/>
      <c r="C48" s="2"/>
      <c r="D48" s="11"/>
      <c r="E48" s="12"/>
      <c r="F48" s="13"/>
      <c r="G48" s="14"/>
      <c r="H48" s="12"/>
      <c r="I48" s="14"/>
      <c r="J48" s="13"/>
      <c r="K48" s="6"/>
    </row>
    <row r="49" spans="1:11" x14ac:dyDescent="0.35">
      <c r="A49" s="3"/>
      <c r="C49" s="2"/>
      <c r="D49" s="11"/>
      <c r="E49" s="12"/>
      <c r="F49" s="13"/>
      <c r="G49" s="14"/>
      <c r="H49" s="12"/>
      <c r="I49" s="14"/>
      <c r="J49" s="13"/>
      <c r="K49" s="6"/>
    </row>
    <row r="50" spans="1:11" x14ac:dyDescent="0.35">
      <c r="A50" s="3"/>
      <c r="C50" s="2"/>
      <c r="D50" s="11"/>
      <c r="E50" s="12"/>
      <c r="F50" s="13"/>
      <c r="G50" s="14"/>
      <c r="H50" s="12"/>
      <c r="I50" s="14"/>
      <c r="J50" s="13"/>
      <c r="K50" s="6"/>
    </row>
    <row r="51" spans="1:11" x14ac:dyDescent="0.35">
      <c r="A51" s="3"/>
      <c r="C51" s="2"/>
      <c r="D51" s="11"/>
      <c r="E51" s="12"/>
      <c r="F51" s="13"/>
      <c r="G51" s="14"/>
      <c r="H51" s="12"/>
      <c r="I51" s="14"/>
      <c r="J51" s="13"/>
      <c r="K51" s="6"/>
    </row>
    <row r="52" spans="1:11" x14ac:dyDescent="0.35">
      <c r="A52" s="3"/>
      <c r="C52" s="2"/>
      <c r="D52" s="11"/>
      <c r="E52" s="12"/>
      <c r="F52" s="13"/>
      <c r="G52" s="14"/>
      <c r="H52" s="12"/>
      <c r="I52" s="14"/>
      <c r="J52" s="13"/>
      <c r="K52" s="6"/>
    </row>
    <row r="53" spans="1:11" x14ac:dyDescent="0.35">
      <c r="A53" s="3"/>
      <c r="C53" s="2"/>
      <c r="D53" s="11"/>
      <c r="E53" s="12"/>
      <c r="F53" s="13"/>
      <c r="G53" s="14"/>
      <c r="H53" s="12"/>
      <c r="I53" s="14"/>
      <c r="J53" s="13"/>
      <c r="K53" s="6"/>
    </row>
    <row r="54" spans="1:11" x14ac:dyDescent="0.35">
      <c r="B54" t="str">
        <f t="shared" ref="B3:B66" si="0">+MID(C54,5,1)</f>
        <v>C</v>
      </c>
      <c r="C54" s="2" t="s">
        <v>111</v>
      </c>
      <c r="D54" s="11" t="s">
        <v>72</v>
      </c>
      <c r="E54" s="12" t="s">
        <v>69</v>
      </c>
      <c r="F54" s="13">
        <v>25500446.260000002</v>
      </c>
      <c r="G54" s="14">
        <v>45048</v>
      </c>
      <c r="H54" s="12" t="s">
        <v>73</v>
      </c>
      <c r="I54" s="14" t="s">
        <v>109</v>
      </c>
      <c r="J54" s="13">
        <v>-7949427.6100000003</v>
      </c>
      <c r="K54" s="6" t="str">
        <f>+IFERROR(VLOOKUP(I54,'Legal Name'!$A$1:$I$2913,1,0),"N")</f>
        <v>N</v>
      </c>
    </row>
    <row r="55" spans="1:11" x14ac:dyDescent="0.35">
      <c r="A55" s="5" t="s">
        <v>39</v>
      </c>
      <c r="B55" t="str">
        <f t="shared" si="0"/>
        <v>C</v>
      </c>
      <c r="C55" s="2" t="s">
        <v>112</v>
      </c>
      <c r="D55" s="11" t="s">
        <v>72</v>
      </c>
      <c r="E55" s="12" t="s">
        <v>69</v>
      </c>
      <c r="F55" s="13">
        <v>25531045.75</v>
      </c>
      <c r="G55" s="14">
        <v>45049</v>
      </c>
      <c r="H55" s="12" t="s">
        <v>73</v>
      </c>
      <c r="I55" s="14" t="s">
        <v>109</v>
      </c>
      <c r="J55" s="13">
        <v>-7682559.54</v>
      </c>
      <c r="K55" s="6" t="str">
        <f>+IFERROR(VLOOKUP(I55,'Legal Name'!$A$1:$I$2913,1,0),"N")</f>
        <v>N</v>
      </c>
    </row>
    <row r="56" spans="1:11" x14ac:dyDescent="0.35">
      <c r="A56" s="3">
        <f>+A53</f>
        <v>0</v>
      </c>
      <c r="B56" t="str">
        <f t="shared" si="0"/>
        <v>C</v>
      </c>
      <c r="C56" s="2" t="s">
        <v>113</v>
      </c>
      <c r="D56" s="11" t="s">
        <v>72</v>
      </c>
      <c r="E56" s="12" t="s">
        <v>69</v>
      </c>
      <c r="F56" s="13">
        <v>25531045.75</v>
      </c>
      <c r="G56" s="14">
        <v>45141</v>
      </c>
      <c r="H56" s="12" t="s">
        <v>73</v>
      </c>
      <c r="I56" s="14" t="s">
        <v>109</v>
      </c>
      <c r="J56" s="13">
        <v>-8014952.0599999996</v>
      </c>
      <c r="K56" s="6" t="str">
        <f>+IFERROR(VLOOKUP(I56,'Legal Name'!$A$1:$I$2913,1,0),"N")</f>
        <v>N</v>
      </c>
    </row>
    <row r="57" spans="1:11" x14ac:dyDescent="0.35">
      <c r="B57" t="str">
        <f t="shared" si="0"/>
        <v>C</v>
      </c>
      <c r="C57" s="2" t="s">
        <v>114</v>
      </c>
      <c r="D57" s="11" t="s">
        <v>72</v>
      </c>
      <c r="E57" s="12" t="s">
        <v>69</v>
      </c>
      <c r="F57" s="13">
        <v>7659313.7300000004</v>
      </c>
      <c r="G57" s="14">
        <v>45141</v>
      </c>
      <c r="H57" s="12" t="s">
        <v>73</v>
      </c>
      <c r="I57" s="14" t="s">
        <v>109</v>
      </c>
      <c r="J57" s="13">
        <v>-2398787.67</v>
      </c>
      <c r="K57" s="6" t="str">
        <f>+IFERROR(VLOOKUP(I57,'Legal Name'!$A$1:$I$2913,1,0),"N")</f>
        <v>N</v>
      </c>
    </row>
    <row r="58" spans="1:11" x14ac:dyDescent="0.35">
      <c r="B58" t="str">
        <f t="shared" si="0"/>
        <v>C</v>
      </c>
      <c r="C58" s="2" t="s">
        <v>115</v>
      </c>
      <c r="D58" s="11" t="s">
        <v>72</v>
      </c>
      <c r="E58" s="12" t="s">
        <v>69</v>
      </c>
      <c r="F58" s="13">
        <v>25531045.75</v>
      </c>
      <c r="G58" s="14">
        <v>45141</v>
      </c>
      <c r="H58" s="12" t="s">
        <v>73</v>
      </c>
      <c r="I58" s="14" t="s">
        <v>109</v>
      </c>
      <c r="J58" s="13">
        <v>-8014952.0599999996</v>
      </c>
      <c r="K58" s="6" t="str">
        <f>+IFERROR(VLOOKUP(I58,'Legal Name'!$A$1:$I$2913,1,0),"N")</f>
        <v>N</v>
      </c>
    </row>
    <row r="59" spans="1:11" x14ac:dyDescent="0.35">
      <c r="B59" t="str">
        <f t="shared" si="0"/>
        <v>C</v>
      </c>
      <c r="C59" s="2" t="s">
        <v>116</v>
      </c>
      <c r="D59" s="11" t="s">
        <v>72</v>
      </c>
      <c r="E59" s="12" t="s">
        <v>69</v>
      </c>
      <c r="F59" s="13">
        <v>6382761.4400000004</v>
      </c>
      <c r="G59" s="14">
        <v>45141</v>
      </c>
      <c r="H59" s="12" t="s">
        <v>73</v>
      </c>
      <c r="I59" s="14" t="s">
        <v>109</v>
      </c>
      <c r="J59" s="13">
        <v>-1998989.75</v>
      </c>
      <c r="K59" s="6" t="str">
        <f>+IFERROR(VLOOKUP(I59,'Legal Name'!$A$1:$I$2913,1,0),"N")</f>
        <v>N</v>
      </c>
    </row>
    <row r="60" spans="1:11" x14ac:dyDescent="0.35">
      <c r="B60" t="str">
        <f t="shared" si="0"/>
        <v>C</v>
      </c>
      <c r="C60" s="2" t="s">
        <v>117</v>
      </c>
      <c r="D60" s="11" t="s">
        <v>72</v>
      </c>
      <c r="E60" s="12" t="s">
        <v>69</v>
      </c>
      <c r="F60" s="13">
        <v>25531045.75</v>
      </c>
      <c r="G60" s="14">
        <v>45141</v>
      </c>
      <c r="H60" s="12" t="s">
        <v>73</v>
      </c>
      <c r="I60" s="14" t="s">
        <v>109</v>
      </c>
      <c r="J60" s="13">
        <v>-7995958.9500000002</v>
      </c>
      <c r="K60" s="6" t="str">
        <f>+IFERROR(VLOOKUP(I60,'Legal Name'!$A$1:$I$2913,1,0),"N")</f>
        <v>N</v>
      </c>
    </row>
    <row r="61" spans="1:11" x14ac:dyDescent="0.35">
      <c r="B61" t="str">
        <f t="shared" si="0"/>
        <v>C</v>
      </c>
      <c r="C61" s="2" t="s">
        <v>118</v>
      </c>
      <c r="D61" s="11" t="s">
        <v>72</v>
      </c>
      <c r="E61" s="12" t="s">
        <v>69</v>
      </c>
      <c r="F61" s="13">
        <v>25531045.75</v>
      </c>
      <c r="G61" s="14">
        <v>45141</v>
      </c>
      <c r="H61" s="12" t="s">
        <v>73</v>
      </c>
      <c r="I61" s="14" t="s">
        <v>109</v>
      </c>
      <c r="J61" s="13">
        <v>-8014952.0599999996</v>
      </c>
      <c r="K61" s="6" t="str">
        <f>+IFERROR(VLOOKUP(I61,'Legal Name'!$A$1:$I$2913,1,0),"N")</f>
        <v>N</v>
      </c>
    </row>
    <row r="62" spans="1:11" x14ac:dyDescent="0.35">
      <c r="B62" t="str">
        <f t="shared" si="0"/>
        <v>C</v>
      </c>
      <c r="C62" s="2" t="s">
        <v>119</v>
      </c>
      <c r="D62" s="11" t="s">
        <v>72</v>
      </c>
      <c r="E62" s="12" t="s">
        <v>69</v>
      </c>
      <c r="F62" s="13">
        <v>25868536.100000001</v>
      </c>
      <c r="G62" s="14">
        <v>45078</v>
      </c>
      <c r="H62" s="12" t="s">
        <v>73</v>
      </c>
      <c r="I62" s="14" t="s">
        <v>109</v>
      </c>
      <c r="J62" s="13">
        <v>-6195841</v>
      </c>
      <c r="K62" s="6" t="str">
        <f>+IFERROR(VLOOKUP(I62,'Legal Name'!$A$1:$I$2913,1,0),"N")</f>
        <v>N</v>
      </c>
    </row>
    <row r="63" spans="1:11" x14ac:dyDescent="0.35">
      <c r="B63" t="str">
        <f t="shared" si="0"/>
        <v>C</v>
      </c>
      <c r="C63" s="2" t="s">
        <v>120</v>
      </c>
      <c r="D63" s="11" t="s">
        <v>72</v>
      </c>
      <c r="E63" s="12" t="s">
        <v>69</v>
      </c>
      <c r="F63" s="13">
        <v>19892904.260000002</v>
      </c>
      <c r="G63" s="14">
        <v>45078</v>
      </c>
      <c r="H63" s="12" t="s">
        <v>73</v>
      </c>
      <c r="I63" s="14" t="s">
        <v>109</v>
      </c>
      <c r="J63" s="13">
        <v>-4759070.79</v>
      </c>
      <c r="K63" s="6" t="str">
        <f>+IFERROR(VLOOKUP(I63,'Legal Name'!$A$1:$I$2913,1,0),"N")</f>
        <v>N</v>
      </c>
    </row>
    <row r="64" spans="1:11" x14ac:dyDescent="0.35">
      <c r="B64" t="str">
        <f t="shared" si="0"/>
        <v>C</v>
      </c>
      <c r="C64" s="2" t="s">
        <v>121</v>
      </c>
      <c r="D64" s="11" t="s">
        <v>72</v>
      </c>
      <c r="E64" s="12" t="s">
        <v>69</v>
      </c>
      <c r="F64" s="13">
        <v>36164213.469999999</v>
      </c>
      <c r="G64" s="14">
        <v>45078</v>
      </c>
      <c r="H64" s="12" t="s">
        <v>73</v>
      </c>
      <c r="I64" s="14" t="s">
        <v>109</v>
      </c>
      <c r="J64" s="13">
        <v>-8671840.8000000007</v>
      </c>
      <c r="K64" s="6" t="str">
        <f>+IFERROR(VLOOKUP(I64,'Legal Name'!$A$1:$I$2913,1,0),"N")</f>
        <v>N</v>
      </c>
    </row>
    <row r="65" spans="2:11" x14ac:dyDescent="0.35">
      <c r="B65" t="str">
        <f t="shared" si="0"/>
        <v>C</v>
      </c>
      <c r="C65" s="2" t="s">
        <v>122</v>
      </c>
      <c r="D65" s="11" t="s">
        <v>72</v>
      </c>
      <c r="E65" s="12" t="s">
        <v>69</v>
      </c>
      <c r="F65" s="13">
        <v>69749438.75</v>
      </c>
      <c r="G65" s="14">
        <v>45079</v>
      </c>
      <c r="H65" s="12" t="s">
        <v>73</v>
      </c>
      <c r="I65" s="14" t="s">
        <v>109</v>
      </c>
      <c r="J65" s="13">
        <v>-17673853.809999999</v>
      </c>
      <c r="K65" s="6" t="str">
        <f>+IFERROR(VLOOKUP(I65,'Legal Name'!$A$1:$I$2913,1,0),"N")</f>
        <v>N</v>
      </c>
    </row>
    <row r="66" spans="2:11" x14ac:dyDescent="0.35">
      <c r="B66" t="str">
        <f t="shared" si="0"/>
        <v>C</v>
      </c>
      <c r="C66" s="2" t="s">
        <v>123</v>
      </c>
      <c r="D66" s="11" t="s">
        <v>72</v>
      </c>
      <c r="E66" s="12" t="s">
        <v>69</v>
      </c>
      <c r="F66" s="13">
        <v>27714337.039999999</v>
      </c>
      <c r="G66" s="14">
        <v>45175</v>
      </c>
      <c r="H66" s="12" t="s">
        <v>73</v>
      </c>
      <c r="I66" s="14" t="s">
        <v>109</v>
      </c>
      <c r="J66" s="13">
        <v>-7635159.6100000003</v>
      </c>
      <c r="K66" s="6" t="str">
        <f>+IFERROR(VLOOKUP(I66,'Legal Name'!$A$1:$I$2913,1,0),"N")</f>
        <v>N</v>
      </c>
    </row>
    <row r="67" spans="2:11" x14ac:dyDescent="0.35">
      <c r="B67" t="str">
        <f t="shared" ref="B67:B130" si="1">+MID(C67,5,1)</f>
        <v>C</v>
      </c>
      <c r="C67" s="2" t="s">
        <v>124</v>
      </c>
      <c r="D67" s="11" t="s">
        <v>72</v>
      </c>
      <c r="E67" s="12" t="s">
        <v>69</v>
      </c>
      <c r="F67" s="13">
        <v>25781834.120000001</v>
      </c>
      <c r="G67" s="14">
        <v>45086</v>
      </c>
      <c r="H67" s="12" t="s">
        <v>73</v>
      </c>
      <c r="I67" s="14" t="s">
        <v>109</v>
      </c>
      <c r="J67" s="13">
        <v>-6345512.1699999999</v>
      </c>
      <c r="K67" s="6" t="str">
        <f>+IFERROR(VLOOKUP(I67,'Legal Name'!$A$1:$I$2913,1,0),"N")</f>
        <v>N</v>
      </c>
    </row>
    <row r="68" spans="2:11" x14ac:dyDescent="0.35">
      <c r="B68" t="str">
        <f t="shared" si="1"/>
        <v>C</v>
      </c>
      <c r="C68" s="2" t="s">
        <v>125</v>
      </c>
      <c r="D68" s="11" t="s">
        <v>72</v>
      </c>
      <c r="E68" s="12" t="s">
        <v>69</v>
      </c>
      <c r="F68" s="13">
        <v>25781834.120000001</v>
      </c>
      <c r="G68" s="14">
        <v>45086</v>
      </c>
      <c r="H68" s="12" t="s">
        <v>73</v>
      </c>
      <c r="I68" s="14" t="s">
        <v>109</v>
      </c>
      <c r="J68" s="13">
        <v>-6352669.9800000004</v>
      </c>
      <c r="K68" s="6" t="str">
        <f>+IFERROR(VLOOKUP(I68,'Legal Name'!$A$1:$I$2913,1,0),"N")</f>
        <v>N</v>
      </c>
    </row>
    <row r="69" spans="2:11" x14ac:dyDescent="0.35">
      <c r="B69" t="str">
        <f t="shared" si="1"/>
        <v>C</v>
      </c>
      <c r="C69" s="2" t="s">
        <v>126</v>
      </c>
      <c r="D69" s="11" t="s">
        <v>72</v>
      </c>
      <c r="E69" s="12" t="s">
        <v>69</v>
      </c>
      <c r="F69" s="13">
        <v>6333764.0300000003</v>
      </c>
      <c r="G69" s="14">
        <v>45104</v>
      </c>
      <c r="H69" s="12" t="s">
        <v>73</v>
      </c>
      <c r="I69" s="14" t="s">
        <v>109</v>
      </c>
      <c r="J69" s="13">
        <v>-1999795.35</v>
      </c>
      <c r="K69" s="6" t="str">
        <f>+IFERROR(VLOOKUP(I69,'Legal Name'!$A$1:$I$2913,1,0),"N")</f>
        <v>N</v>
      </c>
    </row>
    <row r="70" spans="2:11" x14ac:dyDescent="0.35">
      <c r="B70" t="str">
        <f t="shared" si="1"/>
        <v>C</v>
      </c>
      <c r="C70" s="2" t="s">
        <v>127</v>
      </c>
      <c r="D70" s="11" t="s">
        <v>72</v>
      </c>
      <c r="E70" s="12" t="s">
        <v>69</v>
      </c>
      <c r="F70" s="13">
        <v>12667528.060000001</v>
      </c>
      <c r="G70" s="14">
        <v>45104</v>
      </c>
      <c r="H70" s="12" t="s">
        <v>73</v>
      </c>
      <c r="I70" s="14" t="s">
        <v>109</v>
      </c>
      <c r="J70" s="13">
        <v>-4010117.29</v>
      </c>
      <c r="K70" s="6" t="str">
        <f>+IFERROR(VLOOKUP(I70,'Legal Name'!$A$1:$I$2913,1,0),"N")</f>
        <v>N</v>
      </c>
    </row>
    <row r="71" spans="2:11" x14ac:dyDescent="0.35">
      <c r="B71" t="str">
        <f t="shared" si="1"/>
        <v>C</v>
      </c>
      <c r="C71" s="2" t="s">
        <v>128</v>
      </c>
      <c r="D71" s="11" t="s">
        <v>72</v>
      </c>
      <c r="E71" s="12" t="s">
        <v>69</v>
      </c>
      <c r="F71" s="13">
        <v>12667528.060000001</v>
      </c>
      <c r="G71" s="14">
        <v>45104</v>
      </c>
      <c r="H71" s="12" t="s">
        <v>73</v>
      </c>
      <c r="I71" s="14" t="s">
        <v>109</v>
      </c>
      <c r="J71" s="13">
        <v>-3992573.44</v>
      </c>
      <c r="K71" s="6" t="str">
        <f>+IFERROR(VLOOKUP(I71,'Legal Name'!$A$1:$I$2913,1,0),"N")</f>
        <v>N</v>
      </c>
    </row>
    <row r="72" spans="2:11" x14ac:dyDescent="0.35">
      <c r="B72" t="str">
        <f t="shared" si="1"/>
        <v>C</v>
      </c>
      <c r="C72" s="2" t="s">
        <v>129</v>
      </c>
      <c r="D72" s="11" t="s">
        <v>72</v>
      </c>
      <c r="E72" s="12" t="s">
        <v>69</v>
      </c>
      <c r="F72" s="13">
        <v>12667528.060000001</v>
      </c>
      <c r="G72" s="14">
        <v>45104</v>
      </c>
      <c r="H72" s="12" t="s">
        <v>73</v>
      </c>
      <c r="I72" s="14" t="s">
        <v>109</v>
      </c>
      <c r="J72" s="13">
        <v>-3922418.46</v>
      </c>
      <c r="K72" s="6" t="str">
        <f>+IFERROR(VLOOKUP(I72,'Legal Name'!$A$1:$I$2913,1,0),"N")</f>
        <v>N</v>
      </c>
    </row>
    <row r="73" spans="2:11" x14ac:dyDescent="0.35">
      <c r="B73" t="str">
        <f t="shared" si="1"/>
        <v>C</v>
      </c>
      <c r="C73" s="2" t="s">
        <v>130</v>
      </c>
      <c r="D73" s="11" t="s">
        <v>72</v>
      </c>
      <c r="E73" s="12" t="s">
        <v>69</v>
      </c>
      <c r="F73" s="13">
        <v>5976045.1699999999</v>
      </c>
      <c r="G73" s="14">
        <v>45105</v>
      </c>
      <c r="H73" s="12" t="s">
        <v>73</v>
      </c>
      <c r="I73" s="14" t="s">
        <v>109</v>
      </c>
      <c r="J73" s="13">
        <v>-1861151.1</v>
      </c>
      <c r="K73" s="6" t="str">
        <f>+IFERROR(VLOOKUP(I73,'Legal Name'!$A$1:$I$2913,1,0),"N")</f>
        <v>N</v>
      </c>
    </row>
    <row r="74" spans="2:11" x14ac:dyDescent="0.35">
      <c r="B74" t="str">
        <f t="shared" si="1"/>
        <v>C</v>
      </c>
      <c r="C74" s="2" t="s">
        <v>131</v>
      </c>
      <c r="D74" s="11" t="s">
        <v>72</v>
      </c>
      <c r="E74" s="12" t="s">
        <v>69</v>
      </c>
      <c r="F74" s="13">
        <v>37983337.979999997</v>
      </c>
      <c r="G74" s="14">
        <v>45013</v>
      </c>
      <c r="H74" s="12" t="s">
        <v>73</v>
      </c>
      <c r="I74" s="14" t="s">
        <v>109</v>
      </c>
      <c r="J74" s="13">
        <v>-9455315.9499999993</v>
      </c>
      <c r="K74" s="6" t="str">
        <f>+IFERROR(VLOOKUP(I74,'Legal Name'!$A$1:$I$2913,1,0),"N")</f>
        <v>N</v>
      </c>
    </row>
    <row r="75" spans="2:11" x14ac:dyDescent="0.35">
      <c r="B75" t="str">
        <f t="shared" si="1"/>
        <v>C</v>
      </c>
      <c r="C75" s="2" t="s">
        <v>132</v>
      </c>
      <c r="D75" s="11" t="s">
        <v>72</v>
      </c>
      <c r="E75" s="12" t="s">
        <v>69</v>
      </c>
      <c r="F75" s="13">
        <v>37983337.979999997</v>
      </c>
      <c r="G75" s="14">
        <v>45013</v>
      </c>
      <c r="H75" s="12" t="s">
        <v>73</v>
      </c>
      <c r="I75" s="14" t="s">
        <v>109</v>
      </c>
      <c r="J75" s="13">
        <v>-9419951.3900000006</v>
      </c>
      <c r="K75" s="6" t="str">
        <f>+IFERROR(VLOOKUP(I75,'Legal Name'!$A$1:$I$2913,1,0),"N")</f>
        <v>N</v>
      </c>
    </row>
    <row r="76" spans="2:11" x14ac:dyDescent="0.35">
      <c r="B76" t="str">
        <f t="shared" si="1"/>
        <v>C</v>
      </c>
      <c r="C76" s="2" t="s">
        <v>133</v>
      </c>
      <c r="D76" s="11" t="s">
        <v>72</v>
      </c>
      <c r="E76" s="12" t="s">
        <v>69</v>
      </c>
      <c r="F76" s="13">
        <v>25173698.52</v>
      </c>
      <c r="G76" s="14">
        <v>45107</v>
      </c>
      <c r="H76" s="12" t="s">
        <v>73</v>
      </c>
      <c r="I76" s="14" t="s">
        <v>109</v>
      </c>
      <c r="J76" s="13">
        <v>-8549380.75</v>
      </c>
      <c r="K76" s="6" t="str">
        <f>+IFERROR(VLOOKUP(I76,'Legal Name'!$A$1:$I$2913,1,0),"N")</f>
        <v>N</v>
      </c>
    </row>
    <row r="77" spans="2:11" x14ac:dyDescent="0.35">
      <c r="B77" t="str">
        <f t="shared" si="1"/>
        <v>C</v>
      </c>
      <c r="C77" s="2" t="s">
        <v>134</v>
      </c>
      <c r="D77" s="11" t="s">
        <v>72</v>
      </c>
      <c r="E77" s="12" t="s">
        <v>69</v>
      </c>
      <c r="F77" s="13">
        <v>17420199.379999999</v>
      </c>
      <c r="G77" s="14">
        <v>45107</v>
      </c>
      <c r="H77" s="12" t="s">
        <v>73</v>
      </c>
      <c r="I77" s="14" t="s">
        <v>109</v>
      </c>
      <c r="J77" s="13">
        <v>-5848414.8200000003</v>
      </c>
      <c r="K77" s="6" t="str">
        <f>+IFERROR(VLOOKUP(I77,'Legal Name'!$A$1:$I$2913,1,0),"N")</f>
        <v>N</v>
      </c>
    </row>
    <row r="78" spans="2:11" x14ac:dyDescent="0.35">
      <c r="B78" t="str">
        <f t="shared" si="1"/>
        <v>C</v>
      </c>
      <c r="C78" s="2" t="s">
        <v>135</v>
      </c>
      <c r="D78" s="11" t="s">
        <v>72</v>
      </c>
      <c r="E78" s="12" t="s">
        <v>69</v>
      </c>
      <c r="F78" s="13">
        <v>7528608.71</v>
      </c>
      <c r="G78" s="14">
        <v>45015</v>
      </c>
      <c r="H78" s="12" t="s">
        <v>73</v>
      </c>
      <c r="I78" s="14" t="s">
        <v>109</v>
      </c>
      <c r="J78" s="13">
        <v>-2076795.29</v>
      </c>
      <c r="K78" s="6" t="str">
        <f>+IFERROR(VLOOKUP(I78,'Legal Name'!$A$1:$I$2913,1,0),"N")</f>
        <v>N</v>
      </c>
    </row>
    <row r="79" spans="2:11" x14ac:dyDescent="0.35">
      <c r="B79" t="str">
        <f t="shared" si="1"/>
        <v>C</v>
      </c>
      <c r="C79" s="2" t="s">
        <v>136</v>
      </c>
      <c r="D79" s="11" t="s">
        <v>72</v>
      </c>
      <c r="E79" s="12" t="s">
        <v>69</v>
      </c>
      <c r="F79" s="13">
        <v>5019072.4800000004</v>
      </c>
      <c r="G79" s="14">
        <v>45015</v>
      </c>
      <c r="H79" s="12" t="s">
        <v>73</v>
      </c>
      <c r="I79" s="14" t="s">
        <v>109</v>
      </c>
      <c r="J79" s="13">
        <v>-1379869.53</v>
      </c>
      <c r="K79" s="6" t="str">
        <f>+IFERROR(VLOOKUP(I79,'Legal Name'!$A$1:$I$2913,1,0),"N")</f>
        <v>N</v>
      </c>
    </row>
    <row r="80" spans="2:11" x14ac:dyDescent="0.35">
      <c r="B80" t="str">
        <f t="shared" si="1"/>
        <v>C</v>
      </c>
      <c r="C80" s="2" t="s">
        <v>137</v>
      </c>
      <c r="D80" s="11" t="s">
        <v>72</v>
      </c>
      <c r="E80" s="12" t="s">
        <v>69</v>
      </c>
      <c r="F80" s="13">
        <v>25095362.379999999</v>
      </c>
      <c r="G80" s="14">
        <v>45015</v>
      </c>
      <c r="H80" s="12" t="s">
        <v>73</v>
      </c>
      <c r="I80" s="14" t="s">
        <v>109</v>
      </c>
      <c r="J80" s="13">
        <v>-6945959.6500000004</v>
      </c>
      <c r="K80" s="6" t="str">
        <f>+IFERROR(VLOOKUP(I80,'Legal Name'!$A$1:$I$2913,1,0),"N")</f>
        <v>N</v>
      </c>
    </row>
    <row r="81" spans="2:11" x14ac:dyDescent="0.35">
      <c r="B81" t="str">
        <f t="shared" si="1"/>
        <v>C</v>
      </c>
      <c r="C81" s="2" t="s">
        <v>138</v>
      </c>
      <c r="D81" s="11" t="s">
        <v>72</v>
      </c>
      <c r="E81" s="12" t="s">
        <v>69</v>
      </c>
      <c r="F81" s="13">
        <v>18244328.449999999</v>
      </c>
      <c r="G81" s="14">
        <v>45015</v>
      </c>
      <c r="H81" s="12" t="s">
        <v>73</v>
      </c>
      <c r="I81" s="14" t="s">
        <v>109</v>
      </c>
      <c r="J81" s="13">
        <v>-5053102.24</v>
      </c>
      <c r="K81" s="6" t="str">
        <f>+IFERROR(VLOOKUP(I81,'Legal Name'!$A$1:$I$2913,1,0),"N")</f>
        <v>N</v>
      </c>
    </row>
    <row r="82" spans="2:11" x14ac:dyDescent="0.35">
      <c r="B82" t="str">
        <f t="shared" si="1"/>
        <v>C</v>
      </c>
      <c r="C82" s="2" t="s">
        <v>139</v>
      </c>
      <c r="D82" s="11" t="s">
        <v>72</v>
      </c>
      <c r="E82" s="12" t="s">
        <v>69</v>
      </c>
      <c r="F82" s="13">
        <v>25095362.379999999</v>
      </c>
      <c r="G82" s="14">
        <v>45015</v>
      </c>
      <c r="H82" s="12" t="s">
        <v>73</v>
      </c>
      <c r="I82" s="14" t="s">
        <v>109</v>
      </c>
      <c r="J82" s="13">
        <v>-6950622.0899999999</v>
      </c>
      <c r="K82" s="6" t="str">
        <f>+IFERROR(VLOOKUP(I82,'Legal Name'!$A$1:$I$2913,1,0),"N")</f>
        <v>N</v>
      </c>
    </row>
    <row r="83" spans="2:11" x14ac:dyDescent="0.35">
      <c r="B83" t="str">
        <f t="shared" si="1"/>
        <v>C</v>
      </c>
      <c r="C83" s="2" t="s">
        <v>140</v>
      </c>
      <c r="D83" s="11" t="s">
        <v>72</v>
      </c>
      <c r="E83" s="12" t="s">
        <v>69</v>
      </c>
      <c r="F83" s="13">
        <v>38019474</v>
      </c>
      <c r="G83" s="14">
        <v>45015</v>
      </c>
      <c r="H83" s="12" t="s">
        <v>73</v>
      </c>
      <c r="I83" s="14" t="s">
        <v>109</v>
      </c>
      <c r="J83" s="13">
        <v>-10593779.800000001</v>
      </c>
      <c r="K83" s="6" t="str">
        <f>+IFERROR(VLOOKUP(I83,'Legal Name'!$A$1:$I$2913,1,0),"N")</f>
        <v>N</v>
      </c>
    </row>
    <row r="84" spans="2:11" x14ac:dyDescent="0.35">
      <c r="B84" t="str">
        <f t="shared" si="1"/>
        <v>C</v>
      </c>
      <c r="C84" s="2" t="s">
        <v>141</v>
      </c>
      <c r="D84" s="11" t="s">
        <v>72</v>
      </c>
      <c r="E84" s="12" t="s">
        <v>69</v>
      </c>
      <c r="F84" s="13">
        <v>6811301.7199999997</v>
      </c>
      <c r="G84" s="14">
        <v>45019</v>
      </c>
      <c r="H84" s="12" t="s">
        <v>73</v>
      </c>
      <c r="I84" s="14" t="s">
        <v>109</v>
      </c>
      <c r="J84" s="13">
        <v>-1789028.01</v>
      </c>
      <c r="K84" s="6" t="str">
        <f>+IFERROR(VLOOKUP(I84,'Legal Name'!$A$1:$I$2913,1,0),"N")</f>
        <v>N</v>
      </c>
    </row>
    <row r="85" spans="2:11" x14ac:dyDescent="0.35">
      <c r="B85" t="str">
        <f t="shared" si="1"/>
        <v>C</v>
      </c>
      <c r="C85" s="2" t="s">
        <v>142</v>
      </c>
      <c r="D85" s="11" t="s">
        <v>72</v>
      </c>
      <c r="E85" s="12" t="s">
        <v>69</v>
      </c>
      <c r="F85" s="13">
        <v>25227043.390000001</v>
      </c>
      <c r="G85" s="14">
        <v>45019</v>
      </c>
      <c r="H85" s="12" t="s">
        <v>73</v>
      </c>
      <c r="I85" s="14" t="s">
        <v>109</v>
      </c>
      <c r="J85" s="13">
        <v>-6696596.8099999996</v>
      </c>
      <c r="K85" s="6" t="str">
        <f>+IFERROR(VLOOKUP(I85,'Legal Name'!$A$1:$I$2913,1,0),"N")</f>
        <v>N</v>
      </c>
    </row>
    <row r="86" spans="2:11" x14ac:dyDescent="0.35">
      <c r="B86" t="str">
        <f t="shared" si="1"/>
        <v>C</v>
      </c>
      <c r="C86" s="2" t="s">
        <v>143</v>
      </c>
      <c r="D86" s="11" t="s">
        <v>72</v>
      </c>
      <c r="E86" s="12" t="s">
        <v>69</v>
      </c>
      <c r="F86" s="13">
        <v>25221953.190000001</v>
      </c>
      <c r="G86" s="14">
        <v>45021</v>
      </c>
      <c r="H86" s="12" t="s">
        <v>73</v>
      </c>
      <c r="I86" s="14" t="s">
        <v>109</v>
      </c>
      <c r="J86" s="13">
        <v>-6628610.3300000001</v>
      </c>
      <c r="K86" s="6" t="str">
        <f>+IFERROR(VLOOKUP(I86,'Legal Name'!$A$1:$I$2913,1,0),"N")</f>
        <v>N</v>
      </c>
    </row>
    <row r="87" spans="2:11" x14ac:dyDescent="0.35">
      <c r="B87" t="str">
        <f t="shared" si="1"/>
        <v>C</v>
      </c>
      <c r="C87" s="2" t="s">
        <v>144</v>
      </c>
      <c r="D87" s="11" t="s">
        <v>72</v>
      </c>
      <c r="E87" s="12" t="s">
        <v>69</v>
      </c>
      <c r="F87" s="13">
        <v>25106073.16</v>
      </c>
      <c r="G87" s="14">
        <v>45020</v>
      </c>
      <c r="H87" s="12" t="s">
        <v>73</v>
      </c>
      <c r="I87" s="14" t="s">
        <v>109</v>
      </c>
      <c r="J87" s="13">
        <v>-7096406.4800000004</v>
      </c>
      <c r="K87" s="6" t="str">
        <f>+IFERROR(VLOOKUP(I87,'Legal Name'!$A$1:$I$2913,1,0),"N")</f>
        <v>N</v>
      </c>
    </row>
    <row r="88" spans="2:11" x14ac:dyDescent="0.35">
      <c r="B88" t="str">
        <f t="shared" si="1"/>
        <v>C</v>
      </c>
      <c r="C88" s="2" t="s">
        <v>145</v>
      </c>
      <c r="D88" s="11" t="s">
        <v>72</v>
      </c>
      <c r="E88" s="12" t="s">
        <v>69</v>
      </c>
      <c r="F88" s="13">
        <v>25106073.16</v>
      </c>
      <c r="G88" s="14">
        <v>45020</v>
      </c>
      <c r="H88" s="12" t="s">
        <v>73</v>
      </c>
      <c r="I88" s="14" t="s">
        <v>109</v>
      </c>
      <c r="J88" s="13">
        <v>-7073265.5899999999</v>
      </c>
      <c r="K88" s="6" t="str">
        <f>+IFERROR(VLOOKUP(I88,'Legal Name'!$A$1:$I$2913,1,0),"N")</f>
        <v>N</v>
      </c>
    </row>
    <row r="89" spans="2:11" x14ac:dyDescent="0.35">
      <c r="B89" t="str">
        <f t="shared" si="1"/>
        <v>C</v>
      </c>
      <c r="C89" s="2" t="s">
        <v>146</v>
      </c>
      <c r="D89" s="11" t="s">
        <v>72</v>
      </c>
      <c r="E89" s="12" t="s">
        <v>69</v>
      </c>
      <c r="F89" s="13">
        <v>5021214.63</v>
      </c>
      <c r="G89" s="14">
        <v>45020</v>
      </c>
      <c r="H89" s="12" t="s">
        <v>73</v>
      </c>
      <c r="I89" s="14" t="s">
        <v>109</v>
      </c>
      <c r="J89" s="13">
        <v>-1413727.65</v>
      </c>
      <c r="K89" s="6" t="str">
        <f>+IFERROR(VLOOKUP(I89,'Legal Name'!$A$1:$I$2913,1,0),"N")</f>
        <v>N</v>
      </c>
    </row>
    <row r="90" spans="2:11" x14ac:dyDescent="0.35">
      <c r="B90" t="str">
        <f t="shared" si="1"/>
        <v>C</v>
      </c>
      <c r="C90" s="2" t="s">
        <v>147</v>
      </c>
      <c r="D90" s="11" t="s">
        <v>72</v>
      </c>
      <c r="E90" s="12" t="s">
        <v>69</v>
      </c>
      <c r="F90" s="13">
        <v>25183207.84</v>
      </c>
      <c r="G90" s="14">
        <v>45027</v>
      </c>
      <c r="H90" s="12" t="s">
        <v>73</v>
      </c>
      <c r="I90" s="14" t="s">
        <v>109</v>
      </c>
      <c r="J90" s="13">
        <v>-6566896.2400000002</v>
      </c>
      <c r="K90" s="6" t="str">
        <f>+IFERROR(VLOOKUP(I90,'Legal Name'!$A$1:$I$2913,1,0),"N")</f>
        <v>N</v>
      </c>
    </row>
    <row r="91" spans="2:11" x14ac:dyDescent="0.35">
      <c r="B91" t="str">
        <f t="shared" si="1"/>
        <v>C</v>
      </c>
      <c r="C91" s="2" t="s">
        <v>148</v>
      </c>
      <c r="D91" s="11" t="s">
        <v>72</v>
      </c>
      <c r="E91" s="12" t="s">
        <v>69</v>
      </c>
      <c r="F91" s="13">
        <v>25183207.84</v>
      </c>
      <c r="G91" s="14">
        <v>45027</v>
      </c>
      <c r="H91" s="12" t="s">
        <v>73</v>
      </c>
      <c r="I91" s="14" t="s">
        <v>109</v>
      </c>
      <c r="J91" s="13">
        <v>-6562190.79</v>
      </c>
      <c r="K91" s="6" t="str">
        <f>+IFERROR(VLOOKUP(I91,'Legal Name'!$A$1:$I$2913,1,0),"N")</f>
        <v>N</v>
      </c>
    </row>
    <row r="92" spans="2:11" x14ac:dyDescent="0.35">
      <c r="B92" t="str">
        <f t="shared" si="1"/>
        <v>C</v>
      </c>
      <c r="C92" s="2" t="s">
        <v>149</v>
      </c>
      <c r="D92" s="11" t="s">
        <v>72</v>
      </c>
      <c r="E92" s="12" t="s">
        <v>69</v>
      </c>
      <c r="F92" s="13">
        <v>25183207.84</v>
      </c>
      <c r="G92" s="14">
        <v>45027</v>
      </c>
      <c r="H92" s="12" t="s">
        <v>73</v>
      </c>
      <c r="I92" s="14" t="s">
        <v>109</v>
      </c>
      <c r="J92" s="13">
        <v>-6557485.5999999996</v>
      </c>
      <c r="K92" s="6" t="str">
        <f>+IFERROR(VLOOKUP(I92,'Legal Name'!$A$1:$I$2913,1,0),"N")</f>
        <v>N</v>
      </c>
    </row>
    <row r="93" spans="2:11" x14ac:dyDescent="0.35">
      <c r="B93" t="str">
        <f t="shared" si="1"/>
        <v>C</v>
      </c>
      <c r="C93" s="2" t="s">
        <v>150</v>
      </c>
      <c r="D93" s="11" t="s">
        <v>72</v>
      </c>
      <c r="E93" s="12" t="s">
        <v>69</v>
      </c>
      <c r="F93" s="13">
        <v>2518320.7799999998</v>
      </c>
      <c r="G93" s="14">
        <v>45027</v>
      </c>
      <c r="H93" s="12" t="s">
        <v>73</v>
      </c>
      <c r="I93" s="14" t="s">
        <v>109</v>
      </c>
      <c r="J93" s="13">
        <v>-656219.06999999995</v>
      </c>
      <c r="K93" s="6" t="str">
        <f>+IFERROR(VLOOKUP(I93,'Legal Name'!$A$1:$I$2913,1,0),"N")</f>
        <v>N</v>
      </c>
    </row>
    <row r="94" spans="2:11" x14ac:dyDescent="0.35">
      <c r="B94" t="str">
        <f t="shared" si="1"/>
        <v>C</v>
      </c>
      <c r="C94" s="2" t="s">
        <v>151</v>
      </c>
      <c r="D94" s="11" t="s">
        <v>72</v>
      </c>
      <c r="E94" s="12" t="s">
        <v>69</v>
      </c>
      <c r="F94" s="13">
        <v>12591603.92</v>
      </c>
      <c r="G94" s="14">
        <v>45027</v>
      </c>
      <c r="H94" s="12" t="s">
        <v>73</v>
      </c>
      <c r="I94" s="14" t="s">
        <v>109</v>
      </c>
      <c r="J94" s="13">
        <v>-3321106.81</v>
      </c>
      <c r="K94" s="6" t="str">
        <f>+IFERROR(VLOOKUP(I94,'Legal Name'!$A$1:$I$2913,1,0),"N")</f>
        <v>N</v>
      </c>
    </row>
    <row r="95" spans="2:11" x14ac:dyDescent="0.35">
      <c r="B95" t="str">
        <f t="shared" si="1"/>
        <v>C</v>
      </c>
      <c r="C95" s="2" t="s">
        <v>152</v>
      </c>
      <c r="D95" s="11" t="s">
        <v>72</v>
      </c>
      <c r="E95" s="12" t="s">
        <v>69</v>
      </c>
      <c r="F95" s="13">
        <v>12591603.92</v>
      </c>
      <c r="G95" s="14">
        <v>45027</v>
      </c>
      <c r="H95" s="12" t="s">
        <v>73</v>
      </c>
      <c r="I95" s="14" t="s">
        <v>109</v>
      </c>
      <c r="J95" s="13">
        <v>-3311689.46</v>
      </c>
      <c r="K95" s="6" t="str">
        <f>+IFERROR(VLOOKUP(I95,'Legal Name'!$A$1:$I$2913,1,0),"N")</f>
        <v>N</v>
      </c>
    </row>
    <row r="96" spans="2:11" x14ac:dyDescent="0.35">
      <c r="B96" t="str">
        <f t="shared" si="1"/>
        <v>C</v>
      </c>
      <c r="C96" s="2" t="s">
        <v>153</v>
      </c>
      <c r="D96" s="11" t="s">
        <v>72</v>
      </c>
      <c r="E96" s="12" t="s">
        <v>69</v>
      </c>
      <c r="F96" s="13">
        <v>12591603.92</v>
      </c>
      <c r="G96" s="14">
        <v>45027</v>
      </c>
      <c r="H96" s="12" t="s">
        <v>73</v>
      </c>
      <c r="I96" s="14" t="s">
        <v>109</v>
      </c>
      <c r="J96" s="13">
        <v>-3302273.87</v>
      </c>
      <c r="K96" s="6" t="str">
        <f>+IFERROR(VLOOKUP(I96,'Legal Name'!$A$1:$I$2913,1,0),"N")</f>
        <v>N</v>
      </c>
    </row>
    <row r="97" spans="2:11" x14ac:dyDescent="0.35">
      <c r="B97" t="str">
        <f t="shared" si="1"/>
        <v>C</v>
      </c>
      <c r="C97" s="2" t="s">
        <v>154</v>
      </c>
      <c r="D97" s="11" t="s">
        <v>72</v>
      </c>
      <c r="E97" s="12" t="s">
        <v>69</v>
      </c>
      <c r="F97" s="13">
        <v>25058888.390000001</v>
      </c>
      <c r="G97" s="14">
        <v>44939</v>
      </c>
      <c r="H97" s="12" t="s">
        <v>73</v>
      </c>
      <c r="I97" s="14" t="s">
        <v>109</v>
      </c>
      <c r="J97" s="13">
        <v>-5531013.3200000003</v>
      </c>
      <c r="K97" s="6" t="str">
        <f>+IFERROR(VLOOKUP(I97,'Legal Name'!$A$1:$I$2913,1,0),"N")</f>
        <v>N</v>
      </c>
    </row>
    <row r="98" spans="2:11" x14ac:dyDescent="0.35">
      <c r="B98" t="str">
        <f t="shared" si="1"/>
        <v>C</v>
      </c>
      <c r="C98" s="2" t="s">
        <v>155</v>
      </c>
      <c r="D98" s="11" t="s">
        <v>72</v>
      </c>
      <c r="E98" s="12" t="s">
        <v>69</v>
      </c>
      <c r="F98" s="13">
        <v>25058888.390000001</v>
      </c>
      <c r="G98" s="14">
        <v>44939</v>
      </c>
      <c r="H98" s="12" t="s">
        <v>73</v>
      </c>
      <c r="I98" s="14" t="s">
        <v>109</v>
      </c>
      <c r="J98" s="13">
        <v>-5528667.3600000003</v>
      </c>
      <c r="K98" s="6" t="str">
        <f>+IFERROR(VLOOKUP(I98,'Legal Name'!$A$1:$I$2913,1,0),"N")</f>
        <v>N</v>
      </c>
    </row>
    <row r="99" spans="2:11" x14ac:dyDescent="0.35">
      <c r="B99" t="str">
        <f t="shared" si="1"/>
        <v>C</v>
      </c>
      <c r="C99" s="2" t="s">
        <v>156</v>
      </c>
      <c r="D99" s="11" t="s">
        <v>72</v>
      </c>
      <c r="E99" s="12" t="s">
        <v>69</v>
      </c>
      <c r="F99" s="13">
        <v>25058888.390000001</v>
      </c>
      <c r="G99" s="14">
        <v>44939</v>
      </c>
      <c r="H99" s="12" t="s">
        <v>73</v>
      </c>
      <c r="I99" s="14" t="s">
        <v>109</v>
      </c>
      <c r="J99" s="13">
        <v>-5528667.3600000003</v>
      </c>
      <c r="K99" s="6" t="str">
        <f>+IFERROR(VLOOKUP(I99,'Legal Name'!$A$1:$I$2913,1,0),"N")</f>
        <v>N</v>
      </c>
    </row>
    <row r="100" spans="2:11" x14ac:dyDescent="0.35">
      <c r="B100" t="str">
        <f t="shared" si="1"/>
        <v>C</v>
      </c>
      <c r="C100" s="2" t="s">
        <v>157</v>
      </c>
      <c r="D100" s="11" t="s">
        <v>72</v>
      </c>
      <c r="E100" s="12" t="s">
        <v>69</v>
      </c>
      <c r="F100" s="13">
        <v>46478908.619999997</v>
      </c>
      <c r="G100" s="14">
        <v>44943</v>
      </c>
      <c r="H100" s="12" t="s">
        <v>73</v>
      </c>
      <c r="I100" s="14" t="s">
        <v>109</v>
      </c>
      <c r="J100" s="13">
        <v>-9801758.5299999993</v>
      </c>
      <c r="K100" s="6" t="str">
        <f>+IFERROR(VLOOKUP(I100,'Legal Name'!$A$1:$I$2913,1,0),"N")</f>
        <v>N</v>
      </c>
    </row>
    <row r="101" spans="2:11" x14ac:dyDescent="0.35">
      <c r="B101" t="str">
        <f t="shared" si="1"/>
        <v>C</v>
      </c>
      <c r="C101" s="2" t="s">
        <v>158</v>
      </c>
      <c r="D101" s="11" t="s">
        <v>72</v>
      </c>
      <c r="E101" s="12" t="s">
        <v>69</v>
      </c>
      <c r="F101" s="13">
        <v>25154068.670000002</v>
      </c>
      <c r="G101" s="14">
        <v>45036</v>
      </c>
      <c r="H101" s="12" t="s">
        <v>73</v>
      </c>
      <c r="I101" s="14" t="s">
        <v>109</v>
      </c>
      <c r="J101" s="13">
        <v>-6466400.8099999996</v>
      </c>
      <c r="K101" s="6" t="str">
        <f>+IFERROR(VLOOKUP(I101,'Legal Name'!$A$1:$I$2913,1,0),"N")</f>
        <v>N</v>
      </c>
    </row>
    <row r="102" spans="2:11" x14ac:dyDescent="0.35">
      <c r="B102" t="str">
        <f t="shared" si="1"/>
        <v>C</v>
      </c>
      <c r="C102" s="2" t="s">
        <v>159</v>
      </c>
      <c r="D102" s="11" t="s">
        <v>72</v>
      </c>
      <c r="E102" s="12" t="s">
        <v>69</v>
      </c>
      <c r="F102" s="13">
        <v>25154068.670000002</v>
      </c>
      <c r="G102" s="14">
        <v>45036</v>
      </c>
      <c r="H102" s="12" t="s">
        <v>73</v>
      </c>
      <c r="I102" s="14" t="s">
        <v>109</v>
      </c>
      <c r="J102" s="13">
        <v>-6461690.0999999996</v>
      </c>
      <c r="K102" s="6" t="str">
        <f>+IFERROR(VLOOKUP(I102,'Legal Name'!$A$1:$I$2913,1,0),"N")</f>
        <v>N</v>
      </c>
    </row>
    <row r="103" spans="2:11" x14ac:dyDescent="0.35">
      <c r="B103" t="str">
        <f t="shared" si="1"/>
        <v>C</v>
      </c>
      <c r="C103" s="2" t="s">
        <v>160</v>
      </c>
      <c r="D103" s="11" t="s">
        <v>72</v>
      </c>
      <c r="E103" s="12" t="s">
        <v>69</v>
      </c>
      <c r="F103" s="13">
        <v>25154068.670000002</v>
      </c>
      <c r="G103" s="14">
        <v>45036</v>
      </c>
      <c r="H103" s="12" t="s">
        <v>73</v>
      </c>
      <c r="I103" s="14" t="s">
        <v>109</v>
      </c>
      <c r="J103" s="13">
        <v>-6456979.6500000004</v>
      </c>
      <c r="K103" s="6" t="str">
        <f>+IFERROR(VLOOKUP(I103,'Legal Name'!$A$1:$I$2913,1,0),"N")</f>
        <v>N</v>
      </c>
    </row>
    <row r="104" spans="2:11" x14ac:dyDescent="0.35">
      <c r="B104" t="str">
        <f t="shared" si="1"/>
        <v>C</v>
      </c>
      <c r="C104" s="2" t="s">
        <v>161</v>
      </c>
      <c r="D104" s="11" t="s">
        <v>72</v>
      </c>
      <c r="E104" s="12" t="s">
        <v>69</v>
      </c>
      <c r="F104" s="13">
        <v>37655328.229999997</v>
      </c>
      <c r="G104" s="14">
        <v>45037</v>
      </c>
      <c r="H104" s="12" t="s">
        <v>73</v>
      </c>
      <c r="I104" s="14" t="s">
        <v>109</v>
      </c>
      <c r="J104" s="13">
        <v>-9888498.8000000007</v>
      </c>
      <c r="K104" s="6" t="str">
        <f>+IFERROR(VLOOKUP(I104,'Legal Name'!$A$1:$I$2913,1,0),"N")</f>
        <v>N</v>
      </c>
    </row>
    <row r="105" spans="2:11" x14ac:dyDescent="0.35">
      <c r="B105" t="str">
        <f t="shared" si="1"/>
        <v>C</v>
      </c>
      <c r="C105" s="2" t="s">
        <v>162</v>
      </c>
      <c r="D105" s="11" t="s">
        <v>72</v>
      </c>
      <c r="E105" s="12" t="s">
        <v>69</v>
      </c>
      <c r="F105" s="13">
        <v>24987506.25</v>
      </c>
      <c r="G105" s="14">
        <v>45040</v>
      </c>
      <c r="H105" s="12" t="s">
        <v>73</v>
      </c>
      <c r="I105" s="14" t="s">
        <v>109</v>
      </c>
      <c r="J105" s="13">
        <v>-7516137.1799999997</v>
      </c>
      <c r="K105" s="6" t="str">
        <f>+IFERROR(VLOOKUP(I105,'Legal Name'!$A$1:$I$2913,1,0),"N")</f>
        <v>N</v>
      </c>
    </row>
    <row r="106" spans="2:11" x14ac:dyDescent="0.35">
      <c r="B106" t="str">
        <f t="shared" si="1"/>
        <v>C</v>
      </c>
      <c r="C106" s="2" t="s">
        <v>163</v>
      </c>
      <c r="D106" s="11" t="s">
        <v>72</v>
      </c>
      <c r="E106" s="12" t="s">
        <v>69</v>
      </c>
      <c r="F106" s="13">
        <v>24987506.25</v>
      </c>
      <c r="G106" s="14">
        <v>45040</v>
      </c>
      <c r="H106" s="12" t="s">
        <v>73</v>
      </c>
      <c r="I106" s="14" t="s">
        <v>109</v>
      </c>
      <c r="J106" s="13">
        <v>-7511476.75</v>
      </c>
      <c r="K106" s="6" t="str">
        <f>+IFERROR(VLOOKUP(I106,'Legal Name'!$A$1:$I$2913,1,0),"N")</f>
        <v>N</v>
      </c>
    </row>
    <row r="107" spans="2:11" x14ac:dyDescent="0.35">
      <c r="B107" t="str">
        <f t="shared" si="1"/>
        <v>C</v>
      </c>
      <c r="C107" s="2" t="s">
        <v>164</v>
      </c>
      <c r="D107" s="11" t="s">
        <v>72</v>
      </c>
      <c r="E107" s="12" t="s">
        <v>69</v>
      </c>
      <c r="F107" s="13">
        <v>22713643.18</v>
      </c>
      <c r="G107" s="14">
        <v>45040</v>
      </c>
      <c r="H107" s="12" t="s">
        <v>73</v>
      </c>
      <c r="I107" s="14" t="s">
        <v>109</v>
      </c>
      <c r="J107" s="13">
        <v>-6823696.2599999998</v>
      </c>
      <c r="K107" s="6" t="str">
        <f>+IFERROR(VLOOKUP(I107,'Legal Name'!$A$1:$I$2913,1,0),"N")</f>
        <v>N</v>
      </c>
    </row>
    <row r="108" spans="2:11" x14ac:dyDescent="0.35">
      <c r="B108" t="str">
        <f t="shared" si="1"/>
        <v>C</v>
      </c>
      <c r="C108" s="2" t="s">
        <v>165</v>
      </c>
      <c r="D108" s="11" t="s">
        <v>72</v>
      </c>
      <c r="E108" s="12" t="s">
        <v>69</v>
      </c>
      <c r="F108" s="13">
        <v>25020016.010000002</v>
      </c>
      <c r="G108" s="14">
        <v>45041</v>
      </c>
      <c r="H108" s="12" t="s">
        <v>73</v>
      </c>
      <c r="I108" s="14" t="s">
        <v>109</v>
      </c>
      <c r="J108" s="13">
        <v>-7346106.5199999996</v>
      </c>
      <c r="K108" s="6" t="str">
        <f>+IFERROR(VLOOKUP(I108,'Legal Name'!$A$1:$I$2913,1,0),"N")</f>
        <v>N</v>
      </c>
    </row>
    <row r="109" spans="2:11" x14ac:dyDescent="0.35">
      <c r="B109" t="str">
        <f t="shared" si="1"/>
        <v>C</v>
      </c>
      <c r="C109" s="2" t="s">
        <v>166</v>
      </c>
      <c r="D109" s="11" t="s">
        <v>72</v>
      </c>
      <c r="E109" s="12" t="s">
        <v>69</v>
      </c>
      <c r="F109" s="13">
        <v>22518014.41</v>
      </c>
      <c r="G109" s="14">
        <v>45041</v>
      </c>
      <c r="H109" s="12" t="s">
        <v>73</v>
      </c>
      <c r="I109" s="14" t="s">
        <v>109</v>
      </c>
      <c r="J109" s="13">
        <v>-6607298.1900000004</v>
      </c>
      <c r="K109" s="6" t="str">
        <f>+IFERROR(VLOOKUP(I109,'Legal Name'!$A$1:$I$2913,1,0),"N")</f>
        <v>N</v>
      </c>
    </row>
    <row r="110" spans="2:11" x14ac:dyDescent="0.35">
      <c r="B110" t="str">
        <f t="shared" si="1"/>
        <v>C</v>
      </c>
      <c r="C110" s="2" t="s">
        <v>167</v>
      </c>
      <c r="D110" s="11" t="s">
        <v>72</v>
      </c>
      <c r="E110" s="12" t="s">
        <v>69</v>
      </c>
      <c r="F110" s="13">
        <v>25064541.190000001</v>
      </c>
      <c r="G110" s="14">
        <v>44952</v>
      </c>
      <c r="H110" s="12" t="s">
        <v>73</v>
      </c>
      <c r="I110" s="14" t="s">
        <v>109</v>
      </c>
      <c r="J110" s="13">
        <v>-4242476.82</v>
      </c>
      <c r="K110" s="6" t="str">
        <f>+IFERROR(VLOOKUP(I110,'Legal Name'!$A$1:$I$2913,1,0),"N")</f>
        <v>N</v>
      </c>
    </row>
    <row r="111" spans="2:11" x14ac:dyDescent="0.35">
      <c r="B111" t="str">
        <f t="shared" si="1"/>
        <v>C</v>
      </c>
      <c r="C111" s="2" t="s">
        <v>168</v>
      </c>
      <c r="D111" s="11" t="s">
        <v>72</v>
      </c>
      <c r="E111" s="12" t="s">
        <v>69</v>
      </c>
      <c r="F111" s="13">
        <v>25064541.190000001</v>
      </c>
      <c r="G111" s="14">
        <v>44952</v>
      </c>
      <c r="H111" s="12" t="s">
        <v>73</v>
      </c>
      <c r="I111" s="14" t="s">
        <v>109</v>
      </c>
      <c r="J111" s="13">
        <v>-4230461.0999999996</v>
      </c>
      <c r="K111" s="6" t="str">
        <f>+IFERROR(VLOOKUP(I111,'Legal Name'!$A$1:$I$2913,1,0),"N")</f>
        <v>N</v>
      </c>
    </row>
    <row r="112" spans="2:11" x14ac:dyDescent="0.35">
      <c r="B112" t="str">
        <f t="shared" si="1"/>
        <v>C</v>
      </c>
      <c r="C112" s="2" t="s">
        <v>169</v>
      </c>
      <c r="D112" s="11" t="s">
        <v>72</v>
      </c>
      <c r="E112" s="12" t="s">
        <v>69</v>
      </c>
      <c r="F112" s="13">
        <v>13033561.42</v>
      </c>
      <c r="G112" s="14">
        <v>44952</v>
      </c>
      <c r="H112" s="12" t="s">
        <v>73</v>
      </c>
      <c r="I112" s="14" t="s">
        <v>109</v>
      </c>
      <c r="J112" s="13">
        <v>-2192344.92</v>
      </c>
      <c r="K112" s="6" t="str">
        <f>+IFERROR(VLOOKUP(I112,'Legal Name'!$A$1:$I$2913,1,0),"N")</f>
        <v>N</v>
      </c>
    </row>
    <row r="113" spans="2:11" x14ac:dyDescent="0.35">
      <c r="B113" t="str">
        <f t="shared" si="1"/>
        <v>C</v>
      </c>
      <c r="C113" s="2" t="s">
        <v>170</v>
      </c>
      <c r="D113" s="11" t="s">
        <v>72</v>
      </c>
      <c r="E113" s="12" t="s">
        <v>69</v>
      </c>
      <c r="F113" s="13">
        <v>15862641.09</v>
      </c>
      <c r="G113" s="14">
        <v>44953</v>
      </c>
      <c r="H113" s="12" t="s">
        <v>73</v>
      </c>
      <c r="I113" s="14" t="s">
        <v>109</v>
      </c>
      <c r="J113" s="13">
        <v>-2458848.2999999998</v>
      </c>
      <c r="K113" s="6" t="str">
        <f>+IFERROR(VLOOKUP(I113,'Legal Name'!$A$1:$I$2913,1,0),"N")</f>
        <v>N</v>
      </c>
    </row>
    <row r="114" spans="2:11" x14ac:dyDescent="0.35">
      <c r="B114" t="str">
        <f t="shared" si="1"/>
        <v>C</v>
      </c>
      <c r="C114" s="2" t="s">
        <v>171</v>
      </c>
      <c r="D114" s="11" t="s">
        <v>72</v>
      </c>
      <c r="E114" s="12" t="s">
        <v>69</v>
      </c>
      <c r="F114" s="13">
        <v>25138892.379999999</v>
      </c>
      <c r="G114" s="14">
        <v>44953</v>
      </c>
      <c r="H114" s="12" t="s">
        <v>73</v>
      </c>
      <c r="I114" s="14" t="s">
        <v>109</v>
      </c>
      <c r="J114" s="13">
        <v>-3923235.51</v>
      </c>
      <c r="K114" s="6" t="str">
        <f>+IFERROR(VLOOKUP(I114,'Legal Name'!$A$1:$I$2913,1,0),"N")</f>
        <v>N</v>
      </c>
    </row>
    <row r="115" spans="2:11" x14ac:dyDescent="0.35">
      <c r="B115" t="str">
        <f t="shared" si="1"/>
        <v>C</v>
      </c>
      <c r="C115" s="2" t="s">
        <v>172</v>
      </c>
      <c r="D115" s="11" t="s">
        <v>72</v>
      </c>
      <c r="E115" s="12" t="s">
        <v>69</v>
      </c>
      <c r="F115" s="13">
        <v>1005555.7</v>
      </c>
      <c r="G115" s="14">
        <v>44953</v>
      </c>
      <c r="H115" s="12" t="s">
        <v>73</v>
      </c>
      <c r="I115" s="14" t="s">
        <v>109</v>
      </c>
      <c r="J115" s="13">
        <v>-156255.10999999999</v>
      </c>
      <c r="K115" s="6" t="str">
        <f>+IFERROR(VLOOKUP(I115,'Legal Name'!$A$1:$I$2913,1,0),"N")</f>
        <v>N</v>
      </c>
    </row>
    <row r="116" spans="2:11" x14ac:dyDescent="0.35">
      <c r="B116" t="str">
        <f t="shared" si="1"/>
        <v>C</v>
      </c>
      <c r="C116" s="2" t="s">
        <v>173</v>
      </c>
      <c r="D116" s="11" t="s">
        <v>72</v>
      </c>
      <c r="E116" s="12" t="s">
        <v>69</v>
      </c>
      <c r="F116" s="13">
        <v>25138892.379999999</v>
      </c>
      <c r="G116" s="14">
        <v>44953</v>
      </c>
      <c r="H116" s="12" t="s">
        <v>73</v>
      </c>
      <c r="I116" s="14" t="s">
        <v>109</v>
      </c>
      <c r="J116" s="13">
        <v>-3896748.5</v>
      </c>
      <c r="K116" s="6" t="str">
        <f>+IFERROR(VLOOKUP(I116,'Legal Name'!$A$1:$I$2913,1,0),"N")</f>
        <v>N</v>
      </c>
    </row>
    <row r="117" spans="2:11" x14ac:dyDescent="0.35">
      <c r="B117" t="str">
        <f t="shared" si="1"/>
        <v>C</v>
      </c>
      <c r="C117" s="2" t="s">
        <v>174</v>
      </c>
      <c r="D117" s="11" t="s">
        <v>72</v>
      </c>
      <c r="E117" s="12" t="s">
        <v>69</v>
      </c>
      <c r="F117" s="13">
        <v>12569446.189999999</v>
      </c>
      <c r="G117" s="14">
        <v>44953</v>
      </c>
      <c r="H117" s="12" t="s">
        <v>73</v>
      </c>
      <c r="I117" s="14" t="s">
        <v>109</v>
      </c>
      <c r="J117" s="13">
        <v>-1923120.2</v>
      </c>
      <c r="K117" s="6" t="str">
        <f>+IFERROR(VLOOKUP(I117,'Legal Name'!$A$1:$I$2913,1,0),"N")</f>
        <v>N</v>
      </c>
    </row>
    <row r="118" spans="2:11" x14ac:dyDescent="0.35">
      <c r="B118" t="str">
        <f t="shared" si="1"/>
        <v>C</v>
      </c>
      <c r="C118" s="2" t="s">
        <v>175</v>
      </c>
      <c r="D118" s="11" t="s">
        <v>72</v>
      </c>
      <c r="E118" s="12" t="s">
        <v>69</v>
      </c>
      <c r="F118" s="13">
        <v>9057743.1099999994</v>
      </c>
      <c r="G118" s="14">
        <v>44953</v>
      </c>
      <c r="H118" s="12" t="s">
        <v>73</v>
      </c>
      <c r="I118" s="14" t="s">
        <v>109</v>
      </c>
      <c r="J118" s="13">
        <v>-1352154.83</v>
      </c>
      <c r="K118" s="6" t="str">
        <f>+IFERROR(VLOOKUP(I118,'Legal Name'!$A$1:$I$2913,1,0),"N")</f>
        <v>N</v>
      </c>
    </row>
    <row r="119" spans="2:11" x14ac:dyDescent="0.35">
      <c r="B119" t="str">
        <f t="shared" si="1"/>
        <v>C</v>
      </c>
      <c r="C119" s="2" t="s">
        <v>176</v>
      </c>
      <c r="D119" s="11" t="s">
        <v>72</v>
      </c>
      <c r="E119" s="12" t="s">
        <v>69</v>
      </c>
      <c r="F119" s="13">
        <v>10064159.01</v>
      </c>
      <c r="G119" s="14">
        <v>44956</v>
      </c>
      <c r="H119" s="12" t="s">
        <v>73</v>
      </c>
      <c r="I119" s="14" t="s">
        <v>109</v>
      </c>
      <c r="J119" s="13">
        <v>-1536426.33</v>
      </c>
      <c r="K119" s="6" t="str">
        <f>+IFERROR(VLOOKUP(I119,'Legal Name'!$A$1:$I$2913,1,0),"N")</f>
        <v>N</v>
      </c>
    </row>
    <row r="120" spans="2:11" x14ac:dyDescent="0.35">
      <c r="B120" t="str">
        <f t="shared" si="1"/>
        <v>C</v>
      </c>
      <c r="C120" s="2" t="s">
        <v>177</v>
      </c>
      <c r="D120" s="11" t="s">
        <v>72</v>
      </c>
      <c r="E120" s="12" t="s">
        <v>69</v>
      </c>
      <c r="F120" s="13">
        <v>37767202.960000001</v>
      </c>
      <c r="G120" s="14">
        <v>44960</v>
      </c>
      <c r="H120" s="12" t="s">
        <v>73</v>
      </c>
      <c r="I120" s="14" t="s">
        <v>109</v>
      </c>
      <c r="J120" s="13">
        <v>-5995217.6500000004</v>
      </c>
      <c r="K120" s="6" t="str">
        <f>+IFERROR(VLOOKUP(I120,'Legal Name'!$A$1:$I$2913,1,0),"N")</f>
        <v>N</v>
      </c>
    </row>
    <row r="121" spans="2:11" x14ac:dyDescent="0.35">
      <c r="B121" t="str">
        <f t="shared" si="1"/>
        <v>C</v>
      </c>
      <c r="C121" s="2" t="s">
        <v>178</v>
      </c>
      <c r="D121" s="11" t="s">
        <v>72</v>
      </c>
      <c r="E121" s="12" t="s">
        <v>69</v>
      </c>
      <c r="F121" s="13">
        <v>37767202.960000001</v>
      </c>
      <c r="G121" s="14">
        <v>44960</v>
      </c>
      <c r="H121" s="12" t="s">
        <v>73</v>
      </c>
      <c r="I121" s="14" t="s">
        <v>109</v>
      </c>
      <c r="J121" s="13">
        <v>-5998833.6500000004</v>
      </c>
      <c r="K121" s="6" t="str">
        <f>+IFERROR(VLOOKUP(I121,'Legal Name'!$A$1:$I$2913,1,0),"N")</f>
        <v>N</v>
      </c>
    </row>
    <row r="122" spans="2:11" x14ac:dyDescent="0.35">
      <c r="B122" t="str">
        <f t="shared" si="1"/>
        <v>C</v>
      </c>
      <c r="C122" s="2" t="s">
        <v>179</v>
      </c>
      <c r="D122" s="11" t="s">
        <v>72</v>
      </c>
      <c r="E122" s="12" t="s">
        <v>69</v>
      </c>
      <c r="F122" s="13">
        <v>25308126.440000001</v>
      </c>
      <c r="G122" s="14">
        <v>44964</v>
      </c>
      <c r="H122" s="12" t="s">
        <v>73</v>
      </c>
      <c r="I122" s="14" t="s">
        <v>109</v>
      </c>
      <c r="J122" s="13">
        <v>-3411171.66</v>
      </c>
      <c r="K122" s="6" t="str">
        <f>+IFERROR(VLOOKUP(I122,'Legal Name'!$A$1:$I$2913,1,0),"N")</f>
        <v>N</v>
      </c>
    </row>
    <row r="123" spans="2:11" x14ac:dyDescent="0.35">
      <c r="B123" t="str">
        <f t="shared" si="1"/>
        <v>C</v>
      </c>
      <c r="C123" s="2" t="s">
        <v>180</v>
      </c>
      <c r="D123" s="11" t="s">
        <v>72</v>
      </c>
      <c r="E123" s="12" t="s">
        <v>69</v>
      </c>
      <c r="F123" s="13">
        <v>15362032.75</v>
      </c>
      <c r="G123" s="14">
        <v>44964</v>
      </c>
      <c r="H123" s="12" t="s">
        <v>73</v>
      </c>
      <c r="I123" s="14" t="s">
        <v>109</v>
      </c>
      <c r="J123" s="13">
        <v>-2055904.64</v>
      </c>
      <c r="K123" s="6" t="str">
        <f>+IFERROR(VLOOKUP(I123,'Legal Name'!$A$1:$I$2913,1,0),"N")</f>
        <v>N</v>
      </c>
    </row>
    <row r="124" spans="2:11" x14ac:dyDescent="0.35">
      <c r="B124" t="str">
        <f t="shared" si="1"/>
        <v>C</v>
      </c>
      <c r="C124" s="2" t="s">
        <v>181</v>
      </c>
      <c r="D124" s="11" t="s">
        <v>72</v>
      </c>
      <c r="E124" s="12" t="s">
        <v>69</v>
      </c>
      <c r="F124" s="13">
        <v>25473812.920000002</v>
      </c>
      <c r="G124" s="14">
        <v>44965</v>
      </c>
      <c r="H124" s="12" t="s">
        <v>73</v>
      </c>
      <c r="I124" s="14" t="s">
        <v>109</v>
      </c>
      <c r="J124" s="13">
        <v>-2849357.32</v>
      </c>
      <c r="K124" s="6" t="str">
        <f>+IFERROR(VLOOKUP(I124,'Legal Name'!$A$1:$I$2913,1,0),"N")</f>
        <v>N</v>
      </c>
    </row>
    <row r="125" spans="2:11" x14ac:dyDescent="0.35">
      <c r="B125" t="str">
        <f t="shared" si="1"/>
        <v>C</v>
      </c>
      <c r="C125" s="2" t="s">
        <v>182</v>
      </c>
      <c r="D125" s="11" t="s">
        <v>72</v>
      </c>
      <c r="E125" s="12" t="s">
        <v>69</v>
      </c>
      <c r="F125" s="13">
        <v>25473812.920000002</v>
      </c>
      <c r="G125" s="14">
        <v>44965</v>
      </c>
      <c r="H125" s="12" t="s">
        <v>73</v>
      </c>
      <c r="I125" s="14" t="s">
        <v>109</v>
      </c>
      <c r="J125" s="13">
        <v>-2837198.19</v>
      </c>
      <c r="K125" s="6" t="str">
        <f>+IFERROR(VLOOKUP(I125,'Legal Name'!$A$1:$I$2913,1,0),"N")</f>
        <v>N</v>
      </c>
    </row>
    <row r="126" spans="2:11" x14ac:dyDescent="0.35">
      <c r="B126" t="str">
        <f t="shared" si="1"/>
        <v>C</v>
      </c>
      <c r="C126" s="2" t="s">
        <v>183</v>
      </c>
      <c r="D126" s="11" t="s">
        <v>72</v>
      </c>
      <c r="E126" s="12" t="s">
        <v>69</v>
      </c>
      <c r="F126" s="13">
        <v>51785298.149999999</v>
      </c>
      <c r="G126" s="14">
        <v>44971</v>
      </c>
      <c r="H126" s="12" t="s">
        <v>73</v>
      </c>
      <c r="I126" s="14" t="s">
        <v>109</v>
      </c>
      <c r="J126" s="13">
        <v>-2386858.39</v>
      </c>
      <c r="K126" s="6" t="str">
        <f>+IFERROR(VLOOKUP(I126,'Legal Name'!$A$1:$I$2913,1,0),"N")</f>
        <v>N</v>
      </c>
    </row>
    <row r="127" spans="2:11" x14ac:dyDescent="0.35">
      <c r="B127" t="str">
        <f t="shared" si="1"/>
        <v>C</v>
      </c>
      <c r="C127" s="2" t="s">
        <v>184</v>
      </c>
      <c r="D127" s="11" t="s">
        <v>72</v>
      </c>
      <c r="E127" s="12" t="s">
        <v>69</v>
      </c>
      <c r="F127" s="13">
        <v>52119980.189999998</v>
      </c>
      <c r="G127" s="14">
        <v>45068</v>
      </c>
      <c r="H127" s="12" t="s">
        <v>73</v>
      </c>
      <c r="I127" s="14" t="s">
        <v>109</v>
      </c>
      <c r="J127" s="13">
        <v>-9430732.0800000001</v>
      </c>
      <c r="K127" s="6" t="str">
        <f>+IFERROR(VLOOKUP(I127,'Legal Name'!$A$1:$I$2913,1,0),"N")</f>
        <v>N</v>
      </c>
    </row>
    <row r="128" spans="2:11" x14ac:dyDescent="0.35">
      <c r="B128" t="str">
        <f t="shared" si="1"/>
        <v>C</v>
      </c>
      <c r="C128" s="2" t="s">
        <v>185</v>
      </c>
      <c r="D128" s="11" t="s">
        <v>72</v>
      </c>
      <c r="E128" s="12" t="s">
        <v>69</v>
      </c>
      <c r="F128" s="13">
        <v>12992412.43</v>
      </c>
      <c r="G128" s="14">
        <v>44979</v>
      </c>
      <c r="H128" s="12" t="s">
        <v>73</v>
      </c>
      <c r="I128" s="14" t="s">
        <v>109</v>
      </c>
      <c r="J128" s="13">
        <v>-251112.35</v>
      </c>
      <c r="K128" s="6" t="str">
        <f>+IFERROR(VLOOKUP(I128,'Legal Name'!$A$1:$I$2913,1,0),"N")</f>
        <v>N</v>
      </c>
    </row>
    <row r="129" spans="2:11" x14ac:dyDescent="0.35">
      <c r="B129" t="str">
        <f t="shared" si="1"/>
        <v>C</v>
      </c>
      <c r="C129" s="2" t="s">
        <v>186</v>
      </c>
      <c r="D129" s="11" t="s">
        <v>72</v>
      </c>
      <c r="E129" s="12" t="s">
        <v>69</v>
      </c>
      <c r="F129" s="13">
        <v>12992412.43</v>
      </c>
      <c r="G129" s="14">
        <v>44979</v>
      </c>
      <c r="H129" s="12" t="s">
        <v>73</v>
      </c>
      <c r="I129" s="14" t="s">
        <v>109</v>
      </c>
      <c r="J129" s="13">
        <v>-248617.65</v>
      </c>
      <c r="K129" s="6" t="str">
        <f>+IFERROR(VLOOKUP(I129,'Legal Name'!$A$1:$I$2913,1,0),"N")</f>
        <v>N</v>
      </c>
    </row>
    <row r="130" spans="2:11" x14ac:dyDescent="0.35">
      <c r="B130" t="str">
        <f t="shared" si="1"/>
        <v>C</v>
      </c>
      <c r="C130" s="2" t="s">
        <v>187</v>
      </c>
      <c r="D130" s="11" t="s">
        <v>72</v>
      </c>
      <c r="E130" s="12" t="s">
        <v>69</v>
      </c>
      <c r="F130" s="13">
        <v>12992412.43</v>
      </c>
      <c r="G130" s="14">
        <v>44979</v>
      </c>
      <c r="H130" s="12" t="s">
        <v>73</v>
      </c>
      <c r="I130" s="14" t="s">
        <v>109</v>
      </c>
      <c r="J130" s="13">
        <v>-246123.34</v>
      </c>
      <c r="K130" s="6" t="str">
        <f>+IFERROR(VLOOKUP(I130,'Legal Name'!$A$1:$I$2913,1,0),"N")</f>
        <v>N</v>
      </c>
    </row>
    <row r="131" spans="2:11" x14ac:dyDescent="0.35">
      <c r="B131" t="str">
        <f t="shared" ref="B131:B194" si="2">+MID(C131,5,1)</f>
        <v>C</v>
      </c>
      <c r="C131" s="2" t="s">
        <v>188</v>
      </c>
      <c r="D131" s="11" t="s">
        <v>72</v>
      </c>
      <c r="E131" s="12" t="s">
        <v>69</v>
      </c>
      <c r="F131" s="13">
        <v>19800436.550000001</v>
      </c>
      <c r="G131" s="14">
        <v>44979</v>
      </c>
      <c r="H131" s="12" t="s">
        <v>73</v>
      </c>
      <c r="I131" s="14" t="s">
        <v>109</v>
      </c>
      <c r="J131" s="13">
        <v>-306760.87</v>
      </c>
      <c r="K131" s="6" t="str">
        <f>+IFERROR(VLOOKUP(I131,'Legal Name'!$A$1:$I$2913,1,0),"N")</f>
        <v>N</v>
      </c>
    </row>
    <row r="132" spans="2:11" x14ac:dyDescent="0.35">
      <c r="B132" t="str">
        <f t="shared" si="2"/>
        <v>C</v>
      </c>
      <c r="C132" s="2" t="s">
        <v>189</v>
      </c>
      <c r="D132" s="11" t="s">
        <v>72</v>
      </c>
      <c r="E132" s="12" t="s">
        <v>69</v>
      </c>
      <c r="F132" s="13">
        <v>17331878.18</v>
      </c>
      <c r="G132" s="14">
        <v>44979</v>
      </c>
      <c r="H132" s="12" t="s">
        <v>73</v>
      </c>
      <c r="I132" s="14" t="s">
        <v>109</v>
      </c>
      <c r="J132" s="13">
        <v>-318349.13</v>
      </c>
      <c r="K132" s="6" t="str">
        <f>+IFERROR(VLOOKUP(I132,'Legal Name'!$A$1:$I$2913,1,0),"N")</f>
        <v>N</v>
      </c>
    </row>
    <row r="133" spans="2:11" x14ac:dyDescent="0.35">
      <c r="B133" t="str">
        <f t="shared" si="2"/>
        <v>C</v>
      </c>
      <c r="C133" s="2" t="s">
        <v>190</v>
      </c>
      <c r="D133" s="11" t="s">
        <v>72</v>
      </c>
      <c r="E133" s="12" t="s">
        <v>69</v>
      </c>
      <c r="F133" s="13">
        <v>51949401.280000001</v>
      </c>
      <c r="G133" s="14">
        <v>44980</v>
      </c>
      <c r="H133" s="12" t="s">
        <v>73</v>
      </c>
      <c r="I133" s="14" t="s">
        <v>109</v>
      </c>
      <c r="J133" s="13">
        <v>-3060836.79</v>
      </c>
      <c r="K133" s="6" t="str">
        <f>+IFERROR(VLOOKUP(I133,'Legal Name'!$A$1:$I$2913,1,0),"N")</f>
        <v>N</v>
      </c>
    </row>
    <row r="134" spans="2:11" x14ac:dyDescent="0.35">
      <c r="B134" t="str">
        <f t="shared" si="2"/>
        <v>C</v>
      </c>
      <c r="C134" s="2" t="s">
        <v>191</v>
      </c>
      <c r="D134" s="11" t="s">
        <v>72</v>
      </c>
      <c r="E134" s="12" t="s">
        <v>69</v>
      </c>
      <c r="F134" s="13">
        <v>6181978.75</v>
      </c>
      <c r="G134" s="14">
        <v>45161</v>
      </c>
      <c r="H134" s="12" t="s">
        <v>73</v>
      </c>
      <c r="I134" s="14" t="s">
        <v>109</v>
      </c>
      <c r="J134" s="13">
        <v>-1122722.1200000001</v>
      </c>
      <c r="K134" s="6" t="str">
        <f>+IFERROR(VLOOKUP(I134,'Legal Name'!$A$1:$I$2913,1,0),"N")</f>
        <v>N</v>
      </c>
    </row>
    <row r="135" spans="2:11" x14ac:dyDescent="0.35">
      <c r="B135" t="str">
        <f t="shared" si="2"/>
        <v>C</v>
      </c>
      <c r="C135" s="2" t="s">
        <v>192</v>
      </c>
      <c r="D135" s="11" t="s">
        <v>72</v>
      </c>
      <c r="E135" s="12" t="s">
        <v>69</v>
      </c>
      <c r="F135" s="13">
        <v>25974700.640000001</v>
      </c>
      <c r="G135" s="14">
        <v>45069</v>
      </c>
      <c r="H135" s="12" t="s">
        <v>73</v>
      </c>
      <c r="I135" s="14" t="s">
        <v>109</v>
      </c>
      <c r="J135" s="13">
        <v>-5091625.16</v>
      </c>
      <c r="K135" s="6" t="str">
        <f>+IFERROR(VLOOKUP(I135,'Legal Name'!$A$1:$I$2913,1,0),"N")</f>
        <v>N</v>
      </c>
    </row>
    <row r="136" spans="2:11" x14ac:dyDescent="0.35">
      <c r="B136" t="str">
        <f t="shared" si="2"/>
        <v>C</v>
      </c>
      <c r="C136" s="2" t="s">
        <v>193</v>
      </c>
      <c r="D136" s="11" t="s">
        <v>72</v>
      </c>
      <c r="E136" s="12" t="s">
        <v>69</v>
      </c>
      <c r="F136" s="13">
        <v>31215276.879999999</v>
      </c>
      <c r="G136" s="14">
        <v>45163</v>
      </c>
      <c r="H136" s="12" t="s">
        <v>73</v>
      </c>
      <c r="I136" s="14" t="s">
        <v>109</v>
      </c>
      <c r="J136" s="13">
        <v>-6315620.4199999999</v>
      </c>
      <c r="K136" s="6" t="str">
        <f>+IFERROR(VLOOKUP(I136,'Legal Name'!$A$1:$I$2913,1,0),"N")</f>
        <v>N</v>
      </c>
    </row>
    <row r="137" spans="2:11" x14ac:dyDescent="0.35">
      <c r="B137" t="str">
        <f t="shared" si="2"/>
        <v>C</v>
      </c>
      <c r="C137" s="2" t="s">
        <v>194</v>
      </c>
      <c r="D137" s="11" t="s">
        <v>72</v>
      </c>
      <c r="E137" s="12" t="s">
        <v>69</v>
      </c>
      <c r="F137" s="13">
        <v>25840460.989999998</v>
      </c>
      <c r="G137" s="14">
        <v>45163</v>
      </c>
      <c r="H137" s="12" t="s">
        <v>73</v>
      </c>
      <c r="I137" s="14" t="s">
        <v>109</v>
      </c>
      <c r="J137" s="13">
        <v>-5299007.96</v>
      </c>
      <c r="K137" s="6" t="str">
        <f>+IFERROR(VLOOKUP(I137,'Legal Name'!$A$1:$I$2913,1,0),"N")</f>
        <v>N</v>
      </c>
    </row>
    <row r="138" spans="2:11" x14ac:dyDescent="0.35">
      <c r="B138" t="str">
        <f t="shared" si="2"/>
        <v>C</v>
      </c>
      <c r="C138" s="2" t="s">
        <v>195</v>
      </c>
      <c r="D138" s="11" t="s">
        <v>72</v>
      </c>
      <c r="E138" s="12" t="s">
        <v>69</v>
      </c>
      <c r="F138" s="13">
        <v>18615884.379999999</v>
      </c>
      <c r="G138" s="14">
        <v>46660</v>
      </c>
      <c r="H138" s="12" t="s">
        <v>70</v>
      </c>
      <c r="I138" s="14" t="s">
        <v>71</v>
      </c>
      <c r="J138" s="13">
        <v>-4383390.71</v>
      </c>
      <c r="K138" s="6" t="str">
        <f>+IFERROR(VLOOKUP(I138,'Legal Name'!$A$1:$I$2913,1,0),"N")</f>
        <v>N</v>
      </c>
    </row>
    <row r="139" spans="2:11" x14ac:dyDescent="0.35">
      <c r="B139" t="str">
        <f t="shared" si="2"/>
        <v>C</v>
      </c>
      <c r="C139" s="2" t="s">
        <v>196</v>
      </c>
      <c r="D139" s="11" t="s">
        <v>72</v>
      </c>
      <c r="E139" s="12" t="s">
        <v>69</v>
      </c>
      <c r="F139" s="13">
        <v>25948414.550000001</v>
      </c>
      <c r="G139" s="14">
        <v>45167</v>
      </c>
      <c r="H139" s="12" t="s">
        <v>73</v>
      </c>
      <c r="I139" s="14" t="s">
        <v>109</v>
      </c>
      <c r="J139" s="13">
        <v>-4809718.01</v>
      </c>
      <c r="K139" s="6" t="str">
        <f>+IFERROR(VLOOKUP(I139,'Legal Name'!$A$1:$I$2913,1,0),"N")</f>
        <v>N</v>
      </c>
    </row>
    <row r="140" spans="2:11" x14ac:dyDescent="0.35">
      <c r="B140" t="str">
        <f t="shared" si="2"/>
        <v>C</v>
      </c>
      <c r="C140" t="s">
        <v>197</v>
      </c>
      <c r="D140" s="11" t="s">
        <v>72</v>
      </c>
      <c r="E140" s="12" t="s">
        <v>69</v>
      </c>
      <c r="F140" s="13">
        <v>38429601.950000003</v>
      </c>
      <c r="G140" s="14">
        <v>45167</v>
      </c>
      <c r="H140" s="12" t="s">
        <v>73</v>
      </c>
      <c r="I140" s="14" t="s">
        <v>109</v>
      </c>
      <c r="J140" s="13">
        <v>-7081234.8799999999</v>
      </c>
      <c r="K140" s="6" t="str">
        <f>+IFERROR(VLOOKUP(I140,'Legal Name'!$A$1:$I$2913,1,0),"N")</f>
        <v>N</v>
      </c>
    </row>
    <row r="141" spans="2:11" x14ac:dyDescent="0.35">
      <c r="B141" t="str">
        <f t="shared" si="2"/>
        <v>C</v>
      </c>
      <c r="C141" t="s">
        <v>198</v>
      </c>
      <c r="D141" s="11" t="s">
        <v>72</v>
      </c>
      <c r="E141" s="12" t="s">
        <v>69</v>
      </c>
      <c r="F141" s="13">
        <v>27245835.280000001</v>
      </c>
      <c r="G141" s="14">
        <v>45167</v>
      </c>
      <c r="H141" s="12" t="s">
        <v>73</v>
      </c>
      <c r="I141" s="14" t="s">
        <v>109</v>
      </c>
      <c r="J141" s="13">
        <v>-5035330.01</v>
      </c>
      <c r="K141" s="6" t="str">
        <f>+IFERROR(VLOOKUP(I141,'Legal Name'!$A$1:$I$2913,1,0),"N")</f>
        <v>N</v>
      </c>
    </row>
    <row r="142" spans="2:11" x14ac:dyDescent="0.35">
      <c r="B142" t="str">
        <f t="shared" si="2"/>
        <v>C</v>
      </c>
      <c r="C142" t="s">
        <v>200</v>
      </c>
      <c r="D142" s="11" t="s">
        <v>72</v>
      </c>
      <c r="E142" s="12" t="s">
        <v>69</v>
      </c>
      <c r="F142" s="13">
        <v>52183896.049999997</v>
      </c>
      <c r="G142" s="14">
        <v>44987</v>
      </c>
      <c r="H142" s="12" t="s">
        <v>73</v>
      </c>
      <c r="I142" s="14" t="s">
        <v>109</v>
      </c>
      <c r="J142" s="13">
        <v>-3003904.61</v>
      </c>
      <c r="K142" s="6" t="str">
        <f>+IFERROR(VLOOKUP(I142,'Legal Name'!$A$1:$I$2913,1,0),"N")</f>
        <v>N</v>
      </c>
    </row>
    <row r="143" spans="2:11" x14ac:dyDescent="0.35">
      <c r="B143" t="str">
        <f t="shared" si="2"/>
        <v>C</v>
      </c>
      <c r="C143" t="s">
        <v>201</v>
      </c>
      <c r="D143" s="11" t="s">
        <v>72</v>
      </c>
      <c r="E143" s="12" t="s">
        <v>69</v>
      </c>
      <c r="F143" s="13">
        <v>13045974.01</v>
      </c>
      <c r="G143" s="14">
        <v>44987</v>
      </c>
      <c r="H143" s="12" t="s">
        <v>73</v>
      </c>
      <c r="I143" s="14" t="s">
        <v>109</v>
      </c>
      <c r="J143" s="13">
        <v>-720866.43</v>
      </c>
      <c r="K143" s="6" t="str">
        <f>+IFERROR(VLOOKUP(I143,'Legal Name'!$A$1:$I$2913,1,0),"N")</f>
        <v>N</v>
      </c>
    </row>
    <row r="144" spans="2:11" x14ac:dyDescent="0.35">
      <c r="B144" t="str">
        <f t="shared" si="2"/>
        <v>C</v>
      </c>
      <c r="C144" t="s">
        <v>202</v>
      </c>
      <c r="D144" s="11" t="s">
        <v>72</v>
      </c>
      <c r="E144" s="12" t="s">
        <v>69</v>
      </c>
      <c r="F144" s="13">
        <v>13045974.01</v>
      </c>
      <c r="G144" s="14">
        <v>45170</v>
      </c>
      <c r="H144" s="12" t="s">
        <v>73</v>
      </c>
      <c r="I144" s="14" t="s">
        <v>109</v>
      </c>
      <c r="J144" s="13">
        <v>-2128333.04</v>
      </c>
      <c r="K144" s="6" t="str">
        <f>+IFERROR(VLOOKUP(I144,'Legal Name'!$A$1:$I$2913,1,0),"N")</f>
        <v>N</v>
      </c>
    </row>
    <row r="145" spans="2:11" x14ac:dyDescent="0.35">
      <c r="B145" t="str">
        <f t="shared" si="2"/>
        <v>C</v>
      </c>
      <c r="C145" t="s">
        <v>203</v>
      </c>
      <c r="D145" s="11" t="s">
        <v>72</v>
      </c>
      <c r="E145" s="12" t="s">
        <v>69</v>
      </c>
      <c r="F145" s="13">
        <v>5218389.5999999996</v>
      </c>
      <c r="G145" s="14">
        <v>45170</v>
      </c>
      <c r="H145" s="12" t="s">
        <v>73</v>
      </c>
      <c r="I145" s="14" t="s">
        <v>109</v>
      </c>
      <c r="J145" s="13">
        <v>-837042.21</v>
      </c>
      <c r="K145" s="6" t="str">
        <f>+IFERROR(VLOOKUP(I145,'Legal Name'!$A$1:$I$2913,1,0),"N")</f>
        <v>N</v>
      </c>
    </row>
    <row r="146" spans="2:11" x14ac:dyDescent="0.35">
      <c r="B146" t="str">
        <f t="shared" si="2"/>
        <v>C</v>
      </c>
      <c r="C146" t="s">
        <v>204</v>
      </c>
      <c r="D146" s="11" t="s">
        <v>72</v>
      </c>
      <c r="E146" s="12" t="s">
        <v>69</v>
      </c>
      <c r="F146" s="13">
        <v>38978250.140000001</v>
      </c>
      <c r="G146" s="14">
        <v>44991</v>
      </c>
      <c r="H146" s="12" t="s">
        <v>73</v>
      </c>
      <c r="I146" s="14" t="s">
        <v>109</v>
      </c>
      <c r="J146" s="13">
        <v>-2799979.58</v>
      </c>
      <c r="K146" s="6" t="str">
        <f>+IFERROR(VLOOKUP(I146,'Legal Name'!$A$1:$I$2913,1,0),"N")</f>
        <v>N</v>
      </c>
    </row>
    <row r="147" spans="2:11" x14ac:dyDescent="0.35">
      <c r="B147" t="str">
        <f t="shared" si="2"/>
        <v>C</v>
      </c>
      <c r="C147" t="s">
        <v>205</v>
      </c>
      <c r="D147" s="11" t="s">
        <v>72</v>
      </c>
      <c r="E147" s="12" t="s">
        <v>69</v>
      </c>
      <c r="F147" s="13">
        <v>52025076.090000004</v>
      </c>
      <c r="G147" s="14">
        <v>44992</v>
      </c>
      <c r="H147" s="12" t="s">
        <v>73</v>
      </c>
      <c r="I147" s="14" t="s">
        <v>109</v>
      </c>
      <c r="J147" s="13">
        <v>-4071533.34</v>
      </c>
      <c r="K147" s="6" t="str">
        <f>+IFERROR(VLOOKUP(I147,'Legal Name'!$A$1:$I$2913,1,0),"N")</f>
        <v>N</v>
      </c>
    </row>
    <row r="148" spans="2:11" x14ac:dyDescent="0.35">
      <c r="B148" t="str">
        <f t="shared" si="2"/>
        <v>C</v>
      </c>
      <c r="C148" t="s">
        <v>206</v>
      </c>
      <c r="D148" s="11" t="s">
        <v>72</v>
      </c>
      <c r="E148" s="12" t="s">
        <v>69</v>
      </c>
      <c r="F148" s="13">
        <v>19509403.530000001</v>
      </c>
      <c r="G148" s="14">
        <v>44992</v>
      </c>
      <c r="H148" s="12" t="s">
        <v>73</v>
      </c>
      <c r="I148" s="14" t="s">
        <v>109</v>
      </c>
      <c r="J148" s="13">
        <v>-1517746.61</v>
      </c>
      <c r="K148" s="6" t="str">
        <f>+IFERROR(VLOOKUP(I148,'Legal Name'!$A$1:$I$2913,1,0),"N")</f>
        <v>N</v>
      </c>
    </row>
    <row r="149" spans="2:11" x14ac:dyDescent="0.35">
      <c r="B149" t="str">
        <f t="shared" si="2"/>
        <v>C</v>
      </c>
      <c r="C149" t="s">
        <v>3</v>
      </c>
      <c r="D149" s="11" t="s">
        <v>72</v>
      </c>
      <c r="E149" s="12" t="s">
        <v>69</v>
      </c>
      <c r="F149" s="13">
        <v>253230.25</v>
      </c>
      <c r="G149" s="14">
        <v>45429</v>
      </c>
      <c r="H149" s="12" t="s">
        <v>73</v>
      </c>
      <c r="I149" s="14" t="s">
        <v>93</v>
      </c>
      <c r="J149" s="13">
        <v>52330.09</v>
      </c>
      <c r="K149" s="6" t="str">
        <f>+IFERROR(VLOOKUP(I149,'Legal Name'!$A$1:$I$2913,1,0),"N")</f>
        <v>N</v>
      </c>
    </row>
    <row r="150" spans="2:11" x14ac:dyDescent="0.35">
      <c r="B150" t="str">
        <f t="shared" si="2"/>
        <v>C</v>
      </c>
      <c r="C150" t="s">
        <v>6</v>
      </c>
      <c r="D150" s="11" t="s">
        <v>72</v>
      </c>
      <c r="E150" s="12" t="s">
        <v>69</v>
      </c>
      <c r="F150" s="13">
        <v>17883.240000000002</v>
      </c>
      <c r="G150" s="14">
        <v>45033</v>
      </c>
      <c r="H150" s="12" t="s">
        <v>73</v>
      </c>
      <c r="I150" s="14" t="s">
        <v>89</v>
      </c>
      <c r="J150" s="13">
        <v>8663.51</v>
      </c>
      <c r="K150" s="6" t="str">
        <f>+IFERROR(VLOOKUP(I150,'Legal Name'!$A$1:$I$2913,1,0),"N")</f>
        <v>N</v>
      </c>
    </row>
    <row r="151" spans="2:11" x14ac:dyDescent="0.35">
      <c r="B151" t="str">
        <f t="shared" si="2"/>
        <v>C</v>
      </c>
      <c r="C151" t="s">
        <v>7</v>
      </c>
      <c r="D151" s="11" t="s">
        <v>72</v>
      </c>
      <c r="E151" s="12" t="s">
        <v>69</v>
      </c>
      <c r="F151" s="13">
        <v>17883.29</v>
      </c>
      <c r="G151" s="14">
        <v>45036</v>
      </c>
      <c r="H151" s="12" t="s">
        <v>73</v>
      </c>
      <c r="I151" s="14" t="s">
        <v>78</v>
      </c>
      <c r="J151" s="13">
        <v>8726.74</v>
      </c>
      <c r="K151" s="6" t="str">
        <f>+IFERROR(VLOOKUP(I151,'Legal Name'!$A$1:$I$2913,1,0),"N")</f>
        <v>N</v>
      </c>
    </row>
    <row r="152" spans="2:11" x14ac:dyDescent="0.35">
      <c r="B152" t="str">
        <f t="shared" si="2"/>
        <v>C</v>
      </c>
      <c r="C152" t="s">
        <v>10</v>
      </c>
      <c r="D152" s="11" t="s">
        <v>72</v>
      </c>
      <c r="E152" s="12" t="s">
        <v>69</v>
      </c>
      <c r="F152" s="13">
        <v>5332706.43</v>
      </c>
      <c r="G152" s="14">
        <v>45793</v>
      </c>
      <c r="H152" s="12" t="s">
        <v>73</v>
      </c>
      <c r="I152" s="14" t="s">
        <v>75</v>
      </c>
      <c r="J152" s="13">
        <v>2756655.71</v>
      </c>
      <c r="K152" s="6" t="str">
        <f>+IFERROR(VLOOKUP(I152,'Legal Name'!$A$1:$I$2913,1,0),"N")</f>
        <v>N</v>
      </c>
    </row>
    <row r="153" spans="2:11" x14ac:dyDescent="0.35">
      <c r="B153" t="str">
        <f t="shared" si="2"/>
        <v>C</v>
      </c>
      <c r="C153" t="s">
        <v>11</v>
      </c>
      <c r="D153" s="11" t="s">
        <v>72</v>
      </c>
      <c r="E153" s="12" t="s">
        <v>69</v>
      </c>
      <c r="F153" s="13">
        <v>695800.91</v>
      </c>
      <c r="G153" s="14">
        <v>45444</v>
      </c>
      <c r="H153" s="12" t="s">
        <v>73</v>
      </c>
      <c r="I153" s="14" t="s">
        <v>92</v>
      </c>
      <c r="J153" s="13">
        <v>267660.14</v>
      </c>
      <c r="K153" s="6" t="str">
        <f>+IFERROR(VLOOKUP(I153,'Legal Name'!$A$1:$I$2913,1,0),"N")</f>
        <v>N</v>
      </c>
    </row>
    <row r="154" spans="2:11" x14ac:dyDescent="0.35">
      <c r="B154" t="str">
        <f t="shared" si="2"/>
        <v>C</v>
      </c>
      <c r="C154" t="s">
        <v>12</v>
      </c>
      <c r="D154" s="11" t="s">
        <v>72</v>
      </c>
      <c r="E154" s="12" t="s">
        <v>69</v>
      </c>
      <c r="F154" s="13">
        <v>27396.97</v>
      </c>
      <c r="G154" s="14">
        <v>45082</v>
      </c>
      <c r="H154" s="12" t="s">
        <v>73</v>
      </c>
      <c r="I154" s="14" t="s">
        <v>86</v>
      </c>
      <c r="J154" s="13">
        <v>12057.4</v>
      </c>
      <c r="K154" s="6" t="str">
        <f>+IFERROR(VLOOKUP(I154,'Legal Name'!$A$1:$I$2913,1,0),"N")</f>
        <v>N</v>
      </c>
    </row>
    <row r="155" spans="2:11" x14ac:dyDescent="0.35">
      <c r="B155" t="str">
        <f t="shared" si="2"/>
        <v>C</v>
      </c>
      <c r="C155" t="s">
        <v>15</v>
      </c>
      <c r="D155" s="11" t="s">
        <v>72</v>
      </c>
      <c r="E155" s="12" t="s">
        <v>69</v>
      </c>
      <c r="F155" s="13">
        <v>472924.93</v>
      </c>
      <c r="G155" s="14">
        <v>45147</v>
      </c>
      <c r="H155" s="12" t="s">
        <v>73</v>
      </c>
      <c r="I155" s="14" t="s">
        <v>79</v>
      </c>
      <c r="J155" s="13">
        <v>210973.94</v>
      </c>
      <c r="K155" s="6" t="str">
        <f>+IFERROR(VLOOKUP(I155,'Legal Name'!$A$1:$I$2913,1,0),"N")</f>
        <v>N</v>
      </c>
    </row>
    <row r="156" spans="2:11" x14ac:dyDescent="0.35">
      <c r="B156" t="str">
        <f t="shared" si="2"/>
        <v>C</v>
      </c>
      <c r="C156" t="s">
        <v>16</v>
      </c>
      <c r="D156" s="11" t="s">
        <v>72</v>
      </c>
      <c r="E156" s="12" t="s">
        <v>69</v>
      </c>
      <c r="F156" s="13">
        <v>219021.61</v>
      </c>
      <c r="G156" s="14">
        <v>45221</v>
      </c>
      <c r="H156" s="12" t="s">
        <v>73</v>
      </c>
      <c r="I156" s="14" t="s">
        <v>79</v>
      </c>
      <c r="J156" s="13">
        <v>84717.18</v>
      </c>
      <c r="K156" s="6" t="str">
        <f>+IFERROR(VLOOKUP(I156,'Legal Name'!$A$1:$I$2913,1,0),"N")</f>
        <v>N</v>
      </c>
    </row>
    <row r="157" spans="2:11" x14ac:dyDescent="0.35">
      <c r="B157" t="str">
        <f t="shared" si="2"/>
        <v>C</v>
      </c>
      <c r="C157" t="s">
        <v>20</v>
      </c>
      <c r="D157" s="11" t="s">
        <v>72</v>
      </c>
      <c r="E157" s="12" t="s">
        <v>69</v>
      </c>
      <c r="F157" s="13">
        <v>985530.28</v>
      </c>
      <c r="G157" s="14">
        <v>45281</v>
      </c>
      <c r="H157" s="12" t="s">
        <v>73</v>
      </c>
      <c r="I157" s="14" t="s">
        <v>91</v>
      </c>
      <c r="J157" s="13">
        <v>305078.93</v>
      </c>
      <c r="K157" s="6" t="str">
        <f>+IFERROR(VLOOKUP(I157,'Legal Name'!$A$1:$I$2913,1,0),"N")</f>
        <v>N</v>
      </c>
    </row>
    <row r="158" spans="2:11" x14ac:dyDescent="0.35">
      <c r="B158" t="str">
        <f t="shared" si="2"/>
        <v>C</v>
      </c>
      <c r="C158" t="s">
        <v>22</v>
      </c>
      <c r="D158" s="11" t="s">
        <v>72</v>
      </c>
      <c r="E158" s="12" t="s">
        <v>69</v>
      </c>
      <c r="F158" s="13">
        <v>661956.76</v>
      </c>
      <c r="G158" s="14">
        <v>45411</v>
      </c>
      <c r="H158" s="12" t="s">
        <v>73</v>
      </c>
      <c r="I158" s="14" t="s">
        <v>90</v>
      </c>
      <c r="J158" s="13">
        <v>251608.76</v>
      </c>
      <c r="K158" s="6" t="str">
        <f>+IFERROR(VLOOKUP(I158,'Legal Name'!$A$1:$I$2913,1,0),"N")</f>
        <v>N</v>
      </c>
    </row>
    <row r="159" spans="2:11" x14ac:dyDescent="0.35">
      <c r="B159" t="str">
        <f t="shared" si="2"/>
        <v>C</v>
      </c>
      <c r="C159" t="s">
        <v>23</v>
      </c>
      <c r="D159" s="11" t="s">
        <v>72</v>
      </c>
      <c r="E159" s="12" t="s">
        <v>69</v>
      </c>
      <c r="F159" s="13">
        <v>230547.07</v>
      </c>
      <c r="G159" s="14">
        <v>45443</v>
      </c>
      <c r="H159" s="12" t="s">
        <v>73</v>
      </c>
      <c r="I159" s="14" t="s">
        <v>89</v>
      </c>
      <c r="J159" s="13">
        <v>61332.47</v>
      </c>
      <c r="K159" s="6" t="str">
        <f>+IFERROR(VLOOKUP(I159,'Legal Name'!$A$1:$I$2913,1,0),"N")</f>
        <v>N</v>
      </c>
    </row>
    <row r="160" spans="2:11" x14ac:dyDescent="0.35">
      <c r="B160" t="str">
        <f t="shared" si="2"/>
        <v>C</v>
      </c>
      <c r="C160" t="s">
        <v>26</v>
      </c>
      <c r="D160" s="11" t="s">
        <v>72</v>
      </c>
      <c r="E160" s="12" t="s">
        <v>69</v>
      </c>
      <c r="F160" s="13">
        <v>531982.61</v>
      </c>
      <c r="G160" s="14">
        <v>45491</v>
      </c>
      <c r="H160" s="12" t="s">
        <v>73</v>
      </c>
      <c r="I160" s="14" t="s">
        <v>76</v>
      </c>
      <c r="J160" s="13">
        <v>195929.34</v>
      </c>
      <c r="K160" s="6" t="str">
        <f>+IFERROR(VLOOKUP(I160,'Legal Name'!$A$1:$I$2913,1,0),"N")</f>
        <v>N</v>
      </c>
    </row>
    <row r="161" spans="2:11" x14ac:dyDescent="0.35">
      <c r="B161" t="str">
        <f t="shared" si="2"/>
        <v>C</v>
      </c>
      <c r="C161" t="s">
        <v>28</v>
      </c>
      <c r="D161" s="11" t="s">
        <v>72</v>
      </c>
      <c r="E161" s="12" t="s">
        <v>69</v>
      </c>
      <c r="F161" s="13">
        <v>638344.64</v>
      </c>
      <c r="G161" s="14">
        <v>45260</v>
      </c>
      <c r="H161" s="12" t="s">
        <v>70</v>
      </c>
      <c r="I161" s="14" t="s">
        <v>71</v>
      </c>
      <c r="J161" s="13">
        <v>225336.18</v>
      </c>
      <c r="K161" s="6" t="str">
        <f>+IFERROR(VLOOKUP(I161,'Legal Name'!$A$1:$I$2913,1,0),"N")</f>
        <v>N</v>
      </c>
    </row>
    <row r="162" spans="2:11" x14ac:dyDescent="0.35">
      <c r="B162" t="str">
        <f t="shared" si="2"/>
        <v>C</v>
      </c>
      <c r="C162" t="s">
        <v>31</v>
      </c>
      <c r="D162" s="11" t="s">
        <v>72</v>
      </c>
      <c r="E162" s="12" t="s">
        <v>69</v>
      </c>
      <c r="F162" s="13">
        <v>594738.42000000004</v>
      </c>
      <c r="G162" s="14">
        <v>45289</v>
      </c>
      <c r="H162" s="12" t="s">
        <v>70</v>
      </c>
      <c r="I162" s="14" t="s">
        <v>71</v>
      </c>
      <c r="J162" s="13">
        <v>248972.28</v>
      </c>
      <c r="K162" s="6" t="str">
        <f>+IFERROR(VLOOKUP(I162,'Legal Name'!$A$1:$I$2913,1,0),"N")</f>
        <v>N</v>
      </c>
    </row>
    <row r="163" spans="2:11" x14ac:dyDescent="0.35">
      <c r="B163" t="str">
        <f t="shared" si="2"/>
        <v>C</v>
      </c>
      <c r="C163" t="s">
        <v>33</v>
      </c>
      <c r="D163" s="11" t="s">
        <v>72</v>
      </c>
      <c r="E163" s="12" t="s">
        <v>69</v>
      </c>
      <c r="F163" s="13">
        <v>8970174.7100000009</v>
      </c>
      <c r="G163" s="14">
        <v>45537</v>
      </c>
      <c r="H163" s="12" t="s">
        <v>73</v>
      </c>
      <c r="I163" s="14" t="s">
        <v>82</v>
      </c>
      <c r="J163" s="13">
        <v>3198847.24</v>
      </c>
      <c r="K163" s="6" t="str">
        <f>+IFERROR(VLOOKUP(I163,'Legal Name'!$A$1:$I$2913,1,0),"N")</f>
        <v>N</v>
      </c>
    </row>
    <row r="164" spans="2:11" x14ac:dyDescent="0.35">
      <c r="B164" t="str">
        <f t="shared" si="2"/>
        <v>C</v>
      </c>
      <c r="C164" t="s">
        <v>44</v>
      </c>
      <c r="D164" s="11" t="s">
        <v>72</v>
      </c>
      <c r="E164" s="12" t="s">
        <v>69</v>
      </c>
      <c r="F164" s="13">
        <v>130188.42</v>
      </c>
      <c r="G164" s="14">
        <v>45499</v>
      </c>
      <c r="H164" s="12" t="s">
        <v>73</v>
      </c>
      <c r="I164" s="14" t="s">
        <v>86</v>
      </c>
      <c r="J164" s="13">
        <v>34477.370000000003</v>
      </c>
      <c r="K164" s="6" t="str">
        <f>+IFERROR(VLOOKUP(I164,'Legal Name'!$A$1:$I$2913,1,0),"N")</f>
        <v>N</v>
      </c>
    </row>
    <row r="165" spans="2:11" x14ac:dyDescent="0.35">
      <c r="B165" t="str">
        <f t="shared" si="2"/>
        <v>C</v>
      </c>
      <c r="C165" t="s">
        <v>47</v>
      </c>
      <c r="D165" s="11" t="s">
        <v>72</v>
      </c>
      <c r="E165" s="12" t="s">
        <v>69</v>
      </c>
      <c r="F165" s="13">
        <v>288957.07</v>
      </c>
      <c r="G165" s="14">
        <v>45287</v>
      </c>
      <c r="H165" s="12" t="s">
        <v>73</v>
      </c>
      <c r="I165" s="14" t="s">
        <v>76</v>
      </c>
      <c r="J165" s="13">
        <v>78649.91</v>
      </c>
      <c r="K165" s="6" t="str">
        <f>+IFERROR(VLOOKUP(I165,'Legal Name'!$A$1:$I$2913,1,0),"N")</f>
        <v>N</v>
      </c>
    </row>
    <row r="166" spans="2:11" x14ac:dyDescent="0.35">
      <c r="B166" t="str">
        <f t="shared" si="2"/>
        <v>C</v>
      </c>
      <c r="C166" t="s">
        <v>49</v>
      </c>
      <c r="D166" s="11" t="s">
        <v>72</v>
      </c>
      <c r="E166" s="12" t="s">
        <v>69</v>
      </c>
      <c r="F166" s="13">
        <v>209020.64</v>
      </c>
      <c r="G166" s="14">
        <v>45376</v>
      </c>
      <c r="H166" s="12" t="s">
        <v>73</v>
      </c>
      <c r="I166" s="14" t="s">
        <v>85</v>
      </c>
      <c r="J166" s="13">
        <v>77271.64</v>
      </c>
      <c r="K166" s="6" t="str">
        <f>+IFERROR(VLOOKUP(I166,'Legal Name'!$A$1:$I$2913,1,0),"N")</f>
        <v>N</v>
      </c>
    </row>
    <row r="167" spans="2:11" x14ac:dyDescent="0.35">
      <c r="B167" t="str">
        <f t="shared" si="2"/>
        <v>C</v>
      </c>
      <c r="C167" t="s">
        <v>51</v>
      </c>
      <c r="D167" s="11" t="s">
        <v>72</v>
      </c>
      <c r="E167" s="12" t="s">
        <v>69</v>
      </c>
      <c r="F167" s="13">
        <v>464580.73</v>
      </c>
      <c r="G167" s="14">
        <v>45498</v>
      </c>
      <c r="H167" s="12" t="s">
        <v>73</v>
      </c>
      <c r="I167" s="14" t="s">
        <v>94</v>
      </c>
      <c r="J167" s="13">
        <v>187819.39</v>
      </c>
      <c r="K167" s="6" t="str">
        <f>+IFERROR(VLOOKUP(I167,'Legal Name'!$A$1:$I$2913,1,0),"N")</f>
        <v>N</v>
      </c>
    </row>
    <row r="168" spans="2:11" x14ac:dyDescent="0.35">
      <c r="B168" t="str">
        <f t="shared" si="2"/>
        <v>C</v>
      </c>
      <c r="C168" t="s">
        <v>53</v>
      </c>
      <c r="D168" s="11" t="s">
        <v>72</v>
      </c>
      <c r="E168" s="12" t="s">
        <v>69</v>
      </c>
      <c r="F168" s="13">
        <v>4033.57</v>
      </c>
      <c r="G168" s="14">
        <v>45067</v>
      </c>
      <c r="H168" s="12" t="s">
        <v>73</v>
      </c>
      <c r="I168" s="14" t="s">
        <v>85</v>
      </c>
      <c r="J168" s="13">
        <v>1198.6600000000001</v>
      </c>
      <c r="K168" s="6" t="str">
        <f>+IFERROR(VLOOKUP(I168,'Legal Name'!$A$1:$I$2913,1,0),"N")</f>
        <v>N</v>
      </c>
    </row>
    <row r="169" spans="2:11" x14ac:dyDescent="0.35">
      <c r="B169" t="str">
        <f t="shared" si="2"/>
        <v>C</v>
      </c>
      <c r="C169" t="s">
        <v>54</v>
      </c>
      <c r="D169" s="11" t="s">
        <v>72</v>
      </c>
      <c r="E169" s="12" t="s">
        <v>69</v>
      </c>
      <c r="F169" s="13">
        <v>934397.32</v>
      </c>
      <c r="G169" s="14">
        <v>45530</v>
      </c>
      <c r="H169" s="12" t="s">
        <v>73</v>
      </c>
      <c r="I169" s="14" t="s">
        <v>84</v>
      </c>
      <c r="J169" s="13">
        <v>315795.20000000001</v>
      </c>
      <c r="K169" s="6" t="str">
        <f>+IFERROR(VLOOKUP(I169,'Legal Name'!$A$1:$I$2913,1,0),"N")</f>
        <v>N</v>
      </c>
    </row>
    <row r="170" spans="2:11" x14ac:dyDescent="0.35">
      <c r="B170" t="str">
        <f t="shared" si="2"/>
        <v>C</v>
      </c>
      <c r="C170" t="s">
        <v>57</v>
      </c>
      <c r="D170" s="11" t="s">
        <v>72</v>
      </c>
      <c r="E170" s="12" t="s">
        <v>69</v>
      </c>
      <c r="F170" s="13">
        <v>3969316.8</v>
      </c>
      <c r="G170" s="14">
        <v>45922</v>
      </c>
      <c r="H170" s="12" t="s">
        <v>73</v>
      </c>
      <c r="I170" s="14" t="s">
        <v>81</v>
      </c>
      <c r="J170" s="13">
        <v>1620069.26</v>
      </c>
      <c r="K170" s="6" t="str">
        <f>+IFERROR(VLOOKUP(I170,'Legal Name'!$A$1:$I$2913,1,0),"N")</f>
        <v>N</v>
      </c>
    </row>
    <row r="171" spans="2:11" x14ac:dyDescent="0.35">
      <c r="B171" t="str">
        <f t="shared" si="2"/>
        <v>C</v>
      </c>
      <c r="C171" t="s">
        <v>58</v>
      </c>
      <c r="D171" s="11" t="s">
        <v>72</v>
      </c>
      <c r="E171" s="12" t="s">
        <v>69</v>
      </c>
      <c r="F171" s="13">
        <v>50000000</v>
      </c>
      <c r="G171" s="14">
        <v>45278</v>
      </c>
      <c r="H171" s="12" t="s">
        <v>70</v>
      </c>
      <c r="I171" s="14" t="s">
        <v>71</v>
      </c>
      <c r="J171" s="13">
        <v>6456519.5999999996</v>
      </c>
      <c r="K171" s="6" t="str">
        <f>+IFERROR(VLOOKUP(I171,'Legal Name'!$A$1:$I$2913,1,0),"N")</f>
        <v>N</v>
      </c>
    </row>
    <row r="172" spans="2:11" x14ac:dyDescent="0.35">
      <c r="B172" t="str">
        <f t="shared" si="2"/>
        <v>C</v>
      </c>
      <c r="C172" t="s">
        <v>61</v>
      </c>
      <c r="D172" s="11" t="s">
        <v>72</v>
      </c>
      <c r="E172" s="12" t="s">
        <v>69</v>
      </c>
      <c r="F172" s="13">
        <v>2911004.2</v>
      </c>
      <c r="G172" s="14">
        <v>46063</v>
      </c>
      <c r="H172" s="12" t="s">
        <v>73</v>
      </c>
      <c r="I172" s="14" t="s">
        <v>80</v>
      </c>
      <c r="J172" s="13">
        <v>403689.66</v>
      </c>
      <c r="K172" s="6" t="str">
        <f>+IFERROR(VLOOKUP(I172,'Legal Name'!$A$1:$I$2913,1,0),"N")</f>
        <v>N</v>
      </c>
    </row>
    <row r="173" spans="2:11" x14ac:dyDescent="0.35">
      <c r="B173" t="str">
        <f t="shared" si="2"/>
        <v>C</v>
      </c>
      <c r="C173" t="s">
        <v>63</v>
      </c>
      <c r="D173" s="11" t="s">
        <v>72</v>
      </c>
      <c r="E173" s="12" t="s">
        <v>69</v>
      </c>
      <c r="F173" s="13">
        <v>25000000</v>
      </c>
      <c r="G173" s="14">
        <v>45099</v>
      </c>
      <c r="H173" s="12" t="s">
        <v>73</v>
      </c>
      <c r="I173" s="14" t="s">
        <v>77</v>
      </c>
      <c r="J173" s="13">
        <v>12142746.869999999</v>
      </c>
      <c r="K173" s="6" t="str">
        <f>+IFERROR(VLOOKUP(I173,'Legal Name'!$A$1:$I$2913,1,0),"N")</f>
        <v>N</v>
      </c>
    </row>
    <row r="174" spans="2:11" x14ac:dyDescent="0.35">
      <c r="B174" t="str">
        <f t="shared" si="2"/>
        <v>C</v>
      </c>
      <c r="C174" t="s">
        <v>65</v>
      </c>
      <c r="D174" s="11" t="s">
        <v>72</v>
      </c>
      <c r="E174" s="12" t="s">
        <v>69</v>
      </c>
      <c r="F174" s="13">
        <v>25000000</v>
      </c>
      <c r="G174" s="14">
        <v>45099</v>
      </c>
      <c r="H174" s="12" t="s">
        <v>73</v>
      </c>
      <c r="I174" s="14" t="s">
        <v>77</v>
      </c>
      <c r="J174" s="13">
        <v>11917310.01</v>
      </c>
      <c r="K174" s="6" t="str">
        <f>+IFERROR(VLOOKUP(I174,'Legal Name'!$A$1:$I$2913,1,0),"N")</f>
        <v>N</v>
      </c>
    </row>
    <row r="175" spans="2:11" x14ac:dyDescent="0.35">
      <c r="B175" t="str">
        <f t="shared" si="2"/>
        <v>V</v>
      </c>
      <c r="C175" t="s">
        <v>66</v>
      </c>
      <c r="D175" s="11" t="s">
        <v>68</v>
      </c>
      <c r="E175" s="12" t="s">
        <v>69</v>
      </c>
      <c r="F175" s="13">
        <v>14131526.07</v>
      </c>
      <c r="G175" s="14">
        <v>46566</v>
      </c>
      <c r="H175" s="12" t="s">
        <v>70</v>
      </c>
      <c r="I175" s="14" t="s">
        <v>71</v>
      </c>
      <c r="J175" s="13">
        <v>-4429583.1100000003</v>
      </c>
      <c r="K175" s="6" t="str">
        <f>+IFERROR(VLOOKUP(I175,'Legal Name'!$A$1:$I$2913,1,0),"N")</f>
        <v>N</v>
      </c>
    </row>
    <row r="176" spans="2:11" x14ac:dyDescent="0.35">
      <c r="B176" t="str">
        <f t="shared" si="2"/>
        <v>V</v>
      </c>
      <c r="C176" t="s">
        <v>67</v>
      </c>
      <c r="D176" s="11" t="s">
        <v>68</v>
      </c>
      <c r="E176" s="12" t="s">
        <v>69</v>
      </c>
      <c r="F176" s="13">
        <v>942487.21</v>
      </c>
      <c r="G176" s="14">
        <v>45440</v>
      </c>
      <c r="H176" s="12" t="s">
        <v>70</v>
      </c>
      <c r="I176" s="14" t="s">
        <v>71</v>
      </c>
      <c r="J176" s="13">
        <v>150926.29999999999</v>
      </c>
      <c r="K176" s="6" t="str">
        <f>+IFERROR(VLOOKUP(I176,'Legal Name'!$A$1:$I$2913,1,0),"N")</f>
        <v>N</v>
      </c>
    </row>
    <row r="177" spans="2:11" x14ac:dyDescent="0.35">
      <c r="B177" t="str">
        <f t="shared" si="2"/>
        <v>V</v>
      </c>
      <c r="C177" t="s">
        <v>96</v>
      </c>
      <c r="D177" s="11" t="s">
        <v>68</v>
      </c>
      <c r="E177" s="12" t="s">
        <v>69</v>
      </c>
      <c r="F177" s="13">
        <v>3450000</v>
      </c>
      <c r="G177" s="14">
        <v>45657</v>
      </c>
      <c r="H177" s="12" t="s">
        <v>70</v>
      </c>
      <c r="I177" s="14" t="s">
        <v>71</v>
      </c>
      <c r="J177" s="13">
        <v>-1502222.42</v>
      </c>
      <c r="K177" s="6" t="str">
        <f>+IFERROR(VLOOKUP(I177,'Legal Name'!$A$1:$I$2913,1,0),"N")</f>
        <v>N</v>
      </c>
    </row>
    <row r="178" spans="2:11" x14ac:dyDescent="0.35">
      <c r="B178" t="str">
        <f t="shared" si="2"/>
        <v>V</v>
      </c>
      <c r="C178" t="s">
        <v>97</v>
      </c>
      <c r="D178" s="11" t="s">
        <v>68</v>
      </c>
      <c r="E178" s="12" t="s">
        <v>69</v>
      </c>
      <c r="F178" s="13">
        <v>550000</v>
      </c>
      <c r="G178" s="14">
        <v>45107</v>
      </c>
      <c r="H178" s="12" t="s">
        <v>70</v>
      </c>
      <c r="I178" s="14" t="s">
        <v>71</v>
      </c>
      <c r="J178" s="13">
        <v>-232919.82</v>
      </c>
      <c r="K178" s="6" t="str">
        <f>+IFERROR(VLOOKUP(I178,'Legal Name'!$A$1:$I$2913,1,0),"N")</f>
        <v>N</v>
      </c>
    </row>
    <row r="179" spans="2:11" x14ac:dyDescent="0.35">
      <c r="B179" t="str">
        <f t="shared" si="2"/>
        <v>V</v>
      </c>
      <c r="C179" t="s">
        <v>199</v>
      </c>
      <c r="D179" s="11" t="s">
        <v>68</v>
      </c>
      <c r="E179" s="12" t="s">
        <v>69</v>
      </c>
      <c r="F179" s="13">
        <v>18615884.379999999</v>
      </c>
      <c r="G179" s="14">
        <v>46660</v>
      </c>
      <c r="H179" s="12" t="s">
        <v>73</v>
      </c>
      <c r="I179" s="14" t="s">
        <v>87</v>
      </c>
      <c r="J179" s="13">
        <v>4871105.95</v>
      </c>
      <c r="K179" s="6" t="str">
        <f>+IFERROR(VLOOKUP(I179,'Legal Name'!$A$1:$I$2913,1,0),"N")</f>
        <v>N</v>
      </c>
    </row>
    <row r="180" spans="2:11" x14ac:dyDescent="0.35">
      <c r="B180" t="str">
        <f t="shared" si="2"/>
        <v>V</v>
      </c>
      <c r="C180" t="s">
        <v>4</v>
      </c>
      <c r="D180" s="11" t="s">
        <v>68</v>
      </c>
      <c r="E180" s="12" t="s">
        <v>69</v>
      </c>
      <c r="F180" s="13">
        <v>248520.99</v>
      </c>
      <c r="G180" s="14">
        <v>45429</v>
      </c>
      <c r="H180" s="12" t="s">
        <v>70</v>
      </c>
      <c r="I180" s="14" t="s">
        <v>71</v>
      </c>
      <c r="J180" s="13">
        <v>-31485.119999999999</v>
      </c>
      <c r="K180" s="6" t="str">
        <f>+IFERROR(VLOOKUP(I180,'Legal Name'!$A$1:$I$2913,1,0),"N")</f>
        <v>N</v>
      </c>
    </row>
    <row r="181" spans="2:11" x14ac:dyDescent="0.35">
      <c r="B181" t="str">
        <f t="shared" si="2"/>
        <v>V</v>
      </c>
      <c r="C181" t="s">
        <v>5</v>
      </c>
      <c r="D181" s="11" t="s">
        <v>68</v>
      </c>
      <c r="E181" s="12" t="s">
        <v>69</v>
      </c>
      <c r="F181" s="13">
        <v>17793.41</v>
      </c>
      <c r="G181" s="14">
        <v>45033</v>
      </c>
      <c r="H181" s="12" t="s">
        <v>70</v>
      </c>
      <c r="I181" s="14" t="s">
        <v>71</v>
      </c>
      <c r="J181" s="13">
        <v>-8311.16</v>
      </c>
      <c r="K181" s="6" t="str">
        <f>+IFERROR(VLOOKUP(I181,'Legal Name'!$A$1:$I$2913,1,0),"N")</f>
        <v>N</v>
      </c>
    </row>
    <row r="182" spans="2:11" x14ac:dyDescent="0.35">
      <c r="B182" t="str">
        <f t="shared" si="2"/>
        <v>V</v>
      </c>
      <c r="C182" t="s">
        <v>8</v>
      </c>
      <c r="D182" s="11" t="s">
        <v>68</v>
      </c>
      <c r="E182" s="12" t="s">
        <v>69</v>
      </c>
      <c r="F182" s="13">
        <v>17804.3</v>
      </c>
      <c r="G182" s="14">
        <v>45036</v>
      </c>
      <c r="H182" s="12" t="s">
        <v>70</v>
      </c>
      <c r="I182" s="14" t="s">
        <v>71</v>
      </c>
      <c r="J182" s="13">
        <v>-8416.9</v>
      </c>
      <c r="K182" s="6" t="str">
        <f>+IFERROR(VLOOKUP(I182,'Legal Name'!$A$1:$I$2913,1,0),"N")</f>
        <v>N</v>
      </c>
    </row>
    <row r="183" spans="2:11" x14ac:dyDescent="0.35">
      <c r="B183" t="str">
        <f t="shared" si="2"/>
        <v>V</v>
      </c>
      <c r="C183" t="s">
        <v>9</v>
      </c>
      <c r="D183" s="11" t="s">
        <v>68</v>
      </c>
      <c r="E183" s="12" t="s">
        <v>69</v>
      </c>
      <c r="F183" s="13">
        <v>5282317.82</v>
      </c>
      <c r="G183" s="14">
        <v>45793</v>
      </c>
      <c r="H183" s="12" t="s">
        <v>70</v>
      </c>
      <c r="I183" s="14" t="s">
        <v>71</v>
      </c>
      <c r="J183" s="13">
        <v>-2256698.11</v>
      </c>
      <c r="K183" s="6" t="str">
        <f>+IFERROR(VLOOKUP(I183,'Legal Name'!$A$1:$I$2913,1,0),"N")</f>
        <v>N</v>
      </c>
    </row>
    <row r="184" spans="2:11" x14ac:dyDescent="0.35">
      <c r="B184" t="str">
        <f t="shared" si="2"/>
        <v>V</v>
      </c>
      <c r="C184" t="s">
        <v>13</v>
      </c>
      <c r="D184" s="11" t="s">
        <v>68</v>
      </c>
      <c r="E184" s="12" t="s">
        <v>69</v>
      </c>
      <c r="F184" s="13">
        <v>26693.200000000001</v>
      </c>
      <c r="G184" s="14">
        <v>45082</v>
      </c>
      <c r="H184" s="12" t="s">
        <v>70</v>
      </c>
      <c r="I184" s="14" t="s">
        <v>71</v>
      </c>
      <c r="J184" s="13">
        <v>-9355.75</v>
      </c>
      <c r="K184" s="6" t="str">
        <f>+IFERROR(VLOOKUP(I184,'Legal Name'!$A$1:$I$2913,1,0),"N")</f>
        <v>N</v>
      </c>
    </row>
    <row r="185" spans="2:11" x14ac:dyDescent="0.35">
      <c r="B185" t="str">
        <f t="shared" si="2"/>
        <v>V</v>
      </c>
      <c r="C185" t="s">
        <v>14</v>
      </c>
      <c r="D185" s="11" t="s">
        <v>68</v>
      </c>
      <c r="E185" s="12" t="s">
        <v>69</v>
      </c>
      <c r="F185" s="13">
        <v>472284.17</v>
      </c>
      <c r="G185" s="14">
        <v>45147</v>
      </c>
      <c r="H185" s="12" t="s">
        <v>70</v>
      </c>
      <c r="I185" s="14" t="s">
        <v>71</v>
      </c>
      <c r="J185" s="13">
        <v>-205803.81</v>
      </c>
      <c r="K185" s="6" t="str">
        <f>+IFERROR(VLOOKUP(I185,'Legal Name'!$A$1:$I$2913,1,0),"N")</f>
        <v>N</v>
      </c>
    </row>
    <row r="186" spans="2:11" x14ac:dyDescent="0.35">
      <c r="B186" t="str">
        <f t="shared" si="2"/>
        <v>V</v>
      </c>
      <c r="C186" t="s">
        <v>17</v>
      </c>
      <c r="D186" s="11" t="s">
        <v>68</v>
      </c>
      <c r="E186" s="12" t="s">
        <v>69</v>
      </c>
      <c r="F186" s="13">
        <v>688135.7</v>
      </c>
      <c r="G186" s="14">
        <v>45444</v>
      </c>
      <c r="H186" s="12" t="s">
        <v>70</v>
      </c>
      <c r="I186" s="14" t="s">
        <v>71</v>
      </c>
      <c r="J186" s="13">
        <v>-232336.29</v>
      </c>
      <c r="K186" s="6" t="str">
        <f>+IFERROR(VLOOKUP(I186,'Legal Name'!$A$1:$I$2913,1,0),"N")</f>
        <v>N</v>
      </c>
    </row>
    <row r="187" spans="2:11" x14ac:dyDescent="0.35">
      <c r="B187" t="str">
        <f t="shared" si="2"/>
        <v>V</v>
      </c>
      <c r="C187" t="s">
        <v>18</v>
      </c>
      <c r="D187" s="11" t="s">
        <v>68</v>
      </c>
      <c r="E187" s="12" t="s">
        <v>69</v>
      </c>
      <c r="F187" s="13">
        <v>218489.64</v>
      </c>
      <c r="G187" s="14">
        <v>45221</v>
      </c>
      <c r="H187" s="12" t="s">
        <v>70</v>
      </c>
      <c r="I187" s="14" t="s">
        <v>71</v>
      </c>
      <c r="J187" s="13">
        <v>-80506.5</v>
      </c>
      <c r="K187" s="6" t="str">
        <f>+IFERROR(VLOOKUP(I187,'Legal Name'!$A$1:$I$2913,1,0),"N")</f>
        <v>N</v>
      </c>
    </row>
    <row r="188" spans="2:11" x14ac:dyDescent="0.35">
      <c r="B188" t="str">
        <f t="shared" si="2"/>
        <v>V</v>
      </c>
      <c r="C188" t="s">
        <v>19</v>
      </c>
      <c r="D188" s="11" t="s">
        <v>68</v>
      </c>
      <c r="E188" s="12" t="s">
        <v>69</v>
      </c>
      <c r="F188" s="13">
        <v>970964.33</v>
      </c>
      <c r="G188" s="14">
        <v>45281</v>
      </c>
      <c r="H188" s="12" t="s">
        <v>70</v>
      </c>
      <c r="I188" s="14" t="s">
        <v>71</v>
      </c>
      <c r="J188" s="13">
        <v>-237627.7</v>
      </c>
      <c r="K188" s="6" t="str">
        <f>+IFERROR(VLOOKUP(I188,'Legal Name'!$A$1:$I$2913,1,0),"N")</f>
        <v>N</v>
      </c>
    </row>
    <row r="189" spans="2:11" x14ac:dyDescent="0.35">
      <c r="B189" t="str">
        <f t="shared" si="2"/>
        <v>V</v>
      </c>
      <c r="C189" t="s">
        <v>21</v>
      </c>
      <c r="D189" s="11" t="s">
        <v>68</v>
      </c>
      <c r="E189" s="12" t="s">
        <v>69</v>
      </c>
      <c r="F189" s="13">
        <v>647732.24</v>
      </c>
      <c r="G189" s="14">
        <v>45411</v>
      </c>
      <c r="H189" s="12" t="s">
        <v>70</v>
      </c>
      <c r="I189" s="14" t="s">
        <v>71</v>
      </c>
      <c r="J189" s="13">
        <v>-183838.44</v>
      </c>
      <c r="K189" s="6" t="str">
        <f>+IFERROR(VLOOKUP(I189,'Legal Name'!$A$1:$I$2913,1,0),"N")</f>
        <v>N</v>
      </c>
    </row>
    <row r="190" spans="2:11" x14ac:dyDescent="0.35">
      <c r="B190" t="str">
        <f t="shared" si="2"/>
        <v>V</v>
      </c>
      <c r="C190" t="s">
        <v>24</v>
      </c>
      <c r="D190" s="11" t="s">
        <v>68</v>
      </c>
      <c r="E190" s="12" t="s">
        <v>69</v>
      </c>
      <c r="F190" s="13">
        <v>227019.1</v>
      </c>
      <c r="G190" s="14">
        <v>45443</v>
      </c>
      <c r="H190" s="12" t="s">
        <v>70</v>
      </c>
      <c r="I190" s="14" t="s">
        <v>71</v>
      </c>
      <c r="J190" s="13">
        <v>-44354.22</v>
      </c>
      <c r="K190" s="6" t="str">
        <f>+IFERROR(VLOOKUP(I190,'Legal Name'!$A$1:$I$2913,1,0),"N")</f>
        <v>N</v>
      </c>
    </row>
    <row r="191" spans="2:11" x14ac:dyDescent="0.35">
      <c r="B191" t="str">
        <f t="shared" si="2"/>
        <v>V</v>
      </c>
      <c r="C191" t="s">
        <v>25</v>
      </c>
      <c r="D191" s="11" t="s">
        <v>68</v>
      </c>
      <c r="E191" s="12" t="s">
        <v>69</v>
      </c>
      <c r="F191" s="13">
        <v>528485.86</v>
      </c>
      <c r="G191" s="14">
        <v>45491</v>
      </c>
      <c r="H191" s="12" t="s">
        <v>70</v>
      </c>
      <c r="I191" s="14" t="s">
        <v>71</v>
      </c>
      <c r="J191" s="13">
        <v>-178340.25</v>
      </c>
      <c r="K191" s="6" t="str">
        <f>+IFERROR(VLOOKUP(I191,'Legal Name'!$A$1:$I$2913,1,0),"N")</f>
        <v>N</v>
      </c>
    </row>
    <row r="192" spans="2:11" x14ac:dyDescent="0.35">
      <c r="B192" t="str">
        <f t="shared" si="2"/>
        <v>V</v>
      </c>
      <c r="C192" t="s">
        <v>29</v>
      </c>
      <c r="D192" s="11" t="s">
        <v>68</v>
      </c>
      <c r="E192" s="12" t="s">
        <v>69</v>
      </c>
      <c r="F192" s="13">
        <v>638344.64</v>
      </c>
      <c r="G192" s="14">
        <v>45260</v>
      </c>
      <c r="H192" s="12" t="s">
        <v>73</v>
      </c>
      <c r="I192" s="14" t="s">
        <v>87</v>
      </c>
      <c r="J192" s="13">
        <v>-224428.36</v>
      </c>
      <c r="K192" s="6" t="str">
        <f>+IFERROR(VLOOKUP(I192,'Legal Name'!$A$1:$I$2913,1,0),"N")</f>
        <v>N</v>
      </c>
    </row>
    <row r="193" spans="2:11" x14ac:dyDescent="0.35">
      <c r="B193" t="str">
        <f t="shared" si="2"/>
        <v>V</v>
      </c>
      <c r="C193" t="s">
        <v>30</v>
      </c>
      <c r="D193" s="11" t="s">
        <v>68</v>
      </c>
      <c r="E193" s="12" t="s">
        <v>69</v>
      </c>
      <c r="F193" s="13">
        <v>594738.42000000004</v>
      </c>
      <c r="G193" s="14">
        <v>45289</v>
      </c>
      <c r="H193" s="12" t="s">
        <v>73</v>
      </c>
      <c r="I193" s="14" t="s">
        <v>87</v>
      </c>
      <c r="J193" s="13">
        <v>-247612.98</v>
      </c>
      <c r="K193" s="6" t="str">
        <f>+IFERROR(VLOOKUP(I193,'Legal Name'!$A$1:$I$2913,1,0),"N")</f>
        <v>N</v>
      </c>
    </row>
    <row r="194" spans="2:11" x14ac:dyDescent="0.35">
      <c r="B194" t="str">
        <f t="shared" si="2"/>
        <v>V</v>
      </c>
      <c r="C194" t="s">
        <v>32</v>
      </c>
      <c r="D194" s="11" t="s">
        <v>68</v>
      </c>
      <c r="E194" s="12" t="s">
        <v>69</v>
      </c>
      <c r="F194" s="13">
        <v>8928134.4000000004</v>
      </c>
      <c r="G194" s="14">
        <v>45537</v>
      </c>
      <c r="H194" s="12" t="s">
        <v>70</v>
      </c>
      <c r="I194" s="14" t="s">
        <v>71</v>
      </c>
      <c r="J194" s="13">
        <v>-2682888.38</v>
      </c>
      <c r="K194" s="6" t="str">
        <f>+IFERROR(VLOOKUP(I194,'Legal Name'!$A$1:$I$2913,1,0),"N")</f>
        <v>N</v>
      </c>
    </row>
    <row r="195" spans="2:11" x14ac:dyDescent="0.35">
      <c r="B195" t="str">
        <f t="shared" ref="B195:B258" si="3">+MID(C195,5,1)</f>
        <v>V</v>
      </c>
      <c r="C195" t="s">
        <v>45</v>
      </c>
      <c r="D195" s="11" t="s">
        <v>68</v>
      </c>
      <c r="E195" s="12" t="s">
        <v>69</v>
      </c>
      <c r="F195" s="13">
        <v>137691.79</v>
      </c>
      <c r="G195" s="14">
        <v>45499</v>
      </c>
      <c r="H195" s="12" t="s">
        <v>70</v>
      </c>
      <c r="I195" s="14" t="s">
        <v>71</v>
      </c>
      <c r="J195" s="13">
        <v>-59259.23</v>
      </c>
      <c r="K195" s="6" t="str">
        <f>+IFERROR(VLOOKUP(I195,'Legal Name'!$A$1:$I$2913,1,0),"N")</f>
        <v>N</v>
      </c>
    </row>
    <row r="196" spans="2:11" x14ac:dyDescent="0.35">
      <c r="B196" t="str">
        <f t="shared" si="3"/>
        <v>V</v>
      </c>
      <c r="C196" t="s">
        <v>46</v>
      </c>
      <c r="D196" s="11" t="s">
        <v>68</v>
      </c>
      <c r="E196" s="12" t="s">
        <v>69</v>
      </c>
      <c r="F196" s="13">
        <v>284829.12</v>
      </c>
      <c r="G196" s="14">
        <v>45287</v>
      </c>
      <c r="H196" s="12" t="s">
        <v>70</v>
      </c>
      <c r="I196" s="14" t="s">
        <v>71</v>
      </c>
      <c r="J196" s="13">
        <v>-60658.59</v>
      </c>
      <c r="K196" s="6" t="str">
        <f>+IFERROR(VLOOKUP(I196,'Legal Name'!$A$1:$I$2913,1,0),"N")</f>
        <v>N</v>
      </c>
    </row>
    <row r="197" spans="2:11" x14ac:dyDescent="0.35">
      <c r="B197" t="str">
        <f t="shared" si="3"/>
        <v>V</v>
      </c>
      <c r="C197" t="s">
        <v>48</v>
      </c>
      <c r="D197" s="11" t="s">
        <v>68</v>
      </c>
      <c r="E197" s="12" t="s">
        <v>69</v>
      </c>
      <c r="F197" s="13">
        <v>205942.04</v>
      </c>
      <c r="G197" s="14">
        <v>45376</v>
      </c>
      <c r="H197" s="12" t="s">
        <v>70</v>
      </c>
      <c r="I197" s="14" t="s">
        <v>71</v>
      </c>
      <c r="J197" s="13">
        <v>-62995.3</v>
      </c>
      <c r="K197" s="6" t="str">
        <f>+IFERROR(VLOOKUP(I197,'Legal Name'!$A$1:$I$2913,1,0),"N")</f>
        <v>N</v>
      </c>
    </row>
    <row r="198" spans="2:11" x14ac:dyDescent="0.35">
      <c r="B198" t="str">
        <f t="shared" si="3"/>
        <v>V</v>
      </c>
      <c r="C198" t="s">
        <v>50</v>
      </c>
      <c r="D198" s="11" t="s">
        <v>68</v>
      </c>
      <c r="E198" s="12" t="s">
        <v>69</v>
      </c>
      <c r="F198" s="13">
        <v>459111.06</v>
      </c>
      <c r="G198" s="14">
        <v>45498</v>
      </c>
      <c r="H198" s="12" t="s">
        <v>70</v>
      </c>
      <c r="I198" s="14" t="s">
        <v>71</v>
      </c>
      <c r="J198" s="13">
        <v>-160032.62</v>
      </c>
      <c r="K198" s="6" t="str">
        <f>+IFERROR(VLOOKUP(I198,'Legal Name'!$A$1:$I$2913,1,0),"N")</f>
        <v>N</v>
      </c>
    </row>
    <row r="199" spans="2:11" x14ac:dyDescent="0.35">
      <c r="B199" t="str">
        <f t="shared" si="3"/>
        <v>V</v>
      </c>
      <c r="C199" t="s">
        <v>52</v>
      </c>
      <c r="D199" s="11" t="s">
        <v>68</v>
      </c>
      <c r="E199" s="12" t="s">
        <v>69</v>
      </c>
      <c r="F199" s="13">
        <v>3960.7</v>
      </c>
      <c r="G199" s="14">
        <v>45067</v>
      </c>
      <c r="H199" s="12" t="s">
        <v>70</v>
      </c>
      <c r="I199" s="14" t="s">
        <v>71</v>
      </c>
      <c r="J199" s="13">
        <v>-852.82</v>
      </c>
      <c r="K199" s="6" t="str">
        <f>+IFERROR(VLOOKUP(I199,'Legal Name'!$A$1:$I$2913,1,0),"N")</f>
        <v>N</v>
      </c>
    </row>
    <row r="200" spans="2:11" x14ac:dyDescent="0.35">
      <c r="B200" t="str">
        <f t="shared" si="3"/>
        <v>V</v>
      </c>
      <c r="C200" t="s">
        <v>55</v>
      </c>
      <c r="D200" s="11" t="s">
        <v>68</v>
      </c>
      <c r="E200" s="12" t="s">
        <v>69</v>
      </c>
      <c r="F200" s="13">
        <v>911799.43</v>
      </c>
      <c r="G200" s="14">
        <v>45530</v>
      </c>
      <c r="H200" s="12" t="s">
        <v>70</v>
      </c>
      <c r="I200" s="14" t="s">
        <v>71</v>
      </c>
      <c r="J200" s="13">
        <v>-194426.03</v>
      </c>
      <c r="K200" s="6" t="str">
        <f>+IFERROR(VLOOKUP(I200,'Legal Name'!$A$1:$I$2913,1,0),"N")</f>
        <v>N</v>
      </c>
    </row>
    <row r="201" spans="2:11" x14ac:dyDescent="0.35">
      <c r="B201" t="str">
        <f t="shared" si="3"/>
        <v>V</v>
      </c>
      <c r="C201" t="s">
        <v>56</v>
      </c>
      <c r="D201" s="11" t="s">
        <v>68</v>
      </c>
      <c r="E201" s="12" t="s">
        <v>69</v>
      </c>
      <c r="F201" s="13">
        <v>3910692.86</v>
      </c>
      <c r="G201" s="14">
        <v>45922</v>
      </c>
      <c r="H201" s="12" t="s">
        <v>70</v>
      </c>
      <c r="I201" s="14" t="s">
        <v>71</v>
      </c>
      <c r="J201" s="13">
        <v>-1180564.3400000001</v>
      </c>
      <c r="K201" s="6" t="str">
        <f>+IFERROR(VLOOKUP(I201,'Legal Name'!$A$1:$I$2913,1,0),"N")</f>
        <v>N</v>
      </c>
    </row>
    <row r="202" spans="2:11" x14ac:dyDescent="0.35">
      <c r="B202" t="str">
        <f t="shared" si="3"/>
        <v>V</v>
      </c>
      <c r="C202" t="s">
        <v>59</v>
      </c>
      <c r="D202" s="11" t="s">
        <v>68</v>
      </c>
      <c r="E202" s="12" t="s">
        <v>69</v>
      </c>
      <c r="F202" s="13">
        <v>50000000</v>
      </c>
      <c r="G202" s="14">
        <v>45278</v>
      </c>
      <c r="H202" s="12" t="s">
        <v>73</v>
      </c>
      <c r="I202" s="14" t="s">
        <v>83</v>
      </c>
      <c r="J202" s="13">
        <v>-6282179.8499999996</v>
      </c>
      <c r="K202" s="6" t="str">
        <f>+IFERROR(VLOOKUP(I202,'Legal Name'!$A$1:$I$2913,1,0),"N")</f>
        <v>N</v>
      </c>
    </row>
    <row r="203" spans="2:11" x14ac:dyDescent="0.35">
      <c r="B203" t="str">
        <f t="shared" si="3"/>
        <v>V</v>
      </c>
      <c r="C203" t="s">
        <v>60</v>
      </c>
      <c r="D203" s="11" t="s">
        <v>68</v>
      </c>
      <c r="E203" s="12" t="s">
        <v>69</v>
      </c>
      <c r="F203" s="13">
        <v>2901163.11</v>
      </c>
      <c r="G203" s="14">
        <v>46063</v>
      </c>
      <c r="H203" s="12" t="s">
        <v>70</v>
      </c>
      <c r="I203" s="14" t="s">
        <v>71</v>
      </c>
      <c r="J203" s="13">
        <v>-318276.99</v>
      </c>
      <c r="K203" s="6" t="str">
        <f>+IFERROR(VLOOKUP(I203,'Legal Name'!$A$1:$I$2913,1,0),"N")</f>
        <v>N</v>
      </c>
    </row>
    <row r="204" spans="2:11" x14ac:dyDescent="0.35">
      <c r="B204" t="str">
        <f t="shared" si="3"/>
        <v>V</v>
      </c>
      <c r="C204" t="s">
        <v>62</v>
      </c>
      <c r="D204" s="11" t="s">
        <v>68</v>
      </c>
      <c r="E204" s="12" t="s">
        <v>69</v>
      </c>
      <c r="F204" s="13">
        <v>25000000</v>
      </c>
      <c r="G204" s="14">
        <v>45099</v>
      </c>
      <c r="H204" s="12" t="s">
        <v>70</v>
      </c>
      <c r="I204" s="14" t="s">
        <v>71</v>
      </c>
      <c r="J204" s="13">
        <v>-11819739.26</v>
      </c>
      <c r="K204" s="6" t="str">
        <f>+IFERROR(VLOOKUP(I204,'Legal Name'!$A$1:$I$2913,1,0),"N")</f>
        <v>N</v>
      </c>
    </row>
    <row r="205" spans="2:11" x14ac:dyDescent="0.35">
      <c r="B205" t="str">
        <f t="shared" si="3"/>
        <v>V</v>
      </c>
      <c r="C205" t="s">
        <v>64</v>
      </c>
      <c r="D205" s="11" t="s">
        <v>68</v>
      </c>
      <c r="E205" s="12" t="s">
        <v>69</v>
      </c>
      <c r="F205" s="13">
        <v>25000000</v>
      </c>
      <c r="G205" s="14">
        <v>45099</v>
      </c>
      <c r="H205" s="12" t="s">
        <v>70</v>
      </c>
      <c r="I205" s="14" t="s">
        <v>71</v>
      </c>
      <c r="J205" s="13">
        <v>-11584745.949999999</v>
      </c>
      <c r="K205" s="6" t="str">
        <f>+IFERROR(VLOOKUP(I205,'Legal Name'!$A$1:$I$2913,1,0),"N")</f>
        <v>N</v>
      </c>
    </row>
    <row r="206" spans="2:11" x14ac:dyDescent="0.35">
      <c r="B206" t="str">
        <f t="shared" si="3"/>
        <v>C</v>
      </c>
      <c r="C206" t="s">
        <v>207</v>
      </c>
      <c r="D206" s="11" t="s">
        <v>72</v>
      </c>
      <c r="E206" s="12" t="s">
        <v>69</v>
      </c>
      <c r="F206" s="13">
        <v>13175577.75</v>
      </c>
      <c r="G206" s="14">
        <v>45028</v>
      </c>
      <c r="H206" s="12" t="s">
        <v>73</v>
      </c>
      <c r="I206" s="14" t="s">
        <v>109</v>
      </c>
      <c r="J206" s="13">
        <v>-672714.85</v>
      </c>
      <c r="K206" s="6" t="str">
        <f>+IFERROR(VLOOKUP(I206,'Legal Name'!$A$1:$I$2913,1,0),"N")</f>
        <v>N</v>
      </c>
    </row>
    <row r="207" spans="2:11" x14ac:dyDescent="0.35">
      <c r="B207" t="str">
        <f t="shared" si="3"/>
        <v>C</v>
      </c>
      <c r="C207" t="s">
        <v>208</v>
      </c>
      <c r="D207" s="11" t="s">
        <v>72</v>
      </c>
      <c r="E207" s="12" t="s">
        <v>69</v>
      </c>
      <c r="F207" s="13">
        <v>19524131.829999998</v>
      </c>
      <c r="G207" s="14">
        <v>45033</v>
      </c>
      <c r="H207" s="12" t="s">
        <v>73</v>
      </c>
      <c r="I207" s="14" t="s">
        <v>109</v>
      </c>
      <c r="J207" s="13">
        <v>-1695132.4</v>
      </c>
      <c r="K207" s="6" t="str">
        <f>+IFERROR(VLOOKUP(I207,'Legal Name'!$A$1:$I$2913,1,0),"N")</f>
        <v>N</v>
      </c>
    </row>
    <row r="208" spans="2:11" x14ac:dyDescent="0.35">
      <c r="B208" t="str">
        <f t="shared" si="3"/>
        <v>C</v>
      </c>
      <c r="C208" t="s">
        <v>209</v>
      </c>
      <c r="D208" s="11" t="s">
        <v>72</v>
      </c>
      <c r="E208" s="12" t="s">
        <v>69</v>
      </c>
      <c r="F208" s="13">
        <v>19524131.829999998</v>
      </c>
      <c r="G208" s="14">
        <v>45033</v>
      </c>
      <c r="H208" s="12" t="s">
        <v>73</v>
      </c>
      <c r="I208" s="14" t="s">
        <v>109</v>
      </c>
      <c r="J208" s="13">
        <v>-1691572.1</v>
      </c>
      <c r="K208" s="6" t="str">
        <f>+IFERROR(VLOOKUP(I208,'Legal Name'!$A$1:$I$2913,1,0),"N")</f>
        <v>N</v>
      </c>
    </row>
    <row r="209" spans="2:11" x14ac:dyDescent="0.35">
      <c r="B209" t="str">
        <f t="shared" si="3"/>
        <v>C</v>
      </c>
      <c r="C209" t="s">
        <v>210</v>
      </c>
      <c r="D209" s="11" t="s">
        <v>72</v>
      </c>
      <c r="E209" s="12" t="s">
        <v>69</v>
      </c>
      <c r="F209" s="13">
        <v>19524131.829999998</v>
      </c>
      <c r="G209" s="14">
        <v>45033</v>
      </c>
      <c r="H209" s="12" t="s">
        <v>73</v>
      </c>
      <c r="I209" s="14" t="s">
        <v>109</v>
      </c>
      <c r="J209" s="13">
        <v>-1691572.1</v>
      </c>
      <c r="K209" s="6" t="str">
        <f>+IFERROR(VLOOKUP(I209,'Legal Name'!$A$1:$I$2913,1,0),"N")</f>
        <v>N</v>
      </c>
    </row>
    <row r="210" spans="2:11" x14ac:dyDescent="0.35">
      <c r="B210" t="str">
        <f t="shared" si="3"/>
        <v>C</v>
      </c>
      <c r="C210" t="s">
        <v>211</v>
      </c>
      <c r="D210" s="11" t="s">
        <v>72</v>
      </c>
      <c r="E210" s="12" t="s">
        <v>69</v>
      </c>
      <c r="F210" s="13">
        <v>7809652.7300000004</v>
      </c>
      <c r="G210" s="14">
        <v>45033</v>
      </c>
      <c r="H210" s="12" t="s">
        <v>73</v>
      </c>
      <c r="I210" s="14" t="s">
        <v>109</v>
      </c>
      <c r="J210" s="13">
        <v>-672357.69</v>
      </c>
      <c r="K210" s="6" t="str">
        <f>+IFERROR(VLOOKUP(I210,'Legal Name'!$A$1:$I$2913,1,0),"N")</f>
        <v>N</v>
      </c>
    </row>
    <row r="211" spans="2:11" x14ac:dyDescent="0.35">
      <c r="B211" t="str">
        <f t="shared" si="3"/>
        <v>C</v>
      </c>
      <c r="C211" t="s">
        <v>212</v>
      </c>
      <c r="D211" s="11" t="s">
        <v>72</v>
      </c>
      <c r="E211" s="12" t="s">
        <v>69</v>
      </c>
      <c r="F211" s="13">
        <v>13716962.189999999</v>
      </c>
      <c r="G211" s="14">
        <v>45132</v>
      </c>
      <c r="H211" s="12" t="s">
        <v>73</v>
      </c>
      <c r="I211" s="14" t="s">
        <v>109</v>
      </c>
      <c r="J211" s="13">
        <v>-2728094.29</v>
      </c>
      <c r="K211" s="6" t="str">
        <f>+IFERROR(VLOOKUP(I211,'Legal Name'!$A$1:$I$2913,1,0),"N")</f>
        <v>N</v>
      </c>
    </row>
    <row r="212" spans="2:11" x14ac:dyDescent="0.35">
      <c r="B212" t="str">
        <f t="shared" si="3"/>
        <v>C</v>
      </c>
      <c r="C212" t="s">
        <v>213</v>
      </c>
      <c r="D212" s="11" t="s">
        <v>72</v>
      </c>
      <c r="E212" s="12" t="s">
        <v>69</v>
      </c>
      <c r="F212" s="13">
        <v>13078391.880000001</v>
      </c>
      <c r="G212" s="14">
        <v>45226</v>
      </c>
      <c r="H212" s="12" t="s">
        <v>73</v>
      </c>
      <c r="I212" s="14" t="s">
        <v>109</v>
      </c>
      <c r="J212" s="13">
        <v>-1742133.58</v>
      </c>
      <c r="K212" s="6" t="str">
        <f>+IFERROR(VLOOKUP(I212,'Legal Name'!$A$1:$I$2913,1,0),"N")</f>
        <v>N</v>
      </c>
    </row>
    <row r="213" spans="2:11" x14ac:dyDescent="0.35">
      <c r="B213" t="str">
        <f t="shared" si="3"/>
        <v>C</v>
      </c>
      <c r="C213" t="s">
        <v>214</v>
      </c>
      <c r="D213" s="11" t="s">
        <v>72</v>
      </c>
      <c r="E213" s="12" t="s">
        <v>69</v>
      </c>
      <c r="F213" s="13">
        <v>6539195.9400000004</v>
      </c>
      <c r="G213" s="14">
        <v>45226</v>
      </c>
      <c r="H213" s="12" t="s">
        <v>73</v>
      </c>
      <c r="I213" s="14" t="s">
        <v>109</v>
      </c>
      <c r="J213" s="13">
        <v>-865741.82</v>
      </c>
      <c r="K213" s="6" t="str">
        <f>+IFERROR(VLOOKUP(I213,'Legal Name'!$A$1:$I$2913,1,0),"N")</f>
        <v>N</v>
      </c>
    </row>
    <row r="214" spans="2:11" x14ac:dyDescent="0.35">
      <c r="B214" t="str">
        <f t="shared" si="3"/>
        <v>C</v>
      </c>
      <c r="C214" t="s">
        <v>215</v>
      </c>
      <c r="D214" s="11" t="s">
        <v>72</v>
      </c>
      <c r="E214" s="12" t="s">
        <v>69</v>
      </c>
      <c r="F214" s="13">
        <v>15694070.26</v>
      </c>
      <c r="G214" s="14">
        <v>45134</v>
      </c>
      <c r="H214" s="12" t="s">
        <v>73</v>
      </c>
      <c r="I214" s="14" t="s">
        <v>109</v>
      </c>
      <c r="J214" s="13">
        <v>-2100582.7999999998</v>
      </c>
      <c r="K214" s="6" t="str">
        <f>+IFERROR(VLOOKUP(I214,'Legal Name'!$A$1:$I$2913,1,0),"N")</f>
        <v>N</v>
      </c>
    </row>
    <row r="215" spans="2:11" x14ac:dyDescent="0.35">
      <c r="B215" t="str">
        <f t="shared" si="3"/>
        <v>C</v>
      </c>
      <c r="C215" t="s">
        <v>216</v>
      </c>
      <c r="D215" s="11" t="s">
        <v>72</v>
      </c>
      <c r="E215" s="12" t="s">
        <v>69</v>
      </c>
      <c r="F215" s="13">
        <v>15694070.26</v>
      </c>
      <c r="G215" s="14">
        <v>45134</v>
      </c>
      <c r="H215" s="12" t="s">
        <v>73</v>
      </c>
      <c r="I215" s="14" t="s">
        <v>109</v>
      </c>
      <c r="J215" s="13">
        <v>-2097761.1800000002</v>
      </c>
      <c r="K215" s="6" t="str">
        <f>+IFERROR(VLOOKUP(I215,'Legal Name'!$A$1:$I$2913,1,0),"N")</f>
        <v>N</v>
      </c>
    </row>
    <row r="216" spans="2:11" x14ac:dyDescent="0.35">
      <c r="B216" t="str">
        <f t="shared" si="3"/>
        <v>C</v>
      </c>
      <c r="C216" t="s">
        <v>217</v>
      </c>
      <c r="D216" s="11" t="s">
        <v>72</v>
      </c>
      <c r="E216" s="12" t="s">
        <v>69</v>
      </c>
      <c r="F216" s="13">
        <v>51789321.039999999</v>
      </c>
      <c r="G216" s="14">
        <v>45138</v>
      </c>
      <c r="H216" s="12" t="s">
        <v>73</v>
      </c>
      <c r="I216" s="14" t="s">
        <v>109</v>
      </c>
      <c r="J216" s="13">
        <v>-9146977.9700000007</v>
      </c>
      <c r="K216" s="6" t="str">
        <f>+IFERROR(VLOOKUP(I216,'Legal Name'!$A$1:$I$2913,1,0),"N")</f>
        <v>N</v>
      </c>
    </row>
    <row r="217" spans="2:11" x14ac:dyDescent="0.35">
      <c r="B217" t="str">
        <f t="shared" si="3"/>
        <v>C</v>
      </c>
      <c r="C217" t="s">
        <v>218</v>
      </c>
      <c r="D217" s="11" t="s">
        <v>72</v>
      </c>
      <c r="E217" s="12" t="s">
        <v>69</v>
      </c>
      <c r="F217" s="13">
        <v>25900696.73</v>
      </c>
      <c r="G217" s="14">
        <v>45244</v>
      </c>
      <c r="H217" s="12" t="s">
        <v>73</v>
      </c>
      <c r="I217" s="14" t="s">
        <v>109</v>
      </c>
      <c r="J217" s="13">
        <v>-4298852.3099999996</v>
      </c>
      <c r="K217" s="6" t="str">
        <f>+IFERROR(VLOOKUP(I217,'Legal Name'!$A$1:$I$2913,1,0),"N")</f>
        <v>N</v>
      </c>
    </row>
    <row r="218" spans="2:11" x14ac:dyDescent="0.35">
      <c r="B218" t="str">
        <f t="shared" si="3"/>
        <v>V</v>
      </c>
      <c r="C218" t="s">
        <v>219</v>
      </c>
      <c r="D218" s="11" t="s">
        <v>68</v>
      </c>
      <c r="E218" s="12" t="s">
        <v>69</v>
      </c>
      <c r="F218" s="13">
        <v>3347294.42</v>
      </c>
      <c r="G218" s="14">
        <v>45322</v>
      </c>
      <c r="H218" s="12" t="s">
        <v>73</v>
      </c>
      <c r="I218" s="14" t="s">
        <v>87</v>
      </c>
      <c r="J218" s="13">
        <v>913430.25</v>
      </c>
      <c r="K218" s="6" t="str">
        <f>+IFERROR(VLOOKUP(I218,'Legal Name'!$A$1:$I$2913,1,0),"N")</f>
        <v>N</v>
      </c>
    </row>
    <row r="219" spans="2:11" x14ac:dyDescent="0.35">
      <c r="B219" t="str">
        <f t="shared" si="3"/>
        <v>C</v>
      </c>
      <c r="C219" t="s">
        <v>220</v>
      </c>
      <c r="D219" s="11" t="s">
        <v>72</v>
      </c>
      <c r="E219" s="12" t="s">
        <v>69</v>
      </c>
      <c r="F219" s="13">
        <v>26156099.600000001</v>
      </c>
      <c r="G219" s="14">
        <v>45254</v>
      </c>
      <c r="H219" s="12" t="s">
        <v>73</v>
      </c>
      <c r="I219" s="14" t="s">
        <v>109</v>
      </c>
      <c r="J219" s="13">
        <v>-3337450.18</v>
      </c>
      <c r="K219" s="6" t="str">
        <f>+IFERROR(VLOOKUP(I219,'Legal Name'!$A$1:$I$2913,1,0),"N")</f>
        <v>N</v>
      </c>
    </row>
    <row r="220" spans="2:11" x14ac:dyDescent="0.35">
      <c r="B220" t="str">
        <f t="shared" si="3"/>
        <v>C</v>
      </c>
      <c r="C220" t="s">
        <v>221</v>
      </c>
      <c r="D220" s="11" t="s">
        <v>72</v>
      </c>
      <c r="E220" s="12" t="s">
        <v>69</v>
      </c>
      <c r="F220" s="13">
        <v>18393462.440000001</v>
      </c>
      <c r="G220" s="14">
        <v>45258</v>
      </c>
      <c r="H220" s="12" t="s">
        <v>73</v>
      </c>
      <c r="I220" s="14" t="s">
        <v>109</v>
      </c>
      <c r="J220" s="13">
        <v>-2003305.77</v>
      </c>
      <c r="K220" s="6" t="str">
        <f>+IFERROR(VLOOKUP(I220,'Legal Name'!$A$1:$I$2913,1,0),"N")</f>
        <v>N</v>
      </c>
    </row>
    <row r="221" spans="2:11" x14ac:dyDescent="0.35">
      <c r="B221" t="str">
        <f t="shared" si="3"/>
        <v>C</v>
      </c>
      <c r="C221" t="s">
        <v>222</v>
      </c>
      <c r="D221" s="11" t="s">
        <v>72</v>
      </c>
      <c r="E221" s="12" t="s">
        <v>69</v>
      </c>
      <c r="F221" s="13">
        <v>52869491.659999996</v>
      </c>
      <c r="G221" s="14">
        <v>45174</v>
      </c>
      <c r="H221" s="12" t="s">
        <v>73</v>
      </c>
      <c r="I221" s="14" t="s">
        <v>109</v>
      </c>
      <c r="J221" s="13">
        <v>-4452269.29</v>
      </c>
      <c r="K221" s="6" t="str">
        <f>+IFERROR(VLOOKUP(I221,'Legal Name'!$A$1:$I$2913,1,0),"N")</f>
        <v>N</v>
      </c>
    </row>
    <row r="222" spans="2:11" x14ac:dyDescent="0.35">
      <c r="B222" t="str">
        <f t="shared" si="3"/>
        <v>C</v>
      </c>
      <c r="C222" t="s">
        <v>223</v>
      </c>
      <c r="D222" s="11" t="s">
        <v>72</v>
      </c>
      <c r="E222" s="12" t="s">
        <v>69</v>
      </c>
      <c r="F222" s="13">
        <v>26406126.219999999</v>
      </c>
      <c r="G222" s="14">
        <v>45267</v>
      </c>
      <c r="H222" s="12" t="s">
        <v>73</v>
      </c>
      <c r="I222" s="14" t="s">
        <v>109</v>
      </c>
      <c r="J222" s="13">
        <v>-2343592.64</v>
      </c>
      <c r="K222" s="6" t="str">
        <f>+IFERROR(VLOOKUP(I222,'Legal Name'!$A$1:$I$2913,1,0),"N")</f>
        <v>N</v>
      </c>
    </row>
    <row r="223" spans="2:11" x14ac:dyDescent="0.35">
      <c r="B223" t="str">
        <f t="shared" si="3"/>
        <v>C</v>
      </c>
      <c r="C223" t="s">
        <v>224</v>
      </c>
      <c r="D223" s="11" t="s">
        <v>72</v>
      </c>
      <c r="E223" s="12" t="s">
        <v>69</v>
      </c>
      <c r="F223" s="13">
        <v>26406126.219999999</v>
      </c>
      <c r="G223" s="14">
        <v>45267</v>
      </c>
      <c r="H223" s="12" t="s">
        <v>73</v>
      </c>
      <c r="I223" s="14" t="s">
        <v>109</v>
      </c>
      <c r="J223" s="13">
        <v>-2329225.7799999998</v>
      </c>
      <c r="K223" s="6" t="str">
        <f>+IFERROR(VLOOKUP(I223,'Legal Name'!$A$1:$I$2913,1,0),"N")</f>
        <v>N</v>
      </c>
    </row>
    <row r="224" spans="2:11" x14ac:dyDescent="0.35">
      <c r="B224" t="str">
        <f t="shared" si="3"/>
        <v>C</v>
      </c>
      <c r="C224" t="s">
        <v>225</v>
      </c>
      <c r="D224" s="11" t="s">
        <v>72</v>
      </c>
      <c r="E224" s="12" t="s">
        <v>69</v>
      </c>
      <c r="F224" s="13">
        <v>7888301.6500000004</v>
      </c>
      <c r="G224" s="14">
        <v>45273</v>
      </c>
      <c r="H224" s="12" t="s">
        <v>73</v>
      </c>
      <c r="I224" s="14" t="s">
        <v>109</v>
      </c>
      <c r="J224" s="13">
        <v>-815661.16</v>
      </c>
      <c r="K224" s="6" t="str">
        <f>+IFERROR(VLOOKUP(I224,'Legal Name'!$A$1:$I$2913,1,0),"N")</f>
        <v>N</v>
      </c>
    </row>
    <row r="225" spans="2:11" x14ac:dyDescent="0.35">
      <c r="B225" t="str">
        <f t="shared" si="3"/>
        <v>C</v>
      </c>
      <c r="C225" t="s">
        <v>226</v>
      </c>
      <c r="D225" s="11" t="s">
        <v>72</v>
      </c>
      <c r="E225" s="12" t="s">
        <v>69</v>
      </c>
      <c r="F225" s="13">
        <v>26421475.379999999</v>
      </c>
      <c r="G225" s="14">
        <v>45274</v>
      </c>
      <c r="H225" s="12" t="s">
        <v>73</v>
      </c>
      <c r="I225" s="14" t="s">
        <v>109</v>
      </c>
      <c r="J225" s="13">
        <v>-2252238.1800000002</v>
      </c>
      <c r="K225" s="6" t="str">
        <f>+IFERROR(VLOOKUP(I225,'Legal Name'!$A$1:$I$2913,1,0),"N")</f>
        <v>N</v>
      </c>
    </row>
    <row r="226" spans="2:11" x14ac:dyDescent="0.35">
      <c r="B226" t="str">
        <f t="shared" si="3"/>
        <v>C</v>
      </c>
      <c r="C226" t="s">
        <v>227</v>
      </c>
      <c r="D226" s="11" t="s">
        <v>72</v>
      </c>
      <c r="E226" s="12" t="s">
        <v>69</v>
      </c>
      <c r="F226" s="13">
        <v>13260840.74</v>
      </c>
      <c r="G226" s="14">
        <v>45191</v>
      </c>
      <c r="H226" s="12" t="s">
        <v>73</v>
      </c>
      <c r="I226" s="14" t="s">
        <v>109</v>
      </c>
      <c r="J226" s="13">
        <v>-871316.58</v>
      </c>
      <c r="K226" s="6" t="str">
        <f>+IFERROR(VLOOKUP(I226,'Legal Name'!$A$1:$I$2913,1,0),"N")</f>
        <v>N</v>
      </c>
    </row>
    <row r="227" spans="2:11" x14ac:dyDescent="0.35">
      <c r="B227" t="str">
        <f t="shared" si="3"/>
        <v>C</v>
      </c>
      <c r="C227" t="s">
        <v>228</v>
      </c>
      <c r="D227" s="11" t="s">
        <v>72</v>
      </c>
      <c r="E227" s="12" t="s">
        <v>69</v>
      </c>
      <c r="F227" s="13">
        <v>7956504.4400000004</v>
      </c>
      <c r="G227" s="14">
        <v>45191</v>
      </c>
      <c r="H227" s="12" t="s">
        <v>73</v>
      </c>
      <c r="I227" s="14" t="s">
        <v>109</v>
      </c>
      <c r="J227" s="13">
        <v>-521347.66</v>
      </c>
      <c r="K227" s="6" t="str">
        <f>+IFERROR(VLOOKUP(I227,'Legal Name'!$A$1:$I$2913,1,0),"N")</f>
        <v>N</v>
      </c>
    </row>
    <row r="228" spans="2:11" x14ac:dyDescent="0.35">
      <c r="B228" t="str">
        <f t="shared" si="3"/>
        <v>C</v>
      </c>
      <c r="C228" t="s">
        <v>229</v>
      </c>
      <c r="D228" s="11" t="s">
        <v>72</v>
      </c>
      <c r="E228" s="12" t="s">
        <v>69</v>
      </c>
      <c r="F228" s="13">
        <v>4833868.95</v>
      </c>
      <c r="G228" s="14">
        <v>45282</v>
      </c>
      <c r="H228" s="12" t="s">
        <v>73</v>
      </c>
      <c r="I228" s="14" t="s">
        <v>109</v>
      </c>
      <c r="J228" s="13">
        <v>-305299.83</v>
      </c>
      <c r="K228" s="6" t="str">
        <f>+IFERROR(VLOOKUP(I228,'Legal Name'!$A$1:$I$2913,1,0),"N")</f>
        <v>N</v>
      </c>
    </row>
    <row r="229" spans="2:11" x14ac:dyDescent="0.35">
      <c r="B229" t="str">
        <f t="shared" si="3"/>
        <v>C</v>
      </c>
      <c r="C229" t="s">
        <v>230</v>
      </c>
      <c r="D229" s="11" t="s">
        <v>72</v>
      </c>
      <c r="E229" s="12" t="s">
        <v>69</v>
      </c>
      <c r="F229" s="13">
        <v>39839579.289999999</v>
      </c>
      <c r="G229" s="14">
        <v>45282</v>
      </c>
      <c r="H229" s="12" t="s">
        <v>73</v>
      </c>
      <c r="I229" s="14" t="s">
        <v>109</v>
      </c>
      <c r="J229" s="13">
        <v>-2634769.14</v>
      </c>
      <c r="K229" s="6" t="str">
        <f>+IFERROR(VLOOKUP(I229,'Legal Name'!$A$1:$I$2913,1,0),"N")</f>
        <v>N</v>
      </c>
    </row>
    <row r="230" spans="2:11" x14ac:dyDescent="0.35">
      <c r="B230" t="str">
        <f t="shared" si="3"/>
        <v>C</v>
      </c>
      <c r="C230" t="s">
        <v>231</v>
      </c>
      <c r="D230" s="11" t="s">
        <v>72</v>
      </c>
      <c r="E230" s="12" t="s">
        <v>69</v>
      </c>
      <c r="F230" s="13">
        <v>7967915.8600000003</v>
      </c>
      <c r="G230" s="14">
        <v>45282</v>
      </c>
      <c r="H230" s="12" t="s">
        <v>73</v>
      </c>
      <c r="I230" s="14" t="s">
        <v>109</v>
      </c>
      <c r="J230" s="13">
        <v>-522642.06</v>
      </c>
      <c r="K230" s="6" t="str">
        <f>+IFERROR(VLOOKUP(I230,'Legal Name'!$A$1:$I$2913,1,0),"N")</f>
        <v>N</v>
      </c>
    </row>
    <row r="231" spans="2:11" x14ac:dyDescent="0.35">
      <c r="B231" t="str">
        <f t="shared" si="3"/>
        <v>C</v>
      </c>
      <c r="C231" t="s">
        <v>232</v>
      </c>
      <c r="D231" s="11" t="s">
        <v>72</v>
      </c>
      <c r="E231" s="12" t="s">
        <v>69</v>
      </c>
      <c r="F231" s="13">
        <v>26541391.300000001</v>
      </c>
      <c r="G231" s="14">
        <v>45287</v>
      </c>
      <c r="H231" s="12" t="s">
        <v>73</v>
      </c>
      <c r="I231" s="14" t="s">
        <v>109</v>
      </c>
      <c r="J231" s="13">
        <v>-1734524.07</v>
      </c>
      <c r="K231" s="6" t="str">
        <f>+IFERROR(VLOOKUP(I231,'Legal Name'!$A$1:$I$2913,1,0),"N")</f>
        <v>N</v>
      </c>
    </row>
    <row r="232" spans="2:11" x14ac:dyDescent="0.35">
      <c r="B232" t="str">
        <f t="shared" si="3"/>
        <v>C</v>
      </c>
      <c r="C232" t="s">
        <v>233</v>
      </c>
      <c r="D232" s="11" t="s">
        <v>72</v>
      </c>
      <c r="E232" s="12" t="s">
        <v>69</v>
      </c>
      <c r="F232" s="13">
        <v>12532928.869999999</v>
      </c>
      <c r="G232" s="14">
        <v>45378</v>
      </c>
      <c r="H232" s="12" t="s">
        <v>73</v>
      </c>
      <c r="I232" s="14" t="s">
        <v>109</v>
      </c>
      <c r="J232" s="13">
        <v>-576145.23</v>
      </c>
      <c r="K232" s="6" t="str">
        <f>+IFERROR(VLOOKUP(I232,'Legal Name'!$A$1:$I$2913,1,0),"N")</f>
        <v>N</v>
      </c>
    </row>
    <row r="233" spans="2:11" x14ac:dyDescent="0.35">
      <c r="B233" t="str">
        <f t="shared" si="3"/>
        <v>C</v>
      </c>
      <c r="C233" t="s">
        <v>234</v>
      </c>
      <c r="D233" s="11" t="s">
        <v>72</v>
      </c>
      <c r="E233" s="12" t="s">
        <v>69</v>
      </c>
      <c r="F233" s="13">
        <v>26580898.969999999</v>
      </c>
      <c r="G233" s="14">
        <v>45378</v>
      </c>
      <c r="H233" s="12" t="s">
        <v>73</v>
      </c>
      <c r="I233" s="14" t="s">
        <v>109</v>
      </c>
      <c r="J233" s="13">
        <v>-1399772.62</v>
      </c>
      <c r="K233" s="6" t="str">
        <f>+IFERROR(VLOOKUP(I233,'Legal Name'!$A$1:$I$2913,1,0),"N")</f>
        <v>N</v>
      </c>
    </row>
    <row r="234" spans="2:11" x14ac:dyDescent="0.35">
      <c r="B234" t="str">
        <f t="shared" si="3"/>
        <v>C</v>
      </c>
      <c r="C234" t="s">
        <v>235</v>
      </c>
      <c r="D234" s="11" t="s">
        <v>72</v>
      </c>
      <c r="E234" s="12" t="s">
        <v>69</v>
      </c>
      <c r="F234" s="13">
        <v>26580898.969999999</v>
      </c>
      <c r="G234" s="14">
        <v>45378</v>
      </c>
      <c r="H234" s="12" t="s">
        <v>73</v>
      </c>
      <c r="I234" s="14" t="s">
        <v>109</v>
      </c>
      <c r="J234" s="13">
        <v>-1390253.23</v>
      </c>
      <c r="K234" s="6" t="str">
        <f>+IFERROR(VLOOKUP(I234,'Legal Name'!$A$1:$I$2913,1,0),"N")</f>
        <v>N</v>
      </c>
    </row>
    <row r="235" spans="2:11" x14ac:dyDescent="0.35">
      <c r="B235" t="str">
        <f t="shared" si="3"/>
        <v>C</v>
      </c>
      <c r="C235" t="s">
        <v>236</v>
      </c>
      <c r="D235" s="11" t="s">
        <v>72</v>
      </c>
      <c r="E235" s="12" t="s">
        <v>69</v>
      </c>
      <c r="F235" s="13">
        <v>26543504.800000001</v>
      </c>
      <c r="G235" s="14">
        <v>45385</v>
      </c>
      <c r="H235" s="12" t="s">
        <v>73</v>
      </c>
      <c r="I235" s="14" t="s">
        <v>109</v>
      </c>
      <c r="J235" s="13">
        <v>-1434084.19</v>
      </c>
      <c r="K235" s="6" t="str">
        <f>+IFERROR(VLOOKUP(I235,'Legal Name'!$A$1:$I$2913,1,0),"N")</f>
        <v>N</v>
      </c>
    </row>
    <row r="236" spans="2:11" x14ac:dyDescent="0.35">
      <c r="B236" t="str">
        <f t="shared" si="3"/>
        <v>C</v>
      </c>
      <c r="C236" t="s">
        <v>237</v>
      </c>
      <c r="D236" s="11" t="s">
        <v>72</v>
      </c>
      <c r="E236" s="12" t="s">
        <v>69</v>
      </c>
      <c r="F236" s="13">
        <v>13271752.4</v>
      </c>
      <c r="G236" s="14">
        <v>45385</v>
      </c>
      <c r="H236" s="12" t="s">
        <v>73</v>
      </c>
      <c r="I236" s="14" t="s">
        <v>109</v>
      </c>
      <c r="J236" s="13">
        <v>-697822.85</v>
      </c>
      <c r="K236" s="6" t="str">
        <f>+IFERROR(VLOOKUP(I236,'Legal Name'!$A$1:$I$2913,1,0),"N")</f>
        <v>N</v>
      </c>
    </row>
    <row r="237" spans="2:11" x14ac:dyDescent="0.35">
      <c r="B237" t="str">
        <f t="shared" si="3"/>
        <v>C</v>
      </c>
      <c r="C237" t="s">
        <v>238</v>
      </c>
      <c r="D237" s="11" t="s">
        <v>72</v>
      </c>
      <c r="E237" s="12" t="s">
        <v>69</v>
      </c>
      <c r="F237" s="13">
        <v>4990178.9000000004</v>
      </c>
      <c r="G237" s="14">
        <v>45385</v>
      </c>
      <c r="H237" s="12" t="s">
        <v>73</v>
      </c>
      <c r="I237" s="14" t="s">
        <v>109</v>
      </c>
      <c r="J237" s="13">
        <v>-260574.8</v>
      </c>
      <c r="K237" s="6" t="str">
        <f>+IFERROR(VLOOKUP(I237,'Legal Name'!$A$1:$I$2913,1,0),"N")</f>
        <v>N</v>
      </c>
    </row>
    <row r="238" spans="2:11" x14ac:dyDescent="0.35">
      <c r="B238" t="str">
        <f t="shared" si="3"/>
        <v>C</v>
      </c>
      <c r="C238" t="s">
        <v>239</v>
      </c>
      <c r="D238" s="11" t="s">
        <v>72</v>
      </c>
      <c r="E238" s="12" t="s">
        <v>69</v>
      </c>
      <c r="F238" s="13">
        <v>15456811.07</v>
      </c>
      <c r="G238" s="14">
        <v>45386</v>
      </c>
      <c r="H238" s="12" t="s">
        <v>73</v>
      </c>
      <c r="I238" s="14" t="s">
        <v>109</v>
      </c>
      <c r="J238" s="13">
        <v>-899401.03</v>
      </c>
      <c r="K238" s="6" t="str">
        <f>+IFERROR(VLOOKUP(I238,'Legal Name'!$A$1:$I$2913,1,0),"N")</f>
        <v>N</v>
      </c>
    </row>
    <row r="239" spans="2:11" x14ac:dyDescent="0.35">
      <c r="B239" t="str">
        <f t="shared" si="3"/>
        <v>C</v>
      </c>
      <c r="C239" t="s">
        <v>240</v>
      </c>
      <c r="D239" s="11" t="s">
        <v>72</v>
      </c>
      <c r="E239" s="12" t="s">
        <v>69</v>
      </c>
      <c r="F239" s="13">
        <v>26512540.43</v>
      </c>
      <c r="G239" s="14">
        <v>45386</v>
      </c>
      <c r="H239" s="12" t="s">
        <v>73</v>
      </c>
      <c r="I239" s="14" t="s">
        <v>109</v>
      </c>
      <c r="J239" s="13">
        <v>-1600295.78</v>
      </c>
      <c r="K239" s="6" t="str">
        <f>+IFERROR(VLOOKUP(I239,'Legal Name'!$A$1:$I$2913,1,0),"N")</f>
        <v>N</v>
      </c>
    </row>
    <row r="240" spans="2:11" x14ac:dyDescent="0.35">
      <c r="B240" t="str">
        <f t="shared" si="3"/>
        <v>C</v>
      </c>
      <c r="C240" t="s">
        <v>241</v>
      </c>
      <c r="D240" s="11" t="s">
        <v>72</v>
      </c>
      <c r="E240" s="12" t="s">
        <v>69</v>
      </c>
      <c r="F240" s="13">
        <v>26512540.43</v>
      </c>
      <c r="G240" s="14">
        <v>45386</v>
      </c>
      <c r="H240" s="12" t="s">
        <v>73</v>
      </c>
      <c r="I240" s="14" t="s">
        <v>109</v>
      </c>
      <c r="J240" s="13">
        <v>-1581101.17</v>
      </c>
      <c r="K240" s="6" t="str">
        <f>+IFERROR(VLOOKUP(I240,'Legal Name'!$A$1:$I$2913,1,0),"N")</f>
        <v>N</v>
      </c>
    </row>
    <row r="241" spans="2:11" x14ac:dyDescent="0.35">
      <c r="B241" t="str">
        <f t="shared" si="3"/>
        <v>C</v>
      </c>
      <c r="C241" t="s">
        <v>242</v>
      </c>
      <c r="D241" s="11" t="s">
        <v>72</v>
      </c>
      <c r="E241" s="12" t="s">
        <v>69</v>
      </c>
      <c r="F241" s="13">
        <v>13254864.539999999</v>
      </c>
      <c r="G241" s="14">
        <v>45387</v>
      </c>
      <c r="H241" s="12" t="s">
        <v>73</v>
      </c>
      <c r="I241" s="14" t="s">
        <v>109</v>
      </c>
      <c r="J241" s="13">
        <v>-806343.88</v>
      </c>
      <c r="K241" s="6" t="str">
        <f>+IFERROR(VLOOKUP(I241,'Legal Name'!$A$1:$I$2913,1,0),"N")</f>
        <v>N</v>
      </c>
    </row>
    <row r="242" spans="2:11" x14ac:dyDescent="0.35">
      <c r="B242" t="str">
        <f t="shared" si="3"/>
        <v>C</v>
      </c>
      <c r="C242" t="s">
        <v>243</v>
      </c>
      <c r="D242" s="11" t="s">
        <v>72</v>
      </c>
      <c r="E242" s="12" t="s">
        <v>69</v>
      </c>
      <c r="F242" s="13">
        <v>26509729.07</v>
      </c>
      <c r="G242" s="14">
        <v>45387</v>
      </c>
      <c r="H242" s="12" t="s">
        <v>73</v>
      </c>
      <c r="I242" s="14" t="s">
        <v>109</v>
      </c>
      <c r="J242" s="13">
        <v>-1641473.36</v>
      </c>
      <c r="K242" s="6" t="str">
        <f>+IFERROR(VLOOKUP(I242,'Legal Name'!$A$1:$I$2913,1,0),"N")</f>
        <v>N</v>
      </c>
    </row>
    <row r="243" spans="2:11" x14ac:dyDescent="0.35">
      <c r="B243" t="str">
        <f t="shared" si="3"/>
        <v>C</v>
      </c>
      <c r="C243" t="s">
        <v>244</v>
      </c>
      <c r="D243" s="11" t="s">
        <v>72</v>
      </c>
      <c r="E243" s="12" t="s">
        <v>69</v>
      </c>
      <c r="F243" s="13">
        <v>26509729.07</v>
      </c>
      <c r="G243" s="14">
        <v>45387</v>
      </c>
      <c r="H243" s="12" t="s">
        <v>73</v>
      </c>
      <c r="I243" s="14" t="s">
        <v>109</v>
      </c>
      <c r="J243" s="13">
        <v>-1631878.19</v>
      </c>
      <c r="K243" s="6" t="str">
        <f>+IFERROR(VLOOKUP(I243,'Legal Name'!$A$1:$I$2913,1,0),"N")</f>
        <v>N</v>
      </c>
    </row>
    <row r="244" spans="2:11" x14ac:dyDescent="0.35">
      <c r="B244" t="str">
        <f t="shared" si="3"/>
        <v>C</v>
      </c>
      <c r="C244" t="s">
        <v>245</v>
      </c>
      <c r="D244" s="11" t="s">
        <v>72</v>
      </c>
      <c r="E244" s="12" t="s">
        <v>69</v>
      </c>
      <c r="F244" s="13">
        <v>6622691.9900000002</v>
      </c>
      <c r="G244" s="14">
        <v>45394</v>
      </c>
      <c r="H244" s="12" t="s">
        <v>73</v>
      </c>
      <c r="I244" s="14" t="s">
        <v>109</v>
      </c>
      <c r="J244" s="13">
        <v>-330606.09999999998</v>
      </c>
      <c r="K244" s="6" t="str">
        <f>+IFERROR(VLOOKUP(I244,'Legal Name'!$A$1:$I$2913,1,0),"N")</f>
        <v>N</v>
      </c>
    </row>
    <row r="245" spans="2:11" x14ac:dyDescent="0.35">
      <c r="B245" t="str">
        <f t="shared" si="3"/>
        <v>C</v>
      </c>
      <c r="C245" t="s">
        <v>246</v>
      </c>
      <c r="D245" s="11" t="s">
        <v>72</v>
      </c>
      <c r="E245" s="12" t="s">
        <v>69</v>
      </c>
      <c r="F245" s="13">
        <v>26432649.609999999</v>
      </c>
      <c r="G245" s="14">
        <v>45216</v>
      </c>
      <c r="H245" s="12" t="s">
        <v>73</v>
      </c>
      <c r="I245" s="14" t="s">
        <v>109</v>
      </c>
      <c r="J245" s="13">
        <v>-1684833.46</v>
      </c>
      <c r="K245" s="6" t="str">
        <f>+IFERROR(VLOOKUP(I245,'Legal Name'!$A$1:$I$2913,1,0),"N")</f>
        <v>N</v>
      </c>
    </row>
    <row r="246" spans="2:11" x14ac:dyDescent="0.35">
      <c r="B246" t="str">
        <f t="shared" si="3"/>
        <v>C</v>
      </c>
      <c r="C246" t="s">
        <v>247</v>
      </c>
      <c r="D246" s="11" t="s">
        <v>72</v>
      </c>
      <c r="E246" s="12" t="s">
        <v>69</v>
      </c>
      <c r="F246" s="13">
        <v>13216324.800000001</v>
      </c>
      <c r="G246" s="14">
        <v>45216</v>
      </c>
      <c r="H246" s="12" t="s">
        <v>73</v>
      </c>
      <c r="I246" s="14" t="s">
        <v>109</v>
      </c>
      <c r="J246" s="13">
        <v>-830573.98</v>
      </c>
      <c r="K246" s="6" t="str">
        <f>+IFERROR(VLOOKUP(I246,'Legal Name'!$A$1:$I$2913,1,0),"N")</f>
        <v>N</v>
      </c>
    </row>
    <row r="247" spans="2:11" x14ac:dyDescent="0.35">
      <c r="B247" t="str">
        <f t="shared" si="3"/>
        <v>C</v>
      </c>
      <c r="C247" t="s">
        <v>248</v>
      </c>
      <c r="D247" s="11" t="s">
        <v>72</v>
      </c>
      <c r="E247" s="12" t="s">
        <v>69</v>
      </c>
      <c r="F247" s="13">
        <v>35636748.740000002</v>
      </c>
      <c r="G247" s="14">
        <v>45217</v>
      </c>
      <c r="H247" s="12" t="s">
        <v>73</v>
      </c>
      <c r="I247" s="14" t="s">
        <v>109</v>
      </c>
      <c r="J247" s="13">
        <v>-2018043.96</v>
      </c>
      <c r="K247" s="6" t="str">
        <f>+IFERROR(VLOOKUP(I247,'Legal Name'!$A$1:$I$2913,1,0),"N")</f>
        <v>N</v>
      </c>
    </row>
    <row r="248" spans="2:11" x14ac:dyDescent="0.35">
      <c r="B248" t="str">
        <f t="shared" si="3"/>
        <v>C</v>
      </c>
      <c r="C248" t="s">
        <v>249</v>
      </c>
      <c r="D248" s="11" t="s">
        <v>72</v>
      </c>
      <c r="E248" s="12" t="s">
        <v>69</v>
      </c>
      <c r="F248" s="13">
        <v>26616981.629999999</v>
      </c>
      <c r="G248" s="14">
        <v>45223</v>
      </c>
      <c r="H248" s="12" t="s">
        <v>73</v>
      </c>
      <c r="I248" s="14" t="s">
        <v>109</v>
      </c>
      <c r="J248" s="13">
        <v>-966479.42</v>
      </c>
      <c r="K248" s="6" t="str">
        <f>+IFERROR(VLOOKUP(I248,'Legal Name'!$A$1:$I$2913,1,0),"N")</f>
        <v>N</v>
      </c>
    </row>
    <row r="249" spans="2:11" x14ac:dyDescent="0.35">
      <c r="B249" t="str">
        <f t="shared" si="3"/>
        <v>C</v>
      </c>
      <c r="C249" t="s">
        <v>250</v>
      </c>
      <c r="D249" s="11" t="s">
        <v>72</v>
      </c>
      <c r="E249" s="12" t="s">
        <v>69</v>
      </c>
      <c r="F249" s="13">
        <v>16848549.370000001</v>
      </c>
      <c r="G249" s="14">
        <v>45223</v>
      </c>
      <c r="H249" s="12" t="s">
        <v>73</v>
      </c>
      <c r="I249" s="14" t="s">
        <v>109</v>
      </c>
      <c r="J249" s="13">
        <v>-605747.66</v>
      </c>
      <c r="K249" s="6" t="str">
        <f>+IFERROR(VLOOKUP(I249,'Legal Name'!$A$1:$I$2913,1,0),"N")</f>
        <v>N</v>
      </c>
    </row>
    <row r="250" spans="2:11" x14ac:dyDescent="0.35">
      <c r="B250" t="str">
        <f t="shared" si="3"/>
        <v>C</v>
      </c>
      <c r="C250" t="s">
        <v>251</v>
      </c>
      <c r="D250" s="11" t="s">
        <v>72</v>
      </c>
      <c r="E250" s="12" t="s">
        <v>69</v>
      </c>
      <c r="F250" s="13">
        <v>53233963.270000003</v>
      </c>
      <c r="G250" s="14">
        <v>45406</v>
      </c>
      <c r="H250" s="12" t="s">
        <v>73</v>
      </c>
      <c r="I250" s="14" t="s">
        <v>109</v>
      </c>
      <c r="J250" s="13">
        <v>-1200954.21</v>
      </c>
      <c r="K250" s="6" t="str">
        <f>+IFERROR(VLOOKUP(I250,'Legal Name'!$A$1:$I$2913,1,0),"N")</f>
        <v>N</v>
      </c>
    </row>
    <row r="251" spans="2:11" x14ac:dyDescent="0.35">
      <c r="B251" t="str">
        <f t="shared" si="3"/>
        <v>C</v>
      </c>
      <c r="C251" t="s">
        <v>252</v>
      </c>
      <c r="D251" s="11" t="s">
        <v>72</v>
      </c>
      <c r="E251" s="12" t="s">
        <v>69</v>
      </c>
      <c r="F251" s="13">
        <v>20470093.43</v>
      </c>
      <c r="G251" s="14">
        <v>45224</v>
      </c>
      <c r="H251" s="12" t="s">
        <v>73</v>
      </c>
      <c r="I251" s="14" t="s">
        <v>109</v>
      </c>
      <c r="J251" s="13">
        <v>-734021.99</v>
      </c>
      <c r="K251" s="6" t="str">
        <f>+IFERROR(VLOOKUP(I251,'Legal Name'!$A$1:$I$2913,1,0),"N")</f>
        <v>N</v>
      </c>
    </row>
    <row r="252" spans="2:11" x14ac:dyDescent="0.35">
      <c r="B252" t="str">
        <f t="shared" si="3"/>
        <v>C</v>
      </c>
      <c r="C252" t="s">
        <v>253</v>
      </c>
      <c r="D252" s="11" t="s">
        <v>72</v>
      </c>
      <c r="E252" s="12" t="s">
        <v>69</v>
      </c>
      <c r="F252" s="13">
        <v>26619107.199999999</v>
      </c>
      <c r="G252" s="14">
        <v>45407</v>
      </c>
      <c r="H252" s="12" t="s">
        <v>73</v>
      </c>
      <c r="I252" s="14" t="s">
        <v>109</v>
      </c>
      <c r="J252" s="13">
        <v>-565436.35</v>
      </c>
      <c r="K252" s="6" t="str">
        <f>+IFERROR(VLOOKUP(I252,'Legal Name'!$A$1:$I$2913,1,0),"N")</f>
        <v>N</v>
      </c>
    </row>
    <row r="253" spans="2:11" x14ac:dyDescent="0.35">
      <c r="B253" t="str">
        <f t="shared" si="3"/>
        <v>C</v>
      </c>
      <c r="C253" t="s">
        <v>254</v>
      </c>
      <c r="D253" s="11" t="s">
        <v>72</v>
      </c>
      <c r="E253" s="12" t="s">
        <v>69</v>
      </c>
      <c r="F253" s="13">
        <v>13279352.23</v>
      </c>
      <c r="G253" s="14">
        <v>45415</v>
      </c>
      <c r="H253" s="12" t="s">
        <v>73</v>
      </c>
      <c r="I253" s="14" t="s">
        <v>109</v>
      </c>
      <c r="J253" s="13">
        <v>241612.32</v>
      </c>
      <c r="K253" s="6" t="str">
        <f>+IFERROR(VLOOKUP(I253,'Legal Name'!$A$1:$I$2913,1,0),"N")</f>
        <v>N</v>
      </c>
    </row>
    <row r="254" spans="2:11" x14ac:dyDescent="0.35">
      <c r="B254" t="str">
        <f t="shared" si="3"/>
        <v>C</v>
      </c>
      <c r="C254" t="s">
        <v>255</v>
      </c>
      <c r="D254" s="11" t="s">
        <v>72</v>
      </c>
      <c r="E254" s="12" t="s">
        <v>69</v>
      </c>
      <c r="F254" s="13">
        <v>12100026.890000001</v>
      </c>
      <c r="G254" s="14">
        <v>45415</v>
      </c>
      <c r="H254" s="12" t="s">
        <v>73</v>
      </c>
      <c r="I254" s="14" t="s">
        <v>109</v>
      </c>
      <c r="J254" s="13">
        <v>16190.44</v>
      </c>
      <c r="K254" s="6" t="str">
        <f>+IFERROR(VLOOKUP(I254,'Legal Name'!$A$1:$I$2913,1,0),"N")</f>
        <v>N</v>
      </c>
    </row>
    <row r="255" spans="2:11" x14ac:dyDescent="0.35">
      <c r="B255" t="str">
        <f t="shared" si="3"/>
        <v>C</v>
      </c>
      <c r="C255" t="s">
        <v>256</v>
      </c>
      <c r="D255" s="11" t="s">
        <v>72</v>
      </c>
      <c r="E255" s="12" t="s">
        <v>69</v>
      </c>
      <c r="F255" s="13">
        <v>11943378.109999999</v>
      </c>
      <c r="G255" s="14">
        <v>46566</v>
      </c>
      <c r="H255" s="12" t="s">
        <v>73</v>
      </c>
      <c r="I255" s="14" t="s">
        <v>88</v>
      </c>
      <c r="J255" s="13">
        <v>4603705.84</v>
      </c>
      <c r="K255" s="6" t="str">
        <f>+IFERROR(VLOOKUP(I255,'Legal Name'!$A$1:$I$2913,1,0),"N")</f>
        <v>N</v>
      </c>
    </row>
    <row r="256" spans="2:11" x14ac:dyDescent="0.35">
      <c r="B256" t="str">
        <f t="shared" si="3"/>
        <v>C</v>
      </c>
      <c r="C256" t="s">
        <v>257</v>
      </c>
      <c r="D256" s="11" t="s">
        <v>72</v>
      </c>
      <c r="E256" s="12" t="s">
        <v>69</v>
      </c>
      <c r="F256" s="13">
        <v>364706.46</v>
      </c>
      <c r="G256" s="14">
        <v>45440</v>
      </c>
      <c r="H256" s="12" t="s">
        <v>73</v>
      </c>
      <c r="I256" s="14" t="s">
        <v>95</v>
      </c>
      <c r="J256" s="13">
        <v>-66646.41</v>
      </c>
      <c r="K256" s="6" t="str">
        <f>+IFERROR(VLOOKUP(I256,'Legal Name'!$A$1:$I$2913,1,0),"N")</f>
        <v>N</v>
      </c>
    </row>
    <row r="257" spans="2:11" x14ac:dyDescent="0.35">
      <c r="B257" t="str">
        <f t="shared" si="3"/>
        <v>C</v>
      </c>
      <c r="C257" t="s">
        <v>258</v>
      </c>
      <c r="D257" s="11" t="s">
        <v>72</v>
      </c>
      <c r="E257" s="12" t="s">
        <v>69</v>
      </c>
      <c r="F257" s="13">
        <v>2750000</v>
      </c>
      <c r="G257" s="14">
        <v>45657</v>
      </c>
      <c r="H257" s="12" t="s">
        <v>73</v>
      </c>
      <c r="I257" s="14" t="s">
        <v>74</v>
      </c>
      <c r="J257" s="13">
        <v>1276886.92</v>
      </c>
      <c r="K257" s="6" t="str">
        <f>+IFERROR(VLOOKUP(I257,'Legal Name'!$A$1:$I$2913,1,0),"N")</f>
        <v>N</v>
      </c>
    </row>
    <row r="258" spans="2:11" x14ac:dyDescent="0.35">
      <c r="B258" t="str">
        <f t="shared" si="3"/>
        <v>C</v>
      </c>
      <c r="C258" t="s">
        <v>259</v>
      </c>
      <c r="D258" s="11" t="s">
        <v>72</v>
      </c>
      <c r="E258" s="12" t="s">
        <v>69</v>
      </c>
      <c r="F258" s="13">
        <v>550000</v>
      </c>
      <c r="G258" s="14">
        <v>45107</v>
      </c>
      <c r="H258" s="12" t="s">
        <v>73</v>
      </c>
      <c r="I258" s="14" t="s">
        <v>74</v>
      </c>
      <c r="J258" s="13">
        <v>200891.78</v>
      </c>
      <c r="K258" s="6" t="str">
        <f>+IFERROR(VLOOKUP(I258,'Legal Name'!$A$1:$I$2913,1,0),"N")</f>
        <v>N</v>
      </c>
    </row>
    <row r="259" spans="2:11" x14ac:dyDescent="0.35">
      <c r="B259" t="str">
        <f t="shared" ref="B259:B322" si="4">+MID(C259,5,1)</f>
        <v>C</v>
      </c>
      <c r="C259" t="s">
        <v>260</v>
      </c>
      <c r="D259" s="11" t="s">
        <v>72</v>
      </c>
      <c r="E259" s="12" t="s">
        <v>69</v>
      </c>
      <c r="F259" s="13">
        <v>27246471.579999998</v>
      </c>
      <c r="G259" s="14">
        <v>45072</v>
      </c>
      <c r="H259" s="12" t="s">
        <v>73</v>
      </c>
      <c r="I259" s="14" t="s">
        <v>109</v>
      </c>
      <c r="J259" s="13">
        <v>-2954993.81</v>
      </c>
      <c r="K259" s="6" t="str">
        <f>+IFERROR(VLOOKUP(I259,'Legal Name'!$A$1:$I$2913,1,0),"N")</f>
        <v>N</v>
      </c>
    </row>
    <row r="260" spans="2:11" x14ac:dyDescent="0.35">
      <c r="B260" t="str">
        <f t="shared" si="4"/>
        <v>C</v>
      </c>
      <c r="C260" t="s">
        <v>261</v>
      </c>
      <c r="D260" s="11" t="s">
        <v>72</v>
      </c>
      <c r="E260" s="12" t="s">
        <v>69</v>
      </c>
      <c r="F260" s="13">
        <v>21587781.32</v>
      </c>
      <c r="G260" s="14">
        <v>45077</v>
      </c>
      <c r="H260" s="12" t="s">
        <v>73</v>
      </c>
      <c r="I260" s="14" t="s">
        <v>109</v>
      </c>
      <c r="J260" s="13">
        <v>-3186151.24</v>
      </c>
      <c r="K260" s="6" t="str">
        <f>+IFERROR(VLOOKUP(I260,'Legal Name'!$A$1:$I$2913,1,0),"N")</f>
        <v>N</v>
      </c>
    </row>
    <row r="261" spans="2:11" x14ac:dyDescent="0.35">
      <c r="B261" t="str">
        <f t="shared" si="4"/>
        <v>C</v>
      </c>
      <c r="C261" t="s">
        <v>262</v>
      </c>
      <c r="D261" s="11" t="s">
        <v>72</v>
      </c>
      <c r="E261" s="12" t="s">
        <v>69</v>
      </c>
      <c r="F261" s="13">
        <v>53969453.289999999</v>
      </c>
      <c r="G261" s="14">
        <v>45077</v>
      </c>
      <c r="H261" s="12" t="s">
        <v>73</v>
      </c>
      <c r="I261" s="14" t="s">
        <v>109</v>
      </c>
      <c r="J261" s="13">
        <v>-7925032.9000000004</v>
      </c>
      <c r="K261" s="6" t="str">
        <f>+IFERROR(VLOOKUP(I261,'Legal Name'!$A$1:$I$2913,1,0),"N")</f>
        <v>N</v>
      </c>
    </row>
    <row r="262" spans="2:11" x14ac:dyDescent="0.35">
      <c r="B262" t="str">
        <f t="shared" si="4"/>
        <v>C</v>
      </c>
      <c r="C262" t="s">
        <v>263</v>
      </c>
      <c r="D262" s="11" t="s">
        <v>72</v>
      </c>
      <c r="E262" s="12" t="s">
        <v>69</v>
      </c>
      <c r="F262" s="13">
        <v>40214477.210000001</v>
      </c>
      <c r="G262" s="14">
        <v>45083</v>
      </c>
      <c r="H262" s="12" t="s">
        <v>73</v>
      </c>
      <c r="I262" s="14" t="s">
        <v>109</v>
      </c>
      <c r="J262" s="13">
        <v>-7420448.5</v>
      </c>
      <c r="K262" s="6" t="str">
        <f>+IFERROR(VLOOKUP(I262,'Legal Name'!$A$1:$I$2913,1,0),"N")</f>
        <v>N</v>
      </c>
    </row>
    <row r="263" spans="2:11" x14ac:dyDescent="0.35">
      <c r="B263" t="str">
        <f t="shared" si="4"/>
        <v>C</v>
      </c>
      <c r="C263" t="s">
        <v>264</v>
      </c>
      <c r="D263" s="11" t="s">
        <v>72</v>
      </c>
      <c r="E263" s="12" t="s">
        <v>69</v>
      </c>
      <c r="F263" s="13">
        <v>51201419.130000003</v>
      </c>
      <c r="G263" s="14">
        <v>45093</v>
      </c>
      <c r="H263" s="12" t="s">
        <v>73</v>
      </c>
      <c r="I263" s="14" t="s">
        <v>109</v>
      </c>
      <c r="J263" s="13">
        <v>-9451132.1099999994</v>
      </c>
      <c r="K263" s="6" t="str">
        <f>+IFERROR(VLOOKUP(I263,'Legal Name'!$A$1:$I$2913,1,0),"N")</f>
        <v>N</v>
      </c>
    </row>
    <row r="264" spans="2:11" x14ac:dyDescent="0.35">
      <c r="B264" t="str">
        <f t="shared" si="4"/>
        <v>C</v>
      </c>
      <c r="C264" t="s">
        <v>265</v>
      </c>
      <c r="D264" s="11" t="s">
        <v>72</v>
      </c>
      <c r="E264" s="12" t="s">
        <v>69</v>
      </c>
      <c r="F264" s="13">
        <v>53748992.210000001</v>
      </c>
      <c r="G264" s="14">
        <v>45093</v>
      </c>
      <c r="H264" s="12" t="s">
        <v>73</v>
      </c>
      <c r="I264" s="14" t="s">
        <v>109</v>
      </c>
      <c r="J264" s="13">
        <v>-10025680.859999999</v>
      </c>
      <c r="K264" s="6" t="str">
        <f>+IFERROR(VLOOKUP(I264,'Legal Name'!$A$1:$I$2913,1,0),"N")</f>
        <v>N</v>
      </c>
    </row>
    <row r="265" spans="2:11" x14ac:dyDescent="0.35">
      <c r="B265" t="str">
        <f t="shared" si="4"/>
        <v>C</v>
      </c>
      <c r="C265" t="s">
        <v>266</v>
      </c>
      <c r="D265" s="11" t="s">
        <v>72</v>
      </c>
      <c r="E265" s="12" t="s">
        <v>69</v>
      </c>
      <c r="F265" s="13">
        <v>53748992.210000001</v>
      </c>
      <c r="G265" s="14">
        <v>45093</v>
      </c>
      <c r="H265" s="12" t="s">
        <v>73</v>
      </c>
      <c r="I265" s="14" t="s">
        <v>109</v>
      </c>
      <c r="J265" s="13">
        <v>-9926453.3200000003</v>
      </c>
      <c r="K265" s="6" t="str">
        <f>+IFERROR(VLOOKUP(I265,'Legal Name'!$A$1:$I$2913,1,0),"N")</f>
        <v>N</v>
      </c>
    </row>
    <row r="266" spans="2:11" x14ac:dyDescent="0.35">
      <c r="B266" t="str">
        <f t="shared" si="4"/>
        <v>C</v>
      </c>
      <c r="C266" t="s">
        <v>267</v>
      </c>
      <c r="D266" s="11" t="s">
        <v>72</v>
      </c>
      <c r="E266" s="12" t="s">
        <v>69</v>
      </c>
      <c r="F266" s="13">
        <v>10575575.710000001</v>
      </c>
      <c r="G266" s="14">
        <v>45100</v>
      </c>
      <c r="H266" s="12" t="s">
        <v>73</v>
      </c>
      <c r="I266" s="14" t="s">
        <v>109</v>
      </c>
      <c r="J266" s="13">
        <v>-2755369.49</v>
      </c>
      <c r="K266" s="6" t="str">
        <f>+IFERROR(VLOOKUP(I266,'Legal Name'!$A$1:$I$2913,1,0),"N")</f>
        <v>N</v>
      </c>
    </row>
    <row r="267" spans="2:11" x14ac:dyDescent="0.35">
      <c r="B267" t="str">
        <f t="shared" si="4"/>
        <v>C</v>
      </c>
      <c r="C267" t="s">
        <v>268</v>
      </c>
      <c r="D267" s="11" t="s">
        <v>72</v>
      </c>
      <c r="E267" s="12" t="s">
        <v>69</v>
      </c>
      <c r="F267" s="13">
        <v>39658408.899999999</v>
      </c>
      <c r="G267" s="14">
        <v>45100</v>
      </c>
      <c r="H267" s="12" t="s">
        <v>73</v>
      </c>
      <c r="I267" s="14" t="s">
        <v>109</v>
      </c>
      <c r="J267" s="13">
        <v>-10478505.17</v>
      </c>
      <c r="K267" s="6" t="str">
        <f>+IFERROR(VLOOKUP(I267,'Legal Name'!$A$1:$I$2913,1,0),"N")</f>
        <v>N</v>
      </c>
    </row>
    <row r="268" spans="2:11" x14ac:dyDescent="0.35">
      <c r="B268" t="str">
        <f t="shared" si="4"/>
        <v>C</v>
      </c>
      <c r="C268" t="s">
        <v>269</v>
      </c>
      <c r="D268" s="11" t="s">
        <v>72</v>
      </c>
      <c r="E268" s="12" t="s">
        <v>69</v>
      </c>
      <c r="F268" s="13">
        <v>11888407.48</v>
      </c>
      <c r="G268" s="14">
        <v>45105</v>
      </c>
      <c r="H268" s="12" t="s">
        <v>73</v>
      </c>
      <c r="I268" s="14" t="s">
        <v>109</v>
      </c>
      <c r="J268" s="13">
        <v>-3082139.14</v>
      </c>
      <c r="K268" s="6" t="str">
        <f>+IFERROR(VLOOKUP(I268,'Legal Name'!$A$1:$I$2913,1,0),"N")</f>
        <v>N</v>
      </c>
    </row>
    <row r="269" spans="2:11" x14ac:dyDescent="0.35">
      <c r="B269" t="str">
        <f t="shared" si="4"/>
        <v>C</v>
      </c>
      <c r="C269" t="s">
        <v>270</v>
      </c>
      <c r="D269" s="11" t="s">
        <v>72</v>
      </c>
      <c r="E269" s="12" t="s">
        <v>69</v>
      </c>
      <c r="F269" s="13">
        <v>26418683.289999999</v>
      </c>
      <c r="G269" s="14">
        <v>45105</v>
      </c>
      <c r="H269" s="12" t="s">
        <v>73</v>
      </c>
      <c r="I269" s="14" t="s">
        <v>109</v>
      </c>
      <c r="J269" s="13">
        <v>-6927102.5800000001</v>
      </c>
      <c r="K269" s="6" t="str">
        <f>+IFERROR(VLOOKUP(I269,'Legal Name'!$A$1:$I$2913,1,0),"N")</f>
        <v>N</v>
      </c>
    </row>
    <row r="270" spans="2:11" x14ac:dyDescent="0.35">
      <c r="B270" t="str">
        <f t="shared" si="4"/>
        <v>C</v>
      </c>
      <c r="C270" t="s">
        <v>271</v>
      </c>
      <c r="D270" s="11" t="s">
        <v>72</v>
      </c>
      <c r="E270" s="12" t="s">
        <v>69</v>
      </c>
      <c r="F270" s="13">
        <v>26418683.289999999</v>
      </c>
      <c r="G270" s="14">
        <v>45105</v>
      </c>
      <c r="H270" s="12" t="s">
        <v>73</v>
      </c>
      <c r="I270" s="14" t="s">
        <v>109</v>
      </c>
      <c r="J270" s="13">
        <v>-6907626.5499999998</v>
      </c>
      <c r="K270" s="6" t="str">
        <f>+IFERROR(VLOOKUP(I270,'Legal Name'!$A$1:$I$2913,1,0),"N")</f>
        <v>N</v>
      </c>
    </row>
    <row r="271" spans="2:11" x14ac:dyDescent="0.35">
      <c r="B271" t="str">
        <f t="shared" si="4"/>
        <v>C</v>
      </c>
      <c r="C271" t="s">
        <v>272</v>
      </c>
      <c r="D271" s="11" t="s">
        <v>72</v>
      </c>
      <c r="E271" s="12" t="s">
        <v>69</v>
      </c>
      <c r="F271" s="13">
        <v>26111705.879999999</v>
      </c>
      <c r="G271" s="14">
        <v>45107</v>
      </c>
      <c r="H271" s="12" t="s">
        <v>73</v>
      </c>
      <c r="I271" s="14" t="s">
        <v>109</v>
      </c>
      <c r="J271" s="13">
        <v>-8064622.4100000001</v>
      </c>
      <c r="K271" s="6" t="str">
        <f>+IFERROR(VLOOKUP(I271,'Legal Name'!$A$1:$I$2913,1,0),"N")</f>
        <v>N</v>
      </c>
    </row>
    <row r="272" spans="2:11" x14ac:dyDescent="0.35">
      <c r="B272" t="str">
        <f t="shared" si="4"/>
        <v>C</v>
      </c>
      <c r="C272" t="s">
        <v>273</v>
      </c>
      <c r="D272" s="11" t="s">
        <v>72</v>
      </c>
      <c r="E272" s="12" t="s">
        <v>69</v>
      </c>
      <c r="F272" s="13">
        <v>64842432.890000001</v>
      </c>
      <c r="G272" s="14">
        <v>45110</v>
      </c>
      <c r="H272" s="12" t="s">
        <v>73</v>
      </c>
      <c r="I272" s="14" t="s">
        <v>109</v>
      </c>
      <c r="J272" s="13">
        <v>-23151935.739999998</v>
      </c>
      <c r="K272" s="6" t="str">
        <f>+IFERROR(VLOOKUP(I272,'Legal Name'!$A$1:$I$2913,1,0),"N")</f>
        <v>N</v>
      </c>
    </row>
    <row r="273" spans="2:11" x14ac:dyDescent="0.35">
      <c r="B273" t="str">
        <f t="shared" si="4"/>
        <v>C</v>
      </c>
      <c r="C273" t="s">
        <v>274</v>
      </c>
      <c r="D273" s="11" t="s">
        <v>72</v>
      </c>
      <c r="E273" s="12" t="s">
        <v>69</v>
      </c>
      <c r="F273" s="13">
        <v>33718065.100000001</v>
      </c>
      <c r="G273" s="14">
        <v>45110</v>
      </c>
      <c r="H273" s="12" t="s">
        <v>73</v>
      </c>
      <c r="I273" s="14" t="s">
        <v>109</v>
      </c>
      <c r="J273" s="13">
        <v>-11926750.92</v>
      </c>
      <c r="K273" s="6" t="str">
        <f>+IFERROR(VLOOKUP(I273,'Legal Name'!$A$1:$I$2913,1,0),"N")</f>
        <v>N</v>
      </c>
    </row>
    <row r="274" spans="2:11" x14ac:dyDescent="0.35">
      <c r="B274" t="str">
        <f t="shared" si="4"/>
        <v>C</v>
      </c>
      <c r="C274" t="s">
        <v>275</v>
      </c>
      <c r="D274" s="11" t="s">
        <v>72</v>
      </c>
      <c r="E274" s="12" t="s">
        <v>69</v>
      </c>
      <c r="F274" s="13">
        <v>25544741.609999999</v>
      </c>
      <c r="G274" s="14">
        <v>45128</v>
      </c>
      <c r="H274" s="12" t="s">
        <v>73</v>
      </c>
      <c r="I274" s="14" t="s">
        <v>109</v>
      </c>
      <c r="J274" s="13">
        <v>-12634276.98</v>
      </c>
      <c r="K274" s="6" t="str">
        <f>+IFERROR(VLOOKUP(I274,'Legal Name'!$A$1:$I$2913,1,0),"N")</f>
        <v>N</v>
      </c>
    </row>
    <row r="275" spans="2:11" x14ac:dyDescent="0.35">
      <c r="B275" t="str">
        <f t="shared" si="4"/>
        <v>C</v>
      </c>
      <c r="C275" t="s">
        <v>276</v>
      </c>
      <c r="D275" s="11" t="s">
        <v>72</v>
      </c>
      <c r="E275" s="12" t="s">
        <v>69</v>
      </c>
      <c r="F275" s="13">
        <v>25544741.609999999</v>
      </c>
      <c r="G275" s="14">
        <v>45128</v>
      </c>
      <c r="H275" s="12" t="s">
        <v>73</v>
      </c>
      <c r="I275" s="14" t="s">
        <v>109</v>
      </c>
      <c r="J275" s="13">
        <v>-12625082.49</v>
      </c>
      <c r="K275" s="6" t="str">
        <f>+IFERROR(VLOOKUP(I275,'Legal Name'!$A$1:$I$2913,1,0),"N")</f>
        <v>N</v>
      </c>
    </row>
    <row r="276" spans="2:11" x14ac:dyDescent="0.35">
      <c r="B276" t="str">
        <f t="shared" si="4"/>
        <v>C</v>
      </c>
      <c r="C276" t="s">
        <v>277</v>
      </c>
      <c r="D276" s="11" t="s">
        <v>72</v>
      </c>
      <c r="E276" s="12" t="s">
        <v>69</v>
      </c>
      <c r="F276" s="13">
        <v>43426060.75</v>
      </c>
      <c r="G276" s="14">
        <v>45128</v>
      </c>
      <c r="H276" s="12" t="s">
        <v>73</v>
      </c>
      <c r="I276" s="14" t="s">
        <v>109</v>
      </c>
      <c r="J276" s="13">
        <v>-21525162.41</v>
      </c>
      <c r="K276" s="6" t="str">
        <f>+IFERROR(VLOOKUP(I276,'Legal Name'!$A$1:$I$2913,1,0),"N")</f>
        <v>N</v>
      </c>
    </row>
    <row r="277" spans="2:11" x14ac:dyDescent="0.35">
      <c r="B277" t="str">
        <f t="shared" si="4"/>
        <v>C</v>
      </c>
      <c r="C277" t="s">
        <v>278</v>
      </c>
      <c r="D277" s="11" t="s">
        <v>72</v>
      </c>
      <c r="E277" s="12" t="s">
        <v>69</v>
      </c>
      <c r="F277" s="13">
        <v>25531045.75</v>
      </c>
      <c r="G277" s="14">
        <v>45141</v>
      </c>
      <c r="H277" s="12" t="s">
        <v>73</v>
      </c>
      <c r="I277" s="14" t="s">
        <v>109</v>
      </c>
      <c r="J277" s="13">
        <v>-11482116.83</v>
      </c>
      <c r="K277" s="6" t="str">
        <f>+IFERROR(VLOOKUP(I277,'Legal Name'!$A$1:$I$2913,1,0),"N")</f>
        <v>N</v>
      </c>
    </row>
    <row r="278" spans="2:11" x14ac:dyDescent="0.35">
      <c r="B278" t="str">
        <f t="shared" si="4"/>
        <v>C</v>
      </c>
      <c r="C278" t="s">
        <v>279</v>
      </c>
      <c r="D278" s="11" t="s">
        <v>72</v>
      </c>
      <c r="E278" s="12" t="s">
        <v>69</v>
      </c>
      <c r="F278" s="13">
        <v>7659313.7300000004</v>
      </c>
      <c r="G278" s="14">
        <v>45141</v>
      </c>
      <c r="H278" s="12" t="s">
        <v>73</v>
      </c>
      <c r="I278" s="14" t="s">
        <v>109</v>
      </c>
      <c r="J278" s="13">
        <v>-3439031.21</v>
      </c>
      <c r="K278" s="6" t="str">
        <f>+IFERROR(VLOOKUP(I278,'Legal Name'!$A$1:$I$2913,1,0),"N")</f>
        <v>N</v>
      </c>
    </row>
    <row r="279" spans="2:11" x14ac:dyDescent="0.35">
      <c r="B279" t="str">
        <f t="shared" si="4"/>
        <v>C</v>
      </c>
      <c r="C279" t="s">
        <v>280</v>
      </c>
      <c r="D279" s="11" t="s">
        <v>72</v>
      </c>
      <c r="E279" s="12" t="s">
        <v>69</v>
      </c>
      <c r="F279" s="13">
        <v>25531045.75</v>
      </c>
      <c r="G279" s="14">
        <v>45141</v>
      </c>
      <c r="H279" s="12" t="s">
        <v>73</v>
      </c>
      <c r="I279" s="14" t="s">
        <v>109</v>
      </c>
      <c r="J279" s="13">
        <v>-11482116.83</v>
      </c>
      <c r="K279" s="6" t="str">
        <f>+IFERROR(VLOOKUP(I279,'Legal Name'!$A$1:$I$2913,1,0),"N")</f>
        <v>N</v>
      </c>
    </row>
    <row r="280" spans="2:11" x14ac:dyDescent="0.35">
      <c r="B280" t="str">
        <f t="shared" si="4"/>
        <v>C</v>
      </c>
      <c r="C280" t="s">
        <v>281</v>
      </c>
      <c r="D280" s="11" t="s">
        <v>72</v>
      </c>
      <c r="E280" s="12" t="s">
        <v>69</v>
      </c>
      <c r="F280" s="13">
        <v>6382761.4400000004</v>
      </c>
      <c r="G280" s="14">
        <v>45141</v>
      </c>
      <c r="H280" s="12" t="s">
        <v>73</v>
      </c>
      <c r="I280" s="14" t="s">
        <v>109</v>
      </c>
      <c r="J280" s="13">
        <v>-2865859.35</v>
      </c>
      <c r="K280" s="6" t="str">
        <f>+IFERROR(VLOOKUP(I280,'Legal Name'!$A$1:$I$2913,1,0),"N")</f>
        <v>N</v>
      </c>
    </row>
    <row r="281" spans="2:11" x14ac:dyDescent="0.35">
      <c r="B281" t="str">
        <f t="shared" si="4"/>
        <v>C</v>
      </c>
      <c r="C281" t="s">
        <v>282</v>
      </c>
      <c r="D281" s="11" t="s">
        <v>72</v>
      </c>
      <c r="E281" s="12" t="s">
        <v>69</v>
      </c>
      <c r="F281" s="13">
        <v>25531045.75</v>
      </c>
      <c r="G281" s="14">
        <v>45141</v>
      </c>
      <c r="H281" s="12" t="s">
        <v>73</v>
      </c>
      <c r="I281" s="14" t="s">
        <v>109</v>
      </c>
      <c r="J281" s="13">
        <v>-11463437.380000001</v>
      </c>
      <c r="K281" s="6" t="str">
        <f>+IFERROR(VLOOKUP(I281,'Legal Name'!$A$1:$I$2913,1,0),"N")</f>
        <v>N</v>
      </c>
    </row>
    <row r="282" spans="2:11" x14ac:dyDescent="0.35">
      <c r="B282" t="str">
        <f t="shared" si="4"/>
        <v>C</v>
      </c>
      <c r="C282" t="s">
        <v>283</v>
      </c>
      <c r="D282" s="11" t="s">
        <v>72</v>
      </c>
      <c r="E282" s="12" t="s">
        <v>69</v>
      </c>
      <c r="F282" s="13">
        <v>25531045.75</v>
      </c>
      <c r="G282" s="14">
        <v>45141</v>
      </c>
      <c r="H282" s="12" t="s">
        <v>73</v>
      </c>
      <c r="I282" s="14" t="s">
        <v>109</v>
      </c>
      <c r="J282" s="13">
        <v>-11482116.83</v>
      </c>
      <c r="K282" s="6" t="str">
        <f>+IFERROR(VLOOKUP(I282,'Legal Name'!$A$1:$I$2913,1,0),"N")</f>
        <v>N</v>
      </c>
    </row>
    <row r="283" spans="2:11" x14ac:dyDescent="0.35">
      <c r="B283" t="str">
        <f t="shared" si="4"/>
        <v>C</v>
      </c>
      <c r="C283" t="s">
        <v>284</v>
      </c>
      <c r="D283" s="11" t="s">
        <v>72</v>
      </c>
      <c r="E283" s="12" t="s">
        <v>69</v>
      </c>
      <c r="F283" s="13">
        <v>25868536.100000001</v>
      </c>
      <c r="G283" s="14">
        <v>45078</v>
      </c>
      <c r="H283" s="12" t="s">
        <v>73</v>
      </c>
      <c r="I283" s="14" t="s">
        <v>109</v>
      </c>
      <c r="J283" s="13">
        <v>-7323244.8899999997</v>
      </c>
      <c r="K283" s="6" t="str">
        <f>+IFERROR(VLOOKUP(I283,'Legal Name'!$A$1:$I$2913,1,0),"N")</f>
        <v>N</v>
      </c>
    </row>
    <row r="284" spans="2:11" x14ac:dyDescent="0.35">
      <c r="B284" t="str">
        <f t="shared" si="4"/>
        <v>C</v>
      </c>
      <c r="C284" t="s">
        <v>285</v>
      </c>
      <c r="D284" s="11" t="s">
        <v>72</v>
      </c>
      <c r="E284" s="12" t="s">
        <v>69</v>
      </c>
      <c r="F284" s="13">
        <v>19892904.260000002</v>
      </c>
      <c r="G284" s="14">
        <v>45078</v>
      </c>
      <c r="H284" s="12" t="s">
        <v>73</v>
      </c>
      <c r="I284" s="14" t="s">
        <v>109</v>
      </c>
      <c r="J284" s="13">
        <v>-5626075.1900000004</v>
      </c>
      <c r="K284" s="6" t="str">
        <f>+IFERROR(VLOOKUP(I284,'Legal Name'!$A$1:$I$2913,1,0),"N")</f>
        <v>N</v>
      </c>
    </row>
    <row r="285" spans="2:11" x14ac:dyDescent="0.35">
      <c r="B285" t="str">
        <f t="shared" si="4"/>
        <v>C</v>
      </c>
      <c r="C285" t="s">
        <v>286</v>
      </c>
      <c r="D285" s="11" t="s">
        <v>72</v>
      </c>
      <c r="E285" s="12" t="s">
        <v>69</v>
      </c>
      <c r="F285" s="13">
        <v>36164213.469999999</v>
      </c>
      <c r="G285" s="14">
        <v>45078</v>
      </c>
      <c r="H285" s="12" t="s">
        <v>73</v>
      </c>
      <c r="I285" s="14" t="s">
        <v>109</v>
      </c>
      <c r="J285" s="13">
        <v>-10247895.359999999</v>
      </c>
      <c r="K285" s="6" t="str">
        <f>+IFERROR(VLOOKUP(I285,'Legal Name'!$A$1:$I$2913,1,0),"N")</f>
        <v>N</v>
      </c>
    </row>
    <row r="286" spans="2:11" x14ac:dyDescent="0.35">
      <c r="B286" t="str">
        <f t="shared" si="4"/>
        <v>C</v>
      </c>
      <c r="C286" t="s">
        <v>287</v>
      </c>
      <c r="D286" s="11" t="s">
        <v>72</v>
      </c>
      <c r="E286" s="12" t="s">
        <v>69</v>
      </c>
      <c r="F286" s="13">
        <v>69749438.75</v>
      </c>
      <c r="G286" s="14">
        <v>45079</v>
      </c>
      <c r="H286" s="12" t="s">
        <v>73</v>
      </c>
      <c r="I286" s="14" t="s">
        <v>109</v>
      </c>
      <c r="J286" s="13">
        <v>-20713929.27</v>
      </c>
      <c r="K286" s="6" t="str">
        <f>+IFERROR(VLOOKUP(I286,'Legal Name'!$A$1:$I$2913,1,0),"N")</f>
        <v>N</v>
      </c>
    </row>
    <row r="287" spans="2:11" x14ac:dyDescent="0.35">
      <c r="B287" t="str">
        <f t="shared" si="4"/>
        <v>C</v>
      </c>
      <c r="C287" t="s">
        <v>288</v>
      </c>
      <c r="D287" s="11" t="s">
        <v>72</v>
      </c>
      <c r="E287" s="12" t="s">
        <v>69</v>
      </c>
      <c r="F287" s="13">
        <v>27714337.039999999</v>
      </c>
      <c r="G287" s="14">
        <v>45175</v>
      </c>
      <c r="H287" s="12" t="s">
        <v>73</v>
      </c>
      <c r="I287" s="14" t="s">
        <v>109</v>
      </c>
      <c r="J287" s="13">
        <v>-9104693.2699999996</v>
      </c>
      <c r="K287" s="6" t="str">
        <f>+IFERROR(VLOOKUP(I287,'Legal Name'!$A$1:$I$2913,1,0),"N")</f>
        <v>N</v>
      </c>
    </row>
    <row r="288" spans="2:11" x14ac:dyDescent="0.35">
      <c r="B288" t="str">
        <f t="shared" si="4"/>
        <v>C</v>
      </c>
      <c r="C288" t="s">
        <v>289</v>
      </c>
      <c r="D288" s="11" t="s">
        <v>72</v>
      </c>
      <c r="E288" s="12" t="s">
        <v>69</v>
      </c>
      <c r="F288" s="13">
        <v>25781834.120000001</v>
      </c>
      <c r="G288" s="14">
        <v>45086</v>
      </c>
      <c r="H288" s="12" t="s">
        <v>73</v>
      </c>
      <c r="I288" s="14" t="s">
        <v>109</v>
      </c>
      <c r="J288" s="13">
        <v>-7712592.25</v>
      </c>
      <c r="K288" s="6" t="str">
        <f>+IFERROR(VLOOKUP(I288,'Legal Name'!$A$1:$I$2913,1,0),"N")</f>
        <v>N</v>
      </c>
    </row>
    <row r="289" spans="2:11" x14ac:dyDescent="0.35">
      <c r="B289" t="str">
        <f t="shared" si="4"/>
        <v>C</v>
      </c>
      <c r="C289" t="s">
        <v>290</v>
      </c>
      <c r="D289" s="11" t="s">
        <v>72</v>
      </c>
      <c r="E289" s="12" t="s">
        <v>69</v>
      </c>
      <c r="F289" s="13">
        <v>25781834.120000001</v>
      </c>
      <c r="G289" s="14">
        <v>45086</v>
      </c>
      <c r="H289" s="12" t="s">
        <v>73</v>
      </c>
      <c r="I289" s="14" t="s">
        <v>109</v>
      </c>
      <c r="J289" s="13">
        <v>-7719703.4900000002</v>
      </c>
      <c r="K289" s="6" t="str">
        <f>+IFERROR(VLOOKUP(I289,'Legal Name'!$A$1:$I$2913,1,0),"N")</f>
        <v>N</v>
      </c>
    </row>
    <row r="290" spans="2:11" x14ac:dyDescent="0.35">
      <c r="B290" t="str">
        <f t="shared" si="4"/>
        <v>C</v>
      </c>
      <c r="C290" t="s">
        <v>291</v>
      </c>
      <c r="D290" s="11" t="s">
        <v>72</v>
      </c>
      <c r="E290" s="12" t="s">
        <v>69</v>
      </c>
      <c r="F290" s="13">
        <v>6333764.0300000003</v>
      </c>
      <c r="G290" s="14">
        <v>45104</v>
      </c>
      <c r="H290" s="12" t="s">
        <v>73</v>
      </c>
      <c r="I290" s="14" t="s">
        <v>109</v>
      </c>
      <c r="J290" s="13">
        <v>-2594629.02</v>
      </c>
      <c r="K290" s="6" t="str">
        <f>+IFERROR(VLOOKUP(I290,'Legal Name'!$A$1:$I$2913,1,0),"N")</f>
        <v>N</v>
      </c>
    </row>
    <row r="291" spans="2:11" x14ac:dyDescent="0.35">
      <c r="B291" t="str">
        <f t="shared" si="4"/>
        <v>C</v>
      </c>
      <c r="C291" t="s">
        <v>292</v>
      </c>
      <c r="D291" s="11" t="s">
        <v>72</v>
      </c>
      <c r="E291" s="12" t="s">
        <v>69</v>
      </c>
      <c r="F291" s="13">
        <v>12667528.060000001</v>
      </c>
      <c r="G291" s="14">
        <v>45104</v>
      </c>
      <c r="H291" s="12" t="s">
        <v>73</v>
      </c>
      <c r="I291" s="14" t="s">
        <v>109</v>
      </c>
      <c r="J291" s="13">
        <v>-5199638.05</v>
      </c>
      <c r="K291" s="6" t="str">
        <f>+IFERROR(VLOOKUP(I291,'Legal Name'!$A$1:$I$2913,1,0),"N")</f>
        <v>N</v>
      </c>
    </row>
    <row r="292" spans="2:11" x14ac:dyDescent="0.35">
      <c r="B292" t="str">
        <f t="shared" si="4"/>
        <v>C</v>
      </c>
      <c r="C292" t="s">
        <v>293</v>
      </c>
      <c r="D292" s="11" t="s">
        <v>72</v>
      </c>
      <c r="E292" s="12" t="s">
        <v>69</v>
      </c>
      <c r="F292" s="13">
        <v>12667528.060000001</v>
      </c>
      <c r="G292" s="14">
        <v>45104</v>
      </c>
      <c r="H292" s="12" t="s">
        <v>73</v>
      </c>
      <c r="I292" s="14" t="s">
        <v>109</v>
      </c>
      <c r="J292" s="13">
        <v>-5182338.5199999996</v>
      </c>
      <c r="K292" s="6" t="str">
        <f>+IFERROR(VLOOKUP(I292,'Legal Name'!$A$1:$I$2913,1,0),"N")</f>
        <v>N</v>
      </c>
    </row>
    <row r="293" spans="2:11" x14ac:dyDescent="0.35">
      <c r="B293" t="str">
        <f t="shared" si="4"/>
        <v>C</v>
      </c>
      <c r="C293" t="s">
        <v>294</v>
      </c>
      <c r="D293" s="11" t="s">
        <v>72</v>
      </c>
      <c r="E293" s="12" t="s">
        <v>69</v>
      </c>
      <c r="F293" s="13">
        <v>12667528.060000001</v>
      </c>
      <c r="G293" s="14">
        <v>45104</v>
      </c>
      <c r="H293" s="12" t="s">
        <v>73</v>
      </c>
      <c r="I293" s="14" t="s">
        <v>109</v>
      </c>
      <c r="J293" s="13">
        <v>-5113160.45</v>
      </c>
      <c r="K293" s="6" t="str">
        <f>+IFERROR(VLOOKUP(I293,'Legal Name'!$A$1:$I$2913,1,0),"N")</f>
        <v>N</v>
      </c>
    </row>
    <row r="294" spans="2:11" x14ac:dyDescent="0.35">
      <c r="B294" t="str">
        <f t="shared" si="4"/>
        <v>C</v>
      </c>
      <c r="C294" t="s">
        <v>295</v>
      </c>
      <c r="D294" s="11" t="s">
        <v>72</v>
      </c>
      <c r="E294" s="12" t="s">
        <v>69</v>
      </c>
      <c r="F294" s="13">
        <v>5976045.1699999999</v>
      </c>
      <c r="G294" s="14">
        <v>45105</v>
      </c>
      <c r="H294" s="12" t="s">
        <v>73</v>
      </c>
      <c r="I294" s="14" t="s">
        <v>109</v>
      </c>
      <c r="J294" s="13">
        <v>-2422485.7200000002</v>
      </c>
      <c r="K294" s="6" t="str">
        <f>+IFERROR(VLOOKUP(I294,'Legal Name'!$A$1:$I$2913,1,0),"N")</f>
        <v>N</v>
      </c>
    </row>
    <row r="295" spans="2:11" x14ac:dyDescent="0.35">
      <c r="B295" t="str">
        <f t="shared" si="4"/>
        <v>C</v>
      </c>
      <c r="C295" t="s">
        <v>296</v>
      </c>
      <c r="D295" s="11" t="s">
        <v>72</v>
      </c>
      <c r="E295" s="12" t="s">
        <v>69</v>
      </c>
      <c r="F295" s="13">
        <v>25173698.52</v>
      </c>
      <c r="G295" s="14">
        <v>45107</v>
      </c>
      <c r="H295" s="12" t="s">
        <v>73</v>
      </c>
      <c r="I295" s="14" t="s">
        <v>109</v>
      </c>
      <c r="J295" s="13">
        <v>-10914296.619999999</v>
      </c>
      <c r="K295" s="6" t="str">
        <f>+IFERROR(VLOOKUP(I295,'Legal Name'!$A$1:$I$2913,1,0),"N")</f>
        <v>N</v>
      </c>
    </row>
    <row r="296" spans="2:11" x14ac:dyDescent="0.35">
      <c r="B296" t="str">
        <f t="shared" si="4"/>
        <v>C</v>
      </c>
      <c r="C296" t="s">
        <v>297</v>
      </c>
      <c r="D296" s="11" t="s">
        <v>72</v>
      </c>
      <c r="E296" s="12" t="s">
        <v>69</v>
      </c>
      <c r="F296" s="13">
        <v>17420199.379999999</v>
      </c>
      <c r="G296" s="14">
        <v>45107</v>
      </c>
      <c r="H296" s="12" t="s">
        <v>73</v>
      </c>
      <c r="I296" s="14" t="s">
        <v>109</v>
      </c>
      <c r="J296" s="13">
        <v>-7485880.1699999999</v>
      </c>
      <c r="K296" s="6" t="str">
        <f>+IFERROR(VLOOKUP(I296,'Legal Name'!$A$1:$I$2913,1,0),"N")</f>
        <v>N</v>
      </c>
    </row>
    <row r="297" spans="2:11" x14ac:dyDescent="0.35">
      <c r="B297" t="str">
        <f t="shared" si="4"/>
        <v>C</v>
      </c>
      <c r="C297" t="s">
        <v>298</v>
      </c>
      <c r="D297" s="11" t="s">
        <v>72</v>
      </c>
      <c r="E297" s="12" t="s">
        <v>69</v>
      </c>
      <c r="F297" s="13">
        <v>52119980.189999998</v>
      </c>
      <c r="G297" s="14">
        <v>45068</v>
      </c>
      <c r="H297" s="12" t="s">
        <v>73</v>
      </c>
      <c r="I297" s="14" t="s">
        <v>109</v>
      </c>
      <c r="J297" s="13">
        <v>-12427831.119999999</v>
      </c>
      <c r="K297" s="6" t="str">
        <f>+IFERROR(VLOOKUP(I297,'Legal Name'!$A$1:$I$2913,1,0),"N")</f>
        <v>N</v>
      </c>
    </row>
    <row r="298" spans="2:11" x14ac:dyDescent="0.35">
      <c r="B298" t="str">
        <f t="shared" si="4"/>
        <v>C</v>
      </c>
      <c r="C298" t="s">
        <v>299</v>
      </c>
      <c r="D298" s="11" t="s">
        <v>72</v>
      </c>
      <c r="E298" s="12" t="s">
        <v>69</v>
      </c>
      <c r="F298" s="13">
        <v>6181978.75</v>
      </c>
      <c r="G298" s="14">
        <v>45161</v>
      </c>
      <c r="H298" s="12" t="s">
        <v>73</v>
      </c>
      <c r="I298" s="14" t="s">
        <v>109</v>
      </c>
      <c r="J298" s="13">
        <v>-1227565.03</v>
      </c>
      <c r="K298" s="6" t="str">
        <f>+IFERROR(VLOOKUP(I298,'Legal Name'!$A$1:$I$2913,1,0),"N")</f>
        <v>N</v>
      </c>
    </row>
    <row r="299" spans="2:11" x14ac:dyDescent="0.35">
      <c r="B299" t="str">
        <f t="shared" si="4"/>
        <v>C</v>
      </c>
      <c r="C299" t="s">
        <v>300</v>
      </c>
      <c r="D299" s="11" t="s">
        <v>72</v>
      </c>
      <c r="E299" s="12" t="s">
        <v>69</v>
      </c>
      <c r="F299" s="13">
        <v>25974700.640000001</v>
      </c>
      <c r="G299" s="14">
        <v>45069</v>
      </c>
      <c r="H299" s="12" t="s">
        <v>73</v>
      </c>
      <c r="I299" s="14" t="s">
        <v>109</v>
      </c>
      <c r="J299" s="13">
        <v>-5842741.71</v>
      </c>
      <c r="K299" s="6" t="str">
        <f>+IFERROR(VLOOKUP(I299,'Legal Name'!$A$1:$I$2913,1,0),"N")</f>
        <v>N</v>
      </c>
    </row>
    <row r="300" spans="2:11" x14ac:dyDescent="0.35">
      <c r="B300" t="str">
        <f t="shared" si="4"/>
        <v>C</v>
      </c>
      <c r="C300" t="s">
        <v>301</v>
      </c>
      <c r="D300" s="11" t="s">
        <v>72</v>
      </c>
      <c r="E300" s="12" t="s">
        <v>69</v>
      </c>
      <c r="F300" s="13">
        <v>31215276.879999999</v>
      </c>
      <c r="G300" s="14">
        <v>45163</v>
      </c>
      <c r="H300" s="12" t="s">
        <v>73</v>
      </c>
      <c r="I300" s="14" t="s">
        <v>109</v>
      </c>
      <c r="J300" s="13">
        <v>-6852773.04</v>
      </c>
      <c r="K300" s="6" t="str">
        <f>+IFERROR(VLOOKUP(I300,'Legal Name'!$A$1:$I$2913,1,0),"N")</f>
        <v>N</v>
      </c>
    </row>
    <row r="301" spans="2:11" x14ac:dyDescent="0.35">
      <c r="B301" t="str">
        <f t="shared" si="4"/>
        <v>C</v>
      </c>
      <c r="C301" t="s">
        <v>302</v>
      </c>
      <c r="D301" s="11" t="s">
        <v>72</v>
      </c>
      <c r="E301" s="12" t="s">
        <v>69</v>
      </c>
      <c r="F301" s="13">
        <v>25840460.989999998</v>
      </c>
      <c r="G301" s="14">
        <v>45163</v>
      </c>
      <c r="H301" s="12" t="s">
        <v>73</v>
      </c>
      <c r="I301" s="14" t="s">
        <v>109</v>
      </c>
      <c r="J301" s="13">
        <v>-5744996.46</v>
      </c>
      <c r="K301" s="6" t="str">
        <f>+IFERROR(VLOOKUP(I301,'Legal Name'!$A$1:$I$2913,1,0),"N")</f>
        <v>N</v>
      </c>
    </row>
    <row r="302" spans="2:11" x14ac:dyDescent="0.35">
      <c r="B302" t="str">
        <f t="shared" si="4"/>
        <v>C</v>
      </c>
      <c r="C302" t="s">
        <v>303</v>
      </c>
      <c r="D302" s="11" t="s">
        <v>72</v>
      </c>
      <c r="E302" s="12" t="s">
        <v>69</v>
      </c>
      <c r="F302" s="13">
        <v>17280318.539999999</v>
      </c>
      <c r="G302" s="14">
        <v>46660</v>
      </c>
      <c r="H302" s="12" t="s">
        <v>70</v>
      </c>
      <c r="I302" s="14" t="s">
        <v>71</v>
      </c>
      <c r="J302" s="13">
        <v>-7083367.71</v>
      </c>
      <c r="K302" s="6" t="str">
        <f>+IFERROR(VLOOKUP(I302,'Legal Name'!$A$1:$I$2913,1,0),"N")</f>
        <v>N</v>
      </c>
    </row>
    <row r="303" spans="2:11" x14ac:dyDescent="0.35">
      <c r="B303" t="str">
        <f t="shared" si="4"/>
        <v>C</v>
      </c>
      <c r="C303" t="s">
        <v>304</v>
      </c>
      <c r="D303" s="11" t="s">
        <v>72</v>
      </c>
      <c r="E303" s="12" t="s">
        <v>69</v>
      </c>
      <c r="F303" s="13">
        <v>25948414.550000001</v>
      </c>
      <c r="G303" s="14">
        <v>45167</v>
      </c>
      <c r="H303" s="12" t="s">
        <v>73</v>
      </c>
      <c r="I303" s="14" t="s">
        <v>109</v>
      </c>
      <c r="J303" s="13">
        <v>-5235404.18</v>
      </c>
      <c r="K303" s="6" t="str">
        <f>+IFERROR(VLOOKUP(I303,'Legal Name'!$A$1:$I$2913,1,0),"N")</f>
        <v>N</v>
      </c>
    </row>
    <row r="304" spans="2:11" x14ac:dyDescent="0.35">
      <c r="B304" t="str">
        <f t="shared" si="4"/>
        <v>C</v>
      </c>
      <c r="C304" t="s">
        <v>305</v>
      </c>
      <c r="D304" s="11" t="s">
        <v>72</v>
      </c>
      <c r="E304" s="12" t="s">
        <v>69</v>
      </c>
      <c r="F304" s="13">
        <v>38429601.950000003</v>
      </c>
      <c r="G304" s="14">
        <v>45167</v>
      </c>
      <c r="H304" s="12" t="s">
        <v>73</v>
      </c>
      <c r="I304" s="14" t="s">
        <v>109</v>
      </c>
      <c r="J304" s="13">
        <v>-7710892.4400000004</v>
      </c>
      <c r="K304" s="6" t="str">
        <f>+IFERROR(VLOOKUP(I304,'Legal Name'!$A$1:$I$2913,1,0),"N")</f>
        <v>N</v>
      </c>
    </row>
    <row r="305" spans="2:11" x14ac:dyDescent="0.35">
      <c r="B305" t="str">
        <f t="shared" si="4"/>
        <v>C</v>
      </c>
      <c r="C305" t="s">
        <v>306</v>
      </c>
      <c r="D305" s="11" t="s">
        <v>72</v>
      </c>
      <c r="E305" s="12" t="s">
        <v>69</v>
      </c>
      <c r="F305" s="13">
        <v>27245835.280000001</v>
      </c>
      <c r="G305" s="14">
        <v>45167</v>
      </c>
      <c r="H305" s="12" t="s">
        <v>73</v>
      </c>
      <c r="I305" s="14" t="s">
        <v>109</v>
      </c>
      <c r="J305" s="13">
        <v>-5482022.7000000002</v>
      </c>
      <c r="K305" s="6" t="str">
        <f>+IFERROR(VLOOKUP(I305,'Legal Name'!$A$1:$I$2913,1,0),"N")</f>
        <v>N</v>
      </c>
    </row>
    <row r="306" spans="2:11" x14ac:dyDescent="0.35">
      <c r="B306" t="str">
        <f t="shared" si="4"/>
        <v>C</v>
      </c>
      <c r="C306" t="s">
        <v>307</v>
      </c>
      <c r="D306" s="11" t="s">
        <v>72</v>
      </c>
      <c r="E306" s="12" t="s">
        <v>69</v>
      </c>
      <c r="F306" s="13">
        <v>13045974.01</v>
      </c>
      <c r="G306" s="14">
        <v>45170</v>
      </c>
      <c r="H306" s="12" t="s">
        <v>73</v>
      </c>
      <c r="I306" s="14" t="s">
        <v>109</v>
      </c>
      <c r="J306" s="13">
        <v>-2790016.55</v>
      </c>
      <c r="K306" s="6" t="str">
        <f>+IFERROR(VLOOKUP(I306,'Legal Name'!$A$1:$I$2913,1,0),"N")</f>
        <v>N</v>
      </c>
    </row>
    <row r="307" spans="2:11" x14ac:dyDescent="0.35">
      <c r="B307" t="str">
        <f t="shared" si="4"/>
        <v>C</v>
      </c>
      <c r="C307" t="s">
        <v>308</v>
      </c>
      <c r="D307" s="11" t="s">
        <v>72</v>
      </c>
      <c r="E307" s="12" t="s">
        <v>69</v>
      </c>
      <c r="F307" s="13">
        <v>5218389.5999999996</v>
      </c>
      <c r="G307" s="14">
        <v>45170</v>
      </c>
      <c r="H307" s="12" t="s">
        <v>73</v>
      </c>
      <c r="I307" s="14" t="s">
        <v>109</v>
      </c>
      <c r="J307" s="13">
        <v>-1101551.33</v>
      </c>
      <c r="K307" s="6" t="str">
        <f>+IFERROR(VLOOKUP(I307,'Legal Name'!$A$1:$I$2913,1,0),"N")</f>
        <v>N</v>
      </c>
    </row>
    <row r="308" spans="2:11" x14ac:dyDescent="0.35">
      <c r="B308" t="str">
        <f t="shared" si="4"/>
        <v>C</v>
      </c>
      <c r="C308" t="s">
        <v>309</v>
      </c>
      <c r="D308" s="11" t="s">
        <v>72</v>
      </c>
      <c r="E308" s="12" t="s">
        <v>69</v>
      </c>
      <c r="F308" s="13">
        <v>13716962.189999999</v>
      </c>
      <c r="G308" s="14">
        <v>45132</v>
      </c>
      <c r="H308" s="12" t="s">
        <v>73</v>
      </c>
      <c r="I308" s="14" t="s">
        <v>109</v>
      </c>
      <c r="J308" s="13">
        <v>-4835136.04</v>
      </c>
      <c r="K308" s="6" t="str">
        <f>+IFERROR(VLOOKUP(I308,'Legal Name'!$A$1:$I$2913,1,0),"N")</f>
        <v>N</v>
      </c>
    </row>
    <row r="309" spans="2:11" x14ac:dyDescent="0.35">
      <c r="B309" t="str">
        <f t="shared" si="4"/>
        <v>C</v>
      </c>
      <c r="C309" t="s">
        <v>310</v>
      </c>
      <c r="D309" s="11" t="s">
        <v>72</v>
      </c>
      <c r="E309" s="12" t="s">
        <v>69</v>
      </c>
      <c r="F309" s="13">
        <v>13078391.880000001</v>
      </c>
      <c r="G309" s="14">
        <v>45226</v>
      </c>
      <c r="H309" s="12" t="s">
        <v>73</v>
      </c>
      <c r="I309" s="14" t="s">
        <v>109</v>
      </c>
      <c r="J309" s="13">
        <v>-114922.19</v>
      </c>
      <c r="K309" s="6" t="str">
        <f>+IFERROR(VLOOKUP(I309,'Legal Name'!$A$1:$I$2913,1,0),"N")</f>
        <v>N</v>
      </c>
    </row>
    <row r="310" spans="2:11" x14ac:dyDescent="0.35">
      <c r="B310" t="str">
        <f t="shared" si="4"/>
        <v>C</v>
      </c>
      <c r="C310" t="s">
        <v>311</v>
      </c>
      <c r="D310" s="11" t="s">
        <v>72</v>
      </c>
      <c r="E310" s="12" t="s">
        <v>69</v>
      </c>
      <c r="F310" s="13">
        <v>6539195.9400000004</v>
      </c>
      <c r="G310" s="14">
        <v>45226</v>
      </c>
      <c r="H310" s="12" t="s">
        <v>73</v>
      </c>
      <c r="I310" s="14" t="s">
        <v>109</v>
      </c>
      <c r="J310" s="13">
        <v>-51779.6</v>
      </c>
      <c r="K310" s="6" t="str">
        <f>+IFERROR(VLOOKUP(I310,'Legal Name'!$A$1:$I$2913,1,0),"N")</f>
        <v>N</v>
      </c>
    </row>
    <row r="311" spans="2:11" x14ac:dyDescent="0.35">
      <c r="B311" t="str">
        <f t="shared" si="4"/>
        <v>C</v>
      </c>
      <c r="C311" t="s">
        <v>312</v>
      </c>
      <c r="D311" s="11" t="s">
        <v>72</v>
      </c>
      <c r="E311" s="12" t="s">
        <v>69</v>
      </c>
      <c r="F311" s="13">
        <v>15694070.26</v>
      </c>
      <c r="G311" s="14">
        <v>45134</v>
      </c>
      <c r="H311" s="12" t="s">
        <v>73</v>
      </c>
      <c r="I311" s="14" t="s">
        <v>109</v>
      </c>
      <c r="J311" s="13">
        <v>-4490840.22</v>
      </c>
      <c r="K311" s="6" t="str">
        <f>+IFERROR(VLOOKUP(I311,'Legal Name'!$A$1:$I$2913,1,0),"N")</f>
        <v>N</v>
      </c>
    </row>
    <row r="312" spans="2:11" x14ac:dyDescent="0.35">
      <c r="B312" t="str">
        <f t="shared" si="4"/>
        <v>C</v>
      </c>
      <c r="C312" t="s">
        <v>313</v>
      </c>
      <c r="D312" s="11" t="s">
        <v>72</v>
      </c>
      <c r="E312" s="12" t="s">
        <v>69</v>
      </c>
      <c r="F312" s="13">
        <v>15694070.26</v>
      </c>
      <c r="G312" s="14">
        <v>45134</v>
      </c>
      <c r="H312" s="12" t="s">
        <v>73</v>
      </c>
      <c r="I312" s="14" t="s">
        <v>109</v>
      </c>
      <c r="J312" s="13">
        <v>-4488086.6900000004</v>
      </c>
      <c r="K312" s="6" t="str">
        <f>+IFERROR(VLOOKUP(I312,'Legal Name'!$A$1:$I$2913,1,0),"N")</f>
        <v>N</v>
      </c>
    </row>
    <row r="313" spans="2:11" x14ac:dyDescent="0.35">
      <c r="B313" t="str">
        <f t="shared" si="4"/>
        <v>C</v>
      </c>
      <c r="C313" t="s">
        <v>314</v>
      </c>
      <c r="D313" s="11" t="s">
        <v>72</v>
      </c>
      <c r="E313" s="12" t="s">
        <v>69</v>
      </c>
      <c r="F313" s="13">
        <v>51789321.039999999</v>
      </c>
      <c r="G313" s="14">
        <v>45138</v>
      </c>
      <c r="H313" s="12" t="s">
        <v>73</v>
      </c>
      <c r="I313" s="14" t="s">
        <v>109</v>
      </c>
      <c r="J313" s="13">
        <v>-17033604.199999999</v>
      </c>
      <c r="K313" s="6" t="str">
        <f>+IFERROR(VLOOKUP(I313,'Legal Name'!$A$1:$I$2913,1,0),"N")</f>
        <v>N</v>
      </c>
    </row>
    <row r="314" spans="2:11" x14ac:dyDescent="0.35">
      <c r="B314" t="str">
        <f t="shared" si="4"/>
        <v>C</v>
      </c>
      <c r="C314" t="s">
        <v>315</v>
      </c>
      <c r="D314" s="11" t="s">
        <v>72</v>
      </c>
      <c r="E314" s="12" t="s">
        <v>69</v>
      </c>
      <c r="F314" s="13">
        <v>25900696.73</v>
      </c>
      <c r="G314" s="14">
        <v>45244</v>
      </c>
      <c r="H314" s="12" t="s">
        <v>73</v>
      </c>
      <c r="I314" s="14" t="s">
        <v>109</v>
      </c>
      <c r="J314" s="13">
        <v>-3894650.42</v>
      </c>
      <c r="K314" s="6" t="str">
        <f>+IFERROR(VLOOKUP(I314,'Legal Name'!$A$1:$I$2913,1,0),"N")</f>
        <v>N</v>
      </c>
    </row>
    <row r="315" spans="2:11" x14ac:dyDescent="0.35">
      <c r="B315" t="str">
        <f t="shared" si="4"/>
        <v>C</v>
      </c>
      <c r="C315" t="s">
        <v>316</v>
      </c>
      <c r="D315" s="11" t="s">
        <v>72</v>
      </c>
      <c r="E315" s="12" t="s">
        <v>69</v>
      </c>
      <c r="F315" s="13">
        <v>26156099.600000001</v>
      </c>
      <c r="G315" s="14">
        <v>45254</v>
      </c>
      <c r="H315" s="12" t="s">
        <v>73</v>
      </c>
      <c r="I315" s="14" t="s">
        <v>109</v>
      </c>
      <c r="J315" s="13">
        <v>-3750445.17</v>
      </c>
      <c r="K315" s="6" t="str">
        <f>+IFERROR(VLOOKUP(I315,'Legal Name'!$A$1:$I$2913,1,0),"N")</f>
        <v>N</v>
      </c>
    </row>
    <row r="316" spans="2:11" x14ac:dyDescent="0.35">
      <c r="B316" t="str">
        <f t="shared" si="4"/>
        <v>C</v>
      </c>
      <c r="C316" t="s">
        <v>317</v>
      </c>
      <c r="D316" s="11" t="s">
        <v>72</v>
      </c>
      <c r="E316" s="12" t="s">
        <v>69</v>
      </c>
      <c r="F316" s="13">
        <v>18393462.440000001</v>
      </c>
      <c r="G316" s="14">
        <v>45258</v>
      </c>
      <c r="H316" s="12" t="s">
        <v>73</v>
      </c>
      <c r="I316" s="14" t="s">
        <v>109</v>
      </c>
      <c r="J316" s="13">
        <v>-2278956.2999999998</v>
      </c>
      <c r="K316" s="6" t="str">
        <f>+IFERROR(VLOOKUP(I316,'Legal Name'!$A$1:$I$2913,1,0),"N")</f>
        <v>N</v>
      </c>
    </row>
    <row r="317" spans="2:11" x14ac:dyDescent="0.35">
      <c r="B317" t="str">
        <f t="shared" si="4"/>
        <v>C</v>
      </c>
      <c r="C317" t="s">
        <v>318</v>
      </c>
      <c r="D317" s="11" t="s">
        <v>72</v>
      </c>
      <c r="E317" s="12" t="s">
        <v>69</v>
      </c>
      <c r="F317" s="13">
        <v>52869491.659999996</v>
      </c>
      <c r="G317" s="14">
        <v>45174</v>
      </c>
      <c r="H317" s="12" t="s">
        <v>73</v>
      </c>
      <c r="I317" s="14" t="s">
        <v>109</v>
      </c>
      <c r="J317" s="13">
        <v>-6997477.3799999999</v>
      </c>
      <c r="K317" s="6" t="str">
        <f>+IFERROR(VLOOKUP(I317,'Legal Name'!$A$1:$I$2913,1,0),"N")</f>
        <v>N</v>
      </c>
    </row>
    <row r="318" spans="2:11" x14ac:dyDescent="0.35">
      <c r="B318" t="str">
        <f t="shared" si="4"/>
        <v>C</v>
      </c>
      <c r="C318" t="s">
        <v>319</v>
      </c>
      <c r="D318" s="11" t="s">
        <v>72</v>
      </c>
      <c r="E318" s="12" t="s">
        <v>69</v>
      </c>
      <c r="F318" s="13">
        <v>26406126.219999999</v>
      </c>
      <c r="G318" s="14">
        <v>45267</v>
      </c>
      <c r="H318" s="12" t="s">
        <v>73</v>
      </c>
      <c r="I318" s="14" t="s">
        <v>109</v>
      </c>
      <c r="J318" s="13">
        <v>-2954666.06</v>
      </c>
      <c r="K318" s="6" t="str">
        <f>+IFERROR(VLOOKUP(I318,'Legal Name'!$A$1:$I$2913,1,0),"N")</f>
        <v>N</v>
      </c>
    </row>
    <row r="319" spans="2:11" x14ac:dyDescent="0.35">
      <c r="B319" t="str">
        <f t="shared" si="4"/>
        <v>C</v>
      </c>
      <c r="C319" t="s">
        <v>320</v>
      </c>
      <c r="D319" s="11" t="s">
        <v>72</v>
      </c>
      <c r="E319" s="12" t="s">
        <v>69</v>
      </c>
      <c r="F319" s="13">
        <v>26406126.219999999</v>
      </c>
      <c r="G319" s="14">
        <v>45267</v>
      </c>
      <c r="H319" s="12" t="s">
        <v>73</v>
      </c>
      <c r="I319" s="14" t="s">
        <v>109</v>
      </c>
      <c r="J319" s="13">
        <v>-2939798.54</v>
      </c>
      <c r="K319" s="6" t="str">
        <f>+IFERROR(VLOOKUP(I319,'Legal Name'!$A$1:$I$2913,1,0),"N")</f>
        <v>N</v>
      </c>
    </row>
    <row r="320" spans="2:11" x14ac:dyDescent="0.35">
      <c r="B320" t="str">
        <f t="shared" si="4"/>
        <v>C</v>
      </c>
      <c r="C320" t="s">
        <v>321</v>
      </c>
      <c r="D320" s="11" t="s">
        <v>72</v>
      </c>
      <c r="E320" s="12" t="s">
        <v>69</v>
      </c>
      <c r="F320" s="13">
        <v>7888301.6500000004</v>
      </c>
      <c r="G320" s="14">
        <v>45273</v>
      </c>
      <c r="H320" s="12" t="s">
        <v>73</v>
      </c>
      <c r="I320" s="14" t="s">
        <v>109</v>
      </c>
      <c r="J320" s="13">
        <v>-868560.23</v>
      </c>
      <c r="K320" s="6" t="str">
        <f>+IFERROR(VLOOKUP(I320,'Legal Name'!$A$1:$I$2913,1,0),"N")</f>
        <v>N</v>
      </c>
    </row>
    <row r="321" spans="2:11" x14ac:dyDescent="0.35">
      <c r="B321" t="str">
        <f t="shared" si="4"/>
        <v>C</v>
      </c>
      <c r="C321" t="s">
        <v>322</v>
      </c>
      <c r="D321" s="11" t="s">
        <v>72</v>
      </c>
      <c r="E321" s="12" t="s">
        <v>69</v>
      </c>
      <c r="F321" s="13">
        <v>26421475.379999999</v>
      </c>
      <c r="G321" s="14">
        <v>45274</v>
      </c>
      <c r="H321" s="12" t="s">
        <v>73</v>
      </c>
      <c r="I321" s="14" t="s">
        <v>109</v>
      </c>
      <c r="J321" s="13">
        <v>-2409069.85</v>
      </c>
      <c r="K321" s="6" t="str">
        <f>+IFERROR(VLOOKUP(I321,'Legal Name'!$A$1:$I$2913,1,0),"N")</f>
        <v>N</v>
      </c>
    </row>
    <row r="322" spans="2:11" x14ac:dyDescent="0.35">
      <c r="B322" t="str">
        <f t="shared" si="4"/>
        <v>C</v>
      </c>
      <c r="C322" t="s">
        <v>323</v>
      </c>
      <c r="D322" s="11" t="s">
        <v>72</v>
      </c>
      <c r="E322" s="12" t="s">
        <v>69</v>
      </c>
      <c r="F322" s="13">
        <v>13260840.74</v>
      </c>
      <c r="G322" s="14">
        <v>45191</v>
      </c>
      <c r="H322" s="12" t="s">
        <v>73</v>
      </c>
      <c r="I322" s="14" t="s">
        <v>109</v>
      </c>
      <c r="J322" s="13">
        <v>-1215384.01</v>
      </c>
      <c r="K322" s="6" t="str">
        <f>+IFERROR(VLOOKUP(I322,'Legal Name'!$A$1:$I$2913,1,0),"N")</f>
        <v>N</v>
      </c>
    </row>
    <row r="323" spans="2:11" x14ac:dyDescent="0.35">
      <c r="B323" t="str">
        <f t="shared" ref="B323:B331" si="5">+MID(C323,5,1)</f>
        <v>C</v>
      </c>
      <c r="C323" t="s">
        <v>324</v>
      </c>
      <c r="D323" s="11" t="s">
        <v>72</v>
      </c>
      <c r="E323" s="12" t="s">
        <v>69</v>
      </c>
      <c r="F323" s="13">
        <v>7956504.4400000004</v>
      </c>
      <c r="G323" s="14">
        <v>45191</v>
      </c>
      <c r="H323" s="12" t="s">
        <v>73</v>
      </c>
      <c r="I323" s="14" t="s">
        <v>109</v>
      </c>
      <c r="J323" s="13">
        <v>-727759.18</v>
      </c>
      <c r="K323" s="6" t="str">
        <f>+IFERROR(VLOOKUP(I323,'Legal Name'!$A$1:$I$2913,1,0),"N")</f>
        <v>N</v>
      </c>
    </row>
    <row r="324" spans="2:11" x14ac:dyDescent="0.35">
      <c r="B324" t="str">
        <f t="shared" si="5"/>
        <v>C</v>
      </c>
      <c r="C324" t="s">
        <v>325</v>
      </c>
      <c r="D324" s="11" t="s">
        <v>72</v>
      </c>
      <c r="E324" s="12" t="s">
        <v>69</v>
      </c>
      <c r="F324" s="13">
        <v>4833868.95</v>
      </c>
      <c r="G324" s="14">
        <v>45282</v>
      </c>
      <c r="H324" s="12" t="s">
        <v>73</v>
      </c>
      <c r="I324" s="14" t="s">
        <v>109</v>
      </c>
      <c r="J324" s="13">
        <v>-279007.24</v>
      </c>
      <c r="K324" s="6" t="str">
        <f>+IFERROR(VLOOKUP(I324,'Legal Name'!$A$1:$I$2913,1,0),"N")</f>
        <v>N</v>
      </c>
    </row>
    <row r="325" spans="2:11" x14ac:dyDescent="0.35">
      <c r="B325" t="str">
        <f t="shared" si="5"/>
        <v>C</v>
      </c>
      <c r="C325" t="s">
        <v>326</v>
      </c>
      <c r="D325" s="11" t="s">
        <v>72</v>
      </c>
      <c r="E325" s="12" t="s">
        <v>69</v>
      </c>
      <c r="F325" s="13">
        <v>39839579.289999999</v>
      </c>
      <c r="G325" s="14">
        <v>45282</v>
      </c>
      <c r="H325" s="12" t="s">
        <v>73</v>
      </c>
      <c r="I325" s="14" t="s">
        <v>109</v>
      </c>
      <c r="J325" s="13">
        <v>-2423350.42</v>
      </c>
      <c r="K325" s="6" t="str">
        <f>+IFERROR(VLOOKUP(I325,'Legal Name'!$A$1:$I$2913,1,0),"N")</f>
        <v>N</v>
      </c>
    </row>
    <row r="326" spans="2:11" x14ac:dyDescent="0.35">
      <c r="B326" t="str">
        <f t="shared" si="5"/>
        <v>C</v>
      </c>
      <c r="C326" t="s">
        <v>327</v>
      </c>
      <c r="D326" s="11" t="s">
        <v>72</v>
      </c>
      <c r="E326" s="12" t="s">
        <v>69</v>
      </c>
      <c r="F326" s="13">
        <v>7967915.8600000003</v>
      </c>
      <c r="G326" s="14">
        <v>45282</v>
      </c>
      <c r="H326" s="12" t="s">
        <v>73</v>
      </c>
      <c r="I326" s="14" t="s">
        <v>109</v>
      </c>
      <c r="J326" s="13">
        <v>-480166.34</v>
      </c>
      <c r="K326" s="6" t="str">
        <f>+IFERROR(VLOOKUP(I326,'Legal Name'!$A$1:$I$2913,1,0),"N")</f>
        <v>N</v>
      </c>
    </row>
    <row r="327" spans="2:11" x14ac:dyDescent="0.35">
      <c r="B327" t="str">
        <f t="shared" si="5"/>
        <v>C</v>
      </c>
      <c r="C327" t="s">
        <v>328</v>
      </c>
      <c r="D327" s="11" t="s">
        <v>72</v>
      </c>
      <c r="E327" s="12" t="s">
        <v>69</v>
      </c>
      <c r="F327" s="13">
        <v>26541391.300000001</v>
      </c>
      <c r="G327" s="14">
        <v>45287</v>
      </c>
      <c r="H327" s="12" t="s">
        <v>73</v>
      </c>
      <c r="I327" s="14" t="s">
        <v>109</v>
      </c>
      <c r="J327" s="13">
        <v>-3784213.76</v>
      </c>
      <c r="K327" s="6" t="str">
        <f>+IFERROR(VLOOKUP(I327,'Legal Name'!$A$1:$I$2913,1,0),"N")</f>
        <v>N</v>
      </c>
    </row>
    <row r="328" spans="2:11" x14ac:dyDescent="0.35">
      <c r="B328" t="str">
        <f t="shared" si="5"/>
        <v>C</v>
      </c>
      <c r="C328" t="s">
        <v>329</v>
      </c>
      <c r="D328" s="11" t="s">
        <v>72</v>
      </c>
      <c r="E328" s="12" t="s">
        <v>69</v>
      </c>
      <c r="F328" s="13">
        <v>12532928.869999999</v>
      </c>
      <c r="G328" s="14">
        <v>45378</v>
      </c>
      <c r="H328" s="12" t="s">
        <v>73</v>
      </c>
      <c r="I328" s="14" t="s">
        <v>109</v>
      </c>
      <c r="J328" s="13">
        <v>-1319398.05</v>
      </c>
      <c r="K328" s="6" t="str">
        <f>+IFERROR(VLOOKUP(I328,'Legal Name'!$A$1:$I$2913,1,0),"N")</f>
        <v>N</v>
      </c>
    </row>
    <row r="329" spans="2:11" x14ac:dyDescent="0.35">
      <c r="B329" t="str">
        <f t="shared" si="5"/>
        <v>C</v>
      </c>
      <c r="C329" t="s">
        <v>330</v>
      </c>
      <c r="D329" s="11" t="s">
        <v>72</v>
      </c>
      <c r="E329" s="12" t="s">
        <v>69</v>
      </c>
      <c r="F329" s="13">
        <v>26580898.969999999</v>
      </c>
      <c r="G329" s="14">
        <v>45378</v>
      </c>
      <c r="H329" s="12" t="s">
        <v>73</v>
      </c>
      <c r="I329" s="14" t="s">
        <v>109</v>
      </c>
      <c r="J329" s="13">
        <v>-2982481.3</v>
      </c>
      <c r="K329" s="6" t="str">
        <f>+IFERROR(VLOOKUP(I329,'Legal Name'!$A$1:$I$2913,1,0),"N")</f>
        <v>N</v>
      </c>
    </row>
    <row r="330" spans="2:11" x14ac:dyDescent="0.35">
      <c r="B330" t="str">
        <f t="shared" si="5"/>
        <v>C</v>
      </c>
      <c r="C330" t="s">
        <v>331</v>
      </c>
      <c r="D330" s="11" t="s">
        <v>72</v>
      </c>
      <c r="E330" s="12" t="s">
        <v>69</v>
      </c>
      <c r="F330" s="13">
        <v>26580898.969999999</v>
      </c>
      <c r="G330" s="14">
        <v>45378</v>
      </c>
      <c r="H330" s="12" t="s">
        <v>73</v>
      </c>
      <c r="I330" s="14" t="s">
        <v>109</v>
      </c>
      <c r="J330" s="13">
        <v>-2972692.47</v>
      </c>
      <c r="K330" s="6" t="str">
        <f>+IFERROR(VLOOKUP(I330,'Legal Name'!$A$1:$I$2913,1,0),"N")</f>
        <v>N</v>
      </c>
    </row>
    <row r="331" spans="2:11" x14ac:dyDescent="0.35">
      <c r="B331" t="str">
        <f t="shared" si="5"/>
        <v>C</v>
      </c>
      <c r="C331" t="s">
        <v>332</v>
      </c>
      <c r="D331" s="11" t="s">
        <v>72</v>
      </c>
      <c r="E331" s="12" t="s">
        <v>69</v>
      </c>
      <c r="F331" s="13">
        <v>26543504.800000001</v>
      </c>
      <c r="G331" s="14">
        <v>45385</v>
      </c>
      <c r="H331" s="12" t="s">
        <v>73</v>
      </c>
      <c r="I331" s="14" t="s">
        <v>109</v>
      </c>
      <c r="J331" s="13">
        <v>-3017158.94</v>
      </c>
      <c r="K331" s="6" t="str">
        <f>+IFERROR(VLOOKUP(I331,'Legal Name'!$A$1:$I$2913,1,0),"N")</f>
        <v>N</v>
      </c>
    </row>
    <row r="332" spans="2:11" x14ac:dyDescent="0.35">
      <c r="B332" t="s">
        <v>110</v>
      </c>
      <c r="C332" t="s">
        <v>333</v>
      </c>
      <c r="D332" s="11" t="s">
        <v>72</v>
      </c>
      <c r="E332" s="12" t="s">
        <v>69</v>
      </c>
      <c r="F332" s="13">
        <v>13271752.4</v>
      </c>
      <c r="G332" s="14">
        <v>45385</v>
      </c>
      <c r="H332" s="12" t="s">
        <v>73</v>
      </c>
      <c r="I332" s="14" t="s">
        <v>109</v>
      </c>
      <c r="J332" s="13">
        <v>-1488820.94</v>
      </c>
      <c r="K332" s="6" t="str">
        <f>+IFERROR(VLOOKUP(I332,'Legal Name'!$A$1:$I$2913,1,0),"N")</f>
        <v>N</v>
      </c>
    </row>
    <row r="333" spans="2:11" x14ac:dyDescent="0.35">
      <c r="B333" t="s">
        <v>110</v>
      </c>
      <c r="C333" t="s">
        <v>334</v>
      </c>
      <c r="D333" s="11" t="s">
        <v>72</v>
      </c>
      <c r="E333" s="12" t="s">
        <v>69</v>
      </c>
      <c r="F333" s="13">
        <v>4990178.9000000004</v>
      </c>
      <c r="G333" s="14">
        <v>45385</v>
      </c>
      <c r="H333" s="12" t="s">
        <v>73</v>
      </c>
      <c r="I333" s="14" t="s">
        <v>109</v>
      </c>
      <c r="J333" s="13">
        <v>-557939.39</v>
      </c>
      <c r="K333" s="6" t="str">
        <f>+IFERROR(VLOOKUP(I333,'Legal Name'!$A$1:$I$2913,1,0),"N")</f>
        <v>N</v>
      </c>
    </row>
    <row r="334" spans="2:11" x14ac:dyDescent="0.35">
      <c r="B334" t="s">
        <v>110</v>
      </c>
      <c r="C334" t="s">
        <v>335</v>
      </c>
      <c r="D334" s="11" t="s">
        <v>72</v>
      </c>
      <c r="E334" s="12" t="s">
        <v>69</v>
      </c>
      <c r="F334" s="13">
        <v>15456811.07</v>
      </c>
      <c r="G334" s="14">
        <v>45386</v>
      </c>
      <c r="H334" s="12" t="s">
        <v>73</v>
      </c>
      <c r="I334" s="14" t="s">
        <v>109</v>
      </c>
      <c r="J334" s="13">
        <v>-1823899.33</v>
      </c>
      <c r="K334" s="6" t="str">
        <f>+IFERROR(VLOOKUP(I334,'Legal Name'!$A$1:$I$2913,1,0),"N")</f>
        <v>N</v>
      </c>
    </row>
    <row r="335" spans="2:11" x14ac:dyDescent="0.35">
      <c r="B335" t="s">
        <v>110</v>
      </c>
      <c r="C335" t="s">
        <v>336</v>
      </c>
      <c r="D335" s="11" t="s">
        <v>72</v>
      </c>
      <c r="E335" s="12" t="s">
        <v>69</v>
      </c>
      <c r="F335" s="13">
        <v>26512540.43</v>
      </c>
      <c r="G335" s="14">
        <v>45386</v>
      </c>
      <c r="H335" s="12" t="s">
        <v>73</v>
      </c>
      <c r="I335" s="14" t="s">
        <v>109</v>
      </c>
      <c r="J335" s="13">
        <v>-3187669.88</v>
      </c>
      <c r="K335" s="6" t="str">
        <f>+IFERROR(VLOOKUP(I335,'Legal Name'!$A$1:$I$2913,1,0),"N")</f>
        <v>N</v>
      </c>
    </row>
    <row r="336" spans="2:11" x14ac:dyDescent="0.35">
      <c r="B336" t="s">
        <v>110</v>
      </c>
      <c r="C336" t="s">
        <v>337</v>
      </c>
      <c r="D336" s="11" t="s">
        <v>72</v>
      </c>
      <c r="E336" s="12" t="s">
        <v>69</v>
      </c>
      <c r="F336" s="13">
        <v>26512540.43</v>
      </c>
      <c r="G336" s="14">
        <v>45386</v>
      </c>
      <c r="H336" s="12" t="s">
        <v>73</v>
      </c>
      <c r="I336" s="14" t="s">
        <v>109</v>
      </c>
      <c r="J336" s="13">
        <v>-3167937.41</v>
      </c>
      <c r="K336" s="6" t="str">
        <f>+IFERROR(VLOOKUP(I336,'Legal Name'!$A$1:$I$2913,1,0),"N")</f>
        <v>N</v>
      </c>
    </row>
    <row r="337" spans="2:11" x14ac:dyDescent="0.35">
      <c r="B337" t="s">
        <v>110</v>
      </c>
      <c r="C337" t="s">
        <v>338</v>
      </c>
      <c r="D337" s="11" t="s">
        <v>72</v>
      </c>
      <c r="E337" s="12" t="s">
        <v>69</v>
      </c>
      <c r="F337" s="13">
        <v>13254864.539999999</v>
      </c>
      <c r="G337" s="14">
        <v>45387</v>
      </c>
      <c r="H337" s="12" t="s">
        <v>73</v>
      </c>
      <c r="I337" s="14" t="s">
        <v>109</v>
      </c>
      <c r="J337" s="13">
        <v>-1600011.85</v>
      </c>
      <c r="K337" s="6" t="str">
        <f>+IFERROR(VLOOKUP(I337,'Legal Name'!$A$1:$I$2913,1,0),"N")</f>
        <v>N</v>
      </c>
    </row>
    <row r="338" spans="2:11" x14ac:dyDescent="0.35">
      <c r="B338" t="s">
        <v>110</v>
      </c>
      <c r="C338" t="s">
        <v>339</v>
      </c>
      <c r="D338" s="11" t="s">
        <v>72</v>
      </c>
      <c r="E338" s="12" t="s">
        <v>69</v>
      </c>
      <c r="F338" s="13">
        <v>26509729.07</v>
      </c>
      <c r="G338" s="14">
        <v>45387</v>
      </c>
      <c r="H338" s="12" t="s">
        <v>73</v>
      </c>
      <c r="I338" s="14" t="s">
        <v>109</v>
      </c>
      <c r="J338" s="13">
        <v>-3229614.95</v>
      </c>
      <c r="K338" s="6" t="str">
        <f>+IFERROR(VLOOKUP(I338,'Legal Name'!$A$1:$I$2913,1,0),"N")</f>
        <v>N</v>
      </c>
    </row>
    <row r="339" spans="2:11" x14ac:dyDescent="0.35">
      <c r="B339" t="s">
        <v>110</v>
      </c>
      <c r="C339" t="s">
        <v>340</v>
      </c>
      <c r="D339" s="11" t="s">
        <v>72</v>
      </c>
      <c r="E339" s="12" t="s">
        <v>69</v>
      </c>
      <c r="F339" s="13">
        <v>26509729.07</v>
      </c>
      <c r="G339" s="14">
        <v>45387</v>
      </c>
      <c r="H339" s="12" t="s">
        <v>73</v>
      </c>
      <c r="I339" s="14" t="s">
        <v>109</v>
      </c>
      <c r="J339" s="13">
        <v>-3219751.24</v>
      </c>
      <c r="K339" s="6" t="str">
        <f>+IFERROR(VLOOKUP(I339,'Legal Name'!$A$1:$I$2913,1,0),"N")</f>
        <v>N</v>
      </c>
    </row>
    <row r="340" spans="2:11" x14ac:dyDescent="0.35">
      <c r="B340" t="s">
        <v>110</v>
      </c>
      <c r="C340" t="s">
        <v>341</v>
      </c>
      <c r="D340" s="11" t="s">
        <v>72</v>
      </c>
      <c r="E340" s="12" t="s">
        <v>69</v>
      </c>
      <c r="F340" s="13">
        <v>6622691.9900000002</v>
      </c>
      <c r="G340" s="14">
        <v>45394</v>
      </c>
      <c r="H340" s="12" t="s">
        <v>73</v>
      </c>
      <c r="I340" s="14" t="s">
        <v>109</v>
      </c>
      <c r="J340" s="13">
        <v>-724606.42</v>
      </c>
      <c r="K340" s="6" t="str">
        <f>+IFERROR(VLOOKUP(I340,'Legal Name'!$A$1:$I$2913,1,0),"N")</f>
        <v>N</v>
      </c>
    </row>
    <row r="341" spans="2:11" x14ac:dyDescent="0.35">
      <c r="B341" t="s">
        <v>110</v>
      </c>
      <c r="C341" t="s">
        <v>342</v>
      </c>
      <c r="D341" s="11" t="s">
        <v>72</v>
      </c>
      <c r="E341" s="12" t="s">
        <v>69</v>
      </c>
      <c r="F341" s="13">
        <v>26432649.609999999</v>
      </c>
      <c r="G341" s="14">
        <v>45216</v>
      </c>
      <c r="H341" s="12" t="s">
        <v>73</v>
      </c>
      <c r="I341" s="14" t="s">
        <v>109</v>
      </c>
      <c r="J341" s="13">
        <v>945910.41</v>
      </c>
      <c r="K341" s="6" t="str">
        <f>+IFERROR(VLOOKUP(I341,'Legal Name'!$A$1:$I$2913,1,0),"N")</f>
        <v>N</v>
      </c>
    </row>
    <row r="342" spans="2:11" x14ac:dyDescent="0.35">
      <c r="B342" t="s">
        <v>110</v>
      </c>
      <c r="C342" t="s">
        <v>343</v>
      </c>
      <c r="D342" s="11" t="s">
        <v>72</v>
      </c>
      <c r="E342" s="12" t="s">
        <v>69</v>
      </c>
      <c r="F342" s="13">
        <v>13216324.800000001</v>
      </c>
      <c r="G342" s="14">
        <v>45216</v>
      </c>
      <c r="H342" s="12" t="s">
        <v>73</v>
      </c>
      <c r="I342" s="14" t="s">
        <v>109</v>
      </c>
      <c r="J342" s="13">
        <v>485495.03</v>
      </c>
      <c r="K342" s="6" t="str">
        <f>+IFERROR(VLOOKUP(I342,'Legal Name'!$A$1:$I$2913,1,0),"N")</f>
        <v>N</v>
      </c>
    </row>
    <row r="343" spans="2:11" x14ac:dyDescent="0.35">
      <c r="B343" t="s">
        <v>110</v>
      </c>
      <c r="C343" t="s">
        <v>344</v>
      </c>
      <c r="D343" s="11" t="s">
        <v>72</v>
      </c>
      <c r="E343" s="12" t="s">
        <v>69</v>
      </c>
      <c r="F343" s="13">
        <v>35636748.740000002</v>
      </c>
      <c r="G343" s="14">
        <v>45217</v>
      </c>
      <c r="H343" s="12" t="s">
        <v>73</v>
      </c>
      <c r="I343" s="14" t="s">
        <v>109</v>
      </c>
      <c r="J343" s="13">
        <v>1539052.13</v>
      </c>
      <c r="K343" s="6" t="str">
        <f>+IFERROR(VLOOKUP(I343,'Legal Name'!$A$1:$I$2913,1,0),"N")</f>
        <v>N</v>
      </c>
    </row>
    <row r="344" spans="2:11" x14ac:dyDescent="0.35">
      <c r="C344" t="s">
        <v>345</v>
      </c>
      <c r="D344" t="s">
        <v>72</v>
      </c>
      <c r="E344" t="s">
        <v>69</v>
      </c>
      <c r="F344">
        <v>26616981.629999999</v>
      </c>
      <c r="G344">
        <v>45223</v>
      </c>
      <c r="H344" t="s">
        <v>73</v>
      </c>
      <c r="I344" t="s">
        <v>109</v>
      </c>
      <c r="J344">
        <v>2391109.02</v>
      </c>
      <c r="K344" s="6" t="str">
        <f>+IFERROR(VLOOKUP(I344,'Legal Name'!$A$1:$I$2913,1,0),"N")</f>
        <v>N</v>
      </c>
    </row>
    <row r="345" spans="2:11" x14ac:dyDescent="0.35">
      <c r="C345" t="s">
        <v>346</v>
      </c>
      <c r="D345" t="s">
        <v>72</v>
      </c>
      <c r="E345" t="s">
        <v>69</v>
      </c>
      <c r="F345">
        <v>16848549.370000001</v>
      </c>
      <c r="G345">
        <v>45223</v>
      </c>
      <c r="H345" t="s">
        <v>73</v>
      </c>
      <c r="I345" t="s">
        <v>109</v>
      </c>
      <c r="J345">
        <v>1520010.12</v>
      </c>
      <c r="K345" s="6" t="str">
        <f>+IFERROR(VLOOKUP(I345,'Legal Name'!$A$1:$I$2913,1,0),"N")</f>
        <v>N</v>
      </c>
    </row>
    <row r="346" spans="2:11" x14ac:dyDescent="0.35">
      <c r="C346" t="s">
        <v>347</v>
      </c>
      <c r="D346" t="s">
        <v>72</v>
      </c>
      <c r="E346" t="s">
        <v>69</v>
      </c>
      <c r="F346">
        <v>53233963.270000003</v>
      </c>
      <c r="G346">
        <v>45406</v>
      </c>
      <c r="H346" t="s">
        <v>73</v>
      </c>
      <c r="I346" t="s">
        <v>109</v>
      </c>
      <c r="J346">
        <v>-4297835.8099999996</v>
      </c>
      <c r="K346" s="6" t="str">
        <f>+IFERROR(VLOOKUP(I346,'Legal Name'!$A$1:$I$2913,1,0),"N")</f>
        <v>N</v>
      </c>
    </row>
    <row r="347" spans="2:11" x14ac:dyDescent="0.35">
      <c r="C347" t="s">
        <v>348</v>
      </c>
      <c r="D347" t="s">
        <v>72</v>
      </c>
      <c r="E347" t="s">
        <v>69</v>
      </c>
      <c r="F347">
        <v>20470093.43</v>
      </c>
      <c r="G347">
        <v>45224</v>
      </c>
      <c r="H347" t="s">
        <v>73</v>
      </c>
      <c r="I347" t="s">
        <v>109</v>
      </c>
      <c r="J347">
        <v>1849834.92</v>
      </c>
      <c r="K347" s="6" t="str">
        <f>+IFERROR(VLOOKUP(I347,'Legal Name'!$A$1:$I$2913,1,0),"N")</f>
        <v>N</v>
      </c>
    </row>
    <row r="348" spans="2:11" x14ac:dyDescent="0.35">
      <c r="C348" t="s">
        <v>349</v>
      </c>
      <c r="D348" t="s">
        <v>72</v>
      </c>
      <c r="E348" t="s">
        <v>69</v>
      </c>
      <c r="F348">
        <v>26619107.199999999</v>
      </c>
      <c r="G348">
        <v>45407</v>
      </c>
      <c r="H348" t="s">
        <v>73</v>
      </c>
      <c r="I348" t="s">
        <v>109</v>
      </c>
      <c r="J348">
        <v>-2112159.79</v>
      </c>
      <c r="K348" s="6" t="str">
        <f>+IFERROR(VLOOKUP(I348,'Legal Name'!$A$1:$I$2913,1,0),"N")</f>
        <v>N</v>
      </c>
    </row>
    <row r="349" spans="2:11" x14ac:dyDescent="0.35">
      <c r="C349" t="s">
        <v>350</v>
      </c>
      <c r="D349" t="s">
        <v>72</v>
      </c>
      <c r="E349" t="s">
        <v>69</v>
      </c>
      <c r="F349">
        <v>13279352.23</v>
      </c>
      <c r="G349">
        <v>45415</v>
      </c>
      <c r="H349" t="s">
        <v>73</v>
      </c>
      <c r="I349" t="s">
        <v>109</v>
      </c>
      <c r="J349">
        <v>-451013.27</v>
      </c>
      <c r="K349" s="6" t="str">
        <f>+IFERROR(VLOOKUP(I349,'Legal Name'!$A$1:$I$2913,1,0),"N")</f>
        <v>N</v>
      </c>
    </row>
    <row r="350" spans="2:11" x14ac:dyDescent="0.35">
      <c r="C350" t="s">
        <v>351</v>
      </c>
      <c r="D350" t="s">
        <v>72</v>
      </c>
      <c r="E350" t="s">
        <v>69</v>
      </c>
      <c r="F350">
        <v>12100026.890000001</v>
      </c>
      <c r="G350">
        <v>45415</v>
      </c>
      <c r="H350" t="s">
        <v>73</v>
      </c>
      <c r="I350" t="s">
        <v>109</v>
      </c>
      <c r="J350">
        <v>-622715.73</v>
      </c>
      <c r="K350" s="6" t="str">
        <f>+IFERROR(VLOOKUP(I350,'Legal Name'!$A$1:$I$2913,1,0),"N")</f>
        <v>N</v>
      </c>
    </row>
    <row r="351" spans="2:11" x14ac:dyDescent="0.35">
      <c r="C351" t="s">
        <v>352</v>
      </c>
      <c r="D351" t="s">
        <v>72</v>
      </c>
      <c r="E351" t="s">
        <v>69</v>
      </c>
      <c r="F351">
        <v>98379.27</v>
      </c>
      <c r="G351">
        <v>45429</v>
      </c>
      <c r="H351" t="s">
        <v>73</v>
      </c>
      <c r="I351" t="s">
        <v>93</v>
      </c>
      <c r="J351">
        <v>17423.099999999999</v>
      </c>
      <c r="K351" s="6" t="str">
        <f>+IFERROR(VLOOKUP(I351,'Legal Name'!$A$1:$I$2913,1,0),"N")</f>
        <v>N</v>
      </c>
    </row>
    <row r="352" spans="2:11" x14ac:dyDescent="0.35">
      <c r="C352" t="s">
        <v>353</v>
      </c>
      <c r="D352" t="s">
        <v>72</v>
      </c>
      <c r="E352" t="s">
        <v>69</v>
      </c>
      <c r="F352">
        <v>11840747.380000001</v>
      </c>
      <c r="G352">
        <v>45422</v>
      </c>
      <c r="H352" t="s">
        <v>73</v>
      </c>
      <c r="I352" t="s">
        <v>109</v>
      </c>
      <c r="J352">
        <v>-174755.32</v>
      </c>
      <c r="K352" s="6" t="str">
        <f>+IFERROR(VLOOKUP(I352,'Legal Name'!$A$1:$I$2913,1,0),"N")</f>
        <v>N</v>
      </c>
    </row>
    <row r="353" spans="3:11" x14ac:dyDescent="0.35">
      <c r="C353" t="s">
        <v>354</v>
      </c>
      <c r="D353" t="s">
        <v>72</v>
      </c>
      <c r="E353" t="s">
        <v>69</v>
      </c>
      <c r="F353">
        <v>21909404.609999999</v>
      </c>
      <c r="G353">
        <v>45243</v>
      </c>
      <c r="H353" t="s">
        <v>73</v>
      </c>
      <c r="I353" t="s">
        <v>109</v>
      </c>
      <c r="J353">
        <v>1936566.25</v>
      </c>
      <c r="K353" s="6" t="str">
        <f>+IFERROR(VLOOKUP(I353,'Legal Name'!$A$1:$I$2913,1,0),"N")</f>
        <v>N</v>
      </c>
    </row>
    <row r="354" spans="3:11" x14ac:dyDescent="0.35">
      <c r="C354" t="s">
        <v>355</v>
      </c>
      <c r="D354" t="s">
        <v>72</v>
      </c>
      <c r="E354" t="s">
        <v>69</v>
      </c>
      <c r="F354">
        <v>54773511.530000001</v>
      </c>
      <c r="G354">
        <v>45243</v>
      </c>
      <c r="H354" t="s">
        <v>73</v>
      </c>
      <c r="I354" t="s">
        <v>109</v>
      </c>
      <c r="J354">
        <v>4882717.38</v>
      </c>
      <c r="K354" s="6" t="str">
        <f>+IFERROR(VLOOKUP(I354,'Legal Name'!$A$1:$I$2913,1,0),"N")</f>
        <v>N</v>
      </c>
    </row>
    <row r="355" spans="3:11" x14ac:dyDescent="0.35">
      <c r="C355" t="s">
        <v>356</v>
      </c>
      <c r="D355" t="s">
        <v>72</v>
      </c>
      <c r="E355" t="s">
        <v>69</v>
      </c>
      <c r="F355">
        <v>4608469.4800000004</v>
      </c>
      <c r="G355">
        <v>45793</v>
      </c>
      <c r="H355" t="s">
        <v>73</v>
      </c>
      <c r="I355" t="s">
        <v>75</v>
      </c>
      <c r="J355">
        <v>2102940.2799999998</v>
      </c>
      <c r="K355" s="6" t="str">
        <f>+IFERROR(VLOOKUP(I355,'Legal Name'!$A$1:$I$2913,1,0),"N")</f>
        <v>N</v>
      </c>
    </row>
    <row r="356" spans="3:11" x14ac:dyDescent="0.35">
      <c r="C356" t="s">
        <v>357</v>
      </c>
      <c r="D356" t="s">
        <v>72</v>
      </c>
      <c r="E356" t="s">
        <v>69</v>
      </c>
      <c r="F356">
        <v>324883.15000000002</v>
      </c>
      <c r="G356">
        <v>45444</v>
      </c>
      <c r="H356" t="s">
        <v>73</v>
      </c>
      <c r="I356" t="s">
        <v>92</v>
      </c>
      <c r="J356">
        <v>115291.6</v>
      </c>
      <c r="K356" s="6" t="str">
        <f>+IFERROR(VLOOKUP(I356,'Legal Name'!$A$1:$I$2913,1,0),"N")</f>
        <v>N</v>
      </c>
    </row>
    <row r="357" spans="3:11" x14ac:dyDescent="0.35">
      <c r="C357" t="s">
        <v>358</v>
      </c>
      <c r="D357" t="s">
        <v>72</v>
      </c>
      <c r="E357" t="s">
        <v>69</v>
      </c>
      <c r="F357">
        <v>27396.97</v>
      </c>
      <c r="G357">
        <v>45082</v>
      </c>
      <c r="H357" t="s">
        <v>73</v>
      </c>
      <c r="I357" t="s">
        <v>86</v>
      </c>
      <c r="J357">
        <v>10997.53</v>
      </c>
      <c r="K357" s="6" t="str">
        <f>+IFERROR(VLOOKUP(I357,'Legal Name'!$A$1:$I$2913,1,0),"N")</f>
        <v>N</v>
      </c>
    </row>
    <row r="358" spans="3:11" x14ac:dyDescent="0.35">
      <c r="C358" t="s">
        <v>359</v>
      </c>
      <c r="D358" t="s">
        <v>72</v>
      </c>
      <c r="E358" t="s">
        <v>69</v>
      </c>
      <c r="F358">
        <v>416666.67</v>
      </c>
      <c r="G358">
        <v>45147</v>
      </c>
      <c r="H358" t="s">
        <v>73</v>
      </c>
      <c r="I358" t="s">
        <v>79</v>
      </c>
      <c r="J358">
        <v>175220.19</v>
      </c>
      <c r="K358" s="6" t="str">
        <f>+IFERROR(VLOOKUP(I358,'Legal Name'!$A$1:$I$2913,1,0),"N")</f>
        <v>N</v>
      </c>
    </row>
    <row r="359" spans="3:11" x14ac:dyDescent="0.35">
      <c r="C359" t="s">
        <v>360</v>
      </c>
      <c r="D359" t="s">
        <v>72</v>
      </c>
      <c r="E359" t="s">
        <v>69</v>
      </c>
      <c r="F359">
        <v>178571.43</v>
      </c>
      <c r="G359">
        <v>45221</v>
      </c>
      <c r="H359" t="s">
        <v>73</v>
      </c>
      <c r="I359" t="s">
        <v>79</v>
      </c>
      <c r="J359">
        <v>96830.35</v>
      </c>
      <c r="K359" s="6" t="str">
        <f>+IFERROR(VLOOKUP(I359,'Legal Name'!$A$1:$I$2913,1,0),"N")</f>
        <v>N</v>
      </c>
    </row>
    <row r="360" spans="3:11" x14ac:dyDescent="0.35">
      <c r="C360" t="s">
        <v>361</v>
      </c>
      <c r="D360" t="s">
        <v>72</v>
      </c>
      <c r="E360" t="s">
        <v>69</v>
      </c>
      <c r="F360">
        <v>332157.64</v>
      </c>
      <c r="G360">
        <v>45281</v>
      </c>
      <c r="H360" t="s">
        <v>73</v>
      </c>
      <c r="I360" t="s">
        <v>91</v>
      </c>
      <c r="J360">
        <v>112012.8</v>
      </c>
      <c r="K360" s="6" t="str">
        <f>+IFERROR(VLOOKUP(I360,'Legal Name'!$A$1:$I$2913,1,0),"N")</f>
        <v>N</v>
      </c>
    </row>
    <row r="361" spans="3:11" x14ac:dyDescent="0.35">
      <c r="C361" t="s">
        <v>362</v>
      </c>
      <c r="D361" t="s">
        <v>72</v>
      </c>
      <c r="E361" t="s">
        <v>69</v>
      </c>
      <c r="F361">
        <v>224431.04</v>
      </c>
      <c r="G361">
        <v>45411</v>
      </c>
      <c r="H361" t="s">
        <v>73</v>
      </c>
      <c r="I361" t="s">
        <v>90</v>
      </c>
      <c r="J361">
        <v>78491.44</v>
      </c>
      <c r="K361" s="6" t="str">
        <f>+IFERROR(VLOOKUP(I361,'Legal Name'!$A$1:$I$2913,1,0),"N")</f>
        <v>N</v>
      </c>
    </row>
    <row r="362" spans="3:11" x14ac:dyDescent="0.35">
      <c r="C362" t="s">
        <v>363</v>
      </c>
      <c r="D362" t="s">
        <v>72</v>
      </c>
      <c r="E362" t="s">
        <v>69</v>
      </c>
      <c r="F362">
        <v>89642.02</v>
      </c>
      <c r="G362">
        <v>45443</v>
      </c>
      <c r="H362" t="s">
        <v>73</v>
      </c>
      <c r="I362" t="s">
        <v>89</v>
      </c>
      <c r="J362">
        <v>21167.69</v>
      </c>
      <c r="K362" s="6" t="str">
        <f>+IFERROR(VLOOKUP(I362,'Legal Name'!$A$1:$I$2913,1,0),"N")</f>
        <v>N</v>
      </c>
    </row>
    <row r="363" spans="3:11" x14ac:dyDescent="0.35">
      <c r="C363" t="s">
        <v>364</v>
      </c>
      <c r="D363" t="s">
        <v>72</v>
      </c>
      <c r="E363" t="s">
        <v>69</v>
      </c>
      <c r="F363">
        <v>251045.67</v>
      </c>
      <c r="G363">
        <v>45491</v>
      </c>
      <c r="H363" t="s">
        <v>73</v>
      </c>
      <c r="I363" t="s">
        <v>76</v>
      </c>
      <c r="J363">
        <v>84935.11</v>
      </c>
      <c r="K363" s="6" t="str">
        <f>+IFERROR(VLOOKUP(I363,'Legal Name'!$A$1:$I$2913,1,0),"N")</f>
        <v>N</v>
      </c>
    </row>
    <row r="364" spans="3:11" x14ac:dyDescent="0.35">
      <c r="C364" t="s">
        <v>365</v>
      </c>
      <c r="D364" t="s">
        <v>72</v>
      </c>
      <c r="E364" t="s">
        <v>69</v>
      </c>
      <c r="F364">
        <v>542510.93000000005</v>
      </c>
      <c r="G364">
        <v>45260</v>
      </c>
      <c r="H364" t="s">
        <v>70</v>
      </c>
      <c r="I364" t="s">
        <v>71</v>
      </c>
      <c r="J364">
        <v>202404.89</v>
      </c>
      <c r="K364" s="6" t="str">
        <f>+IFERROR(VLOOKUP(I364,'Legal Name'!$A$1:$I$2913,1,0),"N")</f>
        <v>N</v>
      </c>
    </row>
    <row r="365" spans="3:11" x14ac:dyDescent="0.35">
      <c r="C365" t="s">
        <v>366</v>
      </c>
      <c r="D365" t="s">
        <v>72</v>
      </c>
      <c r="E365" t="s">
        <v>69</v>
      </c>
      <c r="F365">
        <v>497380.9</v>
      </c>
      <c r="G365">
        <v>45289</v>
      </c>
      <c r="H365" t="s">
        <v>70</v>
      </c>
      <c r="I365" t="s">
        <v>71</v>
      </c>
      <c r="J365">
        <v>181957.14</v>
      </c>
      <c r="K365" s="6" t="str">
        <f>+IFERROR(VLOOKUP(I365,'Legal Name'!$A$1:$I$2913,1,0),"N")</f>
        <v>N</v>
      </c>
    </row>
    <row r="366" spans="3:11" x14ac:dyDescent="0.35">
      <c r="C366" t="s">
        <v>367</v>
      </c>
      <c r="D366" t="s">
        <v>72</v>
      </c>
      <c r="E366" t="s">
        <v>69</v>
      </c>
      <c r="F366">
        <v>7875726.7400000002</v>
      </c>
      <c r="G366">
        <v>45537</v>
      </c>
      <c r="H366" t="s">
        <v>73</v>
      </c>
      <c r="I366" t="s">
        <v>82</v>
      </c>
      <c r="J366">
        <v>2508805.92</v>
      </c>
      <c r="K366" s="6" t="str">
        <f>+IFERROR(VLOOKUP(I366,'Legal Name'!$A$1:$I$2913,1,0),"N")</f>
        <v>N</v>
      </c>
    </row>
    <row r="367" spans="3:11" x14ac:dyDescent="0.35">
      <c r="C367" t="s">
        <v>368</v>
      </c>
      <c r="D367" t="s">
        <v>72</v>
      </c>
      <c r="E367" t="s">
        <v>69</v>
      </c>
      <c r="F367">
        <v>61363.74</v>
      </c>
      <c r="G367">
        <v>45499</v>
      </c>
      <c r="H367" t="s">
        <v>73</v>
      </c>
      <c r="I367" t="s">
        <v>86</v>
      </c>
      <c r="J367">
        <v>14333.89</v>
      </c>
      <c r="K367" s="6" t="str">
        <f>+IFERROR(VLOOKUP(I367,'Legal Name'!$A$1:$I$2913,1,0),"N")</f>
        <v>N</v>
      </c>
    </row>
    <row r="368" spans="3:11" x14ac:dyDescent="0.35">
      <c r="C368" t="s">
        <v>369</v>
      </c>
      <c r="D368" t="s">
        <v>72</v>
      </c>
      <c r="E368" t="s">
        <v>69</v>
      </c>
      <c r="F368">
        <v>36523.08</v>
      </c>
      <c r="G368">
        <v>45287</v>
      </c>
      <c r="H368" t="s">
        <v>73</v>
      </c>
      <c r="I368" t="s">
        <v>76</v>
      </c>
      <c r="J368">
        <v>8090.38</v>
      </c>
      <c r="K368" s="6" t="str">
        <f>+IFERROR(VLOOKUP(I368,'Legal Name'!$A$1:$I$2913,1,0),"N")</f>
        <v>N</v>
      </c>
    </row>
    <row r="369" spans="3:11" x14ac:dyDescent="0.35">
      <c r="C369" t="s">
        <v>370</v>
      </c>
      <c r="D369" t="s">
        <v>72</v>
      </c>
      <c r="E369" t="s">
        <v>69</v>
      </c>
      <c r="F369">
        <v>57808.47</v>
      </c>
      <c r="G369">
        <v>45376</v>
      </c>
      <c r="H369" t="s">
        <v>73</v>
      </c>
      <c r="I369" t="s">
        <v>85</v>
      </c>
      <c r="J369">
        <v>19726.36</v>
      </c>
      <c r="K369" s="6" t="str">
        <f>+IFERROR(VLOOKUP(I369,'Legal Name'!$A$1:$I$2913,1,0),"N")</f>
        <v>N</v>
      </c>
    </row>
    <row r="370" spans="3:11" x14ac:dyDescent="0.35">
      <c r="C370" t="s">
        <v>371</v>
      </c>
      <c r="D370" t="s">
        <v>72</v>
      </c>
      <c r="E370" t="s">
        <v>69</v>
      </c>
      <c r="F370">
        <v>220179.19</v>
      </c>
      <c r="G370">
        <v>45498</v>
      </c>
      <c r="H370" t="s">
        <v>73</v>
      </c>
      <c r="I370" t="s">
        <v>94</v>
      </c>
      <c r="J370">
        <v>81972.95</v>
      </c>
      <c r="K370" s="6" t="str">
        <f>+IFERROR(VLOOKUP(I370,'Legal Name'!$A$1:$I$2913,1,0),"N")</f>
        <v>N</v>
      </c>
    </row>
    <row r="371" spans="3:11" x14ac:dyDescent="0.35">
      <c r="C371" t="s">
        <v>372</v>
      </c>
      <c r="D371" t="s">
        <v>72</v>
      </c>
      <c r="E371" t="s">
        <v>69</v>
      </c>
      <c r="F371">
        <v>4033.57</v>
      </c>
      <c r="G371">
        <v>45067</v>
      </c>
      <c r="H371" t="s">
        <v>73</v>
      </c>
      <c r="I371" t="s">
        <v>85</v>
      </c>
      <c r="J371">
        <v>975.42</v>
      </c>
      <c r="K371" s="6" t="str">
        <f>+IFERROR(VLOOKUP(I371,'Legal Name'!$A$1:$I$2913,1,0),"N")</f>
        <v>N</v>
      </c>
    </row>
    <row r="372" spans="3:11" x14ac:dyDescent="0.35">
      <c r="C372" t="s">
        <v>373</v>
      </c>
      <c r="D372" t="s">
        <v>72</v>
      </c>
      <c r="E372" t="s">
        <v>69</v>
      </c>
      <c r="F372">
        <v>477023.68</v>
      </c>
      <c r="G372">
        <v>45530</v>
      </c>
      <c r="H372" t="s">
        <v>73</v>
      </c>
      <c r="I372" t="s">
        <v>84</v>
      </c>
      <c r="J372">
        <v>144196.01</v>
      </c>
      <c r="K372" s="6" t="str">
        <f>+IFERROR(VLOOKUP(I372,'Legal Name'!$A$1:$I$2913,1,0),"N")</f>
        <v>N</v>
      </c>
    </row>
    <row r="373" spans="3:11" x14ac:dyDescent="0.35">
      <c r="C373" t="s">
        <v>374</v>
      </c>
      <c r="D373" t="s">
        <v>72</v>
      </c>
      <c r="E373" t="s">
        <v>69</v>
      </c>
      <c r="F373">
        <v>2923332.75</v>
      </c>
      <c r="G373">
        <v>45922</v>
      </c>
      <c r="H373" t="s">
        <v>73</v>
      </c>
      <c r="I373" t="s">
        <v>81</v>
      </c>
      <c r="J373">
        <v>1037347.52</v>
      </c>
      <c r="K373" s="6" t="str">
        <f>+IFERROR(VLOOKUP(I373,'Legal Name'!$A$1:$I$2913,1,0),"N")</f>
        <v>N</v>
      </c>
    </row>
    <row r="374" spans="3:11" x14ac:dyDescent="0.35">
      <c r="C374" t="s">
        <v>375</v>
      </c>
      <c r="D374" t="s">
        <v>72</v>
      </c>
      <c r="E374" t="s">
        <v>69</v>
      </c>
      <c r="F374">
        <v>50000000</v>
      </c>
      <c r="G374">
        <v>45278</v>
      </c>
      <c r="H374" t="s">
        <v>70</v>
      </c>
      <c r="I374" t="s">
        <v>71</v>
      </c>
      <c r="J374">
        <v>7814690.4199999999</v>
      </c>
      <c r="K374" s="6" t="str">
        <f>+IFERROR(VLOOKUP(I374,'Legal Name'!$A$1:$I$2913,1,0),"N")</f>
        <v>N</v>
      </c>
    </row>
    <row r="375" spans="3:11" x14ac:dyDescent="0.35">
      <c r="C375" t="s">
        <v>376</v>
      </c>
      <c r="D375" t="s">
        <v>72</v>
      </c>
      <c r="E375" t="s">
        <v>69</v>
      </c>
      <c r="F375">
        <v>2245104.94</v>
      </c>
      <c r="G375">
        <v>46063</v>
      </c>
      <c r="H375" t="s">
        <v>73</v>
      </c>
      <c r="I375" t="s">
        <v>80</v>
      </c>
      <c r="J375">
        <v>173308.15</v>
      </c>
      <c r="K375" s="6" t="str">
        <f>+IFERROR(VLOOKUP(I375,'Legal Name'!$A$1:$I$2913,1,0),"N")</f>
        <v>N</v>
      </c>
    </row>
    <row r="376" spans="3:11" x14ac:dyDescent="0.35">
      <c r="C376" t="s">
        <v>377</v>
      </c>
      <c r="D376" t="s">
        <v>72</v>
      </c>
      <c r="E376" t="s">
        <v>69</v>
      </c>
      <c r="F376">
        <v>25000000</v>
      </c>
      <c r="G376">
        <v>45099</v>
      </c>
      <c r="H376" t="s">
        <v>73</v>
      </c>
      <c r="I376" t="s">
        <v>77</v>
      </c>
      <c r="J376">
        <v>10424556.99</v>
      </c>
      <c r="K376" s="6" t="str">
        <f>+IFERROR(VLOOKUP(I376,'Legal Name'!$A$1:$I$2913,1,0),"N")</f>
        <v>N</v>
      </c>
    </row>
    <row r="377" spans="3:11" x14ac:dyDescent="0.35">
      <c r="C377" t="s">
        <v>378</v>
      </c>
      <c r="D377" t="s">
        <v>72</v>
      </c>
      <c r="E377" t="s">
        <v>69</v>
      </c>
      <c r="F377">
        <v>25000000</v>
      </c>
      <c r="G377">
        <v>45099</v>
      </c>
      <c r="H377" t="s">
        <v>73</v>
      </c>
      <c r="I377" t="s">
        <v>77</v>
      </c>
      <c r="J377">
        <v>10197203.75</v>
      </c>
      <c r="K377" s="6" t="str">
        <f>+IFERROR(VLOOKUP(I377,'Legal Name'!$A$1:$I$2913,1,0),"N")</f>
        <v>N</v>
      </c>
    </row>
    <row r="378" spans="3:11" x14ac:dyDescent="0.35">
      <c r="C378" t="s">
        <v>379</v>
      </c>
      <c r="D378" t="s">
        <v>68</v>
      </c>
      <c r="E378" t="s">
        <v>69</v>
      </c>
      <c r="F378">
        <v>11735062</v>
      </c>
      <c r="G378">
        <v>46566</v>
      </c>
      <c r="H378" t="s">
        <v>70</v>
      </c>
      <c r="I378" t="s">
        <v>71</v>
      </c>
      <c r="J378">
        <v>-2638008.02</v>
      </c>
      <c r="K378" s="6" t="str">
        <f>+IFERROR(VLOOKUP(I378,'Legal Name'!$A$1:$I$2913,1,0),"N")</f>
        <v>N</v>
      </c>
    </row>
    <row r="379" spans="3:11" x14ac:dyDescent="0.35">
      <c r="C379" t="s">
        <v>380</v>
      </c>
      <c r="D379" t="s">
        <v>68</v>
      </c>
      <c r="E379" t="s">
        <v>69</v>
      </c>
      <c r="F379">
        <v>363695.31</v>
      </c>
      <c r="G379">
        <v>45440</v>
      </c>
      <c r="H379" t="s">
        <v>70</v>
      </c>
      <c r="I379" t="s">
        <v>71</v>
      </c>
      <c r="J379">
        <v>71091.61</v>
      </c>
      <c r="K379" s="6" t="str">
        <f>+IFERROR(VLOOKUP(I379,'Legal Name'!$A$1:$I$2913,1,0),"N")</f>
        <v>N</v>
      </c>
    </row>
    <row r="380" spans="3:11" x14ac:dyDescent="0.35">
      <c r="C380" t="s">
        <v>381</v>
      </c>
      <c r="D380" t="s">
        <v>68</v>
      </c>
      <c r="E380" t="s">
        <v>69</v>
      </c>
      <c r="F380">
        <v>2750000</v>
      </c>
      <c r="G380">
        <v>45657</v>
      </c>
      <c r="H380" t="s">
        <v>70</v>
      </c>
      <c r="I380" t="s">
        <v>71</v>
      </c>
      <c r="J380">
        <v>-1135618.75</v>
      </c>
      <c r="K380" s="6" t="str">
        <f>+IFERROR(VLOOKUP(I380,'Legal Name'!$A$1:$I$2913,1,0),"N")</f>
        <v>N</v>
      </c>
    </row>
    <row r="381" spans="3:11" x14ac:dyDescent="0.35">
      <c r="C381" t="s">
        <v>382</v>
      </c>
      <c r="D381" t="s">
        <v>68</v>
      </c>
      <c r="E381" t="s">
        <v>69</v>
      </c>
      <c r="F381">
        <v>550000</v>
      </c>
      <c r="G381">
        <v>45107</v>
      </c>
      <c r="H381" t="s">
        <v>70</v>
      </c>
      <c r="I381" t="s">
        <v>71</v>
      </c>
      <c r="J381">
        <v>-185680.69</v>
      </c>
      <c r="K381" s="6" t="str">
        <f>+IFERROR(VLOOKUP(I381,'Legal Name'!$A$1:$I$2913,1,0),"N")</f>
        <v>N</v>
      </c>
    </row>
    <row r="382" spans="3:11" x14ac:dyDescent="0.35">
      <c r="C382" t="s">
        <v>383</v>
      </c>
      <c r="D382" t="s">
        <v>68</v>
      </c>
      <c r="E382" t="s">
        <v>69</v>
      </c>
      <c r="F382">
        <v>17280318.539999999</v>
      </c>
      <c r="G382">
        <v>46660</v>
      </c>
      <c r="H382" t="s">
        <v>73</v>
      </c>
      <c r="I382" t="s">
        <v>87</v>
      </c>
      <c r="J382">
        <v>7531257.6500000004</v>
      </c>
      <c r="K382" s="6" t="str">
        <f>+IFERROR(VLOOKUP(I382,'Legal Name'!$A$1:$I$2913,1,0),"N")</f>
        <v>N</v>
      </c>
    </row>
    <row r="383" spans="3:11" x14ac:dyDescent="0.35">
      <c r="C383" t="s">
        <v>384</v>
      </c>
      <c r="D383" t="s">
        <v>68</v>
      </c>
      <c r="E383" t="s">
        <v>69</v>
      </c>
      <c r="F383">
        <v>2220080.88</v>
      </c>
      <c r="G383">
        <v>45322</v>
      </c>
      <c r="H383" t="s">
        <v>73</v>
      </c>
      <c r="I383" t="s">
        <v>87</v>
      </c>
      <c r="J383">
        <v>1188916.54</v>
      </c>
      <c r="K383" s="6" t="str">
        <f>+IFERROR(VLOOKUP(I383,'Legal Name'!$A$1:$I$2913,1,0),"N")</f>
        <v>N</v>
      </c>
    </row>
    <row r="384" spans="3:11" x14ac:dyDescent="0.35">
      <c r="C384" t="s">
        <v>385</v>
      </c>
      <c r="D384" t="s">
        <v>68</v>
      </c>
      <c r="E384" t="s">
        <v>69</v>
      </c>
      <c r="F384">
        <v>96338.36</v>
      </c>
      <c r="G384">
        <v>45429</v>
      </c>
      <c r="H384" t="s">
        <v>70</v>
      </c>
      <c r="I384" t="s">
        <v>71</v>
      </c>
      <c r="J384">
        <v>-9299.34</v>
      </c>
      <c r="K384" s="6" t="str">
        <f>+IFERROR(VLOOKUP(I384,'Legal Name'!$A$1:$I$2913,1,0),"N")</f>
        <v>N</v>
      </c>
    </row>
    <row r="385" spans="3:11" x14ac:dyDescent="0.35">
      <c r="C385" t="s">
        <v>386</v>
      </c>
      <c r="D385" t="s">
        <v>68</v>
      </c>
      <c r="E385" t="s">
        <v>69</v>
      </c>
      <c r="F385">
        <v>4569372.29</v>
      </c>
      <c r="G385">
        <v>45793</v>
      </c>
      <c r="H385" t="s">
        <v>70</v>
      </c>
      <c r="I385" t="s">
        <v>71</v>
      </c>
      <c r="J385">
        <v>-1763662.81</v>
      </c>
      <c r="K385" s="6" t="str">
        <f>+IFERROR(VLOOKUP(I385,'Legal Name'!$A$1:$I$2913,1,0),"N")</f>
        <v>N</v>
      </c>
    </row>
    <row r="386" spans="3:11" x14ac:dyDescent="0.35">
      <c r="C386" t="s">
        <v>387</v>
      </c>
      <c r="D386" t="s">
        <v>68</v>
      </c>
      <c r="E386" t="s">
        <v>69</v>
      </c>
      <c r="F386">
        <v>26693.200000000001</v>
      </c>
      <c r="G386">
        <v>45082</v>
      </c>
      <c r="H386" t="s">
        <v>70</v>
      </c>
      <c r="I386" t="s">
        <v>71</v>
      </c>
      <c r="J386">
        <v>-8310.98</v>
      </c>
      <c r="K386" s="6" t="str">
        <f>+IFERROR(VLOOKUP(I386,'Legal Name'!$A$1:$I$2913,1,0),"N")</f>
        <v>N</v>
      </c>
    </row>
    <row r="387" spans="3:11" x14ac:dyDescent="0.35">
      <c r="C387" t="s">
        <v>388</v>
      </c>
      <c r="D387" t="s">
        <v>68</v>
      </c>
      <c r="E387" t="s">
        <v>69</v>
      </c>
      <c r="F387">
        <v>416666.67</v>
      </c>
      <c r="G387">
        <v>45147</v>
      </c>
      <c r="H387" t="s">
        <v>70</v>
      </c>
      <c r="I387" t="s">
        <v>71</v>
      </c>
      <c r="J387">
        <v>-174573.33</v>
      </c>
      <c r="K387" s="6" t="str">
        <f>+IFERROR(VLOOKUP(I387,'Legal Name'!$A$1:$I$2913,1,0),"N")</f>
        <v>N</v>
      </c>
    </row>
    <row r="388" spans="3:11" x14ac:dyDescent="0.35">
      <c r="C388" t="s">
        <v>389</v>
      </c>
      <c r="D388" t="s">
        <v>68</v>
      </c>
      <c r="E388" t="s">
        <v>69</v>
      </c>
      <c r="F388">
        <v>320868.36</v>
      </c>
      <c r="G388">
        <v>45444</v>
      </c>
      <c r="H388" t="s">
        <v>70</v>
      </c>
      <c r="I388" t="s">
        <v>71</v>
      </c>
      <c r="J388">
        <v>-98742.18</v>
      </c>
      <c r="K388" s="6" t="str">
        <f>+IFERROR(VLOOKUP(I388,'Legal Name'!$A$1:$I$2913,1,0),"N")</f>
        <v>N</v>
      </c>
    </row>
    <row r="389" spans="3:11" x14ac:dyDescent="0.35">
      <c r="C389" t="s">
        <v>390</v>
      </c>
      <c r="D389" t="s">
        <v>68</v>
      </c>
      <c r="E389" t="s">
        <v>69</v>
      </c>
      <c r="F389">
        <v>178571.43</v>
      </c>
      <c r="G389">
        <v>45221</v>
      </c>
      <c r="H389" t="s">
        <v>70</v>
      </c>
      <c r="I389" t="s">
        <v>71</v>
      </c>
      <c r="J389">
        <v>-96469.52</v>
      </c>
      <c r="K389" s="6" t="str">
        <f>+IFERROR(VLOOKUP(I389,'Legal Name'!$A$1:$I$2913,1,0),"N")</f>
        <v>N</v>
      </c>
    </row>
    <row r="390" spans="3:11" x14ac:dyDescent="0.35">
      <c r="C390" t="s">
        <v>391</v>
      </c>
      <c r="D390" t="s">
        <v>68</v>
      </c>
      <c r="E390" t="s">
        <v>69</v>
      </c>
      <c r="F390">
        <v>326647.43</v>
      </c>
      <c r="G390">
        <v>45281</v>
      </c>
      <c r="H390" t="s">
        <v>70</v>
      </c>
      <c r="I390" t="s">
        <v>71</v>
      </c>
      <c r="J390">
        <v>-88808.7</v>
      </c>
      <c r="K390" s="6" t="str">
        <f>+IFERROR(VLOOKUP(I390,'Legal Name'!$A$1:$I$2913,1,0),"N")</f>
        <v>N</v>
      </c>
    </row>
    <row r="391" spans="3:11" x14ac:dyDescent="0.35">
      <c r="C391" t="s">
        <v>392</v>
      </c>
      <c r="D391" t="s">
        <v>68</v>
      </c>
      <c r="E391" t="s">
        <v>69</v>
      </c>
      <c r="F391">
        <v>218772.39</v>
      </c>
      <c r="G391">
        <v>45411</v>
      </c>
      <c r="H391" t="s">
        <v>70</v>
      </c>
      <c r="I391" t="s">
        <v>71</v>
      </c>
      <c r="J391">
        <v>-55599.74</v>
      </c>
      <c r="K391" s="6" t="str">
        <f>+IFERROR(VLOOKUP(I391,'Legal Name'!$A$1:$I$2913,1,0),"N")</f>
        <v>N</v>
      </c>
    </row>
    <row r="392" spans="3:11" x14ac:dyDescent="0.35">
      <c r="C392" t="s">
        <v>393</v>
      </c>
      <c r="D392" t="s">
        <v>68</v>
      </c>
      <c r="E392" t="s">
        <v>69</v>
      </c>
      <c r="F392">
        <v>88029.78</v>
      </c>
      <c r="G392">
        <v>45443</v>
      </c>
      <c r="H392" t="s">
        <v>70</v>
      </c>
      <c r="I392" t="s">
        <v>71</v>
      </c>
      <c r="J392">
        <v>-14553.06</v>
      </c>
      <c r="K392" s="6" t="str">
        <f>+IFERROR(VLOOKUP(I392,'Legal Name'!$A$1:$I$2913,1,0),"N")</f>
        <v>N</v>
      </c>
    </row>
    <row r="393" spans="3:11" x14ac:dyDescent="0.35">
      <c r="C393" t="s">
        <v>394</v>
      </c>
      <c r="D393" t="s">
        <v>68</v>
      </c>
      <c r="E393" t="s">
        <v>69</v>
      </c>
      <c r="F393">
        <v>249097.7</v>
      </c>
      <c r="G393">
        <v>45491</v>
      </c>
      <c r="H393" t="s">
        <v>70</v>
      </c>
      <c r="I393" t="s">
        <v>71</v>
      </c>
      <c r="J393">
        <v>-76622.28</v>
      </c>
      <c r="K393" s="6" t="str">
        <f>+IFERROR(VLOOKUP(I393,'Legal Name'!$A$1:$I$2913,1,0),"N")</f>
        <v>N</v>
      </c>
    </row>
    <row r="394" spans="3:11" x14ac:dyDescent="0.35">
      <c r="C394" t="s">
        <v>395</v>
      </c>
      <c r="D394" t="s">
        <v>68</v>
      </c>
      <c r="E394" t="s">
        <v>69</v>
      </c>
      <c r="F394">
        <v>542510.93000000005</v>
      </c>
      <c r="G394">
        <v>45260</v>
      </c>
      <c r="H394" t="s">
        <v>73</v>
      </c>
      <c r="I394" t="s">
        <v>87</v>
      </c>
      <c r="J394">
        <v>-202286.57</v>
      </c>
      <c r="K394" s="6" t="str">
        <f>+IFERROR(VLOOKUP(I394,'Legal Name'!$A$1:$I$2913,1,0),"N")</f>
        <v>N</v>
      </c>
    </row>
    <row r="395" spans="3:11" x14ac:dyDescent="0.35">
      <c r="C395" t="s">
        <v>396</v>
      </c>
      <c r="D395" t="s">
        <v>68</v>
      </c>
      <c r="E395" t="s">
        <v>69</v>
      </c>
      <c r="F395">
        <v>497380.9</v>
      </c>
      <c r="G395">
        <v>45289</v>
      </c>
      <c r="H395" t="s">
        <v>73</v>
      </c>
      <c r="I395" t="s">
        <v>87</v>
      </c>
      <c r="J395">
        <v>-181809.58</v>
      </c>
      <c r="K395" s="6" t="str">
        <f>+IFERROR(VLOOKUP(I395,'Legal Name'!$A$1:$I$2913,1,0),"N")</f>
        <v>N</v>
      </c>
    </row>
    <row r="396" spans="3:11" x14ac:dyDescent="0.35">
      <c r="C396" t="s">
        <v>397</v>
      </c>
      <c r="D396" t="s">
        <v>68</v>
      </c>
      <c r="E396" t="s">
        <v>69</v>
      </c>
      <c r="F396">
        <v>7849006.3899999997</v>
      </c>
      <c r="G396">
        <v>45537</v>
      </c>
      <c r="H396" t="s">
        <v>70</v>
      </c>
      <c r="I396" t="s">
        <v>71</v>
      </c>
      <c r="J396">
        <v>-2220325.9</v>
      </c>
      <c r="K396" s="6" t="str">
        <f>+IFERROR(VLOOKUP(I396,'Legal Name'!$A$1:$I$2913,1,0),"N")</f>
        <v>N</v>
      </c>
    </row>
    <row r="397" spans="3:11" x14ac:dyDescent="0.35">
      <c r="C397" t="s">
        <v>398</v>
      </c>
      <c r="D397" t="s">
        <v>68</v>
      </c>
      <c r="E397" t="s">
        <v>69</v>
      </c>
      <c r="F397">
        <v>65343.74</v>
      </c>
      <c r="G397">
        <v>45499</v>
      </c>
      <c r="H397" t="s">
        <v>70</v>
      </c>
      <c r="I397" t="s">
        <v>71</v>
      </c>
      <c r="J397">
        <v>-28330.54</v>
      </c>
      <c r="K397" s="6" t="str">
        <f>+IFERROR(VLOOKUP(I397,'Legal Name'!$A$1:$I$2913,1,0),"N")</f>
        <v>N</v>
      </c>
    </row>
    <row r="398" spans="3:11" x14ac:dyDescent="0.35">
      <c r="C398" t="s">
        <v>399</v>
      </c>
      <c r="D398" t="s">
        <v>68</v>
      </c>
      <c r="E398" t="s">
        <v>69</v>
      </c>
      <c r="F398">
        <v>35928.769999999997</v>
      </c>
      <c r="G398">
        <v>45287</v>
      </c>
      <c r="H398" t="s">
        <v>70</v>
      </c>
      <c r="I398" t="s">
        <v>71</v>
      </c>
      <c r="J398">
        <v>-5819.68</v>
      </c>
      <c r="K398" s="6" t="str">
        <f>+IFERROR(VLOOKUP(I398,'Legal Name'!$A$1:$I$2913,1,0),"N")</f>
        <v>N</v>
      </c>
    </row>
    <row r="399" spans="3:11" x14ac:dyDescent="0.35">
      <c r="C399" t="s">
        <v>400</v>
      </c>
      <c r="D399" t="s">
        <v>68</v>
      </c>
      <c r="E399" t="s">
        <v>69</v>
      </c>
      <c r="F399">
        <v>56813.81</v>
      </c>
      <c r="G399">
        <v>45376</v>
      </c>
      <c r="H399" t="s">
        <v>70</v>
      </c>
      <c r="I399" t="s">
        <v>71</v>
      </c>
      <c r="J399">
        <v>-15779.62</v>
      </c>
      <c r="K399" s="6" t="str">
        <f>+IFERROR(VLOOKUP(I399,'Legal Name'!$A$1:$I$2913,1,0),"N")</f>
        <v>N</v>
      </c>
    </row>
    <row r="400" spans="3:11" x14ac:dyDescent="0.35">
      <c r="C400" t="s">
        <v>401</v>
      </c>
      <c r="D400" t="s">
        <v>68</v>
      </c>
      <c r="E400" t="s">
        <v>69</v>
      </c>
      <c r="F400">
        <v>217110.02</v>
      </c>
      <c r="G400">
        <v>45498</v>
      </c>
      <c r="H400" t="s">
        <v>70</v>
      </c>
      <c r="I400" t="s">
        <v>71</v>
      </c>
      <c r="J400">
        <v>-68846.59</v>
      </c>
      <c r="K400" s="6" t="str">
        <f>+IFERROR(VLOOKUP(I400,'Legal Name'!$A$1:$I$2913,1,0),"N")</f>
        <v>N</v>
      </c>
    </row>
    <row r="401" spans="3:11" x14ac:dyDescent="0.35">
      <c r="C401" t="s">
        <v>402</v>
      </c>
      <c r="D401" t="s">
        <v>68</v>
      </c>
      <c r="E401" t="s">
        <v>69</v>
      </c>
      <c r="F401">
        <v>3960.7</v>
      </c>
      <c r="G401">
        <v>45067</v>
      </c>
      <c r="H401" t="s">
        <v>70</v>
      </c>
      <c r="I401" t="s">
        <v>71</v>
      </c>
      <c r="J401">
        <v>-632.42999999999995</v>
      </c>
      <c r="K401" s="6" t="str">
        <f>+IFERROR(VLOOKUP(I401,'Legal Name'!$A$1:$I$2913,1,0),"N")</f>
        <v>N</v>
      </c>
    </row>
    <row r="402" spans="3:11" x14ac:dyDescent="0.35">
      <c r="C402" t="s">
        <v>403</v>
      </c>
      <c r="D402" t="s">
        <v>68</v>
      </c>
      <c r="E402" t="s">
        <v>69</v>
      </c>
      <c r="F402">
        <v>463172.89</v>
      </c>
      <c r="G402">
        <v>45530</v>
      </c>
      <c r="H402" t="s">
        <v>70</v>
      </c>
      <c r="I402" t="s">
        <v>71</v>
      </c>
      <c r="J402">
        <v>-82787.06</v>
      </c>
      <c r="K402" s="6" t="str">
        <f>+IFERROR(VLOOKUP(I402,'Legal Name'!$A$1:$I$2913,1,0),"N")</f>
        <v>N</v>
      </c>
    </row>
    <row r="403" spans="3:11" x14ac:dyDescent="0.35">
      <c r="C403" t="s">
        <v>404</v>
      </c>
      <c r="D403" t="s">
        <v>68</v>
      </c>
      <c r="E403" t="s">
        <v>69</v>
      </c>
      <c r="F403">
        <v>2869002.03</v>
      </c>
      <c r="G403">
        <v>45922</v>
      </c>
      <c r="H403" t="s">
        <v>70</v>
      </c>
      <c r="I403" t="s">
        <v>71</v>
      </c>
      <c r="J403">
        <v>-716461.85</v>
      </c>
      <c r="K403" s="6" t="str">
        <f>+IFERROR(VLOOKUP(I403,'Legal Name'!$A$1:$I$2913,1,0),"N")</f>
        <v>N</v>
      </c>
    </row>
    <row r="404" spans="3:11" x14ac:dyDescent="0.35">
      <c r="C404" t="s">
        <v>405</v>
      </c>
      <c r="D404" t="s">
        <v>68</v>
      </c>
      <c r="E404" t="s">
        <v>69</v>
      </c>
      <c r="F404">
        <v>50000000</v>
      </c>
      <c r="G404">
        <v>45278</v>
      </c>
      <c r="H404" t="s">
        <v>73</v>
      </c>
      <c r="I404" t="s">
        <v>83</v>
      </c>
      <c r="J404">
        <v>-7725195.9800000004</v>
      </c>
      <c r="K404" s="6" t="str">
        <f>+IFERROR(VLOOKUP(I404,'Legal Name'!$A$1:$I$2913,1,0),"N")</f>
        <v>N</v>
      </c>
    </row>
    <row r="405" spans="3:11" x14ac:dyDescent="0.35">
      <c r="C405" t="s">
        <v>406</v>
      </c>
      <c r="D405" t="s">
        <v>68</v>
      </c>
      <c r="E405" t="s">
        <v>69</v>
      </c>
      <c r="F405">
        <v>2235116.2999999998</v>
      </c>
      <c r="G405">
        <v>46063</v>
      </c>
      <c r="H405" t="s">
        <v>70</v>
      </c>
      <c r="I405" t="s">
        <v>71</v>
      </c>
      <c r="J405">
        <v>-107508.15</v>
      </c>
      <c r="K405" s="6" t="str">
        <f>+IFERROR(VLOOKUP(I405,'Legal Name'!$A$1:$I$2913,1,0),"N")</f>
        <v>N</v>
      </c>
    </row>
    <row r="406" spans="3:11" x14ac:dyDescent="0.35">
      <c r="C406" t="s">
        <v>407</v>
      </c>
      <c r="D406" t="s">
        <v>68</v>
      </c>
      <c r="E406" t="s">
        <v>69</v>
      </c>
      <c r="F406">
        <v>25000000</v>
      </c>
      <c r="G406">
        <v>45099</v>
      </c>
      <c r="H406" t="s">
        <v>70</v>
      </c>
      <c r="I406" t="s">
        <v>71</v>
      </c>
      <c r="J406">
        <v>-10105131.4</v>
      </c>
      <c r="K406" s="6" t="str">
        <f>+IFERROR(VLOOKUP(I406,'Legal Name'!$A$1:$I$2913,1,0),"N")</f>
        <v>N</v>
      </c>
    </row>
    <row r="407" spans="3:11" x14ac:dyDescent="0.35">
      <c r="C407" t="s">
        <v>408</v>
      </c>
      <c r="D407" t="s">
        <v>68</v>
      </c>
      <c r="E407" t="s">
        <v>69</v>
      </c>
      <c r="F407">
        <v>25000000</v>
      </c>
      <c r="G407">
        <v>45099</v>
      </c>
      <c r="H407" t="s">
        <v>70</v>
      </c>
      <c r="I407" t="s">
        <v>71</v>
      </c>
      <c r="J407">
        <v>-9868327.6999999993</v>
      </c>
      <c r="K407" s="6" t="str">
        <f>+IFERROR(VLOOKUP(I407,'Legal Name'!$A$1:$I$2913,1,0),"N")</f>
        <v>N</v>
      </c>
    </row>
    <row r="408" spans="3:11" x14ac:dyDescent="0.35">
      <c r="C408" t="s">
        <v>409</v>
      </c>
      <c r="D408" t="s">
        <v>72</v>
      </c>
      <c r="E408" t="s">
        <v>69</v>
      </c>
      <c r="F408">
        <v>27095131</v>
      </c>
      <c r="G408">
        <v>45252</v>
      </c>
      <c r="H408" t="s">
        <v>73</v>
      </c>
      <c r="I408" t="s">
        <v>109</v>
      </c>
      <c r="J408">
        <v>1299282.94</v>
      </c>
      <c r="K408" s="6" t="str">
        <f>+IFERROR(VLOOKUP(I408,'Legal Name'!$A$1:$I$2913,1,0),"N")</f>
        <v>N</v>
      </c>
    </row>
    <row r="409" spans="3:11" x14ac:dyDescent="0.35">
      <c r="C409" t="s">
        <v>410</v>
      </c>
      <c r="D409" t="s">
        <v>72</v>
      </c>
      <c r="E409" t="s">
        <v>69</v>
      </c>
      <c r="F409">
        <v>18966591.699999999</v>
      </c>
      <c r="G409">
        <v>45252</v>
      </c>
      <c r="H409" t="s">
        <v>73</v>
      </c>
      <c r="I409" t="s">
        <v>109</v>
      </c>
      <c r="J409">
        <v>913053.35</v>
      </c>
      <c r="K409" s="6" t="str">
        <f>+IFERROR(VLOOKUP(I409,'Legal Name'!$A$1:$I$2913,1,0),"N")</f>
        <v>N</v>
      </c>
    </row>
    <row r="410" spans="3:11" x14ac:dyDescent="0.35">
      <c r="C410" t="s">
        <v>411</v>
      </c>
      <c r="D410" t="s">
        <v>72</v>
      </c>
      <c r="E410" t="s">
        <v>69</v>
      </c>
      <c r="F410">
        <v>54253472.219999999</v>
      </c>
      <c r="G410">
        <v>45254</v>
      </c>
      <c r="H410" t="s">
        <v>73</v>
      </c>
      <c r="I410" t="s">
        <v>109</v>
      </c>
      <c r="J410">
        <v>1134022.06</v>
      </c>
      <c r="K410" s="6" t="str">
        <f>+IFERROR(VLOOKUP(I410,'Legal Name'!$A$1:$I$2913,1,0),"N")</f>
        <v>N</v>
      </c>
    </row>
    <row r="411" spans="3:11" x14ac:dyDescent="0.35">
      <c r="C411" t="s">
        <v>412</v>
      </c>
      <c r="D411" t="s">
        <v>72</v>
      </c>
      <c r="E411" t="s">
        <v>69</v>
      </c>
      <c r="F411">
        <v>40693415.810000002</v>
      </c>
      <c r="G411">
        <v>45446</v>
      </c>
      <c r="H411" t="s">
        <v>73</v>
      </c>
      <c r="I411" t="s">
        <v>109</v>
      </c>
      <c r="J411">
        <v>-1397683.26</v>
      </c>
      <c r="K411" s="6" t="str">
        <f>+IFERROR(VLOOKUP(I411,'Legal Name'!$A$1:$I$2913,1,0),"N")</f>
        <v>N</v>
      </c>
    </row>
    <row r="412" spans="3:11" x14ac:dyDescent="0.35">
      <c r="C412" t="s">
        <v>413</v>
      </c>
      <c r="D412" t="s">
        <v>72</v>
      </c>
      <c r="E412" t="s">
        <v>69</v>
      </c>
      <c r="F412">
        <v>40693415.810000002</v>
      </c>
      <c r="G412">
        <v>45446</v>
      </c>
      <c r="H412" t="s">
        <v>73</v>
      </c>
      <c r="I412" t="s">
        <v>109</v>
      </c>
      <c r="J412">
        <v>-1367558.88</v>
      </c>
      <c r="K412" s="6" t="str">
        <f>+IFERROR(VLOOKUP(I412,'Legal Name'!$A$1:$I$2913,1,0),"N")</f>
        <v>N</v>
      </c>
    </row>
    <row r="413" spans="3:11" x14ac:dyDescent="0.35">
      <c r="C413" t="s">
        <v>414</v>
      </c>
      <c r="D413" t="s">
        <v>72</v>
      </c>
      <c r="E413" t="s">
        <v>69</v>
      </c>
      <c r="F413">
        <v>13564471.939999999</v>
      </c>
      <c r="G413">
        <v>45446</v>
      </c>
      <c r="H413" t="s">
        <v>73</v>
      </c>
      <c r="I413" t="s">
        <v>109</v>
      </c>
      <c r="J413">
        <v>-375519.89</v>
      </c>
      <c r="K413" s="6" t="str">
        <f>+IFERROR(VLOOKUP(I413,'Legal Name'!$A$1:$I$2913,1,0),"N")</f>
        <v>N</v>
      </c>
    </row>
    <row r="414" spans="3:11" x14ac:dyDescent="0.35">
      <c r="C414" t="s">
        <v>415</v>
      </c>
      <c r="D414" t="s">
        <v>72</v>
      </c>
      <c r="E414" t="s">
        <v>69</v>
      </c>
      <c r="F414">
        <v>21703155.100000001</v>
      </c>
      <c r="G414">
        <v>45447</v>
      </c>
      <c r="H414" t="s">
        <v>73</v>
      </c>
      <c r="I414" t="s">
        <v>109</v>
      </c>
      <c r="J414">
        <v>-530501.71</v>
      </c>
      <c r="K414" s="6" t="str">
        <f>+IFERROR(VLOOKUP(I414,'Legal Name'!$A$1:$I$2913,1,0),"N")</f>
        <v>N</v>
      </c>
    </row>
    <row r="415" spans="3:11" x14ac:dyDescent="0.35">
      <c r="C415" t="s">
        <v>416</v>
      </c>
      <c r="D415" t="s">
        <v>68</v>
      </c>
      <c r="E415" t="s">
        <v>69</v>
      </c>
      <c r="F415">
        <v>2478897.65</v>
      </c>
      <c r="G415">
        <v>45412</v>
      </c>
      <c r="H415" t="s">
        <v>73</v>
      </c>
      <c r="I415" t="s">
        <v>87</v>
      </c>
      <c r="J415">
        <v>1322615.8799999999</v>
      </c>
      <c r="K415" s="6" t="str">
        <f>+IFERROR(VLOOKUP(I415,'Legal Name'!$A$1:$I$2913,1,0),"N")</f>
        <v>N</v>
      </c>
    </row>
    <row r="416" spans="3:11" x14ac:dyDescent="0.35">
      <c r="C416" t="s">
        <v>417</v>
      </c>
      <c r="D416" t="s">
        <v>72</v>
      </c>
      <c r="E416" t="s">
        <v>69</v>
      </c>
      <c r="F416">
        <v>16514367.5</v>
      </c>
      <c r="G416">
        <v>45275</v>
      </c>
      <c r="H416" t="s">
        <v>73</v>
      </c>
      <c r="I416" t="s">
        <v>109</v>
      </c>
      <c r="J416">
        <v>1495358.46</v>
      </c>
      <c r="K416" s="6" t="str">
        <f>+IFERROR(VLOOKUP(I416,'Legal Name'!$A$1:$I$2913,1,0),"N")</f>
        <v>N</v>
      </c>
    </row>
    <row r="417" spans="3:11" x14ac:dyDescent="0.35">
      <c r="C417" t="s">
        <v>418</v>
      </c>
      <c r="D417" t="s">
        <v>72</v>
      </c>
      <c r="E417" t="s">
        <v>69</v>
      </c>
      <c r="F417">
        <v>43892135.079999998</v>
      </c>
      <c r="G417">
        <v>45463</v>
      </c>
      <c r="H417" t="s">
        <v>73</v>
      </c>
      <c r="I417" t="s">
        <v>109</v>
      </c>
      <c r="J417">
        <v>902442.36</v>
      </c>
      <c r="K417" s="6" t="str">
        <f>+IFERROR(VLOOKUP(I417,'Legal Name'!$A$1:$I$2913,1,0),"N")</f>
        <v>N</v>
      </c>
    </row>
    <row r="418" spans="3:11" x14ac:dyDescent="0.35">
      <c r="C418" t="s">
        <v>419</v>
      </c>
      <c r="D418" t="s">
        <v>72</v>
      </c>
      <c r="E418" t="s">
        <v>69</v>
      </c>
      <c r="F418">
        <v>27533797.739999998</v>
      </c>
      <c r="G418">
        <v>45281</v>
      </c>
      <c r="H418" t="s">
        <v>73</v>
      </c>
      <c r="I418" t="s">
        <v>109</v>
      </c>
      <c r="J418">
        <v>2791493.31</v>
      </c>
      <c r="K418" s="6" t="str">
        <f>+IFERROR(VLOOKUP(I418,'Legal Name'!$A$1:$I$2913,1,0),"N")</f>
        <v>N</v>
      </c>
    </row>
    <row r="419" spans="3:11" x14ac:dyDescent="0.35">
      <c r="C419" t="s">
        <v>420</v>
      </c>
      <c r="D419" t="s">
        <v>72</v>
      </c>
      <c r="E419" t="s">
        <v>69</v>
      </c>
      <c r="F419">
        <v>24780417.960000001</v>
      </c>
      <c r="G419">
        <v>45281</v>
      </c>
      <c r="H419" t="s">
        <v>73</v>
      </c>
      <c r="I419" t="s">
        <v>109</v>
      </c>
      <c r="J419">
        <v>2516901.96</v>
      </c>
      <c r="K419" s="6" t="str">
        <f>+IFERROR(VLOOKUP(I419,'Legal Name'!$A$1:$I$2913,1,0),"N")</f>
        <v>N</v>
      </c>
    </row>
    <row r="420" spans="3:11" x14ac:dyDescent="0.35">
      <c r="C420" t="s">
        <v>421</v>
      </c>
      <c r="D420" t="s">
        <v>72</v>
      </c>
      <c r="E420" t="s">
        <v>69</v>
      </c>
      <c r="F420">
        <v>42677386.490000002</v>
      </c>
      <c r="G420">
        <v>45373</v>
      </c>
      <c r="H420" t="s">
        <v>73</v>
      </c>
      <c r="I420" t="s">
        <v>109</v>
      </c>
      <c r="J420">
        <v>1607574.13</v>
      </c>
      <c r="K420" s="6" t="str">
        <f>+IFERROR(VLOOKUP(I420,'Legal Name'!$A$1:$I$2913,1,0),"N")</f>
        <v>N</v>
      </c>
    </row>
    <row r="421" spans="3:11" x14ac:dyDescent="0.35">
      <c r="C421" t="s">
        <v>422</v>
      </c>
      <c r="D421" t="s">
        <v>72</v>
      </c>
      <c r="E421" t="s">
        <v>69</v>
      </c>
      <c r="F421">
        <v>4834235.17</v>
      </c>
      <c r="G421">
        <v>45470</v>
      </c>
      <c r="H421" t="s">
        <v>73</v>
      </c>
      <c r="I421" t="s">
        <v>109</v>
      </c>
      <c r="J421">
        <v>118984.65</v>
      </c>
      <c r="K421" s="6" t="str">
        <f>+IFERROR(VLOOKUP(I421,'Legal Name'!$A$1:$I$2913,1,0),"N")</f>
        <v>N</v>
      </c>
    </row>
    <row r="422" spans="3:11" x14ac:dyDescent="0.35">
      <c r="C422" t="s">
        <v>423</v>
      </c>
      <c r="D422" t="s">
        <v>72</v>
      </c>
      <c r="E422" t="s">
        <v>69</v>
      </c>
      <c r="F422">
        <v>41200867.960000001</v>
      </c>
      <c r="G422">
        <v>45469</v>
      </c>
      <c r="H422" t="s">
        <v>73</v>
      </c>
      <c r="I422" t="s">
        <v>109</v>
      </c>
      <c r="J422">
        <v>1033314.59</v>
      </c>
      <c r="K422" s="6" t="str">
        <f>+IFERROR(VLOOKUP(I422,'Legal Name'!$A$1:$I$2913,1,0),"N")</f>
        <v>N</v>
      </c>
    </row>
    <row r="423" spans="3:11" x14ac:dyDescent="0.35">
      <c r="C423" t="s">
        <v>424</v>
      </c>
      <c r="D423" t="s">
        <v>72</v>
      </c>
      <c r="E423" t="s">
        <v>69</v>
      </c>
      <c r="F423">
        <v>27467245.309999999</v>
      </c>
      <c r="G423">
        <v>45469</v>
      </c>
      <c r="H423" t="s">
        <v>73</v>
      </c>
      <c r="I423" t="s">
        <v>109</v>
      </c>
      <c r="J423">
        <v>698984.14</v>
      </c>
      <c r="K423" s="6" t="str">
        <f>+IFERROR(VLOOKUP(I423,'Legal Name'!$A$1:$I$2913,1,0),"N")</f>
        <v>N</v>
      </c>
    </row>
    <row r="424" spans="3:11" x14ac:dyDescent="0.35">
      <c r="C424" t="s">
        <v>425</v>
      </c>
      <c r="D424" t="s">
        <v>72</v>
      </c>
      <c r="E424" t="s">
        <v>69</v>
      </c>
      <c r="F424">
        <v>54934490.619999997</v>
      </c>
      <c r="G424">
        <v>45469</v>
      </c>
      <c r="H424" t="s">
        <v>73</v>
      </c>
      <c r="I424" t="s">
        <v>109</v>
      </c>
      <c r="J424">
        <v>1317106.92</v>
      </c>
      <c r="K424" s="6" t="str">
        <f>+IFERROR(VLOOKUP(I424,'Legal Name'!$A$1:$I$2913,1,0),"N")</f>
        <v>N</v>
      </c>
    </row>
    <row r="425" spans="3:11" x14ac:dyDescent="0.35">
      <c r="C425" t="s">
        <v>426</v>
      </c>
      <c r="D425" t="s">
        <v>72</v>
      </c>
      <c r="E425" t="s">
        <v>69</v>
      </c>
      <c r="F425">
        <v>13752888.109999999</v>
      </c>
      <c r="G425">
        <v>45470</v>
      </c>
      <c r="H425" t="s">
        <v>73</v>
      </c>
      <c r="I425" t="s">
        <v>109</v>
      </c>
      <c r="J425">
        <v>413858.02</v>
      </c>
      <c r="K425" s="6" t="str">
        <f>+IFERROR(VLOOKUP(I425,'Legal Name'!$A$1:$I$2913,1,0),"N")</f>
        <v>N</v>
      </c>
    </row>
    <row r="426" spans="3:11" x14ac:dyDescent="0.35">
      <c r="C426" t="s">
        <v>427</v>
      </c>
      <c r="D426" t="s">
        <v>72</v>
      </c>
      <c r="E426" t="s">
        <v>69</v>
      </c>
      <c r="F426">
        <v>27536072.25</v>
      </c>
      <c r="G426">
        <v>45288</v>
      </c>
      <c r="H426" t="s">
        <v>73</v>
      </c>
      <c r="I426" t="s">
        <v>109</v>
      </c>
      <c r="J426">
        <v>527751.72</v>
      </c>
      <c r="K426" s="6" t="str">
        <f>+IFERROR(VLOOKUP(I426,'Legal Name'!$A$1:$I$2913,1,0),"N")</f>
        <v>N</v>
      </c>
    </row>
    <row r="427" spans="3:11" x14ac:dyDescent="0.35">
      <c r="C427" t="s">
        <v>428</v>
      </c>
      <c r="D427" t="s">
        <v>72</v>
      </c>
      <c r="E427" t="s">
        <v>69</v>
      </c>
      <c r="F427">
        <v>27536072.25</v>
      </c>
      <c r="G427">
        <v>45288</v>
      </c>
      <c r="H427" t="s">
        <v>73</v>
      </c>
      <c r="I427" t="s">
        <v>109</v>
      </c>
      <c r="J427">
        <v>532770.03</v>
      </c>
      <c r="K427" s="6" t="str">
        <f>+IFERROR(VLOOKUP(I427,'Legal Name'!$A$1:$I$2913,1,0),"N")</f>
        <v>N</v>
      </c>
    </row>
    <row r="428" spans="3:11" x14ac:dyDescent="0.35">
      <c r="C428" t="s">
        <v>429</v>
      </c>
      <c r="D428" t="s">
        <v>72</v>
      </c>
      <c r="E428" t="s">
        <v>69</v>
      </c>
      <c r="F428">
        <v>8260821.6799999997</v>
      </c>
      <c r="G428">
        <v>45288</v>
      </c>
      <c r="H428" t="s">
        <v>73</v>
      </c>
      <c r="I428" t="s">
        <v>109</v>
      </c>
      <c r="J428">
        <v>161336.49</v>
      </c>
      <c r="K428" s="6" t="str">
        <f>+IFERROR(VLOOKUP(I428,'Legal Name'!$A$1:$I$2913,1,0),"N")</f>
        <v>N</v>
      </c>
    </row>
    <row r="429" spans="3:11" x14ac:dyDescent="0.35">
      <c r="C429" t="s">
        <v>430</v>
      </c>
      <c r="D429" t="s">
        <v>72</v>
      </c>
      <c r="E429" t="s">
        <v>69</v>
      </c>
      <c r="F429">
        <v>41304108.380000003</v>
      </c>
      <c r="G429">
        <v>45288</v>
      </c>
      <c r="H429" t="s">
        <v>73</v>
      </c>
      <c r="I429" t="s">
        <v>109</v>
      </c>
      <c r="J429">
        <v>784099.7</v>
      </c>
      <c r="K429" s="6" t="str">
        <f>+IFERROR(VLOOKUP(I429,'Legal Name'!$A$1:$I$2913,1,0),"N")</f>
        <v>N</v>
      </c>
    </row>
    <row r="430" spans="3:11" x14ac:dyDescent="0.35">
      <c r="C430" t="s">
        <v>431</v>
      </c>
      <c r="D430" t="s">
        <v>72</v>
      </c>
      <c r="E430" t="s">
        <v>69</v>
      </c>
      <c r="F430">
        <v>27573275.98</v>
      </c>
      <c r="G430">
        <v>45289</v>
      </c>
      <c r="H430" t="s">
        <v>73</v>
      </c>
      <c r="I430" t="s">
        <v>109</v>
      </c>
      <c r="J430">
        <v>616990.71999999997</v>
      </c>
      <c r="K430" s="6" t="str">
        <f>+IFERROR(VLOOKUP(I430,'Legal Name'!$A$1:$I$2913,1,0),"N")</f>
        <v>N</v>
      </c>
    </row>
    <row r="431" spans="3:11" x14ac:dyDescent="0.35">
      <c r="C431" t="s">
        <v>432</v>
      </c>
      <c r="D431" t="s">
        <v>72</v>
      </c>
      <c r="E431" t="s">
        <v>69</v>
      </c>
      <c r="F431">
        <v>27573275.98</v>
      </c>
      <c r="G431">
        <v>45289</v>
      </c>
      <c r="H431" t="s">
        <v>73</v>
      </c>
      <c r="I431" t="s">
        <v>109</v>
      </c>
      <c r="J431">
        <v>621989.71</v>
      </c>
      <c r="K431" s="6" t="str">
        <f>+IFERROR(VLOOKUP(I431,'Legal Name'!$A$1:$I$2913,1,0),"N")</f>
        <v>N</v>
      </c>
    </row>
    <row r="432" spans="3:11" x14ac:dyDescent="0.35">
      <c r="C432" t="s">
        <v>433</v>
      </c>
      <c r="D432" t="s">
        <v>72</v>
      </c>
      <c r="E432" t="s">
        <v>69</v>
      </c>
      <c r="F432">
        <v>22058620.780000001</v>
      </c>
      <c r="G432">
        <v>45289</v>
      </c>
      <c r="H432" t="s">
        <v>73</v>
      </c>
      <c r="I432" t="s">
        <v>109</v>
      </c>
      <c r="J432">
        <v>501590.76</v>
      </c>
      <c r="K432" s="6" t="str">
        <f>+IFERROR(VLOOKUP(I432,'Legal Name'!$A$1:$I$2913,1,0),"N")</f>
        <v>N</v>
      </c>
    </row>
    <row r="433" spans="3:11" x14ac:dyDescent="0.35">
      <c r="C433" t="s">
        <v>434</v>
      </c>
      <c r="D433" t="s">
        <v>72</v>
      </c>
      <c r="E433" t="s">
        <v>69</v>
      </c>
      <c r="F433">
        <v>27580120.25</v>
      </c>
      <c r="G433">
        <v>45294</v>
      </c>
      <c r="H433" t="s">
        <v>73</v>
      </c>
      <c r="I433" t="s">
        <v>109</v>
      </c>
      <c r="J433">
        <v>1220819.1299999999</v>
      </c>
      <c r="K433" s="6" t="str">
        <f>+IFERROR(VLOOKUP(I433,'Legal Name'!$A$1:$I$2913,1,0),"N")</f>
        <v>N</v>
      </c>
    </row>
    <row r="434" spans="3:11" x14ac:dyDescent="0.35">
      <c r="C434" t="s">
        <v>435</v>
      </c>
      <c r="D434" t="s">
        <v>72</v>
      </c>
      <c r="E434" t="s">
        <v>69</v>
      </c>
      <c r="F434">
        <v>27580120.25</v>
      </c>
      <c r="G434">
        <v>45294</v>
      </c>
      <c r="H434" t="s">
        <v>73</v>
      </c>
      <c r="I434" t="s">
        <v>109</v>
      </c>
      <c r="J434">
        <v>1215726.6000000001</v>
      </c>
      <c r="K434" s="6" t="str">
        <f>+IFERROR(VLOOKUP(I434,'Legal Name'!$A$1:$I$2913,1,0),"N")</f>
        <v>N</v>
      </c>
    </row>
    <row r="435" spans="3:11" x14ac:dyDescent="0.35">
      <c r="C435" t="s">
        <v>436</v>
      </c>
      <c r="D435" t="s">
        <v>72</v>
      </c>
      <c r="E435" t="s">
        <v>69</v>
      </c>
      <c r="F435">
        <v>14507143.25</v>
      </c>
      <c r="G435">
        <v>45294</v>
      </c>
      <c r="H435" t="s">
        <v>73</v>
      </c>
      <c r="I435" t="s">
        <v>109</v>
      </c>
      <c r="J435">
        <v>644829.39</v>
      </c>
      <c r="K435" s="6" t="str">
        <f>+IFERROR(VLOOKUP(I435,'Legal Name'!$A$1:$I$2913,1,0),"N")</f>
        <v>N</v>
      </c>
    </row>
    <row r="436" spans="3:11" x14ac:dyDescent="0.35">
      <c r="C436" t="s">
        <v>437</v>
      </c>
      <c r="D436" t="s">
        <v>72</v>
      </c>
      <c r="E436" t="s">
        <v>69</v>
      </c>
      <c r="F436">
        <v>27580120.25</v>
      </c>
      <c r="G436">
        <v>45385</v>
      </c>
      <c r="H436" t="s">
        <v>73</v>
      </c>
      <c r="I436" t="s">
        <v>109</v>
      </c>
      <c r="J436">
        <v>1084368.79</v>
      </c>
      <c r="K436" s="6" t="str">
        <f>+IFERROR(VLOOKUP(I436,'Legal Name'!$A$1:$I$2913,1,0),"N")</f>
        <v>N</v>
      </c>
    </row>
    <row r="437" spans="3:11" x14ac:dyDescent="0.35">
      <c r="C437" t="s">
        <v>438</v>
      </c>
      <c r="D437" t="s">
        <v>68</v>
      </c>
      <c r="E437" t="s">
        <v>69</v>
      </c>
      <c r="F437">
        <v>3264500.84</v>
      </c>
      <c r="G437">
        <v>45443</v>
      </c>
      <c r="H437" t="s">
        <v>73</v>
      </c>
      <c r="I437" t="s">
        <v>87</v>
      </c>
      <c r="J437">
        <v>283487.81</v>
      </c>
      <c r="K437" s="6" t="str">
        <f>+IFERROR(VLOOKUP(I437,'Legal Name'!$A$1:$I$2913,1,0),"N")</f>
        <v>N</v>
      </c>
    </row>
    <row r="438" spans="3:11" x14ac:dyDescent="0.35">
      <c r="C438" t="s">
        <v>439</v>
      </c>
      <c r="D438" t="s">
        <v>72</v>
      </c>
      <c r="E438" t="s">
        <v>69</v>
      </c>
      <c r="F438">
        <v>27880781.780000001</v>
      </c>
      <c r="G438">
        <v>45404</v>
      </c>
      <c r="H438" t="s">
        <v>73</v>
      </c>
      <c r="I438" t="s">
        <v>109</v>
      </c>
      <c r="J438">
        <v>2478021.9300000002</v>
      </c>
      <c r="K438" s="6" t="str">
        <f>+IFERROR(VLOOKUP(I438,'Legal Name'!$A$1:$I$2913,1,0),"N")</f>
        <v>N</v>
      </c>
    </row>
    <row r="439" spans="3:11" x14ac:dyDescent="0.35">
      <c r="C439" t="s">
        <v>440</v>
      </c>
      <c r="D439" t="s">
        <v>72</v>
      </c>
      <c r="E439" t="s">
        <v>69</v>
      </c>
      <c r="F439">
        <v>27880781.780000001</v>
      </c>
      <c r="G439">
        <v>45404</v>
      </c>
      <c r="H439" t="s">
        <v>73</v>
      </c>
      <c r="I439" t="s">
        <v>109</v>
      </c>
      <c r="J439">
        <v>2485723.7799999998</v>
      </c>
      <c r="K439" s="6" t="str">
        <f>+IFERROR(VLOOKUP(I439,'Legal Name'!$A$1:$I$2913,1,0),"N")</f>
        <v>N</v>
      </c>
    </row>
    <row r="440" spans="3:11" x14ac:dyDescent="0.35">
      <c r="C440" t="s">
        <v>441</v>
      </c>
      <c r="D440" t="s">
        <v>72</v>
      </c>
      <c r="E440" t="s">
        <v>69</v>
      </c>
      <c r="F440">
        <v>27880781.780000001</v>
      </c>
      <c r="G440">
        <v>45404</v>
      </c>
      <c r="H440" t="s">
        <v>73</v>
      </c>
      <c r="I440" t="s">
        <v>109</v>
      </c>
      <c r="J440">
        <v>2493425.4500000002</v>
      </c>
      <c r="K440" s="6" t="str">
        <f>+IFERROR(VLOOKUP(I440,'Legal Name'!$A$1:$I$2913,1,0),"N")</f>
        <v>N</v>
      </c>
    </row>
    <row r="441" spans="3:11" x14ac:dyDescent="0.35">
      <c r="C441" t="s">
        <v>442</v>
      </c>
      <c r="D441" t="s">
        <v>72</v>
      </c>
      <c r="E441" t="s">
        <v>69</v>
      </c>
      <c r="F441">
        <v>55714962.25</v>
      </c>
      <c r="G441">
        <v>45223</v>
      </c>
      <c r="H441" t="s">
        <v>73</v>
      </c>
      <c r="I441" t="s">
        <v>109</v>
      </c>
      <c r="J441">
        <v>14703698.07</v>
      </c>
      <c r="K441" s="6" t="str">
        <f>+IFERROR(VLOOKUP(I441,'Legal Name'!$A$1:$I$2913,1,0),"N")</f>
        <v>N</v>
      </c>
    </row>
    <row r="442" spans="3:11" x14ac:dyDescent="0.35">
      <c r="C442" t="s">
        <v>443</v>
      </c>
      <c r="D442" t="s">
        <v>72</v>
      </c>
      <c r="E442" t="s">
        <v>69</v>
      </c>
      <c r="F442">
        <v>83247773.120000005</v>
      </c>
      <c r="G442">
        <v>45316</v>
      </c>
      <c r="H442" t="s">
        <v>73</v>
      </c>
      <c r="I442" t="s">
        <v>109</v>
      </c>
      <c r="J442">
        <v>6062744.4900000002</v>
      </c>
      <c r="K442" s="6" t="str">
        <f>+IFERROR(VLOOKUP(I442,'Legal Name'!$A$1:$I$2913,1,0),"N")</f>
        <v>N</v>
      </c>
    </row>
    <row r="443" spans="3:11" x14ac:dyDescent="0.35">
      <c r="C443" t="s">
        <v>444</v>
      </c>
      <c r="D443" t="s">
        <v>72</v>
      </c>
      <c r="E443" t="s">
        <v>69</v>
      </c>
      <c r="F443">
        <v>27789356.68</v>
      </c>
      <c r="G443">
        <v>45230</v>
      </c>
      <c r="H443" t="s">
        <v>73</v>
      </c>
      <c r="I443" t="s">
        <v>109</v>
      </c>
      <c r="J443">
        <v>7105030.6299999999</v>
      </c>
      <c r="K443" s="6" t="str">
        <f>+IFERROR(VLOOKUP(I443,'Legal Name'!$A$1:$I$2913,1,0),"N")</f>
        <v>N</v>
      </c>
    </row>
    <row r="444" spans="3:11" x14ac:dyDescent="0.35">
      <c r="C444" t="s">
        <v>445</v>
      </c>
      <c r="D444" t="s">
        <v>72</v>
      </c>
      <c r="E444" t="s">
        <v>69</v>
      </c>
      <c r="F444">
        <v>83090984.629999995</v>
      </c>
      <c r="G444">
        <v>45230</v>
      </c>
      <c r="H444" t="s">
        <v>73</v>
      </c>
      <c r="I444" t="s">
        <v>109</v>
      </c>
      <c r="J444">
        <v>20355982.600000001</v>
      </c>
      <c r="K444" s="6" t="str">
        <f>+IFERROR(VLOOKUP(I444,'Legal Name'!$A$1:$I$2913,1,0),"N")</f>
        <v>N</v>
      </c>
    </row>
    <row r="445" spans="3:11" x14ac:dyDescent="0.35">
      <c r="C445" t="s">
        <v>446</v>
      </c>
      <c r="D445" t="s">
        <v>72</v>
      </c>
      <c r="E445" t="s">
        <v>69</v>
      </c>
      <c r="F445">
        <v>13848497.439999999</v>
      </c>
      <c r="G445">
        <v>45504</v>
      </c>
      <c r="H445" t="s">
        <v>73</v>
      </c>
      <c r="I445" t="s">
        <v>109</v>
      </c>
      <c r="J445">
        <v>1142262.24</v>
      </c>
      <c r="K445" s="6" t="str">
        <f>+IFERROR(VLOOKUP(I445,'Legal Name'!$A$1:$I$2913,1,0),"N")</f>
        <v>N</v>
      </c>
    </row>
    <row r="446" spans="3:11" x14ac:dyDescent="0.35">
      <c r="C446" t="s">
        <v>447</v>
      </c>
      <c r="D446" t="s">
        <v>72</v>
      </c>
      <c r="E446" t="s">
        <v>69</v>
      </c>
      <c r="F446">
        <v>6924248.7199999997</v>
      </c>
      <c r="G446">
        <v>45504</v>
      </c>
      <c r="H446" t="s">
        <v>73</v>
      </c>
      <c r="I446" t="s">
        <v>109</v>
      </c>
      <c r="J446">
        <v>573667.96</v>
      </c>
      <c r="K446" s="6" t="str">
        <f>+IFERROR(VLOOKUP(I446,'Legal Name'!$A$1:$I$2913,1,0),"N")</f>
        <v>N</v>
      </c>
    </row>
    <row r="447" spans="3:11" x14ac:dyDescent="0.35">
      <c r="C447" t="s">
        <v>448</v>
      </c>
      <c r="D447" t="s">
        <v>72</v>
      </c>
      <c r="E447" t="s">
        <v>69</v>
      </c>
      <c r="F447">
        <v>13848497.439999999</v>
      </c>
      <c r="G447">
        <v>45232</v>
      </c>
      <c r="H447" t="s">
        <v>73</v>
      </c>
      <c r="I447" t="s">
        <v>109</v>
      </c>
      <c r="J447">
        <v>2891615.28</v>
      </c>
      <c r="K447" s="6" t="str">
        <f>+IFERROR(VLOOKUP(I447,'Legal Name'!$A$1:$I$2913,1,0),"N")</f>
        <v>N</v>
      </c>
    </row>
    <row r="448" spans="3:11" x14ac:dyDescent="0.35">
      <c r="C448" t="s">
        <v>449</v>
      </c>
      <c r="D448" t="s">
        <v>72</v>
      </c>
      <c r="E448" t="s">
        <v>69</v>
      </c>
      <c r="F448">
        <v>27507289.43</v>
      </c>
      <c r="G448">
        <v>45505</v>
      </c>
      <c r="H448" t="s">
        <v>73</v>
      </c>
      <c r="I448" t="s">
        <v>109</v>
      </c>
      <c r="J448">
        <v>1460095.59</v>
      </c>
      <c r="K448" s="6" t="str">
        <f>+IFERROR(VLOOKUP(I448,'Legal Name'!$A$1:$I$2913,1,0),"N")</f>
        <v>N</v>
      </c>
    </row>
    <row r="449" spans="3:11" x14ac:dyDescent="0.35">
      <c r="C449" t="s">
        <v>450</v>
      </c>
      <c r="D449" t="s">
        <v>72</v>
      </c>
      <c r="E449" t="s">
        <v>69</v>
      </c>
      <c r="F449">
        <v>18347362.050000001</v>
      </c>
      <c r="G449">
        <v>45505</v>
      </c>
      <c r="H449" t="s">
        <v>73</v>
      </c>
      <c r="I449" t="s">
        <v>109</v>
      </c>
      <c r="J449">
        <v>980604.82</v>
      </c>
      <c r="K449" s="6" t="str">
        <f>+IFERROR(VLOOKUP(I449,'Legal Name'!$A$1:$I$2913,1,0),"N")</f>
        <v>N</v>
      </c>
    </row>
    <row r="450" spans="3:11" x14ac:dyDescent="0.35">
      <c r="C450" t="s">
        <v>451</v>
      </c>
      <c r="D450" t="s">
        <v>72</v>
      </c>
      <c r="E450" t="s">
        <v>69</v>
      </c>
      <c r="F450">
        <v>13753644.720000001</v>
      </c>
      <c r="G450">
        <v>45505</v>
      </c>
      <c r="H450" t="s">
        <v>73</v>
      </c>
      <c r="I450" t="s">
        <v>109</v>
      </c>
      <c r="J450">
        <v>730047.84</v>
      </c>
      <c r="K450" s="6" t="str">
        <f>+IFERROR(VLOOKUP(I450,'Legal Name'!$A$1:$I$2913,1,0),"N")</f>
        <v>N</v>
      </c>
    </row>
    <row r="451" spans="3:11" x14ac:dyDescent="0.35">
      <c r="C451" t="s">
        <v>452</v>
      </c>
      <c r="D451" t="s">
        <v>72</v>
      </c>
      <c r="E451" t="s">
        <v>69</v>
      </c>
      <c r="F451">
        <v>13753644.720000001</v>
      </c>
      <c r="G451">
        <v>45505</v>
      </c>
      <c r="H451" t="s">
        <v>73</v>
      </c>
      <c r="I451" t="s">
        <v>109</v>
      </c>
      <c r="J451">
        <v>735086.11</v>
      </c>
      <c r="K451" s="6" t="str">
        <f>+IFERROR(VLOOKUP(I451,'Legal Name'!$A$1:$I$2913,1,0),"N")</f>
        <v>N</v>
      </c>
    </row>
    <row r="452" spans="3:11" x14ac:dyDescent="0.35">
      <c r="C452" t="s">
        <v>453</v>
      </c>
      <c r="D452" t="s">
        <v>72</v>
      </c>
      <c r="E452" t="s">
        <v>69</v>
      </c>
      <c r="F452">
        <v>13753644.720000001</v>
      </c>
      <c r="G452">
        <v>45505</v>
      </c>
      <c r="H452" t="s">
        <v>73</v>
      </c>
      <c r="I452" t="s">
        <v>109</v>
      </c>
      <c r="J452">
        <v>740124.34</v>
      </c>
      <c r="K452" s="6" t="str">
        <f>+IFERROR(VLOOKUP(I452,'Legal Name'!$A$1:$I$2913,1,0),"N")</f>
        <v>N</v>
      </c>
    </row>
    <row r="453" spans="3:11" x14ac:dyDescent="0.35">
      <c r="C453" t="s">
        <v>454</v>
      </c>
      <c r="D453" t="s">
        <v>72</v>
      </c>
      <c r="E453" t="s">
        <v>69</v>
      </c>
      <c r="F453">
        <v>27032871.969999999</v>
      </c>
      <c r="G453">
        <v>45506</v>
      </c>
      <c r="H453" t="s">
        <v>73</v>
      </c>
      <c r="I453" t="s">
        <v>109</v>
      </c>
      <c r="J453">
        <v>-385044.27</v>
      </c>
      <c r="K453" s="6" t="str">
        <f>+IFERROR(VLOOKUP(I453,'Legal Name'!$A$1:$I$2913,1,0),"N")</f>
        <v>N</v>
      </c>
    </row>
    <row r="454" spans="3:11" x14ac:dyDescent="0.35">
      <c r="C454" t="s">
        <v>455</v>
      </c>
      <c r="D454" t="s">
        <v>72</v>
      </c>
      <c r="E454" t="s">
        <v>69</v>
      </c>
      <c r="F454">
        <v>22977941.18</v>
      </c>
      <c r="G454">
        <v>45506</v>
      </c>
      <c r="H454" t="s">
        <v>73</v>
      </c>
      <c r="I454" t="s">
        <v>109</v>
      </c>
      <c r="J454">
        <v>-318895.62</v>
      </c>
      <c r="K454" s="6" t="str">
        <f>+IFERROR(VLOOKUP(I454,'Legal Name'!$A$1:$I$2913,1,0),"N")</f>
        <v>N</v>
      </c>
    </row>
    <row r="455" spans="3:11" x14ac:dyDescent="0.35">
      <c r="C455" t="s">
        <v>456</v>
      </c>
      <c r="D455" t="s">
        <v>72</v>
      </c>
      <c r="E455" t="s">
        <v>69</v>
      </c>
      <c r="F455">
        <v>17138840.829999998</v>
      </c>
      <c r="G455">
        <v>45233</v>
      </c>
      <c r="H455" t="s">
        <v>73</v>
      </c>
      <c r="I455" t="s">
        <v>109</v>
      </c>
      <c r="J455">
        <v>2031195.36</v>
      </c>
      <c r="K455" s="6" t="str">
        <f>+IFERROR(VLOOKUP(I455,'Legal Name'!$A$1:$I$2913,1,0),"N")</f>
        <v>N</v>
      </c>
    </row>
    <row r="456" spans="3:11" x14ac:dyDescent="0.35">
      <c r="C456" t="s">
        <v>457</v>
      </c>
      <c r="D456" t="s">
        <v>72</v>
      </c>
      <c r="E456" t="s">
        <v>69</v>
      </c>
      <c r="F456">
        <v>27076056.640000001</v>
      </c>
      <c r="G456">
        <v>45236</v>
      </c>
      <c r="H456" t="s">
        <v>73</v>
      </c>
      <c r="I456" t="s">
        <v>109</v>
      </c>
      <c r="J456">
        <v>3384147.55</v>
      </c>
      <c r="K456" s="6" t="str">
        <f>+IFERROR(VLOOKUP(I456,'Legal Name'!$A$1:$I$2913,1,0),"N")</f>
        <v>N</v>
      </c>
    </row>
    <row r="457" spans="3:11" x14ac:dyDescent="0.35">
      <c r="C457" t="s">
        <v>458</v>
      </c>
      <c r="D457" t="s">
        <v>72</v>
      </c>
      <c r="E457" t="s">
        <v>69</v>
      </c>
      <c r="F457">
        <v>27076056.640000001</v>
      </c>
      <c r="G457">
        <v>45236</v>
      </c>
      <c r="H457" t="s">
        <v>73</v>
      </c>
      <c r="I457" t="s">
        <v>109</v>
      </c>
      <c r="J457">
        <v>3405018.02</v>
      </c>
      <c r="K457" s="6" t="str">
        <f>+IFERROR(VLOOKUP(I457,'Legal Name'!$A$1:$I$2913,1,0),"N")</f>
        <v>N</v>
      </c>
    </row>
    <row r="458" spans="3:11" x14ac:dyDescent="0.35">
      <c r="C458" t="s">
        <v>459</v>
      </c>
      <c r="D458" t="s">
        <v>72</v>
      </c>
      <c r="E458" t="s">
        <v>69</v>
      </c>
      <c r="F458">
        <v>27076056.640000001</v>
      </c>
      <c r="G458">
        <v>45236</v>
      </c>
      <c r="H458" t="s">
        <v>73</v>
      </c>
      <c r="I458" t="s">
        <v>109</v>
      </c>
      <c r="J458">
        <v>3355431.52</v>
      </c>
      <c r="K458" s="6" t="str">
        <f>+IFERROR(VLOOKUP(I458,'Legal Name'!$A$1:$I$2913,1,0),"N")</f>
        <v>N</v>
      </c>
    </row>
    <row r="459" spans="3:11" x14ac:dyDescent="0.35">
      <c r="C459" t="s">
        <v>460</v>
      </c>
      <c r="D459" t="s">
        <v>72</v>
      </c>
      <c r="E459" t="s">
        <v>69</v>
      </c>
      <c r="F459">
        <v>21660845.309999999</v>
      </c>
      <c r="G459">
        <v>45236</v>
      </c>
      <c r="H459" t="s">
        <v>73</v>
      </c>
      <c r="I459" t="s">
        <v>109</v>
      </c>
      <c r="J459">
        <v>2686434.37</v>
      </c>
      <c r="K459" s="6" t="str">
        <f>+IFERROR(VLOOKUP(I459,'Legal Name'!$A$1:$I$2913,1,0),"N")</f>
        <v>N</v>
      </c>
    </row>
    <row r="460" spans="3:11" x14ac:dyDescent="0.35">
      <c r="C460" t="s">
        <v>461</v>
      </c>
      <c r="D460" t="s">
        <v>72</v>
      </c>
      <c r="E460" t="s">
        <v>69</v>
      </c>
      <c r="F460">
        <v>76164947.340000004</v>
      </c>
      <c r="G460">
        <v>45509</v>
      </c>
      <c r="H460" t="s">
        <v>73</v>
      </c>
      <c r="I460" t="s">
        <v>109</v>
      </c>
      <c r="J460">
        <v>-711886.23</v>
      </c>
      <c r="K460" s="6" t="str">
        <f>+IFERROR(VLOOKUP(I460,'Legal Name'!$A$1:$I$2913,1,0),"N")</f>
        <v>N</v>
      </c>
    </row>
    <row r="461" spans="3:11" x14ac:dyDescent="0.35">
      <c r="C461" t="s">
        <v>462</v>
      </c>
      <c r="D461" t="s">
        <v>72</v>
      </c>
      <c r="E461" t="s">
        <v>69</v>
      </c>
      <c r="F461">
        <v>27079722.699999999</v>
      </c>
      <c r="G461">
        <v>45237</v>
      </c>
      <c r="H461" t="s">
        <v>73</v>
      </c>
      <c r="I461" t="s">
        <v>109</v>
      </c>
      <c r="J461">
        <v>3411801.23</v>
      </c>
      <c r="K461" s="6" t="str">
        <f>+IFERROR(VLOOKUP(I461,'Legal Name'!$A$1:$I$2913,1,0),"N")</f>
        <v>N</v>
      </c>
    </row>
    <row r="462" spans="3:11" x14ac:dyDescent="0.35">
      <c r="C462" t="s">
        <v>463</v>
      </c>
      <c r="D462" t="s">
        <v>72</v>
      </c>
      <c r="E462" t="s">
        <v>69</v>
      </c>
      <c r="F462">
        <v>27079722.699999999</v>
      </c>
      <c r="G462">
        <v>45237</v>
      </c>
      <c r="H462" t="s">
        <v>73</v>
      </c>
      <c r="I462" t="s">
        <v>109</v>
      </c>
      <c r="J462">
        <v>3409247.73</v>
      </c>
      <c r="K462" s="6" t="str">
        <f>+IFERROR(VLOOKUP(I462,'Legal Name'!$A$1:$I$2913,1,0),"N")</f>
        <v>N</v>
      </c>
    </row>
    <row r="463" spans="3:11" x14ac:dyDescent="0.35">
      <c r="C463" t="s">
        <v>464</v>
      </c>
      <c r="D463" t="s">
        <v>72</v>
      </c>
      <c r="E463" t="s">
        <v>69</v>
      </c>
      <c r="F463">
        <v>27079722.699999999</v>
      </c>
      <c r="G463">
        <v>45237</v>
      </c>
      <c r="H463" t="s">
        <v>73</v>
      </c>
      <c r="I463" t="s">
        <v>109</v>
      </c>
      <c r="J463">
        <v>3411801.23</v>
      </c>
      <c r="K463" s="6" t="str">
        <f>+IFERROR(VLOOKUP(I463,'Legal Name'!$A$1:$I$2913,1,0),"N")</f>
        <v>N</v>
      </c>
    </row>
    <row r="464" spans="3:11" x14ac:dyDescent="0.35">
      <c r="C464" t="s">
        <v>465</v>
      </c>
      <c r="D464" t="s">
        <v>72</v>
      </c>
      <c r="E464" t="s">
        <v>69</v>
      </c>
      <c r="F464">
        <v>8800909.8800000008</v>
      </c>
      <c r="G464">
        <v>45237</v>
      </c>
      <c r="H464" t="s">
        <v>73</v>
      </c>
      <c r="I464" t="s">
        <v>109</v>
      </c>
      <c r="J464">
        <v>1113813.57</v>
      </c>
      <c r="K464" s="6" t="str">
        <f>+IFERROR(VLOOKUP(I464,'Legal Name'!$A$1:$I$2913,1,0),"N")</f>
        <v>N</v>
      </c>
    </row>
    <row r="465" spans="3:11" x14ac:dyDescent="0.35">
      <c r="C465" t="s">
        <v>466</v>
      </c>
      <c r="D465" t="s">
        <v>72</v>
      </c>
      <c r="E465" t="s">
        <v>69</v>
      </c>
      <c r="F465">
        <v>80866893.090000004</v>
      </c>
      <c r="G465">
        <v>45512</v>
      </c>
      <c r="H465" t="s">
        <v>73</v>
      </c>
      <c r="I465" t="s">
        <v>109</v>
      </c>
      <c r="J465">
        <v>-2013296.52</v>
      </c>
      <c r="K465" s="6" t="str">
        <f>+IFERROR(VLOOKUP(I465,'Legal Name'!$A$1:$I$2913,1,0),"N")</f>
        <v>N</v>
      </c>
    </row>
    <row r="466" spans="3:11" x14ac:dyDescent="0.35">
      <c r="C466" t="s">
        <v>467</v>
      </c>
      <c r="D466" t="s">
        <v>72</v>
      </c>
      <c r="E466" t="s">
        <v>69</v>
      </c>
      <c r="F466">
        <v>54291763.939999998</v>
      </c>
      <c r="G466">
        <v>45516</v>
      </c>
      <c r="H466" t="s">
        <v>73</v>
      </c>
      <c r="I466" t="s">
        <v>109</v>
      </c>
      <c r="J466">
        <v>142251.97</v>
      </c>
      <c r="K466" s="6" t="str">
        <f>+IFERROR(VLOOKUP(I466,'Legal Name'!$A$1:$I$2913,1,0),"N")</f>
        <v>N</v>
      </c>
    </row>
    <row r="467" spans="3:11" x14ac:dyDescent="0.35">
      <c r="C467" t="s">
        <v>468</v>
      </c>
      <c r="D467" t="s">
        <v>72</v>
      </c>
      <c r="E467" t="s">
        <v>69</v>
      </c>
      <c r="F467">
        <v>5429176.3899999997</v>
      </c>
      <c r="G467">
        <v>45516</v>
      </c>
      <c r="H467" t="s">
        <v>73</v>
      </c>
      <c r="I467" t="s">
        <v>109</v>
      </c>
      <c r="J467">
        <v>16216.99</v>
      </c>
      <c r="K467" s="6" t="str">
        <f>+IFERROR(VLOOKUP(I467,'Legal Name'!$A$1:$I$2913,1,0),"N")</f>
        <v>N</v>
      </c>
    </row>
    <row r="468" spans="3:11" x14ac:dyDescent="0.35">
      <c r="C468" t="s">
        <v>469</v>
      </c>
      <c r="D468" t="s">
        <v>72</v>
      </c>
      <c r="E468" t="s">
        <v>69</v>
      </c>
      <c r="F468">
        <v>42245946.159999996</v>
      </c>
      <c r="G468">
        <v>45519</v>
      </c>
      <c r="H468" t="s">
        <v>73</v>
      </c>
      <c r="I468" t="s">
        <v>109</v>
      </c>
      <c r="J468">
        <v>-1281343.3799999999</v>
      </c>
      <c r="K468" s="6" t="str">
        <f>+IFERROR(VLOOKUP(I468,'Legal Name'!$A$1:$I$2913,1,0),"N")</f>
        <v>N</v>
      </c>
    </row>
    <row r="469" spans="3:11" x14ac:dyDescent="0.35">
      <c r="C469" t="s">
        <v>470</v>
      </c>
      <c r="D469" t="s">
        <v>72</v>
      </c>
      <c r="E469" t="s">
        <v>69</v>
      </c>
      <c r="F469">
        <v>26826912.760000002</v>
      </c>
      <c r="G469">
        <v>45520</v>
      </c>
      <c r="H469" t="s">
        <v>73</v>
      </c>
      <c r="I469" t="s">
        <v>109</v>
      </c>
      <c r="J469">
        <v>-1064107.3700000001</v>
      </c>
      <c r="K469" s="6" t="str">
        <f>+IFERROR(VLOOKUP(I469,'Legal Name'!$A$1:$I$2913,1,0),"N")</f>
        <v>N</v>
      </c>
    </row>
    <row r="470" spans="3:11" x14ac:dyDescent="0.35">
      <c r="C470" t="s">
        <v>471</v>
      </c>
      <c r="D470" t="s">
        <v>72</v>
      </c>
      <c r="E470" t="s">
        <v>69</v>
      </c>
      <c r="F470">
        <v>14191436.85</v>
      </c>
      <c r="G470">
        <v>45520</v>
      </c>
      <c r="H470" t="s">
        <v>73</v>
      </c>
      <c r="I470" t="s">
        <v>109</v>
      </c>
      <c r="J470">
        <v>-557738.72</v>
      </c>
      <c r="K470" s="6" t="str">
        <f>+IFERROR(VLOOKUP(I470,'Legal Name'!$A$1:$I$2913,1,0),"N")</f>
        <v>N</v>
      </c>
    </row>
    <row r="471" spans="3:11" x14ac:dyDescent="0.35">
      <c r="C471" t="s">
        <v>472</v>
      </c>
      <c r="D471" t="s">
        <v>72</v>
      </c>
      <c r="E471" t="s">
        <v>69</v>
      </c>
      <c r="F471">
        <v>26883165.760000002</v>
      </c>
      <c r="G471">
        <v>45343</v>
      </c>
      <c r="H471" t="s">
        <v>73</v>
      </c>
      <c r="I471" t="s">
        <v>109</v>
      </c>
      <c r="J471">
        <v>-1080518.95</v>
      </c>
      <c r="K471" s="6" t="str">
        <f>+IFERROR(VLOOKUP(I471,'Legal Name'!$A$1:$I$2913,1,0),"N")</f>
        <v>N</v>
      </c>
    </row>
    <row r="472" spans="3:11" x14ac:dyDescent="0.35">
      <c r="C472" t="s">
        <v>473</v>
      </c>
      <c r="D472" t="s">
        <v>72</v>
      </c>
      <c r="E472" t="s">
        <v>69</v>
      </c>
      <c r="F472">
        <v>10753266.300000001</v>
      </c>
      <c r="G472">
        <v>45343</v>
      </c>
      <c r="H472" t="s">
        <v>73</v>
      </c>
      <c r="I472" t="s">
        <v>109</v>
      </c>
      <c r="J472">
        <v>-430236.73</v>
      </c>
      <c r="K472" s="6" t="str">
        <f>+IFERROR(VLOOKUP(I472,'Legal Name'!$A$1:$I$2913,1,0),"N")</f>
        <v>N</v>
      </c>
    </row>
    <row r="473" spans="3:11" x14ac:dyDescent="0.35">
      <c r="C473" t="s">
        <v>474</v>
      </c>
      <c r="D473" t="s">
        <v>72</v>
      </c>
      <c r="E473" t="s">
        <v>69</v>
      </c>
      <c r="F473">
        <v>18956319.219999999</v>
      </c>
      <c r="G473">
        <v>45348</v>
      </c>
      <c r="H473" t="s">
        <v>73</v>
      </c>
      <c r="I473" t="s">
        <v>109</v>
      </c>
      <c r="J473">
        <v>-183454.82</v>
      </c>
      <c r="K473" s="6" t="str">
        <f>+IFERROR(VLOOKUP(I473,'Legal Name'!$A$1:$I$2913,1,0),"N")</f>
        <v>N</v>
      </c>
    </row>
    <row r="474" spans="3:11" x14ac:dyDescent="0.35">
      <c r="C474" t="s">
        <v>475</v>
      </c>
      <c r="D474" t="s">
        <v>72</v>
      </c>
      <c r="E474" t="s">
        <v>69</v>
      </c>
      <c r="F474">
        <v>54182921.539999999</v>
      </c>
      <c r="G474">
        <v>45261</v>
      </c>
      <c r="H474" t="s">
        <v>73</v>
      </c>
      <c r="I474" t="s">
        <v>109</v>
      </c>
      <c r="J474">
        <v>1384235.04</v>
      </c>
      <c r="K474" s="6" t="str">
        <f>+IFERROR(VLOOKUP(I474,'Legal Name'!$A$1:$I$2913,1,0),"N")</f>
        <v>N</v>
      </c>
    </row>
    <row r="475" spans="3:11" x14ac:dyDescent="0.35">
      <c r="C475" t="s">
        <v>476</v>
      </c>
      <c r="D475" t="s">
        <v>72</v>
      </c>
      <c r="E475" t="s">
        <v>69</v>
      </c>
      <c r="F475">
        <v>5418292.1500000004</v>
      </c>
      <c r="G475">
        <v>45538</v>
      </c>
      <c r="H475" t="s">
        <v>73</v>
      </c>
      <c r="I475" t="s">
        <v>109</v>
      </c>
      <c r="J475">
        <v>62554.86</v>
      </c>
      <c r="K475" s="6" t="str">
        <f>+IFERROR(VLOOKUP(I475,'Legal Name'!$A$1:$I$2913,1,0),"N")</f>
        <v>N</v>
      </c>
    </row>
    <row r="476" spans="3:11" x14ac:dyDescent="0.35">
      <c r="C476" t="s">
        <v>477</v>
      </c>
      <c r="D476" t="s">
        <v>72</v>
      </c>
      <c r="E476" t="s">
        <v>69</v>
      </c>
      <c r="F476">
        <v>43163914.969999999</v>
      </c>
      <c r="G476">
        <v>45265</v>
      </c>
      <c r="H476" t="s">
        <v>73</v>
      </c>
      <c r="I476" t="s">
        <v>109</v>
      </c>
      <c r="J476">
        <v>408952.21</v>
      </c>
      <c r="K476" s="6" t="str">
        <f>+IFERROR(VLOOKUP(I476,'Legal Name'!$A$1:$I$2913,1,0),"N")</f>
        <v>N</v>
      </c>
    </row>
    <row r="477" spans="3:11" x14ac:dyDescent="0.35">
      <c r="C477" t="s">
        <v>478</v>
      </c>
      <c r="D477" t="s">
        <v>72</v>
      </c>
      <c r="E477" t="s">
        <v>69</v>
      </c>
      <c r="F477">
        <v>43179058.159999996</v>
      </c>
      <c r="G477">
        <v>45266</v>
      </c>
      <c r="H477" t="s">
        <v>73</v>
      </c>
      <c r="I477" t="s">
        <v>109</v>
      </c>
      <c r="J477">
        <v>470125.49</v>
      </c>
      <c r="K477" s="6" t="str">
        <f>+IFERROR(VLOOKUP(I477,'Legal Name'!$A$1:$I$2913,1,0),"N")</f>
        <v>N</v>
      </c>
    </row>
    <row r="478" spans="3:11" x14ac:dyDescent="0.35">
      <c r="C478" t="s">
        <v>479</v>
      </c>
      <c r="D478" t="s">
        <v>72</v>
      </c>
      <c r="E478" t="s">
        <v>69</v>
      </c>
      <c r="F478">
        <v>53973822.700000003</v>
      </c>
      <c r="G478">
        <v>45266</v>
      </c>
      <c r="H478" t="s">
        <v>73</v>
      </c>
      <c r="I478" t="s">
        <v>109</v>
      </c>
      <c r="J478">
        <v>587656.81000000006</v>
      </c>
      <c r="K478" s="6" t="str">
        <f>+IFERROR(VLOOKUP(I478,'Legal Name'!$A$1:$I$2913,1,0),"N")</f>
        <v>N</v>
      </c>
    </row>
    <row r="479" spans="3:11" x14ac:dyDescent="0.35">
      <c r="C479" t="s">
        <v>480</v>
      </c>
      <c r="D479" t="s">
        <v>72</v>
      </c>
      <c r="E479" t="s">
        <v>69</v>
      </c>
      <c r="F479">
        <v>161921.47</v>
      </c>
      <c r="G479">
        <v>45266</v>
      </c>
      <c r="H479" t="s">
        <v>73</v>
      </c>
      <c r="I479" t="s">
        <v>109</v>
      </c>
      <c r="J479">
        <v>1895.22</v>
      </c>
      <c r="K479" s="6" t="str">
        <f>+IFERROR(VLOOKUP(I479,'Legal Name'!$A$1:$I$2913,1,0),"N")</f>
        <v>N</v>
      </c>
    </row>
    <row r="480" spans="3:11" x14ac:dyDescent="0.35">
      <c r="C480" t="s">
        <v>481</v>
      </c>
      <c r="D480" t="s">
        <v>72</v>
      </c>
      <c r="E480" t="s">
        <v>69</v>
      </c>
      <c r="F480">
        <v>13462936.539999999</v>
      </c>
      <c r="G480">
        <v>45541</v>
      </c>
      <c r="H480" t="s">
        <v>73</v>
      </c>
      <c r="I480" t="s">
        <v>109</v>
      </c>
      <c r="J480">
        <v>-88553.23</v>
      </c>
      <c r="K480" s="6" t="str">
        <f>+IFERROR(VLOOKUP(I480,'Legal Name'!$A$1:$I$2913,1,0),"N")</f>
        <v>N</v>
      </c>
    </row>
    <row r="481" spans="3:11" x14ac:dyDescent="0.35">
      <c r="C481" t="s">
        <v>482</v>
      </c>
      <c r="D481" t="s">
        <v>72</v>
      </c>
      <c r="E481" t="s">
        <v>69</v>
      </c>
      <c r="F481">
        <v>13433276.91</v>
      </c>
      <c r="G481">
        <v>45551</v>
      </c>
      <c r="H481" t="s">
        <v>73</v>
      </c>
      <c r="I481" t="s">
        <v>109</v>
      </c>
      <c r="J481">
        <v>-171538.8</v>
      </c>
      <c r="K481" s="6" t="str">
        <f>+IFERROR(VLOOKUP(I481,'Legal Name'!$A$1:$I$2913,1,0),"N")</f>
        <v>N</v>
      </c>
    </row>
    <row r="482" spans="3:11" x14ac:dyDescent="0.35">
      <c r="C482" t="s">
        <v>483</v>
      </c>
      <c r="D482" t="s">
        <v>72</v>
      </c>
      <c r="E482" t="s">
        <v>69</v>
      </c>
      <c r="F482">
        <v>53889472.689999998</v>
      </c>
      <c r="G482">
        <v>45365</v>
      </c>
      <c r="H482" t="s">
        <v>73</v>
      </c>
      <c r="I482" t="s">
        <v>109</v>
      </c>
      <c r="J482">
        <v>-1355392.75</v>
      </c>
      <c r="K482" s="6" t="str">
        <f>+IFERROR(VLOOKUP(I482,'Legal Name'!$A$1:$I$2913,1,0),"N")</f>
        <v>N</v>
      </c>
    </row>
    <row r="483" spans="3:11" x14ac:dyDescent="0.35">
      <c r="C483" t="s">
        <v>484</v>
      </c>
      <c r="D483" t="s">
        <v>72</v>
      </c>
      <c r="E483" t="s">
        <v>69</v>
      </c>
      <c r="F483">
        <v>53821313.240000002</v>
      </c>
      <c r="G483">
        <v>45555</v>
      </c>
      <c r="H483" t="s">
        <v>73</v>
      </c>
      <c r="I483" t="s">
        <v>109</v>
      </c>
      <c r="J483">
        <v>-487765.14</v>
      </c>
      <c r="K483" s="6" t="str">
        <f>+IFERROR(VLOOKUP(I483,'Legal Name'!$A$1:$I$2913,1,0),"N")</f>
        <v>N</v>
      </c>
    </row>
    <row r="484" spans="3:11" x14ac:dyDescent="0.35">
      <c r="C484" t="s">
        <v>485</v>
      </c>
      <c r="D484" t="s">
        <v>72</v>
      </c>
      <c r="E484" t="s">
        <v>69</v>
      </c>
      <c r="F484">
        <v>17384412.149999999</v>
      </c>
      <c r="G484">
        <v>45561</v>
      </c>
      <c r="H484" t="s">
        <v>73</v>
      </c>
      <c r="I484" t="s">
        <v>109</v>
      </c>
      <c r="J484">
        <v>-1191388.8799999999</v>
      </c>
      <c r="K484" s="6" t="str">
        <f>+IFERROR(VLOOKUP(I484,'Legal Name'!$A$1:$I$2913,1,0),"N")</f>
        <v>N</v>
      </c>
    </row>
    <row r="485" spans="3:11" x14ac:dyDescent="0.35">
      <c r="C485" t="s">
        <v>486</v>
      </c>
      <c r="D485" t="s">
        <v>72</v>
      </c>
      <c r="E485" t="s">
        <v>69</v>
      </c>
      <c r="F485">
        <v>2632964.7200000002</v>
      </c>
      <c r="G485">
        <v>45562</v>
      </c>
      <c r="H485" t="s">
        <v>73</v>
      </c>
      <c r="I485" t="s">
        <v>109</v>
      </c>
      <c r="J485">
        <v>-241088.18</v>
      </c>
      <c r="K485" s="6" t="str">
        <f>+IFERROR(VLOOKUP(I485,'Legal Name'!$A$1:$I$2913,1,0),"N")</f>
        <v>N</v>
      </c>
    </row>
    <row r="486" spans="3:11" x14ac:dyDescent="0.35">
      <c r="C486" t="s">
        <v>487</v>
      </c>
      <c r="D486" t="s">
        <v>72</v>
      </c>
      <c r="E486" t="s">
        <v>69</v>
      </c>
      <c r="F486">
        <v>19773787.870000001</v>
      </c>
      <c r="G486">
        <v>45565</v>
      </c>
      <c r="H486" t="s">
        <v>73</v>
      </c>
      <c r="I486" t="s">
        <v>109</v>
      </c>
      <c r="J486">
        <v>-1451011.53</v>
      </c>
      <c r="K486" s="6" t="str">
        <f>+IFERROR(VLOOKUP(I486,'Legal Name'!$A$1:$I$2913,1,0),"N")</f>
        <v>N</v>
      </c>
    </row>
    <row r="487" spans="3:11" x14ac:dyDescent="0.35">
      <c r="C487" t="s">
        <v>488</v>
      </c>
      <c r="D487" t="s">
        <v>72</v>
      </c>
      <c r="E487" t="s">
        <v>69</v>
      </c>
      <c r="F487">
        <v>19773787.870000001</v>
      </c>
      <c r="G487">
        <v>45565</v>
      </c>
      <c r="H487" t="s">
        <v>73</v>
      </c>
      <c r="I487" t="s">
        <v>109</v>
      </c>
      <c r="J487">
        <v>-1638543.05</v>
      </c>
      <c r="K487" s="6" t="str">
        <f>+IFERROR(VLOOKUP(I487,'Legal Name'!$A$1:$I$2913,1,0),"N")</f>
        <v>N</v>
      </c>
    </row>
    <row r="488" spans="3:11" x14ac:dyDescent="0.35">
      <c r="C488" t="s">
        <v>489</v>
      </c>
      <c r="D488" t="s">
        <v>72</v>
      </c>
      <c r="E488" t="s">
        <v>69</v>
      </c>
      <c r="F488">
        <v>34801866.649999999</v>
      </c>
      <c r="G488">
        <v>45565</v>
      </c>
      <c r="H488" t="s">
        <v>73</v>
      </c>
      <c r="I488" t="s">
        <v>109</v>
      </c>
      <c r="J488">
        <v>-2883835.74</v>
      </c>
      <c r="K488" s="6" t="str">
        <f>+IFERROR(VLOOKUP(I488,'Legal Name'!$A$1:$I$2913,1,0),"N")</f>
        <v>N</v>
      </c>
    </row>
    <row r="489" spans="3:11" x14ac:dyDescent="0.35">
      <c r="C489" t="s">
        <v>490</v>
      </c>
      <c r="D489" t="s">
        <v>72</v>
      </c>
      <c r="E489" t="s">
        <v>69</v>
      </c>
      <c r="F489">
        <v>26310942.719999999</v>
      </c>
      <c r="G489">
        <v>45567</v>
      </c>
      <c r="H489" t="s">
        <v>73</v>
      </c>
      <c r="I489" t="s">
        <v>109</v>
      </c>
      <c r="J489">
        <v>-2305366.67</v>
      </c>
      <c r="K489" s="6" t="str">
        <f>+IFERROR(VLOOKUP(I489,'Legal Name'!$A$1:$I$2913,1,0),"N")</f>
        <v>N</v>
      </c>
    </row>
    <row r="490" spans="3:11" x14ac:dyDescent="0.35">
      <c r="C490" t="s">
        <v>491</v>
      </c>
      <c r="D490" t="s">
        <v>72</v>
      </c>
      <c r="E490" t="s">
        <v>69</v>
      </c>
      <c r="F490">
        <v>26310942.719999999</v>
      </c>
      <c r="G490">
        <v>45567</v>
      </c>
      <c r="H490" t="s">
        <v>73</v>
      </c>
      <c r="I490" t="s">
        <v>109</v>
      </c>
      <c r="J490">
        <v>-2286232.02</v>
      </c>
      <c r="K490" s="6" t="str">
        <f>+IFERROR(VLOOKUP(I490,'Legal Name'!$A$1:$I$2913,1,0),"N")</f>
        <v>N</v>
      </c>
    </row>
    <row r="491" spans="3:11" x14ac:dyDescent="0.35">
      <c r="C491" t="s">
        <v>492</v>
      </c>
      <c r="D491" t="s">
        <v>72</v>
      </c>
      <c r="E491" t="s">
        <v>69</v>
      </c>
      <c r="F491">
        <v>13098949.460000001</v>
      </c>
      <c r="G491">
        <v>45569</v>
      </c>
      <c r="H491" t="s">
        <v>73</v>
      </c>
      <c r="I491" t="s">
        <v>109</v>
      </c>
      <c r="J491">
        <v>-1331912.92</v>
      </c>
      <c r="K491" s="6" t="str">
        <f>+IFERROR(VLOOKUP(I491,'Legal Name'!$A$1:$I$2913,1,0),"N")</f>
        <v>N</v>
      </c>
    </row>
    <row r="492" spans="3:11" x14ac:dyDescent="0.35">
      <c r="C492" t="s">
        <v>493</v>
      </c>
      <c r="D492" t="s">
        <v>72</v>
      </c>
      <c r="E492" t="s">
        <v>69</v>
      </c>
      <c r="F492">
        <v>19648424.199999999</v>
      </c>
      <c r="G492">
        <v>45569</v>
      </c>
      <c r="H492" t="s">
        <v>73</v>
      </c>
      <c r="I492" t="s">
        <v>109</v>
      </c>
      <c r="J492">
        <v>-1969297.02</v>
      </c>
      <c r="K492" s="6" t="str">
        <f>+IFERROR(VLOOKUP(I492,'Legal Name'!$A$1:$I$2913,1,0),"N")</f>
        <v>N</v>
      </c>
    </row>
    <row r="493" spans="3:11" x14ac:dyDescent="0.35">
      <c r="C493" t="s">
        <v>494</v>
      </c>
      <c r="D493" t="s">
        <v>68</v>
      </c>
      <c r="E493" t="s">
        <v>69</v>
      </c>
      <c r="F493">
        <v>46052631.579999998</v>
      </c>
      <c r="G493">
        <v>45567</v>
      </c>
      <c r="H493" t="s">
        <v>73</v>
      </c>
      <c r="I493" t="s">
        <v>527</v>
      </c>
      <c r="J493">
        <v>5197314.83</v>
      </c>
      <c r="K493" s="6" t="str">
        <f>+IFERROR(VLOOKUP(I493,'Legal Name'!$A$1:$I$2913,1,0),"N")</f>
        <v>N</v>
      </c>
    </row>
    <row r="494" spans="3:11" x14ac:dyDescent="0.35">
      <c r="C494" t="s">
        <v>495</v>
      </c>
      <c r="D494" t="s">
        <v>68</v>
      </c>
      <c r="E494" t="s">
        <v>69</v>
      </c>
      <c r="F494">
        <v>6337189.7400000002</v>
      </c>
      <c r="G494">
        <v>45565</v>
      </c>
      <c r="H494" t="s">
        <v>73</v>
      </c>
      <c r="I494" t="s">
        <v>87</v>
      </c>
      <c r="J494">
        <v>918592.1</v>
      </c>
      <c r="K494" s="6" t="str">
        <f>+IFERROR(VLOOKUP(I494,'Legal Name'!$A$1:$I$2913,1,0),"N")</f>
        <v>N</v>
      </c>
    </row>
    <row r="495" spans="3:11" x14ac:dyDescent="0.35">
      <c r="C495" t="s">
        <v>496</v>
      </c>
      <c r="D495" t="s">
        <v>72</v>
      </c>
      <c r="E495" t="s">
        <v>69</v>
      </c>
      <c r="F495">
        <v>5965095.0800000001</v>
      </c>
      <c r="G495">
        <v>45574</v>
      </c>
      <c r="H495" t="s">
        <v>73</v>
      </c>
      <c r="I495" t="s">
        <v>109</v>
      </c>
      <c r="J495">
        <v>-716803.32</v>
      </c>
      <c r="K495" s="6" t="str">
        <f>+IFERROR(VLOOKUP(I495,'Legal Name'!$A$1:$I$2913,1,0),"N")</f>
        <v>N</v>
      </c>
    </row>
    <row r="496" spans="3:11" x14ac:dyDescent="0.35">
      <c r="C496" t="s">
        <v>497</v>
      </c>
      <c r="D496" t="s">
        <v>72</v>
      </c>
      <c r="E496" t="s">
        <v>69</v>
      </c>
      <c r="F496">
        <v>6512112.5300000003</v>
      </c>
      <c r="G496">
        <v>45574</v>
      </c>
      <c r="H496" t="s">
        <v>73</v>
      </c>
      <c r="I496" t="s">
        <v>109</v>
      </c>
      <c r="J496">
        <v>-784902.45</v>
      </c>
      <c r="K496" s="6" t="str">
        <f>+IFERROR(VLOOKUP(I496,'Legal Name'!$A$1:$I$2913,1,0),"N")</f>
        <v>N</v>
      </c>
    </row>
    <row r="497" spans="3:11" x14ac:dyDescent="0.35">
      <c r="C497" t="s">
        <v>498</v>
      </c>
      <c r="D497" t="s">
        <v>72</v>
      </c>
      <c r="E497" t="s">
        <v>69</v>
      </c>
      <c r="F497">
        <v>26155415.48</v>
      </c>
      <c r="G497">
        <v>45575</v>
      </c>
      <c r="H497" t="s">
        <v>73</v>
      </c>
      <c r="I497" t="s">
        <v>109</v>
      </c>
      <c r="J497">
        <v>-2725662.19</v>
      </c>
      <c r="K497" s="6" t="str">
        <f>+IFERROR(VLOOKUP(I497,'Legal Name'!$A$1:$I$2913,1,0),"N")</f>
        <v>N</v>
      </c>
    </row>
    <row r="498" spans="3:11" x14ac:dyDescent="0.35">
      <c r="C498" t="s">
        <v>499</v>
      </c>
      <c r="D498" t="s">
        <v>72</v>
      </c>
      <c r="E498" t="s">
        <v>69</v>
      </c>
      <c r="F498">
        <v>31374189.5</v>
      </c>
      <c r="G498">
        <v>45576</v>
      </c>
      <c r="H498" t="s">
        <v>73</v>
      </c>
      <c r="I498" t="s">
        <v>109</v>
      </c>
      <c r="J498">
        <v>-3362329.88</v>
      </c>
      <c r="K498" s="6" t="str">
        <f>+IFERROR(VLOOKUP(I498,'Legal Name'!$A$1:$I$2913,1,0),"N")</f>
        <v>N</v>
      </c>
    </row>
    <row r="499" spans="3:11" x14ac:dyDescent="0.35">
      <c r="C499" t="s">
        <v>500</v>
      </c>
      <c r="D499" t="s">
        <v>72</v>
      </c>
      <c r="E499" t="s">
        <v>69</v>
      </c>
      <c r="F499">
        <v>26020660.399999999</v>
      </c>
      <c r="G499">
        <v>45580</v>
      </c>
      <c r="H499" t="s">
        <v>73</v>
      </c>
      <c r="I499" t="s">
        <v>109</v>
      </c>
      <c r="J499">
        <v>-3245813.88</v>
      </c>
      <c r="K499" s="6" t="str">
        <f>+IFERROR(VLOOKUP(I499,'Legal Name'!$A$1:$I$2913,1,0),"N")</f>
        <v>N</v>
      </c>
    </row>
    <row r="500" spans="3:11" x14ac:dyDescent="0.35">
      <c r="C500" t="s">
        <v>501</v>
      </c>
      <c r="D500" t="s">
        <v>72</v>
      </c>
      <c r="E500" t="s">
        <v>69</v>
      </c>
      <c r="F500">
        <v>1301033.02</v>
      </c>
      <c r="G500">
        <v>45576</v>
      </c>
      <c r="H500" t="s">
        <v>73</v>
      </c>
      <c r="I500" t="s">
        <v>109</v>
      </c>
      <c r="J500">
        <v>-160999.76</v>
      </c>
      <c r="K500" s="6" t="str">
        <f>+IFERROR(VLOOKUP(I500,'Legal Name'!$A$1:$I$2913,1,0),"N")</f>
        <v>N</v>
      </c>
    </row>
    <row r="501" spans="3:11" x14ac:dyDescent="0.35">
      <c r="C501" t="s">
        <v>502</v>
      </c>
      <c r="D501" t="s">
        <v>72</v>
      </c>
      <c r="E501" t="s">
        <v>69</v>
      </c>
      <c r="F501">
        <v>20816528.32</v>
      </c>
      <c r="G501">
        <v>45580</v>
      </c>
      <c r="H501" t="s">
        <v>73</v>
      </c>
      <c r="I501" t="s">
        <v>109</v>
      </c>
      <c r="J501">
        <v>-2474672.56</v>
      </c>
      <c r="K501" s="6" t="str">
        <f>+IFERROR(VLOOKUP(I501,'Legal Name'!$A$1:$I$2913,1,0),"N")</f>
        <v>N</v>
      </c>
    </row>
    <row r="502" spans="3:11" x14ac:dyDescent="0.35">
      <c r="C502" t="s">
        <v>503</v>
      </c>
      <c r="D502" t="s">
        <v>72</v>
      </c>
      <c r="E502" t="s">
        <v>69</v>
      </c>
      <c r="F502">
        <v>51935911.090000004</v>
      </c>
      <c r="G502">
        <v>45580</v>
      </c>
      <c r="H502" t="s">
        <v>73</v>
      </c>
      <c r="I502" t="s">
        <v>109</v>
      </c>
      <c r="J502">
        <v>-6974686.2599999998</v>
      </c>
      <c r="K502" s="6" t="str">
        <f>+IFERROR(VLOOKUP(I502,'Legal Name'!$A$1:$I$2913,1,0),"N")</f>
        <v>N</v>
      </c>
    </row>
    <row r="503" spans="3:11" x14ac:dyDescent="0.35">
      <c r="C503" t="s">
        <v>504</v>
      </c>
      <c r="D503" t="s">
        <v>72</v>
      </c>
      <c r="E503" t="s">
        <v>69</v>
      </c>
      <c r="F503">
        <v>51618231.560000002</v>
      </c>
      <c r="G503">
        <v>45495</v>
      </c>
      <c r="H503" t="s">
        <v>73</v>
      </c>
      <c r="I503" t="s">
        <v>109</v>
      </c>
      <c r="J503">
        <v>-8509211.8399999999</v>
      </c>
      <c r="K503" s="6" t="str">
        <f>+IFERROR(VLOOKUP(I503,'Legal Name'!$A$1:$I$2913,1,0),"N")</f>
        <v>N</v>
      </c>
    </row>
    <row r="504" spans="3:11" x14ac:dyDescent="0.35">
      <c r="C504" t="s">
        <v>505</v>
      </c>
      <c r="D504" t="s">
        <v>72</v>
      </c>
      <c r="E504" t="s">
        <v>69</v>
      </c>
      <c r="F504">
        <v>25809115.780000001</v>
      </c>
      <c r="G504">
        <v>45495</v>
      </c>
      <c r="H504" t="s">
        <v>73</v>
      </c>
      <c r="I504" t="s">
        <v>109</v>
      </c>
      <c r="J504">
        <v>-4247563.16</v>
      </c>
      <c r="K504" s="6" t="str">
        <f>+IFERROR(VLOOKUP(I504,'Legal Name'!$A$1:$I$2913,1,0),"N")</f>
        <v>N</v>
      </c>
    </row>
    <row r="505" spans="3:11" x14ac:dyDescent="0.35">
      <c r="C505" t="s">
        <v>506</v>
      </c>
      <c r="D505" t="s">
        <v>72</v>
      </c>
      <c r="E505" t="s">
        <v>69</v>
      </c>
      <c r="F505">
        <v>7174934.1900000004</v>
      </c>
      <c r="G505">
        <v>45492</v>
      </c>
      <c r="H505" t="s">
        <v>73</v>
      </c>
      <c r="I505" t="s">
        <v>109</v>
      </c>
      <c r="J505">
        <v>-1128077.06</v>
      </c>
      <c r="K505" s="6" t="str">
        <f>+IFERROR(VLOOKUP(I505,'Legal Name'!$A$1:$I$2913,1,0),"N")</f>
        <v>N</v>
      </c>
    </row>
    <row r="506" spans="3:11" x14ac:dyDescent="0.35">
      <c r="C506" t="s">
        <v>507</v>
      </c>
      <c r="D506" t="s">
        <v>72</v>
      </c>
      <c r="E506" t="s">
        <v>69</v>
      </c>
      <c r="F506">
        <v>15950033.550000001</v>
      </c>
      <c r="G506">
        <v>45586</v>
      </c>
      <c r="H506" t="s">
        <v>73</v>
      </c>
      <c r="I506" t="s">
        <v>109</v>
      </c>
      <c r="J506">
        <v>-2310472.46</v>
      </c>
      <c r="K506" s="6" t="str">
        <f>+IFERROR(VLOOKUP(I506,'Legal Name'!$A$1:$I$2913,1,0),"N")</f>
        <v>N</v>
      </c>
    </row>
    <row r="507" spans="3:11" x14ac:dyDescent="0.35">
      <c r="C507" t="s">
        <v>508</v>
      </c>
      <c r="D507" t="s">
        <v>72</v>
      </c>
      <c r="E507" t="s">
        <v>69</v>
      </c>
      <c r="F507">
        <v>51667570.850000001</v>
      </c>
      <c r="G507">
        <v>45586</v>
      </c>
      <c r="H507" t="s">
        <v>73</v>
      </c>
      <c r="I507" t="s">
        <v>109</v>
      </c>
      <c r="J507">
        <v>-7393389.1500000004</v>
      </c>
      <c r="K507" s="6" t="str">
        <f>+IFERROR(VLOOKUP(I507,'Legal Name'!$A$1:$I$2913,1,0),"N")</f>
        <v>N</v>
      </c>
    </row>
    <row r="508" spans="3:11" x14ac:dyDescent="0.35">
      <c r="C508" t="s">
        <v>509</v>
      </c>
      <c r="D508" t="s">
        <v>72</v>
      </c>
      <c r="E508" t="s">
        <v>69</v>
      </c>
      <c r="F508">
        <v>25842464.34</v>
      </c>
      <c r="G508">
        <v>45583</v>
      </c>
      <c r="H508" t="s">
        <v>73</v>
      </c>
      <c r="I508" t="s">
        <v>109</v>
      </c>
      <c r="J508">
        <v>-3638463.87</v>
      </c>
      <c r="K508" s="6" t="str">
        <f>+IFERROR(VLOOKUP(I508,'Legal Name'!$A$1:$I$2913,1,0),"N")</f>
        <v>N</v>
      </c>
    </row>
    <row r="509" spans="3:11" x14ac:dyDescent="0.35">
      <c r="C509" t="s">
        <v>510</v>
      </c>
      <c r="D509" t="s">
        <v>72</v>
      </c>
      <c r="E509" t="s">
        <v>69</v>
      </c>
      <c r="F509">
        <v>25923525.600000001</v>
      </c>
      <c r="G509">
        <v>45582</v>
      </c>
      <c r="H509" t="s">
        <v>73</v>
      </c>
      <c r="I509" t="s">
        <v>109</v>
      </c>
      <c r="J509">
        <v>-3426905.87</v>
      </c>
      <c r="K509" s="6" t="str">
        <f>+IFERROR(VLOOKUP(I509,'Legal Name'!$A$1:$I$2913,1,0),"N")</f>
        <v>N</v>
      </c>
    </row>
    <row r="510" spans="3:11" x14ac:dyDescent="0.35">
      <c r="C510" t="s">
        <v>511</v>
      </c>
      <c r="D510" t="s">
        <v>72</v>
      </c>
      <c r="E510" t="s">
        <v>69</v>
      </c>
      <c r="F510">
        <v>12961762.800000001</v>
      </c>
      <c r="G510">
        <v>45582</v>
      </c>
      <c r="H510" t="s">
        <v>73</v>
      </c>
      <c r="I510" t="s">
        <v>109</v>
      </c>
      <c r="J510">
        <v>-1694632.05</v>
      </c>
      <c r="K510" s="6" t="str">
        <f>+IFERROR(VLOOKUP(I510,'Legal Name'!$A$1:$I$2913,1,0),"N")</f>
        <v>N</v>
      </c>
    </row>
    <row r="511" spans="3:11" x14ac:dyDescent="0.35">
      <c r="C511" t="s">
        <v>512</v>
      </c>
      <c r="D511" t="s">
        <v>72</v>
      </c>
      <c r="E511" t="s">
        <v>69</v>
      </c>
      <c r="F511">
        <v>20707685.140000001</v>
      </c>
      <c r="G511">
        <v>45406</v>
      </c>
      <c r="H511" t="s">
        <v>73</v>
      </c>
      <c r="I511" t="s">
        <v>109</v>
      </c>
      <c r="J511">
        <v>-3270849.55</v>
      </c>
      <c r="K511" s="6" t="str">
        <f>+IFERROR(VLOOKUP(I511,'Legal Name'!$A$1:$I$2913,1,0),"N")</f>
        <v>N</v>
      </c>
    </row>
    <row r="512" spans="3:11" x14ac:dyDescent="0.35">
      <c r="C512" t="s">
        <v>513</v>
      </c>
      <c r="D512" t="s">
        <v>72</v>
      </c>
      <c r="E512" t="s">
        <v>69</v>
      </c>
      <c r="F512">
        <v>26066783.100000001</v>
      </c>
      <c r="G512">
        <v>45322</v>
      </c>
      <c r="H512" t="s">
        <v>73</v>
      </c>
      <c r="I512" t="s">
        <v>109</v>
      </c>
      <c r="J512">
        <v>-3539360.51</v>
      </c>
      <c r="K512" s="6" t="str">
        <f>+IFERROR(VLOOKUP(I512,'Legal Name'!$A$1:$I$2913,1,0),"N")</f>
        <v>N</v>
      </c>
    </row>
    <row r="513" spans="3:11" x14ac:dyDescent="0.35">
      <c r="C513" t="s">
        <v>514</v>
      </c>
      <c r="D513" t="s">
        <v>72</v>
      </c>
      <c r="E513" t="s">
        <v>69</v>
      </c>
      <c r="F513">
        <v>26066783.100000001</v>
      </c>
      <c r="G513">
        <v>45322</v>
      </c>
      <c r="H513" t="s">
        <v>73</v>
      </c>
      <c r="I513" t="s">
        <v>109</v>
      </c>
      <c r="J513">
        <v>-3539360.51</v>
      </c>
      <c r="K513" s="6" t="str">
        <f>+IFERROR(VLOOKUP(I513,'Legal Name'!$A$1:$I$2913,1,0),"N")</f>
        <v>N</v>
      </c>
    </row>
    <row r="514" spans="3:11" x14ac:dyDescent="0.35">
      <c r="C514" t="s">
        <v>515</v>
      </c>
      <c r="D514" t="s">
        <v>72</v>
      </c>
      <c r="E514" t="s">
        <v>69</v>
      </c>
      <c r="F514">
        <v>26066783.100000001</v>
      </c>
      <c r="G514">
        <v>45321</v>
      </c>
      <c r="H514" t="s">
        <v>73</v>
      </c>
      <c r="I514" t="s">
        <v>109</v>
      </c>
      <c r="J514">
        <v>-3567948.51</v>
      </c>
      <c r="K514" s="6" t="str">
        <f>+IFERROR(VLOOKUP(I514,'Legal Name'!$A$1:$I$2913,1,0),"N")</f>
        <v>N</v>
      </c>
    </row>
    <row r="515" spans="3:11" x14ac:dyDescent="0.35">
      <c r="C515" t="s">
        <v>516</v>
      </c>
      <c r="D515" t="s">
        <v>72</v>
      </c>
      <c r="E515" t="s">
        <v>69</v>
      </c>
      <c r="F515">
        <v>5969293.3300000001</v>
      </c>
      <c r="G515">
        <v>45321</v>
      </c>
      <c r="H515" t="s">
        <v>73</v>
      </c>
      <c r="I515" t="s">
        <v>109</v>
      </c>
      <c r="J515">
        <v>-816525.49</v>
      </c>
      <c r="K515" s="6" t="str">
        <f>+IFERROR(VLOOKUP(I515,'Legal Name'!$A$1:$I$2913,1,0),"N")</f>
        <v>N</v>
      </c>
    </row>
    <row r="516" spans="3:11" x14ac:dyDescent="0.35">
      <c r="C516" t="s">
        <v>517</v>
      </c>
      <c r="D516" t="s">
        <v>72</v>
      </c>
      <c r="E516" t="s">
        <v>69</v>
      </c>
      <c r="F516">
        <v>31280139.719999999</v>
      </c>
      <c r="G516">
        <v>45321</v>
      </c>
      <c r="H516" t="s">
        <v>73</v>
      </c>
      <c r="I516" t="s">
        <v>109</v>
      </c>
      <c r="J516">
        <v>-4287142.7699999996</v>
      </c>
      <c r="K516" s="6" t="str">
        <f>+IFERROR(VLOOKUP(I516,'Legal Name'!$A$1:$I$2913,1,0),"N")</f>
        <v>N</v>
      </c>
    </row>
    <row r="517" spans="3:11" x14ac:dyDescent="0.35">
      <c r="C517" t="s">
        <v>518</v>
      </c>
      <c r="D517" t="s">
        <v>72</v>
      </c>
      <c r="E517" t="s">
        <v>69</v>
      </c>
      <c r="F517">
        <v>66462847.270000003</v>
      </c>
      <c r="G517">
        <v>45328</v>
      </c>
      <c r="H517" t="s">
        <v>73</v>
      </c>
      <c r="I517" t="s">
        <v>109</v>
      </c>
      <c r="J517">
        <v>-3886346.88</v>
      </c>
      <c r="K517" s="6" t="str">
        <f>+IFERROR(VLOOKUP(I517,'Legal Name'!$A$1:$I$2913,1,0),"N")</f>
        <v>N</v>
      </c>
    </row>
    <row r="518" spans="3:11" x14ac:dyDescent="0.35">
      <c r="C518" t="s">
        <v>519</v>
      </c>
      <c r="D518" t="s">
        <v>72</v>
      </c>
      <c r="E518" t="s">
        <v>69</v>
      </c>
      <c r="F518">
        <v>39730889.439999998</v>
      </c>
      <c r="G518">
        <v>45330</v>
      </c>
      <c r="H518" t="s">
        <v>73</v>
      </c>
      <c r="I518" t="s">
        <v>109</v>
      </c>
      <c r="J518">
        <v>-2875631.16</v>
      </c>
      <c r="K518" s="6" t="str">
        <f>+IFERROR(VLOOKUP(I518,'Legal Name'!$A$1:$I$2913,1,0),"N")</f>
        <v>N</v>
      </c>
    </row>
    <row r="519" spans="3:11" x14ac:dyDescent="0.35">
      <c r="C519" t="s">
        <v>520</v>
      </c>
      <c r="D519" t="s">
        <v>72</v>
      </c>
      <c r="E519" t="s">
        <v>69</v>
      </c>
      <c r="F519">
        <v>21857060.09</v>
      </c>
      <c r="G519">
        <v>45331</v>
      </c>
      <c r="H519" t="s">
        <v>73</v>
      </c>
      <c r="I519" t="s">
        <v>109</v>
      </c>
      <c r="J519">
        <v>-2053314.78</v>
      </c>
      <c r="K519" s="6" t="str">
        <f>+IFERROR(VLOOKUP(I519,'Legal Name'!$A$1:$I$2913,1,0),"N")</f>
        <v>N</v>
      </c>
    </row>
    <row r="520" spans="3:11" x14ac:dyDescent="0.35">
      <c r="C520" t="s">
        <v>521</v>
      </c>
      <c r="D520" t="s">
        <v>72</v>
      </c>
      <c r="E520" t="s">
        <v>69</v>
      </c>
      <c r="F520">
        <v>7900142.2000000002</v>
      </c>
      <c r="G520">
        <v>45513</v>
      </c>
      <c r="H520" t="s">
        <v>73</v>
      </c>
      <c r="I520" t="s">
        <v>109</v>
      </c>
      <c r="J520">
        <v>-577508.15</v>
      </c>
      <c r="K520" s="6" t="str">
        <f>+IFERROR(VLOOKUP(I520,'Legal Name'!$A$1:$I$2913,1,0),"N")</f>
        <v>N</v>
      </c>
    </row>
    <row r="521" spans="3:11" x14ac:dyDescent="0.35">
      <c r="C521" t="s">
        <v>522</v>
      </c>
      <c r="D521" t="s">
        <v>72</v>
      </c>
      <c r="E521" t="s">
        <v>69</v>
      </c>
      <c r="F521">
        <v>13264710.560000001</v>
      </c>
      <c r="G521">
        <v>45338</v>
      </c>
      <c r="H521" t="s">
        <v>73</v>
      </c>
      <c r="I521" t="s">
        <v>109</v>
      </c>
      <c r="J521">
        <v>-863440.86</v>
      </c>
      <c r="K521" s="6" t="str">
        <f>+IFERROR(VLOOKUP(I521,'Legal Name'!$A$1:$I$2913,1,0),"N")</f>
        <v>N</v>
      </c>
    </row>
    <row r="522" spans="3:11" x14ac:dyDescent="0.35">
      <c r="C522" t="s">
        <v>523</v>
      </c>
      <c r="D522" t="s">
        <v>72</v>
      </c>
      <c r="E522" t="s">
        <v>69</v>
      </c>
      <c r="F522">
        <v>53058842.259999998</v>
      </c>
      <c r="G522">
        <v>45338</v>
      </c>
      <c r="H522" t="s">
        <v>73</v>
      </c>
      <c r="I522" t="s">
        <v>109</v>
      </c>
      <c r="J522">
        <v>-3482507.39</v>
      </c>
      <c r="K522" s="6" t="str">
        <f>+IFERROR(VLOOKUP(I522,'Legal Name'!$A$1:$I$2913,1,0),"N")</f>
        <v>N</v>
      </c>
    </row>
    <row r="523" spans="3:11" x14ac:dyDescent="0.35">
      <c r="C523" t="s">
        <v>524</v>
      </c>
      <c r="D523" t="s">
        <v>72</v>
      </c>
      <c r="E523" t="s">
        <v>69</v>
      </c>
      <c r="F523">
        <v>26764446.109999999</v>
      </c>
      <c r="G523">
        <v>45442</v>
      </c>
      <c r="H523" t="s">
        <v>73</v>
      </c>
      <c r="I523" t="s">
        <v>109</v>
      </c>
      <c r="J523">
        <v>-505054.47</v>
      </c>
      <c r="K523" s="6" t="str">
        <f>+IFERROR(VLOOKUP(I523,'Legal Name'!$A$1:$I$2913,1,0),"N")</f>
        <v>N</v>
      </c>
    </row>
    <row r="524" spans="3:11" x14ac:dyDescent="0.35">
      <c r="C524" t="s">
        <v>525</v>
      </c>
      <c r="D524" t="s">
        <v>72</v>
      </c>
      <c r="E524" t="s">
        <v>69</v>
      </c>
      <c r="F524">
        <v>26764446.109999999</v>
      </c>
      <c r="G524">
        <v>45442</v>
      </c>
      <c r="H524" t="s">
        <v>73</v>
      </c>
      <c r="I524" t="s">
        <v>109</v>
      </c>
      <c r="J524">
        <v>-481183.72</v>
      </c>
      <c r="K524" s="6" t="str">
        <f>+IFERROR(VLOOKUP(I524,'Legal Name'!$A$1:$I$2913,1,0),"N")</f>
        <v>N</v>
      </c>
    </row>
    <row r="525" spans="3:11" x14ac:dyDescent="0.35">
      <c r="C525" t="s">
        <v>526</v>
      </c>
      <c r="D525" t="s">
        <v>72</v>
      </c>
      <c r="E525" t="s">
        <v>69</v>
      </c>
      <c r="F525">
        <v>26764446.109999999</v>
      </c>
      <c r="G525">
        <v>45442</v>
      </c>
      <c r="H525" t="s">
        <v>73</v>
      </c>
      <c r="I525" t="s">
        <v>109</v>
      </c>
      <c r="J525">
        <v>-433458.94</v>
      </c>
      <c r="K525" s="6" t="str">
        <f>+IFERROR(VLOOKUP(I525,'Legal Name'!$A$1:$I$2913,1,0),"N")</f>
        <v>N</v>
      </c>
    </row>
    <row r="526" spans="3:11" x14ac:dyDescent="0.35">
      <c r="C526" t="s">
        <v>528</v>
      </c>
      <c r="D526" t="s">
        <v>72</v>
      </c>
      <c r="E526" t="s">
        <v>69</v>
      </c>
      <c r="F526">
        <v>2677017.7999999998</v>
      </c>
      <c r="G526">
        <v>45538</v>
      </c>
      <c r="H526" t="s">
        <v>73</v>
      </c>
      <c r="I526" t="s">
        <v>109</v>
      </c>
      <c r="J526">
        <v>-17115.53</v>
      </c>
      <c r="K526" s="6" t="str">
        <f>+IFERROR(VLOOKUP(I526,'Legal Name'!$A$1:$I$2913,1,0),"N")</f>
        <v>N</v>
      </c>
    </row>
    <row r="527" spans="3:11" x14ac:dyDescent="0.35">
      <c r="C527" t="s">
        <v>529</v>
      </c>
      <c r="D527" t="s">
        <v>72</v>
      </c>
      <c r="E527" t="s">
        <v>69</v>
      </c>
      <c r="F527">
        <v>4015526.7</v>
      </c>
      <c r="G527">
        <v>45538</v>
      </c>
      <c r="H527" t="s">
        <v>73</v>
      </c>
      <c r="I527" t="s">
        <v>109</v>
      </c>
      <c r="J527">
        <v>-31140.28</v>
      </c>
      <c r="K527" s="6" t="str">
        <f>+IFERROR(VLOOKUP(I527,'Legal Name'!$A$1:$I$2913,1,0),"N")</f>
        <v>N</v>
      </c>
    </row>
    <row r="528" spans="3:11" x14ac:dyDescent="0.35">
      <c r="C528" t="s">
        <v>530</v>
      </c>
      <c r="D528" t="s">
        <v>72</v>
      </c>
      <c r="E528" t="s">
        <v>69</v>
      </c>
      <c r="F528">
        <v>11270244.949999999</v>
      </c>
      <c r="G528">
        <v>45447</v>
      </c>
      <c r="H528" t="s">
        <v>73</v>
      </c>
      <c r="I528" t="s">
        <v>109</v>
      </c>
      <c r="J528">
        <v>-162756.67000000001</v>
      </c>
      <c r="K528" s="6" t="str">
        <f>+IFERROR(VLOOKUP(I528,'Legal Name'!$A$1:$I$2913,1,0),"N")</f>
        <v>N</v>
      </c>
    </row>
    <row r="529" spans="3:11" x14ac:dyDescent="0.35">
      <c r="C529" t="s">
        <v>531</v>
      </c>
      <c r="D529" t="s">
        <v>72</v>
      </c>
      <c r="E529" t="s">
        <v>69</v>
      </c>
      <c r="F529">
        <v>26705835.219999999</v>
      </c>
      <c r="G529">
        <v>45539</v>
      </c>
      <c r="H529" t="s">
        <v>73</v>
      </c>
      <c r="I529" t="s">
        <v>109</v>
      </c>
      <c r="J529">
        <v>-538436.96</v>
      </c>
      <c r="K529" s="6" t="str">
        <f>+IFERROR(VLOOKUP(I529,'Legal Name'!$A$1:$I$2913,1,0),"N")</f>
        <v>N</v>
      </c>
    </row>
    <row r="530" spans="3:11" x14ac:dyDescent="0.35">
      <c r="C530" t="s">
        <v>532</v>
      </c>
      <c r="D530" t="s">
        <v>72</v>
      </c>
      <c r="E530" t="s">
        <v>69</v>
      </c>
      <c r="F530">
        <v>53411670.450000003</v>
      </c>
      <c r="G530">
        <v>45539</v>
      </c>
      <c r="H530" t="s">
        <v>73</v>
      </c>
      <c r="I530" t="s">
        <v>109</v>
      </c>
      <c r="J530">
        <v>-1062436.3700000001</v>
      </c>
      <c r="K530" s="6" t="str">
        <f>+IFERROR(VLOOKUP(I530,'Legal Name'!$A$1:$I$2913,1,0),"N")</f>
        <v>N</v>
      </c>
    </row>
    <row r="531" spans="3:11" x14ac:dyDescent="0.35">
      <c r="C531" t="s">
        <v>533</v>
      </c>
      <c r="D531" t="s">
        <v>72</v>
      </c>
      <c r="E531" t="s">
        <v>69</v>
      </c>
      <c r="F531">
        <v>21299254.530000001</v>
      </c>
      <c r="G531">
        <v>45448</v>
      </c>
      <c r="H531" t="s">
        <v>73</v>
      </c>
      <c r="I531" t="s">
        <v>109</v>
      </c>
      <c r="J531">
        <v>-771686.9</v>
      </c>
      <c r="K531" s="6" t="str">
        <f>+IFERROR(VLOOKUP(I531,'Legal Name'!$A$1:$I$2913,1,0),"N")</f>
        <v>N</v>
      </c>
    </row>
    <row r="532" spans="3:11" x14ac:dyDescent="0.35">
      <c r="C532" t="s">
        <v>534</v>
      </c>
      <c r="D532" t="s">
        <v>72</v>
      </c>
      <c r="E532" t="s">
        <v>69</v>
      </c>
      <c r="F532">
        <v>21230687.27</v>
      </c>
      <c r="G532">
        <v>45449</v>
      </c>
      <c r="H532" t="s">
        <v>73</v>
      </c>
      <c r="I532" t="s">
        <v>109</v>
      </c>
      <c r="J532">
        <v>-754928.94</v>
      </c>
      <c r="K532" s="6" t="str">
        <f>+IFERROR(VLOOKUP(I532,'Legal Name'!$A$1:$I$2913,1,0),"N")</f>
        <v>N</v>
      </c>
    </row>
    <row r="533" spans="3:11" x14ac:dyDescent="0.35">
      <c r="C533" t="s">
        <v>535</v>
      </c>
      <c r="D533" t="s">
        <v>72</v>
      </c>
      <c r="E533" t="s">
        <v>69</v>
      </c>
      <c r="F533">
        <v>26638252.530000001</v>
      </c>
      <c r="G533">
        <v>45541</v>
      </c>
      <c r="H533" t="s">
        <v>73</v>
      </c>
      <c r="I533" t="s">
        <v>109</v>
      </c>
      <c r="J533">
        <v>-773961.78</v>
      </c>
      <c r="K533" s="6" t="str">
        <f>+IFERROR(VLOOKUP(I533,'Legal Name'!$A$1:$I$2913,1,0),"N")</f>
        <v>N</v>
      </c>
    </row>
    <row r="534" spans="3:11" x14ac:dyDescent="0.35">
      <c r="C534" t="s">
        <v>536</v>
      </c>
      <c r="D534" t="s">
        <v>72</v>
      </c>
      <c r="E534" t="s">
        <v>69</v>
      </c>
      <c r="F534">
        <v>13851891.32</v>
      </c>
      <c r="G534">
        <v>45541</v>
      </c>
      <c r="H534" t="s">
        <v>73</v>
      </c>
      <c r="I534" t="s">
        <v>109</v>
      </c>
      <c r="J534">
        <v>-398716.88</v>
      </c>
      <c r="K534" s="6" t="str">
        <f>+IFERROR(VLOOKUP(I534,'Legal Name'!$A$1:$I$2913,1,0),"N")</f>
        <v>N</v>
      </c>
    </row>
    <row r="535" spans="3:11" x14ac:dyDescent="0.35">
      <c r="C535" t="s">
        <v>537</v>
      </c>
      <c r="D535" t="s">
        <v>72</v>
      </c>
      <c r="E535" t="s">
        <v>69</v>
      </c>
      <c r="F535">
        <v>6659208.3499999996</v>
      </c>
      <c r="G535">
        <v>45453</v>
      </c>
      <c r="H535" t="s">
        <v>73</v>
      </c>
      <c r="I535" t="s">
        <v>109</v>
      </c>
      <c r="J535">
        <v>-217336.17</v>
      </c>
      <c r="K535" s="6" t="str">
        <f>+IFERROR(VLOOKUP(I535,'Legal Name'!$A$1:$I$2913,1,0),"N")</f>
        <v>N</v>
      </c>
    </row>
    <row r="536" spans="3:11" x14ac:dyDescent="0.35">
      <c r="C536" t="s">
        <v>538</v>
      </c>
      <c r="D536" t="s">
        <v>72</v>
      </c>
      <c r="E536" t="s">
        <v>69</v>
      </c>
      <c r="F536">
        <v>52833179.240000002</v>
      </c>
      <c r="G536">
        <v>45548</v>
      </c>
      <c r="H536" t="s">
        <v>73</v>
      </c>
      <c r="I536" t="s">
        <v>109</v>
      </c>
      <c r="J536">
        <v>-3234102.18</v>
      </c>
      <c r="K536" s="6" t="str">
        <f>+IFERROR(VLOOKUP(I536,'Legal Name'!$A$1:$I$2913,1,0),"N")</f>
        <v>N</v>
      </c>
    </row>
    <row r="537" spans="3:11" x14ac:dyDescent="0.35">
      <c r="C537" t="s">
        <v>539</v>
      </c>
      <c r="D537" t="s">
        <v>72</v>
      </c>
      <c r="E537" t="s">
        <v>69</v>
      </c>
      <c r="F537">
        <v>54309455.280000001</v>
      </c>
      <c r="G537">
        <v>45559</v>
      </c>
      <c r="H537" t="s">
        <v>73</v>
      </c>
      <c r="I537" t="s">
        <v>109</v>
      </c>
      <c r="J537">
        <v>2154308.19</v>
      </c>
      <c r="K537" s="6" t="str">
        <f>+IFERROR(VLOOKUP(I537,'Legal Name'!$A$1:$I$2913,1,0),"N")</f>
        <v>N</v>
      </c>
    </row>
    <row r="538" spans="3:11" x14ac:dyDescent="0.35">
      <c r="C538" t="s">
        <v>540</v>
      </c>
      <c r="D538" t="s">
        <v>72</v>
      </c>
      <c r="E538" t="s">
        <v>69</v>
      </c>
      <c r="F538">
        <v>43447564.219999999</v>
      </c>
      <c r="G538">
        <v>45649</v>
      </c>
      <c r="H538" t="s">
        <v>73</v>
      </c>
      <c r="I538" t="s">
        <v>109</v>
      </c>
      <c r="J538">
        <v>1989673.52</v>
      </c>
      <c r="K538" s="6" t="str">
        <f>+IFERROR(VLOOKUP(I538,'Legal Name'!$A$1:$I$2913,1,0),"N")</f>
        <v>N</v>
      </c>
    </row>
    <row r="539" spans="3:11" x14ac:dyDescent="0.35">
      <c r="C539" t="s">
        <v>541</v>
      </c>
      <c r="D539" t="s">
        <v>72</v>
      </c>
      <c r="E539" t="s">
        <v>69</v>
      </c>
      <c r="F539">
        <v>13506577.699999999</v>
      </c>
      <c r="G539">
        <v>45471</v>
      </c>
      <c r="H539" t="s">
        <v>73</v>
      </c>
      <c r="I539" t="s">
        <v>109</v>
      </c>
      <c r="J539">
        <v>229639.89</v>
      </c>
      <c r="K539" s="6" t="str">
        <f>+IFERROR(VLOOKUP(I539,'Legal Name'!$A$1:$I$2913,1,0),"N")</f>
        <v>N</v>
      </c>
    </row>
    <row r="540" spans="3:11" x14ac:dyDescent="0.35">
      <c r="C540" t="s">
        <v>542</v>
      </c>
      <c r="D540" t="s">
        <v>72</v>
      </c>
      <c r="E540" t="s">
        <v>69</v>
      </c>
      <c r="F540">
        <v>13506577.699999999</v>
      </c>
      <c r="G540">
        <v>45471</v>
      </c>
      <c r="H540" t="s">
        <v>73</v>
      </c>
      <c r="I540" t="s">
        <v>109</v>
      </c>
      <c r="J540">
        <v>241727.67</v>
      </c>
      <c r="K540" s="6" t="str">
        <f>+IFERROR(VLOOKUP(I540,'Legal Name'!$A$1:$I$2913,1,0),"N")</f>
        <v>N</v>
      </c>
    </row>
    <row r="541" spans="3:11" x14ac:dyDescent="0.35">
      <c r="C541" t="s">
        <v>543</v>
      </c>
      <c r="D541" t="s">
        <v>72</v>
      </c>
      <c r="E541" t="s">
        <v>69</v>
      </c>
      <c r="F541">
        <v>26946188.460000001</v>
      </c>
      <c r="G541">
        <v>45383</v>
      </c>
      <c r="H541" t="s">
        <v>73</v>
      </c>
      <c r="I541" t="s">
        <v>109</v>
      </c>
      <c r="J541">
        <v>3466.24</v>
      </c>
      <c r="K541" s="6" t="str">
        <f>+IFERROR(VLOOKUP(I541,'Legal Name'!$A$1:$I$2913,1,0),"N")</f>
        <v>N</v>
      </c>
    </row>
    <row r="542" spans="3:11" x14ac:dyDescent="0.35">
      <c r="C542" t="s">
        <v>544</v>
      </c>
      <c r="D542" t="s">
        <v>72</v>
      </c>
      <c r="E542" t="s">
        <v>69</v>
      </c>
      <c r="F542">
        <v>26946188.460000001</v>
      </c>
      <c r="G542">
        <v>45383</v>
      </c>
      <c r="H542" t="s">
        <v>73</v>
      </c>
      <c r="I542" t="s">
        <v>109</v>
      </c>
      <c r="J542">
        <v>-6429.75</v>
      </c>
      <c r="K542" s="6" t="str">
        <f>+IFERROR(VLOOKUP(I542,'Legal Name'!$A$1:$I$2913,1,0),"N")</f>
        <v>N</v>
      </c>
    </row>
    <row r="543" spans="3:11" x14ac:dyDescent="0.35">
      <c r="C543" t="s">
        <v>545</v>
      </c>
      <c r="D543" t="s">
        <v>72</v>
      </c>
      <c r="E543" t="s">
        <v>69</v>
      </c>
      <c r="F543">
        <v>10778475.380000001</v>
      </c>
      <c r="G543">
        <v>45471</v>
      </c>
      <c r="H543" t="s">
        <v>73</v>
      </c>
      <c r="I543" t="s">
        <v>109</v>
      </c>
      <c r="J543">
        <v>95083.11</v>
      </c>
      <c r="K543" s="6" t="str">
        <f>+IFERROR(VLOOKUP(I543,'Legal Name'!$A$1:$I$2913,1,0),"N")</f>
        <v>N</v>
      </c>
    </row>
  </sheetData>
  <autoFilter ref="A1:O369" xr:uid="{00000000-0001-0000-0000-000000000000}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2288"/>
  <sheetViews>
    <sheetView tabSelected="1" workbookViewId="0">
      <selection activeCell="M8" sqref="M8"/>
    </sheetView>
  </sheetViews>
  <sheetFormatPr defaultColWidth="10.90625" defaultRowHeight="14.5" x14ac:dyDescent="0.35"/>
  <sheetData>
    <row r="1" spans="1:14" x14ac:dyDescent="0.35">
      <c r="A1" s="17" t="s">
        <v>98</v>
      </c>
      <c r="B1" s="17" t="s">
        <v>99</v>
      </c>
      <c r="C1" s="17" t="s">
        <v>100</v>
      </c>
      <c r="D1" s="17" t="s">
        <v>101</v>
      </c>
      <c r="E1" s="17" t="s">
        <v>102</v>
      </c>
      <c r="F1" s="17" t="s">
        <v>103</v>
      </c>
      <c r="G1" s="17" t="s">
        <v>104</v>
      </c>
      <c r="H1" s="17" t="s">
        <v>105</v>
      </c>
      <c r="I1" s="17" t="s">
        <v>106</v>
      </c>
      <c r="J1" s="17" t="s">
        <v>107</v>
      </c>
      <c r="K1" s="18" t="s">
        <v>108</v>
      </c>
      <c r="N1" s="19"/>
    </row>
    <row r="2" spans="1:14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  <c r="K2" s="22"/>
      <c r="N2" s="20"/>
    </row>
    <row r="3" spans="1:14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2"/>
      <c r="N3" s="20"/>
    </row>
    <row r="4" spans="1:14" x14ac:dyDescent="0.35">
      <c r="A4" s="21"/>
      <c r="B4" s="21"/>
      <c r="C4" s="21"/>
      <c r="D4" s="21"/>
      <c r="E4" s="21"/>
      <c r="F4" s="21"/>
      <c r="G4" s="21"/>
      <c r="H4" s="21"/>
      <c r="I4" s="21"/>
      <c r="J4" s="21"/>
      <c r="K4" s="22"/>
    </row>
    <row r="5" spans="1:14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2"/>
    </row>
    <row r="6" spans="1:14" x14ac:dyDescent="0.35">
      <c r="A6" s="21"/>
      <c r="B6" s="21"/>
      <c r="C6" s="21"/>
      <c r="D6" s="21"/>
      <c r="E6" s="21"/>
      <c r="F6" s="21"/>
      <c r="G6" s="21"/>
      <c r="H6" s="21"/>
      <c r="I6" s="21"/>
      <c r="J6" s="21"/>
      <c r="K6" s="22"/>
    </row>
    <row r="7" spans="1:14" x14ac:dyDescent="0.35">
      <c r="A7" s="21"/>
      <c r="B7" s="21"/>
      <c r="C7" s="21"/>
      <c r="D7" s="21"/>
      <c r="E7" s="21"/>
      <c r="F7" s="21"/>
      <c r="G7" s="21"/>
      <c r="H7" s="21"/>
      <c r="I7" s="21"/>
      <c r="J7" s="21"/>
      <c r="K7" s="22"/>
    </row>
    <row r="8" spans="1:14" x14ac:dyDescent="0.35">
      <c r="A8" s="21"/>
      <c r="B8" s="21"/>
      <c r="C8" s="21"/>
      <c r="D8" s="21"/>
      <c r="E8" s="21"/>
      <c r="F8" s="21"/>
      <c r="G8" s="21"/>
      <c r="H8" s="21"/>
      <c r="I8" s="21"/>
      <c r="J8" s="21"/>
      <c r="K8" s="22"/>
    </row>
    <row r="9" spans="1:14" x14ac:dyDescent="0.35">
      <c r="A9" s="21"/>
      <c r="B9" s="21"/>
      <c r="C9" s="21"/>
      <c r="D9" s="21"/>
      <c r="E9" s="21"/>
      <c r="F9" s="21"/>
      <c r="G9" s="21"/>
      <c r="H9" s="21"/>
      <c r="I9" s="21"/>
      <c r="J9" s="21"/>
      <c r="K9" s="22"/>
    </row>
    <row r="10" spans="1:14" x14ac:dyDescent="0.3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2"/>
    </row>
    <row r="11" spans="1:14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2"/>
    </row>
    <row r="12" spans="1:14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2"/>
    </row>
    <row r="13" spans="1:14" x14ac:dyDescent="0.3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2"/>
    </row>
    <row r="14" spans="1:14" x14ac:dyDescent="0.3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2"/>
    </row>
    <row r="15" spans="1:14" x14ac:dyDescent="0.3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2"/>
    </row>
    <row r="16" spans="1:14" x14ac:dyDescent="0.3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2"/>
    </row>
    <row r="17" spans="1:11" x14ac:dyDescent="0.3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2"/>
    </row>
    <row r="18" spans="1:11" x14ac:dyDescent="0.3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2"/>
    </row>
    <row r="19" spans="1:11" x14ac:dyDescent="0.3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2"/>
    </row>
    <row r="20" spans="1:11" x14ac:dyDescent="0.3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2"/>
    </row>
    <row r="21" spans="1:11" x14ac:dyDescent="0.3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2"/>
    </row>
    <row r="22" spans="1:11" x14ac:dyDescent="0.3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2"/>
    </row>
    <row r="23" spans="1:11" x14ac:dyDescent="0.3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2"/>
    </row>
    <row r="24" spans="1:11" x14ac:dyDescent="0.3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2"/>
    </row>
    <row r="25" spans="1:11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2"/>
    </row>
    <row r="26" spans="1:11" x14ac:dyDescent="0.3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2"/>
    </row>
    <row r="27" spans="1:11" x14ac:dyDescent="0.3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2"/>
    </row>
    <row r="28" spans="1:11" x14ac:dyDescent="0.3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2"/>
    </row>
    <row r="29" spans="1:11" x14ac:dyDescent="0.3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2"/>
    </row>
    <row r="30" spans="1:11" x14ac:dyDescent="0.3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2"/>
    </row>
    <row r="31" spans="1:11" x14ac:dyDescent="0.3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2"/>
    </row>
    <row r="32" spans="1:11" x14ac:dyDescent="0.3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2"/>
    </row>
    <row r="33" spans="1:11" x14ac:dyDescent="0.3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2"/>
    </row>
    <row r="34" spans="1:11" x14ac:dyDescent="0.3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2"/>
    </row>
    <row r="35" spans="1:11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2"/>
    </row>
    <row r="36" spans="1:11" x14ac:dyDescent="0.3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2"/>
    </row>
    <row r="37" spans="1:11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2"/>
    </row>
    <row r="38" spans="1:11" x14ac:dyDescent="0.3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2"/>
    </row>
    <row r="39" spans="1:11" x14ac:dyDescent="0.3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2"/>
    </row>
    <row r="40" spans="1:11" x14ac:dyDescent="0.3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2"/>
    </row>
    <row r="41" spans="1:11" x14ac:dyDescent="0.3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2"/>
    </row>
    <row r="42" spans="1:11" x14ac:dyDescent="0.3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2"/>
    </row>
    <row r="43" spans="1:11" x14ac:dyDescent="0.3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2"/>
    </row>
    <row r="44" spans="1:11" x14ac:dyDescent="0.3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2"/>
    </row>
    <row r="45" spans="1:11" x14ac:dyDescent="0.3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2"/>
    </row>
    <row r="46" spans="1:11" x14ac:dyDescent="0.3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2"/>
    </row>
    <row r="47" spans="1:11" x14ac:dyDescent="0.3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2"/>
    </row>
    <row r="48" spans="1:11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2"/>
    </row>
    <row r="49" spans="1:11" x14ac:dyDescent="0.3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2"/>
    </row>
    <row r="50" spans="1:11" x14ac:dyDescent="0.3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2"/>
    </row>
    <row r="51" spans="1:11" x14ac:dyDescent="0.3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2"/>
    </row>
    <row r="52" spans="1:11" x14ac:dyDescent="0.3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2"/>
    </row>
    <row r="53" spans="1:11" x14ac:dyDescent="0.3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2"/>
    </row>
    <row r="54" spans="1:11" x14ac:dyDescent="0.3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2"/>
    </row>
    <row r="55" spans="1:11" x14ac:dyDescent="0.3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2"/>
    </row>
    <row r="56" spans="1:11" x14ac:dyDescent="0.3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2"/>
    </row>
    <row r="57" spans="1:11" x14ac:dyDescent="0.3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2"/>
    </row>
    <row r="58" spans="1:11" x14ac:dyDescent="0.3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2"/>
    </row>
    <row r="59" spans="1:11" x14ac:dyDescent="0.3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2"/>
    </row>
    <row r="60" spans="1:11" x14ac:dyDescent="0.3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2"/>
    </row>
    <row r="61" spans="1:11" x14ac:dyDescent="0.3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2"/>
    </row>
    <row r="62" spans="1:11" x14ac:dyDescent="0.3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2"/>
    </row>
    <row r="63" spans="1:11" x14ac:dyDescent="0.3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2"/>
    </row>
    <row r="64" spans="1:11" x14ac:dyDescent="0.3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2"/>
    </row>
    <row r="65" spans="1:11" x14ac:dyDescent="0.3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2"/>
    </row>
    <row r="66" spans="1:11" x14ac:dyDescent="0.3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2"/>
    </row>
    <row r="67" spans="1:11" x14ac:dyDescent="0.3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2"/>
    </row>
    <row r="68" spans="1:11" x14ac:dyDescent="0.3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2"/>
    </row>
    <row r="69" spans="1:11" x14ac:dyDescent="0.3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2"/>
    </row>
    <row r="70" spans="1:11" x14ac:dyDescent="0.3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2"/>
    </row>
    <row r="71" spans="1:11" x14ac:dyDescent="0.3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2"/>
    </row>
    <row r="72" spans="1:11" x14ac:dyDescent="0.3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2"/>
    </row>
    <row r="73" spans="1:11" x14ac:dyDescent="0.3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2"/>
    </row>
    <row r="74" spans="1:11" x14ac:dyDescent="0.3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2"/>
    </row>
    <row r="75" spans="1:11" x14ac:dyDescent="0.3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2"/>
    </row>
    <row r="76" spans="1:11" x14ac:dyDescent="0.3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2"/>
    </row>
    <row r="77" spans="1:11" x14ac:dyDescent="0.3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2"/>
    </row>
    <row r="78" spans="1:11" x14ac:dyDescent="0.3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2"/>
    </row>
    <row r="79" spans="1:11" x14ac:dyDescent="0.3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2"/>
    </row>
    <row r="80" spans="1:11" x14ac:dyDescent="0.3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2"/>
    </row>
    <row r="81" spans="1:11" x14ac:dyDescent="0.3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2"/>
    </row>
    <row r="82" spans="1:11" x14ac:dyDescent="0.3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2"/>
    </row>
    <row r="83" spans="1:11" x14ac:dyDescent="0.3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2"/>
    </row>
    <row r="84" spans="1:11" x14ac:dyDescent="0.3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2"/>
    </row>
    <row r="85" spans="1:11" x14ac:dyDescent="0.3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2"/>
    </row>
    <row r="86" spans="1:11" x14ac:dyDescent="0.3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2"/>
    </row>
    <row r="87" spans="1:11" x14ac:dyDescent="0.3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2"/>
    </row>
    <row r="88" spans="1:11" x14ac:dyDescent="0.3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2"/>
    </row>
    <row r="89" spans="1:11" x14ac:dyDescent="0.3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2"/>
    </row>
    <row r="90" spans="1:11" x14ac:dyDescent="0.3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2"/>
    </row>
    <row r="91" spans="1:11" x14ac:dyDescent="0.3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2"/>
    </row>
    <row r="92" spans="1:11" x14ac:dyDescent="0.3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2"/>
    </row>
    <row r="93" spans="1:11" x14ac:dyDescent="0.3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2"/>
    </row>
    <row r="94" spans="1:11" x14ac:dyDescent="0.3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2"/>
    </row>
    <row r="95" spans="1:11" x14ac:dyDescent="0.3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2"/>
    </row>
    <row r="96" spans="1:11" x14ac:dyDescent="0.3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2"/>
    </row>
    <row r="97" spans="1:11" x14ac:dyDescent="0.3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2"/>
    </row>
    <row r="98" spans="1:11" x14ac:dyDescent="0.3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2"/>
    </row>
    <row r="99" spans="1:11" x14ac:dyDescent="0.3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2"/>
    </row>
    <row r="100" spans="1:11" x14ac:dyDescent="0.3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2"/>
    </row>
    <row r="101" spans="1:11" x14ac:dyDescent="0.3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2"/>
    </row>
    <row r="102" spans="1:11" x14ac:dyDescent="0.3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2"/>
    </row>
    <row r="103" spans="1:11" x14ac:dyDescent="0.3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2"/>
    </row>
    <row r="104" spans="1:11" x14ac:dyDescent="0.3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2"/>
    </row>
    <row r="105" spans="1:11" x14ac:dyDescent="0.3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2"/>
    </row>
    <row r="106" spans="1:11" x14ac:dyDescent="0.3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2"/>
    </row>
    <row r="107" spans="1:11" x14ac:dyDescent="0.3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2"/>
    </row>
    <row r="108" spans="1:11" x14ac:dyDescent="0.3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2"/>
    </row>
    <row r="109" spans="1:11" x14ac:dyDescent="0.3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2"/>
    </row>
    <row r="110" spans="1:11" x14ac:dyDescent="0.3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2"/>
    </row>
    <row r="111" spans="1:11" x14ac:dyDescent="0.3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2"/>
    </row>
    <row r="112" spans="1:11" x14ac:dyDescent="0.3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2"/>
    </row>
    <row r="113" spans="1:11" x14ac:dyDescent="0.3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2"/>
    </row>
    <row r="114" spans="1:11" x14ac:dyDescent="0.3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2"/>
    </row>
    <row r="115" spans="1:11" x14ac:dyDescent="0.3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2"/>
    </row>
    <row r="116" spans="1:11" x14ac:dyDescent="0.3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2"/>
    </row>
    <row r="117" spans="1:11" x14ac:dyDescent="0.3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2"/>
    </row>
    <row r="118" spans="1:11" x14ac:dyDescent="0.3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2"/>
    </row>
    <row r="119" spans="1:11" x14ac:dyDescent="0.3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2"/>
    </row>
    <row r="120" spans="1:11" x14ac:dyDescent="0.3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2"/>
    </row>
    <row r="121" spans="1:11" x14ac:dyDescent="0.3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2"/>
    </row>
    <row r="122" spans="1:11" x14ac:dyDescent="0.3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2"/>
    </row>
    <row r="123" spans="1:11" x14ac:dyDescent="0.3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2"/>
    </row>
    <row r="124" spans="1:11" x14ac:dyDescent="0.3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2"/>
    </row>
    <row r="125" spans="1:11" x14ac:dyDescent="0.3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2"/>
    </row>
    <row r="126" spans="1:11" x14ac:dyDescent="0.3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2"/>
    </row>
    <row r="127" spans="1:11" x14ac:dyDescent="0.3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2"/>
    </row>
    <row r="128" spans="1:11" x14ac:dyDescent="0.3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2"/>
    </row>
    <row r="129" spans="1:11" x14ac:dyDescent="0.3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2"/>
    </row>
    <row r="130" spans="1:11" x14ac:dyDescent="0.3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2"/>
    </row>
    <row r="131" spans="1:11" x14ac:dyDescent="0.3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2"/>
    </row>
    <row r="132" spans="1:11" x14ac:dyDescent="0.3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2"/>
    </row>
    <row r="133" spans="1:11" x14ac:dyDescent="0.3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2"/>
    </row>
    <row r="134" spans="1:11" x14ac:dyDescent="0.3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2"/>
    </row>
    <row r="135" spans="1:11" x14ac:dyDescent="0.3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2"/>
    </row>
    <row r="136" spans="1:11" x14ac:dyDescent="0.3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2"/>
    </row>
    <row r="137" spans="1:11" x14ac:dyDescent="0.3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2"/>
    </row>
    <row r="138" spans="1:11" x14ac:dyDescent="0.3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2"/>
    </row>
    <row r="139" spans="1:11" x14ac:dyDescent="0.3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2"/>
    </row>
    <row r="140" spans="1:11" x14ac:dyDescent="0.3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2"/>
    </row>
    <row r="141" spans="1:11" x14ac:dyDescent="0.3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2"/>
    </row>
    <row r="142" spans="1:11" x14ac:dyDescent="0.3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2"/>
    </row>
    <row r="143" spans="1:11" x14ac:dyDescent="0.3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2"/>
    </row>
    <row r="144" spans="1:11" x14ac:dyDescent="0.3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2"/>
    </row>
    <row r="145" spans="1:11" x14ac:dyDescent="0.3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2"/>
    </row>
    <row r="146" spans="1:11" x14ac:dyDescent="0.3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2"/>
    </row>
    <row r="147" spans="1:11" x14ac:dyDescent="0.3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2"/>
    </row>
    <row r="148" spans="1:11" x14ac:dyDescent="0.3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2"/>
    </row>
    <row r="149" spans="1:11" x14ac:dyDescent="0.3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2"/>
    </row>
    <row r="150" spans="1:11" x14ac:dyDescent="0.3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2"/>
    </row>
    <row r="151" spans="1:11" x14ac:dyDescent="0.3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2"/>
    </row>
    <row r="152" spans="1:11" x14ac:dyDescent="0.3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2"/>
    </row>
    <row r="153" spans="1:11" x14ac:dyDescent="0.3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2"/>
    </row>
    <row r="154" spans="1:11" x14ac:dyDescent="0.3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2"/>
    </row>
    <row r="155" spans="1:11" x14ac:dyDescent="0.3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2"/>
    </row>
    <row r="156" spans="1:11" x14ac:dyDescent="0.3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2"/>
    </row>
    <row r="157" spans="1:11" x14ac:dyDescent="0.3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2"/>
    </row>
    <row r="158" spans="1:11" x14ac:dyDescent="0.3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2"/>
    </row>
    <row r="159" spans="1:11" x14ac:dyDescent="0.3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2"/>
    </row>
    <row r="160" spans="1:11" x14ac:dyDescent="0.3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2"/>
    </row>
    <row r="161" spans="1:11" x14ac:dyDescent="0.3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2"/>
    </row>
    <row r="162" spans="1:11" x14ac:dyDescent="0.3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2"/>
    </row>
    <row r="163" spans="1:11" x14ac:dyDescent="0.3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2"/>
    </row>
    <row r="164" spans="1:11" x14ac:dyDescent="0.3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2"/>
    </row>
    <row r="165" spans="1:11" x14ac:dyDescent="0.3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2"/>
    </row>
    <row r="166" spans="1:11" x14ac:dyDescent="0.3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2"/>
    </row>
    <row r="167" spans="1:11" x14ac:dyDescent="0.3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2"/>
    </row>
    <row r="168" spans="1:11" x14ac:dyDescent="0.3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2"/>
    </row>
    <row r="169" spans="1:11" x14ac:dyDescent="0.3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2"/>
    </row>
    <row r="170" spans="1:11" x14ac:dyDescent="0.3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2"/>
    </row>
    <row r="171" spans="1:11" x14ac:dyDescent="0.3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2"/>
    </row>
    <row r="172" spans="1:11" x14ac:dyDescent="0.3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2"/>
    </row>
    <row r="173" spans="1:11" x14ac:dyDescent="0.3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2"/>
    </row>
    <row r="174" spans="1:11" x14ac:dyDescent="0.3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2"/>
    </row>
    <row r="175" spans="1:11" x14ac:dyDescent="0.3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2"/>
    </row>
    <row r="176" spans="1:11" x14ac:dyDescent="0.3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2"/>
    </row>
    <row r="177" spans="1:11" x14ac:dyDescent="0.3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2"/>
    </row>
    <row r="178" spans="1:11" x14ac:dyDescent="0.3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2"/>
    </row>
    <row r="179" spans="1:11" x14ac:dyDescent="0.3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2"/>
    </row>
    <row r="180" spans="1:11" x14ac:dyDescent="0.3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2"/>
    </row>
    <row r="181" spans="1:11" x14ac:dyDescent="0.3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2"/>
    </row>
    <row r="182" spans="1:11" x14ac:dyDescent="0.3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2"/>
    </row>
    <row r="183" spans="1:11" x14ac:dyDescent="0.3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2"/>
    </row>
    <row r="184" spans="1:11" x14ac:dyDescent="0.3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2"/>
    </row>
    <row r="185" spans="1:11" x14ac:dyDescent="0.3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2"/>
    </row>
    <row r="186" spans="1:11" x14ac:dyDescent="0.3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2"/>
    </row>
    <row r="187" spans="1:11" x14ac:dyDescent="0.3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2"/>
    </row>
    <row r="188" spans="1:11" x14ac:dyDescent="0.3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2"/>
    </row>
    <row r="189" spans="1:11" x14ac:dyDescent="0.3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2"/>
    </row>
    <row r="190" spans="1:11" x14ac:dyDescent="0.3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2"/>
    </row>
    <row r="191" spans="1:11" x14ac:dyDescent="0.3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2"/>
    </row>
    <row r="192" spans="1:11" x14ac:dyDescent="0.3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2"/>
    </row>
    <row r="193" spans="1:11" x14ac:dyDescent="0.3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2"/>
    </row>
    <row r="194" spans="1:11" x14ac:dyDescent="0.3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2"/>
    </row>
    <row r="195" spans="1:11" x14ac:dyDescent="0.3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2"/>
    </row>
    <row r="196" spans="1:11" x14ac:dyDescent="0.3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2"/>
    </row>
    <row r="197" spans="1:11" x14ac:dyDescent="0.3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2"/>
    </row>
    <row r="198" spans="1:11" x14ac:dyDescent="0.3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2"/>
    </row>
    <row r="199" spans="1:11" x14ac:dyDescent="0.3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2"/>
    </row>
    <row r="200" spans="1:11" x14ac:dyDescent="0.3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2"/>
    </row>
    <row r="201" spans="1:11" x14ac:dyDescent="0.3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2"/>
    </row>
    <row r="202" spans="1:11" x14ac:dyDescent="0.3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2"/>
    </row>
    <row r="203" spans="1:11" x14ac:dyDescent="0.3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2"/>
    </row>
    <row r="204" spans="1:11" x14ac:dyDescent="0.3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2"/>
    </row>
    <row r="205" spans="1:11" x14ac:dyDescent="0.3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2"/>
    </row>
    <row r="206" spans="1:11" x14ac:dyDescent="0.3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2"/>
    </row>
    <row r="207" spans="1:11" x14ac:dyDescent="0.3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2"/>
    </row>
    <row r="208" spans="1:11" x14ac:dyDescent="0.3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2"/>
    </row>
    <row r="209" spans="1:11" x14ac:dyDescent="0.3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2"/>
    </row>
    <row r="210" spans="1:11" x14ac:dyDescent="0.3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2"/>
    </row>
    <row r="211" spans="1:11" x14ac:dyDescent="0.3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2"/>
    </row>
    <row r="212" spans="1:11" x14ac:dyDescent="0.3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2"/>
    </row>
    <row r="213" spans="1:11" x14ac:dyDescent="0.3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2"/>
    </row>
    <row r="214" spans="1:11" x14ac:dyDescent="0.3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2"/>
    </row>
    <row r="215" spans="1:11" x14ac:dyDescent="0.3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2"/>
    </row>
    <row r="216" spans="1:11" x14ac:dyDescent="0.3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2"/>
    </row>
    <row r="217" spans="1:11" x14ac:dyDescent="0.3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2"/>
    </row>
    <row r="218" spans="1:11" x14ac:dyDescent="0.3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2"/>
    </row>
    <row r="219" spans="1:11" x14ac:dyDescent="0.3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2"/>
    </row>
    <row r="220" spans="1:11" x14ac:dyDescent="0.3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2"/>
    </row>
    <row r="221" spans="1:11" x14ac:dyDescent="0.3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2"/>
    </row>
    <row r="222" spans="1:11" x14ac:dyDescent="0.35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2"/>
    </row>
    <row r="223" spans="1:11" x14ac:dyDescent="0.35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2"/>
    </row>
    <row r="224" spans="1:11" x14ac:dyDescent="0.35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2"/>
    </row>
    <row r="225" spans="1:11" x14ac:dyDescent="0.35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2"/>
    </row>
    <row r="226" spans="1:11" x14ac:dyDescent="0.35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2"/>
    </row>
    <row r="227" spans="1:11" x14ac:dyDescent="0.35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2"/>
    </row>
    <row r="228" spans="1:11" x14ac:dyDescent="0.35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2"/>
    </row>
    <row r="229" spans="1:11" x14ac:dyDescent="0.35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2"/>
    </row>
    <row r="230" spans="1:11" x14ac:dyDescent="0.35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2"/>
    </row>
    <row r="231" spans="1:11" x14ac:dyDescent="0.35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2"/>
    </row>
    <row r="232" spans="1:11" x14ac:dyDescent="0.35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2"/>
    </row>
    <row r="233" spans="1:11" x14ac:dyDescent="0.35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2"/>
    </row>
    <row r="234" spans="1:11" x14ac:dyDescent="0.35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2"/>
    </row>
    <row r="235" spans="1:11" x14ac:dyDescent="0.35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2"/>
    </row>
    <row r="236" spans="1:11" x14ac:dyDescent="0.35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2"/>
    </row>
    <row r="237" spans="1:11" x14ac:dyDescent="0.35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2"/>
    </row>
    <row r="238" spans="1:11" x14ac:dyDescent="0.35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2"/>
    </row>
    <row r="239" spans="1:11" x14ac:dyDescent="0.35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2"/>
    </row>
    <row r="240" spans="1:11" x14ac:dyDescent="0.35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2"/>
    </row>
    <row r="241" spans="1:11" x14ac:dyDescent="0.35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2"/>
    </row>
    <row r="242" spans="1:11" x14ac:dyDescent="0.35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2"/>
    </row>
    <row r="243" spans="1:11" x14ac:dyDescent="0.35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2"/>
    </row>
    <row r="244" spans="1:11" x14ac:dyDescent="0.35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2"/>
    </row>
    <row r="245" spans="1:11" x14ac:dyDescent="0.35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2"/>
    </row>
    <row r="246" spans="1:11" x14ac:dyDescent="0.35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2"/>
    </row>
    <row r="247" spans="1:11" x14ac:dyDescent="0.35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2"/>
    </row>
    <row r="248" spans="1:11" x14ac:dyDescent="0.35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2"/>
    </row>
    <row r="249" spans="1:11" x14ac:dyDescent="0.35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2"/>
    </row>
    <row r="250" spans="1:11" x14ac:dyDescent="0.35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2"/>
    </row>
    <row r="251" spans="1:11" x14ac:dyDescent="0.35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2"/>
    </row>
    <row r="252" spans="1:11" x14ac:dyDescent="0.35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2"/>
    </row>
    <row r="253" spans="1:11" x14ac:dyDescent="0.35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2"/>
    </row>
    <row r="254" spans="1:11" x14ac:dyDescent="0.35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2"/>
    </row>
    <row r="255" spans="1:11" x14ac:dyDescent="0.35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2"/>
    </row>
    <row r="256" spans="1:11" x14ac:dyDescent="0.35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2"/>
    </row>
    <row r="257" spans="1:11" x14ac:dyDescent="0.35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2"/>
    </row>
    <row r="258" spans="1:11" x14ac:dyDescent="0.35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2"/>
    </row>
    <row r="259" spans="1:11" x14ac:dyDescent="0.35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2"/>
    </row>
    <row r="260" spans="1:11" x14ac:dyDescent="0.35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2"/>
    </row>
    <row r="261" spans="1:11" x14ac:dyDescent="0.35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2"/>
    </row>
    <row r="262" spans="1:11" x14ac:dyDescent="0.35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2"/>
    </row>
    <row r="263" spans="1:11" x14ac:dyDescent="0.35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2"/>
    </row>
    <row r="264" spans="1:11" x14ac:dyDescent="0.35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2"/>
    </row>
    <row r="265" spans="1:11" x14ac:dyDescent="0.35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2"/>
    </row>
    <row r="266" spans="1:11" x14ac:dyDescent="0.35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2"/>
    </row>
    <row r="267" spans="1:11" x14ac:dyDescent="0.35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2"/>
    </row>
    <row r="268" spans="1:11" x14ac:dyDescent="0.35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2"/>
    </row>
    <row r="269" spans="1:11" x14ac:dyDescent="0.35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2"/>
    </row>
    <row r="270" spans="1:11" x14ac:dyDescent="0.35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2"/>
    </row>
    <row r="271" spans="1:11" x14ac:dyDescent="0.35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2"/>
    </row>
    <row r="272" spans="1:11" x14ac:dyDescent="0.35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2"/>
    </row>
    <row r="273" spans="1:11" x14ac:dyDescent="0.35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2"/>
    </row>
    <row r="274" spans="1:11" x14ac:dyDescent="0.35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2"/>
    </row>
    <row r="275" spans="1:11" x14ac:dyDescent="0.35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2"/>
    </row>
    <row r="276" spans="1:11" x14ac:dyDescent="0.35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2"/>
    </row>
    <row r="277" spans="1:11" x14ac:dyDescent="0.35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2"/>
    </row>
    <row r="278" spans="1:11" x14ac:dyDescent="0.35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2"/>
    </row>
    <row r="279" spans="1:11" x14ac:dyDescent="0.35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2"/>
    </row>
    <row r="280" spans="1:11" x14ac:dyDescent="0.35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2"/>
    </row>
    <row r="281" spans="1:11" x14ac:dyDescent="0.35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2"/>
    </row>
    <row r="282" spans="1:11" x14ac:dyDescent="0.35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2"/>
    </row>
    <row r="283" spans="1:11" x14ac:dyDescent="0.35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2"/>
    </row>
    <row r="284" spans="1:11" x14ac:dyDescent="0.35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2"/>
    </row>
    <row r="285" spans="1:11" x14ac:dyDescent="0.35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2"/>
    </row>
    <row r="286" spans="1:11" x14ac:dyDescent="0.35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2"/>
    </row>
    <row r="287" spans="1:11" x14ac:dyDescent="0.35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2"/>
    </row>
    <row r="288" spans="1:11" x14ac:dyDescent="0.35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2"/>
    </row>
    <row r="289" spans="1:11" x14ac:dyDescent="0.35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2"/>
    </row>
    <row r="290" spans="1:11" x14ac:dyDescent="0.35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2"/>
    </row>
    <row r="291" spans="1:11" x14ac:dyDescent="0.35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2"/>
    </row>
    <row r="292" spans="1:11" x14ac:dyDescent="0.35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2"/>
    </row>
    <row r="293" spans="1:11" x14ac:dyDescent="0.35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2"/>
    </row>
    <row r="294" spans="1:11" x14ac:dyDescent="0.35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2"/>
    </row>
    <row r="295" spans="1:11" x14ac:dyDescent="0.35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2"/>
    </row>
    <row r="296" spans="1:11" x14ac:dyDescent="0.35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2"/>
    </row>
    <row r="297" spans="1:11" x14ac:dyDescent="0.35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2"/>
    </row>
    <row r="298" spans="1:11" x14ac:dyDescent="0.35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2"/>
    </row>
    <row r="299" spans="1:11" x14ac:dyDescent="0.35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2"/>
    </row>
    <row r="300" spans="1:11" x14ac:dyDescent="0.35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2"/>
    </row>
    <row r="301" spans="1:11" x14ac:dyDescent="0.35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2"/>
    </row>
    <row r="302" spans="1:11" x14ac:dyDescent="0.35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2"/>
    </row>
    <row r="303" spans="1:11" x14ac:dyDescent="0.35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2"/>
    </row>
    <row r="304" spans="1:11" x14ac:dyDescent="0.35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2"/>
    </row>
    <row r="305" spans="1:11" x14ac:dyDescent="0.35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2"/>
    </row>
    <row r="306" spans="1:11" x14ac:dyDescent="0.35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2"/>
    </row>
    <row r="307" spans="1:11" x14ac:dyDescent="0.35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2"/>
    </row>
    <row r="308" spans="1:11" x14ac:dyDescent="0.35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2"/>
    </row>
    <row r="309" spans="1:11" x14ac:dyDescent="0.35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2"/>
    </row>
    <row r="310" spans="1:11" x14ac:dyDescent="0.35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2"/>
    </row>
    <row r="311" spans="1:11" x14ac:dyDescent="0.35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2"/>
    </row>
    <row r="312" spans="1:11" x14ac:dyDescent="0.35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2"/>
    </row>
    <row r="313" spans="1:11" x14ac:dyDescent="0.35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2"/>
    </row>
    <row r="314" spans="1:11" x14ac:dyDescent="0.35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2"/>
    </row>
    <row r="315" spans="1:11" x14ac:dyDescent="0.35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2"/>
    </row>
    <row r="316" spans="1:11" x14ac:dyDescent="0.35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2"/>
    </row>
    <row r="317" spans="1:11" x14ac:dyDescent="0.35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2"/>
    </row>
    <row r="318" spans="1:11" x14ac:dyDescent="0.35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2"/>
    </row>
    <row r="319" spans="1:11" x14ac:dyDescent="0.35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2"/>
    </row>
    <row r="320" spans="1:11" x14ac:dyDescent="0.35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2"/>
    </row>
    <row r="321" spans="1:11" x14ac:dyDescent="0.35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2"/>
    </row>
    <row r="322" spans="1:11" x14ac:dyDescent="0.35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2"/>
    </row>
    <row r="323" spans="1:11" x14ac:dyDescent="0.35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2"/>
    </row>
    <row r="324" spans="1:11" x14ac:dyDescent="0.35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2"/>
    </row>
    <row r="325" spans="1:11" x14ac:dyDescent="0.35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2"/>
    </row>
    <row r="326" spans="1:11" x14ac:dyDescent="0.35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2"/>
    </row>
    <row r="327" spans="1:11" x14ac:dyDescent="0.35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2"/>
    </row>
    <row r="328" spans="1:11" x14ac:dyDescent="0.35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2"/>
    </row>
    <row r="329" spans="1:11" x14ac:dyDescent="0.35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2"/>
    </row>
    <row r="330" spans="1:11" x14ac:dyDescent="0.35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2"/>
    </row>
    <row r="331" spans="1:11" x14ac:dyDescent="0.35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2"/>
    </row>
    <row r="332" spans="1:11" x14ac:dyDescent="0.35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2"/>
    </row>
    <row r="333" spans="1:11" x14ac:dyDescent="0.35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2"/>
    </row>
    <row r="334" spans="1:11" x14ac:dyDescent="0.35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2"/>
    </row>
    <row r="335" spans="1:11" x14ac:dyDescent="0.35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2"/>
    </row>
    <row r="336" spans="1:11" x14ac:dyDescent="0.35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2"/>
    </row>
    <row r="337" spans="1:11" x14ac:dyDescent="0.35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2"/>
    </row>
    <row r="338" spans="1:11" x14ac:dyDescent="0.35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2"/>
    </row>
    <row r="339" spans="1:11" x14ac:dyDescent="0.35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2"/>
    </row>
    <row r="340" spans="1:11" x14ac:dyDescent="0.35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2"/>
    </row>
    <row r="341" spans="1:11" x14ac:dyDescent="0.35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2"/>
    </row>
    <row r="342" spans="1:11" x14ac:dyDescent="0.35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2"/>
    </row>
    <row r="343" spans="1:11" x14ac:dyDescent="0.35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2"/>
    </row>
    <row r="344" spans="1:11" x14ac:dyDescent="0.35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2"/>
    </row>
    <row r="345" spans="1:11" x14ac:dyDescent="0.35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2"/>
    </row>
    <row r="346" spans="1:11" x14ac:dyDescent="0.35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2"/>
    </row>
    <row r="347" spans="1:11" x14ac:dyDescent="0.35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2"/>
    </row>
    <row r="348" spans="1:11" x14ac:dyDescent="0.35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2"/>
    </row>
    <row r="349" spans="1:11" x14ac:dyDescent="0.35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2"/>
    </row>
    <row r="350" spans="1:11" x14ac:dyDescent="0.35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2"/>
    </row>
    <row r="351" spans="1:11" x14ac:dyDescent="0.35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2"/>
    </row>
    <row r="352" spans="1:11" x14ac:dyDescent="0.35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2"/>
    </row>
    <row r="353" spans="1:11" x14ac:dyDescent="0.35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2"/>
    </row>
    <row r="354" spans="1:11" x14ac:dyDescent="0.35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2"/>
    </row>
    <row r="355" spans="1:11" x14ac:dyDescent="0.35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2"/>
    </row>
    <row r="356" spans="1:11" x14ac:dyDescent="0.35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2"/>
    </row>
    <row r="357" spans="1:11" x14ac:dyDescent="0.35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2"/>
    </row>
    <row r="358" spans="1:11" x14ac:dyDescent="0.35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2"/>
    </row>
    <row r="359" spans="1:11" x14ac:dyDescent="0.35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2"/>
    </row>
    <row r="360" spans="1:11" x14ac:dyDescent="0.35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2"/>
    </row>
    <row r="361" spans="1:11" x14ac:dyDescent="0.35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2"/>
    </row>
    <row r="362" spans="1:11" x14ac:dyDescent="0.35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2"/>
    </row>
    <row r="363" spans="1:11" x14ac:dyDescent="0.35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2"/>
    </row>
    <row r="364" spans="1:11" x14ac:dyDescent="0.35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2"/>
    </row>
    <row r="365" spans="1:11" x14ac:dyDescent="0.35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2"/>
    </row>
    <row r="366" spans="1:11" x14ac:dyDescent="0.35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2"/>
    </row>
    <row r="367" spans="1:11" x14ac:dyDescent="0.35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2"/>
    </row>
    <row r="368" spans="1:11" x14ac:dyDescent="0.35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2"/>
    </row>
    <row r="369" spans="1:11" x14ac:dyDescent="0.35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2"/>
    </row>
    <row r="370" spans="1:11" x14ac:dyDescent="0.35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2"/>
    </row>
    <row r="371" spans="1:11" x14ac:dyDescent="0.35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2"/>
    </row>
    <row r="372" spans="1:11" x14ac:dyDescent="0.35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2"/>
    </row>
    <row r="373" spans="1:11" x14ac:dyDescent="0.35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2"/>
    </row>
    <row r="374" spans="1:11" x14ac:dyDescent="0.35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2"/>
    </row>
    <row r="375" spans="1:11" x14ac:dyDescent="0.35">
      <c r="A375" s="21"/>
      <c r="B375" s="21"/>
      <c r="C375" s="21"/>
      <c r="D375" s="21"/>
      <c r="E375" s="21"/>
      <c r="F375" s="21"/>
      <c r="G375" s="21"/>
      <c r="H375" s="21"/>
      <c r="I375" s="21"/>
      <c r="J375" s="21"/>
      <c r="K375" s="22"/>
    </row>
    <row r="376" spans="1:11" x14ac:dyDescent="0.35">
      <c r="A376" s="21"/>
      <c r="B376" s="21"/>
      <c r="C376" s="21"/>
      <c r="D376" s="21"/>
      <c r="E376" s="21"/>
      <c r="F376" s="21"/>
      <c r="G376" s="21"/>
      <c r="H376" s="21"/>
      <c r="I376" s="21"/>
      <c r="J376" s="21"/>
      <c r="K376" s="22"/>
    </row>
    <row r="377" spans="1:11" x14ac:dyDescent="0.35">
      <c r="A377" s="21"/>
      <c r="B377" s="21"/>
      <c r="C377" s="21"/>
      <c r="D377" s="21"/>
      <c r="E377" s="21"/>
      <c r="F377" s="21"/>
      <c r="G377" s="21"/>
      <c r="H377" s="21"/>
      <c r="I377" s="21"/>
      <c r="J377" s="21"/>
      <c r="K377" s="22"/>
    </row>
    <row r="378" spans="1:11" x14ac:dyDescent="0.35">
      <c r="A378" s="21"/>
      <c r="B378" s="21"/>
      <c r="C378" s="21"/>
      <c r="D378" s="21"/>
      <c r="E378" s="21"/>
      <c r="F378" s="21"/>
      <c r="G378" s="21"/>
      <c r="H378" s="21"/>
      <c r="I378" s="21"/>
      <c r="J378" s="21"/>
      <c r="K378" s="22"/>
    </row>
    <row r="379" spans="1:11" x14ac:dyDescent="0.35">
      <c r="A379" s="21"/>
      <c r="B379" s="21"/>
      <c r="C379" s="21"/>
      <c r="D379" s="21"/>
      <c r="E379" s="21"/>
      <c r="F379" s="21"/>
      <c r="G379" s="21"/>
      <c r="H379" s="21"/>
      <c r="I379" s="21"/>
      <c r="J379" s="21"/>
      <c r="K379" s="22"/>
    </row>
    <row r="380" spans="1:11" x14ac:dyDescent="0.35">
      <c r="A380" s="21"/>
      <c r="B380" s="21"/>
      <c r="C380" s="21"/>
      <c r="D380" s="21"/>
      <c r="E380" s="21"/>
      <c r="F380" s="21"/>
      <c r="G380" s="21"/>
      <c r="H380" s="21"/>
      <c r="I380" s="21"/>
      <c r="J380" s="21"/>
      <c r="K380" s="22"/>
    </row>
    <row r="381" spans="1:11" x14ac:dyDescent="0.35">
      <c r="A381" s="21"/>
      <c r="B381" s="21"/>
      <c r="C381" s="21"/>
      <c r="D381" s="21"/>
      <c r="E381" s="21"/>
      <c r="F381" s="21"/>
      <c r="G381" s="21"/>
      <c r="H381" s="21"/>
      <c r="I381" s="21"/>
      <c r="J381" s="21"/>
      <c r="K381" s="22"/>
    </row>
    <row r="382" spans="1:11" x14ac:dyDescent="0.35">
      <c r="A382" s="21"/>
      <c r="B382" s="21"/>
      <c r="C382" s="21"/>
      <c r="D382" s="21"/>
      <c r="E382" s="21"/>
      <c r="F382" s="21"/>
      <c r="G382" s="21"/>
      <c r="H382" s="21"/>
      <c r="I382" s="21"/>
      <c r="J382" s="21"/>
      <c r="K382" s="22"/>
    </row>
    <row r="383" spans="1:11" x14ac:dyDescent="0.35">
      <c r="A383" s="21"/>
      <c r="B383" s="21"/>
      <c r="C383" s="21"/>
      <c r="D383" s="21"/>
      <c r="E383" s="21"/>
      <c r="F383" s="21"/>
      <c r="G383" s="21"/>
      <c r="H383" s="21"/>
      <c r="I383" s="21"/>
      <c r="J383" s="21"/>
      <c r="K383" s="22"/>
    </row>
    <row r="384" spans="1:11" x14ac:dyDescent="0.35">
      <c r="A384" s="21"/>
      <c r="B384" s="21"/>
      <c r="C384" s="21"/>
      <c r="D384" s="21"/>
      <c r="E384" s="21"/>
      <c r="F384" s="21"/>
      <c r="G384" s="21"/>
      <c r="H384" s="21"/>
      <c r="I384" s="21"/>
      <c r="J384" s="21"/>
      <c r="K384" s="22"/>
    </row>
    <row r="385" spans="1:11" x14ac:dyDescent="0.35">
      <c r="A385" s="21"/>
      <c r="B385" s="21"/>
      <c r="C385" s="21"/>
      <c r="D385" s="21"/>
      <c r="E385" s="21"/>
      <c r="F385" s="21"/>
      <c r="G385" s="21"/>
      <c r="H385" s="21"/>
      <c r="I385" s="21"/>
      <c r="J385" s="21"/>
      <c r="K385" s="22"/>
    </row>
    <row r="386" spans="1:11" x14ac:dyDescent="0.35">
      <c r="A386" s="21"/>
      <c r="B386" s="21"/>
      <c r="C386" s="21"/>
      <c r="D386" s="21"/>
      <c r="E386" s="21"/>
      <c r="F386" s="21"/>
      <c r="G386" s="21"/>
      <c r="H386" s="21"/>
      <c r="I386" s="21"/>
      <c r="J386" s="21"/>
      <c r="K386" s="22"/>
    </row>
    <row r="387" spans="1:11" x14ac:dyDescent="0.35">
      <c r="A387" s="21"/>
      <c r="B387" s="21"/>
      <c r="C387" s="21"/>
      <c r="D387" s="21"/>
      <c r="E387" s="21"/>
      <c r="F387" s="21"/>
      <c r="G387" s="21"/>
      <c r="H387" s="21"/>
      <c r="I387" s="21"/>
      <c r="J387" s="21"/>
      <c r="K387" s="22"/>
    </row>
    <row r="388" spans="1:11" x14ac:dyDescent="0.35">
      <c r="A388" s="21"/>
      <c r="B388" s="21"/>
      <c r="C388" s="21"/>
      <c r="D388" s="21"/>
      <c r="E388" s="21"/>
      <c r="F388" s="21"/>
      <c r="G388" s="21"/>
      <c r="H388" s="21"/>
      <c r="I388" s="21"/>
      <c r="J388" s="21"/>
      <c r="K388" s="22"/>
    </row>
    <row r="389" spans="1:11" x14ac:dyDescent="0.35">
      <c r="A389" s="21"/>
      <c r="B389" s="21"/>
      <c r="C389" s="21"/>
      <c r="D389" s="21"/>
      <c r="E389" s="21"/>
      <c r="F389" s="21"/>
      <c r="G389" s="21"/>
      <c r="H389" s="21"/>
      <c r="I389" s="21"/>
      <c r="J389" s="21"/>
      <c r="K389" s="22"/>
    </row>
    <row r="390" spans="1:11" x14ac:dyDescent="0.35">
      <c r="A390" s="21"/>
      <c r="B390" s="21"/>
      <c r="C390" s="21"/>
      <c r="D390" s="21"/>
      <c r="E390" s="21"/>
      <c r="F390" s="21"/>
      <c r="G390" s="21"/>
      <c r="H390" s="21"/>
      <c r="I390" s="21"/>
      <c r="J390" s="21"/>
      <c r="K390" s="22"/>
    </row>
    <row r="391" spans="1:11" x14ac:dyDescent="0.35">
      <c r="A391" s="21"/>
      <c r="B391" s="21"/>
      <c r="C391" s="21"/>
      <c r="D391" s="21"/>
      <c r="E391" s="21"/>
      <c r="F391" s="21"/>
      <c r="G391" s="21"/>
      <c r="H391" s="21"/>
      <c r="I391" s="21"/>
      <c r="J391" s="21"/>
      <c r="K391" s="22"/>
    </row>
    <row r="392" spans="1:11" x14ac:dyDescent="0.35">
      <c r="A392" s="21"/>
      <c r="B392" s="21"/>
      <c r="C392" s="21"/>
      <c r="D392" s="21"/>
      <c r="E392" s="21"/>
      <c r="F392" s="21"/>
      <c r="G392" s="21"/>
      <c r="H392" s="21"/>
      <c r="I392" s="21"/>
      <c r="J392" s="21"/>
      <c r="K392" s="22"/>
    </row>
    <row r="393" spans="1:11" x14ac:dyDescent="0.35">
      <c r="A393" s="21"/>
      <c r="B393" s="21"/>
      <c r="C393" s="21"/>
      <c r="D393" s="21"/>
      <c r="E393" s="21"/>
      <c r="F393" s="21"/>
      <c r="G393" s="21"/>
      <c r="H393" s="21"/>
      <c r="I393" s="21"/>
      <c r="J393" s="21"/>
      <c r="K393" s="22"/>
    </row>
    <row r="394" spans="1:11" x14ac:dyDescent="0.35">
      <c r="A394" s="21"/>
      <c r="B394" s="21"/>
      <c r="C394" s="21"/>
      <c r="D394" s="21"/>
      <c r="E394" s="21"/>
      <c r="F394" s="21"/>
      <c r="G394" s="21"/>
      <c r="H394" s="21"/>
      <c r="I394" s="21"/>
      <c r="J394" s="21"/>
      <c r="K394" s="22"/>
    </row>
    <row r="395" spans="1:11" x14ac:dyDescent="0.35">
      <c r="A395" s="21"/>
      <c r="B395" s="21"/>
      <c r="C395" s="21"/>
      <c r="D395" s="21"/>
      <c r="E395" s="21"/>
      <c r="F395" s="21"/>
      <c r="G395" s="21"/>
      <c r="H395" s="21"/>
      <c r="I395" s="21"/>
      <c r="J395" s="21"/>
      <c r="K395" s="22"/>
    </row>
    <row r="396" spans="1:11" x14ac:dyDescent="0.35">
      <c r="A396" s="21"/>
      <c r="B396" s="21"/>
      <c r="C396" s="21"/>
      <c r="D396" s="21"/>
      <c r="E396" s="21"/>
      <c r="F396" s="21"/>
      <c r="G396" s="21"/>
      <c r="H396" s="21"/>
      <c r="I396" s="21"/>
      <c r="J396" s="21"/>
      <c r="K396" s="22"/>
    </row>
    <row r="397" spans="1:11" x14ac:dyDescent="0.35">
      <c r="A397" s="21"/>
      <c r="B397" s="21"/>
      <c r="C397" s="21"/>
      <c r="D397" s="21"/>
      <c r="E397" s="21"/>
      <c r="F397" s="21"/>
      <c r="G397" s="21"/>
      <c r="H397" s="21"/>
      <c r="I397" s="21"/>
      <c r="J397" s="21"/>
      <c r="K397" s="22"/>
    </row>
    <row r="398" spans="1:11" x14ac:dyDescent="0.35">
      <c r="A398" s="21"/>
      <c r="B398" s="21"/>
      <c r="C398" s="21"/>
      <c r="D398" s="21"/>
      <c r="E398" s="21"/>
      <c r="F398" s="21"/>
      <c r="G398" s="21"/>
      <c r="H398" s="21"/>
      <c r="I398" s="21"/>
      <c r="J398" s="21"/>
      <c r="K398" s="22"/>
    </row>
    <row r="399" spans="1:11" x14ac:dyDescent="0.35">
      <c r="A399" s="21"/>
      <c r="B399" s="21"/>
      <c r="C399" s="21"/>
      <c r="D399" s="21"/>
      <c r="E399" s="21"/>
      <c r="F399" s="21"/>
      <c r="G399" s="21"/>
      <c r="H399" s="21"/>
      <c r="I399" s="21"/>
      <c r="J399" s="21"/>
      <c r="K399" s="22"/>
    </row>
    <row r="400" spans="1:11" x14ac:dyDescent="0.35">
      <c r="A400" s="21"/>
      <c r="B400" s="21"/>
      <c r="C400" s="21"/>
      <c r="D400" s="21"/>
      <c r="E400" s="21"/>
      <c r="F400" s="21"/>
      <c r="G400" s="21"/>
      <c r="H400" s="21"/>
      <c r="I400" s="21"/>
      <c r="J400" s="21"/>
      <c r="K400" s="22"/>
    </row>
    <row r="401" spans="1:11" x14ac:dyDescent="0.35">
      <c r="A401" s="21"/>
      <c r="B401" s="21"/>
      <c r="C401" s="21"/>
      <c r="D401" s="21"/>
      <c r="E401" s="21"/>
      <c r="F401" s="21"/>
      <c r="G401" s="21"/>
      <c r="H401" s="21"/>
      <c r="I401" s="21"/>
      <c r="J401" s="21"/>
      <c r="K401" s="22"/>
    </row>
    <row r="402" spans="1:11" x14ac:dyDescent="0.35">
      <c r="A402" s="21"/>
      <c r="B402" s="21"/>
      <c r="C402" s="21"/>
      <c r="D402" s="21"/>
      <c r="E402" s="21"/>
      <c r="F402" s="21"/>
      <c r="G402" s="21"/>
      <c r="H402" s="21"/>
      <c r="I402" s="21"/>
      <c r="J402" s="21"/>
      <c r="K402" s="22"/>
    </row>
    <row r="403" spans="1:11" x14ac:dyDescent="0.35">
      <c r="A403" s="21"/>
      <c r="B403" s="21"/>
      <c r="C403" s="21"/>
      <c r="D403" s="21"/>
      <c r="E403" s="21"/>
      <c r="F403" s="21"/>
      <c r="G403" s="21"/>
      <c r="H403" s="21"/>
      <c r="I403" s="21"/>
      <c r="J403" s="21"/>
      <c r="K403" s="22"/>
    </row>
    <row r="404" spans="1:11" x14ac:dyDescent="0.35">
      <c r="A404" s="21"/>
      <c r="B404" s="21"/>
      <c r="C404" s="21"/>
      <c r="D404" s="21"/>
      <c r="E404" s="21"/>
      <c r="F404" s="21"/>
      <c r="G404" s="21"/>
      <c r="H404" s="21"/>
      <c r="I404" s="21"/>
      <c r="J404" s="21"/>
      <c r="K404" s="22"/>
    </row>
    <row r="405" spans="1:11" x14ac:dyDescent="0.35">
      <c r="A405" s="21"/>
      <c r="B405" s="21"/>
      <c r="C405" s="21"/>
      <c r="D405" s="21"/>
      <c r="E405" s="21"/>
      <c r="F405" s="21"/>
      <c r="G405" s="21"/>
      <c r="H405" s="21"/>
      <c r="I405" s="21"/>
      <c r="J405" s="21"/>
      <c r="K405" s="22"/>
    </row>
    <row r="406" spans="1:11" x14ac:dyDescent="0.35">
      <c r="A406" s="21"/>
      <c r="B406" s="21"/>
      <c r="C406" s="21"/>
      <c r="D406" s="21"/>
      <c r="E406" s="21"/>
      <c r="F406" s="21"/>
      <c r="G406" s="21"/>
      <c r="H406" s="21"/>
      <c r="I406" s="21"/>
      <c r="J406" s="21"/>
      <c r="K406" s="22"/>
    </row>
    <row r="407" spans="1:11" x14ac:dyDescent="0.35">
      <c r="A407" s="21"/>
      <c r="B407" s="21"/>
      <c r="C407" s="21"/>
      <c r="D407" s="21"/>
      <c r="E407" s="21"/>
      <c r="F407" s="21"/>
      <c r="G407" s="21"/>
      <c r="H407" s="21"/>
      <c r="I407" s="21"/>
      <c r="J407" s="21"/>
      <c r="K407" s="22"/>
    </row>
    <row r="408" spans="1:11" x14ac:dyDescent="0.35">
      <c r="A408" s="21"/>
      <c r="B408" s="21"/>
      <c r="C408" s="21"/>
      <c r="D408" s="21"/>
      <c r="E408" s="21"/>
      <c r="F408" s="21"/>
      <c r="G408" s="21"/>
      <c r="H408" s="21"/>
      <c r="I408" s="21"/>
      <c r="J408" s="21"/>
      <c r="K408" s="22"/>
    </row>
    <row r="409" spans="1:11" x14ac:dyDescent="0.35">
      <c r="A409" s="21"/>
      <c r="B409" s="21"/>
      <c r="C409" s="21"/>
      <c r="D409" s="21"/>
      <c r="E409" s="21"/>
      <c r="F409" s="21"/>
      <c r="G409" s="21"/>
      <c r="H409" s="21"/>
      <c r="I409" s="21"/>
      <c r="J409" s="21"/>
      <c r="K409" s="22"/>
    </row>
    <row r="410" spans="1:11" x14ac:dyDescent="0.35">
      <c r="A410" s="21"/>
      <c r="B410" s="21"/>
      <c r="C410" s="21"/>
      <c r="D410" s="21"/>
      <c r="E410" s="21"/>
      <c r="F410" s="21"/>
      <c r="G410" s="21"/>
      <c r="H410" s="21"/>
      <c r="I410" s="21"/>
      <c r="J410" s="21"/>
      <c r="K410" s="22"/>
    </row>
    <row r="411" spans="1:11" x14ac:dyDescent="0.35">
      <c r="A411" s="21"/>
      <c r="B411" s="21"/>
      <c r="C411" s="21"/>
      <c r="D411" s="21"/>
      <c r="E411" s="21"/>
      <c r="F411" s="21"/>
      <c r="G411" s="21"/>
      <c r="H411" s="21"/>
      <c r="I411" s="21"/>
      <c r="J411" s="21"/>
      <c r="K411" s="22"/>
    </row>
    <row r="412" spans="1:11" x14ac:dyDescent="0.35">
      <c r="A412" s="21"/>
      <c r="B412" s="21"/>
      <c r="C412" s="21"/>
      <c r="D412" s="21"/>
      <c r="E412" s="21"/>
      <c r="F412" s="21"/>
      <c r="G412" s="21"/>
      <c r="H412" s="21"/>
      <c r="I412" s="21"/>
      <c r="J412" s="21"/>
      <c r="K412" s="22"/>
    </row>
    <row r="413" spans="1:11" x14ac:dyDescent="0.35">
      <c r="A413" s="21"/>
      <c r="B413" s="21"/>
      <c r="C413" s="21"/>
      <c r="D413" s="21"/>
      <c r="E413" s="21"/>
      <c r="F413" s="21"/>
      <c r="G413" s="21"/>
      <c r="H413" s="21"/>
      <c r="I413" s="21"/>
      <c r="J413" s="21"/>
      <c r="K413" s="22"/>
    </row>
    <row r="414" spans="1:11" x14ac:dyDescent="0.35">
      <c r="A414" s="21"/>
      <c r="B414" s="21"/>
      <c r="C414" s="21"/>
      <c r="D414" s="21"/>
      <c r="E414" s="21"/>
      <c r="F414" s="21"/>
      <c r="G414" s="21"/>
      <c r="H414" s="21"/>
      <c r="I414" s="21"/>
      <c r="J414" s="21"/>
      <c r="K414" s="22"/>
    </row>
    <row r="415" spans="1:11" x14ac:dyDescent="0.35">
      <c r="A415" s="21"/>
      <c r="B415" s="21"/>
      <c r="C415" s="21"/>
      <c r="D415" s="21"/>
      <c r="E415" s="21"/>
      <c r="F415" s="21"/>
      <c r="G415" s="21"/>
      <c r="H415" s="21"/>
      <c r="I415" s="21"/>
      <c r="J415" s="21"/>
      <c r="K415" s="22"/>
    </row>
    <row r="416" spans="1:11" x14ac:dyDescent="0.35">
      <c r="A416" s="21"/>
      <c r="B416" s="21"/>
      <c r="C416" s="21"/>
      <c r="D416" s="21"/>
      <c r="E416" s="21"/>
      <c r="F416" s="21"/>
      <c r="G416" s="21"/>
      <c r="H416" s="21"/>
      <c r="I416" s="21"/>
      <c r="J416" s="21"/>
      <c r="K416" s="22"/>
    </row>
    <row r="417" spans="1:11" x14ac:dyDescent="0.35">
      <c r="A417" s="21"/>
      <c r="B417" s="21"/>
      <c r="C417" s="21"/>
      <c r="D417" s="21"/>
      <c r="E417" s="21"/>
      <c r="F417" s="21"/>
      <c r="G417" s="21"/>
      <c r="H417" s="21"/>
      <c r="I417" s="21"/>
      <c r="J417" s="21"/>
      <c r="K417" s="22"/>
    </row>
    <row r="418" spans="1:11" x14ac:dyDescent="0.35">
      <c r="A418" s="21"/>
      <c r="B418" s="21"/>
      <c r="C418" s="21"/>
      <c r="D418" s="21"/>
      <c r="E418" s="21"/>
      <c r="F418" s="21"/>
      <c r="G418" s="21"/>
      <c r="H418" s="21"/>
      <c r="I418" s="21"/>
      <c r="J418" s="21"/>
      <c r="K418" s="22"/>
    </row>
    <row r="419" spans="1:11" x14ac:dyDescent="0.35">
      <c r="A419" s="21"/>
      <c r="B419" s="21"/>
      <c r="C419" s="21"/>
      <c r="D419" s="21"/>
      <c r="E419" s="21"/>
      <c r="F419" s="21"/>
      <c r="G419" s="21"/>
      <c r="H419" s="21"/>
      <c r="I419" s="21"/>
      <c r="J419" s="21"/>
      <c r="K419" s="22"/>
    </row>
    <row r="420" spans="1:11" x14ac:dyDescent="0.35">
      <c r="A420" s="21"/>
      <c r="B420" s="21"/>
      <c r="C420" s="21"/>
      <c r="D420" s="21"/>
      <c r="E420" s="21"/>
      <c r="F420" s="21"/>
      <c r="G420" s="21"/>
      <c r="H420" s="21"/>
      <c r="I420" s="21"/>
      <c r="J420" s="21"/>
      <c r="K420" s="22"/>
    </row>
    <row r="421" spans="1:11" x14ac:dyDescent="0.35">
      <c r="A421" s="21"/>
      <c r="B421" s="21"/>
      <c r="C421" s="21"/>
      <c r="D421" s="21"/>
      <c r="E421" s="21"/>
      <c r="F421" s="21"/>
      <c r="G421" s="21"/>
      <c r="H421" s="21"/>
      <c r="I421" s="21"/>
      <c r="J421" s="21"/>
      <c r="K421" s="22"/>
    </row>
    <row r="422" spans="1:11" x14ac:dyDescent="0.35">
      <c r="A422" s="21"/>
      <c r="B422" s="21"/>
      <c r="C422" s="21"/>
      <c r="D422" s="21"/>
      <c r="E422" s="21"/>
      <c r="F422" s="21"/>
      <c r="G422" s="21"/>
      <c r="H422" s="21"/>
      <c r="I422" s="21"/>
      <c r="J422" s="21"/>
      <c r="K422" s="22"/>
    </row>
    <row r="423" spans="1:11" x14ac:dyDescent="0.35">
      <c r="A423" s="21"/>
      <c r="B423" s="21"/>
      <c r="C423" s="21"/>
      <c r="D423" s="21"/>
      <c r="E423" s="21"/>
      <c r="F423" s="21"/>
      <c r="G423" s="21"/>
      <c r="H423" s="21"/>
      <c r="I423" s="21"/>
      <c r="J423" s="21"/>
      <c r="K423" s="22"/>
    </row>
    <row r="424" spans="1:11" x14ac:dyDescent="0.35">
      <c r="A424" s="21"/>
      <c r="B424" s="21"/>
      <c r="C424" s="21"/>
      <c r="D424" s="21"/>
      <c r="E424" s="21"/>
      <c r="F424" s="21"/>
      <c r="G424" s="21"/>
      <c r="H424" s="21"/>
      <c r="I424" s="21"/>
      <c r="J424" s="21"/>
      <c r="K424" s="22"/>
    </row>
    <row r="425" spans="1:11" x14ac:dyDescent="0.35">
      <c r="A425" s="21"/>
      <c r="B425" s="21"/>
      <c r="C425" s="21"/>
      <c r="D425" s="21"/>
      <c r="E425" s="21"/>
      <c r="F425" s="21"/>
      <c r="G425" s="21"/>
      <c r="H425" s="21"/>
      <c r="I425" s="21"/>
      <c r="J425" s="21"/>
      <c r="K425" s="22"/>
    </row>
    <row r="426" spans="1:11" x14ac:dyDescent="0.35">
      <c r="A426" s="21"/>
      <c r="B426" s="21"/>
      <c r="C426" s="21"/>
      <c r="D426" s="21"/>
      <c r="E426" s="21"/>
      <c r="F426" s="21"/>
      <c r="G426" s="21"/>
      <c r="H426" s="21"/>
      <c r="I426" s="21"/>
      <c r="J426" s="21"/>
      <c r="K426" s="22"/>
    </row>
    <row r="427" spans="1:11" x14ac:dyDescent="0.35">
      <c r="A427" s="21"/>
      <c r="B427" s="21"/>
      <c r="C427" s="21"/>
      <c r="D427" s="21"/>
      <c r="E427" s="21"/>
      <c r="F427" s="21"/>
      <c r="G427" s="21"/>
      <c r="H427" s="21"/>
      <c r="I427" s="21"/>
      <c r="J427" s="21"/>
      <c r="K427" s="22"/>
    </row>
    <row r="428" spans="1:11" x14ac:dyDescent="0.35">
      <c r="A428" s="21"/>
      <c r="B428" s="21"/>
      <c r="C428" s="21"/>
      <c r="D428" s="21"/>
      <c r="E428" s="21"/>
      <c r="F428" s="21"/>
      <c r="G428" s="21"/>
      <c r="H428" s="21"/>
      <c r="I428" s="21"/>
      <c r="J428" s="21"/>
      <c r="K428" s="22"/>
    </row>
    <row r="429" spans="1:11" x14ac:dyDescent="0.35">
      <c r="A429" s="21"/>
      <c r="B429" s="21"/>
      <c r="C429" s="21"/>
      <c r="D429" s="21"/>
      <c r="E429" s="21"/>
      <c r="F429" s="21"/>
      <c r="G429" s="21"/>
      <c r="H429" s="21"/>
      <c r="I429" s="21"/>
      <c r="J429" s="21"/>
      <c r="K429" s="22"/>
    </row>
    <row r="430" spans="1:11" x14ac:dyDescent="0.35">
      <c r="A430" s="21"/>
      <c r="B430" s="21"/>
      <c r="C430" s="21"/>
      <c r="D430" s="21"/>
      <c r="E430" s="21"/>
      <c r="F430" s="21"/>
      <c r="G430" s="21"/>
      <c r="H430" s="21"/>
      <c r="I430" s="21"/>
      <c r="J430" s="21"/>
      <c r="K430" s="22"/>
    </row>
    <row r="431" spans="1:11" x14ac:dyDescent="0.35">
      <c r="A431" s="21"/>
      <c r="B431" s="21"/>
      <c r="C431" s="21"/>
      <c r="D431" s="21"/>
      <c r="E431" s="21"/>
      <c r="F431" s="21"/>
      <c r="G431" s="21"/>
      <c r="H431" s="21"/>
      <c r="I431" s="21"/>
      <c r="J431" s="21"/>
      <c r="K431" s="22"/>
    </row>
    <row r="432" spans="1:11" x14ac:dyDescent="0.35">
      <c r="A432" s="21"/>
      <c r="B432" s="21"/>
      <c r="C432" s="21"/>
      <c r="D432" s="21"/>
      <c r="E432" s="21"/>
      <c r="F432" s="21"/>
      <c r="G432" s="21"/>
      <c r="H432" s="21"/>
      <c r="I432" s="21"/>
      <c r="J432" s="21"/>
      <c r="K432" s="22"/>
    </row>
    <row r="433" spans="1:11" x14ac:dyDescent="0.35">
      <c r="A433" s="21"/>
      <c r="B433" s="21"/>
      <c r="C433" s="21"/>
      <c r="D433" s="21"/>
      <c r="E433" s="21"/>
      <c r="F433" s="21"/>
      <c r="G433" s="21"/>
      <c r="H433" s="21"/>
      <c r="I433" s="21"/>
      <c r="J433" s="21"/>
      <c r="K433" s="22"/>
    </row>
    <row r="434" spans="1:11" x14ac:dyDescent="0.35">
      <c r="A434" s="21"/>
      <c r="B434" s="21"/>
      <c r="C434" s="21"/>
      <c r="D434" s="21"/>
      <c r="E434" s="21"/>
      <c r="F434" s="21"/>
      <c r="G434" s="21"/>
      <c r="H434" s="21"/>
      <c r="I434" s="21"/>
      <c r="J434" s="21"/>
      <c r="K434" s="22"/>
    </row>
    <row r="435" spans="1:11" x14ac:dyDescent="0.35">
      <c r="A435" s="21"/>
      <c r="B435" s="21"/>
      <c r="C435" s="21"/>
      <c r="D435" s="21"/>
      <c r="E435" s="21"/>
      <c r="F435" s="21"/>
      <c r="G435" s="21"/>
      <c r="H435" s="21"/>
      <c r="I435" s="21"/>
      <c r="J435" s="21"/>
      <c r="K435" s="22"/>
    </row>
    <row r="436" spans="1:11" x14ac:dyDescent="0.35">
      <c r="A436" s="21"/>
      <c r="B436" s="21"/>
      <c r="C436" s="21"/>
      <c r="D436" s="21"/>
      <c r="E436" s="21"/>
      <c r="F436" s="21"/>
      <c r="G436" s="21"/>
      <c r="H436" s="21"/>
      <c r="I436" s="21"/>
      <c r="J436" s="21"/>
      <c r="K436" s="22"/>
    </row>
    <row r="437" spans="1:11" x14ac:dyDescent="0.35">
      <c r="A437" s="21"/>
      <c r="B437" s="21"/>
      <c r="C437" s="21"/>
      <c r="D437" s="21"/>
      <c r="E437" s="21"/>
      <c r="F437" s="21"/>
      <c r="G437" s="21"/>
      <c r="H437" s="21"/>
      <c r="I437" s="21"/>
      <c r="J437" s="21"/>
      <c r="K437" s="22"/>
    </row>
    <row r="438" spans="1:11" x14ac:dyDescent="0.35">
      <c r="A438" s="21"/>
      <c r="B438" s="21"/>
      <c r="C438" s="21"/>
      <c r="D438" s="21"/>
      <c r="E438" s="21"/>
      <c r="F438" s="21"/>
      <c r="G438" s="21"/>
      <c r="H438" s="21"/>
      <c r="I438" s="21"/>
      <c r="J438" s="21"/>
      <c r="K438" s="22"/>
    </row>
    <row r="439" spans="1:11" x14ac:dyDescent="0.35">
      <c r="A439" s="21"/>
      <c r="B439" s="21"/>
      <c r="C439" s="21"/>
      <c r="D439" s="21"/>
      <c r="E439" s="21"/>
      <c r="F439" s="21"/>
      <c r="G439" s="21"/>
      <c r="H439" s="21"/>
      <c r="I439" s="21"/>
      <c r="J439" s="21"/>
      <c r="K439" s="22"/>
    </row>
    <row r="440" spans="1:11" x14ac:dyDescent="0.35">
      <c r="A440" s="21"/>
      <c r="B440" s="21"/>
      <c r="C440" s="21"/>
      <c r="D440" s="21"/>
      <c r="E440" s="21"/>
      <c r="F440" s="21"/>
      <c r="G440" s="21"/>
      <c r="H440" s="21"/>
      <c r="I440" s="21"/>
      <c r="J440" s="21"/>
      <c r="K440" s="22"/>
    </row>
    <row r="441" spans="1:11" x14ac:dyDescent="0.35">
      <c r="A441" s="21"/>
      <c r="B441" s="21"/>
      <c r="C441" s="21"/>
      <c r="D441" s="21"/>
      <c r="E441" s="21"/>
      <c r="F441" s="21"/>
      <c r="G441" s="21"/>
      <c r="H441" s="21"/>
      <c r="I441" s="21"/>
      <c r="J441" s="21"/>
      <c r="K441" s="22"/>
    </row>
    <row r="442" spans="1:11" x14ac:dyDescent="0.35">
      <c r="A442" s="21"/>
      <c r="B442" s="21"/>
      <c r="C442" s="21"/>
      <c r="D442" s="21"/>
      <c r="E442" s="21"/>
      <c r="F442" s="21"/>
      <c r="G442" s="21"/>
      <c r="H442" s="21"/>
      <c r="I442" s="21"/>
      <c r="J442" s="21"/>
      <c r="K442" s="22"/>
    </row>
    <row r="443" spans="1:11" x14ac:dyDescent="0.35">
      <c r="A443" s="21"/>
      <c r="B443" s="21"/>
      <c r="C443" s="21"/>
      <c r="D443" s="21"/>
      <c r="E443" s="21"/>
      <c r="F443" s="21"/>
      <c r="G443" s="21"/>
      <c r="H443" s="21"/>
      <c r="I443" s="21"/>
      <c r="J443" s="21"/>
      <c r="K443" s="22"/>
    </row>
    <row r="444" spans="1:11" x14ac:dyDescent="0.35">
      <c r="A444" s="21"/>
      <c r="B444" s="21"/>
      <c r="C444" s="21"/>
      <c r="D444" s="21"/>
      <c r="E444" s="21"/>
      <c r="F444" s="21"/>
      <c r="G444" s="21"/>
      <c r="H444" s="21"/>
      <c r="I444" s="21"/>
      <c r="J444" s="21"/>
      <c r="K444" s="22"/>
    </row>
    <row r="445" spans="1:11" x14ac:dyDescent="0.35">
      <c r="A445" s="21"/>
      <c r="B445" s="21"/>
      <c r="C445" s="21"/>
      <c r="D445" s="21"/>
      <c r="E445" s="21"/>
      <c r="F445" s="21"/>
      <c r="G445" s="21"/>
      <c r="H445" s="21"/>
      <c r="I445" s="21"/>
      <c r="J445" s="21"/>
      <c r="K445" s="22"/>
    </row>
    <row r="446" spans="1:11" x14ac:dyDescent="0.35">
      <c r="A446" s="21"/>
      <c r="B446" s="21"/>
      <c r="C446" s="21"/>
      <c r="D446" s="21"/>
      <c r="E446" s="21"/>
      <c r="F446" s="21"/>
      <c r="G446" s="21"/>
      <c r="H446" s="21"/>
      <c r="I446" s="21"/>
      <c r="J446" s="21"/>
      <c r="K446" s="22"/>
    </row>
    <row r="447" spans="1:11" x14ac:dyDescent="0.35">
      <c r="A447" s="21"/>
      <c r="B447" s="21"/>
      <c r="C447" s="21"/>
      <c r="D447" s="21"/>
      <c r="E447" s="21"/>
      <c r="F447" s="21"/>
      <c r="G447" s="21"/>
      <c r="H447" s="21"/>
      <c r="I447" s="21"/>
      <c r="J447" s="21"/>
      <c r="K447" s="22"/>
    </row>
    <row r="448" spans="1:11" x14ac:dyDescent="0.35">
      <c r="A448" s="21"/>
      <c r="B448" s="21"/>
      <c r="C448" s="21"/>
      <c r="D448" s="21"/>
      <c r="E448" s="21"/>
      <c r="F448" s="21"/>
      <c r="G448" s="21"/>
      <c r="H448" s="21"/>
      <c r="I448" s="21"/>
      <c r="J448" s="21"/>
      <c r="K448" s="22"/>
    </row>
    <row r="449" spans="1:11" x14ac:dyDescent="0.35">
      <c r="A449" s="21"/>
      <c r="B449" s="21"/>
      <c r="C449" s="21"/>
      <c r="D449" s="21"/>
      <c r="E449" s="21"/>
      <c r="F449" s="21"/>
      <c r="G449" s="21"/>
      <c r="H449" s="21"/>
      <c r="I449" s="21"/>
      <c r="J449" s="21"/>
      <c r="K449" s="22"/>
    </row>
    <row r="450" spans="1:11" x14ac:dyDescent="0.35">
      <c r="A450" s="21"/>
      <c r="B450" s="21"/>
      <c r="C450" s="21"/>
      <c r="D450" s="21"/>
      <c r="E450" s="21"/>
      <c r="F450" s="21"/>
      <c r="G450" s="21"/>
      <c r="H450" s="21"/>
      <c r="I450" s="21"/>
      <c r="J450" s="21"/>
      <c r="K450" s="22"/>
    </row>
    <row r="451" spans="1:11" x14ac:dyDescent="0.35">
      <c r="A451" s="21"/>
      <c r="B451" s="21"/>
      <c r="C451" s="21"/>
      <c r="D451" s="21"/>
      <c r="E451" s="21"/>
      <c r="F451" s="21"/>
      <c r="G451" s="21"/>
      <c r="H451" s="21"/>
      <c r="I451" s="21"/>
      <c r="J451" s="21"/>
      <c r="K451" s="22"/>
    </row>
    <row r="452" spans="1:11" x14ac:dyDescent="0.35">
      <c r="A452" s="21"/>
      <c r="B452" s="21"/>
      <c r="C452" s="21"/>
      <c r="D452" s="21"/>
      <c r="E452" s="21"/>
      <c r="F452" s="21"/>
      <c r="G452" s="21"/>
      <c r="H452" s="21"/>
      <c r="I452" s="21"/>
      <c r="J452" s="21"/>
      <c r="K452" s="22"/>
    </row>
    <row r="453" spans="1:11" x14ac:dyDescent="0.35">
      <c r="A453" s="21"/>
      <c r="B453" s="21"/>
      <c r="C453" s="21"/>
      <c r="D453" s="21"/>
      <c r="E453" s="21"/>
      <c r="F453" s="21"/>
      <c r="G453" s="21"/>
      <c r="H453" s="21"/>
      <c r="I453" s="21"/>
      <c r="J453" s="21"/>
      <c r="K453" s="22"/>
    </row>
    <row r="454" spans="1:11" x14ac:dyDescent="0.35">
      <c r="A454" s="21"/>
      <c r="B454" s="21"/>
      <c r="C454" s="21"/>
      <c r="D454" s="21"/>
      <c r="E454" s="21"/>
      <c r="F454" s="21"/>
      <c r="G454" s="21"/>
      <c r="H454" s="21"/>
      <c r="I454" s="21"/>
      <c r="J454" s="21"/>
      <c r="K454" s="22"/>
    </row>
    <row r="455" spans="1:11" x14ac:dyDescent="0.35">
      <c r="A455" s="21"/>
      <c r="B455" s="21"/>
      <c r="C455" s="21"/>
      <c r="D455" s="21"/>
      <c r="E455" s="21"/>
      <c r="F455" s="21"/>
      <c r="G455" s="21"/>
      <c r="H455" s="21"/>
      <c r="I455" s="21"/>
      <c r="J455" s="21"/>
      <c r="K455" s="22"/>
    </row>
    <row r="456" spans="1:11" x14ac:dyDescent="0.35">
      <c r="A456" s="21"/>
      <c r="B456" s="21"/>
      <c r="C456" s="21"/>
      <c r="D456" s="21"/>
      <c r="E456" s="21"/>
      <c r="F456" s="21"/>
      <c r="G456" s="21"/>
      <c r="H456" s="21"/>
      <c r="I456" s="21"/>
      <c r="J456" s="21"/>
      <c r="K456" s="22"/>
    </row>
    <row r="457" spans="1:11" x14ac:dyDescent="0.35">
      <c r="A457" s="21"/>
      <c r="B457" s="21"/>
      <c r="C457" s="21"/>
      <c r="D457" s="21"/>
      <c r="E457" s="21"/>
      <c r="F457" s="21"/>
      <c r="G457" s="21"/>
      <c r="H457" s="21"/>
      <c r="I457" s="21"/>
      <c r="J457" s="21"/>
      <c r="K457" s="22"/>
    </row>
    <row r="458" spans="1:11" x14ac:dyDescent="0.35">
      <c r="A458" s="21"/>
      <c r="B458" s="21"/>
      <c r="C458" s="21"/>
      <c r="D458" s="21"/>
      <c r="E458" s="21"/>
      <c r="F458" s="21"/>
      <c r="G458" s="21"/>
      <c r="H458" s="21"/>
      <c r="I458" s="21"/>
      <c r="J458" s="21"/>
      <c r="K458" s="22"/>
    </row>
    <row r="459" spans="1:11" x14ac:dyDescent="0.35">
      <c r="A459" s="21"/>
      <c r="B459" s="21"/>
      <c r="C459" s="21"/>
      <c r="D459" s="21"/>
      <c r="E459" s="21"/>
      <c r="F459" s="21"/>
      <c r="G459" s="21"/>
      <c r="H459" s="21"/>
      <c r="I459" s="21"/>
      <c r="J459" s="21"/>
      <c r="K459" s="22"/>
    </row>
    <row r="460" spans="1:11" x14ac:dyDescent="0.35">
      <c r="A460" s="21"/>
      <c r="B460" s="21"/>
      <c r="C460" s="21"/>
      <c r="D460" s="21"/>
      <c r="E460" s="21"/>
      <c r="F460" s="21"/>
      <c r="G460" s="21"/>
      <c r="H460" s="21"/>
      <c r="I460" s="21"/>
      <c r="J460" s="21"/>
      <c r="K460" s="22"/>
    </row>
    <row r="461" spans="1:11" x14ac:dyDescent="0.35">
      <c r="A461" s="21"/>
      <c r="B461" s="21"/>
      <c r="C461" s="21"/>
      <c r="D461" s="21"/>
      <c r="E461" s="21"/>
      <c r="F461" s="21"/>
      <c r="G461" s="21"/>
      <c r="H461" s="21"/>
      <c r="I461" s="21"/>
      <c r="J461" s="21"/>
      <c r="K461" s="22"/>
    </row>
    <row r="462" spans="1:11" x14ac:dyDescent="0.35">
      <c r="A462" s="21"/>
      <c r="B462" s="21"/>
      <c r="C462" s="21"/>
      <c r="D462" s="21"/>
      <c r="E462" s="21"/>
      <c r="F462" s="21"/>
      <c r="G462" s="21"/>
      <c r="H462" s="21"/>
      <c r="I462" s="21"/>
      <c r="J462" s="21"/>
      <c r="K462" s="22"/>
    </row>
    <row r="463" spans="1:11" x14ac:dyDescent="0.35">
      <c r="A463" s="21"/>
      <c r="B463" s="21"/>
      <c r="C463" s="21"/>
      <c r="D463" s="21"/>
      <c r="E463" s="21"/>
      <c r="F463" s="21"/>
      <c r="G463" s="21"/>
      <c r="H463" s="21"/>
      <c r="I463" s="21"/>
      <c r="J463" s="21"/>
      <c r="K463" s="22"/>
    </row>
    <row r="464" spans="1:11" x14ac:dyDescent="0.35">
      <c r="A464" s="21"/>
      <c r="B464" s="21"/>
      <c r="C464" s="21"/>
      <c r="D464" s="21"/>
      <c r="E464" s="21"/>
      <c r="F464" s="21"/>
      <c r="G464" s="21"/>
      <c r="H464" s="21"/>
      <c r="I464" s="21"/>
      <c r="J464" s="21"/>
      <c r="K464" s="22"/>
    </row>
    <row r="465" spans="1:11" x14ac:dyDescent="0.35">
      <c r="A465" s="21"/>
      <c r="B465" s="21"/>
      <c r="C465" s="21"/>
      <c r="D465" s="21"/>
      <c r="E465" s="21"/>
      <c r="F465" s="21"/>
      <c r="G465" s="21"/>
      <c r="H465" s="21"/>
      <c r="I465" s="21"/>
      <c r="J465" s="21"/>
      <c r="K465" s="22"/>
    </row>
    <row r="466" spans="1:11" x14ac:dyDescent="0.35">
      <c r="A466" s="21"/>
      <c r="B466" s="21"/>
      <c r="C466" s="21"/>
      <c r="D466" s="21"/>
      <c r="E466" s="21"/>
      <c r="F466" s="21"/>
      <c r="G466" s="21"/>
      <c r="H466" s="21"/>
      <c r="I466" s="21"/>
      <c r="J466" s="21"/>
      <c r="K466" s="22"/>
    </row>
    <row r="467" spans="1:11" x14ac:dyDescent="0.35">
      <c r="A467" s="21"/>
      <c r="B467" s="21"/>
      <c r="C467" s="21"/>
      <c r="D467" s="21"/>
      <c r="E467" s="21"/>
      <c r="F467" s="21"/>
      <c r="G467" s="21"/>
      <c r="H467" s="21"/>
      <c r="I467" s="21"/>
      <c r="J467" s="21"/>
      <c r="K467" s="22"/>
    </row>
    <row r="468" spans="1:11" x14ac:dyDescent="0.35">
      <c r="A468" s="21"/>
      <c r="B468" s="21"/>
      <c r="C468" s="21"/>
      <c r="D468" s="21"/>
      <c r="E468" s="21"/>
      <c r="F468" s="21"/>
      <c r="G468" s="21"/>
      <c r="H468" s="21"/>
      <c r="I468" s="21"/>
      <c r="J468" s="21"/>
      <c r="K468" s="22"/>
    </row>
    <row r="469" spans="1:11" x14ac:dyDescent="0.35">
      <c r="A469" s="21"/>
      <c r="B469" s="21"/>
      <c r="C469" s="21"/>
      <c r="D469" s="21"/>
      <c r="E469" s="21"/>
      <c r="F469" s="21"/>
      <c r="G469" s="21"/>
      <c r="H469" s="21"/>
      <c r="I469" s="21"/>
      <c r="J469" s="21"/>
      <c r="K469" s="22"/>
    </row>
    <row r="470" spans="1:11" x14ac:dyDescent="0.35">
      <c r="A470" s="21"/>
      <c r="B470" s="21"/>
      <c r="C470" s="21"/>
      <c r="D470" s="21"/>
      <c r="E470" s="21"/>
      <c r="F470" s="21"/>
      <c r="G470" s="21"/>
      <c r="H470" s="21"/>
      <c r="I470" s="21"/>
      <c r="J470" s="21"/>
      <c r="K470" s="22"/>
    </row>
    <row r="471" spans="1:11" x14ac:dyDescent="0.35">
      <c r="A471" s="21"/>
      <c r="B471" s="21"/>
      <c r="C471" s="21"/>
      <c r="D471" s="21"/>
      <c r="E471" s="21"/>
      <c r="F471" s="21"/>
      <c r="G471" s="21"/>
      <c r="H471" s="21"/>
      <c r="I471" s="21"/>
      <c r="J471" s="21"/>
      <c r="K471" s="22"/>
    </row>
    <row r="472" spans="1:11" x14ac:dyDescent="0.35">
      <c r="A472" s="21"/>
      <c r="B472" s="21"/>
      <c r="C472" s="21"/>
      <c r="D472" s="21"/>
      <c r="E472" s="21"/>
      <c r="F472" s="21"/>
      <c r="G472" s="21"/>
      <c r="H472" s="21"/>
      <c r="I472" s="21"/>
      <c r="J472" s="21"/>
      <c r="K472" s="22"/>
    </row>
    <row r="473" spans="1:11" x14ac:dyDescent="0.35">
      <c r="A473" s="21"/>
      <c r="B473" s="21"/>
      <c r="C473" s="21"/>
      <c r="D473" s="21"/>
      <c r="E473" s="21"/>
      <c r="F473" s="21"/>
      <c r="G473" s="21"/>
      <c r="H473" s="21"/>
      <c r="I473" s="21"/>
      <c r="J473" s="21"/>
      <c r="K473" s="22"/>
    </row>
    <row r="474" spans="1:11" x14ac:dyDescent="0.35">
      <c r="A474" s="21"/>
      <c r="B474" s="21"/>
      <c r="C474" s="21"/>
      <c r="D474" s="21"/>
      <c r="E474" s="21"/>
      <c r="F474" s="21"/>
      <c r="G474" s="21"/>
      <c r="H474" s="21"/>
      <c r="I474" s="21"/>
      <c r="J474" s="21"/>
      <c r="K474" s="22"/>
    </row>
    <row r="475" spans="1:11" x14ac:dyDescent="0.35">
      <c r="A475" s="21"/>
      <c r="B475" s="21"/>
      <c r="C475" s="21"/>
      <c r="D475" s="21"/>
      <c r="E475" s="21"/>
      <c r="F475" s="21"/>
      <c r="G475" s="21"/>
      <c r="H475" s="21"/>
      <c r="I475" s="21"/>
      <c r="J475" s="21"/>
      <c r="K475" s="22"/>
    </row>
    <row r="476" spans="1:11" x14ac:dyDescent="0.35">
      <c r="A476" s="21"/>
      <c r="B476" s="21"/>
      <c r="C476" s="21"/>
      <c r="D476" s="21"/>
      <c r="E476" s="21"/>
      <c r="F476" s="21"/>
      <c r="G476" s="21"/>
      <c r="H476" s="21"/>
      <c r="I476" s="21"/>
      <c r="J476" s="21"/>
      <c r="K476" s="22"/>
    </row>
    <row r="477" spans="1:11" x14ac:dyDescent="0.35">
      <c r="A477" s="21"/>
      <c r="B477" s="21"/>
      <c r="C477" s="21"/>
      <c r="D477" s="21"/>
      <c r="E477" s="21"/>
      <c r="F477" s="21"/>
      <c r="G477" s="21"/>
      <c r="H477" s="21"/>
      <c r="I477" s="21"/>
      <c r="J477" s="21"/>
      <c r="K477" s="22"/>
    </row>
    <row r="478" spans="1:11" x14ac:dyDescent="0.35">
      <c r="A478" s="21"/>
      <c r="B478" s="21"/>
      <c r="C478" s="21"/>
      <c r="D478" s="21"/>
      <c r="E478" s="21"/>
      <c r="F478" s="21"/>
      <c r="G478" s="21"/>
      <c r="H478" s="21"/>
      <c r="I478" s="21"/>
      <c r="J478" s="21"/>
      <c r="K478" s="22"/>
    </row>
    <row r="479" spans="1:11" x14ac:dyDescent="0.35">
      <c r="A479" s="21"/>
      <c r="B479" s="21"/>
      <c r="C479" s="21"/>
      <c r="D479" s="21"/>
      <c r="E479" s="21"/>
      <c r="F479" s="21"/>
      <c r="G479" s="21"/>
      <c r="H479" s="21"/>
      <c r="I479" s="21"/>
      <c r="J479" s="21"/>
      <c r="K479" s="22"/>
    </row>
    <row r="480" spans="1:11" x14ac:dyDescent="0.35">
      <c r="A480" s="21"/>
      <c r="B480" s="21"/>
      <c r="C480" s="21"/>
      <c r="D480" s="21"/>
      <c r="E480" s="21"/>
      <c r="F480" s="21"/>
      <c r="G480" s="21"/>
      <c r="H480" s="21"/>
      <c r="I480" s="21"/>
      <c r="J480" s="21"/>
      <c r="K480" s="22"/>
    </row>
    <row r="481" spans="1:11" x14ac:dyDescent="0.35">
      <c r="A481" s="21"/>
      <c r="B481" s="21"/>
      <c r="C481" s="21"/>
      <c r="D481" s="21"/>
      <c r="E481" s="21"/>
      <c r="F481" s="21"/>
      <c r="G481" s="21"/>
      <c r="H481" s="21"/>
      <c r="I481" s="21"/>
      <c r="J481" s="21"/>
      <c r="K481" s="22"/>
    </row>
    <row r="482" spans="1:11" x14ac:dyDescent="0.35">
      <c r="A482" s="21"/>
      <c r="B482" s="21"/>
      <c r="C482" s="21"/>
      <c r="D482" s="21"/>
      <c r="E482" s="21"/>
      <c r="F482" s="21"/>
      <c r="G482" s="21"/>
      <c r="H482" s="21"/>
      <c r="I482" s="21"/>
      <c r="J482" s="21"/>
      <c r="K482" s="22"/>
    </row>
    <row r="483" spans="1:11" x14ac:dyDescent="0.35">
      <c r="A483" s="21"/>
      <c r="B483" s="21"/>
      <c r="C483" s="21"/>
      <c r="D483" s="21"/>
      <c r="E483" s="21"/>
      <c r="F483" s="21"/>
      <c r="G483" s="21"/>
      <c r="H483" s="21"/>
      <c r="I483" s="21"/>
      <c r="J483" s="21"/>
      <c r="K483" s="22"/>
    </row>
    <row r="484" spans="1:11" x14ac:dyDescent="0.35">
      <c r="A484" s="21"/>
      <c r="B484" s="21"/>
      <c r="C484" s="21"/>
      <c r="D484" s="21"/>
      <c r="E484" s="21"/>
      <c r="F484" s="21"/>
      <c r="G484" s="21"/>
      <c r="H484" s="21"/>
      <c r="I484" s="21"/>
      <c r="J484" s="21"/>
      <c r="K484" s="22"/>
    </row>
    <row r="485" spans="1:11" x14ac:dyDescent="0.35">
      <c r="A485" s="21"/>
      <c r="B485" s="21"/>
      <c r="C485" s="21"/>
      <c r="D485" s="21"/>
      <c r="E485" s="21"/>
      <c r="F485" s="21"/>
      <c r="G485" s="21"/>
      <c r="H485" s="21"/>
      <c r="I485" s="21"/>
      <c r="J485" s="21"/>
      <c r="K485" s="22"/>
    </row>
    <row r="486" spans="1:11" x14ac:dyDescent="0.35">
      <c r="A486" s="21"/>
      <c r="B486" s="21"/>
      <c r="C486" s="21"/>
      <c r="D486" s="21"/>
      <c r="E486" s="21"/>
      <c r="F486" s="21"/>
      <c r="G486" s="21"/>
      <c r="H486" s="21"/>
      <c r="I486" s="21"/>
      <c r="J486" s="21"/>
      <c r="K486" s="22"/>
    </row>
    <row r="487" spans="1:11" x14ac:dyDescent="0.35">
      <c r="A487" s="21"/>
      <c r="B487" s="21"/>
      <c r="C487" s="21"/>
      <c r="D487" s="21"/>
      <c r="E487" s="21"/>
      <c r="F487" s="21"/>
      <c r="G487" s="21"/>
      <c r="H487" s="21"/>
      <c r="I487" s="21"/>
      <c r="J487" s="21"/>
      <c r="K487" s="22"/>
    </row>
    <row r="488" spans="1:11" x14ac:dyDescent="0.35">
      <c r="A488" s="21"/>
      <c r="B488" s="21"/>
      <c r="C488" s="21"/>
      <c r="D488" s="21"/>
      <c r="E488" s="21"/>
      <c r="F488" s="21"/>
      <c r="G488" s="21"/>
      <c r="H488" s="21"/>
      <c r="I488" s="21"/>
      <c r="J488" s="21"/>
      <c r="K488" s="22"/>
    </row>
    <row r="489" spans="1:11" x14ac:dyDescent="0.35">
      <c r="A489" s="21"/>
      <c r="B489" s="21"/>
      <c r="C489" s="21"/>
      <c r="D489" s="21"/>
      <c r="E489" s="21"/>
      <c r="F489" s="21"/>
      <c r="G489" s="21"/>
      <c r="H489" s="21"/>
      <c r="I489" s="21"/>
      <c r="J489" s="21"/>
      <c r="K489" s="22"/>
    </row>
    <row r="490" spans="1:11" x14ac:dyDescent="0.35">
      <c r="A490" s="21"/>
      <c r="B490" s="21"/>
      <c r="C490" s="21"/>
      <c r="D490" s="21"/>
      <c r="E490" s="21"/>
      <c r="F490" s="21"/>
      <c r="G490" s="21"/>
      <c r="H490" s="21"/>
      <c r="I490" s="21"/>
      <c r="J490" s="21"/>
      <c r="K490" s="22"/>
    </row>
    <row r="491" spans="1:11" x14ac:dyDescent="0.35">
      <c r="A491" s="21"/>
      <c r="B491" s="21"/>
      <c r="C491" s="21"/>
      <c r="D491" s="21"/>
      <c r="E491" s="21"/>
      <c r="F491" s="21"/>
      <c r="G491" s="21"/>
      <c r="H491" s="21"/>
      <c r="I491" s="21"/>
      <c r="J491" s="21"/>
      <c r="K491" s="22"/>
    </row>
    <row r="492" spans="1:11" x14ac:dyDescent="0.35">
      <c r="A492" s="21"/>
      <c r="B492" s="21"/>
      <c r="C492" s="21"/>
      <c r="D492" s="21"/>
      <c r="E492" s="21"/>
      <c r="F492" s="21"/>
      <c r="G492" s="21"/>
      <c r="H492" s="21"/>
      <c r="I492" s="21"/>
      <c r="J492" s="21"/>
      <c r="K492" s="22"/>
    </row>
    <row r="493" spans="1:11" x14ac:dyDescent="0.35">
      <c r="A493" s="21"/>
      <c r="B493" s="21"/>
      <c r="C493" s="21"/>
      <c r="D493" s="21"/>
      <c r="E493" s="21"/>
      <c r="F493" s="21"/>
      <c r="G493" s="21"/>
      <c r="H493" s="21"/>
      <c r="I493" s="21"/>
      <c r="J493" s="21"/>
      <c r="K493" s="22"/>
    </row>
    <row r="494" spans="1:11" x14ac:dyDescent="0.35">
      <c r="A494" s="21"/>
      <c r="B494" s="21"/>
      <c r="C494" s="21"/>
      <c r="D494" s="21"/>
      <c r="E494" s="21"/>
      <c r="F494" s="21"/>
      <c r="G494" s="21"/>
      <c r="H494" s="21"/>
      <c r="I494" s="21"/>
      <c r="J494" s="21"/>
      <c r="K494" s="22"/>
    </row>
    <row r="495" spans="1:11" x14ac:dyDescent="0.35">
      <c r="A495" s="21"/>
      <c r="B495" s="21"/>
      <c r="C495" s="21"/>
      <c r="D495" s="21"/>
      <c r="E495" s="21"/>
      <c r="F495" s="21"/>
      <c r="G495" s="21"/>
      <c r="H495" s="21"/>
      <c r="I495" s="21"/>
      <c r="J495" s="21"/>
      <c r="K495" s="22"/>
    </row>
    <row r="496" spans="1:11" x14ac:dyDescent="0.35">
      <c r="A496" s="21"/>
      <c r="B496" s="21"/>
      <c r="C496" s="21"/>
      <c r="D496" s="21"/>
      <c r="E496" s="21"/>
      <c r="F496" s="21"/>
      <c r="G496" s="21"/>
      <c r="H496" s="21"/>
      <c r="I496" s="21"/>
      <c r="J496" s="21"/>
      <c r="K496" s="22"/>
    </row>
    <row r="497" spans="1:11" x14ac:dyDescent="0.35">
      <c r="A497" s="21"/>
      <c r="B497" s="21"/>
      <c r="C497" s="21"/>
      <c r="D497" s="21"/>
      <c r="E497" s="21"/>
      <c r="F497" s="21"/>
      <c r="G497" s="21"/>
      <c r="H497" s="21"/>
      <c r="I497" s="21"/>
      <c r="J497" s="21"/>
      <c r="K497" s="22"/>
    </row>
    <row r="498" spans="1:11" x14ac:dyDescent="0.35">
      <c r="A498" s="21"/>
      <c r="B498" s="21"/>
      <c r="C498" s="21"/>
      <c r="D498" s="21"/>
      <c r="E498" s="21"/>
      <c r="F498" s="21"/>
      <c r="G498" s="21"/>
      <c r="H498" s="21"/>
      <c r="I498" s="21"/>
      <c r="J498" s="21"/>
      <c r="K498" s="22"/>
    </row>
    <row r="499" spans="1:11" x14ac:dyDescent="0.35">
      <c r="A499" s="21"/>
      <c r="B499" s="21"/>
      <c r="C499" s="21"/>
      <c r="D499" s="21"/>
      <c r="E499" s="21"/>
      <c r="F499" s="21"/>
      <c r="G499" s="21"/>
      <c r="H499" s="21"/>
      <c r="I499" s="21"/>
      <c r="J499" s="21"/>
      <c r="K499" s="22"/>
    </row>
    <row r="500" spans="1:11" x14ac:dyDescent="0.35">
      <c r="A500" s="21"/>
      <c r="B500" s="21"/>
      <c r="C500" s="21"/>
      <c r="D500" s="21"/>
      <c r="E500" s="21"/>
      <c r="F500" s="21"/>
      <c r="G500" s="21"/>
      <c r="H500" s="21"/>
      <c r="I500" s="21"/>
      <c r="J500" s="21"/>
      <c r="K500" s="22"/>
    </row>
    <row r="501" spans="1:11" x14ac:dyDescent="0.35">
      <c r="A501" s="21"/>
      <c r="B501" s="21"/>
      <c r="C501" s="21"/>
      <c r="D501" s="21"/>
      <c r="E501" s="21"/>
      <c r="F501" s="21"/>
      <c r="G501" s="21"/>
      <c r="H501" s="21"/>
      <c r="I501" s="21"/>
      <c r="J501" s="21"/>
      <c r="K501" s="22"/>
    </row>
    <row r="502" spans="1:11" x14ac:dyDescent="0.35">
      <c r="A502" s="21"/>
      <c r="B502" s="21"/>
      <c r="C502" s="21"/>
      <c r="D502" s="21"/>
      <c r="E502" s="21"/>
      <c r="F502" s="21"/>
      <c r="G502" s="21"/>
      <c r="H502" s="21"/>
      <c r="I502" s="21"/>
      <c r="J502" s="21"/>
      <c r="K502" s="22"/>
    </row>
    <row r="503" spans="1:11" x14ac:dyDescent="0.35">
      <c r="A503" s="21"/>
      <c r="B503" s="21"/>
      <c r="C503" s="21"/>
      <c r="D503" s="21"/>
      <c r="E503" s="21"/>
      <c r="F503" s="21"/>
      <c r="G503" s="21"/>
      <c r="H503" s="21"/>
      <c r="I503" s="21"/>
      <c r="J503" s="21"/>
      <c r="K503" s="22"/>
    </row>
    <row r="504" spans="1:11" x14ac:dyDescent="0.35">
      <c r="A504" s="21"/>
      <c r="B504" s="21"/>
      <c r="C504" s="21"/>
      <c r="D504" s="21"/>
      <c r="E504" s="21"/>
      <c r="F504" s="21"/>
      <c r="G504" s="21"/>
      <c r="H504" s="21"/>
      <c r="I504" s="21"/>
      <c r="J504" s="21"/>
      <c r="K504" s="22"/>
    </row>
    <row r="505" spans="1:11" x14ac:dyDescent="0.35">
      <c r="A505" s="21"/>
      <c r="B505" s="21"/>
      <c r="C505" s="21"/>
      <c r="D505" s="21"/>
      <c r="E505" s="21"/>
      <c r="F505" s="21"/>
      <c r="G505" s="21"/>
      <c r="H505" s="21"/>
      <c r="I505" s="21"/>
      <c r="J505" s="21"/>
      <c r="K505" s="22"/>
    </row>
    <row r="506" spans="1:11" x14ac:dyDescent="0.35">
      <c r="A506" s="21"/>
      <c r="B506" s="21"/>
      <c r="C506" s="21"/>
      <c r="D506" s="21"/>
      <c r="E506" s="21"/>
      <c r="F506" s="21"/>
      <c r="G506" s="21"/>
      <c r="H506" s="21"/>
      <c r="I506" s="21"/>
      <c r="J506" s="21"/>
      <c r="K506" s="22"/>
    </row>
    <row r="507" spans="1:11" x14ac:dyDescent="0.35">
      <c r="A507" s="21"/>
      <c r="B507" s="21"/>
      <c r="C507" s="21"/>
      <c r="D507" s="21"/>
      <c r="E507" s="21"/>
      <c r="F507" s="21"/>
      <c r="G507" s="21"/>
      <c r="H507" s="21"/>
      <c r="I507" s="21"/>
      <c r="J507" s="21"/>
      <c r="K507" s="22"/>
    </row>
    <row r="508" spans="1:11" x14ac:dyDescent="0.35">
      <c r="A508" s="21"/>
      <c r="B508" s="21"/>
      <c r="C508" s="21"/>
      <c r="D508" s="21"/>
      <c r="E508" s="21"/>
      <c r="F508" s="21"/>
      <c r="G508" s="21"/>
      <c r="H508" s="21"/>
      <c r="I508" s="21"/>
      <c r="J508" s="21"/>
      <c r="K508" s="22"/>
    </row>
    <row r="509" spans="1:11" x14ac:dyDescent="0.35">
      <c r="A509" s="21"/>
      <c r="B509" s="21"/>
      <c r="C509" s="21"/>
      <c r="D509" s="21"/>
      <c r="E509" s="21"/>
      <c r="F509" s="21"/>
      <c r="G509" s="21"/>
      <c r="H509" s="21"/>
      <c r="I509" s="21"/>
      <c r="J509" s="21"/>
      <c r="K509" s="22"/>
    </row>
    <row r="510" spans="1:11" x14ac:dyDescent="0.35">
      <c r="A510" s="21"/>
      <c r="B510" s="21"/>
      <c r="C510" s="21"/>
      <c r="D510" s="21"/>
      <c r="E510" s="21"/>
      <c r="F510" s="21"/>
      <c r="G510" s="21"/>
      <c r="H510" s="21"/>
      <c r="I510" s="21"/>
      <c r="J510" s="21"/>
      <c r="K510" s="22"/>
    </row>
    <row r="511" spans="1:11" x14ac:dyDescent="0.35">
      <c r="A511" s="21"/>
      <c r="B511" s="21"/>
      <c r="C511" s="21"/>
      <c r="D511" s="21"/>
      <c r="E511" s="21"/>
      <c r="F511" s="21"/>
      <c r="G511" s="21"/>
      <c r="H511" s="21"/>
      <c r="I511" s="21"/>
      <c r="J511" s="21"/>
      <c r="K511" s="22"/>
    </row>
    <row r="512" spans="1:11" x14ac:dyDescent="0.35">
      <c r="A512" s="21"/>
      <c r="B512" s="21"/>
      <c r="C512" s="21"/>
      <c r="D512" s="21"/>
      <c r="E512" s="21"/>
      <c r="F512" s="21"/>
      <c r="G512" s="21"/>
      <c r="H512" s="21"/>
      <c r="I512" s="21"/>
      <c r="J512" s="21"/>
      <c r="K512" s="22"/>
    </row>
    <row r="513" spans="1:11" x14ac:dyDescent="0.35">
      <c r="A513" s="21"/>
      <c r="B513" s="21"/>
      <c r="C513" s="21"/>
      <c r="D513" s="21"/>
      <c r="E513" s="21"/>
      <c r="F513" s="21"/>
      <c r="G513" s="21"/>
      <c r="H513" s="21"/>
      <c r="I513" s="21"/>
      <c r="J513" s="21"/>
      <c r="K513" s="22"/>
    </row>
    <row r="514" spans="1:11" x14ac:dyDescent="0.35">
      <c r="A514" s="21"/>
      <c r="B514" s="21"/>
      <c r="C514" s="21"/>
      <c r="D514" s="21"/>
      <c r="E514" s="21"/>
      <c r="F514" s="21"/>
      <c r="G514" s="21"/>
      <c r="H514" s="21"/>
      <c r="I514" s="21"/>
      <c r="J514" s="21"/>
      <c r="K514" s="22"/>
    </row>
    <row r="515" spans="1:11" x14ac:dyDescent="0.35">
      <c r="A515" s="21"/>
      <c r="B515" s="21"/>
      <c r="C515" s="21"/>
      <c r="D515" s="21"/>
      <c r="E515" s="21"/>
      <c r="F515" s="21"/>
      <c r="G515" s="21"/>
      <c r="H515" s="21"/>
      <c r="I515" s="21"/>
      <c r="J515" s="21"/>
      <c r="K515" s="22"/>
    </row>
    <row r="516" spans="1:11" x14ac:dyDescent="0.35">
      <c r="A516" s="21"/>
      <c r="B516" s="21"/>
      <c r="C516" s="21"/>
      <c r="D516" s="21"/>
      <c r="E516" s="21"/>
      <c r="F516" s="21"/>
      <c r="G516" s="21"/>
      <c r="H516" s="21"/>
      <c r="I516" s="21"/>
      <c r="J516" s="21"/>
      <c r="K516" s="22"/>
    </row>
    <row r="517" spans="1:11" x14ac:dyDescent="0.35">
      <c r="A517" s="21"/>
      <c r="B517" s="21"/>
      <c r="C517" s="21"/>
      <c r="D517" s="21"/>
      <c r="E517" s="21"/>
      <c r="F517" s="21"/>
      <c r="G517" s="21"/>
      <c r="H517" s="21"/>
      <c r="I517" s="21"/>
      <c r="J517" s="21"/>
      <c r="K517" s="22"/>
    </row>
    <row r="518" spans="1:11" x14ac:dyDescent="0.35">
      <c r="A518" s="21"/>
      <c r="B518" s="21"/>
      <c r="C518" s="21"/>
      <c r="D518" s="21"/>
      <c r="E518" s="21"/>
      <c r="F518" s="21"/>
      <c r="G518" s="21"/>
      <c r="H518" s="21"/>
      <c r="I518" s="21"/>
      <c r="J518" s="21"/>
      <c r="K518" s="22"/>
    </row>
    <row r="519" spans="1:11" x14ac:dyDescent="0.35">
      <c r="A519" s="21"/>
      <c r="B519" s="21"/>
      <c r="C519" s="21"/>
      <c r="D519" s="21"/>
      <c r="E519" s="21"/>
      <c r="F519" s="21"/>
      <c r="G519" s="21"/>
      <c r="H519" s="21"/>
      <c r="I519" s="21"/>
      <c r="J519" s="21"/>
      <c r="K519" s="22"/>
    </row>
    <row r="520" spans="1:11" x14ac:dyDescent="0.35">
      <c r="A520" s="21"/>
      <c r="B520" s="21"/>
      <c r="C520" s="21"/>
      <c r="D520" s="21"/>
      <c r="E520" s="21"/>
      <c r="F520" s="21"/>
      <c r="G520" s="21"/>
      <c r="H520" s="21"/>
      <c r="I520" s="21"/>
      <c r="J520" s="21"/>
      <c r="K520" s="22"/>
    </row>
    <row r="521" spans="1:11" x14ac:dyDescent="0.35">
      <c r="A521" s="21"/>
      <c r="B521" s="21"/>
      <c r="C521" s="21"/>
      <c r="D521" s="21"/>
      <c r="E521" s="21"/>
      <c r="F521" s="21"/>
      <c r="G521" s="21"/>
      <c r="H521" s="21"/>
      <c r="I521" s="21"/>
      <c r="J521" s="21"/>
      <c r="K521" s="22"/>
    </row>
    <row r="522" spans="1:11" x14ac:dyDescent="0.35">
      <c r="A522" s="21"/>
      <c r="B522" s="21"/>
      <c r="C522" s="21"/>
      <c r="D522" s="21"/>
      <c r="E522" s="21"/>
      <c r="F522" s="21"/>
      <c r="G522" s="21"/>
      <c r="H522" s="21"/>
      <c r="I522" s="21"/>
      <c r="J522" s="21"/>
      <c r="K522" s="22"/>
    </row>
    <row r="523" spans="1:11" x14ac:dyDescent="0.35">
      <c r="A523" s="21"/>
      <c r="B523" s="21"/>
      <c r="C523" s="21"/>
      <c r="D523" s="21"/>
      <c r="E523" s="21"/>
      <c r="F523" s="21"/>
      <c r="G523" s="21"/>
      <c r="H523" s="21"/>
      <c r="I523" s="21"/>
      <c r="J523" s="21"/>
      <c r="K523" s="22"/>
    </row>
    <row r="524" spans="1:11" x14ac:dyDescent="0.35">
      <c r="A524" s="21"/>
      <c r="B524" s="21"/>
      <c r="C524" s="21"/>
      <c r="D524" s="21"/>
      <c r="E524" s="21"/>
      <c r="F524" s="21"/>
      <c r="G524" s="21"/>
      <c r="H524" s="21"/>
      <c r="I524" s="21"/>
      <c r="J524" s="21"/>
      <c r="K524" s="22"/>
    </row>
    <row r="525" spans="1:11" x14ac:dyDescent="0.35">
      <c r="A525" s="21"/>
      <c r="B525" s="21"/>
      <c r="C525" s="21"/>
      <c r="D525" s="21"/>
      <c r="E525" s="21"/>
      <c r="F525" s="21"/>
      <c r="G525" s="21"/>
      <c r="H525" s="21"/>
      <c r="I525" s="21"/>
      <c r="J525" s="21"/>
      <c r="K525" s="22"/>
    </row>
    <row r="526" spans="1:11" x14ac:dyDescent="0.35">
      <c r="A526" s="21"/>
      <c r="B526" s="21"/>
      <c r="C526" s="21"/>
      <c r="D526" s="21"/>
      <c r="E526" s="21"/>
      <c r="F526" s="21"/>
      <c r="G526" s="21"/>
      <c r="H526" s="21"/>
      <c r="I526" s="21"/>
      <c r="J526" s="21"/>
      <c r="K526" s="22"/>
    </row>
    <row r="527" spans="1:11" x14ac:dyDescent="0.35">
      <c r="A527" s="21"/>
      <c r="B527" s="21"/>
      <c r="C527" s="21"/>
      <c r="D527" s="21"/>
      <c r="E527" s="21"/>
      <c r="F527" s="21"/>
      <c r="G527" s="21"/>
      <c r="H527" s="21"/>
      <c r="I527" s="21"/>
      <c r="J527" s="21"/>
      <c r="K527" s="22"/>
    </row>
    <row r="528" spans="1:11" x14ac:dyDescent="0.35">
      <c r="A528" s="21"/>
      <c r="B528" s="21"/>
      <c r="C528" s="21"/>
      <c r="D528" s="21"/>
      <c r="E528" s="21"/>
      <c r="F528" s="21"/>
      <c r="G528" s="21"/>
      <c r="H528" s="21"/>
      <c r="I528" s="21"/>
      <c r="J528" s="21"/>
      <c r="K528" s="22"/>
    </row>
    <row r="529" spans="1:11" x14ac:dyDescent="0.35">
      <c r="A529" s="21"/>
      <c r="B529" s="21"/>
      <c r="C529" s="21"/>
      <c r="D529" s="21"/>
      <c r="E529" s="21"/>
      <c r="F529" s="21"/>
      <c r="G529" s="21"/>
      <c r="H529" s="21"/>
      <c r="I529" s="21"/>
      <c r="J529" s="21"/>
      <c r="K529" s="22"/>
    </row>
    <row r="530" spans="1:11" x14ac:dyDescent="0.35">
      <c r="A530" s="21"/>
      <c r="B530" s="21"/>
      <c r="C530" s="21"/>
      <c r="D530" s="21"/>
      <c r="E530" s="21"/>
      <c r="F530" s="21"/>
      <c r="G530" s="21"/>
      <c r="H530" s="21"/>
      <c r="I530" s="21"/>
      <c r="J530" s="21"/>
      <c r="K530" s="22"/>
    </row>
    <row r="531" spans="1:11" x14ac:dyDescent="0.35">
      <c r="A531" s="21"/>
      <c r="B531" s="21"/>
      <c r="C531" s="21"/>
      <c r="D531" s="21"/>
      <c r="E531" s="21"/>
      <c r="F531" s="21"/>
      <c r="G531" s="21"/>
      <c r="H531" s="21"/>
      <c r="I531" s="21"/>
      <c r="J531" s="21"/>
      <c r="K531" s="22"/>
    </row>
    <row r="532" spans="1:11" x14ac:dyDescent="0.35">
      <c r="A532" s="21"/>
      <c r="B532" s="21"/>
      <c r="C532" s="21"/>
      <c r="D532" s="21"/>
      <c r="E532" s="21"/>
      <c r="F532" s="21"/>
      <c r="G532" s="21"/>
      <c r="H532" s="21"/>
      <c r="I532" s="21"/>
      <c r="J532" s="21"/>
      <c r="K532" s="22"/>
    </row>
    <row r="533" spans="1:11" x14ac:dyDescent="0.35">
      <c r="A533" s="21"/>
      <c r="B533" s="21"/>
      <c r="C533" s="21"/>
      <c r="D533" s="21"/>
      <c r="E533" s="21"/>
      <c r="F533" s="21"/>
      <c r="G533" s="21"/>
      <c r="H533" s="21"/>
      <c r="I533" s="21"/>
      <c r="J533" s="21"/>
      <c r="K533" s="22"/>
    </row>
    <row r="534" spans="1:11" x14ac:dyDescent="0.35">
      <c r="A534" s="21"/>
      <c r="B534" s="21"/>
      <c r="C534" s="21"/>
      <c r="D534" s="21"/>
      <c r="E534" s="21"/>
      <c r="F534" s="21"/>
      <c r="G534" s="21"/>
      <c r="H534" s="21"/>
      <c r="I534" s="21"/>
      <c r="J534" s="21"/>
      <c r="K534" s="22"/>
    </row>
    <row r="535" spans="1:11" x14ac:dyDescent="0.35">
      <c r="A535" s="21"/>
      <c r="B535" s="21"/>
      <c r="C535" s="21"/>
      <c r="D535" s="21"/>
      <c r="E535" s="21"/>
      <c r="F535" s="21"/>
      <c r="G535" s="21"/>
      <c r="H535" s="21"/>
      <c r="I535" s="21"/>
      <c r="J535" s="21"/>
      <c r="K535" s="22"/>
    </row>
    <row r="536" spans="1:11" x14ac:dyDescent="0.35">
      <c r="A536" s="21"/>
      <c r="B536" s="21"/>
      <c r="C536" s="21"/>
      <c r="D536" s="21"/>
      <c r="E536" s="21"/>
      <c r="F536" s="21"/>
      <c r="G536" s="21"/>
      <c r="H536" s="21"/>
      <c r="I536" s="21"/>
      <c r="J536" s="21"/>
      <c r="K536" s="22"/>
    </row>
    <row r="537" spans="1:11" x14ac:dyDescent="0.35">
      <c r="A537" s="21"/>
      <c r="B537" s="21"/>
      <c r="C537" s="21"/>
      <c r="D537" s="21"/>
      <c r="E537" s="21"/>
      <c r="F537" s="21"/>
      <c r="G537" s="21"/>
      <c r="H537" s="21"/>
      <c r="I537" s="21"/>
      <c r="J537" s="21"/>
      <c r="K537" s="22"/>
    </row>
    <row r="538" spans="1:11" x14ac:dyDescent="0.35">
      <c r="A538" s="21"/>
      <c r="B538" s="21"/>
      <c r="C538" s="21"/>
      <c r="D538" s="21"/>
      <c r="E538" s="21"/>
      <c r="F538" s="21"/>
      <c r="G538" s="21"/>
      <c r="H538" s="21"/>
      <c r="I538" s="21"/>
      <c r="J538" s="21"/>
      <c r="K538" s="22"/>
    </row>
    <row r="539" spans="1:11" x14ac:dyDescent="0.35">
      <c r="A539" s="21"/>
      <c r="B539" s="21"/>
      <c r="C539" s="21"/>
      <c r="D539" s="21"/>
      <c r="E539" s="21"/>
      <c r="F539" s="21"/>
      <c r="G539" s="21"/>
      <c r="H539" s="21"/>
      <c r="I539" s="21"/>
      <c r="J539" s="21"/>
      <c r="K539" s="22"/>
    </row>
    <row r="540" spans="1:11" x14ac:dyDescent="0.35">
      <c r="A540" s="21"/>
      <c r="B540" s="21"/>
      <c r="C540" s="21"/>
      <c r="D540" s="21"/>
      <c r="E540" s="21"/>
      <c r="F540" s="21"/>
      <c r="G540" s="21"/>
      <c r="H540" s="21"/>
      <c r="I540" s="21"/>
      <c r="J540" s="21"/>
      <c r="K540" s="22"/>
    </row>
    <row r="541" spans="1:11" x14ac:dyDescent="0.35">
      <c r="A541" s="21"/>
      <c r="B541" s="21"/>
      <c r="C541" s="21"/>
      <c r="D541" s="21"/>
      <c r="E541" s="21"/>
      <c r="F541" s="21"/>
      <c r="G541" s="21"/>
      <c r="H541" s="21"/>
      <c r="I541" s="21"/>
      <c r="J541" s="21"/>
      <c r="K541" s="22"/>
    </row>
    <row r="542" spans="1:11" x14ac:dyDescent="0.35">
      <c r="A542" s="21"/>
      <c r="B542" s="21"/>
      <c r="C542" s="21"/>
      <c r="D542" s="21"/>
      <c r="E542" s="21"/>
      <c r="F542" s="21"/>
      <c r="G542" s="21"/>
      <c r="H542" s="21"/>
      <c r="I542" s="21"/>
      <c r="J542" s="21"/>
      <c r="K542" s="22"/>
    </row>
    <row r="543" spans="1:11" x14ac:dyDescent="0.35">
      <c r="A543" s="21"/>
      <c r="B543" s="21"/>
      <c r="C543" s="21"/>
      <c r="D543" s="21"/>
      <c r="E543" s="21"/>
      <c r="F543" s="21"/>
      <c r="G543" s="21"/>
      <c r="H543" s="21"/>
      <c r="I543" s="21"/>
      <c r="J543" s="21"/>
      <c r="K543" s="22"/>
    </row>
    <row r="544" spans="1:11" x14ac:dyDescent="0.35">
      <c r="A544" s="21"/>
      <c r="B544" s="21"/>
      <c r="C544" s="21"/>
      <c r="D544" s="21"/>
      <c r="E544" s="21"/>
      <c r="F544" s="21"/>
      <c r="G544" s="21"/>
      <c r="H544" s="21"/>
      <c r="I544" s="21"/>
      <c r="J544" s="21"/>
      <c r="K544" s="22"/>
    </row>
    <row r="545" spans="1:11" x14ac:dyDescent="0.35">
      <c r="A545" s="21"/>
      <c r="B545" s="21"/>
      <c r="C545" s="21"/>
      <c r="D545" s="21"/>
      <c r="E545" s="21"/>
      <c r="F545" s="21"/>
      <c r="G545" s="21"/>
      <c r="H545" s="21"/>
      <c r="I545" s="21"/>
      <c r="J545" s="21"/>
      <c r="K545" s="22"/>
    </row>
    <row r="546" spans="1:11" x14ac:dyDescent="0.35">
      <c r="A546" s="21"/>
      <c r="B546" s="21"/>
      <c r="C546" s="21"/>
      <c r="D546" s="21"/>
      <c r="E546" s="21"/>
      <c r="F546" s="21"/>
      <c r="G546" s="21"/>
      <c r="H546" s="21"/>
      <c r="I546" s="21"/>
      <c r="J546" s="21"/>
      <c r="K546" s="22"/>
    </row>
    <row r="547" spans="1:11" x14ac:dyDescent="0.35">
      <c r="A547" s="21"/>
      <c r="B547" s="21"/>
      <c r="C547" s="21"/>
      <c r="D547" s="21"/>
      <c r="E547" s="21"/>
      <c r="F547" s="21"/>
      <c r="G547" s="21"/>
      <c r="H547" s="21"/>
      <c r="I547" s="21"/>
      <c r="J547" s="21"/>
      <c r="K547" s="22"/>
    </row>
    <row r="548" spans="1:11" x14ac:dyDescent="0.35">
      <c r="A548" s="21"/>
      <c r="B548" s="21"/>
      <c r="C548" s="21"/>
      <c r="D548" s="21"/>
      <c r="E548" s="21"/>
      <c r="F548" s="21"/>
      <c r="G548" s="21"/>
      <c r="H548" s="21"/>
      <c r="I548" s="21"/>
      <c r="J548" s="21"/>
      <c r="K548" s="22"/>
    </row>
    <row r="549" spans="1:11" x14ac:dyDescent="0.35">
      <c r="A549" s="21"/>
      <c r="B549" s="21"/>
      <c r="C549" s="21"/>
      <c r="D549" s="21"/>
      <c r="E549" s="21"/>
      <c r="F549" s="21"/>
      <c r="G549" s="21"/>
      <c r="H549" s="21"/>
      <c r="I549" s="21"/>
      <c r="J549" s="21"/>
      <c r="K549" s="22"/>
    </row>
    <row r="550" spans="1:11" x14ac:dyDescent="0.35">
      <c r="A550" s="21"/>
      <c r="B550" s="21"/>
      <c r="C550" s="21"/>
      <c r="D550" s="21"/>
      <c r="E550" s="21"/>
      <c r="F550" s="21"/>
      <c r="G550" s="21"/>
      <c r="H550" s="21"/>
      <c r="I550" s="21"/>
      <c r="J550" s="21"/>
      <c r="K550" s="22"/>
    </row>
    <row r="551" spans="1:11" x14ac:dyDescent="0.35">
      <c r="A551" s="21"/>
      <c r="B551" s="21"/>
      <c r="C551" s="21"/>
      <c r="D551" s="21"/>
      <c r="E551" s="21"/>
      <c r="F551" s="21"/>
      <c r="G551" s="21"/>
      <c r="H551" s="21"/>
      <c r="I551" s="21"/>
      <c r="J551" s="21"/>
      <c r="K551" s="22"/>
    </row>
    <row r="552" spans="1:11" x14ac:dyDescent="0.35">
      <c r="A552" s="21"/>
      <c r="B552" s="21"/>
      <c r="C552" s="21"/>
      <c r="D552" s="21"/>
      <c r="E552" s="21"/>
      <c r="F552" s="21"/>
      <c r="G552" s="21"/>
      <c r="H552" s="21"/>
      <c r="I552" s="21"/>
      <c r="J552" s="21"/>
      <c r="K552" s="22"/>
    </row>
    <row r="553" spans="1:11" x14ac:dyDescent="0.35">
      <c r="A553" s="21"/>
      <c r="B553" s="21"/>
      <c r="C553" s="21"/>
      <c r="D553" s="21"/>
      <c r="E553" s="21"/>
      <c r="F553" s="21"/>
      <c r="G553" s="21"/>
      <c r="H553" s="21"/>
      <c r="I553" s="21"/>
      <c r="J553" s="21"/>
      <c r="K553" s="22"/>
    </row>
    <row r="554" spans="1:11" x14ac:dyDescent="0.35">
      <c r="A554" s="21"/>
      <c r="B554" s="21"/>
      <c r="C554" s="21"/>
      <c r="D554" s="21"/>
      <c r="E554" s="21"/>
      <c r="F554" s="21"/>
      <c r="G554" s="21"/>
      <c r="H554" s="21"/>
      <c r="I554" s="21"/>
      <c r="J554" s="21"/>
      <c r="K554" s="22"/>
    </row>
    <row r="555" spans="1:11" x14ac:dyDescent="0.35">
      <c r="A555" s="21"/>
      <c r="B555" s="21"/>
      <c r="C555" s="21"/>
      <c r="D555" s="21"/>
      <c r="E555" s="21"/>
      <c r="F555" s="21"/>
      <c r="G555" s="21"/>
      <c r="H555" s="21"/>
      <c r="I555" s="21"/>
      <c r="J555" s="21"/>
      <c r="K555" s="22"/>
    </row>
    <row r="556" spans="1:11" x14ac:dyDescent="0.35">
      <c r="A556" s="21"/>
      <c r="B556" s="21"/>
      <c r="C556" s="21"/>
      <c r="D556" s="21"/>
      <c r="E556" s="21"/>
      <c r="F556" s="21"/>
      <c r="G556" s="21"/>
      <c r="H556" s="21"/>
      <c r="I556" s="21"/>
      <c r="J556" s="21"/>
      <c r="K556" s="22"/>
    </row>
    <row r="557" spans="1:11" x14ac:dyDescent="0.35">
      <c r="A557" s="21"/>
      <c r="B557" s="21"/>
      <c r="C557" s="21"/>
      <c r="D557" s="21"/>
      <c r="E557" s="21"/>
      <c r="F557" s="21"/>
      <c r="G557" s="21"/>
      <c r="H557" s="21"/>
      <c r="I557" s="21"/>
      <c r="J557" s="21"/>
      <c r="K557" s="22"/>
    </row>
    <row r="558" spans="1:11" x14ac:dyDescent="0.35">
      <c r="A558" s="21"/>
      <c r="B558" s="21"/>
      <c r="C558" s="21"/>
      <c r="D558" s="21"/>
      <c r="E558" s="21"/>
      <c r="F558" s="21"/>
      <c r="G558" s="21"/>
      <c r="H558" s="21"/>
      <c r="I558" s="21"/>
      <c r="J558" s="21"/>
      <c r="K558" s="22"/>
    </row>
    <row r="559" spans="1:11" x14ac:dyDescent="0.35">
      <c r="A559" s="21"/>
      <c r="B559" s="21"/>
      <c r="C559" s="21"/>
      <c r="D559" s="21"/>
      <c r="E559" s="21"/>
      <c r="F559" s="21"/>
      <c r="G559" s="21"/>
      <c r="H559" s="21"/>
      <c r="I559" s="21"/>
      <c r="J559" s="21"/>
      <c r="K559" s="22"/>
    </row>
    <row r="560" spans="1:11" x14ac:dyDescent="0.35">
      <c r="A560" s="21"/>
      <c r="B560" s="21"/>
      <c r="C560" s="21"/>
      <c r="D560" s="21"/>
      <c r="E560" s="21"/>
      <c r="F560" s="21"/>
      <c r="G560" s="21"/>
      <c r="H560" s="21"/>
      <c r="I560" s="21"/>
      <c r="J560" s="21"/>
      <c r="K560" s="22"/>
    </row>
    <row r="561" spans="1:11" x14ac:dyDescent="0.35">
      <c r="A561" s="21"/>
      <c r="B561" s="21"/>
      <c r="C561" s="21"/>
      <c r="D561" s="21"/>
      <c r="E561" s="21"/>
      <c r="F561" s="21"/>
      <c r="G561" s="21"/>
      <c r="H561" s="21"/>
      <c r="I561" s="21"/>
      <c r="J561" s="21"/>
      <c r="K561" s="22"/>
    </row>
    <row r="562" spans="1:11" x14ac:dyDescent="0.35">
      <c r="A562" s="21"/>
      <c r="B562" s="21"/>
      <c r="C562" s="21"/>
      <c r="D562" s="21"/>
      <c r="E562" s="21"/>
      <c r="F562" s="21"/>
      <c r="G562" s="21"/>
      <c r="H562" s="21"/>
      <c r="I562" s="21"/>
      <c r="J562" s="21"/>
      <c r="K562" s="22"/>
    </row>
    <row r="563" spans="1:11" x14ac:dyDescent="0.35">
      <c r="A563" s="21"/>
      <c r="B563" s="21"/>
      <c r="C563" s="21"/>
      <c r="D563" s="21"/>
      <c r="E563" s="21"/>
      <c r="F563" s="21"/>
      <c r="G563" s="21"/>
      <c r="H563" s="21"/>
      <c r="I563" s="21"/>
      <c r="J563" s="21"/>
      <c r="K563" s="22"/>
    </row>
    <row r="564" spans="1:11" x14ac:dyDescent="0.35">
      <c r="A564" s="21"/>
      <c r="B564" s="21"/>
      <c r="C564" s="21"/>
      <c r="D564" s="21"/>
      <c r="E564" s="21"/>
      <c r="F564" s="21"/>
      <c r="G564" s="21"/>
      <c r="H564" s="21"/>
      <c r="I564" s="21"/>
      <c r="J564" s="21"/>
      <c r="K564" s="22"/>
    </row>
    <row r="565" spans="1:11" x14ac:dyDescent="0.35">
      <c r="A565" s="21"/>
      <c r="B565" s="21"/>
      <c r="C565" s="21"/>
      <c r="D565" s="21"/>
      <c r="E565" s="21"/>
      <c r="F565" s="21"/>
      <c r="G565" s="21"/>
      <c r="H565" s="21"/>
      <c r="I565" s="21"/>
      <c r="J565" s="21"/>
      <c r="K565" s="22"/>
    </row>
    <row r="566" spans="1:11" x14ac:dyDescent="0.35">
      <c r="A566" s="21"/>
      <c r="B566" s="21"/>
      <c r="C566" s="21"/>
      <c r="D566" s="21"/>
      <c r="E566" s="21"/>
      <c r="F566" s="21"/>
      <c r="G566" s="21"/>
      <c r="H566" s="21"/>
      <c r="I566" s="21"/>
      <c r="J566" s="21"/>
      <c r="K566" s="22"/>
    </row>
    <row r="567" spans="1:11" x14ac:dyDescent="0.35">
      <c r="A567" s="21"/>
      <c r="B567" s="21"/>
      <c r="C567" s="21"/>
      <c r="D567" s="21"/>
      <c r="E567" s="21"/>
      <c r="F567" s="21"/>
      <c r="G567" s="21"/>
      <c r="H567" s="21"/>
      <c r="I567" s="21"/>
      <c r="J567" s="21"/>
      <c r="K567" s="22"/>
    </row>
    <row r="568" spans="1:11" x14ac:dyDescent="0.35">
      <c r="A568" s="21"/>
      <c r="B568" s="21"/>
      <c r="C568" s="21"/>
      <c r="D568" s="21"/>
      <c r="E568" s="21"/>
      <c r="F568" s="21"/>
      <c r="G568" s="21"/>
      <c r="H568" s="21"/>
      <c r="I568" s="21"/>
      <c r="J568" s="21"/>
      <c r="K568" s="22"/>
    </row>
    <row r="569" spans="1:11" x14ac:dyDescent="0.35">
      <c r="A569" s="21"/>
      <c r="B569" s="21"/>
      <c r="C569" s="21"/>
      <c r="D569" s="21"/>
      <c r="E569" s="21"/>
      <c r="F569" s="21"/>
      <c r="G569" s="21"/>
      <c r="H569" s="21"/>
      <c r="I569" s="21"/>
      <c r="J569" s="21"/>
      <c r="K569" s="22"/>
    </row>
    <row r="570" spans="1:11" x14ac:dyDescent="0.35">
      <c r="A570" s="21"/>
      <c r="B570" s="21"/>
      <c r="C570" s="21"/>
      <c r="D570" s="21"/>
      <c r="E570" s="21"/>
      <c r="F570" s="21"/>
      <c r="G570" s="21"/>
      <c r="H570" s="21"/>
      <c r="I570" s="21"/>
      <c r="J570" s="21"/>
      <c r="K570" s="22"/>
    </row>
    <row r="571" spans="1:11" x14ac:dyDescent="0.35">
      <c r="A571" s="21"/>
      <c r="B571" s="21"/>
      <c r="C571" s="21"/>
      <c r="D571" s="21"/>
      <c r="E571" s="21"/>
      <c r="F571" s="21"/>
      <c r="G571" s="21"/>
      <c r="H571" s="21"/>
      <c r="I571" s="21"/>
      <c r="J571" s="21"/>
      <c r="K571" s="22"/>
    </row>
    <row r="572" spans="1:11" x14ac:dyDescent="0.35">
      <c r="A572" s="21"/>
      <c r="B572" s="21"/>
      <c r="C572" s="21"/>
      <c r="D572" s="21"/>
      <c r="E572" s="21"/>
      <c r="F572" s="21"/>
      <c r="G572" s="21"/>
      <c r="H572" s="21"/>
      <c r="I572" s="21"/>
      <c r="J572" s="21"/>
      <c r="K572" s="22"/>
    </row>
    <row r="573" spans="1:11" x14ac:dyDescent="0.35">
      <c r="A573" s="21"/>
      <c r="B573" s="21"/>
      <c r="C573" s="21"/>
      <c r="D573" s="21"/>
      <c r="E573" s="21"/>
      <c r="F573" s="21"/>
      <c r="G573" s="21"/>
      <c r="H573" s="21"/>
      <c r="I573" s="21"/>
      <c r="J573" s="21"/>
      <c r="K573" s="22"/>
    </row>
    <row r="574" spans="1:11" x14ac:dyDescent="0.35">
      <c r="A574" s="21"/>
      <c r="B574" s="21"/>
      <c r="C574" s="21"/>
      <c r="D574" s="21"/>
      <c r="E574" s="21"/>
      <c r="F574" s="21"/>
      <c r="G574" s="21"/>
      <c r="H574" s="21"/>
      <c r="I574" s="21"/>
      <c r="J574" s="21"/>
      <c r="K574" s="22"/>
    </row>
    <row r="575" spans="1:11" x14ac:dyDescent="0.35">
      <c r="A575" s="21"/>
      <c r="B575" s="21"/>
      <c r="C575" s="21"/>
      <c r="D575" s="21"/>
      <c r="E575" s="21"/>
      <c r="F575" s="21"/>
      <c r="G575" s="21"/>
      <c r="H575" s="21"/>
      <c r="I575" s="21"/>
      <c r="J575" s="21"/>
      <c r="K575" s="22"/>
    </row>
    <row r="576" spans="1:11" x14ac:dyDescent="0.35">
      <c r="A576" s="21"/>
      <c r="B576" s="21"/>
      <c r="C576" s="21"/>
      <c r="D576" s="21"/>
      <c r="E576" s="21"/>
      <c r="F576" s="21"/>
      <c r="G576" s="21"/>
      <c r="H576" s="21"/>
      <c r="I576" s="21"/>
      <c r="J576" s="21"/>
      <c r="K576" s="22"/>
    </row>
    <row r="577" spans="1:11" x14ac:dyDescent="0.35">
      <c r="A577" s="21"/>
      <c r="B577" s="21"/>
      <c r="C577" s="21"/>
      <c r="D577" s="21"/>
      <c r="E577" s="21"/>
      <c r="F577" s="21"/>
      <c r="G577" s="21"/>
      <c r="H577" s="21"/>
      <c r="I577" s="21"/>
      <c r="J577" s="21"/>
      <c r="K577" s="22"/>
    </row>
    <row r="578" spans="1:11" x14ac:dyDescent="0.35">
      <c r="A578" s="21"/>
      <c r="B578" s="21"/>
      <c r="C578" s="21"/>
      <c r="D578" s="21"/>
      <c r="E578" s="21"/>
      <c r="F578" s="21"/>
      <c r="G578" s="21"/>
      <c r="H578" s="21"/>
      <c r="I578" s="21"/>
      <c r="J578" s="21"/>
      <c r="K578" s="22"/>
    </row>
    <row r="579" spans="1:11" x14ac:dyDescent="0.35">
      <c r="A579" s="21"/>
      <c r="B579" s="21"/>
      <c r="C579" s="21"/>
      <c r="D579" s="21"/>
      <c r="E579" s="21"/>
      <c r="F579" s="21"/>
      <c r="G579" s="21"/>
      <c r="H579" s="21"/>
      <c r="I579" s="21"/>
      <c r="J579" s="21"/>
      <c r="K579" s="22"/>
    </row>
    <row r="580" spans="1:11" x14ac:dyDescent="0.35">
      <c r="A580" s="21"/>
      <c r="B580" s="21"/>
      <c r="C580" s="21"/>
      <c r="D580" s="21"/>
      <c r="E580" s="21"/>
      <c r="F580" s="21"/>
      <c r="G580" s="21"/>
      <c r="H580" s="21"/>
      <c r="I580" s="21"/>
      <c r="J580" s="21"/>
      <c r="K580" s="22"/>
    </row>
    <row r="581" spans="1:11" x14ac:dyDescent="0.35">
      <c r="A581" s="21"/>
      <c r="B581" s="21"/>
      <c r="C581" s="21"/>
      <c r="D581" s="21"/>
      <c r="E581" s="21"/>
      <c r="F581" s="21"/>
      <c r="G581" s="21"/>
      <c r="H581" s="21"/>
      <c r="I581" s="21"/>
      <c r="J581" s="21"/>
      <c r="K581" s="22"/>
    </row>
    <row r="582" spans="1:11" x14ac:dyDescent="0.35">
      <c r="A582" s="21"/>
      <c r="B582" s="21"/>
      <c r="C582" s="21"/>
      <c r="D582" s="21"/>
      <c r="E582" s="21"/>
      <c r="F582" s="21"/>
      <c r="G582" s="21"/>
      <c r="H582" s="21"/>
      <c r="I582" s="21"/>
      <c r="J582" s="21"/>
      <c r="K582" s="22"/>
    </row>
    <row r="583" spans="1:11" x14ac:dyDescent="0.35">
      <c r="A583" s="21"/>
      <c r="B583" s="21"/>
      <c r="C583" s="21"/>
      <c r="D583" s="21"/>
      <c r="E583" s="21"/>
      <c r="F583" s="21"/>
      <c r="G583" s="21"/>
      <c r="H583" s="21"/>
      <c r="I583" s="21"/>
      <c r="J583" s="21"/>
      <c r="K583" s="22"/>
    </row>
    <row r="584" spans="1:11" x14ac:dyDescent="0.35">
      <c r="A584" s="21"/>
      <c r="B584" s="21"/>
      <c r="C584" s="21"/>
      <c r="D584" s="21"/>
      <c r="E584" s="21"/>
      <c r="F584" s="21"/>
      <c r="G584" s="21"/>
      <c r="H584" s="21"/>
      <c r="I584" s="21"/>
      <c r="J584" s="21"/>
      <c r="K584" s="22"/>
    </row>
    <row r="585" spans="1:11" x14ac:dyDescent="0.35">
      <c r="A585" s="21"/>
      <c r="B585" s="21"/>
      <c r="C585" s="21"/>
      <c r="D585" s="21"/>
      <c r="E585" s="21"/>
      <c r="F585" s="21"/>
      <c r="G585" s="21"/>
      <c r="H585" s="21"/>
      <c r="I585" s="21"/>
      <c r="J585" s="21"/>
      <c r="K585" s="22"/>
    </row>
    <row r="586" spans="1:11" x14ac:dyDescent="0.35">
      <c r="A586" s="21"/>
      <c r="B586" s="21"/>
      <c r="C586" s="21"/>
      <c r="D586" s="21"/>
      <c r="E586" s="21"/>
      <c r="F586" s="21"/>
      <c r="G586" s="21"/>
      <c r="H586" s="21"/>
      <c r="I586" s="21"/>
      <c r="J586" s="21"/>
      <c r="K586" s="22"/>
    </row>
    <row r="587" spans="1:11" x14ac:dyDescent="0.35">
      <c r="A587" s="21"/>
      <c r="B587" s="21"/>
      <c r="C587" s="21"/>
      <c r="D587" s="21"/>
      <c r="E587" s="21"/>
      <c r="F587" s="21"/>
      <c r="G587" s="21"/>
      <c r="H587" s="21"/>
      <c r="I587" s="21"/>
      <c r="J587" s="21"/>
      <c r="K587" s="22"/>
    </row>
    <row r="588" spans="1:11" x14ac:dyDescent="0.35">
      <c r="A588" s="21"/>
      <c r="B588" s="21"/>
      <c r="C588" s="21"/>
      <c r="D588" s="21"/>
      <c r="E588" s="21"/>
      <c r="F588" s="21"/>
      <c r="G588" s="21"/>
      <c r="H588" s="21"/>
      <c r="I588" s="21"/>
      <c r="J588" s="21"/>
      <c r="K588" s="22"/>
    </row>
    <row r="589" spans="1:11" x14ac:dyDescent="0.35">
      <c r="A589" s="21"/>
      <c r="B589" s="21"/>
      <c r="C589" s="21"/>
      <c r="D589" s="21"/>
      <c r="E589" s="21"/>
      <c r="F589" s="21"/>
      <c r="G589" s="21"/>
      <c r="H589" s="21"/>
      <c r="I589" s="21"/>
      <c r="J589" s="21"/>
      <c r="K589" s="22"/>
    </row>
    <row r="590" spans="1:11" x14ac:dyDescent="0.35">
      <c r="A590" s="21"/>
      <c r="B590" s="21"/>
      <c r="C590" s="21"/>
      <c r="D590" s="21"/>
      <c r="E590" s="21"/>
      <c r="F590" s="21"/>
      <c r="G590" s="21"/>
      <c r="H590" s="21"/>
      <c r="I590" s="21"/>
      <c r="J590" s="21"/>
      <c r="K590" s="22"/>
    </row>
    <row r="591" spans="1:11" x14ac:dyDescent="0.35">
      <c r="A591" s="21"/>
      <c r="B591" s="21"/>
      <c r="C591" s="21"/>
      <c r="D591" s="21"/>
      <c r="E591" s="21"/>
      <c r="F591" s="21"/>
      <c r="G591" s="21"/>
      <c r="H591" s="21"/>
      <c r="I591" s="21"/>
      <c r="J591" s="21"/>
      <c r="K591" s="22"/>
    </row>
    <row r="592" spans="1:11" x14ac:dyDescent="0.35">
      <c r="A592" s="21"/>
      <c r="B592" s="21"/>
      <c r="C592" s="21"/>
      <c r="D592" s="21"/>
      <c r="E592" s="21"/>
      <c r="F592" s="21"/>
      <c r="G592" s="21"/>
      <c r="H592" s="21"/>
      <c r="I592" s="21"/>
      <c r="J592" s="21"/>
      <c r="K592" s="22"/>
    </row>
    <row r="593" spans="1:11" x14ac:dyDescent="0.35">
      <c r="A593" s="21"/>
      <c r="B593" s="21"/>
      <c r="C593" s="21"/>
      <c r="D593" s="21"/>
      <c r="E593" s="21"/>
      <c r="F593" s="21"/>
      <c r="G593" s="21"/>
      <c r="H593" s="21"/>
      <c r="I593" s="21"/>
      <c r="J593" s="21"/>
      <c r="K593" s="22"/>
    </row>
    <row r="594" spans="1:11" x14ac:dyDescent="0.35">
      <c r="A594" s="21"/>
      <c r="B594" s="21"/>
      <c r="C594" s="21"/>
      <c r="D594" s="21"/>
      <c r="E594" s="21"/>
      <c r="F594" s="21"/>
      <c r="G594" s="21"/>
      <c r="H594" s="21"/>
      <c r="I594" s="21"/>
      <c r="J594" s="21"/>
      <c r="K594" s="22"/>
    </row>
    <row r="595" spans="1:11" x14ac:dyDescent="0.35">
      <c r="A595" s="21"/>
      <c r="B595" s="21"/>
      <c r="C595" s="21"/>
      <c r="D595" s="21"/>
      <c r="E595" s="21"/>
      <c r="F595" s="21"/>
      <c r="G595" s="21"/>
      <c r="H595" s="21"/>
      <c r="I595" s="21"/>
      <c r="J595" s="21"/>
      <c r="K595" s="22"/>
    </row>
    <row r="596" spans="1:11" x14ac:dyDescent="0.35">
      <c r="A596" s="21"/>
      <c r="B596" s="21"/>
      <c r="C596" s="21"/>
      <c r="D596" s="21"/>
      <c r="E596" s="21"/>
      <c r="F596" s="21"/>
      <c r="G596" s="21"/>
      <c r="H596" s="21"/>
      <c r="I596" s="21"/>
      <c r="J596" s="21"/>
      <c r="K596" s="22"/>
    </row>
    <row r="597" spans="1:11" x14ac:dyDescent="0.35">
      <c r="A597" s="21"/>
      <c r="B597" s="21"/>
      <c r="C597" s="21"/>
      <c r="D597" s="21"/>
      <c r="E597" s="21"/>
      <c r="F597" s="21"/>
      <c r="G597" s="21"/>
      <c r="H597" s="21"/>
      <c r="I597" s="21"/>
      <c r="J597" s="21"/>
      <c r="K597" s="22"/>
    </row>
    <row r="598" spans="1:11" x14ac:dyDescent="0.35">
      <c r="A598" s="21"/>
      <c r="B598" s="21"/>
      <c r="C598" s="21"/>
      <c r="D598" s="21"/>
      <c r="E598" s="21"/>
      <c r="F598" s="21"/>
      <c r="G598" s="21"/>
      <c r="H598" s="21"/>
      <c r="I598" s="21"/>
      <c r="J598" s="21"/>
      <c r="K598" s="22"/>
    </row>
    <row r="599" spans="1:11" x14ac:dyDescent="0.35">
      <c r="A599" s="21"/>
      <c r="B599" s="21"/>
      <c r="C599" s="21"/>
      <c r="D599" s="21"/>
      <c r="E599" s="21"/>
      <c r="F599" s="21"/>
      <c r="G599" s="21"/>
      <c r="H599" s="21"/>
      <c r="I599" s="21"/>
      <c r="J599" s="21"/>
      <c r="K599" s="22"/>
    </row>
    <row r="600" spans="1:11" x14ac:dyDescent="0.35">
      <c r="A600" s="21"/>
      <c r="B600" s="21"/>
      <c r="C600" s="21"/>
      <c r="D600" s="21"/>
      <c r="E600" s="21"/>
      <c r="F600" s="21"/>
      <c r="G600" s="21"/>
      <c r="H600" s="21"/>
      <c r="I600" s="21"/>
      <c r="J600" s="21"/>
      <c r="K600" s="22"/>
    </row>
    <row r="601" spans="1:11" x14ac:dyDescent="0.35">
      <c r="A601" s="21"/>
      <c r="B601" s="21"/>
      <c r="C601" s="21"/>
      <c r="D601" s="21"/>
      <c r="E601" s="21"/>
      <c r="F601" s="21"/>
      <c r="G601" s="21"/>
      <c r="H601" s="21"/>
      <c r="I601" s="21"/>
      <c r="J601" s="21"/>
      <c r="K601" s="22"/>
    </row>
    <row r="602" spans="1:11" x14ac:dyDescent="0.35">
      <c r="A602" s="21"/>
      <c r="B602" s="21"/>
      <c r="C602" s="21"/>
      <c r="D602" s="21"/>
      <c r="E602" s="21"/>
      <c r="F602" s="21"/>
      <c r="G602" s="21"/>
      <c r="H602" s="21"/>
      <c r="I602" s="21"/>
      <c r="J602" s="21"/>
      <c r="K602" s="22"/>
    </row>
    <row r="603" spans="1:11" x14ac:dyDescent="0.35">
      <c r="A603" s="21"/>
      <c r="B603" s="21"/>
      <c r="C603" s="21"/>
      <c r="D603" s="21"/>
      <c r="E603" s="21"/>
      <c r="F603" s="21"/>
      <c r="G603" s="21"/>
      <c r="H603" s="21"/>
      <c r="I603" s="21"/>
      <c r="J603" s="21"/>
      <c r="K603" s="22"/>
    </row>
    <row r="604" spans="1:11" x14ac:dyDescent="0.35">
      <c r="A604" s="21"/>
      <c r="B604" s="21"/>
      <c r="C604" s="21"/>
      <c r="D604" s="21"/>
      <c r="E604" s="21"/>
      <c r="F604" s="21"/>
      <c r="G604" s="21"/>
      <c r="H604" s="21"/>
      <c r="I604" s="21"/>
      <c r="J604" s="21"/>
      <c r="K604" s="22"/>
    </row>
    <row r="605" spans="1:11" x14ac:dyDescent="0.35">
      <c r="A605" s="21"/>
      <c r="B605" s="21"/>
      <c r="C605" s="21"/>
      <c r="D605" s="21"/>
      <c r="E605" s="21"/>
      <c r="F605" s="21"/>
      <c r="G605" s="21"/>
      <c r="H605" s="21"/>
      <c r="I605" s="21"/>
      <c r="J605" s="21"/>
      <c r="K605" s="22"/>
    </row>
    <row r="606" spans="1:11" x14ac:dyDescent="0.35">
      <c r="A606" s="21"/>
      <c r="B606" s="21"/>
      <c r="C606" s="21"/>
      <c r="D606" s="21"/>
      <c r="E606" s="21"/>
      <c r="F606" s="21"/>
      <c r="G606" s="21"/>
      <c r="H606" s="21"/>
      <c r="I606" s="21"/>
      <c r="J606" s="21"/>
      <c r="K606" s="22"/>
    </row>
    <row r="607" spans="1:11" x14ac:dyDescent="0.35">
      <c r="A607" s="21"/>
      <c r="B607" s="21"/>
      <c r="C607" s="21"/>
      <c r="D607" s="21"/>
      <c r="E607" s="21"/>
      <c r="F607" s="21"/>
      <c r="G607" s="21"/>
      <c r="H607" s="21"/>
      <c r="I607" s="21"/>
      <c r="J607" s="21"/>
      <c r="K607" s="22"/>
    </row>
    <row r="608" spans="1:11" x14ac:dyDescent="0.35">
      <c r="A608" s="21"/>
      <c r="B608" s="21"/>
      <c r="C608" s="21"/>
      <c r="D608" s="21"/>
      <c r="E608" s="21"/>
      <c r="F608" s="21"/>
      <c r="G608" s="21"/>
      <c r="H608" s="21"/>
      <c r="I608" s="21"/>
      <c r="J608" s="21"/>
      <c r="K608" s="22"/>
    </row>
    <row r="609" spans="1:11" x14ac:dyDescent="0.35">
      <c r="A609" s="21"/>
      <c r="B609" s="21"/>
      <c r="C609" s="21"/>
      <c r="D609" s="21"/>
      <c r="E609" s="21"/>
      <c r="F609" s="21"/>
      <c r="G609" s="21"/>
      <c r="H609" s="21"/>
      <c r="I609" s="21"/>
      <c r="J609" s="21"/>
      <c r="K609" s="22"/>
    </row>
    <row r="610" spans="1:11" x14ac:dyDescent="0.35">
      <c r="A610" s="21"/>
      <c r="B610" s="21"/>
      <c r="C610" s="21"/>
      <c r="D610" s="21"/>
      <c r="E610" s="21"/>
      <c r="F610" s="21"/>
      <c r="G610" s="21"/>
      <c r="H610" s="21"/>
      <c r="I610" s="21"/>
      <c r="J610" s="21"/>
      <c r="K610" s="22"/>
    </row>
    <row r="611" spans="1:11" x14ac:dyDescent="0.35">
      <c r="A611" s="21"/>
      <c r="B611" s="21"/>
      <c r="C611" s="21"/>
      <c r="D611" s="21"/>
      <c r="E611" s="21"/>
      <c r="F611" s="21"/>
      <c r="G611" s="21"/>
      <c r="H611" s="21"/>
      <c r="I611" s="21"/>
      <c r="J611" s="21"/>
      <c r="K611" s="22"/>
    </row>
    <row r="612" spans="1:11" x14ac:dyDescent="0.35">
      <c r="A612" s="21"/>
      <c r="B612" s="21"/>
      <c r="C612" s="21"/>
      <c r="D612" s="21"/>
      <c r="E612" s="21"/>
      <c r="F612" s="21"/>
      <c r="G612" s="21"/>
      <c r="H612" s="21"/>
      <c r="I612" s="21"/>
      <c r="J612" s="21"/>
      <c r="K612" s="22"/>
    </row>
    <row r="613" spans="1:11" x14ac:dyDescent="0.35">
      <c r="A613" s="21"/>
      <c r="B613" s="21"/>
      <c r="C613" s="21"/>
      <c r="D613" s="21"/>
      <c r="E613" s="21"/>
      <c r="F613" s="21"/>
      <c r="G613" s="21"/>
      <c r="H613" s="21"/>
      <c r="I613" s="21"/>
      <c r="J613" s="21"/>
      <c r="K613" s="22"/>
    </row>
    <row r="614" spans="1:11" x14ac:dyDescent="0.35">
      <c r="A614" s="21"/>
      <c r="B614" s="21"/>
      <c r="C614" s="21"/>
      <c r="D614" s="21"/>
      <c r="E614" s="21"/>
      <c r="F614" s="21"/>
      <c r="G614" s="21"/>
      <c r="H614" s="21"/>
      <c r="I614" s="21"/>
      <c r="J614" s="21"/>
      <c r="K614" s="22"/>
    </row>
    <row r="615" spans="1:11" x14ac:dyDescent="0.35">
      <c r="A615" s="21"/>
      <c r="B615" s="21"/>
      <c r="C615" s="21"/>
      <c r="D615" s="21"/>
      <c r="E615" s="21"/>
      <c r="F615" s="21"/>
      <c r="G615" s="21"/>
      <c r="H615" s="21"/>
      <c r="I615" s="21"/>
      <c r="J615" s="21"/>
      <c r="K615" s="22"/>
    </row>
    <row r="616" spans="1:11" x14ac:dyDescent="0.35">
      <c r="A616" s="21"/>
      <c r="B616" s="21"/>
      <c r="C616" s="21"/>
      <c r="D616" s="21"/>
      <c r="E616" s="21"/>
      <c r="F616" s="21"/>
      <c r="G616" s="21"/>
      <c r="H616" s="21"/>
      <c r="I616" s="21"/>
      <c r="J616" s="21"/>
      <c r="K616" s="22"/>
    </row>
    <row r="617" spans="1:11" x14ac:dyDescent="0.35">
      <c r="A617" s="21"/>
      <c r="B617" s="21"/>
      <c r="C617" s="21"/>
      <c r="D617" s="21"/>
      <c r="E617" s="21"/>
      <c r="F617" s="21"/>
      <c r="G617" s="21"/>
      <c r="H617" s="21"/>
      <c r="I617" s="21"/>
      <c r="J617" s="21"/>
      <c r="K617" s="22"/>
    </row>
    <row r="618" spans="1:11" x14ac:dyDescent="0.35">
      <c r="A618" s="21"/>
      <c r="B618" s="21"/>
      <c r="C618" s="21"/>
      <c r="D618" s="21"/>
      <c r="E618" s="21"/>
      <c r="F618" s="21"/>
      <c r="G618" s="21"/>
      <c r="H618" s="21"/>
      <c r="I618" s="21"/>
      <c r="J618" s="21"/>
      <c r="K618" s="22"/>
    </row>
    <row r="619" spans="1:11" x14ac:dyDescent="0.35">
      <c r="A619" s="21"/>
      <c r="B619" s="21"/>
      <c r="C619" s="21"/>
      <c r="D619" s="21"/>
      <c r="E619" s="21"/>
      <c r="F619" s="21"/>
      <c r="G619" s="21"/>
      <c r="H619" s="21"/>
      <c r="I619" s="21"/>
      <c r="J619" s="21"/>
      <c r="K619" s="22"/>
    </row>
    <row r="620" spans="1:11" x14ac:dyDescent="0.35">
      <c r="A620" s="21"/>
      <c r="B620" s="21"/>
      <c r="C620" s="21"/>
      <c r="D620" s="21"/>
      <c r="E620" s="21"/>
      <c r="F620" s="21"/>
      <c r="G620" s="21"/>
      <c r="H620" s="21"/>
      <c r="I620" s="21"/>
      <c r="J620" s="21"/>
      <c r="K620" s="22"/>
    </row>
    <row r="621" spans="1:11" x14ac:dyDescent="0.35">
      <c r="A621" s="21"/>
      <c r="B621" s="21"/>
      <c r="C621" s="21"/>
      <c r="D621" s="21"/>
      <c r="E621" s="21"/>
      <c r="F621" s="21"/>
      <c r="G621" s="21"/>
      <c r="H621" s="21"/>
      <c r="I621" s="21"/>
      <c r="J621" s="21"/>
      <c r="K621" s="22"/>
    </row>
    <row r="622" spans="1:11" x14ac:dyDescent="0.35">
      <c r="A622" s="21"/>
      <c r="B622" s="21"/>
      <c r="C622" s="21"/>
      <c r="D622" s="21"/>
      <c r="E622" s="21"/>
      <c r="F622" s="21"/>
      <c r="G622" s="21"/>
      <c r="H622" s="21"/>
      <c r="I622" s="21"/>
      <c r="J622" s="21"/>
      <c r="K622" s="22"/>
    </row>
    <row r="623" spans="1:11" x14ac:dyDescent="0.35">
      <c r="A623" s="21"/>
      <c r="B623" s="21"/>
      <c r="C623" s="21"/>
      <c r="D623" s="21"/>
      <c r="E623" s="21"/>
      <c r="F623" s="21"/>
      <c r="G623" s="21"/>
      <c r="H623" s="21"/>
      <c r="I623" s="21"/>
      <c r="J623" s="21"/>
      <c r="K623" s="22"/>
    </row>
    <row r="624" spans="1:11" x14ac:dyDescent="0.35">
      <c r="A624" s="21"/>
      <c r="B624" s="21"/>
      <c r="C624" s="21"/>
      <c r="D624" s="21"/>
      <c r="E624" s="21"/>
      <c r="F624" s="21"/>
      <c r="G624" s="21"/>
      <c r="H624" s="21"/>
      <c r="I624" s="21"/>
      <c r="J624" s="21"/>
      <c r="K624" s="22"/>
    </row>
    <row r="625" spans="1:11" x14ac:dyDescent="0.35">
      <c r="A625" s="21"/>
      <c r="B625" s="21"/>
      <c r="C625" s="21"/>
      <c r="D625" s="21"/>
      <c r="E625" s="21"/>
      <c r="F625" s="21"/>
      <c r="G625" s="21"/>
      <c r="H625" s="21"/>
      <c r="I625" s="21"/>
      <c r="J625" s="21"/>
      <c r="K625" s="22"/>
    </row>
    <row r="626" spans="1:11" x14ac:dyDescent="0.35">
      <c r="A626" s="21"/>
      <c r="B626" s="21"/>
      <c r="C626" s="21"/>
      <c r="D626" s="21"/>
      <c r="E626" s="21"/>
      <c r="F626" s="21"/>
      <c r="G626" s="21"/>
      <c r="H626" s="21"/>
      <c r="I626" s="21"/>
      <c r="J626" s="21"/>
      <c r="K626" s="22"/>
    </row>
    <row r="627" spans="1:11" x14ac:dyDescent="0.35">
      <c r="A627" s="21"/>
      <c r="B627" s="21"/>
      <c r="C627" s="21"/>
      <c r="D627" s="21"/>
      <c r="E627" s="21"/>
      <c r="F627" s="21"/>
      <c r="G627" s="21"/>
      <c r="H627" s="21"/>
      <c r="I627" s="21"/>
      <c r="J627" s="21"/>
      <c r="K627" s="22"/>
    </row>
    <row r="628" spans="1:11" x14ac:dyDescent="0.35">
      <c r="A628" s="21"/>
      <c r="B628" s="21"/>
      <c r="C628" s="21"/>
      <c r="D628" s="21"/>
      <c r="E628" s="21"/>
      <c r="F628" s="21"/>
      <c r="G628" s="21"/>
      <c r="H628" s="21"/>
      <c r="I628" s="21"/>
      <c r="J628" s="21"/>
      <c r="K628" s="22"/>
    </row>
    <row r="629" spans="1:11" x14ac:dyDescent="0.35">
      <c r="A629" s="21"/>
      <c r="B629" s="21"/>
      <c r="C629" s="21"/>
      <c r="D629" s="21"/>
      <c r="E629" s="21"/>
      <c r="F629" s="21"/>
      <c r="G629" s="21"/>
      <c r="H629" s="21"/>
      <c r="I629" s="21"/>
      <c r="J629" s="21"/>
      <c r="K629" s="22"/>
    </row>
    <row r="630" spans="1:11" x14ac:dyDescent="0.35">
      <c r="A630" s="21"/>
      <c r="B630" s="21"/>
      <c r="C630" s="21"/>
      <c r="D630" s="21"/>
      <c r="E630" s="21"/>
      <c r="F630" s="21"/>
      <c r="G630" s="21"/>
      <c r="H630" s="21"/>
      <c r="I630" s="21"/>
      <c r="J630" s="21"/>
      <c r="K630" s="22"/>
    </row>
    <row r="631" spans="1:11" x14ac:dyDescent="0.35">
      <c r="A631" s="21"/>
      <c r="B631" s="21"/>
      <c r="C631" s="21"/>
      <c r="D631" s="21"/>
      <c r="E631" s="21"/>
      <c r="F631" s="21"/>
      <c r="G631" s="21"/>
      <c r="H631" s="21"/>
      <c r="I631" s="21"/>
      <c r="J631" s="21"/>
      <c r="K631" s="22"/>
    </row>
    <row r="632" spans="1:11" x14ac:dyDescent="0.35">
      <c r="A632" s="21"/>
      <c r="B632" s="21"/>
      <c r="C632" s="21"/>
      <c r="D632" s="21"/>
      <c r="E632" s="21"/>
      <c r="F632" s="21"/>
      <c r="G632" s="21"/>
      <c r="H632" s="21"/>
      <c r="I632" s="21"/>
      <c r="J632" s="21"/>
      <c r="K632" s="22"/>
    </row>
    <row r="633" spans="1:11" x14ac:dyDescent="0.35">
      <c r="A633" s="21"/>
      <c r="B633" s="21"/>
      <c r="C633" s="21"/>
      <c r="D633" s="21"/>
      <c r="E633" s="21"/>
      <c r="F633" s="21"/>
      <c r="G633" s="21"/>
      <c r="H633" s="21"/>
      <c r="I633" s="21"/>
      <c r="J633" s="21"/>
      <c r="K633" s="22"/>
    </row>
    <row r="634" spans="1:11" x14ac:dyDescent="0.35">
      <c r="A634" s="21"/>
      <c r="B634" s="21"/>
      <c r="C634" s="21"/>
      <c r="D634" s="21"/>
      <c r="E634" s="21"/>
      <c r="F634" s="21"/>
      <c r="G634" s="21"/>
      <c r="H634" s="21"/>
      <c r="I634" s="21"/>
      <c r="J634" s="21"/>
      <c r="K634" s="22"/>
    </row>
    <row r="635" spans="1:11" x14ac:dyDescent="0.35">
      <c r="A635" s="21"/>
      <c r="B635" s="21"/>
      <c r="C635" s="21"/>
      <c r="D635" s="21"/>
      <c r="E635" s="21"/>
      <c r="F635" s="21"/>
      <c r="G635" s="21"/>
      <c r="H635" s="21"/>
      <c r="I635" s="21"/>
      <c r="J635" s="21"/>
      <c r="K635" s="22"/>
    </row>
    <row r="636" spans="1:11" x14ac:dyDescent="0.35">
      <c r="A636" s="21"/>
      <c r="B636" s="21"/>
      <c r="C636" s="21"/>
      <c r="D636" s="21"/>
      <c r="E636" s="21"/>
      <c r="F636" s="21"/>
      <c r="G636" s="21"/>
      <c r="H636" s="21"/>
      <c r="I636" s="21"/>
      <c r="J636" s="21"/>
      <c r="K636" s="22"/>
    </row>
    <row r="637" spans="1:11" x14ac:dyDescent="0.35">
      <c r="A637" s="21"/>
      <c r="B637" s="21"/>
      <c r="C637" s="21"/>
      <c r="D637" s="21"/>
      <c r="E637" s="21"/>
      <c r="F637" s="21"/>
      <c r="G637" s="21"/>
      <c r="H637" s="21"/>
      <c r="I637" s="21"/>
      <c r="J637" s="21"/>
      <c r="K637" s="22"/>
    </row>
    <row r="638" spans="1:11" x14ac:dyDescent="0.35">
      <c r="A638" s="21"/>
      <c r="B638" s="21"/>
      <c r="C638" s="21"/>
      <c r="D638" s="21"/>
      <c r="E638" s="21"/>
      <c r="F638" s="21"/>
      <c r="G638" s="21"/>
      <c r="H638" s="21"/>
      <c r="I638" s="21"/>
      <c r="J638" s="21"/>
      <c r="K638" s="22"/>
    </row>
    <row r="639" spans="1:11" x14ac:dyDescent="0.35">
      <c r="A639" s="21"/>
      <c r="B639" s="21"/>
      <c r="C639" s="21"/>
      <c r="D639" s="21"/>
      <c r="E639" s="21"/>
      <c r="F639" s="21"/>
      <c r="G639" s="21"/>
      <c r="H639" s="21"/>
      <c r="I639" s="21"/>
      <c r="J639" s="21"/>
      <c r="K639" s="22"/>
    </row>
    <row r="640" spans="1:11" x14ac:dyDescent="0.35">
      <c r="A640" s="21"/>
      <c r="B640" s="21"/>
      <c r="C640" s="21"/>
      <c r="D640" s="21"/>
      <c r="E640" s="21"/>
      <c r="F640" s="21"/>
      <c r="G640" s="21"/>
      <c r="H640" s="21"/>
      <c r="I640" s="21"/>
      <c r="J640" s="21"/>
      <c r="K640" s="22"/>
    </row>
    <row r="641" spans="1:11" x14ac:dyDescent="0.35">
      <c r="A641" s="21"/>
      <c r="B641" s="21"/>
      <c r="C641" s="21"/>
      <c r="D641" s="21"/>
      <c r="E641" s="21"/>
      <c r="F641" s="21"/>
      <c r="G641" s="21"/>
      <c r="H641" s="21"/>
      <c r="I641" s="21"/>
      <c r="J641" s="21"/>
      <c r="K641" s="22"/>
    </row>
    <row r="642" spans="1:11" x14ac:dyDescent="0.35">
      <c r="A642" s="21"/>
      <c r="B642" s="21"/>
      <c r="C642" s="21"/>
      <c r="D642" s="21"/>
      <c r="E642" s="21"/>
      <c r="F642" s="21"/>
      <c r="G642" s="21"/>
      <c r="H642" s="21"/>
      <c r="I642" s="21"/>
      <c r="J642" s="21"/>
      <c r="K642" s="22"/>
    </row>
    <row r="643" spans="1:11" x14ac:dyDescent="0.35">
      <c r="A643" s="21"/>
      <c r="B643" s="21"/>
      <c r="C643" s="21"/>
      <c r="D643" s="21"/>
      <c r="E643" s="21"/>
      <c r="F643" s="21"/>
      <c r="G643" s="21"/>
      <c r="H643" s="21"/>
      <c r="I643" s="21"/>
      <c r="J643" s="21"/>
      <c r="K643" s="22"/>
    </row>
    <row r="644" spans="1:11" x14ac:dyDescent="0.35">
      <c r="A644" s="21"/>
      <c r="B644" s="21"/>
      <c r="C644" s="21"/>
      <c r="D644" s="21"/>
      <c r="E644" s="21"/>
      <c r="F644" s="21"/>
      <c r="G644" s="21"/>
      <c r="H644" s="21"/>
      <c r="I644" s="21"/>
      <c r="J644" s="21"/>
      <c r="K644" s="22"/>
    </row>
    <row r="645" spans="1:11" x14ac:dyDescent="0.35">
      <c r="A645" s="21"/>
      <c r="B645" s="21"/>
      <c r="C645" s="21"/>
      <c r="D645" s="21"/>
      <c r="E645" s="21"/>
      <c r="F645" s="21"/>
      <c r="G645" s="21"/>
      <c r="H645" s="21"/>
      <c r="I645" s="21"/>
      <c r="J645" s="21"/>
      <c r="K645" s="22"/>
    </row>
    <row r="646" spans="1:11" x14ac:dyDescent="0.35">
      <c r="A646" s="21"/>
      <c r="B646" s="21"/>
      <c r="C646" s="21"/>
      <c r="D646" s="21"/>
      <c r="E646" s="21"/>
      <c r="F646" s="21"/>
      <c r="G646" s="21"/>
      <c r="H646" s="21"/>
      <c r="I646" s="21"/>
      <c r="J646" s="21"/>
      <c r="K646" s="22"/>
    </row>
    <row r="647" spans="1:11" x14ac:dyDescent="0.35">
      <c r="A647" s="21"/>
      <c r="B647" s="21"/>
      <c r="C647" s="21"/>
      <c r="D647" s="21"/>
      <c r="E647" s="21"/>
      <c r="F647" s="21"/>
      <c r="G647" s="21"/>
      <c r="H647" s="21"/>
      <c r="I647" s="21"/>
      <c r="J647" s="21"/>
      <c r="K647" s="22"/>
    </row>
    <row r="648" spans="1:11" x14ac:dyDescent="0.35">
      <c r="A648" s="21"/>
      <c r="B648" s="21"/>
      <c r="C648" s="21"/>
      <c r="D648" s="21"/>
      <c r="E648" s="21"/>
      <c r="F648" s="21"/>
      <c r="G648" s="21"/>
      <c r="H648" s="21"/>
      <c r="I648" s="21"/>
      <c r="J648" s="21"/>
      <c r="K648" s="22"/>
    </row>
    <row r="649" spans="1:11" x14ac:dyDescent="0.35">
      <c r="A649" s="21"/>
      <c r="B649" s="21"/>
      <c r="C649" s="21"/>
      <c r="D649" s="21"/>
      <c r="E649" s="21"/>
      <c r="F649" s="21"/>
      <c r="G649" s="21"/>
      <c r="H649" s="21"/>
      <c r="I649" s="21"/>
      <c r="J649" s="21"/>
      <c r="K649" s="22"/>
    </row>
    <row r="650" spans="1:11" x14ac:dyDescent="0.35">
      <c r="A650" s="21"/>
      <c r="B650" s="21"/>
      <c r="C650" s="21"/>
      <c r="D650" s="21"/>
      <c r="E650" s="21"/>
      <c r="F650" s="21"/>
      <c r="G650" s="21"/>
      <c r="H650" s="21"/>
      <c r="I650" s="21"/>
      <c r="J650" s="21"/>
      <c r="K650" s="22"/>
    </row>
    <row r="651" spans="1:11" x14ac:dyDescent="0.35">
      <c r="A651" s="21"/>
      <c r="B651" s="21"/>
      <c r="C651" s="21"/>
      <c r="D651" s="21"/>
      <c r="E651" s="21"/>
      <c r="F651" s="21"/>
      <c r="G651" s="21"/>
      <c r="H651" s="21"/>
      <c r="I651" s="21"/>
      <c r="J651" s="21"/>
      <c r="K651" s="22"/>
    </row>
    <row r="652" spans="1:11" x14ac:dyDescent="0.35">
      <c r="A652" s="21"/>
      <c r="B652" s="21"/>
      <c r="C652" s="21"/>
      <c r="D652" s="21"/>
      <c r="E652" s="21"/>
      <c r="F652" s="21"/>
      <c r="G652" s="21"/>
      <c r="H652" s="21"/>
      <c r="I652" s="21"/>
      <c r="J652" s="21"/>
      <c r="K652" s="22"/>
    </row>
    <row r="653" spans="1:11" x14ac:dyDescent="0.35">
      <c r="A653" s="21"/>
      <c r="B653" s="21"/>
      <c r="C653" s="21"/>
      <c r="D653" s="21"/>
      <c r="E653" s="21"/>
      <c r="F653" s="21"/>
      <c r="G653" s="21"/>
      <c r="H653" s="21"/>
      <c r="I653" s="21"/>
      <c r="J653" s="21"/>
      <c r="K653" s="22"/>
    </row>
    <row r="654" spans="1:11" x14ac:dyDescent="0.35">
      <c r="A654" s="21"/>
      <c r="B654" s="21"/>
      <c r="C654" s="21"/>
      <c r="D654" s="21"/>
      <c r="E654" s="21"/>
      <c r="F654" s="21"/>
      <c r="G654" s="21"/>
      <c r="H654" s="21"/>
      <c r="I654" s="21"/>
      <c r="J654" s="21"/>
      <c r="K654" s="22"/>
    </row>
    <row r="655" spans="1:11" x14ac:dyDescent="0.35">
      <c r="A655" s="21"/>
      <c r="B655" s="21"/>
      <c r="C655" s="21"/>
      <c r="D655" s="21"/>
      <c r="E655" s="21"/>
      <c r="F655" s="21"/>
      <c r="G655" s="21"/>
      <c r="H655" s="21"/>
      <c r="I655" s="21"/>
      <c r="J655" s="21"/>
      <c r="K655" s="22"/>
    </row>
    <row r="656" spans="1:11" x14ac:dyDescent="0.35">
      <c r="A656" s="21"/>
      <c r="B656" s="21"/>
      <c r="C656" s="21"/>
      <c r="D656" s="21"/>
      <c r="E656" s="21"/>
      <c r="F656" s="21"/>
      <c r="G656" s="21"/>
      <c r="H656" s="21"/>
      <c r="I656" s="21"/>
      <c r="J656" s="21"/>
      <c r="K656" s="22"/>
    </row>
    <row r="657" spans="1:11" x14ac:dyDescent="0.35">
      <c r="A657" s="21"/>
      <c r="B657" s="21"/>
      <c r="C657" s="21"/>
      <c r="D657" s="21"/>
      <c r="E657" s="21"/>
      <c r="F657" s="21"/>
      <c r="G657" s="21"/>
      <c r="H657" s="21"/>
      <c r="I657" s="21"/>
      <c r="J657" s="21"/>
      <c r="K657" s="22"/>
    </row>
    <row r="658" spans="1:11" x14ac:dyDescent="0.35">
      <c r="A658" s="21"/>
      <c r="B658" s="21"/>
      <c r="C658" s="21"/>
      <c r="D658" s="21"/>
      <c r="E658" s="21"/>
      <c r="F658" s="21"/>
      <c r="G658" s="21"/>
      <c r="H658" s="21"/>
      <c r="I658" s="21"/>
      <c r="J658" s="21"/>
      <c r="K658" s="22"/>
    </row>
    <row r="659" spans="1:11" x14ac:dyDescent="0.35">
      <c r="A659" s="21"/>
      <c r="B659" s="21"/>
      <c r="C659" s="21"/>
      <c r="D659" s="21"/>
      <c r="E659" s="21"/>
      <c r="F659" s="21"/>
      <c r="G659" s="21"/>
      <c r="H659" s="21"/>
      <c r="I659" s="21"/>
      <c r="J659" s="21"/>
      <c r="K659" s="22"/>
    </row>
    <row r="660" spans="1:11" x14ac:dyDescent="0.35">
      <c r="A660" s="21"/>
      <c r="B660" s="21"/>
      <c r="C660" s="21"/>
      <c r="D660" s="21"/>
      <c r="E660" s="21"/>
      <c r="F660" s="21"/>
      <c r="G660" s="21"/>
      <c r="H660" s="21"/>
      <c r="I660" s="21"/>
      <c r="J660" s="21"/>
      <c r="K660" s="22"/>
    </row>
    <row r="661" spans="1:11" x14ac:dyDescent="0.35">
      <c r="A661" s="21"/>
      <c r="B661" s="21"/>
      <c r="C661" s="21"/>
      <c r="D661" s="21"/>
      <c r="E661" s="21"/>
      <c r="F661" s="21"/>
      <c r="G661" s="21"/>
      <c r="H661" s="21"/>
      <c r="I661" s="21"/>
      <c r="J661" s="21"/>
      <c r="K661" s="22"/>
    </row>
    <row r="662" spans="1:11" x14ac:dyDescent="0.35">
      <c r="A662" s="21"/>
      <c r="B662" s="21"/>
      <c r="C662" s="21"/>
      <c r="D662" s="21"/>
      <c r="E662" s="21"/>
      <c r="F662" s="21"/>
      <c r="G662" s="21"/>
      <c r="H662" s="21"/>
      <c r="I662" s="21"/>
      <c r="J662" s="21"/>
      <c r="K662" s="22"/>
    </row>
    <row r="663" spans="1:11" x14ac:dyDescent="0.35">
      <c r="A663" s="21"/>
      <c r="B663" s="21"/>
      <c r="C663" s="21"/>
      <c r="D663" s="21"/>
      <c r="E663" s="21"/>
      <c r="F663" s="21"/>
      <c r="G663" s="21"/>
      <c r="H663" s="21"/>
      <c r="I663" s="21"/>
      <c r="J663" s="21"/>
      <c r="K663" s="22"/>
    </row>
    <row r="664" spans="1:11" x14ac:dyDescent="0.35">
      <c r="A664" s="21"/>
      <c r="B664" s="21"/>
      <c r="C664" s="21"/>
      <c r="D664" s="21"/>
      <c r="E664" s="21"/>
      <c r="F664" s="21"/>
      <c r="G664" s="21"/>
      <c r="H664" s="21"/>
      <c r="I664" s="21"/>
      <c r="J664" s="21"/>
      <c r="K664" s="22"/>
    </row>
    <row r="665" spans="1:11" x14ac:dyDescent="0.35">
      <c r="A665" s="21"/>
      <c r="B665" s="21"/>
      <c r="C665" s="21"/>
      <c r="D665" s="21"/>
      <c r="E665" s="21"/>
      <c r="F665" s="21"/>
      <c r="G665" s="21"/>
      <c r="H665" s="21"/>
      <c r="I665" s="21"/>
      <c r="J665" s="21"/>
      <c r="K665" s="22"/>
    </row>
    <row r="666" spans="1:11" x14ac:dyDescent="0.35">
      <c r="A666" s="21"/>
      <c r="B666" s="21"/>
      <c r="C666" s="21"/>
      <c r="D666" s="21"/>
      <c r="E666" s="21"/>
      <c r="F666" s="21"/>
      <c r="G666" s="21"/>
      <c r="H666" s="21"/>
      <c r="I666" s="21"/>
      <c r="J666" s="21"/>
      <c r="K666" s="22"/>
    </row>
    <row r="667" spans="1:11" x14ac:dyDescent="0.35">
      <c r="A667" s="21"/>
      <c r="B667" s="21"/>
      <c r="C667" s="21"/>
      <c r="D667" s="21"/>
      <c r="E667" s="21"/>
      <c r="F667" s="21"/>
      <c r="G667" s="21"/>
      <c r="H667" s="21"/>
      <c r="I667" s="21"/>
      <c r="J667" s="21"/>
      <c r="K667" s="22"/>
    </row>
    <row r="668" spans="1:11" x14ac:dyDescent="0.35">
      <c r="A668" s="21"/>
      <c r="B668" s="21"/>
      <c r="C668" s="21"/>
      <c r="D668" s="21"/>
      <c r="E668" s="21"/>
      <c r="F668" s="21"/>
      <c r="G668" s="21"/>
      <c r="H668" s="21"/>
      <c r="I668" s="21"/>
      <c r="J668" s="21"/>
      <c r="K668" s="22"/>
    </row>
    <row r="669" spans="1:11" x14ac:dyDescent="0.35">
      <c r="A669" s="21"/>
      <c r="B669" s="21"/>
      <c r="C669" s="21"/>
      <c r="D669" s="21"/>
      <c r="E669" s="21"/>
      <c r="F669" s="21"/>
      <c r="G669" s="21"/>
      <c r="H669" s="21"/>
      <c r="I669" s="21"/>
      <c r="J669" s="21"/>
      <c r="K669" s="22"/>
    </row>
    <row r="670" spans="1:11" x14ac:dyDescent="0.35">
      <c r="A670" s="21"/>
      <c r="B670" s="21"/>
      <c r="C670" s="21"/>
      <c r="D670" s="21"/>
      <c r="E670" s="21"/>
      <c r="F670" s="21"/>
      <c r="G670" s="21"/>
      <c r="H670" s="21"/>
      <c r="I670" s="21"/>
      <c r="J670" s="21"/>
      <c r="K670" s="22"/>
    </row>
    <row r="671" spans="1:11" x14ac:dyDescent="0.35">
      <c r="A671" s="21"/>
      <c r="B671" s="21"/>
      <c r="C671" s="21"/>
      <c r="D671" s="21"/>
      <c r="E671" s="21"/>
      <c r="F671" s="21"/>
      <c r="G671" s="21"/>
      <c r="H671" s="21"/>
      <c r="I671" s="21"/>
      <c r="J671" s="21"/>
      <c r="K671" s="22"/>
    </row>
    <row r="672" spans="1:11" x14ac:dyDescent="0.35">
      <c r="A672" s="21"/>
      <c r="B672" s="21"/>
      <c r="C672" s="21"/>
      <c r="D672" s="21"/>
      <c r="E672" s="21"/>
      <c r="F672" s="21"/>
      <c r="G672" s="21"/>
      <c r="H672" s="21"/>
      <c r="I672" s="21"/>
      <c r="J672" s="21"/>
      <c r="K672" s="22"/>
    </row>
    <row r="673" spans="1:11" x14ac:dyDescent="0.35">
      <c r="A673" s="21"/>
      <c r="B673" s="21"/>
      <c r="C673" s="21"/>
      <c r="D673" s="21"/>
      <c r="E673" s="21"/>
      <c r="F673" s="21"/>
      <c r="G673" s="21"/>
      <c r="H673" s="21"/>
      <c r="I673" s="21"/>
      <c r="J673" s="21"/>
      <c r="K673" s="22"/>
    </row>
    <row r="674" spans="1:11" x14ac:dyDescent="0.35">
      <c r="A674" s="21"/>
      <c r="B674" s="21"/>
      <c r="C674" s="21"/>
      <c r="D674" s="21"/>
      <c r="E674" s="21"/>
      <c r="F674" s="21"/>
      <c r="G674" s="21"/>
      <c r="H674" s="21"/>
      <c r="I674" s="21"/>
      <c r="J674" s="21"/>
      <c r="K674" s="22"/>
    </row>
    <row r="675" spans="1:11" x14ac:dyDescent="0.35">
      <c r="A675" s="21"/>
      <c r="B675" s="21"/>
      <c r="C675" s="21"/>
      <c r="D675" s="21"/>
      <c r="E675" s="21"/>
      <c r="F675" s="21"/>
      <c r="G675" s="21"/>
      <c r="H675" s="21"/>
      <c r="I675" s="21"/>
      <c r="J675" s="21"/>
      <c r="K675" s="22"/>
    </row>
    <row r="676" spans="1:11" x14ac:dyDescent="0.35">
      <c r="A676" s="21"/>
      <c r="B676" s="21"/>
      <c r="C676" s="21"/>
      <c r="D676" s="21"/>
      <c r="E676" s="21"/>
      <c r="F676" s="21"/>
      <c r="G676" s="21"/>
      <c r="H676" s="21"/>
      <c r="I676" s="21"/>
      <c r="J676" s="21"/>
      <c r="K676" s="22"/>
    </row>
    <row r="677" spans="1:11" x14ac:dyDescent="0.35">
      <c r="A677" s="21"/>
      <c r="B677" s="21"/>
      <c r="C677" s="21"/>
      <c r="D677" s="21"/>
      <c r="E677" s="21"/>
      <c r="F677" s="21"/>
      <c r="G677" s="21"/>
      <c r="H677" s="21"/>
      <c r="I677" s="21"/>
      <c r="J677" s="21"/>
      <c r="K677" s="22"/>
    </row>
    <row r="678" spans="1:11" x14ac:dyDescent="0.35">
      <c r="A678" s="21"/>
      <c r="B678" s="21"/>
      <c r="C678" s="21"/>
      <c r="D678" s="21"/>
      <c r="E678" s="21"/>
      <c r="F678" s="21"/>
      <c r="G678" s="21"/>
      <c r="H678" s="21"/>
      <c r="I678" s="21"/>
      <c r="J678" s="21"/>
      <c r="K678" s="22"/>
    </row>
    <row r="679" spans="1:11" x14ac:dyDescent="0.35">
      <c r="A679" s="21"/>
      <c r="B679" s="21"/>
      <c r="C679" s="21"/>
      <c r="D679" s="21"/>
      <c r="E679" s="21"/>
      <c r="F679" s="21"/>
      <c r="G679" s="21"/>
      <c r="H679" s="21"/>
      <c r="I679" s="21"/>
      <c r="J679" s="21"/>
      <c r="K679" s="22"/>
    </row>
    <row r="680" spans="1:11" x14ac:dyDescent="0.35">
      <c r="A680" s="21"/>
      <c r="B680" s="21"/>
      <c r="C680" s="21"/>
      <c r="D680" s="21"/>
      <c r="E680" s="21"/>
      <c r="F680" s="21"/>
      <c r="G680" s="21"/>
      <c r="H680" s="21"/>
      <c r="I680" s="21"/>
      <c r="J680" s="21"/>
      <c r="K680" s="22"/>
    </row>
    <row r="681" spans="1:11" x14ac:dyDescent="0.35">
      <c r="A681" s="21"/>
      <c r="B681" s="21"/>
      <c r="C681" s="21"/>
      <c r="D681" s="21"/>
      <c r="E681" s="21"/>
      <c r="F681" s="21"/>
      <c r="G681" s="21"/>
      <c r="H681" s="21"/>
      <c r="I681" s="21"/>
      <c r="J681" s="21"/>
      <c r="K681" s="22"/>
    </row>
    <row r="682" spans="1:11" x14ac:dyDescent="0.35">
      <c r="A682" s="21"/>
      <c r="B682" s="21"/>
      <c r="C682" s="21"/>
      <c r="D682" s="21"/>
      <c r="E682" s="21"/>
      <c r="F682" s="21"/>
      <c r="G682" s="21"/>
      <c r="H682" s="21"/>
      <c r="I682" s="21"/>
      <c r="J682" s="21"/>
      <c r="K682" s="22"/>
    </row>
    <row r="683" spans="1:11" x14ac:dyDescent="0.35">
      <c r="A683" s="21"/>
      <c r="B683" s="21"/>
      <c r="C683" s="21"/>
      <c r="D683" s="21"/>
      <c r="E683" s="21"/>
      <c r="F683" s="21"/>
      <c r="G683" s="21"/>
      <c r="H683" s="21"/>
      <c r="I683" s="21"/>
      <c r="J683" s="21"/>
      <c r="K683" s="22"/>
    </row>
    <row r="684" spans="1:11" x14ac:dyDescent="0.35">
      <c r="A684" s="21"/>
      <c r="B684" s="21"/>
      <c r="C684" s="21"/>
      <c r="D684" s="21"/>
      <c r="E684" s="21"/>
      <c r="F684" s="21"/>
      <c r="G684" s="21"/>
      <c r="H684" s="21"/>
      <c r="I684" s="21"/>
      <c r="J684" s="21"/>
      <c r="K684" s="22"/>
    </row>
    <row r="685" spans="1:11" x14ac:dyDescent="0.35">
      <c r="A685" s="21"/>
      <c r="B685" s="21"/>
      <c r="C685" s="21"/>
      <c r="D685" s="21"/>
      <c r="E685" s="21"/>
      <c r="F685" s="21"/>
      <c r="G685" s="21"/>
      <c r="H685" s="21"/>
      <c r="I685" s="21"/>
      <c r="J685" s="21"/>
      <c r="K685" s="22"/>
    </row>
    <row r="686" spans="1:11" x14ac:dyDescent="0.35">
      <c r="A686" s="21"/>
      <c r="B686" s="21"/>
      <c r="C686" s="21"/>
      <c r="D686" s="21"/>
      <c r="E686" s="21"/>
      <c r="F686" s="21"/>
      <c r="G686" s="21"/>
      <c r="H686" s="21"/>
      <c r="I686" s="21"/>
      <c r="J686" s="21"/>
      <c r="K686" s="22"/>
    </row>
    <row r="687" spans="1:11" x14ac:dyDescent="0.35">
      <c r="A687" s="21"/>
      <c r="B687" s="21"/>
      <c r="C687" s="21"/>
      <c r="D687" s="21"/>
      <c r="E687" s="21"/>
      <c r="F687" s="21"/>
      <c r="G687" s="21"/>
      <c r="H687" s="21"/>
      <c r="I687" s="21"/>
      <c r="J687" s="21"/>
      <c r="K687" s="22"/>
    </row>
    <row r="688" spans="1:11" x14ac:dyDescent="0.35">
      <c r="A688" s="21"/>
      <c r="B688" s="21"/>
      <c r="C688" s="21"/>
      <c r="D688" s="21"/>
      <c r="E688" s="21"/>
      <c r="F688" s="21"/>
      <c r="G688" s="21"/>
      <c r="H688" s="21"/>
      <c r="I688" s="21"/>
      <c r="J688" s="21"/>
      <c r="K688" s="22"/>
    </row>
    <row r="689" spans="1:11" x14ac:dyDescent="0.35">
      <c r="A689" s="21"/>
      <c r="B689" s="21"/>
      <c r="C689" s="21"/>
      <c r="D689" s="21"/>
      <c r="E689" s="21"/>
      <c r="F689" s="21"/>
      <c r="G689" s="21"/>
      <c r="H689" s="21"/>
      <c r="I689" s="21"/>
      <c r="J689" s="21"/>
      <c r="K689" s="22"/>
    </row>
    <row r="690" spans="1:11" x14ac:dyDescent="0.35">
      <c r="A690" s="21"/>
      <c r="B690" s="21"/>
      <c r="C690" s="21"/>
      <c r="D690" s="21"/>
      <c r="E690" s="21"/>
      <c r="F690" s="21"/>
      <c r="G690" s="21"/>
      <c r="H690" s="21"/>
      <c r="I690" s="21"/>
      <c r="J690" s="21"/>
      <c r="K690" s="22"/>
    </row>
    <row r="691" spans="1:11" x14ac:dyDescent="0.35">
      <c r="A691" s="21"/>
      <c r="B691" s="21"/>
      <c r="C691" s="21"/>
      <c r="D691" s="21"/>
      <c r="E691" s="21"/>
      <c r="F691" s="21"/>
      <c r="G691" s="21"/>
      <c r="H691" s="21"/>
      <c r="I691" s="21"/>
      <c r="J691" s="21"/>
      <c r="K691" s="22"/>
    </row>
    <row r="692" spans="1:11" x14ac:dyDescent="0.35">
      <c r="A692" s="21"/>
      <c r="B692" s="21"/>
      <c r="C692" s="21"/>
      <c r="D692" s="21"/>
      <c r="E692" s="21"/>
      <c r="F692" s="21"/>
      <c r="G692" s="21"/>
      <c r="H692" s="21"/>
      <c r="I692" s="21"/>
      <c r="J692" s="21"/>
      <c r="K692" s="22"/>
    </row>
    <row r="693" spans="1:11" x14ac:dyDescent="0.35">
      <c r="A693" s="21"/>
      <c r="B693" s="21"/>
      <c r="C693" s="21"/>
      <c r="D693" s="21"/>
      <c r="E693" s="21"/>
      <c r="F693" s="21"/>
      <c r="G693" s="21"/>
      <c r="H693" s="21"/>
      <c r="I693" s="21"/>
      <c r="J693" s="21"/>
      <c r="K693" s="22"/>
    </row>
    <row r="694" spans="1:11" x14ac:dyDescent="0.35">
      <c r="A694" s="21"/>
      <c r="B694" s="21"/>
      <c r="C694" s="21"/>
      <c r="D694" s="21"/>
      <c r="E694" s="21"/>
      <c r="F694" s="21"/>
      <c r="G694" s="21"/>
      <c r="H694" s="21"/>
      <c r="I694" s="21"/>
      <c r="J694" s="21"/>
      <c r="K694" s="22"/>
    </row>
    <row r="695" spans="1:11" x14ac:dyDescent="0.35">
      <c r="A695" s="21"/>
      <c r="B695" s="21"/>
      <c r="C695" s="21"/>
      <c r="D695" s="21"/>
      <c r="E695" s="21"/>
      <c r="F695" s="21"/>
      <c r="G695" s="21"/>
      <c r="H695" s="21"/>
      <c r="I695" s="21"/>
      <c r="J695" s="21"/>
      <c r="K695" s="22"/>
    </row>
    <row r="696" spans="1:11" x14ac:dyDescent="0.35">
      <c r="A696" s="21"/>
      <c r="B696" s="21"/>
      <c r="C696" s="21"/>
      <c r="D696" s="21"/>
      <c r="E696" s="21"/>
      <c r="F696" s="21"/>
      <c r="G696" s="21"/>
      <c r="H696" s="21"/>
      <c r="I696" s="21"/>
      <c r="J696" s="21"/>
      <c r="K696" s="22"/>
    </row>
    <row r="697" spans="1:11" x14ac:dyDescent="0.35">
      <c r="A697" s="21"/>
      <c r="B697" s="21"/>
      <c r="C697" s="21"/>
      <c r="D697" s="21"/>
      <c r="E697" s="21"/>
      <c r="F697" s="21"/>
      <c r="G697" s="21"/>
      <c r="H697" s="21"/>
      <c r="I697" s="21"/>
      <c r="J697" s="21"/>
      <c r="K697" s="22"/>
    </row>
    <row r="698" spans="1:11" x14ac:dyDescent="0.35">
      <c r="A698" s="21"/>
      <c r="B698" s="21"/>
      <c r="C698" s="21"/>
      <c r="D698" s="21"/>
      <c r="E698" s="21"/>
      <c r="F698" s="21"/>
      <c r="G698" s="21"/>
      <c r="H698" s="21"/>
      <c r="I698" s="21"/>
      <c r="J698" s="21"/>
      <c r="K698" s="22"/>
    </row>
    <row r="699" spans="1:11" x14ac:dyDescent="0.35">
      <c r="A699" s="21"/>
      <c r="B699" s="21"/>
      <c r="C699" s="21"/>
      <c r="D699" s="21"/>
      <c r="E699" s="21"/>
      <c r="F699" s="21"/>
      <c r="G699" s="21"/>
      <c r="H699" s="21"/>
      <c r="I699" s="21"/>
      <c r="J699" s="21"/>
      <c r="K699" s="22"/>
    </row>
    <row r="700" spans="1:11" x14ac:dyDescent="0.35">
      <c r="A700" s="21"/>
      <c r="B700" s="21"/>
      <c r="C700" s="21"/>
      <c r="D700" s="21"/>
      <c r="E700" s="21"/>
      <c r="F700" s="21"/>
      <c r="G700" s="21"/>
      <c r="H700" s="21"/>
      <c r="I700" s="21"/>
      <c r="J700" s="21"/>
      <c r="K700" s="22"/>
    </row>
    <row r="701" spans="1:11" x14ac:dyDescent="0.35">
      <c r="A701" s="21"/>
      <c r="B701" s="21"/>
      <c r="C701" s="21"/>
      <c r="D701" s="21"/>
      <c r="E701" s="21"/>
      <c r="F701" s="21"/>
      <c r="G701" s="21"/>
      <c r="H701" s="21"/>
      <c r="I701" s="21"/>
      <c r="J701" s="21"/>
      <c r="K701" s="22"/>
    </row>
    <row r="702" spans="1:11" x14ac:dyDescent="0.35">
      <c r="A702" s="21"/>
      <c r="B702" s="21"/>
      <c r="C702" s="21"/>
      <c r="D702" s="21"/>
      <c r="E702" s="21"/>
      <c r="F702" s="21"/>
      <c r="G702" s="21"/>
      <c r="H702" s="21"/>
      <c r="I702" s="21"/>
      <c r="J702" s="21"/>
      <c r="K702" s="22"/>
    </row>
    <row r="703" spans="1:11" x14ac:dyDescent="0.35">
      <c r="A703" s="21"/>
      <c r="B703" s="21"/>
      <c r="C703" s="21"/>
      <c r="D703" s="21"/>
      <c r="E703" s="21"/>
      <c r="F703" s="21"/>
      <c r="G703" s="21"/>
      <c r="H703" s="21"/>
      <c r="I703" s="21"/>
      <c r="J703" s="21"/>
      <c r="K703" s="22"/>
    </row>
    <row r="704" spans="1:11" x14ac:dyDescent="0.35">
      <c r="A704" s="21"/>
      <c r="B704" s="21"/>
      <c r="C704" s="21"/>
      <c r="D704" s="21"/>
      <c r="E704" s="21"/>
      <c r="F704" s="21"/>
      <c r="G704" s="21"/>
      <c r="H704" s="21"/>
      <c r="I704" s="21"/>
      <c r="J704" s="21"/>
      <c r="K704" s="22"/>
    </row>
    <row r="705" spans="1:11" x14ac:dyDescent="0.35">
      <c r="A705" s="21"/>
      <c r="B705" s="21"/>
      <c r="C705" s="21"/>
      <c r="D705" s="21"/>
      <c r="E705" s="21"/>
      <c r="F705" s="21"/>
      <c r="G705" s="21"/>
      <c r="H705" s="21"/>
      <c r="I705" s="21"/>
      <c r="J705" s="21"/>
      <c r="K705" s="22"/>
    </row>
    <row r="706" spans="1:11" x14ac:dyDescent="0.35">
      <c r="A706" s="21"/>
      <c r="B706" s="21"/>
      <c r="C706" s="21"/>
      <c r="D706" s="21"/>
      <c r="E706" s="21"/>
      <c r="F706" s="21"/>
      <c r="G706" s="21"/>
      <c r="H706" s="21"/>
      <c r="I706" s="21"/>
      <c r="J706" s="21"/>
      <c r="K706" s="22"/>
    </row>
    <row r="707" spans="1:11" x14ac:dyDescent="0.35">
      <c r="A707" s="21"/>
      <c r="B707" s="21"/>
      <c r="C707" s="21"/>
      <c r="D707" s="21"/>
      <c r="E707" s="21"/>
      <c r="F707" s="21"/>
      <c r="G707" s="21"/>
      <c r="H707" s="21"/>
      <c r="I707" s="21"/>
      <c r="J707" s="21"/>
      <c r="K707" s="22"/>
    </row>
    <row r="708" spans="1:11" x14ac:dyDescent="0.35">
      <c r="A708" s="21"/>
      <c r="B708" s="21"/>
      <c r="C708" s="21"/>
      <c r="D708" s="21"/>
      <c r="E708" s="21"/>
      <c r="F708" s="21"/>
      <c r="G708" s="21"/>
      <c r="H708" s="21"/>
      <c r="I708" s="21"/>
      <c r="J708" s="21"/>
      <c r="K708" s="22"/>
    </row>
    <row r="709" spans="1:11" x14ac:dyDescent="0.35">
      <c r="A709" s="21"/>
      <c r="B709" s="21"/>
      <c r="C709" s="21"/>
      <c r="D709" s="21"/>
      <c r="E709" s="21"/>
      <c r="F709" s="21"/>
      <c r="G709" s="21"/>
      <c r="H709" s="21"/>
      <c r="I709" s="21"/>
      <c r="J709" s="21"/>
      <c r="K709" s="22"/>
    </row>
    <row r="710" spans="1:11" x14ac:dyDescent="0.35">
      <c r="A710" s="21"/>
      <c r="B710" s="21"/>
      <c r="C710" s="21"/>
      <c r="D710" s="21"/>
      <c r="E710" s="21"/>
      <c r="F710" s="21"/>
      <c r="G710" s="21"/>
      <c r="H710" s="21"/>
      <c r="I710" s="21"/>
      <c r="J710" s="21"/>
      <c r="K710" s="22"/>
    </row>
    <row r="711" spans="1:11" x14ac:dyDescent="0.35">
      <c r="A711" s="21"/>
      <c r="B711" s="21"/>
      <c r="C711" s="21"/>
      <c r="D711" s="21"/>
      <c r="E711" s="21"/>
      <c r="F711" s="21"/>
      <c r="G711" s="21"/>
      <c r="H711" s="21"/>
      <c r="I711" s="21"/>
      <c r="J711" s="21"/>
      <c r="K711" s="22"/>
    </row>
    <row r="712" spans="1:11" x14ac:dyDescent="0.35">
      <c r="A712" s="21"/>
      <c r="B712" s="21"/>
      <c r="C712" s="21"/>
      <c r="D712" s="21"/>
      <c r="E712" s="21"/>
      <c r="F712" s="21"/>
      <c r="G712" s="21"/>
      <c r="H712" s="21"/>
      <c r="I712" s="21"/>
      <c r="J712" s="21"/>
      <c r="K712" s="22"/>
    </row>
    <row r="713" spans="1:11" x14ac:dyDescent="0.35">
      <c r="A713" s="21"/>
      <c r="B713" s="21"/>
      <c r="C713" s="21"/>
      <c r="D713" s="21"/>
      <c r="E713" s="21"/>
      <c r="F713" s="21"/>
      <c r="G713" s="21"/>
      <c r="H713" s="21"/>
      <c r="I713" s="21"/>
      <c r="J713" s="21"/>
      <c r="K713" s="22"/>
    </row>
    <row r="714" spans="1:11" x14ac:dyDescent="0.35">
      <c r="A714" s="21"/>
      <c r="B714" s="21"/>
      <c r="C714" s="21"/>
      <c r="D714" s="21"/>
      <c r="E714" s="21"/>
      <c r="F714" s="21"/>
      <c r="G714" s="21"/>
      <c r="H714" s="21"/>
      <c r="I714" s="21"/>
      <c r="J714" s="21"/>
      <c r="K714" s="22"/>
    </row>
    <row r="715" spans="1:11" x14ac:dyDescent="0.35">
      <c r="A715" s="21"/>
      <c r="B715" s="21"/>
      <c r="C715" s="21"/>
      <c r="D715" s="21"/>
      <c r="E715" s="21"/>
      <c r="F715" s="21"/>
      <c r="G715" s="21"/>
      <c r="H715" s="21"/>
      <c r="I715" s="21"/>
      <c r="J715" s="21"/>
      <c r="K715" s="22"/>
    </row>
    <row r="716" spans="1:11" x14ac:dyDescent="0.35">
      <c r="A716" s="21"/>
      <c r="B716" s="21"/>
      <c r="C716" s="21"/>
      <c r="D716" s="21"/>
      <c r="E716" s="21"/>
      <c r="F716" s="21"/>
      <c r="G716" s="21"/>
      <c r="H716" s="21"/>
      <c r="I716" s="21"/>
      <c r="J716" s="21"/>
      <c r="K716" s="22"/>
    </row>
    <row r="717" spans="1:11" x14ac:dyDescent="0.35">
      <c r="A717" s="21"/>
      <c r="B717" s="21"/>
      <c r="C717" s="21"/>
      <c r="D717" s="21"/>
      <c r="E717" s="21"/>
      <c r="F717" s="21"/>
      <c r="G717" s="21"/>
      <c r="H717" s="21"/>
      <c r="I717" s="21"/>
      <c r="J717" s="21"/>
      <c r="K717" s="22"/>
    </row>
    <row r="718" spans="1:11" x14ac:dyDescent="0.35">
      <c r="A718" s="21"/>
      <c r="B718" s="21"/>
      <c r="C718" s="21"/>
      <c r="D718" s="21"/>
      <c r="E718" s="21"/>
      <c r="F718" s="21"/>
      <c r="G718" s="21"/>
      <c r="H718" s="21"/>
      <c r="I718" s="21"/>
      <c r="J718" s="21"/>
      <c r="K718" s="22"/>
    </row>
    <row r="719" spans="1:11" x14ac:dyDescent="0.35">
      <c r="A719" s="21"/>
      <c r="B719" s="21"/>
      <c r="C719" s="21"/>
      <c r="D719" s="21"/>
      <c r="E719" s="21"/>
      <c r="F719" s="21"/>
      <c r="G719" s="21"/>
      <c r="H719" s="21"/>
      <c r="I719" s="21"/>
      <c r="J719" s="21"/>
      <c r="K719" s="22"/>
    </row>
    <row r="720" spans="1:11" x14ac:dyDescent="0.35">
      <c r="A720" s="21"/>
      <c r="B720" s="21"/>
      <c r="C720" s="21"/>
      <c r="D720" s="21"/>
      <c r="E720" s="21"/>
      <c r="F720" s="21"/>
      <c r="G720" s="21"/>
      <c r="H720" s="21"/>
      <c r="I720" s="21"/>
      <c r="J720" s="21"/>
      <c r="K720" s="22"/>
    </row>
    <row r="721" spans="1:11" x14ac:dyDescent="0.35">
      <c r="A721" s="21"/>
      <c r="B721" s="21"/>
      <c r="C721" s="21"/>
      <c r="D721" s="21"/>
      <c r="E721" s="21"/>
      <c r="F721" s="21"/>
      <c r="G721" s="21"/>
      <c r="H721" s="21"/>
      <c r="I721" s="21"/>
      <c r="J721" s="21"/>
      <c r="K721" s="22"/>
    </row>
    <row r="722" spans="1:11" x14ac:dyDescent="0.35">
      <c r="A722" s="21"/>
      <c r="B722" s="21"/>
      <c r="C722" s="21"/>
      <c r="D722" s="21"/>
      <c r="E722" s="21"/>
      <c r="F722" s="21"/>
      <c r="G722" s="21"/>
      <c r="H722" s="21"/>
      <c r="I722" s="21"/>
      <c r="J722" s="21"/>
      <c r="K722" s="22"/>
    </row>
    <row r="723" spans="1:11" x14ac:dyDescent="0.35">
      <c r="A723" s="21"/>
      <c r="B723" s="21"/>
      <c r="C723" s="21"/>
      <c r="D723" s="21"/>
      <c r="E723" s="21"/>
      <c r="F723" s="21"/>
      <c r="G723" s="21"/>
      <c r="H723" s="21"/>
      <c r="I723" s="21"/>
      <c r="J723" s="21"/>
      <c r="K723" s="22"/>
    </row>
    <row r="724" spans="1:11" x14ac:dyDescent="0.35">
      <c r="A724" s="21"/>
      <c r="B724" s="21"/>
      <c r="C724" s="21"/>
      <c r="D724" s="21"/>
      <c r="E724" s="21"/>
      <c r="F724" s="21"/>
      <c r="G724" s="21"/>
      <c r="H724" s="21"/>
      <c r="I724" s="21"/>
      <c r="J724" s="21"/>
      <c r="K724" s="22"/>
    </row>
    <row r="725" spans="1:11" x14ac:dyDescent="0.35">
      <c r="A725" s="21"/>
      <c r="B725" s="21"/>
      <c r="C725" s="21"/>
      <c r="D725" s="21"/>
      <c r="E725" s="21"/>
      <c r="F725" s="21"/>
      <c r="G725" s="21"/>
      <c r="H725" s="21"/>
      <c r="I725" s="21"/>
      <c r="J725" s="21"/>
      <c r="K725" s="22"/>
    </row>
    <row r="726" spans="1:11" x14ac:dyDescent="0.35">
      <c r="A726" s="21"/>
      <c r="B726" s="21"/>
      <c r="C726" s="21"/>
      <c r="D726" s="21"/>
      <c r="E726" s="21"/>
      <c r="F726" s="21"/>
      <c r="G726" s="21"/>
      <c r="H726" s="21"/>
      <c r="I726" s="21"/>
      <c r="J726" s="21"/>
      <c r="K726" s="22"/>
    </row>
    <row r="727" spans="1:11" x14ac:dyDescent="0.35">
      <c r="A727" s="21"/>
      <c r="B727" s="21"/>
      <c r="C727" s="21"/>
      <c r="D727" s="21"/>
      <c r="E727" s="21"/>
      <c r="F727" s="21"/>
      <c r="G727" s="21"/>
      <c r="H727" s="21"/>
      <c r="I727" s="21"/>
      <c r="J727" s="21"/>
      <c r="K727" s="22"/>
    </row>
    <row r="728" spans="1:11" x14ac:dyDescent="0.35">
      <c r="A728" s="21"/>
      <c r="B728" s="21"/>
      <c r="C728" s="21"/>
      <c r="D728" s="21"/>
      <c r="E728" s="21"/>
      <c r="F728" s="21"/>
      <c r="G728" s="21"/>
      <c r="H728" s="21"/>
      <c r="I728" s="21"/>
      <c r="J728" s="21"/>
      <c r="K728" s="22"/>
    </row>
    <row r="729" spans="1:11" x14ac:dyDescent="0.35">
      <c r="A729" s="21"/>
      <c r="B729" s="21"/>
      <c r="C729" s="21"/>
      <c r="D729" s="21"/>
      <c r="E729" s="21"/>
      <c r="F729" s="21"/>
      <c r="G729" s="21"/>
      <c r="H729" s="21"/>
      <c r="I729" s="21"/>
      <c r="J729" s="21"/>
      <c r="K729" s="22"/>
    </row>
    <row r="730" spans="1:11" x14ac:dyDescent="0.35">
      <c r="A730" s="21"/>
      <c r="B730" s="21"/>
      <c r="C730" s="21"/>
      <c r="D730" s="21"/>
      <c r="E730" s="21"/>
      <c r="F730" s="21"/>
      <c r="G730" s="21"/>
      <c r="H730" s="21"/>
      <c r="I730" s="21"/>
      <c r="J730" s="21"/>
      <c r="K730" s="22"/>
    </row>
    <row r="731" spans="1:11" x14ac:dyDescent="0.35">
      <c r="A731" s="21"/>
      <c r="B731" s="21"/>
      <c r="C731" s="21"/>
      <c r="D731" s="21"/>
      <c r="E731" s="21"/>
      <c r="F731" s="21"/>
      <c r="G731" s="21"/>
      <c r="H731" s="21"/>
      <c r="I731" s="21"/>
      <c r="J731" s="21"/>
      <c r="K731" s="22"/>
    </row>
    <row r="732" spans="1:11" x14ac:dyDescent="0.35">
      <c r="A732" s="21"/>
      <c r="B732" s="21"/>
      <c r="C732" s="21"/>
      <c r="D732" s="21"/>
      <c r="E732" s="21"/>
      <c r="F732" s="21"/>
      <c r="G732" s="21"/>
      <c r="H732" s="21"/>
      <c r="I732" s="21"/>
      <c r="J732" s="21"/>
      <c r="K732" s="22"/>
    </row>
    <row r="733" spans="1:11" x14ac:dyDescent="0.35">
      <c r="A733" s="21"/>
      <c r="B733" s="21"/>
      <c r="C733" s="21"/>
      <c r="D733" s="21"/>
      <c r="E733" s="21"/>
      <c r="F733" s="21"/>
      <c r="G733" s="21"/>
      <c r="H733" s="21"/>
      <c r="I733" s="21"/>
      <c r="J733" s="21"/>
      <c r="K733" s="22"/>
    </row>
    <row r="734" spans="1:11" x14ac:dyDescent="0.35">
      <c r="A734" s="21"/>
      <c r="B734" s="21"/>
      <c r="C734" s="21"/>
      <c r="D734" s="21"/>
      <c r="E734" s="21"/>
      <c r="F734" s="21"/>
      <c r="G734" s="21"/>
      <c r="H734" s="21"/>
      <c r="I734" s="21"/>
      <c r="J734" s="21"/>
      <c r="K734" s="22"/>
    </row>
    <row r="735" spans="1:11" x14ac:dyDescent="0.35">
      <c r="A735" s="21"/>
      <c r="B735" s="21"/>
      <c r="C735" s="21"/>
      <c r="D735" s="21"/>
      <c r="E735" s="21"/>
      <c r="F735" s="21"/>
      <c r="G735" s="21"/>
      <c r="H735" s="21"/>
      <c r="I735" s="21"/>
      <c r="J735" s="21"/>
      <c r="K735" s="22"/>
    </row>
    <row r="736" spans="1:11" x14ac:dyDescent="0.35">
      <c r="A736" s="21"/>
      <c r="B736" s="21"/>
      <c r="C736" s="21"/>
      <c r="D736" s="21"/>
      <c r="E736" s="21"/>
      <c r="F736" s="21"/>
      <c r="G736" s="21"/>
      <c r="H736" s="21"/>
      <c r="I736" s="21"/>
      <c r="J736" s="21"/>
      <c r="K736" s="22"/>
    </row>
    <row r="737" spans="1:11" x14ac:dyDescent="0.35">
      <c r="A737" s="21"/>
      <c r="B737" s="21"/>
      <c r="C737" s="21"/>
      <c r="D737" s="21"/>
      <c r="E737" s="21"/>
      <c r="F737" s="21"/>
      <c r="G737" s="21"/>
      <c r="H737" s="21"/>
      <c r="I737" s="21"/>
      <c r="J737" s="21"/>
      <c r="K737" s="22"/>
    </row>
    <row r="738" spans="1:11" x14ac:dyDescent="0.35">
      <c r="A738" s="21"/>
      <c r="B738" s="21"/>
      <c r="C738" s="21"/>
      <c r="D738" s="21"/>
      <c r="E738" s="21"/>
      <c r="F738" s="21"/>
      <c r="G738" s="21"/>
      <c r="H738" s="21"/>
      <c r="I738" s="21"/>
      <c r="J738" s="21"/>
      <c r="K738" s="22"/>
    </row>
    <row r="739" spans="1:11" x14ac:dyDescent="0.35">
      <c r="A739" s="21"/>
      <c r="B739" s="21"/>
      <c r="C739" s="21"/>
      <c r="D739" s="21"/>
      <c r="E739" s="21"/>
      <c r="F739" s="21"/>
      <c r="G739" s="21"/>
      <c r="H739" s="21"/>
      <c r="I739" s="21"/>
      <c r="J739" s="21"/>
      <c r="K739" s="22"/>
    </row>
    <row r="740" spans="1:11" x14ac:dyDescent="0.35">
      <c r="A740" s="21"/>
      <c r="B740" s="21"/>
      <c r="C740" s="21"/>
      <c r="D740" s="21"/>
      <c r="E740" s="21"/>
      <c r="F740" s="21"/>
      <c r="G740" s="21"/>
      <c r="H740" s="21"/>
      <c r="I740" s="21"/>
      <c r="J740" s="21"/>
      <c r="K740" s="22"/>
    </row>
    <row r="741" spans="1:11" x14ac:dyDescent="0.35">
      <c r="A741" s="21"/>
      <c r="B741" s="21"/>
      <c r="C741" s="21"/>
      <c r="D741" s="21"/>
      <c r="E741" s="21"/>
      <c r="F741" s="21"/>
      <c r="G741" s="21"/>
      <c r="H741" s="21"/>
      <c r="I741" s="21"/>
      <c r="J741" s="21"/>
      <c r="K741" s="22"/>
    </row>
    <row r="742" spans="1:11" x14ac:dyDescent="0.35">
      <c r="A742" s="21"/>
      <c r="B742" s="21"/>
      <c r="C742" s="21"/>
      <c r="D742" s="21"/>
      <c r="E742" s="21"/>
      <c r="F742" s="21"/>
      <c r="G742" s="21"/>
      <c r="H742" s="21"/>
      <c r="I742" s="21"/>
      <c r="J742" s="21"/>
      <c r="K742" s="22"/>
    </row>
    <row r="743" spans="1:11" x14ac:dyDescent="0.35">
      <c r="A743" s="21"/>
      <c r="B743" s="21"/>
      <c r="C743" s="21"/>
      <c r="D743" s="21"/>
      <c r="E743" s="21"/>
      <c r="F743" s="21"/>
      <c r="G743" s="21"/>
      <c r="H743" s="21"/>
      <c r="I743" s="21"/>
      <c r="J743" s="21"/>
      <c r="K743" s="22"/>
    </row>
    <row r="744" spans="1:11" x14ac:dyDescent="0.35">
      <c r="A744" s="21"/>
      <c r="B744" s="21"/>
      <c r="C744" s="21"/>
      <c r="D744" s="21"/>
      <c r="E744" s="21"/>
      <c r="F744" s="21"/>
      <c r="G744" s="21"/>
      <c r="H744" s="21"/>
      <c r="I744" s="21"/>
      <c r="J744" s="21"/>
      <c r="K744" s="22"/>
    </row>
    <row r="745" spans="1:11" x14ac:dyDescent="0.35">
      <c r="A745" s="21"/>
      <c r="B745" s="21"/>
      <c r="C745" s="21"/>
      <c r="D745" s="21"/>
      <c r="E745" s="21"/>
      <c r="F745" s="21"/>
      <c r="G745" s="21"/>
      <c r="H745" s="21"/>
      <c r="I745" s="21"/>
      <c r="J745" s="21"/>
      <c r="K745" s="22"/>
    </row>
    <row r="746" spans="1:11" x14ac:dyDescent="0.35">
      <c r="A746" s="21"/>
      <c r="B746" s="21"/>
      <c r="C746" s="21"/>
      <c r="D746" s="21"/>
      <c r="E746" s="21"/>
      <c r="F746" s="21"/>
      <c r="G746" s="21"/>
      <c r="H746" s="21"/>
      <c r="I746" s="21"/>
      <c r="J746" s="21"/>
      <c r="K746" s="22"/>
    </row>
    <row r="747" spans="1:11" x14ac:dyDescent="0.35">
      <c r="A747" s="21"/>
      <c r="B747" s="21"/>
      <c r="C747" s="21"/>
      <c r="D747" s="21"/>
      <c r="E747" s="21"/>
      <c r="F747" s="21"/>
      <c r="G747" s="21"/>
      <c r="H747" s="21"/>
      <c r="I747" s="21"/>
      <c r="J747" s="21"/>
      <c r="K747" s="22"/>
    </row>
    <row r="748" spans="1:11" x14ac:dyDescent="0.35">
      <c r="A748" s="21"/>
      <c r="B748" s="21"/>
      <c r="C748" s="21"/>
      <c r="D748" s="21"/>
      <c r="E748" s="21"/>
      <c r="F748" s="21"/>
      <c r="G748" s="21"/>
      <c r="H748" s="21"/>
      <c r="I748" s="21"/>
      <c r="J748" s="21"/>
      <c r="K748" s="22"/>
    </row>
    <row r="749" spans="1:11" x14ac:dyDescent="0.35">
      <c r="A749" s="21"/>
      <c r="B749" s="21"/>
      <c r="C749" s="21"/>
      <c r="D749" s="21"/>
      <c r="E749" s="21"/>
      <c r="F749" s="21"/>
      <c r="G749" s="21"/>
      <c r="H749" s="21"/>
      <c r="I749" s="21"/>
      <c r="J749" s="21"/>
      <c r="K749" s="22"/>
    </row>
    <row r="750" spans="1:11" x14ac:dyDescent="0.35">
      <c r="A750" s="21"/>
      <c r="B750" s="21"/>
      <c r="C750" s="21"/>
      <c r="D750" s="21"/>
      <c r="E750" s="21"/>
      <c r="F750" s="21"/>
      <c r="G750" s="21"/>
      <c r="H750" s="21"/>
      <c r="I750" s="21"/>
      <c r="J750" s="21"/>
      <c r="K750" s="22"/>
    </row>
    <row r="751" spans="1:11" x14ac:dyDescent="0.35">
      <c r="A751" s="21"/>
      <c r="B751" s="21"/>
      <c r="C751" s="21"/>
      <c r="D751" s="21"/>
      <c r="E751" s="21"/>
      <c r="F751" s="21"/>
      <c r="G751" s="21"/>
      <c r="H751" s="21"/>
      <c r="I751" s="21"/>
      <c r="J751" s="21"/>
      <c r="K751" s="22"/>
    </row>
    <row r="752" spans="1:11" x14ac:dyDescent="0.35">
      <c r="A752" s="21"/>
      <c r="B752" s="21"/>
      <c r="C752" s="21"/>
      <c r="D752" s="21"/>
      <c r="E752" s="21"/>
      <c r="F752" s="21"/>
      <c r="G752" s="21"/>
      <c r="H752" s="21"/>
      <c r="I752" s="21"/>
      <c r="J752" s="21"/>
      <c r="K752" s="22"/>
    </row>
    <row r="753" spans="1:11" x14ac:dyDescent="0.35">
      <c r="A753" s="21"/>
      <c r="B753" s="21"/>
      <c r="C753" s="21"/>
      <c r="D753" s="21"/>
      <c r="E753" s="21"/>
      <c r="F753" s="21"/>
      <c r="G753" s="21"/>
      <c r="H753" s="21"/>
      <c r="I753" s="21"/>
      <c r="J753" s="21"/>
      <c r="K753" s="22"/>
    </row>
    <row r="754" spans="1:11" x14ac:dyDescent="0.35">
      <c r="A754" s="21"/>
      <c r="B754" s="21"/>
      <c r="C754" s="21"/>
      <c r="D754" s="21"/>
      <c r="E754" s="21"/>
      <c r="F754" s="21"/>
      <c r="G754" s="21"/>
      <c r="H754" s="21"/>
      <c r="I754" s="21"/>
      <c r="J754" s="21"/>
      <c r="K754" s="22"/>
    </row>
    <row r="755" spans="1:11" x14ac:dyDescent="0.35">
      <c r="A755" s="21"/>
      <c r="B755" s="21"/>
      <c r="C755" s="21"/>
      <c r="D755" s="21"/>
      <c r="E755" s="21"/>
      <c r="F755" s="21"/>
      <c r="G755" s="21"/>
      <c r="H755" s="21"/>
      <c r="I755" s="21"/>
      <c r="J755" s="21"/>
      <c r="K755" s="22"/>
    </row>
    <row r="756" spans="1:11" x14ac:dyDescent="0.35">
      <c r="A756" s="21"/>
      <c r="B756" s="21"/>
      <c r="C756" s="21"/>
      <c r="D756" s="21"/>
      <c r="E756" s="21"/>
      <c r="F756" s="21"/>
      <c r="G756" s="21"/>
      <c r="H756" s="21"/>
      <c r="I756" s="21"/>
      <c r="J756" s="21"/>
      <c r="K756" s="22"/>
    </row>
    <row r="757" spans="1:11" x14ac:dyDescent="0.35">
      <c r="A757" s="21"/>
      <c r="B757" s="21"/>
      <c r="C757" s="21"/>
      <c r="D757" s="21"/>
      <c r="E757" s="21"/>
      <c r="F757" s="21"/>
      <c r="G757" s="21"/>
      <c r="H757" s="21"/>
      <c r="I757" s="21"/>
      <c r="J757" s="21"/>
      <c r="K757" s="22"/>
    </row>
    <row r="758" spans="1:11" x14ac:dyDescent="0.35">
      <c r="A758" s="21"/>
      <c r="B758" s="21"/>
      <c r="C758" s="21"/>
      <c r="D758" s="21"/>
      <c r="E758" s="21"/>
      <c r="F758" s="21"/>
      <c r="G758" s="21"/>
      <c r="H758" s="21"/>
      <c r="I758" s="21"/>
      <c r="J758" s="21"/>
      <c r="K758" s="22"/>
    </row>
    <row r="759" spans="1:11" x14ac:dyDescent="0.35">
      <c r="A759" s="21"/>
      <c r="B759" s="21"/>
      <c r="C759" s="21"/>
      <c r="D759" s="21"/>
      <c r="E759" s="21"/>
      <c r="F759" s="21"/>
      <c r="G759" s="21"/>
      <c r="H759" s="21"/>
      <c r="I759" s="21"/>
      <c r="J759" s="21"/>
      <c r="K759" s="22"/>
    </row>
    <row r="760" spans="1:11" x14ac:dyDescent="0.35">
      <c r="A760" s="21"/>
      <c r="B760" s="21"/>
      <c r="C760" s="21"/>
      <c r="D760" s="21"/>
      <c r="E760" s="21"/>
      <c r="F760" s="21"/>
      <c r="G760" s="21"/>
      <c r="H760" s="21"/>
      <c r="I760" s="21"/>
      <c r="J760" s="21"/>
      <c r="K760" s="22"/>
    </row>
    <row r="761" spans="1:11" x14ac:dyDescent="0.35">
      <c r="A761" s="21"/>
      <c r="B761" s="21"/>
      <c r="C761" s="21"/>
      <c r="D761" s="21"/>
      <c r="E761" s="21"/>
      <c r="F761" s="21"/>
      <c r="G761" s="21"/>
      <c r="H761" s="21"/>
      <c r="I761" s="21"/>
      <c r="J761" s="21"/>
      <c r="K761" s="22"/>
    </row>
    <row r="762" spans="1:11" x14ac:dyDescent="0.35">
      <c r="A762" s="21"/>
      <c r="B762" s="21"/>
      <c r="C762" s="21"/>
      <c r="D762" s="21"/>
      <c r="E762" s="21"/>
      <c r="F762" s="21"/>
      <c r="G762" s="21"/>
      <c r="H762" s="21"/>
      <c r="I762" s="21"/>
      <c r="J762" s="21"/>
      <c r="K762" s="22"/>
    </row>
    <row r="763" spans="1:11" x14ac:dyDescent="0.35">
      <c r="A763" s="21"/>
      <c r="B763" s="21"/>
      <c r="C763" s="21"/>
      <c r="D763" s="21"/>
      <c r="E763" s="21"/>
      <c r="F763" s="21"/>
      <c r="G763" s="21"/>
      <c r="H763" s="21"/>
      <c r="I763" s="21"/>
      <c r="J763" s="21"/>
      <c r="K763" s="22"/>
    </row>
    <row r="764" spans="1:11" x14ac:dyDescent="0.35">
      <c r="A764" s="21"/>
      <c r="B764" s="21"/>
      <c r="C764" s="21"/>
      <c r="D764" s="21"/>
      <c r="E764" s="21"/>
      <c r="F764" s="21"/>
      <c r="G764" s="21"/>
      <c r="H764" s="21"/>
      <c r="I764" s="21"/>
      <c r="J764" s="21"/>
      <c r="K764" s="22"/>
    </row>
    <row r="765" spans="1:11" x14ac:dyDescent="0.35">
      <c r="A765" s="21"/>
      <c r="B765" s="21"/>
      <c r="C765" s="21"/>
      <c r="D765" s="21"/>
      <c r="E765" s="21"/>
      <c r="F765" s="21"/>
      <c r="G765" s="21"/>
      <c r="H765" s="21"/>
      <c r="I765" s="21"/>
      <c r="J765" s="21"/>
      <c r="K765" s="22"/>
    </row>
    <row r="766" spans="1:11" x14ac:dyDescent="0.35">
      <c r="A766" s="21"/>
      <c r="B766" s="21"/>
      <c r="C766" s="21"/>
      <c r="D766" s="21"/>
      <c r="E766" s="21"/>
      <c r="F766" s="21"/>
      <c r="G766" s="21"/>
      <c r="H766" s="21"/>
      <c r="I766" s="21"/>
      <c r="J766" s="21"/>
      <c r="K766" s="22"/>
    </row>
    <row r="767" spans="1:11" x14ac:dyDescent="0.35">
      <c r="A767" s="21"/>
      <c r="B767" s="21"/>
      <c r="C767" s="21"/>
      <c r="D767" s="21"/>
      <c r="E767" s="21"/>
      <c r="F767" s="21"/>
      <c r="G767" s="21"/>
      <c r="H767" s="21"/>
      <c r="I767" s="21"/>
      <c r="J767" s="21"/>
      <c r="K767" s="22"/>
    </row>
    <row r="768" spans="1:11" x14ac:dyDescent="0.35">
      <c r="A768" s="21"/>
      <c r="B768" s="21"/>
      <c r="C768" s="21"/>
      <c r="D768" s="21"/>
      <c r="E768" s="21"/>
      <c r="F768" s="21"/>
      <c r="G768" s="21"/>
      <c r="H768" s="21"/>
      <c r="I768" s="21"/>
      <c r="J768" s="21"/>
      <c r="K768" s="22"/>
    </row>
    <row r="769" spans="1:11" x14ac:dyDescent="0.35">
      <c r="A769" s="21"/>
      <c r="B769" s="21"/>
      <c r="C769" s="21"/>
      <c r="D769" s="21"/>
      <c r="E769" s="21"/>
      <c r="F769" s="21"/>
      <c r="G769" s="21"/>
      <c r="H769" s="21"/>
      <c r="I769" s="21"/>
      <c r="J769" s="21"/>
      <c r="K769" s="22"/>
    </row>
    <row r="770" spans="1:11" x14ac:dyDescent="0.35">
      <c r="A770" s="21"/>
      <c r="B770" s="21"/>
      <c r="C770" s="21"/>
      <c r="D770" s="21"/>
      <c r="E770" s="21"/>
      <c r="F770" s="21"/>
      <c r="G770" s="21"/>
      <c r="H770" s="21"/>
      <c r="I770" s="21"/>
      <c r="J770" s="21"/>
      <c r="K770" s="22"/>
    </row>
    <row r="771" spans="1:11" x14ac:dyDescent="0.35">
      <c r="A771" s="21"/>
      <c r="B771" s="21"/>
      <c r="C771" s="21"/>
      <c r="D771" s="21"/>
      <c r="E771" s="21"/>
      <c r="F771" s="21"/>
      <c r="G771" s="21"/>
      <c r="H771" s="21"/>
      <c r="I771" s="21"/>
      <c r="J771" s="21"/>
      <c r="K771" s="22"/>
    </row>
    <row r="772" spans="1:11" x14ac:dyDescent="0.35">
      <c r="A772" s="21"/>
      <c r="B772" s="21"/>
      <c r="C772" s="21"/>
      <c r="D772" s="21"/>
      <c r="E772" s="21"/>
      <c r="F772" s="21"/>
      <c r="G772" s="21"/>
      <c r="H772" s="21"/>
      <c r="I772" s="21"/>
      <c r="J772" s="21"/>
      <c r="K772" s="22"/>
    </row>
    <row r="773" spans="1:11" x14ac:dyDescent="0.35">
      <c r="A773" s="21"/>
      <c r="B773" s="21"/>
      <c r="C773" s="21"/>
      <c r="D773" s="21"/>
      <c r="E773" s="21"/>
      <c r="F773" s="21"/>
      <c r="G773" s="21"/>
      <c r="H773" s="21"/>
      <c r="I773" s="21"/>
      <c r="J773" s="21"/>
      <c r="K773" s="22"/>
    </row>
    <row r="774" spans="1:11" x14ac:dyDescent="0.35">
      <c r="A774" s="21"/>
      <c r="B774" s="21"/>
      <c r="C774" s="21"/>
      <c r="D774" s="21"/>
      <c r="E774" s="21"/>
      <c r="F774" s="21"/>
      <c r="G774" s="21"/>
      <c r="H774" s="21"/>
      <c r="I774" s="21"/>
      <c r="J774" s="21"/>
      <c r="K774" s="22"/>
    </row>
    <row r="775" spans="1:11" x14ac:dyDescent="0.35">
      <c r="A775" s="21"/>
      <c r="B775" s="21"/>
      <c r="C775" s="21"/>
      <c r="D775" s="21"/>
      <c r="E775" s="21"/>
      <c r="F775" s="21"/>
      <c r="G775" s="21"/>
      <c r="H775" s="21"/>
      <c r="I775" s="21"/>
      <c r="J775" s="21"/>
      <c r="K775" s="22"/>
    </row>
    <row r="776" spans="1:11" x14ac:dyDescent="0.35">
      <c r="A776" s="21"/>
      <c r="B776" s="21"/>
      <c r="C776" s="21"/>
      <c r="D776" s="21"/>
      <c r="E776" s="21"/>
      <c r="F776" s="21"/>
      <c r="G776" s="21"/>
      <c r="H776" s="21"/>
      <c r="I776" s="21"/>
      <c r="J776" s="21"/>
      <c r="K776" s="22"/>
    </row>
    <row r="777" spans="1:11" x14ac:dyDescent="0.35">
      <c r="A777" s="21"/>
      <c r="B777" s="21"/>
      <c r="C777" s="21"/>
      <c r="D777" s="21"/>
      <c r="E777" s="21"/>
      <c r="F777" s="21"/>
      <c r="G777" s="21"/>
      <c r="H777" s="21"/>
      <c r="I777" s="21"/>
      <c r="J777" s="21"/>
      <c r="K777" s="22"/>
    </row>
    <row r="778" spans="1:11" x14ac:dyDescent="0.35">
      <c r="A778" s="21"/>
      <c r="B778" s="21"/>
      <c r="C778" s="21"/>
      <c r="D778" s="21"/>
      <c r="E778" s="21"/>
      <c r="F778" s="21"/>
      <c r="G778" s="21"/>
      <c r="H778" s="21"/>
      <c r="I778" s="21"/>
      <c r="J778" s="21"/>
      <c r="K778" s="22"/>
    </row>
    <row r="779" spans="1:11" x14ac:dyDescent="0.35">
      <c r="A779" s="21"/>
      <c r="B779" s="21"/>
      <c r="C779" s="21"/>
      <c r="D779" s="21"/>
      <c r="E779" s="21"/>
      <c r="F779" s="21"/>
      <c r="G779" s="21"/>
      <c r="H779" s="21"/>
      <c r="I779" s="21"/>
      <c r="J779" s="21"/>
      <c r="K779" s="22"/>
    </row>
    <row r="780" spans="1:11" x14ac:dyDescent="0.35">
      <c r="A780" s="21"/>
      <c r="B780" s="21"/>
      <c r="C780" s="21"/>
      <c r="D780" s="21"/>
      <c r="E780" s="21"/>
      <c r="F780" s="21"/>
      <c r="G780" s="21"/>
      <c r="H780" s="21"/>
      <c r="I780" s="21"/>
      <c r="J780" s="21"/>
      <c r="K780" s="22"/>
    </row>
    <row r="781" spans="1:11" x14ac:dyDescent="0.35">
      <c r="A781" s="21"/>
      <c r="B781" s="21"/>
      <c r="C781" s="21"/>
      <c r="D781" s="21"/>
      <c r="E781" s="21"/>
      <c r="F781" s="21"/>
      <c r="G781" s="21"/>
      <c r="H781" s="21"/>
      <c r="I781" s="21"/>
      <c r="J781" s="21"/>
      <c r="K781" s="22"/>
    </row>
    <row r="782" spans="1:11" x14ac:dyDescent="0.35">
      <c r="A782" s="21"/>
      <c r="B782" s="21"/>
      <c r="C782" s="21"/>
      <c r="D782" s="21"/>
      <c r="E782" s="21"/>
      <c r="F782" s="21"/>
      <c r="G782" s="21"/>
      <c r="H782" s="21"/>
      <c r="I782" s="21"/>
      <c r="J782" s="21"/>
      <c r="K782" s="22"/>
    </row>
    <row r="783" spans="1:11" x14ac:dyDescent="0.35">
      <c r="A783" s="21"/>
      <c r="B783" s="21"/>
      <c r="C783" s="21"/>
      <c r="D783" s="21"/>
      <c r="E783" s="21"/>
      <c r="F783" s="21"/>
      <c r="G783" s="21"/>
      <c r="H783" s="21"/>
      <c r="I783" s="21"/>
      <c r="J783" s="21"/>
      <c r="K783" s="22"/>
    </row>
    <row r="784" spans="1:11" x14ac:dyDescent="0.35">
      <c r="A784" s="21"/>
      <c r="B784" s="21"/>
      <c r="C784" s="21"/>
      <c r="D784" s="21"/>
      <c r="E784" s="21"/>
      <c r="F784" s="21"/>
      <c r="G784" s="21"/>
      <c r="H784" s="21"/>
      <c r="I784" s="21"/>
      <c r="J784" s="21"/>
      <c r="K784" s="22"/>
    </row>
    <row r="785" spans="1:11" x14ac:dyDescent="0.35">
      <c r="A785" s="21"/>
      <c r="B785" s="21"/>
      <c r="C785" s="21"/>
      <c r="D785" s="21"/>
      <c r="E785" s="21"/>
      <c r="F785" s="21"/>
      <c r="G785" s="21"/>
      <c r="H785" s="21"/>
      <c r="I785" s="21"/>
      <c r="J785" s="21"/>
      <c r="K785" s="22"/>
    </row>
    <row r="786" spans="1:11" x14ac:dyDescent="0.35">
      <c r="A786" s="21"/>
      <c r="B786" s="21"/>
      <c r="C786" s="21"/>
      <c r="D786" s="21"/>
      <c r="E786" s="21"/>
      <c r="F786" s="21"/>
      <c r="G786" s="21"/>
      <c r="H786" s="21"/>
      <c r="I786" s="21"/>
      <c r="J786" s="21"/>
      <c r="K786" s="22"/>
    </row>
    <row r="787" spans="1:11" x14ac:dyDescent="0.35">
      <c r="A787" s="21"/>
      <c r="B787" s="21"/>
      <c r="C787" s="21"/>
      <c r="D787" s="21"/>
      <c r="E787" s="21"/>
      <c r="F787" s="21"/>
      <c r="G787" s="21"/>
      <c r="H787" s="21"/>
      <c r="I787" s="21"/>
      <c r="J787" s="21"/>
      <c r="K787" s="22"/>
    </row>
    <row r="788" spans="1:11" x14ac:dyDescent="0.35">
      <c r="A788" s="21"/>
      <c r="B788" s="21"/>
      <c r="C788" s="21"/>
      <c r="D788" s="21"/>
      <c r="E788" s="21"/>
      <c r="F788" s="21"/>
      <c r="G788" s="21"/>
      <c r="H788" s="21"/>
      <c r="I788" s="21"/>
      <c r="J788" s="21"/>
      <c r="K788" s="22"/>
    </row>
    <row r="789" spans="1:11" x14ac:dyDescent="0.35">
      <c r="A789" s="21"/>
      <c r="B789" s="21"/>
      <c r="C789" s="21"/>
      <c r="D789" s="21"/>
      <c r="E789" s="21"/>
      <c r="F789" s="21"/>
      <c r="G789" s="21"/>
      <c r="H789" s="21"/>
      <c r="I789" s="21"/>
      <c r="J789" s="21"/>
      <c r="K789" s="22"/>
    </row>
    <row r="790" spans="1:11" x14ac:dyDescent="0.35">
      <c r="A790" s="21"/>
      <c r="B790" s="21"/>
      <c r="C790" s="21"/>
      <c r="D790" s="21"/>
      <c r="E790" s="21"/>
      <c r="F790" s="21"/>
      <c r="G790" s="21"/>
      <c r="H790" s="21"/>
      <c r="I790" s="21"/>
      <c r="J790" s="21"/>
      <c r="K790" s="22"/>
    </row>
    <row r="791" spans="1:11" x14ac:dyDescent="0.35">
      <c r="A791" s="21"/>
      <c r="B791" s="21"/>
      <c r="C791" s="21"/>
      <c r="D791" s="21"/>
      <c r="E791" s="21"/>
      <c r="F791" s="21"/>
      <c r="G791" s="21"/>
      <c r="H791" s="21"/>
      <c r="I791" s="21"/>
      <c r="J791" s="21"/>
      <c r="K791" s="22"/>
    </row>
    <row r="792" spans="1:11" x14ac:dyDescent="0.35">
      <c r="A792" s="21"/>
      <c r="B792" s="21"/>
      <c r="C792" s="21"/>
      <c r="D792" s="21"/>
      <c r="E792" s="21"/>
      <c r="F792" s="21"/>
      <c r="G792" s="21"/>
      <c r="H792" s="21"/>
      <c r="I792" s="21"/>
      <c r="J792" s="21"/>
      <c r="K792" s="22"/>
    </row>
    <row r="793" spans="1:11" x14ac:dyDescent="0.35">
      <c r="A793" s="21"/>
      <c r="B793" s="21"/>
      <c r="C793" s="21"/>
      <c r="D793" s="21"/>
      <c r="E793" s="21"/>
      <c r="F793" s="21"/>
      <c r="G793" s="21"/>
      <c r="H793" s="21"/>
      <c r="I793" s="21"/>
      <c r="J793" s="21"/>
      <c r="K793" s="22"/>
    </row>
    <row r="794" spans="1:11" x14ac:dyDescent="0.35">
      <c r="A794" s="21"/>
      <c r="B794" s="21"/>
      <c r="C794" s="21"/>
      <c r="D794" s="21"/>
      <c r="E794" s="21"/>
      <c r="F794" s="21"/>
      <c r="G794" s="21"/>
      <c r="H794" s="21"/>
      <c r="I794" s="21"/>
      <c r="J794" s="21"/>
      <c r="K794" s="22"/>
    </row>
    <row r="795" spans="1:11" x14ac:dyDescent="0.35">
      <c r="A795" s="21"/>
      <c r="B795" s="21"/>
      <c r="C795" s="21"/>
      <c r="D795" s="21"/>
      <c r="E795" s="21"/>
      <c r="F795" s="21"/>
      <c r="G795" s="21"/>
      <c r="H795" s="21"/>
      <c r="I795" s="21"/>
      <c r="J795" s="21"/>
      <c r="K795" s="22"/>
    </row>
    <row r="796" spans="1:11" x14ac:dyDescent="0.35">
      <c r="A796" s="21"/>
      <c r="B796" s="21"/>
      <c r="C796" s="21"/>
      <c r="D796" s="21"/>
      <c r="E796" s="21"/>
      <c r="F796" s="21"/>
      <c r="G796" s="21"/>
      <c r="H796" s="21"/>
      <c r="I796" s="21"/>
      <c r="J796" s="21"/>
      <c r="K796" s="22"/>
    </row>
    <row r="797" spans="1:11" x14ac:dyDescent="0.35">
      <c r="A797" s="21"/>
      <c r="B797" s="21"/>
      <c r="C797" s="21"/>
      <c r="D797" s="21"/>
      <c r="E797" s="21"/>
      <c r="F797" s="21"/>
      <c r="G797" s="21"/>
      <c r="H797" s="21"/>
      <c r="I797" s="21"/>
      <c r="J797" s="21"/>
      <c r="K797" s="22"/>
    </row>
    <row r="798" spans="1:11" x14ac:dyDescent="0.35">
      <c r="A798" s="21"/>
      <c r="B798" s="21"/>
      <c r="C798" s="21"/>
      <c r="D798" s="21"/>
      <c r="E798" s="21"/>
      <c r="F798" s="21"/>
      <c r="G798" s="21"/>
      <c r="H798" s="21"/>
      <c r="I798" s="21"/>
      <c r="J798" s="21"/>
      <c r="K798" s="22"/>
    </row>
    <row r="799" spans="1:11" x14ac:dyDescent="0.35">
      <c r="A799" s="21"/>
      <c r="B799" s="21"/>
      <c r="C799" s="21"/>
      <c r="D799" s="21"/>
      <c r="E799" s="21"/>
      <c r="F799" s="21"/>
      <c r="G799" s="21"/>
      <c r="H799" s="21"/>
      <c r="I799" s="21"/>
      <c r="J799" s="21"/>
      <c r="K799" s="22"/>
    </row>
    <row r="800" spans="1:11" x14ac:dyDescent="0.35">
      <c r="A800" s="21"/>
      <c r="B800" s="21"/>
      <c r="C800" s="21"/>
      <c r="D800" s="21"/>
      <c r="E800" s="21"/>
      <c r="F800" s="21"/>
      <c r="G800" s="21"/>
      <c r="H800" s="21"/>
      <c r="I800" s="21"/>
      <c r="J800" s="21"/>
      <c r="K800" s="22"/>
    </row>
    <row r="801" spans="1:11" x14ac:dyDescent="0.35">
      <c r="A801" s="21"/>
      <c r="B801" s="21"/>
      <c r="C801" s="21"/>
      <c r="D801" s="21"/>
      <c r="E801" s="21"/>
      <c r="F801" s="21"/>
      <c r="G801" s="21"/>
      <c r="H801" s="21"/>
      <c r="I801" s="21"/>
      <c r="J801" s="21"/>
      <c r="K801" s="22"/>
    </row>
    <row r="802" spans="1:11" x14ac:dyDescent="0.35">
      <c r="A802" s="21"/>
      <c r="B802" s="21"/>
      <c r="C802" s="21"/>
      <c r="D802" s="21"/>
      <c r="E802" s="21"/>
      <c r="F802" s="21"/>
      <c r="G802" s="21"/>
      <c r="H802" s="21"/>
      <c r="I802" s="21"/>
      <c r="J802" s="21"/>
      <c r="K802" s="22"/>
    </row>
    <row r="803" spans="1:11" x14ac:dyDescent="0.35">
      <c r="A803" s="21"/>
      <c r="B803" s="21"/>
      <c r="C803" s="21"/>
      <c r="D803" s="21"/>
      <c r="E803" s="21"/>
      <c r="F803" s="21"/>
      <c r="G803" s="21"/>
      <c r="H803" s="21"/>
      <c r="I803" s="21"/>
      <c r="J803" s="21"/>
      <c r="K803" s="22"/>
    </row>
    <row r="804" spans="1:11" x14ac:dyDescent="0.35">
      <c r="A804" s="21"/>
      <c r="B804" s="21"/>
      <c r="C804" s="21"/>
      <c r="D804" s="21"/>
      <c r="E804" s="21"/>
      <c r="F804" s="21"/>
      <c r="G804" s="21"/>
      <c r="H804" s="21"/>
      <c r="I804" s="21"/>
      <c r="J804" s="21"/>
      <c r="K804" s="22"/>
    </row>
    <row r="805" spans="1:11" x14ac:dyDescent="0.35">
      <c r="A805" s="21"/>
      <c r="B805" s="21"/>
      <c r="C805" s="21"/>
      <c r="D805" s="21"/>
      <c r="E805" s="21"/>
      <c r="F805" s="21"/>
      <c r="G805" s="21"/>
      <c r="H805" s="21"/>
      <c r="I805" s="21"/>
      <c r="J805" s="21"/>
      <c r="K805" s="22"/>
    </row>
    <row r="806" spans="1:11" x14ac:dyDescent="0.35">
      <c r="A806" s="21"/>
      <c r="B806" s="21"/>
      <c r="C806" s="21"/>
      <c r="D806" s="21"/>
      <c r="E806" s="21"/>
      <c r="F806" s="21"/>
      <c r="G806" s="21"/>
      <c r="H806" s="21"/>
      <c r="I806" s="21"/>
      <c r="J806" s="21"/>
      <c r="K806" s="22"/>
    </row>
    <row r="807" spans="1:11" x14ac:dyDescent="0.35">
      <c r="A807" s="21"/>
      <c r="B807" s="21"/>
      <c r="C807" s="21"/>
      <c r="D807" s="21"/>
      <c r="E807" s="21"/>
      <c r="F807" s="21"/>
      <c r="G807" s="21"/>
      <c r="H807" s="21"/>
      <c r="I807" s="21"/>
      <c r="J807" s="21"/>
      <c r="K807" s="22"/>
    </row>
    <row r="808" spans="1:11" x14ac:dyDescent="0.35">
      <c r="A808" s="21"/>
      <c r="B808" s="21"/>
      <c r="C808" s="21"/>
      <c r="D808" s="21"/>
      <c r="E808" s="21"/>
      <c r="F808" s="21"/>
      <c r="G808" s="21"/>
      <c r="H808" s="21"/>
      <c r="I808" s="21"/>
      <c r="J808" s="21"/>
      <c r="K808" s="22"/>
    </row>
    <row r="809" spans="1:11" x14ac:dyDescent="0.35">
      <c r="A809" s="21"/>
      <c r="B809" s="21"/>
      <c r="C809" s="21"/>
      <c r="D809" s="21"/>
      <c r="E809" s="21"/>
      <c r="F809" s="21"/>
      <c r="G809" s="21"/>
      <c r="H809" s="21"/>
      <c r="I809" s="21"/>
      <c r="J809" s="21"/>
      <c r="K809" s="22"/>
    </row>
    <row r="810" spans="1:11" x14ac:dyDescent="0.35">
      <c r="A810" s="21"/>
      <c r="B810" s="21"/>
      <c r="C810" s="21"/>
      <c r="D810" s="21"/>
      <c r="E810" s="21"/>
      <c r="F810" s="21"/>
      <c r="G810" s="21"/>
      <c r="H810" s="21"/>
      <c r="I810" s="21"/>
      <c r="J810" s="21"/>
      <c r="K810" s="22"/>
    </row>
    <row r="811" spans="1:11" x14ac:dyDescent="0.35">
      <c r="A811" s="21"/>
      <c r="B811" s="21"/>
      <c r="C811" s="21"/>
      <c r="D811" s="21"/>
      <c r="E811" s="21"/>
      <c r="F811" s="21"/>
      <c r="G811" s="21"/>
      <c r="H811" s="21"/>
      <c r="I811" s="21"/>
      <c r="J811" s="21"/>
      <c r="K811" s="22"/>
    </row>
    <row r="812" spans="1:11" x14ac:dyDescent="0.35">
      <c r="A812" s="21"/>
      <c r="B812" s="21"/>
      <c r="C812" s="21"/>
      <c r="D812" s="21"/>
      <c r="E812" s="21"/>
      <c r="F812" s="21"/>
      <c r="G812" s="21"/>
      <c r="H812" s="21"/>
      <c r="I812" s="21"/>
      <c r="J812" s="21"/>
      <c r="K812" s="22"/>
    </row>
    <row r="813" spans="1:11" x14ac:dyDescent="0.35">
      <c r="A813" s="21"/>
      <c r="B813" s="21"/>
      <c r="C813" s="21"/>
      <c r="D813" s="21"/>
      <c r="E813" s="21"/>
      <c r="F813" s="21"/>
      <c r="G813" s="21"/>
      <c r="H813" s="21"/>
      <c r="I813" s="21"/>
      <c r="J813" s="21"/>
      <c r="K813" s="22"/>
    </row>
    <row r="814" spans="1:11" x14ac:dyDescent="0.35">
      <c r="A814" s="21"/>
      <c r="B814" s="21"/>
      <c r="C814" s="21"/>
      <c r="D814" s="21"/>
      <c r="E814" s="21"/>
      <c r="F814" s="21"/>
      <c r="G814" s="21"/>
      <c r="H814" s="21"/>
      <c r="I814" s="21"/>
      <c r="J814" s="21"/>
      <c r="K814" s="22"/>
    </row>
    <row r="815" spans="1:11" x14ac:dyDescent="0.35">
      <c r="A815" s="21"/>
      <c r="B815" s="21"/>
      <c r="C815" s="21"/>
      <c r="D815" s="21"/>
      <c r="E815" s="21"/>
      <c r="F815" s="21"/>
      <c r="G815" s="21"/>
      <c r="H815" s="21"/>
      <c r="I815" s="21"/>
      <c r="J815" s="21"/>
      <c r="K815" s="22"/>
    </row>
    <row r="816" spans="1:11" x14ac:dyDescent="0.35">
      <c r="A816" s="21"/>
      <c r="B816" s="21"/>
      <c r="C816" s="21"/>
      <c r="D816" s="21"/>
      <c r="E816" s="21"/>
      <c r="F816" s="21"/>
      <c r="G816" s="21"/>
      <c r="H816" s="21"/>
      <c r="I816" s="21"/>
      <c r="J816" s="21"/>
      <c r="K816" s="22"/>
    </row>
    <row r="817" spans="1:11" x14ac:dyDescent="0.35">
      <c r="A817" s="21"/>
      <c r="B817" s="21"/>
      <c r="C817" s="21"/>
      <c r="D817" s="21"/>
      <c r="E817" s="21"/>
      <c r="F817" s="21"/>
      <c r="G817" s="21"/>
      <c r="H817" s="21"/>
      <c r="I817" s="21"/>
      <c r="J817" s="21"/>
      <c r="K817" s="22"/>
    </row>
    <row r="818" spans="1:11" x14ac:dyDescent="0.35">
      <c r="A818" s="21"/>
      <c r="B818" s="21"/>
      <c r="C818" s="21"/>
      <c r="D818" s="21"/>
      <c r="E818" s="21"/>
      <c r="F818" s="21"/>
      <c r="G818" s="21"/>
      <c r="H818" s="21"/>
      <c r="I818" s="21"/>
      <c r="J818" s="21"/>
      <c r="K818" s="22"/>
    </row>
    <row r="819" spans="1:11" x14ac:dyDescent="0.35">
      <c r="A819" s="21"/>
      <c r="B819" s="21"/>
      <c r="C819" s="21"/>
      <c r="D819" s="21"/>
      <c r="E819" s="21"/>
      <c r="F819" s="21"/>
      <c r="G819" s="21"/>
      <c r="H819" s="21"/>
      <c r="I819" s="21"/>
      <c r="J819" s="21"/>
      <c r="K819" s="22"/>
    </row>
    <row r="820" spans="1:11" x14ac:dyDescent="0.35">
      <c r="A820" s="21"/>
      <c r="B820" s="21"/>
      <c r="C820" s="21"/>
      <c r="D820" s="21"/>
      <c r="E820" s="21"/>
      <c r="F820" s="21"/>
      <c r="G820" s="21"/>
      <c r="H820" s="21"/>
      <c r="I820" s="21"/>
      <c r="J820" s="21"/>
      <c r="K820" s="22"/>
    </row>
    <row r="821" spans="1:11" x14ac:dyDescent="0.35">
      <c r="A821" s="21"/>
      <c r="B821" s="21"/>
      <c r="C821" s="21"/>
      <c r="D821" s="21"/>
      <c r="E821" s="21"/>
      <c r="F821" s="21"/>
      <c r="G821" s="21"/>
      <c r="H821" s="21"/>
      <c r="I821" s="21"/>
      <c r="J821" s="21"/>
      <c r="K821" s="22"/>
    </row>
    <row r="822" spans="1:11" x14ac:dyDescent="0.35">
      <c r="A822" s="21"/>
      <c r="B822" s="21"/>
      <c r="C822" s="21"/>
      <c r="D822" s="21"/>
      <c r="E822" s="21"/>
      <c r="F822" s="21"/>
      <c r="G822" s="21"/>
      <c r="H822" s="21"/>
      <c r="I822" s="21"/>
      <c r="J822" s="21"/>
      <c r="K822" s="22"/>
    </row>
    <row r="823" spans="1:11" x14ac:dyDescent="0.35">
      <c r="A823" s="21"/>
      <c r="B823" s="21"/>
      <c r="C823" s="21"/>
      <c r="D823" s="21"/>
      <c r="E823" s="21"/>
      <c r="F823" s="21"/>
      <c r="G823" s="21"/>
      <c r="H823" s="21"/>
      <c r="I823" s="21"/>
      <c r="J823" s="21"/>
      <c r="K823" s="22"/>
    </row>
    <row r="824" spans="1:11" x14ac:dyDescent="0.35">
      <c r="A824" s="21"/>
      <c r="B824" s="21"/>
      <c r="C824" s="21"/>
      <c r="D824" s="21"/>
      <c r="E824" s="21"/>
      <c r="F824" s="21"/>
      <c r="G824" s="21"/>
      <c r="H824" s="21"/>
      <c r="I824" s="21"/>
      <c r="J824" s="21"/>
      <c r="K824" s="22"/>
    </row>
    <row r="825" spans="1:11" x14ac:dyDescent="0.35">
      <c r="A825" s="21"/>
      <c r="B825" s="21"/>
      <c r="C825" s="21"/>
      <c r="D825" s="21"/>
      <c r="E825" s="21"/>
      <c r="F825" s="21"/>
      <c r="G825" s="21"/>
      <c r="H825" s="21"/>
      <c r="I825" s="21"/>
      <c r="J825" s="21"/>
      <c r="K825" s="22"/>
    </row>
    <row r="826" spans="1:11" x14ac:dyDescent="0.35">
      <c r="A826" s="21"/>
      <c r="B826" s="21"/>
      <c r="C826" s="21"/>
      <c r="D826" s="21"/>
      <c r="E826" s="21"/>
      <c r="F826" s="21"/>
      <c r="G826" s="21"/>
      <c r="H826" s="21"/>
      <c r="I826" s="21"/>
      <c r="J826" s="21"/>
      <c r="K826" s="22"/>
    </row>
    <row r="827" spans="1:11" x14ac:dyDescent="0.35">
      <c r="A827" s="21"/>
      <c r="B827" s="21"/>
      <c r="C827" s="21"/>
      <c r="D827" s="21"/>
      <c r="E827" s="21"/>
      <c r="F827" s="21"/>
      <c r="G827" s="21"/>
      <c r="H827" s="21"/>
      <c r="I827" s="21"/>
      <c r="J827" s="21"/>
      <c r="K827" s="22"/>
    </row>
    <row r="828" spans="1:11" x14ac:dyDescent="0.35">
      <c r="A828" s="21"/>
      <c r="B828" s="21"/>
      <c r="C828" s="21"/>
      <c r="D828" s="21"/>
      <c r="E828" s="21"/>
      <c r="F828" s="21"/>
      <c r="G828" s="21"/>
      <c r="H828" s="21"/>
      <c r="I828" s="21"/>
      <c r="J828" s="21"/>
      <c r="K828" s="22"/>
    </row>
    <row r="829" spans="1:11" x14ac:dyDescent="0.35">
      <c r="A829" s="21"/>
      <c r="B829" s="21"/>
      <c r="C829" s="21"/>
      <c r="D829" s="21"/>
      <c r="E829" s="21"/>
      <c r="F829" s="21"/>
      <c r="G829" s="21"/>
      <c r="H829" s="21"/>
      <c r="I829" s="21"/>
      <c r="J829" s="21"/>
      <c r="K829" s="22"/>
    </row>
    <row r="830" spans="1:11" x14ac:dyDescent="0.35">
      <c r="A830" s="21"/>
      <c r="B830" s="21"/>
      <c r="C830" s="21"/>
      <c r="D830" s="21"/>
      <c r="E830" s="21"/>
      <c r="F830" s="21"/>
      <c r="G830" s="21"/>
      <c r="H830" s="21"/>
      <c r="I830" s="21"/>
      <c r="J830" s="21"/>
      <c r="K830" s="22"/>
    </row>
    <row r="831" spans="1:11" x14ac:dyDescent="0.35">
      <c r="A831" s="21"/>
      <c r="B831" s="21"/>
      <c r="C831" s="21"/>
      <c r="D831" s="21"/>
      <c r="E831" s="21"/>
      <c r="F831" s="21"/>
      <c r="G831" s="21"/>
      <c r="H831" s="21"/>
      <c r="I831" s="21"/>
      <c r="J831" s="21"/>
      <c r="K831" s="22"/>
    </row>
    <row r="832" spans="1:11" x14ac:dyDescent="0.35">
      <c r="A832" s="21"/>
      <c r="B832" s="21"/>
      <c r="C832" s="21"/>
      <c r="D832" s="21"/>
      <c r="E832" s="21"/>
      <c r="F832" s="21"/>
      <c r="G832" s="21"/>
      <c r="H832" s="21"/>
      <c r="I832" s="21"/>
      <c r="J832" s="21"/>
      <c r="K832" s="22"/>
    </row>
    <row r="833" spans="1:11" x14ac:dyDescent="0.35">
      <c r="A833" s="21"/>
      <c r="B833" s="21"/>
      <c r="C833" s="21"/>
      <c r="D833" s="21"/>
      <c r="E833" s="21"/>
      <c r="F833" s="21"/>
      <c r="G833" s="21"/>
      <c r="H833" s="21"/>
      <c r="I833" s="21"/>
      <c r="J833" s="21"/>
      <c r="K833" s="22"/>
    </row>
    <row r="834" spans="1:11" x14ac:dyDescent="0.35">
      <c r="A834" s="21"/>
      <c r="B834" s="21"/>
      <c r="C834" s="21"/>
      <c r="D834" s="21"/>
      <c r="E834" s="21"/>
      <c r="F834" s="21"/>
      <c r="G834" s="21"/>
      <c r="H834" s="21"/>
      <c r="I834" s="21"/>
      <c r="J834" s="21"/>
      <c r="K834" s="22"/>
    </row>
    <row r="835" spans="1:11" x14ac:dyDescent="0.35">
      <c r="A835" s="21"/>
      <c r="B835" s="21"/>
      <c r="C835" s="21"/>
      <c r="D835" s="21"/>
      <c r="E835" s="21"/>
      <c r="F835" s="21"/>
      <c r="G835" s="21"/>
      <c r="H835" s="21"/>
      <c r="I835" s="21"/>
      <c r="J835" s="21"/>
      <c r="K835" s="22"/>
    </row>
    <row r="836" spans="1:11" x14ac:dyDescent="0.35">
      <c r="A836" s="21"/>
      <c r="B836" s="21"/>
      <c r="C836" s="21"/>
      <c r="D836" s="21"/>
      <c r="E836" s="21"/>
      <c r="F836" s="21"/>
      <c r="G836" s="21"/>
      <c r="H836" s="21"/>
      <c r="I836" s="21"/>
      <c r="J836" s="21"/>
      <c r="K836" s="22"/>
    </row>
    <row r="837" spans="1:11" x14ac:dyDescent="0.35">
      <c r="A837" s="21"/>
      <c r="B837" s="21"/>
      <c r="C837" s="21"/>
      <c r="D837" s="21"/>
      <c r="E837" s="21"/>
      <c r="F837" s="21"/>
      <c r="G837" s="21"/>
      <c r="H837" s="21"/>
      <c r="I837" s="21"/>
      <c r="J837" s="21"/>
      <c r="K837" s="22"/>
    </row>
    <row r="838" spans="1:11" x14ac:dyDescent="0.35">
      <c r="A838" s="21"/>
      <c r="B838" s="21"/>
      <c r="C838" s="21"/>
      <c r="D838" s="21"/>
      <c r="E838" s="21"/>
      <c r="F838" s="21"/>
      <c r="G838" s="21"/>
      <c r="H838" s="21"/>
      <c r="I838" s="21"/>
      <c r="J838" s="21"/>
      <c r="K838" s="22"/>
    </row>
    <row r="839" spans="1:11" x14ac:dyDescent="0.35">
      <c r="A839" s="21"/>
      <c r="B839" s="21"/>
      <c r="C839" s="21"/>
      <c r="D839" s="21"/>
      <c r="E839" s="21"/>
      <c r="F839" s="21"/>
      <c r="G839" s="21"/>
      <c r="H839" s="21"/>
      <c r="I839" s="21"/>
      <c r="J839" s="21"/>
      <c r="K839" s="22"/>
    </row>
    <row r="840" spans="1:11" x14ac:dyDescent="0.35">
      <c r="A840" s="21"/>
      <c r="B840" s="21"/>
      <c r="C840" s="21"/>
      <c r="D840" s="21"/>
      <c r="E840" s="21"/>
      <c r="F840" s="21"/>
      <c r="G840" s="21"/>
      <c r="H840" s="21"/>
      <c r="I840" s="21"/>
      <c r="J840" s="21"/>
      <c r="K840" s="22"/>
    </row>
    <row r="841" spans="1:11" x14ac:dyDescent="0.35">
      <c r="A841" s="21"/>
      <c r="B841" s="21"/>
      <c r="C841" s="21"/>
      <c r="D841" s="21"/>
      <c r="E841" s="21"/>
      <c r="F841" s="21"/>
      <c r="G841" s="21"/>
      <c r="H841" s="21"/>
      <c r="I841" s="21"/>
      <c r="J841" s="21"/>
      <c r="K841" s="22"/>
    </row>
    <row r="842" spans="1:11" x14ac:dyDescent="0.35">
      <c r="A842" s="21"/>
      <c r="B842" s="21"/>
      <c r="C842" s="21"/>
      <c r="D842" s="21"/>
      <c r="E842" s="21"/>
      <c r="F842" s="21"/>
      <c r="G842" s="21"/>
      <c r="H842" s="21"/>
      <c r="I842" s="21"/>
      <c r="J842" s="21"/>
      <c r="K842" s="22"/>
    </row>
    <row r="843" spans="1:11" x14ac:dyDescent="0.35">
      <c r="A843" s="21"/>
      <c r="B843" s="21"/>
      <c r="C843" s="21"/>
      <c r="D843" s="21"/>
      <c r="E843" s="21"/>
      <c r="F843" s="21"/>
      <c r="G843" s="21"/>
      <c r="H843" s="21"/>
      <c r="I843" s="21"/>
      <c r="J843" s="21"/>
      <c r="K843" s="22"/>
    </row>
    <row r="844" spans="1:11" x14ac:dyDescent="0.35">
      <c r="A844" s="21"/>
      <c r="B844" s="21"/>
      <c r="C844" s="21"/>
      <c r="D844" s="21"/>
      <c r="E844" s="21"/>
      <c r="F844" s="21"/>
      <c r="G844" s="21"/>
      <c r="H844" s="21"/>
      <c r="I844" s="21"/>
      <c r="J844" s="21"/>
      <c r="K844" s="22"/>
    </row>
    <row r="845" spans="1:11" x14ac:dyDescent="0.35">
      <c r="A845" s="21"/>
      <c r="B845" s="21"/>
      <c r="C845" s="21"/>
      <c r="D845" s="21"/>
      <c r="E845" s="21"/>
      <c r="F845" s="21"/>
      <c r="G845" s="21"/>
      <c r="H845" s="21"/>
      <c r="I845" s="21"/>
      <c r="J845" s="21"/>
      <c r="K845" s="22"/>
    </row>
    <row r="846" spans="1:11" x14ac:dyDescent="0.35">
      <c r="A846" s="21"/>
      <c r="B846" s="21"/>
      <c r="C846" s="21"/>
      <c r="D846" s="21"/>
      <c r="E846" s="21"/>
      <c r="F846" s="21"/>
      <c r="G846" s="21"/>
      <c r="H846" s="21"/>
      <c r="I846" s="21"/>
      <c r="J846" s="21"/>
      <c r="K846" s="22"/>
    </row>
    <row r="847" spans="1:11" x14ac:dyDescent="0.35">
      <c r="A847" s="21"/>
      <c r="B847" s="21"/>
      <c r="C847" s="21"/>
      <c r="D847" s="21"/>
      <c r="E847" s="21"/>
      <c r="F847" s="21"/>
      <c r="G847" s="21"/>
      <c r="H847" s="21"/>
      <c r="I847" s="21"/>
      <c r="J847" s="21"/>
      <c r="K847" s="22"/>
    </row>
    <row r="848" spans="1:11" x14ac:dyDescent="0.35">
      <c r="A848" s="21"/>
      <c r="B848" s="21"/>
      <c r="C848" s="21"/>
      <c r="D848" s="21"/>
      <c r="E848" s="21"/>
      <c r="F848" s="21"/>
      <c r="G848" s="21"/>
      <c r="H848" s="21"/>
      <c r="I848" s="21"/>
      <c r="J848" s="21"/>
      <c r="K848" s="22"/>
    </row>
    <row r="849" spans="1:11" x14ac:dyDescent="0.35">
      <c r="A849" s="21"/>
      <c r="B849" s="21"/>
      <c r="C849" s="21"/>
      <c r="D849" s="21"/>
      <c r="E849" s="21"/>
      <c r="F849" s="21"/>
      <c r="G849" s="21"/>
      <c r="H849" s="21"/>
      <c r="I849" s="21"/>
      <c r="J849" s="21"/>
      <c r="K849" s="22"/>
    </row>
    <row r="850" spans="1:11" x14ac:dyDescent="0.35">
      <c r="A850" s="21"/>
      <c r="B850" s="21"/>
      <c r="C850" s="21"/>
      <c r="D850" s="21"/>
      <c r="E850" s="21"/>
      <c r="F850" s="21"/>
      <c r="G850" s="21"/>
      <c r="H850" s="21"/>
      <c r="I850" s="21"/>
      <c r="J850" s="21"/>
      <c r="K850" s="22"/>
    </row>
    <row r="851" spans="1:11" x14ac:dyDescent="0.35">
      <c r="A851" s="21"/>
      <c r="B851" s="21"/>
      <c r="C851" s="21"/>
      <c r="D851" s="21"/>
      <c r="E851" s="21"/>
      <c r="F851" s="21"/>
      <c r="G851" s="21"/>
      <c r="H851" s="21"/>
      <c r="I851" s="21"/>
      <c r="J851" s="21"/>
      <c r="K851" s="22"/>
    </row>
    <row r="852" spans="1:11" x14ac:dyDescent="0.35">
      <c r="A852" s="21"/>
      <c r="B852" s="21"/>
      <c r="C852" s="21"/>
      <c r="D852" s="21"/>
      <c r="E852" s="21"/>
      <c r="F852" s="21"/>
      <c r="G852" s="21"/>
      <c r="H852" s="21"/>
      <c r="I852" s="21"/>
      <c r="J852" s="21"/>
      <c r="K852" s="22"/>
    </row>
    <row r="853" spans="1:11" x14ac:dyDescent="0.35">
      <c r="A853" s="21"/>
      <c r="B853" s="21"/>
      <c r="C853" s="21"/>
      <c r="D853" s="21"/>
      <c r="E853" s="21"/>
      <c r="F853" s="21"/>
      <c r="G853" s="21"/>
      <c r="H853" s="21"/>
      <c r="I853" s="21"/>
      <c r="J853" s="21"/>
      <c r="K853" s="22"/>
    </row>
    <row r="854" spans="1:11" x14ac:dyDescent="0.35">
      <c r="A854" s="21"/>
      <c r="B854" s="21"/>
      <c r="C854" s="21"/>
      <c r="D854" s="21"/>
      <c r="E854" s="21"/>
      <c r="F854" s="21"/>
      <c r="G854" s="21"/>
      <c r="H854" s="21"/>
      <c r="I854" s="21"/>
      <c r="J854" s="21"/>
      <c r="K854" s="22"/>
    </row>
    <row r="855" spans="1:11" x14ac:dyDescent="0.35">
      <c r="A855" s="21"/>
      <c r="B855" s="21"/>
      <c r="C855" s="21"/>
      <c r="D855" s="21"/>
      <c r="E855" s="21"/>
      <c r="F855" s="21"/>
      <c r="G855" s="21"/>
      <c r="H855" s="21"/>
      <c r="I855" s="21"/>
      <c r="J855" s="21"/>
      <c r="K855" s="22"/>
    </row>
    <row r="856" spans="1:11" x14ac:dyDescent="0.35">
      <c r="A856" s="21"/>
      <c r="B856" s="21"/>
      <c r="C856" s="21"/>
      <c r="D856" s="21"/>
      <c r="E856" s="21"/>
      <c r="F856" s="21"/>
      <c r="G856" s="21"/>
      <c r="H856" s="21"/>
      <c r="I856" s="21"/>
      <c r="J856" s="21"/>
      <c r="K856" s="22"/>
    </row>
    <row r="857" spans="1:11" x14ac:dyDescent="0.35">
      <c r="A857" s="21"/>
      <c r="B857" s="21"/>
      <c r="C857" s="21"/>
      <c r="D857" s="21"/>
      <c r="E857" s="21"/>
      <c r="F857" s="21"/>
      <c r="G857" s="21"/>
      <c r="H857" s="21"/>
      <c r="I857" s="21"/>
      <c r="J857" s="21"/>
      <c r="K857" s="22"/>
    </row>
    <row r="858" spans="1:11" x14ac:dyDescent="0.35">
      <c r="A858" s="21"/>
      <c r="B858" s="21"/>
      <c r="C858" s="21"/>
      <c r="D858" s="21"/>
      <c r="E858" s="21"/>
      <c r="F858" s="21"/>
      <c r="G858" s="21"/>
      <c r="H858" s="21"/>
      <c r="I858" s="21"/>
      <c r="J858" s="21"/>
      <c r="K858" s="22"/>
    </row>
    <row r="859" spans="1:11" x14ac:dyDescent="0.35">
      <c r="A859" s="21"/>
      <c r="B859" s="21"/>
      <c r="C859" s="21"/>
      <c r="D859" s="21"/>
      <c r="E859" s="21"/>
      <c r="F859" s="21"/>
      <c r="G859" s="21"/>
      <c r="H859" s="21"/>
      <c r="I859" s="21"/>
      <c r="J859" s="21"/>
      <c r="K859" s="22"/>
    </row>
    <row r="860" spans="1:11" x14ac:dyDescent="0.35">
      <c r="A860" s="21"/>
      <c r="B860" s="21"/>
      <c r="C860" s="21"/>
      <c r="D860" s="21"/>
      <c r="E860" s="21"/>
      <c r="F860" s="21"/>
      <c r="G860" s="21"/>
      <c r="H860" s="21"/>
      <c r="I860" s="21"/>
      <c r="J860" s="21"/>
      <c r="K860" s="22"/>
    </row>
    <row r="861" spans="1:11" x14ac:dyDescent="0.35">
      <c r="A861" s="21"/>
      <c r="B861" s="21"/>
      <c r="C861" s="21"/>
      <c r="D861" s="21"/>
      <c r="E861" s="21"/>
      <c r="F861" s="21"/>
      <c r="G861" s="21"/>
      <c r="H861" s="21"/>
      <c r="I861" s="21"/>
      <c r="J861" s="21"/>
      <c r="K861" s="22"/>
    </row>
    <row r="862" spans="1:11" x14ac:dyDescent="0.35">
      <c r="A862" s="21"/>
      <c r="B862" s="21"/>
      <c r="C862" s="21"/>
      <c r="D862" s="21"/>
      <c r="E862" s="21"/>
      <c r="F862" s="21"/>
      <c r="G862" s="21"/>
      <c r="H862" s="21"/>
      <c r="I862" s="21"/>
      <c r="J862" s="21"/>
      <c r="K862" s="22"/>
    </row>
    <row r="863" spans="1:11" x14ac:dyDescent="0.35">
      <c r="A863" s="21"/>
      <c r="B863" s="21"/>
      <c r="C863" s="21"/>
      <c r="D863" s="21"/>
      <c r="E863" s="21"/>
      <c r="F863" s="21"/>
      <c r="G863" s="21"/>
      <c r="H863" s="21"/>
      <c r="I863" s="21"/>
      <c r="J863" s="21"/>
      <c r="K863" s="22"/>
    </row>
    <row r="864" spans="1:11" x14ac:dyDescent="0.35">
      <c r="A864" s="21"/>
      <c r="B864" s="21"/>
      <c r="C864" s="21"/>
      <c r="D864" s="21"/>
      <c r="E864" s="21"/>
      <c r="F864" s="21"/>
      <c r="G864" s="21"/>
      <c r="H864" s="21"/>
      <c r="I864" s="21"/>
      <c r="J864" s="21"/>
      <c r="K864" s="22"/>
    </row>
    <row r="865" spans="1:11" x14ac:dyDescent="0.35">
      <c r="A865" s="21"/>
      <c r="B865" s="21"/>
      <c r="C865" s="21"/>
      <c r="D865" s="21"/>
      <c r="E865" s="21"/>
      <c r="F865" s="21"/>
      <c r="G865" s="21"/>
      <c r="H865" s="21"/>
      <c r="I865" s="21"/>
      <c r="J865" s="21"/>
      <c r="K865" s="22"/>
    </row>
    <row r="866" spans="1:11" x14ac:dyDescent="0.35">
      <c r="A866" s="21"/>
      <c r="B866" s="21"/>
      <c r="C866" s="21"/>
      <c r="D866" s="21"/>
      <c r="E866" s="21"/>
      <c r="F866" s="21"/>
      <c r="G866" s="21"/>
      <c r="H866" s="21"/>
      <c r="I866" s="21"/>
      <c r="J866" s="21"/>
      <c r="K866" s="22"/>
    </row>
    <row r="867" spans="1:11" x14ac:dyDescent="0.35">
      <c r="A867" s="21"/>
      <c r="B867" s="21"/>
      <c r="C867" s="21"/>
      <c r="D867" s="21"/>
      <c r="E867" s="21"/>
      <c r="F867" s="21"/>
      <c r="G867" s="21"/>
      <c r="H867" s="21"/>
      <c r="I867" s="21"/>
      <c r="J867" s="21"/>
      <c r="K867" s="22"/>
    </row>
    <row r="868" spans="1:11" x14ac:dyDescent="0.35">
      <c r="A868" s="21"/>
      <c r="B868" s="21"/>
      <c r="C868" s="21"/>
      <c r="D868" s="21"/>
      <c r="E868" s="21"/>
      <c r="F868" s="21"/>
      <c r="G868" s="21"/>
      <c r="H868" s="21"/>
      <c r="I868" s="21"/>
      <c r="J868" s="21"/>
      <c r="K868" s="22"/>
    </row>
    <row r="869" spans="1:11" x14ac:dyDescent="0.35">
      <c r="A869" s="21"/>
      <c r="B869" s="21"/>
      <c r="C869" s="21"/>
      <c r="D869" s="21"/>
      <c r="E869" s="21"/>
      <c r="F869" s="21"/>
      <c r="G869" s="21"/>
      <c r="H869" s="21"/>
      <c r="I869" s="21"/>
      <c r="J869" s="21"/>
      <c r="K869" s="22"/>
    </row>
    <row r="870" spans="1:11" x14ac:dyDescent="0.35">
      <c r="A870" s="21"/>
      <c r="B870" s="21"/>
      <c r="C870" s="21"/>
      <c r="D870" s="21"/>
      <c r="E870" s="21"/>
      <c r="F870" s="21"/>
      <c r="G870" s="21"/>
      <c r="H870" s="21"/>
      <c r="I870" s="21"/>
      <c r="J870" s="21"/>
      <c r="K870" s="22"/>
    </row>
    <row r="871" spans="1:11" x14ac:dyDescent="0.35">
      <c r="A871" s="21"/>
      <c r="B871" s="21"/>
      <c r="C871" s="21"/>
      <c r="D871" s="21"/>
      <c r="E871" s="21"/>
      <c r="F871" s="21"/>
      <c r="G871" s="21"/>
      <c r="H871" s="21"/>
      <c r="I871" s="21"/>
      <c r="J871" s="21"/>
      <c r="K871" s="22"/>
    </row>
    <row r="872" spans="1:11" x14ac:dyDescent="0.35">
      <c r="A872" s="21"/>
      <c r="B872" s="21"/>
      <c r="C872" s="21"/>
      <c r="D872" s="21"/>
      <c r="E872" s="21"/>
      <c r="F872" s="21"/>
      <c r="G872" s="21"/>
      <c r="H872" s="21"/>
      <c r="I872" s="21"/>
      <c r="J872" s="21"/>
      <c r="K872" s="22"/>
    </row>
    <row r="873" spans="1:11" x14ac:dyDescent="0.35">
      <c r="A873" s="21"/>
      <c r="B873" s="21"/>
      <c r="C873" s="21"/>
      <c r="D873" s="21"/>
      <c r="E873" s="21"/>
      <c r="F873" s="21"/>
      <c r="G873" s="21"/>
      <c r="H873" s="21"/>
      <c r="I873" s="21"/>
      <c r="J873" s="21"/>
      <c r="K873" s="22"/>
    </row>
    <row r="874" spans="1:11" x14ac:dyDescent="0.35">
      <c r="A874" s="21"/>
      <c r="B874" s="21"/>
      <c r="C874" s="21"/>
      <c r="D874" s="21"/>
      <c r="E874" s="21"/>
      <c r="F874" s="21"/>
      <c r="G874" s="21"/>
      <c r="H874" s="21"/>
      <c r="I874" s="21"/>
      <c r="J874" s="21"/>
      <c r="K874" s="22"/>
    </row>
    <row r="875" spans="1:11" x14ac:dyDescent="0.35">
      <c r="A875" s="21"/>
      <c r="B875" s="21"/>
      <c r="C875" s="21"/>
      <c r="D875" s="21"/>
      <c r="E875" s="21"/>
      <c r="F875" s="21"/>
      <c r="G875" s="21"/>
      <c r="H875" s="21"/>
      <c r="I875" s="21"/>
      <c r="J875" s="21"/>
      <c r="K875" s="22"/>
    </row>
    <row r="876" spans="1:11" x14ac:dyDescent="0.35">
      <c r="A876" s="21"/>
      <c r="B876" s="21"/>
      <c r="C876" s="21"/>
      <c r="D876" s="21"/>
      <c r="E876" s="21"/>
      <c r="F876" s="21"/>
      <c r="G876" s="21"/>
      <c r="H876" s="21"/>
      <c r="I876" s="21"/>
      <c r="J876" s="21"/>
      <c r="K876" s="22"/>
    </row>
    <row r="877" spans="1:11" x14ac:dyDescent="0.35">
      <c r="A877" s="21"/>
      <c r="B877" s="21"/>
      <c r="C877" s="21"/>
      <c r="D877" s="21"/>
      <c r="E877" s="21"/>
      <c r="F877" s="21"/>
      <c r="G877" s="21"/>
      <c r="H877" s="21"/>
      <c r="I877" s="21"/>
      <c r="J877" s="21"/>
      <c r="K877" s="22"/>
    </row>
    <row r="878" spans="1:11" x14ac:dyDescent="0.35">
      <c r="A878" s="21"/>
      <c r="B878" s="21"/>
      <c r="C878" s="21"/>
      <c r="D878" s="21"/>
      <c r="E878" s="21"/>
      <c r="F878" s="21"/>
      <c r="G878" s="21"/>
      <c r="H878" s="21"/>
      <c r="I878" s="21"/>
      <c r="J878" s="21"/>
      <c r="K878" s="22"/>
    </row>
    <row r="879" spans="1:11" x14ac:dyDescent="0.35">
      <c r="A879" s="21"/>
      <c r="B879" s="21"/>
      <c r="C879" s="21"/>
      <c r="D879" s="21"/>
      <c r="E879" s="21"/>
      <c r="F879" s="21"/>
      <c r="G879" s="21"/>
      <c r="H879" s="21"/>
      <c r="I879" s="21"/>
      <c r="J879" s="21"/>
      <c r="K879" s="22"/>
    </row>
    <row r="880" spans="1:11" x14ac:dyDescent="0.35">
      <c r="A880" s="21"/>
      <c r="B880" s="21"/>
      <c r="C880" s="21"/>
      <c r="D880" s="21"/>
      <c r="E880" s="21"/>
      <c r="F880" s="21"/>
      <c r="G880" s="21"/>
      <c r="H880" s="21"/>
      <c r="I880" s="21"/>
      <c r="J880" s="21"/>
      <c r="K880" s="22"/>
    </row>
    <row r="881" spans="1:11" x14ac:dyDescent="0.35">
      <c r="A881" s="21"/>
      <c r="B881" s="21"/>
      <c r="C881" s="21"/>
      <c r="D881" s="21"/>
      <c r="E881" s="21"/>
      <c r="F881" s="21"/>
      <c r="G881" s="21"/>
      <c r="H881" s="21"/>
      <c r="I881" s="21"/>
      <c r="J881" s="21"/>
      <c r="K881" s="22"/>
    </row>
    <row r="882" spans="1:11" x14ac:dyDescent="0.35">
      <c r="A882" s="21"/>
      <c r="B882" s="21"/>
      <c r="C882" s="21"/>
      <c r="D882" s="21"/>
      <c r="E882" s="21"/>
      <c r="F882" s="21"/>
      <c r="G882" s="21"/>
      <c r="H882" s="21"/>
      <c r="I882" s="21"/>
      <c r="J882" s="21"/>
      <c r="K882" s="22"/>
    </row>
    <row r="883" spans="1:11" x14ac:dyDescent="0.35">
      <c r="A883" s="21"/>
      <c r="B883" s="21"/>
      <c r="C883" s="21"/>
      <c r="D883" s="21"/>
      <c r="E883" s="21"/>
      <c r="F883" s="21"/>
      <c r="G883" s="21"/>
      <c r="H883" s="21"/>
      <c r="I883" s="21"/>
      <c r="J883" s="21"/>
      <c r="K883" s="22"/>
    </row>
    <row r="884" spans="1:11" x14ac:dyDescent="0.35">
      <c r="A884" s="21"/>
      <c r="B884" s="21"/>
      <c r="C884" s="21"/>
      <c r="D884" s="21"/>
      <c r="E884" s="21"/>
      <c r="F884" s="21"/>
      <c r="G884" s="21"/>
      <c r="H884" s="21"/>
      <c r="I884" s="21"/>
      <c r="J884" s="21"/>
      <c r="K884" s="22"/>
    </row>
    <row r="885" spans="1:11" x14ac:dyDescent="0.35">
      <c r="A885" s="21"/>
      <c r="B885" s="21"/>
      <c r="C885" s="21"/>
      <c r="D885" s="21"/>
      <c r="E885" s="21"/>
      <c r="F885" s="21"/>
      <c r="G885" s="21"/>
      <c r="H885" s="21"/>
      <c r="I885" s="21"/>
      <c r="J885" s="21"/>
      <c r="K885" s="22"/>
    </row>
    <row r="886" spans="1:11" x14ac:dyDescent="0.35">
      <c r="A886" s="21"/>
      <c r="B886" s="21"/>
      <c r="C886" s="21"/>
      <c r="D886" s="21"/>
      <c r="E886" s="21"/>
      <c r="F886" s="21"/>
      <c r="G886" s="21"/>
      <c r="H886" s="21"/>
      <c r="I886" s="21"/>
      <c r="J886" s="21"/>
      <c r="K886" s="22"/>
    </row>
    <row r="887" spans="1:11" x14ac:dyDescent="0.35">
      <c r="A887" s="21"/>
      <c r="B887" s="21"/>
      <c r="C887" s="21"/>
      <c r="D887" s="21"/>
      <c r="E887" s="21"/>
      <c r="F887" s="21"/>
      <c r="G887" s="21"/>
      <c r="H887" s="21"/>
      <c r="I887" s="21"/>
      <c r="J887" s="21"/>
      <c r="K887" s="22"/>
    </row>
    <row r="888" spans="1:11" x14ac:dyDescent="0.35">
      <c r="A888" s="21"/>
      <c r="B888" s="21"/>
      <c r="C888" s="21"/>
      <c r="D888" s="21"/>
      <c r="E888" s="21"/>
      <c r="F888" s="21"/>
      <c r="G888" s="21"/>
      <c r="H888" s="21"/>
      <c r="I888" s="21"/>
      <c r="J888" s="21"/>
      <c r="K888" s="22"/>
    </row>
    <row r="889" spans="1:11" x14ac:dyDescent="0.35">
      <c r="A889" s="21"/>
      <c r="B889" s="21"/>
      <c r="C889" s="21"/>
      <c r="D889" s="21"/>
      <c r="E889" s="21"/>
      <c r="F889" s="21"/>
      <c r="G889" s="21"/>
      <c r="H889" s="21"/>
      <c r="I889" s="21"/>
      <c r="J889" s="21"/>
      <c r="K889" s="22"/>
    </row>
    <row r="890" spans="1:11" x14ac:dyDescent="0.35">
      <c r="A890" s="21"/>
      <c r="B890" s="21"/>
      <c r="C890" s="21"/>
      <c r="D890" s="21"/>
      <c r="E890" s="21"/>
      <c r="F890" s="21"/>
      <c r="G890" s="21"/>
      <c r="H890" s="21"/>
      <c r="I890" s="21"/>
      <c r="J890" s="21"/>
      <c r="K890" s="22"/>
    </row>
    <row r="891" spans="1:11" x14ac:dyDescent="0.35">
      <c r="A891" s="21"/>
      <c r="B891" s="21"/>
      <c r="C891" s="21"/>
      <c r="D891" s="21"/>
      <c r="E891" s="21"/>
      <c r="F891" s="21"/>
      <c r="G891" s="21"/>
      <c r="H891" s="21"/>
      <c r="I891" s="21"/>
      <c r="J891" s="21"/>
      <c r="K891" s="22"/>
    </row>
    <row r="892" spans="1:11" x14ac:dyDescent="0.35">
      <c r="A892" s="21"/>
      <c r="B892" s="21"/>
      <c r="C892" s="21"/>
      <c r="D892" s="21"/>
      <c r="E892" s="21"/>
      <c r="F892" s="21"/>
      <c r="G892" s="21"/>
      <c r="H892" s="21"/>
      <c r="I892" s="21"/>
      <c r="J892" s="21"/>
      <c r="K892" s="22"/>
    </row>
    <row r="893" spans="1:11" x14ac:dyDescent="0.35">
      <c r="A893" s="21"/>
      <c r="B893" s="21"/>
      <c r="C893" s="21"/>
      <c r="D893" s="21"/>
      <c r="E893" s="21"/>
      <c r="F893" s="21"/>
      <c r="G893" s="21"/>
      <c r="H893" s="21"/>
      <c r="I893" s="21"/>
      <c r="J893" s="21"/>
      <c r="K893" s="22"/>
    </row>
    <row r="894" spans="1:11" x14ac:dyDescent="0.35">
      <c r="A894" s="21"/>
      <c r="B894" s="21"/>
      <c r="C894" s="21"/>
      <c r="D894" s="21"/>
      <c r="E894" s="21"/>
      <c r="F894" s="21"/>
      <c r="G894" s="21"/>
      <c r="H894" s="21"/>
      <c r="I894" s="21"/>
      <c r="J894" s="21"/>
      <c r="K894" s="22"/>
    </row>
    <row r="895" spans="1:11" x14ac:dyDescent="0.35">
      <c r="A895" s="21"/>
      <c r="B895" s="21"/>
      <c r="C895" s="21"/>
      <c r="D895" s="21"/>
      <c r="E895" s="21"/>
      <c r="F895" s="21"/>
      <c r="G895" s="21"/>
      <c r="H895" s="21"/>
      <c r="I895" s="21"/>
      <c r="J895" s="21"/>
      <c r="K895" s="22"/>
    </row>
    <row r="896" spans="1:11" x14ac:dyDescent="0.35">
      <c r="A896" s="21"/>
      <c r="B896" s="21"/>
      <c r="C896" s="21"/>
      <c r="D896" s="21"/>
      <c r="E896" s="21"/>
      <c r="F896" s="21"/>
      <c r="G896" s="21"/>
      <c r="H896" s="21"/>
      <c r="I896" s="21"/>
      <c r="J896" s="21"/>
      <c r="K896" s="22"/>
    </row>
    <row r="897" spans="1:11" x14ac:dyDescent="0.35">
      <c r="A897" s="21"/>
      <c r="B897" s="21"/>
      <c r="C897" s="21"/>
      <c r="D897" s="21"/>
      <c r="E897" s="21"/>
      <c r="F897" s="21"/>
      <c r="G897" s="21"/>
      <c r="H897" s="21"/>
      <c r="I897" s="21"/>
      <c r="J897" s="21"/>
      <c r="K897" s="22"/>
    </row>
    <row r="898" spans="1:11" x14ac:dyDescent="0.35">
      <c r="A898" s="21"/>
      <c r="B898" s="21"/>
      <c r="C898" s="21"/>
      <c r="D898" s="21"/>
      <c r="E898" s="21"/>
      <c r="F898" s="21"/>
      <c r="G898" s="21"/>
      <c r="H898" s="21"/>
      <c r="I898" s="21"/>
      <c r="J898" s="21"/>
      <c r="K898" s="22"/>
    </row>
    <row r="899" spans="1:11" x14ac:dyDescent="0.35">
      <c r="A899" s="21"/>
      <c r="B899" s="21"/>
      <c r="C899" s="21"/>
      <c r="D899" s="21"/>
      <c r="E899" s="21"/>
      <c r="F899" s="21"/>
      <c r="G899" s="21"/>
      <c r="H899" s="21"/>
      <c r="I899" s="21"/>
      <c r="J899" s="21"/>
      <c r="K899" s="22"/>
    </row>
    <row r="900" spans="1:11" x14ac:dyDescent="0.35">
      <c r="A900" s="21"/>
      <c r="B900" s="21"/>
      <c r="C900" s="21"/>
      <c r="D900" s="21"/>
      <c r="E900" s="21"/>
      <c r="F900" s="21"/>
      <c r="G900" s="21"/>
      <c r="H900" s="21"/>
      <c r="I900" s="21"/>
      <c r="J900" s="21"/>
      <c r="K900" s="22"/>
    </row>
    <row r="901" spans="1:11" x14ac:dyDescent="0.35">
      <c r="A901" s="21"/>
      <c r="B901" s="21"/>
      <c r="C901" s="21"/>
      <c r="D901" s="21"/>
      <c r="E901" s="21"/>
      <c r="F901" s="21"/>
      <c r="G901" s="21"/>
      <c r="H901" s="21"/>
      <c r="I901" s="21"/>
      <c r="J901" s="21"/>
      <c r="K901" s="22"/>
    </row>
    <row r="902" spans="1:11" x14ac:dyDescent="0.35">
      <c r="A902" s="21"/>
      <c r="B902" s="21"/>
      <c r="C902" s="21"/>
      <c r="D902" s="21"/>
      <c r="E902" s="21"/>
      <c r="F902" s="21"/>
      <c r="G902" s="21"/>
      <c r="H902" s="21"/>
      <c r="I902" s="21"/>
      <c r="J902" s="21"/>
      <c r="K902" s="22"/>
    </row>
    <row r="903" spans="1:11" x14ac:dyDescent="0.35">
      <c r="A903" s="21"/>
      <c r="B903" s="21"/>
      <c r="C903" s="21"/>
      <c r="D903" s="21"/>
      <c r="E903" s="21"/>
      <c r="F903" s="21"/>
      <c r="G903" s="21"/>
      <c r="H903" s="21"/>
      <c r="I903" s="21"/>
      <c r="J903" s="21"/>
      <c r="K903" s="22"/>
    </row>
    <row r="904" spans="1:11" x14ac:dyDescent="0.35">
      <c r="A904" s="21"/>
      <c r="B904" s="21"/>
      <c r="C904" s="21"/>
      <c r="D904" s="21"/>
      <c r="E904" s="21"/>
      <c r="F904" s="21"/>
      <c r="G904" s="21"/>
      <c r="H904" s="21"/>
      <c r="I904" s="21"/>
      <c r="J904" s="21"/>
      <c r="K904" s="22"/>
    </row>
    <row r="905" spans="1:11" x14ac:dyDescent="0.35">
      <c r="A905" s="21"/>
      <c r="B905" s="21"/>
      <c r="C905" s="21"/>
      <c r="D905" s="21"/>
      <c r="E905" s="21"/>
      <c r="F905" s="21"/>
      <c r="G905" s="21"/>
      <c r="H905" s="21"/>
      <c r="I905" s="21"/>
      <c r="J905" s="21"/>
      <c r="K905" s="22"/>
    </row>
    <row r="906" spans="1:11" x14ac:dyDescent="0.35">
      <c r="A906" s="21"/>
      <c r="B906" s="21"/>
      <c r="C906" s="21"/>
      <c r="D906" s="21"/>
      <c r="E906" s="21"/>
      <c r="F906" s="21"/>
      <c r="G906" s="21"/>
      <c r="H906" s="21"/>
      <c r="I906" s="21"/>
      <c r="J906" s="21"/>
      <c r="K906" s="22"/>
    </row>
    <row r="907" spans="1:11" x14ac:dyDescent="0.35">
      <c r="A907" s="21"/>
      <c r="B907" s="21"/>
      <c r="C907" s="21"/>
      <c r="D907" s="21"/>
      <c r="E907" s="21"/>
      <c r="F907" s="21"/>
      <c r="G907" s="21"/>
      <c r="H907" s="21"/>
      <c r="I907" s="21"/>
      <c r="J907" s="21"/>
      <c r="K907" s="22"/>
    </row>
    <row r="908" spans="1:11" x14ac:dyDescent="0.35">
      <c r="A908" s="21"/>
      <c r="B908" s="21"/>
      <c r="C908" s="21"/>
      <c r="D908" s="21"/>
      <c r="E908" s="21"/>
      <c r="F908" s="21"/>
      <c r="G908" s="21"/>
      <c r="H908" s="21"/>
      <c r="I908" s="21"/>
      <c r="J908" s="21"/>
      <c r="K908" s="22"/>
    </row>
    <row r="909" spans="1:11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4"/>
    </row>
    <row r="910" spans="1:11" x14ac:dyDescent="0.35">
      <c r="A910" s="19"/>
      <c r="F910" s="15"/>
    </row>
    <row r="911" spans="1:11" x14ac:dyDescent="0.35">
      <c r="A911" s="20"/>
      <c r="F911" s="15"/>
    </row>
    <row r="912" spans="1:11" x14ac:dyDescent="0.35">
      <c r="A912" s="20"/>
      <c r="F912" s="15"/>
    </row>
    <row r="913" spans="6:6" x14ac:dyDescent="0.35">
      <c r="F913" s="15"/>
    </row>
    <row r="914" spans="6:6" x14ac:dyDescent="0.35">
      <c r="F914" s="15"/>
    </row>
    <row r="915" spans="6:6" x14ac:dyDescent="0.35">
      <c r="F915" s="15"/>
    </row>
    <row r="916" spans="6:6" x14ac:dyDescent="0.35">
      <c r="F916" s="15"/>
    </row>
    <row r="917" spans="6:6" x14ac:dyDescent="0.35">
      <c r="F917" s="15"/>
    </row>
    <row r="918" spans="6:6" x14ac:dyDescent="0.35">
      <c r="F918" s="15"/>
    </row>
    <row r="919" spans="6:6" x14ac:dyDescent="0.35">
      <c r="F919" s="15"/>
    </row>
    <row r="920" spans="6:6" x14ac:dyDescent="0.35">
      <c r="F920" s="15"/>
    </row>
    <row r="921" spans="6:6" x14ac:dyDescent="0.35">
      <c r="F921" s="15"/>
    </row>
    <row r="922" spans="6:6" x14ac:dyDescent="0.35">
      <c r="F922" s="15"/>
    </row>
    <row r="923" spans="6:6" x14ac:dyDescent="0.35">
      <c r="F923" s="15"/>
    </row>
    <row r="924" spans="6:6" x14ac:dyDescent="0.35">
      <c r="F924" s="15"/>
    </row>
    <row r="925" spans="6:6" x14ac:dyDescent="0.35">
      <c r="F925" s="15"/>
    </row>
    <row r="926" spans="6:6" x14ac:dyDescent="0.35">
      <c r="F926" s="15"/>
    </row>
    <row r="927" spans="6:6" x14ac:dyDescent="0.35">
      <c r="F927" s="15"/>
    </row>
    <row r="928" spans="6:6" x14ac:dyDescent="0.35">
      <c r="F928" s="15"/>
    </row>
    <row r="929" spans="2:6" x14ac:dyDescent="0.35">
      <c r="F929" s="15"/>
    </row>
    <row r="930" spans="2:6" x14ac:dyDescent="0.35">
      <c r="F930" s="15"/>
    </row>
    <row r="931" spans="2:6" x14ac:dyDescent="0.35">
      <c r="F931" s="15"/>
    </row>
    <row r="932" spans="2:6" x14ac:dyDescent="0.35">
      <c r="F932" s="15"/>
    </row>
    <row r="933" spans="2:6" x14ac:dyDescent="0.35">
      <c r="F933" s="15"/>
    </row>
    <row r="934" spans="2:6" x14ac:dyDescent="0.35">
      <c r="F934" s="15"/>
    </row>
    <row r="935" spans="2:6" x14ac:dyDescent="0.35">
      <c r="F935" s="15"/>
    </row>
    <row r="936" spans="2:6" x14ac:dyDescent="0.35">
      <c r="F936" s="15"/>
    </row>
    <row r="937" spans="2:6" x14ac:dyDescent="0.35">
      <c r="F937" s="15"/>
    </row>
    <row r="938" spans="2:6" x14ac:dyDescent="0.35">
      <c r="F938" s="15"/>
    </row>
    <row r="939" spans="2:6" x14ac:dyDescent="0.35">
      <c r="F939" s="15"/>
    </row>
    <row r="940" spans="2:6" x14ac:dyDescent="0.35">
      <c r="B940" s="16"/>
      <c r="F940" s="15"/>
    </row>
    <row r="941" spans="2:6" x14ac:dyDescent="0.35">
      <c r="F941" s="15"/>
    </row>
    <row r="942" spans="2:6" x14ac:dyDescent="0.35">
      <c r="F942" s="15"/>
    </row>
    <row r="943" spans="2:6" x14ac:dyDescent="0.35">
      <c r="F943" s="15"/>
    </row>
    <row r="944" spans="2:6" x14ac:dyDescent="0.35">
      <c r="F944" s="15"/>
    </row>
    <row r="945" spans="6:6" x14ac:dyDescent="0.35">
      <c r="F945" s="15"/>
    </row>
    <row r="946" spans="6:6" x14ac:dyDescent="0.35">
      <c r="F946" s="15"/>
    </row>
    <row r="947" spans="6:6" x14ac:dyDescent="0.35">
      <c r="F947" s="15"/>
    </row>
    <row r="948" spans="6:6" x14ac:dyDescent="0.35">
      <c r="F948" s="15"/>
    </row>
    <row r="949" spans="6:6" x14ac:dyDescent="0.35">
      <c r="F949" s="15"/>
    </row>
    <row r="950" spans="6:6" x14ac:dyDescent="0.35">
      <c r="F950" s="15"/>
    </row>
    <row r="951" spans="6:6" x14ac:dyDescent="0.35">
      <c r="F951" s="15"/>
    </row>
    <row r="952" spans="6:6" x14ac:dyDescent="0.35">
      <c r="F952" s="15"/>
    </row>
    <row r="953" spans="6:6" x14ac:dyDescent="0.35">
      <c r="F953" s="15"/>
    </row>
    <row r="954" spans="6:6" x14ac:dyDescent="0.35">
      <c r="F954" s="15"/>
    </row>
    <row r="955" spans="6:6" x14ac:dyDescent="0.35">
      <c r="F955" s="15"/>
    </row>
    <row r="956" spans="6:6" x14ac:dyDescent="0.35">
      <c r="F956" s="15"/>
    </row>
    <row r="957" spans="6:6" x14ac:dyDescent="0.35">
      <c r="F957" s="15"/>
    </row>
    <row r="958" spans="6:6" x14ac:dyDescent="0.35">
      <c r="F958" s="15"/>
    </row>
    <row r="959" spans="6:6" x14ac:dyDescent="0.35">
      <c r="F959" s="15"/>
    </row>
    <row r="960" spans="6:6" x14ac:dyDescent="0.35">
      <c r="F960" s="15"/>
    </row>
    <row r="961" spans="6:6" x14ac:dyDescent="0.35">
      <c r="F961" s="15"/>
    </row>
    <row r="962" spans="6:6" x14ac:dyDescent="0.35">
      <c r="F962" s="15"/>
    </row>
    <row r="963" spans="6:6" x14ac:dyDescent="0.35">
      <c r="F963" s="15"/>
    </row>
    <row r="964" spans="6:6" x14ac:dyDescent="0.35">
      <c r="F964" s="15"/>
    </row>
    <row r="965" spans="6:6" x14ac:dyDescent="0.35">
      <c r="F965" s="15"/>
    </row>
    <row r="966" spans="6:6" x14ac:dyDescent="0.35">
      <c r="F966" s="15"/>
    </row>
    <row r="967" spans="6:6" x14ac:dyDescent="0.35">
      <c r="F967" s="15"/>
    </row>
    <row r="969" spans="6:6" x14ac:dyDescent="0.35">
      <c r="F969" s="15"/>
    </row>
    <row r="970" spans="6:6" x14ac:dyDescent="0.35">
      <c r="F970" s="15"/>
    </row>
    <row r="971" spans="6:6" x14ac:dyDescent="0.35">
      <c r="F971" s="15"/>
    </row>
    <row r="972" spans="6:6" x14ac:dyDescent="0.35">
      <c r="F972" s="15"/>
    </row>
    <row r="973" spans="6:6" x14ac:dyDescent="0.35">
      <c r="F973" s="15"/>
    </row>
    <row r="974" spans="6:6" x14ac:dyDescent="0.35">
      <c r="F974" s="15"/>
    </row>
    <row r="975" spans="6:6" x14ac:dyDescent="0.35">
      <c r="F975" s="15"/>
    </row>
    <row r="976" spans="6:6" x14ac:dyDescent="0.35">
      <c r="F976" s="15"/>
    </row>
    <row r="977" spans="6:6" x14ac:dyDescent="0.35">
      <c r="F977" s="15"/>
    </row>
    <row r="978" spans="6:6" x14ac:dyDescent="0.35">
      <c r="F978" s="15"/>
    </row>
    <row r="979" spans="6:6" x14ac:dyDescent="0.35">
      <c r="F979" s="15"/>
    </row>
    <row r="980" spans="6:6" x14ac:dyDescent="0.35">
      <c r="F980" s="15"/>
    </row>
    <row r="981" spans="6:6" x14ac:dyDescent="0.35">
      <c r="F981" s="15"/>
    </row>
    <row r="982" spans="6:6" x14ac:dyDescent="0.35">
      <c r="F982" s="15"/>
    </row>
    <row r="983" spans="6:6" x14ac:dyDescent="0.35">
      <c r="F983" s="15"/>
    </row>
    <row r="984" spans="6:6" x14ac:dyDescent="0.35">
      <c r="F984" s="15"/>
    </row>
    <row r="985" spans="6:6" x14ac:dyDescent="0.35">
      <c r="F985" s="15"/>
    </row>
    <row r="986" spans="6:6" x14ac:dyDescent="0.35">
      <c r="F986" s="15"/>
    </row>
    <row r="987" spans="6:6" x14ac:dyDescent="0.35">
      <c r="F987" s="15"/>
    </row>
    <row r="988" spans="6:6" x14ac:dyDescent="0.35">
      <c r="F988" s="15"/>
    </row>
    <row r="989" spans="6:6" x14ac:dyDescent="0.35">
      <c r="F989" s="15"/>
    </row>
    <row r="990" spans="6:6" x14ac:dyDescent="0.35">
      <c r="F990" s="15"/>
    </row>
    <row r="991" spans="6:6" x14ac:dyDescent="0.35">
      <c r="F991" s="15"/>
    </row>
    <row r="992" spans="6:6" x14ac:dyDescent="0.35">
      <c r="F992" s="15"/>
    </row>
    <row r="993" spans="6:6" x14ac:dyDescent="0.35">
      <c r="F993" s="15"/>
    </row>
    <row r="994" spans="6:6" x14ac:dyDescent="0.35">
      <c r="F994" s="15"/>
    </row>
    <row r="995" spans="6:6" x14ac:dyDescent="0.35">
      <c r="F995" s="15"/>
    </row>
    <row r="996" spans="6:6" x14ac:dyDescent="0.35">
      <c r="F996" s="15"/>
    </row>
    <row r="997" spans="6:6" x14ac:dyDescent="0.35">
      <c r="F997" s="15"/>
    </row>
    <row r="998" spans="6:6" x14ac:dyDescent="0.35">
      <c r="F998" s="15"/>
    </row>
    <row r="999" spans="6:6" x14ac:dyDescent="0.35">
      <c r="F999" s="15"/>
    </row>
    <row r="1000" spans="6:6" x14ac:dyDescent="0.35">
      <c r="F1000" s="15"/>
    </row>
    <row r="1001" spans="6:6" x14ac:dyDescent="0.35">
      <c r="F1001" s="15"/>
    </row>
    <row r="1002" spans="6:6" x14ac:dyDescent="0.35">
      <c r="F1002" s="15"/>
    </row>
    <row r="1003" spans="6:6" x14ac:dyDescent="0.35">
      <c r="F1003" s="15"/>
    </row>
    <row r="1004" spans="6:6" x14ac:dyDescent="0.35">
      <c r="F1004" s="15"/>
    </row>
    <row r="1005" spans="6:6" x14ac:dyDescent="0.35">
      <c r="F1005" s="15"/>
    </row>
    <row r="1006" spans="6:6" x14ac:dyDescent="0.35">
      <c r="F1006" s="15"/>
    </row>
    <row r="1007" spans="6:6" x14ac:dyDescent="0.35">
      <c r="F1007" s="15"/>
    </row>
    <row r="1008" spans="6:6" x14ac:dyDescent="0.35">
      <c r="F1008" s="15"/>
    </row>
    <row r="1009" spans="6:6" x14ac:dyDescent="0.35">
      <c r="F1009" s="15"/>
    </row>
    <row r="1010" spans="6:6" x14ac:dyDescent="0.35">
      <c r="F1010" s="15"/>
    </row>
    <row r="1011" spans="6:6" x14ac:dyDescent="0.35">
      <c r="F1011" s="15"/>
    </row>
    <row r="1012" spans="6:6" x14ac:dyDescent="0.35">
      <c r="F1012" s="15"/>
    </row>
    <row r="1013" spans="6:6" x14ac:dyDescent="0.35">
      <c r="F1013" s="15"/>
    </row>
    <row r="1014" spans="6:6" x14ac:dyDescent="0.35">
      <c r="F1014" s="15"/>
    </row>
    <row r="1015" spans="6:6" x14ac:dyDescent="0.35">
      <c r="F1015" s="15"/>
    </row>
    <row r="1016" spans="6:6" x14ac:dyDescent="0.35">
      <c r="F1016" s="15"/>
    </row>
    <row r="1017" spans="6:6" x14ac:dyDescent="0.35">
      <c r="F1017" s="15"/>
    </row>
    <row r="1018" spans="6:6" x14ac:dyDescent="0.35">
      <c r="F1018" s="15"/>
    </row>
    <row r="1019" spans="6:6" x14ac:dyDescent="0.35">
      <c r="F1019" s="15"/>
    </row>
    <row r="1020" spans="6:6" x14ac:dyDescent="0.35">
      <c r="F1020" s="15"/>
    </row>
    <row r="1021" spans="6:6" x14ac:dyDescent="0.35">
      <c r="F1021" s="15"/>
    </row>
    <row r="1022" spans="6:6" x14ac:dyDescent="0.35">
      <c r="F1022" s="15"/>
    </row>
    <row r="1023" spans="6:6" x14ac:dyDescent="0.35">
      <c r="F1023" s="15"/>
    </row>
    <row r="1024" spans="6:6" x14ac:dyDescent="0.35">
      <c r="F1024" s="15"/>
    </row>
    <row r="1025" spans="6:6" x14ac:dyDescent="0.35">
      <c r="F1025" s="15"/>
    </row>
    <row r="1026" spans="6:6" x14ac:dyDescent="0.35">
      <c r="F1026" s="15"/>
    </row>
    <row r="1027" spans="6:6" x14ac:dyDescent="0.35">
      <c r="F1027" s="15"/>
    </row>
    <row r="1028" spans="6:6" x14ac:dyDescent="0.35">
      <c r="F1028" s="15"/>
    </row>
    <row r="1029" spans="6:6" x14ac:dyDescent="0.35">
      <c r="F1029" s="15"/>
    </row>
    <row r="1030" spans="6:6" x14ac:dyDescent="0.35">
      <c r="F1030" s="15"/>
    </row>
    <row r="1031" spans="6:6" x14ac:dyDescent="0.35">
      <c r="F1031" s="15"/>
    </row>
    <row r="1032" spans="6:6" x14ac:dyDescent="0.35">
      <c r="F1032" s="15"/>
    </row>
    <row r="1033" spans="6:6" x14ac:dyDescent="0.35">
      <c r="F1033" s="15"/>
    </row>
    <row r="1034" spans="6:6" x14ac:dyDescent="0.35">
      <c r="F1034" s="15"/>
    </row>
    <row r="1035" spans="6:6" x14ac:dyDescent="0.35">
      <c r="F1035" s="15"/>
    </row>
    <row r="1036" spans="6:6" x14ac:dyDescent="0.35">
      <c r="F1036" s="15"/>
    </row>
    <row r="1037" spans="6:6" x14ac:dyDescent="0.35">
      <c r="F1037" s="15"/>
    </row>
    <row r="1038" spans="6:6" x14ac:dyDescent="0.35">
      <c r="F1038" s="15"/>
    </row>
    <row r="1039" spans="6:6" x14ac:dyDescent="0.35">
      <c r="F1039" s="15"/>
    </row>
    <row r="1040" spans="6:6" x14ac:dyDescent="0.35">
      <c r="F1040" s="15"/>
    </row>
    <row r="1041" spans="6:6" x14ac:dyDescent="0.35">
      <c r="F1041" s="15"/>
    </row>
    <row r="1042" spans="6:6" x14ac:dyDescent="0.35">
      <c r="F1042" s="15"/>
    </row>
    <row r="1043" spans="6:6" x14ac:dyDescent="0.35">
      <c r="F1043" s="15"/>
    </row>
    <row r="1044" spans="6:6" x14ac:dyDescent="0.35">
      <c r="F1044" s="15"/>
    </row>
    <row r="1045" spans="6:6" x14ac:dyDescent="0.35">
      <c r="F1045" s="15"/>
    </row>
    <row r="1046" spans="6:6" x14ac:dyDescent="0.35">
      <c r="F1046" s="15"/>
    </row>
    <row r="1047" spans="6:6" x14ac:dyDescent="0.35">
      <c r="F1047" s="15"/>
    </row>
    <row r="1048" spans="6:6" x14ac:dyDescent="0.35">
      <c r="F1048" s="15"/>
    </row>
    <row r="1049" spans="6:6" x14ac:dyDescent="0.35">
      <c r="F1049" s="15"/>
    </row>
    <row r="1050" spans="6:6" x14ac:dyDescent="0.35">
      <c r="F1050" s="15"/>
    </row>
    <row r="1051" spans="6:6" x14ac:dyDescent="0.35">
      <c r="F1051" s="15"/>
    </row>
    <row r="1052" spans="6:6" x14ac:dyDescent="0.35">
      <c r="F1052" s="15"/>
    </row>
    <row r="1053" spans="6:6" x14ac:dyDescent="0.35">
      <c r="F1053" s="15"/>
    </row>
    <row r="1054" spans="6:6" x14ac:dyDescent="0.35">
      <c r="F1054" s="15"/>
    </row>
    <row r="1055" spans="6:6" x14ac:dyDescent="0.35">
      <c r="F1055" s="15"/>
    </row>
    <row r="1056" spans="6:6" x14ac:dyDescent="0.35">
      <c r="F1056" s="15"/>
    </row>
    <row r="1057" spans="6:6" x14ac:dyDescent="0.35">
      <c r="F1057" s="15"/>
    </row>
    <row r="1058" spans="6:6" x14ac:dyDescent="0.35">
      <c r="F1058" s="15"/>
    </row>
    <row r="1059" spans="6:6" x14ac:dyDescent="0.35">
      <c r="F1059" s="15"/>
    </row>
    <row r="1060" spans="6:6" x14ac:dyDescent="0.35">
      <c r="F1060" s="15"/>
    </row>
    <row r="1061" spans="6:6" x14ac:dyDescent="0.35">
      <c r="F1061" s="15"/>
    </row>
    <row r="1062" spans="6:6" x14ac:dyDescent="0.35">
      <c r="F1062" s="15"/>
    </row>
    <row r="1063" spans="6:6" x14ac:dyDescent="0.35">
      <c r="F1063" s="15"/>
    </row>
    <row r="1064" spans="6:6" x14ac:dyDescent="0.35">
      <c r="F1064" s="15"/>
    </row>
    <row r="1065" spans="6:6" x14ac:dyDescent="0.35">
      <c r="F1065" s="15"/>
    </row>
    <row r="1066" spans="6:6" x14ac:dyDescent="0.35">
      <c r="F1066" s="15"/>
    </row>
    <row r="1067" spans="6:6" x14ac:dyDescent="0.35">
      <c r="F1067" s="15"/>
    </row>
    <row r="1068" spans="6:6" x14ac:dyDescent="0.35">
      <c r="F1068" s="15"/>
    </row>
    <row r="1069" spans="6:6" x14ac:dyDescent="0.35">
      <c r="F1069" s="15"/>
    </row>
    <row r="1070" spans="6:6" x14ac:dyDescent="0.35">
      <c r="F1070" s="15"/>
    </row>
    <row r="1071" spans="6:6" x14ac:dyDescent="0.35">
      <c r="F1071" s="15"/>
    </row>
    <row r="1072" spans="6:6" x14ac:dyDescent="0.35">
      <c r="F1072" s="15"/>
    </row>
    <row r="1073" spans="6:6" x14ac:dyDescent="0.35">
      <c r="F1073" s="15"/>
    </row>
    <row r="1074" spans="6:6" x14ac:dyDescent="0.35">
      <c r="F1074" s="15"/>
    </row>
    <row r="1075" spans="6:6" x14ac:dyDescent="0.35">
      <c r="F1075" s="15"/>
    </row>
    <row r="1076" spans="6:6" x14ac:dyDescent="0.35">
      <c r="F1076" s="15"/>
    </row>
    <row r="1077" spans="6:6" x14ac:dyDescent="0.35">
      <c r="F1077" s="15"/>
    </row>
    <row r="1078" spans="6:6" x14ac:dyDescent="0.35">
      <c r="F1078" s="15"/>
    </row>
    <row r="1079" spans="6:6" x14ac:dyDescent="0.35">
      <c r="F1079" s="15"/>
    </row>
    <row r="1080" spans="6:6" x14ac:dyDescent="0.35">
      <c r="F1080" s="15"/>
    </row>
    <row r="1081" spans="6:6" x14ac:dyDescent="0.35">
      <c r="F1081" s="15"/>
    </row>
    <row r="1082" spans="6:6" x14ac:dyDescent="0.35">
      <c r="F1082" s="15"/>
    </row>
    <row r="1083" spans="6:6" x14ac:dyDescent="0.35">
      <c r="F1083" s="15"/>
    </row>
    <row r="1084" spans="6:6" x14ac:dyDescent="0.35">
      <c r="F1084" s="15"/>
    </row>
    <row r="1085" spans="6:6" x14ac:dyDescent="0.35">
      <c r="F1085" s="15"/>
    </row>
    <row r="1086" spans="6:6" x14ac:dyDescent="0.35">
      <c r="F1086" s="15"/>
    </row>
    <row r="1087" spans="6:6" x14ac:dyDescent="0.35">
      <c r="F1087" s="15"/>
    </row>
    <row r="1088" spans="6:6" x14ac:dyDescent="0.35">
      <c r="F1088" s="15"/>
    </row>
    <row r="1089" spans="6:6" x14ac:dyDescent="0.35">
      <c r="F1089" s="15"/>
    </row>
    <row r="1090" spans="6:6" x14ac:dyDescent="0.35">
      <c r="F1090" s="15"/>
    </row>
    <row r="1091" spans="6:6" x14ac:dyDescent="0.35">
      <c r="F1091" s="15"/>
    </row>
    <row r="1092" spans="6:6" x14ac:dyDescent="0.35">
      <c r="F1092" s="15"/>
    </row>
    <row r="1093" spans="6:6" x14ac:dyDescent="0.35">
      <c r="F1093" s="15"/>
    </row>
    <row r="1094" spans="6:6" x14ac:dyDescent="0.35">
      <c r="F1094" s="15"/>
    </row>
    <row r="1095" spans="6:6" x14ac:dyDescent="0.35">
      <c r="F1095" s="15"/>
    </row>
    <row r="1096" spans="6:6" x14ac:dyDescent="0.35">
      <c r="F1096" s="15"/>
    </row>
    <row r="1097" spans="6:6" x14ac:dyDescent="0.35">
      <c r="F1097" s="15"/>
    </row>
    <row r="1098" spans="6:6" x14ac:dyDescent="0.35">
      <c r="F1098" s="15"/>
    </row>
    <row r="1099" spans="6:6" x14ac:dyDescent="0.35">
      <c r="F1099" s="15"/>
    </row>
    <row r="1100" spans="6:6" x14ac:dyDescent="0.35">
      <c r="F1100" s="15"/>
    </row>
    <row r="1101" spans="6:6" x14ac:dyDescent="0.35">
      <c r="F1101" s="15"/>
    </row>
    <row r="1102" spans="6:6" x14ac:dyDescent="0.35">
      <c r="F1102" s="15"/>
    </row>
    <row r="1103" spans="6:6" x14ac:dyDescent="0.35">
      <c r="F1103" s="15"/>
    </row>
    <row r="1104" spans="6:6" x14ac:dyDescent="0.35">
      <c r="F1104" s="15"/>
    </row>
    <row r="1105" spans="6:6" x14ac:dyDescent="0.35">
      <c r="F1105" s="15"/>
    </row>
    <row r="1106" spans="6:6" x14ac:dyDescent="0.35">
      <c r="F1106" s="15"/>
    </row>
    <row r="1107" spans="6:6" x14ac:dyDescent="0.35">
      <c r="F1107" s="15"/>
    </row>
    <row r="1108" spans="6:6" x14ac:dyDescent="0.35">
      <c r="F1108" s="15"/>
    </row>
    <row r="1109" spans="6:6" x14ac:dyDescent="0.35">
      <c r="F1109" s="15"/>
    </row>
    <row r="1110" spans="6:6" x14ac:dyDescent="0.35">
      <c r="F1110" s="15"/>
    </row>
    <row r="1111" spans="6:6" x14ac:dyDescent="0.35">
      <c r="F1111" s="15"/>
    </row>
    <row r="1112" spans="6:6" x14ac:dyDescent="0.35">
      <c r="F1112" s="15"/>
    </row>
    <row r="1113" spans="6:6" x14ac:dyDescent="0.35">
      <c r="F1113" s="15"/>
    </row>
    <row r="1114" spans="6:6" x14ac:dyDescent="0.35">
      <c r="F1114" s="15"/>
    </row>
    <row r="1115" spans="6:6" x14ac:dyDescent="0.35">
      <c r="F1115" s="15"/>
    </row>
    <row r="1116" spans="6:6" x14ac:dyDescent="0.35">
      <c r="F1116" s="15"/>
    </row>
    <row r="1117" spans="6:6" x14ac:dyDescent="0.35">
      <c r="F1117" s="15"/>
    </row>
    <row r="1118" spans="6:6" x14ac:dyDescent="0.35">
      <c r="F1118" s="15"/>
    </row>
    <row r="1119" spans="6:6" x14ac:dyDescent="0.35">
      <c r="F1119" s="15"/>
    </row>
    <row r="1120" spans="6:6" x14ac:dyDescent="0.35">
      <c r="F1120" s="15"/>
    </row>
    <row r="1121" spans="6:6" x14ac:dyDescent="0.35">
      <c r="F1121" s="15"/>
    </row>
    <row r="1122" spans="6:6" x14ac:dyDescent="0.35">
      <c r="F1122" s="15"/>
    </row>
    <row r="1123" spans="6:6" x14ac:dyDescent="0.35">
      <c r="F1123" s="15"/>
    </row>
    <row r="1124" spans="6:6" x14ac:dyDescent="0.35">
      <c r="F1124" s="15"/>
    </row>
    <row r="1125" spans="6:6" x14ac:dyDescent="0.35">
      <c r="F1125" s="15"/>
    </row>
    <row r="1126" spans="6:6" x14ac:dyDescent="0.35">
      <c r="F1126" s="15"/>
    </row>
    <row r="1127" spans="6:6" x14ac:dyDescent="0.35">
      <c r="F1127" s="15"/>
    </row>
    <row r="1128" spans="6:6" x14ac:dyDescent="0.35">
      <c r="F1128" s="15"/>
    </row>
    <row r="1129" spans="6:6" x14ac:dyDescent="0.35">
      <c r="F1129" s="15"/>
    </row>
    <row r="1130" spans="6:6" x14ac:dyDescent="0.35">
      <c r="F1130" s="15"/>
    </row>
    <row r="1131" spans="6:6" x14ac:dyDescent="0.35">
      <c r="F1131" s="15"/>
    </row>
    <row r="1132" spans="6:6" x14ac:dyDescent="0.35">
      <c r="F1132" s="15"/>
    </row>
    <row r="1133" spans="6:6" x14ac:dyDescent="0.35">
      <c r="F1133" s="15"/>
    </row>
    <row r="1134" spans="6:6" x14ac:dyDescent="0.35">
      <c r="F1134" s="15"/>
    </row>
    <row r="1135" spans="6:6" x14ac:dyDescent="0.35">
      <c r="F1135" s="15"/>
    </row>
    <row r="1136" spans="6:6" x14ac:dyDescent="0.35">
      <c r="F1136" s="15"/>
    </row>
    <row r="1137" spans="6:6" x14ac:dyDescent="0.35">
      <c r="F1137" s="15"/>
    </row>
    <row r="1138" spans="6:6" x14ac:dyDescent="0.35">
      <c r="F1138" s="15"/>
    </row>
    <row r="1139" spans="6:6" x14ac:dyDescent="0.35">
      <c r="F1139" s="15"/>
    </row>
    <row r="1140" spans="6:6" x14ac:dyDescent="0.35">
      <c r="F1140" s="15"/>
    </row>
    <row r="1141" spans="6:6" x14ac:dyDescent="0.35">
      <c r="F1141" s="15"/>
    </row>
    <row r="1142" spans="6:6" x14ac:dyDescent="0.35">
      <c r="F1142" s="15"/>
    </row>
    <row r="1143" spans="6:6" x14ac:dyDescent="0.35">
      <c r="F1143" s="15"/>
    </row>
    <row r="1144" spans="6:6" x14ac:dyDescent="0.35">
      <c r="F1144" s="15"/>
    </row>
    <row r="1145" spans="6:6" x14ac:dyDescent="0.35">
      <c r="F1145" s="15"/>
    </row>
    <row r="1146" spans="6:6" x14ac:dyDescent="0.35">
      <c r="F1146" s="15"/>
    </row>
    <row r="1147" spans="6:6" x14ac:dyDescent="0.35">
      <c r="F1147" s="15"/>
    </row>
    <row r="1148" spans="6:6" x14ac:dyDescent="0.35">
      <c r="F1148" s="15"/>
    </row>
    <row r="1149" spans="6:6" x14ac:dyDescent="0.35">
      <c r="F1149" s="15"/>
    </row>
    <row r="1150" spans="6:6" x14ac:dyDescent="0.35">
      <c r="F1150" s="15"/>
    </row>
    <row r="1151" spans="6:6" x14ac:dyDescent="0.35">
      <c r="F1151" s="15"/>
    </row>
    <row r="1152" spans="6:6" x14ac:dyDescent="0.35">
      <c r="F1152" s="15"/>
    </row>
    <row r="1153" spans="6:6" x14ac:dyDescent="0.35">
      <c r="F1153" s="15"/>
    </row>
    <row r="1154" spans="6:6" x14ac:dyDescent="0.35">
      <c r="F1154" s="15"/>
    </row>
    <row r="1155" spans="6:6" x14ac:dyDescent="0.35">
      <c r="F1155" s="15"/>
    </row>
    <row r="1156" spans="6:6" x14ac:dyDescent="0.35">
      <c r="F1156" s="15"/>
    </row>
    <row r="1157" spans="6:6" x14ac:dyDescent="0.35">
      <c r="F1157" s="15"/>
    </row>
    <row r="1158" spans="6:6" x14ac:dyDescent="0.35">
      <c r="F1158" s="15"/>
    </row>
    <row r="1159" spans="6:6" x14ac:dyDescent="0.35">
      <c r="F1159" s="15"/>
    </row>
    <row r="1160" spans="6:6" x14ac:dyDescent="0.35">
      <c r="F1160" s="15"/>
    </row>
    <row r="1161" spans="6:6" x14ac:dyDescent="0.35">
      <c r="F1161" s="15"/>
    </row>
    <row r="1162" spans="6:6" x14ac:dyDescent="0.35">
      <c r="F1162" s="15"/>
    </row>
    <row r="1163" spans="6:6" x14ac:dyDescent="0.35">
      <c r="F1163" s="15"/>
    </row>
    <row r="1164" spans="6:6" x14ac:dyDescent="0.35">
      <c r="F1164" s="15"/>
    </row>
    <row r="1165" spans="6:6" x14ac:dyDescent="0.35">
      <c r="F1165" s="15"/>
    </row>
    <row r="1166" spans="6:6" x14ac:dyDescent="0.35">
      <c r="F1166" s="15"/>
    </row>
    <row r="1167" spans="6:6" x14ac:dyDescent="0.35">
      <c r="F1167" s="15"/>
    </row>
    <row r="1168" spans="6:6" x14ac:dyDescent="0.35">
      <c r="F1168" s="15"/>
    </row>
    <row r="1169" spans="6:6" x14ac:dyDescent="0.35">
      <c r="F1169" s="15"/>
    </row>
    <row r="1170" spans="6:6" x14ac:dyDescent="0.35">
      <c r="F1170" s="15"/>
    </row>
    <row r="1171" spans="6:6" x14ac:dyDescent="0.35">
      <c r="F1171" s="15"/>
    </row>
    <row r="1172" spans="6:6" x14ac:dyDescent="0.35">
      <c r="F1172" s="15"/>
    </row>
    <row r="1173" spans="6:6" x14ac:dyDescent="0.35">
      <c r="F1173" s="15"/>
    </row>
    <row r="1174" spans="6:6" x14ac:dyDescent="0.35">
      <c r="F1174" s="15"/>
    </row>
    <row r="1175" spans="6:6" x14ac:dyDescent="0.35">
      <c r="F1175" s="15"/>
    </row>
    <row r="1176" spans="6:6" x14ac:dyDescent="0.35">
      <c r="F1176" s="15"/>
    </row>
    <row r="1177" spans="6:6" x14ac:dyDescent="0.35">
      <c r="F1177" s="15"/>
    </row>
    <row r="1178" spans="6:6" x14ac:dyDescent="0.35">
      <c r="F1178" s="15"/>
    </row>
    <row r="1179" spans="6:6" x14ac:dyDescent="0.35">
      <c r="F1179" s="15"/>
    </row>
    <row r="1180" spans="6:6" x14ac:dyDescent="0.35">
      <c r="F1180" s="15"/>
    </row>
    <row r="1181" spans="6:6" x14ac:dyDescent="0.35">
      <c r="F1181" s="15"/>
    </row>
    <row r="1182" spans="6:6" x14ac:dyDescent="0.35">
      <c r="F1182" s="15"/>
    </row>
    <row r="1183" spans="6:6" x14ac:dyDescent="0.35">
      <c r="F1183" s="15"/>
    </row>
    <row r="1184" spans="6:6" x14ac:dyDescent="0.35">
      <c r="F1184" s="15"/>
    </row>
    <row r="1185" spans="6:6" x14ac:dyDescent="0.35">
      <c r="F1185" s="15"/>
    </row>
    <row r="1186" spans="6:6" x14ac:dyDescent="0.35">
      <c r="F1186" s="15"/>
    </row>
    <row r="1187" spans="6:6" x14ac:dyDescent="0.35">
      <c r="F1187" s="15"/>
    </row>
    <row r="1188" spans="6:6" x14ac:dyDescent="0.35">
      <c r="F1188" s="15"/>
    </row>
    <row r="1189" spans="6:6" x14ac:dyDescent="0.35">
      <c r="F1189" s="15"/>
    </row>
    <row r="1190" spans="6:6" x14ac:dyDescent="0.35">
      <c r="F1190" s="15"/>
    </row>
    <row r="1191" spans="6:6" x14ac:dyDescent="0.35">
      <c r="F1191" s="15"/>
    </row>
    <row r="1192" spans="6:6" x14ac:dyDescent="0.35">
      <c r="F1192" s="15"/>
    </row>
    <row r="1193" spans="6:6" x14ac:dyDescent="0.35">
      <c r="F1193" s="15"/>
    </row>
    <row r="1194" spans="6:6" x14ac:dyDescent="0.35">
      <c r="F1194" s="15"/>
    </row>
    <row r="1195" spans="6:6" x14ac:dyDescent="0.35">
      <c r="F1195" s="15"/>
    </row>
    <row r="1196" spans="6:6" x14ac:dyDescent="0.35">
      <c r="F1196" s="15"/>
    </row>
    <row r="1197" spans="6:6" x14ac:dyDescent="0.35">
      <c r="F1197" s="15"/>
    </row>
    <row r="1198" spans="6:6" x14ac:dyDescent="0.35">
      <c r="F1198" s="15"/>
    </row>
    <row r="1199" spans="6:6" x14ac:dyDescent="0.35">
      <c r="F1199" s="15"/>
    </row>
    <row r="1200" spans="6:6" x14ac:dyDescent="0.35">
      <c r="F1200" s="15"/>
    </row>
    <row r="1201" spans="6:6" x14ac:dyDescent="0.35">
      <c r="F1201" s="15"/>
    </row>
    <row r="1202" spans="6:6" x14ac:dyDescent="0.35">
      <c r="F1202" s="15"/>
    </row>
    <row r="1203" spans="6:6" x14ac:dyDescent="0.35">
      <c r="F1203" s="15"/>
    </row>
    <row r="1204" spans="6:6" x14ac:dyDescent="0.35">
      <c r="F1204" s="15"/>
    </row>
    <row r="1205" spans="6:6" x14ac:dyDescent="0.35">
      <c r="F1205" s="15"/>
    </row>
    <row r="1206" spans="6:6" x14ac:dyDescent="0.35">
      <c r="F1206" s="15"/>
    </row>
    <row r="1207" spans="6:6" x14ac:dyDescent="0.35">
      <c r="F1207" s="15"/>
    </row>
    <row r="1208" spans="6:6" x14ac:dyDescent="0.35">
      <c r="F1208" s="15"/>
    </row>
    <row r="1209" spans="6:6" x14ac:dyDescent="0.35">
      <c r="F1209" s="15"/>
    </row>
    <row r="1210" spans="6:6" x14ac:dyDescent="0.35">
      <c r="F1210" s="15"/>
    </row>
    <row r="1211" spans="6:6" x14ac:dyDescent="0.35">
      <c r="F1211" s="15"/>
    </row>
    <row r="1212" spans="6:6" x14ac:dyDescent="0.35">
      <c r="F1212" s="15"/>
    </row>
    <row r="1213" spans="6:6" x14ac:dyDescent="0.35">
      <c r="F1213" s="15"/>
    </row>
    <row r="1214" spans="6:6" x14ac:dyDescent="0.35">
      <c r="F1214" s="15"/>
    </row>
    <row r="1215" spans="6:6" x14ac:dyDescent="0.35">
      <c r="F1215" s="15"/>
    </row>
    <row r="1216" spans="6:6" x14ac:dyDescent="0.35">
      <c r="F1216" s="15"/>
    </row>
    <row r="1217" spans="6:6" x14ac:dyDescent="0.35">
      <c r="F1217" s="15"/>
    </row>
    <row r="1218" spans="6:6" x14ac:dyDescent="0.35">
      <c r="F1218" s="15"/>
    </row>
    <row r="1219" spans="6:6" x14ac:dyDescent="0.35">
      <c r="F1219" s="15"/>
    </row>
    <row r="1220" spans="6:6" x14ac:dyDescent="0.35">
      <c r="F1220" s="15"/>
    </row>
    <row r="1221" spans="6:6" x14ac:dyDescent="0.35">
      <c r="F1221" s="15"/>
    </row>
    <row r="1222" spans="6:6" x14ac:dyDescent="0.35">
      <c r="F1222" s="15"/>
    </row>
    <row r="1223" spans="6:6" x14ac:dyDescent="0.35">
      <c r="F1223" s="15"/>
    </row>
    <row r="1224" spans="6:6" x14ac:dyDescent="0.35">
      <c r="F1224" s="15"/>
    </row>
    <row r="1225" spans="6:6" x14ac:dyDescent="0.35">
      <c r="F1225" s="15"/>
    </row>
    <row r="1226" spans="6:6" x14ac:dyDescent="0.35">
      <c r="F1226" s="15"/>
    </row>
    <row r="1227" spans="6:6" x14ac:dyDescent="0.35">
      <c r="F1227" s="15"/>
    </row>
    <row r="1228" spans="6:6" x14ac:dyDescent="0.35">
      <c r="F1228" s="15"/>
    </row>
    <row r="1229" spans="6:6" x14ac:dyDescent="0.35">
      <c r="F1229" s="15"/>
    </row>
    <row r="1230" spans="6:6" x14ac:dyDescent="0.35">
      <c r="F1230" s="15"/>
    </row>
    <row r="1231" spans="6:6" x14ac:dyDescent="0.35">
      <c r="F1231" s="15"/>
    </row>
    <row r="1232" spans="6:6" x14ac:dyDescent="0.35">
      <c r="F1232" s="15"/>
    </row>
    <row r="1233" spans="6:6" x14ac:dyDescent="0.35">
      <c r="F1233" s="15"/>
    </row>
    <row r="1234" spans="6:6" x14ac:dyDescent="0.35">
      <c r="F1234" s="15"/>
    </row>
    <row r="1235" spans="6:6" x14ac:dyDescent="0.35">
      <c r="F1235" s="15"/>
    </row>
    <row r="1236" spans="6:6" x14ac:dyDescent="0.35">
      <c r="F1236" s="15"/>
    </row>
    <row r="1237" spans="6:6" x14ac:dyDescent="0.35">
      <c r="F1237" s="15"/>
    </row>
    <row r="1238" spans="6:6" x14ac:dyDescent="0.35">
      <c r="F1238" s="15"/>
    </row>
    <row r="1239" spans="6:6" x14ac:dyDescent="0.35">
      <c r="F1239" s="15"/>
    </row>
    <row r="1240" spans="6:6" x14ac:dyDescent="0.35">
      <c r="F1240" s="15"/>
    </row>
    <row r="1241" spans="6:6" x14ac:dyDescent="0.35">
      <c r="F1241" s="15"/>
    </row>
    <row r="1242" spans="6:6" x14ac:dyDescent="0.35">
      <c r="F1242" s="15"/>
    </row>
    <row r="1243" spans="6:6" x14ac:dyDescent="0.35">
      <c r="F1243" s="15"/>
    </row>
    <row r="1244" spans="6:6" x14ac:dyDescent="0.35">
      <c r="F1244" s="15"/>
    </row>
    <row r="1245" spans="6:6" x14ac:dyDescent="0.35">
      <c r="F1245" s="15"/>
    </row>
    <row r="1246" spans="6:6" x14ac:dyDescent="0.35">
      <c r="F1246" s="15"/>
    </row>
    <row r="1247" spans="6:6" x14ac:dyDescent="0.35">
      <c r="F1247" s="15"/>
    </row>
    <row r="1248" spans="6:6" x14ac:dyDescent="0.35">
      <c r="F1248" s="15"/>
    </row>
    <row r="1249" spans="6:6" x14ac:dyDescent="0.35">
      <c r="F1249" s="15"/>
    </row>
    <row r="1250" spans="6:6" x14ac:dyDescent="0.35">
      <c r="F1250" s="15"/>
    </row>
    <row r="1251" spans="6:6" x14ac:dyDescent="0.35">
      <c r="F1251" s="15"/>
    </row>
    <row r="1252" spans="6:6" x14ac:dyDescent="0.35">
      <c r="F1252" s="15"/>
    </row>
    <row r="1253" spans="6:6" x14ac:dyDescent="0.35">
      <c r="F1253" s="15"/>
    </row>
    <row r="1254" spans="6:6" x14ac:dyDescent="0.35">
      <c r="F1254" s="15"/>
    </row>
    <row r="1255" spans="6:6" x14ac:dyDescent="0.35">
      <c r="F1255" s="15"/>
    </row>
    <row r="1256" spans="6:6" x14ac:dyDescent="0.35">
      <c r="F1256" s="15"/>
    </row>
    <row r="1257" spans="6:6" x14ac:dyDescent="0.35">
      <c r="F1257" s="15"/>
    </row>
    <row r="1258" spans="6:6" x14ac:dyDescent="0.35">
      <c r="F1258" s="15"/>
    </row>
    <row r="1259" spans="6:6" x14ac:dyDescent="0.35">
      <c r="F1259" s="15"/>
    </row>
    <row r="1260" spans="6:6" x14ac:dyDescent="0.35">
      <c r="F1260" s="15"/>
    </row>
    <row r="1261" spans="6:6" x14ac:dyDescent="0.35">
      <c r="F1261" s="15"/>
    </row>
    <row r="1262" spans="6:6" x14ac:dyDescent="0.35">
      <c r="F1262" s="15"/>
    </row>
    <row r="1263" spans="6:6" x14ac:dyDescent="0.35">
      <c r="F1263" s="15"/>
    </row>
    <row r="1264" spans="6:6" x14ac:dyDescent="0.35">
      <c r="F1264" s="15"/>
    </row>
    <row r="1265" spans="6:6" x14ac:dyDescent="0.35">
      <c r="F1265" s="15"/>
    </row>
    <row r="1266" spans="6:6" x14ac:dyDescent="0.35">
      <c r="F1266" s="15"/>
    </row>
    <row r="1267" spans="6:6" x14ac:dyDescent="0.35">
      <c r="F1267" s="15"/>
    </row>
    <row r="1268" spans="6:6" x14ac:dyDescent="0.35">
      <c r="F1268" s="15"/>
    </row>
    <row r="1269" spans="6:6" x14ac:dyDescent="0.35">
      <c r="F1269" s="15"/>
    </row>
    <row r="1270" spans="6:6" x14ac:dyDescent="0.35">
      <c r="F1270" s="15"/>
    </row>
    <row r="1271" spans="6:6" x14ac:dyDescent="0.35">
      <c r="F1271" s="15"/>
    </row>
    <row r="1272" spans="6:6" x14ac:dyDescent="0.35">
      <c r="F1272" s="15"/>
    </row>
    <row r="1273" spans="6:6" x14ac:dyDescent="0.35">
      <c r="F1273" s="15"/>
    </row>
    <row r="1274" spans="6:6" x14ac:dyDescent="0.35">
      <c r="F1274" s="15"/>
    </row>
    <row r="1275" spans="6:6" x14ac:dyDescent="0.35">
      <c r="F1275" s="15"/>
    </row>
    <row r="1276" spans="6:6" x14ac:dyDescent="0.35">
      <c r="F1276" s="15"/>
    </row>
    <row r="1277" spans="6:6" x14ac:dyDescent="0.35">
      <c r="F1277" s="15"/>
    </row>
    <row r="1278" spans="6:6" x14ac:dyDescent="0.35">
      <c r="F1278" s="15"/>
    </row>
    <row r="1279" spans="6:6" x14ac:dyDescent="0.35">
      <c r="F1279" s="15"/>
    </row>
    <row r="1280" spans="6:6" x14ac:dyDescent="0.35">
      <c r="F1280" s="15"/>
    </row>
    <row r="1281" spans="6:6" x14ac:dyDescent="0.35">
      <c r="F1281" s="15"/>
    </row>
    <row r="1282" spans="6:6" x14ac:dyDescent="0.35">
      <c r="F1282" s="15"/>
    </row>
    <row r="1283" spans="6:6" x14ac:dyDescent="0.35">
      <c r="F1283" s="15"/>
    </row>
    <row r="1284" spans="6:6" x14ac:dyDescent="0.35">
      <c r="F1284" s="15"/>
    </row>
    <row r="1285" spans="6:6" x14ac:dyDescent="0.35">
      <c r="F1285" s="15"/>
    </row>
    <row r="1286" spans="6:6" x14ac:dyDescent="0.35">
      <c r="F1286" s="15"/>
    </row>
    <row r="1287" spans="6:6" x14ac:dyDescent="0.35">
      <c r="F1287" s="15"/>
    </row>
    <row r="1288" spans="6:6" x14ac:dyDescent="0.35">
      <c r="F1288" s="15"/>
    </row>
    <row r="1289" spans="6:6" x14ac:dyDescent="0.35">
      <c r="F1289" s="15"/>
    </row>
    <row r="1290" spans="6:6" x14ac:dyDescent="0.35">
      <c r="F1290" s="15"/>
    </row>
    <row r="1291" spans="6:6" x14ac:dyDescent="0.35">
      <c r="F1291" s="15"/>
    </row>
    <row r="1292" spans="6:6" x14ac:dyDescent="0.35">
      <c r="F1292" s="15"/>
    </row>
    <row r="1293" spans="6:6" x14ac:dyDescent="0.35">
      <c r="F1293" s="15"/>
    </row>
    <row r="1294" spans="6:6" x14ac:dyDescent="0.35">
      <c r="F1294" s="15"/>
    </row>
    <row r="1295" spans="6:6" x14ac:dyDescent="0.35">
      <c r="F1295" s="15"/>
    </row>
    <row r="1296" spans="6:6" x14ac:dyDescent="0.35">
      <c r="F1296" s="15"/>
    </row>
    <row r="1297" spans="6:6" x14ac:dyDescent="0.35">
      <c r="F1297" s="15"/>
    </row>
    <row r="1298" spans="6:6" x14ac:dyDescent="0.35">
      <c r="F1298" s="15"/>
    </row>
    <row r="1299" spans="6:6" x14ac:dyDescent="0.35">
      <c r="F1299" s="15"/>
    </row>
    <row r="1300" spans="6:6" x14ac:dyDescent="0.35">
      <c r="F1300" s="15"/>
    </row>
    <row r="1301" spans="6:6" x14ac:dyDescent="0.35">
      <c r="F1301" s="15"/>
    </row>
    <row r="1302" spans="6:6" x14ac:dyDescent="0.35">
      <c r="F1302" s="15"/>
    </row>
    <row r="1303" spans="6:6" x14ac:dyDescent="0.35">
      <c r="F1303" s="15"/>
    </row>
    <row r="1304" spans="6:6" x14ac:dyDescent="0.35">
      <c r="F1304" s="15"/>
    </row>
    <row r="1305" spans="6:6" x14ac:dyDescent="0.35">
      <c r="F1305" s="15"/>
    </row>
    <row r="1306" spans="6:6" x14ac:dyDescent="0.35">
      <c r="F1306" s="15"/>
    </row>
    <row r="1307" spans="6:6" x14ac:dyDescent="0.35">
      <c r="F1307" s="15"/>
    </row>
    <row r="1308" spans="6:6" x14ac:dyDescent="0.35">
      <c r="F1308" s="15"/>
    </row>
    <row r="1309" spans="6:6" x14ac:dyDescent="0.35">
      <c r="F1309" s="15"/>
    </row>
    <row r="1310" spans="6:6" x14ac:dyDescent="0.35">
      <c r="F1310" s="15"/>
    </row>
    <row r="1311" spans="6:6" x14ac:dyDescent="0.35">
      <c r="F1311" s="15"/>
    </row>
    <row r="1312" spans="6:6" x14ac:dyDescent="0.35">
      <c r="F1312" s="15"/>
    </row>
    <row r="1313" spans="6:6" x14ac:dyDescent="0.35">
      <c r="F1313" s="15"/>
    </row>
    <row r="1314" spans="6:6" x14ac:dyDescent="0.35">
      <c r="F1314" s="15"/>
    </row>
    <row r="1315" spans="6:6" x14ac:dyDescent="0.35">
      <c r="F1315" s="15"/>
    </row>
    <row r="1316" spans="6:6" x14ac:dyDescent="0.35">
      <c r="F1316" s="15"/>
    </row>
    <row r="1317" spans="6:6" x14ac:dyDescent="0.35">
      <c r="F1317" s="15"/>
    </row>
    <row r="1318" spans="6:6" x14ac:dyDescent="0.35">
      <c r="F1318" s="15"/>
    </row>
    <row r="1319" spans="6:6" x14ac:dyDescent="0.35">
      <c r="F1319" s="15"/>
    </row>
    <row r="1320" spans="6:6" x14ac:dyDescent="0.35">
      <c r="F1320" s="15"/>
    </row>
    <row r="1321" spans="6:6" x14ac:dyDescent="0.35">
      <c r="F1321" s="15"/>
    </row>
    <row r="1322" spans="6:6" x14ac:dyDescent="0.35">
      <c r="F1322" s="15"/>
    </row>
    <row r="1323" spans="6:6" x14ac:dyDescent="0.35">
      <c r="F1323" s="15"/>
    </row>
    <row r="1324" spans="6:6" x14ac:dyDescent="0.35">
      <c r="F1324" s="15"/>
    </row>
    <row r="1325" spans="6:6" x14ac:dyDescent="0.35">
      <c r="F1325" s="15"/>
    </row>
    <row r="1326" spans="6:6" x14ac:dyDescent="0.35">
      <c r="F1326" s="15"/>
    </row>
    <row r="1327" spans="6:6" x14ac:dyDescent="0.35">
      <c r="F1327" s="15"/>
    </row>
    <row r="1328" spans="6:6" x14ac:dyDescent="0.35">
      <c r="F1328" s="15"/>
    </row>
    <row r="1329" spans="6:6" x14ac:dyDescent="0.35">
      <c r="F1329" s="15"/>
    </row>
    <row r="1330" spans="6:6" x14ac:dyDescent="0.35">
      <c r="F1330" s="15"/>
    </row>
    <row r="1331" spans="6:6" x14ac:dyDescent="0.35">
      <c r="F1331" s="15"/>
    </row>
    <row r="1332" spans="6:6" x14ac:dyDescent="0.35">
      <c r="F1332" s="15"/>
    </row>
    <row r="1333" spans="6:6" x14ac:dyDescent="0.35">
      <c r="F1333" s="15"/>
    </row>
    <row r="1334" spans="6:6" x14ac:dyDescent="0.35">
      <c r="F1334" s="15"/>
    </row>
    <row r="1335" spans="6:6" x14ac:dyDescent="0.35">
      <c r="F1335" s="15"/>
    </row>
    <row r="1336" spans="6:6" x14ac:dyDescent="0.35">
      <c r="F1336" s="15"/>
    </row>
    <row r="1337" spans="6:6" x14ac:dyDescent="0.35">
      <c r="F1337" s="15"/>
    </row>
    <row r="1338" spans="6:6" x14ac:dyDescent="0.35">
      <c r="F1338" s="15"/>
    </row>
    <row r="1339" spans="6:6" x14ac:dyDescent="0.35">
      <c r="F1339" s="15"/>
    </row>
    <row r="1340" spans="6:6" x14ac:dyDescent="0.35">
      <c r="F1340" s="15"/>
    </row>
    <row r="1341" spans="6:6" x14ac:dyDescent="0.35">
      <c r="F1341" s="15"/>
    </row>
    <row r="1342" spans="6:6" x14ac:dyDescent="0.35">
      <c r="F1342" s="15"/>
    </row>
    <row r="1343" spans="6:6" x14ac:dyDescent="0.35">
      <c r="F1343" s="15"/>
    </row>
    <row r="1344" spans="6:6" x14ac:dyDescent="0.35">
      <c r="F1344" s="15"/>
    </row>
    <row r="1345" spans="6:6" x14ac:dyDescent="0.35">
      <c r="F1345" s="15"/>
    </row>
    <row r="1346" spans="6:6" x14ac:dyDescent="0.35">
      <c r="F1346" s="15"/>
    </row>
    <row r="1347" spans="6:6" x14ac:dyDescent="0.35">
      <c r="F1347" s="15"/>
    </row>
    <row r="1348" spans="6:6" x14ac:dyDescent="0.35">
      <c r="F1348" s="15"/>
    </row>
    <row r="1349" spans="6:6" x14ac:dyDescent="0.35">
      <c r="F1349" s="15"/>
    </row>
    <row r="1350" spans="6:6" x14ac:dyDescent="0.35">
      <c r="F1350" s="15"/>
    </row>
    <row r="1351" spans="6:6" x14ac:dyDescent="0.35">
      <c r="F1351" s="15"/>
    </row>
    <row r="1352" spans="6:6" x14ac:dyDescent="0.35">
      <c r="F1352" s="15"/>
    </row>
    <row r="1353" spans="6:6" x14ac:dyDescent="0.35">
      <c r="F1353" s="15"/>
    </row>
    <row r="1354" spans="6:6" x14ac:dyDescent="0.35">
      <c r="F1354" s="15"/>
    </row>
    <row r="1355" spans="6:6" x14ac:dyDescent="0.35">
      <c r="F1355" s="15"/>
    </row>
    <row r="1356" spans="6:6" x14ac:dyDescent="0.35">
      <c r="F1356" s="15"/>
    </row>
    <row r="1357" spans="6:6" x14ac:dyDescent="0.35">
      <c r="F1357" s="15"/>
    </row>
    <row r="1358" spans="6:6" x14ac:dyDescent="0.35">
      <c r="F1358" s="15"/>
    </row>
    <row r="1359" spans="6:6" x14ac:dyDescent="0.35">
      <c r="F1359" s="15"/>
    </row>
    <row r="1360" spans="6:6" x14ac:dyDescent="0.35">
      <c r="F1360" s="15"/>
    </row>
    <row r="1361" spans="6:6" x14ac:dyDescent="0.35">
      <c r="F1361" s="15"/>
    </row>
    <row r="1362" spans="6:6" x14ac:dyDescent="0.35">
      <c r="F1362" s="15"/>
    </row>
    <row r="1363" spans="6:6" x14ac:dyDescent="0.35">
      <c r="F1363" s="15"/>
    </row>
    <row r="1364" spans="6:6" x14ac:dyDescent="0.35">
      <c r="F1364" s="15"/>
    </row>
    <row r="1365" spans="6:6" x14ac:dyDescent="0.35">
      <c r="F1365" s="15"/>
    </row>
    <row r="1366" spans="6:6" x14ac:dyDescent="0.35">
      <c r="F1366" s="15"/>
    </row>
    <row r="1367" spans="6:6" x14ac:dyDescent="0.35">
      <c r="F1367" s="15"/>
    </row>
    <row r="1368" spans="6:6" x14ac:dyDescent="0.35">
      <c r="F1368" s="15"/>
    </row>
    <row r="1369" spans="6:6" x14ac:dyDescent="0.35">
      <c r="F1369" s="15"/>
    </row>
    <row r="1370" spans="6:6" x14ac:dyDescent="0.35">
      <c r="F1370" s="15"/>
    </row>
    <row r="1371" spans="6:6" x14ac:dyDescent="0.35">
      <c r="F1371" s="15"/>
    </row>
    <row r="1372" spans="6:6" x14ac:dyDescent="0.35">
      <c r="F1372" s="15"/>
    </row>
    <row r="1373" spans="6:6" x14ac:dyDescent="0.35">
      <c r="F1373" s="15"/>
    </row>
    <row r="1374" spans="6:6" x14ac:dyDescent="0.35">
      <c r="F1374" s="15"/>
    </row>
    <row r="1375" spans="6:6" x14ac:dyDescent="0.35">
      <c r="F1375" s="15"/>
    </row>
    <row r="1376" spans="6:6" x14ac:dyDescent="0.35">
      <c r="F1376" s="15"/>
    </row>
    <row r="1377" spans="6:6" x14ac:dyDescent="0.35">
      <c r="F1377" s="15"/>
    </row>
    <row r="1378" spans="6:6" x14ac:dyDescent="0.35">
      <c r="F1378" s="15"/>
    </row>
    <row r="1379" spans="6:6" x14ac:dyDescent="0.35">
      <c r="F1379" s="15"/>
    </row>
    <row r="1380" spans="6:6" x14ac:dyDescent="0.35">
      <c r="F1380" s="15"/>
    </row>
    <row r="1381" spans="6:6" x14ac:dyDescent="0.35">
      <c r="F1381" s="15"/>
    </row>
    <row r="1382" spans="6:6" x14ac:dyDescent="0.35">
      <c r="F1382" s="15"/>
    </row>
    <row r="1383" spans="6:6" x14ac:dyDescent="0.35">
      <c r="F1383" s="15"/>
    </row>
    <row r="1384" spans="6:6" x14ac:dyDescent="0.35">
      <c r="F1384" s="15"/>
    </row>
    <row r="1385" spans="6:6" x14ac:dyDescent="0.35">
      <c r="F1385" s="15"/>
    </row>
    <row r="1386" spans="6:6" x14ac:dyDescent="0.35">
      <c r="F1386" s="15"/>
    </row>
    <row r="1387" spans="6:6" x14ac:dyDescent="0.35">
      <c r="F1387" s="15"/>
    </row>
    <row r="1388" spans="6:6" x14ac:dyDescent="0.35">
      <c r="F1388" s="15"/>
    </row>
    <row r="1389" spans="6:6" x14ac:dyDescent="0.35">
      <c r="F1389" s="15"/>
    </row>
    <row r="1390" spans="6:6" x14ac:dyDescent="0.35">
      <c r="F1390" s="15"/>
    </row>
    <row r="1391" spans="6:6" x14ac:dyDescent="0.35">
      <c r="F1391" s="15"/>
    </row>
    <row r="1392" spans="6:6" x14ac:dyDescent="0.35">
      <c r="F1392" s="15"/>
    </row>
    <row r="1393" spans="6:6" x14ac:dyDescent="0.35">
      <c r="F1393" s="15"/>
    </row>
    <row r="1395" spans="6:6" x14ac:dyDescent="0.35">
      <c r="F1395" s="15"/>
    </row>
    <row r="1396" spans="6:6" x14ac:dyDescent="0.35">
      <c r="F1396" s="15"/>
    </row>
    <row r="1397" spans="6:6" x14ac:dyDescent="0.35">
      <c r="F1397" s="15"/>
    </row>
    <row r="1398" spans="6:6" x14ac:dyDescent="0.35">
      <c r="F1398" s="15"/>
    </row>
    <row r="1399" spans="6:6" x14ac:dyDescent="0.35">
      <c r="F1399" s="15"/>
    </row>
    <row r="1400" spans="6:6" x14ac:dyDescent="0.35">
      <c r="F1400" s="15"/>
    </row>
    <row r="1401" spans="6:6" x14ac:dyDescent="0.35">
      <c r="F1401" s="15"/>
    </row>
    <row r="1402" spans="6:6" x14ac:dyDescent="0.35">
      <c r="F1402" s="15"/>
    </row>
    <row r="1403" spans="6:6" x14ac:dyDescent="0.35">
      <c r="F1403" s="15"/>
    </row>
    <row r="1404" spans="6:6" x14ac:dyDescent="0.35">
      <c r="F1404" s="15"/>
    </row>
    <row r="1406" spans="6:6" x14ac:dyDescent="0.35">
      <c r="F1406" s="15"/>
    </row>
    <row r="1407" spans="6:6" x14ac:dyDescent="0.35">
      <c r="F1407" s="15"/>
    </row>
    <row r="1408" spans="6:6" x14ac:dyDescent="0.35">
      <c r="F1408" s="15"/>
    </row>
    <row r="1409" spans="6:6" x14ac:dyDescent="0.35">
      <c r="F1409" s="15"/>
    </row>
    <row r="1410" spans="6:6" x14ac:dyDescent="0.35">
      <c r="F1410" s="15"/>
    </row>
    <row r="1411" spans="6:6" x14ac:dyDescent="0.35">
      <c r="F1411" s="15"/>
    </row>
    <row r="1412" spans="6:6" x14ac:dyDescent="0.35">
      <c r="F1412" s="15"/>
    </row>
    <row r="1413" spans="6:6" x14ac:dyDescent="0.35">
      <c r="F1413" s="15"/>
    </row>
    <row r="1414" spans="6:6" x14ac:dyDescent="0.35">
      <c r="F1414" s="15"/>
    </row>
    <row r="1415" spans="6:6" x14ac:dyDescent="0.35">
      <c r="F1415" s="15"/>
    </row>
    <row r="1416" spans="6:6" x14ac:dyDescent="0.35">
      <c r="F1416" s="15"/>
    </row>
    <row r="1417" spans="6:6" x14ac:dyDescent="0.35">
      <c r="F1417" s="15"/>
    </row>
    <row r="1418" spans="6:6" x14ac:dyDescent="0.35">
      <c r="F1418" s="15"/>
    </row>
    <row r="1419" spans="6:6" x14ac:dyDescent="0.35">
      <c r="F1419" s="15"/>
    </row>
    <row r="1420" spans="6:6" x14ac:dyDescent="0.35">
      <c r="F1420" s="15"/>
    </row>
    <row r="1421" spans="6:6" x14ac:dyDescent="0.35">
      <c r="F1421" s="15"/>
    </row>
    <row r="1422" spans="6:6" x14ac:dyDescent="0.35">
      <c r="F1422" s="15"/>
    </row>
    <row r="1423" spans="6:6" x14ac:dyDescent="0.35">
      <c r="F1423" s="15"/>
    </row>
    <row r="1424" spans="6:6" x14ac:dyDescent="0.35">
      <c r="F1424" s="15"/>
    </row>
    <row r="1425" spans="6:6" x14ac:dyDescent="0.35">
      <c r="F1425" s="15"/>
    </row>
    <row r="1426" spans="6:6" x14ac:dyDescent="0.35">
      <c r="F1426" s="15"/>
    </row>
    <row r="1427" spans="6:6" x14ac:dyDescent="0.35">
      <c r="F1427" s="15"/>
    </row>
    <row r="1428" spans="6:6" x14ac:dyDescent="0.35">
      <c r="F1428" s="15"/>
    </row>
    <row r="1429" spans="6:6" x14ac:dyDescent="0.35">
      <c r="F1429" s="15"/>
    </row>
    <row r="1430" spans="6:6" x14ac:dyDescent="0.35">
      <c r="F1430" s="15"/>
    </row>
    <row r="1431" spans="6:6" x14ac:dyDescent="0.35">
      <c r="F1431" s="15"/>
    </row>
    <row r="1432" spans="6:6" x14ac:dyDescent="0.35">
      <c r="F1432" s="15"/>
    </row>
    <row r="1433" spans="6:6" x14ac:dyDescent="0.35">
      <c r="F1433" s="15"/>
    </row>
    <row r="1434" spans="6:6" x14ac:dyDescent="0.35">
      <c r="F1434" s="15"/>
    </row>
    <row r="1435" spans="6:6" x14ac:dyDescent="0.35">
      <c r="F1435" s="15"/>
    </row>
    <row r="1436" spans="6:6" x14ac:dyDescent="0.35">
      <c r="F1436" s="15"/>
    </row>
    <row r="1437" spans="6:6" x14ac:dyDescent="0.35">
      <c r="F1437" s="15"/>
    </row>
    <row r="1438" spans="6:6" x14ac:dyDescent="0.35">
      <c r="F1438" s="15"/>
    </row>
    <row r="1439" spans="6:6" x14ac:dyDescent="0.35">
      <c r="F1439" s="15"/>
    </row>
    <row r="1440" spans="6:6" x14ac:dyDescent="0.35">
      <c r="F1440" s="15"/>
    </row>
    <row r="1441" spans="6:6" x14ac:dyDescent="0.35">
      <c r="F1441" s="15"/>
    </row>
    <row r="1442" spans="6:6" x14ac:dyDescent="0.35">
      <c r="F1442" s="15"/>
    </row>
    <row r="1443" spans="6:6" x14ac:dyDescent="0.35">
      <c r="F1443" s="15"/>
    </row>
    <row r="1444" spans="6:6" x14ac:dyDescent="0.35">
      <c r="F1444" s="15"/>
    </row>
    <row r="1445" spans="6:6" x14ac:dyDescent="0.35">
      <c r="F1445" s="15"/>
    </row>
    <row r="1446" spans="6:6" x14ac:dyDescent="0.35">
      <c r="F1446" s="15"/>
    </row>
    <row r="1447" spans="6:6" x14ac:dyDescent="0.35">
      <c r="F1447" s="15"/>
    </row>
    <row r="1448" spans="6:6" x14ac:dyDescent="0.35">
      <c r="F1448" s="15"/>
    </row>
    <row r="1449" spans="6:6" x14ac:dyDescent="0.35">
      <c r="F1449" s="15"/>
    </row>
    <row r="1450" spans="6:6" x14ac:dyDescent="0.35">
      <c r="F1450" s="15"/>
    </row>
    <row r="1451" spans="6:6" x14ac:dyDescent="0.35">
      <c r="F1451" s="15"/>
    </row>
    <row r="1452" spans="6:6" x14ac:dyDescent="0.35">
      <c r="F1452" s="15"/>
    </row>
    <row r="1453" spans="6:6" x14ac:dyDescent="0.35">
      <c r="F1453" s="15"/>
    </row>
    <row r="1454" spans="6:6" x14ac:dyDescent="0.35">
      <c r="F1454" s="15"/>
    </row>
    <row r="1455" spans="6:6" x14ac:dyDescent="0.35">
      <c r="F1455" s="15"/>
    </row>
    <row r="1456" spans="6:6" x14ac:dyDescent="0.35">
      <c r="F1456" s="15"/>
    </row>
    <row r="1457" spans="6:6" x14ac:dyDescent="0.35">
      <c r="F1457" s="15"/>
    </row>
    <row r="1458" spans="6:6" x14ac:dyDescent="0.35">
      <c r="F1458" s="15"/>
    </row>
    <row r="1459" spans="6:6" x14ac:dyDescent="0.35">
      <c r="F1459" s="15"/>
    </row>
    <row r="1460" spans="6:6" x14ac:dyDescent="0.35">
      <c r="F1460" s="15"/>
    </row>
    <row r="1461" spans="6:6" x14ac:dyDescent="0.35">
      <c r="F1461" s="15"/>
    </row>
    <row r="1462" spans="6:6" x14ac:dyDescent="0.35">
      <c r="F1462" s="15"/>
    </row>
    <row r="1463" spans="6:6" x14ac:dyDescent="0.35">
      <c r="F1463" s="15"/>
    </row>
    <row r="1464" spans="6:6" x14ac:dyDescent="0.35">
      <c r="F1464" s="15"/>
    </row>
    <row r="1465" spans="6:6" x14ac:dyDescent="0.35">
      <c r="F1465" s="15"/>
    </row>
    <row r="1466" spans="6:6" x14ac:dyDescent="0.35">
      <c r="F1466" s="15"/>
    </row>
    <row r="1467" spans="6:6" x14ac:dyDescent="0.35">
      <c r="F1467" s="15"/>
    </row>
    <row r="1468" spans="6:6" x14ac:dyDescent="0.35">
      <c r="F1468" s="15"/>
    </row>
    <row r="1469" spans="6:6" x14ac:dyDescent="0.35">
      <c r="F1469" s="15"/>
    </row>
    <row r="1470" spans="6:6" x14ac:dyDescent="0.35">
      <c r="F1470" s="15"/>
    </row>
    <row r="1471" spans="6:6" x14ac:dyDescent="0.35">
      <c r="F1471" s="15"/>
    </row>
    <row r="1472" spans="6:6" x14ac:dyDescent="0.35">
      <c r="F1472" s="15"/>
    </row>
    <row r="1473" spans="6:6" x14ac:dyDescent="0.35">
      <c r="F1473" s="15"/>
    </row>
    <row r="1474" spans="6:6" x14ac:dyDescent="0.35">
      <c r="F1474" s="15"/>
    </row>
    <row r="1475" spans="6:6" x14ac:dyDescent="0.35">
      <c r="F1475" s="15"/>
    </row>
    <row r="1476" spans="6:6" x14ac:dyDescent="0.35">
      <c r="F1476" s="15"/>
    </row>
    <row r="1477" spans="6:6" x14ac:dyDescent="0.35">
      <c r="F1477" s="15"/>
    </row>
    <row r="1478" spans="6:6" x14ac:dyDescent="0.35">
      <c r="F1478" s="15"/>
    </row>
    <row r="1479" spans="6:6" x14ac:dyDescent="0.35">
      <c r="F1479" s="15"/>
    </row>
    <row r="1480" spans="6:6" x14ac:dyDescent="0.35">
      <c r="F1480" s="15"/>
    </row>
    <row r="1481" spans="6:6" x14ac:dyDescent="0.35">
      <c r="F1481" s="15"/>
    </row>
    <row r="1482" spans="6:6" x14ac:dyDescent="0.35">
      <c r="F1482" s="15"/>
    </row>
    <row r="1483" spans="6:6" x14ac:dyDescent="0.35">
      <c r="F1483" s="15"/>
    </row>
    <row r="1484" spans="6:6" x14ac:dyDescent="0.35">
      <c r="F1484" s="15"/>
    </row>
    <row r="1485" spans="6:6" x14ac:dyDescent="0.35">
      <c r="F1485" s="15"/>
    </row>
    <row r="1486" spans="6:6" x14ac:dyDescent="0.35">
      <c r="F1486" s="15"/>
    </row>
    <row r="1487" spans="6:6" x14ac:dyDescent="0.35">
      <c r="F1487" s="15"/>
    </row>
    <row r="1488" spans="6:6" x14ac:dyDescent="0.35">
      <c r="F1488" s="15"/>
    </row>
    <row r="1489" spans="6:6" x14ac:dyDescent="0.35">
      <c r="F1489" s="15"/>
    </row>
    <row r="1490" spans="6:6" x14ac:dyDescent="0.35">
      <c r="F1490" s="15"/>
    </row>
    <row r="1491" spans="6:6" x14ac:dyDescent="0.35">
      <c r="F1491" s="15"/>
    </row>
    <row r="1492" spans="6:6" x14ac:dyDescent="0.35">
      <c r="F1492" s="15"/>
    </row>
    <row r="1493" spans="6:6" x14ac:dyDescent="0.35">
      <c r="F1493" s="15"/>
    </row>
    <row r="1494" spans="6:6" x14ac:dyDescent="0.35">
      <c r="F1494" s="15"/>
    </row>
    <row r="1495" spans="6:6" x14ac:dyDescent="0.35">
      <c r="F1495" s="15"/>
    </row>
    <row r="1496" spans="6:6" x14ac:dyDescent="0.35">
      <c r="F1496" s="15"/>
    </row>
    <row r="1497" spans="6:6" x14ac:dyDescent="0.35">
      <c r="F1497" s="15"/>
    </row>
    <row r="1498" spans="6:6" x14ac:dyDescent="0.35">
      <c r="F1498" s="15"/>
    </row>
    <row r="1499" spans="6:6" x14ac:dyDescent="0.35">
      <c r="F1499" s="15"/>
    </row>
    <row r="1500" spans="6:6" x14ac:dyDescent="0.35">
      <c r="F1500" s="15"/>
    </row>
    <row r="1501" spans="6:6" x14ac:dyDescent="0.35">
      <c r="F1501" s="15"/>
    </row>
    <row r="1502" spans="6:6" x14ac:dyDescent="0.35">
      <c r="F1502" s="15"/>
    </row>
    <row r="1503" spans="6:6" x14ac:dyDescent="0.35">
      <c r="F1503" s="15"/>
    </row>
    <row r="1504" spans="6:6" x14ac:dyDescent="0.35">
      <c r="F1504" s="15"/>
    </row>
    <row r="1505" spans="6:6" x14ac:dyDescent="0.35">
      <c r="F1505" s="15"/>
    </row>
    <row r="1506" spans="6:6" x14ac:dyDescent="0.35">
      <c r="F1506" s="15"/>
    </row>
    <row r="1507" spans="6:6" x14ac:dyDescent="0.35">
      <c r="F1507" s="15"/>
    </row>
    <row r="1508" spans="6:6" x14ac:dyDescent="0.35">
      <c r="F1508" s="15"/>
    </row>
    <row r="1509" spans="6:6" x14ac:dyDescent="0.35">
      <c r="F1509" s="15"/>
    </row>
    <row r="1510" spans="6:6" x14ac:dyDescent="0.35">
      <c r="F1510" s="15"/>
    </row>
    <row r="1511" spans="6:6" x14ac:dyDescent="0.35">
      <c r="F1511" s="15"/>
    </row>
    <row r="1512" spans="6:6" x14ac:dyDescent="0.35">
      <c r="F1512" s="15"/>
    </row>
    <row r="1513" spans="6:6" x14ac:dyDescent="0.35">
      <c r="F1513" s="15"/>
    </row>
    <row r="1514" spans="6:6" x14ac:dyDescent="0.35">
      <c r="F1514" s="15"/>
    </row>
    <row r="1515" spans="6:6" x14ac:dyDescent="0.35">
      <c r="F1515" s="15"/>
    </row>
    <row r="1516" spans="6:6" x14ac:dyDescent="0.35">
      <c r="F1516" s="15"/>
    </row>
    <row r="1517" spans="6:6" x14ac:dyDescent="0.35">
      <c r="F1517" s="15"/>
    </row>
    <row r="1518" spans="6:6" x14ac:dyDescent="0.35">
      <c r="F1518" s="15"/>
    </row>
    <row r="1519" spans="6:6" x14ac:dyDescent="0.35">
      <c r="F1519" s="15"/>
    </row>
    <row r="1520" spans="6:6" x14ac:dyDescent="0.35">
      <c r="F1520" s="15"/>
    </row>
    <row r="1521" spans="6:6" x14ac:dyDescent="0.35">
      <c r="F1521" s="15"/>
    </row>
    <row r="1522" spans="6:6" x14ac:dyDescent="0.35">
      <c r="F1522" s="15"/>
    </row>
    <row r="1523" spans="6:6" x14ac:dyDescent="0.35">
      <c r="F1523" s="15"/>
    </row>
    <row r="1524" spans="6:6" x14ac:dyDescent="0.35">
      <c r="F1524" s="15"/>
    </row>
    <row r="1525" spans="6:6" x14ac:dyDescent="0.35">
      <c r="F1525" s="15"/>
    </row>
    <row r="1526" spans="6:6" x14ac:dyDescent="0.35">
      <c r="F1526" s="15"/>
    </row>
    <row r="1527" spans="6:6" x14ac:dyDescent="0.35">
      <c r="F1527" s="15"/>
    </row>
    <row r="1528" spans="6:6" x14ac:dyDescent="0.35">
      <c r="F1528" s="15"/>
    </row>
    <row r="1529" spans="6:6" x14ac:dyDescent="0.35">
      <c r="F1529" s="15"/>
    </row>
    <row r="1530" spans="6:6" x14ac:dyDescent="0.35">
      <c r="F1530" s="15"/>
    </row>
    <row r="1531" spans="6:6" x14ac:dyDescent="0.35">
      <c r="F1531" s="15"/>
    </row>
    <row r="1532" spans="6:6" x14ac:dyDescent="0.35">
      <c r="F1532" s="15"/>
    </row>
    <row r="1533" spans="6:6" x14ac:dyDescent="0.35">
      <c r="F1533" s="15"/>
    </row>
    <row r="1534" spans="6:6" x14ac:dyDescent="0.35">
      <c r="F1534" s="15"/>
    </row>
    <row r="1535" spans="6:6" x14ac:dyDescent="0.35">
      <c r="F1535" s="15"/>
    </row>
    <row r="1536" spans="6:6" x14ac:dyDescent="0.35">
      <c r="F1536" s="15"/>
    </row>
    <row r="1537" spans="6:6" x14ac:dyDescent="0.35">
      <c r="F1537" s="15"/>
    </row>
    <row r="1538" spans="6:6" x14ac:dyDescent="0.35">
      <c r="F1538" s="15"/>
    </row>
    <row r="1539" spans="6:6" x14ac:dyDescent="0.35">
      <c r="F1539" s="15"/>
    </row>
    <row r="1540" spans="6:6" x14ac:dyDescent="0.35">
      <c r="F1540" s="15"/>
    </row>
    <row r="1541" spans="6:6" x14ac:dyDescent="0.35">
      <c r="F1541" s="15"/>
    </row>
    <row r="1542" spans="6:6" x14ac:dyDescent="0.35">
      <c r="F1542" s="15"/>
    </row>
    <row r="1543" spans="6:6" x14ac:dyDescent="0.35">
      <c r="F1543" s="15"/>
    </row>
    <row r="1544" spans="6:6" x14ac:dyDescent="0.35">
      <c r="F1544" s="15"/>
    </row>
    <row r="1545" spans="6:6" x14ac:dyDescent="0.35">
      <c r="F1545" s="15"/>
    </row>
    <row r="1546" spans="6:6" x14ac:dyDescent="0.35">
      <c r="F1546" s="15"/>
    </row>
    <row r="1547" spans="6:6" x14ac:dyDescent="0.35">
      <c r="F1547" s="15"/>
    </row>
    <row r="1548" spans="6:6" x14ac:dyDescent="0.35">
      <c r="F1548" s="15"/>
    </row>
    <row r="1549" spans="6:6" x14ac:dyDescent="0.35">
      <c r="F1549" s="15"/>
    </row>
    <row r="1550" spans="6:6" x14ac:dyDescent="0.35">
      <c r="F1550" s="15"/>
    </row>
    <row r="1551" spans="6:6" x14ac:dyDescent="0.35">
      <c r="F1551" s="15"/>
    </row>
    <row r="1552" spans="6:6" x14ac:dyDescent="0.35">
      <c r="F1552" s="15"/>
    </row>
    <row r="1553" spans="6:6" x14ac:dyDescent="0.35">
      <c r="F1553" s="15"/>
    </row>
    <row r="1554" spans="6:6" x14ac:dyDescent="0.35">
      <c r="F1554" s="15"/>
    </row>
    <row r="1555" spans="6:6" x14ac:dyDescent="0.35">
      <c r="F1555" s="15"/>
    </row>
    <row r="1556" spans="6:6" x14ac:dyDescent="0.35">
      <c r="F1556" s="15"/>
    </row>
    <row r="1557" spans="6:6" x14ac:dyDescent="0.35">
      <c r="F1557" s="15"/>
    </row>
    <row r="1558" spans="6:6" x14ac:dyDescent="0.35">
      <c r="F1558" s="15"/>
    </row>
    <row r="1559" spans="6:6" x14ac:dyDescent="0.35">
      <c r="F1559" s="15"/>
    </row>
    <row r="1560" spans="6:6" x14ac:dyDescent="0.35">
      <c r="F1560" s="15"/>
    </row>
    <row r="1561" spans="6:6" x14ac:dyDescent="0.35">
      <c r="F1561" s="15"/>
    </row>
    <row r="1562" spans="6:6" x14ac:dyDescent="0.35">
      <c r="F1562" s="15"/>
    </row>
    <row r="1563" spans="6:6" x14ac:dyDescent="0.35">
      <c r="F1563" s="15"/>
    </row>
    <row r="1564" spans="6:6" x14ac:dyDescent="0.35">
      <c r="F1564" s="15"/>
    </row>
    <row r="1565" spans="6:6" x14ac:dyDescent="0.35">
      <c r="F1565" s="15"/>
    </row>
    <row r="1566" spans="6:6" x14ac:dyDescent="0.35">
      <c r="F1566" s="15"/>
    </row>
    <row r="1567" spans="6:6" x14ac:dyDescent="0.35">
      <c r="F1567" s="15"/>
    </row>
    <row r="1568" spans="6:6" x14ac:dyDescent="0.35">
      <c r="F1568" s="15"/>
    </row>
    <row r="1569" spans="6:6" x14ac:dyDescent="0.35">
      <c r="F1569" s="15"/>
    </row>
    <row r="1570" spans="6:6" x14ac:dyDescent="0.35">
      <c r="F1570" s="15"/>
    </row>
    <row r="1571" spans="6:6" x14ac:dyDescent="0.35">
      <c r="F1571" s="15"/>
    </row>
    <row r="1572" spans="6:6" x14ac:dyDescent="0.35">
      <c r="F1572" s="15"/>
    </row>
    <row r="1573" spans="6:6" x14ac:dyDescent="0.35">
      <c r="F1573" s="15"/>
    </row>
    <row r="1574" spans="6:6" x14ac:dyDescent="0.35">
      <c r="F1574" s="15"/>
    </row>
    <row r="1575" spans="6:6" x14ac:dyDescent="0.35">
      <c r="F1575" s="15"/>
    </row>
    <row r="1576" spans="6:6" x14ac:dyDescent="0.35">
      <c r="F1576" s="15"/>
    </row>
    <row r="1577" spans="6:6" x14ac:dyDescent="0.35">
      <c r="F1577" s="15"/>
    </row>
    <row r="1578" spans="6:6" x14ac:dyDescent="0.35">
      <c r="F1578" s="15"/>
    </row>
    <row r="1579" spans="6:6" x14ac:dyDescent="0.35">
      <c r="F1579" s="15"/>
    </row>
    <row r="1580" spans="6:6" x14ac:dyDescent="0.35">
      <c r="F1580" s="15"/>
    </row>
    <row r="1581" spans="6:6" x14ac:dyDescent="0.35">
      <c r="F1581" s="15"/>
    </row>
    <row r="1582" spans="6:6" x14ac:dyDescent="0.35">
      <c r="F1582" s="15"/>
    </row>
    <row r="1583" spans="6:6" x14ac:dyDescent="0.35">
      <c r="F1583" s="15"/>
    </row>
    <row r="1584" spans="6:6" x14ac:dyDescent="0.35">
      <c r="F1584" s="15"/>
    </row>
    <row r="1585" spans="6:6" x14ac:dyDescent="0.35">
      <c r="F1585" s="15"/>
    </row>
    <row r="1586" spans="6:6" x14ac:dyDescent="0.35">
      <c r="F1586" s="15"/>
    </row>
    <row r="1587" spans="6:6" x14ac:dyDescent="0.35">
      <c r="F1587" s="15"/>
    </row>
    <row r="1588" spans="6:6" x14ac:dyDescent="0.35">
      <c r="F1588" s="15"/>
    </row>
    <row r="1589" spans="6:6" x14ac:dyDescent="0.35">
      <c r="F1589" s="15"/>
    </row>
    <row r="1590" spans="6:6" x14ac:dyDescent="0.35">
      <c r="F1590" s="15"/>
    </row>
    <row r="1591" spans="6:6" x14ac:dyDescent="0.35">
      <c r="F1591" s="15"/>
    </row>
    <row r="1592" spans="6:6" x14ac:dyDescent="0.35">
      <c r="F1592" s="15"/>
    </row>
    <row r="1593" spans="6:6" x14ac:dyDescent="0.35">
      <c r="F1593" s="15"/>
    </row>
    <row r="1594" spans="6:6" x14ac:dyDescent="0.35">
      <c r="F1594" s="15"/>
    </row>
    <row r="1595" spans="6:6" x14ac:dyDescent="0.35">
      <c r="F1595" s="15"/>
    </row>
    <row r="1596" spans="6:6" x14ac:dyDescent="0.35">
      <c r="F1596" s="15"/>
    </row>
    <row r="1597" spans="6:6" x14ac:dyDescent="0.35">
      <c r="F1597" s="15"/>
    </row>
    <row r="1598" spans="6:6" x14ac:dyDescent="0.35">
      <c r="F1598" s="15"/>
    </row>
    <row r="1599" spans="6:6" x14ac:dyDescent="0.35">
      <c r="F1599" s="15"/>
    </row>
    <row r="1600" spans="6:6" x14ac:dyDescent="0.35">
      <c r="F1600" s="15"/>
    </row>
    <row r="1601" spans="6:6" x14ac:dyDescent="0.35">
      <c r="F1601" s="15"/>
    </row>
    <row r="1602" spans="6:6" x14ac:dyDescent="0.35">
      <c r="F1602" s="15"/>
    </row>
    <row r="1603" spans="6:6" x14ac:dyDescent="0.35">
      <c r="F1603" s="15"/>
    </row>
    <row r="1604" spans="6:6" x14ac:dyDescent="0.35">
      <c r="F1604" s="15"/>
    </row>
    <row r="1605" spans="6:6" x14ac:dyDescent="0.35">
      <c r="F1605" s="15"/>
    </row>
    <row r="1606" spans="6:6" x14ac:dyDescent="0.35">
      <c r="F1606" s="15"/>
    </row>
    <row r="1607" spans="6:6" x14ac:dyDescent="0.35">
      <c r="F1607" s="15"/>
    </row>
    <row r="1608" spans="6:6" x14ac:dyDescent="0.35">
      <c r="F1608" s="15"/>
    </row>
    <row r="1609" spans="6:6" x14ac:dyDescent="0.35">
      <c r="F1609" s="15"/>
    </row>
    <row r="1610" spans="6:6" x14ac:dyDescent="0.35">
      <c r="F1610" s="15"/>
    </row>
    <row r="1611" spans="6:6" x14ac:dyDescent="0.35">
      <c r="F1611" s="15"/>
    </row>
    <row r="1612" spans="6:6" x14ac:dyDescent="0.35">
      <c r="F1612" s="15"/>
    </row>
    <row r="1613" spans="6:6" x14ac:dyDescent="0.35">
      <c r="F1613" s="15"/>
    </row>
    <row r="1614" spans="6:6" x14ac:dyDescent="0.35">
      <c r="F1614" s="15"/>
    </row>
    <row r="1615" spans="6:6" x14ac:dyDescent="0.35">
      <c r="F1615" s="15"/>
    </row>
    <row r="1616" spans="6:6" x14ac:dyDescent="0.35">
      <c r="F1616" s="15"/>
    </row>
    <row r="1617" spans="6:6" x14ac:dyDescent="0.35">
      <c r="F1617" s="15"/>
    </row>
    <row r="1618" spans="6:6" x14ac:dyDescent="0.35">
      <c r="F1618" s="15"/>
    </row>
    <row r="1619" spans="6:6" x14ac:dyDescent="0.35">
      <c r="F1619" s="15"/>
    </row>
    <row r="1620" spans="6:6" x14ac:dyDescent="0.35">
      <c r="F1620" s="15"/>
    </row>
    <row r="1621" spans="6:6" x14ac:dyDescent="0.35">
      <c r="F1621" s="15"/>
    </row>
    <row r="1622" spans="6:6" x14ac:dyDescent="0.35">
      <c r="F1622" s="15"/>
    </row>
    <row r="1623" spans="6:6" x14ac:dyDescent="0.35">
      <c r="F1623" s="15"/>
    </row>
    <row r="1624" spans="6:6" x14ac:dyDescent="0.35">
      <c r="F1624" s="15"/>
    </row>
    <row r="1625" spans="6:6" x14ac:dyDescent="0.35">
      <c r="F1625" s="15"/>
    </row>
    <row r="1626" spans="6:6" x14ac:dyDescent="0.35">
      <c r="F1626" s="15"/>
    </row>
    <row r="1627" spans="6:6" x14ac:dyDescent="0.35">
      <c r="F1627" s="15"/>
    </row>
    <row r="1628" spans="6:6" x14ac:dyDescent="0.35">
      <c r="F1628" s="15"/>
    </row>
    <row r="1629" spans="6:6" x14ac:dyDescent="0.35">
      <c r="F1629" s="15"/>
    </row>
    <row r="1630" spans="6:6" x14ac:dyDescent="0.35">
      <c r="F1630" s="15"/>
    </row>
    <row r="1631" spans="6:6" x14ac:dyDescent="0.35">
      <c r="F1631" s="15"/>
    </row>
    <row r="1632" spans="6:6" x14ac:dyDescent="0.35">
      <c r="F1632" s="15"/>
    </row>
    <row r="1633" spans="6:6" x14ac:dyDescent="0.35">
      <c r="F1633" s="15"/>
    </row>
    <row r="1634" spans="6:6" x14ac:dyDescent="0.35">
      <c r="F1634" s="15"/>
    </row>
    <row r="1635" spans="6:6" x14ac:dyDescent="0.35">
      <c r="F1635" s="15"/>
    </row>
    <row r="1636" spans="6:6" x14ac:dyDescent="0.35">
      <c r="F1636" s="15"/>
    </row>
    <row r="1637" spans="6:6" x14ac:dyDescent="0.35">
      <c r="F1637" s="15"/>
    </row>
    <row r="1638" spans="6:6" x14ac:dyDescent="0.35">
      <c r="F1638" s="15"/>
    </row>
    <row r="1639" spans="6:6" x14ac:dyDescent="0.35">
      <c r="F1639" s="15"/>
    </row>
    <row r="1640" spans="6:6" x14ac:dyDescent="0.35">
      <c r="F1640" s="15"/>
    </row>
    <row r="1641" spans="6:6" x14ac:dyDescent="0.35">
      <c r="F1641" s="15"/>
    </row>
    <row r="1642" spans="6:6" x14ac:dyDescent="0.35">
      <c r="F1642" s="15"/>
    </row>
    <row r="1643" spans="6:6" x14ac:dyDescent="0.35">
      <c r="F1643" s="15"/>
    </row>
    <row r="1644" spans="6:6" x14ac:dyDescent="0.35">
      <c r="F1644" s="15"/>
    </row>
    <row r="1645" spans="6:6" x14ac:dyDescent="0.35">
      <c r="F1645" s="15"/>
    </row>
    <row r="1646" spans="6:6" x14ac:dyDescent="0.35">
      <c r="F1646" s="15"/>
    </row>
    <row r="1647" spans="6:6" x14ac:dyDescent="0.35">
      <c r="F1647" s="15"/>
    </row>
    <row r="1648" spans="6:6" x14ac:dyDescent="0.35">
      <c r="F1648" s="15"/>
    </row>
    <row r="1649" spans="6:6" x14ac:dyDescent="0.35">
      <c r="F1649" s="15"/>
    </row>
    <row r="1650" spans="6:6" x14ac:dyDescent="0.35">
      <c r="F1650" s="15"/>
    </row>
    <row r="1651" spans="6:6" x14ac:dyDescent="0.35">
      <c r="F1651" s="15"/>
    </row>
    <row r="1652" spans="6:6" x14ac:dyDescent="0.35">
      <c r="F1652" s="15"/>
    </row>
    <row r="1653" spans="6:6" x14ac:dyDescent="0.35">
      <c r="F1653" s="15"/>
    </row>
    <row r="1654" spans="6:6" x14ac:dyDescent="0.35">
      <c r="F1654" s="15"/>
    </row>
    <row r="1655" spans="6:6" x14ac:dyDescent="0.35">
      <c r="F1655" s="15"/>
    </row>
    <row r="1656" spans="6:6" x14ac:dyDescent="0.35">
      <c r="F1656" s="15"/>
    </row>
    <row r="1657" spans="6:6" x14ac:dyDescent="0.35">
      <c r="F1657" s="15"/>
    </row>
    <row r="1658" spans="6:6" x14ac:dyDescent="0.35">
      <c r="F1658" s="15"/>
    </row>
    <row r="1659" spans="6:6" x14ac:dyDescent="0.35">
      <c r="F1659" s="15"/>
    </row>
    <row r="1660" spans="6:6" x14ac:dyDescent="0.35">
      <c r="F1660" s="15"/>
    </row>
    <row r="1661" spans="6:6" x14ac:dyDescent="0.35">
      <c r="F1661" s="15"/>
    </row>
    <row r="1662" spans="6:6" x14ac:dyDescent="0.35">
      <c r="F1662" s="15"/>
    </row>
    <row r="1663" spans="6:6" x14ac:dyDescent="0.35">
      <c r="F1663" s="15"/>
    </row>
    <row r="1664" spans="6:6" x14ac:dyDescent="0.35">
      <c r="F1664" s="15"/>
    </row>
    <row r="1665" spans="6:6" x14ac:dyDescent="0.35">
      <c r="F1665" s="15"/>
    </row>
    <row r="1666" spans="6:6" x14ac:dyDescent="0.35">
      <c r="F1666" s="15"/>
    </row>
    <row r="1667" spans="6:6" x14ac:dyDescent="0.35">
      <c r="F1667" s="15"/>
    </row>
    <row r="1668" spans="6:6" x14ac:dyDescent="0.35">
      <c r="F1668" s="15"/>
    </row>
    <row r="1669" spans="6:6" x14ac:dyDescent="0.35">
      <c r="F1669" s="15"/>
    </row>
    <row r="1670" spans="6:6" x14ac:dyDescent="0.35">
      <c r="F1670" s="15"/>
    </row>
    <row r="1671" spans="6:6" x14ac:dyDescent="0.35">
      <c r="F1671" s="15"/>
    </row>
    <row r="1672" spans="6:6" x14ac:dyDescent="0.35">
      <c r="F1672" s="15"/>
    </row>
    <row r="1673" spans="6:6" x14ac:dyDescent="0.35">
      <c r="F1673" s="15"/>
    </row>
    <row r="1674" spans="6:6" x14ac:dyDescent="0.35">
      <c r="F1674" s="15"/>
    </row>
    <row r="1675" spans="6:6" x14ac:dyDescent="0.35">
      <c r="F1675" s="15"/>
    </row>
    <row r="1676" spans="6:6" x14ac:dyDescent="0.35">
      <c r="F1676" s="15"/>
    </row>
    <row r="1677" spans="6:6" x14ac:dyDescent="0.35">
      <c r="F1677" s="15"/>
    </row>
    <row r="1678" spans="6:6" x14ac:dyDescent="0.35">
      <c r="F1678" s="15"/>
    </row>
    <row r="1679" spans="6:6" x14ac:dyDescent="0.35">
      <c r="F1679" s="15"/>
    </row>
    <row r="1680" spans="6:6" x14ac:dyDescent="0.35">
      <c r="F1680" s="15"/>
    </row>
    <row r="1681" spans="6:6" x14ac:dyDescent="0.35">
      <c r="F1681" s="15"/>
    </row>
    <row r="1682" spans="6:6" x14ac:dyDescent="0.35">
      <c r="F1682" s="15"/>
    </row>
    <row r="1683" spans="6:6" x14ac:dyDescent="0.35">
      <c r="F1683" s="15"/>
    </row>
    <row r="1684" spans="6:6" x14ac:dyDescent="0.35">
      <c r="F1684" s="15"/>
    </row>
    <row r="1685" spans="6:6" x14ac:dyDescent="0.35">
      <c r="F1685" s="15"/>
    </row>
    <row r="1686" spans="6:6" x14ac:dyDescent="0.35">
      <c r="F1686" s="15"/>
    </row>
    <row r="1687" spans="6:6" x14ac:dyDescent="0.35">
      <c r="F1687" s="15"/>
    </row>
    <row r="1688" spans="6:6" x14ac:dyDescent="0.35">
      <c r="F1688" s="15"/>
    </row>
    <row r="1689" spans="6:6" x14ac:dyDescent="0.35">
      <c r="F1689" s="15"/>
    </row>
    <row r="1690" spans="6:6" x14ac:dyDescent="0.35">
      <c r="F1690" s="15"/>
    </row>
    <row r="1691" spans="6:6" x14ac:dyDescent="0.35">
      <c r="F1691" s="15"/>
    </row>
    <row r="1692" spans="6:6" x14ac:dyDescent="0.35">
      <c r="F1692" s="15"/>
    </row>
    <row r="1693" spans="6:6" x14ac:dyDescent="0.35">
      <c r="F1693" s="15"/>
    </row>
    <row r="1694" spans="6:6" x14ac:dyDescent="0.35">
      <c r="F1694" s="15"/>
    </row>
    <row r="1695" spans="6:6" x14ac:dyDescent="0.35">
      <c r="F1695" s="15"/>
    </row>
    <row r="1696" spans="6:6" x14ac:dyDescent="0.35">
      <c r="F1696" s="15"/>
    </row>
    <row r="1697" spans="6:6" x14ac:dyDescent="0.35">
      <c r="F1697" s="15"/>
    </row>
    <row r="1698" spans="6:6" x14ac:dyDescent="0.35">
      <c r="F1698" s="15"/>
    </row>
    <row r="1699" spans="6:6" x14ac:dyDescent="0.35">
      <c r="F1699" s="15"/>
    </row>
    <row r="1700" spans="6:6" x14ac:dyDescent="0.35">
      <c r="F1700" s="15"/>
    </row>
    <row r="1701" spans="6:6" x14ac:dyDescent="0.35">
      <c r="F1701" s="15"/>
    </row>
    <row r="1702" spans="6:6" x14ac:dyDescent="0.35">
      <c r="F1702" s="15"/>
    </row>
    <row r="1703" spans="6:6" x14ac:dyDescent="0.35">
      <c r="F1703" s="15"/>
    </row>
    <row r="1704" spans="6:6" x14ac:dyDescent="0.35">
      <c r="F1704" s="15"/>
    </row>
    <row r="1705" spans="6:6" x14ac:dyDescent="0.35">
      <c r="F1705" s="15"/>
    </row>
    <row r="1706" spans="6:6" x14ac:dyDescent="0.35">
      <c r="F1706" s="15"/>
    </row>
    <row r="1707" spans="6:6" x14ac:dyDescent="0.35">
      <c r="F1707" s="15"/>
    </row>
    <row r="1708" spans="6:6" x14ac:dyDescent="0.35">
      <c r="F1708" s="15"/>
    </row>
    <row r="1709" spans="6:6" x14ac:dyDescent="0.35">
      <c r="F1709" s="15"/>
    </row>
    <row r="1710" spans="6:6" x14ac:dyDescent="0.35">
      <c r="F1710" s="15"/>
    </row>
    <row r="1711" spans="6:6" x14ac:dyDescent="0.35">
      <c r="F1711" s="15"/>
    </row>
    <row r="1712" spans="6:6" x14ac:dyDescent="0.35">
      <c r="F1712" s="15"/>
    </row>
    <row r="1713" spans="6:6" x14ac:dyDescent="0.35">
      <c r="F1713" s="15"/>
    </row>
    <row r="1715" spans="6:6" x14ac:dyDescent="0.35">
      <c r="F1715" s="15"/>
    </row>
    <row r="1716" spans="6:6" x14ac:dyDescent="0.35">
      <c r="F1716" s="15"/>
    </row>
    <row r="1717" spans="6:6" x14ac:dyDescent="0.35">
      <c r="F1717" s="15"/>
    </row>
    <row r="1718" spans="6:6" x14ac:dyDescent="0.35">
      <c r="F1718" s="15"/>
    </row>
    <row r="1719" spans="6:6" x14ac:dyDescent="0.35">
      <c r="F1719" s="15"/>
    </row>
    <row r="1720" spans="6:6" x14ac:dyDescent="0.35">
      <c r="F1720" s="15"/>
    </row>
    <row r="1721" spans="6:6" x14ac:dyDescent="0.35">
      <c r="F1721" s="15"/>
    </row>
    <row r="1722" spans="6:6" x14ac:dyDescent="0.35">
      <c r="F1722" s="15"/>
    </row>
    <row r="1723" spans="6:6" x14ac:dyDescent="0.35">
      <c r="F1723" s="15"/>
    </row>
    <row r="1724" spans="6:6" x14ac:dyDescent="0.35">
      <c r="F1724" s="15"/>
    </row>
    <row r="1725" spans="6:6" x14ac:dyDescent="0.35">
      <c r="F1725" s="15"/>
    </row>
    <row r="1726" spans="6:6" x14ac:dyDescent="0.35">
      <c r="F1726" s="15"/>
    </row>
    <row r="1727" spans="6:6" x14ac:dyDescent="0.35">
      <c r="F1727" s="15"/>
    </row>
    <row r="1728" spans="6:6" x14ac:dyDescent="0.35">
      <c r="F1728" s="15"/>
    </row>
    <row r="1729" spans="6:6" x14ac:dyDescent="0.35">
      <c r="F1729" s="15"/>
    </row>
    <row r="1730" spans="6:6" x14ac:dyDescent="0.35">
      <c r="F1730" s="15"/>
    </row>
    <row r="1731" spans="6:6" x14ac:dyDescent="0.35">
      <c r="F1731" s="15"/>
    </row>
    <row r="1732" spans="6:6" x14ac:dyDescent="0.35">
      <c r="F1732" s="15"/>
    </row>
    <row r="1733" spans="6:6" x14ac:dyDescent="0.35">
      <c r="F1733" s="15"/>
    </row>
    <row r="1734" spans="6:6" x14ac:dyDescent="0.35">
      <c r="F1734" s="15"/>
    </row>
    <row r="1735" spans="6:6" x14ac:dyDescent="0.35">
      <c r="F1735" s="15"/>
    </row>
    <row r="1736" spans="6:6" x14ac:dyDescent="0.35">
      <c r="F1736" s="15"/>
    </row>
    <row r="1737" spans="6:6" x14ac:dyDescent="0.35">
      <c r="F1737" s="15"/>
    </row>
    <row r="1738" spans="6:6" x14ac:dyDescent="0.35">
      <c r="F1738" s="15"/>
    </row>
    <row r="1739" spans="6:6" x14ac:dyDescent="0.35">
      <c r="F1739" s="15"/>
    </row>
    <row r="1740" spans="6:6" x14ac:dyDescent="0.35">
      <c r="F1740" s="15"/>
    </row>
    <row r="1741" spans="6:6" x14ac:dyDescent="0.35">
      <c r="F1741" s="15"/>
    </row>
    <row r="1742" spans="6:6" x14ac:dyDescent="0.35">
      <c r="F1742" s="15"/>
    </row>
    <row r="1743" spans="6:6" x14ac:dyDescent="0.35">
      <c r="F1743" s="15"/>
    </row>
    <row r="1744" spans="6:6" x14ac:dyDescent="0.35">
      <c r="F1744" s="15"/>
    </row>
    <row r="1745" spans="6:6" x14ac:dyDescent="0.35">
      <c r="F1745" s="15"/>
    </row>
    <row r="1746" spans="6:6" x14ac:dyDescent="0.35">
      <c r="F1746" s="15"/>
    </row>
    <row r="1747" spans="6:6" x14ac:dyDescent="0.35">
      <c r="F1747" s="15"/>
    </row>
    <row r="1748" spans="6:6" x14ac:dyDescent="0.35">
      <c r="F1748" s="15"/>
    </row>
    <row r="1749" spans="6:6" x14ac:dyDescent="0.35">
      <c r="F1749" s="15"/>
    </row>
    <row r="1750" spans="6:6" x14ac:dyDescent="0.35">
      <c r="F1750" s="15"/>
    </row>
    <row r="1751" spans="6:6" x14ac:dyDescent="0.35">
      <c r="F1751" s="15"/>
    </row>
    <row r="1752" spans="6:6" x14ac:dyDescent="0.35">
      <c r="F1752" s="15"/>
    </row>
    <row r="1753" spans="6:6" x14ac:dyDescent="0.35">
      <c r="F1753" s="15"/>
    </row>
    <row r="1754" spans="6:6" x14ac:dyDescent="0.35">
      <c r="F1754" s="15"/>
    </row>
    <row r="1755" spans="6:6" x14ac:dyDescent="0.35">
      <c r="F1755" s="15"/>
    </row>
    <row r="1756" spans="6:6" x14ac:dyDescent="0.35">
      <c r="F1756" s="15"/>
    </row>
    <row r="1757" spans="6:6" x14ac:dyDescent="0.35">
      <c r="F1757" s="15"/>
    </row>
    <row r="1758" spans="6:6" x14ac:dyDescent="0.35">
      <c r="F1758" s="15"/>
    </row>
    <row r="1759" spans="6:6" x14ac:dyDescent="0.35">
      <c r="F1759" s="15"/>
    </row>
    <row r="1760" spans="6:6" x14ac:dyDescent="0.35">
      <c r="F1760" s="15"/>
    </row>
    <row r="1761" spans="6:6" x14ac:dyDescent="0.35">
      <c r="F1761" s="15"/>
    </row>
    <row r="1762" spans="6:6" x14ac:dyDescent="0.35">
      <c r="F1762" s="15"/>
    </row>
    <row r="1763" spans="6:6" x14ac:dyDescent="0.35">
      <c r="F1763" s="15"/>
    </row>
    <row r="1764" spans="6:6" x14ac:dyDescent="0.35">
      <c r="F1764" s="15"/>
    </row>
    <row r="1765" spans="6:6" x14ac:dyDescent="0.35">
      <c r="F1765" s="15"/>
    </row>
    <row r="1766" spans="6:6" x14ac:dyDescent="0.35">
      <c r="F1766" s="15"/>
    </row>
    <row r="1767" spans="6:6" x14ac:dyDescent="0.35">
      <c r="F1767" s="15"/>
    </row>
    <row r="1768" spans="6:6" x14ac:dyDescent="0.35">
      <c r="F1768" s="15"/>
    </row>
    <row r="1769" spans="6:6" x14ac:dyDescent="0.35">
      <c r="F1769" s="15"/>
    </row>
    <row r="1770" spans="6:6" x14ac:dyDescent="0.35">
      <c r="F1770" s="15"/>
    </row>
    <row r="1771" spans="6:6" x14ac:dyDescent="0.35">
      <c r="F1771" s="15"/>
    </row>
    <row r="1772" spans="6:6" x14ac:dyDescent="0.35">
      <c r="F1772" s="15"/>
    </row>
    <row r="1773" spans="6:6" x14ac:dyDescent="0.35">
      <c r="F1773" s="15"/>
    </row>
    <row r="1774" spans="6:6" x14ac:dyDescent="0.35">
      <c r="F1774" s="15"/>
    </row>
    <row r="1775" spans="6:6" x14ac:dyDescent="0.35">
      <c r="F1775" s="15"/>
    </row>
    <row r="1776" spans="6:6" x14ac:dyDescent="0.35">
      <c r="F1776" s="15"/>
    </row>
    <row r="1777" spans="6:6" x14ac:dyDescent="0.35">
      <c r="F1777" s="15"/>
    </row>
    <row r="1778" spans="6:6" x14ac:dyDescent="0.35">
      <c r="F1778" s="15"/>
    </row>
    <row r="1779" spans="6:6" x14ac:dyDescent="0.35">
      <c r="F1779" s="15"/>
    </row>
    <row r="1780" spans="6:6" x14ac:dyDescent="0.35">
      <c r="F1780" s="15"/>
    </row>
    <row r="1781" spans="6:6" x14ac:dyDescent="0.35">
      <c r="F1781" s="15"/>
    </row>
    <row r="1782" spans="6:6" x14ac:dyDescent="0.35">
      <c r="F1782" s="15"/>
    </row>
    <row r="1783" spans="6:6" x14ac:dyDescent="0.35">
      <c r="F1783" s="15"/>
    </row>
    <row r="1784" spans="6:6" x14ac:dyDescent="0.35">
      <c r="F1784" s="15"/>
    </row>
    <row r="1785" spans="6:6" x14ac:dyDescent="0.35">
      <c r="F1785" s="15"/>
    </row>
    <row r="1786" spans="6:6" x14ac:dyDescent="0.35">
      <c r="F1786" s="15"/>
    </row>
    <row r="1787" spans="6:6" x14ac:dyDescent="0.35">
      <c r="F1787" s="15"/>
    </row>
    <row r="1788" spans="6:6" x14ac:dyDescent="0.35">
      <c r="F1788" s="15"/>
    </row>
    <row r="1789" spans="6:6" x14ac:dyDescent="0.35">
      <c r="F1789" s="15"/>
    </row>
    <row r="1790" spans="6:6" x14ac:dyDescent="0.35">
      <c r="F1790" s="15"/>
    </row>
    <row r="1791" spans="6:6" x14ac:dyDescent="0.35">
      <c r="F1791" s="15"/>
    </row>
    <row r="1792" spans="6:6" x14ac:dyDescent="0.35">
      <c r="F1792" s="15"/>
    </row>
    <row r="1793" spans="6:6" x14ac:dyDescent="0.35">
      <c r="F1793" s="15"/>
    </row>
    <row r="1794" spans="6:6" x14ac:dyDescent="0.35">
      <c r="F1794" s="15"/>
    </row>
    <row r="1795" spans="6:6" x14ac:dyDescent="0.35">
      <c r="F1795" s="15"/>
    </row>
    <row r="1796" spans="6:6" x14ac:dyDescent="0.35">
      <c r="F1796" s="15"/>
    </row>
    <row r="1797" spans="6:6" x14ac:dyDescent="0.35">
      <c r="F1797" s="15"/>
    </row>
    <row r="1798" spans="6:6" x14ac:dyDescent="0.35">
      <c r="F1798" s="15"/>
    </row>
    <row r="1799" spans="6:6" x14ac:dyDescent="0.35">
      <c r="F1799" s="15"/>
    </row>
    <row r="1800" spans="6:6" x14ac:dyDescent="0.35">
      <c r="F1800" s="15"/>
    </row>
    <row r="1801" spans="6:6" x14ac:dyDescent="0.35">
      <c r="F1801" s="15"/>
    </row>
    <row r="1802" spans="6:6" x14ac:dyDescent="0.35">
      <c r="F1802" s="15"/>
    </row>
    <row r="1803" spans="6:6" x14ac:dyDescent="0.35">
      <c r="F1803" s="15"/>
    </row>
    <row r="1804" spans="6:6" x14ac:dyDescent="0.35">
      <c r="F1804" s="15"/>
    </row>
    <row r="1805" spans="6:6" x14ac:dyDescent="0.35">
      <c r="F1805" s="15"/>
    </row>
    <row r="1806" spans="6:6" x14ac:dyDescent="0.35">
      <c r="F1806" s="15"/>
    </row>
    <row r="1807" spans="6:6" x14ac:dyDescent="0.35">
      <c r="F1807" s="15"/>
    </row>
    <row r="1808" spans="6:6" x14ac:dyDescent="0.35">
      <c r="F1808" s="15"/>
    </row>
    <row r="1809" spans="6:6" x14ac:dyDescent="0.35">
      <c r="F1809" s="15"/>
    </row>
    <row r="1810" spans="6:6" x14ac:dyDescent="0.35">
      <c r="F1810" s="15"/>
    </row>
    <row r="1811" spans="6:6" x14ac:dyDescent="0.35">
      <c r="F1811" s="15"/>
    </row>
    <row r="1812" spans="6:6" x14ac:dyDescent="0.35">
      <c r="F1812" s="15"/>
    </row>
    <row r="1813" spans="6:6" x14ac:dyDescent="0.35">
      <c r="F1813" s="15"/>
    </row>
    <row r="1814" spans="6:6" x14ac:dyDescent="0.35">
      <c r="F1814" s="15"/>
    </row>
    <row r="1815" spans="6:6" x14ac:dyDescent="0.35">
      <c r="F1815" s="15"/>
    </row>
    <row r="1816" spans="6:6" x14ac:dyDescent="0.35">
      <c r="F1816" s="15"/>
    </row>
    <row r="1817" spans="6:6" x14ac:dyDescent="0.35">
      <c r="F1817" s="15"/>
    </row>
    <row r="1818" spans="6:6" x14ac:dyDescent="0.35">
      <c r="F1818" s="15"/>
    </row>
    <row r="1819" spans="6:6" x14ac:dyDescent="0.35">
      <c r="F1819" s="15"/>
    </row>
    <row r="1820" spans="6:6" x14ac:dyDescent="0.35">
      <c r="F1820" s="15"/>
    </row>
    <row r="1821" spans="6:6" x14ac:dyDescent="0.35">
      <c r="F1821" s="15"/>
    </row>
    <row r="1822" spans="6:6" x14ac:dyDescent="0.35">
      <c r="F1822" s="15"/>
    </row>
    <row r="1823" spans="6:6" x14ac:dyDescent="0.35">
      <c r="F1823" s="15"/>
    </row>
    <row r="1824" spans="6:6" x14ac:dyDescent="0.35">
      <c r="F1824" s="15"/>
    </row>
    <row r="1825" spans="6:6" x14ac:dyDescent="0.35">
      <c r="F1825" s="15"/>
    </row>
    <row r="1826" spans="6:6" x14ac:dyDescent="0.35">
      <c r="F1826" s="15"/>
    </row>
    <row r="1827" spans="6:6" x14ac:dyDescent="0.35">
      <c r="F1827" s="15"/>
    </row>
    <row r="1828" spans="6:6" x14ac:dyDescent="0.35">
      <c r="F1828" s="15"/>
    </row>
    <row r="1829" spans="6:6" x14ac:dyDescent="0.35">
      <c r="F1829" s="15"/>
    </row>
    <row r="1830" spans="6:6" x14ac:dyDescent="0.35">
      <c r="F1830" s="15"/>
    </row>
    <row r="1831" spans="6:6" x14ac:dyDescent="0.35">
      <c r="F1831" s="15"/>
    </row>
    <row r="1832" spans="6:6" x14ac:dyDescent="0.35">
      <c r="F1832" s="15"/>
    </row>
    <row r="1833" spans="6:6" x14ac:dyDescent="0.35">
      <c r="F1833" s="15"/>
    </row>
    <row r="1834" spans="6:6" x14ac:dyDescent="0.35">
      <c r="F1834" s="15"/>
    </row>
    <row r="1835" spans="6:6" x14ac:dyDescent="0.35">
      <c r="F1835" s="15"/>
    </row>
    <row r="1836" spans="6:6" x14ac:dyDescent="0.35">
      <c r="F1836" s="15"/>
    </row>
    <row r="1837" spans="6:6" x14ac:dyDescent="0.35">
      <c r="F1837" s="15"/>
    </row>
    <row r="1838" spans="6:6" x14ac:dyDescent="0.35">
      <c r="F1838" s="15"/>
    </row>
    <row r="1839" spans="6:6" x14ac:dyDescent="0.35">
      <c r="F1839" s="15"/>
    </row>
    <row r="1840" spans="6:6" x14ac:dyDescent="0.35">
      <c r="F1840" s="15"/>
    </row>
    <row r="1841" spans="6:6" x14ac:dyDescent="0.35">
      <c r="F1841" s="15"/>
    </row>
    <row r="1842" spans="6:6" x14ac:dyDescent="0.35">
      <c r="F1842" s="15"/>
    </row>
    <row r="1843" spans="6:6" x14ac:dyDescent="0.35">
      <c r="F1843" s="15"/>
    </row>
    <row r="1844" spans="6:6" x14ac:dyDescent="0.35">
      <c r="F1844" s="15"/>
    </row>
    <row r="1845" spans="6:6" x14ac:dyDescent="0.35">
      <c r="F1845" s="15"/>
    </row>
    <row r="1846" spans="6:6" x14ac:dyDescent="0.35">
      <c r="F1846" s="15"/>
    </row>
    <row r="1847" spans="6:6" x14ac:dyDescent="0.35">
      <c r="F1847" s="15"/>
    </row>
    <row r="1848" spans="6:6" x14ac:dyDescent="0.35">
      <c r="F1848" s="15"/>
    </row>
    <row r="1849" spans="6:6" x14ac:dyDescent="0.35">
      <c r="F1849" s="15"/>
    </row>
    <row r="1850" spans="6:6" x14ac:dyDescent="0.35">
      <c r="F1850" s="15"/>
    </row>
    <row r="1851" spans="6:6" x14ac:dyDescent="0.35">
      <c r="F1851" s="15"/>
    </row>
    <row r="1852" spans="6:6" x14ac:dyDescent="0.35">
      <c r="F1852" s="15"/>
    </row>
    <row r="1853" spans="6:6" x14ac:dyDescent="0.35">
      <c r="F1853" s="15"/>
    </row>
    <row r="1854" spans="6:6" x14ac:dyDescent="0.35">
      <c r="F1854" s="15"/>
    </row>
    <row r="1855" spans="6:6" x14ac:dyDescent="0.35">
      <c r="F1855" s="15"/>
    </row>
    <row r="1856" spans="6:6" x14ac:dyDescent="0.35">
      <c r="F1856" s="15"/>
    </row>
    <row r="1857" spans="6:6" x14ac:dyDescent="0.35">
      <c r="F1857" s="15"/>
    </row>
    <row r="1858" spans="6:6" x14ac:dyDescent="0.35">
      <c r="F1858" s="15"/>
    </row>
    <row r="1859" spans="6:6" x14ac:dyDescent="0.35">
      <c r="F1859" s="15"/>
    </row>
    <row r="1860" spans="6:6" x14ac:dyDescent="0.35">
      <c r="F1860" s="15"/>
    </row>
    <row r="1861" spans="6:6" x14ac:dyDescent="0.35">
      <c r="F1861" s="15"/>
    </row>
    <row r="1862" spans="6:6" x14ac:dyDescent="0.35">
      <c r="F1862" s="15"/>
    </row>
    <row r="1863" spans="6:6" x14ac:dyDescent="0.35">
      <c r="F1863" s="15"/>
    </row>
    <row r="1864" spans="6:6" x14ac:dyDescent="0.35">
      <c r="F1864" s="15"/>
    </row>
    <row r="1865" spans="6:6" x14ac:dyDescent="0.35">
      <c r="F1865" s="15"/>
    </row>
    <row r="1866" spans="6:6" x14ac:dyDescent="0.35">
      <c r="F1866" s="15"/>
    </row>
    <row r="1867" spans="6:6" x14ac:dyDescent="0.35">
      <c r="F1867" s="15"/>
    </row>
    <row r="1868" spans="6:6" x14ac:dyDescent="0.35">
      <c r="F1868" s="15"/>
    </row>
    <row r="1869" spans="6:6" x14ac:dyDescent="0.35">
      <c r="F1869" s="15"/>
    </row>
    <row r="1870" spans="6:6" x14ac:dyDescent="0.35">
      <c r="F1870" s="15"/>
    </row>
    <row r="1871" spans="6:6" x14ac:dyDescent="0.35">
      <c r="F1871" s="15"/>
    </row>
    <row r="1872" spans="6:6" x14ac:dyDescent="0.35">
      <c r="F1872" s="15"/>
    </row>
    <row r="1873" spans="6:6" x14ac:dyDescent="0.35">
      <c r="F1873" s="15"/>
    </row>
    <row r="1874" spans="6:6" x14ac:dyDescent="0.35">
      <c r="F1874" s="15"/>
    </row>
    <row r="1875" spans="6:6" x14ac:dyDescent="0.35">
      <c r="F1875" s="15"/>
    </row>
    <row r="1876" spans="6:6" x14ac:dyDescent="0.35">
      <c r="F1876" s="15"/>
    </row>
    <row r="1877" spans="6:6" x14ac:dyDescent="0.35">
      <c r="F1877" s="15"/>
    </row>
    <row r="1878" spans="6:6" x14ac:dyDescent="0.35">
      <c r="F1878" s="15"/>
    </row>
    <row r="1879" spans="6:6" x14ac:dyDescent="0.35">
      <c r="F1879" s="15"/>
    </row>
    <row r="1880" spans="6:6" x14ac:dyDescent="0.35">
      <c r="F1880" s="15"/>
    </row>
    <row r="1881" spans="6:6" x14ac:dyDescent="0.35">
      <c r="F1881" s="15"/>
    </row>
    <row r="1882" spans="6:6" x14ac:dyDescent="0.35">
      <c r="F1882" s="15"/>
    </row>
    <row r="1883" spans="6:6" x14ac:dyDescent="0.35">
      <c r="F1883" s="15"/>
    </row>
    <row r="1884" spans="6:6" x14ac:dyDescent="0.35">
      <c r="F1884" s="15"/>
    </row>
    <row r="1885" spans="6:6" x14ac:dyDescent="0.35">
      <c r="F1885" s="15"/>
    </row>
    <row r="1886" spans="6:6" x14ac:dyDescent="0.35">
      <c r="F1886" s="15"/>
    </row>
    <row r="1887" spans="6:6" x14ac:dyDescent="0.35">
      <c r="F1887" s="15"/>
    </row>
    <row r="1888" spans="6:6" x14ac:dyDescent="0.35">
      <c r="F1888" s="15"/>
    </row>
    <row r="1889" spans="6:6" x14ac:dyDescent="0.35">
      <c r="F1889" s="15"/>
    </row>
    <row r="1890" spans="6:6" x14ac:dyDescent="0.35">
      <c r="F1890" s="15"/>
    </row>
    <row r="1891" spans="6:6" x14ac:dyDescent="0.35">
      <c r="F1891" s="15"/>
    </row>
    <row r="1892" spans="6:6" x14ac:dyDescent="0.35">
      <c r="F1892" s="15"/>
    </row>
    <row r="1893" spans="6:6" x14ac:dyDescent="0.35">
      <c r="F1893" s="15"/>
    </row>
    <row r="1894" spans="6:6" x14ac:dyDescent="0.35">
      <c r="F1894" s="15"/>
    </row>
    <row r="1895" spans="6:6" x14ac:dyDescent="0.35">
      <c r="F1895" s="15"/>
    </row>
    <row r="1896" spans="6:6" x14ac:dyDescent="0.35">
      <c r="F1896" s="15"/>
    </row>
    <row r="1897" spans="6:6" x14ac:dyDescent="0.35">
      <c r="F1897" s="15"/>
    </row>
    <row r="1898" spans="6:6" x14ac:dyDescent="0.35">
      <c r="F1898" s="15"/>
    </row>
    <row r="1899" spans="6:6" x14ac:dyDescent="0.35">
      <c r="F1899" s="15"/>
    </row>
    <row r="1900" spans="6:6" x14ac:dyDescent="0.35">
      <c r="F1900" s="15"/>
    </row>
    <row r="1901" spans="6:6" x14ac:dyDescent="0.35">
      <c r="F1901" s="15"/>
    </row>
    <row r="1902" spans="6:6" x14ac:dyDescent="0.35">
      <c r="F1902" s="15"/>
    </row>
    <row r="1903" spans="6:6" x14ac:dyDescent="0.35">
      <c r="F1903" s="15"/>
    </row>
    <row r="1904" spans="6:6" x14ac:dyDescent="0.35">
      <c r="F1904" s="15"/>
    </row>
    <row r="1905" spans="6:6" x14ac:dyDescent="0.35">
      <c r="F1905" s="15"/>
    </row>
    <row r="1906" spans="6:6" x14ac:dyDescent="0.35">
      <c r="F1906" s="15"/>
    </row>
    <row r="1907" spans="6:6" x14ac:dyDescent="0.35">
      <c r="F1907" s="15"/>
    </row>
    <row r="1908" spans="6:6" x14ac:dyDescent="0.35">
      <c r="F1908" s="15"/>
    </row>
    <row r="1909" spans="6:6" x14ac:dyDescent="0.35">
      <c r="F1909" s="15"/>
    </row>
    <row r="1910" spans="6:6" x14ac:dyDescent="0.35">
      <c r="F1910" s="15"/>
    </row>
    <row r="1911" spans="6:6" x14ac:dyDescent="0.35">
      <c r="F1911" s="15"/>
    </row>
    <row r="1912" spans="6:6" x14ac:dyDescent="0.35">
      <c r="F1912" s="15"/>
    </row>
    <row r="1913" spans="6:6" x14ac:dyDescent="0.35">
      <c r="F1913" s="15"/>
    </row>
    <row r="1914" spans="6:6" x14ac:dyDescent="0.35">
      <c r="F1914" s="15"/>
    </row>
    <row r="1915" spans="6:6" x14ac:dyDescent="0.35">
      <c r="F1915" s="15"/>
    </row>
    <row r="1916" spans="6:6" x14ac:dyDescent="0.35">
      <c r="F1916" s="15"/>
    </row>
    <row r="1917" spans="6:6" x14ac:dyDescent="0.35">
      <c r="F1917" s="15"/>
    </row>
    <row r="1918" spans="6:6" x14ac:dyDescent="0.35">
      <c r="F1918" s="15"/>
    </row>
    <row r="1919" spans="6:6" x14ac:dyDescent="0.35">
      <c r="F1919" s="15"/>
    </row>
    <row r="1920" spans="6:6" x14ac:dyDescent="0.35">
      <c r="F1920" s="15"/>
    </row>
    <row r="1921" spans="6:6" x14ac:dyDescent="0.35">
      <c r="F1921" s="15"/>
    </row>
    <row r="1922" spans="6:6" x14ac:dyDescent="0.35">
      <c r="F1922" s="15"/>
    </row>
    <row r="1923" spans="6:6" x14ac:dyDescent="0.35">
      <c r="F1923" s="15"/>
    </row>
    <row r="1924" spans="6:6" x14ac:dyDescent="0.35">
      <c r="F1924" s="15"/>
    </row>
    <row r="1925" spans="6:6" x14ac:dyDescent="0.35">
      <c r="F1925" s="15"/>
    </row>
    <row r="1926" spans="6:6" x14ac:dyDescent="0.35">
      <c r="F1926" s="15"/>
    </row>
    <row r="1927" spans="6:6" x14ac:dyDescent="0.35">
      <c r="F1927" s="15"/>
    </row>
    <row r="1928" spans="6:6" x14ac:dyDescent="0.35">
      <c r="F1928" s="15"/>
    </row>
    <row r="1929" spans="6:6" x14ac:dyDescent="0.35">
      <c r="F1929" s="15"/>
    </row>
    <row r="1930" spans="6:6" x14ac:dyDescent="0.35">
      <c r="F1930" s="15"/>
    </row>
    <row r="1931" spans="6:6" x14ac:dyDescent="0.35">
      <c r="F1931" s="15"/>
    </row>
    <row r="1932" spans="6:6" x14ac:dyDescent="0.35">
      <c r="F1932" s="15"/>
    </row>
    <row r="1933" spans="6:6" x14ac:dyDescent="0.35">
      <c r="F1933" s="15"/>
    </row>
    <row r="1934" spans="6:6" x14ac:dyDescent="0.35">
      <c r="F1934" s="15"/>
    </row>
    <row r="1935" spans="6:6" x14ac:dyDescent="0.35">
      <c r="F1935" s="15"/>
    </row>
    <row r="1936" spans="6:6" x14ac:dyDescent="0.35">
      <c r="F1936" s="15"/>
    </row>
    <row r="1937" spans="6:6" x14ac:dyDescent="0.35">
      <c r="F1937" s="15"/>
    </row>
    <row r="1938" spans="6:6" x14ac:dyDescent="0.35">
      <c r="F1938" s="15"/>
    </row>
    <row r="1939" spans="6:6" x14ac:dyDescent="0.35">
      <c r="F1939" s="15"/>
    </row>
    <row r="1940" spans="6:6" x14ac:dyDescent="0.35">
      <c r="F1940" s="15"/>
    </row>
    <row r="1941" spans="6:6" x14ac:dyDescent="0.35">
      <c r="F1941" s="15"/>
    </row>
    <row r="1942" spans="6:6" x14ac:dyDescent="0.35">
      <c r="F1942" s="15"/>
    </row>
    <row r="1943" spans="6:6" x14ac:dyDescent="0.35">
      <c r="F1943" s="15"/>
    </row>
    <row r="1944" spans="6:6" x14ac:dyDescent="0.35">
      <c r="F1944" s="15"/>
    </row>
    <row r="1945" spans="6:6" x14ac:dyDescent="0.35">
      <c r="F1945" s="15"/>
    </row>
    <row r="1946" spans="6:6" x14ac:dyDescent="0.35">
      <c r="F1946" s="15"/>
    </row>
    <row r="1947" spans="6:6" x14ac:dyDescent="0.35">
      <c r="F1947" s="15"/>
    </row>
    <row r="1948" spans="6:6" x14ac:dyDescent="0.35">
      <c r="F1948" s="15"/>
    </row>
    <row r="1949" spans="6:6" x14ac:dyDescent="0.35">
      <c r="F1949" s="15"/>
    </row>
    <row r="1950" spans="6:6" x14ac:dyDescent="0.35">
      <c r="F1950" s="15"/>
    </row>
    <row r="1951" spans="6:6" x14ac:dyDescent="0.35">
      <c r="F1951" s="15"/>
    </row>
    <row r="1952" spans="6:6" x14ac:dyDescent="0.35">
      <c r="F1952" s="15"/>
    </row>
    <row r="1953" spans="6:6" x14ac:dyDescent="0.35">
      <c r="F1953" s="15"/>
    </row>
    <row r="1954" spans="6:6" x14ac:dyDescent="0.35">
      <c r="F1954" s="15"/>
    </row>
    <row r="1955" spans="6:6" x14ac:dyDescent="0.35">
      <c r="F1955" s="15"/>
    </row>
    <row r="1956" spans="6:6" x14ac:dyDescent="0.35">
      <c r="F1956" s="15"/>
    </row>
    <row r="1957" spans="6:6" x14ac:dyDescent="0.35">
      <c r="F1957" s="15"/>
    </row>
    <row r="1958" spans="6:6" x14ac:dyDescent="0.35">
      <c r="F1958" s="15"/>
    </row>
    <row r="1959" spans="6:6" x14ac:dyDescent="0.35">
      <c r="F1959" s="15"/>
    </row>
    <row r="1960" spans="6:6" x14ac:dyDescent="0.35">
      <c r="F1960" s="15"/>
    </row>
    <row r="1961" spans="6:6" x14ac:dyDescent="0.35">
      <c r="F1961" s="15"/>
    </row>
    <row r="1962" spans="6:6" x14ac:dyDescent="0.35">
      <c r="F1962" s="15"/>
    </row>
    <row r="1963" spans="6:6" x14ac:dyDescent="0.35">
      <c r="F1963" s="15"/>
    </row>
    <row r="1964" spans="6:6" x14ac:dyDescent="0.35">
      <c r="F1964" s="15"/>
    </row>
    <row r="1965" spans="6:6" x14ac:dyDescent="0.35">
      <c r="F1965" s="15"/>
    </row>
    <row r="1966" spans="6:6" x14ac:dyDescent="0.35">
      <c r="F1966" s="15"/>
    </row>
    <row r="1967" spans="6:6" x14ac:dyDescent="0.35">
      <c r="F1967" s="15"/>
    </row>
    <row r="1968" spans="6:6" x14ac:dyDescent="0.35">
      <c r="F1968" s="15"/>
    </row>
    <row r="1969" spans="6:6" x14ac:dyDescent="0.35">
      <c r="F1969" s="15"/>
    </row>
    <row r="1970" spans="6:6" x14ac:dyDescent="0.35">
      <c r="F1970" s="15"/>
    </row>
    <row r="1971" spans="6:6" x14ac:dyDescent="0.35">
      <c r="F1971" s="15"/>
    </row>
    <row r="1972" spans="6:6" x14ac:dyDescent="0.35">
      <c r="F1972" s="15"/>
    </row>
    <row r="1973" spans="6:6" x14ac:dyDescent="0.35">
      <c r="F1973" s="15"/>
    </row>
    <row r="1974" spans="6:6" x14ac:dyDescent="0.35">
      <c r="F1974" s="15"/>
    </row>
    <row r="1975" spans="6:6" x14ac:dyDescent="0.35">
      <c r="F1975" s="15"/>
    </row>
    <row r="1976" spans="6:6" x14ac:dyDescent="0.35">
      <c r="F1976" s="15"/>
    </row>
    <row r="1977" spans="6:6" x14ac:dyDescent="0.35">
      <c r="F1977" s="15"/>
    </row>
    <row r="1978" spans="6:6" x14ac:dyDescent="0.35">
      <c r="F1978" s="15"/>
    </row>
    <row r="1979" spans="6:6" x14ac:dyDescent="0.35">
      <c r="F1979" s="15"/>
    </row>
    <row r="1980" spans="6:6" x14ac:dyDescent="0.35">
      <c r="F1980" s="15"/>
    </row>
    <row r="1981" spans="6:6" x14ac:dyDescent="0.35">
      <c r="F1981" s="15"/>
    </row>
    <row r="1982" spans="6:6" x14ac:dyDescent="0.35">
      <c r="F1982" s="15"/>
    </row>
    <row r="1983" spans="6:6" x14ac:dyDescent="0.35">
      <c r="F1983" s="15"/>
    </row>
    <row r="1984" spans="6:6" x14ac:dyDescent="0.35">
      <c r="F1984" s="15"/>
    </row>
    <row r="1985" spans="6:6" x14ac:dyDescent="0.35">
      <c r="F1985" s="15"/>
    </row>
    <row r="1986" spans="6:6" x14ac:dyDescent="0.35">
      <c r="F1986" s="15"/>
    </row>
    <row r="1987" spans="6:6" x14ac:dyDescent="0.35">
      <c r="F1987" s="15"/>
    </row>
    <row r="1988" spans="6:6" x14ac:dyDescent="0.35">
      <c r="F1988" s="15"/>
    </row>
    <row r="1989" spans="6:6" x14ac:dyDescent="0.35">
      <c r="F1989" s="15"/>
    </row>
    <row r="1990" spans="6:6" x14ac:dyDescent="0.35">
      <c r="F1990" s="15"/>
    </row>
    <row r="1991" spans="6:6" x14ac:dyDescent="0.35">
      <c r="F1991" s="15"/>
    </row>
    <row r="1992" spans="6:6" x14ac:dyDescent="0.35">
      <c r="F1992" s="15"/>
    </row>
    <row r="1993" spans="6:6" x14ac:dyDescent="0.35">
      <c r="F1993" s="15"/>
    </row>
    <row r="1994" spans="6:6" x14ac:dyDescent="0.35">
      <c r="F1994" s="15"/>
    </row>
    <row r="1995" spans="6:6" x14ac:dyDescent="0.35">
      <c r="F1995" s="15"/>
    </row>
    <row r="1996" spans="6:6" x14ac:dyDescent="0.35">
      <c r="F1996" s="15"/>
    </row>
    <row r="1997" spans="6:6" x14ac:dyDescent="0.35">
      <c r="F1997" s="15"/>
    </row>
    <row r="1998" spans="6:6" x14ac:dyDescent="0.35">
      <c r="F1998" s="15"/>
    </row>
    <row r="1999" spans="6:6" x14ac:dyDescent="0.35">
      <c r="F1999" s="15"/>
    </row>
    <row r="2000" spans="6:6" x14ac:dyDescent="0.35">
      <c r="F2000" s="15"/>
    </row>
    <row r="2001" spans="6:6" x14ac:dyDescent="0.35">
      <c r="F2001" s="15"/>
    </row>
    <row r="2002" spans="6:6" x14ac:dyDescent="0.35">
      <c r="F2002" s="15"/>
    </row>
    <row r="2003" spans="6:6" x14ac:dyDescent="0.35">
      <c r="F2003" s="15"/>
    </row>
    <row r="2004" spans="6:6" x14ac:dyDescent="0.35">
      <c r="F2004" s="15"/>
    </row>
    <row r="2005" spans="6:6" x14ac:dyDescent="0.35">
      <c r="F2005" s="15"/>
    </row>
    <row r="2006" spans="6:6" x14ac:dyDescent="0.35">
      <c r="F2006" s="15"/>
    </row>
    <row r="2007" spans="6:6" x14ac:dyDescent="0.35">
      <c r="F2007" s="15"/>
    </row>
    <row r="2008" spans="6:6" x14ac:dyDescent="0.35">
      <c r="F2008" s="15"/>
    </row>
    <row r="2009" spans="6:6" x14ac:dyDescent="0.35">
      <c r="F2009" s="15"/>
    </row>
    <row r="2010" spans="6:6" x14ac:dyDescent="0.35">
      <c r="F2010" s="15"/>
    </row>
    <row r="2011" spans="6:6" x14ac:dyDescent="0.35">
      <c r="F2011" s="15"/>
    </row>
    <row r="2012" spans="6:6" x14ac:dyDescent="0.35">
      <c r="F2012" s="15"/>
    </row>
    <row r="2013" spans="6:6" x14ac:dyDescent="0.35">
      <c r="F2013" s="15"/>
    </row>
    <row r="2014" spans="6:6" x14ac:dyDescent="0.35">
      <c r="F2014" s="15"/>
    </row>
    <row r="2015" spans="6:6" x14ac:dyDescent="0.35">
      <c r="F2015" s="15"/>
    </row>
    <row r="2016" spans="6:6" x14ac:dyDescent="0.35">
      <c r="F2016" s="15"/>
    </row>
    <row r="2017" spans="6:6" x14ac:dyDescent="0.35">
      <c r="F2017" s="15"/>
    </row>
    <row r="2018" spans="6:6" x14ac:dyDescent="0.35">
      <c r="F2018" s="15"/>
    </row>
    <row r="2019" spans="6:6" x14ac:dyDescent="0.35">
      <c r="F2019" s="15"/>
    </row>
    <row r="2020" spans="6:6" x14ac:dyDescent="0.35">
      <c r="F2020" s="15"/>
    </row>
    <row r="2021" spans="6:6" x14ac:dyDescent="0.35">
      <c r="F2021" s="15"/>
    </row>
    <row r="2022" spans="6:6" x14ac:dyDescent="0.35">
      <c r="F2022" s="15"/>
    </row>
    <row r="2023" spans="6:6" x14ac:dyDescent="0.35">
      <c r="F2023" s="15"/>
    </row>
    <row r="2024" spans="6:6" x14ac:dyDescent="0.35">
      <c r="F2024" s="15"/>
    </row>
    <row r="2025" spans="6:6" x14ac:dyDescent="0.35">
      <c r="F2025" s="15"/>
    </row>
    <row r="2026" spans="6:6" x14ac:dyDescent="0.35">
      <c r="F2026" s="15"/>
    </row>
    <row r="2027" spans="6:6" x14ac:dyDescent="0.35">
      <c r="F2027" s="15"/>
    </row>
    <row r="2028" spans="6:6" x14ac:dyDescent="0.35">
      <c r="F2028" s="15"/>
    </row>
    <row r="2029" spans="6:6" x14ac:dyDescent="0.35">
      <c r="F2029" s="15"/>
    </row>
    <row r="2030" spans="6:6" x14ac:dyDescent="0.35">
      <c r="F2030" s="15"/>
    </row>
    <row r="2031" spans="6:6" x14ac:dyDescent="0.35">
      <c r="F2031" s="15"/>
    </row>
    <row r="2032" spans="6:6" x14ac:dyDescent="0.35">
      <c r="F2032" s="15"/>
    </row>
    <row r="2033" spans="6:6" x14ac:dyDescent="0.35">
      <c r="F2033" s="15"/>
    </row>
    <row r="2034" spans="6:6" x14ac:dyDescent="0.35">
      <c r="F2034" s="15"/>
    </row>
    <row r="2035" spans="6:6" x14ac:dyDescent="0.35">
      <c r="F2035" s="15"/>
    </row>
    <row r="2036" spans="6:6" x14ac:dyDescent="0.35">
      <c r="F2036" s="15"/>
    </row>
    <row r="2037" spans="6:6" x14ac:dyDescent="0.35">
      <c r="F2037" s="15"/>
    </row>
    <row r="2038" spans="6:6" x14ac:dyDescent="0.35">
      <c r="F2038" s="15"/>
    </row>
    <row r="2039" spans="6:6" x14ac:dyDescent="0.35">
      <c r="F2039" s="15"/>
    </row>
    <row r="2040" spans="6:6" x14ac:dyDescent="0.35">
      <c r="F2040" s="15"/>
    </row>
    <row r="2041" spans="6:6" x14ac:dyDescent="0.35">
      <c r="F2041" s="15"/>
    </row>
    <row r="2042" spans="6:6" x14ac:dyDescent="0.35">
      <c r="F2042" s="15"/>
    </row>
    <row r="2043" spans="6:6" x14ac:dyDescent="0.35">
      <c r="F2043" s="15"/>
    </row>
    <row r="2044" spans="6:6" x14ac:dyDescent="0.35">
      <c r="F2044" s="15"/>
    </row>
    <row r="2045" spans="6:6" x14ac:dyDescent="0.35">
      <c r="F2045" s="15"/>
    </row>
    <row r="2046" spans="6:6" x14ac:dyDescent="0.35">
      <c r="F2046" s="15"/>
    </row>
    <row r="2047" spans="6:6" x14ac:dyDescent="0.35">
      <c r="F2047" s="15"/>
    </row>
    <row r="2048" spans="6:6" x14ac:dyDescent="0.35">
      <c r="F2048" s="15"/>
    </row>
    <row r="2049" spans="6:6" x14ac:dyDescent="0.35">
      <c r="F2049" s="15"/>
    </row>
    <row r="2050" spans="6:6" x14ac:dyDescent="0.35">
      <c r="F2050" s="15"/>
    </row>
    <row r="2051" spans="6:6" x14ac:dyDescent="0.35">
      <c r="F2051" s="15"/>
    </row>
    <row r="2052" spans="6:6" x14ac:dyDescent="0.35">
      <c r="F2052" s="15"/>
    </row>
    <row r="2053" spans="6:6" x14ac:dyDescent="0.35">
      <c r="F2053" s="15"/>
    </row>
    <row r="2054" spans="6:6" x14ac:dyDescent="0.35">
      <c r="F2054" s="15"/>
    </row>
    <row r="2055" spans="6:6" x14ac:dyDescent="0.35">
      <c r="F2055" s="15"/>
    </row>
    <row r="2056" spans="6:6" x14ac:dyDescent="0.35">
      <c r="F2056" s="15"/>
    </row>
    <row r="2057" spans="6:6" x14ac:dyDescent="0.35">
      <c r="F2057" s="15"/>
    </row>
    <row r="2058" spans="6:6" x14ac:dyDescent="0.35">
      <c r="F2058" s="15"/>
    </row>
    <row r="2059" spans="6:6" x14ac:dyDescent="0.35">
      <c r="F2059" s="15"/>
    </row>
    <row r="2060" spans="6:6" x14ac:dyDescent="0.35">
      <c r="F2060" s="15"/>
    </row>
    <row r="2061" spans="6:6" x14ac:dyDescent="0.35">
      <c r="F2061" s="15"/>
    </row>
    <row r="2062" spans="6:6" x14ac:dyDescent="0.35">
      <c r="F2062" s="15"/>
    </row>
    <row r="2063" spans="6:6" x14ac:dyDescent="0.35">
      <c r="F2063" s="15"/>
    </row>
    <row r="2064" spans="6:6" x14ac:dyDescent="0.35">
      <c r="F2064" s="15"/>
    </row>
    <row r="2065" spans="6:6" x14ac:dyDescent="0.35">
      <c r="F2065" s="15"/>
    </row>
    <row r="2066" spans="6:6" x14ac:dyDescent="0.35">
      <c r="F2066" s="15"/>
    </row>
    <row r="2067" spans="6:6" x14ac:dyDescent="0.35">
      <c r="F2067" s="15"/>
    </row>
    <row r="2068" spans="6:6" x14ac:dyDescent="0.35">
      <c r="F2068" s="15"/>
    </row>
    <row r="2069" spans="6:6" x14ac:dyDescent="0.35">
      <c r="F2069" s="15"/>
    </row>
    <row r="2070" spans="6:6" x14ac:dyDescent="0.35">
      <c r="F2070" s="15"/>
    </row>
    <row r="2071" spans="6:6" x14ac:dyDescent="0.35">
      <c r="F2071" s="15"/>
    </row>
    <row r="2072" spans="6:6" x14ac:dyDescent="0.35">
      <c r="F2072" s="15"/>
    </row>
    <row r="2073" spans="6:6" x14ac:dyDescent="0.35">
      <c r="F2073" s="15"/>
    </row>
    <row r="2074" spans="6:6" x14ac:dyDescent="0.35">
      <c r="F2074" s="15"/>
    </row>
    <row r="2075" spans="6:6" x14ac:dyDescent="0.35">
      <c r="F2075" s="15"/>
    </row>
    <row r="2076" spans="6:6" x14ac:dyDescent="0.35">
      <c r="F2076" s="15"/>
    </row>
    <row r="2077" spans="6:6" x14ac:dyDescent="0.35">
      <c r="F2077" s="15"/>
    </row>
    <row r="2078" spans="6:6" x14ac:dyDescent="0.35">
      <c r="F2078" s="15"/>
    </row>
    <row r="2079" spans="6:6" x14ac:dyDescent="0.35">
      <c r="F2079" s="15"/>
    </row>
    <row r="2080" spans="6:6" x14ac:dyDescent="0.35">
      <c r="F2080" s="15"/>
    </row>
    <row r="2081" spans="6:6" x14ac:dyDescent="0.35">
      <c r="F2081" s="15"/>
    </row>
    <row r="2082" spans="6:6" x14ac:dyDescent="0.35">
      <c r="F2082" s="15"/>
    </row>
    <row r="2083" spans="6:6" x14ac:dyDescent="0.35">
      <c r="F2083" s="15"/>
    </row>
    <row r="2084" spans="6:6" x14ac:dyDescent="0.35">
      <c r="F2084" s="15"/>
    </row>
    <row r="2085" spans="6:6" x14ac:dyDescent="0.35">
      <c r="F2085" s="15"/>
    </row>
    <row r="2086" spans="6:6" x14ac:dyDescent="0.35">
      <c r="F2086" s="15"/>
    </row>
    <row r="2087" spans="6:6" x14ac:dyDescent="0.35">
      <c r="F2087" s="15"/>
    </row>
    <row r="2088" spans="6:6" x14ac:dyDescent="0.35">
      <c r="F2088" s="15"/>
    </row>
    <row r="2089" spans="6:6" x14ac:dyDescent="0.35">
      <c r="F2089" s="15"/>
    </row>
    <row r="2090" spans="6:6" x14ac:dyDescent="0.35">
      <c r="F2090" s="15"/>
    </row>
    <row r="2091" spans="6:6" x14ac:dyDescent="0.35">
      <c r="F2091" s="15"/>
    </row>
    <row r="2092" spans="6:6" x14ac:dyDescent="0.35">
      <c r="F2092" s="15"/>
    </row>
    <row r="2093" spans="6:6" x14ac:dyDescent="0.35">
      <c r="F2093" s="15"/>
    </row>
    <row r="2094" spans="6:6" x14ac:dyDescent="0.35">
      <c r="F2094" s="15"/>
    </row>
    <row r="2095" spans="6:6" x14ac:dyDescent="0.35">
      <c r="F2095" s="15"/>
    </row>
    <row r="2096" spans="6:6" x14ac:dyDescent="0.35">
      <c r="F2096" s="15"/>
    </row>
    <row r="2097" spans="6:6" x14ac:dyDescent="0.35">
      <c r="F2097" s="15"/>
    </row>
    <row r="2098" spans="6:6" x14ac:dyDescent="0.35">
      <c r="F2098" s="15"/>
    </row>
    <row r="2099" spans="6:6" x14ac:dyDescent="0.35">
      <c r="F2099" s="15"/>
    </row>
    <row r="2100" spans="6:6" x14ac:dyDescent="0.35">
      <c r="F2100" s="15"/>
    </row>
    <row r="2101" spans="6:6" x14ac:dyDescent="0.35">
      <c r="F2101" s="15"/>
    </row>
    <row r="2102" spans="6:6" x14ac:dyDescent="0.35">
      <c r="F2102" s="15"/>
    </row>
    <row r="2103" spans="6:6" x14ac:dyDescent="0.35">
      <c r="F2103" s="15"/>
    </row>
    <row r="2104" spans="6:6" x14ac:dyDescent="0.35">
      <c r="F2104" s="15"/>
    </row>
    <row r="2105" spans="6:6" x14ac:dyDescent="0.35">
      <c r="F2105" s="15"/>
    </row>
    <row r="2106" spans="6:6" x14ac:dyDescent="0.35">
      <c r="F2106" s="15"/>
    </row>
    <row r="2107" spans="6:6" x14ac:dyDescent="0.35">
      <c r="F2107" s="15"/>
    </row>
    <row r="2108" spans="6:6" x14ac:dyDescent="0.35">
      <c r="F2108" s="15"/>
    </row>
    <row r="2109" spans="6:6" x14ac:dyDescent="0.35">
      <c r="F2109" s="15"/>
    </row>
    <row r="2111" spans="6:6" x14ac:dyDescent="0.35">
      <c r="F2111" s="15"/>
    </row>
    <row r="2112" spans="6:6" x14ac:dyDescent="0.35">
      <c r="F2112" s="15"/>
    </row>
    <row r="2113" spans="6:6" x14ac:dyDescent="0.35">
      <c r="F2113" s="15"/>
    </row>
    <row r="2114" spans="6:6" x14ac:dyDescent="0.35">
      <c r="F2114" s="15"/>
    </row>
    <row r="2115" spans="6:6" x14ac:dyDescent="0.35">
      <c r="F2115" s="15"/>
    </row>
    <row r="2116" spans="6:6" x14ac:dyDescent="0.35">
      <c r="F2116" s="15"/>
    </row>
    <row r="2117" spans="6:6" x14ac:dyDescent="0.35">
      <c r="F2117" s="15"/>
    </row>
    <row r="2118" spans="6:6" x14ac:dyDescent="0.35">
      <c r="F2118" s="15"/>
    </row>
    <row r="2119" spans="6:6" x14ac:dyDescent="0.35">
      <c r="F2119" s="15"/>
    </row>
    <row r="2120" spans="6:6" x14ac:dyDescent="0.35">
      <c r="F2120" s="15"/>
    </row>
    <row r="2121" spans="6:6" x14ac:dyDescent="0.35">
      <c r="F2121" s="15"/>
    </row>
    <row r="2122" spans="6:6" x14ac:dyDescent="0.35">
      <c r="F2122" s="15"/>
    </row>
    <row r="2123" spans="6:6" x14ac:dyDescent="0.35">
      <c r="F2123" s="15"/>
    </row>
    <row r="2124" spans="6:6" x14ac:dyDescent="0.35">
      <c r="F2124" s="15"/>
    </row>
    <row r="2125" spans="6:6" x14ac:dyDescent="0.35">
      <c r="F2125" s="15"/>
    </row>
    <row r="2126" spans="6:6" x14ac:dyDescent="0.35">
      <c r="F2126" s="15"/>
    </row>
    <row r="2127" spans="6:6" x14ac:dyDescent="0.35">
      <c r="F2127" s="15"/>
    </row>
    <row r="2128" spans="6:6" x14ac:dyDescent="0.35">
      <c r="F2128" s="15"/>
    </row>
    <row r="2129" spans="6:6" x14ac:dyDescent="0.35">
      <c r="F2129" s="15"/>
    </row>
    <row r="2130" spans="6:6" x14ac:dyDescent="0.35">
      <c r="F2130" s="15"/>
    </row>
    <row r="2131" spans="6:6" x14ac:dyDescent="0.35">
      <c r="F2131" s="15"/>
    </row>
    <row r="2132" spans="6:6" x14ac:dyDescent="0.35">
      <c r="F2132" s="15"/>
    </row>
    <row r="2133" spans="6:6" x14ac:dyDescent="0.35">
      <c r="F2133" s="15"/>
    </row>
    <row r="2134" spans="6:6" x14ac:dyDescent="0.35">
      <c r="F2134" s="15"/>
    </row>
    <row r="2135" spans="6:6" x14ac:dyDescent="0.35">
      <c r="F2135" s="15"/>
    </row>
    <row r="2136" spans="6:6" x14ac:dyDescent="0.35">
      <c r="F2136" s="15"/>
    </row>
    <row r="2137" spans="6:6" x14ac:dyDescent="0.35">
      <c r="F2137" s="15"/>
    </row>
    <row r="2138" spans="6:6" x14ac:dyDescent="0.35">
      <c r="F2138" s="15"/>
    </row>
    <row r="2139" spans="6:6" x14ac:dyDescent="0.35">
      <c r="F2139" s="15"/>
    </row>
    <row r="2140" spans="6:6" x14ac:dyDescent="0.35">
      <c r="F2140" s="15"/>
    </row>
    <row r="2141" spans="6:6" x14ac:dyDescent="0.35">
      <c r="F2141" s="15"/>
    </row>
    <row r="2142" spans="6:6" x14ac:dyDescent="0.35">
      <c r="F2142" s="15"/>
    </row>
    <row r="2143" spans="6:6" x14ac:dyDescent="0.35">
      <c r="F2143" s="15"/>
    </row>
    <row r="2144" spans="6:6" x14ac:dyDescent="0.35">
      <c r="F2144" s="15"/>
    </row>
    <row r="2145" spans="6:6" x14ac:dyDescent="0.35">
      <c r="F2145" s="15"/>
    </row>
    <row r="2146" spans="6:6" x14ac:dyDescent="0.35">
      <c r="F2146" s="15"/>
    </row>
    <row r="2147" spans="6:6" x14ac:dyDescent="0.35">
      <c r="F2147" s="15"/>
    </row>
    <row r="2148" spans="6:6" x14ac:dyDescent="0.35">
      <c r="F2148" s="15"/>
    </row>
    <row r="2149" spans="6:6" x14ac:dyDescent="0.35">
      <c r="F2149" s="15"/>
    </row>
    <row r="2150" spans="6:6" x14ac:dyDescent="0.35">
      <c r="F2150" s="15"/>
    </row>
    <row r="2151" spans="6:6" x14ac:dyDescent="0.35">
      <c r="F2151" s="15"/>
    </row>
    <row r="2152" spans="6:6" x14ac:dyDescent="0.35">
      <c r="F2152" s="15"/>
    </row>
    <row r="2153" spans="6:6" x14ac:dyDescent="0.35">
      <c r="F2153" s="15"/>
    </row>
    <row r="2154" spans="6:6" x14ac:dyDescent="0.35">
      <c r="F2154" s="15"/>
    </row>
    <row r="2155" spans="6:6" x14ac:dyDescent="0.35">
      <c r="F2155" s="15"/>
    </row>
    <row r="2156" spans="6:6" x14ac:dyDescent="0.35">
      <c r="F2156" s="15"/>
    </row>
    <row r="2157" spans="6:6" x14ac:dyDescent="0.35">
      <c r="F2157" s="15"/>
    </row>
    <row r="2158" spans="6:6" x14ac:dyDescent="0.35">
      <c r="F2158" s="15"/>
    </row>
    <row r="2159" spans="6:6" x14ac:dyDescent="0.35">
      <c r="F2159" s="15"/>
    </row>
    <row r="2160" spans="6:6" x14ac:dyDescent="0.35">
      <c r="F2160" s="15"/>
    </row>
    <row r="2161" spans="6:6" x14ac:dyDescent="0.35">
      <c r="F2161" s="15"/>
    </row>
    <row r="2162" spans="6:6" x14ac:dyDescent="0.35">
      <c r="F2162" s="15"/>
    </row>
    <row r="2163" spans="6:6" x14ac:dyDescent="0.35">
      <c r="F2163" s="15"/>
    </row>
    <row r="2164" spans="6:6" x14ac:dyDescent="0.35">
      <c r="F2164" s="15"/>
    </row>
    <row r="2165" spans="6:6" x14ac:dyDescent="0.35">
      <c r="F2165" s="15"/>
    </row>
    <row r="2166" spans="6:6" x14ac:dyDescent="0.35">
      <c r="F2166" s="15"/>
    </row>
    <row r="2167" spans="6:6" x14ac:dyDescent="0.35">
      <c r="F2167" s="15"/>
    </row>
    <row r="2168" spans="6:6" x14ac:dyDescent="0.35">
      <c r="F2168" s="15"/>
    </row>
    <row r="2169" spans="6:6" x14ac:dyDescent="0.35">
      <c r="F2169" s="15"/>
    </row>
    <row r="2170" spans="6:6" x14ac:dyDescent="0.35">
      <c r="F2170" s="15"/>
    </row>
    <row r="2171" spans="6:6" x14ac:dyDescent="0.35">
      <c r="F2171" s="15"/>
    </row>
    <row r="2172" spans="6:6" x14ac:dyDescent="0.35">
      <c r="F2172" s="15"/>
    </row>
    <row r="2173" spans="6:6" x14ac:dyDescent="0.35">
      <c r="F2173" s="15"/>
    </row>
    <row r="2174" spans="6:6" x14ac:dyDescent="0.35">
      <c r="F2174" s="15"/>
    </row>
    <row r="2175" spans="6:6" x14ac:dyDescent="0.35">
      <c r="F2175" s="15"/>
    </row>
    <row r="2176" spans="6:6" x14ac:dyDescent="0.35">
      <c r="F2176" s="15"/>
    </row>
    <row r="2177" spans="6:6" x14ac:dyDescent="0.35">
      <c r="F2177" s="15"/>
    </row>
    <row r="2178" spans="6:6" x14ac:dyDescent="0.35">
      <c r="F2178" s="15"/>
    </row>
    <row r="2179" spans="6:6" x14ac:dyDescent="0.35">
      <c r="F2179" s="15"/>
    </row>
    <row r="2180" spans="6:6" x14ac:dyDescent="0.35">
      <c r="F2180" s="15"/>
    </row>
    <row r="2181" spans="6:6" x14ac:dyDescent="0.35">
      <c r="F2181" s="15"/>
    </row>
    <row r="2182" spans="6:6" x14ac:dyDescent="0.35">
      <c r="F2182" s="15"/>
    </row>
    <row r="2183" spans="6:6" x14ac:dyDescent="0.35">
      <c r="F2183" s="15"/>
    </row>
    <row r="2184" spans="6:6" x14ac:dyDescent="0.35">
      <c r="F2184" s="15"/>
    </row>
    <row r="2185" spans="6:6" x14ac:dyDescent="0.35">
      <c r="F2185" s="15"/>
    </row>
    <row r="2186" spans="6:6" x14ac:dyDescent="0.35">
      <c r="F2186" s="15"/>
    </row>
    <row r="2187" spans="6:6" x14ac:dyDescent="0.35">
      <c r="F2187" s="15"/>
    </row>
    <row r="2188" spans="6:6" x14ac:dyDescent="0.35">
      <c r="F2188" s="15"/>
    </row>
    <row r="2189" spans="6:6" x14ac:dyDescent="0.35">
      <c r="F2189" s="15"/>
    </row>
    <row r="2190" spans="6:6" x14ac:dyDescent="0.35">
      <c r="F2190" s="15"/>
    </row>
    <row r="2191" spans="6:6" x14ac:dyDescent="0.35">
      <c r="F2191" s="15"/>
    </row>
    <row r="2192" spans="6:6" x14ac:dyDescent="0.35">
      <c r="F2192" s="15"/>
    </row>
    <row r="2193" spans="6:6" x14ac:dyDescent="0.35">
      <c r="F2193" s="15"/>
    </row>
    <row r="2194" spans="6:6" x14ac:dyDescent="0.35">
      <c r="F2194" s="15"/>
    </row>
    <row r="2195" spans="6:6" x14ac:dyDescent="0.35">
      <c r="F2195" s="15"/>
    </row>
    <row r="2196" spans="6:6" x14ac:dyDescent="0.35">
      <c r="F2196" s="15"/>
    </row>
    <row r="2197" spans="6:6" x14ac:dyDescent="0.35">
      <c r="F2197" s="15"/>
    </row>
    <row r="2199" spans="6:6" x14ac:dyDescent="0.35">
      <c r="F2199" s="15"/>
    </row>
    <row r="2200" spans="6:6" x14ac:dyDescent="0.35">
      <c r="F2200" s="15"/>
    </row>
    <row r="2201" spans="6:6" x14ac:dyDescent="0.35">
      <c r="F2201" s="15"/>
    </row>
    <row r="2202" spans="6:6" x14ac:dyDescent="0.35">
      <c r="F2202" s="15"/>
    </row>
    <row r="2203" spans="6:6" x14ac:dyDescent="0.35">
      <c r="F2203" s="15"/>
    </row>
    <row r="2204" spans="6:6" x14ac:dyDescent="0.35">
      <c r="F2204" s="15"/>
    </row>
    <row r="2205" spans="6:6" x14ac:dyDescent="0.35">
      <c r="F2205" s="15"/>
    </row>
    <row r="2206" spans="6:6" x14ac:dyDescent="0.35">
      <c r="F2206" s="15"/>
    </row>
    <row r="2207" spans="6:6" x14ac:dyDescent="0.35">
      <c r="F2207" s="15"/>
    </row>
    <row r="2208" spans="6:6" x14ac:dyDescent="0.35">
      <c r="F2208" s="15"/>
    </row>
    <row r="2209" spans="6:6" x14ac:dyDescent="0.35">
      <c r="F2209" s="15"/>
    </row>
    <row r="2210" spans="6:6" x14ac:dyDescent="0.35">
      <c r="F2210" s="15"/>
    </row>
    <row r="2211" spans="6:6" x14ac:dyDescent="0.35">
      <c r="F2211" s="15"/>
    </row>
    <row r="2212" spans="6:6" x14ac:dyDescent="0.35">
      <c r="F2212" s="15"/>
    </row>
    <row r="2213" spans="6:6" x14ac:dyDescent="0.35">
      <c r="F2213" s="15"/>
    </row>
    <row r="2214" spans="6:6" x14ac:dyDescent="0.35">
      <c r="F2214" s="15"/>
    </row>
    <row r="2215" spans="6:6" x14ac:dyDescent="0.35">
      <c r="F2215" s="15"/>
    </row>
    <row r="2216" spans="6:6" x14ac:dyDescent="0.35">
      <c r="F2216" s="15"/>
    </row>
    <row r="2217" spans="6:6" x14ac:dyDescent="0.35">
      <c r="F2217" s="15"/>
    </row>
    <row r="2218" spans="6:6" x14ac:dyDescent="0.35">
      <c r="F2218" s="15"/>
    </row>
    <row r="2219" spans="6:6" x14ac:dyDescent="0.35">
      <c r="F2219" s="15"/>
    </row>
    <row r="2220" spans="6:6" x14ac:dyDescent="0.35">
      <c r="F2220" s="15"/>
    </row>
    <row r="2221" spans="6:6" x14ac:dyDescent="0.35">
      <c r="F2221" s="15"/>
    </row>
    <row r="2222" spans="6:6" x14ac:dyDescent="0.35">
      <c r="F2222" s="15"/>
    </row>
    <row r="2223" spans="6:6" x14ac:dyDescent="0.35">
      <c r="F2223" s="15"/>
    </row>
    <row r="2224" spans="6:6" x14ac:dyDescent="0.35">
      <c r="F2224" s="15"/>
    </row>
    <row r="2225" spans="6:6" x14ac:dyDescent="0.35">
      <c r="F2225" s="15"/>
    </row>
    <row r="2226" spans="6:6" x14ac:dyDescent="0.35">
      <c r="F2226" s="15"/>
    </row>
    <row r="2227" spans="6:6" x14ac:dyDescent="0.35">
      <c r="F2227" s="15"/>
    </row>
    <row r="2228" spans="6:6" x14ac:dyDescent="0.35">
      <c r="F2228" s="15"/>
    </row>
    <row r="2229" spans="6:6" x14ac:dyDescent="0.35">
      <c r="F2229" s="15"/>
    </row>
    <row r="2230" spans="6:6" x14ac:dyDescent="0.35">
      <c r="F2230" s="15"/>
    </row>
    <row r="2231" spans="6:6" x14ac:dyDescent="0.35">
      <c r="F2231" s="15"/>
    </row>
    <row r="2232" spans="6:6" x14ac:dyDescent="0.35">
      <c r="F2232" s="15"/>
    </row>
    <row r="2233" spans="6:6" x14ac:dyDescent="0.35">
      <c r="F2233" s="15"/>
    </row>
    <row r="2234" spans="6:6" x14ac:dyDescent="0.35">
      <c r="F2234" s="15"/>
    </row>
    <row r="2235" spans="6:6" x14ac:dyDescent="0.35">
      <c r="F2235" s="15"/>
    </row>
    <row r="2236" spans="6:6" x14ac:dyDescent="0.35">
      <c r="F2236" s="15"/>
    </row>
    <row r="2237" spans="6:6" x14ac:dyDescent="0.35">
      <c r="F2237" s="15"/>
    </row>
    <row r="2238" spans="6:6" x14ac:dyDescent="0.35">
      <c r="F2238" s="15"/>
    </row>
    <row r="2239" spans="6:6" x14ac:dyDescent="0.35">
      <c r="F2239" s="15"/>
    </row>
    <row r="2240" spans="6:6" x14ac:dyDescent="0.35">
      <c r="F2240" s="15"/>
    </row>
    <row r="2241" spans="6:6" x14ac:dyDescent="0.35">
      <c r="F2241" s="15"/>
    </row>
    <row r="2242" spans="6:6" x14ac:dyDescent="0.35">
      <c r="F2242" s="15"/>
    </row>
    <row r="2243" spans="6:6" x14ac:dyDescent="0.35">
      <c r="F2243" s="15"/>
    </row>
    <row r="2244" spans="6:6" x14ac:dyDescent="0.35">
      <c r="F2244" s="15"/>
    </row>
    <row r="2245" spans="6:6" x14ac:dyDescent="0.35">
      <c r="F2245" s="15"/>
    </row>
    <row r="2246" spans="6:6" x14ac:dyDescent="0.35">
      <c r="F2246" s="15"/>
    </row>
    <row r="2247" spans="6:6" x14ac:dyDescent="0.35">
      <c r="F2247" s="15"/>
    </row>
    <row r="2248" spans="6:6" x14ac:dyDescent="0.35">
      <c r="F2248" s="15"/>
    </row>
    <row r="2249" spans="6:6" x14ac:dyDescent="0.35">
      <c r="F2249" s="15"/>
    </row>
    <row r="2250" spans="6:6" x14ac:dyDescent="0.35">
      <c r="F2250" s="15"/>
    </row>
    <row r="2251" spans="6:6" x14ac:dyDescent="0.35">
      <c r="F2251" s="15"/>
    </row>
    <row r="2253" spans="6:6" x14ac:dyDescent="0.35">
      <c r="F2253" s="15"/>
    </row>
    <row r="2254" spans="6:6" x14ac:dyDescent="0.35">
      <c r="F2254" s="15"/>
    </row>
    <row r="2255" spans="6:6" x14ac:dyDescent="0.35">
      <c r="F2255" s="15"/>
    </row>
    <row r="2256" spans="6:6" x14ac:dyDescent="0.35">
      <c r="F2256" s="15"/>
    </row>
    <row r="2257" spans="6:6" x14ac:dyDescent="0.35">
      <c r="F2257" s="15"/>
    </row>
    <row r="2258" spans="6:6" x14ac:dyDescent="0.35">
      <c r="F2258" s="15"/>
    </row>
    <row r="2259" spans="6:6" x14ac:dyDescent="0.35">
      <c r="F2259" s="15"/>
    </row>
    <row r="2260" spans="6:6" x14ac:dyDescent="0.35">
      <c r="F2260" s="15"/>
    </row>
    <row r="2261" spans="6:6" x14ac:dyDescent="0.35">
      <c r="F2261" s="15"/>
    </row>
    <row r="2262" spans="6:6" x14ac:dyDescent="0.35">
      <c r="F2262" s="15"/>
    </row>
    <row r="2263" spans="6:6" x14ac:dyDescent="0.35">
      <c r="F2263" s="15"/>
    </row>
    <row r="2264" spans="6:6" x14ac:dyDescent="0.35">
      <c r="F2264" s="15"/>
    </row>
    <row r="2265" spans="6:6" x14ac:dyDescent="0.35">
      <c r="F2265" s="15"/>
    </row>
    <row r="2266" spans="6:6" x14ac:dyDescent="0.35">
      <c r="F2266" s="15"/>
    </row>
    <row r="2267" spans="6:6" x14ac:dyDescent="0.35">
      <c r="F2267" s="15"/>
    </row>
    <row r="2268" spans="6:6" x14ac:dyDescent="0.35">
      <c r="F2268" s="15"/>
    </row>
    <row r="2269" spans="6:6" x14ac:dyDescent="0.35">
      <c r="F2269" s="15"/>
    </row>
    <row r="2270" spans="6:6" x14ac:dyDescent="0.35">
      <c r="F2270" s="15"/>
    </row>
    <row r="2271" spans="6:6" x14ac:dyDescent="0.35">
      <c r="F2271" s="15"/>
    </row>
    <row r="2272" spans="6:6" x14ac:dyDescent="0.35">
      <c r="F2272" s="15"/>
    </row>
    <row r="2273" spans="6:6" x14ac:dyDescent="0.35">
      <c r="F2273" s="15"/>
    </row>
    <row r="2274" spans="6:6" x14ac:dyDescent="0.35">
      <c r="F2274" s="15"/>
    </row>
    <row r="2275" spans="6:6" x14ac:dyDescent="0.35">
      <c r="F2275" s="15"/>
    </row>
    <row r="2276" spans="6:6" x14ac:dyDescent="0.35">
      <c r="F2276" s="15"/>
    </row>
    <row r="2277" spans="6:6" x14ac:dyDescent="0.35">
      <c r="F2277" s="15"/>
    </row>
    <row r="2278" spans="6:6" x14ac:dyDescent="0.35">
      <c r="F2278" s="15"/>
    </row>
    <row r="2279" spans="6:6" x14ac:dyDescent="0.35">
      <c r="F2279" s="15"/>
    </row>
    <row r="2280" spans="6:6" x14ac:dyDescent="0.35">
      <c r="F2280" s="15"/>
    </row>
    <row r="2281" spans="6:6" x14ac:dyDescent="0.35">
      <c r="F2281" s="15"/>
    </row>
    <row r="2282" spans="6:6" x14ac:dyDescent="0.35">
      <c r="F2282" s="15"/>
    </row>
    <row r="2283" spans="6:6" x14ac:dyDescent="0.35">
      <c r="F2283" s="15"/>
    </row>
    <row r="2284" spans="6:6" x14ac:dyDescent="0.35">
      <c r="F2284" s="15"/>
    </row>
    <row r="2285" spans="6:6" x14ac:dyDescent="0.35">
      <c r="F2285" s="15"/>
    </row>
    <row r="2286" spans="6:6" x14ac:dyDescent="0.35">
      <c r="F2286" s="15"/>
    </row>
    <row r="2287" spans="6:6" x14ac:dyDescent="0.35">
      <c r="F2287" s="15"/>
    </row>
    <row r="2288" spans="6:6" x14ac:dyDescent="0.35">
      <c r="F2288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Datos</vt:lpstr>
      <vt:lpstr>Legal 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Ernesto Quispe Martel</dc:creator>
  <cp:lastModifiedBy>Okadia, Wasim</cp:lastModifiedBy>
  <dcterms:created xsi:type="dcterms:W3CDTF">2020-02-03T16:44:51Z</dcterms:created>
  <dcterms:modified xsi:type="dcterms:W3CDTF">2024-01-11T00:43:20Z</dcterms:modified>
</cp:coreProperties>
</file>