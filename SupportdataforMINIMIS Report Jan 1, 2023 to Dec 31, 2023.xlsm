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C:\wamp64\www\~Consult Anubhav Projects\scotia-bank-automation\"/>
    </mc:Choice>
  </mc:AlternateContent>
  <xr:revisionPtr revIDLastSave="0" documentId="13_ncr:1_{F753AFD4-0BCF-4977-B0F5-B3EECF93AC1E}" xr6:coauthVersionLast="47" xr6:coauthVersionMax="47" xr10:uidLastSave="{00000000-0000-0000-0000-000000000000}"/>
  <bookViews>
    <workbookView xWindow="-108" yWindow="-108" windowWidth="23256" windowHeight="12456" tabRatio="877" firstSheet="4" activeTab="13" xr2:uid="{00000000-000D-0000-FFFF-FFFF00000000}"/>
  </bookViews>
  <sheets>
    <sheet name="Details" sheetId="18" r:id="rId1"/>
    <sheet name="Swaps Mexico" sheetId="29" r:id="rId2"/>
    <sheet name="New Swaps Mexico" sheetId="36" r:id="rId3"/>
    <sheet name="Options Mexico" sheetId="37" r:id="rId4"/>
    <sheet name="NDFs Mexico" sheetId="43" r:id="rId5"/>
    <sheet name="NDFs Peru" sheetId="26" r:id="rId6"/>
    <sheet name="NDFs-Chile" sheetId="32" r:id="rId7"/>
    <sheet name="Swaps-Chile" sheetId="33" r:id="rId8"/>
    <sheet name="NDFs Colombia" sheetId="34" r:id="rId9"/>
    <sheet name="Swaps Colombia" sheetId="44" r:id="rId10"/>
    <sheet name="Options Colombia" sheetId="35" r:id="rId11"/>
    <sheet name="Special Entities Check" sheetId="45" r:id="rId12"/>
    <sheet name="DF Status Report" sheetId="46" r:id="rId13"/>
    <sheet name="Clients" sheetId="38" r:id="rId14"/>
    <sheet name="Completeness Check" sheetId="42" r:id="rId15"/>
  </sheets>
  <definedNames>
    <definedName name="_xlnm._FilterDatabase" localSheetId="13" hidden="1">Clients!$A$1:$D$1590</definedName>
    <definedName name="_xlnm._FilterDatabase" localSheetId="8" hidden="1">'NDFs Colombia'!$A$2:$Q$267</definedName>
    <definedName name="_xlnm._FilterDatabase" localSheetId="6" hidden="1">'NDFs-Chile'!$A$2:$J$356</definedName>
    <definedName name="_xlnm._FilterDatabase" localSheetId="10" hidden="1">'Options Colombia'!$A$2:$I$30</definedName>
    <definedName name="_xlnm._FilterDatabase" localSheetId="9" hidden="1">'Swaps Colombia'!$A$2:$N$39</definedName>
    <definedName name="_xlnm._FilterDatabase" localSheetId="1" hidden="1">'Swaps Mexico'!$A$1:$O$53</definedName>
    <definedName name="BAL">#REF!</definedName>
    <definedName name="CLIENT">#REF!</definedName>
    <definedName name="CLIENTE">#REF!</definedName>
    <definedName name="IMP_COB">#REF!</definedName>
    <definedName name="IMP_MTM">#REF!</definedName>
    <definedName name="MON">#REF!</definedName>
    <definedName name="PLAZO">#REF!</definedName>
    <definedName name="PLAZOS">#REF!</definedName>
    <definedName name="PRINT">#REF!</definedName>
    <definedName name="_xlnm.Print_Area" localSheetId="0">Details!$B$2:$B$29</definedName>
    <definedName name="TASAS">#REF!</definedName>
    <definedName name="TCSBS">#REF!</definedName>
    <definedName name="TDOL">#REF!</definedName>
    <definedName name="TPEN">#REF!</definedName>
  </definedNames>
  <calcPr calcId="191029"/>
  <pivotCaches>
    <pivotCache cacheId="0" r:id="rId16"/>
    <pivotCache cacheId="1" r:id="rId1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32" l="1"/>
  <c r="J4" i="32"/>
  <c r="J5" i="32"/>
  <c r="J6" i="32"/>
  <c r="J7" i="32"/>
  <c r="J8" i="32"/>
  <c r="J9" i="32"/>
  <c r="J10" i="32"/>
  <c r="J11" i="32"/>
  <c r="J12" i="32"/>
  <c r="J13" i="32"/>
  <c r="J14" i="32"/>
  <c r="J15" i="32"/>
  <c r="J16" i="32"/>
  <c r="J17" i="32"/>
  <c r="J18" i="32"/>
  <c r="J19" i="32"/>
  <c r="J20" i="32"/>
  <c r="J21" i="32"/>
  <c r="J22" i="32"/>
  <c r="J23" i="32"/>
  <c r="J24" i="32"/>
  <c r="J25" i="32"/>
  <c r="J26" i="32"/>
  <c r="J27" i="32"/>
  <c r="J28" i="32"/>
  <c r="J29" i="32"/>
  <c r="J30" i="32"/>
  <c r="J31" i="32"/>
  <c r="J32" i="32"/>
  <c r="J33" i="32"/>
  <c r="J34" i="32"/>
  <c r="J35" i="32"/>
  <c r="J36" i="32"/>
  <c r="J37" i="32"/>
  <c r="J38" i="32"/>
  <c r="J39" i="32"/>
  <c r="J40" i="32"/>
  <c r="J41" i="32"/>
  <c r="J42" i="32"/>
  <c r="J43" i="32"/>
  <c r="J44" i="32"/>
  <c r="J45" i="32"/>
  <c r="J46" i="32"/>
  <c r="J47" i="32"/>
  <c r="J48" i="32"/>
  <c r="J49" i="32"/>
  <c r="J50" i="32"/>
  <c r="J51" i="32"/>
  <c r="J52" i="32"/>
  <c r="J53" i="32"/>
  <c r="J54" i="32"/>
  <c r="J55" i="32"/>
  <c r="J56" i="32"/>
  <c r="J57" i="32"/>
  <c r="J58" i="32"/>
  <c r="J59" i="32"/>
  <c r="J60" i="32"/>
  <c r="J61" i="32"/>
  <c r="J62" i="32"/>
  <c r="J63" i="32"/>
  <c r="J64" i="32"/>
  <c r="J65" i="32"/>
  <c r="J66" i="32"/>
  <c r="J67" i="32"/>
  <c r="J68" i="32"/>
  <c r="J69" i="32"/>
  <c r="J70" i="32"/>
  <c r="J71" i="32"/>
  <c r="J72" i="32"/>
  <c r="J73" i="32"/>
  <c r="J74" i="32"/>
  <c r="J75" i="32"/>
  <c r="J76" i="32"/>
  <c r="J77" i="32"/>
  <c r="J78" i="32"/>
  <c r="J79" i="32"/>
  <c r="J80" i="32"/>
  <c r="J81" i="32"/>
  <c r="J82" i="32"/>
  <c r="J83" i="32"/>
  <c r="J84" i="32"/>
  <c r="J85" i="32"/>
  <c r="J86" i="32"/>
  <c r="J87" i="32"/>
  <c r="J88" i="32"/>
  <c r="J89" i="32"/>
  <c r="J90" i="32"/>
  <c r="J91" i="32"/>
  <c r="J92" i="32"/>
  <c r="J93" i="32"/>
  <c r="J94" i="32"/>
  <c r="J95" i="32"/>
  <c r="J96" i="32"/>
  <c r="J97" i="32"/>
  <c r="J98" i="32"/>
  <c r="J99" i="32"/>
  <c r="J100" i="32"/>
  <c r="J101" i="32"/>
  <c r="J102" i="32"/>
  <c r="J103" i="32"/>
  <c r="J104" i="32"/>
  <c r="J105" i="32"/>
  <c r="J106" i="32"/>
  <c r="J107" i="32"/>
  <c r="J108" i="32"/>
  <c r="J109" i="32"/>
  <c r="J110" i="32"/>
  <c r="J111" i="32"/>
  <c r="J112" i="32"/>
  <c r="J113" i="32"/>
  <c r="J114" i="32"/>
  <c r="J115" i="32"/>
  <c r="J116" i="32"/>
  <c r="J117" i="32"/>
  <c r="J118" i="32"/>
  <c r="J119" i="32"/>
  <c r="J120" i="32"/>
  <c r="J121" i="32"/>
  <c r="J122" i="32"/>
  <c r="J123" i="32"/>
  <c r="J124" i="32"/>
  <c r="J125" i="32"/>
  <c r="J126" i="32"/>
  <c r="J127" i="32"/>
  <c r="J128" i="32"/>
  <c r="J129" i="32"/>
  <c r="J130" i="32"/>
  <c r="J131" i="32"/>
  <c r="J132" i="32"/>
  <c r="J133" i="32"/>
  <c r="J134" i="32"/>
  <c r="J135" i="32"/>
  <c r="J136" i="32"/>
  <c r="J137" i="32"/>
  <c r="J138" i="32"/>
  <c r="J139" i="32"/>
  <c r="J140" i="32"/>
  <c r="J141" i="32"/>
  <c r="J142" i="32"/>
  <c r="J143" i="32"/>
  <c r="J144" i="32"/>
  <c r="J145" i="32"/>
  <c r="J146" i="32"/>
  <c r="J147" i="32"/>
  <c r="J148" i="32"/>
  <c r="J149" i="32"/>
  <c r="J150" i="32"/>
  <c r="J151" i="32"/>
  <c r="J152" i="32"/>
  <c r="J153" i="32"/>
  <c r="J154" i="32"/>
  <c r="J155" i="32"/>
  <c r="J156" i="32"/>
  <c r="J157" i="32"/>
  <c r="J158" i="32"/>
  <c r="J159" i="32"/>
  <c r="J160" i="32"/>
  <c r="J161" i="32"/>
  <c r="J162" i="32"/>
  <c r="J163" i="32"/>
  <c r="J164" i="32"/>
  <c r="J165" i="32"/>
  <c r="J166" i="32"/>
  <c r="J167" i="32"/>
  <c r="J168" i="32"/>
  <c r="J169" i="32"/>
  <c r="J170" i="32"/>
  <c r="J171" i="32"/>
  <c r="J172" i="32"/>
  <c r="J173" i="32"/>
  <c r="J174" i="32"/>
  <c r="J175" i="32"/>
  <c r="J176" i="32"/>
  <c r="J177" i="32"/>
  <c r="J178" i="32"/>
  <c r="J179" i="32"/>
  <c r="J180" i="32"/>
  <c r="J181" i="32"/>
  <c r="J182" i="32"/>
  <c r="J183" i="32"/>
  <c r="J184" i="32"/>
  <c r="J185" i="32"/>
  <c r="J186" i="32"/>
  <c r="J187" i="32"/>
  <c r="J188" i="32"/>
  <c r="J189" i="32"/>
  <c r="J190" i="32"/>
  <c r="J191" i="32"/>
  <c r="J192" i="32"/>
  <c r="H70" i="35"/>
  <c r="N247" i="44" l="1"/>
  <c r="S20" i="18" s="1"/>
  <c r="J193" i="32"/>
  <c r="J194" i="32"/>
  <c r="J195" i="32"/>
  <c r="J196" i="32"/>
  <c r="J197" i="32"/>
  <c r="J198" i="32"/>
  <c r="J199" i="32"/>
  <c r="J200" i="32"/>
  <c r="J201" i="32"/>
  <c r="J202" i="32"/>
  <c r="J203" i="32"/>
  <c r="J204" i="32"/>
  <c r="J205" i="32"/>
  <c r="J206" i="32"/>
  <c r="J207" i="32"/>
  <c r="J208" i="32"/>
  <c r="J209" i="32"/>
  <c r="J210" i="32"/>
  <c r="J211" i="32"/>
  <c r="J212" i="32"/>
  <c r="J213" i="32"/>
  <c r="J214" i="32"/>
  <c r="J215" i="32"/>
  <c r="J216" i="32"/>
  <c r="J217" i="32"/>
  <c r="J218" i="32"/>
  <c r="J219" i="32"/>
  <c r="J220" i="32"/>
  <c r="J221" i="32"/>
  <c r="J222" i="32"/>
  <c r="J223" i="32"/>
  <c r="J224" i="32"/>
  <c r="J225" i="32"/>
  <c r="J226" i="32"/>
  <c r="J227" i="32"/>
  <c r="J228" i="32"/>
  <c r="J229" i="32"/>
  <c r="J230" i="32"/>
  <c r="J231" i="32"/>
  <c r="J232" i="32"/>
  <c r="J233" i="32"/>
  <c r="J234" i="32"/>
  <c r="J235" i="32"/>
  <c r="J236" i="32"/>
  <c r="J237" i="32"/>
  <c r="J238" i="32"/>
  <c r="J239" i="32"/>
  <c r="J240" i="32"/>
  <c r="B2" i="45"/>
  <c r="O13" i="34" l="1"/>
  <c r="U6" i="29" l="1"/>
  <c r="B3" i="45" l="1"/>
  <c r="C3" i="45" s="1"/>
  <c r="B4" i="45"/>
  <c r="C4" i="45" s="1"/>
  <c r="B5" i="45"/>
  <c r="C5" i="45" s="1"/>
  <c r="B6" i="45"/>
  <c r="C6" i="45" s="1"/>
  <c r="B7" i="45"/>
  <c r="C7" i="45" s="1"/>
  <c r="B8" i="45"/>
  <c r="C8" i="45" s="1"/>
  <c r="B9" i="45"/>
  <c r="C9" i="45" s="1"/>
  <c r="B10" i="45"/>
  <c r="C10" i="45" s="1"/>
  <c r="B11" i="45"/>
  <c r="C11" i="45" s="1"/>
  <c r="B12" i="45"/>
  <c r="C12" i="45" s="1"/>
  <c r="B13" i="45"/>
  <c r="C13" i="45" s="1"/>
  <c r="B14" i="45"/>
  <c r="C14" i="45" s="1"/>
  <c r="B15" i="45"/>
  <c r="C15" i="45" s="1"/>
  <c r="C2" i="45"/>
  <c r="S6" i="18" l="1"/>
  <c r="S7" i="18"/>
  <c r="S21" i="18" l="1"/>
  <c r="O14" i="33"/>
  <c r="P92" i="26" l="1"/>
  <c r="S35" i="18" l="1"/>
  <c r="N36" i="43" l="1"/>
  <c r="J356" i="32" l="1"/>
  <c r="J355" i="32"/>
  <c r="J354" i="32"/>
  <c r="J353" i="32"/>
  <c r="J352" i="32"/>
  <c r="J351" i="32"/>
  <c r="J350" i="32"/>
  <c r="J349" i="32"/>
  <c r="J348" i="32"/>
  <c r="J347" i="32"/>
  <c r="J346" i="32"/>
  <c r="J345" i="32"/>
  <c r="J344" i="32"/>
  <c r="J343" i="32"/>
  <c r="J342" i="32"/>
  <c r="J341" i="32"/>
  <c r="J340" i="32"/>
  <c r="J339" i="32"/>
  <c r="J338" i="32"/>
  <c r="J337" i="32"/>
  <c r="J336" i="32"/>
  <c r="J335" i="32"/>
  <c r="J334" i="32"/>
  <c r="J333" i="32"/>
  <c r="J332" i="32"/>
  <c r="J331" i="32"/>
  <c r="J330" i="32"/>
  <c r="J329" i="32"/>
  <c r="J328" i="32"/>
  <c r="J327" i="32"/>
  <c r="J326" i="32"/>
  <c r="J325" i="32"/>
  <c r="J324" i="32"/>
  <c r="J323" i="32"/>
  <c r="J322" i="32"/>
  <c r="J321" i="32"/>
  <c r="J320" i="32"/>
  <c r="J319" i="32"/>
  <c r="J318" i="32"/>
  <c r="J317" i="32"/>
  <c r="J316" i="32"/>
  <c r="J315" i="32"/>
  <c r="J314" i="32"/>
  <c r="J313" i="32"/>
  <c r="J312" i="32"/>
  <c r="J311" i="32"/>
  <c r="J310" i="32"/>
  <c r="J309" i="32"/>
  <c r="J308" i="32"/>
  <c r="J307" i="32"/>
  <c r="J306" i="32"/>
  <c r="J305" i="32"/>
  <c r="J304" i="32"/>
  <c r="J303" i="32"/>
  <c r="J302" i="32"/>
  <c r="J301" i="32"/>
  <c r="J300" i="32"/>
  <c r="J299" i="32"/>
  <c r="J298" i="32"/>
  <c r="J297" i="32"/>
  <c r="J296" i="32"/>
  <c r="J295" i="32"/>
  <c r="J294" i="32"/>
  <c r="J293" i="32"/>
  <c r="J292" i="32"/>
  <c r="J291" i="32"/>
  <c r="J290" i="32"/>
  <c r="J289" i="32"/>
  <c r="J288" i="32"/>
  <c r="J287" i="32"/>
  <c r="J286" i="32"/>
  <c r="J285" i="32"/>
  <c r="J284" i="32"/>
  <c r="J283" i="32"/>
  <c r="J282" i="32"/>
  <c r="J281" i="32"/>
  <c r="J280" i="32"/>
  <c r="J279" i="32"/>
  <c r="J278" i="32"/>
  <c r="J277" i="32"/>
  <c r="J276" i="32"/>
  <c r="J275" i="32"/>
  <c r="J274" i="32"/>
  <c r="J273" i="32"/>
  <c r="J272" i="32"/>
  <c r="J271" i="32"/>
  <c r="J270" i="32"/>
  <c r="J269" i="32"/>
  <c r="J268" i="32"/>
  <c r="J267" i="32"/>
  <c r="J266" i="32"/>
  <c r="J265" i="32"/>
  <c r="J264" i="32"/>
  <c r="J263" i="32"/>
  <c r="J262" i="32"/>
  <c r="J261" i="32"/>
  <c r="J260" i="32"/>
  <c r="J259" i="32"/>
  <c r="J258" i="32"/>
  <c r="J257" i="32"/>
  <c r="J256" i="32"/>
  <c r="J255" i="32"/>
  <c r="J254" i="32"/>
  <c r="J253" i="32"/>
  <c r="J252" i="32"/>
  <c r="J251" i="32"/>
  <c r="J250" i="32"/>
  <c r="J249" i="32"/>
  <c r="J248" i="32"/>
  <c r="J247" i="32"/>
  <c r="J246" i="32"/>
  <c r="J245" i="32"/>
  <c r="J244" i="32"/>
  <c r="J243" i="32"/>
  <c r="J242" i="32"/>
  <c r="J241" i="32"/>
  <c r="J360" i="32" l="1"/>
  <c r="S17" i="18" s="1"/>
  <c r="C13" i="33"/>
  <c r="C14" i="33"/>
  <c r="C15" i="33"/>
  <c r="C16" i="33"/>
  <c r="C17" i="33"/>
  <c r="I206" i="37" l="1"/>
  <c r="S8" i="18" s="1"/>
  <c r="S22" i="18" l="1"/>
  <c r="S23" i="18" l="1"/>
  <c r="S28" i="18" l="1"/>
  <c r="S9" i="18" l="1"/>
  <c r="S16" i="18" l="1"/>
  <c r="S26" i="18" s="1"/>
  <c r="S12" i="18"/>
  <c r="S13" i="18" s="1"/>
  <c r="S18" i="18" l="1"/>
  <c r="S27" i="18"/>
  <c r="S29" i="18" s="1"/>
  <c r="S37" i="18" l="1"/>
  <c r="K12" i="42" s="1"/>
  <c r="S30" i="18"/>
  <c r="S32" i="18" s="1"/>
  <c r="M12" i="42"/>
  <c r="S31" i="18" l="1"/>
</calcChain>
</file>

<file path=xl/sharedStrings.xml><?xml version="1.0" encoding="utf-8"?>
<sst xmlns="http://schemas.openxmlformats.org/spreadsheetml/2006/main" count="58135" uniqueCount="36404">
  <si>
    <t>Fecha Pacto</t>
  </si>
  <si>
    <t>Fecha Vcto</t>
  </si>
  <si>
    <t>Contraparte</t>
  </si>
  <si>
    <t>Counterparty</t>
  </si>
  <si>
    <t>Plazo</t>
  </si>
  <si>
    <t>Tipo_Operación</t>
  </si>
  <si>
    <t>Flag NDF</t>
  </si>
  <si>
    <t>Mon1</t>
  </si>
  <si>
    <t>Mon2</t>
  </si>
  <si>
    <t>Cod Operación</t>
  </si>
  <si>
    <t>Monto 2</t>
  </si>
  <si>
    <t>USD</t>
  </si>
  <si>
    <t>TC spot</t>
  </si>
  <si>
    <t>TC Forward</t>
  </si>
  <si>
    <t>Contrapartes Norteamericanas:</t>
  </si>
  <si>
    <t xml:space="preserve">Swaps Mexico </t>
  </si>
  <si>
    <t>Subtotal Mexico</t>
  </si>
  <si>
    <t xml:space="preserve">Swaps Peru </t>
  </si>
  <si>
    <t>Fx Forwards Peru(NDFs)</t>
  </si>
  <si>
    <t>Subtotal Peru</t>
  </si>
  <si>
    <t xml:space="preserve">Swaps Chile </t>
  </si>
  <si>
    <t>Fx Forwards Chile (NDFs)</t>
  </si>
  <si>
    <t>Subtotal Chile</t>
  </si>
  <si>
    <t xml:space="preserve">Swaps </t>
  </si>
  <si>
    <t>Fx Forwards (NDFs)</t>
  </si>
  <si>
    <t>Total</t>
  </si>
  <si>
    <t>Subtotal Colpatria</t>
  </si>
  <si>
    <t>Options</t>
  </si>
  <si>
    <t>*Values based on period end date + 15 days</t>
  </si>
  <si>
    <t>MORGAN STANLEY CAPITAL SERVICES</t>
  </si>
  <si>
    <t>Trade_Date</t>
  </si>
  <si>
    <t>Maturity_Date</t>
  </si>
  <si>
    <t>Term</t>
  </si>
  <si>
    <t>Notional amount in USD</t>
  </si>
  <si>
    <t>Producto</t>
  </si>
  <si>
    <t>Receive_Notional</t>
  </si>
  <si>
    <t>Receive_Currency</t>
  </si>
  <si>
    <t>Receive_Yield</t>
  </si>
  <si>
    <t>Pay_Notional</t>
  </si>
  <si>
    <t>Pay_Currency</t>
  </si>
  <si>
    <t>Pay_Yield</t>
  </si>
  <si>
    <t>Plazo remanente</t>
  </si>
  <si>
    <t>Recibe Nocional</t>
  </si>
  <si>
    <t>Recibe Moneda</t>
  </si>
  <si>
    <t>Recibe Tasa</t>
  </si>
  <si>
    <t>Paga Nocional</t>
  </si>
  <si>
    <t>Paga Moneda</t>
  </si>
  <si>
    <t>Paga Tasa</t>
  </si>
  <si>
    <t>Código de Operación</t>
  </si>
  <si>
    <t>US person (Yes/No)</t>
  </si>
  <si>
    <t>Monto en Dólares</t>
  </si>
  <si>
    <t>Residual Maturity</t>
  </si>
  <si>
    <t>Product</t>
  </si>
  <si>
    <t>Trade ID</t>
  </si>
  <si>
    <t>MINIMIS VOLUME INTERNATIONAL SUBSIDIARIES</t>
  </si>
  <si>
    <t>MINIMIS VOLUME LATAM</t>
  </si>
  <si>
    <t>MINIMIS VOLUME OTHER COUNTRIES</t>
  </si>
  <si>
    <t>TOTAL LATAM</t>
  </si>
  <si>
    <t>TOTAL OTHER COUNTRIES</t>
  </si>
  <si>
    <t>Producto ND(Non deliverable) / D (Deliverable)</t>
  </si>
  <si>
    <t>BUY /SELL type of trade</t>
  </si>
  <si>
    <t>Product ND(Non deliverable) / D (Deliverable)</t>
  </si>
  <si>
    <t>PRODUCT</t>
  </si>
  <si>
    <t>CCS: Cross Currency Swap</t>
  </si>
  <si>
    <t>IRS: Interest Rate Swap</t>
  </si>
  <si>
    <t>Receive and pay Yield examples:</t>
  </si>
  <si>
    <t>TASA FIJA</t>
  </si>
  <si>
    <t>LIBOR</t>
  </si>
  <si>
    <t>TIIE</t>
  </si>
  <si>
    <t>Options Mexico</t>
  </si>
  <si>
    <t>exch as of  Jan 2016</t>
  </si>
  <si>
    <t>Tipo de cambio</t>
  </si>
  <si>
    <t>FX Exch rate</t>
  </si>
  <si>
    <t>Exchange rate</t>
  </si>
  <si>
    <t>Exchange rate month end</t>
  </si>
  <si>
    <t>Swaps Colombia</t>
  </si>
  <si>
    <t>Fx Forwards Colombia (NDFs)</t>
  </si>
  <si>
    <t>Options Colombia</t>
  </si>
  <si>
    <t>LATAM Total</t>
  </si>
  <si>
    <t>Mexico</t>
  </si>
  <si>
    <t>Colombia</t>
  </si>
  <si>
    <t>Row Labels</t>
  </si>
  <si>
    <t>Grand Total</t>
  </si>
  <si>
    <t>Column Labels</t>
  </si>
  <si>
    <t>Sum of Notional amount in USD</t>
  </si>
  <si>
    <t>Total Sum of Notional amount in USD</t>
  </si>
  <si>
    <t>Total Count of Counterparty</t>
  </si>
  <si>
    <t>Count of Counterparty</t>
  </si>
  <si>
    <t>Peru</t>
  </si>
  <si>
    <t>(blank)</t>
  </si>
  <si>
    <t>Forwards</t>
  </si>
  <si>
    <t xml:space="preserve">Chile </t>
  </si>
  <si>
    <t>Fx Forwards Mexico (NDFs)</t>
  </si>
  <si>
    <t>Swaps</t>
  </si>
  <si>
    <t>Country</t>
  </si>
  <si>
    <t>BNS ENTITY</t>
  </si>
  <si>
    <t>Nocional</t>
  </si>
  <si>
    <t>Notional</t>
  </si>
  <si>
    <t>US person (Yes: "Y"/No: "N")</t>
  </si>
  <si>
    <t>Fecha</t>
  </si>
  <si>
    <t>Monto MonOrig (USD)</t>
  </si>
  <si>
    <t>549300RHSHNRWI5LLA86</t>
  </si>
  <si>
    <t>549300YWP5MNRWXS7N20</t>
  </si>
  <si>
    <t>254900GWDOF4VGHYWN42</t>
  </si>
  <si>
    <t>549300NOLSUXJQPFGQ57</t>
  </si>
  <si>
    <t>549300GX232Z1UYP0E41</t>
  </si>
  <si>
    <t>5493001F3JRVFSNAPG47</t>
  </si>
  <si>
    <t>1N2S7NKM4XXPXAZFNV64</t>
  </si>
  <si>
    <t>5493001L78U618KXNZ75</t>
  </si>
  <si>
    <t>549300T13UTNTU8T2H61</t>
  </si>
  <si>
    <t>7QEON6Y1RL5XR3R1W237</t>
  </si>
  <si>
    <t>ZRPT83FLC26QOUQ8DT58</t>
  </si>
  <si>
    <t>3WR305FR7SUR2T67S809</t>
  </si>
  <si>
    <t>I0QE13EE2I1J0ZY2EF84</t>
  </si>
  <si>
    <t>5KMEZZHD5CQWHNIBCT40</t>
  </si>
  <si>
    <t>G10GRT71S9XPMVCPYV92</t>
  </si>
  <si>
    <t>1XLP8EP6FZUGMP85CM51</t>
  </si>
  <si>
    <t>O1A2ET91OUYOZUUJI538</t>
  </si>
  <si>
    <t>ALAMOS GOLD INC.</t>
  </si>
  <si>
    <t>549300TDOX73YGYXE959</t>
  </si>
  <si>
    <t>549300G8S4PO686J7H97</t>
  </si>
  <si>
    <t>549300Q3OHVNUCAS0892</t>
  </si>
  <si>
    <t>549300VTXZHB8XJR3S03</t>
  </si>
  <si>
    <t>WIHO2R4BGGT9EIBAV109</t>
  </si>
  <si>
    <t>549300QOAB2GJSFM0381</t>
  </si>
  <si>
    <t>PLH0I0VQA1SU41NKTM31</t>
  </si>
  <si>
    <t>6NL7EBUK4E0HIV223T62</t>
  </si>
  <si>
    <t>XSGZFLO9YTNO9VCQV219</t>
  </si>
  <si>
    <t>549300VGG9K75226LR46</t>
  </si>
  <si>
    <t>AMCOR FINANCE (USA), INC.</t>
  </si>
  <si>
    <t>549300ZMT7FVT8R77U18</t>
  </si>
  <si>
    <t>PTVU09TE3QPJPL7K4E13</t>
  </si>
  <si>
    <t>RC71E2BZ6UOMFPDJSE79</t>
  </si>
  <si>
    <t>1B4S6S7G0TW5EE83BO58</t>
  </si>
  <si>
    <t>5493006ORUSIL88JOE18</t>
  </si>
  <si>
    <t>54930020R9MCME08M735</t>
  </si>
  <si>
    <t>AMERICREDIT SYNDICATED WAREHOUSE TRUST</t>
  </si>
  <si>
    <t>549300HODENGE0VEQX76</t>
  </si>
  <si>
    <t>724500JNEDA4E2P5K973</t>
  </si>
  <si>
    <t>APVBKPOULHUX7YZLKU17</t>
  </si>
  <si>
    <t>LTS3U8DGK38SETRUWX71</t>
  </si>
  <si>
    <t>72ZZ1XRHOOU9P9X16K08</t>
  </si>
  <si>
    <t>549300EVOTK5FDSN7L40</t>
  </si>
  <si>
    <t>TELFIN0KBT6PIRGM0X52</t>
  </si>
  <si>
    <t>254900YP08ROQK7Z7330</t>
  </si>
  <si>
    <t>549300LO13MQ9HYSTR83</t>
  </si>
  <si>
    <t>549300CGGHP67RTB4A68</t>
  </si>
  <si>
    <t>5493002SIMBUJ2D0L382</t>
  </si>
  <si>
    <t>Argonaut Gold Inc.</t>
  </si>
  <si>
    <t>54930043XCKI4E8EQR38</t>
  </si>
  <si>
    <t>YG6VT0TPHRH4TFVAQV64</t>
  </si>
  <si>
    <t>MF45VK9GM4QS7YF6BN06</t>
  </si>
  <si>
    <t>KXMRXXOJ88Q45Y45MG74</t>
  </si>
  <si>
    <t>ARROW CENTRAL EUROPE GMBH</t>
  </si>
  <si>
    <t>5493000YQWOCLY43AE81</t>
  </si>
  <si>
    <t>549300C2O6C8M0VLKM03</t>
  </si>
  <si>
    <t>549300YNNLBXT8N8R512</t>
  </si>
  <si>
    <t>549300OG2O5VI2N1XS44</t>
  </si>
  <si>
    <t>6O4MRU8C1MS0K34UQF79</t>
  </si>
  <si>
    <t>549300Z40J86GGSTL398</t>
  </si>
  <si>
    <t>5493000DX66ZDGX1J364</t>
  </si>
  <si>
    <t>RUNCUDXRHP89ABSR6U05</t>
  </si>
  <si>
    <t>ATLAS MACRO MASTER FUND LTD</t>
  </si>
  <si>
    <t>549300KM4DRKLEPZUO76</t>
  </si>
  <si>
    <t>Atlas Master Fund Ltd</t>
  </si>
  <si>
    <t>8AK086LVQF8ZIT640V07</t>
  </si>
  <si>
    <t>549300MTKKPM48857F60</t>
  </si>
  <si>
    <t>549300GSYTGX1MN3AE83</t>
  </si>
  <si>
    <t>K9G90K85RBWD2LAGQX17</t>
  </si>
  <si>
    <t>XN8R4HH1TVC1XOCL5P21</t>
  </si>
  <si>
    <t>IHXLB8SL0QWSSG2VG640</t>
  </si>
  <si>
    <t>213800G3N5F42PQLJF86</t>
  </si>
  <si>
    <t>BACKERHAUS VEIT LTD.</t>
  </si>
  <si>
    <t>549300QGY373XNKU5S57</t>
  </si>
  <si>
    <t>BAILEY METAL PRODUCTS LIMITED</t>
  </si>
  <si>
    <t>549300PDZT5FSSJKJG62</t>
  </si>
  <si>
    <t>0BGI85ALH27ZJP15DY16</t>
  </si>
  <si>
    <t>B4TYDEB6GKMZO031MB27</t>
  </si>
  <si>
    <t>549300VWP22XD57PDX77</t>
  </si>
  <si>
    <t>549300CRBWTLGQEJIP81</t>
  </si>
  <si>
    <t>BAYTEX ENERGY LTD.</t>
  </si>
  <si>
    <t>549300QVRPF55YS4I188</t>
  </si>
  <si>
    <t>A2351DQ25OUUH2Q6RR89</t>
  </si>
  <si>
    <t>ICE2EP6D98PQUILVRZ91</t>
  </si>
  <si>
    <t>549300OENMRKEOSRVT65</t>
  </si>
  <si>
    <t>549300NKR6D25KPPAY43</t>
  </si>
  <si>
    <t>529900FJ2VM3JLXS6T37</t>
  </si>
  <si>
    <t>2549001G34DT0QX1GO71</t>
  </si>
  <si>
    <t>5493001KJTIIGC8Y1R12</t>
  </si>
  <si>
    <t>549300B56MD0ZC402L06</t>
  </si>
  <si>
    <t>549300Z1SRCDQK9CEV43</t>
  </si>
  <si>
    <t>3Y4U8VZURTYWI1W2K376</t>
  </si>
  <si>
    <t>549300Q7O3NKBHN0BP12</t>
  </si>
  <si>
    <t>254900QHVDVYZC4TSV61</t>
  </si>
  <si>
    <t>FU7RSW4CQQY98A2O7J66</t>
  </si>
  <si>
    <t>IIVIHPH28S64K95M2381</t>
  </si>
  <si>
    <t>FN7P4E7K9JOBORDEUX61</t>
  </si>
  <si>
    <t>BVHHEFJI6SHNOKQT2572</t>
  </si>
  <si>
    <t>Y6ZDD9FP4P8JSSJMW954</t>
  </si>
  <si>
    <t>BOSTON SCIENTIFIC FAR EAST B.V.</t>
  </si>
  <si>
    <t>SKAUHYRO3X7O726A9T74</t>
  </si>
  <si>
    <t>549300BBNO92UFP3TA05</t>
  </si>
  <si>
    <t>549300CJHBL7JBUA6503</t>
  </si>
  <si>
    <t>549300WV6GIDOZJTV909</t>
  </si>
  <si>
    <t>SF0MME7527IEME56HN58</t>
  </si>
  <si>
    <t>5493006KMX1VFTPYPW14</t>
  </si>
  <si>
    <t>549300873K3LXF7ARU34</t>
  </si>
  <si>
    <t>549300KSG8WCCGK8P557</t>
  </si>
  <si>
    <t>54930010KQI3E4K4H088</t>
  </si>
  <si>
    <t>GCT7RXJOGLXPV0NXZY22</t>
  </si>
  <si>
    <t>NGIG5SPDYBGKD6EW7619</t>
  </si>
  <si>
    <t>549300GL1JOQ7TI73B39</t>
  </si>
  <si>
    <t>549300EFOWPEB0WLZW21</t>
  </si>
  <si>
    <t>5493002MYX22OHYJBD89</t>
  </si>
  <si>
    <t>54930066SVUPVIHE5U21</t>
  </si>
  <si>
    <t>207ALC1P1YM0OVDV0K75</t>
  </si>
  <si>
    <t>CCU46N3GJMF4OK4N7U60</t>
  </si>
  <si>
    <t>YMFI60WPVOWROKG67Y03</t>
  </si>
  <si>
    <t>549300EOP3O3IFD6CE89</t>
  </si>
  <si>
    <t>EK36JSPFYM1OUH6SMN21</t>
  </si>
  <si>
    <t>CEN40PVLX0I4LD94O049</t>
  </si>
  <si>
    <t>5493000DKUX0M5ZSZO34</t>
  </si>
  <si>
    <t>549300LOZA43E2DYBP26</t>
  </si>
  <si>
    <t>7DM2VXELN35W8C6F6W03</t>
  </si>
  <si>
    <t>549300N0Z2HGPKNHN078</t>
  </si>
  <si>
    <t>549300MGZWS3ZWNOVV70</t>
  </si>
  <si>
    <t>549300ZBY9T7PPQK8K67</t>
  </si>
  <si>
    <t>549300K0HXTMP5JJ0E62</t>
  </si>
  <si>
    <t>CRYY0P1QBVL5M2COWL45</t>
  </si>
  <si>
    <t>54930062J482NEGWWO21</t>
  </si>
  <si>
    <t>5493006L0V0VB3MIIV30</t>
  </si>
  <si>
    <t>254900YQC5GNVL13O314</t>
  </si>
  <si>
    <t>549300I7CIEWU1BBLQ53</t>
  </si>
  <si>
    <t>5493000HT7H4OFOD6Z12</t>
  </si>
  <si>
    <t>CHURCH &amp; DWIGHT CO., INC.</t>
  </si>
  <si>
    <t>POOXSI30AWAQGYJZC921</t>
  </si>
  <si>
    <t>549300KC080LMZA57754</t>
  </si>
  <si>
    <t>5493004RRZVBVH5Z5B20</t>
  </si>
  <si>
    <t>11KYOFXPU1C4CQL1CL44</t>
  </si>
  <si>
    <t>549300IVNV4PCRSARN75</t>
  </si>
  <si>
    <t>549300LKFJ962MZ46593</t>
  </si>
  <si>
    <t>549300DZV7T0LV9QYE62</t>
  </si>
  <si>
    <t>5493006Y8YEMWRMUTL77</t>
  </si>
  <si>
    <t>549300T5FTCH86YZT374</t>
  </si>
  <si>
    <t>54930070RYRSAQIZYF70</t>
  </si>
  <si>
    <t>YJW4XPRSVL5L1ANG2086</t>
  </si>
  <si>
    <t>E57ODZWZ7FF32TWEFA76</t>
  </si>
  <si>
    <t>Citibank, National Association</t>
  </si>
  <si>
    <t>549300LUNF9T5IR80O48</t>
  </si>
  <si>
    <t>CKHJ2UYFJET57VN40289</t>
  </si>
  <si>
    <t>549300BJ4GP2VVLBZQ42</t>
  </si>
  <si>
    <t>5493003AVK173D48DR70</t>
  </si>
  <si>
    <t>D3O8K13PHLEXXD1DT480</t>
  </si>
  <si>
    <t>8Z4K1FUQRPCJYKZNOK04</t>
  </si>
  <si>
    <t>51M0QTTNCGUN7KFCFZ59</t>
  </si>
  <si>
    <t>70WY0ID1N53Q4254VH70</t>
  </si>
  <si>
    <t>MIO Partners, Inc.</t>
  </si>
  <si>
    <t>2549008X9G8XP7YJGC47</t>
  </si>
  <si>
    <t>54930035UDEIH090K650</t>
  </si>
  <si>
    <t>549300VT1MJ2M0SBBL06</t>
  </si>
  <si>
    <t>549300CZ03MC0SNKEV49</t>
  </si>
  <si>
    <t>DS1LD4KRZVNKQC3WP076</t>
  </si>
  <si>
    <t>MRSOKGRMMFF94T4G3146</t>
  </si>
  <si>
    <t>6VJJ5GQWIRDQ06DUXG89</t>
  </si>
  <si>
    <t>VZFZPMWDHTQCFKYOBP05</t>
  </si>
  <si>
    <t>XAQNAI792OF5W1415G16</t>
  </si>
  <si>
    <t>XWG37GL8142K0HISG670</t>
  </si>
  <si>
    <t>HEOSXQO1BHP741HH0O97</t>
  </si>
  <si>
    <t>5493005GKEG8QCVY7037</t>
  </si>
  <si>
    <t>YZR0L9MIU7IVHXH3D227</t>
  </si>
  <si>
    <t>7NKTFWJ1G6MELP9TU740</t>
  </si>
  <si>
    <t>549300QR5CT6HQZ4XQ52</t>
  </si>
  <si>
    <t>654V6JRCYOL4K7IWYQ91</t>
  </si>
  <si>
    <t>FCNMH6O7VWU7LHXMK351</t>
  </si>
  <si>
    <t>549300BO9IWPF3S48F93</t>
  </si>
  <si>
    <t>549300YQ0JMD5VDZPL70</t>
  </si>
  <si>
    <t>RPPGGRL1J75WGF2DFO04</t>
  </si>
  <si>
    <t>54930087LPWMI88H5109</t>
  </si>
  <si>
    <t>85OKW2SW05RZFQS1W718</t>
  </si>
  <si>
    <t>3HG2WD2W22M120IUNG49</t>
  </si>
  <si>
    <t>549300OX374OZMQ2OO85</t>
  </si>
  <si>
    <t>ZUNI8PYC725B6H8JU438</t>
  </si>
  <si>
    <t>549300G5ARU2WCR3GS83</t>
  </si>
  <si>
    <t>0ST68RBAUGEEQ2OBPJ36</t>
  </si>
  <si>
    <t>FKF6UGB3I6F0J5C4BC22</t>
  </si>
  <si>
    <t>GM7WDT7NW6YD15Y8SQ28</t>
  </si>
  <si>
    <t>VYVX36BWSTBFZAP9H789</t>
  </si>
  <si>
    <t>8YAK2VWYCZ8B120UOU20</t>
  </si>
  <si>
    <t>5493003HSDTSCZRXBA58</t>
  </si>
  <si>
    <t>S4BKK9OTCEWQ3YHPFM11</t>
  </si>
  <si>
    <t>54930078UBRJU583SU77</t>
  </si>
  <si>
    <t>M2XHYMU3TZNEZURC6H66</t>
  </si>
  <si>
    <t>HC71NFWMM3L2KVQMCX82</t>
  </si>
  <si>
    <t>5493004R7279B88U0M47</t>
  </si>
  <si>
    <t>549300XUCO6WNEIEWE15</t>
  </si>
  <si>
    <t>549300JJ2NOIQQ1Q2N45</t>
  </si>
  <si>
    <t>VB3LV8F59BT690138S60</t>
  </si>
  <si>
    <t>5493006X3F09NWUE1S60</t>
  </si>
  <si>
    <t>54930088ALBDM7VHMJ08</t>
  </si>
  <si>
    <t>ZCATP2Q7SJOHQLC6EC40</t>
  </si>
  <si>
    <t>549300WMQIRBY5PYOK70</t>
  </si>
  <si>
    <t>549300PHNFD7OMFUAE20</t>
  </si>
  <si>
    <t>3E70L4WYANTIWWIPHC81</t>
  </si>
  <si>
    <t>1LIT21YJ7TJB36134T68</t>
  </si>
  <si>
    <t>549300RD2HCCPW4XGO08</t>
  </si>
  <si>
    <t>549300KCWA5W52MS5559</t>
  </si>
  <si>
    <t>S6NW56E1LA54K2BFII70</t>
  </si>
  <si>
    <t>549300T0SSYTER0K6J66</t>
  </si>
  <si>
    <t>CD4SPTZ3YBTHY0C1AH38</t>
  </si>
  <si>
    <t>549300JR7MQLQ4VRMA03</t>
  </si>
  <si>
    <t>L2Z2MO2EQURH3BREWI15</t>
  </si>
  <si>
    <t>549300DJBB8NKE2KJX50</t>
  </si>
  <si>
    <t>549300HCHC8SSMWEMD23</t>
  </si>
  <si>
    <t>DY4HZNFFXNTKUGRD8V40</t>
  </si>
  <si>
    <t>549300BFOD6TDMVV4O24</t>
  </si>
  <si>
    <t>ILUL7B6Z54MRYCF6H308</t>
  </si>
  <si>
    <t>549300FMC2ALGA7N9E80</t>
  </si>
  <si>
    <t>UCG40B6VU0LI981HXX13</t>
  </si>
  <si>
    <t>549300DRF1T5X2Q4FB57</t>
  </si>
  <si>
    <t>0PHO5TIVSGUENHEGOR51</t>
  </si>
  <si>
    <t>MWIUSDMN17TCR56VW396</t>
  </si>
  <si>
    <t>I1BZKREC126H0VB1BL91</t>
  </si>
  <si>
    <t>7MOHLM3DKE63RX2ZCN83</t>
  </si>
  <si>
    <t>6URPHM2EAWGJ2C6ISB97</t>
  </si>
  <si>
    <t>0NIFZ782LS46WOC9QK20</t>
  </si>
  <si>
    <t>549300DOVZ3EDJB7O259</t>
  </si>
  <si>
    <t>ZELI3W5MQAQICCF8CT07</t>
  </si>
  <si>
    <t>EA SWISS SARL</t>
  </si>
  <si>
    <t>ZTMBBOWUX7LM52E1XK78</t>
  </si>
  <si>
    <t>549300IT4LNQTVWOSK98</t>
  </si>
  <si>
    <t>HAXBNTSIUT2SHF0XLJ46</t>
  </si>
  <si>
    <t>549300WKP0WYZDNVLK63</t>
  </si>
  <si>
    <t>549300O7A67PUEYKDL45</t>
  </si>
  <si>
    <t>5493002JHZS83K46GQ69</t>
  </si>
  <si>
    <t>22KMWLRMY0MUEN0W5D90</t>
  </si>
  <si>
    <t>KDMDXRWU7UTJ30FC8R59</t>
  </si>
  <si>
    <t>M4RTK3SDCC2I31QHY636</t>
  </si>
  <si>
    <t>TJHVIYYZOASBZ463H550</t>
  </si>
  <si>
    <t>549300972C912R3YF828</t>
  </si>
  <si>
    <t>OCBIFAVVTDL8JIN0MB12</t>
  </si>
  <si>
    <t>549300BUKUEKT2UE4T49</t>
  </si>
  <si>
    <t>549300WY5QI80P9WHD46</t>
  </si>
  <si>
    <t>54930014N7872VUS3F89</t>
  </si>
  <si>
    <t>549300OEXJU0X6FYBQ42</t>
  </si>
  <si>
    <t>SSWNHI96XQKEZSYZT566</t>
  </si>
  <si>
    <t>5493004LGN656HWLDA30</t>
  </si>
  <si>
    <t>549300TERSZ455M1Q633</t>
  </si>
  <si>
    <t>5493004BF1JUHT35R160</t>
  </si>
  <si>
    <t>549300LOLS62WKJJ7U54</t>
  </si>
  <si>
    <t>ENVISTA HOLDINGS CORPORATION</t>
  </si>
  <si>
    <t>549300BX623VURJZ5269</t>
  </si>
  <si>
    <t>XWTZDRYZPBUHIQBKDB46</t>
  </si>
  <si>
    <t>J2UPE7JWRDJO2O2EYB93</t>
  </si>
  <si>
    <t>549300PD0IMJ43SIP672</t>
  </si>
  <si>
    <t>ESWDRS5J5RJS0KUFY502</t>
  </si>
  <si>
    <t>Equinox Gold Corp</t>
  </si>
  <si>
    <t>5493005IN4V1SNP9PN75</t>
  </si>
  <si>
    <t>DX5HQV5MLU50FEWZ5072</t>
  </si>
  <si>
    <t>549300CC25NHYZ5MJO03</t>
  </si>
  <si>
    <t>3SOUA6IRML7435B56G12</t>
  </si>
  <si>
    <t>S2PEWKCZFFECR4533P43</t>
  </si>
  <si>
    <t>549300APE0JGFJ9JMB36</t>
  </si>
  <si>
    <t>CI7MUJI4USF3V0NJ1H64</t>
  </si>
  <si>
    <t>549300KUK0NH7D2L6B69</t>
  </si>
  <si>
    <t>549300E707U7WNPZN687</t>
  </si>
  <si>
    <t>549300JMTSVQ6LKX5222</t>
  </si>
  <si>
    <t>PDD3Z8L9NGFS1YD1XJ25</t>
  </si>
  <si>
    <t>QFROUN1UWUYU0DVIWD51</t>
  </si>
  <si>
    <t>549300YG1NBZKURU8L08</t>
  </si>
  <si>
    <t>5493000DZJC8BJLIJI03</t>
  </si>
  <si>
    <t>549300DP1S8SJV0BSG28</t>
  </si>
  <si>
    <t>549300KY5QEBNGK5JJ30</t>
  </si>
  <si>
    <t>549300OJJGOE7SUG3624</t>
  </si>
  <si>
    <t>5493006RVR1T6QULYY50</t>
  </si>
  <si>
    <t>54930012E1PU4RAI3F48</t>
  </si>
  <si>
    <t>549300SVYJS666PQJH88</t>
  </si>
  <si>
    <t>549300MF3ANVSL6UXV45</t>
  </si>
  <si>
    <t>A89MY1K3YLIGJMYWVX50</t>
  </si>
  <si>
    <t>549300QWZIW60TCQLW83</t>
  </si>
  <si>
    <t>3CNM1G6LDJ69XBGW1M19</t>
  </si>
  <si>
    <t>CZTS3L6S9LRRPKULWD61</t>
  </si>
  <si>
    <t>Ford Global Treasury, Inc.</t>
  </si>
  <si>
    <t>ZTZF8FBMPMBDZDY02T91</t>
  </si>
  <si>
    <t>20S05OYHG0MQM4VUIC57</t>
  </si>
  <si>
    <t>UDSQCVRUX5BONN0VY111</t>
  </si>
  <si>
    <t>549300ACVCQKP6Y6VN63</t>
  </si>
  <si>
    <t>5493005E71EXFO92IE79</t>
  </si>
  <si>
    <t>254900OBFKH0MOQIT630</t>
  </si>
  <si>
    <t>G4008SUSNH0WBKRVG414</t>
  </si>
  <si>
    <t>2CNR4I7RPCUNYMQ52H12</t>
  </si>
  <si>
    <t>254900J6RDQHZJIJDY81</t>
  </si>
  <si>
    <t>549300EN6OWUOVH3ZD73</t>
  </si>
  <si>
    <t>K3N1TB7UT53546TVAU72</t>
  </si>
  <si>
    <t>549300WG6CP3LNJ5KJ55</t>
  </si>
  <si>
    <t>D981X4Z4RWS7PDMJUZ03</t>
  </si>
  <si>
    <t>549300FYK4MBXWIVZU26</t>
  </si>
  <si>
    <t>549300J7BIEMY0E0BV38</t>
  </si>
  <si>
    <t>549300E8MG46F60FZ412</t>
  </si>
  <si>
    <t>5493003XG5JUDQQIBV94</t>
  </si>
  <si>
    <t>GILDAN ACTIVEWEAR INC.</t>
  </si>
  <si>
    <t>549300SB3IBI34M00Z45</t>
  </si>
  <si>
    <t>5493000PWR8KS0EC7911</t>
  </si>
  <si>
    <t>NKY7JRBKJHQQ68KJ6252</t>
  </si>
  <si>
    <t>XY6HWOQF1NBIQHYB7D92</t>
  </si>
  <si>
    <t>GMF LEASING WAREHOUSE TRUST</t>
  </si>
  <si>
    <t>5493004Q1SNCIJ0KOF24</t>
  </si>
  <si>
    <t>5493007JK7J7A3VYJC53</t>
  </si>
  <si>
    <t>549300XHRSCQTARYR071</t>
  </si>
  <si>
    <t>2549004LVBI7KVJT8X55</t>
  </si>
  <si>
    <t>5493005XX3YMAXEZ4163</t>
  </si>
  <si>
    <t>FOR8UP27PHTHYVLBNG30</t>
  </si>
  <si>
    <t>KD3XUN7C6T14HNAYLU02</t>
  </si>
  <si>
    <t>549300MOJKHFUGR6SN08</t>
  </si>
  <si>
    <t>549300RQNK5SS6I0T293</t>
  </si>
  <si>
    <t>254900TQNYYLYHQXGL14</t>
  </si>
  <si>
    <t>5493004B9CXFNYMXON80</t>
  </si>
  <si>
    <t>549300IQ87LU6X6ERQ78</t>
  </si>
  <si>
    <t>ENYF8GB5SMQZ25S06U51</t>
  </si>
  <si>
    <t>GX5LWVWZLL5S4W1L2F20</t>
  </si>
  <si>
    <t>549300EGTG1L2TOVI159</t>
  </si>
  <si>
    <t>549300W7TVOL98WRYT11</t>
  </si>
  <si>
    <t>54930023JGEWKPUWUB15</t>
  </si>
  <si>
    <t>549300R0L5SQXRRQ8Y67</t>
  </si>
  <si>
    <t>549300OSKQ0EL0YE4U18</t>
  </si>
  <si>
    <t>549300QHQLWODJOYXY70</t>
  </si>
  <si>
    <t>549300NUB6D2R1ITYR45</t>
  </si>
  <si>
    <t>FEJVAWZKM2TUOXDMG690</t>
  </si>
  <si>
    <t>549300IYGAS4GE6VDL07</t>
  </si>
  <si>
    <t>PZ9HF5U52KPF0MH0QN75</t>
  </si>
  <si>
    <t>549300FESQ105M6ZTE59</t>
  </si>
  <si>
    <t>549300FPK70TCB78NG05</t>
  </si>
  <si>
    <t>UASVRYNXNK17ULIGK870</t>
  </si>
  <si>
    <t>JLZ01A0E2071OH26RE45</t>
  </si>
  <si>
    <t>HONEYWELL INTERNATIONAL INC.</t>
  </si>
  <si>
    <t>ISRPG12PN4EIEOEMW547</t>
  </si>
  <si>
    <t>549300W63HRZKOGT0G50</t>
  </si>
  <si>
    <t>FXB7X4WXVA8QPMNOGS12</t>
  </si>
  <si>
    <t>549300HO5WFZUT5N2T22</t>
  </si>
  <si>
    <t>HSBC Bank USA, National Association</t>
  </si>
  <si>
    <t>1IE8VN30JCEQV1H4R804</t>
  </si>
  <si>
    <t>5TZLZ6WJTBVJ0QWBG121</t>
  </si>
  <si>
    <t>T27JQIMTYSH41TCD5186</t>
  </si>
  <si>
    <t>IGHOG5KBPLMN3LUIME89</t>
  </si>
  <si>
    <t>IGT</t>
  </si>
  <si>
    <t>549300DER0Q7DUTBAU95</t>
  </si>
  <si>
    <t>549300Z00DSN4OSOTI80</t>
  </si>
  <si>
    <t>549300P32C3HT2MNMX62</t>
  </si>
  <si>
    <t>549300Q4QZEOJMM3MV46</t>
  </si>
  <si>
    <t>III Convex Strategies Hub Fund Ltd</t>
  </si>
  <si>
    <t>549300FLV2U4FOQEKX17</t>
  </si>
  <si>
    <t>17MLVAZ72NADQE8UDF88</t>
  </si>
  <si>
    <t>Z0MI2JT14K8OXYZWX446</t>
  </si>
  <si>
    <t>549300Q3HDIZ5J4TTC25</t>
  </si>
  <si>
    <t>WB7IJCYY8YFTENS4O147</t>
  </si>
  <si>
    <t>VKU1UKDS9E7LYLMACP54</t>
  </si>
  <si>
    <t>ZTMSNXROF84AHWJNKQ93</t>
  </si>
  <si>
    <t>QKL54NQY28TCDAI75F60</t>
  </si>
  <si>
    <t>F9HV8ZL85LRIQ6D60098</t>
  </si>
  <si>
    <t>549300UQ6KHRCZDRGZ76</t>
  </si>
  <si>
    <t>549300MOTZZUF5UC1Y10</t>
  </si>
  <si>
    <t>EF9UQIIO4KY2BWOK3P26</t>
  </si>
  <si>
    <t>SQL3F6CKNNBM3SQGHX24</t>
  </si>
  <si>
    <t>MXKQVM4U1OHBQWFPG196</t>
  </si>
  <si>
    <t>5493000CGCQY2OQU7669</t>
  </si>
  <si>
    <t>5493004ZQCVO7BAYXI83</t>
  </si>
  <si>
    <t>549300CZ8QS1GE53O776</t>
  </si>
  <si>
    <t>Jefferies Financial Services Inc</t>
  </si>
  <si>
    <t>O26QTPAJC1X7058KCW11</t>
  </si>
  <si>
    <t>VDYI7AFQX36DQ3M6X332</t>
  </si>
  <si>
    <t>5493006TL0KTDJ2PJ818</t>
  </si>
  <si>
    <t>FRJ7V25Z5QJXHX7GVH84</t>
  </si>
  <si>
    <t>QQ0OZ8J9C4B5QT1XDG31</t>
  </si>
  <si>
    <t>5493007RYG4GXIKSQI18</t>
  </si>
  <si>
    <t>8FGUWOHBQWO4DNF5PW03</t>
  </si>
  <si>
    <t>GHVLU4RL6XOLROKM7S50</t>
  </si>
  <si>
    <t>549300MQ9L3F2A0B7G56</t>
  </si>
  <si>
    <t>7H6GLXDRUGQFU57RNE97</t>
  </si>
  <si>
    <t>JPMorgan Chase Bank, National Association</t>
  </si>
  <si>
    <t>WPNRHXLAF2SXXFVIBY83</t>
  </si>
  <si>
    <t>549300OVVTPXO1ANRH86</t>
  </si>
  <si>
    <t>549300JC2VBTK7R7N795</t>
  </si>
  <si>
    <t>HUX2X73FUCYHUVH1BK78</t>
  </si>
  <si>
    <t>K8TS3HOE1568DUBUJL44</t>
  </si>
  <si>
    <t>549300VUN7SFD1WZ8W09</t>
  </si>
  <si>
    <t>549300PDHUGWPWGOT525</t>
  </si>
  <si>
    <t>549300J4UCS6QMCX0892</t>
  </si>
  <si>
    <t>549300WR7IX8XE0TBO16</t>
  </si>
  <si>
    <t>549300UEBMAQDN0K0R06</t>
  </si>
  <si>
    <t>549300P5MTFQEBA6VW29</t>
  </si>
  <si>
    <t>549300H0BF5JCG96TJ81</t>
  </si>
  <si>
    <t>549300LQ4LWX2R8ZV130</t>
  </si>
  <si>
    <t>L3 TECHNOLOGIES, INC.</t>
  </si>
  <si>
    <t>1Z5XNJ6GMBVHFWE2W878</t>
  </si>
  <si>
    <t>549300X0PTWU2QSLSL14</t>
  </si>
  <si>
    <t>549300IUTGTP6EJP8124</t>
  </si>
  <si>
    <t>S7DWAC87RDMPBF77GJ92</t>
  </si>
  <si>
    <t>1S4QFSY667EXKE75NM64</t>
  </si>
  <si>
    <t>LG ELECTRONICS U.S.A., INC.</t>
  </si>
  <si>
    <t>5493004H3HCV6OLEX314</t>
  </si>
  <si>
    <t>549300F33VRHM10B9391</t>
  </si>
  <si>
    <t>5493002S9XNQXJK7RN37</t>
  </si>
  <si>
    <t>549300LW6VIYFRMFBU20</t>
  </si>
  <si>
    <t>NJ1Z0LLF4RLDWG2WCN80</t>
  </si>
  <si>
    <t>5493007B9BM9ZXJINO78</t>
  </si>
  <si>
    <t>549300FOPZZCHO224T74</t>
  </si>
  <si>
    <t>LYB AMERICAS FINANCE COMPANY LLC</t>
  </si>
  <si>
    <t>549300A3XNBD0DZUV073</t>
  </si>
  <si>
    <t>NOV753JOSQG5LMY3ET80</t>
  </si>
  <si>
    <t>1FRVQX2CRLGC1XLP5727</t>
  </si>
  <si>
    <t>MARIGOLD MINING COMPANY</t>
  </si>
  <si>
    <t>549300U48HUUQZUDU437</t>
  </si>
  <si>
    <t>549300HP21F9J4NJU135</t>
  </si>
  <si>
    <t>549300KRI2BG6EV70S34</t>
  </si>
  <si>
    <t>5493007B7RTUIHA3FG91</t>
  </si>
  <si>
    <t>225YDZ14ZO8E1TXUSU86</t>
  </si>
  <si>
    <t>984500579ffb8653k154</t>
  </si>
  <si>
    <t>R6ZXK5P01NP6HXSY1S07</t>
  </si>
  <si>
    <t>549300VELLG24KHTJ564</t>
  </si>
  <si>
    <t>549300WZWOM80UCFSF54</t>
  </si>
  <si>
    <t>549300YVLEV6OKLR6Y95</t>
  </si>
  <si>
    <t>GDWTXX036O1TB7DW3U69</t>
  </si>
  <si>
    <t>C4BXATY60WC6XEOZDX54</t>
  </si>
  <si>
    <t>549300H7EXFMRS487544</t>
  </si>
  <si>
    <t>5493000BD5GJNUDIUG10</t>
  </si>
  <si>
    <t>B3DXGBC8GAIYWI2Z0172</t>
  </si>
  <si>
    <t>NINLOILYRTLIMK26MZ18</t>
  </si>
  <si>
    <t>549300JD5R547S1S6331</t>
  </si>
  <si>
    <t>O1XNTICYRCAHEAMEQI31</t>
  </si>
  <si>
    <t>2549005TJ4JKF90ZV218</t>
  </si>
  <si>
    <t>LNZ0J6YZ5SC6ILIRU850</t>
  </si>
  <si>
    <t>OV6W8S6QX2D1J857QP30</t>
  </si>
  <si>
    <t>7TK5RJIZDFROZCA6XF66</t>
  </si>
  <si>
    <t>0IEAUKWE2SFAUO4V1D62</t>
  </si>
  <si>
    <t>549300LEHLFRMY61E143</t>
  </si>
  <si>
    <t>54930073LBBH6ZCBE225</t>
  </si>
  <si>
    <t>MOLSON COORS BEVERAGE COMPANY USA LLC</t>
  </si>
  <si>
    <t>6JGDANYXFLQCUTA0R543</t>
  </si>
  <si>
    <t>549300FBMHETW6ISPZ21</t>
  </si>
  <si>
    <t>549300VMK2VBZD4OSN06</t>
  </si>
  <si>
    <t>98450004E509AEBD8180</t>
  </si>
  <si>
    <t>549300GCEDD8YCF5WU84</t>
  </si>
  <si>
    <t>549300J06DR268G1B556</t>
  </si>
  <si>
    <t>549300FSJKGW32KSB432</t>
  </si>
  <si>
    <t>549300V258DXKHUDP875</t>
  </si>
  <si>
    <t>MORGAN STANLEY &amp; CO. INTERNATIONAL PLC</t>
  </si>
  <si>
    <t>4PQUHN3JPFGFNF3BB653</t>
  </si>
  <si>
    <t>9R7GPTSO7KV3UQJZQ078</t>
  </si>
  <si>
    <t>VB7RXNZGO6KVDABYB880</t>
  </si>
  <si>
    <t>Morgan Stanley Capital Services LLC</t>
  </si>
  <si>
    <t>I7331LVCZKQKX5T7XV54</t>
  </si>
  <si>
    <t>549300QPXZHKTTFFVJ46</t>
  </si>
  <si>
    <t>MOSAIC CROP NUTRITION LLC</t>
  </si>
  <si>
    <t>ORCOIHKCM16NNGOG3Y73</t>
  </si>
  <si>
    <t>O43VHMB9WDLV4NG4KL11</t>
  </si>
  <si>
    <t>VFIHQZIFDSYYZFB4MS14</t>
  </si>
  <si>
    <t>549300XI5T2Q54NNHS25</t>
  </si>
  <si>
    <t>549300P269J7VX6L6O30</t>
  </si>
  <si>
    <t>549300MSNEHYQTPY7S80</t>
  </si>
  <si>
    <t>OX3PU53ZLPQKJ4700D47</t>
  </si>
  <si>
    <t>549300X6NWVBWC1LPS47</t>
  </si>
  <si>
    <t>NATIONAL HOCKEY LEAGUE</t>
  </si>
  <si>
    <t>549300JHBAF14RZHCI64</t>
  </si>
  <si>
    <t>4NYF266XZC35SCTGX023</t>
  </si>
  <si>
    <t>54930070VNUCBRK18807</t>
  </si>
  <si>
    <t>549300KYHLWGOK5UQ718</t>
  </si>
  <si>
    <t>SW8I7YA7RW06V8NH5O41</t>
  </si>
  <si>
    <t>NEWMONT CORPORATION</t>
  </si>
  <si>
    <t>549300VSP3RIX7FGDZ51</t>
  </si>
  <si>
    <t>UMI46YPGBLUE4VGNNT48</t>
  </si>
  <si>
    <t>TWQ1WATU9P8ZBX9T3I54</t>
  </si>
  <si>
    <t>549300KJEC5IUVJWR786</t>
  </si>
  <si>
    <t>549300VX6QRAVXOXZW59</t>
  </si>
  <si>
    <t>3T97Y9RR5EN5Y18QHB56</t>
  </si>
  <si>
    <t>5493000OVKO7EK0JY580</t>
  </si>
  <si>
    <t>549300IB243NED6S7P65</t>
  </si>
  <si>
    <t>7D6DIU2QXTUJRFNNJA49</t>
  </si>
  <si>
    <t>5493005N7UG6FP2NU782</t>
  </si>
  <si>
    <t>CGS4OVYTTW9AS3NLSI85</t>
  </si>
  <si>
    <t>0Z3VO5H2G7GRS05BHJ91</t>
  </si>
  <si>
    <t>549300FGKHQ4FFX3GG84</t>
  </si>
  <si>
    <t>549300IY9AYN7EIYKB09</t>
  </si>
  <si>
    <t>NORTHERN ILLINOIS GAS COMPANY</t>
  </si>
  <si>
    <t>549300H5GUKWH3CAB355</t>
  </si>
  <si>
    <t>OKFF0PIZDDMNH4UCYE51</t>
  </si>
  <si>
    <t>549300SOLNLY3BL6GF18</t>
  </si>
  <si>
    <t>H4JZVBMGV45MWUCMUB11</t>
  </si>
  <si>
    <t>549300JPLZLO3G4PCC75</t>
  </si>
  <si>
    <t>2UU0CZOEYSS3P5VOIL72</t>
  </si>
  <si>
    <t>OCCIDENTAL PETROLEUM CORPORATION</t>
  </si>
  <si>
    <t>JGYGIL4QGKKPZU7C1D18</t>
  </si>
  <si>
    <t>72450053F5WRDY8CDZ66</t>
  </si>
  <si>
    <t>549300GKK294V7W57P06</t>
  </si>
  <si>
    <t>549300FGJB2TTDTTT105</t>
  </si>
  <si>
    <t>2T3D6M0JSY48PSZI1Q41</t>
  </si>
  <si>
    <t>549300LQSDFKH3OWDE23</t>
  </si>
  <si>
    <t>549300YM5LW86J2IIC59</t>
  </si>
  <si>
    <t>OPEN TEXT CORPORATION</t>
  </si>
  <si>
    <t>549300HP7ONDQODZJV16</t>
  </si>
  <si>
    <t>26RM8T263FMD21834H79</t>
  </si>
  <si>
    <t>549300IF0XI4ZS5JC782</t>
  </si>
  <si>
    <t>5493001P8LORMOBBQA95</t>
  </si>
  <si>
    <t>5493005G5GFEQWMCSY59</t>
  </si>
  <si>
    <t>OVINTIV CANADA ULC</t>
  </si>
  <si>
    <t>CZ72ZHBVKZXQRV3XFE26</t>
  </si>
  <si>
    <t>JO5M6676RDJIZ2U8X907</t>
  </si>
  <si>
    <t>V2UQUCDZJ9WY98W8QU33</t>
  </si>
  <si>
    <t>PH3S12DWZBHHQKVYZ297</t>
  </si>
  <si>
    <t>KDTEY8BWE486IKZ3CC07</t>
  </si>
  <si>
    <t>SGY07Y7FNYBNLM6Z1M11</t>
  </si>
  <si>
    <t>549300O4WTC6DL4JIE57</t>
  </si>
  <si>
    <t>2549008GEDI24V9Q6G15</t>
  </si>
  <si>
    <t>549300LO7DSIBQH4CV74</t>
  </si>
  <si>
    <t>5493008W8H2T511J5Y59</t>
  </si>
  <si>
    <t>549300DXEFK267TXZ832</t>
  </si>
  <si>
    <t>549300Q06SQP1OZW9247</t>
  </si>
  <si>
    <t>JYMFBE8ZNMXHZ0R2JZ96</t>
  </si>
  <si>
    <t>5493004FDDBX8VZNLZ29</t>
  </si>
  <si>
    <t>Pilot Travel Centers LLC</t>
  </si>
  <si>
    <t>549300115UILLXNE1Z49</t>
  </si>
  <si>
    <t>GCOBPT5OHTVIN37L8N43</t>
  </si>
  <si>
    <t>2HVOQH8Y25TS6JLWB477</t>
  </si>
  <si>
    <t>5493009NY9RCIUFRSR28</t>
  </si>
  <si>
    <t>5521FA2ITF25TVH63740</t>
  </si>
  <si>
    <t>IW1B7FXPDBO2B7I1DH41</t>
  </si>
  <si>
    <t>PNC Bank, National Association</t>
  </si>
  <si>
    <t>AD6GFRVSDT01YPT1CS68</t>
  </si>
  <si>
    <t>GJOUP9M7C39GLSK9R870</t>
  </si>
  <si>
    <t>9N3UAJSNOUXFKQLF3V18</t>
  </si>
  <si>
    <t>0XOOAY5P5J7Q734SEC89</t>
  </si>
  <si>
    <t>549300WBVRSLUUI2Y250</t>
  </si>
  <si>
    <t>5493002GVO7EO8RNNS37</t>
  </si>
  <si>
    <t>PRODAIR CORPORATION</t>
  </si>
  <si>
    <t>GNW2BNDXTGZVMKOM1956</t>
  </si>
  <si>
    <t>GL16H1DHB0QSHP25F723</t>
  </si>
  <si>
    <t>B2XP4TQXVO2CZP3OMQ85</t>
  </si>
  <si>
    <t>E0CZ3XBGWL3ADZM3C128</t>
  </si>
  <si>
    <t>171I2Q1YD2BBYL0Q2268</t>
  </si>
  <si>
    <t>5493004T4HN3JAQHZY24</t>
  </si>
  <si>
    <t>549300KNHSXL2WSPP632</t>
  </si>
  <si>
    <t>8MNFJR7KOMBQ7X62LK44</t>
  </si>
  <si>
    <t>549300NTI2NBOWYFH565</t>
  </si>
  <si>
    <t>123WALMHY1GZXG2YDL90</t>
  </si>
  <si>
    <t>QVC, INC.</t>
  </si>
  <si>
    <t>549300WBLU5NKPX5X472</t>
  </si>
  <si>
    <t>LF6PBYTYG3BDVEF4FI12</t>
  </si>
  <si>
    <t>549300CUWDAUZSH43859</t>
  </si>
  <si>
    <t>549300VY13EWJ8DIKS93</t>
  </si>
  <si>
    <t>5493000IFJ6XJKH66598</t>
  </si>
  <si>
    <t>549300OVTYLM7DH6CM14</t>
  </si>
  <si>
    <t>549300JJKH86IWQ78005</t>
  </si>
  <si>
    <t>549300D1P10EREUM7K78</t>
  </si>
  <si>
    <t>WQKWH2U12D5CWXK5TG11</t>
  </si>
  <si>
    <t>549300SJMSMA2471GA96</t>
  </si>
  <si>
    <t>0A6MFVCO7B244F0UGO76</t>
  </si>
  <si>
    <t>254900JKUYU5GRDR1C02</t>
  </si>
  <si>
    <t>K2NEH8QNVW44JIWK7Z55</t>
  </si>
  <si>
    <t>549300TJCKW4BRXPJ474</t>
  </si>
  <si>
    <t>5493005F9VPHFO17OV54</t>
  </si>
  <si>
    <t>Y6X4K52KMJMZE7I7MY94</t>
  </si>
  <si>
    <t>2138009IE9A35LO5JS73</t>
  </si>
  <si>
    <t>549300OVKLRFSIQG0H81</t>
  </si>
  <si>
    <t>SAMUEL, SON &amp; CO., LIMITED</t>
  </si>
  <si>
    <t>549300ZOUFVQ1YFB7257</t>
  </si>
  <si>
    <t>549300HH4U1DPY0TBT90</t>
  </si>
  <si>
    <t>5493004B6XXNVBGVRX89</t>
  </si>
  <si>
    <t>K5XYJJFU7MC8AMA33731</t>
  </si>
  <si>
    <t>HJ5A5F8IF6X18JKFV623</t>
  </si>
  <si>
    <t>87Q3KOXT29OW9W9YPT70</t>
  </si>
  <si>
    <t>CLOUUIPY305N02FBKS53</t>
  </si>
  <si>
    <t>54930068S3RGGRY6IB19</t>
  </si>
  <si>
    <t>549300EZKELHYBQO9X11</t>
  </si>
  <si>
    <t>PBBKGKLRK5S5C0Y4T545</t>
  </si>
  <si>
    <t>549300RZKHCJFIL3QW61</t>
  </si>
  <si>
    <t>549300F35UE0BOM1WJ55</t>
  </si>
  <si>
    <t>549300H5RBRQUGXN5D68</t>
  </si>
  <si>
    <t>SIMON PROPERTY GROUP, L.P.</t>
  </si>
  <si>
    <t>MR92GTD0MJTTTTQDVG45</t>
  </si>
  <si>
    <t>84BUTVXV5ODI6BXNMH43</t>
  </si>
  <si>
    <t>TVJ8SHLIZL0RGWGDTN03</t>
  </si>
  <si>
    <t>549300LR4QIFEAR0NB36</t>
  </si>
  <si>
    <t>UL01OYG5OMLM5G6CFM03</t>
  </si>
  <si>
    <t>549300ZW53G2TUFW5T39</t>
  </si>
  <si>
    <t>549300QE8CNT261U1W16</t>
  </si>
  <si>
    <t>R64UBJHEC74EB3HGQ410</t>
  </si>
  <si>
    <t>SPECTRA ENERGY PARTNERS, LP</t>
  </si>
  <si>
    <t>2HKVXE7U4NF5B6UGSU72</t>
  </si>
  <si>
    <t>549300GTBVIBJRX5BW73</t>
  </si>
  <si>
    <t>P761FCI0CPOG24I8JE10</t>
  </si>
  <si>
    <t>5493003YXEKRBINIEM78</t>
  </si>
  <si>
    <t>STANLEY BLACK &amp; DECKER AUSTRALIA PTY LTD</t>
  </si>
  <si>
    <t>54930020P9H14JEBW165</t>
  </si>
  <si>
    <t>549300DJ09SMTO561131</t>
  </si>
  <si>
    <t>64GMCIFCVS7TM5546103</t>
  </si>
  <si>
    <t>OQSJ1DU9TAOC51A47K68</t>
  </si>
  <si>
    <t>571474TGEMMWANRLN572</t>
  </si>
  <si>
    <t>5493005JWPNZXYP0FP76</t>
  </si>
  <si>
    <t>549300LM2YPWGHQHK312</t>
  </si>
  <si>
    <t>5493009MD8J24GD27B92</t>
  </si>
  <si>
    <t>STATE STREET GLOBAL ADVISORS TRUST COMPANY WORLD INDEX COMMON TRUST FUNDS - STATE STREET S&amp;P GSCI MULTIPLE CONTRACT INDEX NON-LENDING COMMON TRUST FUND</t>
  </si>
  <si>
    <t>549300OQSXV98KBE1D92</t>
  </si>
  <si>
    <t>549300QVPFTJRRIH7B37</t>
  </si>
  <si>
    <t>549300GNMVJH116CHC92</t>
  </si>
  <si>
    <t>549300O4G48RRYGSD439</t>
  </si>
  <si>
    <t>549300JMNJ6XM8HWY093</t>
  </si>
  <si>
    <t>TE95MP18LLV7KCA03I56</t>
  </si>
  <si>
    <t>IB8FVADT5HV5RVM7BN67</t>
  </si>
  <si>
    <t>5493004HI6PFLF46NS53</t>
  </si>
  <si>
    <t>DX0JX77PRMOELF7VG772</t>
  </si>
  <si>
    <t>5RGWIFLMGH3YS7KWI652</t>
  </si>
  <si>
    <t>WS423EPRKJIIJUITXD73</t>
  </si>
  <si>
    <t>549300HQ7O1XG3D7P410</t>
  </si>
  <si>
    <t>PQPGJDNFN35EXH363L31</t>
  </si>
  <si>
    <t>H0GWIOLMHLZ3PCZC1K73</t>
  </si>
  <si>
    <t>6OQWTZ1SPC04IFT4T704</t>
  </si>
  <si>
    <t>5493006XT0V1N1WPIL74</t>
  </si>
  <si>
    <t>549300ZBLR8A5NVMP776</t>
  </si>
  <si>
    <t>5493004V5GLBY6SO5Y34</t>
  </si>
  <si>
    <t>549300G6PL6RBXWDUE14</t>
  </si>
  <si>
    <t>549300HFEKVR3US71V91</t>
  </si>
  <si>
    <t>5493000S2OLR3UT5BE13</t>
  </si>
  <si>
    <t>549300UJ1LP7JGJC5P32</t>
  </si>
  <si>
    <t>GNMS5O32L8UETGGXPC29</t>
  </si>
  <si>
    <t>2NUNNB7D43COUIRE5295</t>
  </si>
  <si>
    <t>L38MWB8MVRFV7HVJPU11</t>
  </si>
  <si>
    <t>The Bank of New York Mellon</t>
  </si>
  <si>
    <t>HPFHU0OQ28E4N0NFVK49</t>
  </si>
  <si>
    <t>83BQ1DXS6VA5GZFK8S35</t>
  </si>
  <si>
    <t>54930044KVSC06Z79I06</t>
  </si>
  <si>
    <t>549300PZI6Z35NEDH588</t>
  </si>
  <si>
    <t>QJKMVPIGLH7530PCUE20</t>
  </si>
  <si>
    <t>ZQUIP1CSZO8LXRBSOU78</t>
  </si>
  <si>
    <t>549300IBY3K3EZT3UZ90</t>
  </si>
  <si>
    <t>549300HC6EMMQ6PSY309</t>
  </si>
  <si>
    <t>549300J5818GHXIO6W54</t>
  </si>
  <si>
    <t>549300NR8J6D5VKUPI09</t>
  </si>
  <si>
    <t>2YD5STGSJNMUB7H76907</t>
  </si>
  <si>
    <t>VAI0KZ806W8MCH0BCZ61</t>
  </si>
  <si>
    <t>The Northern Trust Company</t>
  </si>
  <si>
    <t>6PTKHDJ8HDUF78PFWH30</t>
  </si>
  <si>
    <t>THE PEOPLES GAS LIGHT AND COKE COMPANY</t>
  </si>
  <si>
    <t>549300VH4MUMYIT6HH52</t>
  </si>
  <si>
    <t>549300M0K3XFYYYRHO36</t>
  </si>
  <si>
    <t>2TH9E0JTOUXOEGI2R879</t>
  </si>
  <si>
    <t>THE TAUBMAN REALTY GROUP LIMITED PARTNERSHIP</t>
  </si>
  <si>
    <t>5493008L0SF0H3HZAQ78</t>
  </si>
  <si>
    <t>V167QI9I69W364E2DY52</t>
  </si>
  <si>
    <t>28ID94QU1140NC23S047</t>
  </si>
  <si>
    <t>D71FAKCBLFS2O0RBPG08</t>
  </si>
  <si>
    <t>HCHV7422L5HDJZCRFL38</t>
  </si>
  <si>
    <t>Thompson Creek Metals Company Inc.</t>
  </si>
  <si>
    <t>5493006NK2IEVPDTTN51</t>
  </si>
  <si>
    <t>549300P8MEK3QGOKNE92</t>
  </si>
  <si>
    <t>549300S2NUDMTQBEXQ18</t>
  </si>
  <si>
    <t>549300E2MI7NSZFQWS19</t>
  </si>
  <si>
    <t>JJKC32MCHWDI71265Z06</t>
  </si>
  <si>
    <t>ETNHFXZAB8PGM2MT0006</t>
  </si>
  <si>
    <t>549300HEZO91OVQUOM41</t>
  </si>
  <si>
    <t>549300MBG7H62T0LW650</t>
  </si>
  <si>
    <t>YLF139GXSRKPBBTNZL03</t>
  </si>
  <si>
    <t>QMPJLLDULY5C1M8PNY21</t>
  </si>
  <si>
    <t>RQ9X1QUQ4K72R4SNDL55</t>
  </si>
  <si>
    <t>NGIZXNT70J2LYT3FBI09</t>
  </si>
  <si>
    <t>JNLUVFYJT1OZSIQ24U47</t>
  </si>
  <si>
    <t>0HHVF3BMNBQCDE68YY36</t>
  </si>
  <si>
    <t>1R5EKQW0FP14IIXP3Y59</t>
  </si>
  <si>
    <t>549300XTO5VR8SKV1V74</t>
  </si>
  <si>
    <t>32SXKSJ72K64GM3HOU64</t>
  </si>
  <si>
    <t>54930065W8GENXXQ4W73</t>
  </si>
  <si>
    <t>549300GKHS6RS20NLH85</t>
  </si>
  <si>
    <t>549300UZL594LJJQKW29</t>
  </si>
  <si>
    <t>2S72QS2UO2OESLG6Y829</t>
  </si>
  <si>
    <t>549300ZM1VNUHR0FX008</t>
  </si>
  <si>
    <t>CQKUMNNZVDJLRYV2PT43</t>
  </si>
  <si>
    <t>1LX0MPX25VGL0QO1AR85</t>
  </si>
  <si>
    <t>05TJV8VF12222LPBUI84</t>
  </si>
  <si>
    <t>549300ZX1Z8QGWASPX54</t>
  </si>
  <si>
    <t>549300HDLRTPBQU69P29</t>
  </si>
  <si>
    <t>549300YX8JIID70NFS41</t>
  </si>
  <si>
    <t>549300DQ8ETN3LK1A996</t>
  </si>
  <si>
    <t>Wells Fargo Bank, National Association</t>
  </si>
  <si>
    <t>KB1H1DSPRFMYMCUFXT09</t>
  </si>
  <si>
    <t>549300QQXOOYEF89IC56</t>
  </si>
  <si>
    <t>Western Digital Technologies, Inc.</t>
  </si>
  <si>
    <t>5493007E2XSL80K77C33</t>
  </si>
  <si>
    <t>2549009ZCW5QHBFC8O66</t>
  </si>
  <si>
    <t>RZWY7R33X3LFQMZKJY46</t>
  </si>
  <si>
    <t>549300JEB576INN13W07</t>
  </si>
  <si>
    <t>5493008MHHJ5BEESEN88</t>
  </si>
  <si>
    <t>WGL ENERGY SERVICES, INC.</t>
  </si>
  <si>
    <t>7PK73JK4YJP6LTNBP291</t>
  </si>
  <si>
    <t>WHENKOULSSK7WUM60H03</t>
  </si>
  <si>
    <t>549300GECUN8QUPHJ075</t>
  </si>
  <si>
    <t>549300UBZCC7LD138K71</t>
  </si>
  <si>
    <t>JWBYHVQVMY66CVCOSO49</t>
  </si>
  <si>
    <t>549300OADU04492NLS71</t>
  </si>
  <si>
    <t>549300G0UEL8KEYCV821</t>
  </si>
  <si>
    <t>Worthington Industries, Inc.</t>
  </si>
  <si>
    <t>1WRCIANKYOIK6KYE5E82</t>
  </si>
  <si>
    <t>549300SWS2RHX39H8Z79</t>
  </si>
  <si>
    <t>549300FE3MQ4RVXXC673</t>
  </si>
  <si>
    <t>4KF48RN45X1OO8UBLY20</t>
  </si>
  <si>
    <t>549300YYAP58XWEN0H28</t>
  </si>
  <si>
    <t>254900DZLNQYSSCLBT57</t>
  </si>
  <si>
    <t>529900Z6OTS7RT0V0I47</t>
  </si>
  <si>
    <t>Dinamica</t>
  </si>
  <si>
    <t>549300X123Z1I0LA3Y84</t>
  </si>
  <si>
    <t>Citigroup Global Markets Limited</t>
  </si>
  <si>
    <t>XKZZ2JZF41MRHTR1V493</t>
  </si>
  <si>
    <t>COLEMAN LOGISTICS ASSETS LLC</t>
  </si>
  <si>
    <t>549300C9KDJF0LCNQD11</t>
  </si>
  <si>
    <t>B88JI2SXHB6L13VOD885</t>
  </si>
  <si>
    <t>549300YM52SRAJVOH204</t>
  </si>
  <si>
    <t>254900S40OFVLL80SA51</t>
  </si>
  <si>
    <t>549300YFIMVIQ5USLB59</t>
  </si>
  <si>
    <t>549300X6R2GYI8Y3OD81</t>
  </si>
  <si>
    <t>549300WGMU72NPH1W142</t>
  </si>
  <si>
    <t>YF6ZV0M6AU4FY94MK914</t>
  </si>
  <si>
    <t>R4YOWDNU5R1VQV3H8H28</t>
  </si>
  <si>
    <t>549300OX0Q38NLSKPB49</t>
  </si>
  <si>
    <t>549300ZUBBJHHI42ZO34</t>
  </si>
  <si>
    <t>DRMSV1Q0EKMEXLAU1P80</t>
  </si>
  <si>
    <t>2549002J1GZX24OKOM81</t>
  </si>
  <si>
    <t>549300S6PJYSIIETL350</t>
  </si>
  <si>
    <t>549300KWMZFB7D6MQ189</t>
  </si>
  <si>
    <t>4DW003P2NT3VNILVWA58</t>
  </si>
  <si>
    <t>549300SUBVOYQ9W21D33</t>
  </si>
  <si>
    <t>EQTWLK1G7ODGC2MGLV11</t>
  </si>
  <si>
    <t>549300QSDDQFGA14BJ61</t>
  </si>
  <si>
    <t>549300PKGZ4QEFX6FD77</t>
  </si>
  <si>
    <t>5493009HN53YN9OU8R24</t>
  </si>
  <si>
    <t>549300C9X2TIB0FMTR23</t>
  </si>
  <si>
    <t>549300JC05404S8H8G40</t>
  </si>
  <si>
    <t>2549001M5BSS9EP7P507</t>
  </si>
  <si>
    <t>EQYXK86SF381Q21S3020</t>
  </si>
  <si>
    <t>BIG BOX PROPERTY OWNER C LLC</t>
  </si>
  <si>
    <t>549300ZGDBVFREP84852</t>
  </si>
  <si>
    <t>3MGELCRSTNSAMJ962671</t>
  </si>
  <si>
    <t>549300KZDJZQ2YIHRC28</t>
  </si>
  <si>
    <t>YKS4QSSUSHKAP291P823</t>
  </si>
  <si>
    <t>549300EP4PDC2GZS3N56</t>
  </si>
  <si>
    <t>254900DSO6Z85BS4IO41</t>
  </si>
  <si>
    <t>549300D3ZVENBFRDJV34</t>
  </si>
  <si>
    <t>MBNUM2BPBDO7JBLYG310</t>
  </si>
  <si>
    <t>549300I9CMLB18EGI612</t>
  </si>
  <si>
    <t>JSNBF5FIRGTLOGDA8E09</t>
  </si>
  <si>
    <t>24M5VFJO3CHKXWBOX902</t>
  </si>
  <si>
    <t>549300CP8NY40UP89Q40</t>
  </si>
  <si>
    <t>549300M34GS2TDT97W26</t>
  </si>
  <si>
    <t>732CSYB5YI2A4VM2EI15</t>
  </si>
  <si>
    <t>HELIX LOGISTICS ASSETS LLC</t>
  </si>
  <si>
    <t>549300YMS6SSWH5Q0F22</t>
  </si>
  <si>
    <t>EZWYQR34P3DMTNKY7C97</t>
  </si>
  <si>
    <t>254900IIVVV5DABN3Y74</t>
  </si>
  <si>
    <t>549300XMP3KDCKJXIU47</t>
  </si>
  <si>
    <t>METHANEX LOUISIANA LLC</t>
  </si>
  <si>
    <t>549300RRRURIYQUUG614</t>
  </si>
  <si>
    <t>Molson Coors Beverage Company</t>
  </si>
  <si>
    <t>549300JVK4B3OCNPFG14</t>
  </si>
  <si>
    <t>254900DN19AAT3KKGK36</t>
  </si>
  <si>
    <t>PUQIUSVPZ74J2BUGCN39</t>
  </si>
  <si>
    <t>EGTXMXYB0UTE6GAU2G77</t>
  </si>
  <si>
    <t>2QER7Q2QN5HQI0QENU13</t>
  </si>
  <si>
    <t>DBMPQSXT0LEURZ0IGP72</t>
  </si>
  <si>
    <t>549300J1TRHZGH00QZ63</t>
  </si>
  <si>
    <t>549300OM426RVGZKW554</t>
  </si>
  <si>
    <t>549300HQP7HSUHXHVU45</t>
  </si>
  <si>
    <t>5493004N403NOCOGKS88</t>
  </si>
  <si>
    <t>NZKGWYDO5O20EZTLPF09</t>
  </si>
  <si>
    <t>549300NM20Q914ZBPK88</t>
  </si>
  <si>
    <t>SHEARES LOGISTICS ASSETS LLC</t>
  </si>
  <si>
    <t>549300DEHR1BRCN2JY60</t>
  </si>
  <si>
    <t>Societe Generale</t>
  </si>
  <si>
    <t>O2RNE8IBXP4R0TD8PU41</t>
  </si>
  <si>
    <t>254900L24ACA7XP4AK03</t>
  </si>
  <si>
    <t>549300JY4FEI9DMQ5M68</t>
  </si>
  <si>
    <t>6BYL5QZYBDK8S7L73M02</t>
  </si>
  <si>
    <t>UBS AG</t>
  </si>
  <si>
    <t>BFM8T61CT2L1QCEMIK50</t>
  </si>
  <si>
    <t>549300TUMO8QMSN6OF85</t>
  </si>
  <si>
    <t>213800LF29U64MUPLQ54</t>
  </si>
  <si>
    <t>VICTORIA LOGISTICS ASSETS LP</t>
  </si>
  <si>
    <t>54930083KNYKZQ6C3Q13</t>
  </si>
  <si>
    <t>213800ZRKYXK2SHQOW75</t>
  </si>
  <si>
    <t>Y87794H0US1R65VBXU25</t>
  </si>
  <si>
    <t>549300A14PKTHMY5K036</t>
  </si>
  <si>
    <t>HILBOQW2HUBI5K9OSV86</t>
  </si>
  <si>
    <t>A2W7O3C3U85J2NCCPG71</t>
  </si>
  <si>
    <t>5WO0LPV1PSQW1GK3IM88</t>
  </si>
  <si>
    <t>3SCHO1ABYYIG382BEI70</t>
  </si>
  <si>
    <t>549300MV0CBEJSWPYU65</t>
  </si>
  <si>
    <t>5493005LW1NGO09OM381</t>
  </si>
  <si>
    <t>549300IT1GU4WW7JTH43</t>
  </si>
  <si>
    <t>JLIMJRG84IKO4V0PHC80</t>
  </si>
  <si>
    <t>DF7XTAIGCLZ8VQL2LX85</t>
  </si>
  <si>
    <t>549300YQYCX4BMSDXD35</t>
  </si>
  <si>
    <t>549300HE87D0GUR8UI42</t>
  </si>
  <si>
    <t>CCSJJ2C7V07ZWTBWR232</t>
  </si>
  <si>
    <t>549300IF3V2UD64P0X13</t>
  </si>
  <si>
    <t>549300IUGJ3JF8L03M95</t>
  </si>
  <si>
    <t>KNX4USFCNGPY45LOCE31</t>
  </si>
  <si>
    <t>P41R60HC414IWQA1XW02</t>
  </si>
  <si>
    <t>549300HSB12KQBL6GS85</t>
  </si>
  <si>
    <t>5493007QBXBOZDX6R464</t>
  </si>
  <si>
    <t>549300CEN2R16UYTD995</t>
  </si>
  <si>
    <t>JHOZYZ5WPEXWR477VH72</t>
  </si>
  <si>
    <t>549300UPOY9QCI6EO631</t>
  </si>
  <si>
    <t>549300UN1FEYPC5BKW09</t>
  </si>
  <si>
    <t>549300YWIKPJ6FGQSK58</t>
  </si>
  <si>
    <t>C3GTMMZIHMY46P4OIX74</t>
  </si>
  <si>
    <t>5493006G1EFI4SX19C72</t>
  </si>
  <si>
    <t>254900UUCDCWSZ1GWW93</t>
  </si>
  <si>
    <t>0K2D5AK28E3O5CC06E35</t>
  </si>
  <si>
    <t>5493008MLAEZVG55IX36</t>
  </si>
  <si>
    <t>TGIU5N0SIMULU6I57R64</t>
  </si>
  <si>
    <t>N1YIDVMMKBHFYCCAIX69</t>
  </si>
  <si>
    <t>2ZCNRR8UK83OBTEK2170</t>
  </si>
  <si>
    <t>06BTX5UWZD0GQ5N5Y745</t>
  </si>
  <si>
    <t>549300CUVB1N67N4KE21</t>
  </si>
  <si>
    <t>5493004AKA8309WNL340</t>
  </si>
  <si>
    <t>LGJNMI9GH8XIDG5RCM61</t>
  </si>
  <si>
    <t>549300JE8XHZZ7OHN517</t>
  </si>
  <si>
    <t>5493004OLOFTLPRZBM08</t>
  </si>
  <si>
    <t>254900HA4B9JXI6N3V78</t>
  </si>
  <si>
    <t>98450059D3E7F4EEA485</t>
  </si>
  <si>
    <t>HLYYNH7UQUORYSJQCN42</t>
  </si>
  <si>
    <t>549300WT5VU84MJSCN74</t>
  </si>
  <si>
    <t>549300TBSWVZY3LD4976</t>
  </si>
  <si>
    <t>549300BN8ISQJQVD5D58</t>
  </si>
  <si>
    <t>549300ODD28L621J8H35</t>
  </si>
  <si>
    <t>FDPVHDGJ1IQZFK9KH630</t>
  </si>
  <si>
    <t>OW20ZSYAFQZSFSNZQT74</t>
  </si>
  <si>
    <t>TRR43XJWNSQTT4ZJ4373</t>
  </si>
  <si>
    <t>5493006DCP7IS1162940</t>
  </si>
  <si>
    <t>549300WN7Y59G32XOG97</t>
  </si>
  <si>
    <t>549300SKGAQ18F9L3O15</t>
  </si>
  <si>
    <t>549300RGL3OZE5J2M726</t>
  </si>
  <si>
    <t>549300JL3BK0B6WCHF27</t>
  </si>
  <si>
    <t>5493004HR263O5OQBP41</t>
  </si>
  <si>
    <t>WKGWVLWSOXTPDPZACG18</t>
  </si>
  <si>
    <t>JP MORGAN CHASE BANK TORONTO</t>
  </si>
  <si>
    <t>54930066VBP7DZEGGJ87</t>
  </si>
  <si>
    <t>549300QKBSQBIX4DQ583</t>
  </si>
  <si>
    <t>06ZODLC132CY1O2Y7D77</t>
  </si>
  <si>
    <t>549300FL7XSTXXNQHN64</t>
  </si>
  <si>
    <t>549300YG1G5KVC1Q4Y69</t>
  </si>
  <si>
    <t>YR6K3WJN0KKLUPZSNL57</t>
  </si>
  <si>
    <t>5LADC78JBG2BMZD5XF57</t>
  </si>
  <si>
    <t>549300TKP4I6OJ02BF90</t>
  </si>
  <si>
    <t>FenergoID</t>
  </si>
  <si>
    <t>LegalName</t>
  </si>
  <si>
    <t>GMEI/LEINumber</t>
  </si>
  <si>
    <t>AssociatedAssetManager</t>
  </si>
  <si>
    <t>DoddFrankCompliance</t>
  </si>
  <si>
    <t>CrossBorderStatus</t>
  </si>
  <si>
    <t>Pre-TradeMid-MarketMarksDisclosures</t>
  </si>
  <si>
    <t>WaiversforPre-TradeMid-MarketMarksDisclosures</t>
  </si>
  <si>
    <t>EndUserMandatoryClearingExemption</t>
  </si>
  <si>
    <t>CounterpartyTradingDesignation</t>
  </si>
  <si>
    <t>IndependentAmount</t>
  </si>
  <si>
    <t>OnboardedSwapProducts</t>
  </si>
  <si>
    <t>549300FMU2J1NWX6XZ95</t>
  </si>
  <si>
    <t>MGCJBT4MKTQBVLNUIS88</t>
  </si>
  <si>
    <t>R62TBL0OYY1J1QLS8N03</t>
  </si>
  <si>
    <t>549300III6KGKKC42W63</t>
  </si>
  <si>
    <t>FJV0KIIMRXLMWV5QT846</t>
  </si>
  <si>
    <t>549300HCIJYPJPPL7G72</t>
  </si>
  <si>
    <t>549300KB8PSOE1IQAG26</t>
  </si>
  <si>
    <t>549300VJIBHGJFXX6U15</t>
  </si>
  <si>
    <t>5493004VEBYJ442LU115</t>
  </si>
  <si>
    <t>549300LHSF1YH3BOU343</t>
  </si>
  <si>
    <t>254900S98ZBNC44E9E06</t>
  </si>
  <si>
    <t>5493007CNWMXN78JRN66</t>
  </si>
  <si>
    <t>5493001X4LH60PFRL744</t>
  </si>
  <si>
    <t>549300HTO5U9D3SLE207</t>
  </si>
  <si>
    <t>JFK NTO LLC</t>
  </si>
  <si>
    <t>254900SQ636WMGX4U454</t>
  </si>
  <si>
    <t>549300XENWSHWFK5TX76</t>
  </si>
  <si>
    <t>549300EG7SVDO7DEYC22</t>
  </si>
  <si>
    <t>3R3ONDQY8DVH8ZQMP532</t>
  </si>
  <si>
    <t>254900T92RF5O2S20S29</t>
  </si>
  <si>
    <t>254900WQZEZ0M24K4415</t>
  </si>
  <si>
    <t>LEI</t>
  </si>
  <si>
    <t>Y4GQDBAUE4NS6SXBHM38</t>
  </si>
  <si>
    <t>25V5FFI8VC77SZ5QTF33</t>
  </si>
  <si>
    <t>5493004ULXFW8R6OPA49</t>
  </si>
  <si>
    <t>549300YBOGK6MBI5ND34</t>
  </si>
  <si>
    <t>549300WP5YXYG3D6NQ34</t>
  </si>
  <si>
    <t>549300U9R7ULO0B3HK63</t>
  </si>
  <si>
    <t>549300XOAU8VC688WR83</t>
  </si>
  <si>
    <t>5493006QMFDDMYWIAM13</t>
  </si>
  <si>
    <t>254900YMOW7MM1QNTE06</t>
  </si>
  <si>
    <t>KMM4GVHWGNZ30QUYWV58</t>
  </si>
  <si>
    <t>549300LG5AUFDML64706</t>
  </si>
  <si>
    <t>1VUV7VQFKUOQSJ21A208</t>
  </si>
  <si>
    <t>5493005ELMA97NNGOF75</t>
  </si>
  <si>
    <t>549300CC16G1Y2NHCH33</t>
  </si>
  <si>
    <t>549300VFQ29LW2YJXR30</t>
  </si>
  <si>
    <t>4CUJ1D8WDXK9X7QI6B93</t>
  </si>
  <si>
    <t>549300WTI11GO2E10H50</t>
  </si>
  <si>
    <t>549300IMGZZY82WC7280</t>
  </si>
  <si>
    <t>549300AADWWEULT1G455</t>
  </si>
  <si>
    <t>CJ2GT3Q32P13LIA2SF61</t>
  </si>
  <si>
    <t>549300JOC93SIW3E1N63</t>
  </si>
  <si>
    <t>549300CZJM9AC2ZL6H43</t>
  </si>
  <si>
    <t>549300UK2ZYOI65LEZ32</t>
  </si>
  <si>
    <t>Y2SYW73BP72QA5C9V673</t>
  </si>
  <si>
    <t>5493001ECI4NJPXI5P10</t>
  </si>
  <si>
    <t>549300M5QTW5LHSO4D35</t>
  </si>
  <si>
    <t>RB0PEZSDGCO3JS6CEU02</t>
  </si>
  <si>
    <t>4LQMU9Z0AIC4ULRJDR78</t>
  </si>
  <si>
    <t>64YG15UP92P9JE2Y7G66</t>
  </si>
  <si>
    <t>O29GGLRMPBH5IZRCGE80</t>
  </si>
  <si>
    <t>549300AIQ0OLWNX5MM46</t>
  </si>
  <si>
    <t>549300CJ8GTV0OEH1C69</t>
  </si>
  <si>
    <t>DG3RU1DBUFHT4ZF9WN62</t>
  </si>
  <si>
    <t>CTND1OK5IPOPMHC6GY05</t>
  </si>
  <si>
    <t>UUK2N4IJMIQ7YL2JJ647</t>
  </si>
  <si>
    <t>F8GWB3VZN7SSFDLW4W10</t>
  </si>
  <si>
    <t>549300FC3G3YU2FBZD92</t>
  </si>
  <si>
    <t>5493007O8KFBRVEHPA25</t>
  </si>
  <si>
    <t>7E0MZ0QJ747MW6UMUW55</t>
  </si>
  <si>
    <t>ZD2NBKV6GCC3UMGBM518</t>
  </si>
  <si>
    <t>PT3QB789TSUIDF371261</t>
  </si>
  <si>
    <t>TWSRHFGEDJDX0GKMGJ67</t>
  </si>
  <si>
    <t>549300HS49XDH2U0HC55</t>
  </si>
  <si>
    <t>54930007G0LIGS5GQZ59</t>
  </si>
  <si>
    <t>SGT8R1MU6ESIC7UJC518</t>
  </si>
  <si>
    <t>9ZHRYM6F437SQJ6OUG95</t>
  </si>
  <si>
    <t>5493008XVFHYYV0YHN70</t>
  </si>
  <si>
    <t>EN5TNI6CI43VEPAMHL14</t>
  </si>
  <si>
    <t>549300TSCH0ZTLR5W421</t>
  </si>
  <si>
    <t>549300B7JDLUTLY4JI26</t>
  </si>
  <si>
    <t>549300HJZV8VFBOAEV54</t>
  </si>
  <si>
    <t>5493006UDVOE6Y7JMQ93</t>
  </si>
  <si>
    <t>549300ITPX78LJ50F318</t>
  </si>
  <si>
    <t>549300VEHWHWH2Z83532</t>
  </si>
  <si>
    <t>549300WR2HK2M9DVP897</t>
  </si>
  <si>
    <t>5493007EAI0NBT2TNA84</t>
  </si>
  <si>
    <t>5493002QOPYX7P96FG25</t>
  </si>
  <si>
    <t>549300AMZMPKVHA0MY77</t>
  </si>
  <si>
    <t>549300D65EK4IWUDTC98</t>
  </si>
  <si>
    <t>NQQ6HPCNCCU6TUTQYE16</t>
  </si>
  <si>
    <t>OQ3T05P7YR8P5YJEVI93</t>
  </si>
  <si>
    <t>549300Z86RO923BY2H66</t>
  </si>
  <si>
    <t>549300VJGU72JIL8QU10</t>
  </si>
  <si>
    <t>549300CX1WURODOEWO15</t>
  </si>
  <si>
    <t>5493001ZDI5KQPZTPI85</t>
  </si>
  <si>
    <t>C6J3FGIWG6MBDGTE8F80</t>
  </si>
  <si>
    <t>549300NSPD7QJ50GZW26</t>
  </si>
  <si>
    <t>549300C2SXDXVIUV3Q14</t>
  </si>
  <si>
    <t>549300HBUNHZ41EGEU21</t>
  </si>
  <si>
    <t>HWR6ATEU4L0XN8IT6Y39</t>
  </si>
  <si>
    <t>N4BHALMXL3GMZKCUON55</t>
  </si>
  <si>
    <t>549300M44WH89JG50067</t>
  </si>
  <si>
    <t>5493006CYZTYGMZ3N558</t>
  </si>
  <si>
    <t>549300XC6BQVZTLJJX23</t>
  </si>
  <si>
    <t>70DNWEAINTGFO4DMV441</t>
  </si>
  <si>
    <t>549300S13EXPW2RQVO62</t>
  </si>
  <si>
    <t>54930007K0YBCLC0HL14</t>
  </si>
  <si>
    <t>2IGI19DL77OX0HC3ZE78</t>
  </si>
  <si>
    <t>54930036474DURYNB481</t>
  </si>
  <si>
    <t>549300RLHDA7VQYMUB14</t>
  </si>
  <si>
    <t>549300QG7XFGLKN6HL17</t>
  </si>
  <si>
    <t>54930086BCBKS6KDLX54</t>
  </si>
  <si>
    <t>FPD41G4F3GH7OJ38TS94</t>
  </si>
  <si>
    <t>549300XXHOD8SXSZKY72</t>
  </si>
  <si>
    <t>549300262WY2R29IG536</t>
  </si>
  <si>
    <t>549300ZCD3FSCRU71J08</t>
  </si>
  <si>
    <t>549300HTAKATRS2O7C06</t>
  </si>
  <si>
    <t>549300DJ6NWLJVRL5C38</t>
  </si>
  <si>
    <t>549300XHH6LJM6IAXV57</t>
  </si>
  <si>
    <t>5493009G8Z6HBT19MD41</t>
  </si>
  <si>
    <t>549300WXIXOKWV5VKK13</t>
  </si>
  <si>
    <t>254900VGN7EHEX8XW857</t>
  </si>
  <si>
    <t>Q50Z4ID12W7DFFPENU57</t>
  </si>
  <si>
    <t>549300KPTPKKFVKB0065</t>
  </si>
  <si>
    <t>549300PHVVLJP2WH0I02</t>
  </si>
  <si>
    <t>5493006BM85OD3LERZ77</t>
  </si>
  <si>
    <t>549300CP0FGCBXKNYY77</t>
  </si>
  <si>
    <t>549300G6QKWRPOX3M965</t>
  </si>
  <si>
    <t>549300ZVJEJPBWBM4A55</t>
  </si>
  <si>
    <t>54930084MI16HPDZIU59</t>
  </si>
  <si>
    <t>54930016RDQ5V4X4Q043</t>
  </si>
  <si>
    <t>549300G8CYT0JU2CXG27</t>
  </si>
  <si>
    <t>549300AG21AZ0H8QZ802</t>
  </si>
  <si>
    <t>NQZVQT2P5IUF2PGA1Q48</t>
  </si>
  <si>
    <t>98TPTUM4IVMFCZBCUR27</t>
  </si>
  <si>
    <t>2549006Y7S1NVJC67U55</t>
  </si>
  <si>
    <t>5493000CMGO1FK33E260</t>
  </si>
  <si>
    <t>Z6MHCSLXHKYG4B6PHW02</t>
  </si>
  <si>
    <t>549300HN1YHDVKDC6D53</t>
  </si>
  <si>
    <t>549300QLDCP11KB6XW55</t>
  </si>
  <si>
    <t>549300ADEGFXTTYV5F66</t>
  </si>
  <si>
    <t>549300PZP8UNO2DXYG24</t>
  </si>
  <si>
    <t>549300FU60SSFLTE0M84</t>
  </si>
  <si>
    <t>54930002FHVPK0346439</t>
  </si>
  <si>
    <t>54930050QR7OWKNTI290</t>
  </si>
  <si>
    <t>KRVONIXV1JBEY6WQ6092</t>
  </si>
  <si>
    <t>549300ZEMF0P4EU7CI78</t>
  </si>
  <si>
    <t>549300YX87J5Y1C3PM26</t>
  </si>
  <si>
    <t>549300QGO6SATWUR8533</t>
  </si>
  <si>
    <t>549300SP6Z9JX88GD037</t>
  </si>
  <si>
    <t>DMB80L5QKUQ124HSYW98</t>
  </si>
  <si>
    <t>549300JVKXOTPTFOO179</t>
  </si>
  <si>
    <t>6THEVG93PYJH84S4D167</t>
  </si>
  <si>
    <t>UCPL15L0T7IZTJH6UT16</t>
  </si>
  <si>
    <t>254900MV34O8N8LGQF93</t>
  </si>
  <si>
    <t>54930076M746H2DBTP84</t>
  </si>
  <si>
    <t>5493004ZY2IJ1U4E5128</t>
  </si>
  <si>
    <t>549300OWIL82AHIVP639</t>
  </si>
  <si>
    <t>549300S3PCID51WGHF25</t>
  </si>
  <si>
    <t>549300TSPLTL8BEZ8O72</t>
  </si>
  <si>
    <t>549300P4G5UZ3AMJE056</t>
  </si>
  <si>
    <t>5493004WTTU1ZTWYEU36</t>
  </si>
  <si>
    <t>549300B4EZ3L8S8CCV35</t>
  </si>
  <si>
    <t>549300X44BWCB2DOBB79</t>
  </si>
  <si>
    <t>8VOXFDJBZOINI84RFT53</t>
  </si>
  <si>
    <t>5493001J6SOTDSMW4O62</t>
  </si>
  <si>
    <t>549300HSPXOSO4WCLD08</t>
  </si>
  <si>
    <t>5493007U4HAHXCK48S55</t>
  </si>
  <si>
    <t>549300EEPCCE686EP239</t>
  </si>
  <si>
    <t>HO0K6ZULL3QE6S6SFW60</t>
  </si>
  <si>
    <t>549300VNCXV28Q6S0L53</t>
  </si>
  <si>
    <t>549300DY7GOZFVHB4321</t>
  </si>
  <si>
    <t>549300O1MNHCX2FUBC21</t>
  </si>
  <si>
    <t>549300LX07S5J8F76F37</t>
  </si>
  <si>
    <t>549300ZUV7ZC4JPGDT53</t>
  </si>
  <si>
    <t>5493007TF87UYCMC8429</t>
  </si>
  <si>
    <t>549300RY50RHCCM65036</t>
  </si>
  <si>
    <t>254900W43N4LLFSP9N75</t>
  </si>
  <si>
    <t>5493000C0BSQDWUMGD08</t>
  </si>
  <si>
    <t>549300ZJW3EDXXKJZS65</t>
  </si>
  <si>
    <t>549300XHS9D6GSS5UR67</t>
  </si>
  <si>
    <t>254900AJ90P35H5RZM22</t>
  </si>
  <si>
    <t>549300DWBCYXXX6XQC95</t>
  </si>
  <si>
    <t>549300XJ89QPG8565B79</t>
  </si>
  <si>
    <t>254900VAYJT1QVPVZ208</t>
  </si>
  <si>
    <t>549300NVLSSVSVFNWG91</t>
  </si>
  <si>
    <t>2549009CAAU9H0OI9I95</t>
  </si>
  <si>
    <t>254900YZ5W9IO8BWKC62</t>
  </si>
  <si>
    <t>549300HQ4KT8XG70Z864</t>
  </si>
  <si>
    <t>5493006XVF6Z5WYJTX60</t>
  </si>
  <si>
    <t>549300892OFHTKQVNG14</t>
  </si>
  <si>
    <t>549300HP13DFIOKSFX56</t>
  </si>
  <si>
    <t>5XLQXOZXQGDQ492ZD098</t>
  </si>
  <si>
    <t>5493008SSGKG44BBAO96</t>
  </si>
  <si>
    <t>549300M023CZMOTNVQ13</t>
  </si>
  <si>
    <t>YDHER8SKF7V7YW8KZB55</t>
  </si>
  <si>
    <t>H8N91ZZ5ZBHE2NQ34P83</t>
  </si>
  <si>
    <t>549300UYM0GE81CYLC32</t>
  </si>
  <si>
    <t>5493002W3L9YICM6FU21</t>
  </si>
  <si>
    <t>549300DITPHH8W8CK636</t>
  </si>
  <si>
    <t>549300MGJPGWHF1UGK03</t>
  </si>
  <si>
    <t>549300GDE1FQ47O07131</t>
  </si>
  <si>
    <t>549300PMLQBE19M15F61</t>
  </si>
  <si>
    <t>549300EIBZV5PFZG7425</t>
  </si>
  <si>
    <t>549300PJHIGPWJVRET40</t>
  </si>
  <si>
    <t>54930058TO7MEKUHWL16</t>
  </si>
  <si>
    <t>5493003QILFOB3JRKE30</t>
  </si>
  <si>
    <t>5493002W033HJBDP3481</t>
  </si>
  <si>
    <t>C7PVKCRGLG18EBQGZV36</t>
  </si>
  <si>
    <t>549300FKDIB7OJMBSP83</t>
  </si>
  <si>
    <t>3CCUJEU88P85MIG5R153</t>
  </si>
  <si>
    <t>5493006O1E1TBNKPQW25</t>
  </si>
  <si>
    <t>549300VXE7YBLDTQKW49</t>
  </si>
  <si>
    <t>54930089BEQKJ58ZD169</t>
  </si>
  <si>
    <t>254900UBOUF45AW5PV33</t>
  </si>
  <si>
    <t>549300S8HVUSEU3JBY60</t>
  </si>
  <si>
    <t>549300WKWDSEXSHSL282</t>
  </si>
  <si>
    <t>54930030NVF3Y2OL0A78</t>
  </si>
  <si>
    <t>5493002MTPW00DAXIX41</t>
  </si>
  <si>
    <t>549300VL84UPTQX2XR75</t>
  </si>
  <si>
    <t>5493009981WBHS86CJ89</t>
  </si>
  <si>
    <t>549300ENY3O3CNK3S150</t>
  </si>
  <si>
    <t>5493002BABWBYV2A7Q82</t>
  </si>
  <si>
    <t>549300Y1FXTO6EZYWR82</t>
  </si>
  <si>
    <t>549300K5Y13GU6TPZJ49</t>
  </si>
  <si>
    <t>5493008IXSGLNB0RPP35</t>
  </si>
  <si>
    <t>T8KI5SQ2JRWHL7XY0E11</t>
  </si>
  <si>
    <t>L2TEUTQ8OSHMJWVLCE40</t>
  </si>
  <si>
    <t>549300WKILNGLP1C7131</t>
  </si>
  <si>
    <t>L1KM4TSWLKLM2CYNX933</t>
  </si>
  <si>
    <t>549300MYMFUNMK43D013</t>
  </si>
  <si>
    <t>5493004QI4QQE17ETY06</t>
  </si>
  <si>
    <t>549300FGSGT5QIJPPO24</t>
  </si>
  <si>
    <t>549300G4BHTQMBC0ZN85</t>
  </si>
  <si>
    <t>254900Q2X11BHYLT0363</t>
  </si>
  <si>
    <t>549300EWGW5PUCV5A109</t>
  </si>
  <si>
    <t>549300TE27IH2YV35A44</t>
  </si>
  <si>
    <t>GJZNVO2UY6DNFNIYH321</t>
  </si>
  <si>
    <t>5BV01I6231JPDAPMGH09</t>
  </si>
  <si>
    <t>549300C86G4JLR01YF53</t>
  </si>
  <si>
    <t>5493003PMAE3KEW1DL91</t>
  </si>
  <si>
    <t>5493004YNM7LB1ZMQ692</t>
  </si>
  <si>
    <t>549300UM4UKZYVOLCQ72</t>
  </si>
  <si>
    <t>549300LW4GNJRBECSD81</t>
  </si>
  <si>
    <t>549300IOJASF7KPJ2R34</t>
  </si>
  <si>
    <t>549300W8VRJGXPDX7D43</t>
  </si>
  <si>
    <t>5493004AMPGZA0JO5Q37</t>
  </si>
  <si>
    <t>5493004I9P4OP4BYQV44</t>
  </si>
  <si>
    <t>ANGGYXNX0JLX3X63JN86</t>
  </si>
  <si>
    <t>549300NLTGCFV7482429</t>
  </si>
  <si>
    <t>549300FKMIVIL51JOS11</t>
  </si>
  <si>
    <t>549300UCJGXMMKZCF076</t>
  </si>
  <si>
    <t>54930052NWJRPNMP1W58</t>
  </si>
  <si>
    <t>5493002USNU3QPCJIY05</t>
  </si>
  <si>
    <t>0W2PZJM8XOY22M4GG883</t>
  </si>
  <si>
    <t>F0HUI1NY1AZMJMD8LP67</t>
  </si>
  <si>
    <t>KX1WK48MPD4Y2NCUIZ63</t>
  </si>
  <si>
    <t>549300246BX7BWD3L187</t>
  </si>
  <si>
    <t>G1KG0OQD10NOMCMLDZ35</t>
  </si>
  <si>
    <t>MP6I5ZYZBEU3UXPYFY54</t>
  </si>
  <si>
    <t>3TK20IVIUJ8J3ZU0QE75</t>
  </si>
  <si>
    <t>2W8N8UU78PMDQKZENC08</t>
  </si>
  <si>
    <t>H7FNTJ4851HG0EXQ1Z70</t>
  </si>
  <si>
    <t>DGQCSV2PHVF7I2743539</t>
  </si>
  <si>
    <t>X57JK1U580XATGR67572</t>
  </si>
  <si>
    <t>2HI3YI5320L3RW6NJ957</t>
  </si>
  <si>
    <t>5493008HT30LZG4SGR26</t>
  </si>
  <si>
    <t>549300JCP1RGQDK4YM72</t>
  </si>
  <si>
    <t>549300XEWUFZ8HWGOI24</t>
  </si>
  <si>
    <t>5DPO0YNXJOHNTPNIJ867</t>
  </si>
  <si>
    <t>549300WEPPXE5O03XR55</t>
  </si>
  <si>
    <t>549300WIWQK5Q9MCUN92</t>
  </si>
  <si>
    <t>5493000PF3WCYN9ML549</t>
  </si>
  <si>
    <t>549300ALY1LDVQGKWL18</t>
  </si>
  <si>
    <t>4469000001BS0N01FY77</t>
  </si>
  <si>
    <t>549300CAZKPF4HKMPX17</t>
  </si>
  <si>
    <t>X3CZP3CK64YBHON1LE12</t>
  </si>
  <si>
    <t>549300QU77SOUV77ZM45</t>
  </si>
  <si>
    <t>529900QZQYETHNJ3UL68</t>
  </si>
  <si>
    <t>5493004RH02BWV4FYP74</t>
  </si>
  <si>
    <t>1FOLRR5RWTWWI397R131</t>
  </si>
  <si>
    <t>ZPBIE1WV1TE1L7UGYR74</t>
  </si>
  <si>
    <t>0EEB8GF0W0NPCIHZX097</t>
  </si>
  <si>
    <t>549300VCPPYNXS48HF67</t>
  </si>
  <si>
    <t>0LUS0MCIV69Q7ZI25D03</t>
  </si>
  <si>
    <t>0RL818ELFOHP5JHOFU19</t>
  </si>
  <si>
    <t>2DTL0G3FPRYUT58TI025</t>
  </si>
  <si>
    <t>3I9R3QSMC0H1SMP06M77</t>
  </si>
  <si>
    <t>TOJGZK7PUE7W5UTUJ229</t>
  </si>
  <si>
    <t>NPOWQJ8X1XVWUZXY4I44</t>
  </si>
  <si>
    <t>RMORFJ3FL57XQYFOW336</t>
  </si>
  <si>
    <t>XJI53DCPL7QABOWK4Z75</t>
  </si>
  <si>
    <t>AC28XWWI3WIBK2824319</t>
  </si>
  <si>
    <t>DQ2XTZKV7SILNNV77403</t>
  </si>
  <si>
    <t>XE2KCQGOGYZ847CKN141</t>
  </si>
  <si>
    <t>549300TDF7DD8E752166</t>
  </si>
  <si>
    <t>Y7ET3D9SDOFUZ515FE28</t>
  </si>
  <si>
    <t>MVJJBFDOI5ZWVJSX2534</t>
  </si>
  <si>
    <t>0QPLVC7REZNB7RWGY574</t>
  </si>
  <si>
    <t>LCZ7XYGSLJUHFXXNXD88</t>
  </si>
  <si>
    <t>549300Z6K4JXMFE8QY54</t>
  </si>
  <si>
    <t>5493000RH9UU7FNOTR74</t>
  </si>
  <si>
    <t>549300938QUWMPITJ642</t>
  </si>
  <si>
    <t>1V8Y6QCX6YMJ2OELII46</t>
  </si>
  <si>
    <t>549300A92Z1P18LBWZ57</t>
  </si>
  <si>
    <t>OK15ZS91HLOUM5TEHW06</t>
  </si>
  <si>
    <t>549300VDXZWSNDW0P006</t>
  </si>
  <si>
    <t>9NHEHR1SOZCYXDO8HO28</t>
  </si>
  <si>
    <t>549300V1RVI2CXPV3B41</t>
  </si>
  <si>
    <t>549300BHY23LFYB85T03</t>
  </si>
  <si>
    <t>DYTQ8KRTKO7Y2BVU5K74</t>
  </si>
  <si>
    <t>9JBID15KK3RNPBKP6U32</t>
  </si>
  <si>
    <t>PQOH26KWDF7CG10L6792</t>
  </si>
  <si>
    <t>549300WWH7HD2OZC3J84</t>
  </si>
  <si>
    <t>G6D9JBJ3B5USYVP7TB32</t>
  </si>
  <si>
    <t>S6XOOCT0IEG5ABCC6L87</t>
  </si>
  <si>
    <t>549300U01UTSY4XHYP86</t>
  </si>
  <si>
    <t>549300H47WTHXPU08X20</t>
  </si>
  <si>
    <t>VLNJO60M3ZNFHUPRKR74</t>
  </si>
  <si>
    <t>2MNR4Q42DBL85U7RD221</t>
  </si>
  <si>
    <t>XTHT88D08CLK11B3GJ82</t>
  </si>
  <si>
    <t>BLVY3B5CY5IDPCFLQ577</t>
  </si>
  <si>
    <t>549300EOFJ4H8TLMRF05</t>
  </si>
  <si>
    <t>TWEIX5NHOIH7Z263A488</t>
  </si>
  <si>
    <t>SXEWFA1R04F6X723XQ63</t>
  </si>
  <si>
    <t>JHR9V15J0ZRG02MIRD06</t>
  </si>
  <si>
    <t>549300KW07RG02W2KS44</t>
  </si>
  <si>
    <t>JLS56RAMYQZECFUF2G44</t>
  </si>
  <si>
    <t>549300B61LYPHV0RG023</t>
  </si>
  <si>
    <t>549300XSC5WJKNGYMM28</t>
  </si>
  <si>
    <t>54930079W5BP6FKWDN88</t>
  </si>
  <si>
    <t>549300RAYHIH4CT7YD71</t>
  </si>
  <si>
    <t>549300R7T7KP3H4DHH46</t>
  </si>
  <si>
    <t>549300JKT5KTWQGH8W42</t>
  </si>
  <si>
    <t>549300NQ16UJ5LUMZ476</t>
  </si>
  <si>
    <t>549300TGOGJOCWL57Z97</t>
  </si>
  <si>
    <t>NHHDIVVYH0IZZYTTX519</t>
  </si>
  <si>
    <t>549300S8NXV6YU61GG95</t>
  </si>
  <si>
    <t>0XXENSNEYD5BSB49GB59</t>
  </si>
  <si>
    <t>UE2136O97NLB5BYP9H04</t>
  </si>
  <si>
    <t>4DL8C98Z5G5IXZLH3578</t>
  </si>
  <si>
    <t>549300YFPY6BR8GD8Z46</t>
  </si>
  <si>
    <t>JBONEPAGQXF4QP29B387</t>
  </si>
  <si>
    <t>QBKYQD0ODE7DC7PDIN91</t>
  </si>
  <si>
    <t>549300MZWLT9C8T4VI12</t>
  </si>
  <si>
    <t>JFC10ZULKO4X2E3HBY86</t>
  </si>
  <si>
    <t>N62BF2PKP51FIIOIUN20</t>
  </si>
  <si>
    <t>9EL0Q0AR85AGUXEUSF64</t>
  </si>
  <si>
    <t>8WC3XYHE06SQFW7CQK10</t>
  </si>
  <si>
    <t>549300MGCPUGM2SFDC37</t>
  </si>
  <si>
    <t>6XOCUKRR0UU0LF5P1W14</t>
  </si>
  <si>
    <t>549300GZUEUTLKVGLF98</t>
  </si>
  <si>
    <t>549300YXD1CN0HYLMY54</t>
  </si>
  <si>
    <t>5493005YJ0IEQ4U7B338</t>
  </si>
  <si>
    <t>549300VRC7G9RQYYRN96</t>
  </si>
  <si>
    <t>549300SFBIUQHXVQMG72</t>
  </si>
  <si>
    <t>FRMR3F8RNAI288BVGN56</t>
  </si>
  <si>
    <t>549300R1G53NEHEJM568</t>
  </si>
  <si>
    <t>AWZ6MOVC3OARNLHKRS70</t>
  </si>
  <si>
    <t>5493001O43804SXJTO88</t>
  </si>
  <si>
    <t>HLBMKU9SSVMIDPDMNR16</t>
  </si>
  <si>
    <t>549300B8W2HVZXRQLZ68</t>
  </si>
  <si>
    <t>54930083HYD43JEHZW51</t>
  </si>
  <si>
    <t>549300KYYCXR8RCBZW40</t>
  </si>
  <si>
    <t>NKNQHM6BLECKVOQP7O46</t>
  </si>
  <si>
    <t>Q0M0CZB4YN6JZ65WXI09</t>
  </si>
  <si>
    <t>549300JLD7TQRZ92KO78</t>
  </si>
  <si>
    <t>ZXJ1CK6P8TCIB60MZT26</t>
  </si>
  <si>
    <t>TMIS4R1JBHH1P40UN507</t>
  </si>
  <si>
    <t>5R9JMPDJGEUGRHXB1E82</t>
  </si>
  <si>
    <t>9R1Z5I36FERIBVKW4P77</t>
  </si>
  <si>
    <t>XQM2JINI1UL7642TU573</t>
  </si>
  <si>
    <t>KYHI0ZH55WJMAGCUM377</t>
  </si>
  <si>
    <t>GLVNJ7SY1GVZDOBN6I13</t>
  </si>
  <si>
    <t>RMIUOB4TUI6OFKZ3HL40</t>
  </si>
  <si>
    <t>NHBDILHZTYCNBV5UYZ31</t>
  </si>
  <si>
    <t>RVHOHKPBCJ2GSJ37YH94</t>
  </si>
  <si>
    <t>LX444YH6CCS4436UII11</t>
  </si>
  <si>
    <t>549300EU3YV2V2EAGC07</t>
  </si>
  <si>
    <t>3NWOXIHJSQCX0SM5Z749</t>
  </si>
  <si>
    <t>549300LLUHHPY6FB3Z13</t>
  </si>
  <si>
    <t>XAP7J9TZOQWCQJWQ7163</t>
  </si>
  <si>
    <t>TUKCG6NINZUPMLMU6G98</t>
  </si>
  <si>
    <t>DL22T1SB4DUBS063O841</t>
  </si>
  <si>
    <t>08IRJODWFYBI7QWRGS31</t>
  </si>
  <si>
    <t>YP94C70M0X3R7DUZVT33</t>
  </si>
  <si>
    <t>6B2PBRV1FCJDMR45RZ53</t>
  </si>
  <si>
    <t>529900NQ29H45B4SD282</t>
  </si>
  <si>
    <t>B9S3SOU4N03LQ4T65561</t>
  </si>
  <si>
    <t>XRR8HTF6I0LPAHSAJZ47</t>
  </si>
  <si>
    <t>JW8I1CR03W8GQL14GD38</t>
  </si>
  <si>
    <t>54930085IGX05IMZOV13</t>
  </si>
  <si>
    <t>RBON5ZKPJZ8VNT4E7007</t>
  </si>
  <si>
    <t>54930024S0UK8VVYZC32</t>
  </si>
  <si>
    <t>549300O5QH50LHLGNN67</t>
  </si>
  <si>
    <t>ZFG6X0YWDXRYQCJDJS51</t>
  </si>
  <si>
    <t>2VAMCY3D6W26JDOEN151</t>
  </si>
  <si>
    <t>254900A0E25YOSEWEW18</t>
  </si>
  <si>
    <t>549300WK5YRPOB2DTT64</t>
  </si>
  <si>
    <t>VEHZZ86XL5TDLZEHJ586</t>
  </si>
  <si>
    <t>ERJDZPX8UAQZM8YRVI11</t>
  </si>
  <si>
    <t>Y83F947Z87MQ7D2E3545</t>
  </si>
  <si>
    <t>IF1WRO47T5AD6FOL1G61</t>
  </si>
  <si>
    <t>549300PKXJDXRXJ9S290</t>
  </si>
  <si>
    <t>5493003KUY1DEZBYKV57</t>
  </si>
  <si>
    <t>1HVM7JVB3XXUPH76OV88</t>
  </si>
  <si>
    <t>549300D7A8QA85Z2MH11</t>
  </si>
  <si>
    <t>7JZICZ7HXLNM1VFJRF98</t>
  </si>
  <si>
    <t>8FL3W96L346X3ZZXY355</t>
  </si>
  <si>
    <t>OS4U000D0OTPC1BVI411</t>
  </si>
  <si>
    <t>5493009MXMJ0I7R4GI32</t>
  </si>
  <si>
    <t>4C83J50RXBYB0E0FCQ02</t>
  </si>
  <si>
    <t>5493003S3G1GLFLXGX69</t>
  </si>
  <si>
    <t>HVIJIPOQ5TXYVD3NET54</t>
  </si>
  <si>
    <t>549300Y1Q1SHP50YHG27</t>
  </si>
  <si>
    <t>FIR47I6FEYKYNJBYW622</t>
  </si>
  <si>
    <t>54930068710LXLW07L12</t>
  </si>
  <si>
    <t>549300MU9DWWRLXRUY50</t>
  </si>
  <si>
    <t>TTWP6GWV8NQTVWK03G86</t>
  </si>
  <si>
    <t>O3BPEPYQU1FZFTQKVR18</t>
  </si>
  <si>
    <t>84CUPESW2VK4BYZPVU97</t>
  </si>
  <si>
    <t>HDJSZ5QHGSLSDGZSRQ08</t>
  </si>
  <si>
    <t>2Z31MM647E8VKFO85808</t>
  </si>
  <si>
    <t>XIWSZGF71CSSRS0DFG53</t>
  </si>
  <si>
    <t>PJBGG0SKLNET362SB619</t>
  </si>
  <si>
    <t>4IDQTQC5NXVM3WSFHR30</t>
  </si>
  <si>
    <t>OUB893BYM4R6CVFWWL56</t>
  </si>
  <si>
    <t>549300OLZFLPH7LVXW89</t>
  </si>
  <si>
    <t>54930053HGCFWVHYZX42</t>
  </si>
  <si>
    <t>PLD0E0WJKFN8IZJ2WD85</t>
  </si>
  <si>
    <t>5QSG4CTEGSG8IBBU8K41</t>
  </si>
  <si>
    <t>9QPHD303U5DXQ0IMWZ80</t>
  </si>
  <si>
    <t>CJBTZKNMXG62MDT8Q678</t>
  </si>
  <si>
    <t>549300XPJZZJ9WTCY720</t>
  </si>
  <si>
    <t>OKMAM2KVBS4IZN4FXP93</t>
  </si>
  <si>
    <t>1LLMSPGI1NWGP7WLKV74</t>
  </si>
  <si>
    <t>5493000BBN3EF2L0XW29</t>
  </si>
  <si>
    <t>549300RITNOVZDIBBL42</t>
  </si>
  <si>
    <t>5493000V17E37IMOTQ12</t>
  </si>
  <si>
    <t>549300GCCHUAZ2PJN216</t>
  </si>
  <si>
    <t>549300D6IHC1ALPRUY09</t>
  </si>
  <si>
    <t>0BW21SUTKHNZ55WI4897</t>
  </si>
  <si>
    <t>DBNQY3T844HC7Z86V857</t>
  </si>
  <si>
    <t>549300O6E8FEF6XJHA57</t>
  </si>
  <si>
    <t>U0HUTGM2UEREXFHM6H12</t>
  </si>
  <si>
    <t>3SU7BEP7TH9YEQOZCS77</t>
  </si>
  <si>
    <t>549300T15RIMIKZC5Q38</t>
  </si>
  <si>
    <t>549300YEXPVVK2ZDDP44</t>
  </si>
  <si>
    <t>4SXHN5XW08IBO0UG2V58</t>
  </si>
  <si>
    <t>07KYHSXJ04RX22KFNC38</t>
  </si>
  <si>
    <t>549300NKHFE6ZRF37I48</t>
  </si>
  <si>
    <t>7X0JNU7OCKLPRPQU1Q57</t>
  </si>
  <si>
    <t>549300GUSBQJTEGYK016</t>
  </si>
  <si>
    <t>549300WDU0AS30W35T75</t>
  </si>
  <si>
    <t>549300TM4PEF0BWPGP66</t>
  </si>
  <si>
    <t>YB1UE8Y7C8HFGBH8HY26</t>
  </si>
  <si>
    <t>Y0XLQV8UBGZHCMQUD665</t>
  </si>
  <si>
    <t>S5WYLE4XTPRSG7Q3BG75</t>
  </si>
  <si>
    <t>5493000KSZQCX0QM2V25</t>
  </si>
  <si>
    <t>XH32KECMLWNUPQRRKI65</t>
  </si>
  <si>
    <t>3DDUZ2OPG3HB3TLZPP52</t>
  </si>
  <si>
    <t>1UKL0F219G5CMXW7TL44</t>
  </si>
  <si>
    <t>0JJ0U6HULHJNCTHCO622</t>
  </si>
  <si>
    <t>3RMHC16TVB4V6CWW8789</t>
  </si>
  <si>
    <t>549300ZZIJPNT0RZWP17</t>
  </si>
  <si>
    <t>549300DVZFTUMM4M2O84</t>
  </si>
  <si>
    <t>549300FTKUHZK8OC7N74</t>
  </si>
  <si>
    <t>529900WOX8H1HMGYTL31</t>
  </si>
  <si>
    <t>6E77MG1DHHMDNWZLGL41</t>
  </si>
  <si>
    <t>LQI4ZUJXPDQFFFUXT563</t>
  </si>
  <si>
    <t>5493007ZOQ0M4KYN3338</t>
  </si>
  <si>
    <t>39CY8HO70XUDQCT3GY40</t>
  </si>
  <si>
    <t>549300LXO6GTIQZNNF16</t>
  </si>
  <si>
    <t>ZXQM402NHW4G815Y4L55</t>
  </si>
  <si>
    <t>HFI2KJN5A6RHAGMWK984</t>
  </si>
  <si>
    <t>ULY949L6USQTQO2W4291</t>
  </si>
  <si>
    <t>NIXEOA5GDB477UXP1S18</t>
  </si>
  <si>
    <t>QOI8NB052NIBJYO7R205</t>
  </si>
  <si>
    <t>549300XQC0WOXQ4XXT56</t>
  </si>
  <si>
    <t>A2TCDDZX25KJ3QBKUL70</t>
  </si>
  <si>
    <t>6YJ6OTG0PYO45FO7Q425</t>
  </si>
  <si>
    <t>99AMQN8UQW3ZQOQ6QJ43</t>
  </si>
  <si>
    <t>X4H6ME00E4XLTMBNGZ74</t>
  </si>
  <si>
    <t>549300TX0ZUSTEF7C719</t>
  </si>
  <si>
    <t>F0ZXMQZSEX0U84G11F53</t>
  </si>
  <si>
    <t>OLN15145ZBS4HRFP0911</t>
  </si>
  <si>
    <t>Y28MSGBPP1UPQPP48U34</t>
  </si>
  <si>
    <t>549300UEGGRS1OC9CL02</t>
  </si>
  <si>
    <t>C6ZGDVU994FOGAU4N371</t>
  </si>
  <si>
    <t>3HCV32YKHE1IL4AP0C43</t>
  </si>
  <si>
    <t>ABI575BLVRNZNB173H23</t>
  </si>
  <si>
    <t>549300JIBRCGBZQ7DH19</t>
  </si>
  <si>
    <t>549300679TRDUXPT7415</t>
  </si>
  <si>
    <t>YZAY4E0VG7W3MZK8EE78</t>
  </si>
  <si>
    <t>549300XRDP83CI4YBT10</t>
  </si>
  <si>
    <t>UW9KSF3IN10A9KOAHV73</t>
  </si>
  <si>
    <t>549300N3BTL7BKCYBC49</t>
  </si>
  <si>
    <t>5493008M0TDGJOBY9122</t>
  </si>
  <si>
    <t>54930079BR6HSPNCST09</t>
  </si>
  <si>
    <t>549300U55W8QFK2YTK38</t>
  </si>
  <si>
    <t>YYKNNFNMWTZHQKT2UT49</t>
  </si>
  <si>
    <t>549300EL4UO7UACEPB58</t>
  </si>
  <si>
    <t>YTG30RLJ61EM7ZT7LJ09</t>
  </si>
  <si>
    <t>5493005D3C0USHNYVL44</t>
  </si>
  <si>
    <t>ERY81DFZGNQ1I1V32G12</t>
  </si>
  <si>
    <t>549300UXPSVB9J11GQ87</t>
  </si>
  <si>
    <t>JSP0TNC596XKLBPR0Y26</t>
  </si>
  <si>
    <t>94QD49IZCVTM5EGG1787</t>
  </si>
  <si>
    <t>I0IOBW4VCADE8XZU6L35</t>
  </si>
  <si>
    <t>QR167KW6CBM02165VC07</t>
  </si>
  <si>
    <t>5ZNZMKEW1U06MVK7FS76</t>
  </si>
  <si>
    <t>SYHL25OKSP3H0LLZQH50</t>
  </si>
  <si>
    <t>QEJAM4CHHU6A3NMI9G85</t>
  </si>
  <si>
    <t>TPHDWCNCNZJ4ZVW46Y43</t>
  </si>
  <si>
    <t>549300TVKZM22UUX5J37</t>
  </si>
  <si>
    <t>549300GEHU6LUSPS7Q65</t>
  </si>
  <si>
    <t>XILNWRPRTWRS0ELWD465</t>
  </si>
  <si>
    <t>IOQM30LNVILJIHKVX296</t>
  </si>
  <si>
    <t>9BE6SBW2673VQIZ82C44</t>
  </si>
  <si>
    <t>1DDHUTG38S1PS4EC6J14</t>
  </si>
  <si>
    <t>N1UQ172ORZL49M70LH04</t>
  </si>
  <si>
    <t>WY8S4HYVLBO7V2IBM759</t>
  </si>
  <si>
    <t>EOW1NK32RWEIMTVXK597</t>
  </si>
  <si>
    <t>8FY8IQ7MOJ404XTWRD54</t>
  </si>
  <si>
    <t>8CE7JPU9IU72L3PPD756</t>
  </si>
  <si>
    <t>B1EEF6ML54YDWRC6ZK53</t>
  </si>
  <si>
    <t>H55Z5UF6N7R37U4B3F97</t>
  </si>
  <si>
    <t>FZFVQHQN7LISVXIZDB30</t>
  </si>
  <si>
    <t>EPMEU2WHPP53S7KCV060</t>
  </si>
  <si>
    <t>5493009UL1CFLQ2GMZ46</t>
  </si>
  <si>
    <t>549300X54QEYZVDC8R04</t>
  </si>
  <si>
    <t>B8NQ04W7QR02KG80L882</t>
  </si>
  <si>
    <t>BQ38APNR3SDCERF6NP20</t>
  </si>
  <si>
    <t>UHH3GVKP4EW0MPCVT846</t>
  </si>
  <si>
    <t>9M0WPMPB6T8KNGLEL403</t>
  </si>
  <si>
    <t>OIJMUK1MCJASNXC41Q37</t>
  </si>
  <si>
    <t>Y92V7KPZGX2B1200CY09</t>
  </si>
  <si>
    <t>MO5RG00SQ2DMW7GWL251</t>
  </si>
  <si>
    <t>WVDYZOHTQDQJ7OK7GO41</t>
  </si>
  <si>
    <t>PVP9UEETBW62S31FG979</t>
  </si>
  <si>
    <t>2SG1MIUAEYXH2E6VU192</t>
  </si>
  <si>
    <t>J66LB8B3GB34QW4VRZ57</t>
  </si>
  <si>
    <t>XIZFB8YL40GAPU8XC428</t>
  </si>
  <si>
    <t>5493009SPZX6G59GS152</t>
  </si>
  <si>
    <t>549300EITHYP4U3C9211</t>
  </si>
  <si>
    <t>774BI3FTXBIGDHE8UE39</t>
  </si>
  <si>
    <t>LNY0PH5EGFP08J1A6K25</t>
  </si>
  <si>
    <t>V4TXC5HR9FVHRRC3LU17</t>
  </si>
  <si>
    <t>GTRJ8UL7Q5YA81ZX0R38</t>
  </si>
  <si>
    <t>Z5TNEP76ZWYIF0536T79</t>
  </si>
  <si>
    <t>6LEO0DIB6841RHXSCW94</t>
  </si>
  <si>
    <t>EO7MTYRQXS77L8WVQ461</t>
  </si>
  <si>
    <t>5493004COSQ54937AW41</t>
  </si>
  <si>
    <t>AU2XUZ32TX2E8O01SP33</t>
  </si>
  <si>
    <t>254900IA1LN3SEKCR597</t>
  </si>
  <si>
    <t>549300IODZMEKWBL8T68</t>
  </si>
  <si>
    <t>BZ0VPOSR188OMOC2GM18</t>
  </si>
  <si>
    <t>549300NC9DUX1U0HTK57</t>
  </si>
  <si>
    <t>0D1KNQYE9XOVAMMLBO21</t>
  </si>
  <si>
    <t>9BERAPKKRC1Z4O6FJV46</t>
  </si>
  <si>
    <t>549300SWCNLZHPL4R642</t>
  </si>
  <si>
    <t>549300LLGYFAOD0C2S36</t>
  </si>
  <si>
    <t>5493008LN3O1DIDTSH67</t>
  </si>
  <si>
    <t>5493006BMT1EDAVVED77</t>
  </si>
  <si>
    <t>7C6Y38606627RIPLD136</t>
  </si>
  <si>
    <t>MEZFDOHINGJYUFZDJW64</t>
  </si>
  <si>
    <t>6EMQXW6Z276W76VTFW79</t>
  </si>
  <si>
    <t>549300NO45QR1Q4BV284</t>
  </si>
  <si>
    <t>5493000JUV61D1CUGP14</t>
  </si>
  <si>
    <t>E7VKXVNS2MRZI0U52Q31</t>
  </si>
  <si>
    <t>2Y32HZ36SC4YDCL7OD77</t>
  </si>
  <si>
    <t>5493001WTSR3ZWKMV738</t>
  </si>
  <si>
    <t>74KGUWJW505NR46U1252</t>
  </si>
  <si>
    <t>Y8PNMBNG2F2OXZ2NUY04</t>
  </si>
  <si>
    <t>TDI5G30XMVOIDXHXE615</t>
  </si>
  <si>
    <t>K24J22RISN931T57F155</t>
  </si>
  <si>
    <t>549300AN22WL3DO3C024</t>
  </si>
  <si>
    <t>549300ICFOCGDEPVJE31</t>
  </si>
  <si>
    <t>549300UCRVTMODE8LP96</t>
  </si>
  <si>
    <t>M4H7XMCPGZ4RARQDU309</t>
  </si>
  <si>
    <t>1Y1PUJIDS118T2O2T149</t>
  </si>
  <si>
    <t>L4T5QS2JX4WVA2M6IB64</t>
  </si>
  <si>
    <t>549300KQ7DCG4IXSNW78</t>
  </si>
  <si>
    <t>MCSV4MLP0AH302LO3E43</t>
  </si>
  <si>
    <t>549300I0UV3OTKWW2F52</t>
  </si>
  <si>
    <t>UZC70PCS43JNUEZLGJ25</t>
  </si>
  <si>
    <t>549300LVC84TCICWUW24</t>
  </si>
  <si>
    <t>549300SM89WABHDNJ349</t>
  </si>
  <si>
    <t>RZD9OV5UM4DWM6TP3D39</t>
  </si>
  <si>
    <t>MBOOPIMBRPEQKZ5QE309</t>
  </si>
  <si>
    <t>549300EFPQL909DYI060</t>
  </si>
  <si>
    <t>549300HBUE0MYWU8U481</t>
  </si>
  <si>
    <t>5493000YLDIG6KGRW224</t>
  </si>
  <si>
    <t>OLMR7D2OW8GYZWTRVW22</t>
  </si>
  <si>
    <t>U382N45HT8NGT3J4VR02</t>
  </si>
  <si>
    <t>6USR3S38KSYSMMZ2ZS60</t>
  </si>
  <si>
    <t>S79G04PPAEN6Y6P01O81</t>
  </si>
  <si>
    <t>5493000V6IR8BK63QS27</t>
  </si>
  <si>
    <t>8KMR2G17BUQ5XSGYGE70</t>
  </si>
  <si>
    <t>IX4RQURKCEJ661E50L81</t>
  </si>
  <si>
    <t>54930010KSPD8P06YF46</t>
  </si>
  <si>
    <t>529900ODI3047E2LIV03</t>
  </si>
  <si>
    <t>549300MF2QIT77RIUK07</t>
  </si>
  <si>
    <t>549300JVEN1QVIFI8E70</t>
  </si>
  <si>
    <t>P0C14V6IL3O47L1ZG636</t>
  </si>
  <si>
    <t>H0DVMU0L02TWMCXB1I98</t>
  </si>
  <si>
    <t>QYXDWNKJXGCL4VHNNV92</t>
  </si>
  <si>
    <t>WZLT4DHQLJJ8YFC11I16</t>
  </si>
  <si>
    <t>X34LMK70YEVK24PQ6H25</t>
  </si>
  <si>
    <t>3IF03P75XPZNZCBFAD82</t>
  </si>
  <si>
    <t>3ZB4HNB6YYQMKL4GBN27</t>
  </si>
  <si>
    <t>086WPJWWOQ6KSLE0KJ22</t>
  </si>
  <si>
    <t>TW2GNHCHC1OGDQEY2W26</t>
  </si>
  <si>
    <t>D23TA80GA92UXI4C3L28</t>
  </si>
  <si>
    <t>549300X76UKRFGFPTL11</t>
  </si>
  <si>
    <t>NPCVOUD2WVG556QLMB59</t>
  </si>
  <si>
    <t>5SCI88E1XWY2RI6Q4163</t>
  </si>
  <si>
    <t>5493004TYMNO05XU2939</t>
  </si>
  <si>
    <t>5493004QC72BGFIV5Q16</t>
  </si>
  <si>
    <t>54930033RXP5KRW88340</t>
  </si>
  <si>
    <t>549300B76IEMJGNLDT94</t>
  </si>
  <si>
    <t>549300HS6LC2Q5HWA620</t>
  </si>
  <si>
    <t>TPRDPF9802SMP74ZVM64</t>
  </si>
  <si>
    <t>R75Z66M7FD6UWI6IYY21</t>
  </si>
  <si>
    <t>HECUYVNCPVOML012XB38</t>
  </si>
  <si>
    <t>IESTMFG7UGW7B60IKK28</t>
  </si>
  <si>
    <t>549300TV3CJRAKGXI606</t>
  </si>
  <si>
    <t>4ELHTRKXHK6ELH9WOI24</t>
  </si>
  <si>
    <t>M4DHYCROG6SFNO22X437</t>
  </si>
  <si>
    <t>1R86W760D611I8RHLX24</t>
  </si>
  <si>
    <t>BVT0QWDJNZ8WI4XN5U25</t>
  </si>
  <si>
    <t>75LI66N60BF3QJ2FAR78</t>
  </si>
  <si>
    <t>CO57EE69TQB0PT6QK875</t>
  </si>
  <si>
    <t>ZXMJFRA1H32C57UJUC34</t>
  </si>
  <si>
    <t>FZICY1WZ0I8IZ2XD3R19</t>
  </si>
  <si>
    <t>549300YKS8CIG31PIN73</t>
  </si>
  <si>
    <t>831ZYSJ6QAOQ4VPW8684</t>
  </si>
  <si>
    <t>HDLWHPN6NOUBN66AS151</t>
  </si>
  <si>
    <t>7QI077YR4PK6NX1N1I12</t>
  </si>
  <si>
    <t>549300788EIV7LQVH379</t>
  </si>
  <si>
    <t>UROCOLESWDN8T1Q8M112</t>
  </si>
  <si>
    <t>RS8VXHJKKVE627NLC573</t>
  </si>
  <si>
    <t>DT8RC9ACYYLQR8F24Y62</t>
  </si>
  <si>
    <t>8Q2JCZN7I7248ZK0GE77</t>
  </si>
  <si>
    <t>43IHDLSRRQVF1KZ5TO58</t>
  </si>
  <si>
    <t>RGGXQ54IFC8ODZFM0579</t>
  </si>
  <si>
    <t>CWKPSZU62M3HI9EW5X70</t>
  </si>
  <si>
    <t>D8BVB3JRZ75950VGOK95</t>
  </si>
  <si>
    <t>BM2T2WX86HVY7NEG4J58</t>
  </si>
  <si>
    <t>JPLOY0QGZ77SI04T0B25</t>
  </si>
  <si>
    <t>SVLFVAGUHS15GPUL9Z39</t>
  </si>
  <si>
    <t>549300NKY72DZUNDF872</t>
  </si>
  <si>
    <t>KCDOXOJHAWHO0AANJ261</t>
  </si>
  <si>
    <t>549300F3V4IM7FBY9U59</t>
  </si>
  <si>
    <t>R7RDV19025JX26S0V169</t>
  </si>
  <si>
    <t>549300BT6TMPWNII3Z48</t>
  </si>
  <si>
    <t>6YT72B26N7XJW37FBY07</t>
  </si>
  <si>
    <t>SR5OE1EKBVF1C7RL7522</t>
  </si>
  <si>
    <t>68NQ4IJL37BMRRDHLU59</t>
  </si>
  <si>
    <t>VEHE78CLRETSRXZP4I08</t>
  </si>
  <si>
    <t>PTIGJRRB7TMWG0E5XU42</t>
  </si>
  <si>
    <t>BX5VU78PO9CRQUP4YH86</t>
  </si>
  <si>
    <t>IC5ZX00CDTVYWZREUC51</t>
  </si>
  <si>
    <t>HSAHZUJT0Z4FBUGY5S47</t>
  </si>
  <si>
    <t>MGFS63GRW2G1SZOESY83</t>
  </si>
  <si>
    <t>K2P23FCTK76TNWYHPM24</t>
  </si>
  <si>
    <t>J3HDCJQLI0Z3MYG73Z14</t>
  </si>
  <si>
    <t>B2JY4NU9RPQLDEI8V482</t>
  </si>
  <si>
    <t>TGJV9OEXZFWK46C30K77</t>
  </si>
  <si>
    <t>OP5HYQD8E93S5N6X1P62</t>
  </si>
  <si>
    <t>3KMZTL8PZ5381E27RD29</t>
  </si>
  <si>
    <t>DEDTN79GLWZ1KEDURI73</t>
  </si>
  <si>
    <t>4LIV36RE2YOPJ7ZZHU91</t>
  </si>
  <si>
    <t>6H88Q2DZCBEGOMBEBB05</t>
  </si>
  <si>
    <t>TQNOV3FW01CZTFL8YK48</t>
  </si>
  <si>
    <t>8NMWJD2XVDNZZAHXSJ80</t>
  </si>
  <si>
    <t>YO8YB8KUOR2PV7RGCT05</t>
  </si>
  <si>
    <t>UBV6ASKZ6D22Z3BEZJ52</t>
  </si>
  <si>
    <t>XFD0J7UWF8MFBY57ZU61</t>
  </si>
  <si>
    <t>STEUGJL6LZNTJZNDUF35</t>
  </si>
  <si>
    <t>C0FSZ71JI1IAVNM4U731</t>
  </si>
  <si>
    <t>P42MUQ6KRRELZQZE1595</t>
  </si>
  <si>
    <t>T7JTTTWHW1CB4D04VW48</t>
  </si>
  <si>
    <t>L5PKZHI2VYFXFVFBIX10</t>
  </si>
  <si>
    <t>62ZRTQ9GH88U1L7EYW37</t>
  </si>
  <si>
    <t>TYNS8LL5KA936NJZN198</t>
  </si>
  <si>
    <t>1G5AFDQ1J4RKDZ2JDZ73</t>
  </si>
  <si>
    <t>ZVT714KPY3QTZWRT1S41</t>
  </si>
  <si>
    <t>SJUC6WH3GDYFFYIHMV67</t>
  </si>
  <si>
    <t>VSODSLIYXJ7C18SCFD63</t>
  </si>
  <si>
    <t>P1IBOVZHA4PI2PLT9Q65</t>
  </si>
  <si>
    <t>R2MUFGRNN5QKX2UD3V35</t>
  </si>
  <si>
    <t>ZS3IEJ6L60NCIYQX9T07</t>
  </si>
  <si>
    <t>HGDM3WP2M1H6NT5B7Y90</t>
  </si>
  <si>
    <t>SXMV4TXSOGB1HGOZUF63</t>
  </si>
  <si>
    <t>SNMNUKOII1T2R8BSNF79</t>
  </si>
  <si>
    <t>7WSPSGH6AHW0E5SKX275</t>
  </si>
  <si>
    <t>549300P9300R3FCSTO42</t>
  </si>
  <si>
    <t>1HF6TMDVSLQTVB8TF611</t>
  </si>
  <si>
    <t>2ZJ0UBWM576CNLD1YP86</t>
  </si>
  <si>
    <t>VOI6QOMEXKGNKFIHJ560</t>
  </si>
  <si>
    <t>8GTUKFTYE4CYYGNOAA09</t>
  </si>
  <si>
    <t>WXIJUDZ58N7QM7IEFC20</t>
  </si>
  <si>
    <t>S7FG4ITZOFQTY8NO3222</t>
  </si>
  <si>
    <t>B178SV0GSVQ49D2KE750</t>
  </si>
  <si>
    <t>HGRTF1OM6JF8ACSUW293</t>
  </si>
  <si>
    <t>M5YC5KJPFG20T2K5QW62</t>
  </si>
  <si>
    <t>JFXF83TE2GHVNBYNPT47</t>
  </si>
  <si>
    <t>QKQ43I6KFB8KSER22F66</t>
  </si>
  <si>
    <t>549300BE2CB8T87IJV50</t>
  </si>
  <si>
    <t>JDQ7DIOGDSJ3UF1PQQ81</t>
  </si>
  <si>
    <t>549300CBG9JUG0C2DJ41</t>
  </si>
  <si>
    <t>17LCLVX6NLRXEGPSTV14</t>
  </si>
  <si>
    <t>549300J003DP330TER38</t>
  </si>
  <si>
    <t>TO65DJ4BRHKDRFAE6280</t>
  </si>
  <si>
    <t>5493009S3CM37R37M402</t>
  </si>
  <si>
    <t>549300EQ5VK8NSMJLX04</t>
  </si>
  <si>
    <t>VLLQHDPJ3HHZG5FCIQ57</t>
  </si>
  <si>
    <t>549300K899XUDBDBZI51</t>
  </si>
  <si>
    <t>54930003G9QU6OZWFE49</t>
  </si>
  <si>
    <t>549300UDBPIZN35OOZ21</t>
  </si>
  <si>
    <t>H1NR5322TI1DR8WYVE10</t>
  </si>
  <si>
    <t>54930012YY5I9GEITQ84</t>
  </si>
  <si>
    <t>D07H1KQBUJ8IJWFT1668</t>
  </si>
  <si>
    <t>6C256A5ZLD9JNZCEVQ49</t>
  </si>
  <si>
    <t>5OGLL4KR5UO47EWW8769</t>
  </si>
  <si>
    <t>GHM8Q6EXQTHQEW9M8M50</t>
  </si>
  <si>
    <t>YALBJ7CQ2HORXSMMG549</t>
  </si>
  <si>
    <t>549300EO1JU9WGN37J83</t>
  </si>
  <si>
    <t>549300183M7GYZ90QS57</t>
  </si>
  <si>
    <t>549300RTMGFN1YI2OC04</t>
  </si>
  <si>
    <t>549300X4J65KXERL1A94</t>
  </si>
  <si>
    <t>I8PFAF7IITXVJE84YO97</t>
  </si>
  <si>
    <t>WJ4D0F786URCY2LOE781</t>
  </si>
  <si>
    <t>549300FQ0HTVKR37XC82</t>
  </si>
  <si>
    <t>549300SCT0RG6178CI40</t>
  </si>
  <si>
    <t>DPM05KVNGI5S1T9CHR28</t>
  </si>
  <si>
    <t>549300KUG4HNMQ2UMN07</t>
  </si>
  <si>
    <t>549300E10O3S4206DU52</t>
  </si>
  <si>
    <t>1JK4JHU0UHDXLSNOYS41</t>
  </si>
  <si>
    <t>5493004X8NYYAND33669</t>
  </si>
  <si>
    <t>OUH1MD1C2I6D6KPESZ63</t>
  </si>
  <si>
    <t>MN5ZEK684KJNVB7YLS09</t>
  </si>
  <si>
    <t>W8CM1ROAG8LMR4D6YK48</t>
  </si>
  <si>
    <t>3P5R8WIRGQ1B5TF05M68</t>
  </si>
  <si>
    <t>HZT38E4FBDF4XOBCMR95</t>
  </si>
  <si>
    <t>Q1LZYWZB8MP978IE8693</t>
  </si>
  <si>
    <t>ECUNPD9TC7ARPR4G0150</t>
  </si>
  <si>
    <t>RMFT1B2RN4TEL25L2B66</t>
  </si>
  <si>
    <t>RR5C8B0WL67LM8LXGY08</t>
  </si>
  <si>
    <t>HNX4RHY9VOFJOXWRY959</t>
  </si>
  <si>
    <t>XOQAYRHWNT9012NDCT84</t>
  </si>
  <si>
    <t>EI2AJVNZKL4PT4OZTR26</t>
  </si>
  <si>
    <t>UJ5UOBP3E482JYT20N69</t>
  </si>
  <si>
    <t>NXRRHU10YR80RNU7DO59</t>
  </si>
  <si>
    <t>549300KC3I5R4T7J1P44</t>
  </si>
  <si>
    <t>IW6U7MSNP42O5K5M6380</t>
  </si>
  <si>
    <t>YW3WBV0ON6ACBUFK0226</t>
  </si>
  <si>
    <t>36X0O4MA4MOHF138ZO30</t>
  </si>
  <si>
    <t>3CM95YDLPQX8HLPILO80</t>
  </si>
  <si>
    <t>5U0XI89JRFVHWIBS4F54</t>
  </si>
  <si>
    <t>549300V040JZX5S66Z78</t>
  </si>
  <si>
    <t>549300W70ZOQDVLCHY06</t>
  </si>
  <si>
    <t>DFNI4DNI61GC5Q9F0I57</t>
  </si>
  <si>
    <t>549300C45JTS75N6ZY04</t>
  </si>
  <si>
    <t>1F72MYVD98VOKSPQGO46</t>
  </si>
  <si>
    <t>5493008NNZIEKZGXFW44</t>
  </si>
  <si>
    <t>GVJMEI3VC1VNL60RAN06</t>
  </si>
  <si>
    <t>549300DVSKZRFO926J46</t>
  </si>
  <si>
    <t>XYZMTQ00ME3ISOV4JP63</t>
  </si>
  <si>
    <t>FYCBI6VMQN4HECWFUC89</t>
  </si>
  <si>
    <t>D1XWSOR17SPW3RJXT141</t>
  </si>
  <si>
    <t>549300XE3D86HTG3ZF52</t>
  </si>
  <si>
    <t>G6CJS9FQMG4CDK27D411</t>
  </si>
  <si>
    <t>V4YIID3C9LS8K1QHH057</t>
  </si>
  <si>
    <t>1YUFC5ZDM2WIXF56CS74</t>
  </si>
  <si>
    <t>7ZE7Y847DN5MYFKTGY57</t>
  </si>
  <si>
    <t>54930046FICHFANLFV69</t>
  </si>
  <si>
    <t>549300N9D0PC4N17BU78</t>
  </si>
  <si>
    <t>XGLWF857X9H4346QT289</t>
  </si>
  <si>
    <t>N4TMDXXY44PXPOVR0H74</t>
  </si>
  <si>
    <t>GMIPF3WXB30H42Q8CO04</t>
  </si>
  <si>
    <t>YQGKA8FJR05BB2KSEO81</t>
  </si>
  <si>
    <t>LKF8OJISK7CCJPF4UV26</t>
  </si>
  <si>
    <t>549300HOPJYSORI1L764</t>
  </si>
  <si>
    <t>CBSM1YAON3H6OHZE0I79</t>
  </si>
  <si>
    <t>72TDDU3K225INPK3EI14</t>
  </si>
  <si>
    <t>YJHMBKLI9FVD4JOWRR19</t>
  </si>
  <si>
    <t>Y26FEL3Q0AVFZ7GQ5G30</t>
  </si>
  <si>
    <t>3PL2F24SRI321PWYDD23</t>
  </si>
  <si>
    <t>54930035WQZLGC45RZ35</t>
  </si>
  <si>
    <t>549300UOO4Z667405T51</t>
  </si>
  <si>
    <t>V65HPUH8V47LNXC4ZB76</t>
  </si>
  <si>
    <t>IHLC2GM2GKYWXV79VI52</t>
  </si>
  <si>
    <t>6QMVHKHCMOEHUGEEQ357</t>
  </si>
  <si>
    <t>5493005FGG4Y2YFTNM14</t>
  </si>
  <si>
    <t>GDD7CNW6KUI0L6X6II04</t>
  </si>
  <si>
    <t>IMLFIB452UYDHKHFYF82</t>
  </si>
  <si>
    <t>549300WIBJT8842IPB67</t>
  </si>
  <si>
    <t>R8DTJEH6ODDAI07YAY19</t>
  </si>
  <si>
    <t>6VRPIL6664WKIN846T80</t>
  </si>
  <si>
    <t>K20FOMOL2CG1KKDIQQ33</t>
  </si>
  <si>
    <t>YJ2FZ7TJ763DGY3BSQ65</t>
  </si>
  <si>
    <t>IJF3WMKR5GY3HU0NMD59</t>
  </si>
  <si>
    <t>FDXTRUS4WVXWQIT4BI58</t>
  </si>
  <si>
    <t>DEOK59KJJZVF5N12D351</t>
  </si>
  <si>
    <t>1IMQLCSVA4FFR2KI7T83</t>
  </si>
  <si>
    <t>5493006RJSLS5DA4PD75</t>
  </si>
  <si>
    <t>Q2CYWL14HRXG176O7B90</t>
  </si>
  <si>
    <t>549300VUFJZVX8L34824</t>
  </si>
  <si>
    <t>9QHCX46ZEV6T4KSE9X28</t>
  </si>
  <si>
    <t>54930026SBH8U37MM352</t>
  </si>
  <si>
    <t>CSHQGUK3EIOMEG3RBX45</t>
  </si>
  <si>
    <t>5L4T5IBY3BT80EF3QE27</t>
  </si>
  <si>
    <t>G8T0MB5NJUSE8IDHRC36</t>
  </si>
  <si>
    <t>7RQ8VQNV7HO7RUY13490</t>
  </si>
  <si>
    <t>0PZPTDXWOI0COXBX1847</t>
  </si>
  <si>
    <t>549300CXE3YQ1HXYCQ71</t>
  </si>
  <si>
    <t>J8RC0P753C604IHYJC91</t>
  </si>
  <si>
    <t>JZQM8Z1BV82EPNY31K96</t>
  </si>
  <si>
    <t>IOY9LYCDVMD8L92L1J12</t>
  </si>
  <si>
    <t>CBQ6O0VEBTEY76KGTW58</t>
  </si>
  <si>
    <t>RSVWI3D28N14GZZ13C52</t>
  </si>
  <si>
    <t>5493006Q9CTRAH6TWO07</t>
  </si>
  <si>
    <t>8TM1A4R0Z3Z4X87IL426</t>
  </si>
  <si>
    <t>54930088KVBU3PQGN847</t>
  </si>
  <si>
    <t>U3TZYNI5ACXQ921EWF51</t>
  </si>
  <si>
    <t>549300ULCXQ34UVEV654</t>
  </si>
  <si>
    <t>549300SSKQCWLVXFCY21</t>
  </si>
  <si>
    <t>54930070PK2VGCYE7L74</t>
  </si>
  <si>
    <t>SJ2XTRCAKB640XIC3T65</t>
  </si>
  <si>
    <t>FJYYT1HYBN8ONKLZC633</t>
  </si>
  <si>
    <t>V2XPTD7FAIWWLY47GG15</t>
  </si>
  <si>
    <t>48B3JXMPI43QY2CLNP34</t>
  </si>
  <si>
    <t>GFYJLKAENV3ORDSOMH50</t>
  </si>
  <si>
    <t>X6XOWEFIVT7FJYPJ2S59</t>
  </si>
  <si>
    <t>8KF5FI3YUEU5LJSPQP17</t>
  </si>
  <si>
    <t>PQ2PG1WUMWVI21G7H002</t>
  </si>
  <si>
    <t>B85ZYWEZ5IZCZ2WNIO12</t>
  </si>
  <si>
    <t>549300O7W2TDFC7GNT54</t>
  </si>
  <si>
    <t>5493007O7UXIOZ2RV630</t>
  </si>
  <si>
    <t>549300E9E5Y3PKW24142</t>
  </si>
  <si>
    <t>5493001CN6FN6RIWPB75</t>
  </si>
  <si>
    <t>5493003NMRIY0Z3WLF37</t>
  </si>
  <si>
    <t>549300P161V4IPKAQS70</t>
  </si>
  <si>
    <t>549300LYHE7LWSKDZT53</t>
  </si>
  <si>
    <t>549300SO7QUETMQD9D84</t>
  </si>
  <si>
    <t>B81CK4ESI35472RHJ606</t>
  </si>
  <si>
    <t>52965FONQ5NZKP0WZL45</t>
  </si>
  <si>
    <t>549300NQ588N7RWKBP98</t>
  </si>
  <si>
    <t>F3JS33DEI6XQ4ZBPTN86</t>
  </si>
  <si>
    <t>9W4ONDYI7MRRJYXY8R34</t>
  </si>
  <si>
    <t>VBHFXSYT7OG62HNT8T76</t>
  </si>
  <si>
    <t>DL6FFRRLF74S01HE2M14</t>
  </si>
  <si>
    <t>549300L3KWKK8X35QR12</t>
  </si>
  <si>
    <t>GGDZP1UYGU9STUHRDP48</t>
  </si>
  <si>
    <t>2636WNFJJ0SRBEFDMO60</t>
  </si>
  <si>
    <t>213800MU5YVOSGYPAR23</t>
  </si>
  <si>
    <t>RR3QWICWWIPCS8A4S074</t>
  </si>
  <si>
    <t>Y4DQT2X5DDRE70QFR206</t>
  </si>
  <si>
    <t>F01VVKN4DRF2NWKGQ283</t>
  </si>
  <si>
    <t>M312WZV08Y7LYUC71685</t>
  </si>
  <si>
    <t>IO66REGK3RCBAMA8HR66</t>
  </si>
  <si>
    <t>549300S2WO6N5LZCA810</t>
  </si>
  <si>
    <t>5493006GGLR4BTEL8O61</t>
  </si>
  <si>
    <t>59KDKHGEEY7M8YXEPZ33</t>
  </si>
  <si>
    <t>549300MRGPQ3KUKLOP83</t>
  </si>
  <si>
    <t>9598007PWYZP4GP23S45</t>
  </si>
  <si>
    <t>549300QTVYRPFHS0J362</t>
  </si>
  <si>
    <t>549300BH08XQJ1ITLQ77</t>
  </si>
  <si>
    <t>4469000001BOBOSIN585</t>
  </si>
  <si>
    <t>549300GKFG0RYRRQ1414</t>
  </si>
  <si>
    <t>HZSN7FQBPO5IEWYIGC72</t>
  </si>
  <si>
    <t>549300VLYM2XZE4FJF95</t>
  </si>
  <si>
    <t>5493007O3QFXCPOGWK22</t>
  </si>
  <si>
    <t>579100IKDIDEFDDIH076</t>
  </si>
  <si>
    <t>254900YOAMW4L93FPQ45</t>
  </si>
  <si>
    <t>549300CTUU1RFXHQJE44</t>
  </si>
  <si>
    <t>549300526KR9XDKDMS56</t>
  </si>
  <si>
    <t>8EWQ2UQKS07AKK8ANH81</t>
  </si>
  <si>
    <t>ZBUT11V806EZRVTWT807</t>
  </si>
  <si>
    <t>54930034UPFJV0NHXV95</t>
  </si>
  <si>
    <t>5RGFDMYH829UYJH0KY29</t>
  </si>
  <si>
    <t>549300FEJBQ8K4I92U89</t>
  </si>
  <si>
    <t>549300XCRGJ1W8AYGJ84</t>
  </si>
  <si>
    <t>BVPMDUKMLGPLU7BXCK91</t>
  </si>
  <si>
    <t>549300VTCEZOP03G9X31</t>
  </si>
  <si>
    <t>DSNHHQ2B9X5N6OUJ1236</t>
  </si>
  <si>
    <t>549300F5LS8EEHXPLJ73</t>
  </si>
  <si>
    <t>549300NQB50X0B1HJE68</t>
  </si>
  <si>
    <t>I46NN8QZPO237ZK3JS83</t>
  </si>
  <si>
    <t>8WH0EE09O9V05QJZ3V89</t>
  </si>
  <si>
    <t>5G6NVP4WADOI32VUUB17</t>
  </si>
  <si>
    <t>5493001E54CPRG5J5Q41</t>
  </si>
  <si>
    <t>549300VSEQHV5HNUZZ07</t>
  </si>
  <si>
    <t>549300J0756E8ZQ3BT74</t>
  </si>
  <si>
    <t>549300D65FSXELLQVL42</t>
  </si>
  <si>
    <t>549300SDDCBPZE0SZA05</t>
  </si>
  <si>
    <t>549300N76N6F136VF144</t>
  </si>
  <si>
    <t>549300CAH725PFG1T162</t>
  </si>
  <si>
    <t>549300RN7RL67MJPGQ21</t>
  </si>
  <si>
    <t>549300I7UECL5Q2MWL96</t>
  </si>
  <si>
    <t>5493001W84DV0YQ30J97</t>
  </si>
  <si>
    <t>549300PLM2M3SQZ61569</t>
  </si>
  <si>
    <t>IHNZN3GVPQJ4BFKMDO95</t>
  </si>
  <si>
    <t>549300TZR3OYY0IBOW29</t>
  </si>
  <si>
    <t>549300JJS5UUBB52ZS67</t>
  </si>
  <si>
    <t>QE0Q0253K88YAGNPE356</t>
  </si>
  <si>
    <t>57FXH3OLLPKKXY7PE964</t>
  </si>
  <si>
    <t>549300JK865OUJRKJV94</t>
  </si>
  <si>
    <t>89450088359KMH2YR704</t>
  </si>
  <si>
    <t>549300WW7L1VN5G6PE06</t>
  </si>
  <si>
    <t>UKZ46SXGNYCZK0UOZE76</t>
  </si>
  <si>
    <t>54930053STQXMP857U60</t>
  </si>
  <si>
    <t>549300Y1EVEI04R0GT18</t>
  </si>
  <si>
    <t>54930056WZE8OYLZ0321</t>
  </si>
  <si>
    <t>549300JZMVAJBFYUP202</t>
  </si>
  <si>
    <t>5493004XJK1P32XQLA57</t>
  </si>
  <si>
    <t>549300CYJ2Q1NGICC026</t>
  </si>
  <si>
    <t>549300TVSEWRG7AK8O25</t>
  </si>
  <si>
    <t>549300SX8QTK8CD4UE59</t>
  </si>
  <si>
    <t>549300D8JQKELSDSEZ88</t>
  </si>
  <si>
    <t>549300I76MW4N0RMJ639</t>
  </si>
  <si>
    <t>5493008FZGYLP3HO5O77</t>
  </si>
  <si>
    <t>549300WSRCZY73ZG3090</t>
  </si>
  <si>
    <t>CAEUB7RFQGNOY43W5759</t>
  </si>
  <si>
    <t>5493005VD794JCHUFK43</t>
  </si>
  <si>
    <t>549300906CLHXN7C9H73</t>
  </si>
  <si>
    <t>GMKAESQ5BLGG6SE4G630</t>
  </si>
  <si>
    <t>5493002GJ0NJP1HI0C79</t>
  </si>
  <si>
    <t>549300ICBWQYDKX5LU75</t>
  </si>
  <si>
    <t>549300YXUN4DGF150085</t>
  </si>
  <si>
    <t>5493003UA6VMND084504</t>
  </si>
  <si>
    <t>L35YSDFOIH056VDJ2557</t>
  </si>
  <si>
    <t>IRY8T6IX9M5NJYNUAT21</t>
  </si>
  <si>
    <t>54930058MYIXJ8SLTD87</t>
  </si>
  <si>
    <t>549300U7OUNKR0J06L17</t>
  </si>
  <si>
    <t>254900KJF8EHRPF4GY34</t>
  </si>
  <si>
    <t>5493009NLZXZGJDOPC94</t>
  </si>
  <si>
    <t>549300K418TJAD5IEL43</t>
  </si>
  <si>
    <t>549300R4IG1TWPZT5U32</t>
  </si>
  <si>
    <t>549300GB1VGPHAM7ZT77</t>
  </si>
  <si>
    <t>959800ZSEM89M035GH82</t>
  </si>
  <si>
    <t>5493002Q867GSNWODY60</t>
  </si>
  <si>
    <t>549300XJHLUEY0GPR274</t>
  </si>
  <si>
    <t>549300YWMJHVSZPIB022</t>
  </si>
  <si>
    <t>549300N34S5HL589R124</t>
  </si>
  <si>
    <t>549300MBCB8F6X8CXJ40</t>
  </si>
  <si>
    <t>549300CSOBZVGIW07Z43</t>
  </si>
  <si>
    <t>5493002SCIQPX6PFKZ81</t>
  </si>
  <si>
    <t>549300IALWGN60HV6R88</t>
  </si>
  <si>
    <t>549300UWFGIVYXEPYX63</t>
  </si>
  <si>
    <t>549300VTG63IM7QSFH59</t>
  </si>
  <si>
    <t>54930070BCUVR21ING21</t>
  </si>
  <si>
    <t>5493005646PN05BDAM05</t>
  </si>
  <si>
    <t>549300EJXOONWF64B384</t>
  </si>
  <si>
    <t>549300TSW4IFH3ZT3062</t>
  </si>
  <si>
    <t>5493003FYFTVROKHBN82</t>
  </si>
  <si>
    <t>5493008JZFXZZ10A3312</t>
  </si>
  <si>
    <t>549300IT8CIDW8V5KX72</t>
  </si>
  <si>
    <t>549300XFX12G42QIKN82</t>
  </si>
  <si>
    <t>549300O2NII7W0IMBD47</t>
  </si>
  <si>
    <t>QHSFEYI7HUOXXZ413E03</t>
  </si>
  <si>
    <t>549300JSO4G6XV6Y5V84</t>
  </si>
  <si>
    <t>549300WVWEUOYKGJH037</t>
  </si>
  <si>
    <t>549300LE9SL3UVK02X07</t>
  </si>
  <si>
    <t>549300EQYQ8SCQZ4BY14</t>
  </si>
  <si>
    <t>5493001TRCGXJLRLHN14</t>
  </si>
  <si>
    <t>549300F41G5HHOI0W548</t>
  </si>
  <si>
    <t>URJZSJ98FDO54CX4IW34</t>
  </si>
  <si>
    <t>549300OM1MUSBTEGVV90</t>
  </si>
  <si>
    <t>5493006BOR66ZCLIQG62</t>
  </si>
  <si>
    <t>549300H8VV043UPPN494</t>
  </si>
  <si>
    <t>54930018SOOHBHRLWC16</t>
  </si>
  <si>
    <t>549300GCTY5NW9ZOEU79</t>
  </si>
  <si>
    <t>5493004UEZICKO2V9W21</t>
  </si>
  <si>
    <t>549300MOGOJ8ODX2ED23</t>
  </si>
  <si>
    <t>549300QCT7EMI5LPHX96</t>
  </si>
  <si>
    <t>549300ZDYWD410H1TR80</t>
  </si>
  <si>
    <t>549300HUJESSTXQKMG85</t>
  </si>
  <si>
    <t>54930078TUCFM5OEBH47</t>
  </si>
  <si>
    <t>549300QUFFH8GFIT6357</t>
  </si>
  <si>
    <t>54930075FBYSKZ8KB489</t>
  </si>
  <si>
    <t>549300I0GC5RLR4VQY07</t>
  </si>
  <si>
    <t>54930039219EH5NO6R74</t>
  </si>
  <si>
    <t>549300NOF2L5B8HW0P03</t>
  </si>
  <si>
    <t>549300ZHCH882DXBEO51</t>
  </si>
  <si>
    <t>549300E43QHEIFWG6F10</t>
  </si>
  <si>
    <t>549300SL2ESVBSSRJR35</t>
  </si>
  <si>
    <t>549300SZHTM1YLMQJF42</t>
  </si>
  <si>
    <t>54930089KXHGLWT4CY46</t>
  </si>
  <si>
    <t>549300W39HOS8CLG3H82</t>
  </si>
  <si>
    <t>549300USREHVSRUDOI60</t>
  </si>
  <si>
    <t>549300DSL48YB7FHVW62</t>
  </si>
  <si>
    <t>549300S2JH9503C71W13</t>
  </si>
  <si>
    <t>549300WEAH7VLVUP3E28</t>
  </si>
  <si>
    <t>549300AP4WOPAD63CU11</t>
  </si>
  <si>
    <t>549300PAG935W6Q7UQ91</t>
  </si>
  <si>
    <t>549300R61ST0WJW4TT71</t>
  </si>
  <si>
    <t>5493007AITUJ9X4UWV14</t>
  </si>
  <si>
    <t>5493007OY4PK0U7B5Q98</t>
  </si>
  <si>
    <t>213800ZJU396A9OXXS50</t>
  </si>
  <si>
    <t>549300T8EBW6ZV6LEA65</t>
  </si>
  <si>
    <t>549300BFZ0GJ0K46FG57</t>
  </si>
  <si>
    <t>549300X8J3RFJPWFJX16</t>
  </si>
  <si>
    <t>5493002ZYLGJ2F8HCI88</t>
  </si>
  <si>
    <t>213800RWVKKIRX1AUH58</t>
  </si>
  <si>
    <t>549300YF0NDY3XYGXT14</t>
  </si>
  <si>
    <t>213800GNABQM2M887812</t>
  </si>
  <si>
    <t>549300071188HIDJEB11</t>
  </si>
  <si>
    <t>YNGVFARQAKNKQ765X474</t>
  </si>
  <si>
    <t>549300E7TSGLCOVSY746</t>
  </si>
  <si>
    <t>549300ZHQ6RZNIJ6BW48</t>
  </si>
  <si>
    <t>4B4HI3CGXMBDC0G6BM51</t>
  </si>
  <si>
    <t>549300KKENQJZ3HX0V13</t>
  </si>
  <si>
    <t>5493008C348O8IGCDZ39</t>
  </si>
  <si>
    <t>5493008JR8FCVQ6FJL94</t>
  </si>
  <si>
    <t>MUGRTYVB08D2IY355O62</t>
  </si>
  <si>
    <t>WMQLYC4KCMOYW9C0S279</t>
  </si>
  <si>
    <t>254900WXTACDMXUBX359</t>
  </si>
  <si>
    <t>5493006P8PDBI8LC0O96</t>
  </si>
  <si>
    <t>254900QMCI6LEQBEQO09</t>
  </si>
  <si>
    <t>AALGVYK6RWPEUC46UZ70</t>
  </si>
  <si>
    <t>549300FPSYJVFTPAYC55</t>
  </si>
  <si>
    <t>54930037NWG1CCVQHF93</t>
  </si>
  <si>
    <t>SI5RG2M0WQQLZCXKRM20</t>
  </si>
  <si>
    <t>8156002A2B9A00E5BD68</t>
  </si>
  <si>
    <t>ERTV7TEHPOJUPEUHGC58</t>
  </si>
  <si>
    <t>PNWU8O0BLT17BBV61Y18</t>
  </si>
  <si>
    <t>549300HC6W6OEXV7SY67</t>
  </si>
  <si>
    <t>KNPC1X7GHDZW8U2ZSF89</t>
  </si>
  <si>
    <t>549300QBHSCPTZ7YV010</t>
  </si>
  <si>
    <t>549300HJD00HOXYCA262</t>
  </si>
  <si>
    <t>5493008LFIYZKT5TJ445</t>
  </si>
  <si>
    <t>VWMYAEQSTOPNV0SUGU82</t>
  </si>
  <si>
    <t>54930032FNE403V28V44</t>
  </si>
  <si>
    <t>5493002L67KGC6AUID67</t>
  </si>
  <si>
    <t>5493002DXB50DBDXF755</t>
  </si>
  <si>
    <t>549300Q8PKK6ZJNZ7V51</t>
  </si>
  <si>
    <t>7CUNS533WID6K7DGFI87</t>
  </si>
  <si>
    <t>549300DYOMAF92ZTWU61</t>
  </si>
  <si>
    <t>549300UZWTSBHM6BJE80</t>
  </si>
  <si>
    <t>5493006A4X2NDNUZWB38</t>
  </si>
  <si>
    <t>549300EXYKLS0C5UOA89</t>
  </si>
  <si>
    <t>54930064314F08TJV206</t>
  </si>
  <si>
    <t>8156007D348794DB1690</t>
  </si>
  <si>
    <t>5493006DVOBII1E8FK30</t>
  </si>
  <si>
    <t>5493005GVVUVHD7XPS27</t>
  </si>
  <si>
    <t>2549005G75NMAK8TM233</t>
  </si>
  <si>
    <t>5493002F1U5CO1UMKD70</t>
  </si>
  <si>
    <t>254900HXCCIOHM74FA02</t>
  </si>
  <si>
    <t>253400EB56NKL2M3WT18</t>
  </si>
  <si>
    <t>HYBZ5SXKW67ICKUUWH81</t>
  </si>
  <si>
    <t>254900E3FCPG1RJPRK67</t>
  </si>
  <si>
    <t>549300XVUKM4FIKZI770</t>
  </si>
  <si>
    <t>5493001QH4XPRYWPW652</t>
  </si>
  <si>
    <t>549300DS86PEHLIYB473</t>
  </si>
  <si>
    <t>549300FHFNGCSKDTHT42</t>
  </si>
  <si>
    <t>213800R62RPGBBLQRT21</t>
  </si>
  <si>
    <t>549300MPFMWO1KUUZ497</t>
  </si>
  <si>
    <t>5493001KQW6DM7KEDR62</t>
  </si>
  <si>
    <t>549300HBUGSQD1VCXG94</t>
  </si>
  <si>
    <t>549300V64S8X8P3OCH89</t>
  </si>
  <si>
    <t>549300TDJKVQJ41VN031</t>
  </si>
  <si>
    <t>SR3J0ZUTXT7OTFT2VU03</t>
  </si>
  <si>
    <t>549300K94THGFIFHSI16</t>
  </si>
  <si>
    <t>549300Z2EDIJKQU2XK70</t>
  </si>
  <si>
    <t>254900XV5B725ZG6RS07</t>
  </si>
  <si>
    <t>2138002DQL2YD4S8HE87</t>
  </si>
  <si>
    <t>529900WQB1ZU9KB6EL71</t>
  </si>
  <si>
    <t>5493004Z2CVZZ73PMY42</t>
  </si>
  <si>
    <t>549300CZAQ4IL7TBNS73</t>
  </si>
  <si>
    <t>549300UTJJEY6NPXGP91</t>
  </si>
  <si>
    <t>3003003M11Y4DUH5H119</t>
  </si>
  <si>
    <t>549300AHYJ0OMBLIL335</t>
  </si>
  <si>
    <t>JB11ZK3Z2RFU15QNWV97</t>
  </si>
  <si>
    <t>549300O5KAG21BMZ8N83</t>
  </si>
  <si>
    <t>549300LATVTU0EIUMD45</t>
  </si>
  <si>
    <t>549300AWIRW1XXH9YG68</t>
  </si>
  <si>
    <t>549300OOT15U9T86BC75</t>
  </si>
  <si>
    <t>549300JYJINOI8GO5Q18</t>
  </si>
  <si>
    <t>549300AMYZRPPY6D9P76</t>
  </si>
  <si>
    <t>213800QMTDYZ56UF6Y43</t>
  </si>
  <si>
    <t>549300GNC3APEH54O781</t>
  </si>
  <si>
    <t>54930029BCN8HF3B1286</t>
  </si>
  <si>
    <t>5493007BEVBB7GSU9N63</t>
  </si>
  <si>
    <t>549300QJINQQJ6TTT232</t>
  </si>
  <si>
    <t>549300DTUYXVMJXZNY75</t>
  </si>
  <si>
    <t>335800OFZ8YEIVN1QI11</t>
  </si>
  <si>
    <t>549300MGVLXK8G4X5Y29</t>
  </si>
  <si>
    <t>5493003NOCSC6LUWUF03</t>
  </si>
  <si>
    <t>1OWDXUQZTNL3CMVDJO53</t>
  </si>
  <si>
    <t>ZAYQDKTCATIXF9OQY690</t>
  </si>
  <si>
    <t>NOLEI000000000000000</t>
  </si>
  <si>
    <t>549300QWL06P0PS2IZ31</t>
  </si>
  <si>
    <t>5493003Q88RVK7CW4735</t>
  </si>
  <si>
    <t>5493007USNFMTES3J219</t>
  </si>
  <si>
    <t>549300JXWH1UV5J0XV81</t>
  </si>
  <si>
    <t>5493005GY7GGIWQ45M70</t>
  </si>
  <si>
    <t>5493007S6O0HR48ATX36</t>
  </si>
  <si>
    <t>549300WD2G96SSUB9088</t>
  </si>
  <si>
    <t>8B2J4H67N3JPLYJIDE37</t>
  </si>
  <si>
    <t>549300FJU75R27TA1U32</t>
  </si>
  <si>
    <t>5493004SQ4Z24RP40932</t>
  </si>
  <si>
    <t>988400KLBPXB4WMBUX18</t>
  </si>
  <si>
    <t>549300ZEUROWOZOFSX77</t>
  </si>
  <si>
    <t>5493009Z5F07LWZYMK62</t>
  </si>
  <si>
    <t>5493002OO4D8548V4S93</t>
  </si>
  <si>
    <t>549300WEH2S4DZU82R14</t>
  </si>
  <si>
    <t>549300M8LAB5DCE8PE49</t>
  </si>
  <si>
    <t>529900R2I6KUV797NG93</t>
  </si>
  <si>
    <t>5493004C2440TG5JAJ47</t>
  </si>
  <si>
    <t>549300GL0GLBNWXEHC24</t>
  </si>
  <si>
    <t>988400TPNFJZDPI94Y56</t>
  </si>
  <si>
    <t>5493009M6YI1NR35KW64</t>
  </si>
  <si>
    <t>213800NVXC2F29LQVZ83</t>
  </si>
  <si>
    <t>5493000IRH8ZF2IJYY72</t>
  </si>
  <si>
    <t>R7RX8ER1V4666J8D1I38</t>
  </si>
  <si>
    <t>213800A1PNS41NG89H87</t>
  </si>
  <si>
    <t>2138008ZC8D6U8AI4N49</t>
  </si>
  <si>
    <t>335800QFIPQ9AFX1CS84</t>
  </si>
  <si>
    <t>549300I3VFWXFDWTF203</t>
  </si>
  <si>
    <t>549300RB8ZUQ2QO5HJ15</t>
  </si>
  <si>
    <t>54930060IU46JWRHN675</t>
  </si>
  <si>
    <t>549300QY7FEUB7D5TV36</t>
  </si>
  <si>
    <t>QQTTPMZD0WKQL0H5S472</t>
  </si>
  <si>
    <t>213800CZM9YMSN4AL882</t>
  </si>
  <si>
    <t>RZP0S2BXNUO20ZHKCV45</t>
  </si>
  <si>
    <t>391200XSJU5WEVAXB086</t>
  </si>
  <si>
    <t>84S0VF8TSMH0T6D4K848</t>
  </si>
  <si>
    <t>5493000MYSOXKUTYP896</t>
  </si>
  <si>
    <t>5493008E2CRYK0L4O937</t>
  </si>
  <si>
    <t>213800GVIMM19IZLIM36</t>
  </si>
  <si>
    <t>JYTD4EG2RV6TZLINOV87</t>
  </si>
  <si>
    <t>549300GA7MIRERQ2ML67</t>
  </si>
  <si>
    <t>213800412D6QL8J4U376</t>
  </si>
  <si>
    <t>KT1X5Y238S91W0TNKJ87</t>
  </si>
  <si>
    <t>549300MHZ9XPZVKZDP15</t>
  </si>
  <si>
    <t>549300HLFY165X4FYW86</t>
  </si>
  <si>
    <t>549300QMAPRO0ARH7Z79</t>
  </si>
  <si>
    <t>549300XXMOJSIW8P4769</t>
  </si>
  <si>
    <t>549300ML2LNRZUCS7149</t>
  </si>
  <si>
    <t>988400D0HSQUB1I1VO41</t>
  </si>
  <si>
    <t>549300KFN0SPHEXL2V82</t>
  </si>
  <si>
    <t>549300RSNEVPCE8HET83</t>
  </si>
  <si>
    <t>254900GIU46LSH81I834</t>
  </si>
  <si>
    <t>5493004DI6EPW4VVUS47</t>
  </si>
  <si>
    <t>5493000TFRI61IQSHH52</t>
  </si>
  <si>
    <t>5493007ESG1G20YE6T94</t>
  </si>
  <si>
    <t>549300C7E2UAO5BVRR75</t>
  </si>
  <si>
    <t>DBL8DHRKOXEUHU7IVM29</t>
  </si>
  <si>
    <t>549300MP7OZL1DJ28Q90</t>
  </si>
  <si>
    <t>549300OOKI1J60ZS8Z73</t>
  </si>
  <si>
    <t>254900T0XB5QOZ3VUQ12</t>
  </si>
  <si>
    <t>5493004OT3TOY404V310</t>
  </si>
  <si>
    <t>3BNYRYQHD39K4LCKQF12</t>
  </si>
  <si>
    <t>549300CJ5RI351SUYT02</t>
  </si>
  <si>
    <t>549300GCRU5QIM9WHM73</t>
  </si>
  <si>
    <t>529900UDI2I567CRJW40</t>
  </si>
  <si>
    <t>5299005RDPYR0DNHDX66</t>
  </si>
  <si>
    <t>549300TV1IC23LKKKY06</t>
  </si>
  <si>
    <t>549300ONXZ5DHLQ2GV42</t>
  </si>
  <si>
    <t>549300GN4Y6XU1ZLQW10</t>
  </si>
  <si>
    <t>5493007H6UJ1G1LBXM29</t>
  </si>
  <si>
    <t>35380076QOBOSOUBRT89</t>
  </si>
  <si>
    <t>9884005Y2X45U85XP983</t>
  </si>
  <si>
    <t>335800F2N17O1E519V41</t>
  </si>
  <si>
    <t>UMJSV04W27DPQFAK7L59</t>
  </si>
  <si>
    <t>549300MP50ZWVTU3HQ15</t>
  </si>
  <si>
    <t>2138008EY57V9T2JH455</t>
  </si>
  <si>
    <t>2138002Y3WMK6RZS8H90</t>
  </si>
  <si>
    <t>5493001XNTPYS3WWQO58</t>
  </si>
  <si>
    <t>549300NB7FE83IH6BW96</t>
  </si>
  <si>
    <t>259400VHILGGKLBNL383</t>
  </si>
  <si>
    <t>5493006YWSRGTJ0S5777</t>
  </si>
  <si>
    <t>0IKLU6X1B10WK7X42C15</t>
  </si>
  <si>
    <t>549300Q4E8CXLE2Q0D02</t>
  </si>
  <si>
    <t>98450087099E0D9E4961</t>
  </si>
  <si>
    <t>549300LB27W7RQ1SPR81</t>
  </si>
  <si>
    <t>549300MD52RKOB37D886</t>
  </si>
  <si>
    <t>549300RM1BLO808O4623</t>
  </si>
  <si>
    <t>549300O7YF1V30AP4472</t>
  </si>
  <si>
    <t>549300EO5N2WWIWO9H94</t>
  </si>
  <si>
    <t>5493007DYSUQ0PZGY421</t>
  </si>
  <si>
    <t>549300MKTF5851TYIB83</t>
  </si>
  <si>
    <t>549300COG5FSY8EYFL43</t>
  </si>
  <si>
    <t>549300K0HRHIOG7K1K18</t>
  </si>
  <si>
    <t>549300ZCW2Y7TVZD2M65</t>
  </si>
  <si>
    <t>5493004X2LR8VD49MQ66</t>
  </si>
  <si>
    <t>QALTJIDPUSOINM1SXH72</t>
  </si>
  <si>
    <t>335800LE3GBR6I412V82</t>
  </si>
  <si>
    <t>5299006GIHQ1ELISCV48</t>
  </si>
  <si>
    <t>213800JIPC6NO3AJ9214</t>
  </si>
  <si>
    <t>549300HJD8NEGT71RF07</t>
  </si>
  <si>
    <t>549300ZHRPSV7QIUJT80</t>
  </si>
  <si>
    <t>2138007ZSQ7B17SKOX77</t>
  </si>
  <si>
    <t>DB6ML2MQ62SN8G0IT139</t>
  </si>
  <si>
    <t>549300GNMGYMTYT8CP18</t>
  </si>
  <si>
    <t>549300K4JV5KZ338XY26</t>
  </si>
  <si>
    <t>549300BNVBTVN4320127</t>
  </si>
  <si>
    <t>815600CAB991090A8A30</t>
  </si>
  <si>
    <t>2138003KBLOTM2MJXF37</t>
  </si>
  <si>
    <t>5586006ZEFQ542K7CY16</t>
  </si>
  <si>
    <t>988400GFRE4IDFPE9E64</t>
  </si>
  <si>
    <t>254900L9HWNGATR5L645</t>
  </si>
  <si>
    <t>549300T5XD8V8BI2G587</t>
  </si>
  <si>
    <t>549300P3U6449ZMIIC15</t>
  </si>
  <si>
    <t>549300A0QNNPY14D9106</t>
  </si>
  <si>
    <t>9598009UWXY6WJA5RJ18</t>
  </si>
  <si>
    <t>549300WLBOHWZK5WG321</t>
  </si>
  <si>
    <t>3003004V7M6KK9GJNJ25</t>
  </si>
  <si>
    <t>5493003P813VL21KG928</t>
  </si>
  <si>
    <t>5493002BO0CMTX3XSM53</t>
  </si>
  <si>
    <t>549300US593W237QMY27</t>
  </si>
  <si>
    <t>5493004SE33MRLPB1W98</t>
  </si>
  <si>
    <t>549300YRK4H23FEFK359</t>
  </si>
  <si>
    <t>549300KEVMSOSY8T8R35</t>
  </si>
  <si>
    <t>549300IHT3UMGTGZSX08</t>
  </si>
  <si>
    <t>549300J22FB2E7BYRP26</t>
  </si>
  <si>
    <t>5493007V68OA4XXDC189</t>
  </si>
  <si>
    <t>QFC8ZCW3Q5PRXU1XTM60</t>
  </si>
  <si>
    <t>549300L2EGVFF6D11K67</t>
  </si>
  <si>
    <t>V82KK8NH1P0JS71FJC05</t>
  </si>
  <si>
    <t>549300IVORCU3KB4VE04</t>
  </si>
  <si>
    <t>549300UBDCSNXH8EG648</t>
  </si>
  <si>
    <t>549300DJ6KLAW0QN1D88</t>
  </si>
  <si>
    <t>549300ZFPYDS135LU078</t>
  </si>
  <si>
    <t>549300YDSMM4FBAIKF69</t>
  </si>
  <si>
    <t>5493006OZQQGARY37E62</t>
  </si>
  <si>
    <t>335800EAFX2C32TJNU76</t>
  </si>
  <si>
    <t>03D0JEWFDFUS0SEEKG89</t>
  </si>
  <si>
    <t>549300EM9IELBMKYHT27</t>
  </si>
  <si>
    <t>549300Q76VJ3XR7R7R35</t>
  </si>
  <si>
    <t>CO6GC26LCGGRTUESIP55</t>
  </si>
  <si>
    <t>300300CHNPBC19481202</t>
  </si>
  <si>
    <t>213800HLFL9G8P7E2E55</t>
  </si>
  <si>
    <t>549300DXXM2U4DWTZ726</t>
  </si>
  <si>
    <t>549300J40JWI09S6GR02</t>
  </si>
  <si>
    <t>549300B808DC4IISJQ58</t>
  </si>
  <si>
    <t>549300CEE2ENIUJNXB84</t>
  </si>
  <si>
    <t>5493003UX5NBQP441N14</t>
  </si>
  <si>
    <t>549300QMNS6BDY8UUB03</t>
  </si>
  <si>
    <t>4469000001BS95JUU623</t>
  </si>
  <si>
    <t>549300EVZBQ3EMZX1M50</t>
  </si>
  <si>
    <t>549300J5HC4BU48CWR20</t>
  </si>
  <si>
    <t>549300UILIFDDRUUGG93</t>
  </si>
  <si>
    <t>549300EVSDWRVHUSS869</t>
  </si>
  <si>
    <t>549300RHQ6GVA2T8F693</t>
  </si>
  <si>
    <t>5493006FMRPDLQ3R5Q71</t>
  </si>
  <si>
    <t>549300OGZ20NPXAB2K67</t>
  </si>
  <si>
    <t>549300LOH7BC6VN30L81</t>
  </si>
  <si>
    <t>549300RMVY7CFMPI4Z48</t>
  </si>
  <si>
    <t>549300RSCK1B6LW3H485</t>
  </si>
  <si>
    <t>549300SDEXFDG86G4C97</t>
  </si>
  <si>
    <t>549300Y1A66X8UXFP875</t>
  </si>
  <si>
    <t>549300ABGZGI1Y59FG06</t>
  </si>
  <si>
    <t>5493007HTULPLIBRVX31</t>
  </si>
  <si>
    <t>549300H6W8C5YVZOT266</t>
  </si>
  <si>
    <t>549300LJLYXM158PWC50</t>
  </si>
  <si>
    <t>MV1XO477RW121VNQVH09</t>
  </si>
  <si>
    <t>549300P16IDBVDI1T160</t>
  </si>
  <si>
    <t>549300514YCQANUHXW83</t>
  </si>
  <si>
    <t>549300DY0DXV2GDEYW36</t>
  </si>
  <si>
    <t>549300P4WP5KYKI0LO87</t>
  </si>
  <si>
    <t>86P7KJ81ZFU2M6C7EV53</t>
  </si>
  <si>
    <t>ZCWN1SY3AQN0I6IY9P06</t>
  </si>
  <si>
    <t>549300MDIW8H89JUMU33</t>
  </si>
  <si>
    <t>549300AL8CESRCVHFX93</t>
  </si>
  <si>
    <t>5493002W8HDS3POIUI75</t>
  </si>
  <si>
    <t>5493002BZ016QRDPO072</t>
  </si>
  <si>
    <t>549300X0MVH42CY8Q105</t>
  </si>
  <si>
    <t>549300E6DSR6OMT6D558</t>
  </si>
  <si>
    <t>BETT8E0RU6JHCZEZTG17</t>
  </si>
  <si>
    <t>FMPG7SRDYNH1YRTTM626</t>
  </si>
  <si>
    <t>5493002CESKN5M7VO812</t>
  </si>
  <si>
    <t>5493006QCBVSRRYX5X64</t>
  </si>
  <si>
    <t>5493004IKGEG06NGUD42</t>
  </si>
  <si>
    <t>YUWI1L0URILR56X8BA92</t>
  </si>
  <si>
    <t>QOM4U00XL4SVD0NMP617</t>
  </si>
  <si>
    <t>PGNXSH0T0BJYK6A49O27</t>
  </si>
  <si>
    <t>VFMV1NJC8QN2QKOJSS91</t>
  </si>
  <si>
    <t>VSG2HL5AVYE95ZR5OG66</t>
  </si>
  <si>
    <t>YB2XW3D59E1HMFHRLV53</t>
  </si>
  <si>
    <t>7YLC0KGSQDFCGMOJKX85</t>
  </si>
  <si>
    <t>6MCR24XLPUBW41UTZ275</t>
  </si>
  <si>
    <t>UPSC0YDEMUD2ZRXYDK62</t>
  </si>
  <si>
    <t>I606WUIJOQFTTKT3EI22</t>
  </si>
  <si>
    <t>549300PDO5NKQ0F7V726</t>
  </si>
  <si>
    <t>5493002SVI8V16F3DN97</t>
  </si>
  <si>
    <t>5493006G4ZQZ2RFU7J20</t>
  </si>
  <si>
    <t>549300SFUL7KLF364082</t>
  </si>
  <si>
    <t>549300KFIPNWI9BAR875</t>
  </si>
  <si>
    <t>549300KWTNJMXJRDQ753</t>
  </si>
  <si>
    <t>5493001IYQ0TTMW0SX35</t>
  </si>
  <si>
    <t>549300TDUUUMRFFQB022</t>
  </si>
  <si>
    <t>549300M3188E7JI2KW45</t>
  </si>
  <si>
    <t>549300OX1K9UQIDBHC95</t>
  </si>
  <si>
    <t>9F443AVI6KXI3MYCLS29</t>
  </si>
  <si>
    <t>549300MNVNESGKP22R67</t>
  </si>
  <si>
    <t>549300V3FX8XGRWY1V17</t>
  </si>
  <si>
    <t>5493008JIXXECISV0H19</t>
  </si>
  <si>
    <t>549300BXGKL7QUQIXI25</t>
  </si>
  <si>
    <t>549300HVNWMJPOFVNI41</t>
  </si>
  <si>
    <t>549300LHMBGWV3N40X96</t>
  </si>
  <si>
    <t>549300XQDLHZFBR78I67</t>
  </si>
  <si>
    <t>549300EWNKIQ330BVK83</t>
  </si>
  <si>
    <t>549300FMC7ABSCYLX778</t>
  </si>
  <si>
    <t>549300LVESI3YBOW8O14</t>
  </si>
  <si>
    <t>54930088RNOLUFNKWN10</t>
  </si>
  <si>
    <t>549300FZLERE7ECUDR05</t>
  </si>
  <si>
    <t>549300QKSG18ERMK1Y86</t>
  </si>
  <si>
    <t>549300LLEO1882O35I51</t>
  </si>
  <si>
    <t>549300SXF71VP5KW5039</t>
  </si>
  <si>
    <t>549300U14HGDC7PUZF92</t>
  </si>
  <si>
    <t>5493002SPYMDLJQ7Z131</t>
  </si>
  <si>
    <t>549300D7GKJ843P8MY73</t>
  </si>
  <si>
    <t>549300DMLGJCA3DYTQ51</t>
  </si>
  <si>
    <t>549300CWXVFWGWVD0Z97</t>
  </si>
  <si>
    <t>549300XLJPRFNKLYW379</t>
  </si>
  <si>
    <t>549300KHKRNT3NNFT516</t>
  </si>
  <si>
    <t>549300KYMBGEOOXWJN33</t>
  </si>
  <si>
    <t>549300BRINXOHAU93F35</t>
  </si>
  <si>
    <t>549300V0R6H6R5HXQ604</t>
  </si>
  <si>
    <t>549300A4BVADCK0O9N43</t>
  </si>
  <si>
    <t>54930024E22KQYJQQ630</t>
  </si>
  <si>
    <t>549300CE3D5VKAIPS575</t>
  </si>
  <si>
    <t>2549007E559QIBGU4G91</t>
  </si>
  <si>
    <t>549300R2NE4UNWYEZ510</t>
  </si>
  <si>
    <t>U5POKLBBUITB7HF3G938</t>
  </si>
  <si>
    <t>549300N4MZD7P6SS8V98</t>
  </si>
  <si>
    <t>549300C555VXF0T5BJ68</t>
  </si>
  <si>
    <t>549300F594YY3MEEAP85</t>
  </si>
  <si>
    <t>MMERD16W6HPXSGZQXP82</t>
  </si>
  <si>
    <t>5493000OB4DE7T53RC75</t>
  </si>
  <si>
    <t>5493001EFWTEVD08YF90</t>
  </si>
  <si>
    <t>549300DYYS8QPMR8OP36</t>
  </si>
  <si>
    <t>549300C74Y46JUAO4N13</t>
  </si>
  <si>
    <t>549300CN3134K4LC0651</t>
  </si>
  <si>
    <t>8B4EZFY8IHJC44TT2K84</t>
  </si>
  <si>
    <t>3FGIIBS1PEI1FYQBGN97</t>
  </si>
  <si>
    <t>549300TG9D308LFSIE96</t>
  </si>
  <si>
    <t>549300LW06JFKC2RLY78</t>
  </si>
  <si>
    <t>549300LJHWWSDZSA3814</t>
  </si>
  <si>
    <t>54930092X1WNMSJUSM28</t>
  </si>
  <si>
    <t>549300YVHJ2LCR3DCO43</t>
  </si>
  <si>
    <t>5493007GZE77A7856804</t>
  </si>
  <si>
    <t>254900HHKO1YW1HAPA03</t>
  </si>
  <si>
    <t>CORWREIZL67PMUN7T798</t>
  </si>
  <si>
    <t>549300O7ZFXE3YT1GH43</t>
  </si>
  <si>
    <t>B6ARUI4946ST4S7WOU88</t>
  </si>
  <si>
    <t>5493000UEB03GANN9N29</t>
  </si>
  <si>
    <t>549300BHBOS1FMEHHM37</t>
  </si>
  <si>
    <t>BZO2P8KHO2O10H5QQ663</t>
  </si>
  <si>
    <t>HV5W8PGLJ127N2SFSM23</t>
  </si>
  <si>
    <t>5493002DL4PPL0NSGV23</t>
  </si>
  <si>
    <t>25490075PGS91BAA5X57</t>
  </si>
  <si>
    <t>5493001H5BP31T28VF34</t>
  </si>
  <si>
    <t>549300EHWSM1JZU7QS68</t>
  </si>
  <si>
    <t>549300GIXFKOGT5HKQ15</t>
  </si>
  <si>
    <t>5493005X0X2BYDXA0E81</t>
  </si>
  <si>
    <t>549300KUTVBKCCLPE826</t>
  </si>
  <si>
    <t>N7LGVZM7X4UQ66T7LT74</t>
  </si>
  <si>
    <t>549300MNUJLG1EHG4K03</t>
  </si>
  <si>
    <t>549300UW4UH6XT2X8C50</t>
  </si>
  <si>
    <t>549300R8DACS3G0K8262</t>
  </si>
  <si>
    <t>GU5M3WA7Y5ONXJPK4R58</t>
  </si>
  <si>
    <t>6B2DG15MO7JVCQHOAI53</t>
  </si>
  <si>
    <t>CBNADNHZ3VI7FPWG7H68</t>
  </si>
  <si>
    <t>YJHG4TWZP5ZO7GSHVF29</t>
  </si>
  <si>
    <t>5P4Q4JLCZIQPV2V8P740</t>
  </si>
  <si>
    <t>WQRM1OQN8T6C66OJE702</t>
  </si>
  <si>
    <t>0BCGDHAK1YNRZ76RTG35</t>
  </si>
  <si>
    <t>549300PE4VZD2M68ZH07</t>
  </si>
  <si>
    <t>549300HLTJ1RAXKWL097</t>
  </si>
  <si>
    <t>549300NROGNBV2T1GS07</t>
  </si>
  <si>
    <t>M8LYVLF5DOB9X0LZOW72</t>
  </si>
  <si>
    <t>549300JQ26UYYI7I7C72</t>
  </si>
  <si>
    <t>54930012NWVFRRPM2H21</t>
  </si>
  <si>
    <t>549300UHMM79BKP8OY87</t>
  </si>
  <si>
    <t>SVQFXRBSFBFNSCI6Z464</t>
  </si>
  <si>
    <t>549300XW6LWPVI614I80</t>
  </si>
  <si>
    <t>549300MHO60CF1O56023</t>
  </si>
  <si>
    <t>MUZDM0OUSTCN1WUJ0O98</t>
  </si>
  <si>
    <t>JTSJRBA6RT2YEWQA7T69</t>
  </si>
  <si>
    <t>335800IV7VCDQGIOI391</t>
  </si>
  <si>
    <t>5493008ILU9SCPHUQ895</t>
  </si>
  <si>
    <t>5493009WCP2M6GLMND26</t>
  </si>
  <si>
    <t>549300V7H5Y78JVG9K22</t>
  </si>
  <si>
    <t>549300D4Y5MEWKJ5TZ27</t>
  </si>
  <si>
    <t>549300XPXIO0OT0NW103</t>
  </si>
  <si>
    <t>549300E2S0YPDY74ZT80</t>
  </si>
  <si>
    <t>XL2HP568CJRFGPERYJ89</t>
  </si>
  <si>
    <t>549300MWYTAB2M2WLU61</t>
  </si>
  <si>
    <t>5493005IH73PK24VR385</t>
  </si>
  <si>
    <t>549300BUN3563BILHC35</t>
  </si>
  <si>
    <t>30XDQ3GO0JSD4TSCSH63</t>
  </si>
  <si>
    <t>549300C78WYOPDKNPM93</t>
  </si>
  <si>
    <t>549300M5Z6XW66F22Z04</t>
  </si>
  <si>
    <t>5493006YQWKWSQCY5Q08</t>
  </si>
  <si>
    <t>549300JE7KUPEIT12A81</t>
  </si>
  <si>
    <t>54930030I21P4RIC7J73</t>
  </si>
  <si>
    <t>5493009E8TSGF8P5Y813</t>
  </si>
  <si>
    <t>5493004RQK1I8TYYC315</t>
  </si>
  <si>
    <t>5493000K888K4TPIIZ04</t>
  </si>
  <si>
    <t>54930066SW0PK27KRN09</t>
  </si>
  <si>
    <t>549300I4KI5CX6HUTX84</t>
  </si>
  <si>
    <t>5493002T8R1CNP7H2O59</t>
  </si>
  <si>
    <t>549300YOJ6R5OMRFMP61</t>
  </si>
  <si>
    <t>549300VMCJRZ0XPZMB43</t>
  </si>
  <si>
    <t>549300RFT7GZGHBYCM44</t>
  </si>
  <si>
    <t>549300FME9E56WDPKB67</t>
  </si>
  <si>
    <t>549300U5KJTVYYZIC820</t>
  </si>
  <si>
    <t>5493006M49AZXXOWSD15</t>
  </si>
  <si>
    <t>5493001D9211L0KUFD69</t>
  </si>
  <si>
    <t>549300B37B01W7N7J473</t>
  </si>
  <si>
    <t>549300PKBWFZDF14GO02</t>
  </si>
  <si>
    <t>549300BEXQGI63ISXW51</t>
  </si>
  <si>
    <t>549300F5TOV4M5RT3U19</t>
  </si>
  <si>
    <t>549300WYO69LL1SMDY55</t>
  </si>
  <si>
    <t>549300RENA1TMGNWX768</t>
  </si>
  <si>
    <t>549300QD2F31BMXTMS71</t>
  </si>
  <si>
    <t>549300NA6G0P58VKQB19</t>
  </si>
  <si>
    <t>549300MISMSPWQ3NXP98</t>
  </si>
  <si>
    <t>549300FMJY4K6TARJL93</t>
  </si>
  <si>
    <t>549300C3NT8IL9CU8946</t>
  </si>
  <si>
    <t>549300UUR3FGQH0U1041</t>
  </si>
  <si>
    <t>549300HSTXVCQ4ECT255</t>
  </si>
  <si>
    <t>549300SR2YMIGDPSOC02</t>
  </si>
  <si>
    <t>549300E359ZFMV8H6Q60</t>
  </si>
  <si>
    <t>5493002VP82U4U262F51</t>
  </si>
  <si>
    <t>549300BYHM216UMYC906</t>
  </si>
  <si>
    <t>549300XSUXT35THIR021</t>
  </si>
  <si>
    <t>213800I78EZK5DSL5619</t>
  </si>
  <si>
    <t>549300U08PFO1SAY6V60</t>
  </si>
  <si>
    <t>5299005SPZ1QYL51JD25</t>
  </si>
  <si>
    <t>5493007BPZS3LU7J0U61</t>
  </si>
  <si>
    <t>VJ7YGYZZGIKEBSVIZU31</t>
  </si>
  <si>
    <t>549300UF0WW28Z71DM64</t>
  </si>
  <si>
    <t>549300JNXF87XCUMN685</t>
  </si>
  <si>
    <t>549300C9IY653M7KMK88</t>
  </si>
  <si>
    <t>335800ZQ6I4E2JXENC50</t>
  </si>
  <si>
    <t>549300SYEBMH6I8LK467</t>
  </si>
  <si>
    <t>549300QOJASE55RBUG72</t>
  </si>
  <si>
    <t>549300Q08P3G7KZVGB68</t>
  </si>
  <si>
    <t>549300R4IN0QASC17693</t>
  </si>
  <si>
    <t>549300GZ0Y8KZZEC6239</t>
  </si>
  <si>
    <t>549300JCMI72NF7PP094</t>
  </si>
  <si>
    <t>549300F2E02NUNPDW202</t>
  </si>
  <si>
    <t>549300A28LDKV386OL10</t>
  </si>
  <si>
    <t>549300VC0YV3X6VI5730</t>
  </si>
  <si>
    <t>549300URO8B2DLPRPF61</t>
  </si>
  <si>
    <t>549300MRQBHZEMUJY477</t>
  </si>
  <si>
    <t>549300VZE9ALSRMBIS14</t>
  </si>
  <si>
    <t>5493006N1RXVPKY5WX32</t>
  </si>
  <si>
    <t>549300Y6V6I1RYNP1L94</t>
  </si>
  <si>
    <t>549300J7GWCBBH4OKC54</t>
  </si>
  <si>
    <t>549300XGYLKTSY6VND11</t>
  </si>
  <si>
    <t>549300CT8FEJ1IUK9C94</t>
  </si>
  <si>
    <t>549300URF0VGC7NMG184</t>
  </si>
  <si>
    <t>549300HELK8329Y2IS31</t>
  </si>
  <si>
    <t>549300EM68UKL2OIGI30</t>
  </si>
  <si>
    <t>549300TD3EMSRRC0YH75</t>
  </si>
  <si>
    <t>549300WJ8NOGWNYM4J22</t>
  </si>
  <si>
    <t>549300XCRZTR5K5REU86</t>
  </si>
  <si>
    <t>549300FBITMB6YR2HT21</t>
  </si>
  <si>
    <t>549300V6WMUUJ0VBE276</t>
  </si>
  <si>
    <t>5493005CGL47V1ZIVN88</t>
  </si>
  <si>
    <t>549300JRUHFOMO7Y8P62</t>
  </si>
  <si>
    <t>549300CC2OTOLHGG9M52</t>
  </si>
  <si>
    <t>213800EJC8XFLK5N8A19</t>
  </si>
  <si>
    <t>54930066F5LI0K6UNX85</t>
  </si>
  <si>
    <t>U5GM11MGWU2W8SI6OD15</t>
  </si>
  <si>
    <t>213800HX8DAE9OIQ6X34</t>
  </si>
  <si>
    <t>549300BJV3PAEHD37855</t>
  </si>
  <si>
    <t>549300WHNRNIM7JWEQ04</t>
  </si>
  <si>
    <t>549300DSJ14HPF8OMU17</t>
  </si>
  <si>
    <t>549300OMQDO4FGSEZ363</t>
  </si>
  <si>
    <t>549300JNU70DPGI1CO94</t>
  </si>
  <si>
    <t>5493008IVEKMS0BJGT52</t>
  </si>
  <si>
    <t>549300FOILUVZ0QCR072</t>
  </si>
  <si>
    <t>549300XVOWBWGP8MJP96</t>
  </si>
  <si>
    <t>549300SRL11P6RLWEZ15</t>
  </si>
  <si>
    <t>549300PNHEXRQSWGTK73</t>
  </si>
  <si>
    <t>549300ZKUQ87V6IUQR90</t>
  </si>
  <si>
    <t>YNYNSGFZPAVB3Q7YA123</t>
  </si>
  <si>
    <t>549300JS1HHUFQYJQ484</t>
  </si>
  <si>
    <t>5493003A41QR6LNZFI60</t>
  </si>
  <si>
    <t>5493004R4EJC0W0XVQ72</t>
  </si>
  <si>
    <t>Z5YHYIK45SDLTJ1IUC77</t>
  </si>
  <si>
    <t>549300KTYWWNEV5DDC40</t>
  </si>
  <si>
    <t>549300KMHNPWY6PVZ475</t>
  </si>
  <si>
    <t>549300XFYWZ6CSCZRU57</t>
  </si>
  <si>
    <t>54930080YS0PCVRC2E28</t>
  </si>
  <si>
    <t>2138003QV8B1SXGLMT26</t>
  </si>
  <si>
    <t>54930033J02RC9YV2F57</t>
  </si>
  <si>
    <t>549300PW62T6GGU0Z477</t>
  </si>
  <si>
    <t>5493001R2IO6DCCS7W30</t>
  </si>
  <si>
    <t>549300E19Z5RL8VKII20</t>
  </si>
  <si>
    <t>254900O7969WGATXYY09</t>
  </si>
  <si>
    <t>549300DQ6060LO4XGI15</t>
  </si>
  <si>
    <t>549300ZOD6N7RI2FJP09</t>
  </si>
  <si>
    <t>549300JU6DM4KASZJL59</t>
  </si>
  <si>
    <t>549300F897BV7W5F3813</t>
  </si>
  <si>
    <t>549300XNC0T3U0VMI367</t>
  </si>
  <si>
    <t>L7SXRO83NXD69YRR3Y74</t>
  </si>
  <si>
    <t>254900ZC90F8B77UGY63</t>
  </si>
  <si>
    <t>5493009LKRCBMQP0AD74</t>
  </si>
  <si>
    <t>54930016UVWUP1ZN2511</t>
  </si>
  <si>
    <t>549300NLG20U114E7O83</t>
  </si>
  <si>
    <t>R22BNRV484QS7ZXYGF40</t>
  </si>
  <si>
    <t>549300WF2OE8T5BP4B84</t>
  </si>
  <si>
    <t>3152OFPTIMQSJ5CGOB71</t>
  </si>
  <si>
    <t>2138006PPOOELDD88116</t>
  </si>
  <si>
    <t>549300UM1EVTYXVS1166</t>
  </si>
  <si>
    <t>549300MYMLW7LUJS3P55</t>
  </si>
  <si>
    <t>5493007WX4A7E9HDMP61</t>
  </si>
  <si>
    <t>549300HAPEHDJ4V8ZN25</t>
  </si>
  <si>
    <t>549300TX85S6ZPXCFJ21</t>
  </si>
  <si>
    <t>549300Q88QE7H8KMIX73</t>
  </si>
  <si>
    <t>549300OJCMN3TJRHEY98</t>
  </si>
  <si>
    <t>549300W5YL6BMYZD2D53</t>
  </si>
  <si>
    <t>5493008TXYN3II3PU369</t>
  </si>
  <si>
    <t>549300BRHBC957H3EI27</t>
  </si>
  <si>
    <t>549300P6XS4748HBVI34</t>
  </si>
  <si>
    <t>5493005VB24WLT1CJ517</t>
  </si>
  <si>
    <t>WT03B8BB1IX8WI9ZGV02</t>
  </si>
  <si>
    <t>549300V886FRL94NPB75</t>
  </si>
  <si>
    <t>5493009TSX7LVAH8LA03</t>
  </si>
  <si>
    <t>549300NMP5G0TB568Y03</t>
  </si>
  <si>
    <t>4469000001BRB4C9S895</t>
  </si>
  <si>
    <t>254900YUSDB0RZFV1F29</t>
  </si>
  <si>
    <t>54930059LEOKDNE6HZ89</t>
  </si>
  <si>
    <t>529900UPKS0A0VKOJK73</t>
  </si>
  <si>
    <t>529900R27DL06UVNT076</t>
  </si>
  <si>
    <t>549300M2UMC3XNMJHL19</t>
  </si>
  <si>
    <t>54930092R8KXPUNCUI17</t>
  </si>
  <si>
    <t>549300D10W4OR58QKY95</t>
  </si>
  <si>
    <t>549300LX18ZNW1LEMU13</t>
  </si>
  <si>
    <t>2138001S47XKWIB7TH90</t>
  </si>
  <si>
    <t>5493000J9BRQZZ7P3V24</t>
  </si>
  <si>
    <t>5493008YS2NMV2UCI287</t>
  </si>
  <si>
    <t>NL5N0CUZJSJCO40JHD64</t>
  </si>
  <si>
    <t>5493007CD61P6AXQ1Z02</t>
  </si>
  <si>
    <t>549300U2DQ6CG50F5P68</t>
  </si>
  <si>
    <t>KG0FKWAR8CB24ZGPY232</t>
  </si>
  <si>
    <t>549300VI3CAHGJI7XV90</t>
  </si>
  <si>
    <t>549300EJTMGD1SJVRJ59</t>
  </si>
  <si>
    <t>549300TCL7Q34YGPQ182</t>
  </si>
  <si>
    <t>4EW4JDYTYMZ6D6T42H76</t>
  </si>
  <si>
    <t>549300BX011V8TJ0VP81</t>
  </si>
  <si>
    <t>894500C61ICFDNRMGI86</t>
  </si>
  <si>
    <t>549300SUHFUUVDSOWG92</t>
  </si>
  <si>
    <t>5493001G0S24DF6J0X71</t>
  </si>
  <si>
    <t>549300KU6H8AALNWJ145</t>
  </si>
  <si>
    <t>5493005XV1FYL6P0IY88</t>
  </si>
  <si>
    <t>5493005BOY1SQCFGPI06</t>
  </si>
  <si>
    <t>549300CTCYMVMFL99W19</t>
  </si>
  <si>
    <t>549300B3JNHKVKOTNU47</t>
  </si>
  <si>
    <t>549300D6GP1BQLNO6948</t>
  </si>
  <si>
    <t>2549009IUAWAG0MXKU96</t>
  </si>
  <si>
    <t>549300L1FYO21TF8JG02</t>
  </si>
  <si>
    <t>529900IW82S76U8ZO822</t>
  </si>
  <si>
    <t>549300MQYQ9Y065XPR71</t>
  </si>
  <si>
    <t>549300YHKH3RWMVV3D08</t>
  </si>
  <si>
    <t>549300K17GM8EQD0FQ48</t>
  </si>
  <si>
    <t>5493009WUW73V9ZN4A11</t>
  </si>
  <si>
    <t>549300Z46OXU1Z13M568</t>
  </si>
  <si>
    <t>549300VFJBTW2DN5K355</t>
  </si>
  <si>
    <t>549300211OPKUEMQ9F64</t>
  </si>
  <si>
    <t>549300LBUKGPWHMECE72</t>
  </si>
  <si>
    <t>549300PYYEAW7YTHHO65</t>
  </si>
  <si>
    <t>549300YFVT9KISX9BC70</t>
  </si>
  <si>
    <t>549300EI4EJZUBKMFG64</t>
  </si>
  <si>
    <t>5493008J4S0IWJBNQQ58</t>
  </si>
  <si>
    <t>5493000MGQQECF05T422</t>
  </si>
  <si>
    <t>254900D1UJ0H2P1JMX77</t>
  </si>
  <si>
    <t>549300660FMQ7IH0I889</t>
  </si>
  <si>
    <t>549300GJE6IGXV2KTM87</t>
  </si>
  <si>
    <t>529900DQY7910JKCZ731</t>
  </si>
  <si>
    <t>549300SRDYPQY73SFU98</t>
  </si>
  <si>
    <t>549300SSFIGPQTZZPT71</t>
  </si>
  <si>
    <t>549300GIU741SLBSHV59</t>
  </si>
  <si>
    <t>549300EUM3F2JSJ6QS07</t>
  </si>
  <si>
    <t>549300O74IRLF43HZ043</t>
  </si>
  <si>
    <t>549300RSCNGHOZZWQY13</t>
  </si>
  <si>
    <t>54930064BIFPOOJ5W486</t>
  </si>
  <si>
    <t>5493000JD5X2RDO2K037</t>
  </si>
  <si>
    <t>549300GREXLFMEQJG407</t>
  </si>
  <si>
    <t>549300QL07027186GQ85</t>
  </si>
  <si>
    <t>NSDYRISICPW4N5RUM408</t>
  </si>
  <si>
    <t>549300GC0PPTSSVIL848</t>
  </si>
  <si>
    <t>549300V6SBN782HF4N65</t>
  </si>
  <si>
    <t>BG8P3GI5QU6LUUX5HI38</t>
  </si>
  <si>
    <t>549300MVILWTXSZFOP83</t>
  </si>
  <si>
    <t>549300CSFL27UZCPV325</t>
  </si>
  <si>
    <t>549300SZEJTY2X53UO12</t>
  </si>
  <si>
    <t>549300J3ZXBKYL7H7Y89</t>
  </si>
  <si>
    <t>549300ROP4A5VWKN3246</t>
  </si>
  <si>
    <t>549300H012MPMMGML096</t>
  </si>
  <si>
    <t>549300BP008I7NYDOX63</t>
  </si>
  <si>
    <t>549300NHKMHGN4ZAUZ27</t>
  </si>
  <si>
    <t>549300JMS1X8G1H05983</t>
  </si>
  <si>
    <t>549300CYGGPR3WFWSI11</t>
  </si>
  <si>
    <t>549300TPR5S2E372NR68</t>
  </si>
  <si>
    <t>549300Q4S27H8ERML754</t>
  </si>
  <si>
    <t>549300S03O5I0GO8GA13</t>
  </si>
  <si>
    <t>549300XNGP8FC8OXZN16</t>
  </si>
  <si>
    <t>549300WI524AL577IX21</t>
  </si>
  <si>
    <t>549300M7F1WKGZG7NF25</t>
  </si>
  <si>
    <t>54930015UG2PXWHTZH77</t>
  </si>
  <si>
    <t>549300GRT1NBWZ5Q3A93</t>
  </si>
  <si>
    <t>549300CTWJBXA8WQHW53</t>
  </si>
  <si>
    <t>549300OJHUJA0L5KR584</t>
  </si>
  <si>
    <t>549300EE4HZL5PHDS776</t>
  </si>
  <si>
    <t>254900GQ68UR4OSZOJ41</t>
  </si>
  <si>
    <t>529900T4O899O2ZM8216</t>
  </si>
  <si>
    <t>5493006U8GIQHA1S3046</t>
  </si>
  <si>
    <t>5493007ZWOH9R8B9R166</t>
  </si>
  <si>
    <t>549300KXRBPFD3RYFI06</t>
  </si>
  <si>
    <t>213800HG45ZN7MURNW49</t>
  </si>
  <si>
    <t>549300OO7HGY4IHLVT71</t>
  </si>
  <si>
    <t>549300YD60M3D0QDM015</t>
  </si>
  <si>
    <t>5493009NP0WBB2XXBN19</t>
  </si>
  <si>
    <t>21380061XS7CC5PQGF51</t>
  </si>
  <si>
    <t>549300BUPYUQGB5BFX94</t>
  </si>
  <si>
    <t>5493000TPIK4RMXDNT13</t>
  </si>
  <si>
    <t>G07MXEREPRK7ATIMG049</t>
  </si>
  <si>
    <t>549300KZHBTK0RXKVR78</t>
  </si>
  <si>
    <t>549300C46LNV0RFPLB86</t>
  </si>
  <si>
    <t>549300PHUY5KF7EEQ935</t>
  </si>
  <si>
    <t>254900OT5R3ARUIYBX90</t>
  </si>
  <si>
    <t>549300WQBEWQJW3BCQ93</t>
  </si>
  <si>
    <t>549300QFPW97RKU8EU06</t>
  </si>
  <si>
    <t>549300ME3A109EF7Z094</t>
  </si>
  <si>
    <t>254900BPYN1AS2TNDR69</t>
  </si>
  <si>
    <t>549300E5JZBC0N7GN270</t>
  </si>
  <si>
    <t>549300LDOIH873LO6M21</t>
  </si>
  <si>
    <t>549300JMTUXB5QRM4G75</t>
  </si>
  <si>
    <t>549300IRVJTZD2W5WG86</t>
  </si>
  <si>
    <t>549300QJ7XV1SSFLQJ47</t>
  </si>
  <si>
    <t>549300O95PYSBUJZWY40</t>
  </si>
  <si>
    <t>254900T2GVY402H10Q52</t>
  </si>
  <si>
    <t>549300BLBZZQXXS2VD71</t>
  </si>
  <si>
    <t>549300V8GCLTFM33OG40</t>
  </si>
  <si>
    <t>549300OPZFRYT8JTV844</t>
  </si>
  <si>
    <t>5493008Z04Q78IYTR104</t>
  </si>
  <si>
    <t>549300T85S6UBYT5RK96</t>
  </si>
  <si>
    <t>549300YHH3KVF285M671</t>
  </si>
  <si>
    <t>54930075XTDTK21QX676</t>
  </si>
  <si>
    <t>789000FIRX9MDN0KTM91</t>
  </si>
  <si>
    <t>549300S36NT8WUBVX990</t>
  </si>
  <si>
    <t>988400RBIWE3YA18PK12</t>
  </si>
  <si>
    <t>549300Y3EGI6TCT26Z69</t>
  </si>
  <si>
    <t>549300TZWIUFEUZ22N09</t>
  </si>
  <si>
    <t>549300GD2Y6NFWFLC565</t>
  </si>
  <si>
    <t>549300N32C48U2DQXI94</t>
  </si>
  <si>
    <t>549300Z6MADR01W67G81</t>
  </si>
  <si>
    <t>549300PNW0ZQRVFYWW80</t>
  </si>
  <si>
    <t>549300W6PE9APLB7OS10</t>
  </si>
  <si>
    <t>549300OPY6US4HTC0082</t>
  </si>
  <si>
    <t>549300W4GSXBUVX2BJ92</t>
  </si>
  <si>
    <t>549300HDZMV13L0SN442</t>
  </si>
  <si>
    <t>549300WSSBGVP77T5457</t>
  </si>
  <si>
    <t>5493001OMI1FVM3TF091</t>
  </si>
  <si>
    <t>254900JFYJPE0EV5B150</t>
  </si>
  <si>
    <t>549300FXU2Y6S5PGG732</t>
  </si>
  <si>
    <t>5493003F8O6YSR4AC862</t>
  </si>
  <si>
    <t>549300AQ7TWJRNXO6C48</t>
  </si>
  <si>
    <t>549300Y8JHFAUL55Q548</t>
  </si>
  <si>
    <t>549300I8J96R34Q8PP95</t>
  </si>
  <si>
    <t>549300XLFZID6BJWCT81</t>
  </si>
  <si>
    <t>549300F44LIX2BE42648</t>
  </si>
  <si>
    <t>254900JOJJQUW5LCCE06</t>
  </si>
  <si>
    <t>549300EZS4O2LLMIOJ44</t>
  </si>
  <si>
    <t>54930033PVHFKSZZEZ86</t>
  </si>
  <si>
    <t>5493000DN6Y4CO7SYB35</t>
  </si>
  <si>
    <t>549300CNXIF51UPIMP96</t>
  </si>
  <si>
    <t>5493002679LI5JMPKO64</t>
  </si>
  <si>
    <t>54930088R4YQVV0P9F21</t>
  </si>
  <si>
    <t>549300DPLZKV9AMND314</t>
  </si>
  <si>
    <t>4469000001BGCAL5BC62</t>
  </si>
  <si>
    <t>4469000001BD95FFLY16</t>
  </si>
  <si>
    <t>549300180D5WNOPAQP68</t>
  </si>
  <si>
    <t>549300GAJ1RNUB2K3115</t>
  </si>
  <si>
    <t>4469000001BI51XS0L85</t>
  </si>
  <si>
    <t>89450078ZC2J2PUHKI55</t>
  </si>
  <si>
    <t>85M6SLXL8PVZZO6V3174</t>
  </si>
  <si>
    <t>549300089R7PP6M16N81</t>
  </si>
  <si>
    <t>NULI0JI36DCCNPE8UX16</t>
  </si>
  <si>
    <t>5493009N12FP681FLO96</t>
  </si>
  <si>
    <t>549300BR2MJVB6M3AW91</t>
  </si>
  <si>
    <t>549300VQPBNVKWTN8091</t>
  </si>
  <si>
    <t>54930002D3A4NXF8Z053</t>
  </si>
  <si>
    <t>4469000001BNJ3SQLM17</t>
  </si>
  <si>
    <t>4469000001CKLQ8X0X46</t>
  </si>
  <si>
    <t>549300XOOCCDHQ7HLO63</t>
  </si>
  <si>
    <t>5493005N8XCA2RPKNY02</t>
  </si>
  <si>
    <t>4469000001BPY99X2N85</t>
  </si>
  <si>
    <t>4469000001C3OPXPI284</t>
  </si>
  <si>
    <t>4469000001CGFAW66F33</t>
  </si>
  <si>
    <t>549300HVKHZ49IVGD278</t>
  </si>
  <si>
    <t>4469000001BYKN9LJL34</t>
  </si>
  <si>
    <t>549300CBSVKV7KTYED13</t>
  </si>
  <si>
    <t>254900RDXVLNZBLL6F44</t>
  </si>
  <si>
    <t>549300J2XLZJG2AO6I24</t>
  </si>
  <si>
    <t>549300HO4YKK305NSG37</t>
  </si>
  <si>
    <t>549300IKRZYIT7SBHJ50</t>
  </si>
  <si>
    <t>549300XV1E0PIQ4WCH89</t>
  </si>
  <si>
    <t>3912002C0TLHUNAAMM06</t>
  </si>
  <si>
    <t>3912007DWEPMZZ6URU92</t>
  </si>
  <si>
    <t>391200TCPLFHCQEKTV61</t>
  </si>
  <si>
    <t>4469000001BTBWTJKZ51</t>
  </si>
  <si>
    <t>4469000001BS7KSIJ702</t>
  </si>
  <si>
    <t>549300QUQP5GHM85JN56</t>
  </si>
  <si>
    <t>549300EJSQBQDHRTAN09</t>
  </si>
  <si>
    <t>4469000001BQVA5UZH05</t>
  </si>
  <si>
    <t>4469000001BQV3XWOP85</t>
  </si>
  <si>
    <t>4469000001BS6BRKEB72</t>
  </si>
  <si>
    <t>4469000001BSB1P34650</t>
  </si>
  <si>
    <t>549300F0XJIR5K6CEL71</t>
  </si>
  <si>
    <t>4469000001BSHQYQPP71</t>
  </si>
  <si>
    <t>549300WHETLGV1YUPX42</t>
  </si>
  <si>
    <t>4469000001BSKOWU1B35</t>
  </si>
  <si>
    <t>4469000001BSZ4NZN236</t>
  </si>
  <si>
    <t>4469000001CGR75OZ278</t>
  </si>
  <si>
    <t>4469000001BQL9CNJ366</t>
  </si>
  <si>
    <t>4469000001BQL5VN4G29</t>
  </si>
  <si>
    <t>549300RKA2XLN85QGB92</t>
  </si>
  <si>
    <t>549300YHV4OOGVYGIK87</t>
  </si>
  <si>
    <t>875500O7IVUAZVWRJ070</t>
  </si>
  <si>
    <t>549300A8MDWDJNMLV153</t>
  </si>
  <si>
    <t>549300HDEK94YVDEY149</t>
  </si>
  <si>
    <t>549300F50DUOULAJQO91</t>
  </si>
  <si>
    <t>4469000001BSG5XYD957</t>
  </si>
  <si>
    <t>4469000001BPK02IHZ22</t>
  </si>
  <si>
    <t>5493003SQVGQHUBQRZ15</t>
  </si>
  <si>
    <t>4469000001BQ01YBXX11</t>
  </si>
  <si>
    <t>4469000001BS5AZNNJ16</t>
  </si>
  <si>
    <t>549300SN5WR4G7U5GK09</t>
  </si>
  <si>
    <t>4469000001C10TNUVQ94</t>
  </si>
  <si>
    <t>4469000001BRB4YTFG35</t>
  </si>
  <si>
    <t>4469000001BR3P0CSQ95</t>
  </si>
  <si>
    <t>549300JXC887LQB2NY85</t>
  </si>
  <si>
    <t>54930015Q05TFUQH4Y31</t>
  </si>
  <si>
    <t>5493000WX1UUEJU6LZ45</t>
  </si>
  <si>
    <t>4469000001C3T2QANW41</t>
  </si>
  <si>
    <t>549300XH0FVZODU1Z328</t>
  </si>
  <si>
    <t>549300FV84O5JYDEW152</t>
  </si>
  <si>
    <t>5493000ALL2MPD0CQC82</t>
  </si>
  <si>
    <t>4469000001BRNNKAXW86</t>
  </si>
  <si>
    <t>4469000001C44958OJ11</t>
  </si>
  <si>
    <t>254900RUE9YXEA734I78</t>
  </si>
  <si>
    <t>529900HUSBARAFSXJ605</t>
  </si>
  <si>
    <t>213800YV5HBO8BME4S20</t>
  </si>
  <si>
    <t>254900E7CE50T5SH5S98</t>
  </si>
  <si>
    <t>549300Q0OD8MQEFTBY23</t>
  </si>
  <si>
    <t>254900NU5ZYYT3CZSW87</t>
  </si>
  <si>
    <t>549300MCL759Z2PTFE87</t>
  </si>
  <si>
    <t>54930088RW2RV7QWBJ90</t>
  </si>
  <si>
    <t>54930044QBKZP7GMCB88</t>
  </si>
  <si>
    <t>549300377KFK0S3U9569</t>
  </si>
  <si>
    <t>5493008PGWK7RUNIPM02</t>
  </si>
  <si>
    <t>549300SRN3UJUIF3IN02</t>
  </si>
  <si>
    <t>549300ID6310HU04GZ55</t>
  </si>
  <si>
    <t>254900XNN937DE7QR655</t>
  </si>
  <si>
    <t>549300GXBCEQEUSSIO24</t>
  </si>
  <si>
    <t>549300E7RFUZVX103426</t>
  </si>
  <si>
    <t>549300A58Y85D7MM4453</t>
  </si>
  <si>
    <t>5493003KPJEQH67HWR32</t>
  </si>
  <si>
    <t>549300N1SCRV5Z7RFI57</t>
  </si>
  <si>
    <t>5493006QFSY4DJTBU859</t>
  </si>
  <si>
    <t>5493006I3UQNA08H7T36</t>
  </si>
  <si>
    <t>549300STL83D4HVVBR77</t>
  </si>
  <si>
    <t>5493007DKF18A53S1722</t>
  </si>
  <si>
    <t>549300SKKL738CDQIE86</t>
  </si>
  <si>
    <t>549300133YZPX0GVGQ13</t>
  </si>
  <si>
    <t>549300WBT2L41WT21R21</t>
  </si>
  <si>
    <t>549300FQDIM6C8HTN269</t>
  </si>
  <si>
    <t>5493008YW64SEOJS4F28</t>
  </si>
  <si>
    <t>5493006V19LQ3YVHJ660</t>
  </si>
  <si>
    <t>5493009J695B7S292I89</t>
  </si>
  <si>
    <t>549300XCIDOPYXN12388</t>
  </si>
  <si>
    <t>549300U3Y8OW3GQ0VE25</t>
  </si>
  <si>
    <t>254900YB5A7HXR9DHP91</t>
  </si>
  <si>
    <t>5493001SSWNHYTQ5OM86</t>
  </si>
  <si>
    <t>5493004U3PUN21MLJG41</t>
  </si>
  <si>
    <t>254900BME9II98CIH982</t>
  </si>
  <si>
    <t>95RWVLFZX6VGDZNNTN43</t>
  </si>
  <si>
    <t>5493002RDIHW2RGZGG24</t>
  </si>
  <si>
    <t>549300I6IXN807UZXN10</t>
  </si>
  <si>
    <t>213800TPY7LFW83YP546</t>
  </si>
  <si>
    <t>I3MUTT7WVLMOFT4C2042</t>
  </si>
  <si>
    <t>549300PBWCVCU8EQ0M88</t>
  </si>
  <si>
    <t>5493002FGHEXO1SYFM73</t>
  </si>
  <si>
    <t>549300CI6FC9ZX71T193</t>
  </si>
  <si>
    <t>5493001I9203PRB5KR45</t>
  </si>
  <si>
    <t>549300SQYI82RVWFN715</t>
  </si>
  <si>
    <t>549300PLSR3U3QB2D867</t>
  </si>
  <si>
    <t>5493007FKRSJAMDQ8B93</t>
  </si>
  <si>
    <t>549300UZO3IR50ZDET08</t>
  </si>
  <si>
    <t>549300LVH6W3N6KIGQ22</t>
  </si>
  <si>
    <t>894500SKU497T8WG3577</t>
  </si>
  <si>
    <t>5493003PZUZI24WAM519</t>
  </si>
  <si>
    <t>549300Y0TDM1R7PH4070</t>
  </si>
  <si>
    <t>254900IVQW76FQM7HJ32</t>
  </si>
  <si>
    <t>5493005OAJFH24OCH628</t>
  </si>
  <si>
    <t>5493001Z6VPPZMWGDO64</t>
  </si>
  <si>
    <t>549300UI73F4HK3L2L27</t>
  </si>
  <si>
    <t>54930030XIBSCHI36E97</t>
  </si>
  <si>
    <t>5493002A0KYLQ72QJB25</t>
  </si>
  <si>
    <t>549300BKQAJJNIZHBC29</t>
  </si>
  <si>
    <t>254900MW9I02Y9YWIW75</t>
  </si>
  <si>
    <t>549300BTUFTW23MMZJ44</t>
  </si>
  <si>
    <t>549300UG0XAY83TYDF41</t>
  </si>
  <si>
    <t>549300ZWQLNIX3F6SX51</t>
  </si>
  <si>
    <t>549300LLKZW0L285JM23</t>
  </si>
  <si>
    <t>549300NIMRBJB41UWM97</t>
  </si>
  <si>
    <t>549300GFITR721F8W031</t>
  </si>
  <si>
    <t>5493006LOZ9C9D1PCS46</t>
  </si>
  <si>
    <t>5493004YTJKW7PI5QK89</t>
  </si>
  <si>
    <t>549300B247FJ7QGQJK18</t>
  </si>
  <si>
    <t>RCJ8N5WH4YK7SVJ4BO12</t>
  </si>
  <si>
    <t>549300ZF1NDXLMCHNO20</t>
  </si>
  <si>
    <t>549300PF8VDGEXZC8V18</t>
  </si>
  <si>
    <t>549300REE2PXBD07GB09</t>
  </si>
  <si>
    <t>549300UFIKCL8N6OYG97</t>
  </si>
  <si>
    <t>549300PWDY42ZK47M686</t>
  </si>
  <si>
    <t>549300HIG9BXY1DMLA66</t>
  </si>
  <si>
    <t>549300M6CRY12X5ITB34</t>
  </si>
  <si>
    <t>549300GX5YYCFYYBDJ07</t>
  </si>
  <si>
    <t>549300FBZVDKA0HY2G42</t>
  </si>
  <si>
    <t>549300RH3WQ1H7YWQP70</t>
  </si>
  <si>
    <t>5493009WJN0AO0K8R163</t>
  </si>
  <si>
    <t>549300VYXI9IHBHZ9N12</t>
  </si>
  <si>
    <t>54930052YAAMNEE2YF84</t>
  </si>
  <si>
    <t>549300KS5SOTNZ7PWB25</t>
  </si>
  <si>
    <t>549300XE906KSVO9Y253</t>
  </si>
  <si>
    <t>549300GWQJW5FJ8ULV66</t>
  </si>
  <si>
    <t>549300S05TET4DCD2F17</t>
  </si>
  <si>
    <t>54930092YUDF4MKQKZ85</t>
  </si>
  <si>
    <t>549300DW76CS2Q0J8654</t>
  </si>
  <si>
    <t>529900NPZ8ZULNBVMW11</t>
  </si>
  <si>
    <t>549300XNV4JWXQW4SP54</t>
  </si>
  <si>
    <t>MJATGU4J97KOUNZJNS73</t>
  </si>
  <si>
    <t>549300XLH1YLKWB5E366</t>
  </si>
  <si>
    <t>549300FIZIUH2J9VD197</t>
  </si>
  <si>
    <t>549300T46KUP3OWN3O73</t>
  </si>
  <si>
    <t>5493000MFNYFEK2V5G94</t>
  </si>
  <si>
    <t>549300FC7DP468I4QS45</t>
  </si>
  <si>
    <t>549300UCLH604H7CDM37</t>
  </si>
  <si>
    <t>549300I7T9KX3AUHZZ39</t>
  </si>
  <si>
    <t>549300ITSSRJFIRUHM73</t>
  </si>
  <si>
    <t>254900CDNPJRAT391Y16</t>
  </si>
  <si>
    <t>549300RKYIMFB7IC8826</t>
  </si>
  <si>
    <t>549300UWM0DTM2U0SH84</t>
  </si>
  <si>
    <t>5493000HM8XT6UGTED07</t>
  </si>
  <si>
    <t>549300U30TF39TU6QK61</t>
  </si>
  <si>
    <t>54930021D3NE4CL7HB57</t>
  </si>
  <si>
    <t>549300H0QO8WHFK4ZE94</t>
  </si>
  <si>
    <t>HT6J5BJ05BCBR1RL4A07</t>
  </si>
  <si>
    <t>549300VL705RQ5PHI407</t>
  </si>
  <si>
    <t>254900GIG3836OAHAV91</t>
  </si>
  <si>
    <t>5493007VSMFZCPV1NB83</t>
  </si>
  <si>
    <t>54930087QDONE5L38X93</t>
  </si>
  <si>
    <t>549300UHFTUXD7PHH645</t>
  </si>
  <si>
    <t>5493006C32CT7OZJCW63</t>
  </si>
  <si>
    <t>5493006MY8CEYVB7CJ30</t>
  </si>
  <si>
    <t>549300UVVVKAVLDJUW79</t>
  </si>
  <si>
    <t>549300Q6FW3KG83O2P29</t>
  </si>
  <si>
    <t>549300B3DDWI0VSRYJ78</t>
  </si>
  <si>
    <t>549300NOR9TIPUU39O21</t>
  </si>
  <si>
    <t>54930062722RORAVD093</t>
  </si>
  <si>
    <t>5493006HM6D1P37XKD33</t>
  </si>
  <si>
    <t>5493005KP4RP3IU7HQ41</t>
  </si>
  <si>
    <t>5493001F17LGQPQXRI06</t>
  </si>
  <si>
    <t>549300CT33ZY23DXHB86</t>
  </si>
  <si>
    <t>254900BYZKOJ6ZI0VO83</t>
  </si>
  <si>
    <t>549300EXK2CRJAS5DO42</t>
  </si>
  <si>
    <t>549300KN76IMZYPMJC43</t>
  </si>
  <si>
    <t>549300RE9OLKD0TNVS17</t>
  </si>
  <si>
    <t>2549007ASWTPA8628U20</t>
  </si>
  <si>
    <t>549300DI2JG91G8YT140</t>
  </si>
  <si>
    <t>54930035DWOGCE8QQS79</t>
  </si>
  <si>
    <t>549300REFQWHJKHCQR46</t>
  </si>
  <si>
    <t>549300CCANMAAQ1IF335</t>
  </si>
  <si>
    <t>549300RQ72IRFCFTOM36</t>
  </si>
  <si>
    <t>549300HZC1JJBRONIN16</t>
  </si>
  <si>
    <t>894500LB8PNE5C7CEN88</t>
  </si>
  <si>
    <t>549300P9V1DD2MBSHN15</t>
  </si>
  <si>
    <t>25490058SHVWZ4OK3Y70</t>
  </si>
  <si>
    <t>5493007LTTTS8GWPXA92</t>
  </si>
  <si>
    <t>5493005RC0HMIP5NKR48</t>
  </si>
  <si>
    <t>549300CMNQ05X4FXUY08</t>
  </si>
  <si>
    <t>54930030KDRZQIH2W598</t>
  </si>
  <si>
    <t>549300PN5E77L1SCRO98</t>
  </si>
  <si>
    <t>549300FM5X606C5KBT21</t>
  </si>
  <si>
    <t>5493002KCS60U6QLQK15</t>
  </si>
  <si>
    <t>254900KYMCNH0TXVQD77</t>
  </si>
  <si>
    <t>549300SGV1WSP12FB770</t>
  </si>
  <si>
    <t>549300OTB2E8IU1Q5U47</t>
  </si>
  <si>
    <t>5493007OY0T38IHPHC98</t>
  </si>
  <si>
    <t>549300QK0FK648JLCW70</t>
  </si>
  <si>
    <t>549300VJSYYY44ND2382</t>
  </si>
  <si>
    <t>5493000Q4SLDSBJY1336</t>
  </si>
  <si>
    <t>5493001PEB90YGTDC638</t>
  </si>
  <si>
    <t>0EUMC1JQ5HNN1A6MGO73</t>
  </si>
  <si>
    <t>2549009CXIEUJGCBUF75</t>
  </si>
  <si>
    <t>549300IM5PEBHSKK3R41</t>
  </si>
  <si>
    <t>549300N522D3SS8MKV65</t>
  </si>
  <si>
    <t>549300WZKJ63UJDWP310</t>
  </si>
  <si>
    <t>549300JOFUGGWWSNTH20</t>
  </si>
  <si>
    <t>549300LIY8CRXEKBTB85</t>
  </si>
  <si>
    <t>549300DY47HI8CV7OV21</t>
  </si>
  <si>
    <t>549300W7F6OQHYDUJY92</t>
  </si>
  <si>
    <t>549300E5J8LJTBC2XY55</t>
  </si>
  <si>
    <t>549300FNENFFSMO3GT38</t>
  </si>
  <si>
    <t>5493002STESXUXSR5F92</t>
  </si>
  <si>
    <t>54930037TU6H0H3SN579</t>
  </si>
  <si>
    <t>5493004P3O01G7KP5K74</t>
  </si>
  <si>
    <t>549300TJHAJDI4GO3448</t>
  </si>
  <si>
    <t>549300RQ8DLYZ7OCVL24</t>
  </si>
  <si>
    <t>549300WWMB7Y1G3ZOZ62</t>
  </si>
  <si>
    <t>549300FQCDUOVPZSCZ15</t>
  </si>
  <si>
    <t>549300ZYPRG54NID3650</t>
  </si>
  <si>
    <t>549300BZHV342YN6J725</t>
  </si>
  <si>
    <t>549300YQBUT6TVRFOB44</t>
  </si>
  <si>
    <t>549300DOM0TJ7WIH2M72</t>
  </si>
  <si>
    <t>549300TDLYDKV11KBU47</t>
  </si>
  <si>
    <t>549300SBQF5SU7FERJ32</t>
  </si>
  <si>
    <t>549300CH3Y26NYPS8P06</t>
  </si>
  <si>
    <t>549300BWDR61HX1NXY12</t>
  </si>
  <si>
    <t>549300T4P24M8EJWVJ54</t>
  </si>
  <si>
    <t>5493007XJSKR890FQ735</t>
  </si>
  <si>
    <t>549300BQXKL2IOPSN897</t>
  </si>
  <si>
    <t>549300P3XCLWPUM8T761</t>
  </si>
  <si>
    <t>549300H180JPKPLELZ06</t>
  </si>
  <si>
    <t>549300E11609ZDDQ7262</t>
  </si>
  <si>
    <t>549300R3UNG4WKSPOW92</t>
  </si>
  <si>
    <t>549300S28Q476PDK6N18</t>
  </si>
  <si>
    <t>2549002RX9QANY14OL51</t>
  </si>
  <si>
    <t>5493009BMLDCVWP68G70</t>
  </si>
  <si>
    <t>5493000IOH7T7D0LEJ95</t>
  </si>
  <si>
    <t>54930024F6UYP1DEV118</t>
  </si>
  <si>
    <t>549300HWZBYX8MPJTN29</t>
  </si>
  <si>
    <t>549300X61LFUFMDCD841</t>
  </si>
  <si>
    <t>549300V3TYCLP28G7R86</t>
  </si>
  <si>
    <t>549300MA3PZS79LA0X04</t>
  </si>
  <si>
    <t>549300WNCXYPC0761V21</t>
  </si>
  <si>
    <t>5493001LTVMOM575N955</t>
  </si>
  <si>
    <t>549300O3BFVSWVASQN83</t>
  </si>
  <si>
    <t>549300RNQABKKCVF8W52</t>
  </si>
  <si>
    <t>5493001QS7UF0XFABD45</t>
  </si>
  <si>
    <t>549300UKOQHQLWUU1I62</t>
  </si>
  <si>
    <t>5493000SB0SICRGJY161</t>
  </si>
  <si>
    <t>549300WIMJ9BR65EM840</t>
  </si>
  <si>
    <t>5493008KO0XAH03O3U66</t>
  </si>
  <si>
    <t>549300TKT1JP4UN6YN06</t>
  </si>
  <si>
    <t>549300IOPE5JSIF0BL48</t>
  </si>
  <si>
    <t>549300I0MAV0ST4KC435</t>
  </si>
  <si>
    <t>5493001F86B73BCLHG17</t>
  </si>
  <si>
    <t>549300J1OJI37E6E3T29</t>
  </si>
  <si>
    <t>549300HEYU4MOS2AJ677</t>
  </si>
  <si>
    <t>5493003094RI4VMYHR42</t>
  </si>
  <si>
    <t>5493004W27YNSNXKHJ81</t>
  </si>
  <si>
    <t>54930082LXJGNPTEVP16</t>
  </si>
  <si>
    <t>7LLHQS68KCIGNZBR7918</t>
  </si>
  <si>
    <t>549300U11563MR18CN37</t>
  </si>
  <si>
    <t>549300GD81BSHMXXX120</t>
  </si>
  <si>
    <t>549300WFVTMJC888BK88</t>
  </si>
  <si>
    <t>54930024JHG83L5G1M57</t>
  </si>
  <si>
    <t>549300L2RSQCVMOHGM20</t>
  </si>
  <si>
    <t>549300SI5G8763ZZSB31</t>
  </si>
  <si>
    <t>549300CSJQYZ8QUVK456</t>
  </si>
  <si>
    <t>549300X36PLN4F60NR64</t>
  </si>
  <si>
    <t>213800AF4OWOEKG9YT37</t>
  </si>
  <si>
    <t>5493003AXV3JQR2YED97</t>
  </si>
  <si>
    <t>254900PMALKJRL1YGQ18</t>
  </si>
  <si>
    <t>549300Q6SFKUTAOETJ27</t>
  </si>
  <si>
    <t>5493000F58OOY2IYY624</t>
  </si>
  <si>
    <t>549300T4GFG5I42BNR82</t>
  </si>
  <si>
    <t>549300WVJC15JZ4D4772</t>
  </si>
  <si>
    <t>549300UYBZSXYB64IY51</t>
  </si>
  <si>
    <t>54930014UK7AJYYSXK13</t>
  </si>
  <si>
    <t>5493000UK2H7QV5DSA19</t>
  </si>
  <si>
    <t>549300U222FS5GPTLJ84</t>
  </si>
  <si>
    <t>549300SFAVPLUGQN6D43</t>
  </si>
  <si>
    <t>549300E1WRC2HRQ8UI47</t>
  </si>
  <si>
    <t>549300UXUP4ZGU02RJ43</t>
  </si>
  <si>
    <t>549300MLMLSLXMZLH332</t>
  </si>
  <si>
    <t>549300ERTKCILTOTWJ89</t>
  </si>
  <si>
    <t>549300DBUSX55PUDI002</t>
  </si>
  <si>
    <t>5493000C5GB8N6H4TQ90</t>
  </si>
  <si>
    <t>5493000N80QPK9YSUR16</t>
  </si>
  <si>
    <t>549300USQ4Z61HAY5O97</t>
  </si>
  <si>
    <t>5493005SZ2008VDJZ116</t>
  </si>
  <si>
    <t>5493008192TE0DGM6205</t>
  </si>
  <si>
    <t>549300HU3WKLX60ZE965</t>
  </si>
  <si>
    <t>549300N2W3B629GNJR27</t>
  </si>
  <si>
    <t>549300ITLFSHLKCULM44</t>
  </si>
  <si>
    <t>549300XRGFXHTZ7ZCX69</t>
  </si>
  <si>
    <t>549300VJR2JJ3VOHXW86</t>
  </si>
  <si>
    <t>5493005LRSD0EM9B3L32</t>
  </si>
  <si>
    <t>549300WCWDU54OG3EK72</t>
  </si>
  <si>
    <t>549300UJJVG81BVSMC09</t>
  </si>
  <si>
    <t>549300N7U2CH04MCKG85</t>
  </si>
  <si>
    <t>549300IM0XZ6OFSFUI03</t>
  </si>
  <si>
    <t>549300B7HDXO3HKJVC52</t>
  </si>
  <si>
    <t>54930022E9OKZ1RM6H58</t>
  </si>
  <si>
    <t>549300A2X32Q7V5TC172</t>
  </si>
  <si>
    <t>549300TRXL85KTIVDW74</t>
  </si>
  <si>
    <t>5493007GKFP11DT61X79</t>
  </si>
  <si>
    <t>549300Y31MO65R7F2Z81</t>
  </si>
  <si>
    <t>549300VJS01401L14S71</t>
  </si>
  <si>
    <t>549300HFEG7B4DON9725</t>
  </si>
  <si>
    <t>549300DSV7J7DLYQ5H73</t>
  </si>
  <si>
    <t>549300QR3RXJKWZMK182</t>
  </si>
  <si>
    <t>O4JN3F8TSHMG4OGJBW66</t>
  </si>
  <si>
    <t>5493003GYPR7VI37GG77</t>
  </si>
  <si>
    <t>0LC1OXN013FUKQASJB58</t>
  </si>
  <si>
    <t>5493002DHXMX2O2HTA41</t>
  </si>
  <si>
    <t>54930066LV3G32L0HB48</t>
  </si>
  <si>
    <t>ZEW2HGJO0S24HZFXXF09</t>
  </si>
  <si>
    <t>549300DV643LF096F405</t>
  </si>
  <si>
    <t>549300JYSFWD9BBIVS43</t>
  </si>
  <si>
    <t>549300EXH7DERFMZV154</t>
  </si>
  <si>
    <t>549300ARUL6ECW8SO381</t>
  </si>
  <si>
    <t>5493004RV7RA02KSWZ90</t>
  </si>
  <si>
    <t>549300IF7B5MANTR1I09</t>
  </si>
  <si>
    <t>549300E36BVG1Z7MF218</t>
  </si>
  <si>
    <t>549300JMNNFM7F0VTC40</t>
  </si>
  <si>
    <t>984500AF79DB1C72B824</t>
  </si>
  <si>
    <t>549300886N17FP4S0Y66</t>
  </si>
  <si>
    <t>5493005GQIMMV7795O55</t>
  </si>
  <si>
    <t>549300O1QH9JYRX2RS15</t>
  </si>
  <si>
    <t>549300EPL702MQ432269</t>
  </si>
  <si>
    <t>549300XI8UBI6CNJSL51</t>
  </si>
  <si>
    <t>549300ZZCSF1U79CTM45</t>
  </si>
  <si>
    <t>549300RKL0XGCA8LQI81</t>
  </si>
  <si>
    <t>2138009113L7IDGEM175</t>
  </si>
  <si>
    <t>549300CVOI3ITS6P3755</t>
  </si>
  <si>
    <t>549300IHRSS0L6TXPU34</t>
  </si>
  <si>
    <t>54930037RJ782ISGGM71</t>
  </si>
  <si>
    <t>549300402R1ZP9TAVJ50</t>
  </si>
  <si>
    <t>54930028LLFIESPCXX14</t>
  </si>
  <si>
    <t>549300KEPOCTSVVXWZ86</t>
  </si>
  <si>
    <t>5493001XCEF2PSOAOK24</t>
  </si>
  <si>
    <t>5493007TNSS76BDVR357</t>
  </si>
  <si>
    <t>549300GGV8ZPHIR8Y563</t>
  </si>
  <si>
    <t>549300PX7M3DNFXRHS41</t>
  </si>
  <si>
    <t>549300WOASAJ0FTBVZ83</t>
  </si>
  <si>
    <t>5493007BPWU6Z6JG7580</t>
  </si>
  <si>
    <t>5493008Y9QXZEZOI9P12</t>
  </si>
  <si>
    <t>5493001IRQWKIX1JLS18</t>
  </si>
  <si>
    <t>54930023YH6I6G79NG29</t>
  </si>
  <si>
    <t>54930037AZG4FP7YEV96</t>
  </si>
  <si>
    <t>5493004BCK7GRPXGB415</t>
  </si>
  <si>
    <t>549300HQLCLC8ICFMN42</t>
  </si>
  <si>
    <t>549300ZGOXL14ICNHV58</t>
  </si>
  <si>
    <t>529900EY4VQEZUOEO166</t>
  </si>
  <si>
    <t>549300KRNH28I08X2H06</t>
  </si>
  <si>
    <t>ME7YUCK4NF1W8VM8SP25</t>
  </si>
  <si>
    <t>RPWIC4DDHHNKRW3KWI33</t>
  </si>
  <si>
    <t>549300HZ5OOWNBGSSU14</t>
  </si>
  <si>
    <t>MGKEIYYWV7WFFRP1PX79</t>
  </si>
  <si>
    <t>IZMR8ZXCYHDO7CGFHT28</t>
  </si>
  <si>
    <t>549300FOC6WAVLMJCD48</t>
  </si>
  <si>
    <t>549300RBPPL41PIVZH67</t>
  </si>
  <si>
    <t>549300VKNRPHVEL2IS74</t>
  </si>
  <si>
    <t>5493004N81NGHC3N3N78</t>
  </si>
  <si>
    <t>549300OVZMD1XOPKNT94</t>
  </si>
  <si>
    <t>549300EEQC1E7JV5FP16</t>
  </si>
  <si>
    <t>5493006KMSKRJPWLJL08</t>
  </si>
  <si>
    <t>NT7C58H5HPZYKZDPOO64</t>
  </si>
  <si>
    <t>549300OV0ELR1RX4EO43</t>
  </si>
  <si>
    <t>549300WZRVQERM819Z90</t>
  </si>
  <si>
    <t>549300EFFC1WX39JGB52</t>
  </si>
  <si>
    <t>335800E4RH82Z8XC3C30</t>
  </si>
  <si>
    <t>549300X0Y4048NHXR216</t>
  </si>
  <si>
    <t>549300VNYOLU68FQNE06</t>
  </si>
  <si>
    <t>549300ES55VG43W8YZ61</t>
  </si>
  <si>
    <t>549300YXPFD6UYOYEI50</t>
  </si>
  <si>
    <t>254900JOCYEBR3UOLI36</t>
  </si>
  <si>
    <t>5493006B97KV3EIS8771</t>
  </si>
  <si>
    <t>254900930YMK9AXL9O17</t>
  </si>
  <si>
    <t>5493000YGIYZG20KJ436</t>
  </si>
  <si>
    <t>549300D3USR6743UG445</t>
  </si>
  <si>
    <t>549300D7KWW8LBFM7767</t>
  </si>
  <si>
    <t>5493002U38Q6WVXR9Q27</t>
  </si>
  <si>
    <t>549300E0X1NDIZQKXS23</t>
  </si>
  <si>
    <t>54930053JO5SMLB78Q98</t>
  </si>
  <si>
    <t>549300ZPG4J3X80Q3F19</t>
  </si>
  <si>
    <t>54930083OSY8S2JSW375</t>
  </si>
  <si>
    <t>549300RYNP5ISDF1C075</t>
  </si>
  <si>
    <t>5493002FZ4T3SVM3ZD54</t>
  </si>
  <si>
    <t>549300A66K4NRK6E3307</t>
  </si>
  <si>
    <t>549300KOY3H6SZEEPM06</t>
  </si>
  <si>
    <t>549300DT020UEAQPTD23</t>
  </si>
  <si>
    <t>549300KM7KBGZTIZHP72</t>
  </si>
  <si>
    <t>549300XCDNZD9IDL4M03</t>
  </si>
  <si>
    <t>549300P82RIO5GL6SO97</t>
  </si>
  <si>
    <t>NOTAVAILABLE00000000</t>
  </si>
  <si>
    <t>5493001KME2SCIBVDW21</t>
  </si>
  <si>
    <t>549300QNRWD90F8NX284</t>
  </si>
  <si>
    <t>549300ELTZ3OH8DHUL08</t>
  </si>
  <si>
    <t>549300LIMYWT1WX28Y26</t>
  </si>
  <si>
    <t>254900AIUQAGUZ3EDD10</t>
  </si>
  <si>
    <t>5493008W5EPRSLQ0B737</t>
  </si>
  <si>
    <t>549300ER66BIX4KZD662</t>
  </si>
  <si>
    <t>5493001M8P1E0U2SJ036</t>
  </si>
  <si>
    <t>549300GSZ0NLKATCOU70</t>
  </si>
  <si>
    <t>549300X06V33KC3VB057</t>
  </si>
  <si>
    <t>254900HM2R6ULFG3DX97</t>
  </si>
  <si>
    <t>549300HEZMJ8GRRH8H31</t>
  </si>
  <si>
    <t>549300E641PW0PLKYG26</t>
  </si>
  <si>
    <t>549300R26ZKMTWJDSP10</t>
  </si>
  <si>
    <t>549300918XR3S4UUSQ90</t>
  </si>
  <si>
    <t>549300KP2ZB2D13Z3B47</t>
  </si>
  <si>
    <t>549300FQN4T2J7VDAD82</t>
  </si>
  <si>
    <t>549300I4IY5G10BBDO53</t>
  </si>
  <si>
    <t>549300R050ONTQ82U536</t>
  </si>
  <si>
    <t>549300WL7HEX8C8CI676</t>
  </si>
  <si>
    <t>549300WFFXIVORR5SS28</t>
  </si>
  <si>
    <t>529900WRNCMQ0TS3UN31</t>
  </si>
  <si>
    <t>549300NCYWPAVT5MOR69</t>
  </si>
  <si>
    <t>213800FMNXUKZE6M8866</t>
  </si>
  <si>
    <t>549300JAUIX82PMHT431</t>
  </si>
  <si>
    <t>549300OWY1Y2XSEM0B05</t>
  </si>
  <si>
    <t>549300FFBQRJVD40T115</t>
  </si>
  <si>
    <t>549300X5MZI2F6492327</t>
  </si>
  <si>
    <t>549300VB2UN01T2SJZ62</t>
  </si>
  <si>
    <t>549300WDK8FS0C9EKE75</t>
  </si>
  <si>
    <t>549300DQVRRA3VV6PO92</t>
  </si>
  <si>
    <t>254900NHHEN45IBORZ78</t>
  </si>
  <si>
    <t>5493001MSTV232NYP244</t>
  </si>
  <si>
    <t>5493002LSSH8WI7J0S22</t>
  </si>
  <si>
    <t>549300B8DUPW0GD15K63</t>
  </si>
  <si>
    <t>529900V0551GKDIOIS45</t>
  </si>
  <si>
    <t>5299002ANL11JKCNUM97</t>
  </si>
  <si>
    <t>254900OG3RWRC9YEY102</t>
  </si>
  <si>
    <t>5493002SELHB4IRS2V73</t>
  </si>
  <si>
    <t>5493008ZJVB1Z2RZ8P91</t>
  </si>
  <si>
    <t>529900227RVB89NZH924</t>
  </si>
  <si>
    <t>54930085SHI6FYZIAC03</t>
  </si>
  <si>
    <t>5493002E1C68U0XLSX39</t>
  </si>
  <si>
    <t>54930053M40XSIJSS965</t>
  </si>
  <si>
    <t>549300CQ75Z9Q2OLU413</t>
  </si>
  <si>
    <t>254900FM9RE3DE3DIM80</t>
  </si>
  <si>
    <t>549300A0QPUDB5HG0S81</t>
  </si>
  <si>
    <t>529900FJBD14JT6D2K38</t>
  </si>
  <si>
    <t>549300WNGXSICGLWY010</t>
  </si>
  <si>
    <t>549300MRM1WC0CUVR709</t>
  </si>
  <si>
    <t>549300HU2V2EMMVSTL64</t>
  </si>
  <si>
    <t>54930038EOUCGT4UVQ38</t>
  </si>
  <si>
    <t>5493009W9UEFCB7EOO61</t>
  </si>
  <si>
    <t>549300XMFVBEDU366R60</t>
  </si>
  <si>
    <t>5299003BDKNMGPIVOP50</t>
  </si>
  <si>
    <t>549300SJ27YXX3S6EE42</t>
  </si>
  <si>
    <t>213800F7XEMVWQOZGN46</t>
  </si>
  <si>
    <t>549300LNLKZX50KRT626</t>
  </si>
  <si>
    <t>549300O07LZCZ7OILO11</t>
  </si>
  <si>
    <t>549300GGHEV7KQEE8R10</t>
  </si>
  <si>
    <t>254900M0319M9XD2N586</t>
  </si>
  <si>
    <t>549300PVIXNUO392TA77</t>
  </si>
  <si>
    <t>254900U0P7PVMGB0R171</t>
  </si>
  <si>
    <t>549300U6PU98BPOEO175</t>
  </si>
  <si>
    <t>5493007XTOZ5NL0LC635</t>
  </si>
  <si>
    <t>549300PJHZXLWZB8ME15</t>
  </si>
  <si>
    <t>5493005LBCU06JLAVG71</t>
  </si>
  <si>
    <t>4469000001C0COTP8392</t>
  </si>
  <si>
    <t>549300N32MINGTFHDB53</t>
  </si>
  <si>
    <t>254900CHKE6IP4UOT223</t>
  </si>
  <si>
    <t>549300FI1PF6Z04VWK39</t>
  </si>
  <si>
    <t>549300KMZP6OBX8YMO15</t>
  </si>
  <si>
    <t>213800COB4ISQYQUVZ66</t>
  </si>
  <si>
    <t>2549003OX547W71I3L02</t>
  </si>
  <si>
    <t>5493005S3C0PAHNE9D29</t>
  </si>
  <si>
    <t>549300HDY31U2W7DLL59</t>
  </si>
  <si>
    <t>549300ND03FSKI2N5E12</t>
  </si>
  <si>
    <t>254900HINHU13Q6U2538</t>
  </si>
  <si>
    <t>549300QM8PRT21654X08</t>
  </si>
  <si>
    <t>549300IAI10BUO5D4Y86</t>
  </si>
  <si>
    <t>54930078SS82CMRD2V77</t>
  </si>
  <si>
    <t>254900O91QV8JC60BG73</t>
  </si>
  <si>
    <t>5493006YSRMNFNSJDZ85</t>
  </si>
  <si>
    <t>5493003LR92XZORUIS56</t>
  </si>
  <si>
    <t>549300CR5R1OXHOKWG22</t>
  </si>
  <si>
    <t>IE216Y76PFFTNL0P2132</t>
  </si>
  <si>
    <t>2X3624VST50Z5U73GU35</t>
  </si>
  <si>
    <t>5493005WD1ZK6WBVR988</t>
  </si>
  <si>
    <t>549300NST2BIRPS15I17</t>
  </si>
  <si>
    <t>549300MLQ6S32UE8DO95</t>
  </si>
  <si>
    <t>54930038W5CJNPZTAV45</t>
  </si>
  <si>
    <t>549300FE534ZFCO3JY13</t>
  </si>
  <si>
    <t>549300PBNNL235W28B69</t>
  </si>
  <si>
    <t>54930018VDZPV4MDG022</t>
  </si>
  <si>
    <t>549300F4ZHWQG38L6M84</t>
  </si>
  <si>
    <t>254900YM23QMNQEJIT76</t>
  </si>
  <si>
    <t>549300RRSCK6T7AU7188</t>
  </si>
  <si>
    <t>549300271U8527LA6C23</t>
  </si>
  <si>
    <t>549300GB36KEV1HOE934</t>
  </si>
  <si>
    <t>254900P4HGEYB5D55T94</t>
  </si>
  <si>
    <t>549300CM2JV2M2ZZAV94</t>
  </si>
  <si>
    <t>549300IPROVZVCOSL535</t>
  </si>
  <si>
    <t>549300YFW9W8P0M4KY88</t>
  </si>
  <si>
    <t>549300AYGFZFDGHWHO44</t>
  </si>
  <si>
    <t>549300R3WLSFJRZKFH11</t>
  </si>
  <si>
    <t>549300IM5F30OTOWLI97</t>
  </si>
  <si>
    <t>549300NVGNW21FCGYW36</t>
  </si>
  <si>
    <t>54930088UHM7SD9RJZ24</t>
  </si>
  <si>
    <t>54930076K2FPAJOKJA37</t>
  </si>
  <si>
    <t>54930064366OU07LXU66</t>
  </si>
  <si>
    <t>549300FY4C7BXWSGSF10</t>
  </si>
  <si>
    <t>549300ALYQ0LBSNKEA42</t>
  </si>
  <si>
    <t>549300CZ4EYSIN85RS93</t>
  </si>
  <si>
    <t>549300NXIC1XIS92OB64</t>
  </si>
  <si>
    <t>549300IGURZ965U6V402</t>
  </si>
  <si>
    <t>549300C2YCQTK6ENMS10</t>
  </si>
  <si>
    <t>5493005YZNZL3IS1KL52</t>
  </si>
  <si>
    <t>U35FU0E3COGZ03C4IT89</t>
  </si>
  <si>
    <t>549300105DQR63IX3104</t>
  </si>
  <si>
    <t>549300Z39KJ0TNOI3F73</t>
  </si>
  <si>
    <t>549300XRRKZITH3W0S95</t>
  </si>
  <si>
    <t>549300GDXTG7SSVP5T84</t>
  </si>
  <si>
    <t>5493000TGL38IYL5S608</t>
  </si>
  <si>
    <t>254900OD37SCRLNFL274</t>
  </si>
  <si>
    <t>549300HX2LRFUPGMBW08</t>
  </si>
  <si>
    <t>549300NPNIW8M41HSB42</t>
  </si>
  <si>
    <t>5493004AUBCCML5ITD18</t>
  </si>
  <si>
    <t>549300MXG5SEGYIF7G30</t>
  </si>
  <si>
    <t>54930018R1HMU6X5IY55</t>
  </si>
  <si>
    <t>2549008EVN7XOW81K831</t>
  </si>
  <si>
    <t>254900I7NZSL1C274H27</t>
  </si>
  <si>
    <t>5493003N5O6NVIBI0V76</t>
  </si>
  <si>
    <t>549300XB4UGGPBIRXG17</t>
  </si>
  <si>
    <t>549300DNCZVLZZYR2J47</t>
  </si>
  <si>
    <t>5493008KFRKWWL247Y34</t>
  </si>
  <si>
    <t>549300O1MJTYFPRJ7F35</t>
  </si>
  <si>
    <t>549300GNJPJXU24ZZO34</t>
  </si>
  <si>
    <t>5493003ICB0ZNPF0C862</t>
  </si>
  <si>
    <t>5493001VHA9VNU3SGB96</t>
  </si>
  <si>
    <t>254900CX1KERTSWNQ098</t>
  </si>
  <si>
    <t>549300XAHX6HSTYRVQ05</t>
  </si>
  <si>
    <t>549300DVYRJ5TQJVTD49</t>
  </si>
  <si>
    <t>5493001F0GVQ4HWNX518</t>
  </si>
  <si>
    <t>54930011JF0G5C21BN88</t>
  </si>
  <si>
    <t>549300OW0ZLJM1B68Y96</t>
  </si>
  <si>
    <t>54930037NB6NXS8EKP78</t>
  </si>
  <si>
    <t>54930000XLCX5ZT1PS84</t>
  </si>
  <si>
    <t>549300BD6FKDIH5KTJ75</t>
  </si>
  <si>
    <t>GUNTJCA81C7IHNBGI392</t>
  </si>
  <si>
    <t>549300TUHGAQZ3YYDW26</t>
  </si>
  <si>
    <t>549300SX2K0H7WSKDL03</t>
  </si>
  <si>
    <t>54930032N1W8C6JJON07</t>
  </si>
  <si>
    <t>549300147QB3ETTVSF37</t>
  </si>
  <si>
    <t>549300L37VJWNG2OCH14</t>
  </si>
  <si>
    <t>2138001939R54S3QAM24</t>
  </si>
  <si>
    <t>549300KBT5TPMD0NS452</t>
  </si>
  <si>
    <t>F5TC18C8WGX8LIFJSL77</t>
  </si>
  <si>
    <t>549300W6XLUFCFD2EO20</t>
  </si>
  <si>
    <t>54930086ORH5G4RI6Y62</t>
  </si>
  <si>
    <t>549300MGWME4A4CDVT16</t>
  </si>
  <si>
    <t>549300VOM23AJ8FOS740</t>
  </si>
  <si>
    <t>213800MB7UGCSL5S3P42</t>
  </si>
  <si>
    <t>D3M5JYMGK3RJ1TI2X304</t>
  </si>
  <si>
    <t>7BAHUKFV2EMX0SEODE27</t>
  </si>
  <si>
    <t>0WXDAZT8EUEO20GMBD79</t>
  </si>
  <si>
    <t>DKEQTSNT77LSSA85B522</t>
  </si>
  <si>
    <t>0RZXRV4ZRDOQQRNWM011</t>
  </si>
  <si>
    <t>X2MT1W32SPAZ9WSKLE78</t>
  </si>
  <si>
    <t>XEIEFTLYDQ1MZ6TZV015</t>
  </si>
  <si>
    <t>EYLV2HJR7QTUQAERIP91</t>
  </si>
  <si>
    <t>549300SFOGX60RMPHJ65</t>
  </si>
  <si>
    <t>635400OP2DYYYMOIYL17</t>
  </si>
  <si>
    <t>549300OQS2LO07ZJ7N73</t>
  </si>
  <si>
    <t>I03QQGEA4SS774AURI46</t>
  </si>
  <si>
    <t>SYHS7HRDXLL4I0IQ8776</t>
  </si>
  <si>
    <t>S45WY9SL4HS8WOA3DV24</t>
  </si>
  <si>
    <t>A8INQCMPQ7GG06PN3U65</t>
  </si>
  <si>
    <t>549300P69VVWGR70BK19</t>
  </si>
  <si>
    <t>549300Y6CTBSE0QIPL28</t>
  </si>
  <si>
    <t>54930010CV6GY7FU1V16</t>
  </si>
  <si>
    <t>549300XZK6EWDBAZSY16</t>
  </si>
  <si>
    <t>XYSIJOU3HNVROZWNA008</t>
  </si>
  <si>
    <t>549300IX8SD6XXD71I78</t>
  </si>
  <si>
    <t>JCT8P4Y190IH4I1NX328</t>
  </si>
  <si>
    <t>549300U0CZWN8T6UOH17</t>
  </si>
  <si>
    <t>549300WMJOT8C9DNMF90</t>
  </si>
  <si>
    <t>549300BYG0BBYQLHFL02</t>
  </si>
  <si>
    <t>AI8GXW8LG5WK7E9UD086</t>
  </si>
  <si>
    <t>B78FQ7XBQFLP4AYJ6F79</t>
  </si>
  <si>
    <t>H3F39CAXWQRVWURFXL38</t>
  </si>
  <si>
    <t>TADWCGP8SCZ6QVQHFK43</t>
  </si>
  <si>
    <t>Q0IK63NITJD6RJ47SW96</t>
  </si>
  <si>
    <t>549300KM3BT5RIPOI142</t>
  </si>
  <si>
    <t>7NL333ORJZD4MSM4OU08</t>
  </si>
  <si>
    <t>549300GMUCJ08527GQ81</t>
  </si>
  <si>
    <t>549300CIU3WTKWXC1I93</t>
  </si>
  <si>
    <t>QXZYQNMR4JZ5RIRN4T31</t>
  </si>
  <si>
    <t>549300CTE3HOMEUMM603</t>
  </si>
  <si>
    <t>549300H32TFTJY3LLS92</t>
  </si>
  <si>
    <t>ZXZE9GCS2BB547GJW219</t>
  </si>
  <si>
    <t>549300SCJSB2CIKJI662</t>
  </si>
  <si>
    <t>549300BJRHJVYNUMQZ30</t>
  </si>
  <si>
    <t>5493000UQHOQDHGR8K77</t>
  </si>
  <si>
    <t>HZEZWPQVFG33GVKBZ928</t>
  </si>
  <si>
    <t>IQN3XTJNANI73KWRED03</t>
  </si>
  <si>
    <t>549300ZWX1XVB9EVBM49</t>
  </si>
  <si>
    <t>549300S1FBLQEKQE5423</t>
  </si>
  <si>
    <t>8F4SD5Y4YNDDSMHFUP83</t>
  </si>
  <si>
    <t>0V5453U14HDZO63CGH17</t>
  </si>
  <si>
    <t>FKUZOUT82DOBGXFS6K20</t>
  </si>
  <si>
    <t>549300XGK22FZCTN8B67</t>
  </si>
  <si>
    <t>549300HE1ISW43LNKM54</t>
  </si>
  <si>
    <t>549300NRZ7D58UDNSO58</t>
  </si>
  <si>
    <t>549300A5B8LWWXD85L17</t>
  </si>
  <si>
    <t>549300SIZD2BGBCBMM30</t>
  </si>
  <si>
    <t>549300Q78IRMWD3OYD09</t>
  </si>
  <si>
    <t>549300GC80VO7T85ZM78</t>
  </si>
  <si>
    <t>549300G06I9LVZ5GRC97</t>
  </si>
  <si>
    <t>GOKX07FPCPJ0HZJZ3M26</t>
  </si>
  <si>
    <t>W1MKPVGS6I5155L7VV67</t>
  </si>
  <si>
    <t>549300DWNZYMOSR1X343</t>
  </si>
  <si>
    <t>H3Y3WLYCX0BTO1TRW162</t>
  </si>
  <si>
    <t>54930068IFR65G455T78</t>
  </si>
  <si>
    <t>549300HXNTQ62S315X46</t>
  </si>
  <si>
    <t>CQ7WZ4NOFWT7FAE6Q943</t>
  </si>
  <si>
    <t>549300IRDTHJQ1PVET45</t>
  </si>
  <si>
    <t>549300D4KAHLKG6QRS24</t>
  </si>
  <si>
    <t>1Z010BU876CF2HDBIN43</t>
  </si>
  <si>
    <t>549300FJX18IDUFPHD40</t>
  </si>
  <si>
    <t>3XHTN2NNIMMPORDAMJ28</t>
  </si>
  <si>
    <t>549300UTE50ZMDBG8A20</t>
  </si>
  <si>
    <t>5493009Y6HOBZD1QD537</t>
  </si>
  <si>
    <t>5493001D55RVULYW0R10</t>
  </si>
  <si>
    <t>549300PD0C69OJ0NLB27</t>
  </si>
  <si>
    <t>549300ZAHWQXIWTS7975</t>
  </si>
  <si>
    <t>254900PCAPFJ2TVA3822</t>
  </si>
  <si>
    <t>549300TOZZAZEYKSZA49</t>
  </si>
  <si>
    <t>549300DAGJD6RIBIEN51</t>
  </si>
  <si>
    <t>5493005YTI5YDLNG0029</t>
  </si>
  <si>
    <t>549300G5F3W3B52WYL23</t>
  </si>
  <si>
    <t>RIMU48P07456QXSO0R61</t>
  </si>
  <si>
    <t>JQ2DTICWDXQ4R2ET8N84</t>
  </si>
  <si>
    <t>549300EHF3IW1AR6U008</t>
  </si>
  <si>
    <t>549300KQOQ1KVLRZ6A14</t>
  </si>
  <si>
    <t>W0EE6KGDJNNOSWM64T71</t>
  </si>
  <si>
    <t>54930073HKEO6GZBSS03</t>
  </si>
  <si>
    <t>LXLW0PTYO5MW106BXC85</t>
  </si>
  <si>
    <t>8L3SV8RV3VGXP6KMVH41</t>
  </si>
  <si>
    <t>VI90HBPH7XSFMB9E4M29</t>
  </si>
  <si>
    <t>549300E4B3EHKGB3E614</t>
  </si>
  <si>
    <t>6WGQ18EVTPS04DML0U56</t>
  </si>
  <si>
    <t>549300YXUD2YDZ91YX97</t>
  </si>
  <si>
    <t>549300H4IOG5LW5HQP63</t>
  </si>
  <si>
    <t>QLT0HLJIB6R9PDPCJ195</t>
  </si>
  <si>
    <t>02WOK06Q485O55VORD93</t>
  </si>
  <si>
    <t>549300LM4XQ9Z1YM1012</t>
  </si>
  <si>
    <t>5493005E5CHLCZG9S159</t>
  </si>
  <si>
    <t>5493007Q3YG1UVJ81F41</t>
  </si>
  <si>
    <t>85N1BO6O898KJ7N8PR95</t>
  </si>
  <si>
    <t>Z2VZBHUMB7PWWJ63I008</t>
  </si>
  <si>
    <t>0C0OFK66613BCRQJ7F34</t>
  </si>
  <si>
    <t>5493001YX5TJ4SSAGB67</t>
  </si>
  <si>
    <t>549300PG6H866EZX2W25</t>
  </si>
  <si>
    <t>549300SQOOG9SV97E904</t>
  </si>
  <si>
    <t>54930086XMNNXPXPWJ34</t>
  </si>
  <si>
    <t>5493008D6X77IL11V279</t>
  </si>
  <si>
    <t>549300TILVIIV9FLL461</t>
  </si>
  <si>
    <t>Y8PRP3RHTD2NMA511K02</t>
  </si>
  <si>
    <t>549300XWVOVWWWY15311</t>
  </si>
  <si>
    <t>4K8SLPBF5DXXGPW03H93</t>
  </si>
  <si>
    <t>549300MDXHOLKO02QZ76</t>
  </si>
  <si>
    <t>549300KJMEWPKRQZHX63</t>
  </si>
  <si>
    <t>XQ2X30IHBIT0J8FPYU42</t>
  </si>
  <si>
    <t>G9NTPG5SQ5TCKT3TNP18</t>
  </si>
  <si>
    <t>D49FVTYMDB5W4OX88F98</t>
  </si>
  <si>
    <t>8NAV47T0Y26Q87Y0QP81</t>
  </si>
  <si>
    <t>MYTK5NHHP1G8TVFGT193</t>
  </si>
  <si>
    <t>02VFQXG2D1LR5ZH3K186</t>
  </si>
  <si>
    <t>PKSTQ48QDN0XSVS7YK88</t>
  </si>
  <si>
    <t>W22LROWP2IHZNBB6K528</t>
  </si>
  <si>
    <t>54930047UGR11BS0SM55</t>
  </si>
  <si>
    <t>549300ST7UJUZ6E9YM02</t>
  </si>
  <si>
    <t>RFQ25ZOUVHCC81R42J71</t>
  </si>
  <si>
    <t>OZ3OLJ0YWZXD3MGDS705</t>
  </si>
  <si>
    <t>213800PRXJ7WA41AIN67</t>
  </si>
  <si>
    <t>5493002J2SVENP0PVK27</t>
  </si>
  <si>
    <t>549300R0XE6VXZ0XXO39</t>
  </si>
  <si>
    <t>549300NN2TO70GNI8P03</t>
  </si>
  <si>
    <t>549300VWYMNRNU638R37</t>
  </si>
  <si>
    <t>549300ZPS06QWKX6NG96</t>
  </si>
  <si>
    <t>549300U7LWRGTY6XWK67</t>
  </si>
  <si>
    <t>549300YB7F2G2DP82Q47</t>
  </si>
  <si>
    <t>549300ONEY60V2SFEO94</t>
  </si>
  <si>
    <t>549300SFREU6L24HNQ86</t>
  </si>
  <si>
    <t>Z61OVJZDJC6XNMTSF185</t>
  </si>
  <si>
    <t>549300P1KUVJF31M2P40</t>
  </si>
  <si>
    <t>549300HA9TP4CZEXHC19</t>
  </si>
  <si>
    <t>5493007M0RIN8HY3MM77</t>
  </si>
  <si>
    <t>5299000GCAPHBQKY0V97</t>
  </si>
  <si>
    <t>SV3LPHVGSKTFHAAGRP95</t>
  </si>
  <si>
    <t>J1I2POYUPE1NKHS3L256</t>
  </si>
  <si>
    <t>549300S3IZB5P35KNV16</t>
  </si>
  <si>
    <t>HUNQU3KMYFQOBIMS8S76</t>
  </si>
  <si>
    <t>MC04F0PVYLRX90EBHW46</t>
  </si>
  <si>
    <t>JG2TUH0Q6HM6T4LE7X38</t>
  </si>
  <si>
    <t>ZGXNMA3E8GMM85V7PL44</t>
  </si>
  <si>
    <t>DRKXZJVSF0AQBLQHZY66</t>
  </si>
  <si>
    <t>KAGWKDK7T7NNO71FXM41</t>
  </si>
  <si>
    <t>TSZ3Y1M841F22UYNMR48</t>
  </si>
  <si>
    <t>VO5BFPFWCYQTR0S7TN90</t>
  </si>
  <si>
    <t>SIG2VU6GJ2VLC2XNC047</t>
  </si>
  <si>
    <t>549300JEU7PHDOBD7F69</t>
  </si>
  <si>
    <t>7NZLXEPOD1I3TSK5RF78</t>
  </si>
  <si>
    <t>2M7NX52XT3BU9YDMXH81</t>
  </si>
  <si>
    <t>5493001A1ZUDVQCLHW96</t>
  </si>
  <si>
    <t>80E6GOF2ND32FSEYTG23</t>
  </si>
  <si>
    <t>LLKXC7WBO6YMID6WQ395</t>
  </si>
  <si>
    <t>FQKEHVWXH0YF2JFJK204</t>
  </si>
  <si>
    <t>GS2Z523P9I0JE2ONSO82</t>
  </si>
  <si>
    <t>XEBWRNG9WNLTMJ6XCF92</t>
  </si>
  <si>
    <t>FGVI51DQ28OAXDUC6Y90</t>
  </si>
  <si>
    <t>AXZRBMTSKO2QADSXRL68</t>
  </si>
  <si>
    <t>54930046TU8TTV71T012</t>
  </si>
  <si>
    <t>GIOPNE8AO7KPYODTSS33</t>
  </si>
  <si>
    <t>HDEJPO416Y4IUG7S7109</t>
  </si>
  <si>
    <t>TACW42RSOOW3W5112K30</t>
  </si>
  <si>
    <t>IH1FP0QGS1ITLYFEEM58</t>
  </si>
  <si>
    <t>549300NO673FCMGRHX90</t>
  </si>
  <si>
    <t>5493003BRB67HF8ST418</t>
  </si>
  <si>
    <t>5HHIX3LJXD11YII4XG78</t>
  </si>
  <si>
    <t>QL6R5J1JKA1JZLFDVS59</t>
  </si>
  <si>
    <t>TLOSSWI378SURCHGI284</t>
  </si>
  <si>
    <t>549300C61URX1BPEJZ28</t>
  </si>
  <si>
    <t>0ZKPYU0MMB85N32QUK75</t>
  </si>
  <si>
    <t>HGEYYLH248WIN5V4XS37</t>
  </si>
  <si>
    <t>HXUPEBLUHVD4YLUU0O61</t>
  </si>
  <si>
    <t>I7AWS8NO4HJ5R7P0L511</t>
  </si>
  <si>
    <t>IBB3EVPMDEHKHDPXA468</t>
  </si>
  <si>
    <t>MGCZP3KOJ3GY627IHK03</t>
  </si>
  <si>
    <t>N8Y5YESYCLFDXNNUQV93</t>
  </si>
  <si>
    <t>NYJHWN6MTILGQH13C139</t>
  </si>
  <si>
    <t>OA6RHYR6LGM5LRCG2L62</t>
  </si>
  <si>
    <t>4UL0KI4EPYFKMUU31I34</t>
  </si>
  <si>
    <t>JV1PFK2XS7N2L0CQ7X63</t>
  </si>
  <si>
    <t>549300HZEWYWF6067X34</t>
  </si>
  <si>
    <t>OKDABTOHP57RKQS1OU88</t>
  </si>
  <si>
    <t>RBPZPJ2O5BNMGVB65O41</t>
  </si>
  <si>
    <t>T28ENCJDLK1QJ7VE8332</t>
  </si>
  <si>
    <t>T5D8YQNN0LUF0THBUO53</t>
  </si>
  <si>
    <t>U48QD6ILUF60LKMSND68</t>
  </si>
  <si>
    <t>4VIZ12RURKQTKPDDB492</t>
  </si>
  <si>
    <t>UP08UZ5LLZHZ13PK4L05</t>
  </si>
  <si>
    <t>VN6DJGBO8DKY0GTM4883</t>
  </si>
  <si>
    <t>VR7RG2TI3BE7WOQX6W11</t>
  </si>
  <si>
    <t>X6EPY1LJ4FYLA53Z0Z92</t>
  </si>
  <si>
    <t>8DZAUY8151XS5PISSX42</t>
  </si>
  <si>
    <t>8R61A69VZEG9XEQHFI20</t>
  </si>
  <si>
    <t>YMFP9X1NE70DHCHB6Q92</t>
  </si>
  <si>
    <t>02HN8WR90OFP8A0GSE50</t>
  </si>
  <si>
    <t>0WMWQ42KJW5IECP64J97</t>
  </si>
  <si>
    <t>1FCI5QEOH7SUD1PZFP39</t>
  </si>
  <si>
    <t>4WMRWEP2HWY08IS4J941</t>
  </si>
  <si>
    <t>BXX3XUTYG1XCPQ0XZO75</t>
  </si>
  <si>
    <t>549300R4X3B34OCNZZ55</t>
  </si>
  <si>
    <t>CC8M7XFKTNG56DXMAR33</t>
  </si>
  <si>
    <t>F9ZE1OSP3VS1IABRYO35</t>
  </si>
  <si>
    <t>G76TQ0PIXA72QHAXTM52</t>
  </si>
  <si>
    <t>GA72U1K1S932F05EQN53</t>
  </si>
  <si>
    <t>GIZ2DATIAEIYRQYHEC47</t>
  </si>
  <si>
    <t>FTZNEQBV4KBH60FK7W59</t>
  </si>
  <si>
    <t>1LTUIZEFFT7MUIERI838</t>
  </si>
  <si>
    <t>54930085BY5KF4D93U11</t>
  </si>
  <si>
    <t>213800PNX6EV1XVAFR95</t>
  </si>
  <si>
    <t>WLNAPPG3EBO2UQ0EB806</t>
  </si>
  <si>
    <t>549300W03XJ7WJO5DL09</t>
  </si>
  <si>
    <t>7RRRJ3GCZYRPG40G8T11</t>
  </si>
  <si>
    <t>6FFMMI3AGWZH5SDXSF05</t>
  </si>
  <si>
    <t>9695000GX0J4I5NHRW25</t>
  </si>
  <si>
    <t>E7EXN6FJGRUTJYNZ3Z71</t>
  </si>
  <si>
    <t>Y4ZLLK11NDZZ8YBSVF78</t>
  </si>
  <si>
    <t>549300TLLUNO6GEGKT38</t>
  </si>
  <si>
    <t>213800K5KTZFSUS8MR51</t>
  </si>
  <si>
    <t>789000KAIHOLSQKQ9858</t>
  </si>
  <si>
    <t>5493006IOWGET5HZ0U69</t>
  </si>
  <si>
    <t>549300SZCPXX21RP2840</t>
  </si>
  <si>
    <t>G5AHTAP80NWA3Q8RDC78</t>
  </si>
  <si>
    <t>AZFI8AF3LKPKLYFCSU93</t>
  </si>
  <si>
    <t>549300UG1JYMUK4QZ472</t>
  </si>
  <si>
    <t>549300L36QZWPHM6FP31</t>
  </si>
  <si>
    <t>XJCRTTYJVBMA22IXL619</t>
  </si>
  <si>
    <t>5493008D88GFVJ5DYV95</t>
  </si>
  <si>
    <t>5493003IEN12SBM8DF65</t>
  </si>
  <si>
    <t>549300221RMLBLVJW518</t>
  </si>
  <si>
    <t>5493004QB97XKSGJ5W30</t>
  </si>
  <si>
    <t>549300ZT3Z0X49TDBH33</t>
  </si>
  <si>
    <t>549300MGKVDB1Y6ETI72</t>
  </si>
  <si>
    <t>549300EMROU75ELRUZ19</t>
  </si>
  <si>
    <t>B8XB1FALENLXUVU79H84</t>
  </si>
  <si>
    <t>213800LZ4WWG15NAC829</t>
  </si>
  <si>
    <t>213800WSGIIZCXF1P572</t>
  </si>
  <si>
    <t>5493006GBNN2VFWMBO75</t>
  </si>
  <si>
    <t>VPYWVMHIKGS7SYPEJO27</t>
  </si>
  <si>
    <t>2M6ZH5ETTH2JQI4FUL40</t>
  </si>
  <si>
    <t>CMZ7GG81FU1ER4OBYJ54</t>
  </si>
  <si>
    <t>PUJHQ5RQC2H7SL2TKX81</t>
  </si>
  <si>
    <t>549300FM4AZXPL22IV49</t>
  </si>
  <si>
    <t>549300J6XDMO51OW6T07</t>
  </si>
  <si>
    <t>FEBUDXX292BYEHGKLP74</t>
  </si>
  <si>
    <t>PCGLZ3RCJSIWBWFOBW52</t>
  </si>
  <si>
    <t>3UW7Q1MMN80WR1D4QE21</t>
  </si>
  <si>
    <t>549300ISGJOBWQBIY608</t>
  </si>
  <si>
    <t>549300824CQ84PGH8J16</t>
  </si>
  <si>
    <t>5493005K48RMIGXQYE93</t>
  </si>
  <si>
    <t>549300MG5Q5VOTHPK831</t>
  </si>
  <si>
    <t>54930028NM5FOU5Q5297</t>
  </si>
  <si>
    <t>549300OTG43JWVIN0L87</t>
  </si>
  <si>
    <t>549300XPE5D51UCQ5M95</t>
  </si>
  <si>
    <t>549300L0I14L7I0VLX84</t>
  </si>
  <si>
    <t>549300PCQNASPV6XB325</t>
  </si>
  <si>
    <t>549300YKL1MDW51X6P80</t>
  </si>
  <si>
    <t>549300VRS9KIQPMTQR45</t>
  </si>
  <si>
    <t>549300QB7DMCV0DDVA87</t>
  </si>
  <si>
    <t>21380047OSNTTRKT1422</t>
  </si>
  <si>
    <t>549300O4UFPM4UOWBT98</t>
  </si>
  <si>
    <t>54930038KW5EV1JGCD02</t>
  </si>
  <si>
    <t>549300BK6XXH6UFT7142</t>
  </si>
  <si>
    <t>JAKTIM2Y224KMLN3ID39</t>
  </si>
  <si>
    <t>U4LOSYZ7YG4W3S5F2G91</t>
  </si>
  <si>
    <t>549300GYHL88QYH8Z718</t>
  </si>
  <si>
    <t>5493009N7JEKN5CTFS40</t>
  </si>
  <si>
    <t>213800NUHAI7V6ZTNY20</t>
  </si>
  <si>
    <t>213800VOJMZUKKNE4L79</t>
  </si>
  <si>
    <t>ZSLF02UC3X1JFV1UX676</t>
  </si>
  <si>
    <t>E5GR0DNGF48STXFK1Y57</t>
  </si>
  <si>
    <t>J1Y4PL5OEWM2K0OMTW95</t>
  </si>
  <si>
    <t>3QB1ZABMH70RV722MS34</t>
  </si>
  <si>
    <t>549300DF3JZ4N5MANJ65</t>
  </si>
  <si>
    <t>549300JWGMJO03H0G857</t>
  </si>
  <si>
    <t>5493006AIGIWDB4VDE91</t>
  </si>
  <si>
    <t>549300L1TG59YIRHO829</t>
  </si>
  <si>
    <t>LMIXNXVFH1G3R6WY8155</t>
  </si>
  <si>
    <t>2138003BOKRBC51SNN50</t>
  </si>
  <si>
    <t>549300QQOC4XDJ2HDN92</t>
  </si>
  <si>
    <t>6TBO6TQ84PMGFWS7BZ61</t>
  </si>
  <si>
    <t>AXDGVRS221XSIKGQXQ16</t>
  </si>
  <si>
    <t>549300ULG120R2UNV025</t>
  </si>
  <si>
    <t>549300OUCZJR8YBZD061</t>
  </si>
  <si>
    <t>MEVPECUM0AWJRSS4TH34</t>
  </si>
  <si>
    <t>254900CSV8GZTO04Z495</t>
  </si>
  <si>
    <t>549300323EGWCUCQJZ27</t>
  </si>
  <si>
    <t>5493000SQI6OZJNBWZ27</t>
  </si>
  <si>
    <t>549300U4SDLYDULKNC24</t>
  </si>
  <si>
    <t>5493003NR4G1MZZNOA76</t>
  </si>
  <si>
    <t>549300B22PR5OQZ55585</t>
  </si>
  <si>
    <t>54930084QDBXW3S5UL45</t>
  </si>
  <si>
    <t>8LZI1U0ZXEW57SGJWZ91</t>
  </si>
  <si>
    <t>549300ASRL4YSKFFXJ57</t>
  </si>
  <si>
    <t>549300PL8NDZD7C7DG27</t>
  </si>
  <si>
    <t>549300K0R9EISTQXLM95</t>
  </si>
  <si>
    <t>5493008I2ZLNNNGLZU94</t>
  </si>
  <si>
    <t>549300MADO2E2S1N4X73</t>
  </si>
  <si>
    <t>54930032PTI7XWCLOD92</t>
  </si>
  <si>
    <t>5493008JOOSP23RJRJ88</t>
  </si>
  <si>
    <t>5493008KEVFYPMGTXO33</t>
  </si>
  <si>
    <t>5493004K5FBCNJH51Q11</t>
  </si>
  <si>
    <t>5493006UGLYIS8QNHC14</t>
  </si>
  <si>
    <t>549300XI785GPWS6HA82</t>
  </si>
  <si>
    <t>549300LUKPLOGGO9R051</t>
  </si>
  <si>
    <t>4469000001BVB63MST77</t>
  </si>
  <si>
    <t>549300TPVK2CXW16OK33</t>
  </si>
  <si>
    <t>S4SV9UC4FE8HBIRE7W44</t>
  </si>
  <si>
    <t>549300ZWOWV3MECPLN21</t>
  </si>
  <si>
    <t>54930054JH8JQD26X142</t>
  </si>
  <si>
    <t>549300Q700MKRMBTIF98</t>
  </si>
  <si>
    <t>2549000WEZ982XWY5Y65</t>
  </si>
  <si>
    <t>549300V063DQ03ISLT39</t>
  </si>
  <si>
    <t>5493004MO65W7SPCFT12</t>
  </si>
  <si>
    <t>5493008LLE7PT810NE84</t>
  </si>
  <si>
    <t>549300D1QB2W1OYTN571</t>
  </si>
  <si>
    <t>549300LQPCR0WBXTM398</t>
  </si>
  <si>
    <t>549300JGDGKADBE08X90</t>
  </si>
  <si>
    <t>549300SFWI5KJU6X5N91</t>
  </si>
  <si>
    <t>549300FB506Z10JK7562</t>
  </si>
  <si>
    <t>5493008BT1ORYF24DX07</t>
  </si>
  <si>
    <t>5493002RSFEZ8ZEPL312</t>
  </si>
  <si>
    <t>5493002HCQTMKQ1ECW29</t>
  </si>
  <si>
    <t>549300505PJJPT5VKW67</t>
  </si>
  <si>
    <t>549300WM0YON5JKYUZ48</t>
  </si>
  <si>
    <t>5493006IMXP8KJGCNH55</t>
  </si>
  <si>
    <t>549300GFC7O96CQ5FJ50</t>
  </si>
  <si>
    <t>549300Y87JDSLMZC1447</t>
  </si>
  <si>
    <t>549300KXHBWFS5C6GU29</t>
  </si>
  <si>
    <t>549300LU45WCDIU7ZQ24</t>
  </si>
  <si>
    <t>549300PHCETT57S83T51</t>
  </si>
  <si>
    <t>549300M7EZI4T5V12281</t>
  </si>
  <si>
    <t>5493005A5Y8XULOHHI22</t>
  </si>
  <si>
    <t>549300WNUD6RTYN7CJ08</t>
  </si>
  <si>
    <t>549300TTVHP2T547S741</t>
  </si>
  <si>
    <t>5493004WE10FO87UJI81</t>
  </si>
  <si>
    <t>549300JTCZLIF0RR6I74</t>
  </si>
  <si>
    <t>549300IZ4ZQ5L73C7H70</t>
  </si>
  <si>
    <t>549300D2L6J4NC1QVZ22</t>
  </si>
  <si>
    <t>213800ACSUFQF3V86D39</t>
  </si>
  <si>
    <t>549300H6CF54849MV260</t>
  </si>
  <si>
    <t>549300CFLFYD7GXJNS36</t>
  </si>
  <si>
    <t>Z8LEF8NXXY27VEVU9469</t>
  </si>
  <si>
    <t>549300NXEAWKDSIK6R57</t>
  </si>
  <si>
    <t>549300HGOBWU1Z0FCX45</t>
  </si>
  <si>
    <t>549300S2235IL73TH941</t>
  </si>
  <si>
    <t>549300TYOKLIZ124N606</t>
  </si>
  <si>
    <t>ANDKRHQKPRRG4Q2KLR05</t>
  </si>
  <si>
    <t>2549002J2KYSJRQWGH28</t>
  </si>
  <si>
    <t>549300IPHLXN814GLO92</t>
  </si>
  <si>
    <t>549300RXUXIPFBMYJC84</t>
  </si>
  <si>
    <t>5493007JT6T7CELGIR26</t>
  </si>
  <si>
    <t>5493009I4UGMKRIMYV83</t>
  </si>
  <si>
    <t>549300T332RPBLZ51I72</t>
  </si>
  <si>
    <t>549300DC7QHJUCROI015</t>
  </si>
  <si>
    <t>SW4VC32Z0ZKLJKPONQ50</t>
  </si>
  <si>
    <t>254900ZSO0IPC7WB7I79</t>
  </si>
  <si>
    <t>5493005L0BNJ31Z62722</t>
  </si>
  <si>
    <t>5493001QYTIDILBVYO18</t>
  </si>
  <si>
    <t>416AP2JOUTCWEGSOZW41</t>
  </si>
  <si>
    <t>5493008J2RZZGRIRS516</t>
  </si>
  <si>
    <t>549300ZS7D6Z12IRRN87</t>
  </si>
  <si>
    <t>EE5W18H3TVA53PMLNG63</t>
  </si>
  <si>
    <t>UDRKF4NTOOY4GOLNZS16</t>
  </si>
  <si>
    <t>R6M52COKB3D5KWZPH017</t>
  </si>
  <si>
    <t>549300MG32TDSM60SX75</t>
  </si>
  <si>
    <t>549300Q85E13MALN5G04</t>
  </si>
  <si>
    <t>549300I2CRJ138AID549</t>
  </si>
  <si>
    <t>549300KKFZCZPPLZ5818</t>
  </si>
  <si>
    <t>213800ACMH7VWH64O195</t>
  </si>
  <si>
    <t>5493008222JU94EUYP67</t>
  </si>
  <si>
    <t>549300U5FQ3GXZ1XUC42</t>
  </si>
  <si>
    <t>5493000INSC5TXSAF055</t>
  </si>
  <si>
    <t>54930092VZSVH4BOH716</t>
  </si>
  <si>
    <t>549300DL5X8SB66AFF40</t>
  </si>
  <si>
    <t>5493004SCC5L1P2D2843</t>
  </si>
  <si>
    <t>5493006JJPJOD8GLGL35</t>
  </si>
  <si>
    <t>5493007C9HDQD8QTNZ51</t>
  </si>
  <si>
    <t>549300XQLHLBXUL1K435</t>
  </si>
  <si>
    <t>549300BZXH9SONJZXG64</t>
  </si>
  <si>
    <t>549300LJSD25Y2Z57Q93</t>
  </si>
  <si>
    <t>549300FVPDCTH4OY8F02</t>
  </si>
  <si>
    <t>549300MMV4BCP498HV19</t>
  </si>
  <si>
    <t>549300OGER6QE70VUP52</t>
  </si>
  <si>
    <t>549300N7SDCNL61TQU61</t>
  </si>
  <si>
    <t>549300QIUQI0QRD3OR39</t>
  </si>
  <si>
    <t>549300KXMSSMVUS76S37</t>
  </si>
  <si>
    <t>5493000U3WT3V4DXK307</t>
  </si>
  <si>
    <t>549300L4331YRPSNXE36</t>
  </si>
  <si>
    <t>HNIQE4JC7DITKYNPQN75</t>
  </si>
  <si>
    <t>549300WONZ05CBVCKN45</t>
  </si>
  <si>
    <t>549300CBS0F2F09I9260</t>
  </si>
  <si>
    <t>5493003NSWEE95P02J68</t>
  </si>
  <si>
    <t>549300GNXKM3MBAN0K73</t>
  </si>
  <si>
    <t>549300OGYCSCQYKV7V96</t>
  </si>
  <si>
    <t>549300N91XZFLE15E586</t>
  </si>
  <si>
    <t>549300JALQXA0YVETC09</t>
  </si>
  <si>
    <t>549300OQX9M4DNFXN160</t>
  </si>
  <si>
    <t>CCM9NET2Y0EH0G49QU68</t>
  </si>
  <si>
    <t>8MHW9P8IB1VQ28EKEY41</t>
  </si>
  <si>
    <t>549300U0WGASEB2ZNP04</t>
  </si>
  <si>
    <t>549300IF4IFG0FS0RM26</t>
  </si>
  <si>
    <t>549300VMSFYYC1W52A18</t>
  </si>
  <si>
    <t>549300LM8C2YW23ZNU35</t>
  </si>
  <si>
    <t>549300CSXOJJK2YD8615</t>
  </si>
  <si>
    <t>5493000ZLME33X4W3I13</t>
  </si>
  <si>
    <t>5493007CFRJ02OW8AG47</t>
  </si>
  <si>
    <t>54930003VBWUI327PK25</t>
  </si>
  <si>
    <t>549300HZIURX2YOVG466</t>
  </si>
  <si>
    <t>549300KCZMTWXMIF6K43</t>
  </si>
  <si>
    <t>549300EFHO1CYTHSJD18</t>
  </si>
  <si>
    <t>5493003LRH0DNF3P9V91</t>
  </si>
  <si>
    <t>549300UF5TWFHHFS7J28</t>
  </si>
  <si>
    <t>549300EVB4EGE7DKSB32</t>
  </si>
  <si>
    <t>549300HGZUPT0PFSJR31</t>
  </si>
  <si>
    <t>2JADVB0458J06WCD4N56</t>
  </si>
  <si>
    <t>549300OLCMCOYPOVSI56</t>
  </si>
  <si>
    <t>R4Y6P5M8JMA332ZRXF19</t>
  </si>
  <si>
    <t>549300K1R4W1LHVCGJ63</t>
  </si>
  <si>
    <t>549300YZR6BDBEJQB513</t>
  </si>
  <si>
    <t>549300Y5QPD0GUV8UP36</t>
  </si>
  <si>
    <t>549300NO2BFZPLTXJT29</t>
  </si>
  <si>
    <t>W7L3VLU8EHQY34Z36697</t>
  </si>
  <si>
    <t>549300V8M85QISCSJ683</t>
  </si>
  <si>
    <t>549300SI1XTCNZBXUE18</t>
  </si>
  <si>
    <t>549300B79LVEU1HX2M19</t>
  </si>
  <si>
    <t>549300SDYIMWWWK0HL13</t>
  </si>
  <si>
    <t>4469000001BN524BYH65</t>
  </si>
  <si>
    <t>1HNPXZSMMB7HMBMVBS46</t>
  </si>
  <si>
    <t>549300UZ7DSUED5QKF47</t>
  </si>
  <si>
    <t>D3R5PJ3V8T8OL0RLFO80</t>
  </si>
  <si>
    <t>549300EEUSOY2IC2QD12</t>
  </si>
  <si>
    <t>549300EIKXQ535P19157</t>
  </si>
  <si>
    <t>549300YTRWJAV7NLQD54</t>
  </si>
  <si>
    <t>384T1MQ7G2UCNRCA9193</t>
  </si>
  <si>
    <t>5493002XM1OF18W1XC88</t>
  </si>
  <si>
    <t>549300KB1QY8GV54X872</t>
  </si>
  <si>
    <t>4469000001BN68XZ5111</t>
  </si>
  <si>
    <t>F9K5K5SA3RWE58CNG198</t>
  </si>
  <si>
    <t>RCX52GR0JW2LRRMH9Z54</t>
  </si>
  <si>
    <t>5493001ZVRYVP3R8QG52</t>
  </si>
  <si>
    <t>3CYEJKBUJZO3UW777J80</t>
  </si>
  <si>
    <t>2GW13BZF30JIV62TRX81</t>
  </si>
  <si>
    <t>5493008Z3L7BLU3H3P40</t>
  </si>
  <si>
    <t>4469000001BP4DCM0P31</t>
  </si>
  <si>
    <t>549300L33E7L9J037724</t>
  </si>
  <si>
    <t>5493006FGHZR4H10KB88</t>
  </si>
  <si>
    <t>549300GFUEPUHPGB8P06</t>
  </si>
  <si>
    <t>5493001J0BLQRMOJKP23</t>
  </si>
  <si>
    <t>IPVDQOMGIQZKQX7KVR43</t>
  </si>
  <si>
    <t>5493008KE2OLRJ5UGN45</t>
  </si>
  <si>
    <t>VJJ3YDJ4UOKOJN1I8J86</t>
  </si>
  <si>
    <t>3492JPACKNX8FXKBKX65</t>
  </si>
  <si>
    <t>5493000O72WH2GEHC712</t>
  </si>
  <si>
    <t>7RMXOU623ZIPI78S8Z08</t>
  </si>
  <si>
    <t>5493007LPIGTL4MBQE69</t>
  </si>
  <si>
    <t>K7RO1EUHK5R7O9VVEC64</t>
  </si>
  <si>
    <t>H3TKDBQ1M3TIQCPUFT76</t>
  </si>
  <si>
    <t>LFV2H207YCAOQ3S8HA31</t>
  </si>
  <si>
    <t>142NRKQY02SECERZ6P68</t>
  </si>
  <si>
    <t>9GNXSUPK06HDUPJOBL73</t>
  </si>
  <si>
    <t>QW0RDTS02JHU7OEAP937</t>
  </si>
  <si>
    <t>V7NLK625NYHZUV6SYM67</t>
  </si>
  <si>
    <t>549300WPWONH0FFPJL64</t>
  </si>
  <si>
    <t>HME6IJQVBP946XYB2W57</t>
  </si>
  <si>
    <t>SO00H9CFNYSJUK430K38</t>
  </si>
  <si>
    <t>549300HKQ4ZH1I0WPR84</t>
  </si>
  <si>
    <t>5493004G0NCZ8D3JZ492</t>
  </si>
  <si>
    <t>549300HEMUCDBNP05G29</t>
  </si>
  <si>
    <t>549300U4W5BUTYJ3Y071</t>
  </si>
  <si>
    <t>549300NYBMESYXTWIJ67</t>
  </si>
  <si>
    <t>549300CLRIF4KXELPS45</t>
  </si>
  <si>
    <t>H3L496YVUB31VW28ER40</t>
  </si>
  <si>
    <t>U8IYHX5ID733CNGR3S09</t>
  </si>
  <si>
    <t>80EYOCMDG8UGHTLF3365</t>
  </si>
  <si>
    <t>TWGEKEDKL4YW3R6EQR38</t>
  </si>
  <si>
    <t>UYLN7C4X5GQF77GNY430</t>
  </si>
  <si>
    <t>5493005G0GNCHP0H6L96</t>
  </si>
  <si>
    <t>549300SXOKJDDKOOS802</t>
  </si>
  <si>
    <t>W0GG7QC5ZUZSBUXCG079</t>
  </si>
  <si>
    <t>4469000001BSJ0FLHQ40</t>
  </si>
  <si>
    <t>549300DTMS39GZYBX161</t>
  </si>
  <si>
    <t>549300BPU3J8Y5QHMW15</t>
  </si>
  <si>
    <t>5493003Y2NV5ER8RZ558</t>
  </si>
  <si>
    <t>549300EOXOBUUMJ0V907</t>
  </si>
  <si>
    <t>7245009I5JYYHHY9EJ86</t>
  </si>
  <si>
    <t>549300Q5UQJSQ6EY8H92</t>
  </si>
  <si>
    <t>5493004JVQ9AHFZFUQ05</t>
  </si>
  <si>
    <t>54930057GMOA08HMD344</t>
  </si>
  <si>
    <t>F0SXXKNNLEOY8PIJY192</t>
  </si>
  <si>
    <t>G1NIKRLT4013DJUHQR28</t>
  </si>
  <si>
    <t>E1ZMNS385RWKB2OI2854</t>
  </si>
  <si>
    <t>549300NP1V14X5KBAQ91</t>
  </si>
  <si>
    <t>U3S1B1WZICRJT4HHCA13</t>
  </si>
  <si>
    <t>549300VONR8FK9YHCU32</t>
  </si>
  <si>
    <t>3JA8FFHDP0WD6S8AJT23</t>
  </si>
  <si>
    <t>GQTZH3G16O0ZDGTIUS87</t>
  </si>
  <si>
    <t>7BT1PG61KEUH42XHGX37</t>
  </si>
  <si>
    <t>TQP7DPAB80LXP8753734</t>
  </si>
  <si>
    <t>TI5PLYTR7HZGS7TBRP61</t>
  </si>
  <si>
    <t>U8KBV5YZS02DREQEXC36</t>
  </si>
  <si>
    <t>H6PPB70VOS5P3NEKZW18</t>
  </si>
  <si>
    <t>CW3W37V8QY7DVX87PQ66</t>
  </si>
  <si>
    <t>6XE31ODZPBO0SIDX5S75</t>
  </si>
  <si>
    <t>XI1M1CDVRC8YNT0B5804</t>
  </si>
  <si>
    <t>O06XD7BJ4EPXNABVFN69</t>
  </si>
  <si>
    <t>0XSCBWEQU2NEHPEJPH08</t>
  </si>
  <si>
    <t>YO8W8MOSZCQQJ1RVBX32</t>
  </si>
  <si>
    <t>D01LMJZU09ULLNCY6Z23</t>
  </si>
  <si>
    <t>SY2I860DJEJNENIHS113</t>
  </si>
  <si>
    <t>529900N4SUIP0URJT330</t>
  </si>
  <si>
    <t>549300QEQUKW2MDQ2N78</t>
  </si>
  <si>
    <t>549300MNINNURIE3T676</t>
  </si>
  <si>
    <t>549300KHHPNWZT2XQJ35</t>
  </si>
  <si>
    <t>549300UMJPMX78PXER18</t>
  </si>
  <si>
    <t>54930025I17T555UCN04</t>
  </si>
  <si>
    <t>894500MFW2M2OFBH5A62</t>
  </si>
  <si>
    <t>5493003877B2CLY7VB10</t>
  </si>
  <si>
    <t>HJZQGXYTVV2NWJZLPW74</t>
  </si>
  <si>
    <t>5493005PTOW5DCP3K417</t>
  </si>
  <si>
    <t>5493009LXGE7Y4U9OY43</t>
  </si>
  <si>
    <t>2549006V4KV53QU6I623</t>
  </si>
  <si>
    <t>549300PDOB9EREZO7178</t>
  </si>
  <si>
    <t>549300OSB1GZTH6ZRQ41</t>
  </si>
  <si>
    <t>549300XQBGBEAABTUC05</t>
  </si>
  <si>
    <t>5RJTDGZG4559ESIYLD31</t>
  </si>
  <si>
    <t>549300XAE5VP5ONZTO34</t>
  </si>
  <si>
    <t>5493008JMMSEEHEI8575</t>
  </si>
  <si>
    <t>DZTQULY37M63U1BTS594</t>
  </si>
  <si>
    <t>5493000BGAIBP7C24I90</t>
  </si>
  <si>
    <t>5493000MY3DAIB0BP706</t>
  </si>
  <si>
    <t>549300IS34S901EOZB45</t>
  </si>
  <si>
    <t>5493009Q2MUNY9J74988</t>
  </si>
  <si>
    <t>549300OTU6PJ388OBF20</t>
  </si>
  <si>
    <t>549300JAQPZA1RD3RM25</t>
  </si>
  <si>
    <t>54930066U38DMMOQKF20</t>
  </si>
  <si>
    <t>54930004QX3OL14C3P73</t>
  </si>
  <si>
    <t>549300Z7C2FSF11YGU03</t>
  </si>
  <si>
    <t>549300MATQ2L03SLFT65</t>
  </si>
  <si>
    <t>5493007L1PEOEY0HG134</t>
  </si>
  <si>
    <t>5493008BH5O6V3S1NU68</t>
  </si>
  <si>
    <t>25490018E611NO1G6733</t>
  </si>
  <si>
    <t>549300I0XDZ4K7PDSS04</t>
  </si>
  <si>
    <t>549300JNJ47B60605X43</t>
  </si>
  <si>
    <t>549300JKG867G7LWJM63</t>
  </si>
  <si>
    <t>5493004GRHE5I6RYGX73</t>
  </si>
  <si>
    <t>X0XUGKC9FD2CYUQNC010</t>
  </si>
  <si>
    <t>5493000WBDNX4XLW8X60</t>
  </si>
  <si>
    <t>549300P7PBIOHKHSWV50</t>
  </si>
  <si>
    <t>549300P4XXYKIBUNTY77</t>
  </si>
  <si>
    <t>549300QKP7G7PSA2BS69</t>
  </si>
  <si>
    <t>LRTJ90BDKWYUKQ3QY816</t>
  </si>
  <si>
    <t>50OBSE5T5521O6SMZR28</t>
  </si>
  <si>
    <t>FDX8H7EVT2UU4KZST276</t>
  </si>
  <si>
    <t>549300ZIERTW0D58Y161</t>
  </si>
  <si>
    <t>5493007HQAUURLO7D125</t>
  </si>
  <si>
    <t>549300MNMF9EFQOQWS15</t>
  </si>
  <si>
    <t>P7PQG12H75LFHQHXV541</t>
  </si>
  <si>
    <t>549300OIS6YW6IY8NB73</t>
  </si>
  <si>
    <t>254900IS5DHB9YOP7N27</t>
  </si>
  <si>
    <t>5493007PQEBFBQVK8191</t>
  </si>
  <si>
    <t>549300UP7VTDGTDCMU18</t>
  </si>
  <si>
    <t>549300JTHSQS5BGBTR41</t>
  </si>
  <si>
    <t>549300WET1OKSDYZXM08</t>
  </si>
  <si>
    <t>549300YEEHHOO6OVX955</t>
  </si>
  <si>
    <t>5493005TT9S17QNWU136</t>
  </si>
  <si>
    <t>5493005XW8OC4R5EMM02</t>
  </si>
  <si>
    <t>54930054JY2HDB4R6697</t>
  </si>
  <si>
    <t>33BIEJFK4JGE8S6ON810</t>
  </si>
  <si>
    <t>549300TOGR54OMW2T093</t>
  </si>
  <si>
    <t>549300KSRK7MOLFW4T75</t>
  </si>
  <si>
    <t>549300HME3LKNP6E0Q38</t>
  </si>
  <si>
    <t>549300R0SRUSVEOK0P18</t>
  </si>
  <si>
    <t>549300W9MXDUZGAOCS58</t>
  </si>
  <si>
    <t>549300R9Z5GEOZ07TL43</t>
  </si>
  <si>
    <t>54930036WZKJ2B81H004</t>
  </si>
  <si>
    <t>5493008MB8WIUM8S8671</t>
  </si>
  <si>
    <t>5493004OHN56ES12EP58</t>
  </si>
  <si>
    <t>5493006BXB1WVVYMKD62</t>
  </si>
  <si>
    <t>4469000001BQCO07HG03</t>
  </si>
  <si>
    <t>549300OI8QSEKIEUHL63</t>
  </si>
  <si>
    <t>549300RK266GI9L43Y06</t>
  </si>
  <si>
    <t>SD2WHB6KCKNBO8F61R35</t>
  </si>
  <si>
    <t>549300CNB9770V0R0W27</t>
  </si>
  <si>
    <t>549300YQBM5UCRZVV603</t>
  </si>
  <si>
    <t>549300UI6ZGFLLM42262</t>
  </si>
  <si>
    <t>549300QSM7FW1LH84755</t>
  </si>
  <si>
    <t>71ZPS0ACY0O0VMTK8636</t>
  </si>
  <si>
    <t>5493003DL4TPEBLOYO50</t>
  </si>
  <si>
    <t>254900KMM7B9OEI9BD20</t>
  </si>
  <si>
    <t>549300Z0B65WW3NE1838</t>
  </si>
  <si>
    <t>549300P2GCG9F5W9ND28</t>
  </si>
  <si>
    <t>549300VMBWVZLE0G4621</t>
  </si>
  <si>
    <t>213800A39YKG6S2HQJ17</t>
  </si>
  <si>
    <t>213800FDTSJ43RYVT444</t>
  </si>
  <si>
    <t>2SFFM4FUIE05S37WFU55</t>
  </si>
  <si>
    <t>549300N4NAUIQG81FI10</t>
  </si>
  <si>
    <t>549300LHXCXOYTMH4U26</t>
  </si>
  <si>
    <t>549300Z7Y0LP7JWZDX96</t>
  </si>
  <si>
    <t>5493008GPM536ZBKNN26</t>
  </si>
  <si>
    <t>54930010LYQV4VPF4U25</t>
  </si>
  <si>
    <t>549300K5VIUTJXQL7X75</t>
  </si>
  <si>
    <t>5493002JQ2WMIN3U1G10</t>
  </si>
  <si>
    <t>5493007LN6EUT6MA7J02</t>
  </si>
  <si>
    <t>54930037KPD2I8PMFB54</t>
  </si>
  <si>
    <t>5493004NWFKNTPUAI212</t>
  </si>
  <si>
    <t>549300GWEF8RHHWR0234</t>
  </si>
  <si>
    <t>54930014M9TT1C99U470</t>
  </si>
  <si>
    <t>549300R7BPMMCE1ID990</t>
  </si>
  <si>
    <t>549300TGNP6B6GUVGW10</t>
  </si>
  <si>
    <t>213800HK8UVZEGSR8770</t>
  </si>
  <si>
    <t>549300ID61PNWDITHG33</t>
  </si>
  <si>
    <t>213800QGJ2925OA8HC84</t>
  </si>
  <si>
    <t>ONUPNYL5S9QZCXFB8M47</t>
  </si>
  <si>
    <t>I5P1GEYFGGMMDOFX2L30</t>
  </si>
  <si>
    <t>549300EEMRPFZUINDZ65</t>
  </si>
  <si>
    <t>549300Q83INDSFT6NZ10</t>
  </si>
  <si>
    <t>2138002WNH8EZT97SM58</t>
  </si>
  <si>
    <t>ZL288SJ77A83JL66LP35</t>
  </si>
  <si>
    <t>7S7P62TLR63NE8K6GT62</t>
  </si>
  <si>
    <t>5493002LW4GOXJ3JMH25</t>
  </si>
  <si>
    <t>529900AXG582AP7CV733</t>
  </si>
  <si>
    <t>549300VIXQWD2J3TH864</t>
  </si>
  <si>
    <t>549300M5MJ9G2JLU2I02</t>
  </si>
  <si>
    <t>549300XLLONZCBIZGQ14</t>
  </si>
  <si>
    <t>5493004UWXJSBVVA6K56</t>
  </si>
  <si>
    <t>5493008R7WUCMSS5TH92</t>
  </si>
  <si>
    <t>549300Z2HC1NFOIFVG12</t>
  </si>
  <si>
    <t>549300VMVNT33RWEY404</t>
  </si>
  <si>
    <t>549300PINNQUNARV4I86</t>
  </si>
  <si>
    <t>5493007W0GZYI0VKG659</t>
  </si>
  <si>
    <t>549300Z642POEKB4L314</t>
  </si>
  <si>
    <t>549300LPHBN06ONUC032</t>
  </si>
  <si>
    <t>549300YUHDNNLWV5LG91</t>
  </si>
  <si>
    <t>549300EDFGOWTD11DR89</t>
  </si>
  <si>
    <t>254900BTQXGKZYGBJF27</t>
  </si>
  <si>
    <t>549300WS7F5UCC264652</t>
  </si>
  <si>
    <t>549300FNOY8NER12C505</t>
  </si>
  <si>
    <t>5493005FSDSEIZOOYF47</t>
  </si>
  <si>
    <t>549300EOYUMMB0WTTP21</t>
  </si>
  <si>
    <t>549300DPQY1LCWSK0X68</t>
  </si>
  <si>
    <t>549300ANSDHA4JZH8O62</t>
  </si>
  <si>
    <t>5493003ZVFA0RYYP0744</t>
  </si>
  <si>
    <t>549300TTS6W3ZJ36BP85</t>
  </si>
  <si>
    <t>549300K4QOJ3HVE35R81</t>
  </si>
  <si>
    <t>549300LJNO1SSL8W4242</t>
  </si>
  <si>
    <t>549300J6IAJUJP7Y3P53</t>
  </si>
  <si>
    <t>XRZQ5S7HYJFPHJ78L959</t>
  </si>
  <si>
    <t>PG6OUPQ7VB2AFHLKER95</t>
  </si>
  <si>
    <t>549300SRVW7K0W1P1513</t>
  </si>
  <si>
    <t>549300W47H1E8O2ADO87</t>
  </si>
  <si>
    <t>3BPWMBHR1R9SHUN7J795</t>
  </si>
  <si>
    <t>300300C1050231004984</t>
  </si>
  <si>
    <t>549300BUX4U2CX9ZX686</t>
  </si>
  <si>
    <t>549300P66L8O62ZD7693</t>
  </si>
  <si>
    <t>549300J6BLSTHYLMXT68</t>
  </si>
  <si>
    <t>549300OH44OLIGEOF556</t>
  </si>
  <si>
    <t>WD6L6041MNRW1JE49D58</t>
  </si>
  <si>
    <t>5493004MSI95HXP3DH27</t>
  </si>
  <si>
    <t>549300Q12UO78GIX0404</t>
  </si>
  <si>
    <t>549300FRMJCE382Z2J52</t>
  </si>
  <si>
    <t>549300B4MMZOGNV3KT38</t>
  </si>
  <si>
    <t>549300KP4U2Z1IKXOL88</t>
  </si>
  <si>
    <t>549300ZOSEUKUEQXBM12</t>
  </si>
  <si>
    <t>5299009QTM3SJL9BNR19</t>
  </si>
  <si>
    <t>549300D60ENT1IS2QG76</t>
  </si>
  <si>
    <t>549300XX6FTFX41L0W97</t>
  </si>
  <si>
    <t>54930022KVB2E5D85651</t>
  </si>
  <si>
    <t>549300G5G4SU20YFCE12</t>
  </si>
  <si>
    <t>6Y6ZHD3Q7U1TRRUNTU66</t>
  </si>
  <si>
    <t>G30CO71KTT9JDYJESN22</t>
  </si>
  <si>
    <t>U7M81AY481YLIOR75625</t>
  </si>
  <si>
    <t>5299004GLEUX88BSNB74</t>
  </si>
  <si>
    <t>RBPD47S4BHRVSN8I4479</t>
  </si>
  <si>
    <t>549300VGVF1TZTDFIN83</t>
  </si>
  <si>
    <t>549300WYDSMYWEPYMG45</t>
  </si>
  <si>
    <t>0SK1ILSPWNVBNQWU0W18</t>
  </si>
  <si>
    <t>549300GWJTQLQRWX8O02</t>
  </si>
  <si>
    <t>EFQMQROEDSNBRIP7LE47</t>
  </si>
  <si>
    <t>7TG4VWERK338227TR435</t>
  </si>
  <si>
    <t>549300BGEDZ4RDVHEW91</t>
  </si>
  <si>
    <t>213800PP8O8ZWV6MYA62</t>
  </si>
  <si>
    <t>2138008LJU6WFQWOXJ73</t>
  </si>
  <si>
    <t>549300LB8CN32PV3JW39</t>
  </si>
  <si>
    <t>549300AH1Q8XYLOOH517</t>
  </si>
  <si>
    <t>549300QCOH62PZWGZD61</t>
  </si>
  <si>
    <t>549300J5MBZTG1H1OY98</t>
  </si>
  <si>
    <t>549300D10LLLBF2U4D88</t>
  </si>
  <si>
    <t>SNZ2OJLFK8MNNCLQOF39</t>
  </si>
  <si>
    <t>AO0PGGBJM7BRF42NY258</t>
  </si>
  <si>
    <t>529900HVWGYQIOGJ2802</t>
  </si>
  <si>
    <t>OT5YFZFR7QWYPUBC5X37</t>
  </si>
  <si>
    <t>54930026F9VTEACT0Q76</t>
  </si>
  <si>
    <t>3YJP8HORPAEXJ80D6368</t>
  </si>
  <si>
    <t>5493005TCKP3GLM72S44</t>
  </si>
  <si>
    <t>5493003EETVWYSIJ5A20</t>
  </si>
  <si>
    <t>549300E47SLD4XHW7W67</t>
  </si>
  <si>
    <t>F6WGZQOKZBVWJPVIE783</t>
  </si>
  <si>
    <t>HK15VDWNE3FL77FUSC13</t>
  </si>
  <si>
    <t>549300EZMF28EGZKCI71</t>
  </si>
  <si>
    <t>549300MM0M32U0G14037</t>
  </si>
  <si>
    <t>5493006604FG4LZRNP88</t>
  </si>
  <si>
    <t>549300PTNDK1C14K5K43</t>
  </si>
  <si>
    <t>5493009M4SH7FA0JZ840</t>
  </si>
  <si>
    <t>5493001IWW5FOHR3G849</t>
  </si>
  <si>
    <t>5493004DYX8V6WCTVZ43</t>
  </si>
  <si>
    <t>549300Z9F0Y520RLIZ71</t>
  </si>
  <si>
    <t>549300CO42KB88FLOZ21</t>
  </si>
  <si>
    <t>5493005VLKXM3PBQ2J86</t>
  </si>
  <si>
    <t>549300JJD8AI8SDXFH59</t>
  </si>
  <si>
    <t>5493006LJ6JZXQ2ERD69</t>
  </si>
  <si>
    <t>549300U0CEEAQS82VR75</t>
  </si>
  <si>
    <t>5WUVMA08EYG4KEUPW589</t>
  </si>
  <si>
    <t>52990002O5KK6XOGJ020</t>
  </si>
  <si>
    <t>529900HNOAA1KXQJUQ27</t>
  </si>
  <si>
    <t>549300ZB2LKP1TNGY326</t>
  </si>
  <si>
    <t>549300V7DSATOC7M0R66</t>
  </si>
  <si>
    <t>549300AU329QEM56PI21</t>
  </si>
  <si>
    <t>549300L6NFTY2P3TJX50</t>
  </si>
  <si>
    <t>549300N1BS6IY6V1VL13</t>
  </si>
  <si>
    <t>549300EBMD7LCZRPRO66</t>
  </si>
  <si>
    <t>549300K4FW4XIN7ES751</t>
  </si>
  <si>
    <t>549300SJ3OX1BB0W5M81</t>
  </si>
  <si>
    <t>549300JUVAOMHXY37745</t>
  </si>
  <si>
    <t>5493000UVR55B53B3J67</t>
  </si>
  <si>
    <t>5493003HO4DFIC76O418</t>
  </si>
  <si>
    <t>549300DEECSTX4W9TD12</t>
  </si>
  <si>
    <t>5493007MN4LSG54ZN639</t>
  </si>
  <si>
    <t>54930068UGB1S1HAV563</t>
  </si>
  <si>
    <t>549300IFFFHELR1W5K02</t>
  </si>
  <si>
    <t>G5GSEF7VJP5I7OUK5573</t>
  </si>
  <si>
    <t>549300DGEB4JYEAWVZ61</t>
  </si>
  <si>
    <t>5493007RNZKXMBMPW857</t>
  </si>
  <si>
    <t>549300PKVB4LNCA55E48</t>
  </si>
  <si>
    <t>K8MS7FD7N5Z2WQ51AZ71</t>
  </si>
  <si>
    <t>213800PSSU2QXF1WLR89</t>
  </si>
  <si>
    <t>5493006YXS1U5GIHE750</t>
  </si>
  <si>
    <t>2138007JZ4E8ARAYDM91</t>
  </si>
  <si>
    <t>213800QKYDSBDFTH2K71</t>
  </si>
  <si>
    <t>549300ZFUTMYZMB2DY91</t>
  </si>
  <si>
    <t>549300ZEWZN2OQU6L184</t>
  </si>
  <si>
    <t>549300CKQRZYK0FTUJ96</t>
  </si>
  <si>
    <t>8156005F4EF133FDAD80</t>
  </si>
  <si>
    <t>5493006SH161W7QXBG22</t>
  </si>
  <si>
    <t>2549007ANRFAAJ89H204</t>
  </si>
  <si>
    <t>549300AWF3TOHRYL7754</t>
  </si>
  <si>
    <t>54930021SX68QPC8GQ29</t>
  </si>
  <si>
    <t>254900OGXN75601ZQB83</t>
  </si>
  <si>
    <t>2549003NKYO8B3X2LH57</t>
  </si>
  <si>
    <t>549300SQ3JBK8ZN6A084</t>
  </si>
  <si>
    <t>254900JAUPVZHBL03H05</t>
  </si>
  <si>
    <t>2549005UGPYLO8PEYP12</t>
  </si>
  <si>
    <t>54930003W74J6RNWSS15</t>
  </si>
  <si>
    <t>549300RO9465F1RMDM16</t>
  </si>
  <si>
    <t>549300B7ZBNUWYFQPR77</t>
  </si>
  <si>
    <t>5493002NSJ341J0VSR59</t>
  </si>
  <si>
    <t>549300E05UUWP4BZXK57</t>
  </si>
  <si>
    <t>5493008LBX7HRHDEXB56</t>
  </si>
  <si>
    <t>549300T6ND62MIQ9TS45</t>
  </si>
  <si>
    <t>549300OWU7L9NMMI6628</t>
  </si>
  <si>
    <t>213800AL3VHHECLM1D85</t>
  </si>
  <si>
    <t>S5THZMDUJCTQZBTRVI98</t>
  </si>
  <si>
    <t>5493004F0E7WUTBSUY65</t>
  </si>
  <si>
    <t>2549004703T9ZUM8O018</t>
  </si>
  <si>
    <t>NICH5Q04ADUV9SN3Q390</t>
  </si>
  <si>
    <t>529900SEOICVR2VM6Y05</t>
  </si>
  <si>
    <t>549300BDLMW933V7DU29</t>
  </si>
  <si>
    <t>549300OTTB7696TYXT31</t>
  </si>
  <si>
    <t>549300R8VJDW3X6CD250</t>
  </si>
  <si>
    <t>0O4KBQCJZX82UKGCBV73</t>
  </si>
  <si>
    <t>549300V3ID6RTCTZ4F28</t>
  </si>
  <si>
    <t>213800TLZ6PCLYPSR448</t>
  </si>
  <si>
    <t>549300OSW32RVX8CCZ87</t>
  </si>
  <si>
    <t>549300S28TK8H9BEQN73</t>
  </si>
  <si>
    <t>549300WBRPK3Q8C05C31</t>
  </si>
  <si>
    <t>549300P1UGE5R4MZ2418</t>
  </si>
  <si>
    <t>5493005J1PKB88K38I65</t>
  </si>
  <si>
    <t>529900WXQHJ0H1LO4939</t>
  </si>
  <si>
    <t>549300GPEX361PUSIL87</t>
  </si>
  <si>
    <t>549300BUT6OPQP3A0Q66</t>
  </si>
  <si>
    <t>LPX2WEC0DYPIYDHBGF04</t>
  </si>
  <si>
    <t>549300W00TDQIRC6JG39</t>
  </si>
  <si>
    <t>54930032LHW54PQUJD44</t>
  </si>
  <si>
    <t>549300J73D0CSFL1P240</t>
  </si>
  <si>
    <t>549300G7TBUN1NKTT595</t>
  </si>
  <si>
    <t>5493003RXN77NSO9CO84</t>
  </si>
  <si>
    <t>5493006CGDSVSZ7KYV80</t>
  </si>
  <si>
    <t>549300V8RVM0EMTDPF28</t>
  </si>
  <si>
    <t>549300JD0S5IZJE9LY15</t>
  </si>
  <si>
    <t>549300WQ5ULT4CZH6T71</t>
  </si>
  <si>
    <t>YE8GM44BF3DGE2UHSS98</t>
  </si>
  <si>
    <t>4SKCPLK2I86YLS4V3193</t>
  </si>
  <si>
    <t>549300TSJLDV5C7XDP54</t>
  </si>
  <si>
    <t>5493005DN76IRT4SLK61</t>
  </si>
  <si>
    <t>5493003Q8F0T4F4YMR48</t>
  </si>
  <si>
    <t>7LTWFZYICNSX8D621K86</t>
  </si>
  <si>
    <t>5493002CSVXQ2REUFV59</t>
  </si>
  <si>
    <t>549300YOGDJ863AT4Z41</t>
  </si>
  <si>
    <t>9695009TCBCFJY0EHW49</t>
  </si>
  <si>
    <t>549300WCGB70D06XZS54</t>
  </si>
  <si>
    <t>254900IKV8DJ1C05JB68</t>
  </si>
  <si>
    <t>GKS4XBH2YSEYMX83N473</t>
  </si>
  <si>
    <t>5493001IOPFGWZCX1K38</t>
  </si>
  <si>
    <t>F8SB4JFBSYQFRQEH3Z21</t>
  </si>
  <si>
    <t>213800L8AQD59D3JRW81</t>
  </si>
  <si>
    <t>549300F4RYR1DNTO2O39</t>
  </si>
  <si>
    <t>GXTPUGCD18WM2LXL5R51</t>
  </si>
  <si>
    <t>549300KZ3CP7E2EV5O73</t>
  </si>
  <si>
    <t>529900J64YQRPAX4US18</t>
  </si>
  <si>
    <t>549300FJ6DRZ3HOLGG26</t>
  </si>
  <si>
    <t>549300FD6QT6G3FWEJ62</t>
  </si>
  <si>
    <t>0J0G3MMS92Q7K7DMDG49</t>
  </si>
  <si>
    <t>549300OOYUYE6HN37I68</t>
  </si>
  <si>
    <t>TXDSU46SXBWIGJ8G8E98</t>
  </si>
  <si>
    <t>549300MP6L8VYG8X2Q48</t>
  </si>
  <si>
    <t>549300U5UYRV15JZJU93</t>
  </si>
  <si>
    <t>549300HEWQKJMYAIYL96</t>
  </si>
  <si>
    <t>549300H1Z5KB8VYQG716</t>
  </si>
  <si>
    <t>5299008QAF8H66VI9L59</t>
  </si>
  <si>
    <t>HDZVMN7TWJYMZR839338</t>
  </si>
  <si>
    <t>549300HP9ZLNEKHKHE13</t>
  </si>
  <si>
    <t>5493008ERLPWSXA06829</t>
  </si>
  <si>
    <t>549300PXYPBYRHU59R03</t>
  </si>
  <si>
    <t>549300VEEEI856RLOV83</t>
  </si>
  <si>
    <t>549300OWRKNZO63Q6I88</t>
  </si>
  <si>
    <t>549300423UKB9GA8NE20</t>
  </si>
  <si>
    <t>5493009M08KZBKEXDU44</t>
  </si>
  <si>
    <t>549300PRD8MQNTBFE606</t>
  </si>
  <si>
    <t>549300Z5UEWVTM04AZ11</t>
  </si>
  <si>
    <t>549300KPP510J62IZM68</t>
  </si>
  <si>
    <t>549300VMRC602767QV94</t>
  </si>
  <si>
    <t>549300B4308270ISPY83</t>
  </si>
  <si>
    <t>549300NR5Q5FFPCPIQ97</t>
  </si>
  <si>
    <t>549300BM7LBTA67HEU93</t>
  </si>
  <si>
    <t>549300VULP504STIZH04</t>
  </si>
  <si>
    <t>549300N0PHSTKVDVF348</t>
  </si>
  <si>
    <t>54930072HYZVY5EQ4688</t>
  </si>
  <si>
    <t>5493001WBDJVSJAPK307</t>
  </si>
  <si>
    <t>549300EGAJCP3YLVJH74</t>
  </si>
  <si>
    <t>549300N7NVYD5PWLU383</t>
  </si>
  <si>
    <t>549300F2WRUJEL0TNP48</t>
  </si>
  <si>
    <t>549300LN5ZX4R8SYBV41</t>
  </si>
  <si>
    <t>5493008VETP0TSZDSX61</t>
  </si>
  <si>
    <t>54930046TY0Z6J14B790</t>
  </si>
  <si>
    <t>254900V6U1GCBZZAUS26</t>
  </si>
  <si>
    <t>549300ZB9SSADJFYJM50</t>
  </si>
  <si>
    <t>54930046VQOV7D4XS137</t>
  </si>
  <si>
    <t>6354001M5BSY9OKUDE43</t>
  </si>
  <si>
    <t>549300KDR56WHY9I3D10</t>
  </si>
  <si>
    <t>549300WQE9HKISBJD227</t>
  </si>
  <si>
    <t>549300LNCLMO3ITVCU07</t>
  </si>
  <si>
    <t>5493005JKLVWNZ3BD305</t>
  </si>
  <si>
    <t>5493007DKXQDEMHIVJ24</t>
  </si>
  <si>
    <t>5493003FOYMWZF0PKR49</t>
  </si>
  <si>
    <t>549300VYPGSVC2OWH095</t>
  </si>
  <si>
    <t>213800E4U4H7E3WX6O19</t>
  </si>
  <si>
    <t>549300LN71R9ZKFS4E06</t>
  </si>
  <si>
    <t>549300P8U2LJ45OOPT64</t>
  </si>
  <si>
    <t>5493005ZM2ZQV2D4Z338</t>
  </si>
  <si>
    <t>549300OI309MMT7TM081</t>
  </si>
  <si>
    <t>549300FPIYGZOOKL4Z67</t>
  </si>
  <si>
    <t>549300QSQ6OUOOER6T62</t>
  </si>
  <si>
    <t>549300FWNQ00G01PP836</t>
  </si>
  <si>
    <t>549300UXUZOMOPJ0BJ38</t>
  </si>
  <si>
    <t>ES7IP3U3RHIGC71XBU11</t>
  </si>
  <si>
    <t>549300U3X4VAV8RTOM38</t>
  </si>
  <si>
    <t>549300VB7CNLAYY8F648</t>
  </si>
  <si>
    <t>549300G83MTE6TO6K037</t>
  </si>
  <si>
    <t>5493003FILNICZ4V1T33</t>
  </si>
  <si>
    <t>549300OUL3PXD17HV644</t>
  </si>
  <si>
    <t>549300IIA32PXRS3A304</t>
  </si>
  <si>
    <t>5493000YWHMPUSXRFI26</t>
  </si>
  <si>
    <t>5493003QYVERGP11PM41</t>
  </si>
  <si>
    <t>549300D2E6I43NBOKO30</t>
  </si>
  <si>
    <t>54930091RZOVBGOQT395</t>
  </si>
  <si>
    <t>549300W6KGHD379W2127</t>
  </si>
  <si>
    <t>549300927UIM830LJL92</t>
  </si>
  <si>
    <t>549300PSD0JSZVNQL254</t>
  </si>
  <si>
    <t>549300X7RYCTEUQKMJ87</t>
  </si>
  <si>
    <t>549300NMM5OHCTZRMD12</t>
  </si>
  <si>
    <t>549300K3WQMG0MUXDK13</t>
  </si>
  <si>
    <t>NZ2M4USHU03YBCK0B235</t>
  </si>
  <si>
    <t>549300ENWQUFKQHWI304</t>
  </si>
  <si>
    <t>5493004DMR6NFP7CSX41</t>
  </si>
  <si>
    <t>549300K8EXIQTGM6LX41</t>
  </si>
  <si>
    <t>549300YESIF051NRED20</t>
  </si>
  <si>
    <t>T6FIZBDPKLYJKFCRVK44</t>
  </si>
  <si>
    <t>549300ZMC6KAQAARS811</t>
  </si>
  <si>
    <t>5493008P9DJX0WNGA303</t>
  </si>
  <si>
    <t>529900RKV8QCFPSFUR46</t>
  </si>
  <si>
    <t>E26EDV109X6EEPBKVH76</t>
  </si>
  <si>
    <t>549300Y26GIFZNI1WJ18</t>
  </si>
  <si>
    <t>549300I97SMJI5IF9834</t>
  </si>
  <si>
    <t>549300BBEN5TI7T3NW57</t>
  </si>
  <si>
    <t>549300CBNYKHW60HPP51</t>
  </si>
  <si>
    <t>549300C54JRAQQ8JRE69</t>
  </si>
  <si>
    <t>549300KTMKSQFKBLHW14</t>
  </si>
  <si>
    <t>HDP4H0D5D6POFWKP1078</t>
  </si>
  <si>
    <t>549300GK65M93DFOBG64</t>
  </si>
  <si>
    <t>549300TVWZ5HPXU0L231</t>
  </si>
  <si>
    <t>549300J3CG5T6RZWLN53</t>
  </si>
  <si>
    <t>5493005HDB3EG8U8HT09</t>
  </si>
  <si>
    <t>2138002QGPYHPA7YJZ93</t>
  </si>
  <si>
    <t>213800G6XHDZK7WRDJ94</t>
  </si>
  <si>
    <t>ZE2ZWJ5BTIQJ8M0C6K34</t>
  </si>
  <si>
    <t>549300DDKTWF3KHDOL34</t>
  </si>
  <si>
    <t>5493007S7P061I2VZR12</t>
  </si>
  <si>
    <t>549300XKJ91C4SZLG750</t>
  </si>
  <si>
    <t>54930086R8E287BZOD69</t>
  </si>
  <si>
    <t>549300PKVIG4PWS9OZ44</t>
  </si>
  <si>
    <t>988400IES4EIG7O06940</t>
  </si>
  <si>
    <t>988400TS06YS920MGL72</t>
  </si>
  <si>
    <t>RILFO74KP1CM8P6PCT96</t>
  </si>
  <si>
    <t>549300CEFR0JGWV3PB10</t>
  </si>
  <si>
    <t>549300XJK3PWW7NDRD70</t>
  </si>
  <si>
    <t>IOLLHX71P95J6EQXKJ75</t>
  </si>
  <si>
    <t>V3AFM0G2D3A6E0QWDG59</t>
  </si>
  <si>
    <t>Z7P4FPFU3UVH94U06402</t>
  </si>
  <si>
    <t>549300Y080W1FFV5Z225</t>
  </si>
  <si>
    <t>5493003CUME3Y4M0JC53</t>
  </si>
  <si>
    <t>HZFDOR6TCRSIQLKQTX32</t>
  </si>
  <si>
    <t>549300U9H74ZS6M90L15</t>
  </si>
  <si>
    <t>54930006GXO88ZZCZR73</t>
  </si>
  <si>
    <t>549300T10B8H3DOFMM41</t>
  </si>
  <si>
    <t>5493006IRNHZG7755579</t>
  </si>
  <si>
    <t>MIQ8NSEAVLWZCJIZ5U19</t>
  </si>
  <si>
    <t>549300YZIF1YAI8LH211</t>
  </si>
  <si>
    <t>549300MBWL2Q59BXDK09</t>
  </si>
  <si>
    <t>5493000NGPXN1LR4DN88</t>
  </si>
  <si>
    <t>549300PT6YTFLRYXUL45</t>
  </si>
  <si>
    <t>J4CP7MHCXR8DAQMKIL78</t>
  </si>
  <si>
    <t>549300LTK6Z39BTL4A68</t>
  </si>
  <si>
    <t>54930024JJQ1EF30LA57</t>
  </si>
  <si>
    <t>549300LJ1QPE37LW6B54</t>
  </si>
  <si>
    <t>54930033GARXL6H01P25</t>
  </si>
  <si>
    <t>549300UUGJAG8EBYZ132</t>
  </si>
  <si>
    <t>C3XPSH6OQSBPBT8EHG70</t>
  </si>
  <si>
    <t>5SVUSJCJEGW4JRRD2K36</t>
  </si>
  <si>
    <t>549300JZKU5VXB34T018</t>
  </si>
  <si>
    <t>549300UYVV99154GYZ63</t>
  </si>
  <si>
    <t>YGE0EUBRF7IJOB3QRX76</t>
  </si>
  <si>
    <t>549300V6BWHO2M5EF341</t>
  </si>
  <si>
    <t>WNGC3VAD5C6IXQT8UW55</t>
  </si>
  <si>
    <t>XP6XYFDZQGKLUMOFGT37</t>
  </si>
  <si>
    <t>549300HG3Z8YO5H27027</t>
  </si>
  <si>
    <t>549300ZF210J77ODD898</t>
  </si>
  <si>
    <t>5493006WXUAUE7EHED03</t>
  </si>
  <si>
    <t>549300RUVYKFR2CPFQ75</t>
  </si>
  <si>
    <t>549300CNDY8RD5ELV534</t>
  </si>
  <si>
    <t>54930002VY22NXG01418</t>
  </si>
  <si>
    <t>HS7E6CLIQFN8GABQJF21</t>
  </si>
  <si>
    <t>5493007EPPYOZ12AIK37</t>
  </si>
  <si>
    <t>549300T4GPT7V02IUM54</t>
  </si>
  <si>
    <t>5493001XGC2LVICTEI30</t>
  </si>
  <si>
    <t>254900LYN7JOLFQ2TI48</t>
  </si>
  <si>
    <t>5493008TE2B318023L80</t>
  </si>
  <si>
    <t>549300X4K0L1Z7T2U482</t>
  </si>
  <si>
    <t>549300DRG0F3GWVF7M28</t>
  </si>
  <si>
    <t>549300KZ143XTFCFU280</t>
  </si>
  <si>
    <t>549300CFL04VTDAI1D45</t>
  </si>
  <si>
    <t>549300Z6JO2ELWZZF169</t>
  </si>
  <si>
    <t>549300OVUOTG41R16W77</t>
  </si>
  <si>
    <t>549300HRMMZ1QU024P47</t>
  </si>
  <si>
    <t>549300GLPW4R5RH4XW31</t>
  </si>
  <si>
    <t>549300XSFG5ZCGVYD886</t>
  </si>
  <si>
    <t>549300PQ3DT0Q635VE08</t>
  </si>
  <si>
    <t>254900E7II30XAB9LA72</t>
  </si>
  <si>
    <t>BSGEFEIOM18Y80CKCV46</t>
  </si>
  <si>
    <t>549300FYXBGNG8SYT758</t>
  </si>
  <si>
    <t>549300X8DKQY1Q22UT43</t>
  </si>
  <si>
    <t>213800ZCTFZZZJSK8645</t>
  </si>
  <si>
    <t>549300000RS4LPJPRI73</t>
  </si>
  <si>
    <t>5493000FX50GEWAF3U70</t>
  </si>
  <si>
    <t>5493000A5M7SYC52GG53</t>
  </si>
  <si>
    <t>ZXLTQRYIK6IJH3R0IK66</t>
  </si>
  <si>
    <t>549300HKQQ9XYFEUZM13</t>
  </si>
  <si>
    <t>549300Q10KSESPW7OK85</t>
  </si>
  <si>
    <t>549300S6W3J7ZXPV1W97</t>
  </si>
  <si>
    <t>549300O6MZRROXYUGF24</t>
  </si>
  <si>
    <t>549300OTTCSOD5OCZ143</t>
  </si>
  <si>
    <t>549300OMMLJVIA7YIS65</t>
  </si>
  <si>
    <t>529900MFPGYXHFZ4ZC64</t>
  </si>
  <si>
    <t>529900YDI3XCGWHQ2917</t>
  </si>
  <si>
    <t>549300PRCMJJJCLT2J62</t>
  </si>
  <si>
    <t>UQZ4EDMHL4ZESPZY3752</t>
  </si>
  <si>
    <t>549300J1OGDZVX2IP195</t>
  </si>
  <si>
    <t>5493006NB7FNEBHSEF90</t>
  </si>
  <si>
    <t>549300QWWQC1XGWOMJ19</t>
  </si>
  <si>
    <t>549300MB6Y8F3HY45Z75</t>
  </si>
  <si>
    <t>549300ICGMLTWGK6Q483</t>
  </si>
  <si>
    <t>5493008C1W5RQW9E4I05</t>
  </si>
  <si>
    <t>ODK4BXEBUFQMZUHQLM70</t>
  </si>
  <si>
    <t>5493003VAHSSYF0ICG12</t>
  </si>
  <si>
    <t>5493001I1SYO6HIVRB72</t>
  </si>
  <si>
    <t>UUXX4RIBMMSULMU5KV64</t>
  </si>
  <si>
    <t>254900S0YYD9LBV8IY90</t>
  </si>
  <si>
    <t>54930092REZKKQGYUI71</t>
  </si>
  <si>
    <t>15GGN1EYO5HUJAII7B43</t>
  </si>
  <si>
    <t>Z15BMIOX8DDH0X2OBP21</t>
  </si>
  <si>
    <t>FBX6K2Q0JWFEMD32FL21</t>
  </si>
  <si>
    <t>5493000LFXZI96CTRU27</t>
  </si>
  <si>
    <t>KR3ABNLS0GIZOWMRCX42</t>
  </si>
  <si>
    <t>549300PVIXQ9G10CRH93</t>
  </si>
  <si>
    <t>VA8TZDWPEZYU430RZ444</t>
  </si>
  <si>
    <t>549300L7Y8DEJ8V6MJ07</t>
  </si>
  <si>
    <t>5493006YG7CTPEZTDU04</t>
  </si>
  <si>
    <t>5493001AF5NWM7LFW446</t>
  </si>
  <si>
    <t>5493003H0FHWEOTZMU45</t>
  </si>
  <si>
    <t>I4K14LL95N2PHDL7EG85</t>
  </si>
  <si>
    <t>549300GX1IL3HB7QRW48</t>
  </si>
  <si>
    <t>549300GU6J67W34VYF66</t>
  </si>
  <si>
    <t>549300GFVRR1H6UIG011</t>
  </si>
  <si>
    <t>54930059TE5XYGT57X91</t>
  </si>
  <si>
    <t>549300CKVHVV91NHE980</t>
  </si>
  <si>
    <t>549300J1C8HWPOLCWG92</t>
  </si>
  <si>
    <t>549300JNFRJ5LLNZG315</t>
  </si>
  <si>
    <t>7PDDXEMZ0ZV0CEDU4D16</t>
  </si>
  <si>
    <t>549300S0G63UPYH2YE94</t>
  </si>
  <si>
    <t>BRQ64VUVCP5MRGM53D87</t>
  </si>
  <si>
    <t>549300Z580BCXYPPJM72</t>
  </si>
  <si>
    <t>549300UVMBCBCIPSUI70</t>
  </si>
  <si>
    <t>254900L66RP14M9UOM28</t>
  </si>
  <si>
    <t>549300PCF7HBV5SYCX82</t>
  </si>
  <si>
    <t>549300BOVPC0MEVHP951</t>
  </si>
  <si>
    <t>54930092LTF6CMU9KL81</t>
  </si>
  <si>
    <t>5493001FQT4V8XI5V268</t>
  </si>
  <si>
    <t>549300TVVETMMN4XHO20</t>
  </si>
  <si>
    <t>5493005T4FJAOLVY3H07</t>
  </si>
  <si>
    <t>549300EMIS3O3KLMZH73</t>
  </si>
  <si>
    <t>5493005LYTPII0TMY762</t>
  </si>
  <si>
    <t>549300OKYUZ7DKCSI104</t>
  </si>
  <si>
    <t>5493007TYO1IMLU34531</t>
  </si>
  <si>
    <t>549300JRHF1MHHWUAW04</t>
  </si>
  <si>
    <t>549300IYPTNOKO1WXI84</t>
  </si>
  <si>
    <t>549300H4OEOBFZIOL252</t>
  </si>
  <si>
    <t>549300BV71V05UY4YA97</t>
  </si>
  <si>
    <t>549300K59TNV66MC0X04</t>
  </si>
  <si>
    <t>549300TGY47FKMIVE672</t>
  </si>
  <si>
    <t>5493001CAFYQWJB8RX51</t>
  </si>
  <si>
    <t>549300ZEZBZ4B17T6674</t>
  </si>
  <si>
    <t>5493004JSB86KU51C628</t>
  </si>
  <si>
    <t>549300TKJZWTCPWP9757</t>
  </si>
  <si>
    <t>549300QWJPV45VQF1B33</t>
  </si>
  <si>
    <t>549300ZWXJ8TO4WE2Q69</t>
  </si>
  <si>
    <t>549300RZKO003V6YVU21</t>
  </si>
  <si>
    <t>549300IWVKI6RFP45X65</t>
  </si>
  <si>
    <t>5493000PYWHI88RNYJ18</t>
  </si>
  <si>
    <t>549300L7H0HDECBFK379</t>
  </si>
  <si>
    <t>5493007FPJZ6HI47VS95</t>
  </si>
  <si>
    <t>254900V6KN87VLVY4J04</t>
  </si>
  <si>
    <t>254900PI5JZP0VJ90W79</t>
  </si>
  <si>
    <t>5493002D7HL9TL3C1F60</t>
  </si>
  <si>
    <t>5493003MNEDBERXP1657</t>
  </si>
  <si>
    <t>549300P14GY1OUZGCH32</t>
  </si>
  <si>
    <t>549300FFLMK5WGO7KB12</t>
  </si>
  <si>
    <t>5493002JNW4JRUZXM528</t>
  </si>
  <si>
    <t>549300M4AVJRYXYG3J18</t>
  </si>
  <si>
    <t>5493005PSS7P7CBGA295</t>
  </si>
  <si>
    <t>5493002GITVYZ5SCYG09</t>
  </si>
  <si>
    <t>549300HVZZ7UB3OL5868</t>
  </si>
  <si>
    <t>JT1V63RMEPOPKN41F820</t>
  </si>
  <si>
    <t>QY42SF0NISBL47KZH675</t>
  </si>
  <si>
    <t>549300G41YUB0O0OHJ13</t>
  </si>
  <si>
    <t>549300CI181PZD46J338</t>
  </si>
  <si>
    <t>6WJXBSTFNJKD88SFTO03</t>
  </si>
  <si>
    <t>549300V2X3UU7K0DG350</t>
  </si>
  <si>
    <t>FFI7RUEJGDHYFVHZLP16</t>
  </si>
  <si>
    <t>254900OLIJ63203G2894</t>
  </si>
  <si>
    <t>549300R1D8EZJODZXH23</t>
  </si>
  <si>
    <t>529900EOWWCESJOIEZ28</t>
  </si>
  <si>
    <t>52990098MW0Y5ECQGF33</t>
  </si>
  <si>
    <t>213800ETX25XN7WT8P43</t>
  </si>
  <si>
    <t>549300IUKLUU1DIQ0M15</t>
  </si>
  <si>
    <t>549300S2X17ZL9R1KQ75</t>
  </si>
  <si>
    <t>549300VWFWP7H5BHH996</t>
  </si>
  <si>
    <t>549300SJ3DL005K13T12</t>
  </si>
  <si>
    <t>549300JS29WKLT72AB38</t>
  </si>
  <si>
    <t>7V477JVQ7ELL2YP4JD61</t>
  </si>
  <si>
    <t>549300WA2HB7776CB324</t>
  </si>
  <si>
    <t>EHIVMZS20EPZQB650Y02</t>
  </si>
  <si>
    <t>549300O5C25A0MMHHU33</t>
  </si>
  <si>
    <t>549300K4W93EU2YYWJ27</t>
  </si>
  <si>
    <t>LPGYPYH1R33EGB7SMF73</t>
  </si>
  <si>
    <t>5249ZLX5WFBF8FGA6M57</t>
  </si>
  <si>
    <t>KHHXJEEVXVSECKRKFG50</t>
  </si>
  <si>
    <t>549300RSB5KPQKHE4V29</t>
  </si>
  <si>
    <t>8GP5EY0UWI65Y2MET064</t>
  </si>
  <si>
    <t>3XILZQYQGSS4ZXQ90Z64</t>
  </si>
  <si>
    <t>LVUR1LGBGOIFY0LGKB31</t>
  </si>
  <si>
    <t>254900XE9KDK4JKEZM60</t>
  </si>
  <si>
    <t>549300BDSQBPNIXFOT24</t>
  </si>
  <si>
    <t>549300PPBEV08RW7N226</t>
  </si>
  <si>
    <t>549300XU4Y1KOAB5OV83</t>
  </si>
  <si>
    <t>5493002TOKRE1IWRWB22</t>
  </si>
  <si>
    <t>549300TKG39VCH0WFH05</t>
  </si>
  <si>
    <t>5493006Z579KI5L8O031</t>
  </si>
  <si>
    <t>5493008URBBRLNYTQ395</t>
  </si>
  <si>
    <t>549300OGHFMOU7CERK87</t>
  </si>
  <si>
    <t>549300Q3PSIXY9JFR996</t>
  </si>
  <si>
    <t>549300WJC4N3OW1GGT77</t>
  </si>
  <si>
    <t>549300Q8IPWZWHFGIK56</t>
  </si>
  <si>
    <t>549300QX4MPT3XQFWC13</t>
  </si>
  <si>
    <t>5493006TTOYE04OPWR41</t>
  </si>
  <si>
    <t>5493003TMJFSCTYL1C56</t>
  </si>
  <si>
    <t>549300V3NCZNU0QUL213</t>
  </si>
  <si>
    <t>549300N5PED13RHUPV34</t>
  </si>
  <si>
    <t>549300FVCWLP082W6V05</t>
  </si>
  <si>
    <t>54930062RR7YX9Z3G291</t>
  </si>
  <si>
    <t>549300OND5NB0BF33G98</t>
  </si>
  <si>
    <t>5493007K48DZLVC8NR84</t>
  </si>
  <si>
    <t>54930021R9N5L6L18J66</t>
  </si>
  <si>
    <t>549300PN6MKI0CLP4T28</t>
  </si>
  <si>
    <t>549300L12O21I7VLO162</t>
  </si>
  <si>
    <t>549300TICQNAA8I0LF75</t>
  </si>
  <si>
    <t>549300LHABHSDPOG4T36</t>
  </si>
  <si>
    <t>549300TOZN030C8M4E83</t>
  </si>
  <si>
    <t>54930052JXA0SQLRCT48</t>
  </si>
  <si>
    <t>54930013UFQ5ZW92P960</t>
  </si>
  <si>
    <t>5493004GR5T3ZV6B9769</t>
  </si>
  <si>
    <t>549300KMOBRJLDX03E82</t>
  </si>
  <si>
    <t>54930040AHDFJDBUGW20</t>
  </si>
  <si>
    <t>549300QF1JOYH2U06H76</t>
  </si>
  <si>
    <t>5493006O8IXCKJP95S79</t>
  </si>
  <si>
    <t>5493002BFIBPQ02Q3H04</t>
  </si>
  <si>
    <t>5493002CWGHR03YL8X75</t>
  </si>
  <si>
    <t>549300PWHEEHNCBNOR49</t>
  </si>
  <si>
    <t>2549003U4R1Z2QPPSC51</t>
  </si>
  <si>
    <t>549300ZLPU75MU7O0T38</t>
  </si>
  <si>
    <t>549300BLWPABP1VNME36</t>
  </si>
  <si>
    <t>549300UWAOFM7OXCND23</t>
  </si>
  <si>
    <t>549300DC7Q6V9XA7KY26</t>
  </si>
  <si>
    <t>549300IN0WAXTJCYV349</t>
  </si>
  <si>
    <t>549300GC5MDF1KXYMP06</t>
  </si>
  <si>
    <t>549300M16EY0F1BDZ920</t>
  </si>
  <si>
    <t>MAES062Z21O4RZ2U7M96</t>
  </si>
  <si>
    <t>STORV56GLTB9YUIOAQ77</t>
  </si>
  <si>
    <t>747DLM6L5TO7LXZY5T60</t>
  </si>
  <si>
    <t>5493007A37ON664NMR32</t>
  </si>
  <si>
    <t>PRAQ4VOSFIK7OQ8Z2512</t>
  </si>
  <si>
    <t>549300JD2KR7AB9DYJ38</t>
  </si>
  <si>
    <t>254900X93RI6KJCB1C18</t>
  </si>
  <si>
    <t>549300WNQVWGYLMMLN35</t>
  </si>
  <si>
    <t>5493006O1OUH50H5QJ95</t>
  </si>
  <si>
    <t>549300GLNCTGKM87SH88</t>
  </si>
  <si>
    <t>NXN8O75DO6YG9WUTSF71</t>
  </si>
  <si>
    <t>549300W9M1577I3BNU94</t>
  </si>
  <si>
    <t>254900C69MVC7SXO2G61</t>
  </si>
  <si>
    <t>549300TCESIUI2FL0T04</t>
  </si>
  <si>
    <t>549300KITOEZIGFGMT22</t>
  </si>
  <si>
    <t>549300RVJ3DFDA44T735</t>
  </si>
  <si>
    <t>5493007JTRG5SKG18524</t>
  </si>
  <si>
    <t>TINT358G1SSHR3L3PW36</t>
  </si>
  <si>
    <t>529900MRO80NKJYUH055</t>
  </si>
  <si>
    <t>549300LKY92JWT918V22</t>
  </si>
  <si>
    <t>213800HZ54TG54H2KV03</t>
  </si>
  <si>
    <t>54930024WITIO41AGD74</t>
  </si>
  <si>
    <t>549300P3CGEUYV9VU141</t>
  </si>
  <si>
    <t>5493000Q2TIZWJ140748</t>
  </si>
  <si>
    <t>5493007GVXXZ460PUU20</t>
  </si>
  <si>
    <t>300300E1006744000068</t>
  </si>
  <si>
    <t>549300SPRTMH6GB5TC39</t>
  </si>
  <si>
    <t>549300QEWD0GVWOFNN04</t>
  </si>
  <si>
    <t>5493007FJLQQNIGB1Z52</t>
  </si>
  <si>
    <t>549300P71I9IG2EK4G85</t>
  </si>
  <si>
    <t>549300NHV6HHC1BCZ026</t>
  </si>
  <si>
    <t>549300BXFK43U4R9M402</t>
  </si>
  <si>
    <t>549300S2G4F2ITOWQY48</t>
  </si>
  <si>
    <t>549300XCVXDI1HO54Q31</t>
  </si>
  <si>
    <t>5493003ISGONQ1VWNU73</t>
  </si>
  <si>
    <t>5493008G0HAYVVLR3015</t>
  </si>
  <si>
    <t>54930008HAUPHHACKY68</t>
  </si>
  <si>
    <t>549300FK21RIZ34RFB42</t>
  </si>
  <si>
    <t>XDFJ0CYCOO1FXRFTQS51</t>
  </si>
  <si>
    <t>549300UD79GB9ESNIZ96</t>
  </si>
  <si>
    <t>300300EIZTWAE6GK9A42</t>
  </si>
  <si>
    <t>549300QNIIHC6PI0JK44</t>
  </si>
  <si>
    <t>EBG7JX1BUQFCGVNPZK53</t>
  </si>
  <si>
    <t>5493004XXGY2FJGW7125</t>
  </si>
  <si>
    <t>635400N51YONHEGOOC45</t>
  </si>
  <si>
    <t>TGC6XBYCUTZ0VPC4SF64</t>
  </si>
  <si>
    <t>549300EZ7ZSQWARD2C67</t>
  </si>
  <si>
    <t>549300RPYR5H4RCORI85</t>
  </si>
  <si>
    <t>549300LPKZI2BRDJOH90</t>
  </si>
  <si>
    <t>549300M2ICFB6YTC0T25</t>
  </si>
  <si>
    <t>549300JXRVMHJKQWY724</t>
  </si>
  <si>
    <t>549300OE1BL3JPFIO076</t>
  </si>
  <si>
    <t>549300QYUHAHJK86MB96</t>
  </si>
  <si>
    <t>549300MNLZYNFD84NR66</t>
  </si>
  <si>
    <t>54930032DR7GT7DIZ551</t>
  </si>
  <si>
    <t>549300MI5DL2X27AJG24</t>
  </si>
  <si>
    <t>549300W3DY1HFS46J850</t>
  </si>
  <si>
    <t>549300MYU3YKCKJBD189</t>
  </si>
  <si>
    <t>549300O0OECDOTQ82751</t>
  </si>
  <si>
    <t>261700SS8OEHDOCOUJ33</t>
  </si>
  <si>
    <t>5493000HEYJWD0O8RP23</t>
  </si>
  <si>
    <t>54930018GXVZ0BEQ7K32</t>
  </si>
  <si>
    <t>549300HP7QMN0UE0SR20</t>
  </si>
  <si>
    <t>222100TW1PQ841BFO943</t>
  </si>
  <si>
    <t>549300989ZY2XQWOYF75</t>
  </si>
  <si>
    <t>C33G1C5SYE2YM95EE712</t>
  </si>
  <si>
    <t>549300P5I66TBZ6C7Z93</t>
  </si>
  <si>
    <t>549300C4FM59ZF1WS937</t>
  </si>
  <si>
    <t>549300FFM2BEH2GF1E44</t>
  </si>
  <si>
    <t>5493004WPFQGYKPKXS76</t>
  </si>
  <si>
    <t>529900FVFMKB4KL6F148</t>
  </si>
  <si>
    <t>549300DVJYK1RHYP8890</t>
  </si>
  <si>
    <t>549300MK66VA700SNF24</t>
  </si>
  <si>
    <t>30030037RFQWUFQG0Y77</t>
  </si>
  <si>
    <t>335800KXLE5NO5B4GF90</t>
  </si>
  <si>
    <t>Z177HOTKUS5QZ4TFI820</t>
  </si>
  <si>
    <t>549300T60BY4RTBQCL56</t>
  </si>
  <si>
    <t>5493008PS83BJ3Y3F160</t>
  </si>
  <si>
    <t>549300KGPYQZXGMYYN38</t>
  </si>
  <si>
    <t>K6Q0W1PS1L1O4IQL9C32</t>
  </si>
  <si>
    <t>R83QYRLEMH4ZSHI0L097</t>
  </si>
  <si>
    <t>549300PI0R4RSPCK0A29</t>
  </si>
  <si>
    <t>549300DMNHMZRLX1K786</t>
  </si>
  <si>
    <t>549300AL7AA2SE8DPS97</t>
  </si>
  <si>
    <t>5493006T8FWJVPB4OH08</t>
  </si>
  <si>
    <t>5493005V7OF0N7ZHU470</t>
  </si>
  <si>
    <t>SYBSJ96YIDMIUY7WDR33</t>
  </si>
  <si>
    <t>3M5E1GQGKL17HI6CPN30</t>
  </si>
  <si>
    <t>4ZHCHI4KYZG2WVRT8631</t>
  </si>
  <si>
    <t>549300SC8BT1SQGTP721</t>
  </si>
  <si>
    <t>549300EOWPOFA6ZHR675</t>
  </si>
  <si>
    <t>213800MD4OD6RVULDJ58</t>
  </si>
  <si>
    <t>549300FQGZUS1DJM5V85</t>
  </si>
  <si>
    <t>529900Z3J0N6S0F7CT25</t>
  </si>
  <si>
    <t>E58DKGMJYYYJLN8C3868</t>
  </si>
  <si>
    <t>254900OCWA2QOSCKQ040</t>
  </si>
  <si>
    <t>254900PS9VXH4UWX2Q90</t>
  </si>
  <si>
    <t>988400G0X7SXITD3EI81</t>
  </si>
  <si>
    <t>549300DAWD2KIXR4SR73</t>
  </si>
  <si>
    <t>353800TJR1DQ3P1QR918</t>
  </si>
  <si>
    <t>549300U6MGSJF83NSH15</t>
  </si>
  <si>
    <t>213800FERQ5LE3H7WJ58</t>
  </si>
  <si>
    <t>2138009R9CQF75DKV160</t>
  </si>
  <si>
    <t>3003008Y9UUNELMRAK48</t>
  </si>
  <si>
    <t>5493007YB8HHLHMDDX53</t>
  </si>
  <si>
    <t>549300LZZQ6LP7021Z05</t>
  </si>
  <si>
    <t>549300140ITF0A6TIP22</t>
  </si>
  <si>
    <t>54930074IH5N2I88VT32</t>
  </si>
  <si>
    <t>549300EFVSZFBTY28M88</t>
  </si>
  <si>
    <t>5493008FUSUWP7Y3NV05</t>
  </si>
  <si>
    <t>549300TABEVITPPG3Y45</t>
  </si>
  <si>
    <t>549300H66RZRFFKAXR85</t>
  </si>
  <si>
    <t>549300JZWJS4BQRPQP94</t>
  </si>
  <si>
    <t>549300H0DU5FQYJUXM17</t>
  </si>
  <si>
    <t>549300WISOPMVD3WRM06</t>
  </si>
  <si>
    <t>549300K3Y5YED4JN2055</t>
  </si>
  <si>
    <t>549300DXJI0QYXJPQJ58</t>
  </si>
  <si>
    <t>5493000T1GLDR8JF6E20</t>
  </si>
  <si>
    <t>549300JYAVAQRV5MNZ86</t>
  </si>
  <si>
    <t>549300459XW8D7IBW569</t>
  </si>
  <si>
    <t>549300AC3RD9IDVLRC39</t>
  </si>
  <si>
    <t>549300E5FSC4WLWHVL82</t>
  </si>
  <si>
    <t>5493007EO7JOPWXHBJ27</t>
  </si>
  <si>
    <t>549300Z1OZPZ3T06TB57</t>
  </si>
  <si>
    <t>549300W4Y4YNBL6EOW37</t>
  </si>
  <si>
    <t>549300WD04L6HUK9QZ79</t>
  </si>
  <si>
    <t>549300IJG3H8UXX20270</t>
  </si>
  <si>
    <t>549300SN7SZB72IKNK75</t>
  </si>
  <si>
    <t>549300XZFPM56FD49H78</t>
  </si>
  <si>
    <t>254900L9P2MQYJDSNY77</t>
  </si>
  <si>
    <t>549300PK3QXYXPW19666</t>
  </si>
  <si>
    <t>549300N06CHR7N04FD17</t>
  </si>
  <si>
    <t>549300A4VIRKF5QC4Y80</t>
  </si>
  <si>
    <t>549300UPBTJ3NB683D05</t>
  </si>
  <si>
    <t>549300TLB5ALPCGBHN23</t>
  </si>
  <si>
    <t>549300MQR6MLUGWL5O76</t>
  </si>
  <si>
    <t>549300MQZQ458LSHGC78</t>
  </si>
  <si>
    <t>549300N3O3YFUI3DH730</t>
  </si>
  <si>
    <t>XK2RD624T3ZSBS83BP78</t>
  </si>
  <si>
    <t>549300VV8X5RR9JOCN38</t>
  </si>
  <si>
    <t>549300PBLC8WPDVY9Q85</t>
  </si>
  <si>
    <t>549300CE0B203PDHNH34</t>
  </si>
  <si>
    <t>60BT62O3XDV1SAKZPO12</t>
  </si>
  <si>
    <t>5493000G6B54FO0VAI98</t>
  </si>
  <si>
    <t>213800X3MEX5WPW7DI33</t>
  </si>
  <si>
    <t>549300TOZ0SHHLVVLK90</t>
  </si>
  <si>
    <t>549300W2IZFF7RFL3P10</t>
  </si>
  <si>
    <t>549300SYE7KNEDVM4O19</t>
  </si>
  <si>
    <t>549300JZWRO7JJRGKQ48</t>
  </si>
  <si>
    <t>549300FITG4KVTU6QL31</t>
  </si>
  <si>
    <t>549300E46UY4OXGK2434</t>
  </si>
  <si>
    <t>549300W9G32LC238E352</t>
  </si>
  <si>
    <t>549300691H4CRV2SM141</t>
  </si>
  <si>
    <t>549300L828FNT37BE068</t>
  </si>
  <si>
    <t>549300724ODCQ4UQRN78</t>
  </si>
  <si>
    <t>VFSX2J6XVIVXHZOSXM74</t>
  </si>
  <si>
    <t>549300BO04LIJLM08V27</t>
  </si>
  <si>
    <t>635400WV4DZLZPR3HC96</t>
  </si>
  <si>
    <t>549300X8DX10YJJMET19</t>
  </si>
  <si>
    <t>549300SVJ4S58F36C014</t>
  </si>
  <si>
    <t>549300A0M8KDB2ZJS581</t>
  </si>
  <si>
    <t>549300GAIJWXWTEVVK15</t>
  </si>
  <si>
    <t>5493000GTN8HZYKX7292</t>
  </si>
  <si>
    <t>549300IHGLOBR94V7T20</t>
  </si>
  <si>
    <t>549300SKQ7P13U1YJN71</t>
  </si>
  <si>
    <t>549300HU07GPOB5DR949</t>
  </si>
  <si>
    <t>5493001RMBJ8FL02CN30</t>
  </si>
  <si>
    <t>5493004FV6X2UP6I4704</t>
  </si>
  <si>
    <t>549300MMI4HL8ZIZKR78</t>
  </si>
  <si>
    <t>549300C06G0B8ORTVC26</t>
  </si>
  <si>
    <t>549300Y0JA839QJ40K56</t>
  </si>
  <si>
    <t>K27HID1DPWFC3M3VU702</t>
  </si>
  <si>
    <t>549300D60N73B8Q6HO09</t>
  </si>
  <si>
    <t>549300I2P0YYFN23VE54</t>
  </si>
  <si>
    <t>549300A0MG1KDEVIZO57</t>
  </si>
  <si>
    <t>5493006PWUJ85NYXGP79</t>
  </si>
  <si>
    <t>549300VKAXEJGRJTGB60</t>
  </si>
  <si>
    <t>549300T6KYTBDEJ4KT56</t>
  </si>
  <si>
    <t>549300YY12E3HDTSC333</t>
  </si>
  <si>
    <t>549300O1XBX0PHBMV561</t>
  </si>
  <si>
    <t>54930065GB1ZXOXOHG84</t>
  </si>
  <si>
    <t>549300YP74E0TBPZEJ59</t>
  </si>
  <si>
    <t>549300N0UB7150HWG720</t>
  </si>
  <si>
    <t>549300FCWAMFXQKZT787</t>
  </si>
  <si>
    <t>549300BTRQHV2L8THH85</t>
  </si>
  <si>
    <t>549300FIGJ5KR0WPDX55</t>
  </si>
  <si>
    <t>549300G5WELGKIENGO70</t>
  </si>
  <si>
    <t>549300MLHE8VLAIA4725</t>
  </si>
  <si>
    <t>84DCL6N665QVGRNHB144</t>
  </si>
  <si>
    <t>YZYOTK8RAAPNBUN23073</t>
  </si>
  <si>
    <t>213800BNNJGD9KQIBU45</t>
  </si>
  <si>
    <t>549300OLIOIU6KQC7N18</t>
  </si>
  <si>
    <t>2549004482IKWBN56G66</t>
  </si>
  <si>
    <t>549300LXV8JFN81EGB18</t>
  </si>
  <si>
    <t>SSFI3NSDNZV7TPIOVI08</t>
  </si>
  <si>
    <t>AFNNJIX63FPKTYQ6CG33</t>
  </si>
  <si>
    <t>FFP7NKXC03WWEKZMGY57</t>
  </si>
  <si>
    <t>549300C3O0OKMYUENC39</t>
  </si>
  <si>
    <t>OXKGMOQXUUQHQBNHWH53</t>
  </si>
  <si>
    <t>JGRBCFDNP3Z56YCZEH51</t>
  </si>
  <si>
    <t>5493001BM8EO7J0KX544</t>
  </si>
  <si>
    <t>549300E2GQ0Z18X2BR67</t>
  </si>
  <si>
    <t>5493003CIXI5DOW8DZ65</t>
  </si>
  <si>
    <t>5493002WS6T4WRXSID51</t>
  </si>
  <si>
    <t>2C7T3I4YFER0SD4FDU13</t>
  </si>
  <si>
    <t>549300P4RNLLJD2QRS41</t>
  </si>
  <si>
    <t>549300OV80RQ0IAM5Z92</t>
  </si>
  <si>
    <t>549300Q8NE4QQMXFE736</t>
  </si>
  <si>
    <t>549300ZG20YJSDI3FG76</t>
  </si>
  <si>
    <t>549300JOTJKQHTAIOH85</t>
  </si>
  <si>
    <t>2V5VR3QTJ1TY8DHPYY37</t>
  </si>
  <si>
    <t>5493007I5HU7NCTTQC72</t>
  </si>
  <si>
    <t>549300DDPTTIZ06NIV06</t>
  </si>
  <si>
    <t>549300V85RQPDVQMMJ66</t>
  </si>
  <si>
    <t>549300CLWWW48GTPOJ49</t>
  </si>
  <si>
    <t>549300OIN6IU5HN39W70</t>
  </si>
  <si>
    <t>549300JJE3FOOGAFZD55</t>
  </si>
  <si>
    <t>549300CC87QYO4I74L56</t>
  </si>
  <si>
    <t>549300MUYW6ZI5VQ4Z33</t>
  </si>
  <si>
    <t>54930024GZG4Z0R65J06</t>
  </si>
  <si>
    <t>549300N8BKGKCRYJC683</t>
  </si>
  <si>
    <t>5493001GYCKC81GD8381</t>
  </si>
  <si>
    <t>PXB6RE8JBTZWEN4Q1P77</t>
  </si>
  <si>
    <t>549300OELYPA6XBPXY66</t>
  </si>
  <si>
    <t>5493002SW19KJ27CC242</t>
  </si>
  <si>
    <t>549300SYN0FE6YTHSF20</t>
  </si>
  <si>
    <t>549300JVC6TCOM7GU026</t>
  </si>
  <si>
    <t>549300MPV5WZTXZMBO86</t>
  </si>
  <si>
    <t>549300NFVUKWW4SR3684</t>
  </si>
  <si>
    <t>5493000W6FC5JCSH7537</t>
  </si>
  <si>
    <t>549300ILF8PJ1GRTGB58</t>
  </si>
  <si>
    <t>549300CCB43COKPRNS38</t>
  </si>
  <si>
    <t>549300YGE9VBYFX7MK76</t>
  </si>
  <si>
    <t>549300IQS2TS7DD4A667</t>
  </si>
  <si>
    <t>300300C1030211000384</t>
  </si>
  <si>
    <t>549300QVTZ50U4GJY210</t>
  </si>
  <si>
    <t>5493009R4BHOP9GRCD86</t>
  </si>
  <si>
    <t>549300M6KI6NHB4G8490</t>
  </si>
  <si>
    <t>5493007YVOGUJQ61UF43</t>
  </si>
  <si>
    <t>549300GUUBNC5SYFPV38</t>
  </si>
  <si>
    <t>5493002XSS7K7RHN1V37</t>
  </si>
  <si>
    <t>549300IODWF8H3D8JV52</t>
  </si>
  <si>
    <t>549300NLVTBVOHIOPB09</t>
  </si>
  <si>
    <t>254900RF0KH5680ENQ19</t>
  </si>
  <si>
    <t>5493009EO1LXU1KD4H97</t>
  </si>
  <si>
    <t>5493005PAFXH1C9TXC41</t>
  </si>
  <si>
    <t>549300UWZB5W222VAE71</t>
  </si>
  <si>
    <t>165GRDQ39W63PHVONY02</t>
  </si>
  <si>
    <t>549300W520SF54JPDV50</t>
  </si>
  <si>
    <t>ATUEL7OJR5057F2PV266</t>
  </si>
  <si>
    <t>549300EIU8JWFBYD3I75</t>
  </si>
  <si>
    <t>549300R7C1NM65E7GW62</t>
  </si>
  <si>
    <t>5493001LXNCV4O0U5U29</t>
  </si>
  <si>
    <t>549300CAT786NNQ56F43</t>
  </si>
  <si>
    <t>549300ZXZWY7JVPO8350</t>
  </si>
  <si>
    <t>549300QHTOXKOTXX4Z87</t>
  </si>
  <si>
    <t>549300IF1CEI8IIRNK89</t>
  </si>
  <si>
    <t>549300NV6RUHC53LRH70</t>
  </si>
  <si>
    <t>5493000RAXEQ48W6SQ40</t>
  </si>
  <si>
    <t>549300DA6V5TO6LTR634</t>
  </si>
  <si>
    <t>54930075PO2P6CRIYG94</t>
  </si>
  <si>
    <t>549300XUJGWVFDHPRT05</t>
  </si>
  <si>
    <t>54930079NS3ZYEYFIX90</t>
  </si>
  <si>
    <t>54930050O102BB33VB48</t>
  </si>
  <si>
    <t>549300M75LE5M8QKUQ57</t>
  </si>
  <si>
    <t>549300DO6NRXW6Z1FV03</t>
  </si>
  <si>
    <t>549300KVBIRHHYD31723</t>
  </si>
  <si>
    <t>5493008XPDRHH3JB9W14</t>
  </si>
  <si>
    <t>549300FZCJN3310WJU89</t>
  </si>
  <si>
    <t>549300FTT1N88D3MV707</t>
  </si>
  <si>
    <t>254900KYOXGBXIFFFL46</t>
  </si>
  <si>
    <t>549300HRSIY4HGUIQD40</t>
  </si>
  <si>
    <t>T25DL3R1S8M6ZE6VYA31</t>
  </si>
  <si>
    <t>5493001D834PF3JMRP76</t>
  </si>
  <si>
    <t>5493004BPW5WUDC0CY70</t>
  </si>
  <si>
    <t>549300ETFQJPYOAWIZ60</t>
  </si>
  <si>
    <t>5493006ZZUY3RDZQKG05</t>
  </si>
  <si>
    <t>549300MOQMZO0HGQ4897</t>
  </si>
  <si>
    <t>549300W6MDEBYUB7P261</t>
  </si>
  <si>
    <t>5493009VA6AFUB2Q0289</t>
  </si>
  <si>
    <t>549300OGPGA443C1SK05</t>
  </si>
  <si>
    <t>549300WXEMKN6FCRZU92</t>
  </si>
  <si>
    <t>5299001Z8JOKGWV5O949</t>
  </si>
  <si>
    <t>549300HNYXHI9ZHYHI47</t>
  </si>
  <si>
    <t>549300E7ZLVCUDLLJD60</t>
  </si>
  <si>
    <t>549300MEQC1WXC2CVO81</t>
  </si>
  <si>
    <t>549300FIX59W5KFUBW49</t>
  </si>
  <si>
    <t>549300FOBN5BI5OVOU48</t>
  </si>
  <si>
    <t>549300K10U00L8Y82066</t>
  </si>
  <si>
    <t>549300PSLUER4S1M5R69</t>
  </si>
  <si>
    <t>549300ZWV5M8BDGDXG64</t>
  </si>
  <si>
    <t>5493005SJ6PLXBZQ0V30</t>
  </si>
  <si>
    <t>5493007C50HP57I2CZ40</t>
  </si>
  <si>
    <t>549300TRU79CS4UQPR21</t>
  </si>
  <si>
    <t>549300V8LC8OWYH2XN45</t>
  </si>
  <si>
    <t>549300ADSJ8YIYEIER12</t>
  </si>
  <si>
    <t>529900AQBND3S6YJLY83</t>
  </si>
  <si>
    <t>549300BVXX7BGH5F9471</t>
  </si>
  <si>
    <t>549300WZX5BJR0I35G33</t>
  </si>
  <si>
    <t>5493002F1WB3R70S0T90</t>
  </si>
  <si>
    <t>5493005Z1TNCG5TKKC30</t>
  </si>
  <si>
    <t>549300C60STK70088792</t>
  </si>
  <si>
    <t>4LCYDN74UCFU5VPM4774</t>
  </si>
  <si>
    <t>5493003WU1MT49FBEE22</t>
  </si>
  <si>
    <t>2138008URBSUC1J24J73</t>
  </si>
  <si>
    <t>549300OVLWK5JUQ6ZH26</t>
  </si>
  <si>
    <t>254900T4O6DMF7OG3505</t>
  </si>
  <si>
    <t>549300K4KZ240YPA6709</t>
  </si>
  <si>
    <t>54930066M7178591LE40</t>
  </si>
  <si>
    <t>988400PXP70BWVSJVF07</t>
  </si>
  <si>
    <t>549300BRU2DMWGBEQO27</t>
  </si>
  <si>
    <t>5493002RJIICTA70XW03</t>
  </si>
  <si>
    <t>549300T85X8SKNX9VF10</t>
  </si>
  <si>
    <t>5493009RM2IWUCLM3H03</t>
  </si>
  <si>
    <t>QDKAGR3JUOYB2K885877</t>
  </si>
  <si>
    <t>549300U3FIVA2U7BOA88</t>
  </si>
  <si>
    <t>549300MH0BL79CG75225</t>
  </si>
  <si>
    <t>549300QIMZE0ZQY6D007</t>
  </si>
  <si>
    <t>5493003M8GFVJJUPUG30</t>
  </si>
  <si>
    <t>5493003YZZU80LQD0E36</t>
  </si>
  <si>
    <t>549300F6H5BPLZ056355</t>
  </si>
  <si>
    <t>549300YH2BVP6LXOFW71</t>
  </si>
  <si>
    <t>54930007ZQMYCRFQGE36</t>
  </si>
  <si>
    <t>54930002YNNES1Q6X632</t>
  </si>
  <si>
    <t>549300HRTW113V2JAE24</t>
  </si>
  <si>
    <t>549300JVZMLL5FCG8U37</t>
  </si>
  <si>
    <t>549300GDZ6NB50YGXB37</t>
  </si>
  <si>
    <t>549300SBJ8SBXGCACA21</t>
  </si>
  <si>
    <t>549300G2MU2COFDSE903</t>
  </si>
  <si>
    <t>4469000001BL6VG3DH44</t>
  </si>
  <si>
    <t>5493000MBA32MFEYHK55</t>
  </si>
  <si>
    <t>549300BPNR8IN50OCS95</t>
  </si>
  <si>
    <t>5493005WKSVYEDWWPB72</t>
  </si>
  <si>
    <t>549300O3XQ5NNFD0HF04</t>
  </si>
  <si>
    <t>549300EP5PL1D3IBB943</t>
  </si>
  <si>
    <t>549300BFBYY6V7VQXL09</t>
  </si>
  <si>
    <t>549300HIVBHH27AP6762</t>
  </si>
  <si>
    <t>549300RXP5LG75XUSC88</t>
  </si>
  <si>
    <t>5493008TNY7A82WCXU31</t>
  </si>
  <si>
    <t>549300DTVR57NON7XL66</t>
  </si>
  <si>
    <t>529900GJD3OQLRZCKW37</t>
  </si>
  <si>
    <t>549300MZC5TV6KR3N481</t>
  </si>
  <si>
    <t>549300A0XD0YXC076U14</t>
  </si>
  <si>
    <t>549300INYVHTLHZCTT36</t>
  </si>
  <si>
    <t>54930000WD6KRUY5E826</t>
  </si>
  <si>
    <t>1JJY8I27IN483BHQLX09</t>
  </si>
  <si>
    <t>549300712N6HJK4G2866</t>
  </si>
  <si>
    <t>549300L2OVL5PPKK9618</t>
  </si>
  <si>
    <t>54930034MZGZT9ZZXX96</t>
  </si>
  <si>
    <t>549300K4M0BOICO1I175</t>
  </si>
  <si>
    <t>549300DS671KECIAPT48</t>
  </si>
  <si>
    <t>549300WQ0KX6O2684131</t>
  </si>
  <si>
    <t>5493004HNQBNWD8VMP06</t>
  </si>
  <si>
    <t>549300KLR8HCEJNIYS90</t>
  </si>
  <si>
    <t>549300AKZL801QFFHC46</t>
  </si>
  <si>
    <t>549300R7ATLRDZ0S7926</t>
  </si>
  <si>
    <t>549300OJI611U2JOUJ86</t>
  </si>
  <si>
    <t>549300D7XMI25U4NN818</t>
  </si>
  <si>
    <t>549300PVBI4HEAOCBL18</t>
  </si>
  <si>
    <t>549300HZSMQYCKJC0E89</t>
  </si>
  <si>
    <t>549300LGENLXS29PAN07</t>
  </si>
  <si>
    <t>5493007L6OJ4C1GMJ634</t>
  </si>
  <si>
    <t>549300WB2TYMO8UQX539</t>
  </si>
  <si>
    <t>549300Z37PN747Q6Y185</t>
  </si>
  <si>
    <t>549300NFERWOG5XOEZ33</t>
  </si>
  <si>
    <t>549300KBTVLNO3CWMB14</t>
  </si>
  <si>
    <t>549300E2NYIUBVIU2243</t>
  </si>
  <si>
    <t>JYCQEXN1VWV3D4WY5372</t>
  </si>
  <si>
    <t>A25574TZFLBNK7NWQT47</t>
  </si>
  <si>
    <t>5493002LV1LK55704S21</t>
  </si>
  <si>
    <t>N3JI8INUKXMJX1MU2I48</t>
  </si>
  <si>
    <t>5493002YMOPPMH93G258</t>
  </si>
  <si>
    <t>5493006HQ9NCTEG0FC40</t>
  </si>
  <si>
    <t>54930075W3FUHU1JJG48</t>
  </si>
  <si>
    <t>549300B0LUFRXMDLFL17</t>
  </si>
  <si>
    <t>5493005QMI30OEHHFO89</t>
  </si>
  <si>
    <t>549300U2D4G7FVPHI376</t>
  </si>
  <si>
    <t>549300NI274Y9CUI0870</t>
  </si>
  <si>
    <t>5493005EAPF5NHL3KI55</t>
  </si>
  <si>
    <t>549300USCZFZPWZJ2H55</t>
  </si>
  <si>
    <t>549300ZWFSN77GMKR214</t>
  </si>
  <si>
    <t>549300TX8VENQ6OF1A30</t>
  </si>
  <si>
    <t>549300UUP8H8JOPI3V95</t>
  </si>
  <si>
    <t>5493002HUBZTR1Y79340</t>
  </si>
  <si>
    <t>549300VS2HIN6JWDN053</t>
  </si>
  <si>
    <t>549300T6Y21GTS1ZGU13</t>
  </si>
  <si>
    <t>549300S55V7KRN1QS719</t>
  </si>
  <si>
    <t>549300N1AZNECUTHNH57</t>
  </si>
  <si>
    <t>213800FUZ2Z612XXKH11</t>
  </si>
  <si>
    <t>549300I7UVBGWRYMYZ18</t>
  </si>
  <si>
    <t>4BFD7AQU0A75QLAHK410</t>
  </si>
  <si>
    <t>549300R2N1YXJQR4IE80</t>
  </si>
  <si>
    <t>549300LL42E8ZA9D2445</t>
  </si>
  <si>
    <t>SCRYQ25DTVRHYYMM6P89</t>
  </si>
  <si>
    <t>549300TC2TCHA8ZEO740</t>
  </si>
  <si>
    <t>549300MKW3SVJAXRCO85</t>
  </si>
  <si>
    <t>5493008XRBES8HLKXS91</t>
  </si>
  <si>
    <t>549300SDP02JYJW43H50</t>
  </si>
  <si>
    <t>549300HX7GDVRBVNSW34</t>
  </si>
  <si>
    <t>549300XDLLK2XVW15J19</t>
  </si>
  <si>
    <t>549300NPDQ70YM07CE93</t>
  </si>
  <si>
    <t>549300VCNYWVOWLP4N66</t>
  </si>
  <si>
    <t>549300MRFLUZ0W5SDL84</t>
  </si>
  <si>
    <t>213800R1B3QMMKVP2A27</t>
  </si>
  <si>
    <t>XQAQ83Q1YYQDGX1VXN19</t>
  </si>
  <si>
    <t>549300TJVM6ME1PWIE91</t>
  </si>
  <si>
    <t>549300WZYHQZ7NB0U998</t>
  </si>
  <si>
    <t>549300QWBYXV7BUF3B62</t>
  </si>
  <si>
    <t>549300NYHUDFNXQPO978</t>
  </si>
  <si>
    <t>5493006YXGLYXCXC1235</t>
  </si>
  <si>
    <t>549300K64G12P931O963</t>
  </si>
  <si>
    <t>549300LWBHY44001ZK51</t>
  </si>
  <si>
    <t>549300YVTDZWGYZOI172</t>
  </si>
  <si>
    <t>549300GZQG9RR7LFQ666</t>
  </si>
  <si>
    <t>549300XUVH2OYDBTW170</t>
  </si>
  <si>
    <t>54930015UQVH2F4OS590</t>
  </si>
  <si>
    <t>54930037VPOIQ6TGL474</t>
  </si>
  <si>
    <t>549300YUMK0P3DZWXP25</t>
  </si>
  <si>
    <t>5493006LDV1DUW6U6M62</t>
  </si>
  <si>
    <t>549300KJAKQN5OEO4N05</t>
  </si>
  <si>
    <t>549300UNWP0A5MP8SH35</t>
  </si>
  <si>
    <t>549300XZ15AYO0932V62</t>
  </si>
  <si>
    <t>549300TQYUCVYG06LQ59</t>
  </si>
  <si>
    <t>549300N8AHI11CKM8I38</t>
  </si>
  <si>
    <t>5493001HIL7XDL2XWJ56</t>
  </si>
  <si>
    <t>549300CUPH2NGCXMIO07</t>
  </si>
  <si>
    <t>QYL77BQ83FFSBGKZK047</t>
  </si>
  <si>
    <t>PEIRMCKY1ELSY3PAC307</t>
  </si>
  <si>
    <t>549300ZGYQGS2BHBE548</t>
  </si>
  <si>
    <t>WJHQ8HJCNBR1V6EQ1R27</t>
  </si>
  <si>
    <t>549300307GTKC53BNM52</t>
  </si>
  <si>
    <t>549300Q86IYWJ1N1D140</t>
  </si>
  <si>
    <t>5493002OK1KFFNZ2YD07</t>
  </si>
  <si>
    <t>5299002QI7G5XEIYAO60</t>
  </si>
  <si>
    <t>549300MTLEDCCBA8DW32</t>
  </si>
  <si>
    <t>5493006P6LOOFH8TB150</t>
  </si>
  <si>
    <t>BMA2W0VL0IXHKJ00Z533</t>
  </si>
  <si>
    <t>KQR1IFPVC1E7MWR5L139</t>
  </si>
  <si>
    <t>549300FTJXCFJ93MS234</t>
  </si>
  <si>
    <t>549300K7Z2KT76WQJD18</t>
  </si>
  <si>
    <t>549300EE84RZ11ZQ0V53</t>
  </si>
  <si>
    <t>549300V5K4ET63KFN746</t>
  </si>
  <si>
    <t>549300IF68WJ3TXO7L05</t>
  </si>
  <si>
    <t>54930048P46TVT768L42</t>
  </si>
  <si>
    <t>5493001PDVL5WF0Z1P59</t>
  </si>
  <si>
    <t>549300T5P6LDDPL2GL71</t>
  </si>
  <si>
    <t>549300WBJV7TJ76T3F15</t>
  </si>
  <si>
    <t>549300Y0X4R0TDEM3T40</t>
  </si>
  <si>
    <t>549300D8540AUH6SHU29</t>
  </si>
  <si>
    <t>549300TCL8M947KZHM38</t>
  </si>
  <si>
    <t>549300GOG6XDL0K8P865</t>
  </si>
  <si>
    <t>JNWSVS031O7JOAN3JG77</t>
  </si>
  <si>
    <t>549300IJS5NVDVXEKH34</t>
  </si>
  <si>
    <t>549300OIEBKW2YGZXU44</t>
  </si>
  <si>
    <t>YUEDD7W89PH0FV8Q2S28</t>
  </si>
  <si>
    <t>549300W3HFN4L1M1TH30</t>
  </si>
  <si>
    <t>549300XYCEMLCV0EJY87</t>
  </si>
  <si>
    <t>549300AD1QJGAEYSTW84</t>
  </si>
  <si>
    <t>549300KWHT1XVX4S4795</t>
  </si>
  <si>
    <t>549300LWFZQECISDFL05</t>
  </si>
  <si>
    <t>549300XEXCKX2SZR9P57</t>
  </si>
  <si>
    <t>549300CCLCTHEEGTXW72</t>
  </si>
  <si>
    <t>549300G6XUAEVVKNX215</t>
  </si>
  <si>
    <t>549300UU6UHK71EHY356</t>
  </si>
  <si>
    <t>549300RTI5S375WCWP51</t>
  </si>
  <si>
    <t>5493003G0M40MY544H14</t>
  </si>
  <si>
    <t>5493007J5DWTSD26AA03</t>
  </si>
  <si>
    <t>5493006LGT4L4NCQJ156</t>
  </si>
  <si>
    <t>213800IIGE1MD94KHB26</t>
  </si>
  <si>
    <t>549300TRUWO2CD2G5692</t>
  </si>
  <si>
    <t>549300RAQ86KKUBMWO77</t>
  </si>
  <si>
    <t>5493002ERZU2K9PZDL40</t>
  </si>
  <si>
    <t>54930042CXJD02132T55</t>
  </si>
  <si>
    <t>549300EV9BJ82WLTUZ96</t>
  </si>
  <si>
    <t>549300EQPJ10YHPWH780</t>
  </si>
  <si>
    <t>549300C41UGRMD8LRA47</t>
  </si>
  <si>
    <t>549300O6E2WAK3IAXE34</t>
  </si>
  <si>
    <t>789000TUMN63Z28TJ497</t>
  </si>
  <si>
    <t>5493009IQQK1F0Z8OP85</t>
  </si>
  <si>
    <t>549300Q79LTEPXGPPW70</t>
  </si>
  <si>
    <t>PX7SUPU7HUNJBQ8BPI65</t>
  </si>
  <si>
    <t>529900BUAK4AZLR19H74</t>
  </si>
  <si>
    <t>549300Z2X1L1L3MID765</t>
  </si>
  <si>
    <t>21380012JG68DFS3A317</t>
  </si>
  <si>
    <t>549300MS2K323MDMGR61</t>
  </si>
  <si>
    <t>549300URRC963VK40H41</t>
  </si>
  <si>
    <t>213800E11LI1SCETU492</t>
  </si>
  <si>
    <t>213800SKZTSE2L1BII69</t>
  </si>
  <si>
    <t>8ZVIH12NGFM5URTOES98</t>
  </si>
  <si>
    <t>213800WO4HF33IISCK64</t>
  </si>
  <si>
    <t>5493005LDA624WIH7Y03</t>
  </si>
  <si>
    <t>213800I9UGEZ2ZZG5353</t>
  </si>
  <si>
    <t>254900T45E1X38PA8B88</t>
  </si>
  <si>
    <t>549300UOBXCS79E82606</t>
  </si>
  <si>
    <t>724500W2VBMIF1VCPP94</t>
  </si>
  <si>
    <t>213800ON4N8NBFNF7N65</t>
  </si>
  <si>
    <t>549300SPVW6G4W4Y9O76</t>
  </si>
  <si>
    <t>U4BU8DGN5TGA1G5AN388</t>
  </si>
  <si>
    <t>GR3KVMWVCR54YWQNXU90</t>
  </si>
  <si>
    <t>5493002X93GLJ6F7DI81</t>
  </si>
  <si>
    <t>54930004AKXELQIY6C41</t>
  </si>
  <si>
    <t>J48DJYXDTLHM30UMYI18</t>
  </si>
  <si>
    <t>54930020E6CBTX7HHT21</t>
  </si>
  <si>
    <t>549300M8SP71GYWXD862</t>
  </si>
  <si>
    <t>5493002C83QSGL8ETT42</t>
  </si>
  <si>
    <t>4P1PKLLCYZ1K1DK7HJ38</t>
  </si>
  <si>
    <t>213800X6IANFN8R4ZH53</t>
  </si>
  <si>
    <t>MR0TVWFWKRYJ1Y3WRY72</t>
  </si>
  <si>
    <t>2138005HEGTBAGASUY97</t>
  </si>
  <si>
    <t>7TI96JO3DYEIQWZ7Z726</t>
  </si>
  <si>
    <t>2549000DOMZDEJLGNF24</t>
  </si>
  <si>
    <t>F226TOH6YD6XJB17KS62</t>
  </si>
  <si>
    <t>MSFSBD3QN1GSN7Q6C537</t>
  </si>
  <si>
    <t>549300ZWK2PUF8UOLK90</t>
  </si>
  <si>
    <t>JR5KI5OHGDQJ7QBQ7R81</t>
  </si>
  <si>
    <t>2138001O9NBC8HXJKY73</t>
  </si>
  <si>
    <t>5493006IJBFYSUTPHJ29</t>
  </si>
  <si>
    <t>549300PMSTQITB1WHR43</t>
  </si>
  <si>
    <t>5493006B8WI8FO4UXA63</t>
  </si>
  <si>
    <t>Q4FWSQ8RYESRX2WD5J70</t>
  </si>
  <si>
    <t>YMQQZLF0MAV7H3SLZI38</t>
  </si>
  <si>
    <t>JZX6JMWVSURSUIZMJD79</t>
  </si>
  <si>
    <t>549300DW6NST4YPAT825</t>
  </si>
  <si>
    <t>TMH2M70UVBVT0EBNZM31</t>
  </si>
  <si>
    <t>YYCFL2WCGW22WH7BS220</t>
  </si>
  <si>
    <t>FKJN6RSKEIH0NUQGV829</t>
  </si>
  <si>
    <t>549300WW3O2Q3BIJEF68</t>
  </si>
  <si>
    <t>QYU56OLLXOUMMH2KSR94</t>
  </si>
  <si>
    <t>529900DG0F6AGQAP6N55</t>
  </si>
  <si>
    <t>549300W7D6UPQ3B9MR14</t>
  </si>
  <si>
    <t>LHRNZFL5GLX0VHWD8F48</t>
  </si>
  <si>
    <t>ZSN2LWNPYW6ISMRUC664</t>
  </si>
  <si>
    <t>549300BYKFV3ZMZY4E45</t>
  </si>
  <si>
    <t>549300K6YQ8HNEQOFB59</t>
  </si>
  <si>
    <t>549300FE1XPIQ89BRN33</t>
  </si>
  <si>
    <t>549300ISNT0W5IR3IC42</t>
  </si>
  <si>
    <t>5493000G1CTHFLM6CM51</t>
  </si>
  <si>
    <t>549300RSLKXS7CC7MT11</t>
  </si>
  <si>
    <t>549300HCJRI171KOSF72</t>
  </si>
  <si>
    <t>5493006AIPA1V92YPP18</t>
  </si>
  <si>
    <t>549300FZZ5TJQ2OQNF60</t>
  </si>
  <si>
    <t>549300RTV8RHU4GVY867</t>
  </si>
  <si>
    <t>5299003K8OENOZU4J416</t>
  </si>
  <si>
    <t>549300ACM5CZUXU2D354</t>
  </si>
  <si>
    <t>5299002O1ETJXHCSZA25</t>
  </si>
  <si>
    <t>9695002I9DJHZ3449O66</t>
  </si>
  <si>
    <t>5493004Y3624YSJ2B135</t>
  </si>
  <si>
    <t>254900894KLQGL9BTU46</t>
  </si>
  <si>
    <t>3003006H5HASFPT5CE87</t>
  </si>
  <si>
    <t>5299005TLSZTQAJNZW05</t>
  </si>
  <si>
    <t>3003002E74YFQ6MEZY56</t>
  </si>
  <si>
    <t>3003005CTVRBNBPBT566</t>
  </si>
  <si>
    <t>353800VRCRZA13KQR529</t>
  </si>
  <si>
    <t>549300V3LJEEHCQ6JK64</t>
  </si>
  <si>
    <t>254900XN8JRB0MILTU86</t>
  </si>
  <si>
    <t>353800CF81IXL9974H84</t>
  </si>
  <si>
    <t>549300FFSRVBS0SQXY75</t>
  </si>
  <si>
    <t>33580063V9BFI7IF2592</t>
  </si>
  <si>
    <t>5493007RS2U2658WVL91</t>
  </si>
  <si>
    <t>X5AV1MBDXGRPX5UGMX13</t>
  </si>
  <si>
    <t>254900JH3DW7BO7FV377</t>
  </si>
  <si>
    <t>5493006XLRNGSMWG4921</t>
  </si>
  <si>
    <t>335800O5TD4V8XMZTX51</t>
  </si>
  <si>
    <t>335800XP84MJSVAKMW93</t>
  </si>
  <si>
    <t>549300PB7K1W8SW71N26</t>
  </si>
  <si>
    <t>549300A7XK2QHWOUED13</t>
  </si>
  <si>
    <t>YHJR7USV4RFWUQ2DSB70</t>
  </si>
  <si>
    <t>VHK5WQPHS8ZL31RHOP91</t>
  </si>
  <si>
    <t>EBYBU0IBIIC7J6QFEF24</t>
  </si>
  <si>
    <t>549300D0KK4LIT2CWK58</t>
  </si>
  <si>
    <t>254900OYZCMSSE1MRQ97</t>
  </si>
  <si>
    <t>549300DI1VSQH7BL6T33</t>
  </si>
  <si>
    <t>3003002SV0OQMMRQPC49</t>
  </si>
  <si>
    <t>549300CGBE3FRCW9OJ62</t>
  </si>
  <si>
    <t>549300GQ5IYT1IPVYB03</t>
  </si>
  <si>
    <t>549300KPWWGMFVLBCC44</t>
  </si>
  <si>
    <t>213800LTSM9VZYR51S68</t>
  </si>
  <si>
    <t>5493002XPXZXO84KNV89</t>
  </si>
  <si>
    <t>549300H42FABJ02PPY19</t>
  </si>
  <si>
    <t>549300K1RFIDIO08IL50</t>
  </si>
  <si>
    <t>549300RK1FB0VMTPD087</t>
  </si>
  <si>
    <t>549300GF7OLO9BB63593</t>
  </si>
  <si>
    <t>549300TLIM5ODJOSLM42</t>
  </si>
  <si>
    <t>549300IWU4UPVGH8G929</t>
  </si>
  <si>
    <t>5493002JJLUK2583XI07</t>
  </si>
  <si>
    <t>T8W3X1PFLPW2YE0UIP44</t>
  </si>
  <si>
    <t>5493008L59OD1V8PHE40</t>
  </si>
  <si>
    <t>549300XMJ3XB4L2V1366</t>
  </si>
  <si>
    <t>549300P1TBU3OVLHUP72</t>
  </si>
  <si>
    <t>A7BYW541DKFQD9NMVS26</t>
  </si>
  <si>
    <t>549300OLVGMBFB1RCY40</t>
  </si>
  <si>
    <t>54930002QM8QVWM56E14</t>
  </si>
  <si>
    <t>724500TJA3SV768MMV77</t>
  </si>
  <si>
    <t>549300MUTZ4YV2OBNP54</t>
  </si>
  <si>
    <t>549300S938PTEJGL3530</t>
  </si>
  <si>
    <t>5493005YW154JLDAMW49</t>
  </si>
  <si>
    <t>549300CR7DE5SVRUO819</t>
  </si>
  <si>
    <t>213800SKIFATQX7XZV24</t>
  </si>
  <si>
    <t>3003006YVQ97CJPRX258</t>
  </si>
  <si>
    <t>549300DRUXNA9RML6O54</t>
  </si>
  <si>
    <t>549300YHP12TEZNLCX41</t>
  </si>
  <si>
    <t>549300OPQG34KMSLJU50</t>
  </si>
  <si>
    <t>54930088MKCPN8EY4O15</t>
  </si>
  <si>
    <t>2138005VOVWT9C6WRO35</t>
  </si>
  <si>
    <t>549300B2Q47IR0CR5B54</t>
  </si>
  <si>
    <t>213800OP4GC9OQAWBB15</t>
  </si>
  <si>
    <t>5493003B1RRNT0O3W741</t>
  </si>
  <si>
    <t>2138009ODJ86B31Z4259</t>
  </si>
  <si>
    <t>549300HHW41L6PM2SP52</t>
  </si>
  <si>
    <t>549300BGP162Z1D0J132</t>
  </si>
  <si>
    <t>54930036FPZ4UAFGM952</t>
  </si>
  <si>
    <t>MIM2K09LFYD4IB163W58</t>
  </si>
  <si>
    <t>R0MUWSFPU8MPRO8K5P83</t>
  </si>
  <si>
    <t>213800JQ9CR1K91OE582</t>
  </si>
  <si>
    <t>P5XEQYFJP74DYQX88M80</t>
  </si>
  <si>
    <t>851WYGNLUQLFZBSYGB56</t>
  </si>
  <si>
    <t>3003003DOW83VD8HRU16</t>
  </si>
  <si>
    <t>5493006RUADHKBEMCM62</t>
  </si>
  <si>
    <t>213800VMN3ZHGO29K923</t>
  </si>
  <si>
    <t>549300353J6VSR67XN79</t>
  </si>
  <si>
    <t>529900OP6OF4IHGACF32</t>
  </si>
  <si>
    <t>9XHUQ4XI7GXPSNNRMD92</t>
  </si>
  <si>
    <t>506700FT60T4D78DKU25</t>
  </si>
  <si>
    <t>549300TGJ5WDNSQH6R21</t>
  </si>
  <si>
    <t>335800J8VWGE2HGWF417</t>
  </si>
  <si>
    <t>988400I3NOO4PTAIK025</t>
  </si>
  <si>
    <t>549300Q8W15275IJ2M42</t>
  </si>
  <si>
    <t>549300RR5SOP5WI0N818</t>
  </si>
  <si>
    <t>5493008X8CQWUW7L3942</t>
  </si>
  <si>
    <t>549300Y5BJOTCMUYT658</t>
  </si>
  <si>
    <t>213800IHZX1U6XNF9A63</t>
  </si>
  <si>
    <t>254900QRT9K5MB7SL209</t>
  </si>
  <si>
    <t>2138004T9K89PLL9DM02</t>
  </si>
  <si>
    <t>5493007VXQNREL92V435</t>
  </si>
  <si>
    <t>52990021AYVJLL2XMK94</t>
  </si>
  <si>
    <t>549300MLKTB98204C041</t>
  </si>
  <si>
    <t>F4G136OIPBYND1F41110</t>
  </si>
  <si>
    <t>KZSJNRMICBYSJV5SPE53</t>
  </si>
  <si>
    <t>549300DKI9QYTFD5P031</t>
  </si>
  <si>
    <t>G8ZTNESVNKW4NN761W05</t>
  </si>
  <si>
    <t>213800N2DSYZW5KSI961</t>
  </si>
  <si>
    <t>815600489AA5BAEB2211</t>
  </si>
  <si>
    <t>5493000U64TRISTFER80</t>
  </si>
  <si>
    <t>5299008E76P3DQKEZF03</t>
  </si>
  <si>
    <t>I7ETN0QQO2AHZZGHJ389</t>
  </si>
  <si>
    <t>549300HS5ZYPGAL9CY37</t>
  </si>
  <si>
    <t>PBLD0EJDB5FWOLXP3B76</t>
  </si>
  <si>
    <t>213800W2XOTEIWVRS823</t>
  </si>
  <si>
    <t>66AGRETLUXS4YO5MUH35</t>
  </si>
  <si>
    <t>5493008LFEFSN1CR8I42</t>
  </si>
  <si>
    <t>213800ERF3SHGRKW8R02</t>
  </si>
  <si>
    <t>213800XSK41EPCUHOH45</t>
  </si>
  <si>
    <t>529900D8QLTZ6PRLJL76</t>
  </si>
  <si>
    <t>213800FADTCJFWJ79G11</t>
  </si>
  <si>
    <t>2138001AVBSD1HSC6Z10</t>
  </si>
  <si>
    <t>213800XEBY9E81CNHX12</t>
  </si>
  <si>
    <t>5299004F1XJKI1PLT381</t>
  </si>
  <si>
    <t>549300157XX3WB44J374</t>
  </si>
  <si>
    <t>254900XE76UO9WUDZ295</t>
  </si>
  <si>
    <t>5299005SHIN9ZK7GW242</t>
  </si>
  <si>
    <t>549300HJ236VGDN8U912</t>
  </si>
  <si>
    <t>549300OY1IT4IB353V97</t>
  </si>
  <si>
    <t>8156005023C8DCEB7572</t>
  </si>
  <si>
    <t>8EUP1TJYZFX3T1E5AJ33</t>
  </si>
  <si>
    <t>549300OEWRQ083UB4V19</t>
  </si>
  <si>
    <t>5493000TPBXQ74CIP160</t>
  </si>
  <si>
    <t>LKAJX4ZOK2R6D9THVO59</t>
  </si>
  <si>
    <t>213800WD1WSYGCYV7A34</t>
  </si>
  <si>
    <t>378900EB75D7D2C73323</t>
  </si>
  <si>
    <t>549300HX8DGEU4T85870</t>
  </si>
  <si>
    <t>335800UXT2HV4V3ZR581</t>
  </si>
  <si>
    <t>549300ZB31H00HEQCD27</t>
  </si>
  <si>
    <t>529900BSBZ853DKUP675</t>
  </si>
  <si>
    <t>988400AF8KS117D7D072</t>
  </si>
  <si>
    <t>549300NCEM0GBEGY4P46</t>
  </si>
  <si>
    <t>YIQI3B14IMM78O6VPC33</t>
  </si>
  <si>
    <t>529900KQZYJ794QW1C35</t>
  </si>
  <si>
    <t>254900UNCRXKASPT5J34</t>
  </si>
  <si>
    <t>5493007USZNUUKBOLU32</t>
  </si>
  <si>
    <t>724500UH3K0LTQ8QUS25</t>
  </si>
  <si>
    <t>529900SICIK5OVMVY186</t>
  </si>
  <si>
    <t>549300HTGDOVDU6OGK19</t>
  </si>
  <si>
    <t>549300ZCV52X08U6XC41</t>
  </si>
  <si>
    <t>2138002YRB54CNYA1E73</t>
  </si>
  <si>
    <t>5493009GY1X8GQ66AM14</t>
  </si>
  <si>
    <t>3789006CC3D706F8F214</t>
  </si>
  <si>
    <t>213800DL377MH46PDY63</t>
  </si>
  <si>
    <t>NUEKVMQ7BSNRBOQZUD15</t>
  </si>
  <si>
    <t>984500B0D7FAE97EDF06</t>
  </si>
  <si>
    <t>549300RKB6B4M8CD2W04</t>
  </si>
  <si>
    <t>549300HUD3XI8AWIV734</t>
  </si>
  <si>
    <t>549300BVRE4RY41UTU57</t>
  </si>
  <si>
    <t>549300G6ZUFBJVLAJQ46</t>
  </si>
  <si>
    <t>5493003EUUUB20ZJY714</t>
  </si>
  <si>
    <t>5493003IUYOH354SNS58</t>
  </si>
  <si>
    <t>549300NUJ7MUQK1GG892</t>
  </si>
  <si>
    <t>549300506SI9CRFV9Z86</t>
  </si>
  <si>
    <t>549300UO0OVYJ6GPW218</t>
  </si>
  <si>
    <t>549300M5I7RKDWOWTJ35</t>
  </si>
  <si>
    <t>549300JTX8XOSXLQXS69</t>
  </si>
  <si>
    <t>549300KFOAZ2E5RDUO28</t>
  </si>
  <si>
    <t>549300J8JKCZBPXJRS07</t>
  </si>
  <si>
    <t>529900SYN8EM7XXN6446</t>
  </si>
  <si>
    <t>5493006N0BX8QPYN7G13</t>
  </si>
  <si>
    <t>5493001ST0MP3NIUB154</t>
  </si>
  <si>
    <t>549300L150UTDIQIWS31</t>
  </si>
  <si>
    <t>549300WJWRODBROCFZ41</t>
  </si>
  <si>
    <t>SMKBZZQY7Q8IGJB2CR62</t>
  </si>
  <si>
    <t>549300U3YSKW7QY13Y70</t>
  </si>
  <si>
    <t>549300EHVAB7PJ11OV18</t>
  </si>
  <si>
    <t>213800MYOGJYU82Y3X42</t>
  </si>
  <si>
    <t>5493001TVTFW16MUQ868</t>
  </si>
  <si>
    <t>254900CSNWA5J9T4S019</t>
  </si>
  <si>
    <t>213800QSGDAOD17TAR52</t>
  </si>
  <si>
    <t>549300SKSDH15XF6VE42</t>
  </si>
  <si>
    <t>213800KLAKERLVRQ8810</t>
  </si>
  <si>
    <t>21380076S228I25PD704</t>
  </si>
  <si>
    <t>213800TT73MOS2XORJ44</t>
  </si>
  <si>
    <t>353800JSW1T1QWZNAG94</t>
  </si>
  <si>
    <t>353800QQE54Q8LR3LI87</t>
  </si>
  <si>
    <t>54930000OB7MM2F19O64</t>
  </si>
  <si>
    <t>549300LXVFYIVZLFL678</t>
  </si>
  <si>
    <t>96950041VJ1QP0B69503</t>
  </si>
  <si>
    <t>529900BAZ89E2HW02I36</t>
  </si>
  <si>
    <t>549300VYQ2Z1Q70QR520</t>
  </si>
  <si>
    <t>213800H2XQKVMB58W490</t>
  </si>
  <si>
    <t>549300ZFEEJ2IP5VME73</t>
  </si>
  <si>
    <t>353800035EGHISTVXZ22</t>
  </si>
  <si>
    <t>549300QGFP23Q1K4SB28</t>
  </si>
  <si>
    <t>549300QZ8YZKE99OF236</t>
  </si>
  <si>
    <t>5493000ON08MFYK4XP20</t>
  </si>
  <si>
    <t>4469000001CAX1UX3946</t>
  </si>
  <si>
    <t>549300QPULT0NMG1PF69</t>
  </si>
  <si>
    <t>335800OT5N4ZWVDI6W86</t>
  </si>
  <si>
    <t>5493003LH8FCBKYN7Y95</t>
  </si>
  <si>
    <t>549300PZ6RW0CFVGYL34</t>
  </si>
  <si>
    <t>549300MYJM072BPRFT81</t>
  </si>
  <si>
    <t>54930093ZQZCMLSJ3648</t>
  </si>
  <si>
    <t>894500477CVOUGID1R13</t>
  </si>
  <si>
    <t>213800M2PQ5MLLPYV152</t>
  </si>
  <si>
    <t>549300MB7G4B0LNWBF44</t>
  </si>
  <si>
    <t>5493007AYZVK4TQ8KH84</t>
  </si>
  <si>
    <t>529900D74TV79S43T382</t>
  </si>
  <si>
    <t>549300RMTW0Z1O4IGB41</t>
  </si>
  <si>
    <t>254900884I7NAH5UXN24</t>
  </si>
  <si>
    <t>815600B421450B55C524</t>
  </si>
  <si>
    <t>ZTYALGL8NRO3LKIMVI74</t>
  </si>
  <si>
    <t>3RV7W250LTUQH12INJ88</t>
  </si>
  <si>
    <t>549300P1SLJZB82YLP69</t>
  </si>
  <si>
    <t>254900UGFV2WGJBQVT40</t>
  </si>
  <si>
    <t>254900PW61ADCBDCLP71</t>
  </si>
  <si>
    <t>254900GOMFRUT5XPYJ67</t>
  </si>
  <si>
    <t>253400QJNKYYP2C7PA85</t>
  </si>
  <si>
    <t>529900JBICJJ1PFYVO92</t>
  </si>
  <si>
    <t>9598001CC7WKMLSSZ626</t>
  </si>
  <si>
    <t>959800912HLQCLTFR451</t>
  </si>
  <si>
    <t>529900UZSCCH4IIVLZ67</t>
  </si>
  <si>
    <t>54930047NLDDZSRDPL09</t>
  </si>
  <si>
    <t>213800YURJ9W6WGI3Z02</t>
  </si>
  <si>
    <t>5493000SA3K24EQKA103</t>
  </si>
  <si>
    <t>549300EBKI5ZDKUC1589</t>
  </si>
  <si>
    <t>2549001BG7JLMFCV0P87</t>
  </si>
  <si>
    <t>549300QRSW6B9SHE0453</t>
  </si>
  <si>
    <t>213800NN4ALK3C2CY802</t>
  </si>
  <si>
    <t>213800ASB9LZW7EWS815</t>
  </si>
  <si>
    <t>549300QGFHQRB8SVPI60</t>
  </si>
  <si>
    <t>529900FR0E130P05IY43</t>
  </si>
  <si>
    <t>54930064HVW057Y9GN92</t>
  </si>
  <si>
    <t>549300OQM2EOMFY1G222</t>
  </si>
  <si>
    <t>12UUJYTN7D3SW8KCSG25</t>
  </si>
  <si>
    <t>QHF0YTOE8OP1LN1NBT86</t>
  </si>
  <si>
    <t>7245004IQYPXP6SK5Z35</t>
  </si>
  <si>
    <t>FEYIFKWDNJF23U7E7B24</t>
  </si>
  <si>
    <t>549300DYP6F5ZJL0LB74</t>
  </si>
  <si>
    <t>529900BQBMS383SEPY05</t>
  </si>
  <si>
    <t>HYO4LWD8F3GKN7YT2C38</t>
  </si>
  <si>
    <t>549300514J3G7XH64311</t>
  </si>
  <si>
    <t>213800HQZYBMURES6D84</t>
  </si>
  <si>
    <t>254900FK9VJQJE5WGP66</t>
  </si>
  <si>
    <t>213800WQMI8KR6UZOJ38</t>
  </si>
  <si>
    <t>213800JJ8Z7DQ4MCJ243</t>
  </si>
  <si>
    <t>213800VXKFMDR2MVG869</t>
  </si>
  <si>
    <t>A5GWLFH3KM7YV2SFQL84</t>
  </si>
  <si>
    <t>213800FIJNVL195Q2W71</t>
  </si>
  <si>
    <t>549300S4N8NWOICNLE36</t>
  </si>
  <si>
    <t>549300VVAZPZAW7TV407</t>
  </si>
  <si>
    <t>549300EYZITZZ7V21C61</t>
  </si>
  <si>
    <t>549300ES1C76FFI9HQ86</t>
  </si>
  <si>
    <t>549300C7QOLT1ACORS89</t>
  </si>
  <si>
    <t>549300KVN7YPYO4PEV80</t>
  </si>
  <si>
    <t>41GUOJQTALQHLF39XJ34</t>
  </si>
  <si>
    <t>549300F7OK456M5NLM05</t>
  </si>
  <si>
    <t>549300FWV5ZIH36BH979</t>
  </si>
  <si>
    <t>549300NP85N265KWMS58</t>
  </si>
  <si>
    <t>549300WBDS9UL1RNNJ09</t>
  </si>
  <si>
    <t>549300X18Z5X1NCMDE76</t>
  </si>
  <si>
    <t>549300GHBA3BDTNBB539</t>
  </si>
  <si>
    <t>4469000001BUINEI7I94</t>
  </si>
  <si>
    <t>54930023VY4YV7E3WU31</t>
  </si>
  <si>
    <t>4469000001BQ77OP0J24</t>
  </si>
  <si>
    <t>254900VZV90318RTYA25</t>
  </si>
  <si>
    <t>54930055QZOGGLPRPW02</t>
  </si>
  <si>
    <t>4469000001CCP3HDFE69</t>
  </si>
  <si>
    <t>549300R5TY8E2AO7JV82</t>
  </si>
  <si>
    <t>4469000001BRWCP0R596</t>
  </si>
  <si>
    <t>549300Z3JBRD6IGN8E11</t>
  </si>
  <si>
    <t>4469000001BN534TBE52</t>
  </si>
  <si>
    <t>4469000001BR51E83192</t>
  </si>
  <si>
    <t>5493004FBUY5CX0BH870</t>
  </si>
  <si>
    <t>4469000001CJZV3OCQ29</t>
  </si>
  <si>
    <t>549300M52HQAHI17OM09</t>
  </si>
  <si>
    <t>549300JUTNWBEQ29HN42</t>
  </si>
  <si>
    <t>549300WIYIAVCFZI6Z04</t>
  </si>
  <si>
    <t>4469000001BSS3651Y19</t>
  </si>
  <si>
    <t>4469000001BS560YGH60</t>
  </si>
  <si>
    <t>4469000001CE34GDEZ25</t>
  </si>
  <si>
    <t>4469000001BOLNGOQM93</t>
  </si>
  <si>
    <t>5493001QP622NCUC2P03</t>
  </si>
  <si>
    <t>4469000001BOLP181672</t>
  </si>
  <si>
    <t>5493004RS6NJBH56Y111</t>
  </si>
  <si>
    <t>4469000001C4CX1XR153</t>
  </si>
  <si>
    <t>4469000001BR6Y9OXS28</t>
  </si>
  <si>
    <t>549300VOTQQ7OIXQGC27</t>
  </si>
  <si>
    <t>4469000001BSJ7JVXV11</t>
  </si>
  <si>
    <t>549300MIDOH15QGPZT40</t>
  </si>
  <si>
    <t>549300PFPNFCRFC7SV95</t>
  </si>
  <si>
    <t>549300E7S0U4GWMU4133</t>
  </si>
  <si>
    <t>549300MM6ADMLZV74D84</t>
  </si>
  <si>
    <t>549300IBR7UGHQFWF060</t>
  </si>
  <si>
    <t>4469000001BNQ9H7O456</t>
  </si>
  <si>
    <t>4469000001BRQRPKCV33</t>
  </si>
  <si>
    <t>254900EGTWEU67VP6075</t>
  </si>
  <si>
    <t>4469000001BSHU7R9196</t>
  </si>
  <si>
    <t>5493006VRDLIMW3NVQ45</t>
  </si>
  <si>
    <t>549300T62EW44XPG9G37</t>
  </si>
  <si>
    <t>5493001J3WVC5E62I331</t>
  </si>
  <si>
    <t>549300OJRBEOQUB8IK95</t>
  </si>
  <si>
    <t>549300XGB3QGO8EKGO39</t>
  </si>
  <si>
    <t>549300SHLEY8G81NA549</t>
  </si>
  <si>
    <t>549300O24X5NYM8BYE97</t>
  </si>
  <si>
    <t>5493005LVK36LJC0XQ52</t>
  </si>
  <si>
    <t>4469000001BS93APFE98</t>
  </si>
  <si>
    <t>4469000001BS6OK96P39</t>
  </si>
  <si>
    <t>4469000001BYEMLQSP58</t>
  </si>
  <si>
    <t>549300BXJ625J2DB5W79</t>
  </si>
  <si>
    <t>4469000001BR3QZNU420</t>
  </si>
  <si>
    <t>54930088MP91YZQJT494</t>
  </si>
  <si>
    <t>549300BNDRGBS8OASD32</t>
  </si>
  <si>
    <t>984500075IY8F68F8D45</t>
  </si>
  <si>
    <t>5493008WQY4CY84QGL98</t>
  </si>
  <si>
    <t>4469000001BQJMNETV76</t>
  </si>
  <si>
    <t>4469000001BFZRIGSI13</t>
  </si>
  <si>
    <t>4469000001BFZRSAYZ36</t>
  </si>
  <si>
    <t>4469000001BFZS3SZ738</t>
  </si>
  <si>
    <t>4469000001BFZMT1I020</t>
  </si>
  <si>
    <t>549300J22EU1A0WATN43</t>
  </si>
  <si>
    <t>529900818O1CGJBN5997</t>
  </si>
  <si>
    <t>549300WF5N6PXQPW4O74</t>
  </si>
  <si>
    <t>549300WDOEI2RBV03P04</t>
  </si>
  <si>
    <t>549300TNYH0QCR7GBD82</t>
  </si>
  <si>
    <t>549300WS6KBJGJZ15D05</t>
  </si>
  <si>
    <t>549300TWYZ8T8EU1ZL61</t>
  </si>
  <si>
    <t>549300RRJS4ZT1LGIA65</t>
  </si>
  <si>
    <t>549300IYS16MVT3XST19</t>
  </si>
  <si>
    <t>549300FCY5511NRUF478</t>
  </si>
  <si>
    <t>213800HYIAX2J814EY25</t>
  </si>
  <si>
    <t>549300SBRIRE2WTG3744</t>
  </si>
  <si>
    <t>549300B4B8A9PPYP1E17</t>
  </si>
  <si>
    <t>UNFQ0UG38ZBG2JMXE817</t>
  </si>
  <si>
    <t>549300N3TR1FPECQEH46</t>
  </si>
  <si>
    <t>54930012O5UPSRS5GN60</t>
  </si>
  <si>
    <t>549300J3U2WK73C9ZK26</t>
  </si>
  <si>
    <t>BN6WCCZ8OVP3ITUUVN49</t>
  </si>
  <si>
    <t>549300SEY5LKTFJOWW59</t>
  </si>
  <si>
    <t>5493007N430NJQDKG349</t>
  </si>
  <si>
    <t>2WHM8VNJH63UN14OL754</t>
  </si>
  <si>
    <t>254900W4CPYCQFVH5E92</t>
  </si>
  <si>
    <t>549300QVC7PIXKVNMG46</t>
  </si>
  <si>
    <t>3003008B4PYFBS9AER19</t>
  </si>
  <si>
    <t>549300GJTUTK0I4BYB92</t>
  </si>
  <si>
    <t>549300RJGRL4EBTRQ954</t>
  </si>
  <si>
    <t>213800DGCEGBXLWU2Q62</t>
  </si>
  <si>
    <t>549300HFCVYRF8VUED40</t>
  </si>
  <si>
    <t>3003000ACFLO7YETWE63</t>
  </si>
  <si>
    <t>54930036D1S3ON10MV48</t>
  </si>
  <si>
    <t>549300SHR0URTIFB5Z32</t>
  </si>
  <si>
    <t>549300SFVPFQY2RW1604</t>
  </si>
  <si>
    <t>9OHRLVP761BPMNU1LB96</t>
  </si>
  <si>
    <t>549300ECBH1N1AE94S29</t>
  </si>
  <si>
    <t>6D854JINJFHBVZJCD143</t>
  </si>
  <si>
    <t>549300JP3R5ZCN3Y0W95</t>
  </si>
  <si>
    <t>549300R5LTV2H7I1I079</t>
  </si>
  <si>
    <t>549300QVLSGF3JHLWI63</t>
  </si>
  <si>
    <t>549300C1FHJ4LEF72328</t>
  </si>
  <si>
    <t>254900CZQ27EMGKCHG63</t>
  </si>
  <si>
    <t>5493000NHQNRETS8ZX09</t>
  </si>
  <si>
    <t>549300Q5IPY1U0DC0258</t>
  </si>
  <si>
    <t>D6Y7N0U4YOKL2C5BLN13</t>
  </si>
  <si>
    <t>5493007EGNVRVEOWCX19</t>
  </si>
  <si>
    <t>2549000XX79OFYKZE087</t>
  </si>
  <si>
    <t>549300ZUHP3M3ZELIW12</t>
  </si>
  <si>
    <t>549300WG8TI8UVE9BY80</t>
  </si>
  <si>
    <t>549300LUAEZXP8D3SO46</t>
  </si>
  <si>
    <t>5493004V7T7UK31KM469</t>
  </si>
  <si>
    <t>M3LKFDNSJGJ7TMLH6Z15</t>
  </si>
  <si>
    <t>549300BUE6U1X1RLK515</t>
  </si>
  <si>
    <t>2COI8BE15VQWR4N1NM55</t>
  </si>
  <si>
    <t>549300YCDYZNMZ3J0212</t>
  </si>
  <si>
    <t>5493002NS1APOTIHJZ74</t>
  </si>
  <si>
    <t>549300Y0X23ZOPN5WE42</t>
  </si>
  <si>
    <t>213800FLWI44528IFW63</t>
  </si>
  <si>
    <t>549300ST2ZFFVCLCUD14</t>
  </si>
  <si>
    <t>549300MBO45EHETL4438</t>
  </si>
  <si>
    <t>549300SZJ9VS8SGXAN81</t>
  </si>
  <si>
    <t>5493008HL7YGILBYY124</t>
  </si>
  <si>
    <t>549300T22BXEZO0UD677</t>
  </si>
  <si>
    <t>549300OHLZ0RR2TSKH90</t>
  </si>
  <si>
    <t>549300NE15KSK75UYF04</t>
  </si>
  <si>
    <t>549300B00IFHVNYSSQ10</t>
  </si>
  <si>
    <t>2549005KKXQ7VKHIJU66</t>
  </si>
  <si>
    <t>549300DSSJ6DQ8QFFS91</t>
  </si>
  <si>
    <t>5493005POFMG3NOPVI12</t>
  </si>
  <si>
    <t>213800QTJCQIMJF3IA71</t>
  </si>
  <si>
    <t>549300YQUH8B6M8BQN35</t>
  </si>
  <si>
    <t>254900SMTWBX7RU2SR20</t>
  </si>
  <si>
    <t>549300REQJP8LX1A1M70</t>
  </si>
  <si>
    <t>54930074UF24O9SF3W24</t>
  </si>
  <si>
    <t>4469000001BSG9SGRA12</t>
  </si>
  <si>
    <t>SK6WG1E6ZYO1H0HHS346</t>
  </si>
  <si>
    <t>529900FB0U2RPJ334E67</t>
  </si>
  <si>
    <t>54930010QPKRBHZWKG15</t>
  </si>
  <si>
    <t>EDBQKYOPJUCJKLOJDE72</t>
  </si>
  <si>
    <t>TOI6UCF83APHKRDXRA54</t>
  </si>
  <si>
    <t>549300T065Z4KJ686G75</t>
  </si>
  <si>
    <t>0SNZ6NZHXP80GTNTXJ94</t>
  </si>
  <si>
    <t>254900YISQHUZHEC9B94</t>
  </si>
  <si>
    <t>549300876LVY62TWRH66</t>
  </si>
  <si>
    <t>549300YRNW7391J87H02</t>
  </si>
  <si>
    <t>2138008EMW6F92THIC31</t>
  </si>
  <si>
    <t>549300S6KS1HBY1JU965</t>
  </si>
  <si>
    <t>549300A21ETMN775JW16</t>
  </si>
  <si>
    <t>549300J15ND3EIAMCI59</t>
  </si>
  <si>
    <t>5493006Q6S3ML4DD9C62</t>
  </si>
  <si>
    <t>254900POUDYJEQ1UCX44</t>
  </si>
  <si>
    <t>549300K0GV4CRBFUZK08</t>
  </si>
  <si>
    <t>H5XIMROS3PFX9BNKY293</t>
  </si>
  <si>
    <t>549300NU5DI3QL46CX08</t>
  </si>
  <si>
    <t>54930050UWQJL0ZVQO18</t>
  </si>
  <si>
    <t>5493002F857O2TX7EU13</t>
  </si>
  <si>
    <t>300300CHN201808MOF68</t>
  </si>
  <si>
    <t>353800WZS8AXZXFUC241</t>
  </si>
  <si>
    <t>9695005B0IXNAZ11QL51</t>
  </si>
  <si>
    <t>529900F3AIQECS8ZSV61</t>
  </si>
  <si>
    <t>549300501AA3NQYVD880</t>
  </si>
  <si>
    <t>549300W9STRUCJ2DLU64</t>
  </si>
  <si>
    <t>3YTEJFW18LGIUQ2N5J61</t>
  </si>
  <si>
    <t>52863L7DMUK64KBAGJ33</t>
  </si>
  <si>
    <t>549300I346NMM9XJ5082</t>
  </si>
  <si>
    <t>529900Q864ZIFQ1WSA24</t>
  </si>
  <si>
    <t>815600AD416409999570</t>
  </si>
  <si>
    <t>549300IULXX2R8LXJ347</t>
  </si>
  <si>
    <t>549300VYW6PWCU5XF513</t>
  </si>
  <si>
    <t>2549008I4P5I3D6S6W08</t>
  </si>
  <si>
    <t>549300S52OPXPKGJS029</t>
  </si>
  <si>
    <t>5493004V9GFVAOPD9X94</t>
  </si>
  <si>
    <t>549300YW41274JTLIM03</t>
  </si>
  <si>
    <t>549300V1OIA81M316Z96</t>
  </si>
  <si>
    <t>549300OAKL8GIIPYD141</t>
  </si>
  <si>
    <t>HJIMESMB9B2ISPEE2374</t>
  </si>
  <si>
    <t>549300PIZWRYQOA9U785</t>
  </si>
  <si>
    <t>549300MR82PWEJPQNU81</t>
  </si>
  <si>
    <t>4469000001BS0KGJV520</t>
  </si>
  <si>
    <t>3OIHUMDMI0Z4XVPQ8V78</t>
  </si>
  <si>
    <t>549300MU2MYJLOY6IJ51</t>
  </si>
  <si>
    <t>5493004YIHQ1OFXKCZ62</t>
  </si>
  <si>
    <t>O8VR8MK4M5SM9ZVEFS35</t>
  </si>
  <si>
    <t>549300QIKFMM7U17QS59</t>
  </si>
  <si>
    <t>AV7QJSDB1GI2P6FRGL71</t>
  </si>
  <si>
    <t>529900K5CDKAHKIUXN97</t>
  </si>
  <si>
    <t>5299000YUSSIOCTAE763</t>
  </si>
  <si>
    <t>549300ZL7MX8L1PL3N04</t>
  </si>
  <si>
    <t>549300ISWFZLDPTW6Q75</t>
  </si>
  <si>
    <t>4469000001BRMA6IHY98</t>
  </si>
  <si>
    <t>5493005AT80XYWX6O536</t>
  </si>
  <si>
    <t>724500GC7BY2O4AWG875</t>
  </si>
  <si>
    <t>4469000001BSRKFSC029</t>
  </si>
  <si>
    <t>4469000001BP35ZITB70</t>
  </si>
  <si>
    <t>4469000001BP36HV3B54</t>
  </si>
  <si>
    <t>549300S8U55CJOSQ0U84</t>
  </si>
  <si>
    <t>894500SJ5NQBJKRMHB74</t>
  </si>
  <si>
    <t>549300FR3U1PB1Y6LV13</t>
  </si>
  <si>
    <t>KBKKYLHYO9UROVENIL92</t>
  </si>
  <si>
    <t>4469000001BOLZ266P67</t>
  </si>
  <si>
    <t>549300W0SRU91S17ET77</t>
  </si>
  <si>
    <t>213800TUOKZC29M46H06</t>
  </si>
  <si>
    <t>549300NOJ0W1BE3WH326</t>
  </si>
  <si>
    <t>254900V6V4FFQC48QJ59</t>
  </si>
  <si>
    <t>254900KEZW2K9ZJ7WB43</t>
  </si>
  <si>
    <t>5493006OZM9A1PY1WO05</t>
  </si>
  <si>
    <t>529900PWCU5DUH1DYR51</t>
  </si>
  <si>
    <t>549300CBMSE8I9N3E232</t>
  </si>
  <si>
    <t>UPPK3261S5D7DR01JY66</t>
  </si>
  <si>
    <t>213800KL2QZT2GQMQQ34</t>
  </si>
  <si>
    <t>5493009GUESWKOCRBE73</t>
  </si>
  <si>
    <t>549300TTNX166F32PC58</t>
  </si>
  <si>
    <t>OJ2TIQSVQND4IZYYK658</t>
  </si>
  <si>
    <t>5493005TW2R3E74DGF86</t>
  </si>
  <si>
    <t>549300I7CU6YE54FMU33</t>
  </si>
  <si>
    <t>5493005VEYWN51DFGL87</t>
  </si>
  <si>
    <t>549300WPFCZVQJ7FKS33</t>
  </si>
  <si>
    <t>5493003U7BEVG8LK8382</t>
  </si>
  <si>
    <t>549300C36Q0UANL8PP17</t>
  </si>
  <si>
    <t>549300IPBPOK6OYMUH52</t>
  </si>
  <si>
    <t>TG581QSQ1WH6MXR7SM03</t>
  </si>
  <si>
    <t>QYICYFCT6CDGTVVY7H28</t>
  </si>
  <si>
    <t>R40BDS2PHYGDICRAYI49</t>
  </si>
  <si>
    <t>549300Q7EOY2YIO3YK85</t>
  </si>
  <si>
    <t>V1D7ZSZJ054L2NLLM758</t>
  </si>
  <si>
    <t>549300SPRSZTLLHPRN39</t>
  </si>
  <si>
    <t>549300F70RYK3Z5ZPU58</t>
  </si>
  <si>
    <t>5493006XAFTKXR7L0D46</t>
  </si>
  <si>
    <t>335800TYNOWUG93CDR25</t>
  </si>
  <si>
    <t>549300OV0IJJ12KWIF80</t>
  </si>
  <si>
    <t>549300GJVOEHHLSO6K25</t>
  </si>
  <si>
    <t>549300FW1E60EN0TKW32</t>
  </si>
  <si>
    <t>JHE42UYNWWTJB8YTTU19</t>
  </si>
  <si>
    <t>5493005SZHPYDWLTEW70</t>
  </si>
  <si>
    <t>A3OZI667JEF5WQMFYC72</t>
  </si>
  <si>
    <t>4469000001BO4JEXZL32</t>
  </si>
  <si>
    <t>549300533XG3GL5ITN66</t>
  </si>
  <si>
    <t>549300RP81L6HQ03CD68</t>
  </si>
  <si>
    <t>5493001AS4LWAVFMLS89</t>
  </si>
  <si>
    <t>549300IC72N7QY8IFQ46</t>
  </si>
  <si>
    <t>5493001L1U3CLMLN2R67</t>
  </si>
  <si>
    <t>5493007SCGPPJBMWFL40</t>
  </si>
  <si>
    <t>549300I7JP3IP4DP3296</t>
  </si>
  <si>
    <t>549300SM6MOWLYVB6786</t>
  </si>
  <si>
    <t>549300YFKP6ECQMQZ026</t>
  </si>
  <si>
    <t>ZGQLPXOK66L3RPBRWS50</t>
  </si>
  <si>
    <t>VS0TQHC88NK3ZB6BS534</t>
  </si>
  <si>
    <t>FGSRJYL3QHJBWJH50F25</t>
  </si>
  <si>
    <t>FBQ1T6OZFVJ0RR5P8164</t>
  </si>
  <si>
    <t>O7CCN2Y9MIFWYXBJLI56</t>
  </si>
  <si>
    <t>OUBW9HHBGFT5XG41OO86</t>
  </si>
  <si>
    <t>549300LDK56WPOGRBB43</t>
  </si>
  <si>
    <t>549300NNFREL8IBEI474</t>
  </si>
  <si>
    <t>KBKS45F4R30202534V95</t>
  </si>
  <si>
    <t>7YB8Q7N3WIXTDCFZX581</t>
  </si>
  <si>
    <t>549300W8XN8HALUP3T43</t>
  </si>
  <si>
    <t>UQRT6WHIU2WI6YJ1NN21</t>
  </si>
  <si>
    <t>A90SIA5Z0ZVG6ELNDA24</t>
  </si>
  <si>
    <t>8SQRDYLIUFFS7B2UU927</t>
  </si>
  <si>
    <t>II3V6MVFP1TUX8W6EV66</t>
  </si>
  <si>
    <t>PHCRDLZ4D5OM3KLSJO51</t>
  </si>
  <si>
    <t>ISV15G5LIXJ07DCCBB54</t>
  </si>
  <si>
    <t>5493005LNO5YKSV62440</t>
  </si>
  <si>
    <t>IESWU3ORVB7T21TZOK62</t>
  </si>
  <si>
    <t>59XEFVW4X7TH0P0TTO53</t>
  </si>
  <si>
    <t>42HZ1250N7L2XX7D2O57</t>
  </si>
  <si>
    <t>YC687IYK3YNG6GFMIP46</t>
  </si>
  <si>
    <t>VQ7KTTKC6JYT3Z0OT594</t>
  </si>
  <si>
    <t>S2VPRA48UQK8E77VGR31</t>
  </si>
  <si>
    <t>Z0M7RG6H2J4XEH4ERN57</t>
  </si>
  <si>
    <t>549300B5IZ87Z3C1X363</t>
  </si>
  <si>
    <t>VURY5GY8X0LH5X1N8S52</t>
  </si>
  <si>
    <t>03EINY24LQ6IXW124R72</t>
  </si>
  <si>
    <t>WVBMRMNWTTC6APYS2M36</t>
  </si>
  <si>
    <t>5493008F8CJ4MIYYVW73</t>
  </si>
  <si>
    <t>36ILBNVKN71OGX8H4083</t>
  </si>
  <si>
    <t>V0LTZ5SIFHBE3XVJMA08</t>
  </si>
  <si>
    <t>549300B981XVWU0T4557</t>
  </si>
  <si>
    <t>HDUQYNW53X081TMBDI48</t>
  </si>
  <si>
    <t>549300VHPOIUHFA2P550</t>
  </si>
  <si>
    <t>549300A7OZWJ17ZJZJ22</t>
  </si>
  <si>
    <t>V56CFO6P14L5OEQME568</t>
  </si>
  <si>
    <t>33VOCVIZLJIW7Z785C43</t>
  </si>
  <si>
    <t>549300TICIKVGQ747B57</t>
  </si>
  <si>
    <t>RW4T4DVDW6DIPCGVPG44</t>
  </si>
  <si>
    <t>UD9DUFHWD5DXCTTIUJ58</t>
  </si>
  <si>
    <t>ULUOHBNBNPIKUZD5YT80</t>
  </si>
  <si>
    <t>EXR5RVUW8BYEMYTTQT50</t>
  </si>
  <si>
    <t>U6R8HI0VLZUCUZNDMP28</t>
  </si>
  <si>
    <t>SCJT70FBEL0PVWBRGW57</t>
  </si>
  <si>
    <t>4KOQG2PI096N733MLF14</t>
  </si>
  <si>
    <t>FRSBMW3RTX7XESAO4I18</t>
  </si>
  <si>
    <t>5493000UT4OVMUFINE11</t>
  </si>
  <si>
    <t>YMPRWNXSOB0OBFVWSR29</t>
  </si>
  <si>
    <t>549300JOJKPIDLO7YI42</t>
  </si>
  <si>
    <t>5493009302YVXNDV1K70</t>
  </si>
  <si>
    <t>549300I4RZP1KW7PQ471</t>
  </si>
  <si>
    <t>R39FKL3R6S7STT83SP94</t>
  </si>
  <si>
    <t>82OSNWW14YCLM6QFKR39</t>
  </si>
  <si>
    <t>N6GR7R2HO6GQJOGS2D88</t>
  </si>
  <si>
    <t>4DGZOKYFPK4IVUPHCT78</t>
  </si>
  <si>
    <t>YVL9QS2FTYW92X7V5756</t>
  </si>
  <si>
    <t>2I6PS1V87Y7QQJKD4S95</t>
  </si>
  <si>
    <t>LSUTPM7INYZX535CDJ60</t>
  </si>
  <si>
    <t>4TNTL25OE84PTO15VY15</t>
  </si>
  <si>
    <t>549300KCFHI7KK1E4366</t>
  </si>
  <si>
    <t>FZWS34B7HYNZF37F7L88</t>
  </si>
  <si>
    <t>VBF0QXKUM8U7P6DJDM08</t>
  </si>
  <si>
    <t>QCQA8IH6BH7H5OV8TM68</t>
  </si>
  <si>
    <t>LXSHO1M8D0ETG2PMPC44</t>
  </si>
  <si>
    <t>5493005FN2DBFIEDB742</t>
  </si>
  <si>
    <t>IN00JL1OZ85XTUX08221</t>
  </si>
  <si>
    <t>1JL7OWB6IXE38ODBKK51</t>
  </si>
  <si>
    <t>549300N40B244IRTRO25</t>
  </si>
  <si>
    <t>549300Z0NL0FVYVTK506</t>
  </si>
  <si>
    <t>549300GQCLZ0X3D7D830</t>
  </si>
  <si>
    <t>183M6H4TLDQ0JCJD5671</t>
  </si>
  <si>
    <t>J3CR7RQMQGPILZT8TV36</t>
  </si>
  <si>
    <t>RH2GSN4J3XM75SACQO84</t>
  </si>
  <si>
    <t>EHABQN2LJT7O17REQM22</t>
  </si>
  <si>
    <t>1HLYIBFMTEXQV0SDQG03</t>
  </si>
  <si>
    <t>NC3X59VQ4M6IG7KTXR35</t>
  </si>
  <si>
    <t>UIS2PM0232MFVDWEOW89</t>
  </si>
  <si>
    <t>549300RR72ZY0VY11J93</t>
  </si>
  <si>
    <t>WDW12FJ01U6TQI3XN903</t>
  </si>
  <si>
    <t>J1L21SK0XQM5UHF1OK52</t>
  </si>
  <si>
    <t>TGR8ZGCNFE86UWO5LP73</t>
  </si>
  <si>
    <t>FMANY58RP93IBI7PO179</t>
  </si>
  <si>
    <t>549300HQX24GRBC2F396</t>
  </si>
  <si>
    <t>U9SVFXJNHHFXARCR1V87</t>
  </si>
  <si>
    <t>549300036WABORR8IK28</t>
  </si>
  <si>
    <t>8PNPBUAU37MN7MSZPV92</t>
  </si>
  <si>
    <t>HUCH615N0UW63U6B3231</t>
  </si>
  <si>
    <t>HRYICT4QHEF0KROMY088</t>
  </si>
  <si>
    <t>Q5ZZHJGDI6KRIFD45P39</t>
  </si>
  <si>
    <t>2549009MZP0O3TPMM363</t>
  </si>
  <si>
    <t>XSE2VZVT9NITT0F82S76</t>
  </si>
  <si>
    <t>D0PDQ0FWX7HZ6RO81L34</t>
  </si>
  <si>
    <t>549300WZJ448753FXL39</t>
  </si>
  <si>
    <t>ILG6J7R29X7BBBXIBB30</t>
  </si>
  <si>
    <t>549300BOBTNJHNDHQL81</t>
  </si>
  <si>
    <t>N8T7HW55LK5D2ORCKP39</t>
  </si>
  <si>
    <t>PP1HQNTLFMXIFPD8YP43</t>
  </si>
  <si>
    <t>626D6FTWTHNONVQKU862</t>
  </si>
  <si>
    <t>549300OA79DKM2EKBT58</t>
  </si>
  <si>
    <t>549300707I65QES86I53</t>
  </si>
  <si>
    <t>WQNY03Y4Q3DJ33QYLG05</t>
  </si>
  <si>
    <t>54930072S75KX35I1654</t>
  </si>
  <si>
    <t>549300SL7FH0DG7NFM06</t>
  </si>
  <si>
    <t>549300E9WZG8QEUNV566</t>
  </si>
  <si>
    <t>G3VLLZM2CFXAWBULNP79</t>
  </si>
  <si>
    <t>549300SUVC37AAD0DT62</t>
  </si>
  <si>
    <t>5493009VPYKFFK7UXM97</t>
  </si>
  <si>
    <t>ZWNFQ48RUL8VJZ2AIC12</t>
  </si>
  <si>
    <t>5493009I2BLWUPVFNC67</t>
  </si>
  <si>
    <t>549300IKYYXPGBS8SS38</t>
  </si>
  <si>
    <t>529900NNUPAGGOMPXZ31</t>
  </si>
  <si>
    <t>549300NEQHXUX4MZIH22</t>
  </si>
  <si>
    <t>549300R0ZPYS6LVTM523</t>
  </si>
  <si>
    <t>549300XZSZ19NZ299H16</t>
  </si>
  <si>
    <t>DJS9WROV0VX53O13U638</t>
  </si>
  <si>
    <t>549300LC1UB2BD2KUQ83</t>
  </si>
  <si>
    <t>549300NBR6NKGF5ET734</t>
  </si>
  <si>
    <t>549300DLQTFJB5GTT704</t>
  </si>
  <si>
    <t>549300WSZWDKJL038189</t>
  </si>
  <si>
    <t>549300J0X8HK9GUADL55</t>
  </si>
  <si>
    <t>984500V3DAEBBF81AA79</t>
  </si>
  <si>
    <t>BE6XXRU40SWTVEN7WO80</t>
  </si>
  <si>
    <t>213800RY9L1SUB9SIR23</t>
  </si>
  <si>
    <t>549300IM8FF137ONX544</t>
  </si>
  <si>
    <t>549300PEH6R7KZLIMC28</t>
  </si>
  <si>
    <t>549300CYTVWHSW0RTA37</t>
  </si>
  <si>
    <t>549300FMPETKV5WPMW57</t>
  </si>
  <si>
    <t>549300XOB6ICBPH2W749</t>
  </si>
  <si>
    <t>5493009UWJXFLV2BW682</t>
  </si>
  <si>
    <t>549300DEZG7Z4LU6BC91</t>
  </si>
  <si>
    <t>549300UQ0SJWE8CXXF96</t>
  </si>
  <si>
    <t>54930058MZR87X6O6D52</t>
  </si>
  <si>
    <t>213800WZK6BK56Z3Z479</t>
  </si>
  <si>
    <t>959800MUYK9LPUAABY24</t>
  </si>
  <si>
    <t>549300RGR3RUMCHY2F53</t>
  </si>
  <si>
    <t>254900FNRGCSHDLSQ307</t>
  </si>
  <si>
    <t>549300PN2VZXCA7K5E05</t>
  </si>
  <si>
    <t>549300UH6D5S6ZMCZ616</t>
  </si>
  <si>
    <t>R1JB4KXN77XFCXOQKV49</t>
  </si>
  <si>
    <t>54930064MORC1HBHHV50</t>
  </si>
  <si>
    <t>549300LTY5WOKLM3SO74</t>
  </si>
  <si>
    <t>5493004WDKI13N1QJ519</t>
  </si>
  <si>
    <t>549300FPFXEOSZEOXG79</t>
  </si>
  <si>
    <t>213800OEIJJPAMOFV795</t>
  </si>
  <si>
    <t>4469000001BFZSCRKY80</t>
  </si>
  <si>
    <t>54930061ENE0JDEKQY24</t>
  </si>
  <si>
    <t>549300KYHRRLN6PLT250</t>
  </si>
  <si>
    <t>254900R3I1F7EO30KA40</t>
  </si>
  <si>
    <t>549300DUOO1KXOHPM605</t>
  </si>
  <si>
    <t>549300W3ZIS47J0YFN19</t>
  </si>
  <si>
    <t>4469000001BOUKDPUO61</t>
  </si>
  <si>
    <t>3003002GRQELXURNAJ87</t>
  </si>
  <si>
    <t>549300NH1D6L7FXXEP03</t>
  </si>
  <si>
    <t>549300T167XWWKCEDP79</t>
  </si>
  <si>
    <t>54930060N8ORJLHXUP98</t>
  </si>
  <si>
    <t>549300LT5XCTCPXRIV60</t>
  </si>
  <si>
    <t>549300IE8IDOTNXPVI81</t>
  </si>
  <si>
    <t>894500QA5TKXTW9BAQ42</t>
  </si>
  <si>
    <t>WMCN2DJTKK3WZ67EQK88</t>
  </si>
  <si>
    <t>549300MBMDFMPG685G40</t>
  </si>
  <si>
    <t>5493005SC03DJVV34244</t>
  </si>
  <si>
    <t>549300C0QI8NGGV3IS32</t>
  </si>
  <si>
    <t>549300M7W47Y2QYL5P27</t>
  </si>
  <si>
    <t>549300OLX0DZCIPFBI04</t>
  </si>
  <si>
    <t>549300XNYMRUY1GCY244</t>
  </si>
  <si>
    <t>549300I04PB7X2824122</t>
  </si>
  <si>
    <t>549300QUSGZ4B0L8NW20</t>
  </si>
  <si>
    <t>4469000001BQ84TD8J26</t>
  </si>
  <si>
    <t>254900M1A67X6ZEW4Y95</t>
  </si>
  <si>
    <t>549300KE78SX8RVDNO58</t>
  </si>
  <si>
    <t>549300COQ6JTNCCVMV87</t>
  </si>
  <si>
    <t>5493003YPN7LTDW3J691</t>
  </si>
  <si>
    <t>549300JM5TBSJXS1BN87</t>
  </si>
  <si>
    <t>5493009FUVX8LHYY2202</t>
  </si>
  <si>
    <t>54930014OKR2ZUV4NO82</t>
  </si>
  <si>
    <t>HRRVUBV0XN84YQZT6245</t>
  </si>
  <si>
    <t>549300RF2OC9SVEAYH76</t>
  </si>
  <si>
    <t>549300ED6C93BGYAS129</t>
  </si>
  <si>
    <t>549300YTJ66LYGYTTC68</t>
  </si>
  <si>
    <t>54930065SP5TS2MPI418</t>
  </si>
  <si>
    <t>5493003E8VJO5B895F42</t>
  </si>
  <si>
    <t>5493007IZJQ7PCYU7J25</t>
  </si>
  <si>
    <t>549300YHIO35JMTQSC63</t>
  </si>
  <si>
    <t>5493002CKNOJTQNJIT39</t>
  </si>
  <si>
    <t>549300ZXH0VRBSEPX752</t>
  </si>
  <si>
    <t>549300BIYGKDT9KM6P84</t>
  </si>
  <si>
    <t>549300K40B2W5146VL71</t>
  </si>
  <si>
    <t>549300DRACVSC7MKG133</t>
  </si>
  <si>
    <t>549300DE8ZAIYS2T6Q22</t>
  </si>
  <si>
    <t>549300GRASRUCEBY7V43</t>
  </si>
  <si>
    <t>549300VSBVN6J3P7AF23</t>
  </si>
  <si>
    <t>4469000001BQJMHDQB94</t>
  </si>
  <si>
    <t>549300JXYVE2K0NAO278</t>
  </si>
  <si>
    <t>LQPXMHHNJKIPJYE53543</t>
  </si>
  <si>
    <t>549300SDYDKS0HJFVX85</t>
  </si>
  <si>
    <t>M7FIYIZJ359G1LFKT848</t>
  </si>
  <si>
    <t>4469000001BRM6Z7HX44</t>
  </si>
  <si>
    <t>4469000001C34MAK9Y26</t>
  </si>
  <si>
    <t>4469000001BRZF3CSJ20</t>
  </si>
  <si>
    <t>5967007LIEEXZXCD1445</t>
  </si>
  <si>
    <t>213800IC8WZBEU3PSK26</t>
  </si>
  <si>
    <t>549300V305N5MLPM1H93</t>
  </si>
  <si>
    <t>549300XS3GAKV24EJ544</t>
  </si>
  <si>
    <t>5493005E3ALF4VMMQH85</t>
  </si>
  <si>
    <t>549300DFQ52XJFJ8EB48</t>
  </si>
  <si>
    <t>549300KH3UTHYQV0ZF33</t>
  </si>
  <si>
    <t>549300078RV3MTF8J394</t>
  </si>
  <si>
    <t>2138004G59FXEAZ6IO10</t>
  </si>
  <si>
    <t>213800HYL1S7VAXG6Z48</t>
  </si>
  <si>
    <t>549300QOK0YV3IC6QB78</t>
  </si>
  <si>
    <t>213800YR3ZD2Z72CTS39</t>
  </si>
  <si>
    <t>549300LH83HVJPNZ6G83</t>
  </si>
  <si>
    <t>549300K233JVWSQMTZ71</t>
  </si>
  <si>
    <t>5493003E825XP5CDFY93</t>
  </si>
  <si>
    <t>4P4N3ORD02UGQT1T1W12</t>
  </si>
  <si>
    <t>549300XWQ70BZ47BNE54</t>
  </si>
  <si>
    <t>549300DBDCVZPLXHN447</t>
  </si>
  <si>
    <t>54930032UVK1RWW0C336</t>
  </si>
  <si>
    <t>549300CH1C0CQ87EFO25</t>
  </si>
  <si>
    <t>54930044PULMORCKB765</t>
  </si>
  <si>
    <t>54930011HJERN2MH4L88</t>
  </si>
  <si>
    <t>R3UAS8ZZ3CGV33T47G79</t>
  </si>
  <si>
    <t>5493008C12PZMWP3WY03</t>
  </si>
  <si>
    <t>549300PV16C2TA1DPA40</t>
  </si>
  <si>
    <t>549300OY0IS7OXJAZ010</t>
  </si>
  <si>
    <t>549300P7QN1SDIOQVL28</t>
  </si>
  <si>
    <t>5493008P735YB22YPB89</t>
  </si>
  <si>
    <t>549300MUQ1U3FERPZV92</t>
  </si>
  <si>
    <t>1VWB5MQEC8NI7VLPW398</t>
  </si>
  <si>
    <t>549300DT8SH0CF6BTT37</t>
  </si>
  <si>
    <t>549300VGWWRKF2NG0H91</t>
  </si>
  <si>
    <t>4469000001BR2L5MK554</t>
  </si>
  <si>
    <t>213800MDLAQD8SYOG352</t>
  </si>
  <si>
    <t>213800HGZUJQGGCEUH13</t>
  </si>
  <si>
    <t>549300RMHF1NLJ25CP94</t>
  </si>
  <si>
    <t>213800A46CIWY8PRCU52</t>
  </si>
  <si>
    <t>254900Y6EO3RRFZJER77</t>
  </si>
  <si>
    <t>254900LWME23U23RQ390</t>
  </si>
  <si>
    <t>549300SH7MJA176MZJ82</t>
  </si>
  <si>
    <t>549300TOUZ7Q3R68VP62</t>
  </si>
  <si>
    <t>4469000001BS90LSN837</t>
  </si>
  <si>
    <t>254900L5U36F2IV48917</t>
  </si>
  <si>
    <t>3003002K4GPQ4S2HCV09</t>
  </si>
  <si>
    <t>549300OC3MNYJV8NNJ56</t>
  </si>
  <si>
    <t>5493008P5FXWOI0JE819</t>
  </si>
  <si>
    <t>549300K3GCBT4QOSW803</t>
  </si>
  <si>
    <t>549300WTVI4KO4GEJN54</t>
  </si>
  <si>
    <t>IPLPO8C7P68Q5FFRI280</t>
  </si>
  <si>
    <t>JMU2DV6XSSVT3A3BLW19</t>
  </si>
  <si>
    <t>549300CVLETG56D3VF58</t>
  </si>
  <si>
    <t>549300O0QCVSQGPGDT58</t>
  </si>
  <si>
    <t>ZXOVMTW1OS6Z6XPSLX60</t>
  </si>
  <si>
    <t>2549008BXHUZEJF7QJ12</t>
  </si>
  <si>
    <t>549300ZHEHX8M31RP142</t>
  </si>
  <si>
    <t>55XO0OZ0X7D2DKGKJ453</t>
  </si>
  <si>
    <t>5493002V17V770PJU934</t>
  </si>
  <si>
    <t>529900HEKOENJHPNN480</t>
  </si>
  <si>
    <t>549300BGPZMPYWTRFP64</t>
  </si>
  <si>
    <t>254900WJ0G6ATZBFYN40</t>
  </si>
  <si>
    <t>5493005S7NADGXIL8C02</t>
  </si>
  <si>
    <t>969500TJ5KRTCJQWXH05</t>
  </si>
  <si>
    <t>549300DI6JJS54P34128</t>
  </si>
  <si>
    <t>2549009Y28DBBVU6E009</t>
  </si>
  <si>
    <t>213800BVEFNZ8UYPKL03</t>
  </si>
  <si>
    <t>WXD0EHQRPI7HKN3I5T57</t>
  </si>
  <si>
    <t>5493008TV7X98QYYJ657</t>
  </si>
  <si>
    <t>5493004ULDA0NVDE0W48</t>
  </si>
  <si>
    <t>549300G4LW1URXF5AC69</t>
  </si>
  <si>
    <t>213800G4ZG46RMFINF02</t>
  </si>
  <si>
    <t>213800V8DW7PAQDSCH98</t>
  </si>
  <si>
    <t>724500IV7LZODNCWGC07</t>
  </si>
  <si>
    <t>549300O7WI9GTKLNND94</t>
  </si>
  <si>
    <t>549300X8VMMV2YVQR747</t>
  </si>
  <si>
    <t>549300XHVNLZV7PU3H21</t>
  </si>
  <si>
    <t>549300WJ8YGPJW8YJU90</t>
  </si>
  <si>
    <t>254900Q9XI77U03R6L47</t>
  </si>
  <si>
    <t>54930065ZY3KOGDJ5P68</t>
  </si>
  <si>
    <t>5493006QO0F13GV1XR02</t>
  </si>
  <si>
    <t>PT3Q8PP56K63VUB5WV41</t>
  </si>
  <si>
    <t>549300T9AOCI54GOSY02</t>
  </si>
  <si>
    <t>54930035ZWRNWAV87196</t>
  </si>
  <si>
    <t>549300F8C2944BV6XH65</t>
  </si>
  <si>
    <t>4S66HJ5RNB5ZWG9YW219</t>
  </si>
  <si>
    <t>549300WN65YFEQH74Y36</t>
  </si>
  <si>
    <t>549300XXZMYDO0N2DZ71</t>
  </si>
  <si>
    <t>549300OK400DETACTD79</t>
  </si>
  <si>
    <t>549300T5G56HZH1I6F15</t>
  </si>
  <si>
    <t>529900T15YNCXUVTIU56</t>
  </si>
  <si>
    <t>5493000EB732GO3MMK19</t>
  </si>
  <si>
    <t>549300KXLW8UHVOTJ788</t>
  </si>
  <si>
    <t>549300RQJFQ5X8HUWR87</t>
  </si>
  <si>
    <t>5493001XDS0Q32K4OE15</t>
  </si>
  <si>
    <t>549300DXG5BI96F7S114</t>
  </si>
  <si>
    <t>254900I2EQPH1ANATN84</t>
  </si>
  <si>
    <t>549300X31W1VH54HBG55</t>
  </si>
  <si>
    <t>549300GDPG70E3MBBU98</t>
  </si>
  <si>
    <t>5493009SX8QJBZYIGB87</t>
  </si>
  <si>
    <t>549300RDR012H2V82H43</t>
  </si>
  <si>
    <t>549300GO47L356BLOT53</t>
  </si>
  <si>
    <t>549300W3UW58CEGC6747</t>
  </si>
  <si>
    <t>5493005QTUVGL6PI7C50</t>
  </si>
  <si>
    <t>549300BBNYFIGYUTII47</t>
  </si>
  <si>
    <t>549300K1YJMSAM1GH775</t>
  </si>
  <si>
    <t>549300X7CFZMNE2POE32</t>
  </si>
  <si>
    <t>549300SVX2E7BU0PDC63</t>
  </si>
  <si>
    <t>549300XQG1DXCIO5RA29</t>
  </si>
  <si>
    <t>549300RQS253ACGNJL98</t>
  </si>
  <si>
    <t>549300K2MYPIP58XVJ75</t>
  </si>
  <si>
    <t>54930064HZE0RSQ7YB04</t>
  </si>
  <si>
    <t>549300U4BA9BPJBC6Y88</t>
  </si>
  <si>
    <t>549300207YD6LPZH1J37</t>
  </si>
  <si>
    <t>549300K49WGSLDHLM846</t>
  </si>
  <si>
    <t>549300YOXXO5BYUDKS97</t>
  </si>
  <si>
    <t>549300CJF8IV4A510V45</t>
  </si>
  <si>
    <t>NUXTG47HHHM1K2L0SG39</t>
  </si>
  <si>
    <t>549300JTJBG2QBI8KD48</t>
  </si>
  <si>
    <t>JLP5FSPH9WPSHY3NIM24</t>
  </si>
  <si>
    <t>549300VGE7QN15BPTZ72</t>
  </si>
  <si>
    <t>549300TGYZ8E1F0VTQ71</t>
  </si>
  <si>
    <t>254900D0M2CSOE12DG59</t>
  </si>
  <si>
    <t>549300YAWZMXJNZT2447</t>
  </si>
  <si>
    <t>549300TE72QZCLE47467</t>
  </si>
  <si>
    <t>UI802FYJ52XDB7N4KN18</t>
  </si>
  <si>
    <t>TP9WEQL6JOF6GP647G47</t>
  </si>
  <si>
    <t>254900IH4U9NHH9AQM97</t>
  </si>
  <si>
    <t>FUKBWKZPQPD7DNK1WY51</t>
  </si>
  <si>
    <t>PHUTZYJUPS8NPQXM0P55</t>
  </si>
  <si>
    <t>25490002BUTSMP94GO68</t>
  </si>
  <si>
    <t>549300VDQIMMRVB0WQ45</t>
  </si>
  <si>
    <t>54930083UJGDUCMJMU61</t>
  </si>
  <si>
    <t>3003001C0RO724J15P08</t>
  </si>
  <si>
    <t>5493008TQRXOTZG66064</t>
  </si>
  <si>
    <t>549300YSOD22MI9G8N28</t>
  </si>
  <si>
    <t>5493005MRKTM84JXOO31</t>
  </si>
  <si>
    <t>5493000MPVD0RN36E075</t>
  </si>
  <si>
    <t>549300F5CZ9M8S1JER97</t>
  </si>
  <si>
    <t>549300432NAM5N8EGV56</t>
  </si>
  <si>
    <t>2549002WHK9XGQC01O62</t>
  </si>
  <si>
    <t>549300D1H731B30TSI43</t>
  </si>
  <si>
    <t>549300ZKXV1OCZQWDK34</t>
  </si>
  <si>
    <t>549300OCOEQHOK83RI36</t>
  </si>
  <si>
    <t>Q4ZWFZ2PKK979ZCHTR12</t>
  </si>
  <si>
    <t>529900YHRPQXXQ333M09</t>
  </si>
  <si>
    <t>5493005YJ6LH5ML7R698</t>
  </si>
  <si>
    <t>549300MWD5IIK4NFZW07</t>
  </si>
  <si>
    <t>3MVEV2MNN51KEXS7T838</t>
  </si>
  <si>
    <t>549300PXLOILP2VWJU79</t>
  </si>
  <si>
    <t>549300OZ46BRLZ8Y6F65</t>
  </si>
  <si>
    <t>549300VLM68O3RZJ7X31</t>
  </si>
  <si>
    <t>549300X7767HIID3YE28</t>
  </si>
  <si>
    <t>549300M38046P7FYQB13</t>
  </si>
  <si>
    <t>4469000001BRNMC8TJ48</t>
  </si>
  <si>
    <t>4469000001C33AODYR29</t>
  </si>
  <si>
    <t>4469000001C33COLGJ95</t>
  </si>
  <si>
    <t>54930028EZKBY3VF2528</t>
  </si>
  <si>
    <t>549300PT2UN55PCTM141</t>
  </si>
  <si>
    <t>5493007UKX9IKN70C114</t>
  </si>
  <si>
    <t>P3RPN9OJFCXUPJWB1Q09</t>
  </si>
  <si>
    <t>4469000001C4ECM6RL39</t>
  </si>
  <si>
    <t>COOWI3L2W9TPYR3WJX37</t>
  </si>
  <si>
    <t>549300SIHZYAA5Z2CB79</t>
  </si>
  <si>
    <t>549300DUVEV636ITQ205</t>
  </si>
  <si>
    <t>549300W6P3376TVQ2O44</t>
  </si>
  <si>
    <t>5493002GXO8VR6LPON80</t>
  </si>
  <si>
    <t>213800REBFN6T3PU8L97</t>
  </si>
  <si>
    <t>54930035VCGSMWV18S21</t>
  </si>
  <si>
    <t>4469000001C52XYRGF66</t>
  </si>
  <si>
    <t>25490033CKNJK62I9Z89</t>
  </si>
  <si>
    <t>TPHWKPW6MRKN6NESLU52</t>
  </si>
  <si>
    <t>254900CDLU5OS06M6K24</t>
  </si>
  <si>
    <t>33580099TUORRMRYD298</t>
  </si>
  <si>
    <t>549300VR5CKDV8ADQH77</t>
  </si>
  <si>
    <t>54930038I7SCB6A4BY43</t>
  </si>
  <si>
    <t>5493007O8FKJ7YLMPQ42</t>
  </si>
  <si>
    <t>529900QZ2LMYKR8DSG53</t>
  </si>
  <si>
    <t>549300QJJX6CVVUXLE15</t>
  </si>
  <si>
    <t>DSUNN7YRI7BF3VMQWW95</t>
  </si>
  <si>
    <t>4469000001BRXJOLE031</t>
  </si>
  <si>
    <t>549300ME0VR14GEXLH12</t>
  </si>
  <si>
    <t>529900S37EMGYP84J616</t>
  </si>
  <si>
    <t>O6FH5MIKN9JCILM69649</t>
  </si>
  <si>
    <t>969500ULC0Y1IG0A4O72</t>
  </si>
  <si>
    <t>549300OIKFWW845BMD07</t>
  </si>
  <si>
    <t>549300ZE0OCMCYHEC876</t>
  </si>
  <si>
    <t>549300RG0ZWOI768JI02</t>
  </si>
  <si>
    <t>549300M8BLUTOYVBTT63</t>
  </si>
  <si>
    <t>549300LJSFUIYXK5VR36</t>
  </si>
  <si>
    <t>549300XHQS1JYWBNK868</t>
  </si>
  <si>
    <t>549300POHQDR6DDQTR35</t>
  </si>
  <si>
    <t>549300HJ8VS88NIO3006</t>
  </si>
  <si>
    <t>549300XKY04ZJV7RIX02</t>
  </si>
  <si>
    <t>549300S4GZVV5GW3VH47</t>
  </si>
  <si>
    <t>VYVVCKR63DVZZN70PB21</t>
  </si>
  <si>
    <t>549300LB6UMP66DO2P43</t>
  </si>
  <si>
    <t>549300VCK89ESW76NE28</t>
  </si>
  <si>
    <t>815600434B23992F9740</t>
  </si>
  <si>
    <t>4469000001BO0RXN5632</t>
  </si>
  <si>
    <t>549300I06DSC67WNL574</t>
  </si>
  <si>
    <t>549300E5YN9IEK76NZ10</t>
  </si>
  <si>
    <t>5493005UAF5R2W4DL323</t>
  </si>
  <si>
    <t>549300GEP62IUCL05M64</t>
  </si>
  <si>
    <t>549300YOHCW8X6YTJD33</t>
  </si>
  <si>
    <t>549300UTCJV1K4FT3624</t>
  </si>
  <si>
    <t>549300FSNEJ6LY1KIF66</t>
  </si>
  <si>
    <t>549300TONOZNMTB1YX10</t>
  </si>
  <si>
    <t>2549007FW8MAC7K9UK88</t>
  </si>
  <si>
    <t>5493001O36CVKPVL2D48</t>
  </si>
  <si>
    <t>JUNT405OW8OY5GN4DX16</t>
  </si>
  <si>
    <t>4469000001BPSEYOWJ83</t>
  </si>
  <si>
    <t>549300UFLB90HNN0WZ68</t>
  </si>
  <si>
    <t>5493003KLK061URXMM20</t>
  </si>
  <si>
    <t>549300P524DEGQWCWD64</t>
  </si>
  <si>
    <t>549300Z8EUUJQJFFTO04</t>
  </si>
  <si>
    <t>4469000001BO0RZ3TW76</t>
  </si>
  <si>
    <t>4469000001BSG9D0U844</t>
  </si>
  <si>
    <t>213800R63YR1L8PEAA02</t>
  </si>
  <si>
    <t>549300URDEZ7S2LGMW88</t>
  </si>
  <si>
    <t>4469000001BRNQDTKK49</t>
  </si>
  <si>
    <t>7437007ALEZNCJGTGA67</t>
  </si>
  <si>
    <t>549300FVD71D2Q9TVR77</t>
  </si>
  <si>
    <t>549300NKFOI0ALVCTS33</t>
  </si>
  <si>
    <t>549300MQXYLTY0NWTT88</t>
  </si>
  <si>
    <t>5493003ZIKAH6HH1KL34</t>
  </si>
  <si>
    <t>5493002RWN2TTFICHF47</t>
  </si>
  <si>
    <t>5493007QZPNKIEVLEC28</t>
  </si>
  <si>
    <t>5493002GVIP0LSVSQW79</t>
  </si>
  <si>
    <t>549300G2LG4YUB3MM115</t>
  </si>
  <si>
    <t>549300I1B1U1HB4HRH77</t>
  </si>
  <si>
    <t>213800Y1KZLBMHGMTJ05</t>
  </si>
  <si>
    <t>BFXS5XCH7N0Y05NIXW11</t>
  </si>
  <si>
    <t>549300UYNXMI821WYG82</t>
  </si>
  <si>
    <t>4469000001BRNRU99A61</t>
  </si>
  <si>
    <t>4469000001CM6PCO3R79</t>
  </si>
  <si>
    <t>549300NFTY73920OYK69</t>
  </si>
  <si>
    <t>5493008EKOD7VIY3LM85</t>
  </si>
  <si>
    <t>549300AUG2XU7SWOBD36</t>
  </si>
  <si>
    <t>549300O0NTJ2YG6WSF07</t>
  </si>
  <si>
    <t>3379V8ZPZKCNZWO8YR10</t>
  </si>
  <si>
    <t>549300H2WOYEXWT3IN27</t>
  </si>
  <si>
    <t>549300E8GMU1FKVW1Q03</t>
  </si>
  <si>
    <t>549300WQWDPFSMQ8I087</t>
  </si>
  <si>
    <t>2138002WF15H6OPIHD69</t>
  </si>
  <si>
    <t>254900FVBST7UTLDAG87</t>
  </si>
  <si>
    <t>2549002PYIOFBXKYAC28</t>
  </si>
  <si>
    <t>549300134JOIXUR96M47</t>
  </si>
  <si>
    <t>549300GKT6WU4LUC2K28</t>
  </si>
  <si>
    <t>549300TKO2CC164ZDJ43</t>
  </si>
  <si>
    <t>549300IM7J3MFES6UZ51</t>
  </si>
  <si>
    <t>4469000001BRL7NFTX57</t>
  </si>
  <si>
    <t>5493005S6H648J8YCX95</t>
  </si>
  <si>
    <t>549300GFJ2M545V5TJ85</t>
  </si>
  <si>
    <t>549300VS12FHO2MRJY89</t>
  </si>
  <si>
    <t>5493002BY31JV9UBWY92</t>
  </si>
  <si>
    <t>54930024PAT1WUCCWY40</t>
  </si>
  <si>
    <t>4469000001BRUWFNJH05</t>
  </si>
  <si>
    <t>54930072S07WJGD7TA28</t>
  </si>
  <si>
    <t>254900SI7GPUPA1TJX39</t>
  </si>
  <si>
    <t>5493000ND0IPRGB7IT75</t>
  </si>
  <si>
    <t>549300VKGYF1HZ5KWP08</t>
  </si>
  <si>
    <t>549300HFZ79K1KSXJU45</t>
  </si>
  <si>
    <t>4469000001BTU8M60B43</t>
  </si>
  <si>
    <t>2138002GI1GKI3V4UG48</t>
  </si>
  <si>
    <t>5493000LE2PFR6X4RR93</t>
  </si>
  <si>
    <t>549300OKCQTW2TS27261</t>
  </si>
  <si>
    <t>549300F8PXAZBCJ83Z26</t>
  </si>
  <si>
    <t>549300TLMD8278Y6RU93</t>
  </si>
  <si>
    <t>5493001FSSF3LOZM1982</t>
  </si>
  <si>
    <t>549300TZUJIQZXKZ0169</t>
  </si>
  <si>
    <t>2138007JHFY6I5TAVD54</t>
  </si>
  <si>
    <t>254900DE1KVPGT9H3J43</t>
  </si>
  <si>
    <t>549300I6GDJTNG3HEN47</t>
  </si>
  <si>
    <t>549300K23JPL0SS3LB18</t>
  </si>
  <si>
    <t>549300XIU4JQ0GKLRG88</t>
  </si>
  <si>
    <t>549300OVNUHQV4F6WD17</t>
  </si>
  <si>
    <t>4469000001BTN82WAP88</t>
  </si>
  <si>
    <t>549300IYUUH221WBZ505</t>
  </si>
  <si>
    <t>6TIN7S7AEVZ717N6GQ95</t>
  </si>
  <si>
    <t>CGYP50QBGGR6NCHTSN68</t>
  </si>
  <si>
    <t>254900T3XUOSAMHD8U05</t>
  </si>
  <si>
    <t>5493003NFV65NELIEJ80</t>
  </si>
  <si>
    <t>549300146ZADOG5R5G86</t>
  </si>
  <si>
    <t>38BB4H4JFWMQTNI3W911</t>
  </si>
  <si>
    <t>7VHWWWW4UJS7NUM3PT30</t>
  </si>
  <si>
    <t>5493004K7UYU5A5Q9N49</t>
  </si>
  <si>
    <t>549300DHYN4LEAUZFL50</t>
  </si>
  <si>
    <t>549300CUM32XRGMRIJ03</t>
  </si>
  <si>
    <t>5493004VQ9VSL29MT373</t>
  </si>
  <si>
    <t>549300L1VH8OSFOOF429</t>
  </si>
  <si>
    <t>5493007TDTERNBZVHZ15</t>
  </si>
  <si>
    <t>L3I9ZG2KFGXZ61BMYR72</t>
  </si>
  <si>
    <t>549300SF6IW31D40VF83</t>
  </si>
  <si>
    <t>549300IRVQMKCUOJ0V03</t>
  </si>
  <si>
    <t>254900K3M2NX8IHX9L91</t>
  </si>
  <si>
    <t>549300T12EZ1F6PWWU29</t>
  </si>
  <si>
    <t>549300VX4WC30OTQ1E62</t>
  </si>
  <si>
    <t>549300FDRHR7KK5XV875</t>
  </si>
  <si>
    <t>5493003NDUJ55CFO7831</t>
  </si>
  <si>
    <t>5493002OQQTCON2GMX20</t>
  </si>
  <si>
    <t>549300DX7HSR212DFU45</t>
  </si>
  <si>
    <t>213800BGSXSH9WH1QX29</t>
  </si>
  <si>
    <t>213800F8RDH1QFB57H91</t>
  </si>
  <si>
    <t>3003002E22TCGOI5KO33</t>
  </si>
  <si>
    <t>549300MQ8BM30NB8W829</t>
  </si>
  <si>
    <t>549300CYTYS76EIBOP83</t>
  </si>
  <si>
    <t>549300VU4O6EITFY3798</t>
  </si>
  <si>
    <t>5493003VB3GIV6LKI315</t>
  </si>
  <si>
    <t>549300NH7T5XQBEHTW89</t>
  </si>
  <si>
    <t>549300JDOSBPPKZS1G80</t>
  </si>
  <si>
    <t>549300KJP64IQHDIX083</t>
  </si>
  <si>
    <t>5493007G94S7RB21YR57</t>
  </si>
  <si>
    <t>5493004NLEXB8DK06353</t>
  </si>
  <si>
    <t>5493005M03T6QJZGPW45</t>
  </si>
  <si>
    <t>549300USHHYF2B4V0G50</t>
  </si>
  <si>
    <t>549300CFAOBZWL3MKZ97</t>
  </si>
  <si>
    <t>549300D0F1MN607XPP70</t>
  </si>
  <si>
    <t>5493005SMYID1D2OY946</t>
  </si>
  <si>
    <t>549300UC2KZTPVNJQC52</t>
  </si>
  <si>
    <t>254900ENKAY89CYSUN51</t>
  </si>
  <si>
    <t>549300M57SK8CHS7BY38</t>
  </si>
  <si>
    <t>549300ARPH1ZI0P1R075</t>
  </si>
  <si>
    <t>549300T47B0Y7D0FSV02</t>
  </si>
  <si>
    <t>5493000SZ7NOM4G34E58</t>
  </si>
  <si>
    <t>5493004KAXA4QZ6ZUA46</t>
  </si>
  <si>
    <t>549300YXQVHFCP081U48</t>
  </si>
  <si>
    <t>4469000001BRQK1HK588</t>
  </si>
  <si>
    <t>549300UWEZKUMOXQ2C73</t>
  </si>
  <si>
    <t>300300C1030935001303</t>
  </si>
  <si>
    <t>N4JDFKKH2FTD8RKFXO39</t>
  </si>
  <si>
    <t>549300Q1KRKGZ0SG0X65</t>
  </si>
  <si>
    <t>4469000001BSP5W09593</t>
  </si>
  <si>
    <t>549300IJAYT0XKB7T436</t>
  </si>
  <si>
    <t>549300XTTKWA3DT26G46</t>
  </si>
  <si>
    <t>549300J7IGPL1QTONS12</t>
  </si>
  <si>
    <t>5493003EQP7E9JEDLH76</t>
  </si>
  <si>
    <t>4469000001BPSU8G7X67</t>
  </si>
  <si>
    <t>549300DEUV6BE727FP17</t>
  </si>
  <si>
    <t>5493006BQFXX2O6LT350</t>
  </si>
  <si>
    <t>YE13UXOJ54YQYXWYU890</t>
  </si>
  <si>
    <t>54930007584X80QZLN55</t>
  </si>
  <si>
    <t>4469000001BN125V6O88</t>
  </si>
  <si>
    <t>4469000001BPEK4IIC47</t>
  </si>
  <si>
    <t>4469000001BOKD1SLF13</t>
  </si>
  <si>
    <t>5493003ABQ6WFJH06E20</t>
  </si>
  <si>
    <t>30030004CM3GSZXX7O56</t>
  </si>
  <si>
    <t>549300LI0NL0AJ3TPI35</t>
  </si>
  <si>
    <t>549300DN8D7YR73BKB57</t>
  </si>
  <si>
    <t>4469000001C5B3SA7146</t>
  </si>
  <si>
    <t>335800DOMQAXASRAJG51</t>
  </si>
  <si>
    <t>254900PK4JDH70IUWX18</t>
  </si>
  <si>
    <t>549300HTP7WO878ISZ16</t>
  </si>
  <si>
    <t>549300F6B4Y2CLP4UT38</t>
  </si>
  <si>
    <t>254900SIC44UKBM2WI40</t>
  </si>
  <si>
    <t>33D7DTWH8BNIUWE0IF81</t>
  </si>
  <si>
    <t>549300FPS0L2V2TAKK25</t>
  </si>
  <si>
    <t>549300CMP6RJQ176CY43</t>
  </si>
  <si>
    <t>5493000YF770N2LNNP87</t>
  </si>
  <si>
    <t>549300HWCX8L21GWF043</t>
  </si>
  <si>
    <t>254900U2BSJCQHJCXN24</t>
  </si>
  <si>
    <t>8KEPZEVXKHU6G2R0SD14</t>
  </si>
  <si>
    <t>5299007G0N88K9WI8739</t>
  </si>
  <si>
    <t>54930024QTISBXZ2PZ61</t>
  </si>
  <si>
    <t>549300PQRA50DWQJNE57</t>
  </si>
  <si>
    <t>549300GVVPH9I6VWYP27</t>
  </si>
  <si>
    <t>EQNZNT235RBOJ6LJQZ02</t>
  </si>
  <si>
    <t>549300JSVDZIR2CPTP95</t>
  </si>
  <si>
    <t>5493003UOETFYRONLG31</t>
  </si>
  <si>
    <t>254900YUFIBANZ1XU687</t>
  </si>
  <si>
    <t>IEY25V8W6D7HRX2LB395</t>
  </si>
  <si>
    <t>549300991PEKFIGLDE07</t>
  </si>
  <si>
    <t>549300V1GZLQ5Y443S75</t>
  </si>
  <si>
    <t>254900P7BETXGC7YU827</t>
  </si>
  <si>
    <t>3538005JX81V3H77VM68</t>
  </si>
  <si>
    <t>549300V0Y2CIISXM1K98</t>
  </si>
  <si>
    <t>WZLTLD6L2BJV10RW8S55</t>
  </si>
  <si>
    <t>549300KKB88JV0D0AQ93</t>
  </si>
  <si>
    <t>5493003NFPD4SSOFO137</t>
  </si>
  <si>
    <t>549300ENZMC2HGOY4D92</t>
  </si>
  <si>
    <t>T33OE4AS4QXXS2TT7X50</t>
  </si>
  <si>
    <t>5493007XE76S35N0VQ46</t>
  </si>
  <si>
    <t>54930042CRNE713E3Q67</t>
  </si>
  <si>
    <t>P5B5Y60QVXCXET3W4188</t>
  </si>
  <si>
    <t>549300UELOOESZQLWV30</t>
  </si>
  <si>
    <t>TI62ZX93LKU8T35MS819</t>
  </si>
  <si>
    <t>549300T2PDG70XFZSM31</t>
  </si>
  <si>
    <t>8GTBE30G9EQQ2JEJZ302</t>
  </si>
  <si>
    <t>5299007I5Q5UTIXW9W65</t>
  </si>
  <si>
    <t>549300DPIRV7LSSIM021</t>
  </si>
  <si>
    <t>4469000001BR12ARD937</t>
  </si>
  <si>
    <t>4469000001C2RXAGL152</t>
  </si>
  <si>
    <t>4469000001BSG6T49D08</t>
  </si>
  <si>
    <t>2TKSLKX77KGJW03HV173</t>
  </si>
  <si>
    <t>549300XO10VWR472XY55</t>
  </si>
  <si>
    <t>254900Z1JWXX71JPR311</t>
  </si>
  <si>
    <t>2549009JY6I6PQET5422</t>
  </si>
  <si>
    <t>254900P46CX4K7MRHC38</t>
  </si>
  <si>
    <t>254900ESAFFODP9Z5495</t>
  </si>
  <si>
    <t>254900O6BLPG7EAAVO37</t>
  </si>
  <si>
    <t>2549003YB89FKYTY9104</t>
  </si>
  <si>
    <t>254900FCBIT15A03ZW02</t>
  </si>
  <si>
    <t>254900D3BERZNS6YC520</t>
  </si>
  <si>
    <t>2549002W69L5PZ1JXT55</t>
  </si>
  <si>
    <t>1LZEPUPYJQ6SU0JEGH12</t>
  </si>
  <si>
    <t>549300IIWX6YBRSE7Q41</t>
  </si>
  <si>
    <t>5493008UW4LTYEZEU118</t>
  </si>
  <si>
    <t>5493003DS8XR1R3GYY27</t>
  </si>
  <si>
    <t>549300W5J8GFS2EWW335</t>
  </si>
  <si>
    <t>549300EHTA5NK9QKOB79</t>
  </si>
  <si>
    <t>222100JQWKXS26HT2902</t>
  </si>
  <si>
    <t>549300TTT53QYZUZML81</t>
  </si>
  <si>
    <t>549300LNQDL1MIRNZR43</t>
  </si>
  <si>
    <t>1P0UUG7LC1S92QTNHG39</t>
  </si>
  <si>
    <t>3358003FR3JIC5FRXA90</t>
  </si>
  <si>
    <t>549300VFVLR5KQ1Z3S56</t>
  </si>
  <si>
    <t>549300YC1BWS2YXUY416</t>
  </si>
  <si>
    <t>4469000001BPOL87JV07</t>
  </si>
  <si>
    <t>549300VXKGQI472N2K25</t>
  </si>
  <si>
    <t>213800Q5H1Q4B99WAX06</t>
  </si>
  <si>
    <t>JXJLPI1SIOHA86TP9317</t>
  </si>
  <si>
    <t>549300MW7XR2UCU4EL28</t>
  </si>
  <si>
    <t>4469000001BRY6O1FQ08</t>
  </si>
  <si>
    <t>4469000001BRDR86H195</t>
  </si>
  <si>
    <t>549300XZHTA2VXQWAL67</t>
  </si>
  <si>
    <t>549300VXM27ULPN0TR10</t>
  </si>
  <si>
    <t>549300HVWXJKP2BGCQ63</t>
  </si>
  <si>
    <t>5493009W3C3T4JAL0K51</t>
  </si>
  <si>
    <t>5493005XG1FNFID8Q852</t>
  </si>
  <si>
    <t>549300FIG4CX1O5Q6O50</t>
  </si>
  <si>
    <t>VGBVH14R5BHXQBSBUP86</t>
  </si>
  <si>
    <t>549300IFJV54R3YPZ414</t>
  </si>
  <si>
    <t>KGCEPHLVVKVRZYO1T647</t>
  </si>
  <si>
    <t>213800RPPIDPOFOSTR24</t>
  </si>
  <si>
    <t>549300EPPS5BIOHTDG88</t>
  </si>
  <si>
    <t>549300V786V8LHG13X78</t>
  </si>
  <si>
    <t>4K3YMG6NR9P9RR21L032</t>
  </si>
  <si>
    <t>OU1T3WRT0HTCZGXSYU41</t>
  </si>
  <si>
    <t>ACNW0NY2HRUGX1S3I712</t>
  </si>
  <si>
    <t>549300M3U2DNF4QVSS04</t>
  </si>
  <si>
    <t>549300BQ75AOIDB3AE96</t>
  </si>
  <si>
    <t>54930031K10E64RIIQ02</t>
  </si>
  <si>
    <t>549300CZFAKKUZDHH464</t>
  </si>
  <si>
    <t>824LMFJDH41EY779Q875</t>
  </si>
  <si>
    <t>4469000001BT98DRF043</t>
  </si>
  <si>
    <t>213800145A7GCNQYMP56</t>
  </si>
  <si>
    <t>21380042F7415QFFXD38</t>
  </si>
  <si>
    <t>213800LC6Y6P5YAHG784</t>
  </si>
  <si>
    <t>549300W0VKLZLBK0VP57</t>
  </si>
  <si>
    <t>549300ECX3KRNQROHV82</t>
  </si>
  <si>
    <t>549300MO4PIYW10JJ098</t>
  </si>
  <si>
    <t>254900QP6R03LS83RQ52</t>
  </si>
  <si>
    <t>29DX7H14B9S6O3FD6V18</t>
  </si>
  <si>
    <t>549300D9KJ3JXLPVHS60</t>
  </si>
  <si>
    <t>5493009C0ZL3IY8MD271</t>
  </si>
  <si>
    <t>5493006K3MLVETV7Q045</t>
  </si>
  <si>
    <t>549300NMQV5IKSXWK163</t>
  </si>
  <si>
    <t>549300IOA9519WBJSP17</t>
  </si>
  <si>
    <t>549300FC6T5DF8U9JL49</t>
  </si>
  <si>
    <t>549300E8GLINV6X3FU40</t>
  </si>
  <si>
    <t>549300QHEWSY03Z8IL27</t>
  </si>
  <si>
    <t>549300COLYGJ4CENS819</t>
  </si>
  <si>
    <t>54930002MHNKD1ROFJ63</t>
  </si>
  <si>
    <t>549300Q2434PM9E5WQ22</t>
  </si>
  <si>
    <t>98450001N7EE4B01DE74</t>
  </si>
  <si>
    <t>213800UQWC6KB34WEQ10</t>
  </si>
  <si>
    <t>42YMHYH0XMHJEXDUB065</t>
  </si>
  <si>
    <t>4469000001BJ30Z4YI41</t>
  </si>
  <si>
    <t>549300OR4PUEFIPILV60</t>
  </si>
  <si>
    <t>2549005UY861W9RA5J03</t>
  </si>
  <si>
    <t>54930074GVX0QKR0LI60</t>
  </si>
  <si>
    <t>EV2XZWMLLXF2QRX0CD47</t>
  </si>
  <si>
    <t>PJQDPSI1D8J2Q1IM3G17</t>
  </si>
  <si>
    <t>549300BB6HALYHSW2Q46</t>
  </si>
  <si>
    <t>549300CS27P0WDZZ6433</t>
  </si>
  <si>
    <t>549300YEJ83NC1TE0L28</t>
  </si>
  <si>
    <t>5493000KUDZRA10X0707</t>
  </si>
  <si>
    <t>549300XIZLHUYFCPJH13</t>
  </si>
  <si>
    <t>4469000001BS7S0V7O63</t>
  </si>
  <si>
    <t>4469000001BWL5YJYA75</t>
  </si>
  <si>
    <t>4469000001BSEV69WL33</t>
  </si>
  <si>
    <t>549300CO4Q7A6U0PDU26</t>
  </si>
  <si>
    <t>549300RSN9SFNT54IZ82</t>
  </si>
  <si>
    <t>549300MDZIQUCGTVPW85</t>
  </si>
  <si>
    <t>988400L1F3Y7NBQU7K77</t>
  </si>
  <si>
    <t>549300SKPGICSCYO4F13</t>
  </si>
  <si>
    <t>549300JZP6DJVI1B8770</t>
  </si>
  <si>
    <t>549300LWMRQHH008VO84</t>
  </si>
  <si>
    <t>549300Y5GIIDTB8FY724</t>
  </si>
  <si>
    <t>549300QTKNU0OBUJKZ16</t>
  </si>
  <si>
    <t>5493000OURIUZE4U7459</t>
  </si>
  <si>
    <t>5493001OOECXQR80QA81</t>
  </si>
  <si>
    <t>549300715OT5467KUW29</t>
  </si>
  <si>
    <t>5493007NYOS1FB303C71</t>
  </si>
  <si>
    <t>549300SFG85FUJ8WW071</t>
  </si>
  <si>
    <t>549300LO7X9S61OCUD23</t>
  </si>
  <si>
    <t>549300UMD47PSL4QV745</t>
  </si>
  <si>
    <t>549300LQSRIO3S7U0137</t>
  </si>
  <si>
    <t>2549002256EXISSLHD57</t>
  </si>
  <si>
    <t>254900A6LDI0HRL1VD69</t>
  </si>
  <si>
    <t>549300U68O7YNO6DJI47</t>
  </si>
  <si>
    <t>549300U8895M4STYQA95</t>
  </si>
  <si>
    <t>549300ZK7VJO38CJT925</t>
  </si>
  <si>
    <t>5493007XVJ8YPWG3V131</t>
  </si>
  <si>
    <t>549300DYE81USELI6P03</t>
  </si>
  <si>
    <t>XISJYHY7SSQAPTW67Z71</t>
  </si>
  <si>
    <t>549300EFNM4ME6FZX390</t>
  </si>
  <si>
    <t>549300B8E1IXERPDS327</t>
  </si>
  <si>
    <t>549300PCPSFQH36HJK82</t>
  </si>
  <si>
    <t>549300SH1JDIRFCIS452</t>
  </si>
  <si>
    <t>549300ANJQ2QY4J57M68</t>
  </si>
  <si>
    <t>54930078Y1VRL1H5QP44</t>
  </si>
  <si>
    <t>549300O0VIX12ACD2W41</t>
  </si>
  <si>
    <t>549300EE6NL3YE3EB198</t>
  </si>
  <si>
    <t>5493000OFTWNCTMTI583</t>
  </si>
  <si>
    <t>549300ZJCPJI6SKLI165</t>
  </si>
  <si>
    <t>5493002J3KITKZQH8D74</t>
  </si>
  <si>
    <t>5493002MXCOQM4UT7J64</t>
  </si>
  <si>
    <t>549300DU0S0LEBZQU652</t>
  </si>
  <si>
    <t>549300PC214NB9VPI695</t>
  </si>
  <si>
    <t>549300SCHXO2ZQV0TM56</t>
  </si>
  <si>
    <t>549300KL8A21SEIO8I47</t>
  </si>
  <si>
    <t>2549005AHASKYXOK4517</t>
  </si>
  <si>
    <t>549300K52UUSCHZ32Z03</t>
  </si>
  <si>
    <t>549300I5OQFQE7UJVO64</t>
  </si>
  <si>
    <t>549300WSJK92CDFQAY21</t>
  </si>
  <si>
    <t>213800P6KH4EZZX88958</t>
  </si>
  <si>
    <t>2138004GST5NZ1FQAN19</t>
  </si>
  <si>
    <t>213800PL18A9TWNB8B44</t>
  </si>
  <si>
    <t>213800TL2O413HA26X26</t>
  </si>
  <si>
    <t>213800ZEVCQUROTPHJ75</t>
  </si>
  <si>
    <t>213800Y2KTSJCFBRQ634</t>
  </si>
  <si>
    <t>213800LB28C31B1R8Y70</t>
  </si>
  <si>
    <t>213800Z21G2B5A95LA24</t>
  </si>
  <si>
    <t>2138004G82EW67H38521</t>
  </si>
  <si>
    <t>213800IMF7CCKUNL2G85</t>
  </si>
  <si>
    <t>213800FMN1CPPWMLZX18</t>
  </si>
  <si>
    <t>549300U2ESZ9VE1NBQ25</t>
  </si>
  <si>
    <t>213800YTP6CHVBAB3J29</t>
  </si>
  <si>
    <t>213800YVM3TWWOE5PS26</t>
  </si>
  <si>
    <t>213800ROF5AKPBJUBS91</t>
  </si>
  <si>
    <t>5493005DWWVUTLA6JF04</t>
  </si>
  <si>
    <t>2138002P5RNKC5W2JZ46</t>
  </si>
  <si>
    <t>213800JWZ2MUXLXTNA31</t>
  </si>
  <si>
    <t>213800JAZ811QYFKJU14</t>
  </si>
  <si>
    <t>213800ZU5C44IX3MVA40</t>
  </si>
  <si>
    <t>549300IGS3Z9JLFMD792</t>
  </si>
  <si>
    <t>5493002BIV0TQL016K57</t>
  </si>
  <si>
    <t>549300YQSJLN38DEH578</t>
  </si>
  <si>
    <t>549300MZ19K2FAFYWT20</t>
  </si>
  <si>
    <t>549300MO45LTBPAU4Z27</t>
  </si>
  <si>
    <t>549300Q7VSOW86QST494</t>
  </si>
  <si>
    <t>549300KTYQO9D36KB843</t>
  </si>
  <si>
    <t>213800TSUEO1BP2F4Z08</t>
  </si>
  <si>
    <t>5493009GHEIYVOLHPM86</t>
  </si>
  <si>
    <t>4469000001BFYI9RIL72</t>
  </si>
  <si>
    <t>4469000001BLTV4KVC69</t>
  </si>
  <si>
    <t>25490035PCYXRQ9CVE21</t>
  </si>
  <si>
    <t>254900J5AWOUMW6BYO46</t>
  </si>
  <si>
    <t>549300BDPX6B9NUL0008</t>
  </si>
  <si>
    <t>2549008O7Z6NC58H5Z55</t>
  </si>
  <si>
    <t>254900YVUBZNFJ9PCS53</t>
  </si>
  <si>
    <t>529900F3GYI42UFSA650</t>
  </si>
  <si>
    <t>549300VW14YUTYXOPZ69</t>
  </si>
  <si>
    <t>87550066I4TWVWY8RK70</t>
  </si>
  <si>
    <t>549300KFWCXTM1FCEI16</t>
  </si>
  <si>
    <t>549300U6PKQ4H1P34E17</t>
  </si>
  <si>
    <t>549300DU6J1Y6IPG7Z50</t>
  </si>
  <si>
    <t>0552JIREPRY5ZIETIM08</t>
  </si>
  <si>
    <t>254900748HGC4RBR4O84</t>
  </si>
  <si>
    <t>549300AO4NFQPL3JBB37</t>
  </si>
  <si>
    <t>54930072SI3MX3ZFC592</t>
  </si>
  <si>
    <t>549300S1SYQJL97KAF87</t>
  </si>
  <si>
    <t>549300MJAANHLHOVTO40</t>
  </si>
  <si>
    <t>254900KTL7N8BJJKDB10</t>
  </si>
  <si>
    <t>54930081LPJMUMEA6E57</t>
  </si>
  <si>
    <t>5493003L32ZX9557ST85</t>
  </si>
  <si>
    <t>549300IBZUFCN3AEVV39</t>
  </si>
  <si>
    <t>5493004E5MY2KUGWM114</t>
  </si>
  <si>
    <t>213800FSBEPXHNIOUB98</t>
  </si>
  <si>
    <t>549300OAHEWZ9NUJL153</t>
  </si>
  <si>
    <t>549300NYHGLS3EHI4T89</t>
  </si>
  <si>
    <t>549300TNA3IZ7II8BK71</t>
  </si>
  <si>
    <t>549300PRUUO2NJCZZ590</t>
  </si>
  <si>
    <t>549300QV0CTZN2SOFR42</t>
  </si>
  <si>
    <t>QNWEWQBS7HP85QHXQL92</t>
  </si>
  <si>
    <t>549300PPEOOVL010NX59</t>
  </si>
  <si>
    <t>549300NHKPN930SCL688</t>
  </si>
  <si>
    <t>I64VGYDQZPNN2ULXC257</t>
  </si>
  <si>
    <t>549300BOIORRHHQBKI70</t>
  </si>
  <si>
    <t>549300IMQ83DKPLTT409</t>
  </si>
  <si>
    <t>549300BD6YDL5F5F3L59</t>
  </si>
  <si>
    <t>213800ZZIJDMYGSQLT69</t>
  </si>
  <si>
    <t>549300V8PCG5KYOJF572</t>
  </si>
  <si>
    <t>549300YTMUOP1PVXIL04</t>
  </si>
  <si>
    <t>549300QGVHF4MPABBP22</t>
  </si>
  <si>
    <t>300300C1031031001330</t>
  </si>
  <si>
    <t>549300178UYO13L4LG56</t>
  </si>
  <si>
    <t>549300DVUHT471604X63</t>
  </si>
  <si>
    <t>549300VUVMRL6RE7R376</t>
  </si>
  <si>
    <t>549300VD5KP2KKHTRG64</t>
  </si>
  <si>
    <t>3JLC8CNH46VBWCDLY825</t>
  </si>
  <si>
    <t>54930059UMTYFNUJKW87</t>
  </si>
  <si>
    <t>875500NEPA7JI5EOMN45</t>
  </si>
  <si>
    <t>529900L64ASPXYT2R330</t>
  </si>
  <si>
    <t>5493003BH7WPX8DAMT91</t>
  </si>
  <si>
    <t>213800XV6ZAOWZ2IIS63</t>
  </si>
  <si>
    <t>549300GG271QNOJ1V755</t>
  </si>
  <si>
    <t>549300CCL2BKJGMYXV60</t>
  </si>
  <si>
    <t>PCTXNQGRJVR3OG33JG65</t>
  </si>
  <si>
    <t>549300351BQS1G5XIK74</t>
  </si>
  <si>
    <t>549300S7GOEVR0EGFN47</t>
  </si>
  <si>
    <t>54930068OELHUBHH1U03</t>
  </si>
  <si>
    <t>549300B3W1XQAHN1C596</t>
  </si>
  <si>
    <t>213800WQPFXJGOMRQ195</t>
  </si>
  <si>
    <t>549300NK5F9V4JIFYA28</t>
  </si>
  <si>
    <t>5493003RYOI00PT3XR08</t>
  </si>
  <si>
    <t>549300MRUFZ70YWOWR80</t>
  </si>
  <si>
    <t>5493004GGXVU126OUU40</t>
  </si>
  <si>
    <t>4469000001BPE73YTH93</t>
  </si>
  <si>
    <t>4469000001BR0YQKBG32</t>
  </si>
  <si>
    <t>5493002EE2IQRQ3JUP44</t>
  </si>
  <si>
    <t>549300PJBLRCIIBVFC96</t>
  </si>
  <si>
    <t>9884003SXQ4UVBN2MP24</t>
  </si>
  <si>
    <t>5493005LBCUSBJCJ5059</t>
  </si>
  <si>
    <t>529900F0WI3GP7KFQ880</t>
  </si>
  <si>
    <t>529900LC9KG6KU8ZFJ54</t>
  </si>
  <si>
    <t>5493003RZQYJM7QGNE15</t>
  </si>
  <si>
    <t>549300YB16TP6XU6BG62</t>
  </si>
  <si>
    <t>549300OB1Z5NHHPHZK56</t>
  </si>
  <si>
    <t>4469000001C3C6TLQY36</t>
  </si>
  <si>
    <t>5493004TC1619OPAD573</t>
  </si>
  <si>
    <t>549300G0G36WHJEGUI90</t>
  </si>
  <si>
    <t>549300NW303IYRUREL46</t>
  </si>
  <si>
    <t>2138008LPQ92DIHKHY20</t>
  </si>
  <si>
    <t>25490000MX377HHPSR96</t>
  </si>
  <si>
    <t>213800LAXWIUOOBZ3908</t>
  </si>
  <si>
    <t>549300HSG4BE1F4KZ321</t>
  </si>
  <si>
    <t>549300LB5E60HBGTLY31</t>
  </si>
  <si>
    <t>549300ZZI8LH8D8RPL28</t>
  </si>
  <si>
    <t>2549008MVD34535S8Q87</t>
  </si>
  <si>
    <t>549300KNFEMR6LYSIH82</t>
  </si>
  <si>
    <t>549300CLGO1XMY4OME47</t>
  </si>
  <si>
    <t>549300OUV24CUT8JSK44</t>
  </si>
  <si>
    <t>549300QLZ12OQ442QO37</t>
  </si>
  <si>
    <t>549300JR7FL1K8TP0219</t>
  </si>
  <si>
    <t>4469000001BT35Y5HN08</t>
  </si>
  <si>
    <t>254900EB5ARCC5X0NF75</t>
  </si>
  <si>
    <t>549300C1W7LJDOKN7O03</t>
  </si>
  <si>
    <t>549300RLPS73IBXNPV93</t>
  </si>
  <si>
    <t>54930044372R557M2452</t>
  </si>
  <si>
    <t>549300GPSZN2Y4QAKB17</t>
  </si>
  <si>
    <t>ETYRV6ORNFJB5NONI676</t>
  </si>
  <si>
    <t>5493002W4UYI8K38B941</t>
  </si>
  <si>
    <t>2138007BARKBPTBFTU36</t>
  </si>
  <si>
    <t>549300LCO2FLSSVFFR64</t>
  </si>
  <si>
    <t>2549000BCUSHGY6SZW33</t>
  </si>
  <si>
    <t>5493007L3IF8HED0SO47</t>
  </si>
  <si>
    <t>OK3MKCDYPD4NN6QDGK18</t>
  </si>
  <si>
    <t>FKGUXSVQ4OB24L2TPG63</t>
  </si>
  <si>
    <t>Y6AUBYIRDNR3L4IUH265</t>
  </si>
  <si>
    <t>543I7OI272GC21DVT022</t>
  </si>
  <si>
    <t>YOFNFTDEY0VHBO71S928</t>
  </si>
  <si>
    <t>5493004FCSVNVBL78Y35</t>
  </si>
  <si>
    <t>549300Z4XHHUKKOSAV97</t>
  </si>
  <si>
    <t>5493001W247F64HY0N57</t>
  </si>
  <si>
    <t>549300TO6DQEELVIO011</t>
  </si>
  <si>
    <t>5493001IG9ER2XTUSW80</t>
  </si>
  <si>
    <t>5493004KN02HVLWSOV31</t>
  </si>
  <si>
    <t>5493006RDO0454DJI136</t>
  </si>
  <si>
    <t>549300OTPHGR9AWRT968</t>
  </si>
  <si>
    <t>549300T7NO6UQMFQWT54</t>
  </si>
  <si>
    <t>549300NOBBAI0L9IUK36</t>
  </si>
  <si>
    <t>549300R0JH8IH1XY1972</t>
  </si>
  <si>
    <t>549300YMOYQF5LUHFX56</t>
  </si>
  <si>
    <t>5493008GAHYPHUIPBA97</t>
  </si>
  <si>
    <t>300300989KD3BXK6Z358</t>
  </si>
  <si>
    <t>549300VN4WV7Z6T14K68</t>
  </si>
  <si>
    <t>549300QBN69AKZK3TQ87</t>
  </si>
  <si>
    <t>2NRSB4GOU9DD6CNW5R48</t>
  </si>
  <si>
    <t>5493007EWXQS9GXKJM87</t>
  </si>
  <si>
    <t>254900UPPJV0IO5CEA34</t>
  </si>
  <si>
    <t>549300YNENDZ7HTNC258</t>
  </si>
  <si>
    <t>2549009R5NCY1DI0ZG82</t>
  </si>
  <si>
    <t>549300K4V85B2NWGQ249</t>
  </si>
  <si>
    <t>549300JGQI4DRLDJDV56</t>
  </si>
  <si>
    <t>549300MB66VESRD56790</t>
  </si>
  <si>
    <t>549300MP5VAUMKUWMF31</t>
  </si>
  <si>
    <t>549300JN77MWHWPKCB28</t>
  </si>
  <si>
    <t>54930098QYJII4DXYS34</t>
  </si>
  <si>
    <t>254900IRO21SMQF13D93</t>
  </si>
  <si>
    <t>254900Y76R712TU5CV67</t>
  </si>
  <si>
    <t>2549001F59882N528B51</t>
  </si>
  <si>
    <t>5493004UAFJBFBDAYI15</t>
  </si>
  <si>
    <t>549300A51Q2YXS1VZU55</t>
  </si>
  <si>
    <t>549300OO15SG3I7W8X57</t>
  </si>
  <si>
    <t>EC2837NM50M2I72ZCF05</t>
  </si>
  <si>
    <t>549300AKUZMC2OM8N570</t>
  </si>
  <si>
    <t>549300YUQJCYRU9RZ822</t>
  </si>
  <si>
    <t>254900JGS6TFJGJKDE24</t>
  </si>
  <si>
    <t>5493006V6URD4MMWWQ89</t>
  </si>
  <si>
    <t>549300HOJF3DRL55B408</t>
  </si>
  <si>
    <t>549300M5LON0YXDZ9011</t>
  </si>
  <si>
    <t>5493003E2HSUQ2JU5M63</t>
  </si>
  <si>
    <t>549300F10UFLDTM7EQ62</t>
  </si>
  <si>
    <t>5299007A8MHKEPX23206</t>
  </si>
  <si>
    <t>549300CHUTYP7ZH8E395</t>
  </si>
  <si>
    <t>549300WOP3ZAQ6VHJZ46</t>
  </si>
  <si>
    <t>549300SXT7XX63I5EC64</t>
  </si>
  <si>
    <t>549300CFI3A8WOWUZZ40</t>
  </si>
  <si>
    <t>894500QK60EEFI389974</t>
  </si>
  <si>
    <t>5493007B0OUNCB0WM573</t>
  </si>
  <si>
    <t>549300OW6HZBWNUUXR46</t>
  </si>
  <si>
    <t>549300HSOWX84XMVN888</t>
  </si>
  <si>
    <t>549300SW8L5MGW3DG320</t>
  </si>
  <si>
    <t>549300XAZBZ0ZANU2116</t>
  </si>
  <si>
    <t>5493001QKFPZINKSKD02</t>
  </si>
  <si>
    <t>5493006UOMC1EOPY8R58</t>
  </si>
  <si>
    <t>54930033Q4B866O6ZL17</t>
  </si>
  <si>
    <t>5493003990EB92O9LZ57</t>
  </si>
  <si>
    <t>549300LQWJY6HURWK592</t>
  </si>
  <si>
    <t>549300HWFLPL4708XC22</t>
  </si>
  <si>
    <t>549300DWOY11ONSZ6X73</t>
  </si>
  <si>
    <t>5493000SJ9R8AUFV4H30</t>
  </si>
  <si>
    <t>4469000001BQB7OQUU35</t>
  </si>
  <si>
    <t>988400L2N9V47ZGDVE67</t>
  </si>
  <si>
    <t>54930007RTV9GJ3BJB76</t>
  </si>
  <si>
    <t>549300QXM4J1CHIQR780</t>
  </si>
  <si>
    <t>KSU4Z5V0CJPBP6WOTK97</t>
  </si>
  <si>
    <t>9OOUEFSZK8XX5DW1Q028</t>
  </si>
  <si>
    <t>48LV2QHMCNDFOLL5M563</t>
  </si>
  <si>
    <t>SMHBGB0IUBOM014U3079</t>
  </si>
  <si>
    <t>5493002YZ63A4OGKR784</t>
  </si>
  <si>
    <t>OJZ789SB1COZQ3XO6M13</t>
  </si>
  <si>
    <t>549300WJBUOM2MUUBX77</t>
  </si>
  <si>
    <t>549300QFMF2WJ2C35315</t>
  </si>
  <si>
    <t>549300ZAFBRJLGC37J29</t>
  </si>
  <si>
    <t>549300X06D725F3V4G46</t>
  </si>
  <si>
    <t>5493002WHMZNAEQSTU97</t>
  </si>
  <si>
    <t>5493000TBXPGVBSBCC82</t>
  </si>
  <si>
    <t>5493004H7BJBFNZH8S82</t>
  </si>
  <si>
    <t>549300QZJR1PCP2ISW78</t>
  </si>
  <si>
    <t>549300F3CSN0GQOT6Z44</t>
  </si>
  <si>
    <t>549300UPK0HKMSDIFH03</t>
  </si>
  <si>
    <t>549300BHLGC7R2WZM853</t>
  </si>
  <si>
    <t>549300ZTN9HRFXS4Y655</t>
  </si>
  <si>
    <t>549300KKH8671TU67D47</t>
  </si>
  <si>
    <t>549300MSNHG050K4C883</t>
  </si>
  <si>
    <t>54930090O4QNGA8IEC21</t>
  </si>
  <si>
    <t>UVCP0ONBRH8AI9HEYC97</t>
  </si>
  <si>
    <t>549300TMD9I1Z3ZG2310</t>
  </si>
  <si>
    <t>5493008VR7T5RL7BYV74</t>
  </si>
  <si>
    <t>5493008EZYFMX4TF1F11</t>
  </si>
  <si>
    <t>5493001W33UF423RIG92</t>
  </si>
  <si>
    <t>549300FPG155YOHRTR24</t>
  </si>
  <si>
    <t>549300UERO1KJD75LT38</t>
  </si>
  <si>
    <t>0T1CG46EXJPKIM1GY234</t>
  </si>
  <si>
    <t>549300C6E2YRWS9GC034</t>
  </si>
  <si>
    <t>213800XRHKCULFFUVS46</t>
  </si>
  <si>
    <t>549300YDTK3URTMGCA54</t>
  </si>
  <si>
    <t>549300KIPGRYLXDQDD87</t>
  </si>
  <si>
    <t>213800VTOMUWD41GIT12</t>
  </si>
  <si>
    <t>549300PP2YA1NCWN2Y59</t>
  </si>
  <si>
    <t>5493008JZGSMC21N8505</t>
  </si>
  <si>
    <t>549300AX1UM10U30HK09</t>
  </si>
  <si>
    <t>5493005SGGN4VMY0PQ81</t>
  </si>
  <si>
    <t>5493005LD7PM5F4VML77</t>
  </si>
  <si>
    <t>54930026RJTUGZNELF67</t>
  </si>
  <si>
    <t>549300JBCS6WKGQ33I64</t>
  </si>
  <si>
    <t>588WT3ZXI0XY5DZX0Z14</t>
  </si>
  <si>
    <t>549300C8KOQJETOG3X46</t>
  </si>
  <si>
    <t>549300FPHSK67S108L03</t>
  </si>
  <si>
    <t>254900SLB3368N50EF66</t>
  </si>
  <si>
    <t>549300BC25VGG6RKFW46</t>
  </si>
  <si>
    <t>254900CWAUASCBKFS075</t>
  </si>
  <si>
    <t>0KH67AG8S2C0UUDZ7J79</t>
  </si>
  <si>
    <t>549300YUJZ4IDM831748</t>
  </si>
  <si>
    <t>549300726M9G16IZ9D23</t>
  </si>
  <si>
    <t>549300PCOY27NQG83095</t>
  </si>
  <si>
    <t>549300NE2QE4LMHCW771</t>
  </si>
  <si>
    <t>5493008IU6GDGL0AK133</t>
  </si>
  <si>
    <t>549300UJMWB2BFSZIZ04</t>
  </si>
  <si>
    <t>549300N92UFBS2ZDKQ75</t>
  </si>
  <si>
    <t>549300J7M438N65YDT65</t>
  </si>
  <si>
    <t>54930004EP8VF9YFOX36</t>
  </si>
  <si>
    <t>549300TUUTI7KCRCOB90</t>
  </si>
  <si>
    <t>549300ZK4P118217QX66</t>
  </si>
  <si>
    <t>5493003V82CNQM6AS012</t>
  </si>
  <si>
    <t>549300ZNJ76KOZDLG583</t>
  </si>
  <si>
    <t>54930071LN8HOC5TDG69</t>
  </si>
  <si>
    <t>549300S2KO0VHENJDT94</t>
  </si>
  <si>
    <t>5493008O2ML6RAQS8J54</t>
  </si>
  <si>
    <t>549300PPNEZ46E395430</t>
  </si>
  <si>
    <t>549300ZFKRD7REX57Y48</t>
  </si>
  <si>
    <t>549300DWR7RUGOF7BR59</t>
  </si>
  <si>
    <t>5493002UH7PREUNRO526</t>
  </si>
  <si>
    <t>549300V0YIBV8OPOIA81</t>
  </si>
  <si>
    <t>549300JI5RKNDKC3GU44</t>
  </si>
  <si>
    <t>549300C133D8CA7N1I54</t>
  </si>
  <si>
    <t>529900KTQYDFZPIF6H36</t>
  </si>
  <si>
    <t>549300P3X3574P811I48</t>
  </si>
  <si>
    <t>549300YTM5VEDGA1Q364</t>
  </si>
  <si>
    <t>549300IAI8LB50XC3H75</t>
  </si>
  <si>
    <t>529900ZPKWFDL21LW166</t>
  </si>
  <si>
    <t>TJC21SOQHOBNQ288A280</t>
  </si>
  <si>
    <t>ZTM5GVS6YVKB5CNCMP51</t>
  </si>
  <si>
    <t>ZXC7SK46ZCTSB56TXK75</t>
  </si>
  <si>
    <t>RJV2Q25HZY9ZSGZSMB60</t>
  </si>
  <si>
    <t>ET9RX0NLVZ56454ADO06</t>
  </si>
  <si>
    <t>549300R6OJCZ1R8P6U58</t>
  </si>
  <si>
    <t>CCFL58UWX6DBQ9I7HF69</t>
  </si>
  <si>
    <t>XSQUIHC65X62JACTUZ45</t>
  </si>
  <si>
    <t>549300WCLW5N0CEHRR79</t>
  </si>
  <si>
    <t>549300KJKRWW3TDHGI80</t>
  </si>
  <si>
    <t>213800NR44FZFC9RPO56</t>
  </si>
  <si>
    <t>549300MQT3ECCXAEC138</t>
  </si>
  <si>
    <t>5FYI8JFBM0N022Y4N663</t>
  </si>
  <si>
    <t>549300EWIOO3KI1OND97</t>
  </si>
  <si>
    <t>549300Z3HRLZXRRI8U50</t>
  </si>
  <si>
    <t>549300O5V1TYM7Z0JG49</t>
  </si>
  <si>
    <t>549300F6ZH8YT7X2T484</t>
  </si>
  <si>
    <t>549300XBJT8UWCV9KP13</t>
  </si>
  <si>
    <t>549300YE52ABNFVVWE73</t>
  </si>
  <si>
    <t>549300PX8LUZQQ451P32</t>
  </si>
  <si>
    <t>988400AY78NTFS106S56</t>
  </si>
  <si>
    <t>549300IT42PJW9CX3474</t>
  </si>
  <si>
    <t>25490036Z1WQKYIAQM21</t>
  </si>
  <si>
    <t>254900JOWYUW1ZX4DF47</t>
  </si>
  <si>
    <t>549300HR1PFH1I522K11</t>
  </si>
  <si>
    <t>549300EX7OPHSOK0B182</t>
  </si>
  <si>
    <t>5493000GV3I1S3MMF497</t>
  </si>
  <si>
    <t>7QTKHDLCUPDKU03HE945</t>
  </si>
  <si>
    <t>5493006ZP12NHWM02V19</t>
  </si>
  <si>
    <t>549300WM3H2411GRQJ54</t>
  </si>
  <si>
    <t>549300UORBRTKI7J5I92</t>
  </si>
  <si>
    <t>54930075N2XW3GSZ7Q20</t>
  </si>
  <si>
    <t>549300IWRI109Q5T5Z63</t>
  </si>
  <si>
    <t>549300MRG53M1XWMJJ41</t>
  </si>
  <si>
    <t>213800D9UHJ3P7CTP709</t>
  </si>
  <si>
    <t>213800R2QY4W2YU1AL22</t>
  </si>
  <si>
    <t>2138008TW76TWEAZDR69</t>
  </si>
  <si>
    <t>549300P2DO1K5QJ8SN78</t>
  </si>
  <si>
    <t>549300B4J8XCPF6JDG28</t>
  </si>
  <si>
    <t>549300CZ0B39DE5GAN70</t>
  </si>
  <si>
    <t>549300Y8OPEFRY4X2Z03</t>
  </si>
  <si>
    <t>213800R9S5VZRMJXCS53</t>
  </si>
  <si>
    <t>213800Q5PFVBQ5ZY6R26</t>
  </si>
  <si>
    <t>213800OOGLDYNKJNCY82</t>
  </si>
  <si>
    <t>4469000001BGTPCDYL86</t>
  </si>
  <si>
    <t>21380057217SKWZ18819</t>
  </si>
  <si>
    <t>549300S7JWO89390R773</t>
  </si>
  <si>
    <t>549300LXNNQYUGSQ0777</t>
  </si>
  <si>
    <t>549300O8T6I5A7FBMN18</t>
  </si>
  <si>
    <t>4469000001BXF7V1OV74</t>
  </si>
  <si>
    <t>549300DC4LFR47ZVPY24</t>
  </si>
  <si>
    <t>54930052JZ2O4LRO0C17</t>
  </si>
  <si>
    <t>549300VOSAE8TORQ7P86</t>
  </si>
  <si>
    <t>549300U2UAXIV8G33364</t>
  </si>
  <si>
    <t>549300C66G5JFX214007</t>
  </si>
  <si>
    <t>549300OBXZ84F1NNDY50</t>
  </si>
  <si>
    <t>549300XUQDPIC5QRY347</t>
  </si>
  <si>
    <t>549300R4PZ5E83ZLV214</t>
  </si>
  <si>
    <t>YDYPQNRX1NKI4SD57395</t>
  </si>
  <si>
    <t>549300B5VZSOQMEFXI94</t>
  </si>
  <si>
    <t>5493000LL68KSBTLKO24</t>
  </si>
  <si>
    <t>5493004DGZBI1YSEHD02</t>
  </si>
  <si>
    <t>549300FCZCIGPL2OTK12</t>
  </si>
  <si>
    <t>4469000001CFLI51S271</t>
  </si>
  <si>
    <t>5493006B8RU642SR0734</t>
  </si>
  <si>
    <t>5493002TEEGWHQDZMS53</t>
  </si>
  <si>
    <t>549300UBXUDQ5PY7KH54</t>
  </si>
  <si>
    <t>5493003SRFBXOF3M5U32</t>
  </si>
  <si>
    <t>4469000001BQSDPVV729</t>
  </si>
  <si>
    <t>549300IRTVMDLFZ8D106</t>
  </si>
  <si>
    <t>549300BKKRN4KDOQ9L81</t>
  </si>
  <si>
    <t>549300X5MNRWPMSM9N14</t>
  </si>
  <si>
    <t>549300ESMK6WWZ851597</t>
  </si>
  <si>
    <t>5493004ZDU22YE7ONK25</t>
  </si>
  <si>
    <t>549300ELTZJCHTESKK27</t>
  </si>
  <si>
    <t>549300SE1LRLW8GN3E69</t>
  </si>
  <si>
    <t>TZDYFZLPZ7WYOO5V1902</t>
  </si>
  <si>
    <t>549300UWKIHKYLK6FC16</t>
  </si>
  <si>
    <t>5493005Q43USQN8ULS31</t>
  </si>
  <si>
    <t>5493000F0F4DXZCSBG50</t>
  </si>
  <si>
    <t>KO2606ICJW5T20L48M81</t>
  </si>
  <si>
    <t>6NATCQMRI6NRJIP7IF06</t>
  </si>
  <si>
    <t>EB41BH4YZEYONIJR7847</t>
  </si>
  <si>
    <t>UPMUT26XZ8JIXTDTWQ07</t>
  </si>
  <si>
    <t>HJHB3FWBYIJC6FJLOO67</t>
  </si>
  <si>
    <t>0KQ0DB1OHJL6F81ZDB22</t>
  </si>
  <si>
    <t>MRJ2DMEEJOGEB0L95E15</t>
  </si>
  <si>
    <t>WU0ZOSBSV79QTM4WBU10</t>
  </si>
  <si>
    <t>H77EL1W1M92QDZ004K92</t>
  </si>
  <si>
    <t>5ZC2MHWZT1X0E88NZ076</t>
  </si>
  <si>
    <t>VN2JWEBHW223O59Y2U91</t>
  </si>
  <si>
    <t>U8E5120AOPVSYI2B4U46</t>
  </si>
  <si>
    <t>25BZX6YV28BX1RDQZL74</t>
  </si>
  <si>
    <t>C53W8TJPSG75ZTL3E010</t>
  </si>
  <si>
    <t>QXVFC9ZCZF8S0XG3RS45</t>
  </si>
  <si>
    <t>I4F80UDLONU55HEJTV77</t>
  </si>
  <si>
    <t>5493009PY4ZL7CMJX511</t>
  </si>
  <si>
    <t>CJXOP7I6D88DPFZ1LX66</t>
  </si>
  <si>
    <t>549300260TW7WVR5TW38</t>
  </si>
  <si>
    <t>549300H0DBKF5XHQ9192</t>
  </si>
  <si>
    <t>549300UXKYYFLVYVVJ66</t>
  </si>
  <si>
    <t>54930078WY34ITNNPY55</t>
  </si>
  <si>
    <t>549300C66SGOTGZZ0D95</t>
  </si>
  <si>
    <t>549300C3YQB5PRMS6T75</t>
  </si>
  <si>
    <t>549300X5M4P0BTFKEG67</t>
  </si>
  <si>
    <t>549300BIZ6VIBPNDGP56</t>
  </si>
  <si>
    <t>549300RK16F97KFCH420</t>
  </si>
  <si>
    <t>549300QUORC6Z25CBM93</t>
  </si>
  <si>
    <t>549300R02M7YZ9VIWT98</t>
  </si>
  <si>
    <t>549300UIXOQJ7V63VQ71</t>
  </si>
  <si>
    <t>549300KHZQ7YBTEOJU80</t>
  </si>
  <si>
    <t>HL5J1VB115ZRTPZIJY15</t>
  </si>
  <si>
    <t>LIMXJCRHOB75KUADTI33</t>
  </si>
  <si>
    <t>549300X7XHHT7GQ1WW76</t>
  </si>
  <si>
    <t>5493003QO96C59FX0P15</t>
  </si>
  <si>
    <t>549300I655V8QMICOU88</t>
  </si>
  <si>
    <t>549300F85WEB04CXW579</t>
  </si>
  <si>
    <t>MQYWO6Z3UE51YVCIZM39</t>
  </si>
  <si>
    <t>549300YIWJA6LHNN3H10</t>
  </si>
  <si>
    <t>549300EZ8EVL25NIU478</t>
  </si>
  <si>
    <t>5493007MQKO5VZBFBA29</t>
  </si>
  <si>
    <t>549300SFZ8N0RZOBI716</t>
  </si>
  <si>
    <t>549300NYRHH164FZPH25</t>
  </si>
  <si>
    <t>549300470NRRR1CFLL07</t>
  </si>
  <si>
    <t>549300T33Q8O05785598</t>
  </si>
  <si>
    <t>549300MIJF8QBSMUU564</t>
  </si>
  <si>
    <t>549300FGKB3CALI6VJ84</t>
  </si>
  <si>
    <t>5493005SX0BN2DECJR81</t>
  </si>
  <si>
    <t>549300PWQTPDZU469M45</t>
  </si>
  <si>
    <t>549300RN6FU17K2NIV86</t>
  </si>
  <si>
    <t>5493001420QIFGLB2E97</t>
  </si>
  <si>
    <t>549300IS1WQJ9MIFIV49</t>
  </si>
  <si>
    <t>549300M30OSDPVGOHN36</t>
  </si>
  <si>
    <t>9695006J0AWHMYNZAL19</t>
  </si>
  <si>
    <t>549300MGPON0UO5UHB54</t>
  </si>
  <si>
    <t>549300DTXUDOUVNJOT46</t>
  </si>
  <si>
    <t>54930003DT8JMO4KSD02</t>
  </si>
  <si>
    <t>213800YSQUVWJ7UD6M56</t>
  </si>
  <si>
    <t>5493006L5RRZDV6SY264</t>
  </si>
  <si>
    <t>54930087RB1OWRK3VL24</t>
  </si>
  <si>
    <t>549300ETKP1MFYX3RQ19</t>
  </si>
  <si>
    <t>549300HKI34TYCDLJ495</t>
  </si>
  <si>
    <t>549300ZWRFCEUFP4PB51</t>
  </si>
  <si>
    <t>549300ZHTBGL1IIUK777</t>
  </si>
  <si>
    <t>549300OR6B15UIZ9FZ95</t>
  </si>
  <si>
    <t>549300BDX60OZ6YYCV06</t>
  </si>
  <si>
    <t>549300NGFY03W0W5TD41</t>
  </si>
  <si>
    <t>549300K14DXXMNZDCC47</t>
  </si>
  <si>
    <t>549300VH82N8LI4V8N96</t>
  </si>
  <si>
    <t>5493003A1IWJX64GXD76</t>
  </si>
  <si>
    <t>254900DPNNTJUCMXGG23</t>
  </si>
  <si>
    <t>5493004OIDLDW3N2NS46</t>
  </si>
  <si>
    <t>549300HPWD5Q5THGTG24</t>
  </si>
  <si>
    <t>5493002YNY6GU2J91V18</t>
  </si>
  <si>
    <t>549300O0EQK39ESTA804</t>
  </si>
  <si>
    <t>549300XJ66BIPHHUK713</t>
  </si>
  <si>
    <t>54930000J63VUHOE7I80</t>
  </si>
  <si>
    <t>254900YP4QOI3880UZ56</t>
  </si>
  <si>
    <t>549300V4GMEFI2K2CX75</t>
  </si>
  <si>
    <t>5493005EUAC9E4P78S57</t>
  </si>
  <si>
    <t>254900JQ9LBX9OUIIM71</t>
  </si>
  <si>
    <t>335800JWW8VXY2WXX497</t>
  </si>
  <si>
    <t>549300MH155HO03PZN27</t>
  </si>
  <si>
    <t>549300C9VB2OOL5Y6N13</t>
  </si>
  <si>
    <t>254900XFOIO1GH87V165</t>
  </si>
  <si>
    <t>254900A9SDTA5ZPBFA17</t>
  </si>
  <si>
    <t>5493005D7UL9OCH5NM49</t>
  </si>
  <si>
    <t>549300K0075BEIRGK638</t>
  </si>
  <si>
    <t>5493005OFGGYSI19KQ61</t>
  </si>
  <si>
    <t>5493002D5F60I6IKFI64</t>
  </si>
  <si>
    <t>549300OBL3OEJ6TBFR77</t>
  </si>
  <si>
    <t>549300IMU573JLR8W657</t>
  </si>
  <si>
    <t>254900NKD4L7809RRH05</t>
  </si>
  <si>
    <t>988400JE9FIHQS7TX614</t>
  </si>
  <si>
    <t>988400L19KVH3DIO8255</t>
  </si>
  <si>
    <t>988400JDC5348E550606</t>
  </si>
  <si>
    <t>988400WX6GOIPU4EMN09</t>
  </si>
  <si>
    <t>988400YGTKWY5K5CP805</t>
  </si>
  <si>
    <t>3358004PBWAYF65RLI81</t>
  </si>
  <si>
    <t>5493003TBGGQGYM2FG46</t>
  </si>
  <si>
    <t>549300DEOSQ3021X5S30</t>
  </si>
  <si>
    <t>549300I3LYM5J3I9MN76</t>
  </si>
  <si>
    <t>549300DF6O15JLTQHS54</t>
  </si>
  <si>
    <t>549300KMSHO767PAHL08</t>
  </si>
  <si>
    <t>549300CNWH54BTXURM94</t>
  </si>
  <si>
    <t>549300NRP0XXCJ7E2778</t>
  </si>
  <si>
    <t>549300TVP7EHIDGWNR87</t>
  </si>
  <si>
    <t>549300NGQK6KNOMNJL05</t>
  </si>
  <si>
    <t>549300MHGZUKB7CSNQ04</t>
  </si>
  <si>
    <t>4469000001BRWPDYWA17</t>
  </si>
  <si>
    <t>549300S8OX7TMCGOGL06</t>
  </si>
  <si>
    <t>5493006NBA72C0F0S371</t>
  </si>
  <si>
    <t>5493007M7EVHE470Q576</t>
  </si>
  <si>
    <t>335800DWLXIP7HFFY564</t>
  </si>
  <si>
    <t>549300HGEJXUXD8MMI32</t>
  </si>
  <si>
    <t>549300TCMPOP670Z6Y25</t>
  </si>
  <si>
    <t>549300V8M6HV5U0HAO21</t>
  </si>
  <si>
    <t>549300Q7107FTOYC1865</t>
  </si>
  <si>
    <t>549300LDOQD3MI7PFW47</t>
  </si>
  <si>
    <t>549300MDYNDXTGVIJH89</t>
  </si>
  <si>
    <t>549300KN11KAUO89JQ04</t>
  </si>
  <si>
    <t>549300L68DUZHV7X1818</t>
  </si>
  <si>
    <t>549300RHUOQDB7F4M312</t>
  </si>
  <si>
    <t>5493006JHPK9BEJGJ634</t>
  </si>
  <si>
    <t>549300L1V32XUTBNL544</t>
  </si>
  <si>
    <t>549300EE7QBOWP2QF558</t>
  </si>
  <si>
    <t>549300P5UH1SMTIC8Q18</t>
  </si>
  <si>
    <t>549300YK0LW8LABIPN15</t>
  </si>
  <si>
    <t>549300RABCZC2OMQSS26</t>
  </si>
  <si>
    <t>549300FUDPKS5K3R8Z52</t>
  </si>
  <si>
    <t>549300VJFM8S3PNM4S25</t>
  </si>
  <si>
    <t>54930023Z1IP9OEYE191</t>
  </si>
  <si>
    <t>5493002F0LZ0O6LS2U58</t>
  </si>
  <si>
    <t>549300W46GLX11EMJ648</t>
  </si>
  <si>
    <t>549300NJ87IQUB7CXC45</t>
  </si>
  <si>
    <t>549300HK76Z7CHB4D160</t>
  </si>
  <si>
    <t>5493007NF1PRRI68UT74</t>
  </si>
  <si>
    <t>5493002UNOORN6N89J94</t>
  </si>
  <si>
    <t>549300SRYZJLSD8FND56</t>
  </si>
  <si>
    <t>5493001Z72DTBO2RNC77</t>
  </si>
  <si>
    <t>335800IFKRZHE2RKM206</t>
  </si>
  <si>
    <t>5493006PBNIM9IHN6302</t>
  </si>
  <si>
    <t>549300JLOG3E3AU3OH25</t>
  </si>
  <si>
    <t>254900C5VYVRDOQ5Q157</t>
  </si>
  <si>
    <t>254900I8KI1ALLG9YI68</t>
  </si>
  <si>
    <t>335800KS5MCJ6V4EW867</t>
  </si>
  <si>
    <t>988400CEQG9N710HN313</t>
  </si>
  <si>
    <t>549300N710F56MCBBY60</t>
  </si>
  <si>
    <t>9884001B6VSIQS4ZY558</t>
  </si>
  <si>
    <t>549300YX3RP6O1IFQ852</t>
  </si>
  <si>
    <t>UXIATLMNPCXXT5KR1S08</t>
  </si>
  <si>
    <t>549300ULUPU480M8JF74</t>
  </si>
  <si>
    <t>549300URPPSQ3R9EXB40</t>
  </si>
  <si>
    <t>549300UG5TNV7CPNKW24</t>
  </si>
  <si>
    <t>P392SPI69NXUSZMACF80</t>
  </si>
  <si>
    <t>4469000001BSF8D84344</t>
  </si>
  <si>
    <t>549300DC5C4FH8HVV441</t>
  </si>
  <si>
    <t>988400KZJVVPCZ6BC265</t>
  </si>
  <si>
    <t>988400LJMYZ3ZOXJVE47</t>
  </si>
  <si>
    <t>4469000001CH5EOS6Q91</t>
  </si>
  <si>
    <t>549300UQS4U7RJG16Z86</t>
  </si>
  <si>
    <t>335800URVL13UQEWM152</t>
  </si>
  <si>
    <t>254900QAG6V7MM3GKQ23</t>
  </si>
  <si>
    <t>988400Z1HCY1QUPS1W65</t>
  </si>
  <si>
    <t>54930073OZ3P6FHK2Q39</t>
  </si>
  <si>
    <t>549300BDXFIPLCN37562</t>
  </si>
  <si>
    <t>988400HDAY5KIVHGZ188</t>
  </si>
  <si>
    <t>549300BJ65RH860DUT75</t>
  </si>
  <si>
    <t>549300OZ47CESM0JBF52</t>
  </si>
  <si>
    <t>549300F6KMQAE34G0N80</t>
  </si>
  <si>
    <t>5493004R2EUSSAU2QO74</t>
  </si>
  <si>
    <t>988400BQ69DJXXFA0D28</t>
  </si>
  <si>
    <t>549300CFG1Z0HBKM6651</t>
  </si>
  <si>
    <t>5493004HZKJG8UQIGS64</t>
  </si>
  <si>
    <t>5493008ALMCTQPJJ7Q21</t>
  </si>
  <si>
    <t>549300K75AEBZCI1PQ07</t>
  </si>
  <si>
    <t>4469000001BRXSV0JO96</t>
  </si>
  <si>
    <t>4469000001BPSGWTCD16</t>
  </si>
  <si>
    <t>549300SO3S56KWATYY08</t>
  </si>
  <si>
    <t>254900MRML3OKRVCH146</t>
  </si>
  <si>
    <t>984500A6695797B1E679</t>
  </si>
  <si>
    <t>378900EF3BA9A5F42A59</t>
  </si>
  <si>
    <t>549300H8K1VBEAPRTD90</t>
  </si>
  <si>
    <t>549300HTIHKS7H404F46</t>
  </si>
  <si>
    <t>549300488QLVRILXGN93</t>
  </si>
  <si>
    <t>5493002EE80G6ER7SM91</t>
  </si>
  <si>
    <t>549300XWICMKY58RQ281</t>
  </si>
  <si>
    <t>254900HV2R2NUMAVVD06</t>
  </si>
  <si>
    <t>549300SA21T5OMZ4LE67</t>
  </si>
  <si>
    <t>549300FY1VQ84FMOZ548</t>
  </si>
  <si>
    <t>549300BHBLZT38LP0T75</t>
  </si>
  <si>
    <t>5493000B01H6TND6N935</t>
  </si>
  <si>
    <t>529900FA29F5OY2J7P74</t>
  </si>
  <si>
    <t>CZ83K4EEEX8QVCT3B128</t>
  </si>
  <si>
    <t>549300IMFWD481XZJG75</t>
  </si>
  <si>
    <t>549300W9MKNIVWXFM679</t>
  </si>
  <si>
    <t>549300H60SVE104QLC39</t>
  </si>
  <si>
    <t>353800NC6NPNKC4JEC58</t>
  </si>
  <si>
    <t>549300XKUO1JSLU7KX54</t>
  </si>
  <si>
    <t>549300H69FDOHYMSBH36</t>
  </si>
  <si>
    <t>549300F3HL1L3BSZ5U43</t>
  </si>
  <si>
    <t>549300NZ23Q9RGGRMR38</t>
  </si>
  <si>
    <t>3538007OBQKR7DZHJC79</t>
  </si>
  <si>
    <t>300300411U6WCXAO8F79</t>
  </si>
  <si>
    <t>549300Z7GEX9H49FPP97</t>
  </si>
  <si>
    <t>254900D5I3PLU0JQYH76</t>
  </si>
  <si>
    <t>529900YMUPQGOV30PX52</t>
  </si>
  <si>
    <t>254900JES8186NVIBN25</t>
  </si>
  <si>
    <t>335800HXPOIUDJ9T5R34</t>
  </si>
  <si>
    <t>335800DFMF2OEJ7HWM17</t>
  </si>
  <si>
    <t>NONUZEX43GHIPSVDD938</t>
  </si>
  <si>
    <t>549300DZIRN2MGF18G40</t>
  </si>
  <si>
    <t>5493007X3230PPPZFF40</t>
  </si>
  <si>
    <t>549300GR85JYZVWGC635</t>
  </si>
  <si>
    <t>54930002N4JRCZDPMG48</t>
  </si>
  <si>
    <t>549300L4E7Q8VHKTWM29</t>
  </si>
  <si>
    <t>5493000REB6GPZO6YX68</t>
  </si>
  <si>
    <t>52990054TVGKLV31LJ07</t>
  </si>
  <si>
    <t>549300OM4R47DKF85J50</t>
  </si>
  <si>
    <t>254900D25A3DYOONPF21</t>
  </si>
  <si>
    <t>529900Y6V3CXKIP27K35</t>
  </si>
  <si>
    <t>549300OXTLJJ4P2SG150</t>
  </si>
  <si>
    <t>549300QUSVHETE7H3J74</t>
  </si>
  <si>
    <t>529900RW4GN07W61HY49</t>
  </si>
  <si>
    <t>549300TJZTXZMPQ6K004</t>
  </si>
  <si>
    <t>549300OC3MNCU84C8R17</t>
  </si>
  <si>
    <t>549300JB3TX5CDGLTV78</t>
  </si>
  <si>
    <t>549300JKZ1KLOOMQV576</t>
  </si>
  <si>
    <t>254900EPB7Z5320HS451</t>
  </si>
  <si>
    <t>969500E8ZDS8W8OTAA28</t>
  </si>
  <si>
    <t>52990075NZ7WKFR11D50</t>
  </si>
  <si>
    <t>529900UWWAOQ8470E792</t>
  </si>
  <si>
    <t>335800LPBFSMCMACOU68</t>
  </si>
  <si>
    <t>5493007QTG3K0LKVDG03</t>
  </si>
  <si>
    <t>2549008VHGCXTFBTTS03</t>
  </si>
  <si>
    <t>988400QTUXYDN8W3MZ32</t>
  </si>
  <si>
    <t>549300VJK53E0GPEK170</t>
  </si>
  <si>
    <t>2549008BH7CGG15S5745</t>
  </si>
  <si>
    <t>549300D5UWGCGB80KB12</t>
  </si>
  <si>
    <t>5493000XJLJ6C4T0PG82</t>
  </si>
  <si>
    <t>5493003ICUKJ9TSNL556</t>
  </si>
  <si>
    <t>5493002K8RS66M2ZX470</t>
  </si>
  <si>
    <t>549300GZGRU2CJYVJR61</t>
  </si>
  <si>
    <t>5493007B10J8Q2YBRI54</t>
  </si>
  <si>
    <t>5493002RGIC58VYHG327</t>
  </si>
  <si>
    <t>549300QEGH3HEG2S3B08</t>
  </si>
  <si>
    <t>549300X7D3FI1QX0LP54</t>
  </si>
  <si>
    <t>549300GR342LHTOISX06</t>
  </si>
  <si>
    <t>549300PRVNMQRM7TY123</t>
  </si>
  <si>
    <t>549300CHBCA89KJ1D638</t>
  </si>
  <si>
    <t>549300PG72UGIP32EM81</t>
  </si>
  <si>
    <t>988400N0YW2A27V3D553</t>
  </si>
  <si>
    <t>988400OUMDLFBKDI2E24</t>
  </si>
  <si>
    <t>988400RVE88N2VK8UE98</t>
  </si>
  <si>
    <t>988400TFZILHBD5M3R71</t>
  </si>
  <si>
    <t>335800W2PJ4XBSHQYC34</t>
  </si>
  <si>
    <t>5493009S0N82D06BZR18</t>
  </si>
  <si>
    <t>549300WWB442I6AYLS42</t>
  </si>
  <si>
    <t>254900DIEONKUALBFM06</t>
  </si>
  <si>
    <t>21380082BPZNERNYQY44</t>
  </si>
  <si>
    <t>2138008A4ZKJFK2G1P62</t>
  </si>
  <si>
    <t>2138009BCJIJV4ZKF196</t>
  </si>
  <si>
    <t>213800DHTLH4ZFRE2P47</t>
  </si>
  <si>
    <t>213800CBWLV4ZIFSL551</t>
  </si>
  <si>
    <t>213800F2L5VFKX6WGJ17</t>
  </si>
  <si>
    <t>5493003GSGRVY51KVK07</t>
  </si>
  <si>
    <t>213800MAFGCASL491Y21</t>
  </si>
  <si>
    <t>213800YIXLRSBLQEWF26</t>
  </si>
  <si>
    <t>213800O7C918KMDF5429</t>
  </si>
  <si>
    <t>213800VNA9W7CLAGBE98</t>
  </si>
  <si>
    <t>213800YT7YBP4M6G3127</t>
  </si>
  <si>
    <t>5299009P34UYD5FAG110</t>
  </si>
  <si>
    <t>635400D4RFOH9OO1Q124</t>
  </si>
  <si>
    <t>21380028G4T84OVPO686</t>
  </si>
  <si>
    <t>549300CO5JDG5Q4K0663</t>
  </si>
  <si>
    <t>549300TMUNNQ4IXQ7U21</t>
  </si>
  <si>
    <t>549300X3EU37KJOGDW89</t>
  </si>
  <si>
    <t>5493004FKVDMBSCZNC19</t>
  </si>
  <si>
    <t>549300ID0UBMYXLXNQ39</t>
  </si>
  <si>
    <t>549300DD1OLQ7VLDJ533</t>
  </si>
  <si>
    <t>4469000001BSGAPZBK77</t>
  </si>
  <si>
    <t>549300L2UMF81WVY8W44</t>
  </si>
  <si>
    <t>549300QC1M2TZ6TZ5U25</t>
  </si>
  <si>
    <t>549300A6148FERM01848</t>
  </si>
  <si>
    <t>5493007XKBADF0URYU23</t>
  </si>
  <si>
    <t>549300V63L3VLLG7TQ66</t>
  </si>
  <si>
    <t>549300TWDZ1WF528T646</t>
  </si>
  <si>
    <t>549300K6ICIQ9Z2YRF07</t>
  </si>
  <si>
    <t>549300QSMOP4RBQQ0Q38</t>
  </si>
  <si>
    <t>549300XJ8857L90WQ780</t>
  </si>
  <si>
    <t>549300T1U5BELOXIRN25</t>
  </si>
  <si>
    <t>254900EP9TE31ZLUGX98</t>
  </si>
  <si>
    <t>549300GQAR5UWZYQE138</t>
  </si>
  <si>
    <t>549300BKR0UO7QHFGO86</t>
  </si>
  <si>
    <t>549300W0XR8LN3EUHB37</t>
  </si>
  <si>
    <t>549300K5OM46STPUNG90</t>
  </si>
  <si>
    <t>549300ZWBCUISEBATG25</t>
  </si>
  <si>
    <t>549300KE2LN6N7F3AL52</t>
  </si>
  <si>
    <t>549300PMXKM4WBG0VZ79</t>
  </si>
  <si>
    <t>5493001JNBH0DBUOMK07</t>
  </si>
  <si>
    <t>549300GI1V1PKLVDB154</t>
  </si>
  <si>
    <t>549300Y8WCICK6CDJ860</t>
  </si>
  <si>
    <t>549300N3WUPK8SNH0C11</t>
  </si>
  <si>
    <t>5493004W6G4NPYROX209</t>
  </si>
  <si>
    <t>5493007PW3RWQFB5NE54</t>
  </si>
  <si>
    <t>549300SZOWW6TKW7OH77</t>
  </si>
  <si>
    <t>549300B343BU0TKDCD94</t>
  </si>
  <si>
    <t>5493005W38354XINZ393</t>
  </si>
  <si>
    <t>549300MC1P4P085L8S70</t>
  </si>
  <si>
    <t>2549001L77N8GPFZOR50</t>
  </si>
  <si>
    <t>549300KSXBZ8MIST4X91</t>
  </si>
  <si>
    <t>54930006SN8O223PE732</t>
  </si>
  <si>
    <t>549300MH3I0J621PNU93</t>
  </si>
  <si>
    <t>549300GM1ZWUX8GVD103</t>
  </si>
  <si>
    <t>549300D2YQMFD4LOE818</t>
  </si>
  <si>
    <t>5493009GWBPSIFD52694</t>
  </si>
  <si>
    <t>549300K5PX7UEO40NB78</t>
  </si>
  <si>
    <t>549300RSZE54FH5WFG97</t>
  </si>
  <si>
    <t>549300IU55Q6SPIJKX48</t>
  </si>
  <si>
    <t>549300O4OFL12LKAM945</t>
  </si>
  <si>
    <t>54930072EOF3CZVV1445</t>
  </si>
  <si>
    <t>549300B5960COJR0QW59</t>
  </si>
  <si>
    <t>54930085U4Q3EQIVYV93</t>
  </si>
  <si>
    <t>54930019YHX5IPEBOI26</t>
  </si>
  <si>
    <t>549300II27IKDZ6F8750</t>
  </si>
  <si>
    <t>549300QLJZO62O64T743</t>
  </si>
  <si>
    <t>5493008MBWHBL1WGSC53</t>
  </si>
  <si>
    <t>549300E8342853XXJD63</t>
  </si>
  <si>
    <t>5493005A6RBXGPXBKE23</t>
  </si>
  <si>
    <t>549300UYWM2Y0DMXLP72</t>
  </si>
  <si>
    <t>5493007L6WH9NNPH2S18</t>
  </si>
  <si>
    <t>549300YVLZFZBWGGL554</t>
  </si>
  <si>
    <t>5493001BD9HCE74UH411</t>
  </si>
  <si>
    <t>549300TFZDH70QME3A56</t>
  </si>
  <si>
    <t>549300X5Q4XAT1OJEB97</t>
  </si>
  <si>
    <t>54930004AHBI0C9QEK61</t>
  </si>
  <si>
    <t>5493003SUMFW83KQ8678</t>
  </si>
  <si>
    <t>5493004G0QP2E97KPG67</t>
  </si>
  <si>
    <t>549300504DZQTTINBB16</t>
  </si>
  <si>
    <t>549300CN63TI69GBCB57</t>
  </si>
  <si>
    <t>5493008JQ06Z5WXMKY58</t>
  </si>
  <si>
    <t>549300BUJTBYGN3JOY90</t>
  </si>
  <si>
    <t>549300FDMLBBTWV34F93</t>
  </si>
  <si>
    <t>549300GMVF487UIYLN63</t>
  </si>
  <si>
    <t>549300DA88MC8PQY2U22</t>
  </si>
  <si>
    <t>549300H2T7877DBNYW81</t>
  </si>
  <si>
    <t>549300RCILEPH3XYBV03</t>
  </si>
  <si>
    <t>549300K3S5ZF6NF68616</t>
  </si>
  <si>
    <t>549300UZM6YF4OXF4N21</t>
  </si>
  <si>
    <t>5493003WUBVNMUEI3B50</t>
  </si>
  <si>
    <t>549300K212C3K7VU1616</t>
  </si>
  <si>
    <t>549300YJBGEJS145KR40</t>
  </si>
  <si>
    <t>5493001QHI6DHEXH7Q75</t>
  </si>
  <si>
    <t>5493000B0YCGLKKAVW82</t>
  </si>
  <si>
    <t>549300Y35UR1J8JCBH28</t>
  </si>
  <si>
    <t>549300S85O45Z291D331</t>
  </si>
  <si>
    <t>549300IG0EJ4CLRPME56</t>
  </si>
  <si>
    <t>549300XX4C42WCMDNU32</t>
  </si>
  <si>
    <t>549300WNNL9PH4T52O84</t>
  </si>
  <si>
    <t>549300WYB1QPX7S3M094</t>
  </si>
  <si>
    <t>549300G8UHGEHW11H298</t>
  </si>
  <si>
    <t>549300PSWKS3NB77U191</t>
  </si>
  <si>
    <t>5493000RVP6BWIHZDH96</t>
  </si>
  <si>
    <t>549300AZKLS54GEZJX38</t>
  </si>
  <si>
    <t>5493000FR18H88H9PF75</t>
  </si>
  <si>
    <t>549300J0YIPIQKCQ4X93</t>
  </si>
  <si>
    <t>549300AU2K2LLD6WKK02</t>
  </si>
  <si>
    <t>549300BSVJQYLLMHJQ72</t>
  </si>
  <si>
    <t>549300STJAWLIMBYM359</t>
  </si>
  <si>
    <t>549300MYUXDUIR3L2L74</t>
  </si>
  <si>
    <t>549300RVN28IMQIBL087</t>
  </si>
  <si>
    <t>549300FN0NQAT8QWFC78</t>
  </si>
  <si>
    <t>54930034K22TDANGUU85</t>
  </si>
  <si>
    <t>5493003UDTMOQN8PEZ03</t>
  </si>
  <si>
    <t>54930043C2W3DRTQJ143</t>
  </si>
  <si>
    <t>549300DMYPPJ29Y23T28</t>
  </si>
  <si>
    <t>549300IACRBDLNWOV344</t>
  </si>
  <si>
    <t>549300QZNHXHLS2WKS80</t>
  </si>
  <si>
    <t>5493006YJFO2PRKCK780</t>
  </si>
  <si>
    <t>5493003XEOO7Y0P5CP49</t>
  </si>
  <si>
    <t>5493003VSDJSMG6LIQ26</t>
  </si>
  <si>
    <t>5493004MPGIZTHQQJ524</t>
  </si>
  <si>
    <t>54930098RS50CXDYNI23</t>
  </si>
  <si>
    <t>549300BQG3Q1HWH0ZZ71</t>
  </si>
  <si>
    <t>549300C28WWK4F0L7Y16</t>
  </si>
  <si>
    <t>549300EQVDPWJ09P9O26</t>
  </si>
  <si>
    <t>549300QPT1ROSTBFWK49</t>
  </si>
  <si>
    <t>549300SNVS0JLJMJZP89</t>
  </si>
  <si>
    <t>549300J6NKUK85P5ZW51</t>
  </si>
  <si>
    <t>549300YGP0WQDR2D6T78</t>
  </si>
  <si>
    <t>549300JK87YH8HNQ1C26</t>
  </si>
  <si>
    <t>549300HLEEW5B8HXQA55</t>
  </si>
  <si>
    <t>5493001JWBPOX23XGF36</t>
  </si>
  <si>
    <t>5493006CKWKY4Z89SH89</t>
  </si>
  <si>
    <t>549300OT5R6LIT01R190</t>
  </si>
  <si>
    <t>549300738S4GR1IZJ418</t>
  </si>
  <si>
    <t>5493005P48YMB24T3F63</t>
  </si>
  <si>
    <t>549300XU7DKSD71JK405</t>
  </si>
  <si>
    <t>549300HI86AB1KZKUF56</t>
  </si>
  <si>
    <t>549300VBTL6OEZNR0E22</t>
  </si>
  <si>
    <t>549300YQEGIBMPVSQ561</t>
  </si>
  <si>
    <t>549300Z0KQ2XBQ8YOU95</t>
  </si>
  <si>
    <t>549300LCRT8ZT44N0776</t>
  </si>
  <si>
    <t>5493008ZRWXXVEKHLI06</t>
  </si>
  <si>
    <t>549300UHA6CL2ZJ86079</t>
  </si>
  <si>
    <t>549300PI53S2PS5B0023</t>
  </si>
  <si>
    <t>549300TJR97HT1I8G629</t>
  </si>
  <si>
    <t>549300YHL9OAHOS7T521</t>
  </si>
  <si>
    <t>54930062MEEBKN5FLV85</t>
  </si>
  <si>
    <t>549300SK8QLUJOR66G45</t>
  </si>
  <si>
    <t>549300BS3MR28JVTYA63</t>
  </si>
  <si>
    <t>5493000R5C71F88KH662</t>
  </si>
  <si>
    <t>549300FXV0BCG6OE2S31</t>
  </si>
  <si>
    <t>549300NGZPVEHO8UUU84</t>
  </si>
  <si>
    <t>5493008O256MKRK3L269</t>
  </si>
  <si>
    <t>549300IRLXTFM8UXFM59</t>
  </si>
  <si>
    <t>5493002KRTKVZDRL7R19</t>
  </si>
  <si>
    <t>5493000XPHU3CEDWO586</t>
  </si>
  <si>
    <t>335800ROPMDOMM9RM189</t>
  </si>
  <si>
    <t>549300IH65EWP72B0Q80</t>
  </si>
  <si>
    <t>549300T2EYFZ6HJDB793</t>
  </si>
  <si>
    <t>549300M4M8L0XFAX5H95</t>
  </si>
  <si>
    <t>549300KM7Q2BELODMU63</t>
  </si>
  <si>
    <t>29C7VLB4JHJG5S6I8Q07</t>
  </si>
  <si>
    <t>549300KQS98O7MXY0240</t>
  </si>
  <si>
    <t>549300FJPYU033FCF680</t>
  </si>
  <si>
    <t>549300C8KGGGPSW0HL14</t>
  </si>
  <si>
    <t>549300H116F1KKTDG635</t>
  </si>
  <si>
    <t>549300HZ0QH0BYNUF136</t>
  </si>
  <si>
    <t>549300GTC80Y4XSET448</t>
  </si>
  <si>
    <t>54930061U8I804AM3P35</t>
  </si>
  <si>
    <t>254900VIDJVX7UIXBM46</t>
  </si>
  <si>
    <t>549300ZO33DD2ISI5P29</t>
  </si>
  <si>
    <t>5493006UVEKMTN1BZB62</t>
  </si>
  <si>
    <t>549300CHQ2YBKJPGOF13</t>
  </si>
  <si>
    <t>549300PFZ1UJVITH3755</t>
  </si>
  <si>
    <t>54930088YRKSQUZCGK16</t>
  </si>
  <si>
    <t>5493006TN8QCR41WC740</t>
  </si>
  <si>
    <t>54930007JKKX56FNME71</t>
  </si>
  <si>
    <t>549300QG4INWV6792413</t>
  </si>
  <si>
    <t>54930066OWOSZ1WJU402</t>
  </si>
  <si>
    <t>549300R4NLWRBV1JR002</t>
  </si>
  <si>
    <t>4469000001BS7RNB7X39</t>
  </si>
  <si>
    <t>5493007URZN88RSSR511</t>
  </si>
  <si>
    <t>549300DKHQXY4TEOLX25</t>
  </si>
  <si>
    <t>549300ZVJ3255FPCO632</t>
  </si>
  <si>
    <t>5493005CU3HOARGL3U52</t>
  </si>
  <si>
    <t>549300Y1Q65DDKK6ZI88</t>
  </si>
  <si>
    <t>549300TP61VKCIJ5FG26</t>
  </si>
  <si>
    <t>5493008OB23DAYL8NK56</t>
  </si>
  <si>
    <t>549300W23QVXX8A84G29</t>
  </si>
  <si>
    <t>549300BQ1J860CZWWG53</t>
  </si>
  <si>
    <t>549300BUY5TZ8OC68Y89</t>
  </si>
  <si>
    <t>4469000001BO0S1UDN26</t>
  </si>
  <si>
    <t>58L038AY8BUGUY7G7Q19</t>
  </si>
  <si>
    <t>549300EPWMJWHYO1U187</t>
  </si>
  <si>
    <t>549300PHNDMZCKP0FK70</t>
  </si>
  <si>
    <t>529900H31AYI6WA1J534</t>
  </si>
  <si>
    <t>549300XP9V77YOKPJG89</t>
  </si>
  <si>
    <t>213800VTETHO2B6NV880</t>
  </si>
  <si>
    <t>2138004XMJC5W34MO857</t>
  </si>
  <si>
    <t>213800SL1MHZIT41AE28</t>
  </si>
  <si>
    <t>21380041A7T8LELGMM69</t>
  </si>
  <si>
    <t>213800C2J98GM3T4YN93</t>
  </si>
  <si>
    <t>5493004H1R61Y3Y4G007</t>
  </si>
  <si>
    <t>549300VHUNU3LVZ5D735</t>
  </si>
  <si>
    <t>549300GVM5SL1KR77774</t>
  </si>
  <si>
    <t>213800PCVM39835HZE14</t>
  </si>
  <si>
    <t>213800ZWTXCM2M28F174</t>
  </si>
  <si>
    <t>2138009FAQJIBUPXUB03</t>
  </si>
  <si>
    <t>213800CKC6PDZIHJM461</t>
  </si>
  <si>
    <t>549300T2W5V96DTVKI67</t>
  </si>
  <si>
    <t>549300PQ2B01Q8ESF087</t>
  </si>
  <si>
    <t>549300ONNIIC5FALZ071</t>
  </si>
  <si>
    <t>529900DCBALMLHZPLR10</t>
  </si>
  <si>
    <t>213800TXWY6ZVZCSHQ38</t>
  </si>
  <si>
    <t>549300ZDT4M0YPBSJ073</t>
  </si>
  <si>
    <t>213800L1VDLQPI4S7915</t>
  </si>
  <si>
    <t>549300VMBTCJXG0JMS29</t>
  </si>
  <si>
    <t>2138003S21QWFOXN1231</t>
  </si>
  <si>
    <t>549300PPO2LFYMVIAO60</t>
  </si>
  <si>
    <t>549300Q648PK2KV7SW14</t>
  </si>
  <si>
    <t>549300FO8HYJ06S7ZQ23</t>
  </si>
  <si>
    <t>549300Q8NCHSBFPI2S48</t>
  </si>
  <si>
    <t>5493005NS12TKDXKJV81</t>
  </si>
  <si>
    <t>5493000W4G7T3LKK9739</t>
  </si>
  <si>
    <t>254900BN8T0MSNV02S77</t>
  </si>
  <si>
    <t>213800B7D74HWVE15M80</t>
  </si>
  <si>
    <t>213800FFJDBU2Y358K60</t>
  </si>
  <si>
    <t>213800ZSGZJ4Z2SK3I54</t>
  </si>
  <si>
    <t>213800HDEWD9XH5N4A08</t>
  </si>
  <si>
    <t>21380073KGLRXUMY7J75</t>
  </si>
  <si>
    <t>213800TAB3VJNVHHDV72</t>
  </si>
  <si>
    <t>5493000SO2T2QJ0Y3287</t>
  </si>
  <si>
    <t>635400DEELKY3LV8OR63</t>
  </si>
  <si>
    <t>9J6MBOOO7BECTDTUZW19</t>
  </si>
  <si>
    <t>549300W2EF0YOE3HSY30</t>
  </si>
  <si>
    <t>5493006HMIK6W1PQ0D90</t>
  </si>
  <si>
    <t>CYYGQCGNHMHPSMRL3R97</t>
  </si>
  <si>
    <t>5493003R3B83OCMDF511</t>
  </si>
  <si>
    <t>213800FWWBETD4C5Z736</t>
  </si>
  <si>
    <t>213800P2GJF61QCI5F06</t>
  </si>
  <si>
    <t>213800QJJD4PQ78WHH25</t>
  </si>
  <si>
    <t>21380029X6115NW1RS24</t>
  </si>
  <si>
    <t>549300FPX71LF2OSV122</t>
  </si>
  <si>
    <t>213800FXDBDAEF8XO282</t>
  </si>
  <si>
    <t>549300VD250U1VN6C025</t>
  </si>
  <si>
    <t>549300IH2S17MAIUCM32</t>
  </si>
  <si>
    <t>259400N39BV3IKRCRZ19</t>
  </si>
  <si>
    <t>213800U4JSXK7ZRVGL58</t>
  </si>
  <si>
    <t>2138003VXYFOMXJZU251</t>
  </si>
  <si>
    <t>213800PAQXF1ZOVNBD65</t>
  </si>
  <si>
    <t>213800WHQSHR86PKQM73</t>
  </si>
  <si>
    <t>335800MJPUA2E1FSFL38</t>
  </si>
  <si>
    <t>549300V2FCC1W702NY33</t>
  </si>
  <si>
    <t>213800WP6DRETWE4YW87</t>
  </si>
  <si>
    <t>549300WZKZUQZKCNP072</t>
  </si>
  <si>
    <t>5493008VUCYBI4F4DI39</t>
  </si>
  <si>
    <t>549300CQ6M9Q0TJEZR23</t>
  </si>
  <si>
    <t>335800JDVJ8HSXG9G512</t>
  </si>
  <si>
    <t>4469000001BZ368XFI90</t>
  </si>
  <si>
    <t>5493009B714CU1T8N549</t>
  </si>
  <si>
    <t>5493001JZ37UBBZF6L49</t>
  </si>
  <si>
    <t>5493009HBZNG1IKQVI60</t>
  </si>
  <si>
    <t>549300BUBPFLNP456D63</t>
  </si>
  <si>
    <t>549300XS5BAF8KF71849</t>
  </si>
  <si>
    <t>549300IKS3NW7ERC0D47</t>
  </si>
  <si>
    <t>549300JU5L3BUVLODX43</t>
  </si>
  <si>
    <t>4469000001BUYEUHHA96</t>
  </si>
  <si>
    <t>2549001XDOAMCOJNJO14</t>
  </si>
  <si>
    <t>549300KESGEC7ELF7E34</t>
  </si>
  <si>
    <t>5493003NT3U3S1SP4489</t>
  </si>
  <si>
    <t>549300ZT5DJSUG0LJN08</t>
  </si>
  <si>
    <t>549300BAFQ608UWD7V97</t>
  </si>
  <si>
    <t>0000NOTAVAILABLE0000</t>
  </si>
  <si>
    <t>5493006IWP5P4M6MMN95</t>
  </si>
  <si>
    <t>549300293WQN3NUD5Q38</t>
  </si>
  <si>
    <t>549300T80RVWUKCEEK35</t>
  </si>
  <si>
    <t>549300Z5RZLZI8YCXA19</t>
  </si>
  <si>
    <t>549300ZLB05E6F8OPW02</t>
  </si>
  <si>
    <t>549300615S6GV485FD13</t>
  </si>
  <si>
    <t>5493001S99YNFUR5RQ15</t>
  </si>
  <si>
    <t>549300JVWWXBZ556FJ85</t>
  </si>
  <si>
    <t>254900KW112WO7UKMO62</t>
  </si>
  <si>
    <t>549300FWMNIHO4FC9O09</t>
  </si>
  <si>
    <t>54930010J05T9VGY0281</t>
  </si>
  <si>
    <t>549300H5PMO4QSTB6D86</t>
  </si>
  <si>
    <t>549300BBVSWYWG3FUZ60</t>
  </si>
  <si>
    <t>549300UCZ8KFGQK6LY61</t>
  </si>
  <si>
    <t>549300EKYULGEQGSCU70</t>
  </si>
  <si>
    <t>529900MUF4C20K50JS49</t>
  </si>
  <si>
    <t>5493007GRMPGDJG93Z17</t>
  </si>
  <si>
    <t>54930050RW7136Z77380</t>
  </si>
  <si>
    <t>549300ZJB8FD6NSN0G16</t>
  </si>
  <si>
    <t>549300XRKJMCORQ7ZG04</t>
  </si>
  <si>
    <t>549300O3HJ72J8N2HW90</t>
  </si>
  <si>
    <t>549300SH2ZNIOHKXGC10</t>
  </si>
  <si>
    <t>5493008LE6UCHW139X55</t>
  </si>
  <si>
    <t>549300IO1WLYLNWZJI69</t>
  </si>
  <si>
    <t>549300OKKY0D29BX4977</t>
  </si>
  <si>
    <t>25490085EX6W6DG05T78</t>
  </si>
  <si>
    <t>549300FWSTALQIIQUH06</t>
  </si>
  <si>
    <t>549300TJ1GRR4PX8GJ82</t>
  </si>
  <si>
    <t>54930056NDDJ2MN2C349</t>
  </si>
  <si>
    <t>5493004VL4729GYIH556</t>
  </si>
  <si>
    <t>549300TZPD8P8MCS2517</t>
  </si>
  <si>
    <t>5493006DP6FL28ET4361</t>
  </si>
  <si>
    <t>549300Y56XRWT1UHK783</t>
  </si>
  <si>
    <t>549300VTZRQLC6BY2L13</t>
  </si>
  <si>
    <t>549300WSPULEQ4JDKS25</t>
  </si>
  <si>
    <t>549300P98MU4VTYNN697</t>
  </si>
  <si>
    <t>549300RRBYI2PTTA4626</t>
  </si>
  <si>
    <t>549300Z8YP3CTF0DKM59</t>
  </si>
  <si>
    <t>549300QN3Z551U0BDP22</t>
  </si>
  <si>
    <t>5299003LHT9UFXJWCS10</t>
  </si>
  <si>
    <t>549300ZGCVC75L5DUX38</t>
  </si>
  <si>
    <t>5493002AF8TRQ51E8M44</t>
  </si>
  <si>
    <t>OXTKY6Q8X53C9ILVV871</t>
  </si>
  <si>
    <t>5493001TT5VSTQ0NRL81</t>
  </si>
  <si>
    <t>549300FPQLTHTYGCZ047</t>
  </si>
  <si>
    <t>5493008B0OPEGXJDSQ64</t>
  </si>
  <si>
    <t>5493006RXHQCO20P6085</t>
  </si>
  <si>
    <t>549300GQWJEZ77BOMX78</t>
  </si>
  <si>
    <t>5493002ZYRMXUB5Y4F37</t>
  </si>
  <si>
    <t>254900IZW280402R7G94</t>
  </si>
  <si>
    <t>549300GEVG4J7ZN0VZ33</t>
  </si>
  <si>
    <t>549300MWYV5MMZTCQ653</t>
  </si>
  <si>
    <t>549300LB6P93ZMNGHU75</t>
  </si>
  <si>
    <t>549300SBU653PMJP7W78</t>
  </si>
  <si>
    <t>5493001F1ZLOC185NZ24</t>
  </si>
  <si>
    <t>4469000001BRDK8LZV86</t>
  </si>
  <si>
    <t>254900OJX8UZOAIVSU82</t>
  </si>
  <si>
    <t>549300G0EWO6PFNIU394</t>
  </si>
  <si>
    <t>549300GW7IM84KW27K62</t>
  </si>
  <si>
    <t>549300XHHVKAJS8B0B90</t>
  </si>
  <si>
    <t>549300BVDTCOIL5XJ574</t>
  </si>
  <si>
    <t>5493001OFEW8VXYUS224</t>
  </si>
  <si>
    <t>549300GU66CZ84NRW053</t>
  </si>
  <si>
    <t>549300NJOOAPOCTYID51</t>
  </si>
  <si>
    <t>549300Z1XH47TTIIJS11</t>
  </si>
  <si>
    <t>549300Y858PXWPKS3545</t>
  </si>
  <si>
    <t>5493004FQ3CFUPV0XF97</t>
  </si>
  <si>
    <t>5493000OTI2OEJ2GSZ35</t>
  </si>
  <si>
    <t>5493001MT53V8FYVC252</t>
  </si>
  <si>
    <t>549300WFF2LPGZL3D430</t>
  </si>
  <si>
    <t>4469000001BR0SX90Y78</t>
  </si>
  <si>
    <t>4469000001BCNG57T785</t>
  </si>
  <si>
    <t>CF5M58QA35CFPUX70H17</t>
  </si>
  <si>
    <t>213800ZW84IZ33Q3LG25</t>
  </si>
  <si>
    <t>254900MJO8E7BMEXO564</t>
  </si>
  <si>
    <t>549300KVJTGD8DC0BO47</t>
  </si>
  <si>
    <t>549300AQIWLEIF9ND454</t>
  </si>
  <si>
    <t>54930076SZM0LZN5OG08</t>
  </si>
  <si>
    <t>549300V2VJESVN5SJM68</t>
  </si>
  <si>
    <t>549300638VL7MNXPHU33</t>
  </si>
  <si>
    <t>5493001C84E6DOOYR677</t>
  </si>
  <si>
    <t>549300MNNT0Z27Y3DK07</t>
  </si>
  <si>
    <t>5493002ZUAR5E3MPHF44</t>
  </si>
  <si>
    <t>3003000UG92IRWM5LQ12</t>
  </si>
  <si>
    <t>213800NMEZS3MD2IUP33</t>
  </si>
  <si>
    <t>549300WYFIFDMB6POR04</t>
  </si>
  <si>
    <t>2549006QYLSRT6TJQL78</t>
  </si>
  <si>
    <t>254900WTR35VCXVNUK66</t>
  </si>
  <si>
    <t>549300V7NU090M6XCS31</t>
  </si>
  <si>
    <t>213800JOXDGV228P2J86</t>
  </si>
  <si>
    <t>2138005NNERSR7ODIC73</t>
  </si>
  <si>
    <t>549300QQ76LDTFK2M123</t>
  </si>
  <si>
    <t>549300FXGC8VG07BVJ05</t>
  </si>
  <si>
    <t>549300FY47XU084KNG05</t>
  </si>
  <si>
    <t>549300UY7LM5E8MLM117</t>
  </si>
  <si>
    <t>549300YYVWNC03AD5272</t>
  </si>
  <si>
    <t>549300MSEWNQCRNE3511</t>
  </si>
  <si>
    <t>549300RLSS0661BG1G75</t>
  </si>
  <si>
    <t>549300NG0SJIK67O9771</t>
  </si>
  <si>
    <t>4469000001BKZTOSMF67</t>
  </si>
  <si>
    <t>5493001HB6XZN131PN16</t>
  </si>
  <si>
    <t>549300Z95JSVKQ1FR878</t>
  </si>
  <si>
    <t>549300KVU8FW2TQPT393</t>
  </si>
  <si>
    <t>4469000001BRUU5RD528</t>
  </si>
  <si>
    <t>549300THIQ43Z5E9UJ26</t>
  </si>
  <si>
    <t>549300R3W0R3EV800D58</t>
  </si>
  <si>
    <t>5493006JV7T0RL3G8O43</t>
  </si>
  <si>
    <t>549300B17DMH7BFPTB96</t>
  </si>
  <si>
    <t>549300ZIB4JGT9EQZ445</t>
  </si>
  <si>
    <t>549300VY32WY1FYBTI65</t>
  </si>
  <si>
    <t>549300L5M6PHMGLMD016</t>
  </si>
  <si>
    <t>549300C3X73F5TM0IV91</t>
  </si>
  <si>
    <t>54930021HBVCPYM6RF69</t>
  </si>
  <si>
    <t>549300N4RYNRULNT8971</t>
  </si>
  <si>
    <t>549300OCPP0KXU9J6088</t>
  </si>
  <si>
    <t>549300SMFJUEKP13Z315</t>
  </si>
  <si>
    <t>254900KFT299YWDZI228</t>
  </si>
  <si>
    <t>549300SF01NBVF8JNZ20</t>
  </si>
  <si>
    <t>2549006NG5TGEU2ERS63</t>
  </si>
  <si>
    <t>549300QZ8N7ODMH82E44</t>
  </si>
  <si>
    <t>549300V7B3ZZSW2FZ167</t>
  </si>
  <si>
    <t>549300FTXI18B9U1VB03</t>
  </si>
  <si>
    <t>549300FWJZS8WZW1IW29</t>
  </si>
  <si>
    <t>254900JNGHVALP2HF395</t>
  </si>
  <si>
    <t>549300DGZ9XUF28IR673</t>
  </si>
  <si>
    <t>549300NV2JU63LDJEH40</t>
  </si>
  <si>
    <t>5493004QWSQ2YGMXPW32</t>
  </si>
  <si>
    <t>2138004RRDC64K7UD291</t>
  </si>
  <si>
    <t>5493005KQEHI35I3FI31</t>
  </si>
  <si>
    <t>549300L0NEJV03FI5D61</t>
  </si>
  <si>
    <t>549300RSBOVYL2HPL705</t>
  </si>
  <si>
    <t>549300O5VUG8V8KU9N71</t>
  </si>
  <si>
    <t>549300H020DYN248FC77</t>
  </si>
  <si>
    <t>549300MSF85F860FWE36</t>
  </si>
  <si>
    <t>549300XED8JMT5D64I60</t>
  </si>
  <si>
    <t>549300CYN61PCK8MJV74</t>
  </si>
  <si>
    <t>549300HY2UBDXZGH8C91</t>
  </si>
  <si>
    <t>549300UFY24N2HV9KM40</t>
  </si>
  <si>
    <t>254900XM5SXPWEGIEL98</t>
  </si>
  <si>
    <t>549300FBSGI5GCKPVI93</t>
  </si>
  <si>
    <t>254900V5KVZP04RAJF42</t>
  </si>
  <si>
    <t>549300ERVVAQ1MD0Z343</t>
  </si>
  <si>
    <t>549300J8J5P5UGF9S147</t>
  </si>
  <si>
    <t>254900A0NMO8MXIII912</t>
  </si>
  <si>
    <t>254900NLKNAFI271NA45</t>
  </si>
  <si>
    <t>254900LVZMP9VXDNJ373</t>
  </si>
  <si>
    <t>2549005ACMLXN81O8Q54</t>
  </si>
  <si>
    <t>254900NJ8NTP8Y3IGN98</t>
  </si>
  <si>
    <t>254900QE0L74TAEVEN91</t>
  </si>
  <si>
    <t>254900DA37Y17XIL6D79</t>
  </si>
  <si>
    <t>254900C1489JV0D8O441</t>
  </si>
  <si>
    <t>254900YBKZY9U6YLVB60</t>
  </si>
  <si>
    <t>2549002Z22LQJWCHZ812</t>
  </si>
  <si>
    <t>5493003BFD14JASTEQ18</t>
  </si>
  <si>
    <t>254900H96CPUN5C65595</t>
  </si>
  <si>
    <t>254900CLEUOND7CGJ519</t>
  </si>
  <si>
    <t>549300QE9HOPVR6TT517</t>
  </si>
  <si>
    <t>254900V87XP96F6VZ269</t>
  </si>
  <si>
    <t>549300Z6E2YA6LPNLX53</t>
  </si>
  <si>
    <t>5493007WEVU02CBLWJ72</t>
  </si>
  <si>
    <t>5493003EY0Q8XFE7U868</t>
  </si>
  <si>
    <t>254900WVKMHQRHMF2R38</t>
  </si>
  <si>
    <t>254900VDX04ZAI6EN938</t>
  </si>
  <si>
    <t>254900R1AQHYR38OG759</t>
  </si>
  <si>
    <t>254900UMHI90W243M140</t>
  </si>
  <si>
    <t>549300TPL53QF08V1R41</t>
  </si>
  <si>
    <t>254900N5BVOO5O1RJW22</t>
  </si>
  <si>
    <t>254900MLHBNBHLEK3O52</t>
  </si>
  <si>
    <t>54930064OR31E6RDNU85</t>
  </si>
  <si>
    <t>549300LJBZBTP6M4DR25</t>
  </si>
  <si>
    <t>549300SMH6DP6GG91G83</t>
  </si>
  <si>
    <t>549300ZP1Z2DDIE7G117</t>
  </si>
  <si>
    <t>549300DYOS7ELXWFPC29</t>
  </si>
  <si>
    <t>549300NO5XV0D7FMXS64</t>
  </si>
  <si>
    <t>5493005LXSHJ00YZSI70</t>
  </si>
  <si>
    <t>549300XU3W3P7Q1IVN03</t>
  </si>
  <si>
    <t>5493000IHJBNPZO0TC53</t>
  </si>
  <si>
    <t>549300MQEZAKNP64I421</t>
  </si>
  <si>
    <t>549300XW31KVGO03TX25</t>
  </si>
  <si>
    <t>549300KKSYC6J3ZN2N33</t>
  </si>
  <si>
    <t>549300Y423UR2L2WO349</t>
  </si>
  <si>
    <t>254900Q4CEKXK436RL34</t>
  </si>
  <si>
    <t>254900A0CMB15NMXSB06</t>
  </si>
  <si>
    <t>988400HJA9E0ZVDHRS65</t>
  </si>
  <si>
    <t>254900EV1Q3P1YKK7C93</t>
  </si>
  <si>
    <t>5493002058X94INDIU84</t>
  </si>
  <si>
    <t>254900ZIQ4B86N33JW71</t>
  </si>
  <si>
    <t>254900A3ZYZZOEG22T50</t>
  </si>
  <si>
    <t>549300L63SOGESBR9696</t>
  </si>
  <si>
    <t>254900UTI70HO0IYQK46</t>
  </si>
  <si>
    <t>724500FH09SNL03TAN57</t>
  </si>
  <si>
    <t>2549007BPY53GKC4HC45</t>
  </si>
  <si>
    <t>254900X5G335M9WMCO62</t>
  </si>
  <si>
    <t>988400L1JDH871AJTA03</t>
  </si>
  <si>
    <t>988400TP9XND969CO672</t>
  </si>
  <si>
    <t>988400QA7X6J7HTFYD51</t>
  </si>
  <si>
    <t>254900F17Q9BK2LVT242</t>
  </si>
  <si>
    <t>TQCT5J6WW66EP0RL6J50</t>
  </si>
  <si>
    <t>W6WH36E2JKQ9TZEL6L82</t>
  </si>
  <si>
    <t>549300QREK4FQPQLP776</t>
  </si>
  <si>
    <t>549300XWHWT54X863091</t>
  </si>
  <si>
    <t>TSPD14HJPQWFNQM62H10</t>
  </si>
  <si>
    <t>5493001VGUAF5PXO9P94</t>
  </si>
  <si>
    <t>549300I3P8SPCT8O5Z31</t>
  </si>
  <si>
    <t>549300MC4RSMCBWXRV23</t>
  </si>
  <si>
    <t>549300M8EYSRRNLT4P72</t>
  </si>
  <si>
    <t>Z2LOWGPNWY567DXATX39</t>
  </si>
  <si>
    <t>549300M1T0EUQS98Z094</t>
  </si>
  <si>
    <t>549300Q1MVIVHSWVTS52</t>
  </si>
  <si>
    <t>549300DUL85XT31GK552</t>
  </si>
  <si>
    <t>549300ARMVKXQJWO0I79</t>
  </si>
  <si>
    <t>549300NFB3E11IWMFU81</t>
  </si>
  <si>
    <t>549300CZHS1V0MDGSX28</t>
  </si>
  <si>
    <t>549300OGJK1VJ16FGD65</t>
  </si>
  <si>
    <t>549300DWPU62AM9RGI31</t>
  </si>
  <si>
    <t>549300F3Q8II4ER45H43</t>
  </si>
  <si>
    <t>549300CPLSD4R1S78650</t>
  </si>
  <si>
    <t>54930065D6MXW01VAK26</t>
  </si>
  <si>
    <t>549300C5ZB4NZ6TWM881</t>
  </si>
  <si>
    <t>549300BHOJGAJTV1DD81</t>
  </si>
  <si>
    <t>4469000001BO0S0O5843</t>
  </si>
  <si>
    <t>5493006C3VLMNDZ83382</t>
  </si>
  <si>
    <t>549300JKO1J1B6YJRD10</t>
  </si>
  <si>
    <t>549300NQY9G08T36LK77</t>
  </si>
  <si>
    <t>549300T8MOVNV08XF242</t>
  </si>
  <si>
    <t>549300APVP4R32PI3Y06</t>
  </si>
  <si>
    <t>549300OY1115B1M6K555</t>
  </si>
  <si>
    <t>549300X8U9CXQDJF7X87</t>
  </si>
  <si>
    <t>549300WPRSQHUINFCD94</t>
  </si>
  <si>
    <t>2549007KFKKOGU0OGC48</t>
  </si>
  <si>
    <t>549300J7YDJF6FOFGZ29</t>
  </si>
  <si>
    <t>300300SFYLPB39Q2VY73</t>
  </si>
  <si>
    <t>254900PBR3NN1PHY5196</t>
  </si>
  <si>
    <t>254900GEHYU0TMFECS43</t>
  </si>
  <si>
    <t>549300MVJ5FAYQX68835</t>
  </si>
  <si>
    <t>549300BJFVTQHSEVZ313</t>
  </si>
  <si>
    <t>2138009V7JWE5AJQWT15</t>
  </si>
  <si>
    <t>2138007UE6K5C9BPGM47</t>
  </si>
  <si>
    <t>213800Y8L791728MW488</t>
  </si>
  <si>
    <t>2138009L28JDPTSG6262</t>
  </si>
  <si>
    <t>5493004B9W223FFLBJ79</t>
  </si>
  <si>
    <t>213800U64CZKRIL31F64</t>
  </si>
  <si>
    <t>549300WQ3DBPKQNK9X52</t>
  </si>
  <si>
    <t>213800AA5JHBIU2VGJ88</t>
  </si>
  <si>
    <t>549300QG5W06B1KJVG42</t>
  </si>
  <si>
    <t>549300HTX3V0DSPBND15</t>
  </si>
  <si>
    <t>4469000001C3BTC0HX79</t>
  </si>
  <si>
    <t>254900RSEMKXK2MLVC44</t>
  </si>
  <si>
    <t>549300GBSH741WENGY40</t>
  </si>
  <si>
    <t>549300LNW93V3HRS7610</t>
  </si>
  <si>
    <t>5493004XI462I1NU4G97</t>
  </si>
  <si>
    <t>549300XIT2GJKMZC0O65</t>
  </si>
  <si>
    <t>5493001E05BYWJ18OP41</t>
  </si>
  <si>
    <t>549300T216X5ZNS5ZV43</t>
  </si>
  <si>
    <t>549300AUQ0E2WHW5V241</t>
  </si>
  <si>
    <t>549300GJISGM1X1NCI07</t>
  </si>
  <si>
    <t>5493003LFCEWZR1S6M95</t>
  </si>
  <si>
    <t>213800K5DFMGN4OKTP81</t>
  </si>
  <si>
    <t>213800NAB1BYAOHT3K37</t>
  </si>
  <si>
    <t>549300PNVDHXOLXU6Y12</t>
  </si>
  <si>
    <t>213800MBWEIJDM5CU638</t>
  </si>
  <si>
    <t>549300RELRWF5KPJWU92</t>
  </si>
  <si>
    <t>529900VWPV1LPOHGJ702</t>
  </si>
  <si>
    <t>549300E4BGB4ECR0KO35</t>
  </si>
  <si>
    <t>549300NFT98RAWPBBR18</t>
  </si>
  <si>
    <t>549300YYIGZYWF8QRH76</t>
  </si>
  <si>
    <t>529900MLZUAM4ZY9KN74</t>
  </si>
  <si>
    <t>4469000001BT1YJQ8J29</t>
  </si>
  <si>
    <t>213800BEUBL3HL5YJ847</t>
  </si>
  <si>
    <t>PTCQB104N23FMNK2RZ28</t>
  </si>
  <si>
    <t>335800XUCVS3M7Y6LS81</t>
  </si>
  <si>
    <t>4469000001BSJ3NOCU70</t>
  </si>
  <si>
    <t>549300XBGF4O2HR6D808</t>
  </si>
  <si>
    <t>549300IVPPBY90RZA519</t>
  </si>
  <si>
    <t>549300I1MQY8VPJ7EX98</t>
  </si>
  <si>
    <t>549300XP3LOP7B58PM28</t>
  </si>
  <si>
    <t>549300Z47RLCZ7EYI606</t>
  </si>
  <si>
    <t>549300U7MLI00HI0SB87</t>
  </si>
  <si>
    <t>5493008A2CMY6Y1MS467</t>
  </si>
  <si>
    <t>549300PUBYLLRGM8HV60</t>
  </si>
  <si>
    <t>549300YHVRO3XL81B096</t>
  </si>
  <si>
    <t>549300FZ9Y1YDUXKPM21</t>
  </si>
  <si>
    <t>5493008U36JZM6DWJJ75</t>
  </si>
  <si>
    <t>4469000001C48RRB5692</t>
  </si>
  <si>
    <t>549300D77BCVUZE35P53</t>
  </si>
  <si>
    <t>5493008QHXZCUE2G2K65</t>
  </si>
  <si>
    <t>5493000VLZ9A63M6GC05</t>
  </si>
  <si>
    <t>54930006DM93NTSDG559</t>
  </si>
  <si>
    <t>21380096PTIDRZ9NSA02</t>
  </si>
  <si>
    <t>549300ULJWXKWG18N089</t>
  </si>
  <si>
    <t>5493008JPU5SKSAOPU53</t>
  </si>
  <si>
    <t>5493000R1UTEFGR3ML42</t>
  </si>
  <si>
    <t>213800ZCFA2XG1U9FO37</t>
  </si>
  <si>
    <t>549300083OU3VKWE1L03</t>
  </si>
  <si>
    <t>549300B4Y5DSQGVA0I95</t>
  </si>
  <si>
    <t>5493000PJF0965WYMB46</t>
  </si>
  <si>
    <t>549300Q2V82E7YHB1V69</t>
  </si>
  <si>
    <t>549300WK01NP8CW13L21</t>
  </si>
  <si>
    <t>549300L48VOFBPSMNI49</t>
  </si>
  <si>
    <t>549300YGUEJ1IM3QVZ35</t>
  </si>
  <si>
    <t>549300VWXH28OK25RX03</t>
  </si>
  <si>
    <t>4469000001BSF3FR8I38</t>
  </si>
  <si>
    <t>549300HEYB95TTRIM246</t>
  </si>
  <si>
    <t>549300KPN2C1WSVY3C50</t>
  </si>
  <si>
    <t>549300VD3MU5ZN077Z09</t>
  </si>
  <si>
    <t>549300C4RN77A42DJJ40</t>
  </si>
  <si>
    <t>549300R73R5E8D09NR23</t>
  </si>
  <si>
    <t>549300Q0WRYYCVBQCM80</t>
  </si>
  <si>
    <t>4469000001BQLFPAFQ18</t>
  </si>
  <si>
    <t>549300I80T4UNP14Y725</t>
  </si>
  <si>
    <t>549300DDAOKNDHBHZT85</t>
  </si>
  <si>
    <t>549300PCOTTD4FCVDD38</t>
  </si>
  <si>
    <t>549300H49J46FE1LWR51</t>
  </si>
  <si>
    <t>549300MX2ZBFDRSIC392</t>
  </si>
  <si>
    <t>213800CTZ7TEIE7YM468</t>
  </si>
  <si>
    <t>549300V0A7ZM7J0MV075</t>
  </si>
  <si>
    <t>5493007DTEIS8MVE5962</t>
  </si>
  <si>
    <t>254900K5SZWOAS4BXJ04</t>
  </si>
  <si>
    <t>549300KQUJJ26QKMZN41</t>
  </si>
  <si>
    <t>8GRDBX1TJ0PU5NCSHT72</t>
  </si>
  <si>
    <t>254900BDEODN7KJMLA13</t>
  </si>
  <si>
    <t>213800DZOCPPGB9CQ612</t>
  </si>
  <si>
    <t>4469000001BXHS2J8C26</t>
  </si>
  <si>
    <t>335800KZF4RFZHP6LI62</t>
  </si>
  <si>
    <t>549300T4MW1FFGWW3760</t>
  </si>
  <si>
    <t>549300RTKS33ZBX2YW91</t>
  </si>
  <si>
    <t>549300I14WRR74BJNE88</t>
  </si>
  <si>
    <t>3358005FZUZ1I25XQH69</t>
  </si>
  <si>
    <t>2549000Z50JVBPQ1JV10</t>
  </si>
  <si>
    <t>4469000001C6L33YBG75</t>
  </si>
  <si>
    <t>5493000NO11MPCR3WE02</t>
  </si>
  <si>
    <t>549300XZDJZ73YIOX611</t>
  </si>
  <si>
    <t>335800E6GTTXKHXE2I75</t>
  </si>
  <si>
    <t>549300NH2YQ77T7SIO17</t>
  </si>
  <si>
    <t>549300V1YEA9AGN49O23</t>
  </si>
  <si>
    <t>549300DCRDSGMU8FEF67</t>
  </si>
  <si>
    <t>549300FWQYIGXQKTLF33</t>
  </si>
  <si>
    <t>549300OSI7GRX9V3MM95</t>
  </si>
  <si>
    <t>549300RTICGDD36DOO86</t>
  </si>
  <si>
    <t>549300AO4RPXS5MQKI88</t>
  </si>
  <si>
    <t>549300MQLIHHWFLJ9133</t>
  </si>
  <si>
    <t>254900J004OW075BKE41</t>
  </si>
  <si>
    <t>254900ULBPJRRV3YYG75</t>
  </si>
  <si>
    <t>254900PY8F3SNAY31E21</t>
  </si>
  <si>
    <t>254900V3LX3VYBNR5P22</t>
  </si>
  <si>
    <t>549300OV78VZYRCN5W53</t>
  </si>
  <si>
    <t>549300MP2QBZPKUHWZ85</t>
  </si>
  <si>
    <t>5493003HN3EVPYH50Y28</t>
  </si>
  <si>
    <t>54930022X9IJSBMNMU13</t>
  </si>
  <si>
    <t>254900Y0PDWHC43FEZ34</t>
  </si>
  <si>
    <t>254900BFIV85K58WDP40</t>
  </si>
  <si>
    <t>54930010P7BUGOECPI58</t>
  </si>
  <si>
    <t>549300SQ11J59DKS7D35</t>
  </si>
  <si>
    <t>549300OMUJN8H3X7T452</t>
  </si>
  <si>
    <t>549300XFA064GYUKPL47</t>
  </si>
  <si>
    <t>254900JCCWA9DW3QVG13</t>
  </si>
  <si>
    <t>0XNERYKNM1SJ16DXK809</t>
  </si>
  <si>
    <t>549300IGCV4MBEOHWK32</t>
  </si>
  <si>
    <t>549300Y41TR546GZLL61</t>
  </si>
  <si>
    <t>549300LV3ZEXUILJT779</t>
  </si>
  <si>
    <t>549300CAS1OQGCIPMK53</t>
  </si>
  <si>
    <t>549300F8LRP7EYGJD520</t>
  </si>
  <si>
    <t>5493000GUQRCBBUTSB39</t>
  </si>
  <si>
    <t>549300KBFPME5I13ZQ09</t>
  </si>
  <si>
    <t>5493000P4HD6132SQ711</t>
  </si>
  <si>
    <t>549300COVBX33CGFY351</t>
  </si>
  <si>
    <t>21380058KMSRJIL8C294</t>
  </si>
  <si>
    <t>5493008LEQOZ9H2ZRL86</t>
  </si>
  <si>
    <t>549300IXLOSXFVKBTY44</t>
  </si>
  <si>
    <t>549300MB7SLRQGA8S465</t>
  </si>
  <si>
    <t>335800X6WKDDXJUSFZ86</t>
  </si>
  <si>
    <t>549300BBD24RYOZ21P44</t>
  </si>
  <si>
    <t>549300RNVEKFNTF0LG31</t>
  </si>
  <si>
    <t>549300W0B3ZLU8ZWL681</t>
  </si>
  <si>
    <t>5493000RKRTWN7HV0Y86</t>
  </si>
  <si>
    <t>2549006DUJB7OJQSWF53</t>
  </si>
  <si>
    <t>549300N15KB7OWTO2V30</t>
  </si>
  <si>
    <t>549300K57WKSR525XK29</t>
  </si>
  <si>
    <t>549300ENVN6HVF50YV87</t>
  </si>
  <si>
    <t>549300KID9AQSA1MO666</t>
  </si>
  <si>
    <t>33580088D6XSFAQO5M40</t>
  </si>
  <si>
    <t>254900CGI0XY1HBTHF74</t>
  </si>
  <si>
    <t>549300UF0DU35Y27KE21</t>
  </si>
  <si>
    <t>335800R9O14ORBXLPN13</t>
  </si>
  <si>
    <t>54930027LR905FBASI11</t>
  </si>
  <si>
    <t>549300OQZPG7UXHVWR58</t>
  </si>
  <si>
    <t>335800RKNCBUZPP5UK71</t>
  </si>
  <si>
    <t>549300FVCP7IT3BYWS78</t>
  </si>
  <si>
    <t>549300D146CLRXAUPV83</t>
  </si>
  <si>
    <t>335800G4T2A353RDGM23</t>
  </si>
  <si>
    <t>549300H0G4DXI0V26861</t>
  </si>
  <si>
    <t>549300C6DUEJHYNAZT85</t>
  </si>
  <si>
    <t>IW6U78J37ULFW0YQD521</t>
  </si>
  <si>
    <t>549300V7YLIPR12IPG94</t>
  </si>
  <si>
    <t>335800KJ7GE29LB4SS73</t>
  </si>
  <si>
    <t>54930050H7PCO506QR30</t>
  </si>
  <si>
    <t>549300JKBQCBEHSMKS81</t>
  </si>
  <si>
    <t>335800LBGUPVD952GQ62</t>
  </si>
  <si>
    <t>549300R0UBQNXTCQVX78</t>
  </si>
  <si>
    <t>549300P0T6C2NCYXM438</t>
  </si>
  <si>
    <t>549300IQYBSX8JKYDC17</t>
  </si>
  <si>
    <t>549300T32EOC7Y06IA75</t>
  </si>
  <si>
    <t>549300BVLJHRFNS08422</t>
  </si>
  <si>
    <t>549300QCP2NCFXHI7T61</t>
  </si>
  <si>
    <t>549300HDRGJU31Y5DZ46</t>
  </si>
  <si>
    <t>5493004GZ3POI7KCYX98</t>
  </si>
  <si>
    <t>549300DLWGJ1T21YM173</t>
  </si>
  <si>
    <t>4469000001BVTOGWDD74</t>
  </si>
  <si>
    <t>54930003VCGSBIZ62779</t>
  </si>
  <si>
    <t>5493003WEIO6FEQFG892</t>
  </si>
  <si>
    <t>549300OMGWUC374JXU90</t>
  </si>
  <si>
    <t>549300ASHEEXIICOIG70</t>
  </si>
  <si>
    <t>549300QDCHO1Y455E031</t>
  </si>
  <si>
    <t>Q2GQA2KF6XJ24W42G291</t>
  </si>
  <si>
    <t>549300DD0O0MXGNO6U41</t>
  </si>
  <si>
    <t>5493000D96737P5XDX81</t>
  </si>
  <si>
    <t>7245008Y2VORBIQEAE32</t>
  </si>
  <si>
    <t>3003000N3YPHBKMUTI71</t>
  </si>
  <si>
    <t>549300U7ZR8PQRIWXX54</t>
  </si>
  <si>
    <t>549300ZJLZRM5O0RUR64</t>
  </si>
  <si>
    <t>549300NDEGE6ST10ET47</t>
  </si>
  <si>
    <t>335800J8OBWE4VFUDG88</t>
  </si>
  <si>
    <t>549300HFEH45K3VVJE20</t>
  </si>
  <si>
    <t>549300J72ONEUUEHLH53</t>
  </si>
  <si>
    <t>549300CXSELYELMZCG27</t>
  </si>
  <si>
    <t>KNX7SDWKC6VPO07OOC32</t>
  </si>
  <si>
    <t>549300GK7L8CWS3K6Q58</t>
  </si>
  <si>
    <t>549300O9ZI23O000HW54</t>
  </si>
  <si>
    <t>254900SIBHKHL4D5XK68</t>
  </si>
  <si>
    <t>54930026CNAIP718XD30</t>
  </si>
  <si>
    <t>549300M70ARG4BE03F03</t>
  </si>
  <si>
    <t>549300Y973CW3IH08D75</t>
  </si>
  <si>
    <t>549300FNJJ2QCY4B8J55</t>
  </si>
  <si>
    <t>549300D05UWSRP74J646</t>
  </si>
  <si>
    <t>549300V28DWCBXCY3127</t>
  </si>
  <si>
    <t>5493006TQMK1DLF2SQ24</t>
  </si>
  <si>
    <t>549300IWRK71UTIK7Y37</t>
  </si>
  <si>
    <t>549300FK7HEJO33J5N35</t>
  </si>
  <si>
    <t>549300MFNJDJ3UI3LM17</t>
  </si>
  <si>
    <t>549300PD8BX2VOVWRV79</t>
  </si>
  <si>
    <t>54930065X9VJYD43TS42</t>
  </si>
  <si>
    <t>5493009S4VFF4TY5VX48</t>
  </si>
  <si>
    <t>549300W2GRDOLEKBWP42</t>
  </si>
  <si>
    <t>549300SBH6LKE0JP3612</t>
  </si>
  <si>
    <t>549300DZDQK7A16QUS23</t>
  </si>
  <si>
    <t>2QC0MRAG5HQKQLHYOO55</t>
  </si>
  <si>
    <t>549300MVR2RDXFI8TV47</t>
  </si>
  <si>
    <t>54930036MMS0I6NRVI09</t>
  </si>
  <si>
    <t>5493004XQNWIFFO81Z77</t>
  </si>
  <si>
    <t>549300BBXG23YKY3R612</t>
  </si>
  <si>
    <t>NY1XR7VWRMC1TA8K6J03</t>
  </si>
  <si>
    <t>549300RLMH605YFDH071</t>
  </si>
  <si>
    <t>549300IICZ1UQZ25ZY17</t>
  </si>
  <si>
    <t>5493000WMHS5TYP10X85</t>
  </si>
  <si>
    <t>254900DONRZV54KDYN04</t>
  </si>
  <si>
    <t>2549009GZDBNY1KE9O81</t>
  </si>
  <si>
    <t>549300NS0N654UKTRX59</t>
  </si>
  <si>
    <t>549300ZMGDLC9JT2OR80</t>
  </si>
  <si>
    <t>LUKJMTXSVOQC78C8HV06</t>
  </si>
  <si>
    <t>549300HZVKHQ5F5XYS95</t>
  </si>
  <si>
    <t>984500FDE0C970CA3F46</t>
  </si>
  <si>
    <t>43Y7WACCQ8YM30PD3683</t>
  </si>
  <si>
    <t>549300RVLVZVL8P86Y08</t>
  </si>
  <si>
    <t>549300B7847K47144U59</t>
  </si>
  <si>
    <t>54930084OA17G24BJN96</t>
  </si>
  <si>
    <t>549300NP4MIDUNET0550</t>
  </si>
  <si>
    <t>549300LYGLZXYKJJ5S08</t>
  </si>
  <si>
    <t>549300P9DQV1I0T2QY15</t>
  </si>
  <si>
    <t>549300U4P3HZ3Y1JIK04</t>
  </si>
  <si>
    <t>5493001FIL2P0RED9Q76</t>
  </si>
  <si>
    <t>5493003PSJSJ5FYFD655</t>
  </si>
  <si>
    <t>549300KNMMSTSXA7W260</t>
  </si>
  <si>
    <t>162TOW4MBL26Q9NDNV76</t>
  </si>
  <si>
    <t>549300OFCG4M0G9N1P23</t>
  </si>
  <si>
    <t>549300FTTQHYQJC22160</t>
  </si>
  <si>
    <t>54930085LGZJPLNYPQ08</t>
  </si>
  <si>
    <t>549300XM35P5UYRDQ805</t>
  </si>
  <si>
    <t>549300D753YW2YFVRS60</t>
  </si>
  <si>
    <t>745P3MMS7E8CUVXDRJ82</t>
  </si>
  <si>
    <t>549300QILP5H2Q9FYV19</t>
  </si>
  <si>
    <t>549300GL676SYYX90892</t>
  </si>
  <si>
    <t>WRYEFMSVQCH0EMD08461</t>
  </si>
  <si>
    <t>549300HUDGOBO9Z5JD35</t>
  </si>
  <si>
    <t>988400GSDJCW3LKJBD20</t>
  </si>
  <si>
    <t>549300KV7MCHBD9C7R51</t>
  </si>
  <si>
    <t>549300V0TH5SGMV4JT33</t>
  </si>
  <si>
    <t>5493007OQRSXC5HIC148</t>
  </si>
  <si>
    <t>4469000001BS7MOX4566</t>
  </si>
  <si>
    <t>4469000001BRMDZSL845</t>
  </si>
  <si>
    <t>988400V8MJK9N7OI5X76</t>
  </si>
  <si>
    <t>549300QIXY8FJ4SEBB57</t>
  </si>
  <si>
    <t>549300HHK8O56L87LZ06</t>
  </si>
  <si>
    <t>549300MTPSCG4HLE7555</t>
  </si>
  <si>
    <t>213800LKFXEMM8WLMA04</t>
  </si>
  <si>
    <t>4469000001BWQPCPY612</t>
  </si>
  <si>
    <t>9884004RQX8PRBXQ8S60</t>
  </si>
  <si>
    <t>549300CXJ6NW6FWEFO74</t>
  </si>
  <si>
    <t>549300WDEVGZ3RU6HU72</t>
  </si>
  <si>
    <t>549300RGOCPTVCPYNA78</t>
  </si>
  <si>
    <t>549300OHYHEM0X2FI645</t>
  </si>
  <si>
    <t>549300K1KEJJH4WA4S04</t>
  </si>
  <si>
    <t>2138001AFQNXK3G9KB92</t>
  </si>
  <si>
    <t>213800ERP7VNPSL8YG73</t>
  </si>
  <si>
    <t>549300QSVNJ03GU3RN69</t>
  </si>
  <si>
    <t>254900GBQ5NJCBTYUA93</t>
  </si>
  <si>
    <t>549300FP562JO3CIFS89</t>
  </si>
  <si>
    <t>549300L94NWVTWEXZK98</t>
  </si>
  <si>
    <t>549300S7IIFYRL231V74</t>
  </si>
  <si>
    <t>549300HZUGG9NYTIK019</t>
  </si>
  <si>
    <t>635400PP5HHBFUJGKF07</t>
  </si>
  <si>
    <t>4469000001BZ5RVBWY85</t>
  </si>
  <si>
    <t>5493005DYHVUZ63T6W30</t>
  </si>
  <si>
    <t>549300BT3GBEK3B6QO67</t>
  </si>
  <si>
    <t>549300LO3MXZUXB58L41</t>
  </si>
  <si>
    <t>21380021RC4NFWODRJ81</t>
  </si>
  <si>
    <t>5493005I8WAW0R80EA89</t>
  </si>
  <si>
    <t>213800PSNCYIJVC1ZJ41</t>
  </si>
  <si>
    <t>549300GGWMFM4ZJO8845</t>
  </si>
  <si>
    <t>549300RP133PO144QY70</t>
  </si>
  <si>
    <t>549300RXCLBFDEG0RF28</t>
  </si>
  <si>
    <t>549300KW4VGCZP9PF134</t>
  </si>
  <si>
    <t>549300J4VHF6JQUCAI37</t>
  </si>
  <si>
    <t>300300IWCHX2OVV2NU33</t>
  </si>
  <si>
    <t>5493009R9YA964G02L19</t>
  </si>
  <si>
    <t>5493008VD8YGJ2SO1S69</t>
  </si>
  <si>
    <t>549300ZDHJL1XXIM5E64</t>
  </si>
  <si>
    <t>549300TI6LLQ2EXI0I03</t>
  </si>
  <si>
    <t>815600A50C763397B555</t>
  </si>
  <si>
    <t>254900YRBKEJZGVJRR27</t>
  </si>
  <si>
    <t>549300T17L9O85UKKT69</t>
  </si>
  <si>
    <t>3003008KA897FJO7TF49</t>
  </si>
  <si>
    <t>549300W7KYMOP4YQ8M56</t>
  </si>
  <si>
    <t>549300G7MEL7APHJID45</t>
  </si>
  <si>
    <t>549300LZ3PMXDAOMTA32</t>
  </si>
  <si>
    <t>549300I24TYYGCT38U98</t>
  </si>
  <si>
    <t>4469000001BRE082AW12</t>
  </si>
  <si>
    <t>549300259ON51RSYLZ43</t>
  </si>
  <si>
    <t>549300O4AF0C816ILN62</t>
  </si>
  <si>
    <t>549300A3O42TDTD37V25</t>
  </si>
  <si>
    <t>549300PMW9YT4S0JYY03</t>
  </si>
  <si>
    <t>549300KTON6FRCSIO781</t>
  </si>
  <si>
    <t>549300AV4WSVZJGRKI83</t>
  </si>
  <si>
    <t>549300IFN791WB7Y0379</t>
  </si>
  <si>
    <t>549300DE6J9TO0QIOV60</t>
  </si>
  <si>
    <t>549300VUKJG0Q07VI645</t>
  </si>
  <si>
    <t>549300M1SXSIY5LJCH94</t>
  </si>
  <si>
    <t>549300FKT0IRTDSZ0Y92</t>
  </si>
  <si>
    <t>549300Y8CHR1ZKWFWQ87</t>
  </si>
  <si>
    <t>549300I8KRCC3AG5PU67</t>
  </si>
  <si>
    <t>549300MG43Q7XCLVJJ65</t>
  </si>
  <si>
    <t>549300ZLEFV1W8WTRQ36</t>
  </si>
  <si>
    <t>5493002HE4IVFRERLO57</t>
  </si>
  <si>
    <t>549300MY57AEDJY8RU07</t>
  </si>
  <si>
    <t>549300BNMJ2EY0ZDO652</t>
  </si>
  <si>
    <t>54930084VP1M3RISLA07</t>
  </si>
  <si>
    <t>549300H7LZXRR4ME6270</t>
  </si>
  <si>
    <t>549300QOBWSJZL6D6T66</t>
  </si>
  <si>
    <t>549300YWCLBUYT3JPE07</t>
  </si>
  <si>
    <t>549300GBTDQH78RB1E49</t>
  </si>
  <si>
    <t>549300X6N3M0RR4TZ869</t>
  </si>
  <si>
    <t>4469000001CEH6QI8C89</t>
  </si>
  <si>
    <t>549300JK1YF2ZKB76P40</t>
  </si>
  <si>
    <t>549300YI7USFTQ3KHB31</t>
  </si>
  <si>
    <t>5493005R6ANRBYR2UR12</t>
  </si>
  <si>
    <t>4469000001BO2Y2ZXF22</t>
  </si>
  <si>
    <t>549300O352Q7G5TL5106</t>
  </si>
  <si>
    <t>254900CZ9WC08Q9UTY61</t>
  </si>
  <si>
    <t>549300MCFVM3EXX55569</t>
  </si>
  <si>
    <t>549300IBV3NEODVFBB96</t>
  </si>
  <si>
    <t>4469000001BRMDYBMZ40</t>
  </si>
  <si>
    <t>549300I12WET6G5QNU82</t>
  </si>
  <si>
    <t>2549001888X31GJLC441</t>
  </si>
  <si>
    <t>549300YEVIFU4XNK5H26</t>
  </si>
  <si>
    <t>5493001YMJCPHZ20FH43</t>
  </si>
  <si>
    <t>549300KD1BJLQR072Q58</t>
  </si>
  <si>
    <t>549300BPHEJP44XN4232</t>
  </si>
  <si>
    <t>549300IBZC0WW5L45S34</t>
  </si>
  <si>
    <t>549300736JDM4KBKKD78</t>
  </si>
  <si>
    <t>254900VT7ZXIWWMKP984</t>
  </si>
  <si>
    <t>254900FVK9UYTCTU8817</t>
  </si>
  <si>
    <t>549300IXGM0WEDV4T379</t>
  </si>
  <si>
    <t>549300OTP8T7X2HHTC12</t>
  </si>
  <si>
    <t>549300BJ705YO1Y5IX48</t>
  </si>
  <si>
    <t>25490040QCXLC3JMXZ13</t>
  </si>
  <si>
    <t>715K4H1JYF3O6JOK1411</t>
  </si>
  <si>
    <t>213800786UU5NFQLHK56</t>
  </si>
  <si>
    <t>4469000001BQVIMOLQ55</t>
  </si>
  <si>
    <t>5299001D5OPVVEMX5E38</t>
  </si>
  <si>
    <t>4469000001BRMDZD0070</t>
  </si>
  <si>
    <t>549300GN31EOD5JA7105</t>
  </si>
  <si>
    <t>254900CDV9YO8DX5FU27</t>
  </si>
  <si>
    <t>549300LA26MPN36PTH47</t>
  </si>
  <si>
    <t>213800DWIIN3DJS47Z45</t>
  </si>
  <si>
    <t>549300QI5GJK24IRFL31</t>
  </si>
  <si>
    <t>5493009JZF849N6GY055</t>
  </si>
  <si>
    <t>5493007YN6X678R8BR87</t>
  </si>
  <si>
    <t>5493008AMYH14JSAVZ61</t>
  </si>
  <si>
    <t>549300EISW6HKGKZ7C97</t>
  </si>
  <si>
    <t>549300XLDICPHXYZPR24</t>
  </si>
  <si>
    <t>549300CF7PQO6NYVQH65</t>
  </si>
  <si>
    <t>NRVMU18CS18NZUMRPJ50</t>
  </si>
  <si>
    <t>549300TKAY1UBTDLY782</t>
  </si>
  <si>
    <t>549300BLPYJKHV6IJB19</t>
  </si>
  <si>
    <t>549300KBSX03SR9W5F84</t>
  </si>
  <si>
    <t>5493000GULRWMWLDES51</t>
  </si>
  <si>
    <t>894500XLAUZZT370J657</t>
  </si>
  <si>
    <t>54930006UQCTR3QHXZ21</t>
  </si>
  <si>
    <t>549300ZIBGCG0W5V8P46</t>
  </si>
  <si>
    <t>549300522GXZHMQUSB72</t>
  </si>
  <si>
    <t>549300MO3TMGFLX51S13</t>
  </si>
  <si>
    <t>254900EIAK2HT1DHFE29</t>
  </si>
  <si>
    <t>2549003D4LKDVENUKV22</t>
  </si>
  <si>
    <t>549300L3Q6OYX3S30N13</t>
  </si>
  <si>
    <t>549300FDNIUZP43RHZ11</t>
  </si>
  <si>
    <t>54930021ULMF02B1S207</t>
  </si>
  <si>
    <t>4469000001BS56L26S48</t>
  </si>
  <si>
    <t>549300VMHEMNXAKF9755</t>
  </si>
  <si>
    <t>549300NECJMD7QLGL961</t>
  </si>
  <si>
    <t>54930087L71JTOVTBX26</t>
  </si>
  <si>
    <t>549300QQDIOCD58PJC41</t>
  </si>
  <si>
    <t>5493007JWNJ8NT723418</t>
  </si>
  <si>
    <t>549300PWLGZL8HYFVE76</t>
  </si>
  <si>
    <t>549300I45A5CSFHZG291</t>
  </si>
  <si>
    <t>549300IBOFDRK1CV0Y29</t>
  </si>
  <si>
    <t>5493002MIGPVI71S2611</t>
  </si>
  <si>
    <t>549300LTU6LVPZSHMJ25</t>
  </si>
  <si>
    <t>5493003PODH0BS5ZOF16</t>
  </si>
  <si>
    <t>213800CC4OSAD8ROZO04</t>
  </si>
  <si>
    <t>549300SXWFGM11Y9I089</t>
  </si>
  <si>
    <t>549300MU9YQJYHDQEF63</t>
  </si>
  <si>
    <t>549300D3YHTO9CE3BO73</t>
  </si>
  <si>
    <t>549300TOUHZHSRLVRT43</t>
  </si>
  <si>
    <t>549300Q70EVQUXHWSW43</t>
  </si>
  <si>
    <t>4469000001BDTEJ1T420</t>
  </si>
  <si>
    <t>4469000001BBV297B884</t>
  </si>
  <si>
    <t>4469000001BDTEJMBU57</t>
  </si>
  <si>
    <t>54930071X25BCNI0ZE64</t>
  </si>
  <si>
    <t>549300HZ2I6RFDQJZE80</t>
  </si>
  <si>
    <t>5493009T3T3IC76VER56</t>
  </si>
  <si>
    <t>549300VK7JKVFKV73P61</t>
  </si>
  <si>
    <t>254900OC99Q756TYT062</t>
  </si>
  <si>
    <t>2549009L0TNHO8Y35W68</t>
  </si>
  <si>
    <t>549300F2FONGJR575V67</t>
  </si>
  <si>
    <t>7HQZ2DNLO1WJOPIMY993</t>
  </si>
  <si>
    <t>4469000001BDTEJUNQ36</t>
  </si>
  <si>
    <t>4469000001BDTEHA6Q10</t>
  </si>
  <si>
    <t>549300FP277DCNOLN681</t>
  </si>
  <si>
    <t>549300RN0NGE8ITRXM93</t>
  </si>
  <si>
    <t>549300ZQFDGZXVJZSU38</t>
  </si>
  <si>
    <t>549300NFL2O260ODQV33</t>
  </si>
  <si>
    <t>5493002GJ0VC0UGL2V72</t>
  </si>
  <si>
    <t>5493000PNT0SG5YL6N33</t>
  </si>
  <si>
    <t>549300MF71F91VIP4928</t>
  </si>
  <si>
    <t>549300D1SJ1FQGNJ2H82</t>
  </si>
  <si>
    <t>54930067NQ0UX2ZTVS30</t>
  </si>
  <si>
    <t>549300OV4IIRLLML6030</t>
  </si>
  <si>
    <t>549300XX454VI7WCEI91</t>
  </si>
  <si>
    <t>549300LMQX5HRL1UI011</t>
  </si>
  <si>
    <t>549300XR87SZ0W04E387</t>
  </si>
  <si>
    <t>549300XO0CUM2OGDJK40</t>
  </si>
  <si>
    <t>4469000001BDTEJAQA15</t>
  </si>
  <si>
    <t>4469000001BDTEKMAJ18</t>
  </si>
  <si>
    <t>549300VQNQ0YN6BY2009</t>
  </si>
  <si>
    <t>549300WC5NTQ54KBQU50</t>
  </si>
  <si>
    <t>254900XGFBKIXD6G0697</t>
  </si>
  <si>
    <t>549300RPUYUFU5HSRI38</t>
  </si>
  <si>
    <t>549300TMKS2502JO1X22</t>
  </si>
  <si>
    <t>549300T1S9YCM9LNTR36</t>
  </si>
  <si>
    <t>549300MGL9JJYLJ1OK13</t>
  </si>
  <si>
    <t>549300JO2T0BXBP30360</t>
  </si>
  <si>
    <t>2FKQXB2YV31W2GPTST71</t>
  </si>
  <si>
    <t>549300EBBBM8WWM3DB74</t>
  </si>
  <si>
    <t>5493007M18O3W2EZ4468</t>
  </si>
  <si>
    <t>254900Z7YH7W512UAS41</t>
  </si>
  <si>
    <t>549300445FOX1OBXU466</t>
  </si>
  <si>
    <t>5493001VRSSC6N7OIR21</t>
  </si>
  <si>
    <t>549300GSMXPMWZHNK151</t>
  </si>
  <si>
    <t>4469000001BSGA8HLE02</t>
  </si>
  <si>
    <t>254900V3NB5MGOZS4O08</t>
  </si>
  <si>
    <t>549300Y05BZUTJG02H36</t>
  </si>
  <si>
    <t>549300YH6I8LHNHTNX45</t>
  </si>
  <si>
    <t>549300EBWYD8YCVGBX87</t>
  </si>
  <si>
    <t>213800T1UY5ARE6W1415</t>
  </si>
  <si>
    <t>549300EGPSMEFYHGG780</t>
  </si>
  <si>
    <t>549300DJLQNHFLHKA417</t>
  </si>
  <si>
    <t>2138009HRRITK5GWYH92</t>
  </si>
  <si>
    <t>213800E91SSVJ9NPUM84</t>
  </si>
  <si>
    <t>4469000001BP2TO6W728</t>
  </si>
  <si>
    <t>335800N82LJD42ZA5L32</t>
  </si>
  <si>
    <t>ECTRVYYCEF89VWYS6K36</t>
  </si>
  <si>
    <t>549300EID2G0L81BC308</t>
  </si>
  <si>
    <t>549300LRJHUSZZTAP844</t>
  </si>
  <si>
    <t>549300BD9FUF6GCZQP08</t>
  </si>
  <si>
    <t>549300M3Z1WC7VAYW023</t>
  </si>
  <si>
    <t>2549007OSKWQWFTOMQ22</t>
  </si>
  <si>
    <t>549300P4J611R7Y6OB05</t>
  </si>
  <si>
    <t>549300AZFHIPZL4Y8D20</t>
  </si>
  <si>
    <t>549300TLZPT6JELDWM92</t>
  </si>
  <si>
    <t>549300WWLDDF33WD2F52</t>
  </si>
  <si>
    <t>549300ENCO642UUWK624</t>
  </si>
  <si>
    <t>549300LOEE793A6PWL44</t>
  </si>
  <si>
    <t>VGRQXHF3J8VDLUA7XE92</t>
  </si>
  <si>
    <t>549300V431M8PD1L9542</t>
  </si>
  <si>
    <t>549300E3ANX4LTBITG21</t>
  </si>
  <si>
    <t>549300KB61E182AK2K36</t>
  </si>
  <si>
    <t>549300K73DGNHC7CEX38</t>
  </si>
  <si>
    <t>5493002FJG250R4USQ19</t>
  </si>
  <si>
    <t>549300CDVMNWHSX43039</t>
  </si>
  <si>
    <t>5493004VGR3WDWFK0P73</t>
  </si>
  <si>
    <t>549300BTUQ0MFY0T7358</t>
  </si>
  <si>
    <t>4469000001BWFGBIK159</t>
  </si>
  <si>
    <t>549300TEV5VOJY4XEV32</t>
  </si>
  <si>
    <t>5493002UTRYTS47PIU90</t>
  </si>
  <si>
    <t>4469000001BZ5WF28819</t>
  </si>
  <si>
    <t>549300IG1VJSRIKUGX05</t>
  </si>
  <si>
    <t>5493003BDVCHIE3QJO29</t>
  </si>
  <si>
    <t>JRNJMMWJ3C7QL65J4T81</t>
  </si>
  <si>
    <t>5493005K4NW7WXXM0S41</t>
  </si>
  <si>
    <t>549300ZWS6QP6JUHGR63</t>
  </si>
  <si>
    <t>549300MGJRZ84MEEIK68</t>
  </si>
  <si>
    <t>54930048CQF5185WZ852</t>
  </si>
  <si>
    <t>549300K5HXBSUZKMVM29</t>
  </si>
  <si>
    <t>549300NTRWL93TSRQ730</t>
  </si>
  <si>
    <t>549300SI2PSZK45X2R81</t>
  </si>
  <si>
    <t>549300RR6Q7G6LJXDL95</t>
  </si>
  <si>
    <t>5493004VQPVY5FTL7S45</t>
  </si>
  <si>
    <t>5493003BZFLSLBI3H568</t>
  </si>
  <si>
    <t>549300M51QU1LTGXRP88</t>
  </si>
  <si>
    <t>549300B6VRDLICLGCY76</t>
  </si>
  <si>
    <t>5493006O4P35Q324SO90</t>
  </si>
  <si>
    <t>254900S3EIMKOV8E0Z23</t>
  </si>
  <si>
    <t>549300Y4RK6R8875OH06</t>
  </si>
  <si>
    <t>549300AOZG9MGGI5SQ61</t>
  </si>
  <si>
    <t>5493001N4BL7HTLJ5M74</t>
  </si>
  <si>
    <t>549300UMQ1RM52SL2630</t>
  </si>
  <si>
    <t>549300SQ76C0K0PXIP24</t>
  </si>
  <si>
    <t>5493004JTOJGMTVDL029</t>
  </si>
  <si>
    <t>549300JFVL7YO4IYVV36</t>
  </si>
  <si>
    <t>549300MDXM67SJRPH127</t>
  </si>
  <si>
    <t>549300S0XEQLCZ0JUC38</t>
  </si>
  <si>
    <t>549300J2KO472UIIY443</t>
  </si>
  <si>
    <t>549300OQR8UKQJYIKH56</t>
  </si>
  <si>
    <t>4469000001BRF3I9JA32</t>
  </si>
  <si>
    <t>5493004CUY10WQL67815</t>
  </si>
  <si>
    <t>2138002NMQAQTZQWK269</t>
  </si>
  <si>
    <t>2138005S14MEHQHNOQ62</t>
  </si>
  <si>
    <t>378900B37FC0F94CE967</t>
  </si>
  <si>
    <t>213800R2FRWCNR4Y8D68</t>
  </si>
  <si>
    <t>5493006FLX9VV57RGV40</t>
  </si>
  <si>
    <t>213800PYJQWBCOQR9W56</t>
  </si>
  <si>
    <t>549300LORIGWGZ4CBH82</t>
  </si>
  <si>
    <t>21380041YBGOQDFAC823</t>
  </si>
  <si>
    <t>549300CZD7YJ5ASDTV41</t>
  </si>
  <si>
    <t>549300O5AGIFK0PQ1516</t>
  </si>
  <si>
    <t>5493008CR4OFKXK01Y18</t>
  </si>
  <si>
    <t>5493006LTNOSKVUL4061</t>
  </si>
  <si>
    <t>4469000001BNUHDNSG66</t>
  </si>
  <si>
    <t>549300GZBIUG0BCPFM43</t>
  </si>
  <si>
    <t>254900ZHYHBWMGXTUW15</t>
  </si>
  <si>
    <t>254900KL8XF9ON4K1K66</t>
  </si>
  <si>
    <t>549300RPLPWHK78W3A71</t>
  </si>
  <si>
    <t>254900U8AFIPEBOM6Z16</t>
  </si>
  <si>
    <t>549300WUVLJML1DDG771</t>
  </si>
  <si>
    <t>2138009A67FLC7LNQS59</t>
  </si>
  <si>
    <t>549300UDRH8FWWGS7X27</t>
  </si>
  <si>
    <t>549300KTAVDKQSXPH561</t>
  </si>
  <si>
    <t>549300JNDFOYO6BKNQ48</t>
  </si>
  <si>
    <t>58EP6MQB4KOM8JZ4GV12</t>
  </si>
  <si>
    <t>5493004P3Q64D5WBER58</t>
  </si>
  <si>
    <t>549300QTH19UI8QICJ10</t>
  </si>
  <si>
    <t>54930063OE8AZ2Y0IC26</t>
  </si>
  <si>
    <t>Q0HK1ORK3JOMOF7R6K47</t>
  </si>
  <si>
    <t>5493003EU39QUTJ32J57</t>
  </si>
  <si>
    <t>54930098PQESH6WT0F31</t>
  </si>
  <si>
    <t>5493003ATAWLF84PGL91</t>
  </si>
  <si>
    <t>254900PVPD1UICFJCG70</t>
  </si>
  <si>
    <t>213800JKM5UQHFJOTZ25</t>
  </si>
  <si>
    <t>5493008FT6D3SJRYKT57</t>
  </si>
  <si>
    <t>529900QI55ZLJVCMPA71</t>
  </si>
  <si>
    <t>549300ASPTTLUDFESH55</t>
  </si>
  <si>
    <t>549300UIF0C33BY6XT47</t>
  </si>
  <si>
    <t>549300O1FV5YHDTQ4S31</t>
  </si>
  <si>
    <t>5493008BM8SNVJMNYN23</t>
  </si>
  <si>
    <t>549300POWAVTDFQV0307</t>
  </si>
  <si>
    <t>549300K0IFF6B9PEWH23</t>
  </si>
  <si>
    <t>549300IARG6YWVTZ1I92</t>
  </si>
  <si>
    <t>549300KHBHX8V2J0FM12</t>
  </si>
  <si>
    <t>253400AAUDQ6NK0HNK41</t>
  </si>
  <si>
    <t>2138006BPZK9Z336PC71</t>
  </si>
  <si>
    <t>213800OFO773FCZ2QY77</t>
  </si>
  <si>
    <t>549300MMVL80RTBP3O28</t>
  </si>
  <si>
    <t>4469000001CH6FRBVY17</t>
  </si>
  <si>
    <t>254900RCHLPJN680IC31</t>
  </si>
  <si>
    <t>549300NUX8IK1KUOC318</t>
  </si>
  <si>
    <t>549300FLDJ4Z653L1N30</t>
  </si>
  <si>
    <t>549300JT7IOZCJESXV30</t>
  </si>
  <si>
    <t>254900F8JUAFXIKV3M84</t>
  </si>
  <si>
    <t>549300U7CX7HXMB7TC29</t>
  </si>
  <si>
    <t>5493006LF0YNVOJ04J73</t>
  </si>
  <si>
    <t>549300HKEP2IYWZ14H97</t>
  </si>
  <si>
    <t>5493007BP7SN5IQL5G42</t>
  </si>
  <si>
    <t>5493007ZFJSXWGHSAL81</t>
  </si>
  <si>
    <t>549300FKKKZCXLK48427</t>
  </si>
  <si>
    <t>549300ZV0ZTQ8D0C8J62</t>
  </si>
  <si>
    <t>549300D8TJGHKHIJD256</t>
  </si>
  <si>
    <t>4469000001CG5HLLMX90</t>
  </si>
  <si>
    <t>4469000001CG5K65Z036</t>
  </si>
  <si>
    <t>254900UX6GCU3FVB4A34</t>
  </si>
  <si>
    <t>549300TRRQ4GGM6S0216</t>
  </si>
  <si>
    <t>549300ZDVPH8X7PQXZ26</t>
  </si>
  <si>
    <t>4469000001BRDP0ZT558</t>
  </si>
  <si>
    <t>4469000001BRW53NE811</t>
  </si>
  <si>
    <t>5493001NRTU06894B346</t>
  </si>
  <si>
    <t>4469000001BVJOC5DZ20</t>
  </si>
  <si>
    <t>549300W8GQ475637GK23</t>
  </si>
  <si>
    <t>549300O6QPZVWXV2DC15</t>
  </si>
  <si>
    <t>549300GRLVEZX4JUXB54</t>
  </si>
  <si>
    <t>5493009P5825LNLRKX95</t>
  </si>
  <si>
    <t>549300MJ7RLJKQNMN618</t>
  </si>
  <si>
    <t>549300UTTVVWCMTFG778</t>
  </si>
  <si>
    <t>549300DSTRUVVGEDG512</t>
  </si>
  <si>
    <t>54930028GOQL38X0J626</t>
  </si>
  <si>
    <t>RVJMT2IZVVSKIRJJBH76</t>
  </si>
  <si>
    <t>5493004OLU3LWB3Y1I03</t>
  </si>
  <si>
    <t>213800UUGANOMFJ9X769</t>
  </si>
  <si>
    <t>549300TLOO8ZOIV1G759</t>
  </si>
  <si>
    <t>549300MA7YKTON7HIU52</t>
  </si>
  <si>
    <t>549300UKF68NO5CECX28</t>
  </si>
  <si>
    <t>549300MXB6TFIGNBMX15</t>
  </si>
  <si>
    <t>5493003RBUKIBSD9L329</t>
  </si>
  <si>
    <t>MT3LDT79700QIEG45M48</t>
  </si>
  <si>
    <t>5493003MSA488BN1IO26</t>
  </si>
  <si>
    <t>549300W2IL7TPPCTKL39</t>
  </si>
  <si>
    <t>25490049SX1CI7BFCG70</t>
  </si>
  <si>
    <t>254900DDX7V1JL1VBH28</t>
  </si>
  <si>
    <t>54930047VT047QI4EM75</t>
  </si>
  <si>
    <t>25490005QQW2F58EV850</t>
  </si>
  <si>
    <t>2549004KS7R7CBYFOG34</t>
  </si>
  <si>
    <t>549300NMT64T884SJV58</t>
  </si>
  <si>
    <t>254900R7OT48LF0BX174</t>
  </si>
  <si>
    <t>254900OGBCQEDKMD3916</t>
  </si>
  <si>
    <t>4469000001CKHIDCMW97</t>
  </si>
  <si>
    <t>549300OHMNPQ2MG33829</t>
  </si>
  <si>
    <t>549300EV3U3CK9YR1D49</t>
  </si>
  <si>
    <t>5493005U0REQRBAO7T49</t>
  </si>
  <si>
    <t>5493003NKNFO04NF4E03</t>
  </si>
  <si>
    <t>549300DKZGZE0FZS5G79</t>
  </si>
  <si>
    <t>25490037ICYCCXAHJL63</t>
  </si>
  <si>
    <t>5493001HBSGOE829GZ10</t>
  </si>
  <si>
    <t>4469000001BS6M433407</t>
  </si>
  <si>
    <t>549300GFIJVYTUYCDL22</t>
  </si>
  <si>
    <t>25490069I63UAUQ90017</t>
  </si>
  <si>
    <t>549300J7VR7B44SREZ63</t>
  </si>
  <si>
    <t>549300FFPYCBCRBVDG03</t>
  </si>
  <si>
    <t>549300ADSGZZ4CLDF340</t>
  </si>
  <si>
    <t>549300K15MY45VSRDD03</t>
  </si>
  <si>
    <t>4469000001BRWKCLGD53</t>
  </si>
  <si>
    <t>549300M2RZVT5HIROF08</t>
  </si>
  <si>
    <t>2549007FSLFDPM352I88</t>
  </si>
  <si>
    <t>549300NLQXERSJ2AGN81</t>
  </si>
  <si>
    <t>4469000001BTU8ZM1O95</t>
  </si>
  <si>
    <t>254900RJ3AC4ZAC00Q46</t>
  </si>
  <si>
    <t>25490016089EQ39K0144</t>
  </si>
  <si>
    <t>254900HY5QFETBNN7892</t>
  </si>
  <si>
    <t>5493001NPSDKWQNOGD21</t>
  </si>
  <si>
    <t>549300N1S2Q88U6LR996</t>
  </si>
  <si>
    <t>2549000R5XMUNRQB6M79</t>
  </si>
  <si>
    <t>549300OW90HLJG1I8H07</t>
  </si>
  <si>
    <t>549300J6SEA0H23A0G49</t>
  </si>
  <si>
    <t>549300814OQ2W215EL02</t>
  </si>
  <si>
    <t>549300C7A3FTMZ85LJ07</t>
  </si>
  <si>
    <t>5493001ZP0LV21Y3JE07</t>
  </si>
  <si>
    <t>21380032KUZXOSCW4O39</t>
  </si>
  <si>
    <t>549300YXKGYIPD3U8M38</t>
  </si>
  <si>
    <t>6L99E2MINT4ZY1B4G271</t>
  </si>
  <si>
    <t>549300FUMLT7V78LZH34</t>
  </si>
  <si>
    <t>2549008CQYG5N8LAE711</t>
  </si>
  <si>
    <t>254900302WQ65F49KK41</t>
  </si>
  <si>
    <t>254900H6OUB6KY6HJ323</t>
  </si>
  <si>
    <t>549300T0G0DCSO3MC369</t>
  </si>
  <si>
    <t>25490000LIR0QQWHEU75</t>
  </si>
  <si>
    <t>549300NCTWKCFCBESE21</t>
  </si>
  <si>
    <t>4469000001BMGUSSIB04</t>
  </si>
  <si>
    <t>54930083COOYIDITVF84</t>
  </si>
  <si>
    <t>213800RJ5ZZ9PWJQLE19</t>
  </si>
  <si>
    <t>549300QR0MM7FY38ME26</t>
  </si>
  <si>
    <t>5493006RGQXFONS4SO53</t>
  </si>
  <si>
    <t>2549008T5MAJDWKI9W20</t>
  </si>
  <si>
    <t>254900XBG17MF5UNCY48</t>
  </si>
  <si>
    <t>254900AXEA7MPMZQD244</t>
  </si>
  <si>
    <t>5493004YHQ43FR8ZF567</t>
  </si>
  <si>
    <t>5493001GJ5TILX6L1F82</t>
  </si>
  <si>
    <t>549300ZTZN8X96IUI763</t>
  </si>
  <si>
    <t>549300KF6EJDC23X2X51</t>
  </si>
  <si>
    <t>549300Q54KZ00V0I2B81</t>
  </si>
  <si>
    <t>5493000STVS8UVIG9A80</t>
  </si>
  <si>
    <t>4469000001BQV38J5254</t>
  </si>
  <si>
    <t>4469000001BXGC22MQ46</t>
  </si>
  <si>
    <t>549300T66WU7BCUR3Q12</t>
  </si>
  <si>
    <t>2549006ET0JPJBFWWA59</t>
  </si>
  <si>
    <t>254900ZW0Y7MT90GWR42</t>
  </si>
  <si>
    <t>254900MGEHC2YHUSUD67</t>
  </si>
  <si>
    <t>254900XU0YLHNYJ2TA06</t>
  </si>
  <si>
    <t>549300G2QEMRNOPKR953</t>
  </si>
  <si>
    <t>549300BM12XZ1Y2G1441</t>
  </si>
  <si>
    <t>549300AHP4BM6CY9WN08</t>
  </si>
  <si>
    <t>5493001B48VWWTQOKV13</t>
  </si>
  <si>
    <t>MINO79WLOO247M1IL051</t>
  </si>
  <si>
    <t>549300VD3E5IN8V6HU02</t>
  </si>
  <si>
    <t>549300L0OY1XOUXDPF41</t>
  </si>
  <si>
    <t>4469000001C9N3OWQB21</t>
  </si>
  <si>
    <t>549300QXT8CEOF0PQ851</t>
  </si>
  <si>
    <t>2549006FVSNXXPQ5ZE92</t>
  </si>
  <si>
    <t>4469000001BRMC8YAC50</t>
  </si>
  <si>
    <t>4469000001BPCWQD0O58</t>
  </si>
  <si>
    <t>4469000001C1NZC1CD20</t>
  </si>
  <si>
    <t>4469000001CHKYIFTI76</t>
  </si>
  <si>
    <t>549300QUU42YL57H0Z43</t>
  </si>
  <si>
    <t>4469000001BS6MM9HR92</t>
  </si>
  <si>
    <t>254900V2VCCYB2ATNF76</t>
  </si>
  <si>
    <t>549300358E82PX9FUA22</t>
  </si>
  <si>
    <t>254900D91YZRP1I3SN83</t>
  </si>
  <si>
    <t>254900Y1PPHTZSJBG377</t>
  </si>
  <si>
    <t>5493004LOSHK43HOYT35</t>
  </si>
  <si>
    <t>5493000VGOF3UCTUXW26</t>
  </si>
  <si>
    <t>4469000001BRF03CHB29</t>
  </si>
  <si>
    <t>254900G4CYLCXU79ES53</t>
  </si>
  <si>
    <t>5493000FNR3UCEAONM59</t>
  </si>
  <si>
    <t>254900OMIOIPNIC1T502</t>
  </si>
  <si>
    <t>549300JY1SNI78TP4048</t>
  </si>
  <si>
    <t>254900238FAJA83BHU27</t>
  </si>
  <si>
    <t>5493009BEXH446WXG797</t>
  </si>
  <si>
    <t>549300QVMCSKEGFW8773</t>
  </si>
  <si>
    <t>I9O8MELCUVOTLJABOX92</t>
  </si>
  <si>
    <t>549300CB86LH2IOKHH22</t>
  </si>
  <si>
    <t>C1U37N0SW7GE5B3W0598</t>
  </si>
  <si>
    <t>213800K6H2M9O3WB3B76</t>
  </si>
  <si>
    <t>254900WFDYD2HL2RA490</t>
  </si>
  <si>
    <t>2549004ELQZLPBOAIU63</t>
  </si>
  <si>
    <t>549300474L1ZLXZY2P98</t>
  </si>
  <si>
    <t>549300HK762Q8QYZWX77</t>
  </si>
  <si>
    <t>5493008SXO6U5EDAH489</t>
  </si>
  <si>
    <t>254900ZM0FI80I1JJE11</t>
  </si>
  <si>
    <t>549300AM2ZRUKHLFHG75</t>
  </si>
  <si>
    <t>ZKNTRMKPV369G3GYL686</t>
  </si>
  <si>
    <t>549300RJ3QW2IYS1Z082</t>
  </si>
  <si>
    <t>02Q37D0NZ4LRWNCY0996</t>
  </si>
  <si>
    <t>78E0W5ARMBFSS8K1Y274</t>
  </si>
  <si>
    <t>549300VVEYXR2MC40W44</t>
  </si>
  <si>
    <t>213800X6Q4DV5P6GQY25</t>
  </si>
  <si>
    <t>21380079CWOI4M38T292</t>
  </si>
  <si>
    <t>254900IQD0YA83SX9R32</t>
  </si>
  <si>
    <t>254900EFAGHCEPGTTA51</t>
  </si>
  <si>
    <t>529900E4L9R04SB8HB11</t>
  </si>
  <si>
    <t>54930010K53X9AHB0504</t>
  </si>
  <si>
    <t>213800CM2OEL914ZV347</t>
  </si>
  <si>
    <t>4469000001BZIOAE8I58</t>
  </si>
  <si>
    <t>2549008YXODNT99DOE41</t>
  </si>
  <si>
    <t>4469000001BR6GMPBH24</t>
  </si>
  <si>
    <t>2549008MZ50UXWD53138</t>
  </si>
  <si>
    <t>254900NO8HBBIC631H71</t>
  </si>
  <si>
    <t>2549002TU702A4XRD309</t>
  </si>
  <si>
    <t>2549002OLEH2AO2OWD20</t>
  </si>
  <si>
    <t>549300HF3QWSVHH8KL34</t>
  </si>
  <si>
    <t>254900WU3PRQOXGLZA98</t>
  </si>
  <si>
    <t>254900SP6USY1MBGQ715</t>
  </si>
  <si>
    <t>549300GC1PR7O7Z3B051</t>
  </si>
  <si>
    <t>549300JUOP01CPX6E629</t>
  </si>
  <si>
    <t>549300YLGUZEEIJJRO51</t>
  </si>
  <si>
    <t>549300WG5K6RXPSHU868</t>
  </si>
  <si>
    <t>549300F58KK8QXPP7O30</t>
  </si>
  <si>
    <t>549300G2RI0B1N7QLG21</t>
  </si>
  <si>
    <t>5493008RNG726WSVSW47</t>
  </si>
  <si>
    <t>5493000NVOPZFUSG7Q05</t>
  </si>
  <si>
    <t>549300E2UGIBHWE12262</t>
  </si>
  <si>
    <t>254900AB46UFHXEUFO33</t>
  </si>
  <si>
    <t>549300JJY0KHNMGKM138</t>
  </si>
  <si>
    <t>549300PDGS0UA02UIT56</t>
  </si>
  <si>
    <t>549300POZA55ZTGSOU44</t>
  </si>
  <si>
    <t>549300G7SUZKHS2N8C38</t>
  </si>
  <si>
    <t>549300WSKY7AOESNWB55</t>
  </si>
  <si>
    <t>549300XFLXG3IVJU1J93</t>
  </si>
  <si>
    <t>549300USUG4L9LU4R142</t>
  </si>
  <si>
    <t>549300F2L6ARHCJ71Z19</t>
  </si>
  <si>
    <t>549300P9ZDG06KZWWY90</t>
  </si>
  <si>
    <t>549300O33RIOW1XSKJ36</t>
  </si>
  <si>
    <t>549300DGRF8X0NKR6E03</t>
  </si>
  <si>
    <t>549300BHGU5IQ2S7ZQ61</t>
  </si>
  <si>
    <t>549300AKCMMON66L6Q42</t>
  </si>
  <si>
    <t>549300KFL4ZDSO5RCE87</t>
  </si>
  <si>
    <t>5493001CQS4X7L4ZTT44</t>
  </si>
  <si>
    <t>5493006COX22GBD4HZ81</t>
  </si>
  <si>
    <t>54930029FDE307YNGV31</t>
  </si>
  <si>
    <t>549300JCJB42GN94NN42</t>
  </si>
  <si>
    <t>54930030LWEDGH0QBF35</t>
  </si>
  <si>
    <t>5493001ME0LPQ01ZC998</t>
  </si>
  <si>
    <t>5493004K5IMIOIXFK568</t>
  </si>
  <si>
    <t>549300B25JC79GYINS70</t>
  </si>
  <si>
    <t>5493009INZGQS64O4K66</t>
  </si>
  <si>
    <t>549300QHMEZIHTMADR80</t>
  </si>
  <si>
    <t>254900Q8PZLWQDE4X628</t>
  </si>
  <si>
    <t>254900HDCDZOD6A9E060</t>
  </si>
  <si>
    <t>2549007X9GKKUPQFRE88</t>
  </si>
  <si>
    <t>5493003IQ5NQEGGSQ742</t>
  </si>
  <si>
    <t>5493008UBY5NOQEHK654</t>
  </si>
  <si>
    <t>549300W4Y2N0XE1KJG61</t>
  </si>
  <si>
    <t>549300JUA34FLMKGSE79</t>
  </si>
  <si>
    <t>2549009DVLROM41CIB44</t>
  </si>
  <si>
    <t>549300SEFPMW3EKDUU30</t>
  </si>
  <si>
    <t>549300TEJNC8ESOR2D58</t>
  </si>
  <si>
    <t>549300XPW7HTQRDE2Q73</t>
  </si>
  <si>
    <t>549300RO7OK6D7W25M14</t>
  </si>
  <si>
    <t>TJ88LXZZW5PWIN93ZC81</t>
  </si>
  <si>
    <t>549300Q3XPX1J1QGG145</t>
  </si>
  <si>
    <t>549300ORCZY8VW65U267</t>
  </si>
  <si>
    <t>2549000L42F1L349F697</t>
  </si>
  <si>
    <t>549300YJQJR5MVMV1N12</t>
  </si>
  <si>
    <t>2549007Y80VRH4L9QC23</t>
  </si>
  <si>
    <t>254900VGVIN2SEAWMM66</t>
  </si>
  <si>
    <t>254900BF4M952IRXC987</t>
  </si>
  <si>
    <t>254900T4PMIFOOH0EZ76</t>
  </si>
  <si>
    <t>549300HN4UKV1E2R3U73</t>
  </si>
  <si>
    <t>549300GQSVO2HKZPDW61</t>
  </si>
  <si>
    <t>2549007ISMKN6INWH560</t>
  </si>
  <si>
    <t>549300TTITO0NIZOF119</t>
  </si>
  <si>
    <t>549300Y0UJEQNPW56U23</t>
  </si>
  <si>
    <t>549300U3OYZP1GSJED59</t>
  </si>
  <si>
    <t>25490059US59VFQ06273</t>
  </si>
  <si>
    <t>549300X41PNOK11PZ670</t>
  </si>
  <si>
    <t>549300F4EURHRQC1C640</t>
  </si>
  <si>
    <t>54930032E5OB3N7WCG14</t>
  </si>
  <si>
    <t>5493005VC0LE3WSM9T91</t>
  </si>
  <si>
    <t>549300DU47BIQ3PLV617</t>
  </si>
  <si>
    <t>549300YP3P0JZBLIV197</t>
  </si>
  <si>
    <t>5493008WU8B5Y3LOQ413</t>
  </si>
  <si>
    <t>5493007E9WEMZNR6RB46</t>
  </si>
  <si>
    <t>549300UL6D4QFAZGV008</t>
  </si>
  <si>
    <t>549300PKMGCFVRFKFB48</t>
  </si>
  <si>
    <t>254900IWMS434YCQ0952</t>
  </si>
  <si>
    <t>254900NJTD2HZY1PUR53</t>
  </si>
  <si>
    <t>254900ZEK6WC7GWU4G30</t>
  </si>
  <si>
    <t>2549009X77W60TBXVE40</t>
  </si>
  <si>
    <t>4469000001C2UMKP0P78</t>
  </si>
  <si>
    <t>254900HM0WMQ6HEPSP95</t>
  </si>
  <si>
    <t>254900Z7IGEHI3EBLL33</t>
  </si>
  <si>
    <t>4469000001BQ1F504006</t>
  </si>
  <si>
    <t>5493008YYCZXRU4QOH76</t>
  </si>
  <si>
    <t>5493009OEB5IBPUGQL04</t>
  </si>
  <si>
    <t>549300BVOTJ732IIV308</t>
  </si>
  <si>
    <t>254900QBDMKZ955LDZ82</t>
  </si>
  <si>
    <t>KFGLWNFOI5LR50W0VO56</t>
  </si>
  <si>
    <t>5493004BLYNZ8OWF5Z08</t>
  </si>
  <si>
    <t>254900BERQA4UEXFPA36</t>
  </si>
  <si>
    <t>2549000IQCP3EZPSVN26</t>
  </si>
  <si>
    <t>21380047ER33PRH4XH56</t>
  </si>
  <si>
    <t>25490098D6DJ79XRT532</t>
  </si>
  <si>
    <t>549300PWZ0ETH6WNWQ09</t>
  </si>
  <si>
    <t>549300Z1FCQH26XR0117</t>
  </si>
  <si>
    <t>549300GQVYN8091N9H91</t>
  </si>
  <si>
    <t>5493003AVTDDTZ2BG842</t>
  </si>
  <si>
    <t>984500B56CCDB6DFE991</t>
  </si>
  <si>
    <t>549300FS1DUMSHGNHM74</t>
  </si>
  <si>
    <t>549300MGSRFR4DDYFU06</t>
  </si>
  <si>
    <t>549300L9LEDQ7OD4OX49</t>
  </si>
  <si>
    <t>549300KM6VUHPKQLQX53</t>
  </si>
  <si>
    <t>LAXUQCHT4FH58LRZDY46</t>
  </si>
  <si>
    <t>549300EEZG8ZJ96J3297</t>
  </si>
  <si>
    <t>4469000001CBLA0K7216</t>
  </si>
  <si>
    <t>4469000001BO0S7TH669</t>
  </si>
  <si>
    <t>549300QMZ40O2AJ6CJ61</t>
  </si>
  <si>
    <t>254900XWLQ37SPGMQE29</t>
  </si>
  <si>
    <t>7JDSZWRGUQY2DSTWCR57</t>
  </si>
  <si>
    <t>549300BN9L7KWOQJF080</t>
  </si>
  <si>
    <t>254900ACECRNOXTI8267</t>
  </si>
  <si>
    <t>549300655J3C3O89V065</t>
  </si>
  <si>
    <t>549300J3Y63OETV0G710</t>
  </si>
  <si>
    <t>549300TXNVDHP862DW15</t>
  </si>
  <si>
    <t>54930005COJZ54THSS60</t>
  </si>
  <si>
    <t>4469000001C3OVZ6WP59</t>
  </si>
  <si>
    <t>2549004V9D1J7YDUM773</t>
  </si>
  <si>
    <t>5493003SZSCTZSXXID95</t>
  </si>
  <si>
    <t>254900KEZOLEIEETV880</t>
  </si>
  <si>
    <t>549300SC362MT2Z6RY05</t>
  </si>
  <si>
    <t>549300G04N23RF000L20</t>
  </si>
  <si>
    <t>2549009BURSADF2ZX492</t>
  </si>
  <si>
    <t>549300OTGSSE8VHTAH51</t>
  </si>
  <si>
    <t>4469000001C13TTC7376</t>
  </si>
  <si>
    <t>254900H45F6PYTZGNM37</t>
  </si>
  <si>
    <t>4PLZOSBINH3Y5LEZR334</t>
  </si>
  <si>
    <t>6NGY08I2IG1MNYGIUK11</t>
  </si>
  <si>
    <t>549300DPNI83U6IYON91</t>
  </si>
  <si>
    <t>2549005G18DKBSDYYN16</t>
  </si>
  <si>
    <t>549300TI7O9PS0LE7I03</t>
  </si>
  <si>
    <t>254900QTGXU5SAB3JW74</t>
  </si>
  <si>
    <t>4469000001CIEPG7K160</t>
  </si>
  <si>
    <t>54930027S4U2I81C6B79</t>
  </si>
  <si>
    <t>254900S3FDRHPC9H6240</t>
  </si>
  <si>
    <t>25490029EA4MD107AZ90</t>
  </si>
  <si>
    <t>254900I59GPJG3UTXN39</t>
  </si>
  <si>
    <t>549300YYMNSW7KWZH127</t>
  </si>
  <si>
    <t>4469000001BTP1IK7A98</t>
  </si>
  <si>
    <t>549300381GGS7S5JQ115</t>
  </si>
  <si>
    <t>254900Z3VSL0E0L2JC65</t>
  </si>
  <si>
    <t>54930040UP7313X2QD91</t>
  </si>
  <si>
    <t>4469000001C4OQOHH214</t>
  </si>
  <si>
    <t>4469000001C0WX496H38</t>
  </si>
  <si>
    <t>4469000001C4Y9YUG116</t>
  </si>
  <si>
    <t>549300O3MDE9U61IE548</t>
  </si>
  <si>
    <t>549300K8FIKMSFSNLS23</t>
  </si>
  <si>
    <t>549300Q5T4ONAUJ96X19</t>
  </si>
  <si>
    <t>549300EFDN8SNBN3JJ68</t>
  </si>
  <si>
    <t>549300A0JE1R5DJISE03</t>
  </si>
  <si>
    <t>549300M3Z1K0R5DPA329</t>
  </si>
  <si>
    <t>54930044Y226ETCKBE36</t>
  </si>
  <si>
    <t>2549008Y9VL7P2U8OR31</t>
  </si>
  <si>
    <t>549300LO554DQSDHP791</t>
  </si>
  <si>
    <t>549300UC3TGJ63DINU88</t>
  </si>
  <si>
    <t>549300C5QTC964CWHP19</t>
  </si>
  <si>
    <t>RR8XXLLT9L8B1RHYI071</t>
  </si>
  <si>
    <t>2549003CO3NRHII8YR87</t>
  </si>
  <si>
    <t>549300N1NGVH3OB0QI32</t>
  </si>
  <si>
    <t>2549007V3137D9M1LM68</t>
  </si>
  <si>
    <t>0M6M8M9HXLW8D3AU0N32</t>
  </si>
  <si>
    <t>549300JUKXRCCDZUTE49</t>
  </si>
  <si>
    <t>549300C6JZUPZ0HUP086</t>
  </si>
  <si>
    <t>254900IDGKCJICKBPA66</t>
  </si>
  <si>
    <t>549300CB4IBBDMW78M49</t>
  </si>
  <si>
    <t>549300FG738XQ4TZ2202</t>
  </si>
  <si>
    <t>549300EY8509QEODGT34</t>
  </si>
  <si>
    <t>549300OZBIDPHLQBLY04</t>
  </si>
  <si>
    <t>4469000001BRZ9KQP997</t>
  </si>
  <si>
    <t>2549000D9XNQJ22HRU39</t>
  </si>
  <si>
    <t>54930080IR86GOHX1H10</t>
  </si>
  <si>
    <t>549300U2ZR4INDDOO820</t>
  </si>
  <si>
    <t>2549009SKWPVGHWLG169</t>
  </si>
  <si>
    <t>4469000001BIRIFZJ959</t>
  </si>
  <si>
    <t>549300BZ1D6JFHPZL893</t>
  </si>
  <si>
    <t>549300LNKU6K5TJCRG93</t>
  </si>
  <si>
    <t>549300HOSK6LD7PLRM44</t>
  </si>
  <si>
    <t>549300HTK5O2W1XNOB20</t>
  </si>
  <si>
    <t>254900BFPXPW33HNYU70</t>
  </si>
  <si>
    <t>254900PLXD0DN9E9XO69</t>
  </si>
  <si>
    <t>549300JJJTR2QE9SKV89</t>
  </si>
  <si>
    <t>213800LB5EBMRJUTM573</t>
  </si>
  <si>
    <t>5493004KTD8UZIL0I377</t>
  </si>
  <si>
    <t>4469000001C5WJ0H0007</t>
  </si>
  <si>
    <t>2549008Q7DA9PFNDGH43</t>
  </si>
  <si>
    <t>549300HZPKD2DQFH8M90</t>
  </si>
  <si>
    <t>254900BPRJBSPYH2Z285</t>
  </si>
  <si>
    <t>2549004X0VZPJ67UQE66</t>
  </si>
  <si>
    <t>254900SOGSXXEPW0J849</t>
  </si>
  <si>
    <t>4469000001BR5DD8JX61</t>
  </si>
  <si>
    <t>549300CTVBXVRQAJ2D47</t>
  </si>
  <si>
    <t>254900EG2VCL2NEZ7K17</t>
  </si>
  <si>
    <t>254900HE2PAR9K9DVU24</t>
  </si>
  <si>
    <t>25490076YMNBU0PZSM87</t>
  </si>
  <si>
    <t>254900EZ9BF0CMQPMH05</t>
  </si>
  <si>
    <t>549300M4CUMXUHSXYQ10</t>
  </si>
  <si>
    <t>4469000001BRPA5W3765</t>
  </si>
  <si>
    <t>254900MQ6ROE9C6ZJ756</t>
  </si>
  <si>
    <t>549300PO9D74E3VD7K26</t>
  </si>
  <si>
    <t>254900VF2O44DMWV9052</t>
  </si>
  <si>
    <t>2549004IUQ8DFM45OK65</t>
  </si>
  <si>
    <t>25490098EOUH0WKPSC51</t>
  </si>
  <si>
    <t>254900F07U8P1PORYA49</t>
  </si>
  <si>
    <t>549300ZG56C9GDLQXP30</t>
  </si>
  <si>
    <t>549300WBMDZXMUQT2I82</t>
  </si>
  <si>
    <t>5493009UTPZ6Q4AY4G59</t>
  </si>
  <si>
    <t>549300M5129X1W13RA79</t>
  </si>
  <si>
    <t>5493004EEPBUEBJUSX83</t>
  </si>
  <si>
    <t>2549006Q282713XVI564</t>
  </si>
  <si>
    <t>254900GVN61EV48M2Q75</t>
  </si>
  <si>
    <t>549300YB0GOXNSSNHU30</t>
  </si>
  <si>
    <t>549300WRTW9CODQ4IX86</t>
  </si>
  <si>
    <t>549300CP6IGK6X3S2472</t>
  </si>
  <si>
    <t>2549003G2LR6GYKGLM82</t>
  </si>
  <si>
    <t>254900WAHAWIYJCYF724</t>
  </si>
  <si>
    <t>549300XIWFEAEYUSPH03</t>
  </si>
  <si>
    <t>54930036OFYKNMODJI78</t>
  </si>
  <si>
    <t>254900HR1VKIE0D6AW77</t>
  </si>
  <si>
    <t>5493005HFKRQJGNE5K97</t>
  </si>
  <si>
    <t>54930046NOLWQYNZTK57</t>
  </si>
  <si>
    <t>549300LV9JBWEOZFOR11</t>
  </si>
  <si>
    <t>549300W3QRN00NWEJM89</t>
  </si>
  <si>
    <t>549300L8VJK9PAE2SN74</t>
  </si>
  <si>
    <t>549300NR8BP0QE5B1I06</t>
  </si>
  <si>
    <t>254900KYXIJ07XZPT295</t>
  </si>
  <si>
    <t>4469000001C612U98U57</t>
  </si>
  <si>
    <t>549300XTP0Q7IQT57686</t>
  </si>
  <si>
    <t>254900394JJV529LF150</t>
  </si>
  <si>
    <t>254900UUJOBGYJV3BT84</t>
  </si>
  <si>
    <t>254900TUG5PR9H0AG098</t>
  </si>
  <si>
    <t>549300B8P0IIHJDG1D41</t>
  </si>
  <si>
    <t>254900M8I18I3NJTWB56</t>
  </si>
  <si>
    <t>5493001XVYY5TMWOPD14</t>
  </si>
  <si>
    <t>254900Y6RM06BGJQYA41</t>
  </si>
  <si>
    <t>5493004KM8V0WXH0BY93</t>
  </si>
  <si>
    <t>4469000001BTXHV6WO64</t>
  </si>
  <si>
    <t>54930032NY26EDDCLY72</t>
  </si>
  <si>
    <t>529900BD50TRWEG1SF63</t>
  </si>
  <si>
    <t>549300NGCONNTOGR0X12</t>
  </si>
  <si>
    <t>5493006BKUFVGXZ3L114</t>
  </si>
  <si>
    <t>5493004NJ0IGPMYF8H91</t>
  </si>
  <si>
    <t>213800WPTIY9961G2O04</t>
  </si>
  <si>
    <t>635400ZWFCGJDYLN5W83</t>
  </si>
  <si>
    <t>549300LOVMA0VVQUEX59</t>
  </si>
  <si>
    <t>549300VZ24DY0I9GE533</t>
  </si>
  <si>
    <t>254900ERUYVVJPV34L36</t>
  </si>
  <si>
    <t>549300I6BIFDCKVFQR04</t>
  </si>
  <si>
    <t>549300OOJPR2ZIMVLN05</t>
  </si>
  <si>
    <t>2138003XETNH449YIZ03</t>
  </si>
  <si>
    <t>213800RLOO26T75IG483</t>
  </si>
  <si>
    <t>54930022WPTHOSLI7H90</t>
  </si>
  <si>
    <t>549300BKBURK3ZM22493</t>
  </si>
  <si>
    <t>254900X6JUCKCBQTFI22</t>
  </si>
  <si>
    <t>549300O3O2V2HSNZP719</t>
  </si>
  <si>
    <t>549300FYIWFOSDAOS330</t>
  </si>
  <si>
    <t>254900A679DZYL7C3165</t>
  </si>
  <si>
    <t>254900ZU2X137O7A8C59</t>
  </si>
  <si>
    <t>5493002M6H42NS1EZF90</t>
  </si>
  <si>
    <t>254900S45EE4O3L80G82</t>
  </si>
  <si>
    <t>549300DOF3R0OMWK5X69</t>
  </si>
  <si>
    <t>213800U3IPCI86XWXC37</t>
  </si>
  <si>
    <t>213800UWKJ8S2MIJDV73</t>
  </si>
  <si>
    <t>5493003HZ4FKB386TF88</t>
  </si>
  <si>
    <t>213800HVCH7B6OLTYZ13</t>
  </si>
  <si>
    <t>549300RO1GX72F55S180</t>
  </si>
  <si>
    <t>254900MGKR7VU2P0F087</t>
  </si>
  <si>
    <t>254900LPSCFAHMFI1M51</t>
  </si>
  <si>
    <t>2549007K8B4YU7XUJF24</t>
  </si>
  <si>
    <t>54930058TQK6DLGVFI77</t>
  </si>
  <si>
    <t>549300BRZP1747NYWI06</t>
  </si>
  <si>
    <t>549300WY5822H1YARR64</t>
  </si>
  <si>
    <t>254900E4J2MISR2VL229</t>
  </si>
  <si>
    <t>549300STK2KBVO6WED71</t>
  </si>
  <si>
    <t>549300D78KYUNYJQFI88</t>
  </si>
  <si>
    <t>549300LI7JR92RXALC12</t>
  </si>
  <si>
    <t>254900MRXJNS2XVPIG86</t>
  </si>
  <si>
    <t>4469000001C84MQZ9F80</t>
  </si>
  <si>
    <t>254900ZIZUGA2E4YBY72</t>
  </si>
  <si>
    <t>2CZOJRADNJXBLT55G526</t>
  </si>
  <si>
    <t>5493005M3Q0QI4Z4BF67</t>
  </si>
  <si>
    <t>4469000001CL6PPP3952</t>
  </si>
  <si>
    <t>549300MKO5B60FFIHF58</t>
  </si>
  <si>
    <t>549300VNMC6A8JWJZ758</t>
  </si>
  <si>
    <t>549300C5DY6JZUNS2Y34</t>
  </si>
  <si>
    <t>254900ZVJ3FGZ5NN7H62</t>
  </si>
  <si>
    <t>254900JJACX8BBFDHY61</t>
  </si>
  <si>
    <t>549300LIWL6MK9GP3J40</t>
  </si>
  <si>
    <t>549300YFMDQ7IR3D5L40</t>
  </si>
  <si>
    <t>5493000O333ZE95M3D84</t>
  </si>
  <si>
    <t>254900BC4GRT8Y6CMI47</t>
  </si>
  <si>
    <t>4469000001BROYV88R48</t>
  </si>
  <si>
    <t>549300UME7KNU3FXVA82</t>
  </si>
  <si>
    <t>549300D5XSXWMQ8VFB23</t>
  </si>
  <si>
    <t>2549004BY9VIL6GYLG65</t>
  </si>
  <si>
    <t>254900PUJTCK1IWCSQ09</t>
  </si>
  <si>
    <t>4469000001BQ2UZSHW66</t>
  </si>
  <si>
    <t>K65FUWX7L5Q40IXKUY55</t>
  </si>
  <si>
    <t>549300A1BOZCRX42TK40</t>
  </si>
  <si>
    <t>254900GUL8RVVM9CA989</t>
  </si>
  <si>
    <t>254900GJ6XX5XVTZHJ14</t>
  </si>
  <si>
    <t>254900U9UYJHLCCQ3193</t>
  </si>
  <si>
    <t>549300CMBL1SE8Y37T14</t>
  </si>
  <si>
    <t>5493005H7O6ZIZJEST46</t>
  </si>
  <si>
    <t>549300HPIYZ4Q73P8268</t>
  </si>
  <si>
    <t>254900A39DQJHD8O8X75</t>
  </si>
  <si>
    <t>UWW8KS1LHU1Y53BO4861</t>
  </si>
  <si>
    <t>5BANEF6PGSEK0SNMQF44</t>
  </si>
  <si>
    <t>254900VUJ33CLX8D0Z33</t>
  </si>
  <si>
    <t>9845001A7DA67QF97B72</t>
  </si>
  <si>
    <t>549300KJQG65PNTQSM22</t>
  </si>
  <si>
    <t>549300XKH8TJY4CGEU35</t>
  </si>
  <si>
    <t>254900EIS6JDC5HHIQ79</t>
  </si>
  <si>
    <t>254900RZA5FWVJZKV118</t>
  </si>
  <si>
    <t>549300FHNTXK4WDDXS04</t>
  </si>
  <si>
    <t>5493008FSEHG420VDS65</t>
  </si>
  <si>
    <t>254900EVHGFUIZ7RBW90</t>
  </si>
  <si>
    <t>549300HDFLS7P433PO89</t>
  </si>
  <si>
    <t>254900LZXTPFBVIS3U40</t>
  </si>
  <si>
    <t>2549006FOYAC2THXIQ46</t>
  </si>
  <si>
    <t>4469000001CA2LM4S238</t>
  </si>
  <si>
    <t>549300JKGMD4GU0YOP29</t>
  </si>
  <si>
    <t>549300LXSZ7NFNNC6N14</t>
  </si>
  <si>
    <t>549300NJ1IFIOM0E7B55</t>
  </si>
  <si>
    <t>254900R7NJ1TEYIM4E61</t>
  </si>
  <si>
    <t>2549003JHST5NGOHO608</t>
  </si>
  <si>
    <t>5493003JWJ7P3U6KMY52</t>
  </si>
  <si>
    <t>5493009XM78RUM5NNZ29</t>
  </si>
  <si>
    <t>254900JRZJSGFT9BYM16</t>
  </si>
  <si>
    <t>988400B6ECL5BWA8KC19</t>
  </si>
  <si>
    <t>25490037XAJ8FMGUZT20</t>
  </si>
  <si>
    <t>549300VSL0VCBGQKMG80</t>
  </si>
  <si>
    <t>254900FFZXTWPL46I690</t>
  </si>
  <si>
    <t>549300LQIEOQKODGS809</t>
  </si>
  <si>
    <t>4469000001BHP371V897</t>
  </si>
  <si>
    <t>213800QV4791A63PRX56</t>
  </si>
  <si>
    <t>254900H42WFYIT8ST495</t>
  </si>
  <si>
    <t>25490084RWYI9JLSGT30</t>
  </si>
  <si>
    <t>549300U985Z24BJOKY43</t>
  </si>
  <si>
    <t>213800XY1H5P3UKDAG35</t>
  </si>
  <si>
    <t>254900HWEYKK8EMS0I98</t>
  </si>
  <si>
    <t>2549001B5EOTJDQQZX63</t>
  </si>
  <si>
    <t>549300J24VKDU3W5X111</t>
  </si>
  <si>
    <t>549300O7UFTX7V1D2N48</t>
  </si>
  <si>
    <t>549300E5C2H71JLAK125</t>
  </si>
  <si>
    <t>549300EF4270FV7RR628</t>
  </si>
  <si>
    <t>549300WNQQBYN7NUDF43</t>
  </si>
  <si>
    <t>549300XY9DMQYEK5NP87</t>
  </si>
  <si>
    <t>5493007HF7CHW7QH3K83</t>
  </si>
  <si>
    <t>25490090O2B77ATG1B03</t>
  </si>
  <si>
    <t>254900L9L6K1ZOR8PO92</t>
  </si>
  <si>
    <t>335800FPDZ9MRSNO7N41</t>
  </si>
  <si>
    <t>254900827LSOBAT58507</t>
  </si>
  <si>
    <t>549300Q1JD9D52IQL685</t>
  </si>
  <si>
    <t>254900S0WBZZMRUPG131</t>
  </si>
  <si>
    <t>5493003YGGK3E6MLZL81</t>
  </si>
  <si>
    <t>4469000001C62A6SQP31</t>
  </si>
  <si>
    <t>4469000001C6GUC9TN42</t>
  </si>
  <si>
    <t>4469000001C6UZNWBJ84</t>
  </si>
  <si>
    <t>4469000001C6GUB4YA53</t>
  </si>
  <si>
    <t>4469000001C6UZNH7P05</t>
  </si>
  <si>
    <t>254900D33TBU3WASUT96</t>
  </si>
  <si>
    <t>549300YT7D1GZOLIJA43</t>
  </si>
  <si>
    <t>549300ZXLJVHQAIXV215</t>
  </si>
  <si>
    <t>5493006AW7RWJ6U4LB07</t>
  </si>
  <si>
    <t>254900D1PFZM20I5PE60</t>
  </si>
  <si>
    <t>549300GNB4VIWMS9O071</t>
  </si>
  <si>
    <t>254900V0KV8X5PG6YX78</t>
  </si>
  <si>
    <t>549300U16G4LU3V6C598</t>
  </si>
  <si>
    <t>254900VMN1EAKC7OEL57</t>
  </si>
  <si>
    <t>2549009NZZIKLPUU1I94</t>
  </si>
  <si>
    <t>549300MWQ34KL1TJZ707</t>
  </si>
  <si>
    <t>549300WC1IGJ88EQNL30</t>
  </si>
  <si>
    <t>549300H8XV7W7WR2RX20</t>
  </si>
  <si>
    <t>549300DE8KUIYM989780</t>
  </si>
  <si>
    <t>549300AZCWF9DX4IYK18</t>
  </si>
  <si>
    <t>549300Z0AY2ER5XO6Q61</t>
  </si>
  <si>
    <t>549300XVZ2CZ1DOX1A54</t>
  </si>
  <si>
    <t>549300E3BC7GU7TAZ621</t>
  </si>
  <si>
    <t>549300077SZ875KME511</t>
  </si>
  <si>
    <t>254900WS1TS782NBPX53</t>
  </si>
  <si>
    <t>254900BIDL79UKUMX541</t>
  </si>
  <si>
    <t>549300QRSO1LUCQI8X16</t>
  </si>
  <si>
    <t>2549001NPYKGL0M5PQ46</t>
  </si>
  <si>
    <t>549300OBXGWYN1VOFC24</t>
  </si>
  <si>
    <t>254900PS8DW56MRNPR95</t>
  </si>
  <si>
    <t>254900FF2QMIA3J9W229</t>
  </si>
  <si>
    <t>549300B58NQIRERPVX08</t>
  </si>
  <si>
    <t>549300T1S0QZF7KV3S02</t>
  </si>
  <si>
    <t>984500065EE88E56C811</t>
  </si>
  <si>
    <t>254900D9DCM94F8KGV89</t>
  </si>
  <si>
    <t>549300HX6J20IHSL0711</t>
  </si>
  <si>
    <t>254900YX8QGZ8Y9DRG37</t>
  </si>
  <si>
    <t>2549006JI1VKBN4L2X12</t>
  </si>
  <si>
    <t>2549004SHYZJZEOAFD91</t>
  </si>
  <si>
    <t>254900HVWSQEBZ33WN33</t>
  </si>
  <si>
    <t>254900FY99HZQ4NAIO54</t>
  </si>
  <si>
    <t>254900TZB0NTOY0MG695</t>
  </si>
  <si>
    <t>549300IL3XZPNX37FK85</t>
  </si>
  <si>
    <t>254900H8SRC1M117OG21</t>
  </si>
  <si>
    <t>54930038JDDT8NGPUW59</t>
  </si>
  <si>
    <t>2549003CYWMC7LE3RJ94</t>
  </si>
  <si>
    <t>549300A3YDRFRM2NWC92</t>
  </si>
  <si>
    <t>549300FN8T3E0BFQ5P04</t>
  </si>
  <si>
    <t>549300FVSXZU5MNJW624</t>
  </si>
  <si>
    <t>549300GX1VYVUQ7YBX64</t>
  </si>
  <si>
    <t>549300739X20PQ2I9G30</t>
  </si>
  <si>
    <t>549300SG184IVNYDMN03</t>
  </si>
  <si>
    <t>254900KCH7OHTMXK6844</t>
  </si>
  <si>
    <t>5493001ZVL780RAQH267</t>
  </si>
  <si>
    <t>549300IS8G05HMR36T51</t>
  </si>
  <si>
    <t>213800F87AK1JKQEVW81</t>
  </si>
  <si>
    <t>549300BMVW85YF9FGN67</t>
  </si>
  <si>
    <t>549300MW0OHT0DS3NM45</t>
  </si>
  <si>
    <t>549300IJHUZ7TGY34M64</t>
  </si>
  <si>
    <t>549300HZXQYSGD9A7505</t>
  </si>
  <si>
    <t>5493005KCNNBYYS34J94</t>
  </si>
  <si>
    <t>25490099HSYG4BO15438</t>
  </si>
  <si>
    <t>549300YDFEOS1DI1X211</t>
  </si>
  <si>
    <t>549300RDVXS6MRJRPP54</t>
  </si>
  <si>
    <t>5493004NHA2TN51VCJ81</t>
  </si>
  <si>
    <t>54930088NKV63UAHIM71</t>
  </si>
  <si>
    <t>549300OKSCJEJG7KIN70</t>
  </si>
  <si>
    <t>549300OO4YGCHPAXPP56</t>
  </si>
  <si>
    <t>5493006MVX0DIMYZT193</t>
  </si>
  <si>
    <t>254900TDPILDN6AUAD69</t>
  </si>
  <si>
    <t>5493002MUOV04NSPT571</t>
  </si>
  <si>
    <t>549300T1WDQXFP6SZS19</t>
  </si>
  <si>
    <t>549300RBH6NO08RUM717</t>
  </si>
  <si>
    <t>254900GWNVCP32OIMT64</t>
  </si>
  <si>
    <t>254900X5R6AFM6OF0766</t>
  </si>
  <si>
    <t>549300LD85GAO1MQHM16</t>
  </si>
  <si>
    <t>254900XECRM8MLSLSB91</t>
  </si>
  <si>
    <t>254900A2P9TD4KWRAY17</t>
  </si>
  <si>
    <t>254900WYGTPQVFAWD115</t>
  </si>
  <si>
    <t>254900P63F6QP07T8025</t>
  </si>
  <si>
    <t>W0IG4VKGKE8BV0Q3ML15</t>
  </si>
  <si>
    <t>2549009OPKYQ6C6FP109</t>
  </si>
  <si>
    <t>254900TOH2K0RPOWQN55</t>
  </si>
  <si>
    <t>549300IYIQXP48XCW167</t>
  </si>
  <si>
    <t>2138001PR6CBZYKAXR48</t>
  </si>
  <si>
    <t>254900RQWQ60482JVY81</t>
  </si>
  <si>
    <t>2549008EAWAOMF8J3K73</t>
  </si>
  <si>
    <t>549300P0NSGTO3Z5VQ83</t>
  </si>
  <si>
    <t>5493006IEVQEFQO40L83</t>
  </si>
  <si>
    <t>549300E94AMW3HSSMU17</t>
  </si>
  <si>
    <t>254900JDHJCWOTJ3M358</t>
  </si>
  <si>
    <t>254900K1HISOTQXSV770</t>
  </si>
  <si>
    <t>254900YUM9WOOI45A993</t>
  </si>
  <si>
    <t>549300505TS6WHX7X129</t>
  </si>
  <si>
    <t>254900SSCJ0J5W8MTY28</t>
  </si>
  <si>
    <t>254900LLVWDWH76WGS35</t>
  </si>
  <si>
    <t>549300TJ5RO9V34QFM38</t>
  </si>
  <si>
    <t>549300JL0PEPJTL7R453</t>
  </si>
  <si>
    <t>549300ICIMKU1D77I655</t>
  </si>
  <si>
    <t>5493002CYV4454GU4590</t>
  </si>
  <si>
    <t>5493007HWMAMEVCBI728</t>
  </si>
  <si>
    <t>549300IQB1J4LJC4IJ85</t>
  </si>
  <si>
    <t>549300HMGMTIH310YN55</t>
  </si>
  <si>
    <t>4469000001BO0S6AJB46</t>
  </si>
  <si>
    <t>4469000001CFV8E8CN77</t>
  </si>
  <si>
    <t>2549009MX3Y4L8A0DK57</t>
  </si>
  <si>
    <t>549300DTDRE9RPWJB180</t>
  </si>
  <si>
    <t>549300LBR40UZS3TKY50</t>
  </si>
  <si>
    <t>549300GVIPF9QLXX5O58</t>
  </si>
  <si>
    <t>254900EUPDZ0ME9QY669</t>
  </si>
  <si>
    <t>5493002DD1X6JCG8M397</t>
  </si>
  <si>
    <t>549300FT7O2GBCPGVQ42</t>
  </si>
  <si>
    <t>4469000001C8M1ZVUX46</t>
  </si>
  <si>
    <t>549300RXMOSG9S47GG47</t>
  </si>
  <si>
    <t>5493005JJQ7KI6AN2X65</t>
  </si>
  <si>
    <t>254900HQV1BIO6EZHO67</t>
  </si>
  <si>
    <t>549300LHZRAKK7TB2E06</t>
  </si>
  <si>
    <t>549300MFBDXY1TPWM126</t>
  </si>
  <si>
    <t>5493001ANXDCVXXB9G27</t>
  </si>
  <si>
    <t>549300G1R0NJLB4D9D45</t>
  </si>
  <si>
    <t>549300T6MLMG3GR8BJ94</t>
  </si>
  <si>
    <t>549300D3EZD4EFT48T70</t>
  </si>
  <si>
    <t>254900TQ6O5FI6RRC426</t>
  </si>
  <si>
    <t>5493000BTPLOFD43PT03</t>
  </si>
  <si>
    <t>5493003VPC1JI96KED59</t>
  </si>
  <si>
    <t>5493000OZF83IWGZW008</t>
  </si>
  <si>
    <t>549300F9S230WGY6ZY56</t>
  </si>
  <si>
    <t>4469000001C8M1V10K85</t>
  </si>
  <si>
    <t>4469000001C8M26N3320</t>
  </si>
  <si>
    <t>4469000001C8M28LNL74</t>
  </si>
  <si>
    <t>254900XMCYPJ1Z73JH37</t>
  </si>
  <si>
    <t>335800IFS1IJHESG8362</t>
  </si>
  <si>
    <t>4469000001C850JJCZ27</t>
  </si>
  <si>
    <t>549300TYTS22863QT708</t>
  </si>
  <si>
    <t>254900YLFGUCQNGQK498</t>
  </si>
  <si>
    <t>254900D483JGNBAP9204</t>
  </si>
  <si>
    <t>5493006BWPDUCYG6EQ34</t>
  </si>
  <si>
    <t>254900I6Y4053F64C743</t>
  </si>
  <si>
    <t>529900NLULWWNUAUMG29</t>
  </si>
  <si>
    <t>5493007D54HC6GAC6B80</t>
  </si>
  <si>
    <t>529900UBJTRBKW4W3M49</t>
  </si>
  <si>
    <t>254900U6U1RQ9RC92171</t>
  </si>
  <si>
    <t>549300C3Y77UBHE3WO55</t>
  </si>
  <si>
    <t>52990034BKJ7FBEJQC03</t>
  </si>
  <si>
    <t>529900F2DOZAZTOXM770</t>
  </si>
  <si>
    <t>529900Y4RXG0E9VGK451</t>
  </si>
  <si>
    <t>529900DP6HZNK5FOJ586</t>
  </si>
  <si>
    <t>5299009D3UKDPOTLWI21</t>
  </si>
  <si>
    <t>529900O8P3W21LXI8381</t>
  </si>
  <si>
    <t>549300JVWSHEUO4ULL89</t>
  </si>
  <si>
    <t>549300Q25FYJWHD37E52</t>
  </si>
  <si>
    <t>254900BJ8F6T368FWC49</t>
  </si>
  <si>
    <t>549300CSX55MXZ47EI78</t>
  </si>
  <si>
    <t>RUC0QBLBRPRCU4W1NE59</t>
  </si>
  <si>
    <t>549300RA02N3BNSWBV74</t>
  </si>
  <si>
    <t>254900EPMCA69VHLIF23</t>
  </si>
  <si>
    <t>2549009Y9EK8B599EP36</t>
  </si>
  <si>
    <t>4469000001BSQL7MGC60</t>
  </si>
  <si>
    <t>549300ILIBAEMQZK3L20</t>
  </si>
  <si>
    <t>5493006FF48J8M21GN53</t>
  </si>
  <si>
    <t>RCNB6OTYUAMMP879YW96</t>
  </si>
  <si>
    <t>549300FW3RGHPHT21D10</t>
  </si>
  <si>
    <t>549300J6IVC522I48315</t>
  </si>
  <si>
    <t>549300UBRXE34LZ7DC53</t>
  </si>
  <si>
    <t>549300EN1U4LCW3DEL84</t>
  </si>
  <si>
    <t>5299001Y8E5FW3R6HK50</t>
  </si>
  <si>
    <t>4469000001BPWSHH2X82</t>
  </si>
  <si>
    <t>2549003PHAP8V0L3LN27</t>
  </si>
  <si>
    <t>5493006C7J2RJS3VNQ05</t>
  </si>
  <si>
    <t>549300Y2XL6HYZ4G3T62</t>
  </si>
  <si>
    <t>549300PQDMLKLFQGT068</t>
  </si>
  <si>
    <t>549300MVGM26JNLKWO33</t>
  </si>
  <si>
    <t>529900Y6D4KM0ZLFT842</t>
  </si>
  <si>
    <t>529900P4GW1ZJZBJYX72</t>
  </si>
  <si>
    <t>529900V5VOSXIKQG5I77</t>
  </si>
  <si>
    <t>529900BF3SLY0CHTRU13</t>
  </si>
  <si>
    <t>549300NVBQH8J84WYP13</t>
  </si>
  <si>
    <t>529900EL0UX56DMCFI02</t>
  </si>
  <si>
    <t>9845001DDA3NM756CD52</t>
  </si>
  <si>
    <t>5299000D7O5XWDISZL91</t>
  </si>
  <si>
    <t>5299008MA8W0OM4M1Z31</t>
  </si>
  <si>
    <t>5299000S2PMV3FPLFL25</t>
  </si>
  <si>
    <t>529900738AG6AWH7SW98</t>
  </si>
  <si>
    <t>549300H8JV00CEXMYU13</t>
  </si>
  <si>
    <t>54930065EGQ4J7DLQX37</t>
  </si>
  <si>
    <t>254900XDY8SUMLJG8O41</t>
  </si>
  <si>
    <t>254900QK1KJ23LKMR158</t>
  </si>
  <si>
    <t>2549000ARM9M83ZT5H03</t>
  </si>
  <si>
    <t>254900TX73RZPMXE6896</t>
  </si>
  <si>
    <t>254900GB439W2XHYRB18</t>
  </si>
  <si>
    <t>984500R63BC3639F4090</t>
  </si>
  <si>
    <t>25490015APPBP7SXWT25</t>
  </si>
  <si>
    <t>5493008RKGQ4XITI3W85</t>
  </si>
  <si>
    <t>254900OMME957Q1M1Z69</t>
  </si>
  <si>
    <t>549300VVSQLG4P5K4639</t>
  </si>
  <si>
    <t>4469000001BMXYWSTY18</t>
  </si>
  <si>
    <t>25490072C6U5ZXYB2F23</t>
  </si>
  <si>
    <t>4469000001C9ESG0PI65</t>
  </si>
  <si>
    <t>4469000001C9DD2WU137</t>
  </si>
  <si>
    <t>5493008Z9GLA9RT1F506</t>
  </si>
  <si>
    <t>549300IFBSK7HMR8XM85</t>
  </si>
  <si>
    <t>54930026CN6KUNBR4J44</t>
  </si>
  <si>
    <t>549300BRNRW0WZCD8M69</t>
  </si>
  <si>
    <t>549300MOUB4MJ2FP6B06</t>
  </si>
  <si>
    <t>4469000001C9CWDYT396</t>
  </si>
  <si>
    <t>4469000001C9ESTR2Z04</t>
  </si>
  <si>
    <t>4469000001C9ESLX1Q11</t>
  </si>
  <si>
    <t>549300OKLGX3OMYVS512</t>
  </si>
  <si>
    <t>549300TZ44DE6YBZHP97</t>
  </si>
  <si>
    <t>254900UWTTIQ168KL264</t>
  </si>
  <si>
    <t>254900OEEJGNKNHQVG45</t>
  </si>
  <si>
    <t>5493003G4I2F0EQ28D09</t>
  </si>
  <si>
    <t>549300RBHNMVKQFRU337</t>
  </si>
  <si>
    <t>PQLMYUFDGPG4H0E88R88</t>
  </si>
  <si>
    <t>549300MNQXTBEP8UMO32</t>
  </si>
  <si>
    <t>25490040X2PRAG180H78</t>
  </si>
  <si>
    <t>549300NAI0IS6UAVEC94</t>
  </si>
  <si>
    <t>254900JNUUZI1ALHOC19</t>
  </si>
  <si>
    <t>254900VBMPGO5TL12480</t>
  </si>
  <si>
    <t>2549009BMH1CDQITVK25</t>
  </si>
  <si>
    <t>254900XRWW8NW51QI805</t>
  </si>
  <si>
    <t>549300HKCZ31D08NEI41</t>
  </si>
  <si>
    <t>549300BC295VQP4H3C42</t>
  </si>
  <si>
    <t>549300CHALS6NTB3ZI19</t>
  </si>
  <si>
    <t>549300H35QGFZHV7QK32</t>
  </si>
  <si>
    <t>5493004FRTYYVHVYP589</t>
  </si>
  <si>
    <t>549300B8J5W1EDN1ZS19</t>
  </si>
  <si>
    <t>213800OLOIWW4FSAAE11</t>
  </si>
  <si>
    <t>254900826DC8TR6VSH70</t>
  </si>
  <si>
    <t>254900NTHTB2QDSKO908</t>
  </si>
  <si>
    <t>254900RQ39FKUW0YQP73</t>
  </si>
  <si>
    <t>254900SIAO1CWMW1CI39</t>
  </si>
  <si>
    <t>4469000001CEOP0IXZ67</t>
  </si>
  <si>
    <t>4469000001BR3MXRSE52</t>
  </si>
  <si>
    <t>254900Z8VEEIIZFYFQ34</t>
  </si>
  <si>
    <t>549300DG5JVB2XX2A247</t>
  </si>
  <si>
    <t>4469000001BP36F23G03</t>
  </si>
  <si>
    <t>549300535HIHS7LP5U79</t>
  </si>
  <si>
    <t>254900618FUJV6GUQ625</t>
  </si>
  <si>
    <t>2549003EDANNOYZ7KH93</t>
  </si>
  <si>
    <t>4469000001BP302I6G51</t>
  </si>
  <si>
    <t>254900TEJKIUPB2PE092</t>
  </si>
  <si>
    <t>254900JAL5Q18D5S5I42</t>
  </si>
  <si>
    <t>254900KBITDI22CFC545</t>
  </si>
  <si>
    <t>254900FNFKBLSOD1A776</t>
  </si>
  <si>
    <t>549300UULOX6ZMJYFM72</t>
  </si>
  <si>
    <t>5493002FUTGYOKQM1K42</t>
  </si>
  <si>
    <t>254900TA7FL0KBPZO814</t>
  </si>
  <si>
    <t>254900UTRW5L7906UK10</t>
  </si>
  <si>
    <t>25490078BQOUUQ70GT40</t>
  </si>
  <si>
    <t>PM3ENKCPKJA1CMR56443</t>
  </si>
  <si>
    <t>254900M0SIDIYP1ETY92</t>
  </si>
  <si>
    <t>54930057WME5YTP71Q56</t>
  </si>
  <si>
    <t>25490026JC6VL4OI7E97</t>
  </si>
  <si>
    <t>254900AIZKU6TGRRNZ98</t>
  </si>
  <si>
    <t>549300SVX5D2I84ZOV69</t>
  </si>
  <si>
    <t>549300WKGLXEV3DB7I54</t>
  </si>
  <si>
    <t>254900EAVJMYY52CF251</t>
  </si>
  <si>
    <t>254900IK7JRGC1KFJK62</t>
  </si>
  <si>
    <t>5493000JPVFW8AVQ0W29</t>
  </si>
  <si>
    <t>254900N5QT0J6DLN1Z66</t>
  </si>
  <si>
    <t>25490091DX3WM6HH6K44</t>
  </si>
  <si>
    <t>549300KB5DQXGJZXBI54</t>
  </si>
  <si>
    <t>254900DAOFEE40P4WB37</t>
  </si>
  <si>
    <t>549300BG9RRCOSUUP871</t>
  </si>
  <si>
    <t>254900C9AAU57Z9TZS41</t>
  </si>
  <si>
    <t>335800CNVQFGRCP1PR55</t>
  </si>
  <si>
    <t>254900XT7X3K0FUXBR14</t>
  </si>
  <si>
    <t>254900IJSA9UHJUAVZ21</t>
  </si>
  <si>
    <t>549300VI6MSD08LCDH67</t>
  </si>
  <si>
    <t>549300R6CF5KXZQ4GC32</t>
  </si>
  <si>
    <t>335800H4F46GJOVVYP85</t>
  </si>
  <si>
    <t>254900Q4C9S832017264</t>
  </si>
  <si>
    <t>549300QNZDP4PA7T3L67</t>
  </si>
  <si>
    <t>549300ALNCOJEH1ZFE35</t>
  </si>
  <si>
    <t>549300KFMVONJD23SY58</t>
  </si>
  <si>
    <t>254900SRQI5W9CQ1A154</t>
  </si>
  <si>
    <t>9845008A960A778D7F46</t>
  </si>
  <si>
    <t>254900GN0PBGNTGCO013</t>
  </si>
  <si>
    <t>5493000T1RNRNPP8UE93</t>
  </si>
  <si>
    <t>549300BVRDR8XTSXAD13</t>
  </si>
  <si>
    <t>254900Q9A7S9QGD6V168</t>
  </si>
  <si>
    <t>25490068NZC026CF2X98</t>
  </si>
  <si>
    <t>254900ERK5NGN2TXBL71</t>
  </si>
  <si>
    <t>529900DU63EUQ1UZKL30</t>
  </si>
  <si>
    <t>5493007E0BIGHTXG7L82</t>
  </si>
  <si>
    <t>2549004AW58X725FJR71</t>
  </si>
  <si>
    <t>5493006PJXE4K3GDAT83</t>
  </si>
  <si>
    <t>549300AUOVKJT42SEC60</t>
  </si>
  <si>
    <t>549300DMTJOQCW3H5020</t>
  </si>
  <si>
    <t>549300ZL7JYP5X7NHL92</t>
  </si>
  <si>
    <t>549300UYS530INBA0R48</t>
  </si>
  <si>
    <t>549300N4IOSQCJV8NK36</t>
  </si>
  <si>
    <t>549300OUQM7KPM86SO66</t>
  </si>
  <si>
    <t>549300Y0CHUK5E7MES59</t>
  </si>
  <si>
    <t>549300AKF0O2HPUSYP71</t>
  </si>
  <si>
    <t>549300B3N1KKD05E1H72</t>
  </si>
  <si>
    <t>254900LOJSIZYM9IYS88</t>
  </si>
  <si>
    <t>549300ISY4UREWX38353</t>
  </si>
  <si>
    <t>549300N168EE8UY02J03</t>
  </si>
  <si>
    <t>549300JDTE5OWF2WKW89</t>
  </si>
  <si>
    <t>5493003D86PSAJ3DL846</t>
  </si>
  <si>
    <t>254900UPW74ADKIDDX03</t>
  </si>
  <si>
    <t>254900JRPMU96LXECL45</t>
  </si>
  <si>
    <t>549300Z5VF4IWHSV2V07</t>
  </si>
  <si>
    <t>5493009S0JXLJM2HYM04</t>
  </si>
  <si>
    <t>549300TYS1DF2H45ZJ11</t>
  </si>
  <si>
    <t>549300STDWPMURL5B146</t>
  </si>
  <si>
    <t>549300RSZKMCUH0ZSZ77</t>
  </si>
  <si>
    <t>254900XW47VUEJ9N5H17</t>
  </si>
  <si>
    <t>549300T08P71XXBYLW62</t>
  </si>
  <si>
    <t>254900KOJJ6TR27K5M77</t>
  </si>
  <si>
    <t>254900DS1WSHVS3Z4494</t>
  </si>
  <si>
    <t>549300FQNSQZQ5YW1V55</t>
  </si>
  <si>
    <t>5493008E3JT4274DSA60</t>
  </si>
  <si>
    <t>549300DLGKZEO3NH3N58</t>
  </si>
  <si>
    <t>25490077RCQJA9O67213</t>
  </si>
  <si>
    <t>254900KMCAMJKSQB8508</t>
  </si>
  <si>
    <t>549300Z7J6TUNLXNII39</t>
  </si>
  <si>
    <t>549300IP501J073SLB29</t>
  </si>
  <si>
    <t>549300DWHX5MS79ZT460</t>
  </si>
  <si>
    <t>5493005UKO03SBIR1X93</t>
  </si>
  <si>
    <t>549300KENUW4TAZOKY51</t>
  </si>
  <si>
    <t>549300KNQG4ZK784WS81</t>
  </si>
  <si>
    <t>549300D35F0I7IIRMF80</t>
  </si>
  <si>
    <t>25490009FLUO32YH0J13</t>
  </si>
  <si>
    <t>5493003TK8E8MKUFCN89</t>
  </si>
  <si>
    <t>549300B4DHEOWJXW8J24</t>
  </si>
  <si>
    <t>549300KR8DO06X628772</t>
  </si>
  <si>
    <t>549300ITT78T67PD4J17</t>
  </si>
  <si>
    <t>549300D2CQLLKAE2Y230</t>
  </si>
  <si>
    <t>549300RVRB6OSD4IZI75</t>
  </si>
  <si>
    <t>549300I0O67HVUR5RN30</t>
  </si>
  <si>
    <t>549300PUB4SKCE1EVB27</t>
  </si>
  <si>
    <t>549300UST11C94L1K857</t>
  </si>
  <si>
    <t>549300ZL3XUR9I1CVZ21</t>
  </si>
  <si>
    <t>549300TTLBYU3IKDRJ60</t>
  </si>
  <si>
    <t>5493004O27CE71XIQN17</t>
  </si>
  <si>
    <t>549300MJV6PZECO8RJ67</t>
  </si>
  <si>
    <t>5493005QJZPINYFP3420</t>
  </si>
  <si>
    <t>549300LJURL4NFMCIW37</t>
  </si>
  <si>
    <t>5493003D54R967405C22</t>
  </si>
  <si>
    <t>549300NCMKZULABL3S07</t>
  </si>
  <si>
    <t>549300TSL7OGCL3HC166</t>
  </si>
  <si>
    <t>54930011IATNNI69J625</t>
  </si>
  <si>
    <t>254900LMECKRWKGAT192</t>
  </si>
  <si>
    <t>254900U0WE5FR3QH4A53</t>
  </si>
  <si>
    <t>254900L816F5S6AP7Q58</t>
  </si>
  <si>
    <t>5493002M6LCHIZSCGQ08</t>
  </si>
  <si>
    <t>549300AQXCQ4H8GDLT83</t>
  </si>
  <si>
    <t>549300IA9XFBAGNIBW29</t>
  </si>
  <si>
    <t>549300RM58V6MZE88304</t>
  </si>
  <si>
    <t>5493004QPKV0GLEQWN46</t>
  </si>
  <si>
    <t>549300RQQ89ONFWT5M83</t>
  </si>
  <si>
    <t>549300CQMVKAKADPYT07</t>
  </si>
  <si>
    <t>549300ES0LDBCB1Y7E23</t>
  </si>
  <si>
    <t>5493008Z7GWAE0SULC29</t>
  </si>
  <si>
    <t>2549006U7QJR1JQNAN83</t>
  </si>
  <si>
    <t>54930026QTFCOE3YBZ72</t>
  </si>
  <si>
    <t>549300R78D1NRQZK2U03</t>
  </si>
  <si>
    <t>549300BIFOLXG67BGX92</t>
  </si>
  <si>
    <t>5493007EW15NFSGVUA53</t>
  </si>
  <si>
    <t>5493001GSNQT63ODH306</t>
  </si>
  <si>
    <t>549300Y2XZUXHBH0EE39</t>
  </si>
  <si>
    <t>549300067Z554DTTUF13</t>
  </si>
  <si>
    <t>549300PDZCQINKOIUT34</t>
  </si>
  <si>
    <t>549300BZKKSQ5QE5OK90</t>
  </si>
  <si>
    <t>549300SQTI19ADV6KL87</t>
  </si>
  <si>
    <t>254900H2JLXT3GP0RU18</t>
  </si>
  <si>
    <t>213800D96B6KJ6B7MY74</t>
  </si>
  <si>
    <t>549300E36DXKLUKHM713</t>
  </si>
  <si>
    <t>54930018VPWVOWCM7390</t>
  </si>
  <si>
    <t>549300L48KU9E5WEMZ43</t>
  </si>
  <si>
    <t>5493009FEV3OKZIHER89</t>
  </si>
  <si>
    <t>549300FUGJAEM3RH5I44</t>
  </si>
  <si>
    <t>549300Z043FJSZV40054</t>
  </si>
  <si>
    <t>549300ZAH5K6I96PVE42</t>
  </si>
  <si>
    <t>549300V1PHPJ12I0PP40</t>
  </si>
  <si>
    <t>549300VAZACN9HQQ8C05</t>
  </si>
  <si>
    <t>54930001CQYSZ7561R22</t>
  </si>
  <si>
    <t>254900BA10KZFDEPK817</t>
  </si>
  <si>
    <t>2549006SC5HX4SK4Z426</t>
  </si>
  <si>
    <t>4469000001BQJUVMM141</t>
  </si>
  <si>
    <t>254900W03A7OOGG0MK88</t>
  </si>
  <si>
    <t>254900ZFVEX37PYBE449</t>
  </si>
  <si>
    <t>5493007ZYUTCI5QLBW03</t>
  </si>
  <si>
    <t>549300TFN5UREC6VJ634</t>
  </si>
  <si>
    <t>5493009TT6SYITSY4D64</t>
  </si>
  <si>
    <t>549300I868PVGW8B2Y66</t>
  </si>
  <si>
    <t>549300ROHOP45U9OFV89</t>
  </si>
  <si>
    <t>549300TTAL0LCUAP0F72</t>
  </si>
  <si>
    <t>549300U2SFGTSS77MN39</t>
  </si>
  <si>
    <t>549300PKCDQX28IMPW85</t>
  </si>
  <si>
    <t>549300RXCPKXMDVFK656</t>
  </si>
  <si>
    <t>549300EAWN4T4KDZ0Z92</t>
  </si>
  <si>
    <t>254900PRZO6A4IZ69Q60</t>
  </si>
  <si>
    <t>5493001E7USV6T1IHQ28</t>
  </si>
  <si>
    <t>549300PXRVESL3IERU60</t>
  </si>
  <si>
    <t>5493003UK3YKM1EP4635</t>
  </si>
  <si>
    <t>549300YV1R7PUS4DSQ04</t>
  </si>
  <si>
    <t>635400J6SV75NQ7SKG52</t>
  </si>
  <si>
    <t>549300N7PVVZ5NVW5355</t>
  </si>
  <si>
    <t>254900CHFPLLHH1IB755</t>
  </si>
  <si>
    <t>254900QATJIUUOC9D504</t>
  </si>
  <si>
    <t>549300OQZQ7XLH5IVQ75</t>
  </si>
  <si>
    <t>2549001HAYPFKPZLTR13</t>
  </si>
  <si>
    <t>LFUI3IPDF1PN71XJ7T39</t>
  </si>
  <si>
    <t>254900JQ99WKU02Q2I05</t>
  </si>
  <si>
    <t>549300CLJ46S0PH78F76</t>
  </si>
  <si>
    <t>549300Q7147DDP8GKE73</t>
  </si>
  <si>
    <t>549300UEQY6DWRUDUK35</t>
  </si>
  <si>
    <t>2549006VDVHTUHVHX102</t>
  </si>
  <si>
    <t>254900S18715JU1WNW90</t>
  </si>
  <si>
    <t>549300LM5SND0IMH6397</t>
  </si>
  <si>
    <t>549300HSNGFQ1DFVNA55</t>
  </si>
  <si>
    <t>2549009E1JT4MT5ML184</t>
  </si>
  <si>
    <t>4469000001BS92I9C532</t>
  </si>
  <si>
    <t>549300ZF4F8FOQE2X322</t>
  </si>
  <si>
    <t>2549001MTLO63FTS2W54</t>
  </si>
  <si>
    <t>254900OE7OZRH5LBN510</t>
  </si>
  <si>
    <t>254900ALNB5U2D6Q1Y46</t>
  </si>
  <si>
    <t>5493003NUHQPIX74AA30</t>
  </si>
  <si>
    <t>549300JB3UPFJK4ICW68</t>
  </si>
  <si>
    <t>549300ULOZ3S32693174</t>
  </si>
  <si>
    <t>254900I8NBFHJZOKZ793</t>
  </si>
  <si>
    <t>254900WY1B94DGTLTJ03</t>
  </si>
  <si>
    <t>254900D8ZJSR7IK0Y975</t>
  </si>
  <si>
    <t>549300UPVD17C2O14O85</t>
  </si>
  <si>
    <t>549300B38F579OGURA89</t>
  </si>
  <si>
    <t>25490048CSIZD2DAQO68</t>
  </si>
  <si>
    <t>4469000001BS817GX020</t>
  </si>
  <si>
    <t>2549008M0G9288FMDF09</t>
  </si>
  <si>
    <t>254900VJWHG18I7DB321</t>
  </si>
  <si>
    <t>4469000001CGVS1E1921</t>
  </si>
  <si>
    <t>3P4FTDUVHGHB2Y0MM203</t>
  </si>
  <si>
    <t>89450075A70NUZB5AM35</t>
  </si>
  <si>
    <t>4469000001CGVM915Y13</t>
  </si>
  <si>
    <t>549300BOXIUFRVGV5612</t>
  </si>
  <si>
    <t>2549003XGF75TMLASB07</t>
  </si>
  <si>
    <t>5493007C77EEJ03RCD29</t>
  </si>
  <si>
    <t>549300AXTKNSLPJBOF04</t>
  </si>
  <si>
    <t>549300N8AZWF6KFFBM15</t>
  </si>
  <si>
    <t>254900ENZ2ERVXYQUF34</t>
  </si>
  <si>
    <t>254900UPDCCNZ5OM0R33</t>
  </si>
  <si>
    <t>549300LNTT0DY4HQ2Q74</t>
  </si>
  <si>
    <t>4469000001CGVQT79447</t>
  </si>
  <si>
    <t>2549004SXBNXAP9CGD45</t>
  </si>
  <si>
    <t>549300Y5VFKW2UX68E53</t>
  </si>
  <si>
    <t>549300YNGZVJE453R376</t>
  </si>
  <si>
    <t>549300PCP52VMK51YP69</t>
  </si>
  <si>
    <t>549300TWA4BJ1XNR8Y72</t>
  </si>
  <si>
    <t>549300DV5V8XPCUOOR90</t>
  </si>
  <si>
    <t>549300RT26HCQ5DH8236</t>
  </si>
  <si>
    <t>54930081NHE63IHVEJ96</t>
  </si>
  <si>
    <t>549300JB4U50YIFYT185</t>
  </si>
  <si>
    <t>549300ZU5FE7UQPDM357</t>
  </si>
  <si>
    <t>254900DNPGFZ9RNKC592</t>
  </si>
  <si>
    <t>254900C702TOFQ36B603</t>
  </si>
  <si>
    <t>5493003DKOSHF0JS7J36</t>
  </si>
  <si>
    <t>254900E41SVNMILKNN45</t>
  </si>
  <si>
    <t>254900SI48BNCPW7SG40</t>
  </si>
  <si>
    <t>254900BZH6F0DR1XP827</t>
  </si>
  <si>
    <t>254900EIRK241O8WCZ27</t>
  </si>
  <si>
    <t>254900JM5U6DI3PKX805</t>
  </si>
  <si>
    <t>549300A651QASD55GW77</t>
  </si>
  <si>
    <t>54930005OYM895MS6K33</t>
  </si>
  <si>
    <t>254900OW82LYGJ623Z25</t>
  </si>
  <si>
    <t>335800UL1OJYBFEAPY30</t>
  </si>
  <si>
    <t>254900OYI49EC265MF75</t>
  </si>
  <si>
    <t>254900ARFG89QEHPHE22</t>
  </si>
  <si>
    <t>4469000001BO0S6S1377</t>
  </si>
  <si>
    <t>254900WY9XL8033CKX68</t>
  </si>
  <si>
    <t>549300SU25TO8EMXB434</t>
  </si>
  <si>
    <t>549300SMX6J4NDPUAL86</t>
  </si>
  <si>
    <t>213800HFGZMXST64GP53</t>
  </si>
  <si>
    <t>6RPK2YDJN6L35AS0M510</t>
  </si>
  <si>
    <t>254900PNETLGXZ5HYG62</t>
  </si>
  <si>
    <t>213800XDZJKMC1AEUV94</t>
  </si>
  <si>
    <t>4469000001BNTACN9916</t>
  </si>
  <si>
    <t>5493004MAHWMF48J7339</t>
  </si>
  <si>
    <t>254900ZXCY4SJEK3XH60</t>
  </si>
  <si>
    <t>894500LN92H9XVXXFY84</t>
  </si>
  <si>
    <t>549300FXLDBTBWJOVH03</t>
  </si>
  <si>
    <t>5493001GB8BULEWHC344</t>
  </si>
  <si>
    <t>5493000QI42X2ECHEN76</t>
  </si>
  <si>
    <t>213800AKA18AX5P2IQ60</t>
  </si>
  <si>
    <t>254900P4B4IF2TCXTJ58</t>
  </si>
  <si>
    <t>2549004SRAPGGUYMM333</t>
  </si>
  <si>
    <t>54930090BUH76P8OXN34</t>
  </si>
  <si>
    <t>2549005QH0OJCKQZMD91</t>
  </si>
  <si>
    <t>254900DYNPAH3M9V7409</t>
  </si>
  <si>
    <t>549300NVQDVFRIS6BB45</t>
  </si>
  <si>
    <t>549300W5G2YJ5Q8QO694</t>
  </si>
  <si>
    <t>549300OPTVUPH7HS2L62</t>
  </si>
  <si>
    <t>549300D6R2G6AV1OYR58</t>
  </si>
  <si>
    <t>549300SSQSDLR5KXBJ93</t>
  </si>
  <si>
    <t>549300IZL70YXFRVXK49</t>
  </si>
  <si>
    <t>5493005QFZ7Q5T0BGE89</t>
  </si>
  <si>
    <t>549300SCHDRFHDHPB419</t>
  </si>
  <si>
    <t>8GW5MHVGVIJ1ZLDLM055</t>
  </si>
  <si>
    <t>549300SH1UNQONMCIN67</t>
  </si>
  <si>
    <t>54930028MSDCGZJWNK71</t>
  </si>
  <si>
    <t>549300UBXYXF7KT5UJ85</t>
  </si>
  <si>
    <t>254900RR9EUYHB7PI211</t>
  </si>
  <si>
    <t>8PLAT0S2ZGGGUST5TK73</t>
  </si>
  <si>
    <t>549300FFBX88LDK4VW32</t>
  </si>
  <si>
    <t>549300SZF4DLCIQ7DJ30</t>
  </si>
  <si>
    <t>549300XODTNZAONUUI42</t>
  </si>
  <si>
    <t>254900FJ9WZ286RTWF10</t>
  </si>
  <si>
    <t>549300Y74TJPDNCSEZ13</t>
  </si>
  <si>
    <t>2549008Y0RC3OIOYQS55</t>
  </si>
  <si>
    <t>254900HIDE6MFRY36F54</t>
  </si>
  <si>
    <t>254900352V1S81GBWU54</t>
  </si>
  <si>
    <t>254900OD86ROW7QSRZ14</t>
  </si>
  <si>
    <t>254900EUG1FY8MKMSC85</t>
  </si>
  <si>
    <t>549300O8411GZE07VF64</t>
  </si>
  <si>
    <t>254900CVVTFEFCGC3C27</t>
  </si>
  <si>
    <t>549300RJ0CSL5M1B7J96</t>
  </si>
  <si>
    <t>549300IW0R717GWGEJ66</t>
  </si>
  <si>
    <t>254900526N65VUR8O530</t>
  </si>
  <si>
    <t>2549005KSI9EVVFZ9562</t>
  </si>
  <si>
    <t>549300ZG5E3QCXPEEF56</t>
  </si>
  <si>
    <t>254900KLMGBT290Y1I27</t>
  </si>
  <si>
    <t>549300LHVHNLT24V0980</t>
  </si>
  <si>
    <t>549300NBYEV0UENWTV85</t>
  </si>
  <si>
    <t>JJYR6MFKFF6CF8DBZ078</t>
  </si>
  <si>
    <t>254900IELE5X86RGMZ29</t>
  </si>
  <si>
    <t>254900JJIT50V3TNJ255</t>
  </si>
  <si>
    <t>254900KIMLXZ9FY3HI65</t>
  </si>
  <si>
    <t>5GCSNMQXHEYA1JO8QN11</t>
  </si>
  <si>
    <t>2138006FLML1BLZS4608</t>
  </si>
  <si>
    <t>549300N2ZJ4466RLRV29</t>
  </si>
  <si>
    <t>SUHPWJ4TBNAH1YMQM073</t>
  </si>
  <si>
    <t>549300WXUYR1CMLDQF25</t>
  </si>
  <si>
    <t>5493005LQ9F2IYRRMJ67</t>
  </si>
  <si>
    <t>549300X1V571025JQU48</t>
  </si>
  <si>
    <t>549300L71XG2CTQ2V827</t>
  </si>
  <si>
    <t>549300GRIH56BDPRQC66</t>
  </si>
  <si>
    <t>549300DSSEIPCQ6XS968</t>
  </si>
  <si>
    <t>254900C9QD17FRGZJK83</t>
  </si>
  <si>
    <t>549300VT7E2VLKNCVW42</t>
  </si>
  <si>
    <t>549300UE3RYVE2P5DZ51</t>
  </si>
  <si>
    <t>549300C5IBTH6VHUMU95</t>
  </si>
  <si>
    <t>213800F6Q6LYLKB6DD47</t>
  </si>
  <si>
    <t>254900YMIAXSA3CWDD24</t>
  </si>
  <si>
    <t>5493003VWNX2NYQK9N27</t>
  </si>
  <si>
    <t>254900LUCOLMGZ2BQ204</t>
  </si>
  <si>
    <t>254900992PQS4OYD5Q03</t>
  </si>
  <si>
    <t>5493000PGBS1C22ELQ16</t>
  </si>
  <si>
    <t>254900OC14XPHDBRSG43</t>
  </si>
  <si>
    <t>549300W21WU1Y7ZJZ044</t>
  </si>
  <si>
    <t>5493005I22KD2ZSNAH20</t>
  </si>
  <si>
    <t>5493001NIY59K7282C42</t>
  </si>
  <si>
    <t>5493000K5BETBHZAE542</t>
  </si>
  <si>
    <t>549300S0LFTPG6JIX589</t>
  </si>
  <si>
    <t>G6RQYH0IRIK3ZW7ADP84</t>
  </si>
  <si>
    <t>549300EJZD7RHDE33Z68</t>
  </si>
  <si>
    <t>549300CES57G73VFS303</t>
  </si>
  <si>
    <t>54930055RCKH6ZWMQQ26</t>
  </si>
  <si>
    <t>549300TP05XBD5KKG552</t>
  </si>
  <si>
    <t>549300O7GGKJ2TR5GU60</t>
  </si>
  <si>
    <t>5493005PL6WMQ0KIPR18</t>
  </si>
  <si>
    <t>549300OEI8HQ81R21121</t>
  </si>
  <si>
    <t>5493003P1OKUVUYUHP45</t>
  </si>
  <si>
    <t>5493005X3ZBDRQ4C3K08</t>
  </si>
  <si>
    <t>254900MWKZF7SNE5SO41</t>
  </si>
  <si>
    <t>254900JW7X9S9W14ZK18</t>
  </si>
  <si>
    <t>254900ZW1J8H5TUA1416</t>
  </si>
  <si>
    <t>2549005Y939JZP0GF384</t>
  </si>
  <si>
    <t>549300UFNOZJXM274449</t>
  </si>
  <si>
    <t>5493006IM6HC47PETL73</t>
  </si>
  <si>
    <t>54930036SD6YSAHMT297</t>
  </si>
  <si>
    <t>549300K3VUUROQ0SWH84</t>
  </si>
  <si>
    <t>254900471LZYGSVXTG89</t>
  </si>
  <si>
    <t>254900X0WNG0T0CFTD30</t>
  </si>
  <si>
    <t>5493001JIGFMV5N6II19</t>
  </si>
  <si>
    <t>549300V6WCI7PG4YZJ06</t>
  </si>
  <si>
    <t>5493005NGMLFGHC7BV91</t>
  </si>
  <si>
    <t>254900VNCHIPPJ2OFY98</t>
  </si>
  <si>
    <t>54930003T4SXCIWVXY35</t>
  </si>
  <si>
    <t>894500Y6V3713YBX5A34</t>
  </si>
  <si>
    <t>54930079UPHWPR8SIW05</t>
  </si>
  <si>
    <t>254900AFTK06PYP1ME24</t>
  </si>
  <si>
    <t>549300LRY4SFKKYE5637</t>
  </si>
  <si>
    <t>549300U04F7HGFA7RO02</t>
  </si>
  <si>
    <t>254900X3EIQMAHKXFR34</t>
  </si>
  <si>
    <t>549300JIR2CWLZFZHF09</t>
  </si>
  <si>
    <t>549300RWD4RQQPD7BH63</t>
  </si>
  <si>
    <t>254900ULZBTTDF1IZW94</t>
  </si>
  <si>
    <t>254900GSB3CUBEYC5H46</t>
  </si>
  <si>
    <t>2549004SOU8W967TQL46</t>
  </si>
  <si>
    <t>25490048FKVX2P7A6Q34</t>
  </si>
  <si>
    <t>549300845935D0TK1O44</t>
  </si>
  <si>
    <t>549300ZNM26YH19QRA10</t>
  </si>
  <si>
    <t>254900EC2FE7OZ1OME13</t>
  </si>
  <si>
    <t>5493006DQV26TY4F1226</t>
  </si>
  <si>
    <t>54930037M94YWBG7H566</t>
  </si>
  <si>
    <t>549300FTQBLOETQK6X43</t>
  </si>
  <si>
    <t>549300D6EI87EQQ27242</t>
  </si>
  <si>
    <t>5493006LFLT9XV8ZV134</t>
  </si>
  <si>
    <t>529900F1VOCPF50VSS07</t>
  </si>
  <si>
    <t>2549002TO75PYMY3VY07</t>
  </si>
  <si>
    <t>549300O08XN52YH96S10</t>
  </si>
  <si>
    <t>5493003ME0392SW30U44</t>
  </si>
  <si>
    <t>2549005IV6AO51OY4342</t>
  </si>
  <si>
    <t>254900CGA9FA2OALL755</t>
  </si>
  <si>
    <t>254900XR9OP36B0K9627</t>
  </si>
  <si>
    <t>2549007PJ9VXP31KWF40</t>
  </si>
  <si>
    <t>254900KJXZ2C59W1A530</t>
  </si>
  <si>
    <t>2549005S48HZ2VMOV087</t>
  </si>
  <si>
    <t>254900ONIT5GCIB8OF56</t>
  </si>
  <si>
    <t>25490066W4IPSNK6G932</t>
  </si>
  <si>
    <t>254900QF0HITOAV8AS82</t>
  </si>
  <si>
    <t>549300PTNYR58L2PSB25</t>
  </si>
  <si>
    <t>549300F8L9VJH62VPY08</t>
  </si>
  <si>
    <t>254900UN2NX4GAXDKJ55</t>
  </si>
  <si>
    <t>5493000S0GYVDHWAER50</t>
  </si>
  <si>
    <t>254900P7QFFAVYC7OO47</t>
  </si>
  <si>
    <t>549300MY58EUJKZHTG64</t>
  </si>
  <si>
    <t>549300IZ31M0Q7DJZV12</t>
  </si>
  <si>
    <t>984500C36B7B0AEY9172</t>
  </si>
  <si>
    <t>2549008MEHY19EO5ZM42</t>
  </si>
  <si>
    <t>254900SNEJFXX8EIAR29</t>
  </si>
  <si>
    <t>254900XEZSWWFV64FL03</t>
  </si>
  <si>
    <t>25490032S8BZZ8RKAU87</t>
  </si>
  <si>
    <t>2549007YZT3EXV4IWA44</t>
  </si>
  <si>
    <t>254900RRETTSUDCHST03</t>
  </si>
  <si>
    <t>254900ONXRV4TM9IHS60</t>
  </si>
  <si>
    <t>529900VQCXSGWOPUZ067</t>
  </si>
  <si>
    <t>254900PF1J5X45JWMJ46</t>
  </si>
  <si>
    <t>213800G3BD4VWJUOPE91</t>
  </si>
  <si>
    <t>5493001GLQ20O14LXH17</t>
  </si>
  <si>
    <t>549300XRVW16X03M0R11</t>
  </si>
  <si>
    <t>549300PLWTVU76RT7J26</t>
  </si>
  <si>
    <t>254900ZFR28JPR2QEI19</t>
  </si>
  <si>
    <t>549300THKQAJV37W9557</t>
  </si>
  <si>
    <t>254900336TB2ES2WD631</t>
  </si>
  <si>
    <t>549300CGLHRTONZUI703</t>
  </si>
  <si>
    <t>2549006Z41XPCFU0GP94</t>
  </si>
  <si>
    <t>254900NW8RZQYTXCIN77</t>
  </si>
  <si>
    <t>25490052XIXT2IMKN768</t>
  </si>
  <si>
    <t>254900B4OO5IVAN49919</t>
  </si>
  <si>
    <t>2549001A2VIBRAPOQ691</t>
  </si>
  <si>
    <t>549300VWIYTPNWUCFF10</t>
  </si>
  <si>
    <t>549300RF6IUVPZFMHW64</t>
  </si>
  <si>
    <t>549300JGUGMCVOKY8A79</t>
  </si>
  <si>
    <t>254900CZJUEJU0HAFN24</t>
  </si>
  <si>
    <t>549300WRKFEQIBQJ2394</t>
  </si>
  <si>
    <t>254900OG3G4XJP9C7479</t>
  </si>
  <si>
    <t>254900OJXQIP88YI3Z67</t>
  </si>
  <si>
    <t>2549004496XNSRLWHT28</t>
  </si>
  <si>
    <t>2549005PI4P9JWBXFO08</t>
  </si>
  <si>
    <t>254900X3289U6PABWZ96</t>
  </si>
  <si>
    <t>25490031HYQADKD9P305</t>
  </si>
  <si>
    <t>549300GI4RSWAD83RB21</t>
  </si>
  <si>
    <t>3S1GHB0TEH85KX44SB51</t>
  </si>
  <si>
    <t>98450096E52E39GFHF68</t>
  </si>
  <si>
    <t>2549009EF8SNW0NM1D69</t>
  </si>
  <si>
    <t>GLS7OQD0WOEDI8YAP031</t>
  </si>
  <si>
    <t>254900LK3Q6760X9KM20</t>
  </si>
  <si>
    <t>549300GDEFI7RDNDSG08</t>
  </si>
  <si>
    <t>254900U9D2KNVB5RFQ79</t>
  </si>
  <si>
    <t>25490067OPIDL6OKTA91</t>
  </si>
  <si>
    <t>549300CVEACS622ISK55</t>
  </si>
  <si>
    <t>254900PJZT0WHYCDX638</t>
  </si>
  <si>
    <t>2549001JN6BTKAPVFW15</t>
  </si>
  <si>
    <t>254900CEFH726JUCAK93</t>
  </si>
  <si>
    <t>549300MEQKFUNAG17777</t>
  </si>
  <si>
    <t>5493007QLV6SHVUZXU62</t>
  </si>
  <si>
    <t>254900MJVTLD4SBY7587</t>
  </si>
  <si>
    <t>254900TCNDFHME3XJZ37</t>
  </si>
  <si>
    <t>549300IC38SS1LF5OW48</t>
  </si>
  <si>
    <t>549300IE9VYXJICRRC03</t>
  </si>
  <si>
    <t>549300NNYG316ZBFJA48</t>
  </si>
  <si>
    <t>549300MSWV652QWKUI12</t>
  </si>
  <si>
    <t>2549009HFMPK2FJ88L78</t>
  </si>
  <si>
    <t>2549009UWKIG2PQPCW69</t>
  </si>
  <si>
    <t>25490054MFZO9XJTID83</t>
  </si>
  <si>
    <t>213800MJGUZN6HI1DK44</t>
  </si>
  <si>
    <t>21380045RGMPFVB5H458</t>
  </si>
  <si>
    <t>213800QKU436OOEWRS45</t>
  </si>
  <si>
    <t>2138003O4L2997F4A975</t>
  </si>
  <si>
    <t>549300SEXRL02SMMQ764</t>
  </si>
  <si>
    <t>5493000IDMIFII0PEX94</t>
  </si>
  <si>
    <t>549300Y2Y1C6WL1SMS89</t>
  </si>
  <si>
    <t>549300PZFUM7FSNATS38</t>
  </si>
  <si>
    <t>5493001BHIBPQ0PWCU96</t>
  </si>
  <si>
    <t>5493002DNE0VRVTLB422</t>
  </si>
  <si>
    <t>549300NVA1RAS4CTOU88</t>
  </si>
  <si>
    <t>549300WS2XR2OSIXAW63</t>
  </si>
  <si>
    <t>549300BCMJF0HS3GOJ64</t>
  </si>
  <si>
    <t>549300R4OHY3JZ5TZ219</t>
  </si>
  <si>
    <t>549300FWXJFZ0EJX0G97</t>
  </si>
  <si>
    <t>549300ZI8LHF0R26EN89</t>
  </si>
  <si>
    <t>549300VIWPGGB1FQ6W31</t>
  </si>
  <si>
    <t>549300B0009YW5OWQ029</t>
  </si>
  <si>
    <t>254900411GBMD3QLWH09</t>
  </si>
  <si>
    <t>549300YZT9W90B64FG88</t>
  </si>
  <si>
    <t>254900K24DCNND8SZV86</t>
  </si>
  <si>
    <t>254900CQ0XNW30BR0045</t>
  </si>
  <si>
    <t>549300RCY1A7BLHIF191</t>
  </si>
  <si>
    <t>549300UBSVRBCKDBNZ28</t>
  </si>
  <si>
    <t>549300F3ZE9JZPCPV222</t>
  </si>
  <si>
    <t>549300XN7RXQWHN18849</t>
  </si>
  <si>
    <t>2549004I038P4CHXJQ32</t>
  </si>
  <si>
    <t>254900LYFMZ4O1GC1I87</t>
  </si>
  <si>
    <t>254900X1KMQPMVOZE746</t>
  </si>
  <si>
    <t>54930068JE2LO8KW8E54</t>
  </si>
  <si>
    <t>549300ORQIMVGA64OY12</t>
  </si>
  <si>
    <t>549300JRMOVX1SIRCD42</t>
  </si>
  <si>
    <t>549300FWF42VLZ3WP783</t>
  </si>
  <si>
    <t>54930034YD7S14H8LF84</t>
  </si>
  <si>
    <t>254900441FH3SCOWTF82</t>
  </si>
  <si>
    <t>5493003TFI5XW2YLIV53</t>
  </si>
  <si>
    <t>5493005AKGOT669Z4P51</t>
  </si>
  <si>
    <t>549300YMUJQUIRJP4W61</t>
  </si>
  <si>
    <t>549300A3ISHTYIMBPF71</t>
  </si>
  <si>
    <t>549300GZI7Z50XYEB519</t>
  </si>
  <si>
    <t>529900D3J6SRW92GKY67</t>
  </si>
  <si>
    <t>2549007CRZ2NT7S96A24</t>
  </si>
  <si>
    <t>254900MG3CVG2UDUK237</t>
  </si>
  <si>
    <t>549300S1OZ5GWAXMBJ08</t>
  </si>
  <si>
    <t>5493004SVSN5B5PI0R13</t>
  </si>
  <si>
    <t>549300BCUJQTHUGAEI52</t>
  </si>
  <si>
    <t>254900YYLB1HYY62RW44</t>
  </si>
  <si>
    <t>254900QHB8G0T4Y4ER79</t>
  </si>
  <si>
    <t>549300K1X1F75CTPOX69</t>
  </si>
  <si>
    <t>5493004EE2HMRKGYN512</t>
  </si>
  <si>
    <t>254900EOFAXGQ2O62T12</t>
  </si>
  <si>
    <t>549300XZ90BQ1BDGJ305</t>
  </si>
  <si>
    <t>549300DTLE01A83WPP49</t>
  </si>
  <si>
    <t>254900GJBF0MTMASBB10</t>
  </si>
  <si>
    <t>549300G12SF6SVP2S522</t>
  </si>
  <si>
    <t>254900KETWOIC7UL3Q63</t>
  </si>
  <si>
    <t>5493002UNUYXLHOWF752</t>
  </si>
  <si>
    <t>213800I5CXGW59RKIP15</t>
  </si>
  <si>
    <t>213800NKBA31IGJNF906</t>
  </si>
  <si>
    <t>7245003VZ59682IZLJ86</t>
  </si>
  <si>
    <t>549300K28FGOKUDYGF44</t>
  </si>
  <si>
    <t>25490007QRFBIB2OLE25</t>
  </si>
  <si>
    <t>549300MOJW1QD2RKB385</t>
  </si>
  <si>
    <t>549300NPIJ8E43366744</t>
  </si>
  <si>
    <t>2549009F88D2Y5WMKZ16</t>
  </si>
  <si>
    <t>549300574L9EYRJDYH28</t>
  </si>
  <si>
    <t>254900VE01TRIS3J7G93</t>
  </si>
  <si>
    <t>254900OG0ZSAC42XS380</t>
  </si>
  <si>
    <t>25490064J4Q1YOE7KH37</t>
  </si>
  <si>
    <t>254900IT6RMPGGZ7JI09</t>
  </si>
  <si>
    <t>254900B0MLXEJ41HCU97</t>
  </si>
  <si>
    <t>549300FR0PHQ4C56DD95</t>
  </si>
  <si>
    <t>549300R9JQI6L4DDH102</t>
  </si>
  <si>
    <t>254900QMA38YDRK4IZ24</t>
  </si>
  <si>
    <t>254900ZOG1PU4LN98L94</t>
  </si>
  <si>
    <t>2549004CJMUGEM2ZVG20</t>
  </si>
  <si>
    <t>254900QISASGC9OOYT02</t>
  </si>
  <si>
    <t>894500830FGSHK4R6627</t>
  </si>
  <si>
    <t>213800AMAL5QFXVUCN04</t>
  </si>
  <si>
    <t>254900T5NZILKO8W5T62</t>
  </si>
  <si>
    <t>549300DQ2X2VCWZVFF04</t>
  </si>
  <si>
    <t>549300ZBZUXGFJBSYU52</t>
  </si>
  <si>
    <t>549300US56FTI8P1RY31</t>
  </si>
  <si>
    <t>54930080SQNPS72E3R55</t>
  </si>
  <si>
    <t>254900QPW8E0XJR7T173</t>
  </si>
  <si>
    <t>254900RDRZEAEJA2R074</t>
  </si>
  <si>
    <t>254900AV207SQBMC8287</t>
  </si>
  <si>
    <t>2549000V3Z6C7USGYJ58</t>
  </si>
  <si>
    <t>254900SSMTYGC1TCKA51</t>
  </si>
  <si>
    <t>254900S5F8KFZLGFT939</t>
  </si>
  <si>
    <t>254900NPSFU8OLK20030</t>
  </si>
  <si>
    <t>254900DXSBRMGPT2HP49</t>
  </si>
  <si>
    <t>5493004CIVVUW38EGH74</t>
  </si>
  <si>
    <t>254900MTYHTNRHJHM032</t>
  </si>
  <si>
    <t>254900AY07UCKIB1SE24</t>
  </si>
  <si>
    <t>254900EHRUVKWVUOGZ85</t>
  </si>
  <si>
    <t>254900KL7RT77MXQB485</t>
  </si>
  <si>
    <t>254900DD6BPWNSHL9289</t>
  </si>
  <si>
    <t>254900N4IYEC6127P996</t>
  </si>
  <si>
    <t>254900VPDLZLGFKX3A71</t>
  </si>
  <si>
    <t>549300O1LQYCQ7G1IM57</t>
  </si>
  <si>
    <t>254900A5834MQNUH6559</t>
  </si>
  <si>
    <t>549300EVCBV2VT22E754</t>
  </si>
  <si>
    <t>5299007UXW6Y0W2EGZ95</t>
  </si>
  <si>
    <t>724500DBDO494QF8SJ16</t>
  </si>
  <si>
    <t>549300EMHPJQ0YRTPK07</t>
  </si>
  <si>
    <t>549300CDYHE8T4OMQM89</t>
  </si>
  <si>
    <t>5493005AP2L5R8NCEP09</t>
  </si>
  <si>
    <t>5493007EHTF4YE4KV298</t>
  </si>
  <si>
    <t>549300I247OVQEN3EU27</t>
  </si>
  <si>
    <t>2221008YRFVPYPFT7234</t>
  </si>
  <si>
    <t>529900GEEEVRUYGQ2C28</t>
  </si>
  <si>
    <t>549300OEVL0GYGD1FZ15</t>
  </si>
  <si>
    <t>529900JVJXWCEMOZ2X89</t>
  </si>
  <si>
    <t>5493002QOW8MT23GRU52</t>
  </si>
  <si>
    <t>5493001EAB5QSX8L6P90</t>
  </si>
  <si>
    <t>549300NW1QUJYPO56T11</t>
  </si>
  <si>
    <t>2221001GZCYJRGNFVI77</t>
  </si>
  <si>
    <t>254900VD6L1ODOM3YG74</t>
  </si>
  <si>
    <t>2549002C9DNG9ZUQBY20</t>
  </si>
  <si>
    <t>54930068B1H5UITBPM71</t>
  </si>
  <si>
    <t>254900CJNSY1K7T53Z16</t>
  </si>
  <si>
    <t>549300ZOV16K515FC525</t>
  </si>
  <si>
    <t>254900R3BMPF40K4NA86</t>
  </si>
  <si>
    <t>254900QL1GRETPOOYL22</t>
  </si>
  <si>
    <t>2549005J1A5O4L3MTB84</t>
  </si>
  <si>
    <t>2549004ANBGX33XVDC36</t>
  </si>
  <si>
    <t>2549004T84ALBUNKU894</t>
  </si>
  <si>
    <t>5493003SFR2BC2B8IQ11</t>
  </si>
  <si>
    <t>254900N8U2CYT58SC780</t>
  </si>
  <si>
    <t>549300FUY8YYEA32DO39</t>
  </si>
  <si>
    <t>529900XMUEY4TM25HG52</t>
  </si>
  <si>
    <t>254900OORULBL2P2D024</t>
  </si>
  <si>
    <t>2549004CWCFFW8IC4X61</t>
  </si>
  <si>
    <t>254900WY872VN5K1T467</t>
  </si>
  <si>
    <t>254900YYYCFFBEJYC064</t>
  </si>
  <si>
    <t>254900NG2Y3EVLNYXP08</t>
  </si>
  <si>
    <t>549300344K88CGXBJE21</t>
  </si>
  <si>
    <t>549300NSWNLPBZ2XTO69</t>
  </si>
  <si>
    <t>254900OVM0DHTA1XG132</t>
  </si>
  <si>
    <t>549300MZJNSDUNA0L653</t>
  </si>
  <si>
    <t>254900QY9SEQPLOV7Q35</t>
  </si>
  <si>
    <t>54930053ZK6DHJZJIL38</t>
  </si>
  <si>
    <t>5493000CPNSLZTZY6380</t>
  </si>
  <si>
    <t>5493007K0Y4X70FI0237</t>
  </si>
  <si>
    <t>254900ECMY1TR7C0KG05</t>
  </si>
  <si>
    <t>549300YOZS1V29PS8Z25</t>
  </si>
  <si>
    <t>549300XEHV9WTZ8J5B51</t>
  </si>
  <si>
    <t>549300HB6Z96KSD4YH68</t>
  </si>
  <si>
    <t>254900DI4VE037QD1058</t>
  </si>
  <si>
    <t>549300X8FOK33IJO5T95</t>
  </si>
  <si>
    <t>549300QFO95SG5N0JD79</t>
  </si>
  <si>
    <t>549300WKWP3O58PX4T77</t>
  </si>
  <si>
    <t>5493008CVIDCG64PC461</t>
  </si>
  <si>
    <t>549300FVXSI32EC1KY19</t>
  </si>
  <si>
    <t>254900C8HJQGD4SYBV59</t>
  </si>
  <si>
    <t>549300WB64Q1ZO16KE18</t>
  </si>
  <si>
    <t>549300ZOKLJ8ETHYG615</t>
  </si>
  <si>
    <t>254900MPXG2JXPTVIE56</t>
  </si>
  <si>
    <t>2549009BGU8VNI38WM06</t>
  </si>
  <si>
    <t>254900LPDLW2NL203P86</t>
  </si>
  <si>
    <t>549300NZA1SU525FSP72</t>
  </si>
  <si>
    <t>549300IMEPL70LQTZM60</t>
  </si>
  <si>
    <t>213800LXSV317746JZ71</t>
  </si>
  <si>
    <t>4469000001BJLPKNUN21</t>
  </si>
  <si>
    <t>8945002BLRI3O5PJSJ88</t>
  </si>
  <si>
    <t>549300C5RC8W6SP0C710</t>
  </si>
  <si>
    <t>BQ4BKCS1HXDV9HN80Z93</t>
  </si>
  <si>
    <t>529900JWLZAYET2ZGW20</t>
  </si>
  <si>
    <t>549300QYRND0AZBJZA52</t>
  </si>
  <si>
    <t>2549003H30N4NZHAPU20</t>
  </si>
  <si>
    <t>984500B5C7Z1EQC5AF26</t>
  </si>
  <si>
    <t>213800Z3YUNYAJLG9575</t>
  </si>
  <si>
    <t>254900CWFTGQOXQDT905</t>
  </si>
  <si>
    <t>254900HZBGNHMVT0JJ91</t>
  </si>
  <si>
    <t>254900NRO47M4AVIUO27</t>
  </si>
  <si>
    <t>2549003WPABI61SFA345</t>
  </si>
  <si>
    <t>254900ZQB093MN01ZU28</t>
  </si>
  <si>
    <t>5493000EWUCH7WHMQG58</t>
  </si>
  <si>
    <t>254900YTQY7CSBETCL41</t>
  </si>
  <si>
    <t>549300VGBY82DD0ELJ81</t>
  </si>
  <si>
    <t>549300VUIN6RQ5764L78</t>
  </si>
  <si>
    <t>549300TNDU4QUU648I54</t>
  </si>
  <si>
    <t>2549008EH7DYY20AUH72</t>
  </si>
  <si>
    <t>549300QBUF16VQSUN677</t>
  </si>
  <si>
    <t>254900NGUPWO7FB6II89</t>
  </si>
  <si>
    <t>549300HYQMZQCPSS5D75</t>
  </si>
  <si>
    <t>2549007JI4CBTSFIEV93</t>
  </si>
  <si>
    <t>549300HZRK23XN2KLT03</t>
  </si>
  <si>
    <t>549300OLJ7ZP6O4E7Y51</t>
  </si>
  <si>
    <t>549300NCDUS6ODGYGW91</t>
  </si>
  <si>
    <t>54930066W8CZT2Z3FO23</t>
  </si>
  <si>
    <t>25490096A327RDODZ618</t>
  </si>
  <si>
    <t>5493000Q8UJGDR7YLW94</t>
  </si>
  <si>
    <t>254900TC597UQQ6ZTF33</t>
  </si>
  <si>
    <t>894500KZUMW0SWEIK312</t>
  </si>
  <si>
    <t>254900IAXLKBIJGH6B28</t>
  </si>
  <si>
    <t>254900PUZVGT0QL2X210</t>
  </si>
  <si>
    <t>254900A0WME7BVDHME84</t>
  </si>
  <si>
    <t>2549001RU3BKGZPCN082</t>
  </si>
  <si>
    <t>254900RXB3SZF8B8YK68</t>
  </si>
  <si>
    <t>549300NI835RBZYGDS37</t>
  </si>
  <si>
    <t>549300CO7197P4Q1M005</t>
  </si>
  <si>
    <t>549300T7RPNDGSS3TK42</t>
  </si>
  <si>
    <t>21380065BDG1SP7D5854</t>
  </si>
  <si>
    <t>254900S48C1BQEV4TN13</t>
  </si>
  <si>
    <t>549300TP1V6FSYH37Y53</t>
  </si>
  <si>
    <t>529900053A7X7FJ97S58</t>
  </si>
  <si>
    <t>254900UOIFFNDO67G318</t>
  </si>
  <si>
    <t>254900GJ1P6IHYROO427</t>
  </si>
  <si>
    <t>549300IMM2VOCZPHJP46</t>
  </si>
  <si>
    <t>5493004XG1DC03GOA508</t>
  </si>
  <si>
    <t>549300KFFXPJJY1FDW42</t>
  </si>
  <si>
    <t>549300I1N4SDQWIU2319</t>
  </si>
  <si>
    <t>549300WXQKN3LF68PW79</t>
  </si>
  <si>
    <t>549300RDWIDG3RXTHB72</t>
  </si>
  <si>
    <t>549300XR5OQ8MH1RML75</t>
  </si>
  <si>
    <t>549300GUIV5KV40Y7O86</t>
  </si>
  <si>
    <t>254900J4S8EIK4RO5W72</t>
  </si>
  <si>
    <t>549300BC522RESEINI31</t>
  </si>
  <si>
    <t>254900GEJZCOYITCBN04</t>
  </si>
  <si>
    <t>5493000YG5WBLH70NV86</t>
  </si>
  <si>
    <t>549300GDF2ZC8QD3OD03</t>
  </si>
  <si>
    <t>549300TK2G485GHYN511</t>
  </si>
  <si>
    <t>254900KQJMWR20UNBI61</t>
  </si>
  <si>
    <t>4469000001BIGAQ6L829</t>
  </si>
  <si>
    <t>549300FK4OH5O47ECX87</t>
  </si>
  <si>
    <t>549300SZHVUE8SNCVC22</t>
  </si>
  <si>
    <t>549300SKQMAGIU4DCD17</t>
  </si>
  <si>
    <t>254900JVLU5MLLAH0010</t>
  </si>
  <si>
    <t>254900PL0GG0LPA7O288</t>
  </si>
  <si>
    <t>254900O5SS59W6QT7620</t>
  </si>
  <si>
    <t>2549002Y22LD28AGFV18</t>
  </si>
  <si>
    <t>254900037IEJF7RDTP22</t>
  </si>
  <si>
    <t>254900LK412E0ULVMO56</t>
  </si>
  <si>
    <t>254900W8C58NV9P9AX39</t>
  </si>
  <si>
    <t>254900WIADI2Y77F1548</t>
  </si>
  <si>
    <t>549300UYHFMHCIXLFX55</t>
  </si>
  <si>
    <t>254900RERLWV3PICFA90</t>
  </si>
  <si>
    <t>54930098P2A2K13NYP58</t>
  </si>
  <si>
    <t>254900P1HJ3A5DQS6L49</t>
  </si>
  <si>
    <t>254900XT1LWONMGP8V74</t>
  </si>
  <si>
    <t>254900CXV12LAVWMIO77</t>
  </si>
  <si>
    <t>2549006X43JOPOIIYH41</t>
  </si>
  <si>
    <t>254900TAM6SHC9JCPC16</t>
  </si>
  <si>
    <t>549300Z3QESNXRM41Z50</t>
  </si>
  <si>
    <t>2549008UVBZAYR22ZC38</t>
  </si>
  <si>
    <t>254900J2P12SB7VDN758</t>
  </si>
  <si>
    <t>549300BYWOXNH286YR10</t>
  </si>
  <si>
    <t>54930083NSKO0RFGU266</t>
  </si>
  <si>
    <t>549300LDOP162Q0KGD19</t>
  </si>
  <si>
    <t>254900HQMYVXZNFQ6023</t>
  </si>
  <si>
    <t>82E6XECQ6EF1KVVIKP88</t>
  </si>
  <si>
    <t>25490094CNAV29E1QH08</t>
  </si>
  <si>
    <t>2549004I6H373XEKD857</t>
  </si>
  <si>
    <t>254900MTNPCV3GKMXB71</t>
  </si>
  <si>
    <t>254900RSZ7JFBX5DHZ75</t>
  </si>
  <si>
    <t>254900KL6UCCA0IOGR63</t>
  </si>
  <si>
    <t>254900XPMF4DBX9M9H11</t>
  </si>
  <si>
    <t>2549000VILPAWSQ5FG43</t>
  </si>
  <si>
    <t>54930092DAJXHNPFVB02</t>
  </si>
  <si>
    <t>254900RQILTB0G8UIK46</t>
  </si>
  <si>
    <t>2549001Q852MSO20OC46</t>
  </si>
  <si>
    <t>254900G5KAGZ6U1TG654</t>
  </si>
  <si>
    <t>549300U085MMFESTEI39</t>
  </si>
  <si>
    <t>254900J08IBDOPNY5696</t>
  </si>
  <si>
    <t>5493003MFN1L87J0X132</t>
  </si>
  <si>
    <t>549300CEM6NS1DERAA80</t>
  </si>
  <si>
    <t>549300YCFSFCYDNCWH86</t>
  </si>
  <si>
    <t>254900ECZNU0PF14OJ87</t>
  </si>
  <si>
    <t>5493001VDW28HZ33DW17</t>
  </si>
  <si>
    <t>54930047A3SWZGTBBI76</t>
  </si>
  <si>
    <t>549300UVWBXBVEJJBZ73</t>
  </si>
  <si>
    <t>549300T7M03VGSFO7D27</t>
  </si>
  <si>
    <t>549300BD7CYIRU8JVA34</t>
  </si>
  <si>
    <t>549300MR6Y2WWNIS7O74</t>
  </si>
  <si>
    <t>254900SKG94RK3RMMS82</t>
  </si>
  <si>
    <t>254900FDND4N2K8J6691</t>
  </si>
  <si>
    <t>9695004Y9ZJ6VUGP2A52</t>
  </si>
  <si>
    <t>5493003OFRX0SVNFPK23</t>
  </si>
  <si>
    <t>25490057PJ5UXIMX8S70</t>
  </si>
  <si>
    <t>254900Q8HREHRUE57L74</t>
  </si>
  <si>
    <t>5493005MMCDO4KK2ZF03</t>
  </si>
  <si>
    <t>549300S1KNOLJB3M8R75</t>
  </si>
  <si>
    <t>549300G8VZU9CLDG8249</t>
  </si>
  <si>
    <t>2549009G3LNPJ31GWT16</t>
  </si>
  <si>
    <t>254900H9C1DY3PV7CH97</t>
  </si>
  <si>
    <t>254900BVS4E2SPVNI693</t>
  </si>
  <si>
    <t>254900K1NDH0GP1ZVF75</t>
  </si>
  <si>
    <t>635400FE42WMNGQZCR58</t>
  </si>
  <si>
    <t>5493004L08ZLHQLNRH46</t>
  </si>
  <si>
    <t>549300RLGIZ2X0C17D16</t>
  </si>
  <si>
    <t>680BQC8QTR6VFH4U8N23</t>
  </si>
  <si>
    <t>8B1NVQHY344F17GV8740</t>
  </si>
  <si>
    <t>549300Z08OZL06YG2N40</t>
  </si>
  <si>
    <t>2549009XBA6X1WE13O17</t>
  </si>
  <si>
    <t>549300O4JUEY8V3B2L47</t>
  </si>
  <si>
    <t>254900074KRSAYG92C73</t>
  </si>
  <si>
    <t>2549009CX131MCOFZE48</t>
  </si>
  <si>
    <t>2549004LD55DCQQR4905</t>
  </si>
  <si>
    <t>254900WAJEGF7TXUHG19</t>
  </si>
  <si>
    <t>549300K1FT6H4IMV4O60</t>
  </si>
  <si>
    <t>BCKKH3G86KGG5SJU9021</t>
  </si>
  <si>
    <t>7245003T1RAZS70XOL20</t>
  </si>
  <si>
    <t>549300RWHBX7DHBMVY68</t>
  </si>
  <si>
    <t>NRE2KWOWMTFVVNOW2698</t>
  </si>
  <si>
    <t>549300K5U1CHL75OQC49</t>
  </si>
  <si>
    <t>724500V9EHDAHB3K7G10</t>
  </si>
  <si>
    <t>549300UAWBXM06Z55F18</t>
  </si>
  <si>
    <t>7245006P8EE7H9WZPK80</t>
  </si>
  <si>
    <t>QJ188WW2MBZ85G8M4W73</t>
  </si>
  <si>
    <t>VPXR4B645I411UCKNQ27</t>
  </si>
  <si>
    <t>213800JD4MCDPR4YO150</t>
  </si>
  <si>
    <t>724500HVI4WTT45U6Q53</t>
  </si>
  <si>
    <t>2549007OQPOMI4NMND02</t>
  </si>
  <si>
    <t>54930011HLYZLRL53K38</t>
  </si>
  <si>
    <t>549300XJ8OIP18RO4526</t>
  </si>
  <si>
    <t>549300N7E532IKWFRE90</t>
  </si>
  <si>
    <t>3VP2V6UW1JXE2IZ9RU07</t>
  </si>
  <si>
    <t>213800JB8XU8L1AO8W51</t>
  </si>
  <si>
    <t>549300BY45E9590J8S12</t>
  </si>
  <si>
    <t>213800SEYVK8ROB91L15</t>
  </si>
  <si>
    <t>635400BQ3QGGYJ5MQI64</t>
  </si>
  <si>
    <t>549300VDWV726TPDHH38</t>
  </si>
  <si>
    <t>5493005VM9VNQW5SUZ68</t>
  </si>
  <si>
    <t>254900996ZGCRRPMSJ04</t>
  </si>
  <si>
    <t>549300KTFBHKPC1IB835</t>
  </si>
  <si>
    <t>549300PEMUZY5D3ZXQ58</t>
  </si>
  <si>
    <t>5493005A0XI30EPYKX76</t>
  </si>
  <si>
    <t>254900F5GTSJJHGE9287</t>
  </si>
  <si>
    <t>IF9BO03M124YNR8RQI86</t>
  </si>
  <si>
    <t>635400BKPW8TILSHKE37</t>
  </si>
  <si>
    <t>549300O4ML0341GNSB41</t>
  </si>
  <si>
    <t>549300G4NQWALE3GBW70</t>
  </si>
  <si>
    <t>5493002B0YWN6UH30V71</t>
  </si>
  <si>
    <t>254900EL5LGS0CAQSB51</t>
  </si>
  <si>
    <t>549300KSCPQ7L2RG4L66</t>
  </si>
  <si>
    <t>21380091Z6SJV3RVLF33</t>
  </si>
  <si>
    <t>5493000CVP8DHIB7C004</t>
  </si>
  <si>
    <t>FY5ICUIRRDCHN4HHL592</t>
  </si>
  <si>
    <t>5493004MDZ6RQDOF5M73</t>
  </si>
  <si>
    <t>213800ENPGBS47I52K04</t>
  </si>
  <si>
    <t>549300DFDJKTCGIT4K93</t>
  </si>
  <si>
    <t>549300QAL5B8PHJ7Q862</t>
  </si>
  <si>
    <t>ICSRZ398S8PUEL30D794</t>
  </si>
  <si>
    <t>549300SRT3ET25W0WR75</t>
  </si>
  <si>
    <t>K671AJ3Q7X6EVB707S57</t>
  </si>
  <si>
    <t>894500EZCTNLFEW70367</t>
  </si>
  <si>
    <t>549300LDTUS1G18TET52</t>
  </si>
  <si>
    <t>5493004XD50YD5ZKZA84</t>
  </si>
  <si>
    <t>CHUG8XYMLY1EQ4GUVU89</t>
  </si>
  <si>
    <t>213800T7HK1DFCZOLO61</t>
  </si>
  <si>
    <t>549300NHEORICEP3CO85</t>
  </si>
  <si>
    <t>549300QV5WLCUPJUKW48</t>
  </si>
  <si>
    <t>984500EAC9D8BBBF9895</t>
  </si>
  <si>
    <t>549300O8TY1DUDOOVW35</t>
  </si>
  <si>
    <t>549300OSCVFLGLKTTI33</t>
  </si>
  <si>
    <t>5493003OY6N6DPXZOH63</t>
  </si>
  <si>
    <t>W0VO1L6QVSVPASD2LD20</t>
  </si>
  <si>
    <t>254900B21WY3SWIN1223</t>
  </si>
  <si>
    <t>72450051YQLIROHV2228</t>
  </si>
  <si>
    <t>5493001PRK1C7M2P5389</t>
  </si>
  <si>
    <t>549300C17TCV3TRBWN84</t>
  </si>
  <si>
    <t>549300Z1XKWYKTIOM958</t>
  </si>
  <si>
    <t>5493002DZKJVIUVA2B40</t>
  </si>
  <si>
    <t>549300J4KLSK1LC9OD03</t>
  </si>
  <si>
    <t>549300NYFBZNS57ZX444</t>
  </si>
  <si>
    <t>DT1DXR8SD05FWOAYRC76</t>
  </si>
  <si>
    <t>254900S50359R33L2H44</t>
  </si>
  <si>
    <t>5493002H2JT3WEH9DY86</t>
  </si>
  <si>
    <t>724500B4004VZT4CFQ23</t>
  </si>
  <si>
    <t>9M13ULPHBPDR83N6CB89</t>
  </si>
  <si>
    <t>724500M2NQG4CRY3ES09</t>
  </si>
  <si>
    <t>5493004N15QZ25PN8I78</t>
  </si>
  <si>
    <t>IYJJSRCY41PAECSAH003</t>
  </si>
  <si>
    <t>254900BRTHLP8I8DQN24</t>
  </si>
  <si>
    <t>5493002PZK4EQHT31S85</t>
  </si>
  <si>
    <t>549300B1V4M5DRXK8162</t>
  </si>
  <si>
    <t>254900CJL0EDMEQ25Q84</t>
  </si>
  <si>
    <t>529900VV2MOYS0HNGG79</t>
  </si>
  <si>
    <t>549300WS5TTCM62AI332</t>
  </si>
  <si>
    <t>213800GYOFZDN8M7AX03</t>
  </si>
  <si>
    <t>254900VQJNE0VJWLTA17</t>
  </si>
  <si>
    <t>2549000LSHIN4NQYE745</t>
  </si>
  <si>
    <t>549300HQU55PWKYGMN03</t>
  </si>
  <si>
    <t>549300HU7D08HY4MKX37</t>
  </si>
  <si>
    <t>724500THHZFWOS36T209</t>
  </si>
  <si>
    <t>549300PPSJIASARC1679</t>
  </si>
  <si>
    <t>549300UBMWCPN1EJCC95</t>
  </si>
  <si>
    <t>549300L4LH4M1NOFTB52</t>
  </si>
  <si>
    <t>549300I91G2YHBXY5M11</t>
  </si>
  <si>
    <t>549300WYW5D9I3FR0643</t>
  </si>
  <si>
    <t>549300SYNDSEG3SY2U05</t>
  </si>
  <si>
    <t>254900ZIBQMY3RIXPU80</t>
  </si>
  <si>
    <t>549300PPXTNWH7BKEA92</t>
  </si>
  <si>
    <t>254900HWTOGKMU8YSB34</t>
  </si>
  <si>
    <t>549300BD30WKYXWGI466</t>
  </si>
  <si>
    <t>5493006350QZTFPV0Q76</t>
  </si>
  <si>
    <t>21380069G93UBRYP7R20</t>
  </si>
  <si>
    <t>549300HTV7O83QFOL462</t>
  </si>
  <si>
    <t>549300CUPJYCS102BC69</t>
  </si>
  <si>
    <t>549300QOXKKDGWTDVF56</t>
  </si>
  <si>
    <t>549300ECDY3E8AN4XF58</t>
  </si>
  <si>
    <t>254900T0JF713GJZIO27</t>
  </si>
  <si>
    <t>6OUMQ3XRVV6QKG3QYX23</t>
  </si>
  <si>
    <t>3M19MK5HO7SC1ZEM7N02</t>
  </si>
  <si>
    <t>PENDING0000000000000</t>
  </si>
  <si>
    <t>KOD4KFW7W60J9QTQ3546</t>
  </si>
  <si>
    <t>529900K9B0N5BT694847</t>
  </si>
  <si>
    <t>549300ZXTXHQCYYDJ531</t>
  </si>
  <si>
    <t>549300CXH6S85NDIH967</t>
  </si>
  <si>
    <t>549300HMTMNNSEFN9D07</t>
  </si>
  <si>
    <t>5493008HK5XLPRJB0B44</t>
  </si>
  <si>
    <t>2549006RMQGKFE1RX991</t>
  </si>
  <si>
    <t>5493000RIXURZEBFEV60</t>
  </si>
  <si>
    <t>549300VZONJPA1XZ1M67</t>
  </si>
  <si>
    <t>4FTWO00TBMKME1WMYZ73</t>
  </si>
  <si>
    <t>549300QX3ZB3GMC1PO03</t>
  </si>
  <si>
    <t>54930063GPWJM65ZTP87</t>
  </si>
  <si>
    <t>549300XEIVU68Q2SA830</t>
  </si>
  <si>
    <t>5493006Y7CPM852GVP20</t>
  </si>
  <si>
    <t>549300HNAULEPIGNA696</t>
  </si>
  <si>
    <t>549300V8EXHFEG3R8D10</t>
  </si>
  <si>
    <t>549300U152W6WZRR1Q92</t>
  </si>
  <si>
    <t>549300AP7O1UIGT1VG92</t>
  </si>
  <si>
    <t>549300R1CNBCUAPE2H60</t>
  </si>
  <si>
    <t>549300OJ7WMN25X7IW92</t>
  </si>
  <si>
    <t>549300NV3L7M2CT0A370</t>
  </si>
  <si>
    <t>549300RDJNH5RNGJGL35</t>
  </si>
  <si>
    <t>549300W5PIJYQJ4O1D51</t>
  </si>
  <si>
    <t>549300MWPT0UDZF8NZ50</t>
  </si>
  <si>
    <t>549300IUAZ2AYUHIJX02</t>
  </si>
  <si>
    <t>549300FVUZPMPOGM1189</t>
  </si>
  <si>
    <t>5493003QUGWQFN1SM391</t>
  </si>
  <si>
    <t>549300E6VVJ88WZSFX86</t>
  </si>
  <si>
    <t>549300HXG8GSPLIZOB38</t>
  </si>
  <si>
    <t>549300KDOW4B9UG07C76</t>
  </si>
  <si>
    <t>254900DV425TP2A8XK74</t>
  </si>
  <si>
    <t>549300EE71OVI10JKG88</t>
  </si>
  <si>
    <t>5493003MLOXLHA1NAX98</t>
  </si>
  <si>
    <t>254900GUKWRKW4S8VQ39</t>
  </si>
  <si>
    <t>254900VZ2WQJM2FOKT06</t>
  </si>
  <si>
    <t>254900KCE3N2XC9MCY62</t>
  </si>
  <si>
    <t>254900VWLCNBF39M3Z81</t>
  </si>
  <si>
    <t>549300U2SIEEWSYV6V71</t>
  </si>
  <si>
    <t>549300U12MFP0XYAVW32</t>
  </si>
  <si>
    <t>254900HLHTUIHZM97S57</t>
  </si>
  <si>
    <t>254900N9W4ZKIVFHAE57</t>
  </si>
  <si>
    <t>549300KF21PVRUE4NG95</t>
  </si>
  <si>
    <t>254900DXU1U9HPZNUI08</t>
  </si>
  <si>
    <t>549300U864X4VESNTJ18</t>
  </si>
  <si>
    <t>254900TB8KU26RJZ5O77</t>
  </si>
  <si>
    <t>54930058LIS17YUH4R43</t>
  </si>
  <si>
    <t>5493003QBLW6KTPEXW05</t>
  </si>
  <si>
    <t>2549009UBTA38S24MM11</t>
  </si>
  <si>
    <t>549300L1IG2JOW7XNY28</t>
  </si>
  <si>
    <t>VDYMYTQGZZ6DU0912C88</t>
  </si>
  <si>
    <t>549300RLUEEVQEMX0450</t>
  </si>
  <si>
    <t>549300HPSH1UOG4MW606</t>
  </si>
  <si>
    <t>5493006QZXEM5G6WT443</t>
  </si>
  <si>
    <t>SC4P6WZO702RYEIU7J93</t>
  </si>
  <si>
    <t>4469000001BR0SZ5VP35</t>
  </si>
  <si>
    <t>549300GETAQRNI7CHM28</t>
  </si>
  <si>
    <t>5493005DRTG4H4KKYJ69</t>
  </si>
  <si>
    <t>549300JBN1OSM8YNAI90</t>
  </si>
  <si>
    <t>CLDVY8VY4GNT81Q4VM57</t>
  </si>
  <si>
    <t>5493007D4E72MSOUTF87</t>
  </si>
  <si>
    <t>CWQYQU0TV2NLMLZKNB44</t>
  </si>
  <si>
    <t>549300VHPH7MY0JL7302</t>
  </si>
  <si>
    <t>ZUE8T73ROZOF6FLBAR73</t>
  </si>
  <si>
    <t>5493006NSBZI8BBN7L83</t>
  </si>
  <si>
    <t>549300MHDRBVRF6B9117</t>
  </si>
  <si>
    <t>INR2EJN1ERAN0W5ZP974</t>
  </si>
  <si>
    <t>2549000WZ0OI1EZ12Q19</t>
  </si>
  <si>
    <t>254900R1OG4ZCCD16G88</t>
  </si>
  <si>
    <t>54930078I0785ADTLB30</t>
  </si>
  <si>
    <t>DY9DBNI4W8J63Z298033</t>
  </si>
  <si>
    <t>254900J0OLQ92Y3D7175</t>
  </si>
  <si>
    <t>5493008QEEDE823UPO69</t>
  </si>
  <si>
    <t>549300BYGU625VJB0S69</t>
  </si>
  <si>
    <t>QHBGK66HXMWOEPOCKW80</t>
  </si>
  <si>
    <t>VXB4M3BDPKF3I2AZ3G89</t>
  </si>
  <si>
    <t>549300W696CUHX8SLK40</t>
  </si>
  <si>
    <t>300300C1080211000042</t>
  </si>
  <si>
    <t>254900NXU3SBPD3C8W03</t>
  </si>
  <si>
    <t>2549009H5HJ4WFX1WH42</t>
  </si>
  <si>
    <t>254900UVCPUYVM3RIY95</t>
  </si>
  <si>
    <t>254900K0P0ZD78F4US97</t>
  </si>
  <si>
    <t>549300W5PVBUBGPGZG77</t>
  </si>
  <si>
    <t>2549009A44DAZ8EAH786</t>
  </si>
  <si>
    <t>254900A8T8J5C8N2VY19</t>
  </si>
  <si>
    <t>254900EOMETDBH9V3W19</t>
  </si>
  <si>
    <t>5493001359NN6EOK1W55</t>
  </si>
  <si>
    <t>529900TODFT0W0C9NM47</t>
  </si>
  <si>
    <t>254900SOLNT103PBRX43</t>
  </si>
  <si>
    <t>5493004SM31XSTUBQO85</t>
  </si>
  <si>
    <t>549300F0FQ0DBO8IWU50</t>
  </si>
  <si>
    <t>254900PAJ7WE7Z37TA02</t>
  </si>
  <si>
    <t>5493006I93DS6NZ6O448</t>
  </si>
  <si>
    <t>549300SCXEKMD1BJEN95</t>
  </si>
  <si>
    <t>254900Y9CADCUWLSOJ90</t>
  </si>
  <si>
    <t>549300S1H1HHYMKM7672</t>
  </si>
  <si>
    <t>549300XLB80LJSFDO158</t>
  </si>
  <si>
    <t>254900SEJB628Y8SBA94</t>
  </si>
  <si>
    <t>549300YYHNBT3OBBUY22</t>
  </si>
  <si>
    <t>254900IL9ZSCH4R5U570</t>
  </si>
  <si>
    <t>254900EKG9KV0M2HSK12</t>
  </si>
  <si>
    <t>2549004BVBVFZ7R7QR30</t>
  </si>
  <si>
    <t>5493000F8OGRWES43Y18</t>
  </si>
  <si>
    <t>213800WUHS2RUM29C298</t>
  </si>
  <si>
    <t>213800U3XNSS7QK2GO40</t>
  </si>
  <si>
    <t>549300HZIWVZC6RJWC52</t>
  </si>
  <si>
    <t>254900Q9EDGQH7WP9T45</t>
  </si>
  <si>
    <t>254900AA4G5O1KNHWY71</t>
  </si>
  <si>
    <t>254900KTVIZTITI1VM67</t>
  </si>
  <si>
    <t>254900SH6NY7YAXAOT65</t>
  </si>
  <si>
    <t>254900GS63L3AUVAUD68</t>
  </si>
  <si>
    <t>2549004250CY030XUP74</t>
  </si>
  <si>
    <t>254900G0EUU4A4O3RT48</t>
  </si>
  <si>
    <t>2549002O23V8F71T4132</t>
  </si>
  <si>
    <t>549300HY1NPAD0EVJH91</t>
  </si>
  <si>
    <t>254900RX3NW13DDG3905</t>
  </si>
  <si>
    <t>254900BKDVY7XXT3YQ30</t>
  </si>
  <si>
    <t>254900P9UNFSIT5T8B25</t>
  </si>
  <si>
    <t>254900YK8PJ6E4X98F74</t>
  </si>
  <si>
    <t>213800DO47PU9LELUF35</t>
  </si>
  <si>
    <t>254900EXNTTHSLA4SD06</t>
  </si>
  <si>
    <t>549300D2BSTN7UKE2T69</t>
  </si>
  <si>
    <t>549300DMG1Q8GW7V2C42</t>
  </si>
  <si>
    <t>25490048R5XMMGOY0J86</t>
  </si>
  <si>
    <t>254900001ORLY44W3M22</t>
  </si>
  <si>
    <t>254900NO7837RIGNI576</t>
  </si>
  <si>
    <t>2549009LKMZPSDJ31753</t>
  </si>
  <si>
    <t>254900U3EJF539VUJB77</t>
  </si>
  <si>
    <t>4469000001BFPONMPF32</t>
  </si>
  <si>
    <t>254900OQLH43AT4Q9L32</t>
  </si>
  <si>
    <t>549300E5QKQU6MIV0I47</t>
  </si>
  <si>
    <t>549300V8ITKL5RQLZQ44</t>
  </si>
  <si>
    <t>254900W3TW6S8QSB8S32</t>
  </si>
  <si>
    <t>254900A0SEQDM5BASP33</t>
  </si>
  <si>
    <t>5493000XUDIV75BCF118</t>
  </si>
  <si>
    <t>5493000NBER16YUF8F45</t>
  </si>
  <si>
    <t>549300ZGLCYYNCUWJ346</t>
  </si>
  <si>
    <t>25490090PHYFL3AI9B89</t>
  </si>
  <si>
    <t>254900CTXDT9QHB0WI19</t>
  </si>
  <si>
    <t>4469000001BRZ1A9Z166</t>
  </si>
  <si>
    <t>5493009TQX2VSQFVF372</t>
  </si>
  <si>
    <t>25490052FDHO3KIJBX56</t>
  </si>
  <si>
    <t>254900OG0ZT3LCMGP877</t>
  </si>
  <si>
    <t>254900JDLTXKRDWDS556</t>
  </si>
  <si>
    <t>549300BC48TWBTNIBO28</t>
  </si>
  <si>
    <t>254900MBQXW97YZ8WZ67</t>
  </si>
  <si>
    <t>5493001KN015GMGS2267</t>
  </si>
  <si>
    <t>4469000001BPPQ6W2B40</t>
  </si>
  <si>
    <t>5493008WV23XF8W1SN95</t>
  </si>
  <si>
    <t>549300JFCSGBER8UDY52</t>
  </si>
  <si>
    <t>549300T0EM8DDTDWZP60</t>
  </si>
  <si>
    <t>254900W9WBVMM6GIQV77</t>
  </si>
  <si>
    <t>87550012GDBLL8IMGU45</t>
  </si>
  <si>
    <t>549300LZGK7HQEZO0R63</t>
  </si>
  <si>
    <t>549300UWJ32FYNWWFD05</t>
  </si>
  <si>
    <t>5493001DQYQ5GT8RL036</t>
  </si>
  <si>
    <t>549300TKNSXO38QMGI50</t>
  </si>
  <si>
    <t>549300Y2DUO24NGPB267</t>
  </si>
  <si>
    <t>254900CRWU5C1N5WSP26</t>
  </si>
  <si>
    <t>984500G5D7E099AC7A29</t>
  </si>
  <si>
    <t>549300YBDAJL7LJLCY29</t>
  </si>
  <si>
    <t>254900XF3FF2ORDIZI44</t>
  </si>
  <si>
    <t>549300GH5OVQERGSZ038</t>
  </si>
  <si>
    <t>213800RCIAV2VC3HYP60</t>
  </si>
  <si>
    <t>549300P2NRESOOFIZ355</t>
  </si>
  <si>
    <t>549300Y5548SJTH51N28</t>
  </si>
  <si>
    <t>549300HMVCSNNPPAN104</t>
  </si>
  <si>
    <t>254900BP6BSFU4Q03350</t>
  </si>
  <si>
    <t>5493005HPRKOCSHD7V31</t>
  </si>
  <si>
    <t>254900SGXJIBYDVGMA76</t>
  </si>
  <si>
    <t>254900DSCDZIN9ZP6Z20</t>
  </si>
  <si>
    <t>549300BTQNBLRB3D1X11</t>
  </si>
  <si>
    <t>254900KCBSZEPC049413</t>
  </si>
  <si>
    <t>2549005I3P9XE9HC4M69</t>
  </si>
  <si>
    <t>254900BWWMWYKBICLX84</t>
  </si>
  <si>
    <t>254900NNQJK08JI0JM40</t>
  </si>
  <si>
    <t>254900BPWOU2TRXTZA42</t>
  </si>
  <si>
    <t>2549008KL8YFN9DVAT58</t>
  </si>
  <si>
    <t>254900P8UUUECR5LOL64</t>
  </si>
  <si>
    <t>254900X1WU009AK9TN32</t>
  </si>
  <si>
    <t>254900SM3HQZBZXTQU07</t>
  </si>
  <si>
    <t>254900Q6080L4DLLPR81</t>
  </si>
  <si>
    <t>254900WCF0SF13U5E870</t>
  </si>
  <si>
    <t>254900AGADT0FH9WJA20</t>
  </si>
  <si>
    <t>254900Z10N2AD58WDJ73</t>
  </si>
  <si>
    <t>254900U7B974VJ23F838</t>
  </si>
  <si>
    <t>54930027ALBETMF8FX31</t>
  </si>
  <si>
    <t>254900QBO9IOC7YC2J22</t>
  </si>
  <si>
    <t>2549004EHHRLDXHPPL39</t>
  </si>
  <si>
    <t>549300GS3SZ9MOTQA717</t>
  </si>
  <si>
    <t>5493003I5DVWYQ3ZRH58</t>
  </si>
  <si>
    <t>54930026A8AX14ESVZ21</t>
  </si>
  <si>
    <t>549300AEKWGBFDWB6A28</t>
  </si>
  <si>
    <t>549300G6NUFQCJU7KV90</t>
  </si>
  <si>
    <t>25490071JMSZIBIAP065</t>
  </si>
  <si>
    <t>254900E7PMXIQENOID46</t>
  </si>
  <si>
    <t>254900CNWEKHCNT6C423</t>
  </si>
  <si>
    <t>549300NPI16PSGJPEY66</t>
  </si>
  <si>
    <t>254900IGL1UFLKHSJS39</t>
  </si>
  <si>
    <t>549300JBUUR5N0562751</t>
  </si>
  <si>
    <t>549300U5UXA0OZIQMY89</t>
  </si>
  <si>
    <t>CQETBL6DLXGURHRO4I51</t>
  </si>
  <si>
    <t>5493005Y1033VBI54508</t>
  </si>
  <si>
    <t>25490046F2IIP2Z69L38</t>
  </si>
  <si>
    <t>254900UJSYAMQDQV4367</t>
  </si>
  <si>
    <t>5493000PWWVNW2JJXH86</t>
  </si>
  <si>
    <t>549300VLBV7S4MHXUC51</t>
  </si>
  <si>
    <t>549300CB5209GQ7ZZQ28</t>
  </si>
  <si>
    <t>549300RBNI25F50I1057</t>
  </si>
  <si>
    <t>5493005D6W21G0USL593</t>
  </si>
  <si>
    <t>2549002SLHWRORG3Y747</t>
  </si>
  <si>
    <t>549300720ON0PIYCOS76</t>
  </si>
  <si>
    <t>2549006IG8QRGJV06D76</t>
  </si>
  <si>
    <t>2549006HTBSSD4M9EG03</t>
  </si>
  <si>
    <t>549300U42PYI6GQD5283</t>
  </si>
  <si>
    <t>254900I8GUCT1RRLR378</t>
  </si>
  <si>
    <t>254900G7P7O8XC5LXK62</t>
  </si>
  <si>
    <t>549300D4WXMLNTFVU575</t>
  </si>
  <si>
    <t>549300CWKTRUYWJMJW25</t>
  </si>
  <si>
    <t>2549000XCDQQCJUQJJ98</t>
  </si>
  <si>
    <t>2549008YNTJKQE4Z7O43</t>
  </si>
  <si>
    <t>254900UX8KSEUW0IOP63</t>
  </si>
  <si>
    <t>254900SBVFYJWXYFBR82</t>
  </si>
  <si>
    <t>254900MAQGS49OUYUT22</t>
  </si>
  <si>
    <t>254900705UKTBMFFJP49</t>
  </si>
  <si>
    <t>2549007H4HQQHY9YW568</t>
  </si>
  <si>
    <t>54930053P0AWVVRLKN62</t>
  </si>
  <si>
    <t>549300RC44K8UXXPOZ21</t>
  </si>
  <si>
    <t>549300U8QVPMXXVWKB97</t>
  </si>
  <si>
    <t>549300QTILQDOPMKHQ09</t>
  </si>
  <si>
    <t>549300BUDHS3LRWBE814</t>
  </si>
  <si>
    <t>254900W9QCRNPDN1SJ71</t>
  </si>
  <si>
    <t>549300KQF26HHODY4P54</t>
  </si>
  <si>
    <t>25490049LASNNWJU4D43</t>
  </si>
  <si>
    <t>549300QDZDZP3SLIME17</t>
  </si>
  <si>
    <t>54930017DWVW2C8FFU73</t>
  </si>
  <si>
    <t>549300N3XNPXKX1BJW26</t>
  </si>
  <si>
    <t>5493001EVFZNV1JT6T29</t>
  </si>
  <si>
    <t>549300T8GS0B6LLW5D98</t>
  </si>
  <si>
    <t>549300V3KRFX28FNMV89</t>
  </si>
  <si>
    <t>549300XMPDAZI8D70O13</t>
  </si>
  <si>
    <t>549300NJXJJ2UZZ17Q70</t>
  </si>
  <si>
    <t>549300RBPLRZ2DZK9E21</t>
  </si>
  <si>
    <t>549300LE64DE0XVVQY92</t>
  </si>
  <si>
    <t>549300GH5D7V49PV3Z45</t>
  </si>
  <si>
    <t>549300H92029J8Z0UZ93</t>
  </si>
  <si>
    <t>549300PMVLYV787F6M58</t>
  </si>
  <si>
    <t>54930047B7YJPBS89V56</t>
  </si>
  <si>
    <t>549300QFHHLV1MGSH492</t>
  </si>
  <si>
    <t>549300UOSICUN8TQVM70</t>
  </si>
  <si>
    <t>5493007RNS8C6BLMWH84</t>
  </si>
  <si>
    <t>254900CROK3J8VUSYE60</t>
  </si>
  <si>
    <t>549300XU9RAOU07NQW58</t>
  </si>
  <si>
    <t>549300O8P5Y3O0VGKS05</t>
  </si>
  <si>
    <t>254900RRDO2Y2X4GFL94</t>
  </si>
  <si>
    <t>549300BH267R4KQVKV59</t>
  </si>
  <si>
    <t>549300VUJX7CP0TTJR14</t>
  </si>
  <si>
    <t>549300I5FMFOC1Q5UK16</t>
  </si>
  <si>
    <t>213800IM5OGXYWA1NC14</t>
  </si>
  <si>
    <t>5493008SGELLZ581QV27</t>
  </si>
  <si>
    <t>254900UPF6Q09JOUO004</t>
  </si>
  <si>
    <t>254900X5X199XQYNW145</t>
  </si>
  <si>
    <t>254900WYBYN76LT79K43</t>
  </si>
  <si>
    <t>254900W8DPCLPVGYM776</t>
  </si>
  <si>
    <t>5493001RKCE1TWXXDZ34</t>
  </si>
  <si>
    <t>549300MSLO0DF0EMX355</t>
  </si>
  <si>
    <t>254900HJVSR4BCYI2L04</t>
  </si>
  <si>
    <t>254900I17TPW4NO2W095</t>
  </si>
  <si>
    <t>549300Z0MJPO6EULNW68</t>
  </si>
  <si>
    <t>549300PUGZS6P60LY450</t>
  </si>
  <si>
    <t>54930076Z7QOHZQGJU79</t>
  </si>
  <si>
    <t>5493009JZJPOMHHHN014</t>
  </si>
  <si>
    <t>254900PPXT3S81M6JM77</t>
  </si>
  <si>
    <t>254900DOFJCZ2OJ0WE64</t>
  </si>
  <si>
    <t>549300VP6K3VY8DEBT72</t>
  </si>
  <si>
    <t>5493009B7VNYBJ626E23</t>
  </si>
  <si>
    <t>254900E2GKH1WHATIX44</t>
  </si>
  <si>
    <t>2549001LEWDFD9G2XD75</t>
  </si>
  <si>
    <t>2549008KDQRJZ64EYW85</t>
  </si>
  <si>
    <t>549300V9QR7WKGI1ON02</t>
  </si>
  <si>
    <t>254900QY93R66VE5OC97</t>
  </si>
  <si>
    <t>549300B9DTXTDL9LEB47</t>
  </si>
  <si>
    <t>5493005JWJTWDJ7MSL62</t>
  </si>
  <si>
    <t>549300J3QRP8FH7JBG70</t>
  </si>
  <si>
    <t>549300CDBL5RZSIR0630</t>
  </si>
  <si>
    <t>254900MUT2WL4BQUIU36</t>
  </si>
  <si>
    <t>549300THCHI8YGSRWM72</t>
  </si>
  <si>
    <t>549300OMLTZ2KO0RDE91</t>
  </si>
  <si>
    <t>549300E60XM23O7SCY70</t>
  </si>
  <si>
    <t>254900KYTWM53OSPKN20</t>
  </si>
  <si>
    <t>254900BNDTNMVS5DWF90</t>
  </si>
  <si>
    <t>529900J463VIMH4FLS56</t>
  </si>
  <si>
    <t>529900I9MZ7MP959M527</t>
  </si>
  <si>
    <t>5493005F5IKL85WE8B82</t>
  </si>
  <si>
    <t>5493007Z8Q1H45KT7W98</t>
  </si>
  <si>
    <t>254900M9VAXG7U9EIP06</t>
  </si>
  <si>
    <t>254900CDO2KAUEBXZV54</t>
  </si>
  <si>
    <t>549300TUCCLIBU4NH746</t>
  </si>
  <si>
    <t>254900VZY56NJA44UH97</t>
  </si>
  <si>
    <t>549300VGBQ68NQEVHK11</t>
  </si>
  <si>
    <t>549300OAOTYGQ3YJBQ75</t>
  </si>
  <si>
    <t>254900O3E4DN5544AO98</t>
  </si>
  <si>
    <t>549300C3MRP1LKZK3D76</t>
  </si>
  <si>
    <t>254900SLFKYS70KMIA62</t>
  </si>
  <si>
    <t>549300F68RGU16LFQW49</t>
  </si>
  <si>
    <t>549300W9HKP7MUKIXC64</t>
  </si>
  <si>
    <t>549300RMYGDTQ3IFVZ14</t>
  </si>
  <si>
    <t>549300SNP4SGOV8RFD90</t>
  </si>
  <si>
    <t>549300FW38BAHXP8NS07</t>
  </si>
  <si>
    <t>5493008TFGSXEO3ONV24</t>
  </si>
  <si>
    <t>5493002HHYN5YHKWK303</t>
  </si>
  <si>
    <t>549300HHYLPXDL1TH097</t>
  </si>
  <si>
    <t>549300LWYLBC6GQ55870</t>
  </si>
  <si>
    <t>549300EVUN2BTLJ3GT74</t>
  </si>
  <si>
    <t>549300G3XHUJTWHRIK92</t>
  </si>
  <si>
    <t>549300TWYEU8LJ8R4309</t>
  </si>
  <si>
    <t>549300FQZQK60XCT2320</t>
  </si>
  <si>
    <t>254900N7RHRRY2BEOA29</t>
  </si>
  <si>
    <t>254900PNQTJ98L827R13</t>
  </si>
  <si>
    <t>549300S2DZ3P00PILV75</t>
  </si>
  <si>
    <t>254900EVOOE9L7X5KL29</t>
  </si>
  <si>
    <t>5493006X7GI3L646SH35</t>
  </si>
  <si>
    <t>254900VP0XK6GEDNTI26</t>
  </si>
  <si>
    <t>213800RTXQMRY47PUF47</t>
  </si>
  <si>
    <t>549300UY4N0ODRBF1Z68</t>
  </si>
  <si>
    <t>254900B78PDCMKGZE449</t>
  </si>
  <si>
    <t>254900YZ0H8U4D3YJ585</t>
  </si>
  <si>
    <t>254900F57NNVXZTQ0V12</t>
  </si>
  <si>
    <t>254900J4YVWCPZP2J196</t>
  </si>
  <si>
    <t>254900OT5O60FXIPPD70</t>
  </si>
  <si>
    <t>254900IJHH85CXWUTQ11</t>
  </si>
  <si>
    <t>5493009BUFM4E9W39G55</t>
  </si>
  <si>
    <t>2549007ZZNFSZ13Z4087</t>
  </si>
  <si>
    <t>5493002VWWYU3O6BGW53</t>
  </si>
  <si>
    <t>254900KNTN335VVE1X34</t>
  </si>
  <si>
    <t>254900M3J876I93YOO14</t>
  </si>
  <si>
    <t>254900L70QI0LBWVHK46</t>
  </si>
  <si>
    <t>984500C9CAA3BF3AH571</t>
  </si>
  <si>
    <t>254900ASG47POU8ANQ96</t>
  </si>
  <si>
    <t>54930038TFBHX58CQ878</t>
  </si>
  <si>
    <t>254900XLUCG2TR83DT96</t>
  </si>
  <si>
    <t>254900SUZIGUHA1G3X87</t>
  </si>
  <si>
    <t>549300TV1TPFUN2TPH06</t>
  </si>
  <si>
    <t>254900OOBVJYYB42WN57</t>
  </si>
  <si>
    <t>254900QKHXTDW3KW6O50</t>
  </si>
  <si>
    <t>254900EUH8IIBQ6ZZD24</t>
  </si>
  <si>
    <t>2549003U86U2Y93MDQ23</t>
  </si>
  <si>
    <t>54930047DU4WCPOIO219</t>
  </si>
  <si>
    <t>549300UFR3O40H7HO295</t>
  </si>
  <si>
    <t>25490069BYFTILQ28183</t>
  </si>
  <si>
    <t>549300SE4D0XE2D85V97</t>
  </si>
  <si>
    <t>254900Q61P0LR84OSD08</t>
  </si>
  <si>
    <t>254900GNVG6QSSMS4J04</t>
  </si>
  <si>
    <t>984500CF0736C6E96080</t>
  </si>
  <si>
    <t>25490076WG2RWW2ZMO18</t>
  </si>
  <si>
    <t>549300BQD4T1W7LDKM48</t>
  </si>
  <si>
    <t>254900Q7EG1KDCX7ZG25</t>
  </si>
  <si>
    <t>254900W5U3A0IRTJ2Z03</t>
  </si>
  <si>
    <t>254900KNQW57DARN6589</t>
  </si>
  <si>
    <t>254900EKAOMFULU7KX20</t>
  </si>
  <si>
    <t>549300J5I3DHQLHTFM13</t>
  </si>
  <si>
    <t>254900LTQ09CPT3HSD21</t>
  </si>
  <si>
    <t>549300QZYE2WW906L830</t>
  </si>
  <si>
    <t>2549007BHYA2CREROL60</t>
  </si>
  <si>
    <t>254900VSNDXTPOIGBH70</t>
  </si>
  <si>
    <t>254900TVG2M35K7TGY04</t>
  </si>
  <si>
    <t>254900V7C511H5NXLN41</t>
  </si>
  <si>
    <t>254900FSGCDXQS5R7K22</t>
  </si>
  <si>
    <t>2549004LCT10MUMJHK05</t>
  </si>
  <si>
    <t>2549004JFX9YR30BHC36</t>
  </si>
  <si>
    <t>549300WCHQRLQ507XE70</t>
  </si>
  <si>
    <t>254900O90ON9WPWZ5R91</t>
  </si>
  <si>
    <t>2549001K9W3B8QHYKE09</t>
  </si>
  <si>
    <t>5493004XZ3126N6OT465</t>
  </si>
  <si>
    <t>254900XX2XJ26XQRPA85</t>
  </si>
  <si>
    <t>549300HRXI2TKXHVO729</t>
  </si>
  <si>
    <t>254900Z1X3ELV8JPB034</t>
  </si>
  <si>
    <t>254900I4E4VE5TGEDM43</t>
  </si>
  <si>
    <t>25490018ZF93N9ARVZ64</t>
  </si>
  <si>
    <t>549300QFQ6G6FD8P6H55</t>
  </si>
  <si>
    <t>549300TX34MQRNCF4754</t>
  </si>
  <si>
    <t>254900BNLVIMJJ5ATU47</t>
  </si>
  <si>
    <t>5493001J8GFT6MPDFL92</t>
  </si>
  <si>
    <t>549300F5U3A7GJLKD092</t>
  </si>
  <si>
    <t>254900OCFZ5CC02GW431</t>
  </si>
  <si>
    <t>254900R4XXG3TYB6HW19</t>
  </si>
  <si>
    <t>2549009WC0BLE6QMPR72</t>
  </si>
  <si>
    <t>254900CYUCSWDFJFLA52</t>
  </si>
  <si>
    <t>5493005PEPGK19W4VK88</t>
  </si>
  <si>
    <t>254900WC4R4NOFBIXO73</t>
  </si>
  <si>
    <t>254900IO6Q5JXNQMLI87</t>
  </si>
  <si>
    <t>25490030CSRENPY38352</t>
  </si>
  <si>
    <t>254900493YZBNPIMCK27</t>
  </si>
  <si>
    <t>254900DRT17B5IWH8136</t>
  </si>
  <si>
    <t>254900HLZI2USAHTJK85</t>
  </si>
  <si>
    <t>254900IR4XAMGM0EYE71</t>
  </si>
  <si>
    <t>254900M27I1YPLP2H711</t>
  </si>
  <si>
    <t>254900ODTSBWUGT7FI15</t>
  </si>
  <si>
    <t>254900X2KCMRINQK0Y26</t>
  </si>
  <si>
    <t>2549003DMCBS7RWGZC76</t>
  </si>
  <si>
    <t>254900XJWS022PVV1V11</t>
  </si>
  <si>
    <t>254900Y4NMIQ3GG7DK86</t>
  </si>
  <si>
    <t>254900V2QW68FLVWNF24</t>
  </si>
  <si>
    <t>2549003P2TIXHKLVV854</t>
  </si>
  <si>
    <t>549300O5MCNX6246ZQ22</t>
  </si>
  <si>
    <t>5493004UT7HNQU2SVR90</t>
  </si>
  <si>
    <t>254900PFPPJUSVQYUL91</t>
  </si>
  <si>
    <t>254900K7QY0TRA87LT87</t>
  </si>
  <si>
    <t>254900OOR3DQBKO5YW21</t>
  </si>
  <si>
    <t>2549006LVTOT97U1ZE03</t>
  </si>
  <si>
    <t>254900PC5MQN7Z84NS77</t>
  </si>
  <si>
    <t>2549002A9SUN9AMNCI05</t>
  </si>
  <si>
    <t>254900D03RU9INGMT742</t>
  </si>
  <si>
    <t>549300R1BVHE7EWT6G68</t>
  </si>
  <si>
    <t>254900ACCWZ34C8A4285</t>
  </si>
  <si>
    <t>5493009BDVR0UBNG6H89</t>
  </si>
  <si>
    <t>2549004HANTFIKJ9B207</t>
  </si>
  <si>
    <t>254900A27LI44GWE6Z96</t>
  </si>
  <si>
    <t>254900OR63WDWY4YFP80</t>
  </si>
  <si>
    <t>549300SQC6F03ZB9JW82</t>
  </si>
  <si>
    <t>984500DA0C701DS39D66</t>
  </si>
  <si>
    <t>9845002B5FDE6A369D23</t>
  </si>
  <si>
    <t>9845009BD3C796569C78</t>
  </si>
  <si>
    <t>254900F8XDMH7ML11F94</t>
  </si>
  <si>
    <t>254900SLMD6VTSZOE772</t>
  </si>
  <si>
    <t>254900DK94MVY3DONR30</t>
  </si>
  <si>
    <t>254900XHYAACTZGCX458</t>
  </si>
  <si>
    <t>254900LE369PO80V1559</t>
  </si>
  <si>
    <t>254900RUQRNOHOUP4R63</t>
  </si>
  <si>
    <t>2549003F9TQK89NZ2Z40</t>
  </si>
  <si>
    <t>2549008KOR7B1TLLSG26</t>
  </si>
  <si>
    <t>2549005UEWDS9TDULW91</t>
  </si>
  <si>
    <t>54930068I7QVJ34D3B53</t>
  </si>
  <si>
    <t>254900XJAAZAOCGTV461</t>
  </si>
  <si>
    <t>529900JWGSW17LJK6586</t>
  </si>
  <si>
    <t>254900YTOYGUXB7J3705</t>
  </si>
  <si>
    <t>254900S9W6AVR583HZ46</t>
  </si>
  <si>
    <t>549300ARPKAPQDIUFR04</t>
  </si>
  <si>
    <t>549300QSP7A13DYU3I27</t>
  </si>
  <si>
    <t>549300MD2CM1EUBCL131</t>
  </si>
  <si>
    <t>549300XDIEY134ORXL94</t>
  </si>
  <si>
    <t>254900LVPZ80JRO85I27</t>
  </si>
  <si>
    <t>254900BUY5V35D7BWE79</t>
  </si>
  <si>
    <t>549300UX6Z5ZBANLFS81</t>
  </si>
  <si>
    <t>2549002RBT6MMJ5NKQ55</t>
  </si>
  <si>
    <t>549300L92U32HI465B19</t>
  </si>
  <si>
    <t>5493003LDHCB6GT1LK27</t>
  </si>
  <si>
    <t>25490003U8P7CKOR5334</t>
  </si>
  <si>
    <t>254900J1PVX4NFKI9E02</t>
  </si>
  <si>
    <t>254900EDMQ65DQJCGH60</t>
  </si>
  <si>
    <t>254900HIO7UP1ZIXSA57</t>
  </si>
  <si>
    <t>254900GQBBHXIQUWOZ10</t>
  </si>
  <si>
    <t>254900RJ6XOAWL8IAB48</t>
  </si>
  <si>
    <t>2549001161132J3S3220</t>
  </si>
  <si>
    <t>549300REJ7S0NNYQRK61</t>
  </si>
  <si>
    <t>254900XS66U91AGZQD15</t>
  </si>
  <si>
    <t>549300MSXRKF6J9TBR16</t>
  </si>
  <si>
    <t>254900C3L7T0DDYLL503</t>
  </si>
  <si>
    <t>549300FDBE7OS4F1RY06</t>
  </si>
  <si>
    <t>254900C1ICJ8TTQ2YN90</t>
  </si>
  <si>
    <t>254900V5RJB2BNRYTZ31</t>
  </si>
  <si>
    <t>2549009MFRLR2QZ8CW96</t>
  </si>
  <si>
    <t>9845002B8ADZ9A462E71</t>
  </si>
  <si>
    <t>2549005CZQA9B2R59107</t>
  </si>
  <si>
    <t>549300NMT34X1IT5VG37</t>
  </si>
  <si>
    <t>254900IWSOOGTLI0OI82</t>
  </si>
  <si>
    <t>254900F8UMWWC59KY328</t>
  </si>
  <si>
    <t>Source System Name</t>
  </si>
  <si>
    <t>ADVANCED SERIES TRUST AST BOND PORTFOLIO 2019</t>
  </si>
  <si>
    <t>ADVANCED SERIES TRUST BOND PORTFOLIO 2022</t>
  </si>
  <si>
    <t>AIC COMPANY LIMITED</t>
  </si>
  <si>
    <t>AIR PRODUCTS AND CHEMICALS INC</t>
  </si>
  <si>
    <t>AIR PRODUCTS AND CHEMICALS INC CHILE</t>
  </si>
  <si>
    <t>AIR PRODUCTS AND CHEMICALS, INC.</t>
  </si>
  <si>
    <t>ALEXANDRIA REAL ESTATE EQUITIES INC</t>
  </si>
  <si>
    <t>ALLIANCE LAUNDRY SYSTEMS LLC</t>
  </si>
  <si>
    <t>HYCROFT MINING CORPORATION</t>
  </si>
  <si>
    <t>ALLIED NEVADA GOLD CORP.</t>
  </si>
  <si>
    <t>AMC NETWORKS INC</t>
  </si>
  <si>
    <t>AON CORPORATION</t>
  </si>
  <si>
    <t>AQUARION HOLDINGS LLC</t>
  </si>
  <si>
    <t>ARMSTRONG WORLD INDUSTRIES INC</t>
  </si>
  <si>
    <t>ARMSTRONG WORLD INDUSTRIES, INC.</t>
  </si>
  <si>
    <t>ASHLAND LLC</t>
  </si>
  <si>
    <t>AST BOND PORTFOLIO 2021</t>
  </si>
  <si>
    <t>AVATAS AEROSPACE INC</t>
  </si>
  <si>
    <t>AVIS BUDGET CAR RENTAL LLC</t>
  </si>
  <si>
    <t>AVIS BUDGET CAR RENTAL, LLC</t>
  </si>
  <si>
    <t>ASEOP FUNDING II LLC</t>
  </si>
  <si>
    <t>AVIS BUDGET RENTAL CAR FUNDING (AESOP) LLC</t>
  </si>
  <si>
    <t>AESOP FUNDING II LLC</t>
  </si>
  <si>
    <t>BANCO SANTANDER SA NEW YORK</t>
  </si>
  <si>
    <t>BANCO SANTANDER SA MADRID</t>
  </si>
  <si>
    <t>BANCO SANTANDER S.A.</t>
  </si>
  <si>
    <t>BANCO SANTANDER SA</t>
  </si>
  <si>
    <t>BANCO SANTANDER CENTRAL HISPANO</t>
  </si>
  <si>
    <t>Banco Santander SA</t>
  </si>
  <si>
    <t>BANCO SANTANDER S.A., BRAZIL</t>
  </si>
  <si>
    <t>BANCO SANTANDER S.A</t>
  </si>
  <si>
    <t>BANCO SANTANDER SA LONDON</t>
  </si>
  <si>
    <t>BANK OF AMERICA N.A. CHARLOTTE</t>
  </si>
  <si>
    <t>BANK OF AMERICA, N.A.</t>
  </si>
  <si>
    <t>BK OF AMERICA GLOBAL FX</t>
  </si>
  <si>
    <t>BANK OF AMERICA NA</t>
  </si>
  <si>
    <t>BANK OF AMERICA NA SECPAC LONDON SWAPS</t>
  </si>
  <si>
    <t>BANK OF AMERICA NA DUBLIN (IRELAND)</t>
  </si>
  <si>
    <t>BANK OF AMERICA NA.</t>
  </si>
  <si>
    <t>BANK OF AMERICA NA NETHERLANDS</t>
  </si>
  <si>
    <t>BANK OF AMERICA NA SINGAPORE</t>
  </si>
  <si>
    <t>BANK OF AMERICA NA SWITZERLAND</t>
  </si>
  <si>
    <t>BANK OF AMERICA NA PARIS (FRANCE)</t>
  </si>
  <si>
    <t>BANK OF AMERICA NA TOKYO</t>
  </si>
  <si>
    <t>BANK OF AMERICA NA CAYMAN ISLANDS</t>
  </si>
  <si>
    <t>Bank of America NA</t>
  </si>
  <si>
    <t>BANK OF AMERICA NA  BRUSSELS (BELGIUM)</t>
  </si>
  <si>
    <t>BANK OF AMERICA NA SEOUL</t>
  </si>
  <si>
    <t>BANK OF AMERICA N.A</t>
  </si>
  <si>
    <t>BANK OF AMERICA NA CHARLOTTE 60095</t>
  </si>
  <si>
    <t>BANK OF AMERICA NA CHARLOTTE</t>
  </si>
  <si>
    <t>BANK OF AMERICA NA (STF)</t>
  </si>
  <si>
    <t>BANK OF AMERICA NA  N YORK</t>
  </si>
  <si>
    <t>BANK OF AMERICA NA (CONTINENTAL BANK)</t>
  </si>
  <si>
    <t>BANK OF AMERICA NA CHICAGO</t>
  </si>
  <si>
    <t>BANK OF AMERICA N A</t>
  </si>
  <si>
    <t>BANK OF AMERICA NA (BNS MUMBAI)</t>
  </si>
  <si>
    <t>BANK OF AMERICA N.A. (REPOS)</t>
  </si>
  <si>
    <t>BOA NA US FOREIGN EXCHANGE</t>
  </si>
  <si>
    <t>BANK OF AMERICAN, N.A.</t>
  </si>
  <si>
    <t>Bank of America N.A.</t>
  </si>
  <si>
    <t>BANK OF AMERICA NATIONAL ASSOCIATION</t>
  </si>
  <si>
    <t>BANK OF AMERICA NT N SA, SEOUL BR</t>
  </si>
  <si>
    <t>BANK OF AMERICA NA NO 1</t>
  </si>
  <si>
    <t>BANK OF AMERICA NA  SAN FRANCISCO</t>
  </si>
  <si>
    <t>BANK OF AMERICA N.A.</t>
  </si>
  <si>
    <t>BANK OF AMERICA NA N YORK</t>
  </si>
  <si>
    <t>BANK OF AMERICA SECPAC LONDON SWAPS</t>
  </si>
  <si>
    <t>BANK OF AMERICA LONDON</t>
  </si>
  <si>
    <t>BOA</t>
  </si>
  <si>
    <t>BANK OF AMERICA NA (SEATTLE FIRST NATIONAL)</t>
  </si>
  <si>
    <t>BANK OF AMERICA NA LONDON</t>
  </si>
  <si>
    <t>BANK OF AMERICA LONDON-SIF</t>
  </si>
  <si>
    <t>BROOKFIELD OFFICE PROPERTIES INC</t>
  </si>
  <si>
    <t>BROOKFIELD OFFICE PROPERTIES INC.</t>
  </si>
  <si>
    <t>BUTTERBALL LLC</t>
  </si>
  <si>
    <t>CHESAPEAKE FUNDING LLC</t>
  </si>
  <si>
    <t>CITATION 2004 INVESTMENT LLC</t>
  </si>
  <si>
    <t>CREDIT AGRICOLE CORPORATE AND INVESTMENT BANK PARIS</t>
  </si>
  <si>
    <t>CREDIT AGRICOLE CORPORATE AND INVESTMENT BANK LONDON</t>
  </si>
  <si>
    <t>CREDIT AGRICOLE CORPORATE AND INVESTMENT BANK</t>
  </si>
  <si>
    <t>CREDIT AGRICOLE CORPORATE AND INVESTMENT BANK-HONGKONG (ASIA</t>
  </si>
  <si>
    <t>CREDIT AGRICOLE CORPORATE AND INVESTMENT BANK MUMBAI</t>
  </si>
  <si>
    <t>CREDIT AGRICOLE CORPORATE AND INVESTMENT BANK -PARIS- (ASIA</t>
  </si>
  <si>
    <t>CREDIT AGRICOLE CORPORATE AND INVESTMENT BANK MILAN</t>
  </si>
  <si>
    <t>CREDIT AGRICOLE CORPORATE AND INVESTMENT BANK TOKYO</t>
  </si>
  <si>
    <t>CREDIT AGRICOLE CORPORATE AND INVESTMENT BANK GRAND CAYMAN</t>
  </si>
  <si>
    <t>CREDIT AGRICOLE CORPORATE AND INVESTMENT BANK LUXEMBERG</t>
  </si>
  <si>
    <t>CREDIT AGRICOLE CORPORATE AND INVESTMENT BANK BRUSSELS</t>
  </si>
  <si>
    <t>CREDIT AGRICOLE INDOSUEZ PARIS-SIF</t>
  </si>
  <si>
    <t>CREDIT AGRICOLE CORPORATE AND INVESTMENT BANK HONG KONG</t>
  </si>
  <si>
    <t>CREDIT AGRICOLE CORPORATE AND INVESTMENT BANK  PARIS</t>
  </si>
  <si>
    <t>CREDIT AGRICOLE  CORPORATE AND INVESTMENT BANK (BNS MUMBAI)</t>
  </si>
  <si>
    <t>Credit Agricole Corporate and Investment Bank</t>
  </si>
  <si>
    <t>CREDIT AGRICOLE CORPORATE AND INVESTMENT BANK SINGAPORE</t>
  </si>
  <si>
    <t>CREDIT AGRICOLE CORPORATE &amp; INVESTMENT BANK</t>
  </si>
  <si>
    <t>CREDIT AGRICOLE CORPORATE AND INVESTMENT BANK  LONDON</t>
  </si>
  <si>
    <t>CREDIT AGRICOLE CORPORATE AND INVESTMENT BANK  BRUSSELS</t>
  </si>
  <si>
    <t>CREDIT AGRICOLE CORPORATE AND INVESTMENT BANK  GRAND CAYMAN</t>
  </si>
  <si>
    <t>CREDIT AGRICOLE CORPORATE AND INVESTMENT BANK  HONG KONG</t>
  </si>
  <si>
    <t>CREDIT AGRICOLE CORPORATE AND INVESTMENT BANK  LUXEMBERG</t>
  </si>
  <si>
    <t>CREDIT AGRICOLE CORPORATE AND INVESTMENT BANK  MILAN</t>
  </si>
  <si>
    <t>CREDIT AGRICOLE CORPORATE AND INVESTMENT BANK  NEW YORK</t>
  </si>
  <si>
    <t>CREDIT AGRICOLE CORPORATE AND INVESTMENT BANK  TOKYO</t>
  </si>
  <si>
    <t>CREDIT AND AGRICOLE CORPORATE AND INVESTMENT BANK</t>
  </si>
  <si>
    <t>CREDIT AGRICOLE CORP &amp; INV BK</t>
  </si>
  <si>
    <t>CREDIT AGRICOLE CIB</t>
  </si>
  <si>
    <t>CREDIT AGRICOLE COPORATE AND INVESTMENT BANK</t>
  </si>
  <si>
    <t>CREDIT AGRICOLE CORPORATE AND INVES</t>
  </si>
  <si>
    <t>CREDIT AGRICOLE CORPORATE AND INVESTMENT BANK  MADRID</t>
  </si>
  <si>
    <t>CREDIT AGRICOLE CORPORATE AND INVESTMENT BANK MADRID</t>
  </si>
  <si>
    <t>CREDIT AGRICOLE CORPORATE AND INVESTMENT BANK NEW YORK</t>
  </si>
  <si>
    <t>CREDIT AGRICOLE CORPORATE AND INVESTMENT BANK SEOUL</t>
  </si>
  <si>
    <t>CSC T HOLDINGS I INC</t>
  </si>
  <si>
    <t>CSC T HOLDINGS III INC</t>
  </si>
  <si>
    <t>CSC T HOLDINGS IV INC</t>
  </si>
  <si>
    <t>CYTEC INDUSTRIES INC</t>
  </si>
  <si>
    <t>DAVIS-STANDARD HOLDINGS, INC.</t>
  </si>
  <si>
    <t>DAVITA INC</t>
  </si>
  <si>
    <t>DE Shaw Kalon Portfolios LLC</t>
  </si>
  <si>
    <t>DE SHAW KALON PORTFOLIOS LLC</t>
  </si>
  <si>
    <t>DE SHAW KALON PORTFOLIOS LLC CA</t>
  </si>
  <si>
    <t>DE SHAW KALON PORTFOLIOS LLC EU</t>
  </si>
  <si>
    <t>DE SHAW KALON PORTFOLIOS LLC US</t>
  </si>
  <si>
    <t>D E SHAW KALON PORTIFOLIOS LLC</t>
  </si>
  <si>
    <t>DE SHAW OCULUS PORTFOLIOS LLC</t>
  </si>
  <si>
    <t>DE SHAW OCULUS PORTFOLIOS LLC CDEA</t>
  </si>
  <si>
    <t>D E SHAW OCULUS PORTFOLIOS LLC</t>
  </si>
  <si>
    <t>DE Shaw Oculus Portfolios LLC</t>
  </si>
  <si>
    <t>DOMINION ENERGY INC</t>
  </si>
  <si>
    <t>DUQUESNE LIGHT HOLDINGS INC</t>
  </si>
  <si>
    <t>ENDEAVOR ENERGY RESOURCES L.P.</t>
  </si>
  <si>
    <t>ENTERPRISE PRODUCTS OPERATING L.L.C.</t>
  </si>
  <si>
    <t>ENTERPRISE PRODUCTS OPERATING LLC GROUP</t>
  </si>
  <si>
    <t>ENTERPRISE PRODUCTS OPERATING, L.L.C.</t>
  </si>
  <si>
    <t>FIRSTENERGY CORPORATION</t>
  </si>
  <si>
    <t>FIRST ENERGY CORPORATION</t>
  </si>
  <si>
    <t>FORD CREDIT CANADA COMPANY</t>
  </si>
  <si>
    <t>FORD MOTOR CREDIT COMPANY LLC</t>
  </si>
  <si>
    <t>GOLDMAN SACHS BANK USA</t>
  </si>
  <si>
    <t>GOLDMAN SACHS BANK U.S.A</t>
  </si>
  <si>
    <t>GOVERNORS OF ST FRANCIS XAVIER UNIVERSITY</t>
  </si>
  <si>
    <t>IGT GLOBAL SOLUTIONS CORPORATION</t>
  </si>
  <si>
    <t>GTECH CORPORATION</t>
  </si>
  <si>
    <t>IGT GLOBAL SOLUTIONS CORP</t>
  </si>
  <si>
    <t>HOME HARDWARE STORES LIMITED</t>
  </si>
  <si>
    <t>HSBC BANK USA N. A.</t>
  </si>
  <si>
    <t>HSBC BANK USA N. A. (ENGLAND)</t>
  </si>
  <si>
    <t>HSBC BANK USA N.A.</t>
  </si>
  <si>
    <t>HSBC BANK USA, N.A.</t>
  </si>
  <si>
    <t>HSBC BANK USA</t>
  </si>
  <si>
    <t>HSBC USA</t>
  </si>
  <si>
    <t>HSBC BANK USA N A</t>
  </si>
  <si>
    <t>HSBC BANK USA N A (NEW YORK)</t>
  </si>
  <si>
    <t>HSBC BANK USA NA</t>
  </si>
  <si>
    <t>HSBC BANK USA N. A. (CAYMAN ISLAND)</t>
  </si>
  <si>
    <t>HSBC BANK USA N. A. NEW YORK</t>
  </si>
  <si>
    <t>IESI CORPORATION</t>
  </si>
  <si>
    <t>INGRAM INDUSTRIES INC</t>
  </si>
  <si>
    <t>INTER-AMERICAN DEVELOPMENT BANK</t>
  </si>
  <si>
    <t>IVANHOE CAMBRIDGE INC.</t>
  </si>
  <si>
    <t>IVANHOE CAMBRIDGE INC</t>
  </si>
  <si>
    <t>JIM PEPLINSKI LEASING INC</t>
  </si>
  <si>
    <t>LEGACY RESERVES LP</t>
  </si>
  <si>
    <t>LIME ROCK RESOURCES II A L.P.</t>
  </si>
  <si>
    <t>MANULIFE BANK OF CANADA</t>
  </si>
  <si>
    <t>MARINE ATLANTIC INC</t>
  </si>
  <si>
    <t>MCKESSON CORPORATION</t>
  </si>
  <si>
    <t>MERRILL LYNCH CAPITAL SERVICES INC</t>
  </si>
  <si>
    <t>MERRILL LYNCH INTERNATIONAL BK LTD</t>
  </si>
  <si>
    <t>MERRILL LYNCH INTERNATIONAL BANK, N.Y.</t>
  </si>
  <si>
    <t>MERRILL LYNCH INTERNATIONAL BANK LTD</t>
  </si>
  <si>
    <t>MILLENNIUM FIXED INCOME LTD US</t>
  </si>
  <si>
    <t>MILLENNIUM FIXED INCOME LTD EU - CDEA</t>
  </si>
  <si>
    <t>MILLENNIUM FIXED INCOME LTD CDEA</t>
  </si>
  <si>
    <t>MILLENNIUM FIXED INCOME LTD</t>
  </si>
  <si>
    <t>MIZUHO CAPITAL MARKETS CORPORATION LONDON</t>
  </si>
  <si>
    <t>MIZUHO CAPITAL MARKETS CORPORATION NEW YORK</t>
  </si>
  <si>
    <t>MIZUHO BANK LIMITED</t>
  </si>
  <si>
    <t>MIZUHO BANK LTD L.A</t>
  </si>
  <si>
    <t>MIZUHO BANK (CANADA) TORONTO</t>
  </si>
  <si>
    <t>MIZUHO BANK LTD GRAND CAYMAN</t>
  </si>
  <si>
    <t>MIZUHO BANK LTD TOKYO</t>
  </si>
  <si>
    <t>MIZUHO BANK LTD PARIS</t>
  </si>
  <si>
    <t>MIZUHO BANK LTD (STF)</t>
  </si>
  <si>
    <t>MIZUHO CORPORATE BANK (CANADA)</t>
  </si>
  <si>
    <t>575 WESTNEY ROAD SOUTH INC</t>
  </si>
  <si>
    <t>MKP ENHANCED OPPORTUNITY MASTER FUND LTD</t>
  </si>
  <si>
    <t>MKP OPPORTUNITY MASTER FUND LTD</t>
  </si>
  <si>
    <t>MKP OPPORTUNITY MASTER FUND LTD CDEA</t>
  </si>
  <si>
    <t>MORGAN STANLEY CAPITAL GROUP INC</t>
  </si>
  <si>
    <t>MORGAN STANLEY CAPITAL GROUP INC.</t>
  </si>
  <si>
    <t>MORGAN STANLEY CAPITAL SERVICES LLC</t>
  </si>
  <si>
    <t>MORGAN STANLEY CAPITAL SERVICES LLC. (NEW YORK).</t>
  </si>
  <si>
    <t>MORGAN STANLEY CAPITAL SERVICES LLC-NEW YORK-(ASIA PACIFIC R</t>
  </si>
  <si>
    <t>MORGAN STANLEY CAPITAL SERVICES LLC. (NEW YORK)</t>
  </si>
  <si>
    <t>MORGAN STANLEY CAPITAL SERVICES LLC. (LONDON)</t>
  </si>
  <si>
    <t>MORGAN STANLEY CAPITAL SERVICES LLC.</t>
  </si>
  <si>
    <t>NATIONAL COOPERATIVE SERVICES CORP</t>
  </si>
  <si>
    <t>NATIONAL RURAL UTILITIES COOPERATIVE FINANCE CORP</t>
  </si>
  <si>
    <t>NEXTERA ENERGY CAPITAL HOLDINGS INC</t>
  </si>
  <si>
    <t>FPL GROUP CAPITAL INC</t>
  </si>
  <si>
    <t>Nomura Global Financial Products Inc</t>
  </si>
  <si>
    <t>NOMURA GLOBAL FINANCIAL PRODUCTS INC</t>
  </si>
  <si>
    <t>NOMURA GLOBAL FINANCIAL PRODUCTS</t>
  </si>
  <si>
    <t>ONEX SENIOR CREDIT FUND LP</t>
  </si>
  <si>
    <t>PACCAR FINANCIAL CORP</t>
  </si>
  <si>
    <t>PACCAR FINANCIAL LTD.</t>
  </si>
  <si>
    <t>PACCAR FINANCIAL LTD</t>
  </si>
  <si>
    <t>PARADIGM LTD</t>
  </si>
  <si>
    <t>PARALLEL PETROLEUM LLC</t>
  </si>
  <si>
    <t>PLAINS ALL AMERICAN PIPELINE LP</t>
  </si>
  <si>
    <t>PLAINS ALL AMERICAN PIPELINE L.P.</t>
  </si>
  <si>
    <t>PNC BANK N.A.</t>
  </si>
  <si>
    <t>PNC BANK NA - BONDS</t>
  </si>
  <si>
    <t>NATIONAL CITY BANK</t>
  </si>
  <si>
    <t>PNC BANK NA</t>
  </si>
  <si>
    <t>PNC BANK, N.A.,</t>
  </si>
  <si>
    <t>PPL CORPORATION</t>
  </si>
  <si>
    <t>PROPEL ENERGY LLC</t>
  </si>
  <si>
    <t>PRUDENTIAL CORE SHORT TERM BOND SERIES</t>
  </si>
  <si>
    <t>PRUDENTIAL GLOBAL FUNDING LLC</t>
  </si>
  <si>
    <t>PRUDENTIAL GLOBAL FUNDING CDEA</t>
  </si>
  <si>
    <t>THE PRUDENTIAL MERGED RETIREMENT PLAN - RETIREE LIFE 401(H) 2013 PORTFOLIO</t>
  </si>
  <si>
    <t>QVC INC</t>
  </si>
  <si>
    <t>COOPERATIEVE RABOBANK U.A GLOBAL EQUITY FINANCE</t>
  </si>
  <si>
    <t>COOPERATIEVE RABOBANK U.A</t>
  </si>
  <si>
    <t>Rabo Bank</t>
  </si>
  <si>
    <t>COOPERATIEVE RABOBANK U.A. INTERNATIONAL NEW YORK BRANCH</t>
  </si>
  <si>
    <t>COOPERATIEVE RABOBANK U.A. UTRECHT</t>
  </si>
  <si>
    <t>COOPERATIEVE RABOBANK U.A.</t>
  </si>
  <si>
    <t>Rabobank Nederland</t>
  </si>
  <si>
    <t>COOPERATIEVE RABOBANK</t>
  </si>
  <si>
    <t>COOPERATIEVE RABOBANK U.A. SYDNEY</t>
  </si>
  <si>
    <t>COOPERATIEVE RABOBANK U.A. NEW YORK</t>
  </si>
  <si>
    <t>COOPERATIEVE RABOBANK U.A. SINGAPORE</t>
  </si>
  <si>
    <t>ROYAL CARIBBEAN CRUISES LTD</t>
  </si>
  <si>
    <t>ROYAL CARIBBEAN CRUISES LTD.</t>
  </si>
  <si>
    <t>SEABOARD CORPORATION</t>
  </si>
  <si>
    <t>SEABOARD CORP</t>
  </si>
  <si>
    <t>SHERIDAN PRODUCTION PARTNERS I A LP</t>
  </si>
  <si>
    <t>SHERIDAN PRODUCTION PARTNERS I B LP</t>
  </si>
  <si>
    <t>SHERIDAN PRODUCTION PARTNERS I M LP</t>
  </si>
  <si>
    <t>SIMON PROPERTY GROUP LP</t>
  </si>
  <si>
    <t>SMBC CAPITAL MARKETS INC</t>
  </si>
  <si>
    <t>SMBC CAPITAL MARKETS INC.</t>
  </si>
  <si>
    <t>SMBC CAPITAL MARKETS INC GROUP</t>
  </si>
  <si>
    <t>SOUTHERN COMPANY</t>
  </si>
  <si>
    <t>SOUTHERN WINE AND SPIRITS OF AMERICA INC</t>
  </si>
  <si>
    <t>SOUTHERN WINE AND SPIRITS OF AMERIC</t>
  </si>
  <si>
    <t>SOUTHERN GLAZER'S WINE AND SPIRITS, LLC</t>
  </si>
  <si>
    <t>SPECTRA ENERGY CAPITAL LLC</t>
  </si>
  <si>
    <t>SPECTRA ENERGY CAPITAL LLC GRP</t>
  </si>
  <si>
    <t>SPIRIT AEROSYSTEMS INC</t>
  </si>
  <si>
    <t>SPIRIT AEROSYSTEMS INC.</t>
  </si>
  <si>
    <t>THE SCOTTS MIRACLE GRO-COMPANY</t>
  </si>
  <si>
    <t>THE SCOTTS MIRACLE-GRO COMPANY</t>
  </si>
  <si>
    <t>THE TORONTO DOMINION BANK</t>
  </si>
  <si>
    <t>TORONTO DOMINION BANK HONG KONG</t>
  </si>
  <si>
    <t>TORONTO DOMINION BANK CAYMAN ISLAND</t>
  </si>
  <si>
    <t>TORONTO DOMINION BANK SYDNEY (AUSTRALIA)</t>
  </si>
  <si>
    <t>TORONTO DOMINION BANK (TREAS)</t>
  </si>
  <si>
    <t>TORONTO DOMINION BANK LONDON (THE)</t>
  </si>
  <si>
    <t>TORONTO DOMINION BANK NEW YORK</t>
  </si>
  <si>
    <t>TORONTO DOMINION BANK</t>
  </si>
  <si>
    <t>TORONTO DOMINION BANK TREAS MPOR</t>
  </si>
  <si>
    <t>THE TRONOTO DOMINION BANK</t>
  </si>
  <si>
    <t>Toronto Dominion Bank</t>
  </si>
  <si>
    <t>TORONTO DOMINION BANK (NEW YORK)</t>
  </si>
  <si>
    <t>THE TORONTO DOMINION BANK (STF)</t>
  </si>
  <si>
    <t>TORONTO DOMINION BANK-AUSTRALIA-(ASIA PACIFIC RIM)</t>
  </si>
  <si>
    <t>THE TORONTO-DOMINION BANK</t>
  </si>
  <si>
    <t>TORONTO DOMINION BANK TORONTO</t>
  </si>
  <si>
    <t>TD GLOBAL TREAS</t>
  </si>
  <si>
    <t>TORONTO DOMINION BANK, TORONTO</t>
  </si>
  <si>
    <t>TORONTO DOMINION BANK (THE)</t>
  </si>
  <si>
    <t>TORONTO DOMINION BK.</t>
  </si>
  <si>
    <t>PACIFIC INVESTMENT MANAGEMENT COMPANY LLC, SOLELY IN ITS CAPACITY AS ADVISOR ON BEHALF OF  TRINITY HEALTH CORPORATION</t>
  </si>
  <si>
    <t>TRINITY HEALTH CORPORATION</t>
  </si>
  <si>
    <t>UNION CENTRAL LIFE INSURANCE COMPANY</t>
  </si>
  <si>
    <t>VANGUARD NATURAL GAS LLC</t>
  </si>
  <si>
    <t>VARDANA FUND LTD.</t>
  </si>
  <si>
    <t>VIRGINIA ELECTRIC AND POWER COMPANY</t>
  </si>
  <si>
    <t>WALNUT CREEK ENERGY LLC</t>
  </si>
  <si>
    <t>WEIGHT WATCHERS INTERNATIONAL INC</t>
  </si>
  <si>
    <t>WOODBRIDGE FOAM CORPORATION</t>
  </si>
  <si>
    <t>RAIFFEISEN BANK INTERNATIONAL AG VIENNA</t>
  </si>
  <si>
    <t>RAIFFEISEN BANK INTERNATIONAL AG REPO</t>
  </si>
  <si>
    <t>POWERCOR AUSTRALIA LLC</t>
  </si>
  <si>
    <t>WESTPAC BANKING CORPORATION HONG KONG</t>
  </si>
  <si>
    <t>WESTPAC BANKING CORPORATION SINGAPORE</t>
  </si>
  <si>
    <t>WESTPAC BANKING CORP LONDON</t>
  </si>
  <si>
    <t>WESTPAC BANKING CORPORATION</t>
  </si>
  <si>
    <t>WESTPAC BANKING CORP (GROUP TREASURY)</t>
  </si>
  <si>
    <t>WESTPAC BANKING CORP-LONDON-(ASIA PACIFIC RIM)</t>
  </si>
  <si>
    <t>WESTPAC BANKING CORPORATION HONG KONG DIRECT CLEARING LCH</t>
  </si>
  <si>
    <t>WESTPAC BANKING CORPORATION SINGAPORE DIRECT CLEARING LCH</t>
  </si>
  <si>
    <t>WESTPAC BANKING CORPORATION WELLINGTON DIRECT CLEARING LCH</t>
  </si>
  <si>
    <t>WESTPAC BANKING CORPORATION NEW YORK DIRECT CLEARING LCH</t>
  </si>
  <si>
    <t>WESTPAC BANKING CORPORATION LONDON DIRECT CLEARING LCH</t>
  </si>
  <si>
    <t>WESTPAC BANKING CORPORATION SYDNEY DIRECT CLEARING LCH</t>
  </si>
  <si>
    <t>WESTPAC BANKING</t>
  </si>
  <si>
    <t>WESTPAC BANKING CORP SYDNEY</t>
  </si>
  <si>
    <t>WESTPAC BANKING CORP NEW YORK</t>
  </si>
  <si>
    <t>WESTPAC BANKING CORP WELLINGTON</t>
  </si>
  <si>
    <t>CARIBBEAN DEVELOPMENT BANK (STF)</t>
  </si>
  <si>
    <t>CARIBBEAN DEVELOPMENT BANK</t>
  </si>
  <si>
    <t>ALPHA STAR EQUITIES LTD</t>
  </si>
  <si>
    <t>AMARALINA STAR LTD</t>
  </si>
  <si>
    <t>POOLED FUND OF TPIC PLANS</t>
  </si>
  <si>
    <t>2030680 ONTARIO LIMITED</t>
  </si>
  <si>
    <t>407 EAST DEVELOPMENT GROUP GENERAL PARTNERSHIP</t>
  </si>
  <si>
    <t>4459539 CANADA INC</t>
  </si>
  <si>
    <t>873740 ONTARIO INC(WINDSOR MOLD)</t>
  </si>
  <si>
    <t>873740 ONTARIO INC. (WINDSOR MOLD)</t>
  </si>
  <si>
    <t>873740 ONTARIO INC WINDSOR MOLD GR</t>
  </si>
  <si>
    <t>951803 ALBERTA LTD</t>
  </si>
  <si>
    <t>ACTION TRAILER SALES INC</t>
  </si>
  <si>
    <t>ACTION TRAILER SALES INC.</t>
  </si>
  <si>
    <t>ALBERTA TUBULAR PRODUCTS LTD</t>
  </si>
  <si>
    <t>ALGOMA CENTRAL CORPORATION</t>
  </si>
  <si>
    <t>ALLIED PROPERTIES REAL ESTATE INVESTMENT TRUST</t>
  </si>
  <si>
    <t>ALTAIRIS LONG SHORT FUND</t>
  </si>
  <si>
    <t>ARABELA HOLDINGS S.A. DE C.V</t>
  </si>
  <si>
    <t>ARABELA SA DE CV</t>
  </si>
  <si>
    <t>AVIVA INSURANCE COMPANY OF CANADA</t>
  </si>
  <si>
    <t>BANK OF MONTREAL TOR CLS</t>
  </si>
  <si>
    <t>BANK OF MONTREAL LDN CLS</t>
  </si>
  <si>
    <t>BANK OF MONTREAL</t>
  </si>
  <si>
    <t>BANK OF MONTREAL SINGAPORE</t>
  </si>
  <si>
    <t>BANK OF MONTREAL  MONTREAL</t>
  </si>
  <si>
    <t>BANK OF MONTREAL CHICAGO</t>
  </si>
  <si>
    <t>BANK OF MONTREAL (STF)</t>
  </si>
  <si>
    <t>BANK OF MONTREAL.</t>
  </si>
  <si>
    <t>BANK OF MONTREAL 60095</t>
  </si>
  <si>
    <t>BANK OF MONTREAL  LONDON</t>
  </si>
  <si>
    <t>BANK OF MONTREAL BASE METALS</t>
  </si>
  <si>
    <t>BANK OF MONTREAL STF BA</t>
  </si>
  <si>
    <t>BANK OF MONTREAL (SBI)</t>
  </si>
  <si>
    <t>BANK OF MONTREAL MONTREAL</t>
  </si>
  <si>
    <t>BANK OF MONTREAL TORONTO</t>
  </si>
  <si>
    <t>Bank of Montreal</t>
  </si>
  <si>
    <t>Bank of Montreal (Base Metals)</t>
  </si>
  <si>
    <t>BANK OF SCOTLAND PLC</t>
  </si>
  <si>
    <t>BAYTEX ENERGY LTD</t>
  </si>
  <si>
    <t>BCE MASTER TRUST FUND</t>
  </si>
  <si>
    <t>BCE MASTER TRUST FUND - SUN LIFE</t>
  </si>
  <si>
    <t>BELLWYCK PACKAGING INC.</t>
  </si>
  <si>
    <t>BELLWYCK PACKAGING INC</t>
  </si>
  <si>
    <t>BRESCIA UNIVERSITY COLLEGE</t>
  </si>
  <si>
    <t>BREVAN HOWARD MASTER FUND LIMITED</t>
  </si>
  <si>
    <t>BNYM BRAZIL INTERNATIONAL FUND ITS BLYSS FUND SEGREGATED</t>
  </si>
  <si>
    <t>BROME FINANCIAL CORPORATION INC.</t>
  </si>
  <si>
    <t>BROOKFIELD ASSET MANAGEMENT INC</t>
  </si>
  <si>
    <t>BROOKFIELD ASSET MANAGEMENT INC.</t>
  </si>
  <si>
    <t>BROOKFIELD BRP HOLDINGS CANADA INC</t>
  </si>
  <si>
    <t>BROOKFIELD BRP HOLDINGS (CANADA) INC.</t>
  </si>
  <si>
    <t>BROOKFIELD RESIDENTIAL PROPERTIES INC</t>
  </si>
  <si>
    <t>BUSINESS DEVELOPMENT BANK OF CANADA</t>
  </si>
  <si>
    <t>CAISSE DE DEPOT ET PLACEMENT DU QUEBEC</t>
  </si>
  <si>
    <t>CAISSE DE DEPOT ET PLACEMENT</t>
  </si>
  <si>
    <t>Casisse de Depot et Placement du Que</t>
  </si>
  <si>
    <t>Caisse De Depot et Placement Du Quebec</t>
  </si>
  <si>
    <t>CAMECO CORPORATION</t>
  </si>
  <si>
    <t>CANADA HOUSING TRUST NO. 1.</t>
  </si>
  <si>
    <t>CANADA HOUSING TRUST NO. 1</t>
  </si>
  <si>
    <t>LONDON LIFE GROWTH &amp; INCOME FUND</t>
  </si>
  <si>
    <t>LONDON LIFE GROWTH AND INCOME FUND</t>
  </si>
  <si>
    <t>LONDON LIFE GROWTH &amp; INCOME FUND (LGRINM)</t>
  </si>
  <si>
    <t>CANADA MORTGAGE AND HOUSING CORPORATION.</t>
  </si>
  <si>
    <t>CANADA MORTGAGE AND HOUSING CORPORATION</t>
  </si>
  <si>
    <t>CANADA MORTGAGE AND HOUSING CORP</t>
  </si>
  <si>
    <t>CANADA MORTGAGE AND HOUSING CORPORATION - GT</t>
  </si>
  <si>
    <t>CANADA MORTGAGE HOUSING CORPORATION USD FIXED INCOME</t>
  </si>
  <si>
    <t>THE CANADA PENSION PLAN INVESTMENT BOARD</t>
  </si>
  <si>
    <t>THE CANADIAN PENSION PLAN INVESTMENT BOARD</t>
  </si>
  <si>
    <t>Canada Pension Plan Investment Board</t>
  </si>
  <si>
    <t>CAD PENSION PLAN INVEST BOARD NT2L</t>
  </si>
  <si>
    <t>CANADA PENSION PLAN INVESTMENT BOARD</t>
  </si>
  <si>
    <t>CANADIAN BANK NOTE COMPANY LIMITED</t>
  </si>
  <si>
    <t>CANADIAN DIGITAL CINEMA PARTNERSHIP</t>
  </si>
  <si>
    <t>CANADIAN IMPERIAL BANK OF COMMERCE</t>
  </si>
  <si>
    <t>CANADIAN IMPERIAL BANK OF COMMERCE (TREAS)</t>
  </si>
  <si>
    <t>CANADIAN IMPERIAL BANK OF COMMERCE HONG KONG</t>
  </si>
  <si>
    <t>CANADIAN IMPERIAL BANK OF COMMERCE SINGAPORE</t>
  </si>
  <si>
    <t>CANADIAN IMPERIAL BANK OF COMMERCE (STF)</t>
  </si>
  <si>
    <t>CANADIAN IMPERIAL BANK OF COMMERCE  (GROUP TREASURY)</t>
  </si>
  <si>
    <t>CANADIAN IMPERIAL BANK OF COMMERCE 60095</t>
  </si>
  <si>
    <t>CANADIAN IMPERIAL BANK OF COMMERCE LONDON</t>
  </si>
  <si>
    <t>CANADIAN IMPERIAL BANK OF COMMERCE GRAND CAYMAN</t>
  </si>
  <si>
    <t>CANADIAN IMPERIAL BANK OF COMMERCE NEW YORK</t>
  </si>
  <si>
    <t>CANADIAN IMPERIAL BK OF COMMERCE,TORONTO</t>
  </si>
  <si>
    <t>CANADIAN IMPERIAL BANK OF COMMERCE.</t>
  </si>
  <si>
    <t>CANADIAN PACIFIC RAILWAY COMPANY</t>
  </si>
  <si>
    <t>CANADIAN TIRE CORPORATION, LIMITED</t>
  </si>
  <si>
    <t>CANADIAN TIRE CORPORATION LIMITED</t>
  </si>
  <si>
    <t>CANADIAN WESTERN BANK</t>
  </si>
  <si>
    <t>Cangene Corporation</t>
  </si>
  <si>
    <t>PACIFIC INVESTMENT MANAGEMENT COMPANY LLC, SOLELY IN ITS CAPACITY AS ADVISOR ON BEHALF OF CAPITAL GUIDANCE (FUND) LTD</t>
  </si>
  <si>
    <t>CARA OPERATION LIMITED</t>
  </si>
  <si>
    <t>CASCADES INC</t>
  </si>
  <si>
    <t>CASCADES INC.</t>
  </si>
  <si>
    <t>CREDIT UNION CENTRAL OF BRIT COLUMB</t>
  </si>
  <si>
    <t>CENTRAL 1 CREDIT UNION</t>
  </si>
  <si>
    <t>CREDIT UNION CENTRAL OF BRITISH COLUMBIA</t>
  </si>
  <si>
    <t>CENTRIC HEALTH CORPORATION</t>
  </si>
  <si>
    <t>CHEMTRADE LOGISTICS INC (INCTR)</t>
  </si>
  <si>
    <t>CHEMTRADE LOGISTICS INC.</t>
  </si>
  <si>
    <t>CHEMTRADE LOGISTICS INC INCTR</t>
  </si>
  <si>
    <t>CHEMTRADE LOGISTICS INC</t>
  </si>
  <si>
    <t>CHILLIWACK CATTLE SALES LTD</t>
  </si>
  <si>
    <t>CHILLIWACK CATTLE SALES LTD.</t>
  </si>
  <si>
    <t>CHIP MORTGAGE TRUST</t>
  </si>
  <si>
    <t>CINEPLEX  ENTERTAINMENT L P (INCTR)</t>
  </si>
  <si>
    <t>CINEPLEX ENTERTAINMENT LIMITED PARTNERSHIP</t>
  </si>
  <si>
    <t>CINEPLEX ENTERTAINMENT LP</t>
  </si>
  <si>
    <t>CLUB DE GOLF RIVERMEAD</t>
  </si>
  <si>
    <t>COAST CAPITAL SAVINGS FEDERAL CREDIT UNION</t>
  </si>
  <si>
    <t>COGECO CONNEXION, INC.</t>
  </si>
  <si>
    <t>COGECO COMMUNICATIONS, INC. (GROUP)</t>
  </si>
  <si>
    <t>CONCENTRA BANK</t>
  </si>
  <si>
    <t>CONCENTRA FINANCIAL SERVICES ASSOC</t>
  </si>
  <si>
    <t>CONESTOGA COLD STORAGE LIMITED</t>
  </si>
  <si>
    <t>CONFERENCE PLAZA HOTEL LIMITED PARTNERSHIP OS DELTA VANCOUV</t>
  </si>
  <si>
    <t>PACIFIC INVESTMENT MANAGEMENT COMPANY LLC, SOLELY IN ITS CAPACITY AS ADVISOR ON BEHALF OF CONSULTING GROUP CAPITAL MARKETS FUNDS INTERNATIONAL FIXED INCOME INVESTMENTS.</t>
  </si>
  <si>
    <t>COOKE AQUACULTURE INC.</t>
  </si>
  <si>
    <t>CREDIT UNION CENTRAL ALBERTA LIMITED</t>
  </si>
  <si>
    <t>CREDIT UNION CENTRAL OF ALBERTA LIMITED</t>
  </si>
  <si>
    <t>CREDIT UNION CENTRAL OF MANITOBA</t>
  </si>
  <si>
    <t>CRESCENT POINT RESOURCES PARTNERSHIP.</t>
  </si>
  <si>
    <t>CRESCENT POINT RESOURCES PARTNERSHIP</t>
  </si>
  <si>
    <t>DAIMLER CANADA FINANCE INC.</t>
  </si>
  <si>
    <t>DAIMLER CANADA FINANCE INC</t>
  </si>
  <si>
    <t>DALHOUSIE UNIVERSITY</t>
  </si>
  <si>
    <t>DELPHI ENERGY CORP</t>
  </si>
  <si>
    <t>DELPHI ENERGY CORP.</t>
  </si>
  <si>
    <t>DESJARDINS CAPITAL YIELD BOND FUND</t>
  </si>
  <si>
    <t>DESJARDINS FINANCIAL SECURITY LIFE ASSURANCE COMPANY</t>
  </si>
  <si>
    <t>DESJARDINS FINANCIAL SECURITY LIFE ASSURANCE COMPANY.</t>
  </si>
  <si>
    <t>ARROW EC INCOME ADVANTAGE ALTERNATIVE FUND</t>
  </si>
  <si>
    <t>ECHO LAKE INVESTMENT LTD</t>
  </si>
  <si>
    <t>EMERA INC.</t>
  </si>
  <si>
    <t>EMERA INC</t>
  </si>
  <si>
    <t>ENBRIDGE INC. GROUP</t>
  </si>
  <si>
    <t>ENBRIDGE INC.</t>
  </si>
  <si>
    <t>ENBRIDGE INC</t>
  </si>
  <si>
    <t>ENERPLUS CORPORATION</t>
  </si>
  <si>
    <t>ERTH CORPORATION</t>
  </si>
  <si>
    <t>EXCEL LATIN AMERICAN BOND FUND</t>
  </si>
  <si>
    <t>EXPORT DEVELOPMENT CANADA</t>
  </si>
  <si>
    <t>FACTORS GROUP OF NUTRITIONAL COMPANIES INC</t>
  </si>
  <si>
    <t>FACTORS GROUP OF NUTRITIONAL COMPANIES INC.</t>
  </si>
  <si>
    <t>FARM CREDIT CANADA</t>
  </si>
  <si>
    <t>FINNING INTERNATIONAL INC</t>
  </si>
  <si>
    <t>FINNING INTERNATIONAL IN GROUP</t>
  </si>
  <si>
    <t>FIRST WEST CREDIT UNION</t>
  </si>
  <si>
    <t>FIRSTONSITE RESTORATION L.P</t>
  </si>
  <si>
    <t>FORD CREDIT CP AUTO RECEIVABLES LLC.</t>
  </si>
  <si>
    <t>PRESTIGE GABRIEL NDG LP</t>
  </si>
  <si>
    <t>GIBSON ENERGY ULC</t>
  </si>
  <si>
    <t>GILDAN ACTIVEWEAR INC</t>
  </si>
  <si>
    <t>GIVE AND GO PREPARED FOODS CORP</t>
  </si>
  <si>
    <t>GREAT CANADIAN GAMING CORPORATION</t>
  </si>
  <si>
    <t>GREAT PACIFIC ENTERPRISES INC</t>
  </si>
  <si>
    <t>GREAT PACIFIC ENTERPRISES INC.</t>
  </si>
  <si>
    <t>THE CANADA LIFE ASSURANCE COMPANY</t>
  </si>
  <si>
    <t>CANADA LIFE ASSURANCE COMPANY</t>
  </si>
  <si>
    <t>THE CANADA LIFE ASSURANCE COMPANY.</t>
  </si>
  <si>
    <t>GREAT WEST LIFE ASSURANCE COMPANY CSA</t>
  </si>
  <si>
    <t>CANADA LIFE ASSURANCE COMPANY CSA</t>
  </si>
  <si>
    <t>GREAT WEST LIFE ASSURANCE COMPANY</t>
  </si>
  <si>
    <t>GREENFIELD GLOBAL INC.</t>
  </si>
  <si>
    <t>GREENFIELD GLOBAL INC</t>
  </si>
  <si>
    <t>GREGG PROPERTIES CO LTD</t>
  </si>
  <si>
    <t>GROENENBOOM LAND AND CATTLE COMPANY LTD.</t>
  </si>
  <si>
    <t>GROENENBOOM LAND &amp; CATTLE CO. LTD.</t>
  </si>
  <si>
    <t>GROENENBOOMLAND AND CATTLE  LTD</t>
  </si>
  <si>
    <t>GRUPO GAYOSSO S. A DE C.V</t>
  </si>
  <si>
    <t>GRUPO GAYOSSO, S.A. DE C.V.</t>
  </si>
  <si>
    <t>BOARD OF TRUSTEES OF THE HOSP ONT</t>
  </si>
  <si>
    <t>HEALTHCARE OF ONTARIO PENSION PLAN</t>
  </si>
  <si>
    <t>THE BOARD OF TRUSTEES OF HEALTHCARE OF ONTARIO PENSION PLAN TRUST FUND</t>
  </si>
  <si>
    <t>BOARD OF TRUSTEES OF THE HEALTHCARE OF ONTARIO PENSION PLAN TRUST FUND</t>
  </si>
  <si>
    <t>HEROUX-DEVTEK INC.</t>
  </si>
  <si>
    <t>HEROUX DEVTEK INC</t>
  </si>
  <si>
    <t>HEWITT EQUIPMENT LTD</t>
  </si>
  <si>
    <t>HEWITT EQUIPMENT LIMITED</t>
  </si>
  <si>
    <t>HOME TRUST COMPANY</t>
  </si>
  <si>
    <t>HOMEEQUITY BANK</t>
  </si>
  <si>
    <t>HOME EQUITY BANK</t>
  </si>
  <si>
    <t>HSBC BANK CANADA</t>
  </si>
  <si>
    <t>HSBC BANK CANADA (STF)</t>
  </si>
  <si>
    <t>HSBC BANK CANADA (GROUP TREASURY)</t>
  </si>
  <si>
    <t>HUTTERIAN BRETHREN CHURCH OF WHITE LAKE</t>
  </si>
  <si>
    <t>HYDRO QUEBEC</t>
  </si>
  <si>
    <t>HYDRO - QUEBEC</t>
  </si>
  <si>
    <t>LA CAISSE DE RETRAITE D'HYDRO QUEBEC</t>
  </si>
  <si>
    <t>HYDRO-QUEBEC AS TRUSTEE OF LA CAISSE DE RETRAITE D'HYDRO-QUEBEC</t>
  </si>
  <si>
    <t>I.G. INVESTMENT MANAGEMENT LTD</t>
  </si>
  <si>
    <t>INVESTORS GROUP INVESTMENT MANAGEMENT LTD AS AGENT GROUP</t>
  </si>
  <si>
    <t>INVESTORS GROUP INVESTMENT MANAGEMENT LTD AS AGENT</t>
  </si>
  <si>
    <t>THE INDEPENDENT ORDER OF FORESTERS (IOF)</t>
  </si>
  <si>
    <t>INDEPENDENT ORDER OF FORESTERS</t>
  </si>
  <si>
    <t>INDUSTRIAL ALLIANCE INSURANCE AND FINANCIAL SERVICES INC</t>
  </si>
  <si>
    <t>INDUSTRIAL ALLIANCE INSURANCE AND FINANCIAL SERVICES INC.</t>
  </si>
  <si>
    <t>INDUSTRIAL ALLIANCE INSURANCE AND F</t>
  </si>
  <si>
    <t>INDUSTRIAL ALLIANCE INSURANCE AND FINANCIAL SEWRVICES INC.</t>
  </si>
  <si>
    <t>INDUSTRIAL ALLIANCE INSURNACE AND FINANCIAL SERVICES INC.</t>
  </si>
  <si>
    <t>INDUSTRIAL ALLIANCE INSURANCE AND FINANCIAL SERVICES  INC.</t>
  </si>
  <si>
    <t>INDUSTRIAL ALLIANCE  INSURANCE AND FINANCIAL SERVICES INC.</t>
  </si>
  <si>
    <t>Industrial Alliance Insurance and Financial Services Inc</t>
  </si>
  <si>
    <t>INDUSTRIAL ALLIANCE INS AND FIN SER</t>
  </si>
  <si>
    <t>TANGERINE BANK</t>
  </si>
  <si>
    <t>TANGERINE BANK (FKA ING BANK OF CANADA (BNSBANK))</t>
  </si>
  <si>
    <t>TANGERINE BANK GT</t>
  </si>
  <si>
    <t>VOYA FLOATING RATE SENIOR LOAN FUND</t>
  </si>
  <si>
    <t>INTACT INVESTMENT LIMITED PARTNERSHIP</t>
  </si>
  <si>
    <t>INTERFOR CORPORATION</t>
  </si>
  <si>
    <t>IRVING PERSONAL CARE LTD</t>
  </si>
  <si>
    <t>IRVING CONSUMER PRODUCTS LIMITED</t>
  </si>
  <si>
    <t>ISLINGTON GOLF CLUB LIMITED</t>
  </si>
  <si>
    <t>JOHN HANCOCK LIFE AND HEALTH INSURANCE COMPANY</t>
  </si>
  <si>
    <t>JOHN HANCOCK LIFE INSURANCE COMPANY - USA</t>
  </si>
  <si>
    <t>JOHN HANCOCK LIFE INSURANCE COMPANY (USA)</t>
  </si>
  <si>
    <t>KEYERA PARTNERSHIP</t>
  </si>
  <si>
    <t>KINGSTON COGEN LIMITED PARTNERSHIP</t>
  </si>
  <si>
    <t>KMC MINING CORPORATION</t>
  </si>
  <si>
    <t>KRUGER ENERGY CHATHAM LIMITED PARTNERSHIP</t>
  </si>
  <si>
    <t>KRUGER ENERGY PORT ALMA LIMITED PARTNERSHIP</t>
  </si>
  <si>
    <t>LAURAS SHOPPE(P V)INC</t>
  </si>
  <si>
    <t>LAURENTIAN BANK OF CANADA</t>
  </si>
  <si>
    <t>LINAMAR CORPORATION</t>
  </si>
  <si>
    <t>LOGIBEC</t>
  </si>
  <si>
    <t>LONDON LIFE INSURANCE COMPANY CSA</t>
  </si>
  <si>
    <t>LONG AND MCQUADE LIMITED</t>
  </si>
  <si>
    <t>LONG &amp; MCQUADE LIMITED</t>
  </si>
  <si>
    <t>LUXLAS FUND LIMITED PARTNERSHIP</t>
  </si>
  <si>
    <t>M. GREAVES HOLDINGS INC.</t>
  </si>
  <si>
    <t>MAJOR DRILLING GROUP INTERNATIONAL INC</t>
  </si>
  <si>
    <t>MAPLE LEAF FOODS INC.</t>
  </si>
  <si>
    <t>MAPLE LEAF FOODS INC</t>
  </si>
  <si>
    <t>MAPLE LEAF SPORTS &amp; ENTERTAINMENT LTD</t>
  </si>
  <si>
    <t>MAPLE LEAF SPORTS AND ENTERTAINMENT</t>
  </si>
  <si>
    <t>MAPLE LEAF SPORTS &amp; ENTERTAINMENT LTD.</t>
  </si>
  <si>
    <t>MCCAIN EUROCENTER NV</t>
  </si>
  <si>
    <t>MCCAIN EUROCENTER N.V.</t>
  </si>
  <si>
    <t>MCCAIN FINANCE (CANADA) LTD.</t>
  </si>
  <si>
    <t>MCCAIN FINANCE (CANADA) LTD</t>
  </si>
  <si>
    <t>MCDOUGALL ENERGY INC</t>
  </si>
  <si>
    <t>MEDICAL PHARMACIES GROUP LIMITED</t>
  </si>
  <si>
    <t>MERCHANT BANK DEVELOPMENTS LIMITED</t>
  </si>
  <si>
    <t>MEX_BANSAN</t>
  </si>
  <si>
    <t>MEX_CSFB</t>
  </si>
  <si>
    <t>MEX_DEUT</t>
  </si>
  <si>
    <t>MEX_HSBC</t>
  </si>
  <si>
    <t>MEX_NAFIN</t>
  </si>
  <si>
    <t>MIDLAND TRANSPORT LIMITED</t>
  </si>
  <si>
    <t>MINAS BASIN INVESTMENTS LIMITED</t>
  </si>
  <si>
    <t>MONCTON INDUSTRIAL DEVELOPMENT LIMITED</t>
  </si>
  <si>
    <t>MOTHER PARKERS TEA AND COFFEE INC</t>
  </si>
  <si>
    <t>MOTHER PARKERS TEA &amp; COFFEE INC.</t>
  </si>
  <si>
    <t>MULTILAND PACIFIC HOLDING LTD</t>
  </si>
  <si>
    <t>MUNICIPAL FINANCE AUTHORITY OF BRITISH COLUMBIA</t>
  </si>
  <si>
    <t>NAGELHAVEN FARMS LTD</t>
  </si>
  <si>
    <t>NEW FLYER INDUSTRIES CANADA ULC</t>
  </si>
  <si>
    <t>NISSAN CANADA INC</t>
  </si>
  <si>
    <t>NISSAN CANADA INC.</t>
  </si>
  <si>
    <t>NOBRA HOLSTEINS INC</t>
  </si>
  <si>
    <t>POLAR MULTI STRATEGY MASTER FUND</t>
  </si>
  <si>
    <t>POLAR MULTI-STRATEGY MASTER FUND</t>
  </si>
  <si>
    <t>NORTH POLE CAPITAL MASTER FUND</t>
  </si>
  <si>
    <t>BLUESHORE FINANCIAL CREDIT UNION</t>
  </si>
  <si>
    <t>NOUVELLE AUTOROUTE 30 S.E.N.C.</t>
  </si>
  <si>
    <t>NOVA SCOTIA COLLEGE OF ARTS AND DESIGN</t>
  </si>
  <si>
    <t>NOVA SCOTIA POWER INC.</t>
  </si>
  <si>
    <t>OCP CREDIT TRUST</t>
  </si>
  <si>
    <t>OCP SENIOR CREDIT FUND</t>
  </si>
  <si>
    <t>ONTARIO POWER GENERATION INC</t>
  </si>
  <si>
    <t>ONTARIO POWER GENERATION INC.</t>
  </si>
  <si>
    <t>ONTARIO TEACHERS PENSION PLAN BOARD</t>
  </si>
  <si>
    <t>ONTARIO TEACHERS PENSION PLAN BOARD.</t>
  </si>
  <si>
    <t>ONTARIO TEACHERS' PENSION PLAN BOARD</t>
  </si>
  <si>
    <t>OTTAWA COMMUNITY ICE PARTNERS</t>
  </si>
  <si>
    <t>PARKLAND INDUSTRIES LTD</t>
  </si>
  <si>
    <t>PEMBINA PIPELINE CORPORATION</t>
  </si>
  <si>
    <t>PENN WEST PETROLEUM LTD</t>
  </si>
  <si>
    <t>Obsidian Energy Limited</t>
  </si>
  <si>
    <t>OBSIDIAN ENERGY LTD</t>
  </si>
  <si>
    <t>PENSION PLAN FOR EMPLOYEES OF SOBEYS INC.</t>
  </si>
  <si>
    <t>THE PENSION PLAN FOR EMPLOYEES OF SOBEYS INC.</t>
  </si>
  <si>
    <t>PEOPLES TRUST COMPANY</t>
  </si>
  <si>
    <t>PEOPLES TRUST COMPANY CHT</t>
  </si>
  <si>
    <t>PILOT INSURANCE COMPANY</t>
  </si>
  <si>
    <t>POSTMEDIA NETWORK INC.</t>
  </si>
  <si>
    <t>PREMIER TECH LTEE</t>
  </si>
  <si>
    <t>PREMIUM BRANDS OPERATING LP</t>
  </si>
  <si>
    <t>PROVINCE OF BRITISH COLUMBIA</t>
  </si>
  <si>
    <t>PROVINCE OF BRITISH COLUMBIA  CSA</t>
  </si>
  <si>
    <t>PROVINCE OF BRITISH COLUMBIA 1</t>
  </si>
  <si>
    <t>PROVINCE OF MANITOBA</t>
  </si>
  <si>
    <t>PROVINCE OF NOVA SCOTIA</t>
  </si>
  <si>
    <t>PROVINCE OF ONTARIO</t>
  </si>
  <si>
    <t>PROVINCE OF SASKATCHEWAN</t>
  </si>
  <si>
    <t>PUBLIC SECTOR PENSION INVESTMENT BOARD</t>
  </si>
  <si>
    <t>Public Sector Pension Plan</t>
  </si>
  <si>
    <t>QSL AVIATION SOCIETE EN COMMANDITE</t>
  </si>
  <si>
    <t>QUEBECOR MEDIA INC</t>
  </si>
  <si>
    <t>QUEBECOR MEDIA INC.</t>
  </si>
  <si>
    <t>LAZARD GLOBAL CREDIT FUND</t>
  </si>
  <si>
    <t>REPATH SUGAR LTD.</t>
  </si>
  <si>
    <t>REDPATH SUGAR LTD</t>
  </si>
  <si>
    <t>REIMER CONSOLIDATED CORP</t>
  </si>
  <si>
    <t>RIOCAN REAL ESTATE INVESTMENT TRUST.</t>
  </si>
  <si>
    <t>RIOCAN REAL ESTATE INVESTMENT TRUST..</t>
  </si>
  <si>
    <t>RIOCAN REAL ESTATE INVESTMENT TRUST</t>
  </si>
  <si>
    <t>ROCKY MOUNTAIN DEALERSHIPS INC</t>
  </si>
  <si>
    <t>ROGERS COMMUNICATIONS INC</t>
  </si>
  <si>
    <t>ROGERS COMMUNICATIONS INC.</t>
  </si>
  <si>
    <t>ROSS CREEK RANCHING LTD</t>
  </si>
  <si>
    <t>ROYAL CANADIAN PROPERTIES LIMITED</t>
  </si>
  <si>
    <t>RUST BUSTERS INC</t>
  </si>
  <si>
    <t>SCITI ROCS TRUST</t>
  </si>
  <si>
    <t>SOBEY DONALD R AND ELIZABETH H</t>
  </si>
  <si>
    <t>SOBEYS INC</t>
  </si>
  <si>
    <t>SOBEYS INC.</t>
  </si>
  <si>
    <t>ST MARYS CEMENT INC (CANADA)</t>
  </si>
  <si>
    <t>ST MARYS CEMENT INC</t>
  </si>
  <si>
    <t>STRATEGIC INCOME ALLOCATION FUND</t>
  </si>
  <si>
    <t>SUN LIFE ASSURANCE COMPANY OF CANADA</t>
  </si>
  <si>
    <t>SUN LIFE ASSURANCE COMP OF CANADA</t>
  </si>
  <si>
    <t>SUN LIFE - BLOCK TRADE</t>
  </si>
  <si>
    <t>SUN LIFE ASSURANCE COMPANY OF CANADA CDEA</t>
  </si>
  <si>
    <t>SUN LIFE INSURANCE CANADA LIMITED CDEA</t>
  </si>
  <si>
    <t>SUN LIFE INSURANCE (CANADA) LIMITED</t>
  </si>
  <si>
    <t>SUPERIOR PLUS LP</t>
  </si>
  <si>
    <t>SUPERIOR PLUS L.P.</t>
  </si>
  <si>
    <t>SYMPHONY FLOATING RATE SENIOR LOAN FUND</t>
  </si>
  <si>
    <t>TECK RESOURCES LIMITED</t>
  </si>
  <si>
    <t>TECK RESOURCES LIMITED GROUP</t>
  </si>
  <si>
    <t>TECK RESOURCES LTD</t>
  </si>
  <si>
    <t>TECK CORPORATION</t>
  </si>
  <si>
    <t>TELUS CORPORATION</t>
  </si>
  <si>
    <t>TERANET HOLDINGS LP</t>
  </si>
  <si>
    <t>THE CANADA LIFE INSURANCE COMPANY OF CANADA</t>
  </si>
  <si>
    <t>THE CANADA LIFE INSURANCE COMPANY OF CANADA CSA</t>
  </si>
  <si>
    <t>CANADIAN NATIONAL INSTITUTE</t>
  </si>
  <si>
    <t>THE CANADIAN NATIONAL INSTITUTE FOR THE BLIND</t>
  </si>
  <si>
    <t>EQUITABLE BANK</t>
  </si>
  <si>
    <t>EQUITABLE BANK CASH ACCOUNT</t>
  </si>
  <si>
    <t>THE INTERNATIONAL GROUP INC</t>
  </si>
  <si>
    <t>THE INTERNATIONAL GROUP, INC.</t>
  </si>
  <si>
    <t>INTERNATIONAL GROUP INC.</t>
  </si>
  <si>
    <t>THE MANUFACTURERS LIFE INSURANCE COMPANY</t>
  </si>
  <si>
    <t>THE SHAW GROUP LIMITED</t>
  </si>
  <si>
    <t>THE SHAW GROUP LTD</t>
  </si>
  <si>
    <t>BROADRIDGE FINANCIAL SOLUTIONS INC</t>
  </si>
  <si>
    <t>THE TOWER CORPORATE CAMPUS INCORPORATED</t>
  </si>
  <si>
    <t>TOURMALINE OIL CORP.</t>
  </si>
  <si>
    <t>TOURMALINE OIL CORP</t>
  </si>
  <si>
    <t>1275 RYMAL ROAD INC GROUP</t>
  </si>
  <si>
    <t>TRANSALTA CORPORATION</t>
  </si>
  <si>
    <t>TRANSCANADA PIPELINES LIMITED</t>
  </si>
  <si>
    <t>TRANSCONTINENTAL INC</t>
  </si>
  <si>
    <t>TRICAN WELL SERVICE LTD</t>
  </si>
  <si>
    <t>TRICAN WELL SERVICE LIMITED</t>
  </si>
  <si>
    <t>TRILOGY ENERGY</t>
  </si>
  <si>
    <t>PARAMOUNT RESOURCES (TEC) LTD.</t>
  </si>
  <si>
    <t>TUSCANY INTERNATIONAL DRILLING INC</t>
  </si>
  <si>
    <t>VAC AERO INTERNATIONAL INC</t>
  </si>
  <si>
    <t>VANCOUVER CITY SAVINGS CREDIT UNION</t>
  </si>
  <si>
    <t>VIDEOTRON LTEE</t>
  </si>
  <si>
    <t>VITERRA INC</t>
  </si>
  <si>
    <t>VITERRA INC.</t>
  </si>
  <si>
    <t>WAKEFIELD CANADA INC</t>
  </si>
  <si>
    <t>WAKEFIELD CANADA INC.</t>
  </si>
  <si>
    <t>WHITECAP RESOURCES INC</t>
  </si>
  <si>
    <t>WILLIAM DAY CONSTRUCTION LIMITED</t>
  </si>
  <si>
    <t>WINNIPEG JETS HOCKEY CLUB LIMITED PARTNERSHIP</t>
  </si>
  <si>
    <t>WINNIPEG JETS HOCKEY CLUB LP</t>
  </si>
  <si>
    <t>WOODBINE ENTERTAINMENT GROUP</t>
  </si>
  <si>
    <t>YIELD ADVANTAGE INCOME TRUST</t>
  </si>
  <si>
    <t>CREDIT SUISSE AG LONDON</t>
  </si>
  <si>
    <t>CREDIT SUISSE AG</t>
  </si>
  <si>
    <t>CREDIT SUISSE FIRST BOSTON NEW YORK BRANCH</t>
  </si>
  <si>
    <t>CREDIT SUISSE AG CAYMAN</t>
  </si>
  <si>
    <t>CREDIT SUISSE AG LONDON (GROUP TREASURY)</t>
  </si>
  <si>
    <t>CREDIT SUISSE</t>
  </si>
  <si>
    <t>CREDIT SUISSE GLOBAL FOREIGN EXCHANGE</t>
  </si>
  <si>
    <t>CREDIT SUISSE AGENCY CAYMAN</t>
  </si>
  <si>
    <t>CREDIT SUISSE AG SINGAPORE</t>
  </si>
  <si>
    <t>UBS AG SYDNEY (GROUP TREASURY)</t>
  </si>
  <si>
    <t>UNION BANK OF SWITZERLAND NEW YORK</t>
  </si>
  <si>
    <t>UBS AG LONDON-SIF</t>
  </si>
  <si>
    <t>UBS AG,ZURICH BRANCH FX OPTIONS</t>
  </si>
  <si>
    <t>UBS ZURICH</t>
  </si>
  <si>
    <t>UBS AG LONDON</t>
  </si>
  <si>
    <t>UBS AGM-LONDON-(ASIA PACIFIC RIM)</t>
  </si>
  <si>
    <t>UBS AG HQ</t>
  </si>
  <si>
    <t>UBS, AG LDN, PM</t>
  </si>
  <si>
    <t>UBS (SECURITISATION)</t>
  </si>
  <si>
    <t>UBS AG  ZURICH</t>
  </si>
  <si>
    <t>UBS AG GLOBAL EQUITY FINANCE</t>
  </si>
  <si>
    <t>UBS AG  LONDON (GROUP TREASURY)</t>
  </si>
  <si>
    <t>UBS AG, ZURICH</t>
  </si>
  <si>
    <t>UBS AG ZURICH</t>
  </si>
  <si>
    <t>UBS AG (UBSWCHZH80A),</t>
  </si>
  <si>
    <t>CENCOSUD S.A.</t>
  </si>
  <si>
    <t>EMPRESA ELECTRICA GUACOLDA S.A</t>
  </si>
  <si>
    <t>MONEDA LATAM CORPORATE BOND FUND</t>
  </si>
  <si>
    <t>SQM INVESTMENT CORPORATION NV</t>
  </si>
  <si>
    <t>TRANSELEC HOLDINGS RENTAS LTDA</t>
  </si>
  <si>
    <t>BANCOLOMBIA</t>
  </si>
  <si>
    <t>BANCOLOMBIA S.A</t>
  </si>
  <si>
    <t>BANCOLOMBIA S.A.</t>
  </si>
  <si>
    <t>PRICESMART COLOMBIA S.A.S</t>
  </si>
  <si>
    <t>DEKABANK DEUTSCHE GIROZENTRALE</t>
  </si>
  <si>
    <t>DEKABANK DEUTSCHE GIROZENTRALE GLOBAL EQUITY FINANCE</t>
  </si>
  <si>
    <t>UNICREDIT BANK AG</t>
  </si>
  <si>
    <t>UNICREDIT BANK AG HONG KONG</t>
  </si>
  <si>
    <t>UNICREDIT BANK AG TOKYO</t>
  </si>
  <si>
    <t>UNICREDIT BANK AG MILAN</t>
  </si>
  <si>
    <t>BAYERISCHE HYPO-UND VEREINSBANK AG LONDON</t>
  </si>
  <si>
    <t>UNICREDIT BANK AG MUNICH</t>
  </si>
  <si>
    <t>Bayerische Hypo Und Vereinsbank AG</t>
  </si>
  <si>
    <t>BAYERISCHE HYPO-UND VEREINSBK AG MUNICH</t>
  </si>
  <si>
    <t>UNICREDIT BANK AG LONDON</t>
  </si>
  <si>
    <t>UNICREDIT BANK AG NY</t>
  </si>
  <si>
    <t>UNICREDIT BANK AG SINGAPORE</t>
  </si>
  <si>
    <t>BAYERISCHE HYPO-UND VERINSBANK AG MUNICH</t>
  </si>
  <si>
    <t>UNICREDIT BANK AG GT</t>
  </si>
  <si>
    <t>UNICREDIT BANK AG (HYPOVEREINSBANK)</t>
  </si>
  <si>
    <t>HSBC FRANCE</t>
  </si>
  <si>
    <t>HSBC FRANCE PARIS</t>
  </si>
  <si>
    <t>HSBC FRANCE GROUP TREASURY</t>
  </si>
  <si>
    <t>MTF_HSBC CONTINENTAL EUROPE</t>
  </si>
  <si>
    <t>Natixis S.A.</t>
  </si>
  <si>
    <t>NATIXIS SA LONDON</t>
  </si>
  <si>
    <t>NATIXIS SA FRANKFURT</t>
  </si>
  <si>
    <t>NATIXIS SA PARIS</t>
  </si>
  <si>
    <t>NATIXIS S.A SBLC</t>
  </si>
  <si>
    <t>NATIXIS S.A.</t>
  </si>
  <si>
    <t>NATIXIS</t>
  </si>
  <si>
    <t>NATIXIS SA</t>
  </si>
  <si>
    <t>NATIXIS SA GLOBAL EQUITY FINANCE</t>
  </si>
  <si>
    <t>NATIXIS S.A</t>
  </si>
  <si>
    <t>NATIXIS TAIPEI BRANCH</t>
  </si>
  <si>
    <t>ABP ACQUISITIONS UK LIMITED PARI PASSU</t>
  </si>
  <si>
    <t>ABP ACQUISITIONS UK LIMITED SUPER SENIOR SECURED</t>
  </si>
  <si>
    <t>BP INTERNATIONAL LTD</t>
  </si>
  <si>
    <t>BP INTERNATIONAL LTD.</t>
  </si>
  <si>
    <t>HSBC BANK PLC</t>
  </si>
  <si>
    <t>HSBC Bank PLC</t>
  </si>
  <si>
    <t>HSBC SEOUL BRANCH (THANACHART)</t>
  </si>
  <si>
    <t>HSBC PANK PLC ALLOCATED</t>
  </si>
  <si>
    <t>HSBC Bank Plc</t>
  </si>
  <si>
    <t>HSBC BANK PLC GLOBAL EQUITY FINANCE</t>
  </si>
  <si>
    <t>HSBC BANK PLC LONDON (GROUP TREASURY)</t>
  </si>
  <si>
    <t>HSBC BANK PLC LONDON</t>
  </si>
  <si>
    <t>HSBC LONDON</t>
  </si>
  <si>
    <t>HSBC BANK PLC, LONDON</t>
  </si>
  <si>
    <t>ING BANK N.V. PARIS</t>
  </si>
  <si>
    <t>ING BANK N.V. HONG KONG</t>
  </si>
  <si>
    <t>ING BANK N.V. SINGAPORE</t>
  </si>
  <si>
    <t>ING BANK N.V.-LONDON-(ASIA PACIFIC RIM)</t>
  </si>
  <si>
    <t>ING BANK N.V.</t>
  </si>
  <si>
    <t>ING BANK N.V. MADRID</t>
  </si>
  <si>
    <t>ING Bank NV</t>
  </si>
  <si>
    <t>ING BANK NV</t>
  </si>
  <si>
    <t>ING Bank N. V.</t>
  </si>
  <si>
    <t>ING BANK N.V. SEOUL</t>
  </si>
  <si>
    <t>ING BANK N.V. GLOBAL EQUITY FINANCE</t>
  </si>
  <si>
    <t>ING WHOLESALE BANKING</t>
  </si>
  <si>
    <t>ING BANK, AMSTERDAM-HK DESK</t>
  </si>
  <si>
    <t>ING BANK N.V.  (AMSTERDAM)</t>
  </si>
  <si>
    <t>ING BANK N.V. LONDON</t>
  </si>
  <si>
    <t>ING BANK N.V. REPO</t>
  </si>
  <si>
    <t>ING BANK,</t>
  </si>
  <si>
    <t>INTESA SANPAOLO SPA LONDON</t>
  </si>
  <si>
    <t>INTESA SANPAOLO SPA</t>
  </si>
  <si>
    <t>INTESA SANPAOLO SPA SINGAPORE</t>
  </si>
  <si>
    <t>INTESA SANPAOLO SPA TOKYO</t>
  </si>
  <si>
    <t>INTESA SANPAOLO SPA NEW YORK</t>
  </si>
  <si>
    <t>BANCA IMI SPA</t>
  </si>
  <si>
    <t>INTESA SANPAOLO SPA MILAN</t>
  </si>
  <si>
    <t>INTESA SANPAOLO S.P.A. (FORMERLY KNOWN AS BANCA IMI S.P.A)</t>
  </si>
  <si>
    <t>INTESABCI SPA</t>
  </si>
  <si>
    <t>INTESA SANPAOLO SPA HONG KONG</t>
  </si>
  <si>
    <t>INTESA SAN PAOLO</t>
  </si>
  <si>
    <t>INTESSA BCI LC LINE</t>
  </si>
  <si>
    <t>INTESA SANPAOLO</t>
  </si>
  <si>
    <t>INTESA BCI SPA</t>
  </si>
  <si>
    <t>LLOYDS BANK PLC  LONDON</t>
  </si>
  <si>
    <t>LLOYDS BANK PLC SWITZERLAND</t>
  </si>
  <si>
    <t>LLOYDS BANK PLC</t>
  </si>
  <si>
    <t>LLOYDS TSB BANK PLC</t>
  </si>
  <si>
    <t>LLOYDS BANK PLC GROUP TREASURY</t>
  </si>
  <si>
    <t>LLOYDS BANK PLC NEW YORK</t>
  </si>
  <si>
    <t>NOMURA INTERNATIONAL PLC</t>
  </si>
  <si>
    <t>Nomura Intl PLC</t>
  </si>
  <si>
    <t>NOMURA INTERNATIONAL PLC.</t>
  </si>
  <si>
    <t>Nomura International PLC</t>
  </si>
  <si>
    <t>NOMURA INTERNACIONAL PLC</t>
  </si>
  <si>
    <t>NOMURA INTERNATIONAL PLC-LONDON-(ASIA PACIFIC RIM)</t>
  </si>
  <si>
    <t>ROLLS ROYCE PLC</t>
  </si>
  <si>
    <t>HONKONG AND SHANGHAI BANKING CORPORATION LTD</t>
  </si>
  <si>
    <t>HONG KONG &amp; SHANGHAI BANKING CORP.</t>
  </si>
  <si>
    <t>HONG KONG AND SHANGHAI BANKING CORPORATION LIMITED</t>
  </si>
  <si>
    <t>HONG KONG &amp; SHANGHAI BANKING CORPORATION NEW YOR</t>
  </si>
  <si>
    <t>HONG KONG SHANGHAI BANKING CORP. TOKYO</t>
  </si>
  <si>
    <t>HONG KONG &amp; SHANGHAI BANKING CORP</t>
  </si>
  <si>
    <t>HONGKONG AND SHANGHAI BKG CORP</t>
  </si>
  <si>
    <t>HONG KONG AND SHANGHAI BANKING CORP SYDNEY</t>
  </si>
  <si>
    <t>HONK KONG &amp; SHANGHAI BANKING CORP.</t>
  </si>
  <si>
    <t>HSBC SEOUL.</t>
  </si>
  <si>
    <t>HSBC - BANGKOK BRANCH (THANACHART)</t>
  </si>
  <si>
    <t>THE HONG KONG AND SHANGHAI BANKING CORPORATION LIMITED</t>
  </si>
  <si>
    <t>HSBC HK</t>
  </si>
  <si>
    <t>HONG KONG &amp; SHANGHAI BANKING CORP (THAILAND BRANCH)</t>
  </si>
  <si>
    <t>HONG KONG &amp; SHANGHAI BANKING CORP (HONG KONG BRANCH)</t>
  </si>
  <si>
    <t>HONG KONG &amp; SHANGHAI BANKING CORP (KOREA BRANCH)</t>
  </si>
  <si>
    <t>HONGKONG &amp; SHANGHAI BANKING CORP.</t>
  </si>
  <si>
    <t>HONG KONG &amp; SHANGHAI BANKINGCORP  LONDON</t>
  </si>
  <si>
    <t>HONG KONG SHANGHAI BANKING CORP. SINGAPORE</t>
  </si>
  <si>
    <t>HONG KONG &amp; SHANGHAI BANKING CORP (BNS MUMBAI)</t>
  </si>
  <si>
    <t>HONGKONG &amp; SHANGHAI BANKING CORPORATION-BANGKOK-(ASIA PACIFI</t>
  </si>
  <si>
    <t>HONGKONG &amp; SHANGHAI BANKING CORPORATION-HONGKONG-(ASIA PACIF</t>
  </si>
  <si>
    <t>HONGKONG &amp; SHANGHAI BANKING CORPORATION  SEOUL (ASIAN PACIFI</t>
  </si>
  <si>
    <t>HONGKONG &amp; SHANGHAI BANKING CORPORATION-SINGAPORE-(ASIA PACI</t>
  </si>
  <si>
    <t>AIRCRAFT RENTAL LEASING COMPANY LIMITED</t>
  </si>
  <si>
    <t>CORP AIRCRAFT LEASING COMPANY LIMITED</t>
  </si>
  <si>
    <t>GLOBAL JET AIRCRAFT LEASING COMPANY</t>
  </si>
  <si>
    <t>ITAU BANK LTD CDEA</t>
  </si>
  <si>
    <t>ITAU BANK LTD</t>
  </si>
  <si>
    <t>ANALISTAS DE RECURSOS GLOBALES SAPI DE CV</t>
  </si>
  <si>
    <t>BANCO NACIONAL DE OBRAS Y SERVICIOS PUBLICOS, S.N.C.</t>
  </si>
  <si>
    <t>BANCO NACIONAL DE OBRAS Y SERVICIOS</t>
  </si>
  <si>
    <t>BANCO NACIONAL DE OBRAS Y SERVICIOS PUBLICOS SOCIEDAD NACIONAL DE CREDITO INSTITUCION DE BANCA DE DESARROLLO</t>
  </si>
  <si>
    <t>BBVA BANCOMER, S.A. INSTITUCION DE BANCA MULTIPLE, GRUPO FINANCIERO BBVA BANCOME</t>
  </si>
  <si>
    <t>BBVA MEXICO S A INSTITUCION DE BANCA MULTIPLE GRUPO FINANCIERO BBVA MEXICO</t>
  </si>
  <si>
    <t>BBVA BANCOMER SA</t>
  </si>
  <si>
    <t>BBVA BANCOMER SA INSTITUCION DE BANCA MULTIPLE GRUPO FINANCIERO BBVA</t>
  </si>
  <si>
    <t>BBVA MEXICO SA</t>
  </si>
  <si>
    <t>CENTRAL BANK OF MEXICO STF</t>
  </si>
  <si>
    <t>CENTRAL BANK OF MEXICO STF....</t>
  </si>
  <si>
    <t>BANCO DE MEXICO</t>
  </si>
  <si>
    <t>CRYOINFRA SA DE CV</t>
  </si>
  <si>
    <t>CRYOINFRA S.A. DE C.V.</t>
  </si>
  <si>
    <t>FACTORING CORPORATIVO SA DE CV SOFOM E.N.R.</t>
  </si>
  <si>
    <t>FACTORING CORPORATIVO SA DE CV SOFOM ER</t>
  </si>
  <si>
    <t>HERRAMIENTAS Y SERVICIOS AUTOMOTRICES SA DE CV</t>
  </si>
  <si>
    <t>HSBC MEXICO, S.A.</t>
  </si>
  <si>
    <t>HSBC MEXICO SA INSTITUCION DE BANCA MULTIPLE GRUPO FINANCIERO HSBC</t>
  </si>
  <si>
    <t>ING BANK (MEXICO), S.A. INSTITUCION DE BANCA MULTIPLE, ING GRUPO FINANCIERO</t>
  </si>
  <si>
    <t>MONTEPIO LUZ SAVI¿ON, IAP</t>
  </si>
  <si>
    <t>MONTEPIO LUZ SAVINON IAP</t>
  </si>
  <si>
    <t>ZAPOPAN</t>
  </si>
  <si>
    <t>OSPAME DE HIDALGO SA DE CV</t>
  </si>
  <si>
    <t>PETROLEOS MEXICANOS</t>
  </si>
  <si>
    <t>PEMEX</t>
  </si>
  <si>
    <t>TRUST F242896</t>
  </si>
  <si>
    <t>ROYAL BANK OF SCOTLAND NV HONGKONG</t>
  </si>
  <si>
    <t>ROYAL BANK OF SCOTLAND NV MILAN</t>
  </si>
  <si>
    <t>ROYAL BANK OF SCOTLAND NV SEOUL</t>
  </si>
  <si>
    <t>ROYAL BANK OF SCOTLAND NV SINGAPORE</t>
  </si>
  <si>
    <t>ROYAL BANK OF SCOTLAND NV STOCKHOLM</t>
  </si>
  <si>
    <t>ROYAL BANK OF SCOTLAND NV SYDNEY</t>
  </si>
  <si>
    <t>ROYAL BANK OF SCOTLAND NV NEW YORK</t>
  </si>
  <si>
    <t>ROYAL BANK OF SCOTLAND NV</t>
  </si>
  <si>
    <t>ROYAL BANK OF SCOTLAND NV CANADA</t>
  </si>
  <si>
    <t>ROYAL BANK OF SCOTLAND NV DUBLIN</t>
  </si>
  <si>
    <t>ROYAL BANK OF SCOTLAND NV AMSTERDAM</t>
  </si>
  <si>
    <t>ROYAL BANK OF SCOTLAND NV ROTTERDAM</t>
  </si>
  <si>
    <t>ROYAL BANK OF SCOTLAND NV MUMBAI</t>
  </si>
  <si>
    <t>ROYAL BANK OF SCOTLAND NV TAIPEI</t>
  </si>
  <si>
    <t>ROYAL BANK OF SCOTLAND NV ZURICH</t>
  </si>
  <si>
    <t>ROYAL BANK OF SCOTLAND NV TOKYO</t>
  </si>
  <si>
    <t>ROYAL BANK OF SCOTLAND NV CAYMAN ISLAND</t>
  </si>
  <si>
    <t>ROYAL BANK OF SCOTLAND NV CANADA BRANCH</t>
  </si>
  <si>
    <t>ROYAL BANK OF SCOTLAND NV CHICAGO</t>
  </si>
  <si>
    <t>ROYAL BANK OF SCOTLAND NV GLOBAL EQUITY FINANCE</t>
  </si>
  <si>
    <t>BHP BILLITON FINANCE B.V.</t>
  </si>
  <si>
    <t>BHP BILLITON FINANCE BV</t>
  </si>
  <si>
    <t>ING CAPITAL MARKETS LLC</t>
  </si>
  <si>
    <t>ING Capital Markets  LLC</t>
  </si>
  <si>
    <t>UNION ANDINA DE CEMENTOS S.A.A.</t>
  </si>
  <si>
    <t>CLINICA JESUS DEL NORTE</t>
  </si>
  <si>
    <t>CLINICA SAN GABRIEL</t>
  </si>
  <si>
    <t>EDEGEL S A A</t>
  </si>
  <si>
    <t>QUIMPAC S A</t>
  </si>
  <si>
    <t>UNION DE CONCRETERAS S.A.</t>
  </si>
  <si>
    <t>WPR GROUP</t>
  </si>
  <si>
    <t>AB SVENSK EXPORTKREDIT</t>
  </si>
  <si>
    <t>AN SVENSK EXPORTKREDIT</t>
  </si>
  <si>
    <t>INTERNATIONAL BANK FOR RECONSTRUCTION &amp; DEVELOPMENT</t>
  </si>
  <si>
    <t>INTERNATIONAL BANK FOR RECONSTRUCTION AND DEVELOPMENT</t>
  </si>
  <si>
    <t>AUTOFACIL DE PANAMA SA DE CV</t>
  </si>
  <si>
    <t>AST PRUDENTIAL CORE BOND PORTFOLIO</t>
  </si>
  <si>
    <t>AECOM</t>
  </si>
  <si>
    <t>AG ENERGY CO-OPERATIVE LTD</t>
  </si>
  <si>
    <t>SOUTHERN COMPANY GAS</t>
  </si>
  <si>
    <t>AIG MARKETS INC CDEA</t>
  </si>
  <si>
    <t>AIG MARKETS INC.</t>
  </si>
  <si>
    <t>AIG MARKETS INC</t>
  </si>
  <si>
    <t>ALABAMA POWER COMPANY</t>
  </si>
  <si>
    <t>ALTRIA GROUP INC.</t>
  </si>
  <si>
    <t>ALTRIA GROUP, INC.</t>
  </si>
  <si>
    <t>ALTRIA GROUP INC GROUP</t>
  </si>
  <si>
    <t>AMERICAN ELECTRIC POWER COMPANY INC</t>
  </si>
  <si>
    <t>ANNALY CAPITAL MANAGEMENT INC - VCON BLOCK ETRADING</t>
  </si>
  <si>
    <t>APPALACHIAN POWER COMPANY</t>
  </si>
  <si>
    <t>AQR ABSOLUTE RETURN MASTER ACCOUNT LP</t>
  </si>
  <si>
    <t>ARIZONA PUBLIC SERVICE COMPANY</t>
  </si>
  <si>
    <t>ARMSTRONG WOOD PRODUCTS INC</t>
  </si>
  <si>
    <t>ARROW ELECTRONICS, INC.</t>
  </si>
  <si>
    <t>ARROW ELECTRONICS INC</t>
  </si>
  <si>
    <t>PACIFIC INVESTMENT MANAGEMENT COMPANY LLC, SOLELY IN ITS CAPACITY AS ADVISOR ON BEHALF OF  ADVANCED SERIES TRUST - AST ADVANCED STRATEGIES PORTFOLIO (HEDGED INTERNATIONAL BOND)</t>
  </si>
  <si>
    <t>PACIFIC INVESTMENT MANAGEMENT COMPANY LLC, SOLELY IN ITS CAPACITY AS ADVISOR ON BEHALF OF  ADVANCED SERIES TRUST - AST ADVANCED STRATEGIES PORTFOLIO (U.S. FIXED INCOME)</t>
  </si>
  <si>
    <t>PACIFIC INVESTMENT MANAGEMENT COMPANY LLC, SOLELY IN ITS CAPACITY AS ADVISOR ON BEHALF OF  ADVANCED SERIES TRUST - AST ADVANCED STRATEGIES PORTFOLIO (ADVANCED STRATEGIES I)</t>
  </si>
  <si>
    <t>ADVANCED SERIES TRUST AST ADVANCED STRATEGIES PORTFOLIO</t>
  </si>
  <si>
    <t>AST INVESTMENT GRADE BOND PORTFOLIO</t>
  </si>
  <si>
    <t>ATHLON FE ENERGY OPERATING LLC</t>
  </si>
  <si>
    <t>AVNET INC</t>
  </si>
  <si>
    <t>BARCLAYS CAPITAL INC (REPOS)</t>
  </si>
  <si>
    <t>BARCLAYS CAPITAL MEXICO</t>
  </si>
  <si>
    <t>Barclays Capital Inc</t>
  </si>
  <si>
    <t>BARCLAYS CAPITAL LONDON</t>
  </si>
  <si>
    <t>BARCLAYS CAPITAL, INC.</t>
  </si>
  <si>
    <t>BERRY PETROLEUM COMPANY LLC</t>
  </si>
  <si>
    <t>HIGHPOINT OPERATING CORPORATION</t>
  </si>
  <si>
    <t>BIRD 2000 LP</t>
  </si>
  <si>
    <t>BROWN FORMAN CORP</t>
  </si>
  <si>
    <t>BROWN FORMAN CORPORATION</t>
  </si>
  <si>
    <t>JD DEVELOPMENT 254 PHILLIP STREET LTD GROUP</t>
  </si>
  <si>
    <t>CA INC.</t>
  </si>
  <si>
    <t>CA INC</t>
  </si>
  <si>
    <t>CARDINAL HEALTH INC</t>
  </si>
  <si>
    <t>CARDINAL HEALTH INC.</t>
  </si>
  <si>
    <t>CARMAX AUTO SUPERSTORES INC</t>
  </si>
  <si>
    <t>CHAPARRAL ENERGY LLC</t>
  </si>
  <si>
    <t>CHEMTRADE LOGISTICS (US) INC.</t>
  </si>
  <si>
    <t>CHEMTRADE LOGISTICS (U.S.) INC INCTR</t>
  </si>
  <si>
    <t>CHEMTRADE SULFUR US HOLDINGS INC</t>
  </si>
  <si>
    <t>CHEMTRADE SULPHUR US HOLDINGS LLC</t>
  </si>
  <si>
    <t>CHURCH &amp; DWIGHT CO INC</t>
  </si>
  <si>
    <t>CITADEL QFIC MASTER FUND LTD CDEA</t>
  </si>
  <si>
    <t>CITATION 2002 INVESTMENT LLC</t>
  </si>
  <si>
    <t>CME GROUP</t>
  </si>
  <si>
    <t>COMEX DELIVERY ACCOUNT</t>
  </si>
  <si>
    <t>CMFG LIFE INSURANCE COMPANY</t>
  </si>
  <si>
    <t>CMFG LIFE INSURANCE COMPANY VCON BLOCK ETRADING</t>
  </si>
  <si>
    <t>COMPASS MINERALS INTERNATIONAL INC</t>
  </si>
  <si>
    <t>COMSCOPE INC</t>
  </si>
  <si>
    <t>SANCHEZ PRODUCTION PARTNERS LP</t>
  </si>
  <si>
    <t>CONSTELLATION TRADING COMPANY INC</t>
  </si>
  <si>
    <t>CONSTELLATION TRADING COMPANY, INC.</t>
  </si>
  <si>
    <t>CONSTELLATION TRADING CO. INC.</t>
  </si>
  <si>
    <t>CONSUMERS ENERGY COMPANY</t>
  </si>
  <si>
    <t>COVIDIEN INTERNATIONAL FINANCE S.A.</t>
  </si>
  <si>
    <t>COVIDIEN INTERNATIONAL FINANCE SA</t>
  </si>
  <si>
    <t>Credit Suisse Securities USA LLC</t>
  </si>
  <si>
    <t>CREDIT SUISSE SECURITIES (USA) LLC</t>
  </si>
  <si>
    <t>CREDIT SUISSE SECURITIES (USA) LLC REPOS GROUP</t>
  </si>
  <si>
    <t>CRIMSON GULF LLC</t>
  </si>
  <si>
    <t>CSC HOLDINGS LLC (RESTRICTED GROUP)</t>
  </si>
  <si>
    <t>CUMIS INSURANCE SOCIETY INC</t>
  </si>
  <si>
    <t>DCOR LLC</t>
  </si>
  <si>
    <t>D.E. Shaw Valence Portfolios L.L.C.</t>
  </si>
  <si>
    <t>DE SHAW VALENCE PORTFOLIOS LLC</t>
  </si>
  <si>
    <t>DE Shaw Valence Portfolios LLC</t>
  </si>
  <si>
    <t>DENBURY RESOURCES INC</t>
  </si>
  <si>
    <t>DENTSPLY SIRONA INC.</t>
  </si>
  <si>
    <t>DIGITAL REALTY TRUST L.P.</t>
  </si>
  <si>
    <t>DIGITAL SINGAPORE JURONG EAST PTE LTD</t>
  </si>
  <si>
    <t>DIGITAL SINGAPORE JURONG EAST PTE. LTD</t>
  </si>
  <si>
    <t>DOLE FOOD COMPANY INC</t>
  </si>
  <si>
    <t>DR PEPPER SNAPPLE GROUP INC.</t>
  </si>
  <si>
    <t>DUKE ENERGY CAROLINAS LLC</t>
  </si>
  <si>
    <t>DUKE ENERGY CORPORATION</t>
  </si>
  <si>
    <t>DUKE ENERGY INDIANA LLC</t>
  </si>
  <si>
    <t>EAGLE ROCK ENERGY PARTNERS L.P.</t>
  </si>
  <si>
    <t>ENCORE ENERGY  PARTNERS OPERATING LLC</t>
  </si>
  <si>
    <t>ERSTE GROUP BANK AG</t>
  </si>
  <si>
    <t>EV PROPERTIES LP</t>
  </si>
  <si>
    <t>EV PROPERTIES, L.P.</t>
  </si>
  <si>
    <t>EXCO RESOURCES INC</t>
  </si>
  <si>
    <t>EXELON CORPORATION</t>
  </si>
  <si>
    <t>EXELON CORPORATION RETIREMEN6605</t>
  </si>
  <si>
    <t>FREDDIE MAC - ETRADING BLOCK</t>
  </si>
  <si>
    <t>FIRST QUALITY TISSUE LLC</t>
  </si>
  <si>
    <t>FIRST TRUST ENERGY INFRASTRUCTURE FUND BLOCK CDEA</t>
  </si>
  <si>
    <t>FIXED INCOME CLEARING CORPORATION</t>
  </si>
  <si>
    <t>FLORIDA POWER AND LIGHT COMPANY</t>
  </si>
  <si>
    <t>FLORIDA POWER &amp; LIGHT COMPANY</t>
  </si>
  <si>
    <t>FORD GLOBAL TREASURY INC</t>
  </si>
  <si>
    <t>FORD GLOBAL TREASURY INC.</t>
  </si>
  <si>
    <t>FORD MOTOR COMPANY DEFINED BENEFIT</t>
  </si>
  <si>
    <t>FOREST OIL CORPORATION</t>
  </si>
  <si>
    <t>FRESENIUS MEDICAL CARE HOLDINGS INC</t>
  </si>
  <si>
    <t>GEORGIA POWER COMPANY</t>
  </si>
  <si>
    <t>GRAFTECH MEXICO SA DE CV</t>
  </si>
  <si>
    <t>GRAFTEC MEXICO SA DE CV</t>
  </si>
  <si>
    <t>GULF POWER COMPANY</t>
  </si>
  <si>
    <t>HALLIBURTON COMPANY</t>
  </si>
  <si>
    <t>HALLIBURTON COMPANY- NDF</t>
  </si>
  <si>
    <t>HANESBRANDS INC.</t>
  </si>
  <si>
    <t>HANESBRANDS INC</t>
  </si>
  <si>
    <t>HASBRO, INC.</t>
  </si>
  <si>
    <t>HASBRO INC</t>
  </si>
  <si>
    <t>HEALTHPEAK PROPERTIES, INC</t>
  </si>
  <si>
    <t>HUNT OIL COMPANY</t>
  </si>
  <si>
    <t>HUTCHIN HILL CAPITAL PRIMARY FUND LTD CDEA</t>
  </si>
  <si>
    <t>HYATT HOTELS CORPORATION</t>
  </si>
  <si>
    <t>ILWU PMA PENSION PLAN CORE FIXED INCOME ACCOUNT</t>
  </si>
  <si>
    <t>INDIANA MICHIGAN POWER COMPANY</t>
  </si>
  <si>
    <t>INDIGOLD CARBON USA INC</t>
  </si>
  <si>
    <t>ING BELGIUM SA/NV</t>
  </si>
  <si>
    <t>THE PRUDENTIAL INSURANCE COMPANY OF AMERICA: SEPARTE ACCOUNT - ASSET/ LIABILITY PORTFOLIO</t>
  </si>
  <si>
    <t>THE PRUDENTIAL INSURANCE COMPANY OF AMERICA: SEPARTE ACCOUNT - ASSET / LIBAILITYPORTFOLIO 2</t>
  </si>
  <si>
    <t>INTERNATIONAL FINANCE CORPORATION</t>
  </si>
  <si>
    <t>IRON MOUNTAIN INCORPORATION</t>
  </si>
  <si>
    <t>JABIL INC.</t>
  </si>
  <si>
    <t>JOLINA CAPITAL INC</t>
  </si>
  <si>
    <t>JOURNEY ACQUISITION II LP</t>
  </si>
  <si>
    <t>KENTUCKY POWER COMPANY</t>
  </si>
  <si>
    <t>KEYSTONE FOODS INTERMEDIATE LLC</t>
  </si>
  <si>
    <t>KNOLL INC</t>
  </si>
  <si>
    <t>KRUGER INC</t>
  </si>
  <si>
    <t>KRUGER INC.</t>
  </si>
  <si>
    <t>L3 TECHNOLOGIES INC</t>
  </si>
  <si>
    <t>L-3 COMMUNICATIONS CORPORATION</t>
  </si>
  <si>
    <t>LAREDO PETROLEUM INC</t>
  </si>
  <si>
    <t>LEGEND NATURAL GAS IV LP</t>
  </si>
  <si>
    <t>LEXMARK INTERNATIONAL INC</t>
  </si>
  <si>
    <t>LINN ENERGY HOLDINGS LLC</t>
  </si>
  <si>
    <t>LINN ENERGY LLC</t>
  </si>
  <si>
    <t>LIVE NATION ENTERTAINMENT INC</t>
  </si>
  <si>
    <t>LOS ANGELES DEPARTMENT OF WATER AND POWER</t>
  </si>
  <si>
    <t>MARATHON OIL CANADA CORPORATION</t>
  </si>
  <si>
    <t>MARINER ATLANTIC MULTI-STRATEGY MASTER FUND, LTD CDEA</t>
  </si>
  <si>
    <t>MARRIOTT INTERNATIONAL INC</t>
  </si>
  <si>
    <t>MARRIOTT INTERNATIONAL INC GROUP</t>
  </si>
  <si>
    <t>MARSH AND MCLENNAN COMPANIES INC</t>
  </si>
  <si>
    <t>MARSH &amp; MCLENNAN COMPANIES, INC.</t>
  </si>
  <si>
    <t>MCDONALDS CORP</t>
  </si>
  <si>
    <t>WESTROCK MWV LLC</t>
  </si>
  <si>
    <t>MERCER TRUST COMPANY, AS TRUSTEE FOR THE MGI GROUP TRUST ACTIVE LONG CORPORATE INVESTMENT PORTFOLIO</t>
  </si>
  <si>
    <t>MISSISSIPPI POWER COMPANY</t>
  </si>
  <si>
    <t>MITSUBISHI UFJ TRUST AND BANKING CORPORATION</t>
  </si>
  <si>
    <t>MITSUBISHI UFJ TRUST &amp; BANKING CORP. N.Y.</t>
  </si>
  <si>
    <t>MITSUBISHI UFJ TRUST AND BANKING CORP</t>
  </si>
  <si>
    <t>MITSUBISHI UFJ TRUST &amp; BANKING CORP. TOKYO</t>
  </si>
  <si>
    <t>MITSUBISHI UFJ TRUST &amp; BANKING CORP. LONDON</t>
  </si>
  <si>
    <t>MOODYS CORPORATION</t>
  </si>
  <si>
    <t>MURPHY OIL CORPORATION</t>
  </si>
  <si>
    <t>MURPHY OIL CORPORATION GROUP</t>
  </si>
  <si>
    <t>ICE NGX CANADA INC</t>
  </si>
  <si>
    <t>THE OHIO STATE UNIVERSITY</t>
  </si>
  <si>
    <t>Societe Generale Securities (HK) Ltd</t>
  </si>
  <si>
    <t>SG AMERICAS LLC</t>
  </si>
  <si>
    <t>NUSTAR LOGISTICS LP</t>
  </si>
  <si>
    <t>OHIO POWER COMPANY</t>
  </si>
  <si>
    <t>OWENS CORNING</t>
  </si>
  <si>
    <t>OWENS BROCKWAY GLASS CONTAINER INC.</t>
  </si>
  <si>
    <t>OWEN BROCKWAY GLASS CONTAINER INC</t>
  </si>
  <si>
    <t>OWENS-BROCKWAY GLASS CONTAINER INC</t>
  </si>
  <si>
    <t>OWENS-BROCKWAY GLASS CONTAINER INC.</t>
  </si>
  <si>
    <t>OZ GLOBAL SPECIAL INVESTMENTS MASTER FUND</t>
  </si>
  <si>
    <t>PACIFIC INVESTMENT MANAGEMENT COMPANY LLC, SOLELY IN ITS CAPACITY AS ADVISOR ON BEHALF OF PACIFIC LIFE INSURANCE COMPANY SEPERATE ACCOUNT NO. 39</t>
  </si>
  <si>
    <t>PACIFICORP</t>
  </si>
  <si>
    <t>PARALLEL ENERGY LP</t>
  </si>
  <si>
    <t>PENN VIRGINIA HOLDING CORPORATION</t>
  </si>
  <si>
    <t>PERMANENT UNIVERSITY FUND OF TEXAS</t>
  </si>
  <si>
    <t>PROLOGIS L.P.</t>
  </si>
  <si>
    <t>PROLOGIS L P</t>
  </si>
  <si>
    <t>PRUDENTIAL BANK LOAN FUND</t>
  </si>
  <si>
    <t>PRUDENTIAL TRUST COMPANY COLLECTIVE TRUST WITH RESPECT TO: PRUDENTIAL CORE BOND FUND</t>
  </si>
  <si>
    <t>PRUDENTIAL TRUST COMPANY COLLECTIVE TRUST WITH RESPECT TO PRUDENTIAL CORE CONSERVATIVE BOND FUND</t>
  </si>
  <si>
    <t>PRUDENTIAL TRUST COMPANY COLLECTIVE TRUST WITH RESPECT TO PRUDENTIAL CORE PLUS BOND FUND</t>
  </si>
  <si>
    <t>PRUDENTIAL EMERGING MARKETS DEBT FUND</t>
  </si>
  <si>
    <t>PRUDENTIAL GOVERNMENT INCOME FUND INC</t>
  </si>
  <si>
    <t>PRUDENTIAL INFLATION PROTECTED SECURITIES FUND</t>
  </si>
  <si>
    <t>PRUDENTIAL INVESTMENT PORTFOLIOS INC. 14: PRUDENTIAL FLOATING RATE INCOME FUND</t>
  </si>
  <si>
    <t>Prudential Trust Company Collective Trust with respect to Prudential Absolute Return Bond Fund</t>
  </si>
  <si>
    <t>PRUDENTIAL INVESTMENT PORTFOLIOS INC- PRUDENTIAL ASSET ALLOCATION FUND (FORMERLY DRYDEN)</t>
  </si>
  <si>
    <t>PRUDENTIAL U.S. LONG DURATION CORPORATE BOND FUND</t>
  </si>
  <si>
    <t>PRUDENTIAL WORLD FUND INC: PRUDENTIAL EMERGING MARKETS DEBT LOCAL CURRENCY FUND</t>
  </si>
  <si>
    <t>PUGET SOUND ENERGY INC</t>
  </si>
  <si>
    <t>PUGET SOUND ENERGY, INC.</t>
  </si>
  <si>
    <t>PVH CORP.</t>
  </si>
  <si>
    <t>QUANTUM PARTNERS L.P.</t>
  </si>
  <si>
    <t>QUANTUM PARTNERS LP CDEA</t>
  </si>
  <si>
    <t>QUANTUM PARTNERS LP</t>
  </si>
  <si>
    <t>QUICKSILVER RESOURCES INC</t>
  </si>
  <si>
    <t>RAYTHEON COMPANY</t>
  </si>
  <si>
    <t>RECOLOGY INC</t>
  </si>
  <si>
    <t>REGENCY GAS SERVICES LP</t>
  </si>
  <si>
    <t>RELIANCE ENERGY GF LLC</t>
  </si>
  <si>
    <t>RELIANCE ENERGY MOW LLC</t>
  </si>
  <si>
    <t>RELIANCE ENERGY WA LLC</t>
  </si>
  <si>
    <t>REPUBLIC SERVICES INC</t>
  </si>
  <si>
    <t>REYES HOLDINGS LLC</t>
  </si>
  <si>
    <t>SAPUTO INC</t>
  </si>
  <si>
    <t>SEALED AIR CORPORATION</t>
  </si>
  <si>
    <t>SEQUA CORP</t>
  </si>
  <si>
    <t>SHERIDAN PRODUCTION PARTNERS II A L.P.</t>
  </si>
  <si>
    <t>SHERIDAN PRODUCTION PARTNERS II B L.P.</t>
  </si>
  <si>
    <t>SHERIDAN PRODUCTION PARTNERS II M L.P.</t>
  </si>
  <si>
    <t>SILGAN PLASTICS CANADA INC</t>
  </si>
  <si>
    <t>SOUTHERN CALIFORNIA EDISON COMPANY</t>
  </si>
  <si>
    <t>SOUTHERN CALIFORNIA PERMANENTE MEDI</t>
  </si>
  <si>
    <t>SOUTHERN POWER COMPANY</t>
  </si>
  <si>
    <t>SPX CORPORATION</t>
  </si>
  <si>
    <t>STAPLES, INC.</t>
  </si>
  <si>
    <t>STARBUCKS CORPORATION</t>
  </si>
  <si>
    <t>STICHTING PENSIOENFONDS MEDISCHE SPECIALISTEN.</t>
  </si>
  <si>
    <t>PACIFIC INVESTMENT MANAGEMENT COMPANY LLC, SOLELY IN ITS CAPACITY AS ADVISOR ON BEHALF OF STICHTING PENSIOENFONDS MEDISCHE SPECIALISTEN</t>
  </si>
  <si>
    <t>STICHTING PENSIOENFONDS OPENBAAR VERVOER.</t>
  </si>
  <si>
    <t>PACIFIC INVESTMENT MANAGEMENT COMPANY LLC, SOLELY IN ITS CAPACITY AS ADVISOR ON BEHALF OF STICHTING PENSIOENFONDS OPENBAAR VERVOER</t>
  </si>
  <si>
    <t>PACIFIC INVESTMENT MANAGEMENT COMPANY LLC, SOLELY IN ITS CAPACITY AS ADVISOR ON BEHALF OF STICHTING SPOORWEGPENSIOENFONDS</t>
  </si>
  <si>
    <t>STICHTING SPOORWEGPENSIOENFONDS.</t>
  </si>
  <si>
    <t>SVENSKA HANDELSBANKEN STOCKHOLM-SIF</t>
  </si>
  <si>
    <t>SVENSKA HANDELSBANKEN AB STOCKHOLM</t>
  </si>
  <si>
    <t>SVENSKA HANDELSBANKEN AB OSLO</t>
  </si>
  <si>
    <t>SVENSKA HANDELSBANK LUXEMBOURG</t>
  </si>
  <si>
    <t>SVENSKA HANDELSBANKEN AB  LONDON</t>
  </si>
  <si>
    <t>SVENSKA HANDELSBANKEN</t>
  </si>
  <si>
    <t>SVENSKA HANDELSBANKEN AB</t>
  </si>
  <si>
    <t>SVENSKA HANDELSBANK AB GOTHENBORG</t>
  </si>
  <si>
    <t>SVENSKA HANDELSBANKEN MALMO</t>
  </si>
  <si>
    <t>SVENSKA HANDELSBANKEN AB NEW YORK</t>
  </si>
  <si>
    <t>TAMPA ELECTRIC COMPANY</t>
  </si>
  <si>
    <t>TAMPA ELECTRIC COMPANY INC</t>
  </si>
  <si>
    <t>THE BANK OF KOREA</t>
  </si>
  <si>
    <t>PACIFIC INVESTMENT MANAGEMENT COMPANY LLC, SOLELY IN ITS CAPACITY AS ADVISOR ON BEHALF OF THE BANK OF KOREA</t>
  </si>
  <si>
    <t>BOMBARDIER TRUST (CANADA) LONG TERM FIXED INCOME FUND</t>
  </si>
  <si>
    <t>THE MOSAIC COMPANY</t>
  </si>
  <si>
    <t>MOSAIC COMPANY (THE)</t>
  </si>
  <si>
    <t>THE TJX COMPANIES INC</t>
  </si>
  <si>
    <t>THE TJX COMPANIES, INC.</t>
  </si>
  <si>
    <t>THE VIRGINIA COLLEGE SAVINGS PLAN: HIGH YIELD ACCOUNT</t>
  </si>
  <si>
    <t>THE VIRGINIA COLLEGE SAVINGS PLAN: HIGH YIELD ACCOUNT II</t>
  </si>
  <si>
    <t>THERMO FISHER SCIENTIFIC INC.</t>
  </si>
  <si>
    <t>THERMO FISHER SCIENTIFIC INC - NDF</t>
  </si>
  <si>
    <t>THERMO FISHER SCIENTIFIC INC</t>
  </si>
  <si>
    <t>THREE RIVERS OPERATING COMPANY LLC</t>
  </si>
  <si>
    <t>TRW AUTOMOTIVE INC</t>
  </si>
  <si>
    <t>VALERO ENERGY CORPORATION</t>
  </si>
  <si>
    <t>VANTAGE ENERGY LLC</t>
  </si>
  <si>
    <t>VENOCO INC.</t>
  </si>
  <si>
    <t>VENTURA TRADING LTD</t>
  </si>
  <si>
    <t>WASHINGTON GAS LIGHT COMPANY</t>
  </si>
  <si>
    <t>WEYERHAEUSER COMPANY</t>
  </si>
  <si>
    <t>WHITING OIL AND GAS CORPORATION</t>
  </si>
  <si>
    <t>WORTHINGTON INDUSTRIES INC</t>
  </si>
  <si>
    <t>KBC BANK NV</t>
  </si>
  <si>
    <t>KBC BANK NV NEW YORK</t>
  </si>
  <si>
    <t>KBC BANK NV HONG KONG</t>
  </si>
  <si>
    <t>KBC BANK NV  GRAND CAYMAN</t>
  </si>
  <si>
    <t>KBC BANK N.V. FRANKFURT</t>
  </si>
  <si>
    <t>KBC BANK NV  BRUSSELS</t>
  </si>
  <si>
    <t>KBC BANK N.V.</t>
  </si>
  <si>
    <t>KBC BANK NV SINGAPORE</t>
  </si>
  <si>
    <t>KBC BANK NV LUXEMBOURG</t>
  </si>
  <si>
    <t>KBC BANK NV LONDON</t>
  </si>
  <si>
    <t>GEARBULK POOL LIMITED</t>
  </si>
  <si>
    <t>PACIFIC INVESTMENT MANAGEMENT COMPANY LLC, SOLELY IN ITS CAPACITY AS ADVISOR ON BEHALF OF FAIRFAX COUNTY UNIFORMED RETIREMENT SYSTEM PIMCO TOTAL RETURN FIXED INCOME ACCOUNT</t>
  </si>
  <si>
    <t>FAIRFAX COUNTY UNIFORMED RETIREMENT SYSTEM</t>
  </si>
  <si>
    <t>PACIFIC INVESTMENT MANAGEMENT COMPANY LLC, SOLELY IN ITS CAPACITY AS ADVISOR ON BEHALF OF FLORIDA POWER CORPORATION NUCLEAR DECOMMISSIONING TRUST FUND</t>
  </si>
  <si>
    <t>PACIFIC INVESTMENT MANAGEMENT COMPANY LLC, SOLELY IN ITS CAPACITY AS ADVISOR ON BEHALF OF IBM PERSONAL PENSION PLAN TRUST</t>
  </si>
  <si>
    <t>PACIFIC INVESTMENT MANAGEMENT COMPANY LLC SOLELY IN ITS CAPACITY AS ADVISOR ON BEHALF OF IBM PERSONAL PENSION PLAN TRUST</t>
  </si>
  <si>
    <t>PACIFIC INVESTMENT MANAGEMENT COMPANY LLC, SOLELY IN ITS CAPACITY AS ADVISOR ON BEHALF OF PHILIPS ELECTRONICS NORTH AMERICA CORPORATION MASTER RETIREMENT TRUST</t>
  </si>
  <si>
    <t>PACIFIC INVESTMENT MANAGEMENT COMPANY LLC, SOLELY IN ITS CAPACITY AS ADVISOR ON BEHALF OF PIMCO FUNDS: GLOBAL INVESTORS SERIES PLC UK STERLING INFLATION-LINKED FUND</t>
  </si>
  <si>
    <t>PACIFIC INVESTMENT MANAGEMENT COMPANY LLC, SOLELY IN ITS CAPACITY AS ADVISOR ON BEHALF OF PIMCO LUXEMBOURG TRUST - COMMODITY REAL RETURN STRATEGY FUND</t>
  </si>
  <si>
    <t>PACIFIC INVESTMENT MANAGEMENT COMPANY LLC, SOLELY IN ITS CAPACITY AS ADVISOR ON BEHALF OF THRIFT PLAN FOR EMPLOYEES OF THE METROPOLITAN TRANSPORTATION AUTHORITY ITS SUBSIDIARIES AND AFFILIATES AND DEFERRED COMPENSATION PLAN FOR EMPLOYEES OF THE METROPOLIT</t>
  </si>
  <si>
    <t>505896 ONTARIO LIMITED</t>
  </si>
  <si>
    <t>GILT EDGE FARMS AMARANTH INC GROUP</t>
  </si>
  <si>
    <t>9215-7064 QUEBEC INC.</t>
  </si>
  <si>
    <t>PACIFIC INVESTMENT MANAGEMENT COMPANY LLC, SOLELY IN ITS CAPACITY AS ADVISOR ON BEHALF OF ABC-NABET RETIREMENT TRUST FUND</t>
  </si>
  <si>
    <t>PACIFIC INVESTMENT MANAGEMENT COMPANY LLC, SOLELY IN ITS CAPACITY AS ADVISOR ON BEHALF OF ABU DHABI RETIREMENT PENSIONS AND BENEFIT FUND</t>
  </si>
  <si>
    <t>ACCESS SELF STORAGE INC AND/OR DEPOTIUM SELF STOCKAGE INC.</t>
  </si>
  <si>
    <t>ADVANTAGE ENERGY LTD</t>
  </si>
  <si>
    <t>ADVANTAGE OIL &amp; GAS LTD</t>
  </si>
  <si>
    <t>ADVANTAGE ENERGY LTD.</t>
  </si>
  <si>
    <t>TERRAPOINT AGRIBUSINESS CENTRE LTD</t>
  </si>
  <si>
    <t>PIMCO FUNDS TOTAL RETURN FUN700</t>
  </si>
  <si>
    <t>PACIFIC INVESTMENT MANAGEMENT COMPANY LLC, SOLELY IN ITS CAPACITY AS ADVISOR ON BEHALF OF  PIMCO FUNDS: PIMCO TOTAL RETURN FUND</t>
  </si>
  <si>
    <t>PACIFIC INVESTMENT MANAGEMENT COMPANY LLC, SOLELY IN ITS CAPACITY AS ADVISOR ON BEHALF OF AFTRA RETIREMENT FUND</t>
  </si>
  <si>
    <t>PACIFIC INVESTMENT MANAGEMENT COMPANY LLC, SOLELY IN ITS CAPACITY AS ADVISOR ON BEHALF OF AGF PIMCO AD GLOBAL BONDS</t>
  </si>
  <si>
    <t>AGF SHORT TERM INCOME CLASS</t>
  </si>
  <si>
    <t>PACIFIC INVESTMENT MANAGEMENT COMPANY LLC, SOLELY IN ITS CAPACITY AS ADVISOR ON BEHALF OF AGILENT TECHNOLOGIES UK LIMITED RETIREMENT BENEFITS PLAN</t>
  </si>
  <si>
    <t>AGRIUM INC.</t>
  </si>
  <si>
    <t>AGRIUM INC</t>
  </si>
  <si>
    <t>INVESCO INDO PACIFIC FUND</t>
  </si>
  <si>
    <t>ALLIANCE PULSE PROCESSORS INC</t>
  </si>
  <si>
    <t>PACIFIC INVESTMENT MANAGEMENT COMPANY LLC, SOLELY IN ITS CAPACITY AS ADVISOR ON BEHALF OF ALLIANZ AUSTRALIA INSURANCE LIMITED</t>
  </si>
  <si>
    <t>ALTAGAS LTD</t>
  </si>
  <si>
    <t>ALTAGAS OPERATING PARTNERSHIP</t>
  </si>
  <si>
    <t>PACIFIC INVESTMENT MANAGEMENT COMPANY LLC, SOLELY IN ITS CAPACITY AS ADVISOR ON BEHALF OF  AMERICAN BAR ASSOCIATION MEMBERS/NORTHERN TRUST COLLECTIVE TRUST - BOND CORE PLUS FUND</t>
  </si>
  <si>
    <t>PACIFIC INVESTMENT MANAGEMENT COMPANY LLC, SOLELY IN ITS CAPACITY AS ADVISOR ON BEHALF OF AMERICAN CHEMICAL SOCIETY</t>
  </si>
  <si>
    <t>PACIFIC INVESTMENT MANAGEMENT COMPANY LLC, SOLELY IN ITS CAPACITY AS ADVISOR ON BEHALF OF AMERICAN CHEMICAL SOCIETY PETROLEUM RESEARCH FUND</t>
  </si>
  <si>
    <t>PACIFIC INVESTMENT MANAGEMENT COMPANY LLC, SOLELY IN ITS CAPACITY AS ADVISOR ON BEHALF OF AMERICAN CHEMICAL SOCIETY RETIREMENT FUND</t>
  </si>
  <si>
    <t>PACIFIC INVESTMENT MANAGEMENT COMPANY LLC, SOLELY IN ITS CAPACITY AS ADVISOR ON BEHALF OF AMERICAN HEART ASSOCIATION</t>
  </si>
  <si>
    <t>ASR GROUP INTERNATIONAL INC</t>
  </si>
  <si>
    <t>AMERICAN SUGAR HOLDINGS INC</t>
  </si>
  <si>
    <t>PACIFIC INVESTMENT MANAGEMENT COMPANY LLC, SOLELY IN ITS CAPACITY AS ADVISOR ON BEHALF OF ANDREW W. MELLON FOUNDATION.</t>
  </si>
  <si>
    <t>APOTEX PHARMACEUTICAL HOLDINGS INC</t>
  </si>
  <si>
    <t>PROTEMAX SRL</t>
  </si>
  <si>
    <t>ARC RESOURCES LTD</t>
  </si>
  <si>
    <t>ARC RESOURCES LTD.</t>
  </si>
  <si>
    <t>ARNPRIOR AEROSPACE INC.</t>
  </si>
  <si>
    <t>ARNPRIOR AEROSPACE INC</t>
  </si>
  <si>
    <t>PACIFIC INVESTMENT MANAGEMENT COMPANY LLC, SOLELY IN ITS CAPACITY AS ADVISOR ON BEHALF OF ARTSFARE 2005 TRUST NO. 2</t>
  </si>
  <si>
    <t>PACIFIC INVESTMENT MANAGEMENT COMPANY LLC, SOLELY IN ITS CAPACITY AS ADVISOR ON BEHALF OF AXA PREMIER VIP TRUS: MULTIMANAGER MULTI-SECTOR BOND PORTFOLIO</t>
  </si>
  <si>
    <t>PACIFIC INVESTMENT MANAGEMENT COMPANY LLC, SOLELY IN ITS CAPACITY AS ADVISOR ON BEHALF OF ASCENSION HEALTH</t>
  </si>
  <si>
    <t>PACIFIC INVESTMENT MANAGEMENT COMPANY LLC, SOLELY IN ITS CAPACITY AS ADVISOR ON BEHALF OF ASCENSION HEALTH RETIREMENT TRUST</t>
  </si>
  <si>
    <t>PACIFIC INVESTMENT MANAGEMENT COMPANY LLC, SOLELY IN ITS CAPACITY AS ADVISOR ON BEHALF OF ASHLAND INC. DEFINED BENEFIT MASTER TRUST</t>
  </si>
  <si>
    <t>PACIFIC INVESTMENT MANAGEMENT COMPANY LLC, SOLELY IN ITS CAPACITY AS ADVISOR ON BEHALF OF  ASHLAND INC. DEFINED BENEFIT MASTER TRUST</t>
  </si>
  <si>
    <t>PACIFIC INVESTMENT MANAGEMENT COMPANY LLC, SOLELY IN ITS CAPACITY AS ADVISOR ON BEHALF OF AST PIMCO LIMITED MATURITY BOND PORTFOLIO</t>
  </si>
  <si>
    <t>PACIFIC INVESTMENT MANAGEMENT COMPANY LLC, SOLELY IN ITS CAPACITY AS ADVISOR ON BEHALF OF AST PIMCO TOTAL RETURN BOND PORTFOLIO</t>
  </si>
  <si>
    <t>ATHLON ENERGY OPERATING LLC</t>
  </si>
  <si>
    <t>PACIFIC INVESTMENT MANAGEMENT COMPANY LLC, SOLELY IN ITS CAPACITY AS ADVISOR ON BEHALF OF AXA PREMIER VIP TRUST: MULTIMANAGER CORE BOND PORTFOLIO</t>
  </si>
  <si>
    <t>PACIFIC INVESTMENT MANAGEMENT COMPANY LLC, SOLELY IN ITS CAPACITY AS ADVISOR ON BEHALF OF AXIS REINSURANCE COMPANY.</t>
  </si>
  <si>
    <t>PACIFIC INVESTMENT MANAGEMENT COMPANY LLC, SOLELY IN ITS CAPACITY AS ADVISOR ON BEHALF OF BAE MASTER PENSION INVESTMENT TRUST</t>
  </si>
  <si>
    <t>PACIFIC INVESTMENT MANAGEMENT COMPANY LLC, SOLELY IN ITS CAPACITY AS ADVISOR ON BEHALF OF BANGKO SENTRAL NG PILIPINAS</t>
  </si>
  <si>
    <t>BANGKO SENTRAL NG PILIPINAS</t>
  </si>
  <si>
    <t>PACIFIC INVESTMENT MANAGEMENT COMPANY LLC, SOLELY IN ITS CAPACITY AS ADVISOR ON BEHALF OF BANK INDONESIA</t>
  </si>
  <si>
    <t>BANK INDONESIA</t>
  </si>
  <si>
    <t>BANK INDONESIA GLOBAL CORPORATE BOND</t>
  </si>
  <si>
    <t>BANK INDONESIA EMERGING MARKET BOND IN LOCAL CURRENCY</t>
  </si>
  <si>
    <t>BANK OF CHINA CANADA (STF)</t>
  </si>
  <si>
    <t>BANK OF CHINA (CANADA)</t>
  </si>
  <si>
    <t>BANK OF CHINA</t>
  </si>
  <si>
    <t>BANK OF CHINA LIMITED</t>
  </si>
  <si>
    <t>BANK OF CHINA LIMITED (BOC)</t>
  </si>
  <si>
    <t>BANK OF CHINA LIMTIED (BOC)</t>
  </si>
  <si>
    <t>PACIFIC INVESTMENT MANAGEMENT COMPANY LLC, SOLELY IN ITS CAPACITY AS ADVISOR ON BEHALF OF BANK OF CHINA OF THE PEOPLE'S REPUBLIC OF CHINA</t>
  </si>
  <si>
    <t>BANK OF CHINA LIMITED (STF)</t>
  </si>
  <si>
    <t>BANK OF CHINA SHANGHAI</t>
  </si>
  <si>
    <t>BANK OF CHINA LTD</t>
  </si>
  <si>
    <t>MUFG BANK LTD CANADA</t>
  </si>
  <si>
    <t>BANK OF TOKYO - MITSUBISHI UFJ CANADA (STF)</t>
  </si>
  <si>
    <t>PACIFIC INVESTMENT MANAGEMENT COMPANY LLC, SOLELY IN ITS CAPACITY AS ADVISOR ON BEHALF OF BANNER HEALTH</t>
  </si>
  <si>
    <t>PACIFIC INVESTMENT MANAGEMENT COMPANY LLC, SOLELY IN ITS CAPACITY AS ADVISOR ON BEHALF OF BAPTIST FOUNDATION OF TEXAS.</t>
  </si>
  <si>
    <t>PACIFIC INVESTMENT MANAGEMENT COMPANY LLC SOLELY IN ITS CAPACITY AS ADVISOR ON BEHALF OF BAPTIST HEALTHCARE SYSTEM INC. AND BAPTIST HEALTHCARE AFFILIATES INC.</t>
  </si>
  <si>
    <t>PACIFIC INVESTMENT MANAGEMENT COMPANY LLC, SOLELY IN ITS CAPACITY AS ADVISOR ON BEHALF OF BASF CORPORATION PENSION MASTER TRUST</t>
  </si>
  <si>
    <t>BAY STREET FUNDING TRUST (NCR-T)</t>
  </si>
  <si>
    <t>BAY STREET FUNDING TRUST</t>
  </si>
  <si>
    <t>BAY STREET FUNDING TRUST (CANADIAN NATIONAL RAILWAY COMPANY)</t>
  </si>
  <si>
    <t>BAYMAG INC.</t>
  </si>
  <si>
    <t>BAYMAG INC</t>
  </si>
  <si>
    <t>PACIFIC INVESTMENT MANAGEMENT COMPANY LLC SOLELY IN ITS CAPACITY AS ADVISOR ON BEHALF OF BERTELSMANN INC. MASTER RETIREMENT TRUST</t>
  </si>
  <si>
    <t>PACIFIC INVESTMENT MANAGEMENT COMPANY LLC, SOLELY IN ITS CAPACITY AS ADVISOR ON BEHALF OF BHP USA MASTER RETIREMENT TRUST</t>
  </si>
  <si>
    <t>BIO AGRI MIX LP</t>
  </si>
  <si>
    <t>BIRCHCLIFF ENERGY LTD</t>
  </si>
  <si>
    <t>BIRCHCLIFF ENERGY LTD.</t>
  </si>
  <si>
    <t>PACIFIC INVESTMENT MANAGEMENT COMPANY LLC SOLELY IN ITS CAPACITY AS ADVISOR ON BEHALF OF BLUE CROSS AND BLUE SHIELD OF KANSAS INC.</t>
  </si>
  <si>
    <t>PACIFIC INVESTMENT MANAGEMENT COMPANY LLC, SOLELY IN ITS CAPACITY AS ADVISOR ON BEHALF OF BNY FUND MANAGEMENT (CAYMAN) LIMITED AS TRUSTEE ON BEHALF OF THE PIMCO JAPAN LOW DURATION ALPHA FUND.</t>
  </si>
  <si>
    <t>BRENNAN PAVING &amp; CONSTRUCTION LTD</t>
  </si>
  <si>
    <t>BRITISH COLUMBIA FERRY SERVICES INC</t>
  </si>
  <si>
    <t>BRITISH COLUMBIA HYDRO AND POWER AUTHORITY</t>
  </si>
  <si>
    <t>PACIFIC INVESTMENT MANAGEMENT COMPANY LLC, SOLELY IN ITS CAPACITY AS ADVISOR ON BEHALF OF CALIFORNIA IRONWORKERS FIELD PENSION TRUST</t>
  </si>
  <si>
    <t>PACIFIC INVESTMENT MANAGEMENT COMPANY LLC, SOLELY IN ITS CAPACITY AS ADVISOR ON BEHALF OF CAMPBELL SOUP CO RETIREMENT &amp; PENSION PLAN FOR SALARIED EMPLOYEES, CAMPBELL SOUP CO RETIREMENT &amp; PENSION PLAN FOR HOURLY PAID EMPLOYEES NOT COVERED BY COLLECTIVE BAR</t>
  </si>
  <si>
    <t>CANADA POST CORPORATION</t>
  </si>
  <si>
    <t>TRUSTEES OF CANADA POST CORPORATION REGISTERED PENSION PLAN (INFRA)</t>
  </si>
  <si>
    <t>TRUSTEES OF CANADA POST CORPORATION REGISTERED PENSION PLAN (RPP)</t>
  </si>
  <si>
    <t>PACIFIC INVESTMENT MANAGEMENT COMPANY LLC, SOLELY IN ITS CAPACITY AS ADVISOR ON BEHALF OF CANADA POST CORPORATION REGISTERED PENSION PLAN</t>
  </si>
  <si>
    <t>TRUSTEES OF CANADA POST CORPORATION REGISTERED PENSION PLAN</t>
  </si>
  <si>
    <t>TRUSTEES OF CANADA POST CORPORATION REGISTERED PENSION PLAN (RE)</t>
  </si>
  <si>
    <t>TRUSTEES OF CANADA POST CORPORATION REGISTERED PENSION PLAN (SRA)</t>
  </si>
  <si>
    <t>CANADIAN NATIONAL RAILWAY COMPANY</t>
  </si>
  <si>
    <t>CANADIAN NATURAL RESOURCES LTD</t>
  </si>
  <si>
    <t>CANADIAN NATURAL RESOURCES LTD.</t>
  </si>
  <si>
    <t>CANERA ENERGY CORP</t>
  </si>
  <si>
    <t>CAPREIT LIMITED PARTNERSHIP</t>
  </si>
  <si>
    <t>CATHEDRAL ENERGY SERVICES LTD</t>
  </si>
  <si>
    <t>PACIFIC INVESTMENT MANAGEMENT COMPANY LLC, SOLELY IN ITS CAPACITY AS ADVISOR ON BEHALF OF CATHOLIC HEALTH INITIATIVES</t>
  </si>
  <si>
    <t>PACIFIC INVESTMENT MANAGEMENT COMPANY LLC, SOLELY IN ITS CAPACITY AS ADVISOR ON BEHALF OF CBS MASTER TRUST</t>
  </si>
  <si>
    <t>CENOVUS ENERGY INC. GROUP</t>
  </si>
  <si>
    <t>CENOVUS ENERGY INC</t>
  </si>
  <si>
    <t>CENOVUS ENERGY INC.</t>
  </si>
  <si>
    <t>PACIFIC INVESTMENT MANAGEMENT COMPANY LLC SOLELY IN ITS CAPACITY AS ADVISOR ON BEHALF OF CENTRAL STATES SOUTHEAST AND SOUTHWAST AREAS PENSION FUND</t>
  </si>
  <si>
    <t>CHEMTRADE PERFORMANCE CHEMICALS US LLC</t>
  </si>
  <si>
    <t>CHEMTRADE PERFORMANCE CHEMICALS US LLC INCTR</t>
  </si>
  <si>
    <t>CHEMTRADE PULP CHEMICAL LIMITED PARTNERSHIP</t>
  </si>
  <si>
    <t>SIGNATURE DIVIDEND FUND</t>
  </si>
  <si>
    <t>CINEPLEX INC.</t>
  </si>
  <si>
    <t>CINEPLEX INC</t>
  </si>
  <si>
    <t>CIRCLE K STORES INC.</t>
  </si>
  <si>
    <t>CIRCLE K STORES INC</t>
  </si>
  <si>
    <t>PACIFIC INVESTMENT MANAGEMENT COMPANY LLC, SOLELY IN ITS CAPACITY AS ADVISOR ON BEHALF OF  FRONTIER COMMUNICATIONS PENSION PLAN</t>
  </si>
  <si>
    <t>PACIFIC INVESTMENT MANAGEMENT COMPANY LLC, SOLELY IN ITS CAPACITY AS ADVISOR ON BEHALF OF CITIZINES PENSION PLAN</t>
  </si>
  <si>
    <t>PACIFIC INVESTMENT MANAGEMENT COMPANY LLC, SOLELY IN ITS CAPACITY AS ADVISOR ON BEHALF OF CITY UNIVERSITY OF HONG KONG.</t>
  </si>
  <si>
    <t>PACIFIC INVESTMENT MANAGEMENT COMPANY LLC, SOLELY IN ITS CAPACITY AS ADVISOR ON BEHALF OF COATS NORTH AMERICA PENSION PLAN</t>
  </si>
  <si>
    <t>COGECO INC</t>
  </si>
  <si>
    <t>PACIFIC INVESTMENT MANAGEMENT COMPANY LLC, SOLELY IN ITS CAPACITY AS ADVISOR ON BEHALF OF CONRAIL/HB EMPLOYEES' PENSION TRUST</t>
  </si>
  <si>
    <t>PACIFIC INVESTMENT MANAGEMENT COMPANY LLC, SOLELY IN ITS CAPACITY AS ADVISOR ON BEHALF OF CONSOLIDATED EDISON PENSION PLANS MASTER TRUST</t>
  </si>
  <si>
    <t>PACIFIC INVESTMENT MANAGEMENT COMPANY LLC, SOLELY IN ITS CAPACITY AS ADVISOR ON BEHALF OF CONSOLIDATED EDISON PENSION PLANS MASTER TRUST.</t>
  </si>
  <si>
    <t>PACIFIC INVESTMENT MANAGEMENT COMPANY LLC, SOLELY IN ITS CAPACITY AS ADVISOR ON BEHALF OF CONSULTING GROUP CAPITALMARKETS FUND CORE FIXED INCOME INVESTMENTS</t>
  </si>
  <si>
    <t>PACIFIC INVESTMENT MANAGEMENT COMPANY LLC, SOLELY IN ITS CAPACITY AS ADVISOR ON BEHALF OF CONTRA COSTA COUNTY EMPLOYEES'S RETIREMENT ASSOCIATION</t>
  </si>
  <si>
    <t>PACIFIC INVESTMENT MANAGEMENT COMPANY LLC SOLELY IN ITS CAPACITY AS ADVISOR ON BEHALF OF COOPER INDUSTRIES INC. MASTER TRUST FOR DEFINED CONTRIBUTION PLANS</t>
  </si>
  <si>
    <t>PACIFIC INVESTMENT MANAGEMENT COMPANY LLC, SOLELY IN ITS CAPACITY AS ADVISOR ON BEHALF OF CORNELL UNIVERSITY</t>
  </si>
  <si>
    <t>CORUS ENTERTAINMENT INC.</t>
  </si>
  <si>
    <t>CORUS ENTERTAINMENT INC</t>
  </si>
  <si>
    <t>COUCHE-TARD INC</t>
  </si>
  <si>
    <t>COUCHE-TARD INC.</t>
  </si>
  <si>
    <t>CRESCENT POINT ENERGY CORP.</t>
  </si>
  <si>
    <t>OLYMPIA TRUST COMPANY, IN ITS CAPACITY AS TRUSTEE OF CRESCENT POINT ENERGY TRUST.</t>
  </si>
  <si>
    <t>CRESCENT POINT ENERGY CORP</t>
  </si>
  <si>
    <t>CREW ENERGY INC</t>
  </si>
  <si>
    <t>CREW ENERGY INC.</t>
  </si>
  <si>
    <t>PACIFIC INVESTMENT MANAGEMENT COMPANY LLC, SOLELY IN ITS CAPACITY AS ADVISOR ON BEHALF OF CUMMINS INC. AND AFFILIATES COLLECTIVE INVESTMENT TRUST</t>
  </si>
  <si>
    <t>PACIFIC INVESTMENT MANAGEMENT COMPANY LLC, SOLELY IN ITS CAPACITY AS ADVISOR ON BEHALF OF DAH SING LIFE ASSURANCE COMPANY LIMITED</t>
  </si>
  <si>
    <t>DELOITTE MANAGEMENT SERVICES LP</t>
  </si>
  <si>
    <t>PACIFIC INVESTMENT MANAGEMENT COMPANY LLC, SOLELY IN ITS CAPACITY AS ADVISOR ON BEHALF OF DELUXE CORPORATION MASTER TRUST (1998 RESTATEMENT)</t>
  </si>
  <si>
    <t>DOLLARAMA LP</t>
  </si>
  <si>
    <t>PACIFIC INVESTMENT MANAGEMENT COMPANY LLC SOLELY IN ITS CAPACITY AS ADVISOR ON BEHALF OF DOMINION ENERGY KEWAUNEE INC. QUALIFIED NUCLEAR DECOMMISSIONING TRUST</t>
  </si>
  <si>
    <t>PACIFIC INVESTMENT MANAGEMENT COMPANY LLC, SOLELY IN ITS CAPACITY AS ADVISOR ON BEHALF OF  DORIS DUKE CHARITABLE FOUNDATION</t>
  </si>
  <si>
    <t>PACIFIC INVESTMENT MANAGEMENT COMPANY LLC, SOLELY IN ITS CAPACITY AS ADVISOR ON BEHALF OF DORIS DUKE CHARITABLE FOUNDATION</t>
  </si>
  <si>
    <t>PACIFIC INVESTMENT MANAGEMENT COMPANY LLC, SOLELY IN ITS CAPACITY AS ADVISOR ON BEHALF OF DORIS DUKE CHARITABLE FOUNDATION.</t>
  </si>
  <si>
    <t>PACIFIC INVESTMENT MANAGEMENT COMPANY LLC, SOLELY IN ITS CAPACITY AS ADVISOR ON BEHALF OF DTE ENERGY COMPANY AFFILIATES EMPLOYEE BENEFIT PLANS MASTER TRUST</t>
  </si>
  <si>
    <t>PACIFIC INVESTMENT MANAGEMENT COMPANY LLC, SOLELY IN ITS CAPACITY AS ADVISOR ON BEHALF OF DTE ENERGY COMPANY MASTER VEBA TRUST</t>
  </si>
  <si>
    <t>PACIFIC INVESTMENT MANAGEMENT COMPANY LLC, SOLELY IN ITS CAPACITY AS ADVISOR ON BEHALF OF DUPONT CAPITAL MANAGEMENT CORPORATION GEM TRUST</t>
  </si>
  <si>
    <t>HAPPY PLANET FOODS INC</t>
  </si>
  <si>
    <t>HAPPY PLANET FOODS, INC.</t>
  </si>
  <si>
    <t>PACIFIC INVESTMENT MANAGEMENT COMPANY LLC, SOLELY IN ITS CAPACITY AS ADVISOR ON BEHALF OF EDISON PENSION TRUST</t>
  </si>
  <si>
    <t>PACIFIC INVESTMENT MANAGEMENT COMPANY LLC, SOLELY IN ITS CAPACITY AS ADVISOR ON BEHALF OF EESTI PANK</t>
  </si>
  <si>
    <t>PACIFIC INVESTMENT MANAGEMENT COMPANY LLC, SOLELY IN ITS CAPACITY AS ADVISOR ON BEHALF OF ELCETROLUX HOME PRODUCTS, INC., DEFINED BENEFIT MASTER TRUST</t>
  </si>
  <si>
    <t>PACIFIC INVESTMENT MANAGEMENT COMPANY LLC SOLELY IN ITS CAPACITY AS ADVISOR ON BEHALF OF ELECTRICAL CONTRACTORS' ASSOCIATION AND LOCAL 134 I.B.E.W. JOINT PENSION TRUST OF CHICAGO</t>
  </si>
  <si>
    <t>PACIFIC INVESTMENT MANAGEMENT COMPANY LLC, SOLELY IN ITS CAPACITY AS ADVISOR ON BEHALF OF EMBARQ SAVINGS PLAN MASTER TRUST</t>
  </si>
  <si>
    <t>EMPIRE COMPANY LIMITED</t>
  </si>
  <si>
    <t>Employee Retirement Income Plan Trust of Minnesota Mining and Manufacturing Company</t>
  </si>
  <si>
    <t>PACIFIC INVESTMENT MANAGEMENT COMPANY LLC, SOLELY IN ITS CAPACITY AS ADVISOR ON BEHALF OF EMPLOYEE'S RETIREMENT FUND OF THE CITY OF FORT WORTH.</t>
  </si>
  <si>
    <t>PACIFIC INVESTMENT MANAGEMENT COMPANY LLC, SOLELY IN ITS CAPACITY AS ADVISOR ON BEHALF OF EMPLOYEES' RETIREMENT SYSTEM OF THE CITY OF NORFOLK</t>
  </si>
  <si>
    <t>ENBRIDGE GAS DISTRIBUTION INC.</t>
  </si>
  <si>
    <t>ENBRIDGE RISK MANAGEMENT INC</t>
  </si>
  <si>
    <t>PACIFIC INVESTMENT MANAGEMENT COMPANY LLC, SOLELY IN ITS CAPACITY AS ADVISOR ON BEHALF OF ENLIGHTENMENT PARTNERS</t>
  </si>
  <si>
    <t>PACIFIC INVESTMENT MANAGEMENT COMPANY LLC SOLELY IN ITS CAPACITY AS ADVISOR ON BEHALF OF ENSIGN PEAK ADVISORS INC</t>
  </si>
  <si>
    <t>EPC INDUSTRIES LIMITED.</t>
  </si>
  <si>
    <t>EPC INDUSTRIES LIMITED</t>
  </si>
  <si>
    <t>EPC INDUSTRIES LTD</t>
  </si>
  <si>
    <t>EPCOR UTILITIES INC</t>
  </si>
  <si>
    <t>PACIFIC INVESTMENT MANAGEMENT COMPANY LLC, SOLELY IN ITS CAPACITY AS ADVISOR ON BEHALF OF  EQ/PIMCO ULTRA SHORT BOND PORTFOLIO</t>
  </si>
  <si>
    <t>EQUITABLE LIFE INSURANCE COMPANY OF CANADA</t>
  </si>
  <si>
    <t>PACIFIC INVESTMENT MANAGEMENT COMPANY LLC, SOLELY IN ITS CAPACITY AS ADVISOR ON BEHALF OF ESTATE OF BERNICE PAUAHI BISHOP</t>
  </si>
  <si>
    <t>EUROPEAN SUGAR HOLDINGS SARL</t>
  </si>
  <si>
    <t>EXELON GENERATION COMPANY LLC</t>
  </si>
  <si>
    <t>230 DON PARK HOLDINGS LTD.</t>
  </si>
  <si>
    <t>EXSHAW OIL CORP</t>
  </si>
  <si>
    <t>TOPAZ ENERGY CORP</t>
  </si>
  <si>
    <t>FEDERATED COOPERATIVES LIMITED</t>
  </si>
  <si>
    <t>FERUS INC</t>
  </si>
  <si>
    <t>FIRST CAPITAL REALTY INC</t>
  </si>
  <si>
    <t>PACIFIC INVESTMENT MANAGEMENT COMPANY LLC SOLELY IN ITS CAPACITY AS ADVISOR ON BEHALF OF FIRST INITIATIVES INSURANCE LTD.</t>
  </si>
  <si>
    <t>FIRST NATIONAL FINANCIAL LP</t>
  </si>
  <si>
    <t>PACIFIC INVESTMENT MANAGEMENT COMPANY LLC, SOLELY IN ITS CAPACITY AS ADVISOR ON BEHALF OF FIRSTENERGY SYSTEM MASTER RETIREMENT TRUST</t>
  </si>
  <si>
    <t>COLLIERS INTERNATIONAL GROUP INC</t>
  </si>
  <si>
    <t>PACIFIC INVESTMENT MANAGEMENT COMPANY LLC, SOLELY IN ITS CAPACITY AS ADVISOR ON BEHALF OF FIXED INCOME SHARES (SERIES C)</t>
  </si>
  <si>
    <t>PACIFIC INVESTMENT MANAGEMENT COMPANY LLC, SOLELY IN ITS CAPACITY AS ADVISOR ON BEHALF OF FIXED INCOME SHARES (SERIES R)</t>
  </si>
  <si>
    <t>FORD AUTO SECURITIZATION TRUST</t>
  </si>
  <si>
    <t>FORTISBC ENERGY INC</t>
  </si>
  <si>
    <t>PACIFIC INVESTMENT MANAGEMENT COMPANY LLC, SOLELY IN ITS CAPACITY AS ADVISOR ON BEHALF OF  RUSSELL GROUP OF FUNDS - RUSSELL CANADIAN FIXED INCOME FUND</t>
  </si>
  <si>
    <t>SOVEREIGN CANADIAN FIXED INCOME POOL</t>
  </si>
  <si>
    <t>PACIFIC INVESTMENT MANAGEMENT COMPANY LLC, SOLELY IN ITS CAPACITY AS ADVISOR ON BEHALF OF  SOVEREIGN RUSSELL FIXED INCOME POOL</t>
  </si>
  <si>
    <t>PACIFIC INVESTMENT MANAGEMENT COMPANY LLC, SOLELY IN ITS CAPACITY AS ADVISOR ON BEHALF OF  RUSSELL INVESTMENT COMPANY PLC - THE U.S. BOND FUND</t>
  </si>
  <si>
    <t>PACIFIC INVESTMENT MANAGEMENT COMPANY LLC, SOLELY IN ITS CAPACITY AS ADVISOR ON BEHALF OF  RUSSELL INVESTMENT COMPANY PLC - THE GLOBAL BOND FUND</t>
  </si>
  <si>
    <t>PACIFIC INVESTMENT MANAGEMENT COMPANY LLC, SOLELY IN ITS CAPACITY AS ADVISOR ON BEHALF OF  RUSSELL TRUST COMPANY COMMINGLED EMPLOYEE BENEFIT FUNDS TRUST - RUSSELL MULTI-MANAGER BOND FUND</t>
  </si>
  <si>
    <t>PACIFIC INVESTMENT MANAGEMENT COMPANY LLC, SOLELY IN ITS CAPACITY AS ADVISOR ON BEHALF OF  RUSSELL TRUST COMPANY COMMINGLED EMPLOYEE BENEFIT FUNDS TRUST - FIXED II FUND</t>
  </si>
  <si>
    <t>PACIFIC INVESTMENT MANAGEMENT COMPANY LLC, SOLELY IN ITS CAPACITY AS ADVISOR ON BEHALF OF GANNETT RETIREMENT PLAN MASTER TRUST</t>
  </si>
  <si>
    <t>ENERGIR, L.P.</t>
  </si>
  <si>
    <t>GAZ METRO LIMITED PARTNERSHIP</t>
  </si>
  <si>
    <t>GEORGE WESTON LIMITED</t>
  </si>
  <si>
    <t>GOURMENT BAKER INC</t>
  </si>
  <si>
    <t>PACIFIC INVESTMENT MANAGEMENT COMPANY LLC, SOLELY IN ITS CAPACITY AS ADVISOR ON BEHALF OF GREAT EASTERN LIFE ASSURANCE COMPANY LIMITED</t>
  </si>
  <si>
    <t>GREENFIELD ETHANOL OF QUEBEC INC</t>
  </si>
  <si>
    <t>PACIFIC INVESTMENT MANAGEMENT COMPANY LLC, SOLELY IN ITS CAPACITY AS ADVISOR ON BEHALF OF GROUP INVESTMENT TRUST FOR THE CARPENTERS INDIVIDUAL ACCOUNT PENSION TRUST OF WESTERN WASHINGTON AND THE CARPENTERS RETIREMENT TRUST OF WESTERN WASHINGTON</t>
  </si>
  <si>
    <t>PACIFIC INVESTMENT MANAGEMENT COMPANY LLC, SOLELY IN ITS CAPACITY AS ADVISOR ON BEHALF OF  GUIDESTONE FINANCIAL RESOURCES OF THE SOUTHERN BAPTIST CONVENTION</t>
  </si>
  <si>
    <t>GUIDESTONE FUNDS LOW DURATION BOND</t>
  </si>
  <si>
    <t>PACIFIC INVESTMENT MANAGEMENT COMPANY LLC, SOLELY IN ITS CAPACITY AS ADVISOR ON BEHALF OF GUIDESTONE FUNDS LOW-DURATION BOND FUND</t>
  </si>
  <si>
    <t>PACIFIC INVESTMENT MANAGEMENT COMPANY LLC, SOLELY IN ITS CAPACITY AS ADVISOR ON BEHALF OF GUIDESTONE FUNDS MEDUIM-DURATION BOND FUND</t>
  </si>
  <si>
    <t>PACIFIC INVESTMENT MANAGEMENT COMPANY LLC, SOLELY IN ITS CAPACITY AS ADVISOR ON BEHALF OF HALLIBURTON COMPANY EMPLOYEE BENEFIT MASTER TRUST.</t>
  </si>
  <si>
    <t>PACIFIC INVESTMENT MANAGEMENT COMPANY LLC, SOLELY IN ITS CAPACITY AS ADVISOR ON BEHALF OF HALLIBURTON COMPANY EMPLOYEE BENEFIT MASTER TRUST</t>
  </si>
  <si>
    <t>PACIFIC INVESTMENT MANAGEMENT COMPANY LLC, SOLELY IN ITS CAPACITY AS ADVISOR ON BEHALF OF HALLMARK MASTER TRUST</t>
  </si>
  <si>
    <t>PACIFIC INVESTMENT MANAGEMENT COMPANY LLC, SOLELY IN ITS CAPACITY AS ADVISOR ON BEHALF OF HARBOR BOND FUND</t>
  </si>
  <si>
    <t>PACIFIC INVESTMENT MANAGEMENT COMPANY LLC, SOLELY IN ITS CAPACITY AS ADVISOR ON BEHALF OF HARBOR CAPITAL GROUP TRUST FOR DEFINED BENEFIT PLANS</t>
  </si>
  <si>
    <t>PACIFIC INVESTMENT MANAGEMENT COMPANY LLC, SOLELY IN ITS CAPACITY AS ADVISOR ON BEHALF OF HARTFORD LIFE INSURANCE COMPANY</t>
  </si>
  <si>
    <t>HARVEST OPERATIONS CORP</t>
  </si>
  <si>
    <t>HARVEST OPERATIONS</t>
  </si>
  <si>
    <t>PACIFIC INVESTMENT MANAGEMENT COMPANY LLC, SOLELY IN ITS CAPACITY AS ADVISOR ON BEHALF OF HEALTH CARE SECURITY TRUST</t>
  </si>
  <si>
    <t>PACIFIC INVESTMENT MANAGEMENT COMPANY LLC, SOLELY IN ITS CAPACITY AS ADVISOR ON BEHALF OF HEWLETT-PACKARD COMPANY MASTER TRUST.</t>
  </si>
  <si>
    <t>PACIFIC INVESTMENT MANAGEMENT COMPANY LLC, SOLELY IN ITS CAPACITY AS ADVISOR ON BEHALF OF HEWLETT-PACKARD COMPANY MASTER TRUST</t>
  </si>
  <si>
    <t>HITACHI CANADIAN IND LIMITED</t>
  </si>
  <si>
    <t>PACIFIC INVESTMENT MANAGEMENT COMPANY LLC, SOLELY IN ITS CAPACITY AS ADVISOR ON BEHALF OF HOAG MEMORIAL HOSPITAL PRESBYTERIAN</t>
  </si>
  <si>
    <t>PACIFIC INVESTMENT MANAGEMENT COMPANY LLC, SOLELY IN ITS CAPACITY AS ADVISOR ON BEHALF OF HOSPITAL AUTHORITY PROVIDENT FUND SCHEME</t>
  </si>
  <si>
    <t>HUSKY OIL OPERATIONS LIMITED</t>
  </si>
  <si>
    <t>HYDRO ONE INC</t>
  </si>
  <si>
    <t>PACIFIC INVESTMENT MANAGEMENT COMPANY LLC, SOLELY IN ITS CAPACITY AS ADVISOR ON BEHALF OF IBM GLOBAL STRATEGY FUND</t>
  </si>
  <si>
    <t>PACIFIC INVESTMENT MANAGEMENT COMPANY LLC, SOLELY IN ITS CAPACITY AS ADVISOR ON BEHALF OF  IBM 401(K) PLUS PLAN</t>
  </si>
  <si>
    <t>PACIFIC INVESTMENT MANAGEMENT COMPANY LLC, SOLELY IN ITS CAPACITY AS ADVISOR ON BEHALF OF IHC HEALTH SERVICES INC.</t>
  </si>
  <si>
    <t>PACIFIC INVESTMENT MANAGEMENT COMPANY LLC, SOLELY IN ITS CAPACITY AS ADVISOR ON BEHALF OF IHC PENSION PLAN</t>
  </si>
  <si>
    <t>PACIFIC INVESTMENT MANAGEMENT COMPANY LLC, SOLELY IN ITS CAPACITY AS ADVISOR ON BEHALF OF INDIANA STATE TEACHERS RETIREMENT FUND</t>
  </si>
  <si>
    <t>PACIFIC INVESTMENT MANAGEMENT COMPANY LLC, SOLELY IN ITS CAPACITY AS ADVISOR ON BEHALF OF  ING PIMCO TOTAL RETURN BOND PORTFOLIO</t>
  </si>
  <si>
    <t>PACIFIC INVESTMENT MANAGEMENT COMPANY LLC, SOLELY IN ITS CAPACITY AS ADVISOR ON BEHALF OF ING PIMCO HIGH YIELD PORTFOLIO</t>
  </si>
  <si>
    <t>PACIFIC INVESTMENT MANAGEMENT COMPANY LLC, SOLELY IN ITS CAPACITY AS ADVISOR ON BEHALF OF ING PIMCO TOTAL RETURN PORTFOLIO</t>
  </si>
  <si>
    <t>PACIFIC INVESTMENT MANAGEMENT COMPANY LLC, SOLELY IN ITS CAPACITY AS ADVISOR ON BEHALF OF INGERSOLL-RAND COMPANY COLLECTIVE TRUST</t>
  </si>
  <si>
    <t>PACIFIC INVESTMENT MANAGEMENT COMPANY LLC, SOLELY IN ITS CAPACITY AS ADVISOR ON BEHALF OF INTER-LOCAL PENSION FUND OF THE GRAPHIC COMMUNICATIONS INTERNATIONAL UNION</t>
  </si>
  <si>
    <t>PACIFIC INVESTMENT MANAGEMENT COMPANY LLC, SOLELY IN ITS CAPACITY AS ADVISOR ON BEHALF OF INTERNATIONAL SHIPOWNERS REINSURANCE COMPANY SA</t>
  </si>
  <si>
    <t>PACIFIC INVESTMENT MANAGEMENT COMPANY LLC, SOLELY IN ITS CAPACITY AS ADVISOR ON BEHALF OF INTERNATIONAL UNITED AUTOMOBILE WORKERS MASTER PENSION TRUST</t>
  </si>
  <si>
    <t>IRVING OIL LIMITED</t>
  </si>
  <si>
    <t>Irving Shipbuilding Inc</t>
  </si>
  <si>
    <t>IRVING SHIPBUILDING INC</t>
  </si>
  <si>
    <t>ITERATION ENERGY LTD</t>
  </si>
  <si>
    <t>PACIFIC INVESTMENT MANAGEMENT COMPANY LLC, SOLELY IN ITS CAPACITY AS ADVISOR ON BEHALF OF J C BAMFORD LIFEPLAN</t>
  </si>
  <si>
    <t>PACIFIC INVESTMENT MANAGEMENT COMPANY LLC SOLELY IN ITS CAPACITY AS ADVISOR ON BEHALF OF J.C. PENNY COMPANY INC. PENSION PLAN</t>
  </si>
  <si>
    <t>JANES FAMILY FOODS LTD</t>
  </si>
  <si>
    <t>JD TIMBER HOLDINGS LTD</t>
  </si>
  <si>
    <t>PACIFIC INVESTMENT MANAGEMENT COMPANY LLC, SOLELY IN ITS CAPACITY AS ADVISOR ON BEHALF OF  JNL SERIES TRUST PIMCO REAL RETURN FUND</t>
  </si>
  <si>
    <t>PACIFIC INVESTMENT MANAGEMENT COMPANY LLC, SOLELY IN ITS CAPACITY AS ADVISOR ON BEHALF OF JOHN DEERE PENSION TRUST</t>
  </si>
  <si>
    <t>PACIFIC INVESTMENT MANAGEMENT COMPANY LLC, SOLELY IN ITS CAPACITY AS ADVISOR ON BEHALF OF JOHN HANCOCK FUNDS II GLOBAL BOND FUND</t>
  </si>
  <si>
    <t>PACIFIC INVESTMENT MANAGEMENT COMPANY LLC, SOLELY IN ITS CAPACITY AS ADVISOR ON BEHALF OF JOHN HANCOCK FUNDS II REAL RETURN BOND FUND</t>
  </si>
  <si>
    <t>JOHN HANCOCK LIFE INSURANCE COMPANY OF NEW YORK</t>
  </si>
  <si>
    <t>PACIFIC INVESTMENT MANAGEMENT COMPANY LLC, SOLELY IN ITS CAPACITY AS ADVISOR ON BEHALF OF KANSAS PUBLIC EMPLOYEES RETIREMENT SYSTEM</t>
  </si>
  <si>
    <t>KASIKORNBANK PUBLIC COMPANY LTD</t>
  </si>
  <si>
    <t>KASIKORNBANK PCL</t>
  </si>
  <si>
    <t>PACIFIC INVESTMENT MANAGEMENT COMPANY LLC, SOLELY IN ITS CAPACITY AS ADVISOR ON BEHALF OF KASIKORNBANK PUBLIC COMPANY LIMITED</t>
  </si>
  <si>
    <t>KASIKORNBANK (THAI FARMERS BK)</t>
  </si>
  <si>
    <t>PACIFIC INVESTMENT MANAGEMENT COMPANY LLC, SOLELY IN ITS CAPACITY AS ADVISOR ON BEHALF OF KELLOGG COMPANY MASTER RETIREMENT TRUST</t>
  </si>
  <si>
    <t>KING STREET FUNDING TRUST</t>
  </si>
  <si>
    <t>KING STREET FUNDING TRUST (CANADIAN NATIONAL RAILWAY COMPANY)</t>
  </si>
  <si>
    <t>KING STREET FUNDING TRUST (NISSAN CANADA INC)</t>
  </si>
  <si>
    <t>KING STREET FUNDING TRUST (NCR-T)</t>
  </si>
  <si>
    <t>KINROSS GOLD USA INC.</t>
  </si>
  <si>
    <t>KINROSS GOLD USA INC</t>
  </si>
  <si>
    <t>KRAMER LTD</t>
  </si>
  <si>
    <t>PACIFIC INVESTMENT MANAGEMENT COMPANY LLC, SOLELY IN ITS CAPACITY AS ADVISOR ON BEHALF OF KROGER DEFINED CONTRIBUTION PLAN MASTER TURST</t>
  </si>
  <si>
    <t>LA COOP FEDEREE</t>
  </si>
  <si>
    <t>SOLLIO GROUPE COOPERATIF (FKA LA COOP FEDEREE)</t>
  </si>
  <si>
    <t>SOLLIO GROUPE COOPERATIF</t>
  </si>
  <si>
    <t>LABATT BREWING COMPANY LIMITED</t>
  </si>
  <si>
    <t>PACIFIC INVESTMENT MANAGEMENT COMPANY LLC, SOLELY IN ITS CAPACITY AS ADVISOR ON BEHALF OF LABORERS' DISTRICT COUNCIL AND CONTRACTORS' PENSION FUND OF OHIO</t>
  </si>
  <si>
    <t>LAC DES ILES MINES LIMITED</t>
  </si>
  <si>
    <t>PACIFIC INVESTMENT MANAGEMENT COMPANY LLC, SOLELY IN ITS CAPACITY AS ADVISOR ON BEHALF OF LAND TRANSPORT AUTHORITY OF SINGAPORE</t>
  </si>
  <si>
    <t>LANTIC INC.</t>
  </si>
  <si>
    <t>LANTIC INC</t>
  </si>
  <si>
    <t>LEGACY OIL AND GAS INC</t>
  </si>
  <si>
    <t>PACIFIC INVESTMENT MANAGEMENT COMPANY LLC, SOLELY IN ITS CAPACITY AS ADVISOR ON BEHALF OF LELAND STANFORD JUNOIR UNIVERSITY - CHARITABLE TRUST PROGRAM</t>
  </si>
  <si>
    <t>PACIFIC INVESTMENT MANAGEMENT COMPANY LLC, SOLELY IN ITS CAPACITY AS ADVISOR ON BEHALF OF LELAND STANFORD JUNIOR UNIVERSITY - MERGED ENDOWNMENT POOL</t>
  </si>
  <si>
    <t>LOBLAW COMPANIES LIMITED</t>
  </si>
  <si>
    <t>LONE PINE RESOURCES CANADA LTD</t>
  </si>
  <si>
    <t>PACIFIC INVESTMENT MANAGEMENT COMPANY LLC, SOLELY IN ITS CAPACITY AS ADVISOR ON BEHALF OF LONGUE VUE PARTNERS</t>
  </si>
  <si>
    <t>LONGVIEW OIL CORPORATION</t>
  </si>
  <si>
    <t>PACIFIC INVESTMENT MANAGEMENT COMPANY LLC, SOLELY IN ITS CAPACITY AS ADVISOR ON BEHALF OF LOS ANGELES COUNTY METROPOLITAN TRANSIT AUTHORITY RETIREMENT INCOME PLANS</t>
  </si>
  <si>
    <t>PACIFIC INVESTMENT MANAGEMENT COMPANY LLC, SOLELY IN ITS CAPACITY AS ADVISOR ON BEHALF OF LYONDELL CHEMICAL COMPANY RETIREMENT PLAN TRUST</t>
  </si>
  <si>
    <t>MACS CONVENIENCE STORES INC</t>
  </si>
  <si>
    <t>MAC'S CONVENIENCE STORES INC.</t>
  </si>
  <si>
    <t>MAGNOTTA WINERY CORPORATION</t>
  </si>
  <si>
    <t>PACIFIC INVESTMENT MANAGEMENT COMPANY LLC, SOLELY IN ITS CAPACITY AS ADVISOR ON BEHALF OF  MAINE PUBLIC EMPLOYEE RETIREMENT SYSTEM</t>
  </si>
  <si>
    <t>PACIFIC INVESTMENT MANAGEMENT COMPANY LLC, SOLELY IN ITS CAPACITY AS ADVISOR ON BEHALF OF MAJOR LEAGUE BASEBALL PLAYERS BENEFIT PLAN</t>
  </si>
  <si>
    <t>MAJOR LEAGUE BASEBALL PLAYER2051</t>
  </si>
  <si>
    <t>PACIFIC INVESTMENT MANAGEMENT COMPANY LLC, SOLELY IN ITS CAPACITY AS ADVISOR ON BEHALF OF  MANAGERS PIMCO BOND FUND</t>
  </si>
  <si>
    <t>MANNA FOOD COMPANY LTD</t>
  </si>
  <si>
    <t>MASTER PENSION TRUST OF CSX CORPORATION AND AFFILIATED COMPANIES SPONSORED BY CSX CORPORAT</t>
  </si>
  <si>
    <t>PACIFIC INVESTMENT MANAGEMENT COMPANY LLC, SOLELY IN ITS CAPACITY AS ADVISOR ON BEHALF OF MASTER PENSION TRUST OF CSX CORPORATION AND AFFILATED COMPANIES</t>
  </si>
  <si>
    <t>PACIFIC INVESTMENT MANAGEMENT COMPANY LLC, SOLELY IN ITS CAPACITY AS ADVISOR ON BEHALF OF MASTER TRUST AGREEMENT BETWEEN PFIZER INC. AND THE NORTHERN TRUST COMPANY</t>
  </si>
  <si>
    <t>PACIFIC INVESTMENT MANAGEMENT COMPANY LLC, SOLELY IN ITS CAPACITY AS ADVISOR ON BEHALF OF MASTER TRUST AGREEMENT BETWEEN PFIZER INC AND THE NORTHERN TRUSTCOMPANY.</t>
  </si>
  <si>
    <t>PACIFIC INVESTMENT MANAGEMENT COMPANY LLC SOLELY IN ITS CAPACITY AS ADVISOR ON BEHALF OF  NEXTERA ENERGY INC. EMPLOYEE PENSION PLAN</t>
  </si>
  <si>
    <t>PACIFIC INVESTMENT MANAGEMENT COMPANY LLC SOLELY IN ITS CAPACITY AS ADVISOR ON BEHALF OF MATTEL INC. MASTER TRUST</t>
  </si>
  <si>
    <t>PACIFIC INVESTMENT MANAGEMENT COMPANY LLC, SOLELY IN ITS CAPACITY AS ADVISOR ON BEHALF OF MBNA CORPORATION PENSION PLAN</t>
  </si>
  <si>
    <t>MDF COMMERCE INC</t>
  </si>
  <si>
    <t>MDF COMMERCE INC.</t>
  </si>
  <si>
    <t>PACIFIC INVESTMENT MANAGEMENT COMPANY LLC, SOLELY IN ITS CAPACITY AS ADVISOR ON BEHALF OF MEDSTAR HEALTH INC.</t>
  </si>
  <si>
    <t>PACIFIC INVESTMENT MANAGEMENT COMPANY LLC, SOLELY IN ITS CAPACITY AS ADVISOR ON BEHALF OF MEDSTAR HEALTH INC. MASTER RETIREMENT PLAN</t>
  </si>
  <si>
    <t>PACIFIC INVESTMENT MANAGEMENT COMPANY LLC, SOLELY IN ITS CAPACITY AS ADVISOR ON BEHALF OF METLIFE SEPERATE SCCOUNT NO. 253</t>
  </si>
  <si>
    <t>PACIFIC INVESTMENT MANAGEMENT COMPANY LLC, SOLELY IN ITS CAPACITY AS ADVISOR ON BEHALF OF METLIFE SEPERATE ACCOUNT NO. 384</t>
  </si>
  <si>
    <t>PACIFIC INVESTMENT MANAGEMENT COMPANY LLC, SOLELY IN ITS CAPACITY AS ADVISOR ON BEHALF OF METLIFE SEPERATE ACCOUNT NO. 566</t>
  </si>
  <si>
    <t>METRO INC</t>
  </si>
  <si>
    <t>MEX_CABL</t>
  </si>
  <si>
    <t>MEX_FIDADM</t>
  </si>
  <si>
    <t>MEX_FONACOT</t>
  </si>
  <si>
    <t>MEX_GMAC</t>
  </si>
  <si>
    <t>MEX_GSPI</t>
  </si>
  <si>
    <t>MEX_HOHU</t>
  </si>
  <si>
    <t>MEX_MERP</t>
  </si>
  <si>
    <t>MEX_MEXALT</t>
  </si>
  <si>
    <t>MEX_URREA</t>
  </si>
  <si>
    <t>MEXICHEM RESINAS VINILICAS SA DE CV</t>
  </si>
  <si>
    <t>PACIFIC INVESTMENT MANAGEMENT COMPANY LLC, SOLELY IN ITS CAPACITY AS ADVISOR ON BEHALF OF MGI COLLECTIVE TRUST</t>
  </si>
  <si>
    <t>MIDWAY INDUSTRIES LTD.</t>
  </si>
  <si>
    <t>PACIFIC INVESTMENT MANAGEMENT COMPANY LLC, SOLELY IN ITS CAPACITY AS ADVISOR ON BEHALF OF MIDWEST OPERATING ENGINEERS' PENSION TRUST FUND.</t>
  </si>
  <si>
    <t>PACIFIC INVESTMENT MANAGEMENT COMPANY LLC, SOLELY IN ITS CAPACITY AS ADVISOR ON BEHALF OF MIDWEST OPERATING ENGINEERS' PENSION TRUST FUND</t>
  </si>
  <si>
    <t>MILLER PAVING LIMITED</t>
  </si>
  <si>
    <t>PACIFIC INVESTMENT MANAGEMENT COMPANY LLC, SOLELY IN ITS CAPACITY AS ADVISOR ON BEHALF OF MONTEFIORE MEDICAL CENTER</t>
  </si>
  <si>
    <t>MOODYS INVESTORS SERVICE LTD.</t>
  </si>
  <si>
    <t>MOODY'S INVESTOR SERVICES LTD</t>
  </si>
  <si>
    <t>PACIFIC INVESTMENT MANAGEMENT COMPANY LLC, SOLELY IN ITS CAPACITY AS ADVISOR ON BEHALF OF MOTION PICTURE INDUSTRY HEALTH PLAN (ACTIVE MEMBER FUND)</t>
  </si>
  <si>
    <t>PACIFIC INVESTMENT MANAGEMENT COMPANY LLC, SOLELY IN ITS CAPACITY AS ADVISOR ON BEHALF OF MOTION PICTURE INDUSTRY INDIVIDUAL ACCOUNT PLAN</t>
  </si>
  <si>
    <t>MOULURE ALEXABNDRIA MOULDING INC</t>
  </si>
  <si>
    <t>MULTIMATIC INC.</t>
  </si>
  <si>
    <t>MULTIMATIC INC</t>
  </si>
  <si>
    <t>NAL ENERGY INC</t>
  </si>
  <si>
    <t>NALCOR ENERGY OIL AND GAS</t>
  </si>
  <si>
    <t>NALCOR ENERGY OIL AND GAS INC.</t>
  </si>
  <si>
    <t>NALCOR ENERGY OIL AND GAS INC</t>
  </si>
  <si>
    <t>PACIFIC INVESTMENT MANAGEMENT COMPANY LLC, SOLELY IN ITS CAPACITY AS ADVISOR ON BEHALF OF NATIONAL COUNCIL FOR SOCIAL SECURITY FUND</t>
  </si>
  <si>
    <t>PACIFIC INVESTMENT MANAGEMENT COMPANY LLC, SOLELY IN ITS CAPACITY AS ADVISOR ON BEHALF OF NATIONAL FOOTBALL LEAGUE RECIPRICAL TRUST</t>
  </si>
  <si>
    <t>PACIFIC INVESTMENT MANAGEMENT COMPANY LLC, SOLELY IN ITS CAPACITY AS ADVISOR ON BEHALF OF NATIONAL PROVIDENT FUND - F FUND OF THE GLOBAL ASSET TRUST</t>
  </si>
  <si>
    <t>PACIFIC INVESTMENT MANAGEMENT COMPANY LLC, SOLELY IN ITS CAPACITY AS ADVISOR ON BEHALF OF NATIONAL ROOFING INDUSTRY PENSION FUND</t>
  </si>
  <si>
    <t>PACIFIC INVESTMENT MANAGEMENT COMPANY LLC, SOLELY IN ITS CAPACITY AS ADVISOR ON BEHALF OF NESTLE IN THE USA PENSION TRUST</t>
  </si>
  <si>
    <t>PACIFIC INVESTMENT MANAGEMENT COMPANY LLC, SOLELY IN ITS CAPACITY AS ADVISOR ON BEHALF OF  NESTLE IN THE USA PENSION TRUST</t>
  </si>
  <si>
    <t>PACIFIC INVESTMENT MANAGEMENT COMPANY LLC, SOLELY IN ITS CAPACITY AS ADVISOR ON BEHALF OF NEW WORLD TRUST FUND - NEW WORLD PM MBS FUND</t>
  </si>
  <si>
    <t>PACIFIC INVESTMENT MANAGEMENT COMPANY LLC, SOLELY IN ITS CAPACITY AS ADVISOR ON BEHALF OF NEW YORK STATE NURSES ASSOCIATION PENSION PLAN</t>
  </si>
  <si>
    <t>NEWALTA CORPORATION</t>
  </si>
  <si>
    <t>TERVITA CORPORATION</t>
  </si>
  <si>
    <t>THE NEWFOUNDLAND AND LABRADOR HYDRO</t>
  </si>
  <si>
    <t>NEWFOUNDLAND AND LABRADOR HYDRO</t>
  </si>
  <si>
    <t>NORDEA BANK ABP</t>
  </si>
  <si>
    <t>NORDEA BANK ABP LONDON</t>
  </si>
  <si>
    <t>NORDEA BANK ABP NEW YORK</t>
  </si>
  <si>
    <t>NORDEA BANK ABP HELSINKI</t>
  </si>
  <si>
    <t>Nordea Bank AB</t>
  </si>
  <si>
    <t>NORDEA BANK ABP GLOBAL EQUITY FINANCE</t>
  </si>
  <si>
    <t>NORDEA BANK AB (PUBL)</t>
  </si>
  <si>
    <t>PACIFIC INVESTMENT MANAGEMENT COMPANY LLC, SOLELY IN ITS CAPACITY AS ADVISOR ON BEHALF OF NORDSTROM SELECT FUND TRUST</t>
  </si>
  <si>
    <t>NORREP HIGH YIELD CLASS</t>
  </si>
  <si>
    <t>NORTH AMERICAN CONSTRUCTION GROUP LTD</t>
  </si>
  <si>
    <t>NORTH AMERICAN CONSTRUCTION GROUP LTD.</t>
  </si>
  <si>
    <t>NORTHERN GOLD FOODS LTD</t>
  </si>
  <si>
    <t>NORTHERN GOLD FOODS LTD.</t>
  </si>
  <si>
    <t>NORTHERN GOLD FOODS</t>
  </si>
  <si>
    <t>NORTHWEST TERRITORIES POWER CORP</t>
  </si>
  <si>
    <t>NORTHWEST TERRITORIES POWER CORPORATION</t>
  </si>
  <si>
    <t>PACIFIC INVESTMENT MANAGEMENT COMPANY LLC, SOLELY IN ITS CAPACITY AS ADVISOR ON BEHALF OF NORTHWESTERN MUTUAL SERIES FUNDS INC. - PIMCO MULTO-SECTOR BOND PORTFOLIO CAPITAL STOCK</t>
  </si>
  <si>
    <t>PACIFIC INVESTMENT MANAGEMENT COMPANY LLC, SOLELY IN ITS CAPACITY AS ADVISOR ON BEHALF OF NTUC INCOME INSURANCE CO-OPERATIVE LIMITED</t>
  </si>
  <si>
    <t>PACIFIC INVESTMENT MANAGEMENT COMPANY LLC, SOLELY IN ITS CAPACITY AS ADVISOR ON BEHALF OF OHIO CARPENTERS' PENSION FUND</t>
  </si>
  <si>
    <t>PACIFIC INVESTMENT MANAGEMENT COMPANY LLC, SOLELY IN ITS CAPACITY AS ADVISOR ON BEHALF OF OIL CASUALTY INVESTMENT CORPORATION LTD</t>
  </si>
  <si>
    <t>PACIFIC INVESTMENT MANAGEMENT COMPANY LLC, SOLELY IN ITS CAPACITY AS ADVISOR ON BEHALF OF OIL INVESTMENT CORPORATION LTD, OIL CASUALTY INVESTMENT CORPORATION LTD.</t>
  </si>
  <si>
    <t>PACIFIC INVESTMENT MANAGEMENT COMPANY LLC, SOLELY IN ITS CAPACITY AS ADVISOR ON BEHALF OF OIL INVESTMENT CORPORATION LTD.</t>
  </si>
  <si>
    <t>PACIFIC INVESTMENT MANAGEMENT COMPANY LLC, SOLELY IN ITS CAPACITY AS ADVISOR ON BEHALF OF OIL INVESTMENT CORPORATION LTD</t>
  </si>
  <si>
    <t>PACIFIC INVESTMENT MANAGEMENT COMPANY LLC, SOLELY IN ITS CAPACITY AS ADVISOR ON BEHALF OF OMANI STAFF PENSION FUND.</t>
  </si>
  <si>
    <t>PACIFIC INVESTMENT MANAGEMENT COMPANY LLC, SOLELY IN ITS CAPACITY AS ADVISOR ON BEHALF OF OPPENHEIMER CAPITAL TOTAL RETURN TRUST</t>
  </si>
  <si>
    <t>PACIFIC INVESTMENT MANAGEMENT COMPANY LLC, SOLELY IN ITS CAPACITY AS ADVISOR ON BEHALF OF ORANGE COUNTY EMPLOYEES RETIREMENT SYSTEM.</t>
  </si>
  <si>
    <t>OREGON PUBLIC EMPLOYEES RETIREMENT FUND</t>
  </si>
  <si>
    <t>PACIFIC INVESTMENT MANAGEMENT COMPANY LLC, SOLELY IN ITS CAPACITY AS ADVISOR ON BEHALF OF OREGON PUBLIC EMPLOYEES RETIREMENT FUND</t>
  </si>
  <si>
    <t>PACIFIC INVESTMENT MANAGEMENT COMPANY LLC, SOLELY IN ITS CAPACITY AS ADVISOR ON BEHALF OF OREGON RETAIL EMPLOYEES PENSION TRUST</t>
  </si>
  <si>
    <t>HOLDING OTERA CAPITAL INC</t>
  </si>
  <si>
    <t>PACIFIC INVESTMENT MANAGEMENT COMPANY LLC, SOLELY IN ITS CAPACITY AS ADVISOR ON BEHALF OF PACIFIC SELECT FUND INFLATION MANAGED PORTFOLIO</t>
  </si>
  <si>
    <t>PACIFIC INVESTMENT MANAGEMENT COMPANY LLC, SOLELY IN ITS CAPACITY AS ADVISOR ON BEHALF OF PACIFIC SELECT FUND MANAGED BOND PORTFOLIO</t>
  </si>
  <si>
    <t>PASKAL CATTLE COMPANY LTD</t>
  </si>
  <si>
    <t>PATERSON GLOBAL FOODS INC</t>
  </si>
  <si>
    <t>PATERSON GLOBALFOODS INC</t>
  </si>
  <si>
    <t>PATERSON GLOBALFOODS INC.</t>
  </si>
  <si>
    <t>PATRIOT FORGE CO</t>
  </si>
  <si>
    <t>PATRIOT FORGE CO.</t>
  </si>
  <si>
    <t>PDC MOUNTAINEER LLC</t>
  </si>
  <si>
    <t>PENGROWTH ENERGY CORPORATION</t>
  </si>
  <si>
    <t>PACIFIC INVESTMENT MANAGEMENT COMPANY LLC, SOLELY IN ITS CAPACITY AS ADVISOR ON BEHALF OF PENSION FUND OF THE CHRISTIAN CHURCH</t>
  </si>
  <si>
    <t>PACIFIC INVESTMENT MANAGEMENT COMPANY LLC SOLELY IN ITS CAPACITY AS ADVISOR ON BEHALF OF PENSION FUND OF THE CHRISTIAN CHURCH (DISCIPLES OF CHRIST) INC.</t>
  </si>
  <si>
    <t>PACIFIC INVESTMENT MANAGEMENT COMPANY LLC, SOLELY IN ITS CAPACITY AS ADVISOR ON BEHALF OF PENSION PLAN FOR SALARIED EMPLOYEES OF UNION PACIFIC CORPORATION AND AFFILIATES</t>
  </si>
  <si>
    <t>PACIFIC INVESTMENT MANAGEMENT COMPANY LLC, SOLELY IN ITS CAPACITY AS ADVISOR ON BEHALF OF PENSION RESERVES INVESTMENT TRUST</t>
  </si>
  <si>
    <t>PACIFIC INVESTMENT MANAGEMENT COMPANY LLC, SOLELY IN ITS CAPACITY AS ADVISOR ON BEHALF OF PENSION RESERVES INVESTMENT TRUST.</t>
  </si>
  <si>
    <t>PACIFIC INVESTMENT MANAGEMENT COMPANY LLC, SOLELY IN ITS CAPACITY AS ADVISOR ON BEHALF OF PEPCO HOLDINGS RETIREMENT PLAN MASTER TRUST</t>
  </si>
  <si>
    <t>PETROBAKKEN ENERGY LTD</t>
  </si>
  <si>
    <t>LIGHTSTREAM RESOURCES LTD</t>
  </si>
  <si>
    <t>PACIFIC INVESTMENT MANAGEMENT COMPANY LLC, SOLELY IN ITS CAPACITY AS ADVISOR ON BEHALF OF PIMCO AAA-OR-BETTER INTERMEDIATE FUND</t>
  </si>
  <si>
    <t>PACIFIC INVESTMENT MANAGEMENT COMPANY LLC, SOLELY IN ITS CAPACITY AS ADVISOR ON BEHALF OF PIMCO ABSOLUTE RETURN STRATEGY V MASTER FUND LDC WITH RESPECT TO ITS CLASS RELATING TO THE DB EURO CLASS OF PIMCO ABSOLUTE RETURN STRATEGY V OFFSHORE FUND LTD.</t>
  </si>
  <si>
    <t>PACIFIC INVESTMENT MANAGEMENT COMPANY LLC, SOLELY IN ITS CAPACITY AS ADVISOR ON BEHALF OF PIMCO ABSOLUTE RETURN STRATEGY V MASTER FUND LDC</t>
  </si>
  <si>
    <t>PIMCO AFFILIATED MANAGED FUNDS</t>
  </si>
  <si>
    <t>PACIFIC INVESTMENT MANAGEMENT COMPANY LLC, SOLELY IN ITS CAPACITY AS ADVISOR ON BEHALF OF PIMCO CALIFORNIA MUNICIPAL INCOME FUND</t>
  </si>
  <si>
    <t>PACIFIC INVESTMENT MANAGEMENT COMPANY LLC, SOLELY IN ITS CAPACITY AS ADVISOR ON BEHALF OF PIMCO CALIFORNIA MUNICIPAL INCOME FUND II</t>
  </si>
  <si>
    <t>PACIFIC INVESTMENT MANAGEMENT COMPANY LLC, SOLELY IN ITS CAPACITY AS ADVISOR ON BEHALF OF PIMCO CALIFORNIA MUNICIPAL INCOME FUND III</t>
  </si>
  <si>
    <t>PACIFIC INVESTMENT MANAGEMENT COMPANY LLC, SOLELY IN ITS CAPACITY AS ADVISOR ON BEHALF OF PIMCO CANADA CANADIAN COREPLUS BOND TRUST</t>
  </si>
  <si>
    <t>PACIFIC INVESTMENT MANAGEMENT COMPANY LLC, SOLELY IN ITS CAPACITY AS ADVISOR ON BEHALF OF PIMCO CANADA CANADIAN COREPLUS LONG BOND TRUST.</t>
  </si>
  <si>
    <t>PACIFIC INVESTMENT MANAGEMENT COMPANY LLC, SOLELY IN ITS CAPACITY AS ADVISOR ON BEHALF OF PIMCO CAYMAN COMMODITY FUND I, LTD</t>
  </si>
  <si>
    <t>PACIFIC INVESTMENT MANAGEMENT COMPANY LLC SOLELY IN ITS CAPACITY AS ADVISOR ON BEHALF OF  PCM FUND INC.</t>
  </si>
  <si>
    <t>PACIFIC INVESTMENT MANAGEMENT COMPANY LLC, SOLELY IN ITS CAPACITY AS ADVISOR ON BEHALF OF PIMCO CORE FIXED INCOME FUND</t>
  </si>
  <si>
    <t>PACIFIC INVESTMENT MANAGEMENT COMPANY LLC, SOLELY IN ITS CAPACITY AS ADVISOR ON BEHALF OF PIMCO CORPORATE INCOME FUND</t>
  </si>
  <si>
    <t>PACIFIC INVESTMENT MANAGEMENT COMPANY LLC, SOLELY IN ITS CAPACITY AS ADVISOR ON BEHALF OF PIMCO CORPORATE OPPORTUNITY FUND</t>
  </si>
  <si>
    <t>PACIFIC INVESTMENT MANAGEMENT COMPANY LLC, SOLELY IN ITS CAPACITY AS ADVISOR ON BEHALF OF  PIMCO FUNDS: PIMCO EMERGING MARKETS CORPORATE BOND FUND</t>
  </si>
  <si>
    <t>PACIFIC INVESTMENT MANAGEMENT COMPANY LLC, SOLELY IN ITS CAPACITY AS ADVISOR ON BEHALF OF PIMCO FUNDS: PIMCO INTERNATIONAL STOCKSPLUS TR STRATEGY FUND.</t>
  </si>
  <si>
    <t>PACIFIC INVESTMENT MANAGEMENT COMPANY LLC, SOLELY IN ITS CAPACITY AS ADVISOR ON BEHALF OF  PIMCO INCOME STRATEGY FUND</t>
  </si>
  <si>
    <t>PACIFIC INVESTMENT MANAGEMENT COMPANY LLC, SOLELY IN ITS CAPACITY AS ADVISOR ON BEHALF OF  PIMCO INCOME STRATEGY FUND II</t>
  </si>
  <si>
    <t>PACIFIC INVESTMENT MANAGEMENT COMPANY LLC, SOLELY IN ITS CAPACITY AS ADVISOR ON BEHALF OF THE BANK OF NEW YORK MELLON EMPLOYEE BENEFIT COLLECTIVE INVESTMENT FUND PLAN</t>
  </si>
  <si>
    <t>PACIFIC INVESTMENT MANAGEMENT COMPANY LLC, SOLELY IN ITS CAPACITY AS ADVISOR ON BEHALF OF  THE GOV'T OF THE REPUBLIC OF SINGAPORE, AS REPRESENTED BY THE BOARD OF TRUSTEES OF THE SAVER-PREMIUM FUND PIMCO FUNDS FORD MOTOR COMPANY DEFINED BENEFIT</t>
  </si>
  <si>
    <t>PACIFIC INVESTMENT MANAGEMENT COMPANY LLC, SOLELY IN ITS CAPACITY AS ADVISOR ON BEHALF OF PIMCO FUNDS: GLOBAL INVESTORS SERIES PLC TOTAL RETURN BOND FUND (EURO HEDGED)</t>
  </si>
  <si>
    <t>PACIFIC INVESTMENT MANAGEMENT COMPANY LLC, SOLELY IN ITS CAPACITY AS ADVISOR ON BEHALF OF PIMCO FUNDS: GLOBAL INVESTORS SERIES PLC TOTAL RETURN BOND FUND</t>
  </si>
  <si>
    <t>PACIFIC INVESTMENT MANAGEMENT COMPANY LLC, SOLELY IN ITS CAPACITY AS ADVISOR ON BEHALF OF  TEXAS CHILDREN'S HOSPITAL FOUNDATION</t>
  </si>
  <si>
    <t>PACIFIC INVESTMENT MANAGEMENT COMPANY LLC, SOLELY IN ITS CAPACITY AS ADVISOR ON BEHALF OF  PIMCO FUNDS: PIMCO CALIFORNIA INTERMEDIATE MUNICIPAL BOND FUND</t>
  </si>
  <si>
    <t>PACIFIC INVESTMENT MANAGEMENT COMPANY LLC, SOLELY IN ITS CAPACITY AS ADVISOR ON BEHALF OF  PIMCO FUNDS: PIMCO CALIFORNIA SHORT DURATION MUNICIPAL INCOME FUND</t>
  </si>
  <si>
    <t>PACIFIC INVESTMENT MANAGEMENT COMPANY LLC, SOLELY IN ITS CAPACITY AS ADVISOR ON BEHALF OF  PIMCO FUNDS: PIMCO COMMODITYREALRETURN STRATEGY FUND</t>
  </si>
  <si>
    <t>PACIFIC INVESTMENT MANAGEMENT COMPANY LLC, SOLELY IN ITS CAPACITY AS ADVISOR ON BEHALF OF  PIMCO FUNDS: PIMCO CONVERTIBLE FUND</t>
  </si>
  <si>
    <t>PACIFIC INVESTMENT MANAGEMENT COMPANY LLC, SOLELY IN ITS CAPACITY AS ADVISOR ON BEHALF OF  PIMCO FUNDS: PIMCO DIVERSIFIED INCOME FUND</t>
  </si>
  <si>
    <t>PACIFIC INVESTMENT MANAGEMENT COMPANY LLC, SOLELY IN ITS CAPACITY AS ADVISOR ON BEHALF OF  PIMCO FUNDS: PIMCO FLOATING INCOME FUND</t>
  </si>
  <si>
    <t>PACIFIC INVESTMENT MANAGEMENT COMPANY LLC, SOLELY IN ITS CAPACITY AS ADVISOR ON BEHALF OF  PIMCO FUNDS: PIMCO FOREIGN BOND FUND (U.S. DOLLAR-HEDGED)</t>
  </si>
  <si>
    <t>PACIFIC INVESTMENT MANAGEMENT COMPANY LLC, SOLELY IN ITS CAPACITY AS ADVISOR ON BEHALF OF  PIMCO FUNDS: PIMCO FOREIGN BOND FUND (UNHEDGED)</t>
  </si>
  <si>
    <t>PACIFIC INVESTMENT MANAGEMENT COMPANY LLC, SOLELY IN ITS CAPACITY AS ADVISOR ON BEHALF OF  PIMCO FUNDS: PIMCO GLOBAL BOND FUND (U.S. DOLLAR-HEDGED)</t>
  </si>
  <si>
    <t>PACIFIC INVESTMENT MANAGEMENT COMPANY LLC, SOLELY IN ITS CAPACITY AS ADVISOR ON BEHALF OF  PIMCO FUNDS: PIMCO GLOBAL BOND FUND (UNHEDGED)</t>
  </si>
  <si>
    <t>PACIFIC INVESTMENT MANAGEMENT COMPANY LLC, SOLELY IN ITS CAPACITY AS ADVISOR ON BEHALF OF PIMCO FUNDS: GLOBAL INVESTOR SERIES PLC UK STERLING LOW AVERAGE DURATION FUND</t>
  </si>
  <si>
    <t>PACIFIC INVESTMENT MANAGEMENT COMPANY LLC, SOLELY IN ITS CAPACITY AS ADVISOR ON BEHALF OF PIMCO FUNDS: GLOBAL INVESTORS SERIES PLC DEVELOPING LOCAL MARKETS FUND</t>
  </si>
  <si>
    <t>PIMCO FUNDS GLOBAL INVESTORS SERIES PLC EMERGING MARKETS BOND FUND - 2690</t>
  </si>
  <si>
    <t>PACIFIC INVESTMENT MANAGEMENT COMPANY LLC, SOLELY IN ITS CAPACITY AS ADVISOR ON BEHALF OF PIMCO FUNDS: GLOBAL INVESTORS SERIES PLC STOCKSPLUS FUND</t>
  </si>
  <si>
    <t>PACIFIC INVESTMENT MANAGEMENT COMPANY LLC, SOLELY IN ITS CAPACITY AS ADVISOR ON BEHALF OF PIMCO FUNDS: GLOBAL INVESTORS SERIES PLC, UK STERLING LONG AVERAGE DURATION FUND</t>
  </si>
  <si>
    <t>PACIFIC INVESTMENT MANAGEMENT COMPANY LLC, SOLELY IN ITS CAPACITY AS ADVISOR ON BEHALF OF  PIMCO FUNDS: PIMCO GNMA FUND</t>
  </si>
  <si>
    <t>PACIFIC INVESTMENT MANAGEMENT COMPANY LLC, SOLELY IN ITS CAPACITY AS ADVISOR ON BEHALF OF  PIMCO FUNDS: PIMCO HIGH YIELD FUND</t>
  </si>
  <si>
    <t>PACIFIC INVESTMENT MANAGEMENT COMPANY LLC, SOLELY IN ITS CAPACITY AS ADVISOR ON BEHALF OF  PIMCO FUNDS: PIMCO INVESTMENT GRADE CORPORATE BOND FUND</t>
  </si>
  <si>
    <t>PACIFIC INVESTMENT MANAGEMENT COMPANY LLC, SOLELY IN ITS CAPACITY AS ADVISOR ON BEHALF OF  PIMCO FUNDS: PIMCO LONG-TERM U.S. GOVERNMENT FUND</t>
  </si>
  <si>
    <t>PACIFIC INVESTMENT MANAGEMENT COMPANY LLC, SOLELY IN ITS CAPACITY AS ADVISOR ON BEHALF OF  PIMCO FUNDS: PIMCO LOW DURATION FUND</t>
  </si>
  <si>
    <t>PACIFIC INVESTMENT MANAGEMENT COMPANY LLC, SOLELY IN ITS CAPACITY AS ADVISOR ON BEHALF OF  PIMCO FUNDS: PIMCO LOW DURATION FUND II</t>
  </si>
  <si>
    <t>PACIFIC INVESTMENT MANAGEMENT COMPANY LLC, SOLELY IN ITS CAPACITY AS ADVISOR ON BEHALF OF  PIMCO FUNDS: PIMCO LOW DURATION FUND III</t>
  </si>
  <si>
    <t>PACIFIC INVESTMENT MANAGEMENT COMPANY LLC, SOLELY IN ITS CAPACITY AS ADVISOR ON BEHALF OF  PIMCO FUNDS: PIMCO MODERATE DURATION FUND</t>
  </si>
  <si>
    <t>PACIFIC INVESTMENT MANAGEMENT COMPANY LLC, SOLELY IN ITS CAPACITY AS ADVISOR ON BEHALF OF  PIMCO FUNDS: PIMCO MUNICIPAL BOND FUND</t>
  </si>
  <si>
    <t>PACIFIC INVESTMENT MANAGEMENT COMPANY LLC, SOLELY IN ITS CAPACITY AS ADVISOR ON BEHALF OF  PIMCO FUNDS: PIMCO NEW YORK MUNICIPAL BOND FUND</t>
  </si>
  <si>
    <t>PACIFIC INVESTMENT MANAGEMENT COMPANY LLC, SOLELY IN ITS CAPACITY AS ADVISOR ON BEHALF OF PIMCO FUNDS: PIMCO EMERGING LOCAL BOND FUND</t>
  </si>
  <si>
    <t>PIMCO FUNDS: 4665</t>
  </si>
  <si>
    <t>PIMCO FUNDS GLOBAL INVESTORS SERIES PLC EMERGING MARKETS SHORT-TERM LOCAL CURRENCY FUND  - 4665</t>
  </si>
  <si>
    <t>PACIFIC INVESTMENT MANAGEMENT COMPANY LLC, SOLELY IN ITS CAPACITY AS ADVISOR ON BEHALF OF PIMCO FUNDS: PIMCO EXTENDED DURATION FUND</t>
  </si>
  <si>
    <t>PACIFIC INVESTMENT MANAGEMENT COMPANY LLC, SOLELY IN ITS CAPACITY AS ADVISOR ON BEHALF OF PIMCO FUNDS: PIMCO HIGH YIELD MUNICIPAL BOND FUND.</t>
  </si>
  <si>
    <t>PACIFIC INVESTMENT MANAGEMENT COMPANY LLC, SOLELY IN ITS CAPACITY AS ADVISOR ON BEHALF OF PIMCO FUNDS: PIMCO LONG DURATION TOTAL RETURN FUND</t>
  </si>
  <si>
    <t>PACIFIC INVESTMENT MANAGEMENT COMPANY LLC, SOLELY IN ITS CAPACITY AS ADVISOR ON BEHALF OF PIMCO FUNDS: PRIVATE ACCOUNT PORTFOLIO SERIES ASSET-BACKED SECURITIES PORTFOLIO</t>
  </si>
  <si>
    <t>PACIFIC INVESTMENT MANAGEMENT COMPANY LLC, SOLELY IN ITS CAPACITY AS ADVISOR ON BEHALF OF PIMCO FUNDS: PRIVATE ACCOUNT PORTFOLIO SERIES U.S. GOVERNMENT SECTOR PORTFOLIO</t>
  </si>
  <si>
    <t>PIMCO FUNDS: PIMCO REAL RETURN ASSET FUND</t>
  </si>
  <si>
    <t>PACIFIC INVESTMENT MANAGEMENT COMPANY LLC, SOLELY IN ITS CAPACITY AS ADVISOR ON BEHALF OF  PIMCO FUNDS: PIMCO REAL RETURN FUND</t>
  </si>
  <si>
    <t>PACIFIC INVESTMENT MANAGEMENT COMPANY LLC, SOLELY IN ITS CAPACITY AS ADVISOR ON BEHALF OF  PIMCO FUNDS: PIMCO SHORT DURATION MUNICIPAL INCOME FUND</t>
  </si>
  <si>
    <t>PACIFIC INVESTMENT MANAGEMENT COMPANY LLC, SOLELY IN ITS CAPACITY AS ADVISOR ON BEHALF OF  PIMCO FUNDS: PIMCO SHORT-TERM FUND</t>
  </si>
  <si>
    <t>PACIFIC INVESTMENT MANAGEMENT COMPANY LLC, SOLELY IN ITS CAPACITY AS ADVISOR ON BEHALF OF  PIMCO FUNDS: PIMCO STOCKSPLUS FUND</t>
  </si>
  <si>
    <t>PACIFIC INVESTMENT MANAGEMENT COMPANY LLC, SOLELY IN ITS CAPACITY AS ADVISOR ON BEHALF OF  PIMCO FUNDS: PIMCO STOCKSPLUS TR SHORT STRATEGY FUND</t>
  </si>
  <si>
    <t>PACIFIC INVESTMENT MANAGEMENT COMPANY LLC, SOLELY IN ITS CAPACITY AS ADVISOR ON BEHALF OF  PIMCO FUNDS: PIMCO TOTAL RETURN FUND II</t>
  </si>
  <si>
    <t>PACIFIC INVESTMENT MANAGEMENT COMPANY LLC, SOLELY IN ITS CAPACITY AS ADVISOR ON BEHALF OF  PIMCO FUNDS: PIMCO TOTAL RETURN FUND III</t>
  </si>
  <si>
    <t>PACIFIC INVESTMENT MANAGEMENT COMPANY LLC, SOLELY IN ITS CAPACITY AS ADVISOR ON BEHALF OF  PIMCO FUNDS: PIMCO MORTGAGE-BACKED SECURITIES FUND</t>
  </si>
  <si>
    <t>PACIFIC INVESTMENT MANAGEMENT COMPANY LLC, SOLELY IN ITS CAPACITY AS ADVISOR ON BEHALF OF PIMCO HIGH INCOME FUND</t>
  </si>
  <si>
    <t>PACIFIC INVESTMENT MANAGEMENT COMPANY LLC, SOLELY IN ITS CAPACITY AS ADVISOR ON BEHALF OF PIMCO MUNICIPAL INCOME FUND</t>
  </si>
  <si>
    <t>PACIFIC INVESTMENT MANAGEMENT COMPANY LLC, SOLELY IN ITS CAPACITY AS ADVISOR ON BEHALF OF PIMCO MUNICIPAL INCOME FUND II</t>
  </si>
  <si>
    <t>PACIFIC INVESTMENT MANAGEMENT COMPANY LLC, SOLELY IN ITS CAPACITY AS ADVISOR ON BEHALF OF PIMCO MUNICIPAL INCOME FUND III</t>
  </si>
  <si>
    <t>PACIFIC INVESTMENT MANAGEMENT COMPANY LLC, SOLELY IN ITS CAPACITY AS ADVISOR ON BEHALF OF PIMCO NEW YORK MUNICIPAL INCOME FUND</t>
  </si>
  <si>
    <t>PACIFIC INVESTMENT MANAGEMENT COMPANY LLC, SOLELY IN ITS CAPACITY AS ADVISOR ON BEHALF OF PIMCO NEW YORK MUNICIPAL INCOME FUND II</t>
  </si>
  <si>
    <t>PACIFIC INVESTMENT MANAGEMENT COMPANY LLC, SOLELY IN ITS CAPACITY AS ADVISOR ON BEHALF OF PIMCO NEW YORK MUNICIPAL INCOME FUND III</t>
  </si>
  <si>
    <t>PACIFIC INVESTMENT MANAGEMENT COMPANY LLC, SOLELY IN ITS CAPACITY AS ADVISOR ON BEHALF OF PIMCO PRIVATE SERIES COMPANY LLC - PIMCO MUNICIPAL REAL RETURN FUND</t>
  </si>
  <si>
    <t>PACIFIC INVESTMENT MANAGEMENT COMPANY LLC, SOLELY IN ITS CAPACITY AS ADVISOR ON BEHALF OF  PIMCO FUNDS: PIMCO REALESTATEREALRETURN STRATEGY FUND</t>
  </si>
  <si>
    <t>PACIFIC INVESTMENT MANAGEMENT COMPANY LLC SOLELY IN ITS CAPACITY AS ADVISOR ON BEHALF OF PIMCO STRATEGIC GLOBAL GOVERNMENT FUND INC.</t>
  </si>
  <si>
    <t>PACIFIC INVESTMENT MANAGEMENT COMPANY LLC, SOLELY IN ITS CAPACITY AS ADVISOR ON BEHALF OF PIMCO VARIABLE INSURANCE TRUST COMMODITYREALRETURN STRATEGY PORTFOLIO</t>
  </si>
  <si>
    <t>PACIFIC INVESTMENT MANAGEMENT COMPANY LLC, SOLELY IN ITS CAPACITY AS ADVISOR ON BEHALF OF PIMCO VARIABLE INSURANCE TRUST EMERGING MARKETS BOND PORTFOLIO</t>
  </si>
  <si>
    <t>PACIFIC INVESTMENT MANAGEMENT COMPANY LLC, SOLELY IN ITS CAPACITY AS ADVISOR ON BEHALF OF PIMCO VARIABLE INSURANCE TRUST FOREIGN BOND PORTFOLIO (U.S. DOLLAR HEDGED)</t>
  </si>
  <si>
    <t>PACIFIC INVESTMENT MANAGEMENT COMPANY LLC, SOLELY IN ITS CAPACITY AS ADVISOR ON BEHALF OF PIMCO VARIABLE INSURANCE TRUST LONG TERM U.S. GOVERNMENT PORTFOLIO</t>
  </si>
  <si>
    <t>PACIFIC INVESTMENT MANAGEMENT COMPANY LLC, SOLELY IN ITS CAPACITY AS ADVISOR ON BEHALF OF PIMCO VARIABLE INSURANCE TRUST LOW DURATION PORTFOLIO</t>
  </si>
  <si>
    <t>PACIFIC INVESTMENT MANAGEMENT COMPANY LLC, SOLELY IN ITS CAPACITY AS ADVISOR ON BEHALF OF PIMCO VARIABLE INSURANCE TRUST REAL RETURN PORTFOLIO</t>
  </si>
  <si>
    <t>PACIFIC INVESTMENT MANAGEMENT COMPANY LLC, SOLELY IN ITS CAPACITY AS ADVISOR ON BEHALF OF PIMCO VARIABLE INSURANCE TRUST SHORT TERM PORTFOLIO</t>
  </si>
  <si>
    <t>PIMCO VARIABLE INSURANCE TRU680</t>
  </si>
  <si>
    <t>PACIFIC INVESTMENT MANAGEMENT COMPANY LLC, SOLELY IN ITS CAPACITY AS ADVISOR ON BEHALF OF PIMCO VARIABLE INSURANCE TRUST TOTAL RETURN PORTFOLIO</t>
  </si>
  <si>
    <t>PACIFIC INVESTMENT MANAGEMENT COMPANY LLC, SOLELY IN ITS CAPACITY AS ADVISOR ON BEHALF OF PIMCO GLOBAL CREDIT OPPORTUNITY MASTER FUND LDC</t>
  </si>
  <si>
    <t>PACIFIC INVESTMENT MANAGEMENT COMPANY LLC, SOLELY IN ITS CAPACITY AS ADVISOR ON BEHALF OF PL INFLATION MANAGED FUND</t>
  </si>
  <si>
    <t>PACIFIC INVESTMENT MANAGEMENT COMPANY LLC, SOLELY IN ITS CAPACITY AS ADVISOR ON BEHALF OF PL MANAGED BOND FUND</t>
  </si>
  <si>
    <t>PLAN OF BENEFITS OF THE CENTRAL PENSION FUND OF THE INTERNAT</t>
  </si>
  <si>
    <t>PACIFIC INVESTMENT MANAGEMENT COMPANY LLC, SOLELY IN ITS CAPACITY AS ADVISOR ON BEHALF OF POLARIS FUND - GEO GLOBAL BOND TOTAL RETURN VI</t>
  </si>
  <si>
    <t>POTASH CORPORATION OF SASKATCHEWAN INC</t>
  </si>
  <si>
    <t>POTASH CORPORATION OF SASKATCHEWAN INC.</t>
  </si>
  <si>
    <t>POWER CORPORATION (GROUP)</t>
  </si>
  <si>
    <t>POWER CORPORATION OF CANADA</t>
  </si>
  <si>
    <t>PACIFIC INVESTMENT MANAGEMENT COMPANY LLC, SOLELY IN ITS CAPACITY AS ADVISOR ON BEHALF OF PRIME SERIES U.S. AGGREGATE BOND FUND</t>
  </si>
  <si>
    <t>PACIFIC INVESTMENT MANAGEMENT COMPANY LLC, SOLELY IN ITS CAPACITY AS ADVISOR ON BEHALF OF PRIMONE INC, PRIMTWO INC, PRIMTHREE INC, PRIMFOUR INC, PRIMFIVE INC AND PRIMSIX INC</t>
  </si>
  <si>
    <t>PACIFIC INVESTMENT MANAGEMENT COMPANY LLC, SOLELY IN ITS CAPACITY AS ADVISOR ON BEHALF OF PROGRESS ENERGY INC. PENSION PLANS MASTER TRUST</t>
  </si>
  <si>
    <t>PROPAK SYSTEMS LTD.</t>
  </si>
  <si>
    <t>PROPAK SYSTEMS LIMITED</t>
  </si>
  <si>
    <t>PACIFIC INVESTMENT MANAGEMENT COMPANY LLC, SOLELY IN ITS CAPACITY AS ADVISOR ON BEHALF OF PUBLIC SERVICE ENTERPRISE GROUP INCORPORATED MASTER RETIREMENT TRUST</t>
  </si>
  <si>
    <t>PACIFIC INVESTMENT MANAGEMENT COMPANY LLC, SOLELY IN ITS CAPACITY AS ADVISOR ON BEHALF OF PUBLIC SERVICE ENTERPRISE GROUP INCORPORATED MASTER RETIREMENT TRUST.</t>
  </si>
  <si>
    <t>REGIONAL MUNICIPALITY OF YORK</t>
  </si>
  <si>
    <t>REITMANS ( CANADA) LIMITED</t>
  </si>
  <si>
    <t>PACIFIC INVESTMENT MANAGEMENT COMPANY LLC, SOLELY IN ITS CAPACITY AS ADVISOR ON BEHALF OF RETIREMENT BENEFIT TRUST OF R.R. DONNELLEY &amp; SONS COMPANY</t>
  </si>
  <si>
    <t>EDMONTON OILERS HOCKEY CORP</t>
  </si>
  <si>
    <t>REXALL SPORTS CORP</t>
  </si>
  <si>
    <t>RICHARDS PACKAGING INC</t>
  </si>
  <si>
    <t>RICHARDS PACKAGING INC.</t>
  </si>
  <si>
    <t>RICHARDSON INTERNATIONAL LIMITED</t>
  </si>
  <si>
    <t>PACIFIC INVESTMENT MANAGEMENT COMPANY LLC, SOLELY IN ITS CAPACITY AS ADVISOR ON BEHALF OF ROHM AND HAAS PENSION PLAN</t>
  </si>
  <si>
    <t>PACIFIC INVESTMENT MANAGEMENT COMPANY LLC, SOLELY IN ITS CAPACITY AS ADVISOR ON BEHALF OF ROMAN CATHOLIC ARCHDIOCESE OF NEWARK</t>
  </si>
  <si>
    <t>RONALD A CHISHOLM LIMITED</t>
  </si>
  <si>
    <t>ROUNDTABLE ENERGY INCOME FUND LTD</t>
  </si>
  <si>
    <t>ROUNDTABLE ENHANCED EQUITY FUND LTD</t>
  </si>
  <si>
    <t>ROYNAT INC.</t>
  </si>
  <si>
    <t>PACIFIC INVESTMENT MANAGEMENT COMPANY LLC, SOLELY IN ITS CAPACITY AS ADVISOR ON BEHALF OF  RUSSELL INVESTMENT FUNDS CORE BOND FUND</t>
  </si>
  <si>
    <t>PACIFIC INVESTMENT MANAGEMENT COMPANY LLC, SOLELY IN ITS CAPACITY AS ADVISOR ON BEHALF OF  SOVEREIGN - RUSSELL CORE PLUS FIXED INCOME POOL</t>
  </si>
  <si>
    <t>SALIDA GLOBAL ENERGY FUND</t>
  </si>
  <si>
    <t>SALIDA STRATEGIC GROWTH FUND (CLOSED)</t>
  </si>
  <si>
    <t>PACIFIC INVESTMENT MANAGEMENT COMPANY LLC, SOLELY IN ITS CAPACITY AS ADVISOR ON BEHALF OF SALT RIVER PROJECT EMPLOYEES RETIREMANT PLAN</t>
  </si>
  <si>
    <t>PACIFIC INVESTMENT MANAGEMENT COMPANY LLC, SOLELY IN ITS CAPACITY AS ADVISOR ON BEHALF OF SAMARITAN INSURANCE FUNDING LTD.</t>
  </si>
  <si>
    <t>PACIFIC INVESTMENT MANAGEMENT COMPANY LLC, SOLELY IN ITS CAPACITY AS ADVISOR ON BEHALF OF SAN DIEGO CITY EMPLOYEES' RETIREMENT SYSTEM</t>
  </si>
  <si>
    <t>PACIFIC INVESTMENT MANAGEMENT COMPANY LLC, SOLELY IN ITS CAPACITY AS ADVISOR ON BEHALF OF SAN DIEGO COUNTY EMPLOYEES' RETIREMENT ASSOCIATION.</t>
  </si>
  <si>
    <t>PACIFIC INVESTMENT MANAGEMENT COMPANY LLC, SOLELY IN ITS CAPACITY AS ADVISOR ON BEHALF OF SAN DIEGO COUNTY EMPLOYEES' RETIREMENT ASSOCIATION</t>
  </si>
  <si>
    <t>PACIFIC INVESTMENT MANAGEMENT COMPANY LLC, SOLELY IN ITS CAPACITY AS ADVISOR  ON BEHALF OF SAN DIEGO COUNTY EMPLOYEES RETIREMENT ASSOCIATION.</t>
  </si>
  <si>
    <t>SASKATCHEWAN POWER CORPORATION</t>
  </si>
  <si>
    <t>SASKENERGY INCORPORATED</t>
  </si>
  <si>
    <t>SAVANNA ENERGY SERVICES CORP</t>
  </si>
  <si>
    <t>SCOTIABANK GROUP MASTER TRUST</t>
  </si>
  <si>
    <t>SCOTIABANK GROUP MASTER TRUST FUND</t>
  </si>
  <si>
    <t>PACIFIC INVESTMENT MANAGEMENT COMPANY LLC, SOLELY IN ITS CAPACITY AS ADVISOR ON BEHALF OF SCREEN ACTORS GUILD - PRODUCERS PENSION PLAN</t>
  </si>
  <si>
    <t>PACIFIC INVESTMENT MANAGEMENT COMPANY LLC, SOLELY IN ITS CAPACITY AS ADVISOR ON BEHALF OF SERCO PENSION AND LIFE ASSURANCE SCHEME</t>
  </si>
  <si>
    <t>SEVITA INTERNATIONAL CORPORATION</t>
  </si>
  <si>
    <t>SHAW COMMUNICATIONS INC</t>
  </si>
  <si>
    <t>SHELTER BAY ENERGY INC.</t>
  </si>
  <si>
    <t>PACIFIC INVESTMENT MANAGEMENT COMPANY LLC, SOLELY IN ITS CAPACITY AS ADVISOR ON BEHALF OF  FIRST STATE TRUST COMPANY CORE FIXED INCOME FUND</t>
  </si>
  <si>
    <t>SOBEYS CAPITAL INCORPORATED</t>
  </si>
  <si>
    <t>SOFINA FOODS INC.</t>
  </si>
  <si>
    <t>SOFINA FOODS INC</t>
  </si>
  <si>
    <t>PACIFIC INVESTMENT MANAGEMENT COMPANY LLC, SOLELY IN ITS CAPACITY AS ADVISOR ON BEHALF OF SONY MASTER TRUST</t>
  </si>
  <si>
    <t>SOUTH COAST BRITISH COLUMBIA TRANSPORTATION AUTHORITY (TRANSLINK)</t>
  </si>
  <si>
    <t>SOUTH COAST BRITISH COLUMBIA TRANSPORTATION AUTHORITY</t>
  </si>
  <si>
    <t>SOUTH COAST BRITISH COLUMBIA TRANSPORTATION AUTHORITY GROUP</t>
  </si>
  <si>
    <t>PACIFIC INVESTMENT MANAGEMENT COMPANY LLC, SOLELY IN ITS CAPACITY AS ADVISOR ON BEHALF OF SOUTHERN CALIFORNIA EDISON COMPANY RETIREMENT PLAN</t>
  </si>
  <si>
    <t>PACIFIC INVESTMENT MANAGEMENT COMPANY LLC, SOLELY IN ITS CAPACITY AS ADVISOR ON BEHALF OF SOUTHERN CALIFORNIA UNITED FOOD AND COMMERCIAL WORKERS UNIONS AND DRUG EMPLOYERS PENSION FUND</t>
  </si>
  <si>
    <t>PACIFIC INVESTMENT MANAGEMENT COMPANY LLC, SOLELY IN ITS CAPACITY AS ADVISOR ON BEHALF OF  SPRINT NEXTEL 401(K) PLAN</t>
  </si>
  <si>
    <t>PACIFIC INVESTMENT MANAGEMENT COMPANY LLC, SOLELY IN ITS CAPACITY AS ADVISOR ON BEHALF OF STATE OF VERMONT (VERMONT PENSION INVESTMENT COMMITTEE)</t>
  </si>
  <si>
    <t>PACIFIC INVESTMENT MANAGEMENT COMPANY LLC, SOLELY IN ITS CAPACITY AS ADVISOR ON BEHALF OF STATE OF WYOMING</t>
  </si>
  <si>
    <t>PACIFIC INVESTMENT MANAGEMENT COMPANY LLC, SOLELY IN ITS CAPACITY AS ADVISOR ON BEHALF OF STATE TEACHERS RETIREMENT SYSTEM OF OHIO</t>
  </si>
  <si>
    <t>PACIFIC INVESTMENT MANAGEMENT COMPANY LLC, SOLELY IN ITS CAPACITY AS ADVISOR ON BEHALF OF STICHTING BEDRIJFSTAKPENSIOENFONDS VOOE DE GROOTHANDEL IN VLAKGLAS DE GROOTHANDEL IN VERF, HET GLASBEWERKINGS-EN HET GLAZENIERSBEDRIJF</t>
  </si>
  <si>
    <t>PACIFIC INVESTMENT MANAGEMENT COMPANY LLC, SOLELY IN ITS CAPACITY AS ADVISOR ON BEHALF OF STICHTING BEDRIJFSTAKPENSIOENFONDS VOOR DE MEDIA PNO</t>
  </si>
  <si>
    <t>PACIFIC INVESTMENT MANAGEMENT COMPANY LLC, SOLELY IN ITS CAPACITY AS ADVISOR ON BEHALF OF STICHTING BEDRIJFSTAKPENSIOENFONDS VOOR DE METALEKTRO</t>
  </si>
  <si>
    <t>PACIFIC INVESTMENT MANAGEMENT COMPANY LLC, SOLELY IN ITS CAPACITY AS ADVISOR ON BEHALF OF STICHTING GEMEENSCHAPPELIJK BELEGGINGSFONDS FNV</t>
  </si>
  <si>
    <t>PACIFIC INVESTMENT MANAGEMENT COMPANY LLC, SOLELY IN ITS CAPACITY AS ADVISOR ON BEHALF OF  STICHTING PENSIOENFONDS SDB</t>
  </si>
  <si>
    <t>PACIFIC INVESTMENT MANAGEMENT COMPANY LLC, SOLELY IN ITS CAPACITY AS ADVISOR ON BEHALF OF STICHTING MARS PENSIOEN FONDS</t>
  </si>
  <si>
    <t>PACIFIC INVESTMENT MANAGEMENT COMPANY LLC, SOLELY IN ITS CAPACITY AS ADVISOR ON BEHALF OF STICHTING NOTARIEEL PENSIOENFONDS</t>
  </si>
  <si>
    <t>PACIFIC INVESTMENT MANAGEMENT COMPANY LLC, SOLELY IN ITS CAPACITY AS ADVISOR ON BEHALF OF STICHTING PENSIOENFONDS APOTHEKERS</t>
  </si>
  <si>
    <t>STICHTING PENSIOENFONDS CAMPINA</t>
  </si>
  <si>
    <t>PACIFIC INVESTMENT MANAGEMENT COMPANY LLC, SOLELY IN ITS CAPACITY AS ADVISOR ON BEHALF OF STICHTING PENSIOENFONDS CAMPINA</t>
  </si>
  <si>
    <t>PACIFIC INVESTMENT MANAGEMENT COMPANY LLC, SOLELY IN ITS CAPACITY AS ADVISOR ON BEHALF OF STICHTING PENSIOENFONDS DSM NEDERLAND</t>
  </si>
  <si>
    <t>PIMCO FUNDS 7426</t>
  </si>
  <si>
    <t>PIMCO FUNDS 1426</t>
  </si>
  <si>
    <t>PACIFIC INVESTMENT MANAGEMENT COMPANY LLC, SOLELY IN ITS CAPACITY AS ADVISOR ON BEHALF OF STICHTING PENSIOENFONDS DUPONT NEDERLAND</t>
  </si>
  <si>
    <t>PACIFIC INVESTMENT MANAGEMENT COMPANY LLC, SOLELY IN ITS CAPACITY AS ADVISOR ON BEHALF OF STICHTING PENSIOENFONDS ENCI</t>
  </si>
  <si>
    <t>PACIFIC INVESTMENT MANAGEMENT COMPANY LLC, SOLELY IN ITS CAPACITY AS ADVISOR ON BEHALF OF STICHTING PENSIOENFONDS VAN DE GROLSCHE BIERBROUWERIJ</t>
  </si>
  <si>
    <t>SUMITOMO MITSUI BANKING CORPORATION</t>
  </si>
  <si>
    <t>SUMITOMO MITSUI BANKING CORP</t>
  </si>
  <si>
    <t>SUMITOMO MITSUI BANKING CORP OF CANADA (STF)</t>
  </si>
  <si>
    <t>SUN LIFE FINANCIAL INC</t>
  </si>
  <si>
    <t>SUN LIFE FINANCIAL INC CDEA</t>
  </si>
  <si>
    <t>SUNCOR ENERGY INC.</t>
  </si>
  <si>
    <t>SUNCOR ENERGY INC. GROUP</t>
  </si>
  <si>
    <t>SUNCOR ENERGY INC</t>
  </si>
  <si>
    <t>PACIFIC INVESTMENT MANAGEMENT COMPANY LLC, SOLELY IN ITS CAPACITY AS ADVISOR ON BEHALF OF SUPERANNUATION FUNDS MANAGEMENT CORPORATION OF SOUTH AUSTRALIA</t>
  </si>
  <si>
    <t>SUPERIOR GENERAL PARTNER INC</t>
  </si>
  <si>
    <t>SURGE ENERGY INC.</t>
  </si>
  <si>
    <t>SURGE ENERGY INC</t>
  </si>
  <si>
    <t>PACIFIC INVESTMENT MANAGEMENT COMPANY LLC, SOLELY IN ITS CAPACITY AS ADVISOR ON BEHALF OF SYSCO CORPORATION RETIREMENT PLAN</t>
  </si>
  <si>
    <t>T&amp;L SUGARS LIMITED</t>
  </si>
  <si>
    <t>PACIFIC INVESTMENT MANAGEMENT COMPANY LLC, SOLELY IN ITS CAPACITY AS ADVISOR ON BEHALF OF TA IDEX PIMCO REAL RETURN TIPS</t>
  </si>
  <si>
    <t>TAQA NORTH LTD</t>
  </si>
  <si>
    <t>TAQA NORTH</t>
  </si>
  <si>
    <t>Prudential Investment Portfolios 16 - Prudential Income Builder Fund: Emerging Market Debt Hard Currency Account</t>
  </si>
  <si>
    <t>Prudential Investment Portfolios 16 - Prudential Income Builder Fund: Broad Market High Yield Account</t>
  </si>
  <si>
    <t>PACIFIC INVESTMENT MANAGEMENT COMPANY LLC, SOLELY IN ITS CAPACITY AS ADVISOR ON BEHALF OF TAX SAVINGS THRIFT PLAN MASTER TRUST FOR EMPLOYEES OF CSX CORPORATION AND AFFILIATED COMPANIES.</t>
  </si>
  <si>
    <t>TCPL INVESTMENTS LIMITED</t>
  </si>
  <si>
    <t>PACIFIC INVESTMENT MANAGEMENT COMPANY LLC, SOLELY IN ITS CAPACITY AS ADVISOR ON BEHALF OF TEACHERS' RETIREMENT SYSTEM OF THE STATE OF ILLINOIS.</t>
  </si>
  <si>
    <t>TEPPER HOLDINGS INC</t>
  </si>
  <si>
    <t>PACIFIC INVESTMENT MANAGEMENT COMPANY LLC, SOLELY IN ITS CAPACITY AS ADVISOR ON BEHALF OF THE AEROSPACE EMPLOYEES' MASTER TRUST</t>
  </si>
  <si>
    <t>The Board of the Pension Protection Fund</t>
  </si>
  <si>
    <t>THE BOARD OF THE PENSION PROTECTION FUND</t>
  </si>
  <si>
    <t>THE BOARD OF THE PENSION PRO1843</t>
  </si>
  <si>
    <t>PACIFIC INVESTMENT MANAGEMENT COMPANY LLC, SOLELY IN ITS CAPACITY AS ADVISOR ON BEHALF OF THE BOARD OF THE PENSION PROTECTION FUND</t>
  </si>
  <si>
    <t>THE BOARD OF THE PENSION PROTECTION FUND.</t>
  </si>
  <si>
    <t>PACIFIC INVESTMENT MANAGEMENT COMPANY LLC, SOLELY IN ITS CAPACITY AS ADVISOR ON BEHALF OF THE BOEING COMPANY EMPLOYEE RETIREMENT PLANS MASTER TRUST</t>
  </si>
  <si>
    <t>PACIFIC INVESTMENT MANAGEMENT COMPANY LLC, SOLELY IN ITS CAPACITY AS ADVISOR ON BEHALF OF  THE BOEING COMPANY EMPLOYEE SAVINGS PLANS MASTER TRUST</t>
  </si>
  <si>
    <t>PACIFIC INVESTMENT MANAGEMENT COMPANY LLC, SOLELY IN ITS CAPACITY AS ADVISOR ON BEHALF OF THE CALIFORNIA ENDOWMENT</t>
  </si>
  <si>
    <t>G3 CANADA LIMITED</t>
  </si>
  <si>
    <t>CANADIAN WHEAT BOARD</t>
  </si>
  <si>
    <t>PACIFIC INVESTMENT MANAGEMENT COMPANY LLC, SOLELY IN ITS CAPACITY AS ADVISOR ON BEHALF OF THE CASEY FAMILY PROGRAM</t>
  </si>
  <si>
    <t>PACIFIC INVESTMENT MANAGEMENT COMPANY LLC, SOLELY IN ITS CAPACITY AS ADVISOR ON BEHALF OF THE CATHOLIC BISHOP OF CHICAGO</t>
  </si>
  <si>
    <t>PACIFIC INVESTMENT MANAGEMENT COMPANY LLC, SOLELY IN ITS CAPACITY AS ADVISOR ON BEHALF OF THE COLLEGES OF APPLIED ARTS AND TECHNOLOGY PENSION PLAN.</t>
  </si>
  <si>
    <t>THE COLLEGES OF APPLIED ARTS AND TECHNOLOGY PENSION PLAN .</t>
  </si>
  <si>
    <t>PACIFIC INVESTMENT MANAGEMENT COMPANY LLC, SOLELY IN ITS CAPACITY AS ADVISOR ON BEHALF OF THE CRAIG SILVERSTEIN REVOCABLE TRUST</t>
  </si>
  <si>
    <t>PACIFIC INVESTMENT MANAGEMENT COMPANY LLC, SOLELY IN ITS CAPACITY AS ADVISOR ON BEHALF OF THE DUKE ENERGY CORPORATION MASTER RETIREMENT TRUST</t>
  </si>
  <si>
    <t>THE EMPIRE LIFE INSURANCE COMPANY</t>
  </si>
  <si>
    <t>PACIFIC INVESTMENT MANAGEMENT COMPANY LLC, SOLELY IN ITS CAPACITY AS ADVISOR ON BEHALF OF THE GRAND LODGE OF CALIFORNIA AND RELATED MASONIC ENTITIES'  INVESTMENT FUND '</t>
  </si>
  <si>
    <t>PACIFIC INVESTMENT MANAGEMENT COMPANY LLC, SOLELY IN ITS CAPACITY AS ADVISOR ON BEHALF OF THE HONG KONG POLYTECHNIC UNIVERSITY</t>
  </si>
  <si>
    <t>PACIFIC INVESTMENT MANAGEMENT COMPANY LLC, SOLELY IN ITS CAPACITY AS ADVISOR ON BEHALF OF THE J. PAUL GETTY TRUST</t>
  </si>
  <si>
    <t>PACIFIC INVESTMENT MANAGEMENT COMPANY LLC, SOLELY IN ITS CAPACITY AS ADVISOR ON BEHALF OF THE JOHNSON &amp; JOHNSON PENSION AND SAVINGS PLANS MASTER TRUST</t>
  </si>
  <si>
    <t>PACIFIC INVESTMENT MANAGEMENT COMPANY LLC, SOLELY IN ITS CAPACITY AS ADVISOR ON BEHALF OF THE JOYCE FOUNDATION.</t>
  </si>
  <si>
    <t>PACIFIC INVESTMENT MANAGEMENT COMPANY LLC, SOLELY IN ITS CAPACITY AS ADVISOR ON BEHALF OF THE KROGER CO. MASTER RETIREMENT TRUST</t>
  </si>
  <si>
    <t>PACIFIC INVESTMENT MANAGEMENT COMPANY LLC, SOLELY IN ITS CAPACITY AS ADVISOR ON BEHALF OF THE LUBRIZOL CORPORATION MASTER TRUST</t>
  </si>
  <si>
    <t>MONETARY AUTHORITY OF SINGAPORE</t>
  </si>
  <si>
    <t>PACIFIC INVESTMENT MANAGEMENT COMPANY LLC, SOLELY IN ITS CAPACITY AS ADVISOR ON BEHALF OF THE NATIONAL UNIVERSITY OF SINGAPORE</t>
  </si>
  <si>
    <t>PACIFIC INVESTMENT MANAGEMENT COMPANY LLC, SOLELY IN ITS CAPACITY AS ADVISOR ON BEHALF OF THE POLICE RETIREMENT SYSTEM OF ST. LOUIS, MISSOURI.</t>
  </si>
  <si>
    <t>PACIFIC INVESTMENT MANAGEMENT COMPANY LLC, SOLELY IN ITS CAPACITY AS ADVISOR ON BEHALF OF THE ROBERT WOOD JOHNSON FOUNDATION</t>
  </si>
  <si>
    <t>PACIFIC INVESTMENT MANAGEMENT COMPANY LLC, SOLELY IN ITS CAPACITY AS ADVISOR ON BEHALF OF  ROCHE US DB PLANS MASTER TRUST</t>
  </si>
  <si>
    <t>PACIFIC INVESTMENT MANAGEMENT COMPANY LLC, SOLELY IN ITS CAPACITY AS ADVISOR ON BEHALF OF THE SALVATION ARMY</t>
  </si>
  <si>
    <t>PACIFIC INVESTMENT MANAGEMENT COMPANY LLC, SOLELY IN ITS CAPACITY AS ADVISOR ON BEHALF OF THE SALVATION ARMY.</t>
  </si>
  <si>
    <t>PACIFIC INVESTMENT MANAGEMENT COMPANY LLC, SOLELY IN ITS CAPACITY AS ADVISOR ON BEHALF OF THE STATE OF MONTANA PUBLIC EMPLOYEE DEFERRED COMPENSATION PLAN</t>
  </si>
  <si>
    <t>PACIFIC INVESTMENT MANAGEMENT COMPANY LLC, SOLELY IN ITS CAPACITY AS ADVISOR ON BEHALF OF THE STATE RETIREMENT AND PENSION SYSTEM OF MARYLAND</t>
  </si>
  <si>
    <t>PACIFIC INVESTMENT MANAGEMENT COMPANY LLC, SOLELY IN ITS CAPACITY AS ADVISOR ON BEHALF OF THE STATE RETIREMENT AND PENSION SYSTEM OF MARYLAND.</t>
  </si>
  <si>
    <t>THE TDL GROUP CORP</t>
  </si>
  <si>
    <t>PACIFIC INVESTMENT MANAGEMENT COMPANY LLC, SOLELY IN ITS CAPACITY AS ADVISOR ON BEHALF OF THE TRUSTEES OF THE AN POST FUND FOR THE AN POST SUPERANNUATION SCHEMES</t>
  </si>
  <si>
    <t>PACIFIC INVESTMENT MANAGEMENT COMPANY LLC, SOLELY IN ITS CAPACITY ASADVISOR ON BEHALF OF THE TRUSTEES OF THE CIVIL AVIATION AUTHORITY PENSION SCHEME.</t>
  </si>
  <si>
    <t>PACIFIC INVESTMENT MANAGEMENT COMPANY LLC, SOLELY IN ITS CAPACITY AS ADVISOR ON BEHALF OF THE TRUSTEES OF THE PARLIAMENTARY CONTRIBUTORY PENSION FUND</t>
  </si>
  <si>
    <t>PACIFIC INVESTMENT MANAGEMENT COMPANY LLC, SOLELY IN ITS CAPACITY AS ADVISOR ON BEHALF OF  THE TRUSTEES OF THE NORTHERN IRELAND ELECTRICITY PENSION SCHEME</t>
  </si>
  <si>
    <t>PACIFIC INVESTMENT MANAGEMENT COMPANY LLC, SOLELY IN ITS CAPACITY AS ADVISOR ON BEHALF OF THE VERIZON MASTER SAVINGS TRUST</t>
  </si>
  <si>
    <t>PACIFIC INVESTMENT MANAGEMENT COMPANY LLC, SOLELY IN ITS CAPACITY AS ADVISOR ON BEHALF OF THE WALT DISNEY COMPANY RETIREMENT PLAN MASTER TRUST</t>
  </si>
  <si>
    <t>PACIFIC INVESTMENT MANAGEMENT COMPANY LLC, SOLELY IN ITS CAPACITY AS ADVISOR ON BEHALF OF THE WEST OF ENGLAND SHIP OWNERS MUTUAL INSURANCE ASSOCIATION (LUXEMBOURG)</t>
  </si>
  <si>
    <t>PACIFIC INVESTMENT MANAGEMENT COMPANY LLC, SOLELY IN ITS CAPACITY AS ADVISOR ON BEHALF OF THE WILLIAM PENN FOUNDATION</t>
  </si>
  <si>
    <t>TOMLINSON ENVIRONMENTAL SERVICES LTD.</t>
  </si>
  <si>
    <t>TD SECURITIES INC.</t>
  </si>
  <si>
    <t>TORONTO DOMINION SECURITIES INC</t>
  </si>
  <si>
    <t>PACIFIC INVESTMENT MANAGEMENT COMPANY LLC, SOLELY IN ITS CAPACITY AS ADVISOR ON BEHALF OF TR2 CAYMAN FUND</t>
  </si>
  <si>
    <t>IVARI</t>
  </si>
  <si>
    <t>(3786) TRINITY HEALTH MASTER RET LC</t>
  </si>
  <si>
    <t>PACIFIC INVESTMENT MANAGEMENT COMPANY LLC, SOLELY IN ITS CAPACITY AS ADVISOR ON BEHALF OF TRINITY HEALTH PENSION PLAN</t>
  </si>
  <si>
    <t>TD ASSET MANAGEMENT 473510</t>
  </si>
  <si>
    <t>TD ASSET MANAGEMENT 47350</t>
  </si>
  <si>
    <t>TD ASSET MANAGEMENT 47351002</t>
  </si>
  <si>
    <t>PACIFIC INVESTMENT MANAGEMENT COMPANY LLC, SOLELY IN ITS CAPACITY AS ADVISOR ON BEHALF OF TUCSON SUPPLEMENTAL RETIREMENT SYSTEM</t>
  </si>
  <si>
    <t>PACIFIC INVESTMENT MANAGEMENT COMPANY LLC, SOLELY IN ITS CAPACITY AS ADVISOR ON BEHALF OF UMWA 1985 CONSTRUCTION WORKERS PENSION TRUST</t>
  </si>
  <si>
    <t>PACIFIC INVESTMENT MANAGEMENT COMPANY LLC, SOLELY IN ITS CAPACITY AS ADVISOR ON BEHALF OF UNION BOND &amp; TRUST COMPANY - THE ACTIVELY MANAGED FUND</t>
  </si>
  <si>
    <t>PACIFIC INVESTMENT MANAGEMENT COMPANY LLC, SOLELY IN ITS CAPACITY AS ADVISOR ON BEHALF OF UNITED AUTOMOBILE WORKERS STRIKE TRUST</t>
  </si>
  <si>
    <t>PACIFIC INVESTMENT MANAGEMENT COMPANY LLC, SOLELY IN ITS CAPACITY AS ADVISOR ON BEHALF OF UNITED FOOD AND COMMERCIAL WORKERS INTERNATIONAL UNION - INDUSTRY PENSION FUND</t>
  </si>
  <si>
    <t>PACIFIC INVESTMENT MANAGEMENT COMPANY LLC SOLELY IN ITS CAPACITY AS ADVISOR ON BEHALF OF UNITED STEEL PAPER AND FORESTRY RUBBER MANUFACTURING ENERGY ALLIED INDUSTRIAL AND SERVICE WORKERS INTERNATIONAL UNION</t>
  </si>
  <si>
    <t>PACIFIC INVESTMENT MANAGEMENT COMPANY LLC, SOLELY IN ITS CAPACITY AS ADVISOR ON BEHALF OF UNIVERSITY OF KENTUCKY</t>
  </si>
  <si>
    <t>PACIFIC INVESTMENT MANAGEMENT COMPANY LLC, SOLELY IN ITS CAPACITY AS ADVISOR ON BEHALF OF VCA-G1-7-DIVERSIFIED MORTGAGE INDEX ACCOUNT</t>
  </si>
  <si>
    <t>PACIFIC INVESTMENT MANAGEMENT COMPANY LLC, SOLELY IN ITS CAPACITY AS ADVISOR ON BEHALF OF VCA-GI-7-PIMCO-FDM</t>
  </si>
  <si>
    <t>PACIFIC INVESTMENT MANAGEMENT COMPANY LLC, SOLELY IN ITS CAPACITY AS ADVISOR ON BEHALF OF VCA-GI-7-PIMCO-LMI-H</t>
  </si>
  <si>
    <t>PACIFIC INVESTMENT MANAGEMENT COMPANY LLC, SOLELY IN ITS CAPACITY AS ADVISOR ON BEHALF OF VCA-GI-BNY</t>
  </si>
  <si>
    <t>PACIFIC INVESTMENT MANAGEMENT COMPANY LLC, SOLELY IN ITS CAPACITY AS ADVISOR ON BEHALF OF VCA-GI-NFB-1</t>
  </si>
  <si>
    <t>PACIFIC INVESTMENT MANAGEMENT COMPANY LLC, SOLELY IN ITS CAPACITY AS ADVISOR ON BEHALF OF VEBA PARTNERSHIP N L.P.</t>
  </si>
  <si>
    <t>PACIFIC INVESTMENT MANAGEMENT COMPANY LLC, SOLELY IN ITS CAPACITY AS ADVISOR ON BEHALF OF VISA RETIREMENT PLAN TRUST</t>
  </si>
  <si>
    <t>WAJAX INDUSTRIAL COMPONENTS LIMITED PARTNERSHIP</t>
  </si>
  <si>
    <t>PACIFIC INVESTMENT MANAGEMENT COMPANY LLC SOLELY IN ITS CAPACITY AS ADVISOR ON BEHALF OF WASHINGTON MUTUAL INC. CASH BALANCE PENSION PLAN</t>
  </si>
  <si>
    <t>PACIFIC INVESTMENT MANAGEMENT COMPANY LLC, SOLELY IN ITS CAPACITY AS ADVISOR ON BEHALF OF  WELLS FARGO FIXED INCOME FUND C UNDER THE WELLS FARGO BANK DECLARATION OF TRUST ESTABLISHING INVESTMENT FUNDS FOR EMPLOYEE BENEFIT TRUSTS</t>
  </si>
  <si>
    <t>PACIFIC INVESTMENT MANAGEMENT COMPANY LLC, SOLELY IN ITS CAPACITY AS ADVISOR ON BEHALF OF WESTERN METAL INDUSTRY PENSION FUND</t>
  </si>
  <si>
    <t>WESTFIRE ENERGY LTD</t>
  </si>
  <si>
    <t>LONG RUN EXPLORATION LTD</t>
  </si>
  <si>
    <t>WESTON FOODS (CANADA) INC.</t>
  </si>
  <si>
    <t>MERIDIAN MANUFACTURING GROUP</t>
  </si>
  <si>
    <t>TREVLUC HOLDINGS LTD</t>
  </si>
  <si>
    <t>WGI WESTMAN GROUP OF COMPANIES</t>
  </si>
  <si>
    <t>WGI WESTMAN GROUP INC</t>
  </si>
  <si>
    <t>PACIFIC INVESTMENT MANAGEMENT COMPANY LLC SOLELY IN ITS CAPACITY AS ADVISOR ON BEHALF OF WHEATON FRANCISCAN SERVICES INC. INVESTMENT TRUST</t>
  </si>
  <si>
    <t>PACIFIC INVESTMENT MANAGEMENT COMPANY LLC, SOLELY IN ITS CAPACITY AS ADVISOR ON BEHALF OF WHEELS COMMON INVESTMENT FUND</t>
  </si>
  <si>
    <t>PACIFIC INVESTMENT MANAGEMENT COMPANY LLC, SOLELY IN ITS CAPACITY AS ADVISOR ON BEHALF OF WILLIAM AND FLORA HEWLETT FOUNDATION</t>
  </si>
  <si>
    <t>PACIFIC INVESTMENT MANAGEMENT COMPANY LLC, SOLELY IN ITS CAPACITY AS ADVISOR ON BEHALF OF WILLIAM BEAUMONT HOSPITAL EMPLOYEES RETIREMENT PLAN</t>
  </si>
  <si>
    <t>PACIFIC INVESTMENT MANAGEMENT COMPANY LLC, SOLELY IN ITS CAPACITY AS ADVISOR ON BEHALF OF WORKCOVER CORPORATION OF SOUTH AUSTRALIA</t>
  </si>
  <si>
    <t>PACIFIC INVESTMENT MANAGEMENT COMPANY LLC, SOLELY IN ITS CAPACITY AS ADVISOR ON BEHALF OF WORKERS' COMPENSATION REINSURANCE ASSOCIATION</t>
  </si>
  <si>
    <t>PACIFIC INVESTMENT MANAGEMENT COMPANY LLC, SOLELY IN ITS CAPACITY AS ADVISOR ON BEHALF OF XCEL ENERGY INC. MASTER PENSION TRUST</t>
  </si>
  <si>
    <t>PACIFIC INVESTMENT MANAGEMENT COMPANY LLC, SOLELY IN ITS CAPACITY AS ADVISOR ON BEHALF OF XEROX PENSIONS LIMITED AS TRUSTEE OF THE XEROX FINAL SALARY PENSION SCHEME</t>
  </si>
  <si>
    <t>FSG00478</t>
  </si>
  <si>
    <t>YAPI VE KREDIT BANKSI A S</t>
  </si>
  <si>
    <t>YAPI VE KREDIT BANKASI A S</t>
  </si>
  <si>
    <t>ZARGON OIL &amp; GAS LTD</t>
  </si>
  <si>
    <t>BANCO BILBAO VIZCAYA ARGENTARIA CHILE</t>
  </si>
  <si>
    <t>BANCO BILBAO VIZCAYA ARGENTARIA CHILE.</t>
  </si>
  <si>
    <t>BANCO DE CREDITO E INVERSIONES CHILE</t>
  </si>
  <si>
    <t>BANCO DE CREDITO E INVERSIONES (CHILE)</t>
  </si>
  <si>
    <t>BANCO DE CREDITO E INVERSIONES</t>
  </si>
  <si>
    <t>MINERA RAYROCK LIMITADA</t>
  </si>
  <si>
    <t>INDUSTRIAL AND COMMERCIAL BANK OF CHINA (CANADA)</t>
  </si>
  <si>
    <t>BANCO COLPATRIA MULTIBANCA COLPATRIA SA DWB</t>
  </si>
  <si>
    <t>BANCO COLPATRIA MULTIBANCA COLPATRIA S.A.</t>
  </si>
  <si>
    <t>BANCO COLPATRIA MULTIBANCA COLPATRIA SA</t>
  </si>
  <si>
    <t>BANCO COLPATRIA MULTIBANCA COLPATRIA SA.</t>
  </si>
  <si>
    <t>SCOTIABANK COLOMBIA S A</t>
  </si>
  <si>
    <t>BANCO DAVIVIENDA SA</t>
  </si>
  <si>
    <t>BANCO DE BOGOTA SA</t>
  </si>
  <si>
    <t>BANCO GNB SUDAMERIS S.A.</t>
  </si>
  <si>
    <t>LANDESBANK BADEN-WURTTEMBERG</t>
  </si>
  <si>
    <t>LANDESBANK BADEN-WURTTEMBURG</t>
  </si>
  <si>
    <t>LANDESBANK BADEN-WURTTEMBURG LONDON</t>
  </si>
  <si>
    <t>NYKREDIT BANK A/S</t>
  </si>
  <si>
    <t>NYKREDIT BANK AS</t>
  </si>
  <si>
    <t>NYKREDIT BANK AS CDEA</t>
  </si>
  <si>
    <t>OP CORPORATE BANK PLC</t>
  </si>
  <si>
    <t>SKANDINAVISKA ENSKILDA BANKEN GOTENBURG</t>
  </si>
  <si>
    <t>SKANDINAVISKA ENSKILDA BANKEN OSLO</t>
  </si>
  <si>
    <t>SKANDINAVISKA ENSKILDA BANKEN LONDON</t>
  </si>
  <si>
    <t>SKANDINAVISKA ENSKILDA BANKEN AB</t>
  </si>
  <si>
    <t>SKANDINAVISKA ENSKILDA BANKEN AB (PUBL)</t>
  </si>
  <si>
    <t>SKANDINAVISKA ENSKILDA BANKEN SINGAPORE</t>
  </si>
  <si>
    <t>SKANDINAVISKA ENSKILDA BANKEN COPENHAGEN</t>
  </si>
  <si>
    <t>SKANDINAVISKA ENSKILDA BANKEN STOCKHOLM</t>
  </si>
  <si>
    <t>SKANDINAVISKA ENSKILDA BANKEN</t>
  </si>
  <si>
    <t>SKANDINAVISKA  ENSKILDA BANKEN</t>
  </si>
  <si>
    <t>SKANDINAVISKA ENSKILDA BANKEN AB HELSINKI</t>
  </si>
  <si>
    <t>SKANDINAVISKA ENSKILDA BANKEN, STOCKHOLM</t>
  </si>
  <si>
    <t>BANQUE DE FRANCE HQ ACCOUNT</t>
  </si>
  <si>
    <t>BANQUE DE FRANCE</t>
  </si>
  <si>
    <t>BQE FEDERATIVE DU CREDIT MUTUE</t>
  </si>
  <si>
    <t>BANQUE FEDERATIVE DU CREDIT MUTUEL</t>
  </si>
  <si>
    <t>CROWN EUROPEAN HOLDINGS S.A.</t>
  </si>
  <si>
    <t>CROWN EUROPEAN HOLDINGS S.A. (FINANCE AC)</t>
  </si>
  <si>
    <t>CROWN EUROPEAN HOLDINGS  S A</t>
  </si>
  <si>
    <t>Crown European Holdings S.A.</t>
  </si>
  <si>
    <t>ALPHADYNE GLOBAL RATES MASTER FUND LTD</t>
  </si>
  <si>
    <t>Credit Suisse Securities Europe Ltd</t>
  </si>
  <si>
    <t>Credit Suisse Securities (Europe) Limited</t>
  </si>
  <si>
    <t>G4S PLC</t>
  </si>
  <si>
    <t>MERRILL LYNCH INTERNATIONAL SIL</t>
  </si>
  <si>
    <t>Merrill Lynch International</t>
  </si>
  <si>
    <t>MERRILL LYNCH INTERNATIONAL</t>
  </si>
  <si>
    <t>MERRILL LYNCH INTERNATIONAL GLOBAL EQUITY FINANCE</t>
  </si>
  <si>
    <t>MERRILL LYNCH INTL, LDN (MLILGB2A)</t>
  </si>
  <si>
    <t>MERRILL LYNCH  INTERNATIONAL</t>
  </si>
  <si>
    <t>Merrill Lynch Intl</t>
  </si>
  <si>
    <t>Merrill Lynch International PLC</t>
  </si>
  <si>
    <t>MERRIL LYNCH INTERNATIONAL</t>
  </si>
  <si>
    <t>PARSEC TRADING CORPORATION CDEA</t>
  </si>
  <si>
    <t>RIO TINTO FINANCE LTD</t>
  </si>
  <si>
    <t>NATWEST MARKETS PLC</t>
  </si>
  <si>
    <t>THE ROYAL BANK OF SCOTLAND PLC</t>
  </si>
  <si>
    <t>NATWEST MARKETS PLC EDINBURGH</t>
  </si>
  <si>
    <t>ROYAL BANK OF SCOTLAND NV LONDON</t>
  </si>
  <si>
    <t>NATWEST MARKETS PLC NEW YORK</t>
  </si>
  <si>
    <t>NATWEST MARKETS PLC LONDON-SIF</t>
  </si>
  <si>
    <t>NATWEST MARKETS PLC LONDON</t>
  </si>
  <si>
    <t>ROYAL BANK OF SCOTLAND PLC</t>
  </si>
  <si>
    <t>NATWEST MARKETS PLC JAPAN (TOKYO)</t>
  </si>
  <si>
    <t>NATWEST MARKETS PLC HONG KONG</t>
  </si>
  <si>
    <t>NATWEST MARKETS PLC SINGAPORE</t>
  </si>
  <si>
    <t>NATWEST MARKETS PLC IRELAND</t>
  </si>
  <si>
    <t>ROYAL BK OF SCOTLAND</t>
  </si>
  <si>
    <t>ROYAL BK OF SCOTLAND (RBOSGB2RTCM)</t>
  </si>
  <si>
    <t>NATWEST MARKETS PLC LONDON-(ASIA PACIFIC RIM)</t>
  </si>
  <si>
    <t>NATWEST MARKETS PLC (GROUP TREASURY)</t>
  </si>
  <si>
    <t>NATWEST MARKETS PLC SEOUL</t>
  </si>
  <si>
    <t>SABMILLER PLC GROUP</t>
  </si>
  <si>
    <t>ICBC STANDAND BANK PLC</t>
  </si>
  <si>
    <t>ICBC STANDARD BANK PLC</t>
  </si>
  <si>
    <t>ICBC STANDARD BANK PLC (ICBCSB)</t>
  </si>
  <si>
    <t>SWEDBANK AB</t>
  </si>
  <si>
    <t>United Overseas Bank Limited</t>
  </si>
  <si>
    <t>UNITED OVERSEAS BANK LIMITED</t>
  </si>
  <si>
    <t>UNITED OVERSEAS BANK</t>
  </si>
  <si>
    <t>UNITED OVERSEAS BANK LTD</t>
  </si>
  <si>
    <t>UNITED OVERSEAS BANK LIMITED (SINGAPORE)</t>
  </si>
  <si>
    <t>UNITED OVERSEAS BANK (INTL)</t>
  </si>
  <si>
    <t>UNITED OVERSEAS BANK LTD-LONDON-(ASIA PACIFIC RIM)</t>
  </si>
  <si>
    <t>UNITED OVERSEAS BANK,</t>
  </si>
  <si>
    <t>UNITED OVERSEAS BANK LIMITED HONG KONG</t>
  </si>
  <si>
    <t>UNITED OVERSEAS BANK LIMITED CDEA</t>
  </si>
  <si>
    <t>UNITED OVERSEAS BANK LONDON</t>
  </si>
  <si>
    <t>SCHRODERS ASIA LIMITED HONG KONG</t>
  </si>
  <si>
    <t>J WRAY AND NEPHEW LTD</t>
  </si>
  <si>
    <t>SUMITOMO MITSUI TRUST BANK LIMITED</t>
  </si>
  <si>
    <t>SUMITOMO MITSUI TRUST BANK LTD</t>
  </si>
  <si>
    <t>Capstone Global Master (Cayman) Limited</t>
  </si>
  <si>
    <t>CAPSTONE VOLATILITY MASTER (CAYMAN) LTD CDEA</t>
  </si>
  <si>
    <t>ELEMENT CAPITAL MASTER FUND LTD EU - CDEA</t>
  </si>
  <si>
    <t>ELEMENT CAPITAL MASTER FUND LIMITED</t>
  </si>
  <si>
    <t>ELEMENT CAPITAL MASTER FUND LIMITED CDEA</t>
  </si>
  <si>
    <t>FIELD STREET MASTER FUND LTD CDEA</t>
  </si>
  <si>
    <t>FIELD STREET MASTER FUND LTD US</t>
  </si>
  <si>
    <t>FIELD STREET MASTER FUND LTD EU</t>
  </si>
  <si>
    <t>FIELD STREET MASTER FUND LTD CA</t>
  </si>
  <si>
    <t>Citadel Multi-Strategy Equities Master Fund Ltd</t>
  </si>
  <si>
    <t>ST LUCIA ELECTRICITY SERVICE LIMITED</t>
  </si>
  <si>
    <t>CENTENARY HOLDINGS SA</t>
  </si>
  <si>
    <t>ARI FLEET SERVICES S DE RL DE CV</t>
  </si>
  <si>
    <t>BANCO INBURSA,S.A.</t>
  </si>
  <si>
    <t>BANCO MERCANTIL DEL NORTE SA</t>
  </si>
  <si>
    <t>BANCO MERCANTIL DEL NORTE S A INSTITUCION DE BANCA MULTIPLE</t>
  </si>
  <si>
    <t>BANCO MERCANTIL DEL NORTE S.A. INSTITUCION DE BANCA MULTIP</t>
  </si>
  <si>
    <t>Banco Mercantil del Norte SA Institucion de Banca Multiple Grupo Financiero Banorte</t>
  </si>
  <si>
    <t>BANCO MERCANTIL DEL NORTE, S.A.</t>
  </si>
  <si>
    <t>CADENA MEXICANA DE EXHIBICION SA CV</t>
  </si>
  <si>
    <t>JALISCO</t>
  </si>
  <si>
    <t>FORTALEZA MATERIALES SAB DE CV</t>
  </si>
  <si>
    <t>OPERADORA STIVA SA DE CV</t>
  </si>
  <si>
    <t>PLASTICOS ESPECIALES GAREN SA DE CV</t>
  </si>
  <si>
    <t>PRADERAS HUASTECAS S DE PR DE RL</t>
  </si>
  <si>
    <t>UNION GANADERA REGIONAL DE SONORA</t>
  </si>
  <si>
    <t>DNB BANK ASA</t>
  </si>
  <si>
    <t>DNB BANK ASA NEW YORK</t>
  </si>
  <si>
    <t>ANZ BANK NEW ZEALAND LIMITED</t>
  </si>
  <si>
    <t>TERMOCHILCA S.A.C.</t>
  </si>
  <si>
    <t>SVERIGES RIKSBANK</t>
  </si>
  <si>
    <t>OVERSEA CHINESE BANKING CORPORATION</t>
  </si>
  <si>
    <t>OVERSEA-CHINESE BANKING CORPORATION LTD</t>
  </si>
  <si>
    <t>Oversea-Chinese Banking Corporation Ltd</t>
  </si>
  <si>
    <t>BANCO DE LA REPUBLICA COLOMBIA</t>
  </si>
  <si>
    <t>JOANN BONNEAU MULLEN AS TRUSTEE OF THE RESIDUARY TRUST OF THE SANFORD ALLEN MULLEN TRUST</t>
  </si>
  <si>
    <t>ALAN PEABODY</t>
  </si>
  <si>
    <t>ALEX STEWART (ASSAYERS) INC.</t>
  </si>
  <si>
    <t>ATLAS COMMODITY MARKETS LLC</t>
  </si>
  <si>
    <t>BANCO BRADESCO S.A.</t>
  </si>
  <si>
    <t>BANCO NACIONAL ULTRAMARINO, SA, MACAU</t>
  </si>
  <si>
    <t>BANCO NACIONAL ULTRAMARINO SA MACAU</t>
  </si>
  <si>
    <t>DEUTSCHE BANK TR CO AMERICAS</t>
  </si>
  <si>
    <t>J.P. MORGAN SECURITIES LLC</t>
  </si>
  <si>
    <t>J P MORGAN SECURITIES LLC</t>
  </si>
  <si>
    <t>JP MORGAN SECURITIES LLC</t>
  </si>
  <si>
    <t>JPM Clearing</t>
  </si>
  <si>
    <t>J.P. Morgan Securities LLC</t>
  </si>
  <si>
    <t>BOB HAINES</t>
  </si>
  <si>
    <t>BRINKS GLOBAL SERVICES USA, INC.</t>
  </si>
  <si>
    <t>BRINK'S GLOBAL SERVICES USA, INC. SALT LAKE CITY</t>
  </si>
  <si>
    <t>BRINK'S GLOBAL SERVICES USA, INC</t>
  </si>
  <si>
    <t>BROWN BROTHERS HARRIMAN AND CO</t>
  </si>
  <si>
    <t>BROWN BROTHERS HARRIMAN &amp; COMPANY</t>
  </si>
  <si>
    <t>C.O.THOMASON ,R.C.THOMASON AND C.M.WROBLEWSKI</t>
  </si>
  <si>
    <t>CARESTREAM HEALTH HOLDINGS INC.</t>
  </si>
  <si>
    <t>CARIBBEAN TRADING SYSTEMS INC</t>
  </si>
  <si>
    <t>CHEEVERS &amp; COMPANY, LLC</t>
  </si>
  <si>
    <t>CHINA CITIC BANK INTERNATIONAL LIMITED</t>
  </si>
  <si>
    <t>CITIC BANK INTERNATIONAL LIMITED</t>
  </si>
  <si>
    <t>CHINA CITIC BANK INTERNATIONAL LTD.</t>
  </si>
  <si>
    <t>CHINA CITIC BANK</t>
  </si>
  <si>
    <t>THE CLAY O. THOMASON REVOCABLE LIVING TRUST</t>
  </si>
  <si>
    <t>CLIMATE ACTION RESERVE</t>
  </si>
  <si>
    <t>COMEX CLEARING ASSOCIATION INC.</t>
  </si>
  <si>
    <t>DXC TECHNOLOGY COMPANY</t>
  </si>
  <si>
    <t>COMPUTER SCIENCES CORPORATION</t>
  </si>
  <si>
    <t>COMPUTER SCIENCES CORP.</t>
  </si>
  <si>
    <t>DAIMLER NORTH AMERICA CORP.</t>
  </si>
  <si>
    <t>DAIMLER NORTH AMERICA CORP</t>
  </si>
  <si>
    <t>DEAN FOODS</t>
  </si>
  <si>
    <t>EDGE ENERGY LLC.</t>
  </si>
  <si>
    <t>ENERGEX FUTURES LLC.</t>
  </si>
  <si>
    <t>ESTATE OF ANGELO CAPRIOGLIO</t>
  </si>
  <si>
    <t>GEMINI RESOURCES, LLC</t>
  </si>
  <si>
    <t>GOLDMAN SACHS &amp; CO</t>
  </si>
  <si>
    <t>GOLDMAN SACHS &amp; CO. LLC</t>
  </si>
  <si>
    <t>GOLDMAN SACHS &amp; CO.</t>
  </si>
  <si>
    <t>GOLDMAN SACHS AND CO</t>
  </si>
  <si>
    <t>BMO HARRIS BANK N.A.</t>
  </si>
  <si>
    <t>IBI ARMORED SERVICES, INC.</t>
  </si>
  <si>
    <t>ILLINOIS CENTRAL SCHOOL BUS LLC</t>
  </si>
  <si>
    <t>LEDOUX &amp; COMPANY</t>
  </si>
  <si>
    <t>TULLETT PREBON AMERICAS CORP</t>
  </si>
  <si>
    <t>MRS. FREDERICA CARR MULLEN</t>
  </si>
  <si>
    <t>MRS.MARION M.REIDER</t>
  </si>
  <si>
    <t>NORDDEUTSCHE LANDESBANK GIROZENTRALE LONDON</t>
  </si>
  <si>
    <t>NORDDEUTSCHE LANDESBANK GIROZENTRALE NEW YORK</t>
  </si>
  <si>
    <t>NORDDEUTSCHE LANDESBANK GIROZENTRALE  SINGAPORE</t>
  </si>
  <si>
    <t>NORDDEUTSCHE LANDESBANK GIROZENTRALE GROUP TREASURY</t>
  </si>
  <si>
    <t>NORDDEUTSCHE LANDESBANK GIROZENTRALE HANOVER</t>
  </si>
  <si>
    <t>OHANSONS LLC</t>
  </si>
  <si>
    <t>OHANSONS, LLC</t>
  </si>
  <si>
    <t>OLIVIN CORPORATION</t>
  </si>
  <si>
    <t>PJM ENVIRONMENTAL INFORMATION SERVICES INC</t>
  </si>
  <si>
    <t>PORT ARTHUR STEAM ENERGY LP</t>
  </si>
  <si>
    <t>SCOTIA COMMODITIES INC.</t>
  </si>
  <si>
    <t>SCOTIA COMMODITIES INC</t>
  </si>
  <si>
    <t>SCEI (SCOTIA COMMODITIES INC)</t>
  </si>
  <si>
    <t>SCOTIAMOCATTA DEPOSITORY</t>
  </si>
  <si>
    <t>SCOTIA MOCATTA DEPOSITORY</t>
  </si>
  <si>
    <t>TARGA MIDSTREAM SERVICES</t>
  </si>
  <si>
    <t>TARGA MIDSTREAM SERVICES LLC</t>
  </si>
  <si>
    <t>TFS ENERGY FUTURES LLC</t>
  </si>
  <si>
    <t>TFS ENERGY FLOOR</t>
  </si>
  <si>
    <t>US GOVERNMENT</t>
  </si>
  <si>
    <t>ZB NATIONAL ASSOCIATION</t>
  </si>
  <si>
    <t>SCOTIABANK EUROPE PLC</t>
  </si>
  <si>
    <t>COLLATERAL FUNDING &amp; MANAGEMENT SCOTIABANK EUROPE</t>
  </si>
  <si>
    <t>SCOTIABANK EUROPE PLC ( LPM)</t>
  </si>
  <si>
    <t>SBE LONDON SWAPS</t>
  </si>
  <si>
    <t>SCOTIABANK EUROPE PLC (GEF)</t>
  </si>
  <si>
    <t>SCOTIABANK EUROPE PLC .</t>
  </si>
  <si>
    <t>COLLATERAL FUNDING &amp; MANAGEMENT SCOTIABANK EUROPE EQUITY</t>
  </si>
  <si>
    <t>SCOTIABANK EUROPE CREDIT TRS PORTFOLIO</t>
  </si>
  <si>
    <t>Scotiabank Europe plc</t>
  </si>
  <si>
    <t>MOCLB THE BANK OF NOVA SCOTIAMOCATT</t>
  </si>
  <si>
    <t>BNS 21055 BNS TRST UK LD.. (TEMP CO</t>
  </si>
  <si>
    <t>SCOTIABANK EUROPE PLC 95075</t>
  </si>
  <si>
    <t>SCOTIABANK EUROPE (GT).</t>
  </si>
  <si>
    <t>SCOTIABANK EUROPE (GT)..</t>
  </si>
  <si>
    <t>SCOTIABANK EUROPE (GT)</t>
  </si>
  <si>
    <t>SCOTIABANK EUROPE (REPOS)</t>
  </si>
  <si>
    <t>SCOTIABANK EUROPE PLC  (SBE)</t>
  </si>
  <si>
    <t>SCOTIABANK EUROPE DP</t>
  </si>
  <si>
    <t>SCOTIABANK EUROPE PLC (SIL)</t>
  </si>
  <si>
    <t>SBE FIXED INCOME TEMP</t>
  </si>
  <si>
    <t>SBE FIXED INCOME</t>
  </si>
  <si>
    <t>SCOTIABANK EUROPE PLC.</t>
  </si>
  <si>
    <t>SBE FIXED INCOME BACK TO BACK TRANSACTIONS FOR BILATERAL CSA</t>
  </si>
  <si>
    <t>SBE FIXED INCOME BACK TO BACK TRANSACTIONS FOR ONE WAY CSA</t>
  </si>
  <si>
    <t>SCOTIAMOCATTA LONDON BASE METALS - SBE</t>
  </si>
  <si>
    <t>SCOTIABANK PERU SAA 48082</t>
  </si>
  <si>
    <t>SCOTIABANK PERU SAA 35667</t>
  </si>
  <si>
    <t>SCOTIABANK PERU S.A.A.</t>
  </si>
  <si>
    <t>SCOTIABANK PERU SAA 34967</t>
  </si>
  <si>
    <t>SCOTIABANK PERU SAA</t>
  </si>
  <si>
    <t>THE BANK OF NOVA SCOTIA BERHAD MALAYSIA</t>
  </si>
  <si>
    <t>BNS BERHAD,</t>
  </si>
  <si>
    <t>INVESCO CORE CANADIAN BALANCED CLAS</t>
  </si>
  <si>
    <t>AIM TRIMARK CORE CDN BALANCED CLAS</t>
  </si>
  <si>
    <t>ACCUCAPS INDUSTRIES LTD</t>
  </si>
  <si>
    <t>JET EQUIPMENT AND TOOLS LTD</t>
  </si>
  <si>
    <t>AERCAP IRELAND LIMITED</t>
  </si>
  <si>
    <t>AMERICREDIT FINANCIAL SERVICES INC</t>
  </si>
  <si>
    <t>BANK OF NOVA SCOTIA ASIA LIMITED SINGAPORE - (ASIA PACIFIC R</t>
  </si>
  <si>
    <t>BNS ASIA LIMITED</t>
  </si>
  <si>
    <t>BNSBD BNS BANGLADESH DHAKA</t>
  </si>
  <si>
    <t>BNS ASIA GROUP TREASURY</t>
  </si>
  <si>
    <t>BNS ASIA LTD -RCM</t>
  </si>
  <si>
    <t>BNS ASIA LIMITED SINGAPORE</t>
  </si>
  <si>
    <t>BNS ASIA LIMITED SINGAPORE (BNS MUMBAI)</t>
  </si>
  <si>
    <t>BANK OF NOVA SCOTIA DERIVATIVE PRODUCTS (93187)</t>
  </si>
  <si>
    <t>BNS Asia CMF</t>
  </si>
  <si>
    <t>BNS06665 BNS ASIA LIMITED</t>
  </si>
  <si>
    <t>BNS  ASIA LIMITED</t>
  </si>
  <si>
    <t>BANK OF NOVA SCOTIA ASIA SPORE</t>
  </si>
  <si>
    <t>BNS ASIA LIMITED (GEF)</t>
  </si>
  <si>
    <t>BNSA GEF BORROWING AND LENDING PORTFOLIO</t>
  </si>
  <si>
    <t>BANK OF NOVA SCOTIA ASIA  TEMP</t>
  </si>
  <si>
    <t>BNS00865 BNS ASIA LTD</t>
  </si>
  <si>
    <t>BNS06035 BNS ASIA LIMITED</t>
  </si>
  <si>
    <t>BANK OF NOVA SCOTIA  ASIA LIMITED SINGAPORE</t>
  </si>
  <si>
    <t>BANK OF NOVA SCOTIA ASIA LIMITED (RCM)</t>
  </si>
  <si>
    <t>THE BANK OF NOVA SCOTIA ASIA LIMITED (ASIASYNPB)</t>
  </si>
  <si>
    <t>THE BANK OF NOVA SCOTIA ASIA LIMITED (BNSAGEFEQ)</t>
  </si>
  <si>
    <t>THE BANK OF NOVA SCOTIA ASIA LIMITED (00865)</t>
  </si>
  <si>
    <t>THE BANK OF NOVA SCOTIA ASIA LIMITED (00625)</t>
  </si>
  <si>
    <t>BNSA ASIA CREDIT TRS</t>
  </si>
  <si>
    <t>BNS Asia Limited</t>
  </si>
  <si>
    <t>BNS00625 BNS ASIA LTD</t>
  </si>
  <si>
    <t>BNS05085 BNS ASIA LTD</t>
  </si>
  <si>
    <t>THE BANK OF NOVA SCOTIA ASIA LIMITED 05085</t>
  </si>
  <si>
    <t>BANK OF NOVA SCOTIA ASIA LIMITED SINGAPORE PMTU</t>
  </si>
  <si>
    <t>AGEF_06035 BNSAL</t>
  </si>
  <si>
    <t>AGT FOOD AND INGREDIENTS INC</t>
  </si>
  <si>
    <t>INVESCO CANADIAN BALANCED FUND</t>
  </si>
  <si>
    <t>INVESCO CANADA MONEY MARKET FUND</t>
  </si>
  <si>
    <t>INVESCO CANADIAN PREMIER GROWTH CLS</t>
  </si>
  <si>
    <t>INVESCO EUROPEAN GROWTH CLASS</t>
  </si>
  <si>
    <t>INVESCO INTERNATIONAL GROWTH CLASS</t>
  </si>
  <si>
    <t>INVESCO SHORT TERM INCOME CLASS</t>
  </si>
  <si>
    <t>INVESCO CANADIAN PREMIER GROWTH FD</t>
  </si>
  <si>
    <t>AVIVA LIFE AND PENSIONS UK LIMITED</t>
  </si>
  <si>
    <t>ARBOR MEMORIAL SERVICES INC</t>
  </si>
  <si>
    <t>ARGENT ENERGY (US) HOLDINGS INC</t>
  </si>
  <si>
    <t>BANCO DO BRASIL S.A.</t>
  </si>
  <si>
    <t>Brookdale Global Opportunity Fund</t>
  </si>
  <si>
    <t>BROOKDALE GLOBAL OPPORTUNITY FUND</t>
  </si>
  <si>
    <t>BROOKDALE INTERNATIONAL PARTNERS, L.P.</t>
  </si>
  <si>
    <t>Brookdale International Partners LP</t>
  </si>
  <si>
    <t>Brookdale International Partners L.P.</t>
  </si>
  <si>
    <t>THE BANK OF NOVA SCOTIA JAMAICA LIMITED</t>
  </si>
  <si>
    <t>BANK OF NOVA SCOTIA JAMAICA (SLC)</t>
  </si>
  <si>
    <t>BANK OF NOVA SCOTIA JAMAICA LTD (BARBADOS)</t>
  </si>
  <si>
    <t>BLUE WATER AGENCIES LIMITED</t>
  </si>
  <si>
    <t>PSG PROPERTIES LTD</t>
  </si>
  <si>
    <t>CANPOTEX LIMITED</t>
  </si>
  <si>
    <t>CORPORACION ANDINA DE FOMENTO</t>
  </si>
  <si>
    <t>CANSEL SURVEY EQUIPMENT HOLDINGS INC.</t>
  </si>
  <si>
    <t>CAPSCANADA CORPORATION</t>
  </si>
  <si>
    <t>CANADIAN UTILITIES AND TELECOM INCOME FUND</t>
  </si>
  <si>
    <t>CAVENDISH FARMS CORPORATION</t>
  </si>
  <si>
    <t>CC&amp;L GROUP BOND FUND II</t>
  </si>
  <si>
    <t>CANADIAN DERIVATIVES CLEARING CORPORATION</t>
  </si>
  <si>
    <t>CORE CANADIAN DIVIDEND TRUST</t>
  </si>
  <si>
    <t>CC&amp;L LONG BOND ALPHA PLUS FUND</t>
  </si>
  <si>
    <t>CC&amp;L UNIVERSE BOND ALPHA PLUS FUND</t>
  </si>
  <si>
    <t>CASCADIA DIVERSIFIED MONTHLY ADVANTAGED INCOME FUND</t>
  </si>
  <si>
    <t>CENTENNIAL ENERGY HOLDINGS INC</t>
  </si>
  <si>
    <t>CALGARY FLAMES LIMITED PARTNERSHIP</t>
  </si>
  <si>
    <t>CITADEL GLOBAL FIXED INCOME MASTER FUND LTD CDEA</t>
  </si>
  <si>
    <t>CITADEL GLOBAL FIXED INCOME MASTER FUND LTD EU</t>
  </si>
  <si>
    <t>CITADEL GLOBAL FIXED INCOME MASTER FUND LTD</t>
  </si>
  <si>
    <t>CITADEL GLOBAL FIXED INCOME MASTER FUND LTD CA</t>
  </si>
  <si>
    <t>CITADEL GLOBAL FIXED INCOME MASTER FUND LTD US</t>
  </si>
  <si>
    <t>CGI INC</t>
  </si>
  <si>
    <t>CGI GROUP INC.</t>
  </si>
  <si>
    <t>CN CANADIAN MASTER TRUST FUND</t>
  </si>
  <si>
    <t>ITAU CORPBANCA COLOMBIA SA</t>
  </si>
  <si>
    <t>ITAU CORPBANCA COLOMBIA S.A.</t>
  </si>
  <si>
    <t>COCO PAVING INC</t>
  </si>
  <si>
    <t>CREDIT SUISSE FIRST BOSTON TRUSTEES LTD AS TRUSTEE ON BEHALF OF THE CREDIT SUISSE GROUP UK PENSION FUND</t>
  </si>
  <si>
    <t>COLUMBIAN TISZAI KOROMGYARTO KFT</t>
  </si>
  <si>
    <t>CONSTELLATION BRANDS U.S. OPERATIONS, INC.</t>
  </si>
  <si>
    <t>CONSTELLATION BRANDS US OPERATIONS INC</t>
  </si>
  <si>
    <t>Davidson Kempner International Ltd</t>
  </si>
  <si>
    <t>DOLLARAMA INC</t>
  </si>
  <si>
    <t>DOLLARAMA INC.</t>
  </si>
  <si>
    <t>DP WORLD (CANADA) INC.</t>
  </si>
  <si>
    <t>DP WORLD CANADA INC</t>
  </si>
  <si>
    <t>ELBOW RIVER MARKETING LTD.</t>
  </si>
  <si>
    <t>ELBOW RIVER MARKETING LTD</t>
  </si>
  <si>
    <t>PHN ENHANCED PRISM LONG FUND</t>
  </si>
  <si>
    <t>EXLP OPERATING LLC</t>
  </si>
  <si>
    <t>EXPRESS SCRIPTS HOLDING  COMPANY</t>
  </si>
  <si>
    <t>FIRST TRUST MLP AND ENERGY INCOME FUND CDEA</t>
  </si>
  <si>
    <t>FIRST TRUST MLP AND ENERGY INCOME FUND BLOCK CDEA</t>
  </si>
  <si>
    <t>GARANTI BANK INTERNATIONAL NV</t>
  </si>
  <si>
    <t>OZEA LP</t>
  </si>
  <si>
    <t>GANDER INTERNATIONAL AIRPORT AUTHORITY INC</t>
  </si>
  <si>
    <t>GRANITE REIT HOLDINGS LIMITED PARTNERSHIP</t>
  </si>
  <si>
    <t>THE GRAY GROUP INC</t>
  </si>
  <si>
    <t>SCOTIA CAPITAL INC SMI RETAIL</t>
  </si>
  <si>
    <t>SCOTIA CAPITAL INC- BIDS</t>
  </si>
  <si>
    <t>SCOTIA CAPITAL INC</t>
  </si>
  <si>
    <t>SCOTIA CAPITAL SMI (REPOS)</t>
  </si>
  <si>
    <t>SCOTIA CAPITAL INC WEALTH MANAGEMENT</t>
  </si>
  <si>
    <t>SCOTIA CAPITAL INC ASSET SWAPS</t>
  </si>
  <si>
    <t>SCOTIA CAPITAL INC.</t>
  </si>
  <si>
    <t>CHT SWAPS</t>
  </si>
  <si>
    <t>SCOTIA MCLEOD INC</t>
  </si>
  <si>
    <t>SCOITA CAPITAL INC</t>
  </si>
  <si>
    <t>SCOTIA CAPITAL INC SINGAPORE</t>
  </si>
  <si>
    <t>GESTION YVON LOISELLE INC</t>
  </si>
  <si>
    <t>HUDSON BAY COMPANY</t>
  </si>
  <si>
    <t>HUDSONS BAY COMPANY</t>
  </si>
  <si>
    <t>INTERCONTINENTAL EXCHANGE INC</t>
  </si>
  <si>
    <t>INTERCONTINENTAL EXCHANGE ICE 2</t>
  </si>
  <si>
    <t>INDIGOLD CARBON NETHERLANDS BV</t>
  </si>
  <si>
    <t>INTEGRITY TOOL AND MOLD INC</t>
  </si>
  <si>
    <t>LAFORTA GESTAO E INVESTIMENTOS SOCIEDADE UNIPESSOAL LDA</t>
  </si>
  <si>
    <t>PHN LONG BOND PENSION TRUST</t>
  </si>
  <si>
    <t>PH&amp;N LONG BOND PENSION TRUST</t>
  </si>
  <si>
    <t>LEDINCOR</t>
  </si>
  <si>
    <t>LIDELIR</t>
  </si>
  <si>
    <t>BLACKROCK CANADA LEVERED LONG PROVINCIAL BOND INDEX FUND</t>
  </si>
  <si>
    <t>PHN LONG MORTGAGE PENSION TRUST</t>
  </si>
  <si>
    <t>LMR ALPHA RATES TRADING MASTER FUND LIMITED CDEA</t>
  </si>
  <si>
    <t>LMR ALPHA RATES TRADING MASTER FUND LIMITED</t>
  </si>
  <si>
    <t>LMR MASTER FUND LIMITED</t>
  </si>
  <si>
    <t>LMR MASTER FUND LIMITED CDEA</t>
  </si>
  <si>
    <t>BLACKROCK CANADA LEVERED REAL RETURN BOND INDEX FUND</t>
  </si>
  <si>
    <t>MAINROAD HOLDINGS LTD</t>
  </si>
  <si>
    <t>5308501 MANITOBA LIMITED</t>
  </si>
  <si>
    <t>SYMMETRY MANAGED RETURN POOL</t>
  </si>
  <si>
    <t>CDS US INTERMEDIATE HOLDINGS INC</t>
  </si>
  <si>
    <t>MEX_48082</t>
  </si>
  <si>
    <t>MEX_65185</t>
  </si>
  <si>
    <t>ABSORMEX CMPC TISSUE SA DE CV</t>
  </si>
  <si>
    <t>MEX_BBVA</t>
  </si>
  <si>
    <t>MEX_BJPM</t>
  </si>
  <si>
    <t>MEX_BMDN</t>
  </si>
  <si>
    <t>MEX_BNDM</t>
  </si>
  <si>
    <t>MEX_BOA</t>
  </si>
  <si>
    <t>SIEFORE BANAMEX BASICA 1 SA CV</t>
  </si>
  <si>
    <t>AFORE BANAMEX SA DE CV POR CUENTA SIEFORE BANAMEX BASICA 1</t>
  </si>
  <si>
    <t>SIEFORE BANAMEX BASICA 2 SA DE CV</t>
  </si>
  <si>
    <t>AFORE BANAMEX SA DE CV POR CUENTA SIEFORE BNMX 1</t>
  </si>
  <si>
    <t>SIEFORE BANAMEX BASICA 2 SA CV</t>
  </si>
  <si>
    <t>SIEFORE BANAMEX BASICA 3 SA CV</t>
  </si>
  <si>
    <t>AFORE BANAMEX SA DE CV POR CUENTA SIEFORE BANAMEX BASICA 3</t>
  </si>
  <si>
    <t>SIEFORE BANAMEX BASICA 4 SA CV</t>
  </si>
  <si>
    <t>AFORE BANAMEX SA DE CV POR CUENTA SIEFORE BANAMEX BASICA 4</t>
  </si>
  <si>
    <t>SIEFORE BANAMEX BASICA 5 SA DE CV</t>
  </si>
  <si>
    <t>MEX_TD</t>
  </si>
  <si>
    <t>MONETTE FARMS LTD</t>
  </si>
  <si>
    <t>NORTHLAND POWER INC</t>
  </si>
  <si>
    <t>NATIONWIDE BUILDING SOCIETY CDEA</t>
  </si>
  <si>
    <t>843974 ONTARIO LIMITED</t>
  </si>
  <si>
    <t>PACE OIL AND GAS LTD</t>
  </si>
  <si>
    <t>BNP PARIBAS S.A (Suisse)</t>
  </si>
  <si>
    <t>PARAMOUNT RESOURCES</t>
  </si>
  <si>
    <t>PARAMOUNT RESOURCES LTD</t>
  </si>
  <si>
    <t>PRIVATE CLIENT BOND PORTFOLIO</t>
  </si>
  <si>
    <t>PRIVATE CLIENT HIGH YIELD BOND PORTFOLIO</t>
  </si>
  <si>
    <t>BANCO DE CREDITO DEL PERU SA.</t>
  </si>
  <si>
    <t>BANCO DE CREDITO DEL PERU SA</t>
  </si>
  <si>
    <t>BANCO INTERNACIONAL DEL PERU</t>
  </si>
  <si>
    <t>BANCO INTERNACIONAL DEL PERU SAA</t>
  </si>
  <si>
    <t>BANCO INTERNACIONAL DEL PERU.</t>
  </si>
  <si>
    <t>WASTE CONNECTIONS INC</t>
  </si>
  <si>
    <t>PREMIUM INCOME CORPORATION</t>
  </si>
  <si>
    <t>PIMCO LOAN INTERESTS AND CREDIT MASTER FUND LTD</t>
  </si>
  <si>
    <t>PACIFIC INVESTMENT MANAGEMENT COMPANY LLC, SOLELY IN ITS CAPACITY AS ADVISOR ON BEHALF OF  EXELON GENERATION CONSOLIDATION, LLC TAX QUALIFIED DECOMMISSIONING TRUST FUND</t>
  </si>
  <si>
    <t>QUIMICA SUIZA INDUSTRIAL DEL PERU.</t>
  </si>
  <si>
    <t>QUIMICA SUIZA INDUSTRIAL DEL PERU</t>
  </si>
  <si>
    <t>RED BEDS RESOURCES LIMITED</t>
  </si>
  <si>
    <t>THE BANK OF NOVA SCOTIA TRUST CO. (BAHAMAS) LTD</t>
  </si>
  <si>
    <t>The Bank of Nova Scotia Trust Company (Bahamas) Limited</t>
  </si>
  <si>
    <t>SCOTIABANK BRASIL SA BANCO MULTIPLO SA</t>
  </si>
  <si>
    <t>SCOTIABANK BRASIL BANCO MULTIPLO S.A.</t>
  </si>
  <si>
    <t>SCOTIABANK BRASIL SA BANCO MULTIPLO</t>
  </si>
  <si>
    <t>SCOTIA CASSELS INVESTMENT COUNSEL LTD</t>
  </si>
  <si>
    <t>Scotia Cassels Investment Counsel Ltd</t>
  </si>
  <si>
    <t>SCOTIABANK (BAHAMAS) LIMITED - CARIBBEAN TREASURY UNIT</t>
  </si>
  <si>
    <t>SCOTIABANK (BAHAMAS) LIMITED</t>
  </si>
  <si>
    <t>SCOTIABANK (BAHAMAS) LTD</t>
  </si>
  <si>
    <t>SCOTIABANK SUD AMERICANO (SCTL)</t>
  </si>
  <si>
    <t>SCOTIABANK SUD AMERICANO ALM PORTFOLIO (CHILE)</t>
  </si>
  <si>
    <t>SCOTIABANK CHILE CELLER</t>
  </si>
  <si>
    <t>SCOTIABANK CHILE.</t>
  </si>
  <si>
    <t>SCOTIABANK CHILE CVA DESK</t>
  </si>
  <si>
    <t>SCOTIABANK CHILE, S.A.</t>
  </si>
  <si>
    <t>SCOTIABANK CHILE</t>
  </si>
  <si>
    <t>SCOTIABANK CHILE FVA DESK</t>
  </si>
  <si>
    <t>SCOTIABANK SUD AMERICANO PORTFOLIO (CHILE)</t>
  </si>
  <si>
    <t>SITQ E.U S.E.C</t>
  </si>
  <si>
    <t>SOESTDALE HOLSTEINS INC</t>
  </si>
  <si>
    <t>SIGNATURE HIGH INCOME FUND</t>
  </si>
  <si>
    <t>SIGNATURE SELECT CANADIAN FUND</t>
  </si>
  <si>
    <t>TOP 10 CANADIAN FINANCIAL TRUST</t>
  </si>
  <si>
    <t>GE-PROLEC TRANSFORMERS, INC</t>
  </si>
  <si>
    <t>THANACHART BANK PUBLIC COMPANY LTD</t>
  </si>
  <si>
    <t>THANACHART BANK PUBLIC COMPANY LIMITED</t>
  </si>
  <si>
    <t>TUNDRA OIL AND GAS (SASK) LTD</t>
  </si>
  <si>
    <t>TRIMARK EUROPLUS FUND</t>
  </si>
  <si>
    <t>TRIMARK GLOBAL ENDEAVOUR CLASS</t>
  </si>
  <si>
    <t>TRIMARK GLOBAL ENDEAVOUR FUND</t>
  </si>
  <si>
    <t>TRIMARK (AIM) GLOBAL BALANCED FUND</t>
  </si>
  <si>
    <t>TRIMARK GOVERNMENT PLUS INCOME FUND</t>
  </si>
  <si>
    <t>TRIMARK INTERNATIONAL COMPANIES FD</t>
  </si>
  <si>
    <t>TRIMARK INCOME GROWTH FUND</t>
  </si>
  <si>
    <t>TRIMARK INTEREST FUND</t>
  </si>
  <si>
    <t>TRIMARK RESOURCES FUND</t>
  </si>
  <si>
    <t>TRIMARK SELECT BALANCED FUND</t>
  </si>
  <si>
    <t>TRIMARK CANADIAN SMALL COMPANIES FD</t>
  </si>
  <si>
    <t>TRIMARK CANADIAN FUND</t>
  </si>
  <si>
    <t>TRIMARK CANADIAN ENDEAVOUR FUND</t>
  </si>
  <si>
    <t>TRIMARK US COMPANIES CLASS</t>
  </si>
  <si>
    <t>TRIMARK US COMPANIES FUND</t>
  </si>
  <si>
    <t>TRIMARK US SMALL COMPANIES CLASS</t>
  </si>
  <si>
    <t>TOP 10 SPLIT TRUST</t>
  </si>
  <si>
    <t>TUNDRA OIL AND GAS PARTNERSHIP</t>
  </si>
  <si>
    <t>UNIT DRILLING COMPANY</t>
  </si>
  <si>
    <t>UNIT PETROLEUM COMPANY</t>
  </si>
  <si>
    <t>SUPERIOR APPALACHIAN PIPELINE LLC</t>
  </si>
  <si>
    <t>SUPERIOR PIPELINE COMPANY LLC</t>
  </si>
  <si>
    <t>SUPERIOR PIPELINE TEXAS LLC</t>
  </si>
  <si>
    <t>UNIT TEXAS DRILLING LLC</t>
  </si>
  <si>
    <t>NBIMC INTERNATIONAL REAL ESTATE FUND</t>
  </si>
  <si>
    <t>VERESEN INC</t>
  </si>
  <si>
    <t>VOISINS EQUIPMENT RENTAL LTD</t>
  </si>
  <si>
    <t>VOISINS EQUIPMENT RENTAL LTD. GROUP</t>
  </si>
  <si>
    <t>MAXAR TECHNOLOGIES LTD</t>
  </si>
  <si>
    <t>WALDOW FARMS LTD</t>
  </si>
  <si>
    <t>WELCOME BREAK GROUP LIMITED</t>
  </si>
  <si>
    <t>WORLD FINANCIAL SPLIT CORP</t>
  </si>
  <si>
    <t>WTH CAR RENTAL ULC</t>
  </si>
  <si>
    <t>YTM CAPITAL MORTGAGE FUND</t>
  </si>
  <si>
    <t>*INUVIALUIT INVESTMENT CORPORATION*</t>
  </si>
  <si>
    <t>1360548 ONTARIO LTD /PRIME PASTRIES</t>
  </si>
  <si>
    <t>32491RT GOBI PRE BARTOLINI</t>
  </si>
  <si>
    <t>ABITIBI CONSOLIDATED COMPANY OF CANADA</t>
  </si>
  <si>
    <t>ABU DHABI COMMERCIAL BANK</t>
  </si>
  <si>
    <t>ABU DHABI COMMERCIAL BANK LTD</t>
  </si>
  <si>
    <t>ACTIVE MOULD &amp; DESIGN LIMITED GROUP</t>
  </si>
  <si>
    <t>ADM Investor Services International Limited</t>
  </si>
  <si>
    <t>ADM INVESTOR SERVICES INTERNATIONAL LIMITED</t>
  </si>
  <si>
    <t>AFRICA OIL CORP</t>
  </si>
  <si>
    <t>AGF CANADIAN RESOURCES FUND</t>
  </si>
  <si>
    <t>AGF GLOBAL REAL ASSETS FUND</t>
  </si>
  <si>
    <t>AGF PRECIOUS METALS FUND</t>
  </si>
  <si>
    <t>AGRICULTURAL BANK OF CHINA</t>
  </si>
  <si>
    <t>AGRICULTURAL BANK OF CHINA LIMITED</t>
  </si>
  <si>
    <t>AB CULVERT INC</t>
  </si>
  <si>
    <t>AGRICULTURAL BANK OF CHINA LTD</t>
  </si>
  <si>
    <t>Agriculture Bank of China</t>
  </si>
  <si>
    <t>AGRIUM CANADA PARTNERSHIP</t>
  </si>
  <si>
    <t>AGRIUM PARTNERSHIP</t>
  </si>
  <si>
    <t>AHMED ABDUL QAWI BAMAODAH</t>
  </si>
  <si>
    <t>AIR CANADA</t>
  </si>
  <si>
    <t>AIR CANADA CORPORATE</t>
  </si>
  <si>
    <t>AIR CANADA /(CIBC SPC AND EMERALD LEASING LTD).</t>
  </si>
  <si>
    <t>TRANSAT TOURS CANADA INC.</t>
  </si>
  <si>
    <t>TRANSAT TOURS CANADA INC</t>
  </si>
  <si>
    <t>TRANSAT TOURS CANADA</t>
  </si>
  <si>
    <t>AKIRA CAPITAL INC</t>
  </si>
  <si>
    <t>AL KHAYAL AL DHAHABI JEWELLERY LLC</t>
  </si>
  <si>
    <t>AL MOWAIJI JEWELLERS LLC</t>
  </si>
  <si>
    <t>ALL WEATHER WINDOWS LTD</t>
  </si>
  <si>
    <t>ALL WEATHER WINDOWS LTD.</t>
  </si>
  <si>
    <t>ALLAHABAD BANK</t>
  </si>
  <si>
    <t>ALMOW OPTION ACCOUNT</t>
  </si>
  <si>
    <t>ALRAY LIMITED</t>
  </si>
  <si>
    <t>AGF AMERICAN GROWTH FUND</t>
  </si>
  <si>
    <t>ANNAPURNA</t>
  </si>
  <si>
    <t>ARCIM ADVISORS LLC</t>
  </si>
  <si>
    <t>ARCTIC GLACIER INC</t>
  </si>
  <si>
    <t>ARTHUR DRONKELAAR</t>
  </si>
  <si>
    <t>BAFLEH JEWELLERS LLC</t>
  </si>
  <si>
    <t>BAFLEH JEWELLERY LLC</t>
  </si>
  <si>
    <t>BANCO POPOLARE - SOCIETA COOPERATIVA</t>
  </si>
  <si>
    <t>BANCO POPOLARE SOCIETA COOPERATIVA</t>
  </si>
  <si>
    <t>BANCO CENTRAL DE HONDURAS</t>
  </si>
  <si>
    <t>BANCO CENTRAL DO BRASIL</t>
  </si>
  <si>
    <t>BANCO DE GUATEMALA</t>
  </si>
  <si>
    <t>BANCO DE PORTUGAL</t>
  </si>
  <si>
    <t>BANCO DE SABADELL SA</t>
  </si>
  <si>
    <t>BANCO SABADELL S.A</t>
  </si>
  <si>
    <t>BANCO DI BRESCIA SPA</t>
  </si>
  <si>
    <t>BANCO ESPANOL DE CREDITO NEW YORK</t>
  </si>
  <si>
    <t>BANCO ESPANOL DE CREDITO MADRID</t>
  </si>
  <si>
    <t>BANGKOK ASSAY OFFICE CO LTD</t>
  </si>
  <si>
    <t>BANK JULIUS BAER &amp; CO. LTD</t>
  </si>
  <si>
    <t>BANQUE JULIUS BAER &amp; CO LTD</t>
  </si>
  <si>
    <t>BANK MUSCAT AL AHLI AL OMANI SAOG</t>
  </si>
  <si>
    <t>BANK MUSCAT SAOG</t>
  </si>
  <si>
    <t>BANK OF CHINA HONG KONG LIMITED</t>
  </si>
  <si>
    <t>BANK OF CHINA HONG KONG LTD</t>
  </si>
  <si>
    <t>BANK OF CHINA (HONG KONG) LIMITED</t>
  </si>
  <si>
    <t>BANK OF CHINA (HONG KONG) LIMITED (BOCHK)</t>
  </si>
  <si>
    <t>BANK OF TAIWAN</t>
  </si>
  <si>
    <t>GENERAL RESERVE ACCOUNT</t>
  </si>
  <si>
    <t>BANK OF THAILAND</t>
  </si>
  <si>
    <t>BANK OF THAILAND GROUP</t>
  </si>
  <si>
    <t>BANK SARASIN &amp; CO LTD</t>
  </si>
  <si>
    <t>BANKINTER SA</t>
  </si>
  <si>
    <t>Bear Mountain</t>
  </si>
  <si>
    <t>BEOTHIC FISH PROCESSORS LIMITED</t>
  </si>
  <si>
    <t>BIORIGINAL FOOD AND SCIENCE CORP</t>
  </si>
  <si>
    <t>BNH KAEDEVARER APS</t>
  </si>
  <si>
    <t>BOCI Commodities &amp; Futures Limited</t>
  </si>
  <si>
    <t>BRINK'S LIMITED</t>
  </si>
  <si>
    <t>BRINKS LIMITED</t>
  </si>
  <si>
    <t>THE BRINK¿S COMPANY</t>
  </si>
  <si>
    <t>BRINK'S  LIMITED  HQ</t>
  </si>
  <si>
    <t>BRINKS (THAILAND) LIMITED</t>
  </si>
  <si>
    <t>BRINK'S (THAILAND) LIMITED</t>
  </si>
  <si>
    <t>BRINKS AUSTRALIA PTY LTD</t>
  </si>
  <si>
    <t>BRINKS CANADA LTD,</t>
  </si>
  <si>
    <t>BRINKS FREEZONE (THAILAND)</t>
  </si>
  <si>
    <t>BRINKS GLOBAL SERVICES</t>
  </si>
  <si>
    <t>BRINKS GLOBAL SERVICES BRAZIL</t>
  </si>
  <si>
    <t>BRINK'S GLOBAL SERVICES KOREA LTD</t>
  </si>
  <si>
    <t>BRINKS GLOBAL SERVICES KOREA</t>
  </si>
  <si>
    <t>BRINKS SINGAPORE PTE LTD - SGX</t>
  </si>
  <si>
    <t>BRINK'S SINGAPORE PTE LTD</t>
  </si>
  <si>
    <t>BRINKS SINGAPORE PTE LTD</t>
  </si>
  <si>
    <t>BRINKS SWITZERLAND LTD</t>
  </si>
  <si>
    <t>BRINK'S SCHWEIZ AG</t>
  </si>
  <si>
    <t>C.P. LOEWEN ENTERPRISES LTD.</t>
  </si>
  <si>
    <t>CAIXABANK S.A.</t>
  </si>
  <si>
    <t>CAIXABANK</t>
  </si>
  <si>
    <t>CAN RAD BEAUTY SUPPLY</t>
  </si>
  <si>
    <t>CAN-RAD BEAUTY LIMITED</t>
  </si>
  <si>
    <t>CANADIAN CLOTHING INTERNATIONAL INC</t>
  </si>
  <si>
    <t>CANADIAN FOREST PRODUCT LTD</t>
  </si>
  <si>
    <t>CANADIAN SCOOTER CORP.</t>
  </si>
  <si>
    <t>CANADIAN BLOOD SERVICES</t>
  </si>
  <si>
    <t>CANADIANBLOOD SERVICES</t>
  </si>
  <si>
    <t>CAPITAL SPORTS AND ENTERTAIMENT INC</t>
  </si>
  <si>
    <t>CAPITAL SPORTS AND ENTERTAINMENT INC</t>
  </si>
  <si>
    <t>CASSA DI RISPARMIO DI CESENA</t>
  </si>
  <si>
    <t>CASSA DI RISPARMIO DI CESENA SPA</t>
  </si>
  <si>
    <t>Cassa Di Risparmio Di Parma E Piacenza SpA</t>
  </si>
  <si>
    <t>CASSA DI RISPARMIO DI PARMA E</t>
  </si>
  <si>
    <t>Cassa di Rispamio di Parma e Piacenza S.p.A</t>
  </si>
  <si>
    <t>CATALYST PAPER FINANCE LIMITED</t>
  </si>
  <si>
    <t>CATHAY UNITED BANK CO LTD</t>
  </si>
  <si>
    <t>CATHAY UNITED BANK CO., LTD.</t>
  </si>
  <si>
    <t>CATHAY UNITED BANK</t>
  </si>
  <si>
    <t>CATHELLE INC</t>
  </si>
  <si>
    <t>CENTRAL BANK OF KUWAIT</t>
  </si>
  <si>
    <t>CENTRAL BANK OF MALTA</t>
  </si>
  <si>
    <t>CENTRAL BANK OF SRI LANKA</t>
  </si>
  <si>
    <t>CENTRAL BANK OF THE RUSSIAN FEDERATION</t>
  </si>
  <si>
    <t>Central Bank of Trinidad and Tobago</t>
  </si>
  <si>
    <t>CENTRAL BANK OF TRINIDAD AND TOBAGO</t>
  </si>
  <si>
    <t>CENTRAL BANK OF UZBEKISTAN</t>
  </si>
  <si>
    <t>CERTIS CISCO SECURITY PTE LTD.</t>
  </si>
  <si>
    <t>CERVECERIA NACIONAL S.A.</t>
  </si>
  <si>
    <t>CERVECERIA NACIONAL S.A</t>
  </si>
  <si>
    <t>CESKA NARODNI BANKA (CZECH NATIONAL BANK)</t>
  </si>
  <si>
    <t>CESKA NARODNI BANKA</t>
  </si>
  <si>
    <t>CHANG HWA COMMERCIAL BANK, LTD.</t>
  </si>
  <si>
    <t>CHANG HWA COMMERCIAL BANK LTD</t>
  </si>
  <si>
    <t>CHARLES STANLEY &amp; CO</t>
  </si>
  <si>
    <t>Chichester Capital Management LP</t>
  </si>
  <si>
    <t>CHINA CONSTRUCTION BK(ASIA)CORP LTD</t>
  </si>
  <si>
    <t>CHINA CONSTRUCTION BANK (ASIA) CORPORATION LIMITED</t>
  </si>
  <si>
    <t>CHINA CONSTRUCTION BANK HONG KONG</t>
  </si>
  <si>
    <t>CHINA CONSTRUCTION BANK CORPORATION</t>
  </si>
  <si>
    <t>China Construction Bk Corp</t>
  </si>
  <si>
    <t>CHINA CONSTRUCTION BANK CORP</t>
  </si>
  <si>
    <t>CHINA MINSHENG BANKING CORPORATION LTD</t>
  </si>
  <si>
    <t>CHINA MINSHENG BANKING CORP</t>
  </si>
  <si>
    <t>Chow Sang Sang Jewellery Co Ltd</t>
  </si>
  <si>
    <t>CHOW SANG SANG JEWELLERY COMPANY LIMITED</t>
  </si>
  <si>
    <t>CIBC WORLD MARKETS INC.</t>
  </si>
  <si>
    <t>CIMB BANK BERHAD, SINGAPORE BRANCH</t>
  </si>
  <si>
    <t>CIMB BANK BERHAD</t>
  </si>
  <si>
    <t>CNT DEPOSITORY, INC.</t>
  </si>
  <si>
    <t>COGAN WIRE AND METAL PRODUCTS LTD.</t>
  </si>
  <si>
    <t>COMDAQ METALS LIMITED</t>
  </si>
  <si>
    <t>COMDAQMETALS SWITZERLAND AG</t>
  </si>
  <si>
    <t>COMMERCIAL BANK OF CEYLON</t>
  </si>
  <si>
    <t>COMMERCIAL BANK OF DUBAI</t>
  </si>
  <si>
    <t>COMPAGNIE EUROPEENNE</t>
  </si>
  <si>
    <t>COMPANIA DE MINAS BUENAVENTURA S.A.A. (BNS)</t>
  </si>
  <si>
    <t>COMPTON PETROLEUM CORPORATION</t>
  </si>
  <si>
    <t>COR VAN RAAY FARMS LTD</t>
  </si>
  <si>
    <t>CPCS TRANSCOM LIMITED</t>
  </si>
  <si>
    <t>CROWN METAL PACKAGING CANADA, L.P.</t>
  </si>
  <si>
    <t>CROWN METAL PACKAGING CANADA LP</t>
  </si>
  <si>
    <t>CROWN PACKAGING EUROPE GMBH</t>
  </si>
  <si>
    <t>DAJIANG INTERNATIONAL INVESTMENT CO LTD</t>
  </si>
  <si>
    <t>DANMARKS NATIONALBANK</t>
  </si>
  <si>
    <t>DAVIS WIRE INDUSTRIES LTD</t>
  </si>
  <si>
    <t>DAYMEN PHOTO MARKETING LP</t>
  </si>
  <si>
    <t>DBS BANK HONG KONG LTD</t>
  </si>
  <si>
    <t>DBS BANK (HONG KONG) LIMITED</t>
  </si>
  <si>
    <t>DOHA BANK QSC</t>
  </si>
  <si>
    <t>Dundee Precious Metals Inc.</t>
  </si>
  <si>
    <t>DUNDEE PRECIOUS METALS INC.</t>
  </si>
  <si>
    <t>DUNDEE PRECIOUS METALS</t>
  </si>
  <si>
    <t>DWIC CORE EQUITY POOL FUND</t>
  </si>
  <si>
    <t>DWIC GROWTH STRATEGY</t>
  </si>
  <si>
    <t>DYNAMIC BLUE CHIP EQUITY FUND</t>
  </si>
  <si>
    <t>DYNAMIC CORPORATE INCOME FUND</t>
  </si>
  <si>
    <t>DYNAMIC DIVIDEND FUND</t>
  </si>
  <si>
    <t>DYNAMIC GLOBAL DIVIDEND CLASS</t>
  </si>
  <si>
    <t>DYNAMIC GLOBAL DIVIDEND VALUE CLASS</t>
  </si>
  <si>
    <t>E SUN COMMERCIAL BANK LTD</t>
  </si>
  <si>
    <t>EASYJET AIRLINE COMPANY LIMITED</t>
  </si>
  <si>
    <t>EASYJET AIRLINE COMPANY LTD</t>
  </si>
  <si>
    <t>EMERSON MILLING INC.</t>
  </si>
  <si>
    <t>EMERSON MILLING INC</t>
  </si>
  <si>
    <t>EMIRATES BANK</t>
  </si>
  <si>
    <t>EMIRATES NBD</t>
  </si>
  <si>
    <t>EMIRATES NBD HQ</t>
  </si>
  <si>
    <t>EMIRATES NBD ('ENBD')</t>
  </si>
  <si>
    <t>ENDURANCE TECHNOLOGIES INC</t>
  </si>
  <si>
    <t>ENDURANCE TECHNOLOGIES INC.</t>
  </si>
  <si>
    <t>EUGENE INVESTMENT &amp; FUTURES CO. LTD</t>
  </si>
  <si>
    <t>EUGENE INVESTMENT &amp; FUTURES CO LTD</t>
  </si>
  <si>
    <t>EUROPEAN CENTRAL BANK</t>
  </si>
  <si>
    <t>EVAN SRL</t>
  </si>
  <si>
    <t>EXPORT-IMPORT BANK OF INDIA</t>
  </si>
  <si>
    <t>FAIRWEATHER LTD</t>
  </si>
  <si>
    <t>FAIRWEATHER LIMITED</t>
  </si>
  <si>
    <t>FAR EASTERN INTERNATIONAL BANK</t>
  </si>
  <si>
    <t>FIELD EXAM SERVICES</t>
  </si>
  <si>
    <t>FIRST COMMERCIAL BANK</t>
  </si>
  <si>
    <t>FIRST MERIT BANK N.A.</t>
  </si>
  <si>
    <t>RAND MERCHANT BANK A DIVISION OF FIRSTRAND BANK</t>
  </si>
  <si>
    <t>FISHERY PRODUCTS INTERNATIONAL LIMITED</t>
  </si>
  <si>
    <t>FLOCHEM LTD.</t>
  </si>
  <si>
    <t>FLOCHEM LTD</t>
  </si>
  <si>
    <t>FLORA PACK INCORPORATED</t>
  </si>
  <si>
    <t>FORTUNA SILVER MINES INC.</t>
  </si>
  <si>
    <t>FORTUNA SILVER MINES INC</t>
  </si>
  <si>
    <t>FRED HALL &amp; SON LIMITED</t>
  </si>
  <si>
    <t>FRED HALL AND SON LIMITED</t>
  </si>
  <si>
    <t>FRESNILLO PLC</t>
  </si>
  <si>
    <t>FRIESENS CORPORATION</t>
  </si>
  <si>
    <t>G4S INTERNATIONAL LOGISTICS (THAILAND) LTD</t>
  </si>
  <si>
    <t>G4S INTL LOGISTICS (THAILAND) LTD</t>
  </si>
  <si>
    <t>SECURICOR INTERNATIONAL VALUABLES TRANSPORT INC.</t>
  </si>
  <si>
    <t>G4S INTERNATIONAL LOGISTICS (USA) INC.</t>
  </si>
  <si>
    <t>GALENA ASSET MANAGEMENT B.V.</t>
  </si>
  <si>
    <t>GALLOWAY LUMBER COMPANY LTD</t>
  </si>
  <si>
    <t>GEMINI FASHIONS OF CANADA LTD.</t>
  </si>
  <si>
    <t>GFI BROKERS LTD</t>
  </si>
  <si>
    <t>GFI BROKERS LIMITED</t>
  </si>
  <si>
    <t>GOLDCORP CANADA LIMITED</t>
  </si>
  <si>
    <t>GOLDCORP CANADA LTD</t>
  </si>
  <si>
    <t>GOLDMAN SACHS EXECUTION &amp; CLEARING</t>
  </si>
  <si>
    <t>GOWAY TRAVEL LIMITED</t>
  </si>
  <si>
    <t>GREATEX MILLS</t>
  </si>
  <si>
    <t>GREGG DISTRIBUTORS CO LTD</t>
  </si>
  <si>
    <t>GS CALTEX CORPORATION</t>
  </si>
  <si>
    <t>GS CALTEX CORPRATION</t>
  </si>
  <si>
    <t>Hachette Distribution Service (CAN)</t>
  </si>
  <si>
    <t>HANG SENG BANK LTD</t>
  </si>
  <si>
    <t>HANIFFA PTE LTD</t>
  </si>
  <si>
    <t>HARRY FREEMAN AND SONS LIMITED</t>
  </si>
  <si>
    <t>HASSAN ABDUL KADER ABDUL KADER</t>
  </si>
  <si>
    <t>HEESUNG CATALYSTS CORPORATION</t>
  </si>
  <si>
    <t>HEESUNG PMTECH CORPORATION</t>
  </si>
  <si>
    <t>HERAEUS METALS HONG KONG</t>
  </si>
  <si>
    <t>HFZ CAPITAL MANAGEMENT LIMITED</t>
  </si>
  <si>
    <t>HILLMAR INDUSTRIES LTD</t>
  </si>
  <si>
    <t>HIVE STRATEGIC MARKETING INC</t>
  </si>
  <si>
    <t>HKIA PRECIOUS METALS DEPOSITORY LTD</t>
  </si>
  <si>
    <t>HKIA PRECIOUS METALS DEPOSITORY LIMITED</t>
  </si>
  <si>
    <t>LOTTE CHEMICAL CORPORATION</t>
  </si>
  <si>
    <t>HORSE ISLAND ASSET MANAGEMENT LLC</t>
  </si>
  <si>
    <t>HSBC SECURITIES (CANADA) INC</t>
  </si>
  <si>
    <t>HUA NAN COMMERCIAL BANK LTD</t>
  </si>
  <si>
    <t>Hun Nan Commercial Bank</t>
  </si>
  <si>
    <t>HUASENGHENG COMMODITAS COMPANY LIMITED</t>
  </si>
  <si>
    <t>IBI SECURED TRANSPORT, INC</t>
  </si>
  <si>
    <t>ICICI BANK LIMITED</t>
  </si>
  <si>
    <t>ICICI BANK LTD</t>
  </si>
  <si>
    <t>IMC Trading B.V.</t>
  </si>
  <si>
    <t>VALE EUROPE LIMITED</t>
  </si>
  <si>
    <t>INDIAN OVERSEAS BANK</t>
  </si>
  <si>
    <t>INDIAN OVERSEAS BK</t>
  </si>
  <si>
    <t>INDIGO BOOKS AND MUSIC INC</t>
  </si>
  <si>
    <t>INDUSTRIA QUIMICA DEL ISTMO SA DE CV</t>
  </si>
  <si>
    <t>INDUSTRIAL AND COMMERCIAL BANK OF CHINA (ASIA) LTD</t>
  </si>
  <si>
    <t>INDUSTRIAL AND COMMERCIAL BANK OF CHINA (ASIA) LIMITED (ICBC ASIA)</t>
  </si>
  <si>
    <t>INDUSTRIAL BANK OF TAIWAN</t>
  </si>
  <si>
    <t>INDUSTRIAL THERMO POLYMERS LIMITED</t>
  </si>
  <si>
    <t>INTELLICO IDS INC</t>
  </si>
  <si>
    <t>INTER PIPELINE LTD</t>
  </si>
  <si>
    <t>ICAP ENERGY LTD</t>
  </si>
  <si>
    <t>ICAP Energy LLC</t>
  </si>
  <si>
    <t>INTERCAPITAL COMMODITY SWAPS LTD</t>
  </si>
  <si>
    <t>FUBON BANK (HONG KONG) LIMITED</t>
  </si>
  <si>
    <t>INTERNATIONAL CLOTHIERS</t>
  </si>
  <si>
    <t>INTRAPAC GROUP</t>
  </si>
  <si>
    <t>INVENTEC CORPORATION</t>
  </si>
  <si>
    <t>INVESTEC BANK PLC  GLOBAL EQUITY FINANCE</t>
  </si>
  <si>
    <t>Investec Bank plc</t>
  </si>
  <si>
    <t>Investors Canadian Balanced Fund</t>
  </si>
  <si>
    <t>IG MACKENZIE DIVIDEND FUND</t>
  </si>
  <si>
    <t>IG MACKENZIE DIVIDEND FUND - SLEEVE 1</t>
  </si>
  <si>
    <t>IG MACKENZIE DIVIDEND FUND - SLEEVE 6</t>
  </si>
  <si>
    <t>Investors Dividend Fund</t>
  </si>
  <si>
    <t>IG MACKENZIE DIVIDEND FUND - SLEEVE 7</t>
  </si>
  <si>
    <t>IG MACKENZIE DIVIDEND FUND SLEEVE 8</t>
  </si>
  <si>
    <t>IG MACKENZIE DIVIDEND FUND  - SLEEVE 3</t>
  </si>
  <si>
    <t>IG MACKENZIE DIVIDEND FUND - SLEEVE 2</t>
  </si>
  <si>
    <t>IG MACKENZIE DIVIDEND FUND  - SLEEVE 4</t>
  </si>
  <si>
    <t>IG MACKENZIE DIVIDEND FUND - SLEEVE 5</t>
  </si>
  <si>
    <t>INVESTORS TACTICAL ASSET ALLOCATION FUND</t>
  </si>
  <si>
    <t>ISI INSPECTION SERVICES INC.</t>
  </si>
  <si>
    <t>JAGUAR INVESTMENTS LIMITED</t>
  </si>
  <si>
    <t>JEFFERIES BACHE FINANCIAL SERVICES INC.</t>
  </si>
  <si>
    <t>JEFFERIES DERIVATIVE PRODUCTS LLC</t>
  </si>
  <si>
    <t>JEFFERIES BACHE FINANCIAL SERVICES INC</t>
  </si>
  <si>
    <t>JEFFERIES FINANCIAL SERVICES, INC.</t>
  </si>
  <si>
    <t>Jefferies Bache Limited</t>
  </si>
  <si>
    <t>JEMPAK GK</t>
  </si>
  <si>
    <t>JIFFY PRODUCTS (NB) LTD</t>
  </si>
  <si>
    <t>JOHNSON MATTHEY PACIFIC LTD</t>
  </si>
  <si>
    <t>BMO ASSET MANAGEMENT INC. (AS AGENT)</t>
  </si>
  <si>
    <t>JUST ENERGY TRADING LP</t>
  </si>
  <si>
    <t>JUST ENERGY TRADING L.P.</t>
  </si>
  <si>
    <t>KALESNIKOFF LUMBER CO LTD</t>
  </si>
  <si>
    <t>KALLARACKAL JEWELLERS</t>
  </si>
  <si>
    <t>KALLARACKALS MAHARANI GOLD SUPER MARKET</t>
  </si>
  <si>
    <t>KALLARACKAL'S MAHARANI GOLD SUPER MARKET</t>
  </si>
  <si>
    <t>KOOKMIN BANK</t>
  </si>
  <si>
    <t>KOREA DEVELOPMENT BANK</t>
  </si>
  <si>
    <t>KOREA DEVELOPMENT BANK SINGAPORE</t>
  </si>
  <si>
    <t>KOREA ZINC CO LTD</t>
  </si>
  <si>
    <t>LA SENZA INC</t>
  </si>
  <si>
    <t>LABORATORIO DE METALES S.A. DE CV</t>
  </si>
  <si>
    <t>Landbank of Taiwan</t>
  </si>
  <si>
    <t>LAND BANK OF TAIWAN</t>
  </si>
  <si>
    <t>LAXMIDAS THARIA VED AND COMPANY</t>
  </si>
  <si>
    <t>LCH BULLION CO LTD</t>
  </si>
  <si>
    <t>LEE CHEONG GOLD DEALERS LTD</t>
  </si>
  <si>
    <t>LEE CHEONG GOLD DEALERS LTD -REFINERY</t>
  </si>
  <si>
    <t>LEXMARK INTERNATIONAL(AUSTRALIA)PTY LTD</t>
  </si>
  <si>
    <t>LIVINGSTON INTERNATIONAL, INC.</t>
  </si>
  <si>
    <t>LOUISIANA-PACIFIC CORPORATION</t>
  </si>
  <si>
    <t>M J CARRILLO COMPANY, INC</t>
  </si>
  <si>
    <t>MACKENZIE FINANCIAL CORPORATION</t>
  </si>
  <si>
    <t>MACKENZIE FINANCIAL CORPORATION AFFILIATED FUNDS</t>
  </si>
  <si>
    <t>MACKENZIE GLOBAL ASSET STRATEGY FUND</t>
  </si>
  <si>
    <t>MAGELLAN AEROSPACE LTD.</t>
  </si>
  <si>
    <t>MAGELLAN AEROSPACE LIMITED</t>
  </si>
  <si>
    <t>MAHESH &amp; CO PTE LTD</t>
  </si>
  <si>
    <t>MALAYAN BKG BHD,</t>
  </si>
  <si>
    <t>MALAYAN BANKING BERHAD</t>
  </si>
  <si>
    <t>MARATHON PETROLEUM CORPORATION</t>
  </si>
  <si>
    <t>MAT SECURITAS EXPRESS</t>
  </si>
  <si>
    <t>MATERION CORPORATION</t>
  </si>
  <si>
    <t>MATERION CORPORATION AND SUBSIDIARIES</t>
  </si>
  <si>
    <t>MATERION CORP AND SUBSIDIARIES</t>
  </si>
  <si>
    <t>MEGA INTERNATIONAL COMMERCIAL BANK CO LTD REPO</t>
  </si>
  <si>
    <t>Mega International Commercial Bank</t>
  </si>
  <si>
    <t>MEGA INTERNATIONAL COMMERCIAL BANK</t>
  </si>
  <si>
    <t>MEGA INTERNATIONAL COMMERCIAL BANK CO LTD</t>
  </si>
  <si>
    <t>Meggitt Defence Systems Canada Inc</t>
  </si>
  <si>
    <t>METALOR LS HQ</t>
  </si>
  <si>
    <t>METALOR TECHNOLOGIES (HONG KONG) LTD</t>
  </si>
  <si>
    <t>METALOR TECHNOLOGIES SA</t>
  </si>
  <si>
    <t>METALOR TECHNOLOGIES      SA</t>
  </si>
  <si>
    <t>METALOR TECHNOLOGIES SA HQ</t>
  </si>
  <si>
    <t>MEXICANA DE COBRE S.A. DE C.V.</t>
  </si>
  <si>
    <t>Michael Hanley</t>
  </si>
  <si>
    <t>MINACS WORLDWIDE INCORPORATED</t>
  </si>
  <si>
    <t>MINERA LOS PELAMBRES</t>
  </si>
  <si>
    <t>MINERA MICHILLA SA</t>
  </si>
  <si>
    <t>MITSUBISHI CORPORATION RTM JAPAN LTD</t>
  </si>
  <si>
    <t>MITSUBISHI CORPORATION RTM JAPAN LIMITED</t>
  </si>
  <si>
    <t>MITSUBISHI MATERIALS CORPORATION</t>
  </si>
  <si>
    <t>MK ELECTRON CO LTD</t>
  </si>
  <si>
    <t>MKS REFINING  HQ</t>
  </si>
  <si>
    <t>MMTC PAMP STORAGE ACCOUNT</t>
  </si>
  <si>
    <t>MONETA CORPORATION</t>
  </si>
  <si>
    <t>MOSAIC CANADA CROP NUTRITION</t>
  </si>
  <si>
    <t>MOSAIC CANADA CROP NUTRITION LP</t>
  </si>
  <si>
    <t>MOSAIC CANADA ULC</t>
  </si>
  <si>
    <t>MOSAIC POTASH ESTERHAZY LIMITED PARTERNISHIP</t>
  </si>
  <si>
    <t>MOSAIC POTASH ESTERHAZY LTD PARTNERSHIP</t>
  </si>
  <si>
    <t>MOUNTAIN VIEW PACKERS LTD</t>
  </si>
  <si>
    <t>MR.A.S.HILL</t>
  </si>
  <si>
    <t>MR.S.L.SACKMAN</t>
  </si>
  <si>
    <t>MTS GOLD CO LTD</t>
  </si>
  <si>
    <t>MUPANE GOLD MINING (PTY) LTD.</t>
  </si>
  <si>
    <t>MUSTAFAS PTE LTD</t>
  </si>
  <si>
    <t>MUSTARD CAPITAL INC.</t>
  </si>
  <si>
    <t>FIRST ABU DHABI BANK PJSC</t>
  </si>
  <si>
    <t>NATIONAL BANK OF ABU DHABI</t>
  </si>
  <si>
    <t>FIRST GULF BANK PJSC</t>
  </si>
  <si>
    <t>FIRST ABU DHABI BANK PJSC.</t>
  </si>
  <si>
    <t>NATIONAL BANK OF KAZAKHSTAN</t>
  </si>
  <si>
    <t>NATIONAL BANK OF KUWAIT S.A.K.P.</t>
  </si>
  <si>
    <t>NATIONAL BANK OF ROMANIA</t>
  </si>
  <si>
    <t>NEW BRUNSWICK ENERGYMARKETING CORP</t>
  </si>
  <si>
    <t>NEW BRUNSWICK ENERGY MARKETING CORPORATION</t>
  </si>
  <si>
    <t>SOCIETE GENERALE INTERNATIONAL LIMITED</t>
  </si>
  <si>
    <t>SOCIETE GENERALE NEWEDGE UK LIMITED</t>
  </si>
  <si>
    <t>SOCIETE GENERALE INTERNATIONAL LTD</t>
  </si>
  <si>
    <t>Nicholson Manufacturing LTD</t>
  </si>
  <si>
    <t>NILGIRIS JEWELLERS PTE LTD</t>
  </si>
  <si>
    <t>NILGIRI'S JEWELLERS PTE LTD</t>
  </si>
  <si>
    <t>NORBORD EUROPE LIMITED</t>
  </si>
  <si>
    <t>NORTH AMERICAN FOREST PRODUCTS</t>
  </si>
  <si>
    <t>NORTH AMERICAN FOREST PRODUCTS LTD</t>
  </si>
  <si>
    <t>NOVELIS KOREA LIMITED</t>
  </si>
  <si>
    <t>NYGARD INTERNATIONAL LTD</t>
  </si>
  <si>
    <t>OETIKER LIMITED</t>
  </si>
  <si>
    <t>OLYMPUS SHORT TERM MANAGEMENT FUND</t>
  </si>
  <si>
    <t>RAMZI KARAM, FADI KARAM, IHAB KARAM IMSAIH</t>
  </si>
  <si>
    <t>OWENS ILLINOIS GROUP INC</t>
  </si>
  <si>
    <t>PACIFIC BUYING AND MARKETING SERVICE LTD</t>
  </si>
  <si>
    <t>PACIFIC SAFETY PRODUCTS INC</t>
  </si>
  <si>
    <t>PAN AMERICAN SILVER CORPORATION</t>
  </si>
  <si>
    <t>PAN AMERICAN SILVER CORP</t>
  </si>
  <si>
    <t>Pan American Silver Corporation</t>
  </si>
  <si>
    <t>PARALLEL ENERGY TRUST</t>
  </si>
  <si>
    <t>PATTERSON GRAIN LTD</t>
  </si>
  <si>
    <t>PATTERSON GRAIN LIMITED</t>
  </si>
  <si>
    <t>PEAK GOLD MINES PTY LTD</t>
  </si>
  <si>
    <t>Peak Gold Mines Pty Limited</t>
  </si>
  <si>
    <t>Phibro Limited</t>
  </si>
  <si>
    <t>PLAINS MARKETING CANADA LP</t>
  </si>
  <si>
    <t>PLAINS MIDSTREAM CANADA ULC</t>
  </si>
  <si>
    <t>PLASTICOS REX SA DE CV</t>
  </si>
  <si>
    <t>PLASTIPAK INDUSTRIES INC</t>
  </si>
  <si>
    <t>PROVIDENT ENERGY TRUST INCTR</t>
  </si>
  <si>
    <t>PUNJAB NATIONAL BANK</t>
  </si>
  <si>
    <t>RAIFFEISEN SCHEWIZ GENOSSENSCHAFT</t>
  </si>
  <si>
    <t>RAMZI KARAM IMSAIH,FADI KARAM IMSAIH AND</t>
  </si>
  <si>
    <t>RANK GROUP FINANCE PLC</t>
  </si>
  <si>
    <t>RED BACK MINING INC.</t>
  </si>
  <si>
    <t>RESEARCH IN MORTION LTD</t>
  </si>
  <si>
    <t>RHB BANK BERHAD,</t>
  </si>
  <si>
    <t>RHB BANK BERHAD</t>
  </si>
  <si>
    <t>RIO TINTO ALCAN INC</t>
  </si>
  <si>
    <t>ROHWEDDER AUTOMATED SYSTEMS INC</t>
  </si>
  <si>
    <t>ROMA MOULDING INC</t>
  </si>
  <si>
    <t>7CS EURASIA FZE</t>
  </si>
  <si>
    <t>RUBICON MASTER FUND</t>
  </si>
  <si>
    <t>RYERSON CANADA INC</t>
  </si>
  <si>
    <t>S MART MEXICANA SA DE CV</t>
  </si>
  <si>
    <t>SA CEMPP</t>
  </si>
  <si>
    <t>SABMILLER HOLDINGS Ltd</t>
  </si>
  <si>
    <t>SACAIG S.A.</t>
  </si>
  <si>
    <t>SAFDIE &amp; CO.INC.</t>
  </si>
  <si>
    <t>SAFIMET SPA</t>
  </si>
  <si>
    <t>SALES DEL ISTMO SA DE CV</t>
  </si>
  <si>
    <t>SAM APM</t>
  </si>
  <si>
    <t>SAM CREATIONS LIZHEL</t>
  </si>
  <si>
    <t>SAMACO TRADING LTD</t>
  </si>
  <si>
    <t>SAMBA FINANCIAL GROUP</t>
  </si>
  <si>
    <t>Samsung C&amp;T</t>
  </si>
  <si>
    <t>SAMSUNG C&amp;T CORPORATION</t>
  </si>
  <si>
    <t>SAMSUNG C AND T CORPORATION</t>
  </si>
  <si>
    <t>SAMSUNG C&amp;T HONGKONG LIMITED</t>
  </si>
  <si>
    <t>SAMSUNG C&amp;T HONG KONG LIMITED</t>
  </si>
  <si>
    <t>SANDSTORM GOLD (BARBADOS) LTD</t>
  </si>
  <si>
    <t>SAOC OIL CANADA LTD</t>
  </si>
  <si>
    <t>SCOTIA CANADIAN GROWTH FUND</t>
  </si>
  <si>
    <t>SCOTIABANK CANADIAN GROWTH FD STL5</t>
  </si>
  <si>
    <t>SCOTIA CDN GROWTH FUND</t>
  </si>
  <si>
    <t>SCOTIA GARDEN SEAFOOD INCORPORATED</t>
  </si>
  <si>
    <t>SCOTIA GARDEN SEAFOOD INC</t>
  </si>
  <si>
    <t>SEARS CANADA INC.</t>
  </si>
  <si>
    <t>SEMPSA JOYERIA PLATERIA , SA</t>
  </si>
  <si>
    <t>SEVENCONTINENTS CORPORATION</t>
  </si>
  <si>
    <t>SHANGHAI GOLD EXCHANGE - AGENCY BUSINESS</t>
  </si>
  <si>
    <t>SHANGHAI GOLD EXCHANGE</t>
  </si>
  <si>
    <t>SHINHAN BANK</t>
  </si>
  <si>
    <t>SIANG HOA JEWELLERY PTE LTD</t>
  </si>
  <si>
    <t>Silver 2501 Canada Inc.</t>
  </si>
  <si>
    <t>SILVERSTONE RESOURCES CV</t>
  </si>
  <si>
    <t>SINCLAIR DENTAL CO. LTD.</t>
  </si>
  <si>
    <t>SINCLAIR DENTAL CO LTD</t>
  </si>
  <si>
    <t>Smurfit-Stone Container Canada, Inc</t>
  </si>
  <si>
    <t>SNOWMASS INC.</t>
  </si>
  <si>
    <t>SOCIEDAD MINERA CORONA S.A.</t>
  </si>
  <si>
    <t>SOCIETE EN COMMANDITE DIVISES COMMERCE MAZEL</t>
  </si>
  <si>
    <t>SOJITZ CORPORATION</t>
  </si>
  <si>
    <t>PACIFIC INVESTMENT MANAGEMENT COMPANY LLC, SOLELY IN ITS CAPACITY AS ADVISOR ON BEHALF OF UNITED AIRLINES PILOT DIRECTED ACCOUNT PLAN.</t>
  </si>
  <si>
    <t>SOLAR APPLIED MATERIALS TECHNOLOGY CORP</t>
  </si>
  <si>
    <t>SOUTH AFRICAN RESERVE BANK</t>
  </si>
  <si>
    <t>SPM REFINERY PTE LTD</t>
  </si>
  <si>
    <t>SPROTT ASSET MANAGEMENT L.P.</t>
  </si>
  <si>
    <t>NINEPOINT PARTNERS LP AFFILIATED FUNDS (AS AGENT)</t>
  </si>
  <si>
    <t>SPROTT CANADIAN EQUITY FUND</t>
  </si>
  <si>
    <t>SPROTT HEDGE FUND LP</t>
  </si>
  <si>
    <t>STANDARD BANK OF SOUTH AFRICA LIMITED</t>
  </si>
  <si>
    <t>THE STANDARD BANK OF SOUTH AFRICA LTD</t>
  </si>
  <si>
    <t>STANPAC INC.</t>
  </si>
  <si>
    <t>STATE BANK OF HYDERABAD</t>
  </si>
  <si>
    <t>SUMITOMO CORP</t>
  </si>
  <si>
    <t>SUMITOMO CORPORATION</t>
  </si>
  <si>
    <t>SUMITOMO CORPORATION GLOBAL COMMODITIES LIMITED</t>
  </si>
  <si>
    <t>SUN YIP HONG GOLD DEALERS LIMITED</t>
  </si>
  <si>
    <t>Suzy's Inc</t>
  </si>
  <si>
    <t>SUZYS INC.</t>
  </si>
  <si>
    <t>TAISHIN INTERNATIONAL BANK CO., LTD</t>
  </si>
  <si>
    <t>Taishin International Bank Co Ltd</t>
  </si>
  <si>
    <t>TAISHIN INTERNATIONAL BANK</t>
  </si>
  <si>
    <t>TAIWAN COOPERATIVE BANK</t>
  </si>
  <si>
    <t>Taiwan Shin Kong Commercial Bank</t>
  </si>
  <si>
    <t>TARA JEWELS PVT LTD</t>
  </si>
  <si>
    <t>TAT LI JEWELLERY PTE LTD</t>
  </si>
  <si>
    <t>The Toronto Dominion Bank</t>
  </si>
  <si>
    <t>TD WATERHOUSE CANADA INC.</t>
  </si>
  <si>
    <t>Teal Cedar Products Ltd</t>
  </si>
  <si>
    <t>TFI HOLDINGS LIMITED PARTNERSHIP</t>
  </si>
  <si>
    <t>THE BANK OF EAST ASIA LIMITED</t>
  </si>
  <si>
    <t>BANK OF EAST ASIA LTD STF</t>
  </si>
  <si>
    <t>BANK OF EAST ASIA LTD REPO</t>
  </si>
  <si>
    <t>THE PEOPLES BANK OF CHINA</t>
  </si>
  <si>
    <t>PEOPLES BANK OF CHINA</t>
  </si>
  <si>
    <t>THE ROYAL MINT</t>
  </si>
  <si>
    <t>THINTECH MATERIALS TECHNOLOGY CO LTD</t>
  </si>
  <si>
    <t>THOMPSON CREEK MINING LTD</t>
  </si>
  <si>
    <t>THRIFTY'S 2005 INC</t>
  </si>
  <si>
    <t>THRIFTYS INC. (2005)</t>
  </si>
  <si>
    <t>TOLKO INDUSTRIES LTD.</t>
  </si>
  <si>
    <t>Torquest Partners Fund II</t>
  </si>
  <si>
    <t>TOYOTA TSUSHO CORPORATION</t>
  </si>
  <si>
    <t>TRADITION DUBAI LTD.</t>
  </si>
  <si>
    <t>TRANSGLOBE ENERGY CORPORATION</t>
  </si>
  <si>
    <t>U.S. COIN EXCHANGE</t>
  </si>
  <si>
    <t>UMICORE JEWELLERY MATERIAL PROCESSING(FOSHAN)COLTD</t>
  </si>
  <si>
    <t>URREA HERRAMIENTAS PROFESSIONALES SA DE CV</t>
  </si>
  <si>
    <t>URREA HERRAMIENTAS PROFESIONALES, S.A. DE C.V.</t>
  </si>
  <si>
    <t>LOOMIS STORAGE FACILITY AT VALCAMBI SA</t>
  </si>
  <si>
    <t>VINTAGE BULLION DMCC HQ ACCOUNT</t>
  </si>
  <si>
    <t>VINTAGE BULLION DMCC</t>
  </si>
  <si>
    <t>WACHOVIA BANK NATIONAL ASSOCIATION</t>
  </si>
  <si>
    <t>WACHOVIA BANK, NATIONAL ASSOCIATION</t>
  </si>
  <si>
    <t>WALDUN FOREST PRODUCTS PARTNERSHIP</t>
  </si>
  <si>
    <t>WALKER &amp; WHYTE, INC.</t>
  </si>
  <si>
    <t>WALKER SEEDS LTD.</t>
  </si>
  <si>
    <t>WEATHERFORD INTERNATIONAL INC</t>
  </si>
  <si>
    <t>WEST FRASER MILLS LTD</t>
  </si>
  <si>
    <t>WEST FRASER MILLS LTD.</t>
  </si>
  <si>
    <t>WESTBROOK FLORAL LTD</t>
  </si>
  <si>
    <t>WESTERN MESQUITE MINES INC.</t>
  </si>
  <si>
    <t>WING FUNG PRECIOUS METALS LIMITED</t>
  </si>
  <si>
    <t>WORLD COMMERCIAL SALES COMPANY LIMITED</t>
  </si>
  <si>
    <t>World Commercial Sales Co Ltd</t>
  </si>
  <si>
    <t>WRA ASF II LTD</t>
  </si>
  <si>
    <t>XSTRATA COMMODITIES MIDDLE EAST DMCC</t>
  </si>
  <si>
    <t>ZOOM AIRLINES INCORPORATED</t>
  </si>
  <si>
    <t>TD ASSET  MANAGEMENT 1604</t>
  </si>
  <si>
    <t>TD ASSET MANAGEMENT INC AFF FUNDS</t>
  </si>
  <si>
    <t>TD ASSET MANAGEMENT 1212</t>
  </si>
  <si>
    <t>TD ASSET MANAGEMENT</t>
  </si>
  <si>
    <t>TD ASSET MANAGEMENT 2106</t>
  </si>
  <si>
    <t>TD ASSET MANAGEMENT 1219</t>
  </si>
  <si>
    <t>TD ASSET MANAGEMENT 47510002</t>
  </si>
  <si>
    <t>TD ASSET MANAGEMENT TDAMTST</t>
  </si>
  <si>
    <t>TD ASSET MANAGEMENT 1043002</t>
  </si>
  <si>
    <t>TD ASSET  MANAGEMENT 47694</t>
  </si>
  <si>
    <t>TD ASSET  MANAGEMENT 47695</t>
  </si>
  <si>
    <t>TD ASSET MANAGEMENT 44491</t>
  </si>
  <si>
    <t>TD ASSET MANAGEMENT 1356</t>
  </si>
  <si>
    <t>TD ASSET MANAGEMENT 47510001</t>
  </si>
  <si>
    <t>TD ASSET MANAGEMENT INC</t>
  </si>
  <si>
    <t>TD ASSET MANAGEMENT TDBK</t>
  </si>
  <si>
    <t>TD ASSET MANAGEMENT 47510</t>
  </si>
  <si>
    <t>TD ASSET MANAGEMENT T1103</t>
  </si>
  <si>
    <t>TD ASSET MANAGEMENT 47545</t>
  </si>
  <si>
    <t>CAMBRIDGE CAN EQTY CORP CLASS A</t>
  </si>
  <si>
    <t>IMPERIAL INTERNATIONAL BOND POOL</t>
  </si>
  <si>
    <t>IMPERIAL INTERNATIONAL BOND POOL.</t>
  </si>
  <si>
    <t>SYMMETRY CANADIAN BOND FUND</t>
  </si>
  <si>
    <t>SYMMETRY GLOBAL BOND FUND</t>
  </si>
  <si>
    <t>SYMMETRY LOW VOLATILITY FUND</t>
  </si>
  <si>
    <t>DOMINION DIAMOND NWT ULC</t>
  </si>
  <si>
    <t>NATIONAL BANK HIGH YIELD BOND FUND</t>
  </si>
  <si>
    <t>NBI HIGH YIELD BOND PRIVATE PORTFOLIO</t>
  </si>
  <si>
    <t>RBC PRIVATE CANADIAN DIVIDEND POOL FUND</t>
  </si>
  <si>
    <t>ALUMITECH ARCHITECTURAL METAL G LTD</t>
  </si>
  <si>
    <t>1089069 ONTARIO LTD / AARON AUTO</t>
  </si>
  <si>
    <t>AGF GLOBAL STRATEGIC BALANCED FUND (AGFII)</t>
  </si>
  <si>
    <t>AGF GLOBAL STRATEGIC BALANCED FUND</t>
  </si>
  <si>
    <t>AGF GLOBAL STRATEGIC BALANCED FUND (AGFIA)</t>
  </si>
  <si>
    <t>AVNET ASIA PTE TAIWAN BRANCH</t>
  </si>
  <si>
    <t>AVNET ASIA PTE LTD</t>
  </si>
  <si>
    <t>DOMINION DIAMOND MINES ULC</t>
  </si>
  <si>
    <t>DOMINION DIAMOND CORPORATION</t>
  </si>
  <si>
    <t>BAY FERRIES LIMITED</t>
  </si>
  <si>
    <t>ACCENTURE BUILDING MATERIAL LTD</t>
  </si>
  <si>
    <t>BASIC SPIRIT INCORPORATED</t>
  </si>
  <si>
    <t>1832 AM AS AGENT</t>
  </si>
  <si>
    <t>AGF CANADIAN BOND FUND</t>
  </si>
  <si>
    <t>AGF CANADIAN BOND FUND BONDS</t>
  </si>
  <si>
    <t>AGF CHINA FOCUS CLASS</t>
  </si>
  <si>
    <t>AQUA COASTAL IMPORTS INC.</t>
  </si>
  <si>
    <t>ICBC BANK THAILAND CO LTD CLEARING</t>
  </si>
  <si>
    <t>INDUSTRIAL AND COMMERCIAL BANK OF C</t>
  </si>
  <si>
    <t>ICBC BANK THAILAND CO LTD</t>
  </si>
  <si>
    <t>CANOE STRATEGIC HIGH YIELD FUND</t>
  </si>
  <si>
    <t>ARROW COMPONENTS (NZ)</t>
  </si>
  <si>
    <t>CARS  R US LIMITED</t>
  </si>
  <si>
    <t>ARROW COMPONENTS SWEDEN AB</t>
  </si>
  <si>
    <t>ACTIVO INC</t>
  </si>
  <si>
    <t>ACCUTRAC CAPITAL SOLUTIONS INC</t>
  </si>
  <si>
    <t>ASIAN DEVELOPMENT BANK TOTAL</t>
  </si>
  <si>
    <t>ASIAN DEVELOPMENT BANK</t>
  </si>
  <si>
    <t>TASG HOLDINGS LTD</t>
  </si>
  <si>
    <t>ADM STAINLESS INC</t>
  </si>
  <si>
    <t>ARROW ELECTRONICS AUSTRALIA PTY LTD</t>
  </si>
  <si>
    <t>AECOM CANADA LTD.</t>
  </si>
  <si>
    <t>AECOM CONSULTANTS INC.</t>
  </si>
  <si>
    <t>AGF EMERGING MARKETS BOND FUND</t>
  </si>
  <si>
    <t>AGF EMERGING MARKETS FUND</t>
  </si>
  <si>
    <t>ENVIRO PRO ATLANTIC LTD</t>
  </si>
  <si>
    <t>ARROW FRANCE S.A.</t>
  </si>
  <si>
    <t>FORD ELECTRIC SUPPLY LTD</t>
  </si>
  <si>
    <t>ALBION FISHERIES LTD</t>
  </si>
  <si>
    <t>PRIMA AFP S.A.</t>
  </si>
  <si>
    <t>AFFORDABLE POWERSPORTS INC</t>
  </si>
  <si>
    <t>AGF GLOBAL BOND FUND</t>
  </si>
  <si>
    <t>AGF ASIAN GROWTH CLASS</t>
  </si>
  <si>
    <t>GLEN A LEA INC</t>
  </si>
  <si>
    <t>AGF CANADIAN SMALL CAP FUND</t>
  </si>
  <si>
    <t>AGF CANADIAN LARGE CAP DIVIDEND FUND</t>
  </si>
  <si>
    <t>AGFiQ North American Dividend Income Fund - AGFII</t>
  </si>
  <si>
    <t>AGFIQ NORTH AMERICAN DIVIDEND INCOME FUND - HS</t>
  </si>
  <si>
    <t>AGF CANADIAN LARGE CAP DIVIDEND FUND (AGF SLEEVE)</t>
  </si>
  <si>
    <t>AGFiQ North American Dividend Income Fund - HS</t>
  </si>
  <si>
    <t>AGFiQ Canadian Dividend Income Fund</t>
  </si>
  <si>
    <t>AGFIQ CANADIAN DIVIDEND INCOME FUND</t>
  </si>
  <si>
    <t>AGF DIVIDEND INCOME FUND</t>
  </si>
  <si>
    <t>AGF GLOBAL EQUITY FUND</t>
  </si>
  <si>
    <t>AGF GLOBAL EQUITY POOLED FUND</t>
  </si>
  <si>
    <t>AGF INFLATION PLUS BOND FUND</t>
  </si>
  <si>
    <t>AGF GLOBAL DIVIDEND FUND</t>
  </si>
  <si>
    <t>AGF GLOBAL VALUE FUND</t>
  </si>
  <si>
    <t>GARDEN ISLE FARMS LTD</t>
  </si>
  <si>
    <t>GROHMANN KNIVES LTD</t>
  </si>
  <si>
    <t>GLC AND F ENTERPRISES LTD</t>
  </si>
  <si>
    <t>AGRI-PARTNERS CROP CENTRE LTD</t>
  </si>
  <si>
    <t>ASTON HILL CAPITAL GROWTH FUND</t>
  </si>
  <si>
    <t>HERITAGE MEMORIALS LTD</t>
  </si>
  <si>
    <t>ASTON HILL MBB TRUST</t>
  </si>
  <si>
    <t>MANULIFE BOND FUND</t>
  </si>
  <si>
    <t>MANULIFE US OPPORTUNITIES FUND</t>
  </si>
  <si>
    <t>MANULIFE DIVIDEND INCOME PLUS FUND</t>
  </si>
  <si>
    <t>MANULIFE MONTHLY HIGH INCOME CLASS</t>
  </si>
  <si>
    <t>MANULIFE CANADIAN STOCK FUND</t>
  </si>
  <si>
    <t>MANULIFE DIVIDEND INCOME FUND</t>
  </si>
  <si>
    <t>INVESCO CANADIAN EQUITY GROWTH CLAS</t>
  </si>
  <si>
    <t>INVESCO ALLOCATION FUND</t>
  </si>
  <si>
    <t>CANADIAN DOLLAR CASH MANAGEMENT FDA</t>
  </si>
  <si>
    <t>TRIMARK (AIM) SELECT CDN GROWTH FD</t>
  </si>
  <si>
    <t>INVESCO SELECT CANADIAN EQUITY FUND</t>
  </si>
  <si>
    <t>INVESCO CANADA LTD AFFILIATED FUNDS</t>
  </si>
  <si>
    <t>INVESCO EMERGING MARKETS DEBT FUND</t>
  </si>
  <si>
    <t>AIR PRODUCTS CANADA LTD.</t>
  </si>
  <si>
    <t>AIR PRODUCTS CANADA LTD</t>
  </si>
  <si>
    <t>AIR PRODUCTS HOLDINGS B.V.</t>
  </si>
  <si>
    <t>AIR PRODUCTS HOLDINGS BV</t>
  </si>
  <si>
    <t>AIR PRODUCTS IRELAND LIMITED</t>
  </si>
  <si>
    <t>AIR PRODUCTS PLC</t>
  </si>
  <si>
    <t>AIR PRODUCTS SA</t>
  </si>
  <si>
    <t>INVESCO GLOBAL GROWTH CLASS</t>
  </si>
  <si>
    <t>MANULIFE COVERED CALL US EQUITY FUND</t>
  </si>
  <si>
    <t>ECLIPSE STORES INC</t>
  </si>
  <si>
    <t>JUST US COFFEE ROASTER CO OP LTD</t>
  </si>
  <si>
    <t>AXIS BANK LTD FORMERLY UTI BANK</t>
  </si>
  <si>
    <t>AXIS BANK LTD.</t>
  </si>
  <si>
    <t>AXIS BANK LTD</t>
  </si>
  <si>
    <t>AXIS BANK LIMITED FORMERLY UTI BANK</t>
  </si>
  <si>
    <t>K AND T TRANSPORT LTD</t>
  </si>
  <si>
    <t>ALSCOTT AIR SYSTEMS LTD</t>
  </si>
  <si>
    <t>ALSCOTT AIR SYSTERMS LTD</t>
  </si>
  <si>
    <t>THE ALDO GROUP INC</t>
  </si>
  <si>
    <t>AUTUMN LIFT EQUIPMENT INC</t>
  </si>
  <si>
    <t>ALPHA CONTROLS AND INSTRUMENTATION</t>
  </si>
  <si>
    <t>ALTALINK, L.P.</t>
  </si>
  <si>
    <t>LEWIS MOULDINGS AND WOOD SPEC LTD</t>
  </si>
  <si>
    <t>ALTRAMED HEALTH PRODUCTS INC</t>
  </si>
  <si>
    <t>METALFAB LTD</t>
  </si>
  <si>
    <t>ARMSTRONG METALLDECKEN AG</t>
  </si>
  <si>
    <t>LIGHTHOUSE LOBSTER INC</t>
  </si>
  <si>
    <t>AMVIC INC.</t>
  </si>
  <si>
    <t>ANATOLIA TILE &amp; STONE INC.</t>
  </si>
  <si>
    <t>ANCHOR SHORING AND CAISSONS LTD</t>
  </si>
  <si>
    <t>NORTHEAST EQUIPMENT LIMITED</t>
  </si>
  <si>
    <t>ANMAR MECHANICAL &amp; ELECTRICAL CONTRACTORS LTD</t>
  </si>
  <si>
    <t>ANNEX PUBLISHING AND PRINTING INC</t>
  </si>
  <si>
    <t>ANNEX PUBLISHING &amp; PRINTING INC.</t>
  </si>
  <si>
    <t>OCI HOLDINGS INC</t>
  </si>
  <si>
    <t>OP FIBREGLASS AND MARINE SUPPLY INC</t>
  </si>
  <si>
    <t>AIR PRODUCTS (BR) LTD.</t>
  </si>
  <si>
    <t>AIR PRODUCTS BR LTD</t>
  </si>
  <si>
    <t>APACHE CANADA LTD</t>
  </si>
  <si>
    <t>APCO INDUSTRIES CO LIMITED</t>
  </si>
  <si>
    <t>AIR PRODUCTS GMBH</t>
  </si>
  <si>
    <t>AIR PRODUCTS HELIUM INC</t>
  </si>
  <si>
    <t>AIR PRODUCTS LEASING B.V.</t>
  </si>
  <si>
    <t>AIR PRODUCTS LEASING BV</t>
  </si>
  <si>
    <t>AIR PRODUCTS MANUFACTURING CORPORATION</t>
  </si>
  <si>
    <t>ALGONQUIN POWER COMPANY</t>
  </si>
  <si>
    <t>APPLANIX CORPORATION</t>
  </si>
  <si>
    <t>AQUA-TECH SALES AND MARKETING INC.</t>
  </si>
  <si>
    <t>AQUA TECHSALES AND MARKETING</t>
  </si>
  <si>
    <t>MOBIA TECHNOLOGY INNOVATIONS INC</t>
  </si>
  <si>
    <t>ARROW DENMARK APS</t>
  </si>
  <si>
    <t>ARROW ELECTRONICS ASIA (S) PTE LTD</t>
  </si>
  <si>
    <t>ARROW ELECTRONICS ESTONIA OU</t>
  </si>
  <si>
    <t>ARROW GLOBAL ADVANTAGE FUND</t>
  </si>
  <si>
    <t>ARROW FINLAND OY</t>
  </si>
  <si>
    <t>ARROW NORWAY AS</t>
  </si>
  <si>
    <t>ROSE ENTERPRISES INC. (DBA - ROSE WREATH AND TREE)</t>
  </si>
  <si>
    <t>ARTISAN PRINT LIMITED</t>
  </si>
  <si>
    <t>ARROW ELECTRONICS UK LTD</t>
  </si>
  <si>
    <t>RYER AND RYER LOBSTERS LTD</t>
  </si>
  <si>
    <t>ARZON LIMITED</t>
  </si>
  <si>
    <t>SPRINGHILL CONSTRUCTION LIMITED</t>
  </si>
  <si>
    <t>S AND D SMITH CENTRAL SUPPLIES LIMITED</t>
  </si>
  <si>
    <t>SEKISUI DIAGNOSTICS PEI INC</t>
  </si>
  <si>
    <t>ASSURANT LIFE OF CANADA CO</t>
  </si>
  <si>
    <t>TRUSTAGE LIFE OF CANADA</t>
  </si>
  <si>
    <t>ARPAC STORAGE SYSTEMS CORPORATION</t>
  </si>
  <si>
    <t>AKKO TRADING CO. LTD.</t>
  </si>
  <si>
    <t>TERRANOM R AND D INC</t>
  </si>
  <si>
    <t>ALL TEAM GLASS &amp; MIRROR LTD.</t>
  </si>
  <si>
    <t>ATLANTIC SECURITY BANK</t>
  </si>
  <si>
    <t>PACIFIC INVESTMENT MANAGEMENT COMPANY LLC, SOLELY IN ITS CAPACITY AS ADVISOR ON BEHALF OF  ATLANTIC SECURITY BANK</t>
  </si>
  <si>
    <t>ATLANTIC PRECISION AGRICULTURE SERV</t>
  </si>
  <si>
    <t>ATLAS HYDRAULICS INC</t>
  </si>
  <si>
    <t>ARCELORMITTAL TUBULAR PRODUCTS CANADA G.P.</t>
  </si>
  <si>
    <t>ATCO STRUCTURE AND LOGISTICS LTD</t>
  </si>
  <si>
    <t>ATCO STRUCTURES &amp; LOGISTICS LTD.</t>
  </si>
  <si>
    <t>ATLANTIC SPORTSWEAR</t>
  </si>
  <si>
    <t>AUGUSTA HOLDINGS INC</t>
  </si>
  <si>
    <t>AUROPEAN VENTURES INC</t>
  </si>
  <si>
    <t>AVNET INTERNATIONAL (CANADA) LTD</t>
  </si>
  <si>
    <t>AVOCA TECHNOLOGIES INCORPORATED</t>
  </si>
  <si>
    <t>ACME WINDOW HARDWARE LTD</t>
  </si>
  <si>
    <t>AXTON INC</t>
  </si>
  <si>
    <t>AXTON INCCORPORATED</t>
  </si>
  <si>
    <t>BACATA FOOD GROUP INC</t>
  </si>
  <si>
    <t>BADLANDS INC</t>
  </si>
  <si>
    <t>AMERICAN EQUITY FUND</t>
  </si>
  <si>
    <t>BARAMY INVESTMENTS LTD</t>
  </si>
  <si>
    <t>BANTREL CO.</t>
  </si>
  <si>
    <t>BAYWOOD PAPER LIMITED</t>
  </si>
  <si>
    <t>BARREL SELECT INC</t>
  </si>
  <si>
    <t>BARCLAY SALES LTD</t>
  </si>
  <si>
    <t>CAC STEEL AND METALS INC</t>
  </si>
  <si>
    <t>BRIDGEVIEW CUSTOMS BROKERS LTD</t>
  </si>
  <si>
    <t>BANCO CENTRAL DE COSTA RICA</t>
  </si>
  <si>
    <t>BRITISH COLUMBIA INVESTMENT MANAGEMENT CORPORATION</t>
  </si>
  <si>
    <t>THE BRITISH COLUMBIA INVESTMENT MANAGEMENT CORPORATION</t>
  </si>
  <si>
    <t>BANCO LATINOAMERICA NO DE COMERCIO EXTERIOR SA (BLADEX)</t>
  </si>
  <si>
    <t>BANCO LATINOAMERICANO DE COMERCIO EXTERIOR S A BLADEX</t>
  </si>
  <si>
    <t>TECHNICAL SAFETY BC</t>
  </si>
  <si>
    <t>BANCO DE CHILE SA</t>
  </si>
  <si>
    <t>BANCO DE CHILE CHILE</t>
  </si>
  <si>
    <t>BLACK AND DECKER LIMITED B.V.B.A</t>
  </si>
  <si>
    <t>BDO UNIBANK INC</t>
  </si>
  <si>
    <t>LACTALIS CANADA INC.</t>
  </si>
  <si>
    <t>CANADA GOLD BEEF INC</t>
  </si>
  <si>
    <t>BUSY BEE SANITARY SUPPLIES INC</t>
  </si>
  <si>
    <t>EMERGING MARKETS FUND</t>
  </si>
  <si>
    <t>BERNARDI BUILDING SUPPLY LTD</t>
  </si>
  <si>
    <t>ASIAN EQUITY FUND</t>
  </si>
  <si>
    <t>FOCUS ASIAN EQUITY FUND</t>
  </si>
  <si>
    <t>BMO GLOBAL DIVIDEND CLASS</t>
  </si>
  <si>
    <t>GLOBAL EQUITY FUND (EXCLUDING CANADA)</t>
  </si>
  <si>
    <t>BAGWELL SUPPLY LTD</t>
  </si>
  <si>
    <t>BAGWELL SUPPLY LTD.</t>
  </si>
  <si>
    <t>BLACKROCK FLOATING RATE INC TRUST</t>
  </si>
  <si>
    <t>BRISTOL GATE US EQUITY FUND LP</t>
  </si>
  <si>
    <t>BRISTOL GATE US EQUITY FUND LP - CLASS A</t>
  </si>
  <si>
    <t>BANK HAPOALIM B.M.</t>
  </si>
  <si>
    <t>BUDDY HAEGELE ENTERPRISES LTD</t>
  </si>
  <si>
    <t>BHULLAR IMPORTS INCORPORATED</t>
  </si>
  <si>
    <t>BIK HYDRAULICS LTD.</t>
  </si>
  <si>
    <t>BAFFINLAND IRON MINES CORPORATION</t>
  </si>
  <si>
    <t>BROOKFIELD INFRASTRUCTURE PARTNERS CAPITAL MANAGEMENT SRL - NDF</t>
  </si>
  <si>
    <t>BROOKFIELD INFRASTRUCTURE PARTNERS CAPITAL MANAGEMENT SRL</t>
  </si>
  <si>
    <t>BIP CAPITAL MANAGMENT SRL</t>
  </si>
  <si>
    <t>ITAU UNIBANCO SA</t>
  </si>
  <si>
    <t>ITAU UNIBANCO, S.A.</t>
  </si>
  <si>
    <t>Itau Unibanco S.A.</t>
  </si>
  <si>
    <t>BASLER KANTONALBANK</t>
  </si>
  <si>
    <t>BUCKERFIELDS LTD</t>
  </si>
  <si>
    <t>BLOW PRESS LTD</t>
  </si>
  <si>
    <t>PT BANK MEGA TBK</t>
  </si>
  <si>
    <t>BANK MENDES GANS NV</t>
  </si>
  <si>
    <t>BANK MENDES GANS N.V.</t>
  </si>
  <si>
    <t>VICTORIA CO-OPERATIVE FISHERIES LTD</t>
  </si>
  <si>
    <t>ALLIANCE PIPELINE LIMITED PARTNERSHIP</t>
  </si>
  <si>
    <t>WEIR CANADA INC</t>
  </si>
  <si>
    <t>WIN-SIR TEXTILES INC.</t>
  </si>
  <si>
    <t>SUREWAY EQUIPMENT LEASING</t>
  </si>
  <si>
    <t>AIR TRANSAT AT INC</t>
  </si>
  <si>
    <t>AIR TRANSAT A.T. INC.</t>
  </si>
  <si>
    <t>AIR TRANSAT A.T.INC</t>
  </si>
  <si>
    <t>BANK OF NEW ZEALAND</t>
  </si>
  <si>
    <t>BORNEMANN INC</t>
  </si>
  <si>
    <t>RESOLUTE FP US INC</t>
  </si>
  <si>
    <t>BANK OF THE PHILIPPINE ISLANDS</t>
  </si>
  <si>
    <t>BRUCE POWER LP</t>
  </si>
  <si>
    <t>BRUCE POWER L.P.</t>
  </si>
  <si>
    <t>THE BENCH PRESS LTD</t>
  </si>
  <si>
    <t>BLACKROCK FUNDS BLACKROCK ALL CAP</t>
  </si>
  <si>
    <t>BLACKROCK ALL CAP ENERGY RESOURCES</t>
  </si>
  <si>
    <t>BLACKROCK BLACKROCK GLOBAL OPP</t>
  </si>
  <si>
    <t>BLACKROCK ENERGY RESOURCES PORTFOLI</t>
  </si>
  <si>
    <t>BLACKROCK FUNDS BLACKROCK ENERGY</t>
  </si>
  <si>
    <t>BLACKROCK FUNDS BLACKROCK INTERNAT</t>
  </si>
  <si>
    <t>BLACKROCK INTERNATIONAL OPPORTUNITI</t>
  </si>
  <si>
    <t>BLACKROCK FUNDS BLACKROCK US OPPORT</t>
  </si>
  <si>
    <t>BLACKROCK FUNDS II HIGH YIELD BOND</t>
  </si>
  <si>
    <t>BLACKROCK FDS II BR US GOVERNMENT</t>
  </si>
  <si>
    <t>BRAVO PRODUCTS AND EXPORTS INC</t>
  </si>
  <si>
    <t>BR-BGF EURO ENHANCED EQ YIELD FD</t>
  </si>
  <si>
    <t>BANK NEGARA MALAYSIA</t>
  </si>
  <si>
    <t>BANK NEGARA MALAYSIA,</t>
  </si>
  <si>
    <t>BANK OF ISRAEL</t>
  </si>
  <si>
    <t>EASTERN CARIBBEAN CENTRAL BANK</t>
  </si>
  <si>
    <t>BR-EUROPE INDEX SUB-FUND</t>
  </si>
  <si>
    <t>THE BRANKSOME HALL FOUNDATION</t>
  </si>
  <si>
    <t>BRECON HOLDINGS LIMITED</t>
  </si>
  <si>
    <t>BRIGHAM ENTERPRISES INC</t>
  </si>
  <si>
    <t>E.J.BROOKS COMPANY</t>
  </si>
  <si>
    <t>BRIT SYNDICATES LTD</t>
  </si>
  <si>
    <t>BRIT SYNDICATES LTD GROUP</t>
  </si>
  <si>
    <t>K ASSET GLOBAL FIXED INCOME 3 FUND</t>
  </si>
  <si>
    <t>BROCK UNIVERSITY</t>
  </si>
  <si>
    <t>BLACKROCK MULTI SECTOR BOND FUND TO</t>
  </si>
  <si>
    <t>PACIFIC INVESTMENT MANAGEMENT COMPANY LLC, SOLELY IN ITS CAPACITY AS ADVISOR ON BEHALF OF PG&amp;E CORPORATION RETIREMENT MASTER TRUST</t>
  </si>
  <si>
    <t>RESERVE BANK OF INDIA</t>
  </si>
  <si>
    <t>BLACKROCK SENIOR FLOATING RATE PORT</t>
  </si>
  <si>
    <t>BRUNEI INVESTMENT AGENCY</t>
  </si>
  <si>
    <t>SKEENA SAWMILLS LTD</t>
  </si>
  <si>
    <t>BRENNTAG CANADA INC</t>
  </si>
  <si>
    <t>BRENNTAG CANADA INC.</t>
  </si>
  <si>
    <t>BOND FUND</t>
  </si>
  <si>
    <t>BALANCED PENSION FUND</t>
  </si>
  <si>
    <t>CANADIAN EQUITY FUND</t>
  </si>
  <si>
    <t>CANADIAN SMALL CAP FUND</t>
  </si>
  <si>
    <t>BUDDS OAKVILLE LIMITED</t>
  </si>
  <si>
    <t>EAFE FUND</t>
  </si>
  <si>
    <t>EUROPEAN EQUITY FUND</t>
  </si>
  <si>
    <t>EUROPEAN FOUNDATION FUND</t>
  </si>
  <si>
    <t>BURGUNDY FOUNDATION TRUST FUND</t>
  </si>
  <si>
    <t>BLACKROCK UTILITY AND INFRASTRUCTUR</t>
  </si>
  <si>
    <t>U.S. MONEY MARKET FUND</t>
  </si>
  <si>
    <t>MONEY MARKET FUND</t>
  </si>
  <si>
    <t>PARTNERS GLOBAL FUND</t>
  </si>
  <si>
    <t>PARTNERS BALANCED RSP FUND</t>
  </si>
  <si>
    <t>PARTNERS EQUITY RSP FUND</t>
  </si>
  <si>
    <t>BLACKSTONE BUILDING PRODUCTS INC</t>
  </si>
  <si>
    <t>BALANCED FOUNDATION FUND</t>
  </si>
  <si>
    <t>U.S. SMALLER COMPANIES FUND</t>
  </si>
  <si>
    <t>U.S. SMALL/MID CAP FUND</t>
  </si>
  <si>
    <t>TOTAL RETURN BOND FUND</t>
  </si>
  <si>
    <t>BLACKROCK EQUITY DIVIDEND VI FUND</t>
  </si>
  <si>
    <t>BLUE WATER BRIDGE DUTY FREE SHOP IN</t>
  </si>
  <si>
    <t>BARRIQUE WINE IMPORTS INC</t>
  </si>
  <si>
    <t>BARNES WHEATON  SURREY  LTD</t>
  </si>
  <si>
    <t>BAYCOAT</t>
  </si>
  <si>
    <t>BMO DOW JONES INDUSTRIAL AVERAGE HEDGED TO CAD INDEX ETF</t>
  </si>
  <si>
    <t>BMO MSCI EAFE HEDGED TO CAD INDEX ETF</t>
  </si>
  <si>
    <t>BMO MSCI EAFE INDEX ETF</t>
  </si>
  <si>
    <t>BMO EMERGING MARKETS BOND HEDGED TO CAD INDEX ETF</t>
  </si>
  <si>
    <t>BMO HIGH YIELD US CORPORATE BOND HEDGED TO CAD INDEX ETF</t>
  </si>
  <si>
    <t>BMO NASDAQ 100 EQUITY HEDGED TO CAD INDEX ETF</t>
  </si>
  <si>
    <t>BMO EQUAL WEIGHT US BANKS HEDGED TO CAD INDEX ETF</t>
  </si>
  <si>
    <t>BMO S&amp;P 500 HEDGED TO CAD INDEX ETF</t>
  </si>
  <si>
    <t>BMO EQUAL WEIGHT US HEALTH CARE HEDGED TO CAD INDEX ETF</t>
  </si>
  <si>
    <t>BMO COVERED CALL DOW JONES INDUSTRIAL AVERAGE HEDGED TO CAD ETF</t>
  </si>
  <si>
    <t>SIGNATURE CORPORATE BOND FUND</t>
  </si>
  <si>
    <t>MACKENZIE CUNDILL VALUE CLASS</t>
  </si>
  <si>
    <t>SELECT US EQUITY MANAGED FUND</t>
  </si>
  <si>
    <t>SELECT U.S. EQUITY MANAGED FUND</t>
  </si>
  <si>
    <t>CI SELECT CANADIAN EQUITY CORPORATE CLASS</t>
  </si>
  <si>
    <t>US EQUITY GROWTH CORPORATE CLASS</t>
  </si>
  <si>
    <t>US EQUITY SMALL CAP CORPORATE CLASS</t>
  </si>
  <si>
    <t>CANADIAN FIXED INCOME POOL DD</t>
  </si>
  <si>
    <t>CANADIAN FIXED INCOME POOL BB</t>
  </si>
  <si>
    <t>CANADIAN FIXED INCOME POOL</t>
  </si>
  <si>
    <t>CANADIAN FIXED INCOME POOL AA</t>
  </si>
  <si>
    <t>EMERGING MARKETS EQUITY POOL</t>
  </si>
  <si>
    <t>SIGNATURE GLOBAL SCIENCE AND TECHNOLOGY CORPORATE CLASS</t>
  </si>
  <si>
    <t>SIGNATURE DIVERSIFIED YIELD TRUST</t>
  </si>
  <si>
    <t>SIGNATURE GLOBAL INCOME AND GROWTH</t>
  </si>
  <si>
    <t>SELECT US EQUITY MANAGED CORP CLASS</t>
  </si>
  <si>
    <t>SELECT US EQUITY MANAGED CORPORATE CLASS</t>
  </si>
  <si>
    <t>SELECT US EQUITY MANAGED CORPORATE  FUND</t>
  </si>
  <si>
    <t>SELECT US EQUITY MANAGED CORPORATE CL</t>
  </si>
  <si>
    <t>SIGNATURE INCOME AND GROWTH FUND</t>
  </si>
  <si>
    <t>SIGNATURE GLOBAL DIVIDEND FUND</t>
  </si>
  <si>
    <t>CI GLOBAL FUND</t>
  </si>
  <si>
    <t>US EQUITY VALUE POOL</t>
  </si>
  <si>
    <t>US EQUITY GROWTH POOL</t>
  </si>
  <si>
    <t>REAL ESTATE INVESTMENT POOL</t>
  </si>
  <si>
    <t>US EQUITY SMALL CAP POOL</t>
  </si>
  <si>
    <t>CANADIAN CABLE SYSTEMS ALLIANCE INC</t>
  </si>
  <si>
    <t>CA CANADA COMPANY</t>
  </si>
  <si>
    <t>CAC ENTERPRISES GROUP INC</t>
  </si>
  <si>
    <t>MOSAIC FERTILIZER LLC</t>
  </si>
  <si>
    <t>4303474 CANADA INC</t>
  </si>
  <si>
    <t>CITY OF CALGARY (SHORT TERM)</t>
  </si>
  <si>
    <t>CITY OF CALGARY (LONG TERM)</t>
  </si>
  <si>
    <t>ALLIANCE REFRACTORIES LTD</t>
  </si>
  <si>
    <t>CAMUN CONSULTING CORPORATION</t>
  </si>
  <si>
    <t>CAM DISTRIBUTORS LTD.</t>
  </si>
  <si>
    <t>CANADIAN DAIRY COMMISSION</t>
  </si>
  <si>
    <t>CANCORE INDUSTRIES INC</t>
  </si>
  <si>
    <t>CANOE INVESTMENT LP</t>
  </si>
  <si>
    <t>2108804 ONTARIO LTD OA CANADA ANALY</t>
  </si>
  <si>
    <t>CAPELLA TELECOMMUNICATIONS INC O A 10506222 CANADA INC</t>
  </si>
  <si>
    <t>CALL2RECYCLE CANADA INC.</t>
  </si>
  <si>
    <t>CAREY LEASING LTD</t>
  </si>
  <si>
    <t>CARSON'S PLUMBING SUPPLIES LTD</t>
  </si>
  <si>
    <t>CARAT CANADA INC</t>
  </si>
  <si>
    <t>C.W. CARRY (1967) LTD.</t>
  </si>
  <si>
    <t>CATALYST MANAGEMENT SERVICES INC</t>
  </si>
  <si>
    <t>ATB FINANCIAL</t>
  </si>
  <si>
    <t>ALBERTA TREASURY BRANCHES</t>
  </si>
  <si>
    <t>ATCO LIMITED</t>
  </si>
  <si>
    <t>CARRINGTON CONTRACTING INC</t>
  </si>
  <si>
    <t>CANADIAN AIR TRANSPORT SECURITY AUTHORITY</t>
  </si>
  <si>
    <t>CANSHIP UGLAND LIMITED</t>
  </si>
  <si>
    <t>CELESTICA AUSTRIA GMBH</t>
  </si>
  <si>
    <t>GANTREX CANADA INC</t>
  </si>
  <si>
    <t>CASSELS BROCK AND BLACKWELL LLP</t>
  </si>
  <si>
    <t>CENTRAL BANK OF CHINA LTD</t>
  </si>
  <si>
    <t>CENTRAL BANK OF THE REPUBLIC OF CHINA (TAIWAN)</t>
  </si>
  <si>
    <t>CHINA BANKING CORPORATION</t>
  </si>
  <si>
    <t>CBC PENSION BOARD OF TRUSTEES ON BEHALF OF THE CANADIAN BROADCASTING CORPORATION PENSION PLAN</t>
  </si>
  <si>
    <t>TRUSTEES OF THE CBC PENSION BOARD</t>
  </si>
  <si>
    <t>BEAR CREEK MINING CORPORATION</t>
  </si>
  <si>
    <t>CANADIAN BUREAU FOR INTL EDUCATION</t>
  </si>
  <si>
    <t>HDFC BANK</t>
  </si>
  <si>
    <t>HDFC BANK LIMITED</t>
  </si>
  <si>
    <t>HDFC BANK LTD</t>
  </si>
  <si>
    <t>C B POWELL LIMITED</t>
  </si>
  <si>
    <t>BLACKPEARL RESOURCES INC</t>
  </si>
  <si>
    <t>BANCO DE LA REPUBLICA</t>
  </si>
  <si>
    <t>BRADLEE DISTRIBUTORS INC.</t>
  </si>
  <si>
    <t>BRADLEE DISTRIBUTORS INC</t>
  </si>
  <si>
    <t>CBRE PTY LTD.</t>
  </si>
  <si>
    <t>CANADIAN AGRI BLEND INC</t>
  </si>
  <si>
    <t>CATTLINC INC</t>
  </si>
  <si>
    <t>CRANE CARRIER CANADA LIMITED</t>
  </si>
  <si>
    <t>CONSOLIDATED CREDIT COUNSELING SERVICES OF CANADA, INC.</t>
  </si>
  <si>
    <t>CHRISTIAN CHILDRENS FUND</t>
  </si>
  <si>
    <t>CHRISTIAN CHILDRENS FUND OF CANADA</t>
  </si>
  <si>
    <t>CONCORD IDEA</t>
  </si>
  <si>
    <t>CHAMPION CANADA INTERNATIONAL ULC</t>
  </si>
  <si>
    <t>CC&amp;L US Q MARKET NEUTRAL ONSHORE FUND II</t>
  </si>
  <si>
    <t>CC&amp;L US Q Market Neutral Onshore Fund II</t>
  </si>
  <si>
    <t>CC&amp;L U.S. Q MARKET NEUTRAL ONSHORE FUND II (RBC DS - HEDGE)</t>
  </si>
  <si>
    <t>CC&amp;L U.S. Q MARKET NEUTRAL ONSHORE FUND II (JPM)</t>
  </si>
  <si>
    <t>CC&amp;L U.S. Q MARKET NEUTRAL ONSHORE FUND II (SCOTIA - GLOBAL)</t>
  </si>
  <si>
    <t>SCOTIA BALANCED OPPORTUNITIES FUND</t>
  </si>
  <si>
    <t>SCOTIA BALANCED OPPORTUNITIES FUND (HIGH INCOME)</t>
  </si>
  <si>
    <t>SCOTIA BALANCED OPPORTUNITIES FUND (CASH)</t>
  </si>
  <si>
    <t>SCOTIA BALANCED OPPORTUNITIES FUND (FI)</t>
  </si>
  <si>
    <t>VIA RAIL CANADA INC.</t>
  </si>
  <si>
    <t>CC&amp;L All Strategies Fund</t>
  </si>
  <si>
    <t>CC&amp;L ALL STRATEGIES FUND (FG-ALLST)</t>
  </si>
  <si>
    <t>CC&amp;L ALL STRATEGIES FUND (FI TD)</t>
  </si>
  <si>
    <t>CC AND L ALL STRATEGIES FUND (FIXED INCOME CS)</t>
  </si>
  <si>
    <t>CC&amp;L ALL STRATEGIES FUND (SCOTIA)</t>
  </si>
  <si>
    <t>CC&amp;L ALL STRATEGIES FUND</t>
  </si>
  <si>
    <t>CC&amp;L ALL STRATEGIES FUND (FI - RBC DS)</t>
  </si>
  <si>
    <t>CC&amp;L ALL STRATEGIES FUND (Q US - RBC DS)</t>
  </si>
  <si>
    <t>CC&amp;L ALL STRATEGIES FUND (FIXED INCOME) (JPM)</t>
  </si>
  <si>
    <t>CC&amp;L ALL STRATEGIES FUND (BETA)</t>
  </si>
  <si>
    <t>CC&amp;L ALL STRATEGIES FUND (FIXED INCOME)</t>
  </si>
  <si>
    <t>CC&amp;L ALL STRATEGIES FUND (Q FX HEDGE ACCOUNT)</t>
  </si>
  <si>
    <t>CC&amp;L ALL STRATEGIES FUND (SCOTIA-FUNDAMENTAL)</t>
  </si>
  <si>
    <t>CC&amp;L ALL STRATEGIES FUND (MMKT FIXED INCOME)</t>
  </si>
  <si>
    <t>CC&amp;L CANADIAN EQUITY FUND</t>
  </si>
  <si>
    <t>UNIVERSITY OF GUELPH</t>
  </si>
  <si>
    <t>CC&amp;L BOND FUND</t>
  </si>
  <si>
    <t>CC&amp;L LONG BOND FUND (FI QUANT) (315001)</t>
  </si>
  <si>
    <t>CC&amp;L LONG BOND FUND</t>
  </si>
  <si>
    <t>CC&amp;L DIVERSIFIED INCOME PORTFOLIO FUND (FI UNIV)</t>
  </si>
  <si>
    <t>STICHTING DEPOSITARY APG DEVELOPED MARKETS EQUITY POOL</t>
  </si>
  <si>
    <t>PACIFIC INVESTMENT MANAGEMENT COMPANY LLC, SOLELY IN ITS CAPACITY AS ADVISOR ON BEHALF OF STICHTING PENSIOENFONDS ABP INDEX LINKED BONDS</t>
  </si>
  <si>
    <t>CC&amp;L HIGH YIELD BOND FUND</t>
  </si>
  <si>
    <t>SCOTIA PRIVATE STRATEGIC BALANCED P</t>
  </si>
  <si>
    <t>STEADYHAND INCOME FUND (FI)</t>
  </si>
  <si>
    <t>STEADYHAND INCOME FUND</t>
  </si>
  <si>
    <t>CCL INDUSTRIES INC</t>
  </si>
  <si>
    <t>CCL INDUSTRIES INC.</t>
  </si>
  <si>
    <t>GOWLING LAFLEUR HENDERSON LLP</t>
  </si>
  <si>
    <t>CANCOG TECHNOLOGIES INC</t>
  </si>
  <si>
    <t>CI CANADIAN INVEST FUND CORP CLASS</t>
  </si>
  <si>
    <t>CONTINENTAL COSMETICS LTD</t>
  </si>
  <si>
    <t>CONCORD STEEL CENTRE LIMITED</t>
  </si>
  <si>
    <t>MACKENZIE CUNDILL CANADIAN SECURITY FUND</t>
  </si>
  <si>
    <t>THE CANADIAN GROUP</t>
  </si>
  <si>
    <t>WORLEY CANADA ULC</t>
  </si>
  <si>
    <t>CITYWIDE DOOR AND HARDWARE INC</t>
  </si>
  <si>
    <t>CUNDILL INTERNATIONAL COMPANY LTD</t>
  </si>
  <si>
    <t>CAL DIVE INTERNATIONAL INC GROUP</t>
  </si>
  <si>
    <t>HUSKY ENERGY INC</t>
  </si>
  <si>
    <t>HUSKY ENERGY INC.</t>
  </si>
  <si>
    <t>HUSKY ENERGY INC. GROUP</t>
  </si>
  <si>
    <t>CANDUCT INDUSTRIES LIMITED</t>
  </si>
  <si>
    <t>LUXFER CANADA LIMITED</t>
  </si>
  <si>
    <t>CEA TELECOM (1999) INC.</t>
  </si>
  <si>
    <t>CENTRAL BANK OF JORDAN</t>
  </si>
  <si>
    <t>BANCO CENTRAL DE CHILE</t>
  </si>
  <si>
    <t>CE DE CANDY COMPANY LIMITED</t>
  </si>
  <si>
    <t>CANADIAN EXPORT DEVELOPMENT INC.</t>
  </si>
  <si>
    <t>CAYMAN EMERGING MANAGER PLATFORM SPC FOR BRISTOL GATE US DIVIDEND GROWTH OFFSHORE FUND</t>
  </si>
  <si>
    <t>MARX METALS LIMITED</t>
  </si>
  <si>
    <t>CELESTICA (ROMANIA) SRL</t>
  </si>
  <si>
    <t>CENGEA SOLUTIONS INC</t>
  </si>
  <si>
    <t>CANADIAN ENERGY SERVICES LP</t>
  </si>
  <si>
    <t>VENTURE GLOBAL PLAQUEMINES LNG LLC</t>
  </si>
  <si>
    <t>FACTOR GAS LIQUIDS INC</t>
  </si>
  <si>
    <t>FACTOR GAS LIQUIDS INC.</t>
  </si>
  <si>
    <t>FORTISALBERTA INC.</t>
  </si>
  <si>
    <t>CFT CORPORATION</t>
  </si>
  <si>
    <t>G.B. BUSINESS ENTERPRISES LTD.</t>
  </si>
  <si>
    <t>GB BUSINESS ENTERPRISES LTD</t>
  </si>
  <si>
    <t>THE GEAR CENTRE LTD</t>
  </si>
  <si>
    <t>6086071 CANADA INC O/A GENESIS</t>
  </si>
  <si>
    <t>GLOBAL THERMOELECTRIC INC</t>
  </si>
  <si>
    <t>COMPUTERSHARE TRUST COMPANY OF CANADA</t>
  </si>
  <si>
    <t>CHECKER INDUSTRIAL LTD.</t>
  </si>
  <si>
    <t>CHURCH AND DWIGHT CANADA CORP</t>
  </si>
  <si>
    <t>CHEMETICS INC.</t>
  </si>
  <si>
    <t>CHI COMMODITIES HANDLERS INC.</t>
  </si>
  <si>
    <t>CHRISTIAN JOURNEYS AND TOURS</t>
  </si>
  <si>
    <t>CHANOIX TRADING LTD</t>
  </si>
  <si>
    <t>CHUBB INSURANCE COMPANY OF CANADA</t>
  </si>
  <si>
    <t>CI CANADIAN INVESTMENT FUND</t>
  </si>
  <si>
    <t>BLACKROCK ENHANCED CAPITAL INCOME F</t>
  </si>
  <si>
    <t>CIMSOFT CORPORATION INC.</t>
  </si>
  <si>
    <t>INTERCITY PACKER LTD</t>
  </si>
  <si>
    <t>CIRCLE 5 TOOL AND MOLD INC</t>
  </si>
  <si>
    <t>CIRCLE 5 TOOL AND MOLD LP</t>
  </si>
  <si>
    <t>INTERNATIONAL RAW MATERIALS</t>
  </si>
  <si>
    <t>CELESTICA AG</t>
  </si>
  <si>
    <t>BANCO DEL ESTADO DE CHILE</t>
  </si>
  <si>
    <t>BANCO DEL ESTADO DE  CHILE</t>
  </si>
  <si>
    <t>CANADA LIFE CAPITAL CORPORATION INC</t>
  </si>
  <si>
    <t>CONTINENTAL DECON INC</t>
  </si>
  <si>
    <t>CLAIRVEST EQUITY PARTNERS III LIMITED PARTNERSHIP</t>
  </si>
  <si>
    <t>BROX EQUITY LTD</t>
  </si>
  <si>
    <t>CLAIRVEST GROUP INC.</t>
  </si>
  <si>
    <t>CELESTICA LLC - MCALLEN</t>
  </si>
  <si>
    <t>CELESTICA LLC</t>
  </si>
  <si>
    <t>CAPSTONE LOGISTIC SERVICES CAN LTD</t>
  </si>
  <si>
    <t>C AND L TUBE INC</t>
  </si>
  <si>
    <t>CRITICAL MASS INC.</t>
  </si>
  <si>
    <t>MEGASYS COMPUTER TECHNOLOGIES</t>
  </si>
  <si>
    <t>MOLY COP CANADA PARTNERSHIP</t>
  </si>
  <si>
    <t>899343 ALBERTA LTD</t>
  </si>
  <si>
    <t>THE CANADIAN MEDICAL PROTECTIVE ASSOCIATION TF</t>
  </si>
  <si>
    <t>THE CANADIAN MEDICAL PROTECTIVE ASSOCIATION</t>
  </si>
  <si>
    <t>THE CANADIAN MEDICAL PROTECTIVE ASSOCIATION - T165G</t>
  </si>
  <si>
    <t>THE CANADIAN MEDICAL PROTECTIVE ASSOCIATION - T168</t>
  </si>
  <si>
    <t>THE CANADIAN MEDICAL PROTECTIVE ASSOCIATION 2</t>
  </si>
  <si>
    <t>CITY OF MONTREAL PENSION PLAN</t>
  </si>
  <si>
    <t>CALGARY METAL RECYCLING INC</t>
  </si>
  <si>
    <t>CALGARY METAL RECYCLING LTD</t>
  </si>
  <si>
    <t>COMTECH GROUP INC</t>
  </si>
  <si>
    <t>CODE MYSTICS INC</t>
  </si>
  <si>
    <t>NORTH AMERICAN CONSTRUCTION GROUP</t>
  </si>
  <si>
    <t>NOVA CHEMICALS CORPORATION</t>
  </si>
  <si>
    <t>CONSULNET COMPUTING INC</t>
  </si>
  <si>
    <t>172530 CANADA INC</t>
  </si>
  <si>
    <t>COMFORT COVE FARMS LIMITED</t>
  </si>
  <si>
    <t>CONSTRUCTION DISTRIBUTION AND SUPPLY COMPANY INC</t>
  </si>
  <si>
    <t>CDS ACQUISITION CO. LIMITED</t>
  </si>
  <si>
    <t>CONAGRA FOODS MEXICO, S.A. DE C.V.</t>
  </si>
  <si>
    <t>CONAGRA FOODS MEXICO SA DE CV</t>
  </si>
  <si>
    <t>CIRCLE OF HOME CARE SERV(TORONTO)</t>
  </si>
  <si>
    <t>CO AUTO COOPERATIVE INC</t>
  </si>
  <si>
    <t>COLLISON-GOLL LIMITED</t>
  </si>
  <si>
    <t>COMBAT INDL BATTERIES AND CHARGERS</t>
  </si>
  <si>
    <t>CONAGRA BRANDS CANADA INC.</t>
  </si>
  <si>
    <t>COOPER STANDARD AUTOMOTIVE CDA LTD</t>
  </si>
  <si>
    <t>CORANIT 1981 INC</t>
  </si>
  <si>
    <t>SCHOLLE IPN CANADA LTD</t>
  </si>
  <si>
    <t>COLLWEST GRAIN LTD</t>
  </si>
  <si>
    <t>GEOSPACE TECHNOLOGIES CANADA INC</t>
  </si>
  <si>
    <t>COMPACTION CREDIT LTD</t>
  </si>
  <si>
    <t>COMPANIA PANAMENA DE AVIACION S A</t>
  </si>
  <si>
    <t>PERLICH BROTHERS AUCTION MARKET LTD.</t>
  </si>
  <si>
    <t>CAPITAL SPORTS HOLDINGS INC</t>
  </si>
  <si>
    <t>DEFINED BENEFIT OPTION OF THE CANADIAN PACIFIC RAILWAY COMPANY PENSION PLAN</t>
  </si>
  <si>
    <t>PRECISION DRILLING CORPORATION</t>
  </si>
  <si>
    <t>PRO WESTERN PLASTICS LTD</t>
  </si>
  <si>
    <t>CONOCOPHILLIPS TREASURY LTD</t>
  </si>
  <si>
    <t>BEAZLEY CANADA LIMITED</t>
  </si>
  <si>
    <t>WENZEL INTERNATIONAL INC</t>
  </si>
  <si>
    <t>CORPORATE ASSETS INC</t>
  </si>
  <si>
    <t>BANCO CENTRAL DE RESERVA DEL PERU.</t>
  </si>
  <si>
    <t>BANCO CENTRAL DE RESERVA DEL PERU</t>
  </si>
  <si>
    <t>CHARTRIGHT AIR INC</t>
  </si>
  <si>
    <t>CARAVAN LOGISTICS INC.</t>
  </si>
  <si>
    <t>CARL ZEISS VISION INC</t>
  </si>
  <si>
    <t>SANJEL CORPORATION</t>
  </si>
  <si>
    <t>COMPUTER SCIENCES CANADA INC</t>
  </si>
  <si>
    <t>STULLER SERVICE CENTERS CANADA COMP</t>
  </si>
  <si>
    <t>SUNCOR ENERGY MARKETING INC.</t>
  </si>
  <si>
    <t>SUNORA FOODS LTD</t>
  </si>
  <si>
    <t>CON-SYST-INT GROUP INC</t>
  </si>
  <si>
    <t>COMP SIT INC</t>
  </si>
  <si>
    <t>CSJ SYSTEMS CONSULTING INC</t>
  </si>
  <si>
    <t>CSN EUROPE LDA</t>
  </si>
  <si>
    <t>CSR COSMETIC SOLUTIONS INC.</t>
  </si>
  <si>
    <t>INTEC BILLING CANADA LIMITED</t>
  </si>
  <si>
    <t>COMMERCIAL SPRING AND TOOL COMP LTD</t>
  </si>
  <si>
    <t>CORNERSTONE GROUP OF COMPANIES LTD</t>
  </si>
  <si>
    <t>STAHL PETERBILT INC.</t>
  </si>
  <si>
    <t>CONCORD STEEL TRADING INC</t>
  </si>
  <si>
    <t>CSX TRANSPORTATION INC</t>
  </si>
  <si>
    <t>COAST TO COAST NEWSSTAND SERVICES PARTNERSHIP</t>
  </si>
  <si>
    <t>CTV SPECIALTY TELEVISION INC.</t>
  </si>
  <si>
    <t>TESCO CORPORATION</t>
  </si>
  <si>
    <t>ITHACA ENERGY INC</t>
  </si>
  <si>
    <t>CENTURY HOME FASHIONS INC.</t>
  </si>
  <si>
    <t>CAM TRAN CO. LTD.</t>
  </si>
  <si>
    <t>CAM TRAN CO LTD</t>
  </si>
  <si>
    <t>TECH STAR FLUID SYSTEMS INC</t>
  </si>
  <si>
    <t>UNITED SAFETY INTERNATIONAL LTD.</t>
  </si>
  <si>
    <t>CELESTICA VALENCIA S.A.</t>
  </si>
  <si>
    <t>VERMILION ENERGY INC</t>
  </si>
  <si>
    <t>VERMILION ENERGY INC.</t>
  </si>
  <si>
    <t>COSTCO WHOLESALE CANADA LTD.</t>
  </si>
  <si>
    <t>CANADA WIDE PARTS DISTRIBUTORS LTD</t>
  </si>
  <si>
    <t>WESTJET AIRLINES LIMITED</t>
  </si>
  <si>
    <t>WASTE MANAGEMENT OF CANADA CORPORATION</t>
  </si>
  <si>
    <t>WESTJET VACATIONS INC.</t>
  </si>
  <si>
    <t>ZIRCO 1989 LTD</t>
  </si>
  <si>
    <t>DAMON INDUSTRIES (CANADA) LTD</t>
  </si>
  <si>
    <t>119155 CANADA LIMITED</t>
  </si>
  <si>
    <t>DAYMAK INC.</t>
  </si>
  <si>
    <t>DURISOL BUILDING SYSTEMS INC</t>
  </si>
  <si>
    <t>DAIMLER MEXICO SA DE CV</t>
  </si>
  <si>
    <t>DAIMLER MEXICO S.A. DE C.V.</t>
  </si>
  <si>
    <t>DISCOVERY COMMUNICATIONS EUROPE LTD</t>
  </si>
  <si>
    <t>DIRECT COIL INC</t>
  </si>
  <si>
    <t>DIRECT COIL INC.</t>
  </si>
  <si>
    <t>DELS PASTRY LTD.</t>
  </si>
  <si>
    <t>SOUND UNITED CANADA INC</t>
  </si>
  <si>
    <t>DENIM BANK INC</t>
  </si>
  <si>
    <t>DG GLOBAL INC</t>
  </si>
  <si>
    <t>DYNACOR GOLD MINES INC</t>
  </si>
  <si>
    <t>DE LA SALLE COLLEGE OAKLANDS</t>
  </si>
  <si>
    <t>DARTMOUTH METALS INC</t>
  </si>
  <si>
    <t>DYNAMIX PROFESSIONAL VIDEO SYS INC</t>
  </si>
  <si>
    <t>DAIMLER AG</t>
  </si>
  <si>
    <t>DAIMLER AG GROUP</t>
  </si>
  <si>
    <t>ARCELORMITTAL DOFASCO G. P.</t>
  </si>
  <si>
    <t>DOKA CANADA LTD LTEE</t>
  </si>
  <si>
    <t>DECISION ONE CORPORATION</t>
  </si>
  <si>
    <t>THE DONNEE GROUP</t>
  </si>
  <si>
    <t>DAH SING BANK, LIMITED</t>
  </si>
  <si>
    <t>D AND S CALVER LUMBER LTD</t>
  </si>
  <si>
    <t>DISCOUNT TRUCK PARTS LTD</t>
  </si>
  <si>
    <t>SCOTIA INCOME ADVANTAGE FUND</t>
  </si>
  <si>
    <t>SCOTIA ADVANTAGE INCOME FUND</t>
  </si>
  <si>
    <t>DURASYSTEMS BARRIERS INC</t>
  </si>
  <si>
    <t>DUNDEE CORPORATION</t>
  </si>
  <si>
    <t>DUTCHMASTER NURSERIES</t>
  </si>
  <si>
    <t>EASSONS TRANSPORT LTD</t>
  </si>
  <si>
    <t>EASYJET PLC</t>
  </si>
  <si>
    <t>ECKEL INDUSTRIES OF CANADA LTD</t>
  </si>
  <si>
    <t>EDMONTON SCHOOL DISTRICT NO 7</t>
  </si>
  <si>
    <t>NBIMC EAFE EQUITY INDEX FUND PENSION</t>
  </si>
  <si>
    <t>NBIMC EAFE EQUITY INDEX FUND CLASS N</t>
  </si>
  <si>
    <t>CHANDCO MANUFACTURING INC</t>
  </si>
  <si>
    <t>E-L FINANCIAL CORPORATION LIMITED</t>
  </si>
  <si>
    <t>E L FINANCIAL CORPORATION LIMITED</t>
  </si>
  <si>
    <t>EASTGATE FORD SALES  SERVICE 82 CO</t>
  </si>
  <si>
    <t>EFSTONSCIENCE INC</t>
  </si>
  <si>
    <t>BLACKROCK ENHANCED GOVERNMENT FUND</t>
  </si>
  <si>
    <t>ELECTRO CABLES INC</t>
  </si>
  <si>
    <t>ELCOMA METAL MANUFACTURING LTD</t>
  </si>
  <si>
    <t>EPOKE NORTH AMERICA INC</t>
  </si>
  <si>
    <t>ENTERRA HOLDINGS LTD</t>
  </si>
  <si>
    <t>ENSYN GROUP CANADA INC</t>
  </si>
  <si>
    <t>EOG INTERNATIONAL COMPANY</t>
  </si>
  <si>
    <t>EOG CANADA OIL AND GAS ULC</t>
  </si>
  <si>
    <t>EQUILIBRIUM FOODS</t>
  </si>
  <si>
    <t>EHP GLOBAL MULTI-STRATEGY FUND</t>
  </si>
  <si>
    <t>EDGEHILL PARTNERS</t>
  </si>
  <si>
    <t>EQUUS FABRICS INCORPORATED</t>
  </si>
  <si>
    <t>ENTREPRISES SHIPPAGAN LTEE</t>
  </si>
  <si>
    <t>ETHAN ALLEN CANADA INC</t>
  </si>
  <si>
    <t>ENVIRO TEX PRODUCTS INC. FX EXPRESS</t>
  </si>
  <si>
    <t>ELECTRA TECH MANUFACTURING INC</t>
  </si>
  <si>
    <t>EUROPAUTO</t>
  </si>
  <si>
    <t>EASY WAY LTD</t>
  </si>
  <si>
    <t>EAST WEST GOLD CORPORATION</t>
  </si>
  <si>
    <t>ESSEX WELD SOLUTIONS LTD</t>
  </si>
  <si>
    <t>ELEMENT MATERIALS TECHNOLOGY CANADA INC.</t>
  </si>
  <si>
    <t>EXCELLON RESOURCES INC</t>
  </si>
  <si>
    <t>NAVISTAR INC</t>
  </si>
  <si>
    <t>FAZIO FOODS INTERNATIONAL LTD.</t>
  </si>
  <si>
    <t>FAZIO FOODS INTERNATIONAL</t>
  </si>
  <si>
    <t>FORTISBC INC.</t>
  </si>
  <si>
    <t>FABRIS INC</t>
  </si>
  <si>
    <t>FEDNAV INTERNATIONAL LTD</t>
  </si>
  <si>
    <t>FEDERAL EXPRESS CANADA LTD.</t>
  </si>
  <si>
    <t>FEDNAV (BERMUDA) LTD.</t>
  </si>
  <si>
    <t>FERNO CANADA INC</t>
  </si>
  <si>
    <t>FLUKE ELECTRONICS CANADA LP</t>
  </si>
  <si>
    <t>FEDEX FREIGHT CANADA CORP.</t>
  </si>
  <si>
    <t>FEDEX GROUND PACKAGE SYSTEM LTD.</t>
  </si>
  <si>
    <t>FEDNAV LIMITED GROUP</t>
  </si>
  <si>
    <t>FEDNAV LIMITED</t>
  </si>
  <si>
    <t>RUSSEL METALS INC.</t>
  </si>
  <si>
    <t>FUTURE ELECTRONICS INC.</t>
  </si>
  <si>
    <t>FELLFAB LIMITED</t>
  </si>
  <si>
    <t>THE FERN GROUP LIMITED</t>
  </si>
  <si>
    <t>FAIRWAY SPECIALTY VEHICLES LTD</t>
  </si>
  <si>
    <t>FLAIR FLEXIBLE PACKAGING (CANADA) CORPORATION</t>
  </si>
  <si>
    <t>FORMULA GROWTH GLOBAL OPPORTUNITIES FUND</t>
  </si>
  <si>
    <t>FORMGLAS HOLDINGS INC</t>
  </si>
  <si>
    <t>FORMGLAS PRODUCTS LTD</t>
  </si>
  <si>
    <t>FIBREGLASS SOLUTIONS INC</t>
  </si>
  <si>
    <t>FIBREGLASS SOLUTIONS INC.</t>
  </si>
  <si>
    <t>LEVI STRAUSS INTERNATIONAL GROUP FINANCE COORDINATION SERVICES BVBA.</t>
  </si>
  <si>
    <t>FRONTLINE CARRIER SYSTEMS INC</t>
  </si>
  <si>
    <t>FLEETSTOP TRAILERS LTD</t>
  </si>
  <si>
    <t>FIREMASTER USA INC</t>
  </si>
  <si>
    <t>MAGNA MUTUAL FUNDS INC</t>
  </si>
  <si>
    <t>743809 ONTARIO INC DBA FOCH LEASING</t>
  </si>
  <si>
    <t>FOREST CITY CASTINGS INC.</t>
  </si>
  <si>
    <t>FORSYS METALS CORP</t>
  </si>
  <si>
    <t>FACTORY OUTLET TRAILERS INC</t>
  </si>
  <si>
    <t>PRIMA POWER CANADA,LTD.</t>
  </si>
  <si>
    <t>FABCO PLASTICS WHOLESALE ONT LTD</t>
  </si>
  <si>
    <t>FRANTISI INC</t>
  </si>
  <si>
    <t>FRAM BUILDING GROUP</t>
  </si>
  <si>
    <t>FORTIS INC</t>
  </si>
  <si>
    <t>FORTIS INC.</t>
  </si>
  <si>
    <t>FRANTISI USA INC</t>
  </si>
  <si>
    <t>FRY FAMILY FOUNDATION</t>
  </si>
  <si>
    <t>FRESH START FOODS CANADA LTD</t>
  </si>
  <si>
    <t>FORSTAR TRADING INC</t>
  </si>
  <si>
    <t>FTI CONSULTING CANADA ULC</t>
  </si>
  <si>
    <t>FTI CONSULTING, INC</t>
  </si>
  <si>
    <t>FTI CONSULTING INC</t>
  </si>
  <si>
    <t>FOOTPRINT PRODUCTS LIMITED</t>
  </si>
  <si>
    <t>FEATHER INDUSTRIES CANADA LTD</t>
  </si>
  <si>
    <t>4228405 CANADA INC</t>
  </si>
  <si>
    <t>IG FI US LARGE CAP EQUITY FUND</t>
  </si>
  <si>
    <t>FORWEST WOOD SPECIALITIES INC</t>
  </si>
  <si>
    <t>CUPE EMPLOYEES PENSION PLAN</t>
  </si>
  <si>
    <t>ALBERTA INVESTMENT MANAGEMENT CORPORATION (AIMCo) SDZD</t>
  </si>
  <si>
    <t>ALBERTA INVESTMENT MANAGEMENT CORPORATION - WCB CURRENCY OVERLAY</t>
  </si>
  <si>
    <t>ALBERTA INVESTMENT MANAGEMENT CORPORATION</t>
  </si>
  <si>
    <t>Alberta Investment Management Co</t>
  </si>
  <si>
    <t>ALBERTA INVESTMENT MANAGEMENT CORPORATION (AIMCo) DZCB</t>
  </si>
  <si>
    <t>WCB INFRASTRUCTURE</t>
  </si>
  <si>
    <t>ALBERTA INVESTMENT MANAGEMENT CORPORATION (AIMCo) DZCA</t>
  </si>
  <si>
    <t>ALBERTA INVESTMENT MANAGEMENT COMPANY</t>
  </si>
  <si>
    <t>ALBERTA INVESTMENT MANAGEMENT CORPORATION (AIMCo) SDZE</t>
  </si>
  <si>
    <t>ALBERTA INVESTMENT MANAGEMENT CORPORATION (AIMCO)</t>
  </si>
  <si>
    <t>UNIVERSAL FIXED INCOME POOL CDEA</t>
  </si>
  <si>
    <t>AIMCO BLOCK TRADE CDEA</t>
  </si>
  <si>
    <t>ALBERTA INVESTMENT MANAGEMENT CORPORATION - ATRF INFRASTRUCTURE</t>
  </si>
  <si>
    <t>ALBERTA INVESTMENT MANAGEMENT CORPORATION - ATRF REAL ESTATE</t>
  </si>
  <si>
    <t>HALIFAX REGIONAL MUNICIPALITY</t>
  </si>
  <si>
    <t>HIGHVIEW GLOBAL DIVIDEND- BROPHY</t>
  </si>
  <si>
    <t>GUARDIAN HIGH YIELD BOND FUND</t>
  </si>
  <si>
    <t>GUARDIAN CANADIAN BOND FUND</t>
  </si>
  <si>
    <t>GUARDIAN INTERNATIONAL EQUITY FUND</t>
  </si>
  <si>
    <t>GUARDIAN GLOBAL EQUITY FUND</t>
  </si>
  <si>
    <t>SCOTIA PRIVATE HIGH YIELD INCOME POOL</t>
  </si>
  <si>
    <t>BRUCE POWER PENSION PLAN</t>
  </si>
  <si>
    <t>GAS ANALYTICAL SYSTEMS (B.C.) LTD</t>
  </si>
  <si>
    <t>GLOBAL ATOMIC FUELS CORPORATION</t>
  </si>
  <si>
    <t>GAS ANALYTICAL SYSTEMS LTD</t>
  </si>
  <si>
    <t>GASTOPS LTD</t>
  </si>
  <si>
    <t>GAY LEA FOODS CO-OPERATIVE LTD.</t>
  </si>
  <si>
    <t>GAY LEA FOODS CO-OPERATIVE LIMITED</t>
  </si>
  <si>
    <t>GWL BALANCED FUND 9.11M</t>
  </si>
  <si>
    <t>GEORGE BROWN COLLEGE OF APPLIED ARTS &amp; TECHNOLOGY</t>
  </si>
  <si>
    <t>THE GEORGE BROWN COLLEGE OF APPLIED ARTS AND TECHNOLOGY</t>
  </si>
  <si>
    <t>GEARBULK SHIPOWNING LTD</t>
  </si>
  <si>
    <t>GRUPO CONDUMEX, S.A. DE C.V.</t>
  </si>
  <si>
    <t>THE GARDEN CENTRE GROUP CO-OPERATIVE CORP.</t>
  </si>
  <si>
    <t>1832 AM ON  BEHALF OF DWM SECURITIES INC</t>
  </si>
  <si>
    <t>GERARD DANIEL WORLDWIDE LTD.</t>
  </si>
  <si>
    <t>GWL DIVIDEND FUND 9.10MX</t>
  </si>
  <si>
    <t>GENESIS DEVELOPMENT CORP LTD</t>
  </si>
  <si>
    <t>GEO FOUNDATIONS CONTRACTORS INC</t>
  </si>
  <si>
    <t>GESCO LIMITED PARTNERSHIP</t>
  </si>
  <si>
    <t>GENESIS FINANCIAL DEVELOPMENT INC</t>
  </si>
  <si>
    <t>GAVILON FERTILIZER LLC</t>
  </si>
  <si>
    <t>GENESIS FINANCIAL PRODUCTS INC</t>
  </si>
  <si>
    <t>GWL GROWTH &amp; INCOME FUND (GRINCM)</t>
  </si>
  <si>
    <t>GWL GROWTH AND INCOME FUND (6.05)</t>
  </si>
  <si>
    <t>GWL GROWTH &amp; INCOME FUND (6.05M)</t>
  </si>
  <si>
    <t>GAVILON GRAIN LLC</t>
  </si>
  <si>
    <t>GREENHAWK INC TA GREENHAWK HARNGSS</t>
  </si>
  <si>
    <t>GRAY TOOLS CANADA INC</t>
  </si>
  <si>
    <t>GIVEX CANADA CORP</t>
  </si>
  <si>
    <t>G.J. CAHILL &amp; COMPANY (1979) LIMITED</t>
  </si>
  <si>
    <t>GKD INDUSTRIES LTD</t>
  </si>
  <si>
    <t>GRACEKENNEDY ONTARIO INC</t>
  </si>
  <si>
    <t>G K INDUSTRIES LTD</t>
  </si>
  <si>
    <t>GLOBAL COURSEWARE INC</t>
  </si>
  <si>
    <t>GOLDER ASSOCIATES LTD</t>
  </si>
  <si>
    <t>TOREX GOLD RESOURCES INC</t>
  </si>
  <si>
    <t>AGF CANADIAN MONEY MARKET FUND</t>
  </si>
  <si>
    <t>GLOBAL MANUFACTURING CANADA</t>
  </si>
  <si>
    <t>GENERAL MOTORS TREASURY CENTER LLC</t>
  </si>
  <si>
    <t>GENERAL MOTORS TREASURY CENTRE LLC</t>
  </si>
  <si>
    <t>GENERAL MOTORS TREASURY CENTER, LLC</t>
  </si>
  <si>
    <t>GN PLASTICS COMPANY LIMITED</t>
  </si>
  <si>
    <t>GRAPHIC PRINTING ROLLER LTD</t>
  </si>
  <si>
    <t>GRAND NATIONAL APPAREL INC.</t>
  </si>
  <si>
    <t>GRIPPED PUBLISHING INC</t>
  </si>
  <si>
    <t>GEARS AND REARS LTD</t>
  </si>
  <si>
    <t>GREEN SOILS INC</t>
  </si>
  <si>
    <t>GRANT THORNTON LLP</t>
  </si>
  <si>
    <t>GIC PRIVATE LIMITED GIC-H</t>
  </si>
  <si>
    <t>GIC PRIVATE LIMITED GIC-C</t>
  </si>
  <si>
    <t>GIC PRIVATE LIMITED</t>
  </si>
  <si>
    <t>GREAT SANDHILLS TERMINAL MARKETING CENTRE LTD</t>
  </si>
  <si>
    <t>GUARDIAN STRATEGIC INCOME FUND</t>
  </si>
  <si>
    <t>GUNTER TRANSPORTATION LTD</t>
  </si>
  <si>
    <t>IGT GLOBAL SERVICES LIMITED</t>
  </si>
  <si>
    <t>GUARA B.V.</t>
  </si>
  <si>
    <t>GUNNEBO CANADA INC</t>
  </si>
  <si>
    <t>GOLDEN VALLEY FARMS INC</t>
  </si>
  <si>
    <t>GURVEY &amp; BERRY CO. INC.</t>
  </si>
  <si>
    <t>ATLANTIC ELECTRONICS LIMITED</t>
  </si>
  <si>
    <t>HASBRO EUROPEAN TRADING B.V.</t>
  </si>
  <si>
    <t>HAGGAR CANADA CO</t>
  </si>
  <si>
    <t>HASBRO INTERNATIONAL HOLDINGS B.V.</t>
  </si>
  <si>
    <t>CANADA HAND DRYERS</t>
  </si>
  <si>
    <t>HANNIGAN HONEY INC</t>
  </si>
  <si>
    <t>THE WINDSOR AND HANTSPORT RAILWAY</t>
  </si>
  <si>
    <t>ATLANTIC POTATO DISTRIBUTORS LTD</t>
  </si>
  <si>
    <t>MARWOOD LTD</t>
  </si>
  <si>
    <t>AUSTRALIAN REIT INCOME FUND</t>
  </si>
  <si>
    <t>HASBRO DEUTSCHLAND GMBH</t>
  </si>
  <si>
    <t>HAPPY ADVENTURE SEA PRODUCTS 1991 LIMITED</t>
  </si>
  <si>
    <t>ATLANTIC INDUSTRIES LIMITED</t>
  </si>
  <si>
    <t>APPLE VALLEY FOODS INC</t>
  </si>
  <si>
    <t>ANNAPOLIS VALLEY PEAT MOSS COMPANY</t>
  </si>
  <si>
    <t>ANNAPOLIS VALLEY PEAT MOSS COMPANY LTD</t>
  </si>
  <si>
    <t>HAYCORE CANADA INC</t>
  </si>
  <si>
    <t>BRENNAN FARMS LTD</t>
  </si>
  <si>
    <t>HBI INTERNATIONAL HOLDINGS SARL</t>
  </si>
  <si>
    <t>HUDBAY MINERALS INC</t>
  </si>
  <si>
    <t>HUDBAY MINERALS INC., MANITOBA BUSINESS UNIT</t>
  </si>
  <si>
    <t>HUDBAY MINERALS INC.</t>
  </si>
  <si>
    <t>BLUE OCEAN CONTACT CENTERS INC.</t>
  </si>
  <si>
    <t>HASBRO CANADA CORPORATION</t>
  </si>
  <si>
    <t>CAVENDISH AGRI SERVICES LIMITED</t>
  </si>
  <si>
    <t>HSBC CANADIAN BALANCED FUND</t>
  </si>
  <si>
    <t>HSBC CANADIAN BOND POOLED FUND</t>
  </si>
  <si>
    <t>COASTAL LABRADOR FISHERIES</t>
  </si>
  <si>
    <t>CROSBY MOLASSES COMPANY LIMITED</t>
  </si>
  <si>
    <t>COMEAU'S SEA FOODS LIMITED</t>
  </si>
  <si>
    <t>COMEAUS SEA FOODS LIMITED</t>
  </si>
  <si>
    <t>HANESBRANDS CANADA NS ULC</t>
  </si>
  <si>
    <t>COASTAL METALS LIMITED</t>
  </si>
  <si>
    <t>NBIMC CANADIAN REAL ESTATE FUND</t>
  </si>
  <si>
    <t>DAIKA IMPORTS AND EXPORT LTD</t>
  </si>
  <si>
    <t>ERDENE RESOURCE DEVELOPMENT CORPORA</t>
  </si>
  <si>
    <t>ENVIROSEAL ENGINEERING PRODUCTS LTD</t>
  </si>
  <si>
    <t>FOGO ISLAND CO OPERATIVE SOCIETY LT</t>
  </si>
  <si>
    <t>FOGO ISLAND CO-OPERATIVE SOCIETY LIMITED</t>
  </si>
  <si>
    <t>HIGHLAND FOUNDRY LTD</t>
  </si>
  <si>
    <t>SNOKIST LTD</t>
  </si>
  <si>
    <t>FILTRATION PLUS LIMITED</t>
  </si>
  <si>
    <t>HSBC GLOBAL ASSET MANAGEMENT (CANADA)  LTD</t>
  </si>
  <si>
    <t>H J CRABBE AND SONS LTD.</t>
  </si>
  <si>
    <t>ICEWATER SEAFOODS INC.</t>
  </si>
  <si>
    <t>NBIMC INFLATION LINKED SECURITIES FUND</t>
  </si>
  <si>
    <t>NBIMC INFLATION LINKED SECURITES FUND</t>
  </si>
  <si>
    <t>HEALTHCARE INSURANCE RECIPROCAL OF CANADA</t>
  </si>
  <si>
    <t>HITACHI CONST MACHINERY CDA LTD</t>
  </si>
  <si>
    <t>HONG LEONG BANK BERHAD</t>
  </si>
  <si>
    <t>Hong Leong Bank Berhad</t>
  </si>
  <si>
    <t>MARID INDUSTRIES LIMITED</t>
  </si>
  <si>
    <t>MARITIME ELECTRIC COMPANY, LIMITED</t>
  </si>
  <si>
    <t>HARMONY MONEY MARKET POOL</t>
  </si>
  <si>
    <t>HSBC MONTHLY INCOME FUND</t>
  </si>
  <si>
    <t>NBIMC MONEY MARKET FUND</t>
  </si>
  <si>
    <t>MARTIN VISSER AND SONS</t>
  </si>
  <si>
    <t>NBIMC NOMINAL BOND FUND</t>
  </si>
  <si>
    <t>NEW BRUNSWICK LIQUOR CORPORATION</t>
  </si>
  <si>
    <t>NEWFOUND RESOURCES</t>
  </si>
  <si>
    <t>HORIZON NORTH LOGISTICS INC</t>
  </si>
  <si>
    <t>OCEAN CHOICE INTERNATIONAL</t>
  </si>
  <si>
    <t>1727560 ONTARIO INC AO HOLMES AGRO</t>
  </si>
  <si>
    <t>1727560 ONTARIO INC. O/A HOMES AGRO LTD</t>
  </si>
  <si>
    <t>HORN PETROLEUM CORPORATION</t>
  </si>
  <si>
    <t>NBIMC PRIVATE EQUITY FUND</t>
  </si>
  <si>
    <t>P JANES AND SONS LTD</t>
  </si>
  <si>
    <t>PRIME MATERIAL HANDLING EQUIPMENT LIMITED</t>
  </si>
  <si>
    <t>PERFECT PASS CONTROL SYSTEMS INC</t>
  </si>
  <si>
    <t>NBIMC QUANTITATIVE STRATEGIES FUND CLASS N</t>
  </si>
  <si>
    <t>NBIMC QUANTITATIVE STRATEGIES FUND</t>
  </si>
  <si>
    <t>HARCO PUBLISHING INC</t>
  </si>
  <si>
    <t>RKO STEEL LIMITED</t>
  </si>
  <si>
    <t>HSBC CANADIAN BOND FUND</t>
  </si>
  <si>
    <t>HERZOG SERVICE OF CANADA COMPANY LT</t>
  </si>
  <si>
    <t>HSBC MORTGAGE FUND</t>
  </si>
  <si>
    <t>STRICTLY SALES AND SERVICE INC</t>
  </si>
  <si>
    <t>HWATAI BANK</t>
  </si>
  <si>
    <t>HAMILTON TIGER CATS FOOTBALL CLUB</t>
  </si>
  <si>
    <t>HT PRODUCTIONS INC. O/A WHITEBIRD</t>
  </si>
  <si>
    <t>HSBC GLOBAL HIGH YIELD BOND POOLED FUND</t>
  </si>
  <si>
    <t>HUME TRADING COMPANY LIMITED</t>
  </si>
  <si>
    <t>HUTCHINGS MARINE PRODUCTS LTD.</t>
  </si>
  <si>
    <t>VESEYS SEEDS LTD</t>
  </si>
  <si>
    <t>DOMINION DIAMOND MARKETING CORPORATION</t>
  </si>
  <si>
    <t>HYUNDAI AUTO CANADA CORP</t>
  </si>
  <si>
    <t>HYDRA STEER INC</t>
  </si>
  <si>
    <t>AIRBORNE SYSTEMS CANADA LTD</t>
  </si>
  <si>
    <t>IA CLARINGTON STRATEGIC INCOME FUND</t>
  </si>
  <si>
    <t>INVESTORS NORTH AMERICA EQUITY FUND</t>
  </si>
  <si>
    <t>ISLAND ACRES PRODUCE LTD</t>
  </si>
  <si>
    <t>IA CLARINGTON STRATEGIC CORPORATE BOND FUND</t>
  </si>
  <si>
    <t>TURKIYE IS BANKISI AS</t>
  </si>
  <si>
    <t>ENSTOR, A DIVISION OF IBERDROLA CANADA ENERGY SERVICES LTD</t>
  </si>
  <si>
    <t>INDUSTRIAL BANK OF KOREA</t>
  </si>
  <si>
    <t>SCOTIA LONG TERM INCOME PROTECTION</t>
  </si>
  <si>
    <t>SCOTIA INSURANCE (BARBADOS) LIMITED</t>
  </si>
  <si>
    <t>ICAN TILE DISTRIBUTORS LTD</t>
  </si>
  <si>
    <t>MEGA INTERNATIONAL COMMERCIAL BANK CANADA</t>
  </si>
  <si>
    <t>ICOR TECHNOLOGY INC</t>
  </si>
  <si>
    <t>INVESCO INTACTIVE DIVERS INCM PORTF</t>
  </si>
  <si>
    <t>INVESCO INTACTIVE DIVERS INC PORT C</t>
  </si>
  <si>
    <t>INVESTORS EUROPEAN EQUITY CLASS</t>
  </si>
  <si>
    <t>IG MACKENZIE EUROPEAN EQUITY CLASS</t>
  </si>
  <si>
    <t>INVESTORS EUROPEAN EQUITY FUND</t>
  </si>
  <si>
    <t>IG MACKENZIE EUROPEAN EQUITY FUND</t>
  </si>
  <si>
    <t>IG MACKENZIE EUROPEAN MID CAP EQUITY FUND</t>
  </si>
  <si>
    <t>INVESTORS EUROPEAN MID CAP EQUITY FUND</t>
  </si>
  <si>
    <t>INTEGRA BOND FUND</t>
  </si>
  <si>
    <t>INVESCO INTACTIVE BALANCED GROWTH P</t>
  </si>
  <si>
    <t>INVESCO INTERNATIONAL GROWTH FUND</t>
  </si>
  <si>
    <t>INVESCO INTACTIVE GROWTH PORTFOLIO</t>
  </si>
  <si>
    <t>IG MACKENZIE STRATEGIC INCOME FUND GLOBAL</t>
  </si>
  <si>
    <t>IG MACKENZIE STRATEGIC INCOME FUND</t>
  </si>
  <si>
    <t>IG MACKENZIE STRATEGIC INCOME FUND NORTH AMERICAN EQUITY</t>
  </si>
  <si>
    <t>INVESTORS NORTH AMERICAN EQUITY CLASS</t>
  </si>
  <si>
    <t>INVESTORS CANADIAN CORPORATE BOND FUND</t>
  </si>
  <si>
    <t>INLINE FIBERGLASS LTD</t>
  </si>
  <si>
    <t>INMETMATIC SA DE CV</t>
  </si>
  <si>
    <t>INNOMAR STRATEGIES INC.</t>
  </si>
  <si>
    <t>INTERCITY PACKERS EAST LTD</t>
  </si>
  <si>
    <t>INVODANE ENGINEERING LTD</t>
  </si>
  <si>
    <t>INNOVATIA INC.</t>
  </si>
  <si>
    <t>TRANE TECHNOLOGIES COMPANY LLC</t>
  </si>
  <si>
    <t>INGERSOLL-RAND COMPANY</t>
  </si>
  <si>
    <t>INVESCO PURE CANADIAN EQUITY CLASS</t>
  </si>
  <si>
    <t>COUNSEL INTERNATIONAL VALUE</t>
  </si>
  <si>
    <t>IPEX INC</t>
  </si>
  <si>
    <t>IRIS POWER LP</t>
  </si>
  <si>
    <t>INVESTORS QUEBEC ENTERPRISE FUND</t>
  </si>
  <si>
    <t>NN (L) FLEX SENIOR LOANS GROUP</t>
  </si>
  <si>
    <t>NN (L) FLEX SENIOR LOANS</t>
  </si>
  <si>
    <t>INVESTORS SUMMA SRI CLASS</t>
  </si>
  <si>
    <t>INVESCO INTACTIVE STRATEGIC CAPITAL</t>
  </si>
  <si>
    <t>IG MACKENZIE IVY EUROPEAN FUND</t>
  </si>
  <si>
    <t>INCOME STRATEGIES TRUST</t>
  </si>
  <si>
    <t>INVESCO INTACTIVE STRATEGIC YIELD P</t>
  </si>
  <si>
    <t>ITW CANADA</t>
  </si>
  <si>
    <t>IT WORLD CANADA INC</t>
  </si>
  <si>
    <t>IWA FOREST INDUSTRY PENSION PLAN</t>
  </si>
  <si>
    <t>IWA - FOREST INDUSTRY PENSION PLAN</t>
  </si>
  <si>
    <t>BANCO REGIONAL DE MONTERREY SA</t>
  </si>
  <si>
    <t>BANCO REGIONAL SA IBM BANREGIO GRUPO FINANCIERO</t>
  </si>
  <si>
    <t>BANSI, S.A.</t>
  </si>
  <si>
    <t>BANCA MIFEL SA INSTITUCION DE BANCA MULTIPLE GRUPO FINANCIERO MIFEL</t>
  </si>
  <si>
    <t>BANCA MIFEL</t>
  </si>
  <si>
    <t>BANCA MIFEL SA  INSTITUCION DE BANCA MULTIPLE GRUPO FINANCIERO MIFEL FIDUCIARIA DENTRO DEL FIDEICOMISO 1412/2012</t>
  </si>
  <si>
    <t>BANCA MIFEL, S.A. FIDEICOMISO 1902/2014</t>
  </si>
  <si>
    <t>BANCA MIFEL SA INSTITUCION DE BANCA MULTIPLE GRUPO FINANCIERO MIFEL F-1772/2013</t>
  </si>
  <si>
    <t>BANCO DEL BAJIO,S.A.</t>
  </si>
  <si>
    <t>FINAMEX CASA DE BOLSA,S.A. DE C.V.</t>
  </si>
  <si>
    <t>BANCO AZTECA,S.A. INSTITUCION DE BANCA MULTIPLE</t>
  </si>
  <si>
    <t>BANCO VE POR MAS S.A.</t>
  </si>
  <si>
    <t>BANCO VE POR MAS SA INSTITUCION DE BANCA MULTIPLE GRUPO FINANCIERO VE POR MAS</t>
  </si>
  <si>
    <t>VALORES MEXICANOS CASA DE BOLSA SA CV</t>
  </si>
  <si>
    <t>VALORES MEXICANOS CASA DE BOLSA SA DE CV</t>
  </si>
  <si>
    <t>CASA DE BOLSA BASE SA DE CV GRUPO FINANCIERO BASE</t>
  </si>
  <si>
    <t>SOCIETE GENERAL CAPITAL CANADA INC</t>
  </si>
  <si>
    <t>BANJERCITO, S.N.C.</t>
  </si>
  <si>
    <t>ACTINVER CASA DE BOLSA, S.A. DE C.V.</t>
  </si>
  <si>
    <t>VECTOR CASA DE BOLSA, S.A. DE CV.</t>
  </si>
  <si>
    <t>BANCO MULTIVA S.A. INSTITUCION DE BANCA MULTIPLE</t>
  </si>
  <si>
    <t>CI BANCO SA INST DE BANCA MULTIPLE</t>
  </si>
  <si>
    <t>CIBANCO S A INSTITUCION DE BANCA MULTIPLE EN SU CARACTER DE FIDUCIARIO DEL CONTRATO DE FIDEICOMISO IRREVOCABLE CIB3014</t>
  </si>
  <si>
    <t>CONSULTORIA INT. BANCO S.A. INSTITUCION DE BANCO</t>
  </si>
  <si>
    <t>INTERCAM CASA DE BOLSA SA DE CV</t>
  </si>
  <si>
    <t>INTERCAM CASA DE BOLSA S.A. DE C.V.</t>
  </si>
  <si>
    <t>MASARI CASA DE BOLSA, S.A.</t>
  </si>
  <si>
    <t>INVEX CASA DE BOLSA, S.A. DE C.V.</t>
  </si>
  <si>
    <t>KUSPIT CASA DE BOLSA SA DE CV</t>
  </si>
  <si>
    <t>COLGATE PALMOLIVE SA DE CV</t>
  </si>
  <si>
    <t>PROMOCION Y OPERACION, S.A DE C.V.</t>
  </si>
  <si>
    <t>INMOBILIARIA HILLS SA DE CV</t>
  </si>
  <si>
    <t>FUJIFILM DE MEXICO, S.A. DE C.V.</t>
  </si>
  <si>
    <t>MISSION HILLS SA DE CV</t>
  </si>
  <si>
    <t>CORPORATIVO NIETO, S.A. DE C.V.</t>
  </si>
  <si>
    <t>KPMG CARDENAS DOSAL, S.C.</t>
  </si>
  <si>
    <t>LABORATORIOS CRYOPHARMA, S.A. DE C.V.</t>
  </si>
  <si>
    <t>CORDAFLEX,S.A. DE C.V.</t>
  </si>
  <si>
    <t>ARNESES ELECTRICOS AUTOMOTRICES,S.A. DE C.V.</t>
  </si>
  <si>
    <t>CONDUMEX, INC</t>
  </si>
  <si>
    <t>NACIONAL DE CONDUCTORES ELECTRICOS,S.A. DE C.V.</t>
  </si>
  <si>
    <t>INDUSTRIAL PATRONA, S.A.</t>
  </si>
  <si>
    <t>PRODUCTOS MITZA, S.A. DE C.V.</t>
  </si>
  <si>
    <t>MEDIPAR SA DE CV</t>
  </si>
  <si>
    <t>HARINERA ANAHUAC SA DE CV</t>
  </si>
  <si>
    <t>TORRE MAYOR SA DE CV</t>
  </si>
  <si>
    <t>TORRE MAYOR</t>
  </si>
  <si>
    <t>GRUPO PETROTEMEX S.A. DE C.V.</t>
  </si>
  <si>
    <t>ALPEK POLYESTER SA DE CV</t>
  </si>
  <si>
    <t>PRODUCTOS VERDE VALLE, SA DE CV</t>
  </si>
  <si>
    <t>PRODUCTOS VERDE VALLE SA CV</t>
  </si>
  <si>
    <t>WATA GROUP SA DE CV</t>
  </si>
  <si>
    <t>KINDER MORGAN GAS NATURAL DE MEXICO,S.A. DE C.V.</t>
  </si>
  <si>
    <t>CONSORCIO GASOLINERO PLUS SA DE CV</t>
  </si>
  <si>
    <t>BONY LINGERIE, S.A. DE C.V.</t>
  </si>
  <si>
    <t>REFACCIONARIA OCTAVIO VAZQUEZ,S.A. DE C.V.</t>
  </si>
  <si>
    <t>PACTIV MEXICO S DE RL DE CV</t>
  </si>
  <si>
    <t>METALPOL,SA DE CV</t>
  </si>
  <si>
    <t>GANADERA VIGO,S.A. DE C.V.</t>
  </si>
  <si>
    <t>CARGILL DE MEXICO,S.A. DE C.V.</t>
  </si>
  <si>
    <t>CARGILL DE MEXICO SA DE CV</t>
  </si>
  <si>
    <t>CARGILL DE MEXICO S A DE C V</t>
  </si>
  <si>
    <t>LLOCEE SA DE CV</t>
  </si>
  <si>
    <t>LLOCEE, SA DE CV</t>
  </si>
  <si>
    <t>RINOVAL DE MEXICO,S.A. DE C.V.</t>
  </si>
  <si>
    <t>RANCHO LUCERO, S DE PR DE RL</t>
  </si>
  <si>
    <t>BICICLETAS VELOCI SA DE CV</t>
  </si>
  <si>
    <t>VERTICAL KNITS SA DE CV</t>
  </si>
  <si>
    <t>VERTICAL KNITS, S.A. DE C.V.</t>
  </si>
  <si>
    <t>AEREO TAXI MEXICANO S.A. DE C.V.</t>
  </si>
  <si>
    <t>SERVICIOS CORPORATIVOS BAL SA DE CV</t>
  </si>
  <si>
    <t>ESPECTACULOS TAURINOS DE MEXICO SA DE CV</t>
  </si>
  <si>
    <t>MALTA TEXO DE MEXICO,S.A. DE C.V.</t>
  </si>
  <si>
    <t>AEROVICS SA DE CV</t>
  </si>
  <si>
    <t>DISTRIBUIDORA GRAFICA NOVARO,S.A. DE C.V.</t>
  </si>
  <si>
    <t>SERVICIOS HOTELEROS HAMBURGO SA DE CV</t>
  </si>
  <si>
    <t>AROCHI &amp; LINDER SC</t>
  </si>
  <si>
    <t>FIRST DATA PROCUREMENTS MEXICOS DE RL DE CV</t>
  </si>
  <si>
    <t>QUALITAS COMPANIA DE SEGUROS,S.A.B DE C.V.</t>
  </si>
  <si>
    <t>INDUSTRIAS DERIVADOS DEL ETILENO S.A. DE C.V.</t>
  </si>
  <si>
    <t>INDUSTRIAS DERIVADAS DEL ETILENO S.A.</t>
  </si>
  <si>
    <t>ESTILO Y VANIDAD S.A. DE C.V.</t>
  </si>
  <si>
    <t>SERVICIOS INMOBILIARIOS BAL SADE CV</t>
  </si>
  <si>
    <t>TECMIN SERVICIOS SA DE CV</t>
  </si>
  <si>
    <t>FABRICA DE HARINAS ELIZONDO SA DE CV</t>
  </si>
  <si>
    <t>HARINERA GUADALUPE, S.A. DE C.V.</t>
  </si>
  <si>
    <t>SECRETARIA DE COMUNICACIONES YTRANSPORTES</t>
  </si>
  <si>
    <t>MCCAIN MEXICO SA DE CV</t>
  </si>
  <si>
    <t>ARTIMEDICA SA DE CV</t>
  </si>
  <si>
    <t>YOUNG CHEM, S.A. DE C.V.</t>
  </si>
  <si>
    <t>DOUGLAS Y LOMASON DE MEXICO, SA DE CV</t>
  </si>
  <si>
    <t>SOCIEDAD COOP AGROP DE LA COM LAG SCL</t>
  </si>
  <si>
    <t>SOCIEDAD COOPERATIVA AGROPECUARIA DE LA COMARCA LAGUNERA, S.C.L.</t>
  </si>
  <si>
    <t>KIM TECK, S.A. DE C.V.</t>
  </si>
  <si>
    <t>EMBAJADA DE CANADA</t>
  </si>
  <si>
    <t>EMBAJADA CANADA</t>
  </si>
  <si>
    <t>PUEBLO ESCONDIDO SA DE CV</t>
  </si>
  <si>
    <t>INVERSIONES TURISTICAS CANCUN SA DE CV</t>
  </si>
  <si>
    <t>SEGUROS BANAMEX SA CV</t>
  </si>
  <si>
    <t>SEGUROS BANAMEX S.A. DE C.V.</t>
  </si>
  <si>
    <t>KURI BRE¿A SANCHEZ UGARTE Y AZNAR, S.C.</t>
  </si>
  <si>
    <t>EL AGUILA COMPANIA DE SEGUROS SA DE CV</t>
  </si>
  <si>
    <t>METLIFE MEXICO SA DE CV</t>
  </si>
  <si>
    <t>METLIFE MEXICO S.A.</t>
  </si>
  <si>
    <t>JAFRA COSMETICS, S.A. DE C.V.</t>
  </si>
  <si>
    <t>JAFRA COSMETICS INTERNATIONAL, S.A. DE C.V.</t>
  </si>
  <si>
    <t>DISTRIBUIDORA COMERCIAL JAFRA S.A. DE C.V.</t>
  </si>
  <si>
    <t>ASOCIACION PARA EVITAR LA CEGUERA EN MEXICO I.A.P</t>
  </si>
  <si>
    <t>CONSORCIO DIPCEN,S.A. DE C.V.</t>
  </si>
  <si>
    <t>EQUIPOS Y SISTEMAS SIVTA S.A.</t>
  </si>
  <si>
    <t>ARTESANIAS Y MARMOLES ALEJANDRA, SA DE CV</t>
  </si>
  <si>
    <t>OPERADORA HOTELERA DEL CORREDOR MAYAKOBA S.A. DE</t>
  </si>
  <si>
    <t>SIEGFRIED RHEIN S.A. DE C.V.</t>
  </si>
  <si>
    <t>TRACSA S.A.P.I. DE C.V.</t>
  </si>
  <si>
    <t>TRACSA SAPI DE CV</t>
  </si>
  <si>
    <t>IGASAMEX BAJIO S DE RL DE CV</t>
  </si>
  <si>
    <t>GRUPO CARSO, S.A.B. DE C.V.</t>
  </si>
  <si>
    <t>ENERGOLD DE MEXICO S A DE CV</t>
  </si>
  <si>
    <t>ARKI MANAGEMENT SA DE CV</t>
  </si>
  <si>
    <t>SUKARNE S.A. DE C.V.</t>
  </si>
  <si>
    <t>GLOBALCARD S.A. DE C.V.SOFOM E.R.</t>
  </si>
  <si>
    <t>GRUPO MONSERRAT SA DE CV</t>
  </si>
  <si>
    <t>MINERA MEXICO, S.A. DE C.V.</t>
  </si>
  <si>
    <t>AUTOS COMPACTOS SAN ANTONIO SA DE CV</t>
  </si>
  <si>
    <t>SESAJAL, S.A. DE C.V.</t>
  </si>
  <si>
    <t>URREA DANDO VIDA AL AGUA S.A. DE C.V.</t>
  </si>
  <si>
    <t>URREA DANDO VIDA AL AGUA SA DE CV</t>
  </si>
  <si>
    <t>SUELAS WYNY, S.A. DE C.V.</t>
  </si>
  <si>
    <t>EL PASO ENERGY MARKETING DE MEXICO SA DE CV</t>
  </si>
  <si>
    <t>SICA MEDICION, S.A. DE C.V.</t>
  </si>
  <si>
    <t>EMPACADORA CELAYA SA DE CV</t>
  </si>
  <si>
    <t>VIVCO ALIMENTOS S DE RL DE CV</t>
  </si>
  <si>
    <t>DESARROLLOS INMOBILIARIOS PUERTO MORELOS SA DE CV</t>
  </si>
  <si>
    <t>INMOBILIARIA Y FRACCIONADORA CADENA SA DE CV</t>
  </si>
  <si>
    <t>HARINERA DE IRAPUATO SA DE CV</t>
  </si>
  <si>
    <t>COMAREX SA DE CV</t>
  </si>
  <si>
    <t>SALCHICHAS Y JAMONES DE MEXICO SA DE CV</t>
  </si>
  <si>
    <t>MINERA WILLIAM, SA DE CV</t>
  </si>
  <si>
    <t>XOLOX SA DE CV</t>
  </si>
  <si>
    <t>MOTO REPUESTO MONTERREY, S.A. DE C.V.</t>
  </si>
  <si>
    <t>FRANCO NEVADA MEXICO CORPORATION SA DE CV</t>
  </si>
  <si>
    <t>SUBWAY INTERNATIONAL B.V</t>
  </si>
  <si>
    <t>GROKE MEXICO, S.A. DE C.V.</t>
  </si>
  <si>
    <t>SILVER STANDARD MEXICO SA DE CV</t>
  </si>
  <si>
    <t>SILVER STANDARD DURANGO SA DE CV</t>
  </si>
  <si>
    <t>SSR DURANGO SA DE CV</t>
  </si>
  <si>
    <t>TCA NUTRITION, SA DE CV</t>
  </si>
  <si>
    <t>SERVICIOS CORPORATIVOS PABAN SA DE CV</t>
  </si>
  <si>
    <t>IMPRESIONES AEREAS SA DE CV</t>
  </si>
  <si>
    <t>PRINCIPAL SAM I SA DE CV SIRV</t>
  </si>
  <si>
    <t>PRINCIPAL SAM II SA DE CV SIRV</t>
  </si>
  <si>
    <t>PRINCIPAL SAM III SA DE CV SIRV</t>
  </si>
  <si>
    <t>INMOBILIARIA LA RUMOROSA, S.A.DE C.V.</t>
  </si>
  <si>
    <t>INMOBILIARIA LA RUMOROSA SA DE CV</t>
  </si>
  <si>
    <t>GRUMESA PROYECTO Y CONSTRUCCION SAPI DE CV</t>
  </si>
  <si>
    <t>GRUMESA, S.A. DE C.V.</t>
  </si>
  <si>
    <t>MAQUINADO DE MADERAS DIANA SA DE CV</t>
  </si>
  <si>
    <t>ADMINISTRACIONES PROFESIONALESDE VALLA</t>
  </si>
  <si>
    <t>PLAYA CHILA S DE RL DE CV</t>
  </si>
  <si>
    <t>FONDO VALMEX DE CAPITALES C</t>
  </si>
  <si>
    <t>CATERPILLAR CREDITO SA DE CV SOFOM ENR</t>
  </si>
  <si>
    <t>ARMSTRONG LABORATORIOS DE MEXICO SA DE CV</t>
  </si>
  <si>
    <t>DICIPA SA DE CV</t>
  </si>
  <si>
    <t>DICIPA, S.A. DE C.V.</t>
  </si>
  <si>
    <t>NISSAN MEXICANA S.A. DE C.V.</t>
  </si>
  <si>
    <t>KRAUSS MAFFEI DE MEXICO S DE RL DE CV</t>
  </si>
  <si>
    <t>HYDRA DESAROLLOS SAPI DE C.V.</t>
  </si>
  <si>
    <t>COLORANTES IMPORTADOS SA DE CV</t>
  </si>
  <si>
    <t>CREMERIA AMERICANA SA DE CV</t>
  </si>
  <si>
    <t>BIOMEDICAL CENTER SA DE CV</t>
  </si>
  <si>
    <t>INDUSTRIAS BUNNY BABY S.A. DE C.V.</t>
  </si>
  <si>
    <t>MINERA MERCEDES MINERALES S DE RL DE CV</t>
  </si>
  <si>
    <t>AKUMEN TECNOLOGIA EN SISTEMAS SA DE CV</t>
  </si>
  <si>
    <t>ALL SHANGHAI S DE RL DE CV</t>
  </si>
  <si>
    <t>SERVICIOS HOTELEROS DEL CORREDOR MAYAKOBA SA DE CV</t>
  </si>
  <si>
    <t>AVALOS Y ABOGADOS SC</t>
  </si>
  <si>
    <t>FIRST DATA MERCHANT SERVICES MEXICO S DE RL DE CV</t>
  </si>
  <si>
    <t>SIGPACK SA DE CV</t>
  </si>
  <si>
    <t>COMERCIALIZADORA THOMSON DE MEXICO S.A. DE C.V.</t>
  </si>
  <si>
    <t>SCOTIABANK INVERLAT F 1160000939</t>
  </si>
  <si>
    <t>MADERERIA CHUBURNA, SA DE CV</t>
  </si>
  <si>
    <t>SCOTIABANK INVERLAT F 10000032</t>
  </si>
  <si>
    <t>JTP INDUSTRIES SA DE CV</t>
  </si>
  <si>
    <t>MANUFACTURERA DE ACCESORIOS FARMACEUTICOS SA DE CV</t>
  </si>
  <si>
    <t>SCOTIABANK INVERLAT F 370123994</t>
  </si>
  <si>
    <t>DIPROINDUCA MEXICO S. DE R.L. DE C.V.</t>
  </si>
  <si>
    <t>EMPAQUES RIO GRANDE, S.A. DE C.V.</t>
  </si>
  <si>
    <t>SERVICIOS PINOS ALTOS SA DE CV</t>
  </si>
  <si>
    <t>GUSSI SA DE CV</t>
  </si>
  <si>
    <t>HEXPOL COMPOUNDING SA DE CV</t>
  </si>
  <si>
    <t>LABORATORIOS PIZZARD</t>
  </si>
  <si>
    <t>AEROPUERTO DE SAN JOSE DEL CABO, S.A. DE C.V.</t>
  </si>
  <si>
    <t>MADERAS ORIENTE DE MERIDA, SA DE CV</t>
  </si>
  <si>
    <t>MADERAS ORIENTE DE MERIDA SA CV</t>
  </si>
  <si>
    <t>CUBO FIN CAPITAL SA DE CV</t>
  </si>
  <si>
    <t>CHEDRAUI CAPITAL SA DE CV</t>
  </si>
  <si>
    <t>CHEDRAUI CAPITAL, S.A. DE C.V.</t>
  </si>
  <si>
    <t>OFFSET-PRESS DE MEXICO,S.A. DEC.V.</t>
  </si>
  <si>
    <t>CONSULTORES ROJAS TERAN Y ASOCIADOS SC</t>
  </si>
  <si>
    <t>CLMX S DE RL DE CV</t>
  </si>
  <si>
    <t>CONCOURS MOLD MEXICANA SA DE CV</t>
  </si>
  <si>
    <t>TCA GLOBAL SA DE CV</t>
  </si>
  <si>
    <t>AEROPUERTO DE MEXICALI,S.A. DEC.V.</t>
  </si>
  <si>
    <t>FOTO RIO SECRETO SA DE CV</t>
  </si>
  <si>
    <t>RIO SECRETO SA DE CV</t>
  </si>
  <si>
    <t>SCHETTINO HERMANOS S DE RL DE CV</t>
  </si>
  <si>
    <t>IZA DESIGN &amp; MANUFACTURING SA DE CV</t>
  </si>
  <si>
    <t>SCOTIABANK INVERLAT F 101776</t>
  </si>
  <si>
    <t>AEROPUERTO DE PUERTO VALLARTA,S.A. DE C</t>
  </si>
  <si>
    <t>CABLE ADMINISTRADORA SA DE CV</t>
  </si>
  <si>
    <t>MGI FUSION S.A. DE C.V.</t>
  </si>
  <si>
    <t>STEELCASE REYNOSA S DE R.L. DE C.V.</t>
  </si>
  <si>
    <t>MULTIGRANOS DEL YAQUI SPR DE RL</t>
  </si>
  <si>
    <t>GRAIN LAND SA DE CV</t>
  </si>
  <si>
    <t>NOVOPHARM SA DE CV</t>
  </si>
  <si>
    <t>IMPORTADORA GOCA SA DE CV</t>
  </si>
  <si>
    <t>DEPORTIVOS CON ESTILO SA DE CV</t>
  </si>
  <si>
    <t>XENOTES MAGICOS SA DE CV</t>
  </si>
  <si>
    <t>CONCENTRADOS BOVILAC SPR DE RL DE CV</t>
  </si>
  <si>
    <t>JAFRA MANUFACTURING S.A. DE C.V.</t>
  </si>
  <si>
    <t>SERVIDAY S.A. DE C.V.</t>
  </si>
  <si>
    <t>KINDER MORGAN PIPELINE SERVICIOS DE MEXICO, S. DE</t>
  </si>
  <si>
    <t>CADENA RADIODIFUSURA MEXICANA,S.A. DE C.V.</t>
  </si>
  <si>
    <t>FONDO PROYECTO DE VIDA VALMEX 2024 SA DE CV SIRV</t>
  </si>
  <si>
    <t>FONDO PROYECTO DE VIDA VALMEX 2031 SA DE CV SIRV</t>
  </si>
  <si>
    <t>FONDO PROYECTO DE VIDA VALMEX 2038 SA DE CV SIRV</t>
  </si>
  <si>
    <t>FONDO PROYECTO DE VIDA VALMEX 2045 SA DE CV SIRV</t>
  </si>
  <si>
    <t>FONDO PROYECTO DE VIDA VALMEX 2017 SA DE CV SIRV</t>
  </si>
  <si>
    <t>ROTHSCHILD MEXICO SA DE CV</t>
  </si>
  <si>
    <t>CABLEVISION SA DE CV</t>
  </si>
  <si>
    <t>OPERBES SA DE CV</t>
  </si>
  <si>
    <t>SERVICIOS CONDUMEX, S.A. DE C.V.</t>
  </si>
  <si>
    <t>SANA INTERNACIONAL S. DE R.L. DE C.V.</t>
  </si>
  <si>
    <t>SANA INTERNACIONAL S DE RL DE CV</t>
  </si>
  <si>
    <t>TELESTAR DE OCCIDENTE, S.A. DE C.V.</t>
  </si>
  <si>
    <t>DESARROLLOS ROMY SA DE CV</t>
  </si>
  <si>
    <t>POSSEHL MEXICO SA DE CV</t>
  </si>
  <si>
    <t>EDITORIAL TELEVISA S.A. DE C.V.</t>
  </si>
  <si>
    <t>FONDO VALMEX INTERNACIONAL VALMEX 28 SA DE CV FONDO DE INVERSION DE RENTA VARIABLE</t>
  </si>
  <si>
    <t>PRINCIPAL HORIZONTE E SA DE CV,SIRV</t>
  </si>
  <si>
    <t>SERVICIOS CORPORATIVOS SCOTIA SA DE CV</t>
  </si>
  <si>
    <t>VALVULAS URREA S.A. DE C.V.</t>
  </si>
  <si>
    <t>FOMENTO ECONOMICO MEXICANO, SAB DE CV</t>
  </si>
  <si>
    <t>GRUPO COMERCIAL CONTROL, SA DE CV</t>
  </si>
  <si>
    <t>CRIOTEC, SA DE CV</t>
  </si>
  <si>
    <t>CRIOTEC SA DE CV</t>
  </si>
  <si>
    <t>VI¿EDOS ALTA SA DE CV</t>
  </si>
  <si>
    <t>VINEDOS ALTA SAPI DE CV</t>
  </si>
  <si>
    <t>HARINERA EL PARAISO S.A. DE C.V.</t>
  </si>
  <si>
    <t>SERVICIOS TRONCALIZADOS S.A. DE C.V.</t>
  </si>
  <si>
    <t>SERVICIOS TRONCALIZADOS SA DE CV</t>
  </si>
  <si>
    <t>ASESORES PETROLEROS DEL GOLFO SA DE CV</t>
  </si>
  <si>
    <t>BUENO ALIMENTOS SA DE CV</t>
  </si>
  <si>
    <t>HERA APPAREL S.A. DE C.V.</t>
  </si>
  <si>
    <t>HOME INTERIORS DE MEXICO S DE RL DE CV</t>
  </si>
  <si>
    <t>MUNSA MOLINOS SA DE CV</t>
  </si>
  <si>
    <t>TUBO SAMUEL DE MEXICO, SA DE CV</t>
  </si>
  <si>
    <t>MECHANISMS DE SALTILLO, SA DE CV</t>
  </si>
  <si>
    <t>EQUIPO DE MEDICION Y CONTROL INDUSTRIAL SA DE CV</t>
  </si>
  <si>
    <t>INDUSTRIALIZADORA Y MADERERA LOS OLIVOS SA DE CV</t>
  </si>
  <si>
    <t>AGROPRODUCTOS CAPRICHO S DE RLDE CV</t>
  </si>
  <si>
    <t>KAUFEN SOLUCIONES Y ETIQUETAS SA DE CV</t>
  </si>
  <si>
    <t>TURBOALEACIONES SA DE CV</t>
  </si>
  <si>
    <t>GRUPO CANUSAL SA DE CV</t>
  </si>
  <si>
    <t>ALMACENES CONGELADOS SA DE CV</t>
  </si>
  <si>
    <t>GRUPO COANZAMEX, SA DE CV</t>
  </si>
  <si>
    <t>CONTICON, S.A. DE C.V.</t>
  </si>
  <si>
    <t>HARINAS SA DE CV</t>
  </si>
  <si>
    <t>AGROS SA DE CV</t>
  </si>
  <si>
    <t>MINERA EL PATR¿N  S.A. DE C.V.</t>
  </si>
  <si>
    <t>PESQUERA DANYA SA DE CV</t>
  </si>
  <si>
    <t>ACC INGENIERIA Y SERVICIOS ESPECIALIZADOS SA DE CV</t>
  </si>
  <si>
    <t>CINETICA QUIMICA, S.A DE C.V.</t>
  </si>
  <si>
    <t>ALLGAIER DE PUEBLA SAPI SA DE CV</t>
  </si>
  <si>
    <t>LOURMEX SA DE CV</t>
  </si>
  <si>
    <t>LAPISA SA DE CV</t>
  </si>
  <si>
    <t>BICIMOTOS SA</t>
  </si>
  <si>
    <t>COMERCIALIZADORA DE VALOR AGREGADO,S.A. DE C.V.</t>
  </si>
  <si>
    <t>COMUNIDAD Y BIODIVERSIDAD AC</t>
  </si>
  <si>
    <t>GRUPO INDUSTRIAL MASECA S.A. DE C.V.</t>
  </si>
  <si>
    <t>GRUPO INDUSTRIAL MASECA SA DE CV</t>
  </si>
  <si>
    <t>GRUPO INDUSTRIAL MASECA SAB DE CV</t>
  </si>
  <si>
    <t>TUBOS INOXIDABLES SAMUEL DE MEXICO, SA DE CV</t>
  </si>
  <si>
    <t>DISTRIBUIDORA MAYORISTA DE TORNILLOS DE YUCATAN, S.A. DE C.V.</t>
  </si>
  <si>
    <t>CABLEMAS TELECOMUNICACIONES SA DE CV</t>
  </si>
  <si>
    <t>CERREY SA DE CV</t>
  </si>
  <si>
    <t>RANCHO SAN LUIS PGMX SA DE CV</t>
  </si>
  <si>
    <t>SILVER DEER SA DE CV</t>
  </si>
  <si>
    <t>FOSS CENTRO AMERICA SA DE CV</t>
  </si>
  <si>
    <t>PROMOTORA AMBIENTAL SAB DE CV</t>
  </si>
  <si>
    <t>DSI UNDERGROUND MEXICO SA DE CV</t>
  </si>
  <si>
    <t>FIELD FASTENER MEXICO, S DE RL DE CV</t>
  </si>
  <si>
    <t>ALLTOURNATIVE SA DE CV</t>
  </si>
  <si>
    <t>NARMX QUERETARO SA DE CV</t>
  </si>
  <si>
    <t>IGSA SA DE CV</t>
  </si>
  <si>
    <t>MADERO EQUIPOS DE ORDE¿O, S.A. DE C.V.</t>
  </si>
  <si>
    <t>MADERO EQUIPOS DE ORDENO SA DE CV</t>
  </si>
  <si>
    <t>ALTA TECNOLOGIA BIOMEDICA SA DE CV</t>
  </si>
  <si>
    <t>PAPELES Y CONVERSIONES DE MEXICO, SA DE CV</t>
  </si>
  <si>
    <t>CENOTE MAYA S.A.P.I. DE C.V.</t>
  </si>
  <si>
    <t>EXPERTA ERP S.C</t>
  </si>
  <si>
    <t>FRUEHAUF DE MEXICO SA DE CV</t>
  </si>
  <si>
    <t>POSTA EL CUATRO, SA DE CV</t>
  </si>
  <si>
    <t>KST ELECTRIC POWER COMPANY SAPI DE CV</t>
  </si>
  <si>
    <t>LABORATORIOS SALUS SA DE CV</t>
  </si>
  <si>
    <t>FONDO VALMEX DE CRECIMIENTO SADE CV</t>
  </si>
  <si>
    <t>FONDO VALMEX DE CRECIMIENTO SA DE CV FONDO DE INVERSION DE RENTA VARIABLE</t>
  </si>
  <si>
    <t>DESARROLLO RIO ELBA F/290</t>
  </si>
  <si>
    <t>MINERA AGUILA PLATEADA SA DE CV</t>
  </si>
  <si>
    <t>MAG SPECIALTIES MEXICO S DE RLDE CV</t>
  </si>
  <si>
    <t>EXCELLENT FOODS SA DE CV</t>
  </si>
  <si>
    <t>BIOCALPERT SA DE CV</t>
  </si>
  <si>
    <t>ORGANIZACION EMOTION INTERNATIONAL, S.A. DE C.V.</t>
  </si>
  <si>
    <t>LABORATORIOS JALOMA SA DE CV</t>
  </si>
  <si>
    <t>LASCATOLA, S.A. DE C.V.</t>
  </si>
  <si>
    <t>MAQUINAS DIESEL, SA DE CV</t>
  </si>
  <si>
    <t>MOYMEX SA DE CV</t>
  </si>
  <si>
    <t>TUBOS DE ACERO DE MEXICO SA</t>
  </si>
  <si>
    <t>FRUVER SA DE  CV</t>
  </si>
  <si>
    <t>GRANOS DE SINALOA SA DE CV</t>
  </si>
  <si>
    <t>DEEP DRILLER MEXICO S DE RL DECV</t>
  </si>
  <si>
    <t>CELULOSA Y CORRUGADOS DE SONORA SA DE CV</t>
  </si>
  <si>
    <t>VIAJES A LAS TRADICIONES III SA DE CV</t>
  </si>
  <si>
    <t>ACOPOL SA DE CV</t>
  </si>
  <si>
    <t>CENTRO DE INVESTIGACION CIENTIFICA DE YUCATAN AC</t>
  </si>
  <si>
    <t>VISTA DEL SOL FOODS SA DE CV</t>
  </si>
  <si>
    <t>MITSUI KINSOKU ACT MEXICANA SA DE CV</t>
  </si>
  <si>
    <t>FRISA FORJADOS S A DE C V</t>
  </si>
  <si>
    <t>FRISA FORJADOS SA DE CV</t>
  </si>
  <si>
    <t>FRISA FORJADOS S.A.DE C.V.</t>
  </si>
  <si>
    <t>AGUAVIENTO S.A. DE C.V.</t>
  </si>
  <si>
    <t>GRUPO AGUAVIENTO SA DE CV</t>
  </si>
  <si>
    <t>MFM OPM SAPI DE CV SOFOM ENR</t>
  </si>
  <si>
    <t>DESCAFEINADORES MEXICANOS,S.A. DE C.V.</t>
  </si>
  <si>
    <t>INTEGRADORA AZTECA SA DE CV</t>
  </si>
  <si>
    <t>TIP DE MEXICO, S.A.P.I. DE C.V.</t>
  </si>
  <si>
    <t>TIP DE MEXICO SAPI DE CV</t>
  </si>
  <si>
    <t>TIP DE MEXICO S.A.P.I. DE C.V.</t>
  </si>
  <si>
    <t>OMPI N.A. S DE RL DE CV</t>
  </si>
  <si>
    <t>SUBWAY REALTY DE MEXICO SA DE CV</t>
  </si>
  <si>
    <t>AGRICOLA VISTA DEL SOL SPR DE RL DE CV</t>
  </si>
  <si>
    <t>KEPCO ENERGY SERVICE COMPANY S DE RL DE CV</t>
  </si>
  <si>
    <t>CARTOGRAF SA DE CV</t>
  </si>
  <si>
    <t>LETSEB SA DE CV</t>
  </si>
  <si>
    <t>ALCAMARE S DE RL DE CV</t>
  </si>
  <si>
    <t>AKI SEAT MANUFACTURING SA DE CV</t>
  </si>
  <si>
    <t>COPPEL SA DE CV</t>
  </si>
  <si>
    <t>SABORIMEX MONTERREY S DE RL DE CV</t>
  </si>
  <si>
    <t>AEROPUERTO DE LA PAZ SA DE CV</t>
  </si>
  <si>
    <t>CENTRAL DETALLISTA, SA DE CV</t>
  </si>
  <si>
    <t>GALERIAS</t>
  </si>
  <si>
    <t>CAST HER SA DE CV</t>
  </si>
  <si>
    <t>AEROPUERTO DE HERMOSILLO SA DE CV</t>
  </si>
  <si>
    <t>CHG MERIDIAN MEXICO SAPI DE CV</t>
  </si>
  <si>
    <t>CHG MERIDIAN MEXICO SAPI DE CV.</t>
  </si>
  <si>
    <t>CANELS SA DE CV</t>
  </si>
  <si>
    <t>INMOBILIARIA CANELS SA DE CV</t>
  </si>
  <si>
    <t>FOUR SEASONS HOTELS DE MEXICO SA DE CV</t>
  </si>
  <si>
    <t>GRUPO AEROPORTUARIO DEL CENTRO NORTE S.A.B. DE C.V.</t>
  </si>
  <si>
    <t>GRUPO AEROPORTUARIO DEL CENTRO NORTE SA</t>
  </si>
  <si>
    <t>CAFES TOMARI SA DE CV</t>
  </si>
  <si>
    <t>PRODUCTOS PECUARIOS LA TRINIDAD SA DE CV</t>
  </si>
  <si>
    <t>EL FENIX DE TIJUANA SA DE CV</t>
  </si>
  <si>
    <t>PAVOS DEL NOROESTE SA DE CV</t>
  </si>
  <si>
    <t>MINERA SUDCALIFORNIA SA DE CV</t>
  </si>
  <si>
    <t>PERONDA MEXICO, S.A. DE C.V.</t>
  </si>
  <si>
    <t>RECICLADOS AVANZADOS SA DE CV</t>
  </si>
  <si>
    <t>ALUCAPS MEXICANA DE OCCIDENTE SA DE CV</t>
  </si>
  <si>
    <t>INTERLATIN S DE RL DE CV</t>
  </si>
  <si>
    <t>PUBLIGRAPHICS SA DE CV</t>
  </si>
  <si>
    <t>MINERA LABRI SA DE CV</t>
  </si>
  <si>
    <t>EQUIPOS E INSUMOS DE TELECOMUNICACIONES SA DE CV</t>
  </si>
  <si>
    <t>AEROPUERTO DE MORELIA SA DE CV</t>
  </si>
  <si>
    <t>AEROPUERTO DE AGUASCALIENTES SA DE CV</t>
  </si>
  <si>
    <t>AEROPUERTO DE LOS MOCHIS DE CV</t>
  </si>
  <si>
    <t>THE MEXICO EQUITY AND INCOME FUND, INC</t>
  </si>
  <si>
    <t>CENTURION MEDIA AND OPPORTUNITIES FUND</t>
  </si>
  <si>
    <t>CENTURION FUND</t>
  </si>
  <si>
    <t>ABRASIVOS AUSTROMEX SA DE CV</t>
  </si>
  <si>
    <t>INDUSTRIAS TENAZIT SA DE CV</t>
  </si>
  <si>
    <t>PAN AMERICAN MEXICO COMPANIA DE SEGUROS SA</t>
  </si>
  <si>
    <t>INTERPEC SAN MARCOS SA DE CV</t>
  </si>
  <si>
    <t>ABRASIVOS ESPECIALES SA DE CV</t>
  </si>
  <si>
    <t>SERVICIOS AEROPORTUARIOS DEL CENTRO NORTE, SA DE CV</t>
  </si>
  <si>
    <t>SB &amp; B ENTRETENIMIENTOS SA DE CV</t>
  </si>
  <si>
    <t>BLUE PAPER SA DE CV</t>
  </si>
  <si>
    <t>HOSPITALIDAD DE SAN LUIS SA DE CV</t>
  </si>
  <si>
    <t>PMP PROVEEDORA DE MATERIA PRIMA, S.A DE C.V</t>
  </si>
  <si>
    <t>PUERTAS FINAS DE MADERA MONTE ALBAN SA DE CV</t>
  </si>
  <si>
    <t>JASPAR COMMUNICATIONS</t>
  </si>
  <si>
    <t>JITE TECHNOLOGIES INC</t>
  </si>
  <si>
    <t>J LINE TRANSPORT LTD</t>
  </si>
  <si>
    <t>JNE CONSULTING LTD.</t>
  </si>
  <si>
    <t>JNE CONSULTING LTD</t>
  </si>
  <si>
    <t>JORDAN AP LTD</t>
  </si>
  <si>
    <t>JORIKI INC</t>
  </si>
  <si>
    <t>JIM PATTISON ENTERTAINMENT LTD.</t>
  </si>
  <si>
    <t>JOHNSTON RESEARCH AND PERFORM. INC</t>
  </si>
  <si>
    <t>JAMES R RAHEY STORES LIMITED</t>
  </si>
  <si>
    <t>J AND S TELECOM SUPPLIES CORP</t>
  </si>
  <si>
    <t>JETCO MFG</t>
  </si>
  <si>
    <t>JORDANWORKS INCORPORATED</t>
  </si>
  <si>
    <t>KEB HANA BANK CANADA</t>
  </si>
  <si>
    <t>KEDDCO MANUFACTURING LTD</t>
  </si>
  <si>
    <t>JVCKENWOOD CANADA INC</t>
  </si>
  <si>
    <t>KESA HOLDINGS LTD</t>
  </si>
  <si>
    <t>KLEEN FLO TUMBLER INDUSTRIES LTD</t>
  </si>
  <si>
    <t>KING FREIGHT LINES LIMITED</t>
  </si>
  <si>
    <t>KIA CANADA INC</t>
  </si>
  <si>
    <t>KUWAIT INVESTMENT OFFICE</t>
  </si>
  <si>
    <t>KINSHOFER LIFTALL INC</t>
  </si>
  <si>
    <t>KLUANE DRILLING LTD</t>
  </si>
  <si>
    <t>KIN LAI STORE FIXTURES LTD</t>
  </si>
  <si>
    <t>KEMEX ENGINEERING SERVICES LTD.</t>
  </si>
  <si>
    <t>KML FOOD &amp; CONFECTIONERY LIMITED</t>
  </si>
  <si>
    <t>KINETICS NOISE CONTROL INC</t>
  </si>
  <si>
    <t>KLEEN OIL FILTRATION CANADA LTD</t>
  </si>
  <si>
    <t>KOM SOFTWARE INC</t>
  </si>
  <si>
    <t>KONINK LOGISTICS INC.</t>
  </si>
  <si>
    <t>KO SUMOI HOLDINGS LTD</t>
  </si>
  <si>
    <t>KARL W RICHTER LTD</t>
  </si>
  <si>
    <t>LABRADOR IRON ORE ROYALTY CORPORATION</t>
  </si>
  <si>
    <t>LES AGENCIES LISETTE LIMOGE INC</t>
  </si>
  <si>
    <t>621189 ONTARIO INC LARWAY TRAF SYS</t>
  </si>
  <si>
    <t>LATONA ENTERPRISES LTD</t>
  </si>
  <si>
    <t>LOGIQ ASSET MANAGEMENT</t>
  </si>
  <si>
    <t>LINCLUDEN BALANCED FUND</t>
  </si>
  <si>
    <t>LABATT BREWERIES OF CANADA LP</t>
  </si>
  <si>
    <t>LINCLUDEN BOND POOLED FUND</t>
  </si>
  <si>
    <t>ABBEY NECKWEAR LTD.</t>
  </si>
  <si>
    <t>LIQUOR CONTROL BOARD OF ONTARIO</t>
  </si>
  <si>
    <t>LASSING DIBBEN CONSULTING ENGINEERS</t>
  </si>
  <si>
    <t>LE SHERATON CENTRE LP</t>
  </si>
  <si>
    <t>LEGAL ALFALFA PRODUCTS LTD.</t>
  </si>
  <si>
    <t>L. HANSEN'S FORWARDING LTD.</t>
  </si>
  <si>
    <t>LHM TECHNOLOGIES INC</t>
  </si>
  <si>
    <t>P.T. BANK CIMB NIAGA TBK</t>
  </si>
  <si>
    <t>INTEGRA DIVERSIFIED FUND</t>
  </si>
  <si>
    <t>LIMSON CANADA LTD.</t>
  </si>
  <si>
    <t>LINCLUDEN INVESTMENT MANAGEMENT LIMITED (AS AGENT)</t>
  </si>
  <si>
    <t>LINK CORPORATION</t>
  </si>
  <si>
    <t>LISTOWEL TECHNOLOGY INC.</t>
  </si>
  <si>
    <t>LLINK CONSULTING CORPORATION</t>
  </si>
  <si>
    <t>LITTLE LAKES MACHINE AND TOOL CO LT</t>
  </si>
  <si>
    <t>LUNDIN MINING CORPORATION</t>
  </si>
  <si>
    <t>LINEAR METALS CORP</t>
  </si>
  <si>
    <t>LN REYNOLDS CO LIMITED</t>
  </si>
  <si>
    <t>LENNOX INDUSTRIES (CANADA) LTD.</t>
  </si>
  <si>
    <t>LENNOX INDUSTRIES (CANADA) LTD</t>
  </si>
  <si>
    <t>LABORERS PENSION FUND OF WESTERN CANADA</t>
  </si>
  <si>
    <t>LEISURE CARE LLC</t>
  </si>
  <si>
    <t>A LASSONDE INC</t>
  </si>
  <si>
    <t>LASSONDE INDUSTRIES INC</t>
  </si>
  <si>
    <t>LAVEL TOOL AND MOULD LTD</t>
  </si>
  <si>
    <t>LAVAL TOOL AND MOULD LTD</t>
  </si>
  <si>
    <t>LTP SPORTS GROUP INC.</t>
  </si>
  <si>
    <t>LTP SPORTS GROUP LTD</t>
  </si>
  <si>
    <t>LVMH WATCH AND JEWELRY USA INC</t>
  </si>
  <si>
    <t>MARTINREA INTERNATIONAL INC.</t>
  </si>
  <si>
    <t>AFTRAL CANADA INC.</t>
  </si>
  <si>
    <t>MADURO AND CURIELS BANK NV</t>
  </si>
  <si>
    <t>MAGNA INTERNATIONAL INC</t>
  </si>
  <si>
    <t>MAGNA INTERNATIONAL INC.</t>
  </si>
  <si>
    <t>ALBANY INTERNATIONAL CANADA CORP</t>
  </si>
  <si>
    <t>MAIZEING ACRES INC</t>
  </si>
  <si>
    <t>ARON LIEBERMAN CONNECTION</t>
  </si>
  <si>
    <t>MALNAR INDUSTRIES LTD</t>
  </si>
  <si>
    <t>L-3 MAPPS INC.</t>
  </si>
  <si>
    <t>ARDEN HOLDINGS INC</t>
  </si>
  <si>
    <t>NORTHBRIDGE GENERAL INSURANCE CORPORATION</t>
  </si>
  <si>
    <t>MATTEL EUROPA BV</t>
  </si>
  <si>
    <t>MAXIES EXCAVATING PARTNERSHIP</t>
  </si>
  <si>
    <t>BCE INC.</t>
  </si>
  <si>
    <t>MULTI BAG IMPORTS INC</t>
  </si>
  <si>
    <t>METROPOLITAN BANK AND TRUST COMPANY</t>
  </si>
  <si>
    <t>PH&amp;N INFLATION LINKED BOND FUND</t>
  </si>
  <si>
    <t>PH&amp;N MONTHLY INCOME FUND</t>
  </si>
  <si>
    <t>PH&amp;N MONTHLY INCOME FUND SUB A</t>
  </si>
  <si>
    <t>PH&amp;N MONTHLY INCOME FUND SUB B</t>
  </si>
  <si>
    <t>MCCAUL IMPORTERS LIMITED</t>
  </si>
  <si>
    <t>CANADIAN BUTTONS LIMITED</t>
  </si>
  <si>
    <t>MC COMMERCIAL INC</t>
  </si>
  <si>
    <t>CERAMIQUE DECOR MSF INC</t>
  </si>
  <si>
    <t>MACARTNEY FARMS LTD</t>
  </si>
  <si>
    <t>SCOTIA TRUST AMERICAN EQUITY COMMON</t>
  </si>
  <si>
    <t>MICON INTERNATIONAL LIMITED</t>
  </si>
  <si>
    <t>CLERMOND HAMEL LTEE</t>
  </si>
  <si>
    <t>CLYVANOR LTEE</t>
  </si>
  <si>
    <t>CONTEMPRAKNIT LTD</t>
  </si>
  <si>
    <t>MACKENZIE CUNDILL VALUE FUND</t>
  </si>
  <si>
    <t>CYG INTERNATIONAL</t>
  </si>
  <si>
    <t>MEGA FURNITURE IMPORTS LTD.</t>
  </si>
  <si>
    <t>EMPIRE BUFF COMPANY LTD.</t>
  </si>
  <si>
    <t>MEMTRONIK INNOVATIONS INC.</t>
  </si>
  <si>
    <t>Memtronik innovations Inc</t>
  </si>
  <si>
    <t>ENERTRAK INC.</t>
  </si>
  <si>
    <t>THE MEGILL STEPHENSON COMPANY LIMITED</t>
  </si>
  <si>
    <t>THE MEGILL STEPHENSON CO LTD</t>
  </si>
  <si>
    <t>MACKENZIE IVY FOREIGN EQUITY CURRENCY NEUTRAL CLASS</t>
  </si>
  <si>
    <t>MACKENZIE IVY GLOBAL BALANCED FUND</t>
  </si>
  <si>
    <t>MACKENZIE IVY GLOBAL BALANCED FUND GLOBAL OR IVY</t>
  </si>
  <si>
    <t>MACKENZIE IVY GLOBAL BALANCED FUND FIXED INCOME</t>
  </si>
  <si>
    <t>MACKENZIE IVY FOREIGN EQUITY CLASS</t>
  </si>
  <si>
    <t>MACKENZIE GLOBAL GROWTH CLASS</t>
  </si>
  <si>
    <t>MACKENZIE US MID CAP GROWTH CLASS</t>
  </si>
  <si>
    <t>MACKENZIE INCOME FUND</t>
  </si>
  <si>
    <t>MACKENZIE GLOBAL SMALL CAP GROWTH FUND</t>
  </si>
  <si>
    <t>MACKENZIE CANADIAN LARGE CAP DIVIDEND FUND</t>
  </si>
  <si>
    <t>MACKENZIE IVY FOREIGN EQUITY FUND</t>
  </si>
  <si>
    <t>MACKENZIE IVY CANADIAN FUND</t>
  </si>
  <si>
    <t>MACKENZIE CUNDILL CANADIAN BALANCED FUND 7404</t>
  </si>
  <si>
    <t>MACKENZIE CUNDILL CANADIAN BALANCED FUND</t>
  </si>
  <si>
    <t>CANADIAN ELEVATOR INDUSTRY PENSION</t>
  </si>
  <si>
    <t>CANADIAN ELEVATOR INDUSTRY PENSION FUND</t>
  </si>
  <si>
    <t>GWL EQUITY FUND</t>
  </si>
  <si>
    <t>GWL SMALLER COMPANY FUND</t>
  </si>
  <si>
    <t>LONDON LIFE EQUITY FUND</t>
  </si>
  <si>
    <t>LONDON LIFE INCOME FUND</t>
  </si>
  <si>
    <t>MCLEAN FOUNDRY LIMITED</t>
  </si>
  <si>
    <t>FOCUS MICROWAVES INC</t>
  </si>
  <si>
    <t>FOLIO INSTRUMENTS INC</t>
  </si>
  <si>
    <t>FOLIO INSTRUMENTS INC.</t>
  </si>
  <si>
    <t>3636089 CANADA INC</t>
  </si>
  <si>
    <t>GEORGE COUREY INC.</t>
  </si>
  <si>
    <t>GEORGE COUREY INC</t>
  </si>
  <si>
    <t>MGF US BOND FUND</t>
  </si>
  <si>
    <t>MASTER GLOBE FORWARDING INC</t>
  </si>
  <si>
    <t>GROUPE LELYS INC</t>
  </si>
  <si>
    <t>GUARANTEE HANDBAGS CO LTD</t>
  </si>
  <si>
    <t>QUICKSILVER RESOURCES CANADA INC</t>
  </si>
  <si>
    <t>GARDA WORLD SECURITY CORPORATION</t>
  </si>
  <si>
    <t>MANITOBA HYDRO ELECTRIC BOARD</t>
  </si>
  <si>
    <t>MULTY HOME LP</t>
  </si>
  <si>
    <t>HOTELLUS MONTREAL HOLDINGS INC</t>
  </si>
  <si>
    <t>MIELE LIMITED</t>
  </si>
  <si>
    <t>MATTEL INTERNATIONAL FINANCE BV</t>
  </si>
  <si>
    <t>MILLI LIMITED</t>
  </si>
  <si>
    <t>MITEL NETWORKS CORPORATION</t>
  </si>
  <si>
    <t>LESLIE WOODS FUR FARMS LIMITED</t>
  </si>
  <si>
    <t>MOODYS INVESTORS SERVICE, INC.</t>
  </si>
  <si>
    <t>MANULIFE INVESTMENTS TRUST STRATEGI</t>
  </si>
  <si>
    <t>MORTON INDUSTRIAL SALES AND SERVICE</t>
  </si>
  <si>
    <t>JAY PLASTICS CO INC</t>
  </si>
  <si>
    <t>LES FIBRES J C INC</t>
  </si>
  <si>
    <t>J.P. DOUMAK TEXTILES INC</t>
  </si>
  <si>
    <t>M K POWER PRODUCTS COPR</t>
  </si>
  <si>
    <t>LIGNI BEL LTD.</t>
  </si>
  <si>
    <t>LLTEK MOTORSPORTS</t>
  </si>
  <si>
    <t>LANDAU SACAMOTO HANDBAGS INC</t>
  </si>
  <si>
    <t>LANDAU SACAMOTO INC.</t>
  </si>
  <si>
    <t>MAINETTI CANADA INC</t>
  </si>
  <si>
    <t>MANTHAMED INC</t>
  </si>
  <si>
    <t>SCOTIA MONEY MARKET FUND</t>
  </si>
  <si>
    <t>MEDIQUE FOURNITURES MEDICALES (MGBR) INC.</t>
  </si>
  <si>
    <t>MARCREST MANUFACTURING INC</t>
  </si>
  <si>
    <t>MONDOR LUMBER INC.</t>
  </si>
  <si>
    <t>MARTIN MARIETTA MATERIALS CANADA LT</t>
  </si>
  <si>
    <t>ACCORD FINANCIAL INC.</t>
  </si>
  <si>
    <t>MBM INTELLECTUAL PROPERTY LAW LLP</t>
  </si>
  <si>
    <t>MMV FINANCIAL INC</t>
  </si>
  <si>
    <t>MAGNUM INTEGRATED TECHNOLOGIES INC</t>
  </si>
  <si>
    <t>MOBILE CLIMATE CONTROL INDUSTRIES</t>
  </si>
  <si>
    <t>MONSEN'S SPORTING GOODS LIMITED</t>
  </si>
  <si>
    <t>MORRISON HERSHFIELD GROUP INC</t>
  </si>
  <si>
    <t>MOTORCADE INDUSTRIES LTD</t>
  </si>
  <si>
    <t>PAPILLON BLANC LINGERIE INC</t>
  </si>
  <si>
    <t>M.P. FILTRI (CANADA) INC</t>
  </si>
  <si>
    <t>POLYSTAR PACKAGING INC.</t>
  </si>
  <si>
    <t>MONTREAL POLICE PENSION FUND ASSOCIATION</t>
  </si>
  <si>
    <t>LUXURY HOTELS INTERNATIONAL OF CANADA ULC</t>
  </si>
  <si>
    <t>MARINER PARTNERS INC</t>
  </si>
  <si>
    <t>MICA SPORTS CANADA INC</t>
  </si>
  <si>
    <t>PRODUITS CHIMIQUES SEIGNEURIE</t>
  </si>
  <si>
    <t>PLACE DUPUIS</t>
  </si>
  <si>
    <t>MANULIFE STRATEGIC INCOME FUND</t>
  </si>
  <si>
    <t>SNC-LAVALIN GROUP INC.</t>
  </si>
  <si>
    <t>SUPREME LACES INC</t>
  </si>
  <si>
    <t>SEMAFO INC</t>
  </si>
  <si>
    <t>PAPILLON INTERNATIONAL INC.</t>
  </si>
  <si>
    <t>METASOFT SYSTEMS INC</t>
  </si>
  <si>
    <t>MASTERLOY PRODUCTS COMPANY</t>
  </si>
  <si>
    <t>MAHER TERMINALS HOLDING CORP</t>
  </si>
  <si>
    <t>TRANSCO PACKAGING GROUP LTD.</t>
  </si>
  <si>
    <t>TRANSAT AT INC</t>
  </si>
  <si>
    <t>TRANSAT A.T. INC.</t>
  </si>
  <si>
    <t>TELESYSTEM LTD</t>
  </si>
  <si>
    <t>MOORES THE SUIT PEOPLE</t>
  </si>
  <si>
    <t>MTU MAINTENANCE CANADA LTD</t>
  </si>
  <si>
    <t>MULTIMATIC INDUSTRIES INC</t>
  </si>
  <si>
    <t>VALERO ENERGY INC.</t>
  </si>
  <si>
    <t>MULLER MARTINI CANADA INC</t>
  </si>
  <si>
    <t>MUSHROOM PRODUCERS COOPERATIVE INC</t>
  </si>
  <si>
    <t>MUTUAL TRANSPORTATION</t>
  </si>
  <si>
    <t>WESTCLIFF GROUP</t>
  </si>
  <si>
    <t>NAVISTAR CANADA INC</t>
  </si>
  <si>
    <t>NATIONAL DEVELOPMENTS LTD.</t>
  </si>
  <si>
    <t>NORTH AMERICAN DENTAL WHOLESALERS INC.</t>
  </si>
  <si>
    <t>BLACKROCK GLOBAL FUNDS NORTH AMERI</t>
  </si>
  <si>
    <t>NACIONAL FINANCIERA, S.N.C.</t>
  </si>
  <si>
    <t>NACIONAL FINANCIERA SNC</t>
  </si>
  <si>
    <t>NORTH AMERICAN LIGHTING PRODUCTS</t>
  </si>
  <si>
    <t>8060274 CANADA INC  LES NANA</t>
  </si>
  <si>
    <t>THE JUICE PLUS COMPANY CANADA INC</t>
  </si>
  <si>
    <t>NATT TOOLS GROUP INC</t>
  </si>
  <si>
    <t>NATT TOOLS GROUP INC.</t>
  </si>
  <si>
    <t>NBIMC CORPORATE BOND FUND</t>
  </si>
  <si>
    <t>NBIMC LOW VOLATILITY US EQUITY FUND CLASS N</t>
  </si>
  <si>
    <t>NBIMC LOW VOLATILITY INTERNATIONAL L EQUITY FUND CLASS N</t>
  </si>
  <si>
    <t>NBIMC LOW VOLATILITY INTERNATIONAL EQUITY FUND</t>
  </si>
  <si>
    <t>NBIMC LOW VOLATILITY INTERNATIONAL EQUITY FUND CLASS N</t>
  </si>
  <si>
    <t>NBIMC US EQUITY INDEX FUND CLASS N</t>
  </si>
  <si>
    <t>NBIMC US EQUITY INDEX FUND</t>
  </si>
  <si>
    <t>NATIONAL BANK OF CAMBODIA</t>
  </si>
  <si>
    <t>NATIONAL BANK OF RAS AL-KHAIMAH PSC</t>
  </si>
  <si>
    <t>NAV CANADA PENSION PLAN NVP02</t>
  </si>
  <si>
    <t>NAV CANADA PENSION PLAN NVP03</t>
  </si>
  <si>
    <t>NAV CANADA PENSION PLAN</t>
  </si>
  <si>
    <t>NAV CANADA PENSION PLAN NVN59</t>
  </si>
  <si>
    <t>NAV CANADA PENSION PLAN NVN58</t>
  </si>
  <si>
    <t>NAV CANADA PENSION PLAN NVP01</t>
  </si>
  <si>
    <t>NAV CANADA PENSION PLAN NVN61</t>
  </si>
  <si>
    <t>NAV CANADA PENSION PLAN NVN57</t>
  </si>
  <si>
    <t>NAV CANADA PENSION PLAN NVP72</t>
  </si>
  <si>
    <t>NAV CANADA PENSION PLAN NVP96</t>
  </si>
  <si>
    <t>NAV CANADA PENSION PLAN NVP77</t>
  </si>
  <si>
    <t>NAV CANADA PENSION PLAN NVP68</t>
  </si>
  <si>
    <t>NAV CANADA PENSION PLAN NVN53</t>
  </si>
  <si>
    <t>NAV CANADA PENSION PLAN NVN55</t>
  </si>
  <si>
    <t>NORDAN GROUP INC</t>
  </si>
  <si>
    <t>NEBS BUSINESS PRODUCTS</t>
  </si>
  <si>
    <t>NEVCO SCOREBOARD COMPANY ULC</t>
  </si>
  <si>
    <t>FARNELL PACKAGING LIMITED</t>
  </si>
  <si>
    <t>NORTHUMBERLAND CO OP LTD</t>
  </si>
  <si>
    <t>NIAGARA GORGE JET BOATING LTD</t>
  </si>
  <si>
    <t>ROCKPOINT GAS STORAGE US, LLC</t>
  </si>
  <si>
    <t>KRINOS FOODS CANADA LTD</t>
  </si>
  <si>
    <t>NALCOR ENERGY</t>
  </si>
  <si>
    <t>NOVELIS AG</t>
  </si>
  <si>
    <t>NORTH AMERICAN PRODUCE BUYERS LTD</t>
  </si>
  <si>
    <t>NOVELIS DEUTSCHLAND GMBH</t>
  </si>
  <si>
    <t>CONDAIR LIMITED</t>
  </si>
  <si>
    <t>NORBORD INC. GROUP</t>
  </si>
  <si>
    <t>NORBORD INC</t>
  </si>
  <si>
    <t>NORBORD INC.</t>
  </si>
  <si>
    <t>NORSTAR CORPORATION</t>
  </si>
  <si>
    <t>NORINCHUKIN BANK</t>
  </si>
  <si>
    <t>BRUNSWICK ENTERPRISES LTD</t>
  </si>
  <si>
    <t>NORWOOD INTERNATIONAL INC</t>
  </si>
  <si>
    <t>NORREP SHORT TERM INCOME FUND</t>
  </si>
  <si>
    <t>NORTH AMERICAN PALLADIUM LIMITED</t>
  </si>
  <si>
    <t>NORREP ENTREPRENEURS CLASS</t>
  </si>
  <si>
    <t>NORREP GLOBAL INCOME GROWTH CLASS</t>
  </si>
  <si>
    <t>NORREP INCOME GROWTH CLASS</t>
  </si>
  <si>
    <t>NORTHERN PLASTIC LUMBER INC</t>
  </si>
  <si>
    <t>NETWORK POWER SOLUTIONS INC</t>
  </si>
  <si>
    <t>NORSTEEL BUILDINGS LIMITED</t>
  </si>
  <si>
    <t>NORREP OPPORTUNIES CORP GROUP FUNDS GROUP</t>
  </si>
  <si>
    <t>NORREP OPPORTUNITIES CORP. GROUP OF FUNDS</t>
  </si>
  <si>
    <t>NOVA SCOTIA BUSINESS INC</t>
  </si>
  <si>
    <t>NORM SMILEY SALES INC</t>
  </si>
  <si>
    <t>NORTERRA INC</t>
  </si>
  <si>
    <t>WITTMAN CANADA INC</t>
  </si>
  <si>
    <t>NEW UNITED GODERICH INC</t>
  </si>
  <si>
    <t>1852884 ONT INC OA NUTRITION CLUB</t>
  </si>
  <si>
    <t>AHEARN AND SOPER INC.</t>
  </si>
  <si>
    <t>AMPHENOL CANADA CORP.</t>
  </si>
  <si>
    <t>ATS AUTOMATION TOOLING SYSTEMS INC</t>
  </si>
  <si>
    <t>ATS AUTOMATION TOOLING SYSTEMS INC.</t>
  </si>
  <si>
    <t>STAPLES CANADA INC.</t>
  </si>
  <si>
    <t>CANADA COLORS AND CHEMICALS LIMITED</t>
  </si>
  <si>
    <t>CANADIAN COMMERCIAL CORPORATION</t>
  </si>
  <si>
    <t>OCE CANADA INC</t>
  </si>
  <si>
    <t>OCEAN PACKERS INC</t>
  </si>
  <si>
    <t>CANPLAS INDUSTRIES LTD.</t>
  </si>
  <si>
    <t>ARTELIA CANADA INC</t>
  </si>
  <si>
    <t>DIAGNOSTIX LTD</t>
  </si>
  <si>
    <t>O DONNELL LINE AND ELECTRICAL LTD</t>
  </si>
  <si>
    <t>EDAC INC</t>
  </si>
  <si>
    <t>FOUR SEASONS HOTELS INC91132</t>
  </si>
  <si>
    <t>FABRICMASTER INC.</t>
  </si>
  <si>
    <t>OFFSHORE PERFORMANCE MARINE INC</t>
  </si>
  <si>
    <t>GENTEC (A PARTNERSHIP)</t>
  </si>
  <si>
    <t>MISSOURI COTEAU CATTLE CO LTD</t>
  </si>
  <si>
    <t>MISSOURI COTEAU CATTLE COMPANY LTD</t>
  </si>
  <si>
    <t>IDEAL ROOFING COMPANY LTD</t>
  </si>
  <si>
    <t>IMPACTO PROTECTIVE PRODUCTS INC</t>
  </si>
  <si>
    <t>ITALPASTA LIMITED</t>
  </si>
  <si>
    <t>HA KIDD AND COMPANY LIMITED</t>
  </si>
  <si>
    <t>KTI LIMITED</t>
  </si>
  <si>
    <t>OL PRIVATE COUNSEL PTE LTD</t>
  </si>
  <si>
    <t>Maxwell Paper Canada Inc</t>
  </si>
  <si>
    <t>MAXWELL PAPER CANADA INC.</t>
  </si>
  <si>
    <t>OWEMANCO MORTGAGE LIMITED PARTNERSH</t>
  </si>
  <si>
    <t>1570895 ONTARIO LIMITED</t>
  </si>
  <si>
    <t>ONTARIO NEW ENGLAND EXPRESS INC</t>
  </si>
  <si>
    <t>ONEX CORPORATION GROUP</t>
  </si>
  <si>
    <t>ONEX CORPORATION</t>
  </si>
  <si>
    <t>THE ONTARIO NFWA TRUST</t>
  </si>
  <si>
    <t>ONEX PARTNERS ADVISORS LP</t>
  </si>
  <si>
    <t>1812035 ONTARIO LIMITED</t>
  </si>
  <si>
    <t>1287454 ONTARIO LIMITED</t>
  </si>
  <si>
    <t>NUIMPACT CORPORATION</t>
  </si>
  <si>
    <t>ORLICK INDUSTRIES LIMITED</t>
  </si>
  <si>
    <t>OPEN STORAGE SOLUTIONS INC.</t>
  </si>
  <si>
    <t>ORCHARD PARK GROWERS LTD</t>
  </si>
  <si>
    <t>OPTEST EQUIPMENT INC.</t>
  </si>
  <si>
    <t>ROSE E DEE (INTERNATIONAL) LIMITED</t>
  </si>
  <si>
    <t>ROYAL GROUP INC</t>
  </si>
  <si>
    <t>SELTECH ELECTRONICS INC</t>
  </si>
  <si>
    <t>CARDINAL HEALTH CANADA INC.</t>
  </si>
  <si>
    <t>ELG CANADA, INC</t>
  </si>
  <si>
    <t>WHIN PROPRIETARY CUSTOM FORMULAS CO</t>
  </si>
  <si>
    <t>THERMO CRS LTD</t>
  </si>
  <si>
    <t>THERMO MEASURETECH CANADA INC</t>
  </si>
  <si>
    <t>TRAIN TRAILER RENTALS LIMITED</t>
  </si>
  <si>
    <t>TRANE CANADA CO</t>
  </si>
  <si>
    <t>O-I CANADA CORP.</t>
  </si>
  <si>
    <t>WILDERNESS CANADA TRIPS INCORPORATED</t>
  </si>
  <si>
    <t>GLS METALS GROUP INC.</t>
  </si>
  <si>
    <t>GLS METALS GROUP INC</t>
  </si>
  <si>
    <t>OXFORD DODGE CHRYSLER 1992 LIMITED</t>
  </si>
  <si>
    <t>PALAMAR INDUSTRIES INC.</t>
  </si>
  <si>
    <t>PALMIERI FURNITURE LIMITED</t>
  </si>
  <si>
    <t>PANGEO CORPORATION</t>
  </si>
  <si>
    <t>PETER ANTHONY DESIGN LIMITED</t>
  </si>
  <si>
    <t>PAPA TERRA B.V.</t>
  </si>
  <si>
    <t>PAPER E CLIPS INC</t>
  </si>
  <si>
    <t>PARTNER REINSURANCE COMPANY LTD</t>
  </si>
  <si>
    <t>PARTNER REINSURANCE COMPANY LTD.</t>
  </si>
  <si>
    <t>PATS DRIVELINE SPECIALTY AND MACHINE EDMONTON LTD</t>
  </si>
  <si>
    <t>POWERSHARES CANADIAN DIVIDEND INDEX</t>
  </si>
  <si>
    <t>PCJ ABSOLUTE RETURN TRUST</t>
  </si>
  <si>
    <t>POWERSHARES CDN PREFERRED SHARE IND</t>
  </si>
  <si>
    <t>PACIFIC COAST STEEL DETAILING LTD</t>
  </si>
  <si>
    <t>POWERSHARES DIVERSIFIED YIELD FUND</t>
  </si>
  <si>
    <t>PEACE RIVER COAL INC</t>
  </si>
  <si>
    <t>BANCO DE LA NACION</t>
  </si>
  <si>
    <t>PETRONAS ENERGY CANADA LTD.</t>
  </si>
  <si>
    <t>PETRONAS ENERGY CANADA LTD</t>
  </si>
  <si>
    <t>PIMCO EMERGING MARKETS BOND FUND</t>
  </si>
  <si>
    <t>PACIFIC INVESTMENT MANAGEMENT COMPANY LLC, SOLELY IN ITS CAPACITY AS ADVISOR ON BEHALF OF  PIMCO FUNDS: PIMCO EMERGING MARKETS BOND FUND</t>
  </si>
  <si>
    <t>PIMCO FUNDS: EM771</t>
  </si>
  <si>
    <t>PENWOOD SWAPCO INC.</t>
  </si>
  <si>
    <t>PROVIDENT ENERGY LTD</t>
  </si>
  <si>
    <t>PENSAFE INC</t>
  </si>
  <si>
    <t>PERFORMANCE IMPROVEMENTS</t>
  </si>
  <si>
    <t>PERFORMANCE PRINTING LIMITED</t>
  </si>
  <si>
    <t>PETROBRAS NETHERLANDS B.V.</t>
  </si>
  <si>
    <t>PEYTO EXPLORATION AND DEVELOPMENT CORP</t>
  </si>
  <si>
    <t>PEYTO EXPLORATION &amp; DEVELOPMENT CORP.</t>
  </si>
  <si>
    <t>PFAFF MOTORS INC</t>
  </si>
  <si>
    <t>POWERSHARES FTSE RAFI CAD FUND INDX</t>
  </si>
  <si>
    <t>POWERSHARES FTSE RAFI GLOBAL N FUND</t>
  </si>
  <si>
    <t>POWERSHARES FTSE RAFI US FUNDAMT FD</t>
  </si>
  <si>
    <t>POWERSHARES GLOBAL AGRICULTURE CLAS</t>
  </si>
  <si>
    <t>POWERSHARES GLOBAL DIVIDEND ACHIEVE</t>
  </si>
  <si>
    <t>PETROBRAS GLOBAL FINANCE B.V.</t>
  </si>
  <si>
    <t>SOCIAL HOUSING CANADIAN EQUITY FUND</t>
  </si>
  <si>
    <t>PH&amp;N SMALL FLOAT FUND</t>
  </si>
  <si>
    <t>RBC QUBE LOW-VOLATILITY CANADIAN EQUITY FUND</t>
  </si>
  <si>
    <t>RBC QUBE CANADIAN EQUITY FUND</t>
  </si>
  <si>
    <t>RBC QUBE LOW VOLATILITY U.S. EQUITY FUND</t>
  </si>
  <si>
    <t>RBC QUBE LOW VOLATILITY GLOBAL EQUITY FUND</t>
  </si>
  <si>
    <t>RBC QUBE U.S. EQUITY MARKET NEUTRAL FUND</t>
  </si>
  <si>
    <t>PH&amp;N CANADIAN INCOME FUND</t>
  </si>
  <si>
    <t>PH&amp;N US MULTI-STYLE ALL-CAP EQUITY FUND</t>
  </si>
  <si>
    <t>PH&amp;N DIVIDEND INCOME FUND</t>
  </si>
  <si>
    <t>PH&amp;N U.S. DIVIDEND INCOME FUND</t>
  </si>
  <si>
    <t>PH&amp;N U.S. EQUITY FUND</t>
  </si>
  <si>
    <t>PH&amp;N CANADIAN EQUITY FUND</t>
  </si>
  <si>
    <t>PH&amp;N CURRENCY-HEDGED U.S. EQUITY FUND</t>
  </si>
  <si>
    <t>PH&amp;N OVERSEAS EQUITY FUND</t>
  </si>
  <si>
    <t>PH&amp;N CURRENCY-HEDGED OVERSEAS EQUITY FUND</t>
  </si>
  <si>
    <t>PH&amp;N GLOBAL EQUITY FUND</t>
  </si>
  <si>
    <t>PH&amp;N CANADIAN GROWTH FUND</t>
  </si>
  <si>
    <t>PH&amp;N VINTAGE FUND</t>
  </si>
  <si>
    <t>PH&amp;N U.S. GROWTH FUND</t>
  </si>
  <si>
    <t>PH&amp;N CANADIAN EQUITY PLUS PENSION TRUST</t>
  </si>
  <si>
    <t>PH&amp;N U.S. POOLED PENSION FUND</t>
  </si>
  <si>
    <t>PH&amp;N CANADIAN EQUITY PENSION TRUST</t>
  </si>
  <si>
    <t>PHAINO INTERNATIONAL INC</t>
  </si>
  <si>
    <t>AFFIN BANK BERHAD</t>
  </si>
  <si>
    <t>AFFIB BANK BERHAD</t>
  </si>
  <si>
    <t>PHILIP AND HENRY USA</t>
  </si>
  <si>
    <t>PHIBRO ANIMAL HEALTH CORP</t>
  </si>
  <si>
    <t>PHILLIPS HAGER AND NORTH ABSOLUTE  RETURN FUND</t>
  </si>
  <si>
    <t>PH&amp;N BALANCED FUND</t>
  </si>
  <si>
    <t>PH&amp;N HIGH YIELD BOND FUND</t>
  </si>
  <si>
    <t>PH&amp;N SHORT TERM BOND &amp; MORTGAGE FUND</t>
  </si>
  <si>
    <t>PH&amp;N TOTAL RETURN BOND FUND</t>
  </si>
  <si>
    <t>PH&amp;N COMMUNITY VALUES BALANCED FUND</t>
  </si>
  <si>
    <t>PHN LIFETIME 2015</t>
  </si>
  <si>
    <t>PHN LIFETIME 2020</t>
  </si>
  <si>
    <t>PHN LIFETIME 2030</t>
  </si>
  <si>
    <t>PHN LIFETIME 2035</t>
  </si>
  <si>
    <t>PHN LIFETIME 2040</t>
  </si>
  <si>
    <t>PHN LIFETIME 2045</t>
  </si>
  <si>
    <t>PIRLITOR MACHINE AND TOOL LIMITED</t>
  </si>
  <si>
    <t>POCZO MANUFACTURING COMPANY LIMITED</t>
  </si>
  <si>
    <t>RBC PRIVATE U.S. LARGE-CAP VALUE EQUITY CURRENCY NEUTRAL POOL</t>
  </si>
  <si>
    <t>RBC PRIVATE U.S. LARGE-CAP CORE EQUITY CURRENCY NEUTRAL POOL</t>
  </si>
  <si>
    <t>PLAINS MARKETING LP</t>
  </si>
  <si>
    <t>POWERSHARES 1 TO 5 YEAR LADDER CORP</t>
  </si>
  <si>
    <t>PRIMERICA LIFE INSURANCE CO OF CDA</t>
  </si>
  <si>
    <t>PLASTIC PLUS LIMITED</t>
  </si>
  <si>
    <t>PICTON MAHONEY INCOME OPPORTUNITIES FUND</t>
  </si>
  <si>
    <t>PERIMETER INSTITUTE</t>
  </si>
  <si>
    <t>THE PENSION OFF CORP OF ANG CH CAN</t>
  </si>
  <si>
    <t>POLTECH BUHER INC</t>
  </si>
  <si>
    <t>HEATLINK GROUP INC.</t>
  </si>
  <si>
    <t>PORTER AIRLINES INC</t>
  </si>
  <si>
    <t>152245 CANADA INC.</t>
  </si>
  <si>
    <t>POWERMASTER MACHINERY LTD.</t>
  </si>
  <si>
    <t>PRINTERS PARTS AND EQUIPMENT</t>
  </si>
  <si>
    <t>PIPETEL TECHNOLOGIES INC</t>
  </si>
  <si>
    <t>PARTNER REINSURANCE EUROPE SE</t>
  </si>
  <si>
    <t>PARTNER REINSURANCE EUROPE SE - PARIS BRANCH</t>
  </si>
  <si>
    <t>PROFUTURO AFP PR-FONDO 1</t>
  </si>
  <si>
    <t>PROFUTURO AFP PR FONDO 1</t>
  </si>
  <si>
    <t>PROFUTURO AFP PR FONDO 2</t>
  </si>
  <si>
    <t>PROFUTURO AFP PR-FONDO 2</t>
  </si>
  <si>
    <t>PROFUTURO AFP PR-FONDO 3</t>
  </si>
  <si>
    <t>PRIMECONTACT INC</t>
  </si>
  <si>
    <t>8209995 CANADA INC</t>
  </si>
  <si>
    <t>PROTOCASE INCORPORATED</t>
  </si>
  <si>
    <t>PRASAD PLASTICS LTD</t>
  </si>
  <si>
    <t>POWERSHARES REAL RETURN BOND INDEX</t>
  </si>
  <si>
    <t>PARTNERRE LTD.</t>
  </si>
  <si>
    <t>SCOTIA PREMIUM T-BILL FUND</t>
  </si>
  <si>
    <t>POWERSHARES TACTICAL BOND CAPITAL</t>
  </si>
  <si>
    <t>POWERSHARES TACTICAL BOND FUND</t>
  </si>
  <si>
    <t>POWERSHARES TACTICAL CAD ASSET ALLO</t>
  </si>
  <si>
    <t>PATZ CORPORATION</t>
  </si>
  <si>
    <t>PUBLIC BANK BERHAD</t>
  </si>
  <si>
    <t>PUBLIC BANK BHD</t>
  </si>
  <si>
    <t>PULP MOULDING DIES INC</t>
  </si>
  <si>
    <t>PIONEER NATURAL RESOURCES USA  INC</t>
  </si>
  <si>
    <t>PIONEER NATURAL RESOURCES USA INC</t>
  </si>
  <si>
    <t>POWERSHARES QQQ CLASS</t>
  </si>
  <si>
    <t>POWERSHARES HIGH YIELD CORP BOND IN</t>
  </si>
  <si>
    <t>ALCOR MATERIAUX DE TOITURE INC</t>
  </si>
  <si>
    <t>BROUE ALLIANCE INC</t>
  </si>
  <si>
    <t>BROUE-ALLIANCE INC. / BREW ALLIANCE INC.</t>
  </si>
  <si>
    <t>BIOFORCE CANADA INC</t>
  </si>
  <si>
    <t>BIONETICS LTD</t>
  </si>
  <si>
    <t>BOULET LEMELIN YACHT INC.</t>
  </si>
  <si>
    <t>BLUEGRASS STAKING SERVICE INC</t>
  </si>
  <si>
    <t>CADIM INC</t>
  </si>
  <si>
    <t>LINGERIE CLAUDEL INC</t>
  </si>
  <si>
    <t>CONVERBIT INC</t>
  </si>
  <si>
    <t>CYBERFREIGHT SYSTEMS INC</t>
  </si>
  <si>
    <t>DATANETICS LTD</t>
  </si>
  <si>
    <t>DIAMOND TEA GOWNS</t>
  </si>
  <si>
    <t>EDELSTEIN DIVERSIFIED CO LTD</t>
  </si>
  <si>
    <t>GRISSPASTA PRODUCTS LTD</t>
  </si>
  <si>
    <t>IMPERIAL TOBACCO CANADA LTD</t>
  </si>
  <si>
    <t>LAFCO OUTILLAGE INC/LAFCO TOOLING</t>
  </si>
  <si>
    <t>LES EDITIONS FLAMMARION LTEE</t>
  </si>
  <si>
    <t>LHS ENTERPRISES INC</t>
  </si>
  <si>
    <t>LES PRODUITS PLASTIQUE QUALIPAK INC</t>
  </si>
  <si>
    <t>QATAR CENTRAL BANK</t>
  </si>
  <si>
    <t>MDF MECHANICAL LIMITED</t>
  </si>
  <si>
    <t>NELLSON NEUTRACEUTICAL CANADA INC</t>
  </si>
  <si>
    <t>9157-3659 QUEBEC INC</t>
  </si>
  <si>
    <t>9095-5451 QUEBEC INC</t>
  </si>
  <si>
    <t>ODYSSEY SHIPPING LTD</t>
  </si>
  <si>
    <t>PENTAGON GRAPHICS LTD</t>
  </si>
  <si>
    <t>PALLAY PACK INC</t>
  </si>
  <si>
    <t>RAMACIERI SOLIGO INC</t>
  </si>
  <si>
    <t>SDL INTERNATIONAL CANADA INC</t>
  </si>
  <si>
    <t>FONDATION SEMAFO</t>
  </si>
  <si>
    <t>STACS DNA INC.</t>
  </si>
  <si>
    <t>STERILITE INC</t>
  </si>
  <si>
    <t>SOCIETE DE VIN INTERNATIONALE LTEE</t>
  </si>
  <si>
    <t>TRANSPORT DESGAGNES INC</t>
  </si>
  <si>
    <t>QUALITY GEAR INC</t>
  </si>
  <si>
    <t>QUADRO COMMUNICATIONS CO-OPERATIVE</t>
  </si>
  <si>
    <t>QUEENS UNIVERSITY</t>
  </si>
  <si>
    <t>QUEST PARTNERS LTD</t>
  </si>
  <si>
    <t>QUICK SERVICE SOFTWARE INC</t>
  </si>
  <si>
    <t>WIPECO INDUSTRIES INC</t>
  </si>
  <si>
    <t>WIPECO INDUSTRIES INC.</t>
  </si>
  <si>
    <t>ZEPOLI INTERNATIONAL INC</t>
  </si>
  <si>
    <t>RBC CANADIAN EQUITY FUND</t>
  </si>
  <si>
    <t>RBC BALANCED FUND</t>
  </si>
  <si>
    <t>RBC NORTH AMERICAN GROWTH FUND</t>
  </si>
  <si>
    <t>RBC CANADIAN DIVIDEND FUND</t>
  </si>
  <si>
    <t>RBC CANADIAN T-BILL FUND</t>
  </si>
  <si>
    <t>RBC LIFE SCIENCE AND TECHNOLOGY FUND</t>
  </si>
  <si>
    <t>RBC INTERNATIONAL EQUITY FUND</t>
  </si>
  <si>
    <t>RBC NORTH AMERICAN VALUE FUND</t>
  </si>
  <si>
    <t>RBC BOND FUND</t>
  </si>
  <si>
    <t>RBC GLOBAL BALANCED FUND</t>
  </si>
  <si>
    <t>RBC $US MONEY MARKET</t>
  </si>
  <si>
    <t>RBC US EQUITY FUND</t>
  </si>
  <si>
    <t>RBC GLOBAL PRECIOUS METALS FUND</t>
  </si>
  <si>
    <t>RBC GLOBAL ENERGY FUND</t>
  </si>
  <si>
    <t>RBC ASIAN EQUITY FUND</t>
  </si>
  <si>
    <t>RBC EUROPEAN EQUITY FUND</t>
  </si>
  <si>
    <t>RBC GLOBAL BOND FUND</t>
  </si>
  <si>
    <t>RBC MONTHLY INCOME FUND</t>
  </si>
  <si>
    <t>RBC TAX MANAGED RETURN FUND</t>
  </si>
  <si>
    <t>RBC MANAGED PAYOUT SOLUTION - ENHANCED PLUS</t>
  </si>
  <si>
    <t>RBC GLOBAL CORPORATE BOND FUND</t>
  </si>
  <si>
    <t>RBC CANADIAN EQUITY INCOME FUND</t>
  </si>
  <si>
    <t>RBC GLOBAL DIVIDEND GROWTH FUND</t>
  </si>
  <si>
    <t>RBC GLOBAL RESOURCES FUND</t>
  </si>
  <si>
    <t>RBC JANTZI CANADIAN EQUITY FUND</t>
  </si>
  <si>
    <t>RBC JANTZI BALANCED FUND</t>
  </si>
  <si>
    <t>RBC JANTZI GLOBAL EQUITY FUND</t>
  </si>
  <si>
    <t>RBC U.S. MID-CAP EQUITY FUND</t>
  </si>
  <si>
    <t>O SHAUGHNESSY CANADIAN EQUITY FUND</t>
  </si>
  <si>
    <t>O SHAUGHNESSY U.S. VALUE FUND</t>
  </si>
  <si>
    <t>O SHAUGHNESSY GLOBAL EQUITY FUND</t>
  </si>
  <si>
    <t>RBC PRIVATE CANADIAN MID-CAP EQUITY POOL</t>
  </si>
  <si>
    <t>RBC PRIVATE CANADIAN CORPORATE BOND POOL FUND</t>
  </si>
  <si>
    <t>RBC ADVISOR GLOBAL HIGH YIELD FUND</t>
  </si>
  <si>
    <t>RBC GLOBAL TECHNOLOGY FUND</t>
  </si>
  <si>
    <t>RADA ENTERPRISES INC</t>
  </si>
  <si>
    <t>RADIATOR SPECIALTY COMPANY OF CAD</t>
  </si>
  <si>
    <t>RAIL TERM INC.</t>
  </si>
  <si>
    <t>RAINBOW NET AND RIGGING LTD</t>
  </si>
  <si>
    <t>RAYMOND JAMES LTD</t>
  </si>
  <si>
    <t>RAYTHEON CANADA LTD</t>
  </si>
  <si>
    <t>RESERVE BANK OF AUSTRALIA</t>
  </si>
  <si>
    <t>THE ROYAL BANK OF CANADA (C.I.) LTD.</t>
  </si>
  <si>
    <t>RBH ACCESS TECHNOLOGIES INC</t>
  </si>
  <si>
    <t>ROBERT MCALPINE LTD.</t>
  </si>
  <si>
    <t>RESERVE BANK OF NEW ZEALAND</t>
  </si>
  <si>
    <t>PACIFIC INVESTMENT MANAGEMENT COMPANY LLC, SOLELY IN ITS CAPACITY AS ADVISOR ON BEHALF OF RBC CANADIAN MASTER TRUST.</t>
  </si>
  <si>
    <t>RBC CANADIAN MASTER TRUST</t>
  </si>
  <si>
    <t>RAIL CONNECT TRANSPORTATION AND DIS</t>
  </si>
  <si>
    <t>WALMART, INC.</t>
  </si>
  <si>
    <t>WALMART INC.</t>
  </si>
  <si>
    <t>ST REGIS CRYSTAL INC</t>
  </si>
  <si>
    <t>ARTIS REAL ESTATE INVESTMENT TRUST</t>
  </si>
  <si>
    <t>ROSENDALE FARMS LIMITED</t>
  </si>
  <si>
    <t>RHI CANADA INC</t>
  </si>
  <si>
    <t>NOV CANADA ULC</t>
  </si>
  <si>
    <t>RI GO LIFT TRUCK LIMITED</t>
  </si>
  <si>
    <t>RIVERSIDE OPTICALAB LIMITED</t>
  </si>
  <si>
    <t>RAMSTAR CARBIDE TOOL INC</t>
  </si>
  <si>
    <t>ROBOVER INC.</t>
  </si>
  <si>
    <t>ROCELCO INC</t>
  </si>
  <si>
    <t>ROUSSEAUS LIMITED</t>
  </si>
  <si>
    <t>REZNICK &amp; PARTNERS CARPET CO LTD</t>
  </si>
  <si>
    <t>RP DEBT OPPORTUNITIES FUND LTD</t>
  </si>
  <si>
    <t>RBC PRIVATE EAFE EQUITY POOL</t>
  </si>
  <si>
    <t>RED PINE OUTDOOR EQUIPMENT INC</t>
  </si>
  <si>
    <t>REVISED PENSION PLAN OF QUEENS UNIVERSITY</t>
  </si>
  <si>
    <t>REVISED PENSION PLAN OF QUEENS UNIVERSITY (FI)</t>
  </si>
  <si>
    <t>LE REGIME DE RETRAITE DE LUNIVERSITE DU QUEBEC</t>
  </si>
  <si>
    <t>R.S. BROWN HOLDINGS LTD.</t>
  </si>
  <si>
    <t>ROBERT B. SOMMERVILLE CO. LIMITED</t>
  </si>
  <si>
    <t>R S HARRIS TRANSPORT LTD</t>
  </si>
  <si>
    <t>RICHER SYSTEMS GROUP INC</t>
  </si>
  <si>
    <t>RBC CANADIAN SHORT TERM INCOME FUND</t>
  </si>
  <si>
    <t>RBC U.S. EQUITY CURRENCY NEUTRAL FUND</t>
  </si>
  <si>
    <t>RBC U.S. MID-CAP EQUITY CURRENCY NEUTRAL FUND</t>
  </si>
  <si>
    <t>RBC EMERGING MARKETS FUND</t>
  </si>
  <si>
    <t>RBC EMERGING MARKETS FOREIGN EXCHANGE FUND</t>
  </si>
  <si>
    <t>RBC EMERGING MARKET BOND FUND</t>
  </si>
  <si>
    <t>RBC EMERGING MARKETS BOND FUND (CAD HEDGED)</t>
  </si>
  <si>
    <t>RBC HIGH YIELD BOND FUND</t>
  </si>
  <si>
    <t>RBC EUROPEAN MID-CAP EQUITY FUND</t>
  </si>
  <si>
    <t>RTDS TECHNOLOGIES INC</t>
  </si>
  <si>
    <t>RTDS TECHNOLOGIES INC.</t>
  </si>
  <si>
    <t>ROGERS TELECOMMUNICATIONS LTD.</t>
  </si>
  <si>
    <t>RIO TINTO FINANCE PLC</t>
  </si>
  <si>
    <t>RIGHT TO PLAY INTERNATIONAL</t>
  </si>
  <si>
    <t>RUNTAL NORTH AMERICAN INC</t>
  </si>
  <si>
    <t>RIVERSIDE GROUP LTD.</t>
  </si>
  <si>
    <t>ROBERTS WELDING &amp; FABRICATING LTD</t>
  </si>
  <si>
    <t>RIYAD BANK</t>
  </si>
  <si>
    <t>SASKATCHEWAN MINING AND MINERALS IN</t>
  </si>
  <si>
    <t>SASKATCHEWAN RESEARCH COUNCIL</t>
  </si>
  <si>
    <t>SAFWAY SERVICES CANADA INC</t>
  </si>
  <si>
    <t>SALCO PATIO AND LEISURE</t>
  </si>
  <si>
    <t>SALTILLO IMPORTS INC</t>
  </si>
  <si>
    <t>SAMSONITE CANADA INC</t>
  </si>
  <si>
    <t>SAPORITO FOODS INC</t>
  </si>
  <si>
    <t>AUSTRALIA MILLING GROUP PTY LTD</t>
  </si>
  <si>
    <t>SBI CANADA</t>
  </si>
  <si>
    <t>STARBUCKS COFFEE CANADA INC.</t>
  </si>
  <si>
    <t>SCOTIA PRIVATE SHRT/MID GOV BOND FD</t>
  </si>
  <si>
    <t>SCOTIA PRIVATE US DIVIDEND POOL</t>
  </si>
  <si>
    <t>NORCREST SILVER INC.</t>
  </si>
  <si>
    <t>SILVERCREST MINES INC</t>
  </si>
  <si>
    <t>SCOTSBURN COOPERATIVE SERVICES LTD</t>
  </si>
  <si>
    <t>SOUTHERN IRRIGATION LP</t>
  </si>
  <si>
    <t>DIEFENBAKER SEED PROCESSORS LTD.</t>
  </si>
  <si>
    <t>SOUND DESIGN TECHNOLOGIES LTD</t>
  </si>
  <si>
    <t>SEA NG CORPORATION</t>
  </si>
  <si>
    <t>SECAM INTERNATIONAL INC</t>
  </si>
  <si>
    <t>SEENERGY FOODS LIMITED</t>
  </si>
  <si>
    <t>SCOTIA EUROPEAN FUND</t>
  </si>
  <si>
    <t>SCOTIA EUROPEAN GROWTH FUND</t>
  </si>
  <si>
    <t>THE SEMEX ALLIANCE</t>
  </si>
  <si>
    <t>SEPTIMA TECH GROUP INC</t>
  </si>
  <si>
    <t>SEPTIMATECH GROUP INC.</t>
  </si>
  <si>
    <t>SHARP EDGE TOOL LTD</t>
  </si>
  <si>
    <t>SEXAUER LTD.</t>
  </si>
  <si>
    <t>SMILEMAKERS CO</t>
  </si>
  <si>
    <t>SCOTIA GLOBAL BOND FUND</t>
  </si>
  <si>
    <t>SEAGATE TECHNOLOGY INTERNATIONAL</t>
  </si>
  <si>
    <t>SOCIAL GRAPH STUDIOS INC</t>
  </si>
  <si>
    <t>SUNGOLD SPECIALTY MEATS LTD</t>
  </si>
  <si>
    <t>SHERATON CENTER TORONTO LP</t>
  </si>
  <si>
    <t>SHERATON GATEWAY LP</t>
  </si>
  <si>
    <t>SIDHU AND SONS NURSERY LTD</t>
  </si>
  <si>
    <t>S.I.F. SUPERIOR INDUSTRIAL FRICTION LTD.</t>
  </si>
  <si>
    <t>SIGA INTERNATIONAL</t>
  </si>
  <si>
    <t>GLOBAL ATOMIC CORPORATION</t>
  </si>
  <si>
    <t>SKYLINE HELICOPTERS LTD</t>
  </si>
  <si>
    <t>STEPHEN LEWIS FOUNDATION</t>
  </si>
  <si>
    <t>LANCASHIRE SAW SALES &amp; SERVICE (CANADA) LTD.</t>
  </si>
  <si>
    <t>SOLUTRAN INC</t>
  </si>
  <si>
    <t>STANDISH MELLON ASSET MANAGEMENT</t>
  </si>
  <si>
    <t>A T AND T SAVING GROUP INVEST TRUST</t>
  </si>
  <si>
    <t>CENTRAL HUDSON G AND E CORP RETIR T</t>
  </si>
  <si>
    <t>SUMMIT ELECTRIC PRODUCTS LIMITED</t>
  </si>
  <si>
    <t>IGT CANADA SOLUTIONS ULC</t>
  </si>
  <si>
    <t>UTAH STATE RETIREMENT INVESTMENT FD</t>
  </si>
  <si>
    <t>STAVROS S. NIARCHOS FOUNDATION FOR CHARITY</t>
  </si>
  <si>
    <t>SOMERSET EQUIPMENT FINANCE LTD</t>
  </si>
  <si>
    <t>SOUMAT INC</t>
  </si>
  <si>
    <t>TO LIVE</t>
  </si>
  <si>
    <t>SOUTHWESTERN SALES CORPORATION LTD.</t>
  </si>
  <si>
    <t>SOWA TOOL AND MACHINE CO LTD</t>
  </si>
  <si>
    <t>L3 TECHNOLOGIES CANADA INC.</t>
  </si>
  <si>
    <t>L3 TECHNOLOGIES MAS INC</t>
  </si>
  <si>
    <t>SPINCO</t>
  </si>
  <si>
    <t>SPROTT DIVERSIFIED YIELD</t>
  </si>
  <si>
    <t>SPROTT ENERGY FUND</t>
  </si>
  <si>
    <t>2010914 ONT INC O/A SPALDING GRAPHI</t>
  </si>
  <si>
    <t>SECONDARY PULP AND PAPER INC</t>
  </si>
  <si>
    <t>SPRING VALLEY GARDENS (NIAGARA) INC.</t>
  </si>
  <si>
    <t>SAN REMO LIGHTING MANUFACTURING COMPANY LIMITED</t>
  </si>
  <si>
    <t>SUNRISE POULTRY PROCESSORS LTD</t>
  </si>
  <si>
    <t>STRATEGIC SHIPPING INC</t>
  </si>
  <si>
    <t>STAR BRITE INTERNATIONAL INC</t>
  </si>
  <si>
    <t>STAR BRITE CANADA INC</t>
  </si>
  <si>
    <t>STAR CHOICE COMMUNICATIONS INC</t>
  </si>
  <si>
    <t>STEEL ART SIGNS CORP.</t>
  </si>
  <si>
    <t>STEELE AUTOMOTIVE GROUP LIMITED</t>
  </si>
  <si>
    <t>STEELE AUTO GROUP LIMITED</t>
  </si>
  <si>
    <t>STITTSVILLE TRAILER AND AUTO SALES</t>
  </si>
  <si>
    <t>ST. LAWRENCE CRUISE LINES INC.</t>
  </si>
  <si>
    <t>STERLING MARKING PRODUCTS INC.</t>
  </si>
  <si>
    <t>STONE COUNTY SPECIALTIES INC.</t>
  </si>
  <si>
    <t>STONHARD A DIVISION OF RPM CANADA</t>
  </si>
  <si>
    <t>STARK CANADA ULC</t>
  </si>
  <si>
    <t>SIHI PUMPS LIMITED</t>
  </si>
  <si>
    <t>SUBARU CANADA INC</t>
  </si>
  <si>
    <t>SUMITOMO MITSUI BANKING CORPORATION EUROPE LIMITED</t>
  </si>
  <si>
    <t>SUNSEL SYSTEM MANUFACTURING CORPORORATION</t>
  </si>
  <si>
    <t>SUNSHINE OILSANDS LTD</t>
  </si>
  <si>
    <t>SUPERIOR BOILER WORKS AND WELDING L</t>
  </si>
  <si>
    <t>SURGO SURGICAL SUPPLY</t>
  </si>
  <si>
    <t>WAHL CANADA INC</t>
  </si>
  <si>
    <t>SWISS REINSURANCE COMPANY LTD</t>
  </si>
  <si>
    <t>SWISS REINSURANCE COMPANY LIMITED</t>
  </si>
  <si>
    <t>SWISS RE FINANCIAL PRODUCTS CORP</t>
  </si>
  <si>
    <t>SWISS RE FINANCIAL PRODUCTS CORPORATION GROUP</t>
  </si>
  <si>
    <t>SWS STAR WARNING SYSTEMS INC</t>
  </si>
  <si>
    <t>SYNDICATE BANK,</t>
  </si>
  <si>
    <t>SYNNEX CANADA LIMITED</t>
  </si>
  <si>
    <t>TRIMARK ADVANTAGE BOND FUND</t>
  </si>
  <si>
    <t>Taichung Commercial Bank</t>
  </si>
  <si>
    <t>TALLGRASS NATURAL HEALTH LTD</t>
  </si>
  <si>
    <t>TAGGART LEASING INC.</t>
  </si>
  <si>
    <t>TAIT DISTRIBUTORS LTD.</t>
  </si>
  <si>
    <t>TAKEDA FEEDING CO LTD</t>
  </si>
  <si>
    <t>TAKEDA FEEDING CO. LTD.</t>
  </si>
  <si>
    <t>TALESMA INC.</t>
  </si>
  <si>
    <t>TARPON ENERGY SERVICES LTD.</t>
  </si>
  <si>
    <t>TARTAN INDUSTRIAL SALES CO LTD</t>
  </si>
  <si>
    <t>TATA CONSULTANCY SERVICES CANADA IN</t>
  </si>
  <si>
    <t>TAYMER INTERNATIONAL INC.</t>
  </si>
  <si>
    <t>TAIWAN BUSINESS BANK</t>
  </si>
  <si>
    <t>TD ASSET MANAGEMENT 1155002</t>
  </si>
  <si>
    <t>TD ASSET MANAGEMENT 1155001</t>
  </si>
  <si>
    <t>TD ASSET MANAGEMENT 1155003</t>
  </si>
  <si>
    <t>TD ASSET MANAGEMENT T1155</t>
  </si>
  <si>
    <t>TAMAR BUILDING PRODUCTS (1981) LTD.</t>
  </si>
  <si>
    <t>TRIMARK CANADIAN BOND CLASS</t>
  </si>
  <si>
    <t>TRIMARK CANADIAN BOND SEG FUND</t>
  </si>
  <si>
    <t>TRIMARK CANADIAN CLASS</t>
  </si>
  <si>
    <t>TRIMARK CDN EQUITY PRIVATE POOL</t>
  </si>
  <si>
    <t>INVESCO SELECT CANADIAN EQUITY CLAS</t>
  </si>
  <si>
    <t>TORONTO COMMUNITY HOUSING CORP</t>
  </si>
  <si>
    <t>TETREM CAPITAL MGMT LTD AS FUND MGR</t>
  </si>
  <si>
    <t>TRIMARK CANADIAN PLUS DIVIDEND CLAS</t>
  </si>
  <si>
    <t>TCS COATINGS INC</t>
  </si>
  <si>
    <t>J. &amp; A. AZIZ LTD</t>
  </si>
  <si>
    <t>J AND A AZIZ LTD</t>
  </si>
  <si>
    <t>THE DESIGNTEX GROUP</t>
  </si>
  <si>
    <t>TRIMARK DIVERSIFIED YIELD CLASS</t>
  </si>
  <si>
    <t>TRIMARK INTERNATIONAL COMPANIES CLA</t>
  </si>
  <si>
    <t>TEKELEK COMPANY LIMITED</t>
  </si>
  <si>
    <t>TELONIX COMMUNICATIONS INC</t>
  </si>
  <si>
    <t>TELFORD INVESTMENTS LTD</t>
  </si>
  <si>
    <t>INVESCO GLOBAL REAL ESTATE FUND</t>
  </si>
  <si>
    <t>OCEAN PACIFIC LIGHTING INC</t>
  </si>
  <si>
    <t>TRIMARK FLOATING RATE INCOME FUND</t>
  </si>
  <si>
    <t>TRIMARK (AIM) GLOBAL BALANCED CLASS</t>
  </si>
  <si>
    <t>TRIMARK GLOBAL SMALL COMPANIES CLAS</t>
  </si>
  <si>
    <t>TRIMARK GLOBAL DIVIDEND CLASS</t>
  </si>
  <si>
    <t>TRIMARK GLOBAL FUNDAMENTAL EQTY CLA</t>
  </si>
  <si>
    <t>TRIMARK GLOBAL FUNDAMENTAL EQTY FND</t>
  </si>
  <si>
    <t>TIM HORTON CHILDRENS FOUNDATION</t>
  </si>
  <si>
    <t>THERAPURE BIOPHARMA INC</t>
  </si>
  <si>
    <t>THYSSEN MINING CONSTRUCTION OF CANADA LTD.</t>
  </si>
  <si>
    <t>THE ANDERSONS CANADA LIMITED</t>
  </si>
  <si>
    <t>TITAN CONSTRUCTION INC DBA TITAN NA</t>
  </si>
  <si>
    <t>TRANSFACTOR INDUSTRIES INC</t>
  </si>
  <si>
    <t>TRILLION INTERNATIONAL</t>
  </si>
  <si>
    <t>1371500 ONTARIO INC TIRE TERMINAL</t>
  </si>
  <si>
    <t>TK GLOBAL TRADING LTD</t>
  </si>
  <si>
    <t>T LIPSON AND SONS LTD</t>
  </si>
  <si>
    <t>INVESCO INTACTIVE 2028 PORTFOLIO</t>
  </si>
  <si>
    <t>TORONTO MICROELECTRONICS INC</t>
  </si>
  <si>
    <t>TIMES FIBER CANADA LIMITED</t>
  </si>
  <si>
    <t>INVESCO INTACTIVE 2033 PORTFOLIO</t>
  </si>
  <si>
    <t>TRUDELL HEALTHCARE SOLUTIONS INC.</t>
  </si>
  <si>
    <t>TRIMARK NORTH AMERICAN ENDEAVOUR CL</t>
  </si>
  <si>
    <t>TOMAURI INC.</t>
  </si>
  <si>
    <t>TOROMONT INDUSTRIES LTD</t>
  </si>
  <si>
    <t>TOROMONT INDUSTRIES LTD.</t>
  </si>
  <si>
    <t>TRADITION ASIA LIMITED</t>
  </si>
  <si>
    <t>INVESCO INTACTIVE 2038 PORTFOLIO</t>
  </si>
  <si>
    <t>TRIMARK DIVERSIFIED INCOME CLASS</t>
  </si>
  <si>
    <t>THE TORONTO REAL ESTATE BOARD</t>
  </si>
  <si>
    <t>TRIMARK ENERGY CLASS</t>
  </si>
  <si>
    <t>TRICAN CORPORATION</t>
  </si>
  <si>
    <t>TRIUMPH TOOL LIMITED GUELPH</t>
  </si>
  <si>
    <t>TRACKLESS VEHICLES LTD.</t>
  </si>
  <si>
    <t>THE REGIONAL MUNICIPALITY OF WATERLOO</t>
  </si>
  <si>
    <t>INVESCO INTACTIVE 2023 PORTFOLIO</t>
  </si>
  <si>
    <t>TELESAT CANADA</t>
  </si>
  <si>
    <t>TECHNOSOURCE DISTRIBUTION INC</t>
  </si>
  <si>
    <t>TRIMARK SELECT GROWTH SEG FUND</t>
  </si>
  <si>
    <t>THIRD STREET HOLDING COMPANY LLC</t>
  </si>
  <si>
    <t>TORONTO SKY AVIATION INC</t>
  </si>
  <si>
    <t>TTI TACTICAL TECHNOLOGIES INC.</t>
  </si>
  <si>
    <t>TD ASSET MANAGEMENT T1680006</t>
  </si>
  <si>
    <t>TD GLOBAL CONSERVATIVE OPPORTUNITIES FUND</t>
  </si>
  <si>
    <t>TD ASSET MANAGEMENT 1681003</t>
  </si>
  <si>
    <t>TD ASSET MANAGEMENT T1680</t>
  </si>
  <si>
    <t>TD ASSET MANAGEMENT 1680008</t>
  </si>
  <si>
    <t>TD ASSET MANAGEMENT 1680002</t>
  </si>
  <si>
    <t>TD ASSET MANAGEMENT 1680004</t>
  </si>
  <si>
    <t>TD ASSET MANAGEMENT 1680005</t>
  </si>
  <si>
    <t>TD ASSET MANAGEMENT 1680003</t>
  </si>
  <si>
    <t>TD ASSET MANAGEMENT 1680001</t>
  </si>
  <si>
    <t>TUBOSCOPE VETCO CANADA ULC</t>
  </si>
  <si>
    <t>TRUFORM BUILDING PRODUCTS INC</t>
  </si>
  <si>
    <t>TRIMARK US MONEY MARKET FUND</t>
  </si>
  <si>
    <t>TUPI B.V.</t>
  </si>
  <si>
    <t>TAYLOR MOVING AND STORAGE LIMITED</t>
  </si>
  <si>
    <t>Union Bank of Taiwan</t>
  </si>
  <si>
    <t>UPPER CANADA SOAP &amp; CANDLE MAKERS CORPORATION</t>
  </si>
  <si>
    <t>UCC OF CANADA INC</t>
  </si>
  <si>
    <t>CANADIAN EQUITY VALUE POOL FUND</t>
  </si>
  <si>
    <t>UNIVERSAL LIGHTING CORP</t>
  </si>
  <si>
    <t>US DOLLAR CASH MANAGEMENT FUND</t>
  </si>
  <si>
    <t>UNIFIED ENGINEERING COM CORP</t>
  </si>
  <si>
    <t>USED FUEL SEGREGATED FUND</t>
  </si>
  <si>
    <t>SCOTIABANK US DOLLAR BOND FUND STL2</t>
  </si>
  <si>
    <t>SCOTIA US DOLLAR BOND FUND</t>
  </si>
  <si>
    <t>UMICORE FINANCIAL SERVICES S.A.</t>
  </si>
  <si>
    <t>SCOTIA USD MONEY MARKET FUND</t>
  </si>
  <si>
    <t>UNION NATIONAL BANK</t>
  </si>
  <si>
    <t>UNITED DIAMOND LTD</t>
  </si>
  <si>
    <t>UNITED FARMERS OF ALBERTA COOPERATION</t>
  </si>
  <si>
    <t>UNITED FARMERS OF ALBERTA COOPERATIVE LTD</t>
  </si>
  <si>
    <t>UNITED FARMERS OF ALBERTA CO OPERATIVE LIMITED</t>
  </si>
  <si>
    <t>INNOVA POWER SOLUTIONS INC</t>
  </si>
  <si>
    <t>UNITED RENTALS OF CANADA INC</t>
  </si>
  <si>
    <t>UST LLC</t>
  </si>
  <si>
    <t>UTMC CANADA INC</t>
  </si>
  <si>
    <t>UNIVERSITY OF VICTORIA FOUNDATION</t>
  </si>
  <si>
    <t>UNIVERSITY OF VICTORIA PENSION PLAN FOR FACULTY AND ADMINISTRATIVE AND ACADEMIC PROFESSION</t>
  </si>
  <si>
    <t>UNIVERSITY OF WINDSOR</t>
  </si>
  <si>
    <t>ANGLO AMERICAN EXPLORATION CDA LTD</t>
  </si>
  <si>
    <t>ANIPET ANIMAL SUPPLIES INC</t>
  </si>
  <si>
    <t>ANTRIM CEDAR CORPORATION</t>
  </si>
  <si>
    <t>ADP DISTRIBUTORS INC</t>
  </si>
  <si>
    <t>ANCHOR FOODS INTERNATIONAL LTD</t>
  </si>
  <si>
    <t>AJM INTERNATIONAL DEVELOPMENT CORP.</t>
  </si>
  <si>
    <t>A AND J SHARP INVESTMENTS INC</t>
  </si>
  <si>
    <t>A.K. DRAFT SEAL LTD</t>
  </si>
  <si>
    <t>VANCOUVER FOUNDATION</t>
  </si>
  <si>
    <t>ANDERSEN PACIFIC FOREST PRODUCTS LTD.</t>
  </si>
  <si>
    <t>ARTEMIS INTERNATIONAL FOREST</t>
  </si>
  <si>
    <t>AURCANA CORPORATION</t>
  </si>
  <si>
    <t>CAMROVA RESOURCES INC</t>
  </si>
  <si>
    <t>BRITISH COLUMBIA INSTITUTE OF TECHN</t>
  </si>
  <si>
    <t>BC WOOD SPECIALTIES GROUP ASSOC</t>
  </si>
  <si>
    <t>BLUE MAGIC GREENHOUSES LTD</t>
  </si>
  <si>
    <t>THOMPSON CREEK METALS COMPANY INC</t>
  </si>
  <si>
    <t>THOMPSON CREEK METALS COMPANY INC.</t>
  </si>
  <si>
    <t>B AND M MILLER EQUITY HOLDING INC</t>
  </si>
  <si>
    <t>BP WOOD LTD</t>
  </si>
  <si>
    <t>BPWOOD LTD.</t>
  </si>
  <si>
    <t>BC VENEER PRODUCTS LTD</t>
  </si>
  <si>
    <t>SHAMARAN PETROLEUM CORP</t>
  </si>
  <si>
    <t>CANKEN INTL WOOD PRODUCTS INC</t>
  </si>
  <si>
    <t>CAPSTONE MINING CORPORATION</t>
  </si>
  <si>
    <t>CRYSTAL CATHEDRAL MINISTRIES</t>
  </si>
  <si>
    <t>CARTEL COMMUNICATIONS SYSTEMS INC</t>
  </si>
  <si>
    <t>CORPORATION OF THE CITY OF NEW WEST</t>
  </si>
  <si>
    <t>C.G. INDUSTRIAL SPECIALTIES LTD.</t>
  </si>
  <si>
    <t>CHAMCO INDUSTRIES LTD</t>
  </si>
  <si>
    <t>COSCO SHIPPING LINES (CANADA) INC.</t>
  </si>
  <si>
    <t>CANYON LUMBER CO LTD</t>
  </si>
  <si>
    <t>CANYON LUMBER COMPANY LTD</t>
  </si>
  <si>
    <t>COWICHAN LUMBER LTD.</t>
  </si>
  <si>
    <t>COMMERCIAL LIGHTING PRODUCTS LTD</t>
  </si>
  <si>
    <t>CWS INDUSTRIES LTD MFG  CORP</t>
  </si>
  <si>
    <t>COUGAR HELICOPTERS INC</t>
  </si>
  <si>
    <t>CANADA TICKET INC</t>
  </si>
  <si>
    <t>ST JAMES HLDNG LTD DBA COLUMBIA TAP</t>
  </si>
  <si>
    <t>COLUMBIA VALVE AND FITTING</t>
  </si>
  <si>
    <t>CANADIAN VINYLTEK WINDOW CORP</t>
  </si>
  <si>
    <t>CANADIAN WILLAMETTE INDUSTRIES INC</t>
  </si>
  <si>
    <t>DREAM CARPETS LTD</t>
  </si>
  <si>
    <t>USER CAMP INC</t>
  </si>
  <si>
    <t>DARGAL INTERLINE CRUISES &amp;TOURS LTD</t>
  </si>
  <si>
    <t>DMK STONE PRODUCTS LTD</t>
  </si>
  <si>
    <t>VERITAS 4590 DUFFERIN STREET CORP</t>
  </si>
  <si>
    <t>DIXON TICONDEROGA INC.</t>
  </si>
  <si>
    <t>D3 SECURITY MANAGEMENT SYSTEMS INC</t>
  </si>
  <si>
    <t>E.B. HORSMAN &amp; SON LTD.</t>
  </si>
  <si>
    <t>EB HORSMAN &amp; SON LTD</t>
  </si>
  <si>
    <t>EDDIE BAUER OF CANADA CORPORATION</t>
  </si>
  <si>
    <t>ECCO HEATING PRODUCTS LTD.</t>
  </si>
  <si>
    <t>EASY GARDENER PRODUCTS INC</t>
  </si>
  <si>
    <t>VELCAN FOREST PRODUCTS LTD</t>
  </si>
  <si>
    <t>ENERGOLD DRILLING CORP</t>
  </si>
  <si>
    <t>VENTURE III INDUSTRIES INC.</t>
  </si>
  <si>
    <t>ELECTRIC POWER EQUIPMENT LTD</t>
  </si>
  <si>
    <t>EVEREST TMI ENTERPRISES LTD</t>
  </si>
  <si>
    <t>FENTRO TECHNOLOGIES INC.</t>
  </si>
  <si>
    <t>VYN FLOWERS INC</t>
  </si>
  <si>
    <t>FOUNTAINHEAD FOREST PRODUCTS LTD</t>
  </si>
  <si>
    <t>SPECIALTY YACHT SALES LTD</t>
  </si>
  <si>
    <t>GORDON FABRICS LTD</t>
  </si>
  <si>
    <t>GLOBAL GOURMET FOODS INC</t>
  </si>
  <si>
    <t>GIZELLA PASTRY LTD</t>
  </si>
  <si>
    <t>GREAT PACIFIC CAPITAL CORP.</t>
  </si>
  <si>
    <t>GROSVENOR CANADA LIMITED</t>
  </si>
  <si>
    <t>GOLDEN WEST BAKING COMPANY INC</t>
  </si>
  <si>
    <t>HAL INDUSTRIES INC</t>
  </si>
  <si>
    <t>HITFAR CONCEPTS LTD</t>
  </si>
  <si>
    <t>HIGHLAND RED GREEN TURF FARM LTD</t>
  </si>
  <si>
    <t>IECO MORGAN CANADA INC</t>
  </si>
  <si>
    <t>IMPACT SILVER CORP</t>
  </si>
  <si>
    <t>NO  1 IMPEX</t>
  </si>
  <si>
    <t>INOVOBIOLOGIC INC</t>
  </si>
  <si>
    <t>CONSTELLATION BRANDS INTERNATIONAL IBC, INC.</t>
  </si>
  <si>
    <t>VALE NEWFOUNDLAND &amp; LABRADOR LTD.</t>
  </si>
  <si>
    <t>INTERNATIONAL PACIFIC SALES LTD.</t>
  </si>
  <si>
    <t>VIROMART LTD</t>
  </si>
  <si>
    <t>VIRTUAL AGENT SERVICES CANADA CORP</t>
  </si>
  <si>
    <t>ISLAND TUG AND BARGE LTD.</t>
  </si>
  <si>
    <t>VIZEUM CANADA INC</t>
  </si>
  <si>
    <t>JAZZ FOREST PRODUCTS 2004 LTD</t>
  </si>
  <si>
    <t>JOHN FLUEVOG BOOTS AND SHOES LTD</t>
  </si>
  <si>
    <t>K AND C SILVICULTURE LTD</t>
  </si>
  <si>
    <t>VANCOUVER KIDSBOOKS LTD</t>
  </si>
  <si>
    <t>OMNITERRA INTERNATIONAL DRILLINGINC</t>
  </si>
  <si>
    <t>LANDMARK MANAGEMENT LTD</t>
  </si>
  <si>
    <t>LO BAR LOG TRANSPORT CO LTD</t>
  </si>
  <si>
    <t>VLB MARKETING LTD</t>
  </si>
  <si>
    <t>LUCARA DIAMOND CORP</t>
  </si>
  <si>
    <t>LUCARA DIAMOND CORP.</t>
  </si>
  <si>
    <t>LINWOOD HOMES LTD</t>
  </si>
  <si>
    <t>LEIGH INDUSTRIES LTD</t>
  </si>
  <si>
    <t>LIVING SPACE INTERIORS LTD</t>
  </si>
  <si>
    <t>LOCKER MKTG LIMITED</t>
  </si>
  <si>
    <t>MILL LOG WILSON EQUIPMENT</t>
  </si>
  <si>
    <t>LABOUR READY TEMPORARY SERVICES LTD</t>
  </si>
  <si>
    <t>VALTROL EQUIPMENT LIMITED</t>
  </si>
  <si>
    <t>MONDIALE ASSET MANAGEMENT LTD</t>
  </si>
  <si>
    <t>MASSE SALES LTD</t>
  </si>
  <si>
    <t>MCGREGOR AND THOMPSON HARDWARE LTD</t>
  </si>
  <si>
    <t>MCCLARY STOCKYARDS 1986 LTD</t>
  </si>
  <si>
    <t>MEEKER LUMBER LTD</t>
  </si>
  <si>
    <t>MG CHEMICALS LTD</t>
  </si>
  <si>
    <t>MICROB RESOURCES INC</t>
  </si>
  <si>
    <t>MILES INDUSTRIES LTD</t>
  </si>
  <si>
    <t>H-E PARTS INTERNATIONAL CANADA LTD.</t>
  </si>
  <si>
    <t>MINERA Y METALURGICA DEL BOLEO SADE</t>
  </si>
  <si>
    <t>S A MOWAT LTD</t>
  </si>
  <si>
    <t>MERLIN PLASTICS ALBERTA INC</t>
  </si>
  <si>
    <t>MARINER SEAFOODS INTERNATIONAL SDN</t>
  </si>
  <si>
    <t>SUNNYBAY GREENHOUSES LTD</t>
  </si>
  <si>
    <t>MILLER THOMSON LLP</t>
  </si>
  <si>
    <t>MILLER THOMSON LLP TORONTO</t>
  </si>
  <si>
    <t>NORAM ENGINEERING &amp;CONSTRUCTORS LTD</t>
  </si>
  <si>
    <t>NORAM ENGINEERING AND CONSTRUCTORS LTD</t>
  </si>
  <si>
    <t>NELSON MACHINERY AND EQUIPMENT LTD</t>
  </si>
  <si>
    <t>NECO MANAGEMENT SERVICES INC.</t>
  </si>
  <si>
    <t>NEWTONS HI QUALITY MEATS LTD</t>
  </si>
  <si>
    <t>NSE HOLDING LTD</t>
  </si>
  <si>
    <t>VOGUE OPTICAL INCORPORATED</t>
  </si>
  <si>
    <t>VOLLMER INC.</t>
  </si>
  <si>
    <t>PACIFIC CELLULOSE SERVICES LTD</t>
  </si>
  <si>
    <t>PRECISION INJECTION MOLDING INC</t>
  </si>
  <si>
    <t>POLYSOL POOL COVERS</t>
  </si>
  <si>
    <t>VPP FUND LTD</t>
  </si>
  <si>
    <t>ENERGOLD DRILLING PERU SAC</t>
  </si>
  <si>
    <t>LARCO INVESTMENTS LTD.</t>
  </si>
  <si>
    <t>LARCO INVESTMENTS LTD</t>
  </si>
  <si>
    <t>PACIFIC TECHNOLOGY SYSTEMS INC</t>
  </si>
  <si>
    <t>PAPERBACK SHOP CO. CO UK LTD. (THE)</t>
  </si>
  <si>
    <t>PACIFIC WEST SYSTEMS SUPPLY LTD</t>
  </si>
  <si>
    <t>RYPAC ALUMINUM RECYCLING LTD</t>
  </si>
  <si>
    <t>R 410 HOLDINGS LTD</t>
  </si>
  <si>
    <t>REIMER HARDWOODS LTD</t>
  </si>
  <si>
    <t>ROBAR INDUSRIES LTD</t>
  </si>
  <si>
    <t>RJS TRADING INTERNATIONAL LTD</t>
  </si>
  <si>
    <t>SOUTH ALDER FARMS LTD.</t>
  </si>
  <si>
    <t>THE STUFFED ANIMAL HOUSE LTD.</t>
  </si>
  <si>
    <t>SOUTH BEACH TRADING INC.</t>
  </si>
  <si>
    <t>SOUTH BEACH TRADING INC</t>
  </si>
  <si>
    <t>SHOREWOOD PACKAGING CORPORATION OF CANADA LIMITED</t>
  </si>
  <si>
    <t>SAGERS FINE FURNITURE LTD</t>
  </si>
  <si>
    <t>SIMON FRASER UNIVERSITY</t>
  </si>
  <si>
    <t>SLOAN VALLEY DAIRIES LIMITED</t>
  </si>
  <si>
    <t>SUNRISE MARKETS INC</t>
  </si>
  <si>
    <t>S O F  WHITE PAPER CO LTD</t>
  </si>
  <si>
    <t>SERVICE QUALITY MEASUREMENT GRP INC</t>
  </si>
  <si>
    <t>SONRAY SALES LTD</t>
  </si>
  <si>
    <t>STARS TRADING CO. LTD.</t>
  </si>
  <si>
    <t>STICKS BUILDING PRODUCTS LTD</t>
  </si>
  <si>
    <t>STICKS BUILDING PRODUCTS LTD.</t>
  </si>
  <si>
    <t>ATLANTIS SUBMARINES INC</t>
  </si>
  <si>
    <t>SUNNYSIDE GREENHOUSES LTD</t>
  </si>
  <si>
    <t>SINGER VALVE INC</t>
  </si>
  <si>
    <t>STRUCTA WIRE CORP.</t>
  </si>
  <si>
    <t>T &amp; H FOREST INDUSTRIES LTD</t>
  </si>
  <si>
    <t>TRI-METAL FABRICATORS PARTNERSHIP</t>
  </si>
  <si>
    <t>UPPER CERVICAL STORE INC</t>
  </si>
  <si>
    <t>UNION GAS LIMITED</t>
  </si>
  <si>
    <t>VULCAN AUTOMOTIVE EQUIPMENT LTD</t>
  </si>
  <si>
    <t>VALIANT LOG SORT LTD</t>
  </si>
  <si>
    <t>DOUBLE V TRUCKING</t>
  </si>
  <si>
    <t>WHEATON CHEVROLET BUICK CADILLAC GM</t>
  </si>
  <si>
    <t>WESTCOAST ENERGY INC.</t>
  </si>
  <si>
    <t>WEST FRASER TIMBER CO LTD</t>
  </si>
  <si>
    <t>WEST FRASER TIMBER CO. LTD.</t>
  </si>
  <si>
    <t>WEST FRASER TIMBER CO. LTD. (GROUP)</t>
  </si>
  <si>
    <t>WIDRIG OUTFITTERS</t>
  </si>
  <si>
    <t>WINNERS ONLY CANADA ENTERPRISES LTD</t>
  </si>
  <si>
    <t>WEDDERSPOON ORGANIC INC</t>
  </si>
  <si>
    <t>ASH APIARIES LTD</t>
  </si>
  <si>
    <t>IG MACKENZIE GLOBAL CLASS III (FKA IG AGF GLOBAL EQUITY CLASS)</t>
  </si>
  <si>
    <t>WALARD CORPORATION OR RENARD INTL</t>
  </si>
  <si>
    <t>WARD ADVOCACY COMMUNICATIONS INC</t>
  </si>
  <si>
    <t>WARREN GIBSON LIMITED</t>
  </si>
  <si>
    <t>WAYSIDE TECHNOLOGY GROUP CANADA INC</t>
  </si>
  <si>
    <t>BURNABY LAKE GREENHOUSES LTD</t>
  </si>
  <si>
    <t>BURNABY LAKE GREENHOUSES LTD.</t>
  </si>
  <si>
    <t>WESTBOND INDUSTRIES INC</t>
  </si>
  <si>
    <t>WESTBOND INDUSTRIES INC.</t>
  </si>
  <si>
    <t>BRANDT INDUSTRIES LTD</t>
  </si>
  <si>
    <t>WESTBROOK GREENHOUSES LIMITED</t>
  </si>
  <si>
    <t>BROSCO FUND LTD</t>
  </si>
  <si>
    <t>CANCADE COMPANY LTD</t>
  </si>
  <si>
    <t>INVESTORS CANADIAN SMALL CAP GROWTH FUND</t>
  </si>
  <si>
    <t>CONDILLO FOODS LTD</t>
  </si>
  <si>
    <t>INVESTORS CANADIAN SMALL CAP CLASS</t>
  </si>
  <si>
    <t>INTEGRATED DISTRIBUTION SYSTEMS LIMITED PARTNERSHIP</t>
  </si>
  <si>
    <t>INTEGRATED DISTRIBUTIONS SYS LIMITED PARTNERSHIP</t>
  </si>
  <si>
    <t>INTEGRATED DISTRIBUTION SYSTEMS LTD</t>
  </si>
  <si>
    <t>INTEGRATED DISTRIBUTIONS SYSTEMS LIMITED PARTNERSHIP</t>
  </si>
  <si>
    <t>WD PACKAGING INC.</t>
  </si>
  <si>
    <t>WEAGANT FARM SUPPLIES LTD</t>
  </si>
  <si>
    <t>WEBCOM LIMITED</t>
  </si>
  <si>
    <t>WEBER SUPPLY COMPANY INC</t>
  </si>
  <si>
    <t>WESTDALE PROPERTIES</t>
  </si>
  <si>
    <t>EECOL ELECTRIC ( SASK) INC</t>
  </si>
  <si>
    <t>WEIL-MCLAIN CANADA SALES INC.</t>
  </si>
  <si>
    <t>EAST MAN FEEDS</t>
  </si>
  <si>
    <t>WELLMASTER PIPE &amp; SUPPLY INC.</t>
  </si>
  <si>
    <t>WESTWARD PARTS SERVICES LTD</t>
  </si>
  <si>
    <t>W F BOTKIN CONSTRUCTION LTD</t>
  </si>
  <si>
    <t>FLOFORM INDUSTRIES LTD</t>
  </si>
  <si>
    <t>WEST FACE LONG TERM OPPORTUNITIES LIMITED PARTNERSHIP</t>
  </si>
  <si>
    <t>INVESTORS GLOBAL BOND FUND</t>
  </si>
  <si>
    <t>IG MACKENZIE GLOBAL CONSUMER COMPANIES CLASS</t>
  </si>
  <si>
    <t>INVESTORS GLOBAL CONSUMER COMPANIES CLASS</t>
  </si>
  <si>
    <t>IG MACKENZIE GLOBAL FINANCIAL SERVICES CLASS</t>
  </si>
  <si>
    <t>INVESTORS GLOBAL FINANCIAL SERVICES CLASS</t>
  </si>
  <si>
    <t>INVESTORS GLOBAL FUND</t>
  </si>
  <si>
    <t>IG MACKENZIE CUNDILL GLOBAL VALUE FUND</t>
  </si>
  <si>
    <t>INVESTORS GLOBAL SCIENCE &amp; TECHNOLOGY FUND</t>
  </si>
  <si>
    <t>HI-TEC INDUSTRIES INC.</t>
  </si>
  <si>
    <t>INVESTORS CANADIAN HIGH YIELD INCOME FUND</t>
  </si>
  <si>
    <t>INVESTORS CANADIAN HIGH YEILD INCOME FUND</t>
  </si>
  <si>
    <t>INVESTORS GLOBAL CLASS</t>
  </si>
  <si>
    <t>INVESTORS GLOBAL DIVIDEND FUND</t>
  </si>
  <si>
    <t>INVESTORS GLOBAL FINANCIAL SERVICES FUND</t>
  </si>
  <si>
    <t>IG MACKENZIE GLOBAL FINANCIAL SERVICES FUND</t>
  </si>
  <si>
    <t>INVESTORS GLOBAL HEALTH CARE CLASS</t>
  </si>
  <si>
    <t>INVESTORS GLOBAL INFRASTRUCTURE CLASS</t>
  </si>
  <si>
    <t>INVESTORS GLOBAL NATURAL RESOURCES CLASS</t>
  </si>
  <si>
    <t>INVESTORS INTERNATIONAL SMALL CAP CLASS</t>
  </si>
  <si>
    <t>IG MACKENZIE INTERNATIONAL SMALL CAP CLASS</t>
  </si>
  <si>
    <t>INVESTORS CANADIAN EQUITY INCOME FUND</t>
  </si>
  <si>
    <t>INVESTORS MORTGAGE AND SHORT TERM INCOME FUND (IMF2)</t>
  </si>
  <si>
    <t>INVESTORS MORTGAGE AND SHORT TERM INCOME FUND (IMF1)</t>
  </si>
  <si>
    <t>INVESTORS MORTGAGE AND SHORT TERM INCOME FUND</t>
  </si>
  <si>
    <t>INVESTORS MORTAGE AND SHORT TERM INCOME FUND (IMF1)</t>
  </si>
  <si>
    <t>WINDSOR FEEDSCREWS INC.</t>
  </si>
  <si>
    <t>WINDSOR FOUNDATION</t>
  </si>
  <si>
    <t>WIRELESS TRADE GROUP INC.</t>
  </si>
  <si>
    <t>MARTIN JAMES AND MARTIN GAIL</t>
  </si>
  <si>
    <t>WM H CAIN AGENCY LIMITED</t>
  </si>
  <si>
    <t>MACDON INDUSTRIES LTD</t>
  </si>
  <si>
    <t>ONTARIO SHORES CENTRE FOR MENTAL</t>
  </si>
  <si>
    <t>WEYERHAEUSER COMPANY LIMITED MASTER TRUST</t>
  </si>
  <si>
    <t>WEYERHAEUSER COMPANY MASTER RETIREMENT TRUST FUND</t>
  </si>
  <si>
    <t>INVESTORS MUTUAL OF CANADA</t>
  </si>
  <si>
    <t>INVESTORS MUTUAL OF CANADA IMCM1</t>
  </si>
  <si>
    <t>INVESTORS MUTUAL OF CANADA IMCM7</t>
  </si>
  <si>
    <t>INVESTORS MUTUAL OF CANADA- IMCM3</t>
  </si>
  <si>
    <t>INVESTORS MUTUAL OF CANADA- IMCM6</t>
  </si>
  <si>
    <t>INVESTORS MUTUAL OF CANADA- IMCM4</t>
  </si>
  <si>
    <t>INVESTORS MUTUAL OF CANADA IMCM2</t>
  </si>
  <si>
    <t>INVESTORS MUTUAL OF CANADA - IMCM5</t>
  </si>
  <si>
    <t>INVESTORS MUTUAL OF CANADA - IMCM9</t>
  </si>
  <si>
    <t>INVESTORS MUTUAL OF CANADA - IMCM8</t>
  </si>
  <si>
    <t>WM WARD PUBLISHING LTD</t>
  </si>
  <si>
    <t>NORTHPOINT ENERGY SOLUTIONS INC.</t>
  </si>
  <si>
    <t>AZGA SERVICE CANADA INC</t>
  </si>
  <si>
    <t>OLD DUTCH FOODS LTD.</t>
  </si>
  <si>
    <t>INVESTORS U.S. OPPORTUNITIES FUND</t>
  </si>
  <si>
    <t>POLAR BEAR RUBBER LTD</t>
  </si>
  <si>
    <t>PRITCHARD ENGINEERING COMPANY LTD</t>
  </si>
  <si>
    <t>PRAIRIE FLOUR MILLS LTD</t>
  </si>
  <si>
    <t>PRAIRIE FLAX PRODUCTS INC.</t>
  </si>
  <si>
    <t>WIET PEETERS FARM PRODUCTS LIMITED</t>
  </si>
  <si>
    <t>INVESTORS PAN ASIAN EQUITY CLASS</t>
  </si>
  <si>
    <t>IG MACKENZIE PACIFIC INTERNATIONAL CLASS</t>
  </si>
  <si>
    <t>INVESTORS PACIFIC INTERNATIONAL CLASS</t>
  </si>
  <si>
    <t>PRAIRIE MACHINE &amp; PARTS MFG.</t>
  </si>
  <si>
    <t>WESTPRO MACHINERY INC</t>
  </si>
  <si>
    <t>TIME WARNER RETAIL SALES AND MARKET</t>
  </si>
  <si>
    <t>WPS CANADA INC</t>
  </si>
  <si>
    <t>WHOLESALE PRODUCE SUPPLY ULC</t>
  </si>
  <si>
    <t>Q LINE TRUCKING</t>
  </si>
  <si>
    <t>Q-LINE TRUCKING LTD.</t>
  </si>
  <si>
    <t>REIMER EXPRESS LINES LTD</t>
  </si>
  <si>
    <t>RABER GLOVE MFG CO LTD</t>
  </si>
  <si>
    <t>WINDSOR REGIONAL HOSPITAL FOUNDATION</t>
  </si>
  <si>
    <t>RODALE PRESS INC</t>
  </si>
  <si>
    <t>INVESTORS REAL PROPERTY FUND</t>
  </si>
  <si>
    <t>101031111 SASKATCHEWAN LTD</t>
  </si>
  <si>
    <t>WESTCAN BULK TRANSPORT LTD</t>
  </si>
  <si>
    <t>SPERLING INDUSTRIES LTD</t>
  </si>
  <si>
    <t>WESTMILL INDUSTRIES LTD.</t>
  </si>
  <si>
    <t>Westmill Industries Ltd.</t>
  </si>
  <si>
    <t>INVESTORS SUMMA SRI FUND</t>
  </si>
  <si>
    <t>SOUTH WEST TERMINAL LTD</t>
  </si>
  <si>
    <t>THERMO KING OF MID-CANADA CORP</t>
  </si>
  <si>
    <t>THOR MANUFACTURING LTD</t>
  </si>
  <si>
    <t>WHITE SADDLE AIR SERVICES LIMITED</t>
  </si>
  <si>
    <t>WESTERN UNION FINANCIAL SERVICES INC.</t>
  </si>
  <si>
    <t>WEYBURN INLAND TERMINAL LTD</t>
  </si>
  <si>
    <t>WEST WIND MANAGEMENT AS GENERAL PARTNER FOR WEST WIND AVIATION LIMITED PARTNERSHIP</t>
  </si>
  <si>
    <t>AMPLIS FOTO INC.</t>
  </si>
  <si>
    <t>ARMOUR VALVE LTD</t>
  </si>
  <si>
    <t>CANADIAN CO-OPERATIVE WOOL GROWERS</t>
  </si>
  <si>
    <t>DEBCO BAG DISTRIBUTORS LTD</t>
  </si>
  <si>
    <t>1296406 ONTARIO LIMITED (O/A ETLIN DANIELS)</t>
  </si>
  <si>
    <t>XENOPUS INC.</t>
  </si>
  <si>
    <t>XEROX LIMITED</t>
  </si>
  <si>
    <t>FUTURE SALES CORPORATION</t>
  </si>
  <si>
    <t>INROBLE INTERNATIONAL INC.</t>
  </si>
  <si>
    <t>JERRY'S SKATING WORLD INC.</t>
  </si>
  <si>
    <t>MONTEBELLO PACKAGING INC.</t>
  </si>
  <si>
    <t>Advantage Maintenance Products Ltd</t>
  </si>
  <si>
    <t>ADVANTAGE MAINTENANCE PRODUCTS LTD.</t>
  </si>
  <si>
    <t>MURSATT CHEMICALS LIMITED</t>
  </si>
  <si>
    <t>NUCO INC.</t>
  </si>
  <si>
    <t>RESQTECH SYSTEMS INC.</t>
  </si>
  <si>
    <t>SPECIALTY FOOD SERVICE HARDWARE</t>
  </si>
  <si>
    <t>SWEDA CANADA INC.</t>
  </si>
  <si>
    <t>WAYNE SAFETY INC.</t>
  </si>
  <si>
    <t>WELFOODS LTD</t>
  </si>
  <si>
    <t>WHITE VEAL MEAT PACKERS LTD.</t>
  </si>
  <si>
    <t>WHITE VEAL MEAT PACKERS LTD</t>
  </si>
  <si>
    <t>YPG FINANCING INC</t>
  </si>
  <si>
    <t>Z.M.C. METAL COATING INC.</t>
  </si>
  <si>
    <t>ARCAN RESOURCES LTD</t>
  </si>
  <si>
    <t>BONAVISTA ENERGY CORPORATION</t>
  </si>
  <si>
    <t>CITY OF TORONTO</t>
  </si>
  <si>
    <t>CORNERSTONE FUTURES LLC</t>
  </si>
  <si>
    <t>DE BEERS CANADA INC</t>
  </si>
  <si>
    <t>EOX HOLDING LLC</t>
  </si>
  <si>
    <t>EVOLUTION MARKETS INC</t>
  </si>
  <si>
    <t>GFI Securities Limited Nyon</t>
  </si>
  <si>
    <t>GFI SECURITIES LIMITED</t>
  </si>
  <si>
    <t>GILDAN ACTIVEWEAR SRL</t>
  </si>
  <si>
    <t>HEAT FUTURES LLC FL</t>
  </si>
  <si>
    <t>LOBLAWS INC.</t>
  </si>
  <si>
    <t>MARK ANTHONY BREWING INC</t>
  </si>
  <si>
    <t>PERPETUAL ENERGY INC</t>
  </si>
  <si>
    <t>PERPETUAL ENERGY INC.</t>
  </si>
  <si>
    <t>PETROLERA NACIONAL SA</t>
  </si>
  <si>
    <t>PVM Oil Associates Limited</t>
  </si>
  <si>
    <t>RIPON COGENERATION LLC</t>
  </si>
  <si>
    <t>SW RESOURCES PARTNERSHIP</t>
  </si>
  <si>
    <t>TRANSALTA ENERGY MARKETING CORP</t>
  </si>
  <si>
    <t>TRC TRADING CORPORATION</t>
  </si>
  <si>
    <t>TRIAXON RESOURCES LTD</t>
  </si>
  <si>
    <t>TRIDENT BROKERAGE SERVICES LLC</t>
  </si>
  <si>
    <t>WHARF RESOURCES USA INC</t>
  </si>
  <si>
    <t>WHARF RESOURCES USA INC.</t>
  </si>
  <si>
    <t>ALINDA INFRASTRUCTURE PARA FUND I</t>
  </si>
  <si>
    <t>ALINDA INFRASTRUCTURE  PAR FUND I A</t>
  </si>
  <si>
    <t>BREVAN HOWARD CREDIT VALUE MASTER FUND LIMITED CDEA</t>
  </si>
  <si>
    <t>HSBC GLOBAL ASSET MANAGEMENT (USA) INC. (AS AGENT)</t>
  </si>
  <si>
    <t>PACIFIC INVESTMENT MANAGEMENT COMPANY LLC, SOLELY IN ITS CAPACITY AS ADVISOR ON BEHALF OF FUNDO DE PENSOES</t>
  </si>
  <si>
    <t>PACIFIC INVESTMENT MANAGEMENT COMPANY LLC, SOLELY IN ITS CAPACITY AS ADVISOR ON BEHALF OF H.E.S.T AUSTRALIA LTD AS TRUSTEE FOR HEALTH EMPLOYEES SUPERANNUATION TRUST AUSTRALIA</t>
  </si>
  <si>
    <t>PACIFIC INVESTMENT MANAGEMENT COMPANY LLC, SOLELY IN ITS CAPACITY AS ADVISOR ON BEHALF OF  PIMCO CAYMAN TRUST - PIMCO CAYMAN U.S. BOND FUND</t>
  </si>
  <si>
    <t>PACIFIC INVESTMENT MANAGEMENT COMPANY LLC, SOLELY IN ITS CAPACITY AS ADVISOR ON BEHALF OF THE TRUSTEES OF THE EIRCOM SUPERANNUATION FUND</t>
  </si>
  <si>
    <t>PACIFIC INVESTMENT MANAGEMENT COMPANY LLC, SOLELY IN ITS CAPACITY AS ADVISOR ON BEHALF OF THE TRUSTEES OF THE SCOTTISH HYDRO-ELECTRIC PENSION SCHEME</t>
  </si>
  <si>
    <t>CHESAPEAKE ENERGY CORPORATION</t>
  </si>
  <si>
    <t>CHS INC</t>
  </si>
  <si>
    <t>CLASSIC HYDROCARBONS HOLDINGS LP</t>
  </si>
  <si>
    <t>THE CLOROX COMPANY</t>
  </si>
  <si>
    <t>CNE GAS SUPPLY LLC</t>
  </si>
  <si>
    <t>CNX GAS COMPANY LLC</t>
  </si>
  <si>
    <t>COLFAX CORPORATION</t>
  </si>
  <si>
    <t>COMMERCIAL METALS COMPANY</t>
  </si>
  <si>
    <t>COMSTOCK RESOURCES INC</t>
  </si>
  <si>
    <t>CONAGRA BRANDS INC</t>
  </si>
  <si>
    <t>CONAGRA BRANDS, INC.</t>
  </si>
  <si>
    <t>CONCHO RESOURCES INC</t>
  </si>
  <si>
    <t>CONSOLIDATED EDISON COMPANY OF NEW YORK INC</t>
  </si>
  <si>
    <t>CONSTELLATION BRANDS, INC.</t>
  </si>
  <si>
    <t>CONVERGYS CORPORATION</t>
  </si>
  <si>
    <t>CONCENTRIX CVG CORPORATION</t>
  </si>
  <si>
    <t>CUSTOM FUEL SERVICES INC</t>
  </si>
  <si>
    <t>DANAHER CORPORATION</t>
  </si>
  <si>
    <t>Davidson Kempner Institutional Partners L.P.</t>
  </si>
  <si>
    <t>Davidson Kempner Partners</t>
  </si>
  <si>
    <t>DCP MIDSTREAM MARKETING LLC</t>
  </si>
  <si>
    <t>DCP MIDSTREAM OPERATING LP</t>
  </si>
  <si>
    <t>DCP NGL SERVICES LLC</t>
  </si>
  <si>
    <t>DELPHI HOLDINGS LLC</t>
  </si>
  <si>
    <t>DEVON ENERGY PRODUCTION COMPANY  L.P.</t>
  </si>
  <si>
    <t>DEVON ENERGY PRODUCTION COMPANY, L.P.</t>
  </si>
  <si>
    <t>DIEBOLD NIXDORF INC</t>
  </si>
  <si>
    <t>DIEBOLD INCORPORATED</t>
  </si>
  <si>
    <t>DOMTAR CORPORATION</t>
  </si>
  <si>
    <t>DOVER CORPORATION</t>
  </si>
  <si>
    <t>DTE ENERGY COMPANY.</t>
  </si>
  <si>
    <t>DTE ENERGY TRADING INC</t>
  </si>
  <si>
    <t>ACCO BRANDS CORP.</t>
  </si>
  <si>
    <t>ALERIS RM INC</t>
  </si>
  <si>
    <t>ALLY INVESTMENT MANAGEMENT LLC CDEA</t>
  </si>
  <si>
    <t>ADRIEL ORTINO CORP.</t>
  </si>
  <si>
    <t>AMEREN ILLINOIS COMPANY</t>
  </si>
  <si>
    <t>AMERICAN CENTURY INVESTMENTS</t>
  </si>
  <si>
    <t>AMERICAN GREETINGS CORPORATION</t>
  </si>
  <si>
    <t>AMERICAN SUGAR REFINING, INC.</t>
  </si>
  <si>
    <t>AMERICAN SUGAR REFINING INC</t>
  </si>
  <si>
    <t>AMERISOURCEBERGEN CORPORATION</t>
  </si>
  <si>
    <t>OCCIDENTAL PETROLEUM CORP</t>
  </si>
  <si>
    <t>ANADARKO PETROLEUM CORPORATION</t>
  </si>
  <si>
    <t>APACHE CORPORATION</t>
  </si>
  <si>
    <t>ARCHER DANIELS MIDLAND COMPANY</t>
  </si>
  <si>
    <t>ARCHER DANIELS MIDLAND CO</t>
  </si>
  <si>
    <t>ASSURANT INC</t>
  </si>
  <si>
    <t>ATHLON HOLDINGS LP</t>
  </si>
  <si>
    <t>AVISTA CORPORATION</t>
  </si>
  <si>
    <t>BLACK DIAMOND RESOURCES LLC</t>
  </si>
  <si>
    <t>BOISE PAPER HOLDINGS LLC</t>
  </si>
  <si>
    <t>BOSTON SCIENTIFIC CORPORATION GROUP</t>
  </si>
  <si>
    <t>BOSTON SCIENTIFIC CORPORATION</t>
  </si>
  <si>
    <t>BP CORPORATION NORTH AMERICA</t>
  </si>
  <si>
    <t>BREITBURN OPERATING LP</t>
  </si>
  <si>
    <t>CADENCE DESIGN SYSTEMS INC.</t>
  </si>
  <si>
    <t>CARGILL INC RISK MANAGEMENT</t>
  </si>
  <si>
    <t>CARGILL INCORPORATED</t>
  </si>
  <si>
    <t>CARGILL INC</t>
  </si>
  <si>
    <t>CARGILL, INC. (GROUP)</t>
  </si>
  <si>
    <t>CARGILL, INC.</t>
  </si>
  <si>
    <t>CBRE SERVICES, INC.</t>
  </si>
  <si>
    <t>CBRE SERVICES INC</t>
  </si>
  <si>
    <t>CBRE SERVICES, INC. GROUP</t>
  </si>
  <si>
    <t>EAGLE ENERGY ACQUISITIONS LP</t>
  </si>
  <si>
    <t>EATON VANCE SHORT DURATION DIVERSIFIED INCOME FUND</t>
  </si>
  <si>
    <t>ELECTRONIC ARTS, INC.</t>
  </si>
  <si>
    <t>YUM! BRANDS, INC.</t>
  </si>
  <si>
    <t>XEROX CORPORATION</t>
  </si>
  <si>
    <t>XCEL ENERGY INC</t>
  </si>
  <si>
    <t>WPX ENERGY INC</t>
  </si>
  <si>
    <t>WKI HOLDING COMPANY, INC.</t>
  </si>
  <si>
    <t>WORLD KITCHEN, LLC</t>
  </si>
  <si>
    <t>WISCONSIN PUBLIC SERVICE CORPORATION</t>
  </si>
  <si>
    <t>WHIRLPOOL CORPORATION</t>
  </si>
  <si>
    <t>ENERGEN RESOURCES CORPORATION</t>
  </si>
  <si>
    <t>WESTINGHOUSE AIR BRAKE TECHNOLOGIES CORPORATION</t>
  </si>
  <si>
    <t>EPL OIL &amp; GAS INC</t>
  </si>
  <si>
    <t>WASTE MANAGEMENT INC</t>
  </si>
  <si>
    <t>WALTER ENERGY INC</t>
  </si>
  <si>
    <t>ENERGY XXI GULF COAST INC</t>
  </si>
  <si>
    <t>ENERVEST ENERGY INSTITUTIONAL FUND XII A LP</t>
  </si>
  <si>
    <t>ENTERGY GULF STATES LOUISIANA LLC</t>
  </si>
  <si>
    <t>ENTERGY LOUISIANA LLC</t>
  </si>
  <si>
    <t>ENTERGY MISSISSIPPI INC</t>
  </si>
  <si>
    <t>VISTEON GLOBAL TREASURY INC</t>
  </si>
  <si>
    <t>DOMINION ENERGY FUEL SERVICES, INC.</t>
  </si>
  <si>
    <t>UNS GAS INC</t>
  </si>
  <si>
    <t>UNS ELECTRIC INC</t>
  </si>
  <si>
    <t>UNITED STATES STEEL CORPORATION</t>
  </si>
  <si>
    <t>UNITED RENTALS (NORTH AMERICA) INC</t>
  </si>
  <si>
    <t>UNITED RENTALS NORTH AMERICA INC</t>
  </si>
  <si>
    <t>UNIT CORPORATION</t>
  </si>
  <si>
    <t>UNION ELECTRIC COMPANY D/B/A AMEREN MISSOURI</t>
  </si>
  <si>
    <t>TUCSON ELECTRIC POWER COMPANY</t>
  </si>
  <si>
    <t>TRIMBLE INC</t>
  </si>
  <si>
    <t>TRIMBLE INC GOUP</t>
  </si>
  <si>
    <t>TENNESSEE VALLEY AUTHORITY</t>
  </si>
  <si>
    <t>TARGA RESOURCES PARTNERS LP</t>
  </si>
  <si>
    <t>TANGER PROPERTIES LIMITED PARTNERSHIP</t>
  </si>
  <si>
    <t>SYNOVUS BANK</t>
  </si>
  <si>
    <t>SUNOCO PARTNERS MARKETING AND TERMINALS LP</t>
  </si>
  <si>
    <t>STONE ENERGY CORPORATION</t>
  </si>
  <si>
    <t>STANLEY BLACK AND DECKER INC NDF</t>
  </si>
  <si>
    <t>STANLEY BLACK &amp; DECKER, INC.</t>
  </si>
  <si>
    <t>STANLEY BLACK &amp; DECKER, INC. (GROUP)</t>
  </si>
  <si>
    <t>STANLEY BLACK &amp; DECKER</t>
  </si>
  <si>
    <t>SOUTHSTAR ENERGY SERVICES LLC</t>
  </si>
  <si>
    <t>EOG RESOURCES, INC.</t>
  </si>
  <si>
    <t>EOG RESOURCES INC</t>
  </si>
  <si>
    <t>EP ENERGY LLC</t>
  </si>
  <si>
    <t>SMOKY MOUNTAIN HOLDINGS LLC</t>
  </si>
  <si>
    <t>SM ENERGY COMPANY</t>
  </si>
  <si>
    <t>SILICON VALLEY BANK</t>
  </si>
  <si>
    <t>SEQUENT ENERGY MANAGEMENT LP</t>
  </si>
  <si>
    <t>SEQUENT ENERGY CANADA CORP.</t>
  </si>
  <si>
    <t>SEMGROUP CORPORATION</t>
  </si>
  <si>
    <t>SEGUNDO NAVARRO DRILLING LTD</t>
  </si>
  <si>
    <t>SEADRIFT COKE LP</t>
  </si>
  <si>
    <t>SANDRIDGE ENERGY INC</t>
  </si>
  <si>
    <t>REYNOLDS CONSUMER PRODUCTS LLC</t>
  </si>
  <si>
    <t>REYNOLDS CONSUMER PRODUCTS INC</t>
  </si>
  <si>
    <t>CITIZENS BANK NA CASH LETTER</t>
  </si>
  <si>
    <t>CITIZENS BANK NATIONAL ASSOCIATION</t>
  </si>
  <si>
    <t>CITIZENS BANK NA</t>
  </si>
  <si>
    <t>RBS CITIZENS, N.A.</t>
  </si>
  <si>
    <t>FEDEX CORPORATION</t>
  </si>
  <si>
    <t>RANGE RESOURCES CORPORATION</t>
  </si>
  <si>
    <t>QUANTUM RESOURCES A1 LP</t>
  </si>
  <si>
    <t>QRE OPERATING LLC</t>
  </si>
  <si>
    <t>PUTNAM INVESTMENTS AFFILIATED FUNDS CDEA</t>
  </si>
  <si>
    <t>FLUOR CORPORATION</t>
  </si>
  <si>
    <t>FLUOR CORP.</t>
  </si>
  <si>
    <t>FREEPORT MCMORAN INC</t>
  </si>
  <si>
    <t>PORTLAND GENERAL ELECTRIC COMPANY</t>
  </si>
  <si>
    <t>GARFIELD REFINING COMPANY</t>
  </si>
  <si>
    <t>GRAFTECH FINANCE INC.</t>
  </si>
  <si>
    <t>GULFPORT ENERGY OPERATING CORPORATION</t>
  </si>
  <si>
    <t>HALCON RESOURCES CORPORATION</t>
  </si>
  <si>
    <t>HARRIS CORPORATION</t>
  </si>
  <si>
    <t>L3HARRIS TECHNOLOGIES INC</t>
  </si>
  <si>
    <t>HECLA MINING COMPANY</t>
  </si>
  <si>
    <t>HERFF JONES, LLC</t>
  </si>
  <si>
    <t>THE HERTZ CORPORATION</t>
  </si>
  <si>
    <t>HOUSTON REFINING LP</t>
  </si>
  <si>
    <t>HUNT REFINING COMPANY</t>
  </si>
  <si>
    <t>HUNTINGTON INGALLS INDUSTRIES INC</t>
  </si>
  <si>
    <t>HUNTINGTON INGALLS INDUSTRIES INC.</t>
  </si>
  <si>
    <t>PIVOTAL UTILITY HOLDINGS INC.</t>
  </si>
  <si>
    <t>PDC ENERGY INC</t>
  </si>
  <si>
    <t>PATARA OIL &amp; GAS LLC</t>
  </si>
  <si>
    <t>PARTNER REINSURANCE COMPANY OF THE U.S. CANADA BRANCH</t>
  </si>
  <si>
    <t>PARTNER REINSURANCE COMPANY OF THE U.S. CANADIAN BRANCH</t>
  </si>
  <si>
    <t>PACIFIC COAST ENERGY COMPANY LP</t>
  </si>
  <si>
    <t>NOVELIS CORPORATION</t>
  </si>
  <si>
    <t>NORTHWEST NATURAL GAS COMPANY</t>
  </si>
  <si>
    <t>NORTHROP GRUMMAN CORPORATION</t>
  </si>
  <si>
    <t>NORTH SHORE GAS COMPANY</t>
  </si>
  <si>
    <t>NJR ENERGY SERVICES COMPANY</t>
  </si>
  <si>
    <t>NJR ENERGY SERVICES CO</t>
  </si>
  <si>
    <t>NISSAN WAREHOUSE LLC</t>
  </si>
  <si>
    <t>NISSAN MOTOR ACCEPTANCE CORPORATION</t>
  </si>
  <si>
    <t>NISSAN MOTOR ACCEPTANCE COMPANY LLC  GROUP</t>
  </si>
  <si>
    <t>NISSAN MOTOR ACCEPTANCE COMPANY LLC</t>
  </si>
  <si>
    <t>NEXTERA ENERGY MARKETING LLC</t>
  </si>
  <si>
    <t>NEW MEXICO GAS COMPANY INC</t>
  </si>
  <si>
    <t>NEW JERSEY NATURAL GAS COMPANY</t>
  </si>
  <si>
    <t>NOV INC</t>
  </si>
  <si>
    <t>NATIONAL OILWELL VARCO INC</t>
  </si>
  <si>
    <t>MILAGRO EXPLORATION LLC</t>
  </si>
  <si>
    <t>MIDSTATES PETROLEUM COMPANY LLC</t>
  </si>
  <si>
    <t>MIDAMERICAN ENERGY COMPANY</t>
  </si>
  <si>
    <t>MB FINANCIAL BANK NA</t>
  </si>
  <si>
    <t>MATTEL INC</t>
  </si>
  <si>
    <t>MATTEL INC.</t>
  </si>
  <si>
    <t>MARS INCORPORATED</t>
  </si>
  <si>
    <t>MARATHON PETROLEUM COMPANY LP</t>
  </si>
  <si>
    <t>M. H. Davidson Co</t>
  </si>
  <si>
    <t>INTERNATIONAL DEVELOPMENT ASSOCIATION</t>
  </si>
  <si>
    <t>INTUIT INC.</t>
  </si>
  <si>
    <t>IRON ORE COMPANY OF CANADA</t>
  </si>
  <si>
    <t>JACOBS ENGINEERING GROUP INC GROUP</t>
  </si>
  <si>
    <t>JACOBS ENGINEERING GROUP INC.</t>
  </si>
  <si>
    <t>JUST ENERGY U.S. CORP.</t>
  </si>
  <si>
    <t>KBR HOLDINGS, LLC</t>
  </si>
  <si>
    <t>KBR HOLDINGS LLC</t>
  </si>
  <si>
    <t>KIEWIT CORPORATION</t>
  </si>
  <si>
    <t>KODIAK OIL AND GAS (USA) INC</t>
  </si>
  <si>
    <t>KOHLER CO</t>
  </si>
  <si>
    <t>KOHLER CO.</t>
  </si>
  <si>
    <t>LENNOX INTERNATIONAL INC</t>
  </si>
  <si>
    <t>LENNOX INTERNATIONAL, INC.</t>
  </si>
  <si>
    <t>BLACK STONE NATURAL RESOURCES I LP</t>
  </si>
  <si>
    <t>BLACK STONE NATURAL RESOURCES II LP</t>
  </si>
  <si>
    <t>BLACK STONE NATURAL RESOURCES III LP</t>
  </si>
  <si>
    <t>BONANZA CREEK ENERGY INC</t>
  </si>
  <si>
    <t>CLOUD PEAK ENERGY RESOURCES LLC</t>
  </si>
  <si>
    <t>CROWN CORK AND SEAL USA</t>
  </si>
  <si>
    <t>CROWN CORK &amp; SEAL USA INC</t>
  </si>
  <si>
    <t>GUARDIAN INDUSTRIES RESOURCES LLC</t>
  </si>
  <si>
    <t>GUARDIAN INDUSTRIES CORPORATION</t>
  </si>
  <si>
    <t>STUDENT TRANSPORTATION OF AMERICA</t>
  </si>
  <si>
    <t>KAISER ALUMINUM INVESTMENTS COMPANY</t>
  </si>
  <si>
    <t>TOYOTA MOTOR CREDIT CORPORATION</t>
  </si>
  <si>
    <t>BLACK STONE MINERALS COMPANY LP</t>
  </si>
  <si>
    <t>INGRAM BARGE COMPANY</t>
  </si>
  <si>
    <t>BLOOMBERG FINANCE LP</t>
  </si>
  <si>
    <t>CITATION OIL AND GAS CORP</t>
  </si>
  <si>
    <t>CITATION OIL AND GAS CORPORATION</t>
  </si>
  <si>
    <t>HOPKINS MANUFACTURING CORP</t>
  </si>
  <si>
    <t>HOPKINS MANUFACTURING CORPORATION</t>
  </si>
  <si>
    <t>MILAGRO PRODUCING LLC</t>
  </si>
  <si>
    <t>WHEELS INC</t>
  </si>
  <si>
    <t>NORTHERN OIL AND GAS INC</t>
  </si>
  <si>
    <t>BLACK HILLS CORPORATION</t>
  </si>
  <si>
    <t>JOSEPH T RYERSON &amp; SON INC</t>
  </si>
  <si>
    <t>PRECISION CASTPARTS CORPORATION</t>
  </si>
  <si>
    <t>PRECISION CASTPARTS CORP</t>
  </si>
  <si>
    <t>RYERSON INC</t>
  </si>
  <si>
    <t>ST MARYS CEMENT INC (US)</t>
  </si>
  <si>
    <t>PBF HOLDING COMPANY LLC</t>
  </si>
  <si>
    <t>EMERGING MARKETS LOCAL INCOME PORTFOLIO</t>
  </si>
  <si>
    <t>LIME ROCK RESOURCES II C L.P.</t>
  </si>
  <si>
    <t>M21K LLC</t>
  </si>
  <si>
    <t>SLM CORPORATION</t>
  </si>
  <si>
    <t>CENTERPOINT ENERGY SERVICES INC</t>
  </si>
  <si>
    <t>EATON VANCE SHORT DURATION STRATEGIC INCOME FUND</t>
  </si>
  <si>
    <t>INGRAM MICRO INC CANADA</t>
  </si>
  <si>
    <t>INGRAM MICRO INC.</t>
  </si>
  <si>
    <t>INGRAM MICRO INC</t>
  </si>
  <si>
    <t>HESS CORPORATION</t>
  </si>
  <si>
    <t>HESS COMMODITIES A DIVISION OF HESS CORPORATION</t>
  </si>
  <si>
    <t>HESS CORP</t>
  </si>
  <si>
    <t>KOCH SUPPLY &amp; TRADING, L.P.</t>
  </si>
  <si>
    <t>Koch Supply &amp; Trading, LP</t>
  </si>
  <si>
    <t>KOCH SUPPLY &amp; TRADING LP</t>
  </si>
  <si>
    <t>KOCH SUPPLY &amp; TRADING, L.P</t>
  </si>
  <si>
    <t>METROPOLITAN LIFE INSURANCE COMPANY CDEA</t>
  </si>
  <si>
    <t>ENBRIDGE RISK MANAGEMENT US LLC</t>
  </si>
  <si>
    <t>STARWOOD HOTELS &amp; RESORTS WORLDWIDE LLC</t>
  </si>
  <si>
    <t>STARWOOD HOTELS AND RESORTS WORLDWIDE LLC</t>
  </si>
  <si>
    <t>RPM INTERNATIONAL INC.</t>
  </si>
  <si>
    <t>TALEN ENERGY MARKETING LLC</t>
  </si>
  <si>
    <t>STATE STREET BANK &amp; TRUST COMPANY</t>
  </si>
  <si>
    <t>STATE STREET BANK AND TRUST COMPANY</t>
  </si>
  <si>
    <t>STATE STREET BANK AND TRUST COMPANY BOSTON</t>
  </si>
  <si>
    <t>STATE STREET BANK &amp; TRUST COMPANY (STF)</t>
  </si>
  <si>
    <t>STATE STREET BANK AND TRUST COMPANY LONDON</t>
  </si>
  <si>
    <t>MUFG UNION BANK N.A.</t>
  </si>
  <si>
    <t>MUFG UNION BANK, N.A.</t>
  </si>
  <si>
    <t>MUFG UNION BANK N.A. CDEA</t>
  </si>
  <si>
    <t>U.S. BANK, N.A.</t>
  </si>
  <si>
    <t>U.S. BANK NATIONAL ASSOCIATION</t>
  </si>
  <si>
    <t>US BANK NA</t>
  </si>
  <si>
    <t>U.S. BANK (CANADA)</t>
  </si>
  <si>
    <t>MERRILL LYNCH, PIERCE, FENNER &amp; SMITH INCORPORATED</t>
  </si>
  <si>
    <t>MERRILL LYNCH PIERCE FENNER AND SMITH INCORPORATED</t>
  </si>
  <si>
    <t>MERRILL LYNCH PIERCE  FENNER AND SMITH INC</t>
  </si>
  <si>
    <t>MERRILL LYNCH, PIERCE, FENNER AND SMITH INC</t>
  </si>
  <si>
    <t>COMERICA BANK</t>
  </si>
  <si>
    <t>COMERICA BANK-DETROIT</t>
  </si>
  <si>
    <t>MARATHON OIL COMPANY</t>
  </si>
  <si>
    <t>FIFTH THIRD BANK</t>
  </si>
  <si>
    <t>FIFTH THIRD BANK CDEA</t>
  </si>
  <si>
    <t>CITIBANK NA - SBE</t>
  </si>
  <si>
    <t>CITIBANK NA GLOBAL EQUITY FINANCE</t>
  </si>
  <si>
    <t>CITIBANK NA LONDON (GROUP TREASURY)</t>
  </si>
  <si>
    <t>CITIBANK NA NEW YORK</t>
  </si>
  <si>
    <t>CITIBANK NA (BNS MUMBAI)</t>
  </si>
  <si>
    <t>CITIBANK NA</t>
  </si>
  <si>
    <t>CITIBANK N.A</t>
  </si>
  <si>
    <t>CITIBANK NA DUBLIN (IRELAND)</t>
  </si>
  <si>
    <t>CITIBANK NA MUMBAI</t>
  </si>
  <si>
    <t>CITIBANK NA (SSA)</t>
  </si>
  <si>
    <t>CITIBANK NASSAU</t>
  </si>
  <si>
    <t>CITIBANK NA SEOUL BRANCH (ASIA PACIFIC RIM)-RCM</t>
  </si>
  <si>
    <t>CITIBANK LONDON-SIF</t>
  </si>
  <si>
    <t>CITIBANK NA-NEW YORK- (ASIA PACIFIC RIM)</t>
  </si>
  <si>
    <t>COSTA RICA CITIBANK NA NEW YORK</t>
  </si>
  <si>
    <t>CITIBANK NA SYDNEY (AUSTRALIA)</t>
  </si>
  <si>
    <t>CITIBANK HQ</t>
  </si>
  <si>
    <t>CITIBANK, NATIONAL ASSOCIATION</t>
  </si>
  <si>
    <t>CITIBANK NA BANKOK BRANCH (THANACHART)</t>
  </si>
  <si>
    <t>CITIBANK N A (GROUP TREASURY)</t>
  </si>
  <si>
    <t>CITIBANK NA LONDON 60095</t>
  </si>
  <si>
    <t>CITI BANK NA</t>
  </si>
  <si>
    <t>CITIBANK NEW YORK-SIF</t>
  </si>
  <si>
    <t>CITIBANK N.A. NEW YORK</t>
  </si>
  <si>
    <t>CITIBANK AS COLLATERAL AGENT</t>
  </si>
  <si>
    <t>Citibank NA</t>
  </si>
  <si>
    <t>CITIBANK N.A.</t>
  </si>
  <si>
    <t>CITIBANK,</t>
  </si>
  <si>
    <t>CITIBANK NA.</t>
  </si>
  <si>
    <t>CITIBANK NATIONAL ASSOCIATION</t>
  </si>
  <si>
    <t>KEY BANK NATIONAL ASSOCIATION</t>
  </si>
  <si>
    <t>KEYBANK N A</t>
  </si>
  <si>
    <t>KEYBANK NATIONAL ASSOCIATION</t>
  </si>
  <si>
    <t>KEYBANK NATIONAL ASSOCIATION CDEA</t>
  </si>
  <si>
    <t>KEYBANK NA</t>
  </si>
  <si>
    <t>BLOOMBERG LP</t>
  </si>
  <si>
    <t>BLOOMBERG L.P.</t>
  </si>
  <si>
    <t>CF INDUSTRIES ENTERPRISES, LLC</t>
  </si>
  <si>
    <t>CF INDUSTRIES ENTERPRISES LLC</t>
  </si>
  <si>
    <t>BANK OF NEW YORK MELLON</t>
  </si>
  <si>
    <t>BANK OF NEW YORK MELLON LONDON</t>
  </si>
  <si>
    <t>BANK OF NEW YORK MELLON (STF)</t>
  </si>
  <si>
    <t>THE BANK OF NEW YORK MELLON</t>
  </si>
  <si>
    <t>SOUTHERN COMPANY SERVICES INC AS AGENT (SCS) FOR GEORGIA POWER COMPANY (GPC), ALABAMA POWER COMPANY (APC), MISSISSIPPI POWER COMPANY (MPC), AND SOUTHERN POWER COMPANY (SPC)</t>
  </si>
  <si>
    <t>CITIBANK PERU</t>
  </si>
  <si>
    <t>NOBLE ENERGY INC</t>
  </si>
  <si>
    <t>THE MARTIN BROWER COMPANY LLC</t>
  </si>
  <si>
    <t>THE MARTIN-BROWER COMPANY LLC</t>
  </si>
  <si>
    <t>INGREDION INCORPORATED</t>
  </si>
  <si>
    <t>GOLDMAN SACHS INTERNATIONAL</t>
  </si>
  <si>
    <t>GOLDMAN SACHS INTERNATIONAL-SBE</t>
  </si>
  <si>
    <t>GOLDMAN SACHS INTERNATIONAL GT</t>
  </si>
  <si>
    <t>Goldman Sachs International</t>
  </si>
  <si>
    <t>GOLDMAN SACHS INTERNATIONAL.</t>
  </si>
  <si>
    <t>Goldman Sachs International PLC</t>
  </si>
  <si>
    <t>ENERVEST ENERGY INSTITUTIONAL FUND XII WIB LP</t>
  </si>
  <si>
    <t>ENERVEST ENERGY INSTITUTIONAL FUND XII WIC LP</t>
  </si>
  <si>
    <t>ERP OPERATINGLIMITED PARTNERSHIP</t>
  </si>
  <si>
    <t>VALERO MARKETING AND SUPPLY COMPANY</t>
  </si>
  <si>
    <t>FIRSTENERGY SOLUTIONS CORP</t>
  </si>
  <si>
    <t>MUFG BANK MEXICO SA IBM FILIAL</t>
  </si>
  <si>
    <t>GOLDCORP USA INC</t>
  </si>
  <si>
    <t>ANHEUSER-BUSCH COMPANIES LLC</t>
  </si>
  <si>
    <t>ANHEUSER BUSCH COMPANIES LLC</t>
  </si>
  <si>
    <t>GLOBAL MACRO ABSOLUTE RETURN ADVANTAGE PORTFOLIO</t>
  </si>
  <si>
    <t>SHORT-TERM US GOV PORTFOLIO</t>
  </si>
  <si>
    <t>MRC ENERGY COMPANY</t>
  </si>
  <si>
    <t>REINHART FOODSERVICE LLC</t>
  </si>
  <si>
    <t>EP ENERGY GLOBAL LLC</t>
  </si>
  <si>
    <t>TUNDRA OIL &amp; GAS LIMITED</t>
  </si>
  <si>
    <t>TUNDRA OIL AND GAS LIMITED</t>
  </si>
  <si>
    <t>NORTHERN BLIZZARD RESOURCES INC</t>
  </si>
  <si>
    <t>STRATHCONA RESOURCES LTD.</t>
  </si>
  <si>
    <t>CONA RESOURCES LTD</t>
  </si>
  <si>
    <t>PINECREST ENERGY INC</t>
  </si>
  <si>
    <t>PAREX RESOURCES INC</t>
  </si>
  <si>
    <t>PAREX RESOURCES INC.</t>
  </si>
  <si>
    <t>FIDELITY EXPLORATION AND PRODUCTION CO</t>
  </si>
  <si>
    <t>ONDREJICKA ELEVATORS LIMITED</t>
  </si>
  <si>
    <t>TANNIS TRADING INC</t>
  </si>
  <si>
    <t>IVY CUNDILL GLOBAL VALUE FUND</t>
  </si>
  <si>
    <t>WELLS FARGO BANK NA CHARLOTTE</t>
  </si>
  <si>
    <t>WELLS FARGO BANK N.A.</t>
  </si>
  <si>
    <t>WELLS FARGO BANK NA GEF</t>
  </si>
  <si>
    <t>WELLS FARGO BANK NA SAN FRANCISCO</t>
  </si>
  <si>
    <t>WELLSFARGO BANK N.A</t>
  </si>
  <si>
    <t>Wells Fargo Bank NA</t>
  </si>
  <si>
    <t>WELLS FARGO BANK NATIONAL ASSOCIATION</t>
  </si>
  <si>
    <t>EQUAL ENERGY LIMITED</t>
  </si>
  <si>
    <t>RELIANCE EXPLORATION LIMITED</t>
  </si>
  <si>
    <t>BUNGE LTD</t>
  </si>
  <si>
    <t>NEXANS CANADA INC</t>
  </si>
  <si>
    <t>NEXANS CANADA GENERAL MARKET</t>
  </si>
  <si>
    <t>NEXANS CANADA ROD MILL</t>
  </si>
  <si>
    <t>IOWA PUBLIC EMPLOYEES RETIREMENT SYSTEM</t>
  </si>
  <si>
    <t>IOWA PUBLIC EMPLOYEES RETIREMENT SY</t>
  </si>
  <si>
    <t>KINDER MORGAN ENERGY PARTNERS LP</t>
  </si>
  <si>
    <t>PSEG ENERGY RESOURCES AND TRADE LLC</t>
  </si>
  <si>
    <t>NORDSTROM INC.</t>
  </si>
  <si>
    <t>KINDER MORGAN TEXAS PIPELINE LLC</t>
  </si>
  <si>
    <t>LONG ISLAND LIGHTING COMPANY</t>
  </si>
  <si>
    <t>PACIFIC INVESTMENT MANAGEMENT COMPANY LLC, SOLELY IN ITS CAPACITY AS ADVISOR ON BEHALF OF XCEL ENERGY INC. VOLUNTARY EMPLOYEES BENEFICIARY TRUST FOR RETIREDBARGAINING UNIT EMPLOYEES.</t>
  </si>
  <si>
    <t>PACIFIC INVESTMENT MANAGEMENT COMPANY LLC, SOLELY IN ITS CAPACITY AS ADVISOR ON BEHALF OF XCEL ENERGY INC. VOLUNTARY EMPLOYEES' BENEFICIARY TRUST FOR RETIRED BARGAINING UNIT EMPLOYEES</t>
  </si>
  <si>
    <t>PACIFIC INVESTMENT MANAGEMENT COMPANY LLC, SOLELY IN ITS CAPACITY AS ADVISOR ON BEHALF OF AEGON/TRANSAMERICA SERIES TRUST - PIMCO TOTAL RETURN FUND</t>
  </si>
  <si>
    <t>PACIFIC INVESTMENT MANAGEMENT COMPANY LLC, SOLELY IN ITS CAPACITY AS ADVISOR ON BEHALF OF PIMCO FUNDS: PRIVATE ACCOUNT PORTFOLIO SERIES HIGH YIELD PORTFOLIO</t>
  </si>
  <si>
    <t>PACIFIC INVESTMENT MANAGEMENT COMPANY LLC, SOLELY IN ITS CAPACITY AS ADVISOR ON BEHALF OF PIMCO FUNDS: PRIVATE ACCOUNT PORTFOLIO SERIES MUNICIPAL SECTOR PORTFOLIO</t>
  </si>
  <si>
    <t>PACIFIC INVESTMENT MANAGEMENT COMPANY LLC, SOLELY IN ITS CAPACITY AS ADVISOR ON BEHALF OF  AST COLLECTIVE INVESTMENT TRUST - PIMCO TOTAL RETURN TRUST</t>
  </si>
  <si>
    <t>PACIFIC INVESTMENT MANAGEMENT COMPANY LLC, SOLELY IN ITS CAPACITY AS ADVISOR ON BEHALF OF PIMCO FUNDS: PRIVATE ACCOUNT PORTFOLIO SERIES DEVELOPING LOCAL MARKETS PORTFOLIO</t>
  </si>
  <si>
    <t>PACIFIC INVESTMENT MANAGEMENT COMPANY LLC, SOLELY IN ITS CAPACITY AS ADVISOR ON BEHALF OF PIMCO FUNDS: PRIVATE ACCOUNT PORTFOLIO SERIES EMERGING MARKETS PORTFOLIO</t>
  </si>
  <si>
    <t>PACIFIC INVESTMENT MANAGEMENT COMPANY LLC, SOLELY IN ITS CAPACITY AS ADVISOR ON BEHALF OF BATTELLE PENSION TRUST</t>
  </si>
  <si>
    <t>PACIFIC INVESTMENT MANAGEMENT COMPANY LLC, SOLELY IN ITS CAPACITY AS ADVISOR ON BEHALF OF UNITED FOOD AND COMMERCIAL WORKERS INTERNATIONAL UNION PENSION PLAN FOR EMPLOYEES</t>
  </si>
  <si>
    <t>PACIFIC INVESTMENT MANAGEMENT COMPANY LLC, SOLELY IN ITS CAPACITY AS ADVISOR ON BEHALF OF PIMCO VARIABLE INSURANCE TRUST GLOBAL BOND PORTFOLIO (UNHEDGED)</t>
  </si>
  <si>
    <t>PACIFIC INVESTMENT MANAGEMENT COMPANY LLC, SOLELY IN ITS CAPACITY AS ADVISOR ON BEHALF OF  BRUNSWICK MASTER PENSION TRUST</t>
  </si>
  <si>
    <t>PACIFIC INVESTMENT MANAGEMENT COMPANY LLC, SOLELY IN ITS CAPACITY AS ADVISOR ON BEHALF OF  PPG INDUSTRIES INC. PENSION PLAN TRUST</t>
  </si>
  <si>
    <t>PACIFIC INVESTMENT MANAGEMENT COMPANY LLC, SOLELY IN ITS CAPACITY AS ADVISOR ON BEHALF OF  PREMIER HEALTH PARTNERS OPERATING INVESTMENT PROGRAM</t>
  </si>
  <si>
    <t>PACIFIC INVESTMENT MANAGEMENT COMPANY LLC, SOLELY IN ITS CAPACITY AS ADVISOR ON BEHALF OF COMERCIA INCORPORATED RETIREMENT PLAN</t>
  </si>
  <si>
    <t>STATE OF CONNECTICUT RETIREMENT PLANS AND TRUST FUNDS</t>
  </si>
  <si>
    <t>PACIFIC INVESTMENT MANAGEMENT COMPANY LLC, SOLELY IN ITS CAPACITY AS ADVISOR ON BEHALF OF STATE OF MARYLAND TEACHERS AND STATE EMPLOYEES SUPPLEMENTAL RETIREMENT PLAN</t>
  </si>
  <si>
    <t>PACIFIC INVESTMENT MANAGEMENT COMPANY LLC, SOLELY IN ITS CAPACITY AS ADVISOR ON BEHALF OF  HARBOR REAL RETURN FUND</t>
  </si>
  <si>
    <t>PACIFIC INVESTMENT MANAGEMENT COMPANY LLC, SOLELY IN ITS CAPACITY AS ADVISOR ON BEHALF OF  INOVA HEALTH SYSTEM FOUNDATION DEFINED BENEFIT PLAN MASTER TRUST</t>
  </si>
  <si>
    <t>PACIFIC INVESTMENT MANAGEMENT COMPANY LLC, SOLELY IN ITS CAPACITY AS ADVISOR ON BEHALF OF  INTERMOUNTAIN HEALTH CARE RETIREE BENEFIT TRUST</t>
  </si>
  <si>
    <t>PACIFIC INVESTMENT MANAGEMENT COMPANY LLC, SOLELY IN ITS CAPACITY AS ADVISOR ON BEHALF OF  SUPERVALU INC. MASTER INVESTMENT TRUST</t>
  </si>
  <si>
    <t>PACIFIC INVESTMENT MANAGEMENT COMPANY LLC, SOLELY IN ITS CAPACITY AS ADVISOR ON BEHALF OF  TELCORDIA TECHNOLOGIES PENSION PLAN</t>
  </si>
  <si>
    <t>CAERUS OPERATING LLC</t>
  </si>
  <si>
    <t>STONEGATE PRODUCTION COMPANY LLC</t>
  </si>
  <si>
    <t>MILLER COORS LLC MASTER RETIREMENT</t>
  </si>
  <si>
    <t>MILLER COORS LLC MAS RET PENSION PL</t>
  </si>
  <si>
    <t>PACIFIC INVESTMENT MANAGEMENT COMPANY LLC, SOLELY IN ITS CAPACITY AS ADVISOR ON BEHALF OF  NATIONAL RETIREMENT TRUST</t>
  </si>
  <si>
    <t>PACIFIC INVESTMENT MANAGEMENT COMPANY LLC, SOLELY IN ITS CAPACITY AS ADVISOR ON BEHALF OF  NEBRASKA INVESTMENT COUNCIL</t>
  </si>
  <si>
    <t>PACIFIC INVESTMENT MANAGEMENT COMPANY LLC, SOLELY IN ITS CAPACITY AS ADVISOR ON BEHALF OF NEBRASKA INVESTMENT COUNCIL FOR THE SCHOOL RETIREMENT SYSTEM, THE STATE PATROL RETIREMENT SYSTEM AND THE JUDGE'S RETIREMENT SYSTEM</t>
  </si>
  <si>
    <t>PACIFIC INVESTMENT MANAGEMENT COMPANY LLC SOLELY IN ITS CAPACITY AS ADVISOR ON BEHALF OF  NV ENERGY INC. MASTER DEFINED BENEFIT TRUST</t>
  </si>
  <si>
    <t>PACIFIC INVESTMENT MANAGEMENT COMPANY LLC, SOLELY IN ITS CAPACITY AS ADVISOR ON BEHALF OF  PARKER-HANNIFIN MASTER TRUST</t>
  </si>
  <si>
    <t>TRIANGLE USA PETROLEUM CORPORATION</t>
  </si>
  <si>
    <t>PUERTO RICO ELECTRIC POWER AUTHORITY</t>
  </si>
  <si>
    <t>JHT STRATEGIC INCOME TRUST</t>
  </si>
  <si>
    <t>JOHN HANCOCK LARGE CAP EQUITY FUND</t>
  </si>
  <si>
    <t>JHF II DIVERSIFIED STRATEGIES FD OP</t>
  </si>
  <si>
    <t>JHF II DIVERSIFIED STRATEGIES FUND</t>
  </si>
  <si>
    <t>JHF II DIVERSIFIED STRATEGIES FD FI</t>
  </si>
  <si>
    <t>JHF II DIVERSIFIED STRATEGIES FUND - OPPORTUNISTIC SLEEVE</t>
  </si>
  <si>
    <t>BLOOMBERG WALLBROOK MM LLC</t>
  </si>
  <si>
    <t>INTEGRYS ENERGY SERVICES INC</t>
  </si>
  <si>
    <t>PACIFIC INVESTMENT MANAGEMENT COMPANY LLC, SOLELY IN ITS CAPACITY AS ADVISOR ON BEHALF OF  PROVIDENCE HEALTH &amp; SERVICES CASH BALANCE RETIREMENT PLAN TRUST</t>
  </si>
  <si>
    <t>HASBRO INTERNATIONAL, INC.</t>
  </si>
  <si>
    <t>HASBRO STUDIOS LLC</t>
  </si>
  <si>
    <t>GOODRICH PETROLEUM COMPANY LLC</t>
  </si>
  <si>
    <t>WILLIAMS PARTNERS LP</t>
  </si>
  <si>
    <t>THE WILLIAMS COMPANIES, INC.</t>
  </si>
  <si>
    <t>THE WILLIAMS COMPANIES INC</t>
  </si>
  <si>
    <t>JOHN HANCOCK TRUST ACTIVE BOND TRUS</t>
  </si>
  <si>
    <t>MIZUHO SECURITIES USA INC</t>
  </si>
  <si>
    <t>Mizuho Securities USA Inc</t>
  </si>
  <si>
    <t>MANULIFE GLOBAL OPPORTUNITIES CTF</t>
  </si>
  <si>
    <t>STRATEGIC INCOME OPP BOND FUND</t>
  </si>
  <si>
    <t>MASTER LARGE CAP VALUE PORTFOLIO OF</t>
  </si>
  <si>
    <t>BLACKROCK FUNDS II BR LOW</t>
  </si>
  <si>
    <t>LUCENT DEFINED CONTRI PLAN MAST TRU</t>
  </si>
  <si>
    <t>BLACKROCK MULTI ASSET INCOME PORTFO</t>
  </si>
  <si>
    <t>BLACKROCK NATURAL RESOURCES TRUST T</t>
  </si>
  <si>
    <t>BLACKROCK INTERNATIONAL GROWTH AND</t>
  </si>
  <si>
    <t>BLACKROCK EQUITY DIVIDEND FUND</t>
  </si>
  <si>
    <t>BLACKROCK BLACKROCK GLOBAL LONG</t>
  </si>
  <si>
    <t>BLACKROCK HEALTH SCIENCES TRUST</t>
  </si>
  <si>
    <t>UPS GROUP TRUST TOTAL</t>
  </si>
  <si>
    <t>AZL ENHANCED BOND INDEX FUND</t>
  </si>
  <si>
    <t>BLACKROCK MID CAP VALUE OPPORTUNITI</t>
  </si>
  <si>
    <t>BLACKROCK LONG DURATION BOND PORTFO</t>
  </si>
  <si>
    <t>THE BLACKROCK HIGH YIELD TRUST</t>
  </si>
  <si>
    <t>BLACKROCK LARGE CAP VALUE VI FUND O</t>
  </si>
  <si>
    <t>BLACKROCK GLOBAL OPPORTUNITIES EQUI</t>
  </si>
  <si>
    <t>BLACKROCK LIMITED DURATION INCOME</t>
  </si>
  <si>
    <t>INTERNATIONAL MULTI CAP EQUITY FUND</t>
  </si>
  <si>
    <t>BLACKROCK FUNDS BLACKROCK HEALTH SC</t>
  </si>
  <si>
    <t>BLACKROCK CAPITAL APPRECIATION VI</t>
  </si>
  <si>
    <t>BLACKROCK STRATEGIC INCOME OPPORTUNITIES PORTFOLIO OF BLACKROCK FUNDS V</t>
  </si>
  <si>
    <t>GLOBAL SMALLCAP PORTFOLIO OF MANAGE</t>
  </si>
  <si>
    <t>BLACKROCK RESOURCES AND COMMODITIES</t>
  </si>
  <si>
    <t>UNISYS MASTER TRUST</t>
  </si>
  <si>
    <t>BLACKROCK BASIC VALUE VI FUND</t>
  </si>
  <si>
    <t>MASTER LARGE CAP CORE PORT OF MAS</t>
  </si>
  <si>
    <t>BLACKROCK VALUE OPPORTUNITIES V.I.</t>
  </si>
  <si>
    <t>BLACKROCK DIVIDEND INCOME TRUST</t>
  </si>
  <si>
    <t>BLACKROCK GLOBAL OPPORTUNITIES VI</t>
  </si>
  <si>
    <t>BLACKROCK BALANCED CAPITAL PORTFOLI</t>
  </si>
  <si>
    <t>THE CHILDRENS HOSPITAL FOUNDATION</t>
  </si>
  <si>
    <t>BLACKROCK CORE BOND TRUST</t>
  </si>
  <si>
    <t>BLACKROCK LARGE CAP CORE VI FUND OF</t>
  </si>
  <si>
    <t>AST BLACKROCK GLOBAL STRATEGIES</t>
  </si>
  <si>
    <t>BLACKROCK LATIN AMERICA FUND INC TO</t>
  </si>
  <si>
    <t>BLACKROCK HIGH INCOME SHARES</t>
  </si>
  <si>
    <t>VIRGINIA RETIREMENT SYSTEM</t>
  </si>
  <si>
    <t>DAIRY FARMERS OF AMERICA INC</t>
  </si>
  <si>
    <t>CRIMSON CALIFORNIA PIPELINE LP</t>
  </si>
  <si>
    <t>ITHACA ENERGY UK LTD</t>
  </si>
  <si>
    <t>BLACKROCK WORLD INCOME FUND INC</t>
  </si>
  <si>
    <t>JNL/BR COMMODITY SECURITIES FUND</t>
  </si>
  <si>
    <t>MACQUARIE ENERGY LLC</t>
  </si>
  <si>
    <t>BLACKROCK MANAGED VOLATILITY PORT</t>
  </si>
  <si>
    <t>BLACKROCK MANAGED VOLATILITY PF SEC</t>
  </si>
  <si>
    <t>THE GAVILON GROUP LLC</t>
  </si>
  <si>
    <t>BANQUE POPULAIRE COTE D AZUR</t>
  </si>
  <si>
    <t>INTERNATIONAL MONETARY FUND</t>
  </si>
  <si>
    <t>INTL HANLEY LLC</t>
  </si>
  <si>
    <t>INTL FCSTONE MARKETS, LLC</t>
  </si>
  <si>
    <t>PREMEX (BROKER)</t>
  </si>
  <si>
    <t>CLEARLY PETROLEUM OPCO LLC</t>
  </si>
  <si>
    <t>STAN CHART TREAS HQ</t>
  </si>
  <si>
    <t>TURKIYE CUMHURIYETI ZIRAAT BANKASI A.S</t>
  </si>
  <si>
    <t>TURKIYE VAKIFLAR BANKASI TAO</t>
  </si>
  <si>
    <t>U.S. POSTAL SERVICE IN TRANSIT</t>
  </si>
  <si>
    <t>UCO BANK</t>
  </si>
  <si>
    <t>MILLERCOORS LLC</t>
  </si>
  <si>
    <t>Molson Coors Beverage Company USA LLC</t>
  </si>
  <si>
    <t>SPYGLASS RESOURCES CORP</t>
  </si>
  <si>
    <t>KAISER ALUMINUM FABRICATED PRODUCTS LLC</t>
  </si>
  <si>
    <t>WEST COAST DEVELOPMENT CORPORATION</t>
  </si>
  <si>
    <t>FROST BANK</t>
  </si>
  <si>
    <t>IBRD ACTING ON BEHALF OF THE WORLD BANK TRUST FUNDS</t>
  </si>
  <si>
    <t>PACIFIC INVESTMENT MANAGEMENT COMPANY LLC, SOLELY IN ITS CAPACITY AS ADVISOR ON BEHALF OF INTERNATIONAL BANK FOR RECONSTRUCTION AND DEVELOPMENT AS TRUSTEE FOR THE STAFF RETIREMENT PLAN AND TRUST</t>
  </si>
  <si>
    <t>DUGAN MILLENIA LLC</t>
  </si>
  <si>
    <t>LIBERTY UTILITIES CO</t>
  </si>
  <si>
    <t>LIBERTY UTILITIES CO.</t>
  </si>
  <si>
    <t>CITIZENS BUSINESS BANK</t>
  </si>
  <si>
    <t>BANK OF HAWAII</t>
  </si>
  <si>
    <t>THE PRUDENTIAL INSURANCE COMPANY OF AMERICA SEPARATE ACCOUNT VCA-GI-3-7 ACTIVELY MANAGED BOND PORTFOLIO</t>
  </si>
  <si>
    <t>THE PRUDENTIAL INSURANCE COMPANY OF AMERICA SEPARATE ACCOUNT 8217-WEBIA</t>
  </si>
  <si>
    <t>THE PRUDENTIAL INSURANCE COMPANY OF AMERICA SEPARATE ACCOUNT VCA GI 3 LONG DURATION GOVERNMENT CREDIT BOND ACCOUNT</t>
  </si>
  <si>
    <t>PRUDENTIAL RETIREMENT INSURANCE AND ANNUITY COMPANY : SEPARATE ACCOUNT GOVERNMENT BOND FUND-I</t>
  </si>
  <si>
    <t>MACKENZIE US GROWTH CLASS</t>
  </si>
  <si>
    <t>WOODBRIDGE HOLDINGS INC</t>
  </si>
  <si>
    <t>ENGIE ENERGY MARKETING NA, INC.</t>
  </si>
  <si>
    <t>FREEPORT MCMORAN OIL &amp; GAS LLC</t>
  </si>
  <si>
    <t>FREEPORT MCMORAN OIL AND GAS INC</t>
  </si>
  <si>
    <t>MARS CHOCOLATE NORTH AMERICA LLC</t>
  </si>
  <si>
    <t>TRANSCANADA POWER MARKETING LTD</t>
  </si>
  <si>
    <t>GAVILON GLOBAL AG HOLDINGS LLC</t>
  </si>
  <si>
    <t>MORGAN STANLEY AND CO INTERNATIONAL PLC</t>
  </si>
  <si>
    <t>MORGAN STANLEY AND CO INTL PLC</t>
  </si>
  <si>
    <t>MORGAN STANLEY &amp; CO INTERNATIONAL PLC</t>
  </si>
  <si>
    <t>Morgan Stanley &amp; Co. International Plc</t>
  </si>
  <si>
    <t>MORGAN STANLEY &amp; CO. INTERNATIONAL PLC-SBE</t>
  </si>
  <si>
    <t>MORGAN STANLEY &amp; CO INTL PLC - GLOBAL EQUITY FINANCE</t>
  </si>
  <si>
    <t>MORGAN STANLEY AND CO INTERNATIONAL LIMITED (SIL)</t>
  </si>
  <si>
    <t>Morgan Stanley &amp; Co. International plc</t>
  </si>
  <si>
    <t>MORGAN STANLEY AND CO INTL PLC  DUBLIN</t>
  </si>
  <si>
    <t>MORGAN STANLEY &amp; CO INTERNATIONAL PLC-LONDON-(ASIA PACIFIC R</t>
  </si>
  <si>
    <t>MORGAN STANLEY &amp; CO INTERNATIONAL PLC (GROUP TREASURY)</t>
  </si>
  <si>
    <t>Morgan Stanley and Co. Intl PLC</t>
  </si>
  <si>
    <t>RETAIL PROPERTIES OF AMERICA INC</t>
  </si>
  <si>
    <t>PACIFIC INVESTMENT MANAGEMENT COMPANY LLC SOLELY IN ITS CAPACITY AS ADVISOR ON BEHALF OF CENTERPOINT ENERGY INC. MASTER RETIREMENT TRUST</t>
  </si>
  <si>
    <t>HOWMET AEROSPACE INC</t>
  </si>
  <si>
    <t>ARCONIC INC</t>
  </si>
  <si>
    <t>HASBRO SA</t>
  </si>
  <si>
    <t>SEADRILL LIMITED</t>
  </si>
  <si>
    <t>ITHACA ENERGY HOLDINGS (UK) LIMITED</t>
  </si>
  <si>
    <t>JAGUAR LAND ROVER LIMITED</t>
  </si>
  <si>
    <t>JAGUAR LAND ROVER LTD</t>
  </si>
  <si>
    <t>PHILLIPS 66 TREASURY LTD.</t>
  </si>
  <si>
    <t>HERTZ FLEET LEASE FUNDING LP</t>
  </si>
  <si>
    <t>TECO ENERGYSOURCE INC</t>
  </si>
  <si>
    <t>ABC DISTRIBUTION AND RETAIL SOLUTIONS GMBH</t>
  </si>
  <si>
    <t>ELECTRONIC ARTS LTD</t>
  </si>
  <si>
    <t>ELECTRONIC ARTS NEDERLAND BV</t>
  </si>
  <si>
    <t>KRUGER PRODUCTS LP</t>
  </si>
  <si>
    <t>CCL INDUSTRIES CORP</t>
  </si>
  <si>
    <t>MOODYS OVERSEAS HOLDINGS, INC.</t>
  </si>
  <si>
    <t>KOCH PULP AND PAPER TRADING LLC</t>
  </si>
  <si>
    <t>ENBRIDGE PARTNERS RISK MANAGEMENT LP</t>
  </si>
  <si>
    <t>DE SHAW STIBNITE PORTFOLIOS LLC CDEA</t>
  </si>
  <si>
    <t>GARDA FIRV OPPORTUNITIES MASTER FUND LTD</t>
  </si>
  <si>
    <t>GARDA FIRV OPPORTUNITY MASTER FUND LTD CDEA</t>
  </si>
  <si>
    <t>SAVIA PERU SA</t>
  </si>
  <si>
    <t>EA INTERNATIONAL (STUDIO AND PUBLISHING) LTD.</t>
  </si>
  <si>
    <t>MARINER GLOBAL RATES TRADING MASTER FUND LTD</t>
  </si>
  <si>
    <t>BREVAN HOWARD CREDIT CATALYSTS MASTER FUND LIMITED CDEA</t>
  </si>
  <si>
    <t>GCT GLOBAL CONTAINER TERMINALS INC</t>
  </si>
  <si>
    <t>TSI TERMINAL SYSTEMS INC</t>
  </si>
  <si>
    <t>GENERAL MILLS OPERATIONS LLC</t>
  </si>
  <si>
    <t>BP ENERGY COMPANY</t>
  </si>
  <si>
    <t>ATLAS RESOURCE PARTNERS LP</t>
  </si>
  <si>
    <t>VANTAGE ENERGY II LLC</t>
  </si>
  <si>
    <t>DUKE ENERGY COMMERCIAL ASSET MANAGEMENT INC</t>
  </si>
  <si>
    <t>GLOBAL MACRO CAPITAL OPPORTUNITIES PORTFOLIO</t>
  </si>
  <si>
    <t>HEALTHCARE TRUST OF AMERICA HOLDINGS LP</t>
  </si>
  <si>
    <t>HEALTHCARE TRUST OF AMERICA INC</t>
  </si>
  <si>
    <t>HERTZ VEHICLE FINANCING II LP</t>
  </si>
  <si>
    <t>SPECTRA ENERGY PARTNERS LP</t>
  </si>
  <si>
    <t>TD SYNNEX CORPORATION</t>
  </si>
  <si>
    <t>SYNNEX CORPORATION GROUP</t>
  </si>
  <si>
    <t>TRANSFUEL INC</t>
  </si>
  <si>
    <t>ELAN MASTER FUND LTD.</t>
  </si>
  <si>
    <t>MOODYS ANALYTICS UK LTD.</t>
  </si>
  <si>
    <t>MOODYS GROUP UK LTD.</t>
  </si>
  <si>
    <t>FIRST OIL EXPRO LTD</t>
  </si>
  <si>
    <t>BREVAN HOWARD ASIA MASTER FUND LIMITED CDEA</t>
  </si>
  <si>
    <t>BREVAN HOWARD MULTI STRATEGY MASTER FUND LIMITED CDEA</t>
  </si>
  <si>
    <t>BREVAN HOWARD SYSTEMIC TRADING MASTER FUND LIMITED CDEA</t>
  </si>
  <si>
    <t>AIR PRODUCTS (CHEMICALS) PLC</t>
  </si>
  <si>
    <t>AIR PRODUCTS CHEMICALS PLC</t>
  </si>
  <si>
    <t>AIR PRODUCTS NEDERLAND B.V.</t>
  </si>
  <si>
    <t>NFI GROUP INC.</t>
  </si>
  <si>
    <t>NFI GROUP INC</t>
  </si>
  <si>
    <t>BOSTON SCIENTIFIC INTERNATIONAL B.V.</t>
  </si>
  <si>
    <t>STANDARD CHARTERED PLC</t>
  </si>
  <si>
    <t>STANDARD CHARTERED BANK PLC</t>
  </si>
  <si>
    <t>MID-CON ENERGY PROPERTIES LLC</t>
  </si>
  <si>
    <t>GARDA INFLATION OPPORTUNITY FUND LTD CDEA</t>
  </si>
  <si>
    <t>DANA PETROLEUM BVUK LIMITED</t>
  </si>
  <si>
    <t>DANA PETROLEUM (E&amp;P) LIMITED</t>
  </si>
  <si>
    <t>GOLDMAN SACHS PARIS INC. ET CIE</t>
  </si>
  <si>
    <t>GOLDMAN SACHS PARIS INC ET CIE</t>
  </si>
  <si>
    <t>THIEL MACRO INVESTMENTS LTD CDEA BLOCK</t>
  </si>
  <si>
    <t>AMSTERDAMSE BEHEER EN CONSULTINGMAATSCHAPPIJ B.V.</t>
  </si>
  <si>
    <t>THE CLOROX COMPANY OF CANADA LTD.</t>
  </si>
  <si>
    <t>REYNOLDS AMERICAN DEFINED BENEFIT MASTER TRUST</t>
  </si>
  <si>
    <t>REYNOLDS AMERICAN DEFINED BENEFIT T</t>
  </si>
  <si>
    <t>ABU DHABI INVESTMENT AUTHORITY</t>
  </si>
  <si>
    <t>ABU DHABI INVESTMENT AUTHORITY CDEA</t>
  </si>
  <si>
    <t>ABU DHABI INVESTMENT AUTHORITY..</t>
  </si>
  <si>
    <t>ABU DHABI INVESTMENT AUTHORITY - VCON BLOCK ETRADING</t>
  </si>
  <si>
    <t>PACIFIC INVESTMENT MANAGEMENT COMPANY LLC, SOLELY IN ITS CAPACITY AS ADVISOR ON BEHALF OF ABU DHABI INVESTMENT AUTHORITY.</t>
  </si>
  <si>
    <t>PACIFIC INVESTMENT MANAGEMENT COMPANY LLC, SOLELY IN ITS CAPACITY AS ADVISOR ON BEHALF OF ABU DHABI INVESTMENT AUTHORITY</t>
  </si>
  <si>
    <t>AXA PREMIER VIP TRUST MULTIMANAGER CORE BOND PORTFOLIO</t>
  </si>
  <si>
    <t>PACIFIC INVESTMENT MANAGEMENT COMPANY LLC, SOLELY IN ITS CAPACITY AS ADVISOR ON BEHALF OF SKYLON GLOBAL YIELD FUND LIMITED - SERIES B UNITS</t>
  </si>
  <si>
    <t>BRANDBEV SARL</t>
  </si>
  <si>
    <t>PACIFIC INVESTMENT MANAGEMENT COMPANY LLC, SOLELY IN ITS CAPACITY AS ADVISOR ON BEHALF OF PENSION BENEFIT GUARANTY CORPORATION.</t>
  </si>
  <si>
    <t>PACIFIC INVESTMENT MANAGEMENT COMPANY LLC, SOLELY IN ITS CAPACITY AS ADVISOR ON BEHALF OF PENSION BENEFIT GUARANTY CORPORATION</t>
  </si>
  <si>
    <t>CARIBBEAN UTILITIES COMPANY LTD</t>
  </si>
  <si>
    <t>KEPOS ALPHA MASTER FUND LP US</t>
  </si>
  <si>
    <t>KEPOS ALPHA MASTER FUND LP</t>
  </si>
  <si>
    <t>KEPOS ALPHA MASTER FUND LP CA</t>
  </si>
  <si>
    <t>DISCOVERY CORPORATE SERVICES LTD</t>
  </si>
  <si>
    <t>DISCOVERY NETWORKS S.L.</t>
  </si>
  <si>
    <t>PACIFIC INVESTMENT MANAGEMENT COMPANY LLC, SOLELY IN ITS CAPACITY AS ADVISOR ON BEHALF OF LUCENT TECHNOLOGIES INC. MASTER PENSION TRUST</t>
  </si>
  <si>
    <t>AEGIS GROUP HOLDINGS LIMITED</t>
  </si>
  <si>
    <t>CAXTON INTERNATIONAL LIMITED</t>
  </si>
  <si>
    <t>CAXTON INTERNATIONAL LIMITED CA - CDEA</t>
  </si>
  <si>
    <t>CAXTON INTERNATIONAL LIMITED  CDEA</t>
  </si>
  <si>
    <t>CAXTON INTERNATIONAL LIMITED US - CDEA</t>
  </si>
  <si>
    <t>CAXTON INTERNATIONAL LIMITED EU - CDEA</t>
  </si>
  <si>
    <t>INGRAM MICRO INDIA P LTD 365 DAY</t>
  </si>
  <si>
    <t>INGRAM MICRO INDIA  P LTD 90 DAY TE</t>
  </si>
  <si>
    <t>INGRAM MICRO INDIA  P LTD 180 DAY</t>
  </si>
  <si>
    <t>CBRE LIMITED (CANADA)</t>
  </si>
  <si>
    <t>L-3 COMMUNICATIONS LINK SIMULATION &amp; TRAINING UK LTD.</t>
  </si>
  <si>
    <t>L3 COMMUNICATIONS LINK SIMULATION AND TRAINING UK LIMITED</t>
  </si>
  <si>
    <t>TRANSALTA ENERGY MARKETING US INC</t>
  </si>
  <si>
    <t>LIBERTY RESOURCES II LLC</t>
  </si>
  <si>
    <t>PETROBRAS GLOBAL TRADING BV</t>
  </si>
  <si>
    <t>BTG PACTUAL ABSOLUTE RETURN II MASTER FUND LP CDEA</t>
  </si>
  <si>
    <t>MMTC TRANSNATIONAL PTE LTD</t>
  </si>
  <si>
    <t>AMERICAN ROLLER SA DE CV</t>
  </si>
  <si>
    <t>RBC ASIAN PACIFIC EX-JAPAN EQUITY FUND</t>
  </si>
  <si>
    <t>RBC U.S. EQUITY VALUE FUND</t>
  </si>
  <si>
    <t>RBC JAPANESE EQUITY FUND</t>
  </si>
  <si>
    <t>RBC QUBE ALL COUNTRY WORLD EQUITY FUND</t>
  </si>
  <si>
    <t>RBC GLOBAL EQUITY FUND</t>
  </si>
  <si>
    <t>PACIFIC INVESTMENT MANAGEMENT COMPANY LLC, SOLELY IN ITS CAPACITY AS ADVISOR ON BEHALF OF PIMCO ABSOLUTE RETURN STRATEGY II MASTER FUND LDC</t>
  </si>
  <si>
    <t>PACIFIC INVESTMENT MANAGEMENT COMPANY LLC, SOLELY IN ITS CAPACITY AS ADVISOR ON BEHALF OF PIMCO ABSOLUTE RETURN STRATEGY III MASTER FUND LDC</t>
  </si>
  <si>
    <t>TATRA CORPORATION</t>
  </si>
  <si>
    <t>III FINANCE LIMITED CDEA</t>
  </si>
  <si>
    <t>AURORA COOPERATIVE ELEVATOR COMPANY</t>
  </si>
  <si>
    <t>RAIZEN ENERGIA S.A.</t>
  </si>
  <si>
    <t>FERNLEA FLOWERS LIMITED</t>
  </si>
  <si>
    <t>FOSSIL POWER SYSTEMS INC.</t>
  </si>
  <si>
    <t>FOSSIL POWER SYSTEMS INC</t>
  </si>
  <si>
    <t>CONDUCTORES MONTERREY S.A. DE C.V.</t>
  </si>
  <si>
    <t>CONDUCTORES MONTERREY SA DE CV</t>
  </si>
  <si>
    <t>CARDINAL ENERGY LTD</t>
  </si>
  <si>
    <t>LOOMIS INTERNATIONAL (DE) GMBH</t>
  </si>
  <si>
    <t>MOLINERA DE MEXICO</t>
  </si>
  <si>
    <t>ACCRUAL</t>
  </si>
  <si>
    <t>LOSIFRA, S.A. DE C.V.</t>
  </si>
  <si>
    <t>BMS INTEGRATED SERVICES INC</t>
  </si>
  <si>
    <t>COCA COLA FEMSA SAB DE CV</t>
  </si>
  <si>
    <t>COCA-COLA FEMSA, S.A.B. DE C.V.</t>
  </si>
  <si>
    <t>DE Shaw Valence International Inc</t>
  </si>
  <si>
    <t>RBC PRIVATE CANADIAN  EQUITY POOL</t>
  </si>
  <si>
    <t>REGIONS BANK</t>
  </si>
  <si>
    <t>DIRECT ENERGY BUSINESS MARKETING LLC</t>
  </si>
  <si>
    <t>CORPORACION LINDLEY SA</t>
  </si>
  <si>
    <t>THE WB FAMILY FOUNDATION</t>
  </si>
  <si>
    <t>COMERCIALIZADORA GUTIERREZ MORAN SA DE CV</t>
  </si>
  <si>
    <t>COMERCIALIZADOR GUTIERREZ MORAN A. DE C.V</t>
  </si>
  <si>
    <t>HUNTERWOOD TECHNOLOGIES LTD</t>
  </si>
  <si>
    <t>DIXY S.A. DE C.V.</t>
  </si>
  <si>
    <t>IT NUEVE ONCE, S.A. DE C.V.</t>
  </si>
  <si>
    <t>ARROW IBERIA ELECTRONICA SLU</t>
  </si>
  <si>
    <t>SERVICIOS Y SUMINISTROS SEAGA, S.A. DE C.V.</t>
  </si>
  <si>
    <t>GRUPO CIOSA, SAPI DE CV</t>
  </si>
  <si>
    <t>VIWA TRIPLE RESULTADO SA PI DE CV</t>
  </si>
  <si>
    <t>ARITZIA LP</t>
  </si>
  <si>
    <t>A&amp;B RAIL SERVICES LTD</t>
  </si>
  <si>
    <t>A&amp;B RAIL SERVICES LTD.</t>
  </si>
  <si>
    <t>NOBLE AMERICAS CORP</t>
  </si>
  <si>
    <t>MEADOW LAKE TRIBAL COUNCIL INDUSTRIAL INEVSTMENTS LIMITED PARTERNSHIP</t>
  </si>
  <si>
    <t>NESTLE USA INC</t>
  </si>
  <si>
    <t>THE ANDERSONS INC</t>
  </si>
  <si>
    <t>Wolverine Flagship Fund Trading Ltd.</t>
  </si>
  <si>
    <t>SUCDEN AMERICAS CORPORATION</t>
  </si>
  <si>
    <t>ASTON HILL OPPORTUNITIES FUND</t>
  </si>
  <si>
    <t>921591 ONTARIO INC</t>
  </si>
  <si>
    <t>ATASAY DOVIZ VE KIYMETLI MADENLER TICARET ANONIM</t>
  </si>
  <si>
    <t>L'AZURDE COMPANY FOR JEWELLERY</t>
  </si>
  <si>
    <t>BANK AL-MAGHRIB</t>
  </si>
  <si>
    <t>ITALIAN NON RESIDENT CONTROL ACCOUNT</t>
  </si>
  <si>
    <t>ARCHWAY INSURANCE INC</t>
  </si>
  <si>
    <t>CANAFRIC INC OA MORTIMERS FINE FOODS</t>
  </si>
  <si>
    <t>MANULIFE BALANCED EQUITY PRIVATE PO</t>
  </si>
  <si>
    <t>MANULIFE ASSET MANAGEMENT CANADIAN BOND INDEX POOLED FUND</t>
  </si>
  <si>
    <t>MANULIFE CDN EQUITY BALANCED CLASS</t>
  </si>
  <si>
    <t>MANULIFE GLOBAL TACTICAL CREDIT FUND</t>
  </si>
  <si>
    <t>MANULIFE ASSET MGMT CDN EQUITY INDE</t>
  </si>
  <si>
    <t>MANULIFE ASSET MGMT GLOBAL OPPORTUN</t>
  </si>
  <si>
    <t>MANULIFE GLOBAL EQUITY PRIVATE POOL</t>
  </si>
  <si>
    <t>MANULIFE GLOBAL FIXED INCOME PRIVATE TRUST</t>
  </si>
  <si>
    <t>MANULIFE GLOBAL MANAGED VOLATILITY PORTFOLIO</t>
  </si>
  <si>
    <t>MANULIFE ASSET MGMT CDN LONG DURATI</t>
  </si>
  <si>
    <t>MANULIFE GROWTH OPPORTUNITIES FUND</t>
  </si>
  <si>
    <t>MANULIFE STRATEGIC BAL YLD CLASS</t>
  </si>
  <si>
    <t>MANULIFE STRATEGIC BALANCED YIELD FUND</t>
  </si>
  <si>
    <t>MANULIFE STRATEGIC BALANCED YIELD FUND - EQUITY SLEEVE</t>
  </si>
  <si>
    <t>MANULIFE ASSET MGMT STRATEGIC INCOM</t>
  </si>
  <si>
    <t>MANULIFE US ALL CAP EQUITY CLASS</t>
  </si>
  <si>
    <t>MANULIFE US ALL CAP EQUITY FUND</t>
  </si>
  <si>
    <t>MANULIFE US BALANCED PRIVATE TRUST</t>
  </si>
  <si>
    <t>MANULIFE US DIVIDEND REGISTERED FUND</t>
  </si>
  <si>
    <t>MANULIFE ASSET MANAGEMENT US EQUITY INDEX POOLED FUND</t>
  </si>
  <si>
    <t>REX ENERGY CORPORATION</t>
  </si>
  <si>
    <t>DESHAW VCON BLOCK</t>
  </si>
  <si>
    <t>MANULIFE ASSET MANAGEMENTT ULTRA LONG DURATION FIXED INCOME POOLED</t>
  </si>
  <si>
    <t>MANULIFE US MONTHLY HIGH INCOME FUND</t>
  </si>
  <si>
    <t>MANULIFE US BAL PVT POOL EQUITY SLE</t>
  </si>
  <si>
    <t>MANULIFE US BALANCED PRIVATE POOL</t>
  </si>
  <si>
    <t>MANULIFE US DIVIDEND CLASS</t>
  </si>
  <si>
    <t>MANULIFE U.S. DIVIDEND INCOME CLASS</t>
  </si>
  <si>
    <t>RESEARCH AND MANAGEMENT CORPORATION</t>
  </si>
  <si>
    <t>MANULIFE US TACTICAL CREDIT FUND</t>
  </si>
  <si>
    <t>BLACKSTONE HOLDINGS FINANCE CO LLC</t>
  </si>
  <si>
    <t>INTERNATIONAL DEPOSITORY SERVICES OF DELAWARE</t>
  </si>
  <si>
    <t>TRIMLOGIC INTERNATIONAL AO 2011 INC</t>
  </si>
  <si>
    <t>THE PACIFIC BANK BERHAD</t>
  </si>
  <si>
    <t>GENERALE BELGIAN BANK</t>
  </si>
  <si>
    <t>CHIUO HO AUTOMOTIVE SALES CO</t>
  </si>
  <si>
    <t>TWELVE GA CUSTOMS LTD</t>
  </si>
  <si>
    <t>NOOR ISLAMIC BANK PJSC</t>
  </si>
  <si>
    <t>AURORA USA OIL &amp; GAS INC</t>
  </si>
  <si>
    <t>MANULIFE GLOBAL SELECT SCHEME MANULIFE MPF INTERNATIONAL BOND FUND</t>
  </si>
  <si>
    <t>HRS HOT RUNNER SYSTEMS NA INC</t>
  </si>
  <si>
    <t>ST JACOBS FURNITURE HOUSE INC</t>
  </si>
  <si>
    <t>MITSUBISHI CORPORATION (SHANGHAI) LIMITED</t>
  </si>
  <si>
    <t>STATE BANK OF BIKANER AND JAIPUR</t>
  </si>
  <si>
    <t>HAYBURG FORAGE INC</t>
  </si>
  <si>
    <t>1711036 ONTARIO INC</t>
  </si>
  <si>
    <t>BGENERGY MERCHANTS LLC</t>
  </si>
  <si>
    <t>DELAWARE CITY REFINING COMPANY</t>
  </si>
  <si>
    <t>PRUD - VCON BLOCK PRAM</t>
  </si>
  <si>
    <t>CREDIT UNION CENTRAL OF ONTARIO LIMITED</t>
  </si>
  <si>
    <t>PAREX RESOURCES COLOMBIA LTD</t>
  </si>
  <si>
    <t>PAREX RESOURCES (COLOMBIA) LTD.</t>
  </si>
  <si>
    <t>PAREX RESOURCES (COLOMBIA) LTD</t>
  </si>
  <si>
    <t>SHELL CANADA PENSION TRUST - MERIDIAN CAD</t>
  </si>
  <si>
    <t>BELLATRIX EXPLORATION LTD</t>
  </si>
  <si>
    <t>DOGWOOD POULTRY FARMS LIMITED</t>
  </si>
  <si>
    <t>VISAGE COSMETICS LIMITED</t>
  </si>
  <si>
    <t>BABSON CAPITAL MANAGEMENT LLC BLOCK CDEA</t>
  </si>
  <si>
    <t>DISCOVERY WAY PROPERTIES INC</t>
  </si>
  <si>
    <t>EMPRESAS CAROZZI</t>
  </si>
  <si>
    <t>BEAULIEU CANADA COMPANY</t>
  </si>
  <si>
    <t>BRIXMOR OPERATING PARTNERSHIP LP</t>
  </si>
  <si>
    <t>ENERGY SPLIT CORP</t>
  </si>
  <si>
    <t>UNT FAMILY HOLDINGS JOINT VENTURE</t>
  </si>
  <si>
    <t>GESTIONS MICHEL LAMBERT INC</t>
  </si>
  <si>
    <t>SCOTIA COVERED BOND GUARANTOR LIMITED PARTNERSHIP</t>
  </si>
  <si>
    <t>SCOTIA COVERED BOND GUARANTOR LIMITED PARTNERSHIP SCBG</t>
  </si>
  <si>
    <t>SCOTIABANK COVERED BOND GUARANTOR LIMITED PARTNERSHIP</t>
  </si>
  <si>
    <t>HOCOL SA</t>
  </si>
  <si>
    <t>MORNEAU SHEPELL LTD.</t>
  </si>
  <si>
    <t>ERNST AND YOUNG ASESORES SCRL</t>
  </si>
  <si>
    <t>GRIFO SANTO DOMINGO DE GUZMAN</t>
  </si>
  <si>
    <t>MACHU PICCHU FOODS</t>
  </si>
  <si>
    <t>PACIFIC INVESTMENT MANAGEMENT COMPANY LLC, SOLELY IN ITS CAPACITY AS ADVISOR ON BEHALF OF LEHMAN BROTHERS HOLDINGS INC. RETIREMENT PLAN</t>
  </si>
  <si>
    <t>WFA FINANCE (AUST) PTY LTD</t>
  </si>
  <si>
    <t>WFA FINANCE AUST PTY LTD</t>
  </si>
  <si>
    <t>THE GUARDIAN LIFE INSURANCE COMPANY OF AMERICA</t>
  </si>
  <si>
    <t>OLD DOMINION ELECTRIC COOPERATIVE</t>
  </si>
  <si>
    <t>THE GUARDIAN INSURANCE AND ANNUITY COMPANY INC</t>
  </si>
  <si>
    <t>FINCH CHEVROLET CADILLAC BUICK GMC</t>
  </si>
  <si>
    <t>ROSENTHAL COLLINS GROUP LLC A DIVISION OF MAREX SPECTRON</t>
  </si>
  <si>
    <t>MEGLOBAL INTERNATIONAL FZE</t>
  </si>
  <si>
    <t>VOTORANTIM METAIS ZINCO S.A.</t>
  </si>
  <si>
    <t>COMPANHIA BRASILEIRA DE ALUMINIO</t>
  </si>
  <si>
    <t>SINOPEC DAYLIGHT ENERGY LTD</t>
  </si>
  <si>
    <t>HELIX ENERGY SOLUTIONS GROUP INC.</t>
  </si>
  <si>
    <t>CLASSIC HYDROCARBONS OPERATING LLC</t>
  </si>
  <si>
    <t>ERSKINE ENERGY PRODUCTION COMPANY</t>
  </si>
  <si>
    <t>NOVA CHEMICAL CANADA LTD.</t>
  </si>
  <si>
    <t>ISRAMCO RESOURCES LLC</t>
  </si>
  <si>
    <t>LAKEVIEW ENERGY INC.</t>
  </si>
  <si>
    <t>MERIDIAN RESOURCE CORPORATION</t>
  </si>
  <si>
    <t>PEERLESS ENERGY INC.</t>
  </si>
  <si>
    <t>PROFOUND ENERGY INC</t>
  </si>
  <si>
    <t>REGENT RESOURCES LTD.</t>
  </si>
  <si>
    <t>SAMSON INVESTMENT COMPANY</t>
  </si>
  <si>
    <t>SMURFIT STONE CONTAINER ENTERPRISES INC.</t>
  </si>
  <si>
    <t>TRAFALGAR ENERGY LTD</t>
  </si>
  <si>
    <t>MIDWAY ENERGY LTD</t>
  </si>
  <si>
    <t>TRISTAR OIL AND GAS LTD</t>
  </si>
  <si>
    <t>TRUE ENERGY INC.</t>
  </si>
  <si>
    <t>KOCH RESOURCES LLC</t>
  </si>
  <si>
    <t>CREDIT SUISSE ENERGY LLC</t>
  </si>
  <si>
    <t>BREAKER ENERGY LTD</t>
  </si>
  <si>
    <t>EP ENERGY E AND P COMPANY L.P.</t>
  </si>
  <si>
    <t>MARINER ENERGY INC</t>
  </si>
  <si>
    <t>CHEMTRADE REFINERY SERVICES</t>
  </si>
  <si>
    <t>CARDTRONICS INC.</t>
  </si>
  <si>
    <t>CARDTRONICS INC</t>
  </si>
  <si>
    <t>NUVISTA ENERGY LTD</t>
  </si>
  <si>
    <t>NUVISTA ENERGY LTD.</t>
  </si>
  <si>
    <t>FEMSA CERVEZA SA DE CV</t>
  </si>
  <si>
    <t>APRIA HEALTHCARE GROUP INC</t>
  </si>
  <si>
    <t>RMP ENERGY INC</t>
  </si>
  <si>
    <t>OMACHRON ALPHA INC</t>
  </si>
  <si>
    <t>BASA RESOURCES INC</t>
  </si>
  <si>
    <t>BLUE LINE FOODSERVICES DISTRIBUTION ULC</t>
  </si>
  <si>
    <t>ASSOCIATION OF DOCTORS OF BC</t>
  </si>
  <si>
    <t>CF CANLIFE GLOBAL RESOURCE FUND</t>
  </si>
  <si>
    <t>SYMMETRY CANADIAN EQUITY FUND (Q INTERNATIONAL)</t>
  </si>
  <si>
    <t>SYMMETRY CANADIAN EQUITY FUND (BETA HEDGE)</t>
  </si>
  <si>
    <t>SYMMETRY CANADIAN EQUITY FUND</t>
  </si>
  <si>
    <t>SYMMETRY CANADIAN EQUITY FUND PORTFOLIO</t>
  </si>
  <si>
    <t>SYMMETRY CANADIAN EQUITY FUND - SLEEVE 3</t>
  </si>
  <si>
    <t>SYMMETRY CANADIAN EQUITY FUND - SLEEVE 4</t>
  </si>
  <si>
    <t>SYMMETRY CANADIAN EQUITY FUND - SLEEVE 2</t>
  </si>
  <si>
    <t>SYMMETRY CANADIAN EQUITY FUND - SLEEVE 5</t>
  </si>
  <si>
    <t>MACK CANADIAN EQUITY POOL - CAD OTHER 2</t>
  </si>
  <si>
    <t>Symmetry Canadian Equity Fund</t>
  </si>
  <si>
    <t>MACK CANADIAN EQUITY POOL - CUSTOM COMPLETION STRATEGY</t>
  </si>
  <si>
    <t>MACK CANADIAN EQUITY POOL - CAD FINANCIAL</t>
  </si>
  <si>
    <t>SYMMETRY CANADIAN EQUITY FUND (Q EM)</t>
  </si>
  <si>
    <t>BMO LOW VOLATILITY US EQUITY ETF</t>
  </si>
  <si>
    <t>BMO LOW VOLATILITY CANADIAN EQUITY ETF</t>
  </si>
  <si>
    <t>JOHN HANCOCK FUNDS II GLOBAL EQUITY FUND</t>
  </si>
  <si>
    <t>ABBEY OVERHEAD DOORS INC</t>
  </si>
  <si>
    <t>COWICHAN VALLEY REGIONAL DISTRICT</t>
  </si>
  <si>
    <t>MEDIKE BRANDING SOLUTIONS INC.</t>
  </si>
  <si>
    <t>MACKENZIE INVESTMENT GRADE FLOATING RATE FUND</t>
  </si>
  <si>
    <t>MOHAWK COLLEGE</t>
  </si>
  <si>
    <t>RVA LIGHTING AND MASTS INC</t>
  </si>
  <si>
    <t>CANADA JUST DEVELOPMENT COMPANY LTD</t>
  </si>
  <si>
    <t>CC&amp;L Q MARKET NEUTRAL FUND (RBC DS - USD)</t>
  </si>
  <si>
    <t>CC&amp;L Q MARKET NEUTRAL FUND</t>
  </si>
  <si>
    <t>CC&amp;L Q MARKET NEUTRAL FUND (RBC DEXIA)</t>
  </si>
  <si>
    <t>CC&amp;L Q MARKET NEUTRAL FUND (TD)</t>
  </si>
  <si>
    <t>CC&amp;L Q MARKET NEUTRAL FUND (CREDIT SUISSE)</t>
  </si>
  <si>
    <t>CC&amp;L Q MARKET NEUTRAL FUND (SCOTIA)</t>
  </si>
  <si>
    <t>CC&amp;L Q Market Neutral Fund</t>
  </si>
  <si>
    <t>CC AND L Q EQUITY EXTENSION FUND</t>
  </si>
  <si>
    <t>CC&amp;L Q Equity Extension Fund</t>
  </si>
  <si>
    <t>CC&amp;L Q EQUITY EXTENSION FUND (RBC DS)</t>
  </si>
  <si>
    <t>CC&amp;L Q 14040 Fund</t>
  </si>
  <si>
    <t>CC&amp;L Q 140 40 FUND</t>
  </si>
  <si>
    <t>MARQUIS INSTITUTIONAL CANADIAN EQUITY PORTFOLIO</t>
  </si>
  <si>
    <t>CANADIAN OVERSEAS LOG &amp; LUMBER LTD.</t>
  </si>
  <si>
    <t>CANADIAN OVERSEAS LOG AND LUMBER LTD.</t>
  </si>
  <si>
    <t>CREEKSIDE GREENHOUSES LIMITED</t>
  </si>
  <si>
    <t>CUBEIT PORTABLE STORAGE CANADA</t>
  </si>
  <si>
    <t>EMPIRE LIFE EMBLEM AGGRESSIVE GROWTH PORTFOLIO</t>
  </si>
  <si>
    <t>EMPIRE LIFE EMBLEM BALANCED PORTFOLIO</t>
  </si>
  <si>
    <t>EMPIRE LIFE EMBLEM CONSERVATIVE PORTFOLIO</t>
  </si>
  <si>
    <t>EMPIRE LIFE EMBLEM GROWTH PORTFOLIO</t>
  </si>
  <si>
    <t>EMPIRE LIFE EMBLEM MODERATE GROWTH PORTFOLIO</t>
  </si>
  <si>
    <t>EMPIRE LIFE DIVIDEND GROWTH MUTUAL FUND</t>
  </si>
  <si>
    <t>LES EMBALLAGES CARROUSEL INC.</t>
  </si>
  <si>
    <t>LES EMBALLAGES CARROUSEL INC</t>
  </si>
  <si>
    <t>ELDIS GROUP PARTNERSHIP</t>
  </si>
  <si>
    <t>EXPRESS PIPELINE LP</t>
  </si>
  <si>
    <t>FRANKLIN BISSETT CORE PLUS BOND FUND</t>
  </si>
  <si>
    <t>FS WHISTLER HOLDINGS LTD</t>
  </si>
  <si>
    <t>FIL-TREK CORPORATION</t>
  </si>
  <si>
    <t>FIL TREK CORPORATION</t>
  </si>
  <si>
    <t>GOWLINGS LLP</t>
  </si>
  <si>
    <t>DYNAMIC VALUE BALANCED CLASS</t>
  </si>
  <si>
    <t>DYNAMIC CANADIAN VALUE CLASS</t>
  </si>
  <si>
    <t>MAVRIC MICROWAVE TECHNOLOGY INC</t>
  </si>
  <si>
    <t>HOLLANDIA GREENHOUSES LTD</t>
  </si>
  <si>
    <t>HOLLANDIA GREENHOUSES LTD.</t>
  </si>
  <si>
    <t>IMPERIAL SEED LTD</t>
  </si>
  <si>
    <t>IMPERIAL SEED LTD.</t>
  </si>
  <si>
    <t>IRONCLAD GAMES CORPORATION</t>
  </si>
  <si>
    <t>SCOTIA PRIVATE INTERNATIONAL CORE  EQUITY POOL</t>
  </si>
  <si>
    <t>SCOTIA CASSELS INTL EQUITY FUND</t>
  </si>
  <si>
    <t>9246 2951 QUEBEC INC</t>
  </si>
  <si>
    <t>LEHMAN BROS UK RE HOLDINGS LIMITED</t>
  </si>
  <si>
    <t>LULULEMON ATHLETICA CANADA INC</t>
  </si>
  <si>
    <t>AGRIUM US INC</t>
  </si>
  <si>
    <t>OPTA INC.</t>
  </si>
  <si>
    <t>OPTA MINERALS INC</t>
  </si>
  <si>
    <t>OPTA INC</t>
  </si>
  <si>
    <t>JOHN HANCOCK INVESTORS TRUST</t>
  </si>
  <si>
    <t>AEP ENERGY PARTNERS</t>
  </si>
  <si>
    <t>AZTECA MILLING</t>
  </si>
  <si>
    <t>COPANO RISK MANAGEMMENT LP</t>
  </si>
  <si>
    <t>FPL POWER MARKETING INC</t>
  </si>
  <si>
    <t>WEALTH MANAGEMENT MEXICO</t>
  </si>
  <si>
    <t>RBC MULTI-STRATEGY ALPHA FUND</t>
  </si>
  <si>
    <t>AES GENER S.A.</t>
  </si>
  <si>
    <t>PICTON MAHONEY GLOBAL LONG SHORT EQ</t>
  </si>
  <si>
    <t>PICTON MAHONEY LONG SHORT GLOBAL RESOURCE FUND</t>
  </si>
  <si>
    <t>INMOBILIARIA CANOPO SA DE CV</t>
  </si>
  <si>
    <t>INMOBILIARIA CANOPO S DE RL DE CV</t>
  </si>
  <si>
    <t>INMOBILIARIA CANOPO S A DE C V</t>
  </si>
  <si>
    <t>PICTON MAHONEY MARKET NEUTRAL EQUITY FUND</t>
  </si>
  <si>
    <t>GUARDIAN SHORT DURATION BOND FUND</t>
  </si>
  <si>
    <t>MICRODEA INC</t>
  </si>
  <si>
    <t>TECK ALASKA INCORPORATED</t>
  </si>
  <si>
    <t>DYNAMIC POWER AMERICAN GROWTH CLASS</t>
  </si>
  <si>
    <t>RIVALDA CERAMIC TILES INC</t>
  </si>
  <si>
    <t>RIVALDA CERAMIC TILES INC.</t>
  </si>
  <si>
    <t>SWA OTTAWA LP</t>
  </si>
  <si>
    <t>SWA VANCOUVER HOTEL NOMINEE INC</t>
  </si>
  <si>
    <t>CENTRAL MANITOBA RAILWAY INC</t>
  </si>
  <si>
    <t>ECOMETRIX INCORPORATED</t>
  </si>
  <si>
    <t>YG 1 CANADA INC</t>
  </si>
  <si>
    <t>CARPENTERS INTERNATIONAL TRAINING F</t>
  </si>
  <si>
    <t>UNITED BROTHERHOOD OF CARPENTERS</t>
  </si>
  <si>
    <t>VITOL FINANCE BV</t>
  </si>
  <si>
    <t>TYCO ELECTRONICS HOLDINGS SARL LUXEMBOURG SCHAFFHAUSEN BRANCH</t>
  </si>
  <si>
    <t>RBC QUANT EAFE DIVIDEND LEADERS ETF</t>
  </si>
  <si>
    <t>SOCIETE DE TRANSPORT DE MONTREAL</t>
  </si>
  <si>
    <t>RBC QUBE U.S. EQUITY FUND</t>
  </si>
  <si>
    <t>RBC QUBE GLOBAL EQUITY FUND</t>
  </si>
  <si>
    <t>BPZ EXPLORACION AND PRODUCCION S R L</t>
  </si>
  <si>
    <t>DUNCAN ENERGY PARTNERS LP</t>
  </si>
  <si>
    <t>PEMBINA MIDSTREAM LIMITED PARTNERSHIP</t>
  </si>
  <si>
    <t>WASTE MANAGEMENT HOLDINGS INC</t>
  </si>
  <si>
    <t>BRASKEM INTERNATIONAL GMBH</t>
  </si>
  <si>
    <t>PETROQUEST ENERGY LLC</t>
  </si>
  <si>
    <t>CENTERPOINT ENERGY RESOURCES CORP</t>
  </si>
  <si>
    <t>CEMENTO DE EL SALVADOR SA DE CV</t>
  </si>
  <si>
    <t>CNX GAS CORPORATION</t>
  </si>
  <si>
    <t>CITIGROUP ENERGY CANADA ULC</t>
  </si>
  <si>
    <t>SOUTHERN NATURAL GAS CO</t>
  </si>
  <si>
    <t>TENNESSEE GAS PIPELINE CO</t>
  </si>
  <si>
    <t>CELTIC INDUSTRIAL TOOLS AND REPAIR</t>
  </si>
  <si>
    <t>OMACHRON SCIENCE INC</t>
  </si>
  <si>
    <t>AVIVA CAPITAL MANAGEMENT LP</t>
  </si>
  <si>
    <t>UNITED FOOD AND COMMERCIAL WORKERS</t>
  </si>
  <si>
    <t>BROOKFIELD RENEWABLE POWER INC</t>
  </si>
  <si>
    <t>BROOKFIELD ENERGY MARKETING INC</t>
  </si>
  <si>
    <t>QUANTUM RESOURCES C LP</t>
  </si>
  <si>
    <t>AMR HOLDCO INC</t>
  </si>
  <si>
    <t>EMCARE HOLDCO INC</t>
  </si>
  <si>
    <t>COPANO ENERGY LLC</t>
  </si>
  <si>
    <t>JONAH ENERGY LLC</t>
  </si>
  <si>
    <t>JONAH ENERGY, LLC</t>
  </si>
  <si>
    <t>VERO ENERGY INC</t>
  </si>
  <si>
    <t>BOMBARDIER INC</t>
  </si>
  <si>
    <t>BOMBARDIER INC. - PENSION PLAN (CAD)</t>
  </si>
  <si>
    <t>BOMBARDIER INC. - PENSION PLAN (USD)</t>
  </si>
  <si>
    <t>CBRE FACILITIES MANAGEMENT LIMITED</t>
  </si>
  <si>
    <t>SUNTRUST BANKS INC RETIREMENT PLAN TRUST</t>
  </si>
  <si>
    <t>INDUSTRIA MEXICANA DE MUEBLES EI FENIX DE S.A. DE C.V.</t>
  </si>
  <si>
    <t>CANADA STARCH OPERATING COMPANY INC</t>
  </si>
  <si>
    <t>NDT GLOBAL INC</t>
  </si>
  <si>
    <t>BROAD OAK ENERGY INC</t>
  </si>
  <si>
    <t>MACKENZIE GLOBAL STRATEGIC INCOME FUND</t>
  </si>
  <si>
    <t>MACKENZIE GLOBAL STRATEGIC INCOME F</t>
  </si>
  <si>
    <t>MACKENZIE GLOBAL STRAT INCOME FUND</t>
  </si>
  <si>
    <t>WESCAST INDUSTRIES INC</t>
  </si>
  <si>
    <t>WESCAST INDUSTRIES INC.</t>
  </si>
  <si>
    <t>VERMONT GAS SYSTEMS</t>
  </si>
  <si>
    <t>CONSUBANCO S.A. INSTITUCION DE BANCA MULTIPLE</t>
  </si>
  <si>
    <t>CONSUBANCO SA</t>
  </si>
  <si>
    <t>PACIFIC GAS AND ELECTRIC COMPANY</t>
  </si>
  <si>
    <t>LYONDELL CHEMICAL COMPANY</t>
  </si>
  <si>
    <t>ACLF CO-INVESTMENT FUND LP</t>
  </si>
  <si>
    <t>ADMINISTRADORA DE SERVICIOS</t>
  </si>
  <si>
    <t>CANOE GLOBAL INCOME FUND</t>
  </si>
  <si>
    <t>DYNAMIC ENERGY INCOME FUND</t>
  </si>
  <si>
    <t>DELMAN INTERNACIONAL SA DE CV</t>
  </si>
  <si>
    <t>ANTERO RESOURCES CORPORATION</t>
  </si>
  <si>
    <t>EMERALD OIL INC</t>
  </si>
  <si>
    <t>JP MORGAN CHASE BANK N.A.</t>
  </si>
  <si>
    <t>JPMORGAN CHASE BANK  NA</t>
  </si>
  <si>
    <t>JPMORGAN CHASE BANK NA</t>
  </si>
  <si>
    <t>JP MORGAN CHASE BANK NA SYDNEY</t>
  </si>
  <si>
    <t>JP MORGAN CHASE BANK NASSAU</t>
  </si>
  <si>
    <t>JP MORGAN CHASE NEW YORK -SIF</t>
  </si>
  <si>
    <t>JP MORGAN CHASE BANK NA GLOBAL EQUITY FINANCE</t>
  </si>
  <si>
    <t>JP MORGAN CHASE BANK NA NEW YORK</t>
  </si>
  <si>
    <t>JPMORGAN CHASE BANK, NATIONAL ASSOCIATION, NEW YORK BRANCH</t>
  </si>
  <si>
    <t>JPMORGAN CHASE BANK N A BANGKOK (THANACHART)</t>
  </si>
  <si>
    <t>JP MORGAN CHASE BANK N.A. (BNS MUMBAI)</t>
  </si>
  <si>
    <t>JPMORGAN CHASE BANK</t>
  </si>
  <si>
    <t>J.P. MORGAN CHASE BANK N.A.</t>
  </si>
  <si>
    <t>JP MORGAN CHASE BANK  (STF)</t>
  </si>
  <si>
    <t>JP MORGAN CHASE NEW YORK</t>
  </si>
  <si>
    <t>JP MORGAN CHASE NEW YORK.</t>
  </si>
  <si>
    <t>JP MORGAN CHASE BANK NA</t>
  </si>
  <si>
    <t>JP Morgan Chase Bank NA</t>
  </si>
  <si>
    <t>JPMORGAN CHASE BANK, NATIONAL ASSOCIATION</t>
  </si>
  <si>
    <t>JP MORGAN CHASE BANK N.A ALLOCATED</t>
  </si>
  <si>
    <t>JP MORGAN CHASE BANK</t>
  </si>
  <si>
    <t>JP MORGAN CHASE BANK N.A</t>
  </si>
  <si>
    <t>JP MORGAN CHASE BANK-NEW YORK-(ASIA PACIFIC RIM)</t>
  </si>
  <si>
    <t>JPMORGAN CHASE BANK, N.A.</t>
  </si>
  <si>
    <t>J P MORGAN CHASE BANK N A</t>
  </si>
  <si>
    <t>BRAVO NATURAL GAS LLC</t>
  </si>
  <si>
    <t>PETROHAWK ENERGY CORPORATION</t>
  </si>
  <si>
    <t>JOLLY HAUL S.A.P.I. DE C.V.</t>
  </si>
  <si>
    <t>JOLLY HAUL SAPI DE CV</t>
  </si>
  <si>
    <t>TRUSTCO SUB LIMITED</t>
  </si>
  <si>
    <t>NEXUS CREDIT OPPORTUNIES FUND II LP</t>
  </si>
  <si>
    <t>MACKENZIE FLOATING RATE INCOME FUND</t>
  </si>
  <si>
    <t>TUTOR DOCTOR CANADA INC</t>
  </si>
  <si>
    <t>TORQUEST FUND III GP INC.</t>
  </si>
  <si>
    <t>ITWAL LIMITED</t>
  </si>
  <si>
    <t>CST CANADA CO.</t>
  </si>
  <si>
    <t>CST CANADA CO</t>
  </si>
  <si>
    <t>EXITUS CAPITAL S A P I DE CV</t>
  </si>
  <si>
    <t>EXITUS CAPITAL SAPI DE CV SOFOM ENR</t>
  </si>
  <si>
    <t>ASPID SA DE CV</t>
  </si>
  <si>
    <t>ASPID S.A. DE C.V.</t>
  </si>
  <si>
    <t>GRUPO ESAL SA DE C V</t>
  </si>
  <si>
    <t>GRUPO ESAL SA DE CV</t>
  </si>
  <si>
    <t>OGE ENERGY RESOURCES LLC</t>
  </si>
  <si>
    <t>CAMPBELL RESOURCES INC</t>
  </si>
  <si>
    <t>STANDEX INTERNATIONAL CORPORATION</t>
  </si>
  <si>
    <t>PETROSANTANDER INC</t>
  </si>
  <si>
    <t>PHN LONG CORPORATE BOND TRUST</t>
  </si>
  <si>
    <t>ALCOHOL COUNTERMEASURE SYSTEMS CORP.</t>
  </si>
  <si>
    <t>ALCORP SA DE CV</t>
  </si>
  <si>
    <t>NAL ENERGY CORPORATION</t>
  </si>
  <si>
    <t>HBK MASTER FUND L.P.</t>
  </si>
  <si>
    <t>CAN-AMERICAN CORRUGATING CO. LTD.</t>
  </si>
  <si>
    <t>WEA FINANCE LLC (INCTR)</t>
  </si>
  <si>
    <t>WEA FINANCE LLC GROUP</t>
  </si>
  <si>
    <t>NOBLE AMERICAS ENERGY SOLUTIONS LLC</t>
  </si>
  <si>
    <t>NIKO RESOURCES LTD</t>
  </si>
  <si>
    <t>VERMILION RESOURCES LTD</t>
  </si>
  <si>
    <t>CANADIAN PACIFIC LTD</t>
  </si>
  <si>
    <t>DYNAMIC HIGH YIELD BOND FUND</t>
  </si>
  <si>
    <t>OPERADORA DE SERVICIOS MEGA SA DE CV SOFOM ENR</t>
  </si>
  <si>
    <t>OPERADORA DE SERVICIOS MEGA SA DE CV SOFOM ER</t>
  </si>
  <si>
    <t>LOS REYES LA PAZ SA DE CV</t>
  </si>
  <si>
    <t>CAPITAL POWER LP</t>
  </si>
  <si>
    <t>DECOMMISSIONING SEGREGATED FUND</t>
  </si>
  <si>
    <t>OFA-OPG-NFWA TRUST LONG BOND</t>
  </si>
  <si>
    <t>EU ETS REGISTRY</t>
  </si>
  <si>
    <t>COUNSEL FIXED INCOME</t>
  </si>
  <si>
    <t>MCGRAW HILL GLOBAL EDUCATION HOLDIN</t>
  </si>
  <si>
    <t>NEBRASKA PUBLIC POWER DISTRICT</t>
  </si>
  <si>
    <t>WILD STREAM EXPLORATION INC</t>
  </si>
  <si>
    <t>BOSTON SCIENTIFIC PTY. LTD. (AUSTRALIA)</t>
  </si>
  <si>
    <t>ORION OIL AND GAS CORPORATION</t>
  </si>
  <si>
    <t>BFI CANADA INC</t>
  </si>
  <si>
    <t>Segantii Asia Pacific Equity Multi Strategy Fund</t>
  </si>
  <si>
    <t>The Segantii Asia-Pacific Equity Multi-Strategy Fund</t>
  </si>
  <si>
    <t>CENTRO COMERCIAL LA ESMERALDA SA DE CV</t>
  </si>
  <si>
    <t>FUEL STREAMERS INC</t>
  </si>
  <si>
    <t>GOLDMAN SACHS HIGH YIELD FUND</t>
  </si>
  <si>
    <t>AMEREN ENERGY MARKETING</t>
  </si>
  <si>
    <t>BOSTON SCIENTIFIC ASIA PACIFIC PTE. LTD.</t>
  </si>
  <si>
    <t>WARWICK GAS STORAGE LP</t>
  </si>
  <si>
    <t>CROSSALTA GAS STORAGE &amp; SERVICES LTD</t>
  </si>
  <si>
    <t>CROSSALTA GAS STORAGE AND SERVICES LTD</t>
  </si>
  <si>
    <t>PACIFIC INVESTMENT MANAGEMENT COMPANY LLC SOLELY IN ITS CAPACITY AS ADVISOR ON BEHALF OF  ALTRIA CLIENT SERVICES INC. MASTER RETIREMENT TRUST</t>
  </si>
  <si>
    <t>PACIFIC INVESTMENT MANAGEMENT COMPANY LLC, SOLELY IN ITS CAPACITY AS ADVISOR ON BEHALF OF FIXED INCOME SHARES (SERIES M)</t>
  </si>
  <si>
    <t>PACIFIC INVESTMENT MANAGEMENT COMPANY LLC SOLELY IN ITS CAPACITY AS ADVISOR ON BEHALF OF ARCH COAL INC. RETIREMENT ACCOUNT PLAN</t>
  </si>
  <si>
    <t>CONSTELLATION BRANDS SCHENLEY INC</t>
  </si>
  <si>
    <t>CURIAN/PIMCO TOTAL RETURN FUND</t>
  </si>
  <si>
    <t>PACIFIC INVESTMENT MANAGEMENT COMPANY LLC, SOLELY IN ITS CAPACITY AS ADVISOR ON BEHALF OF	 BAXTER INTERNATIONAL INC AND SUBSIDIARIES INCENTIVE INVESTMENT PLAN TRUST</t>
  </si>
  <si>
    <t>CAPITAL ONE N A</t>
  </si>
  <si>
    <t>CAPITAL ONE N.A.</t>
  </si>
  <si>
    <t>CITADEL EQUITY FUND LTD CDEA</t>
  </si>
  <si>
    <t>PACIFIC INVESTMENT MANAGEMENT COMPANY LLC, SOLELY IN ITS CAPACITY AS ADVISOR ON BEHALF OF DIRECTORS GUILD OF AMERICA - PRODUCER SUPPLEMENTAL PENSION PLAN</t>
  </si>
  <si>
    <t>EATON VANCE SHORT DURATION GOV INCOME FUND</t>
  </si>
  <si>
    <t>PACIFIC INVESTMENT MANAGEMENT COMPANY LLC SOLELY IN ITS CAPACITY AS ADVISOR ON BEHALF OF  FREESCALE SEMICONDUCTOR INC. 401(K) RETIREMENT SAVINGS PLAN</t>
  </si>
  <si>
    <t>FLUOR CORPORATION MASTER RETIREMENT</t>
  </si>
  <si>
    <t>PACIFIC INVESTMENT MANAGEMENT COMPANY LLC, SOLELY IN ITS CAPACITY AS ADVISOR ON BEHALF OF FLUOR CORPORATION MASTER RETIREMENT TRUST</t>
  </si>
  <si>
    <t>PACIFIC INVESTMENT MANAGEMENT COMPANY LLC, SOLELY IN ITS CAPACITY AS ADVISOR ON BEHALF OF  FREEPORT-MCMORAN CORPORATION DEFINED BENEFIT MASTER TRUST</t>
  </si>
  <si>
    <t>PACIFIC INVESTMENT MANAGEMENT COMPANY LLC SOLELY IN ITS CAPACITY AS ADVISOR ON BEHALF OF GREYHOUND LINES INC - AMALGAMATED TRANSIT UNION NATIONAL LOCAL 1700 RETIREMENT AND DISABILITY TRUST</t>
  </si>
  <si>
    <t>J. ARON AND COMPANY LLC</t>
  </si>
  <si>
    <t>J. ARON &amp; COMPANY FX OPTIONS</t>
  </si>
  <si>
    <t>J. ARON &amp; COMPANY LLC</t>
  </si>
  <si>
    <t>J.ARON &amp; COMPANY LLC</t>
  </si>
  <si>
    <t>J. ARON &amp; COMPANY</t>
  </si>
  <si>
    <t>J. ARON AND COMPANY</t>
  </si>
  <si>
    <t>J ARON AND COMPANY (SCOTIABANK SUD AMERICANO)</t>
  </si>
  <si>
    <t>J ARON AND COMPANY LLC</t>
  </si>
  <si>
    <t>CREDIT VALUE MASTER FUND III LP</t>
  </si>
  <si>
    <t>BMO U.S. DOLLAR MONTHLY INCOME FUND</t>
  </si>
  <si>
    <t>RBC U.S. $ HIGH YIELD BOND FUND</t>
  </si>
  <si>
    <t>POLINPLAST SAC</t>
  </si>
  <si>
    <t>FEDERAL OFFICE FOR THE ENVIRONMENT FOEN</t>
  </si>
  <si>
    <t>GIVEUP</t>
  </si>
  <si>
    <t>CROCOTTA ENERGY INC</t>
  </si>
  <si>
    <t>SUNOCO INC (R AND M)</t>
  </si>
  <si>
    <t>TROIKA ANDOVER  I LLC</t>
  </si>
  <si>
    <t>GRUPO C AND C ENERGIA (BARBADOS) LTD</t>
  </si>
  <si>
    <t>AVON VALLEY FLORAL INC</t>
  </si>
  <si>
    <t>TAI FUNG BANK LTD.</t>
  </si>
  <si>
    <t>THE BOYD GROUP INC</t>
  </si>
  <si>
    <t>CAVOTEC CANADA INC</t>
  </si>
  <si>
    <t>WEIGHT WATCHERS CANADA LTD</t>
  </si>
  <si>
    <t>TIRE SOL SAC</t>
  </si>
  <si>
    <t>JHF II EMERGING MARKETS DEBT FUND</t>
  </si>
  <si>
    <t>JHF II STRATEGIC INCOME FUND</t>
  </si>
  <si>
    <t>JHF II STRATEGIC INCOME OPPORT FUND</t>
  </si>
  <si>
    <t>LABORERS' PENSION FUND</t>
  </si>
  <si>
    <t>JOHN HANCOCK SOVEREIGN BOND FUND JOHN HANCOCK BOND FUND</t>
  </si>
  <si>
    <t>JOHN HANCOCK BOND FUND</t>
  </si>
  <si>
    <t>PACIFIC INVESTMENT MANAGEMENT COMPANY LLC, SOLELY IN ITS CAPACITY AS ADVISOR ON BEHALF OF KOREA INVESTMENT CORPORATION</t>
  </si>
  <si>
    <t>L3 COMMUNICATIONS ELECTRONIC SYSTEMS INC</t>
  </si>
  <si>
    <t>L-3 COMMUNICATIONS ELECTRONIC SYSTEMS, INC.</t>
  </si>
  <si>
    <t>PACIFIC INVESTMENT MANAGEMENT COMPANY LLC, SOLELY IN ITS CAPACITY AS ADVISOR ON BEHALF OF MARSH &amp; MCLENNAN MASTER RETIREMENT TRUST</t>
  </si>
  <si>
    <t>PACIFIC INVESTMENT MANAGEMENT COMPANY LLC, SOLELY IN ITS CAPACITY AS ADVISOR ON BEHALF OF MOTION PICTURE INDUSTRY HEALTH PLAN (RETIREE FUND)</t>
  </si>
  <si>
    <t>PACIFIC INVESTMENT MANAGEMENT COMPANY LLC, SOLELY IN ITS CAPACITY AS ADVISOR ON BEHALF OF MISSOURI LOCAL GOVERNMENT EMPLOYEES RETIREMENT SYSTEM.</t>
  </si>
  <si>
    <t>PACIFIC INVESTMENT MANAGEMENT COMPANY LLC, SOLELY IN ITS CAPACITY AS ADVISOR ON BEHALF OF MISSOURI LOCAL GOVERNMENT EMPLOYEES RETIREMENT SYSTEM</t>
  </si>
  <si>
    <t>PACIFIC INVESTMENT MANAGEMENT COMPANY LLC, SOLELY IN ITS CAPACITY AS ADVISOR ON BEHALF OF MOTOR INSURERS' BUREAU OF HONG KONG</t>
  </si>
  <si>
    <t>NEW GOLD INC</t>
  </si>
  <si>
    <t>NEW GOLD INC.</t>
  </si>
  <si>
    <t>NEW GOLD INC (RAINY RIVER MINE)</t>
  </si>
  <si>
    <t>CCL INTERNATIONAL INC.</t>
  </si>
  <si>
    <t>DYNAMIC MONEY MARKET FUND</t>
  </si>
  <si>
    <t>RBL A C INC</t>
  </si>
  <si>
    <t>MANUFACTURAS COLOR SAC</t>
  </si>
  <si>
    <t>AGF ASIAN GROWTH FUND</t>
  </si>
  <si>
    <t>LES AGENCES COMMERCIALES NEIL SMALL</t>
  </si>
  <si>
    <t>SU SERVICIO FINANCIERO SA DE CV SOFOM ENR</t>
  </si>
  <si>
    <t>SU SERVICIO FINANCIERO SA DE CV SOFOM</t>
  </si>
  <si>
    <t>BANCO CENTRAL DEL URUGUAY</t>
  </si>
  <si>
    <t>HALIFAX RECEIVABLES TRUST (GT)</t>
  </si>
  <si>
    <t>EI PASO MIDSTREAM INVESTMENT COMPANY</t>
  </si>
  <si>
    <t>SCOTIA BOND FUND</t>
  </si>
  <si>
    <t>IMPULSORA NACIONAL DE ELECTRICIDAD S DE RL DE CV</t>
  </si>
  <si>
    <t>CORPORACION TURISTICA PERUANA SAC</t>
  </si>
  <si>
    <t>CAPE TRADING B.V.</t>
  </si>
  <si>
    <t>MACKENZIE CANADIAN ALL CAP BAL FUND</t>
  </si>
  <si>
    <t>MACKENZIE CANADIAN ALL CAP BALANCED</t>
  </si>
  <si>
    <t>MACKENZIE CANADIAN ALL CAP BALANCED FUND</t>
  </si>
  <si>
    <t>G &amp; N ROJAS S.A</t>
  </si>
  <si>
    <t>SCOTIA MORTGAGE INCOME FUND</t>
  </si>
  <si>
    <t>BMO GLOBAL SMALL CAP FUND</t>
  </si>
  <si>
    <t>PACIFIC INVESTMENT MANAGEMENT COMPANY LLC, SOLELY IN ITS CAPACITY AS ADVISOR ON BEHALF OF NORTHEAST UTILITIES SERVICE COMPANY MASTER TRUST</t>
  </si>
  <si>
    <t>PACIFIC INVESTMENT MANAGEMENT COMPANY LLC, SOLELY IN ITS CAPACITY AS ADVISOR ON BEHALF OF NORTHEAST UTILITIES SERVICE COMPANY SUPPLEMENTAL RETIREMENT AND SAVING PLAN</t>
  </si>
  <si>
    <t>PACIFIC INVESTMENT MANAGEMENT COMPANY LLC, SOLELY IN ITS CAPACITY AS ADVISOR ON BEHALF OF NORTHWESTERN MUTUAL SERIES FUNDS INC. - PIMCO LONG-TERM U.S. GOVERNMENT BOND PORTFOLIO CAPITAL STOCK</t>
  </si>
  <si>
    <t>PACIFIC INVESTMENT MANAGEMENT COMPANY LLC, SOLELY IN ITS CAPACITY AS ADVISOR ON BEHALF OF PENSION PLAN OF NORTH CAROLINA BAPTIST HOSPITAL TRUST</t>
  </si>
  <si>
    <t>PACIFIC INVESTMENT MANAGEMENT COMPANY LLC, SOLELY IN ITS CAPACITY AS ADVISOR ON BEHALF OF PIMCO A OR BETTER OR INTERMEDIATE GOVERNMENT CREDIT FUND</t>
  </si>
  <si>
    <t>PACIFIC INVESTMENT MANAGEMENT COMPANY LLC, SOLELY IN ITS CAPACITY AS ADVISOR ON BEHALF OF PDV INSURANCE COMPANY LTD.</t>
  </si>
  <si>
    <t>PACIFIC INVESTMENT MANAGEMENT COMPANY LLC, SOLELY IN ITS CAPACITY AS ADVISOR ON BEHALF OF  PIMCO FUNDS: PIMCO INTERNATIONAL STOCKSPLUS TR STRATEGY FUND (U.S. DOLLAR-HEDGED)</t>
  </si>
  <si>
    <t>PACIFIC INVESTMENT MANAGEMENT COMPANY LLC, SOLELY IN ITS CAPACITY AS ADVISOR ON BEHALF OF PIMCO ETF TRUST: PIMCO 1-3 YEAR U.S. TREASURY INDEX FUND</t>
  </si>
  <si>
    <t>PACIFIC INVESTMENT MANAGEMENT COMPANY LLC, SOLELY IN ITS CAPACITY AS ADVISOR ON BEHALF OF PIMCO FUNDS: PRIVATE ACCOUNT PORTFOLIO SERIES MORTGAGE PORTFOLIO</t>
  </si>
  <si>
    <t>PACIFIC INVESTMENT MANAGEMENT COMPANY LLC, SOLELY IN ITS CAPACITY AS ADVISOR ON BEHALF OF PIMCO FUNDS: PRIVATE ACCOUNT PORTFOLIO SERIES SHORT-TERM PORTFOLIO II</t>
  </si>
  <si>
    <t>PACIFIC INVESTMENT MANAGEMENT COMPANY LLC, SOLELY IN ITS CAPACITY AS ADVISOR ON BEHALF OF PIMCO FUNDS: PRIVATE ACCOUNT PORTFOLIO SERIES SHORT-TERM PORTFOLIO</t>
  </si>
  <si>
    <t>PACIFIC INVESTMENT MANAGEMENT COMPANY LLC, SOLELY IN ITS CAPACITY AS ADVISOR ON BEHALF OF PIMCO FUNDS: PRIVATE ACCOUNT PORTFOLIO SERIES INTERNATIONAL PORTFOLIO</t>
  </si>
  <si>
    <t>PACIFIC INVESTMENT MANAGEMENT COMPANY LLC, SOLELY IN ITS CAPACITY AS ADVISOR ON BEHALF OF PIMCO FUNDS: PRIVATE ACCOUNT PORTFOLIO SERIES INVESTMENT GRADE CORPORATE PORTFOLIO</t>
  </si>
  <si>
    <t>PACIFIC INVESTMENT MANAGEMENT COMPANY LLC, SOLELY IN ITS CAPACITY AS ADVISOR ON BEHALF OF PIMCO FUNDS: PRIVATE ACCOUNT PORTFOLIO SERIES REAL RETURN PORTFOLIO</t>
  </si>
  <si>
    <t>PACIFIC INVESTMENT MANAGEMENT COMPANY LLC, SOLELY IN ITS CAPACITY AS ADVISOR ON BEHALF OF RAILWAYS PENSION TRUSTEE COMPANY LIMITED (**THIS IS A MERGER OF ACCOUNTS 2825 AND 2925 AND THEIR RESPECTIVE FUNDS)</t>
  </si>
  <si>
    <t>PACIFIC INVESTMENT MANAGEMENT COMPANY LLC, SOLELY IN ITS CAPACITY AS ADVISOR ON BEHALF OF RAILWAYS PENSION TRUSTEE COMPANY LIMITED</t>
  </si>
  <si>
    <t>PACIFIC INVESTMENT MANAGEMENT COMPANY LLC, SOLELY IN ITS CAPACITY AS ADVISOR ON BEHALF OF PIMCO GLOBAL STOCKSPLUS &amp; INCOME FUND</t>
  </si>
  <si>
    <t>PACIFIC INVESTMENT MANAGEMENT COMPANY LLC, SOLELY IN ITS CAPACITY AS ADVISOR ON BEHALF OF REYNOLDS AMERICAN DEFINED BENEFIT MASTER TRUST.</t>
  </si>
  <si>
    <t>PACIFIC INVESTMENT MANAGEMENT COMPANY LLC, SOLELY IN ITS CAPACITY AS ADVISOR ON BEHALF OF  RUSSELL INVESTMENT GRADE BOND FUND</t>
  </si>
  <si>
    <t>PACIFIC INVESTMENT MANAGEMENT COMPANY LLC, SOLELY IN ITS CAPACITY AS ADVISOR ON BEHALF OF  RUSSELL STRATEGIC BOND FUND</t>
  </si>
  <si>
    <t>TEACHERS INSURANCE &amp; ANNUITY ASSOC OF AMERICA</t>
  </si>
  <si>
    <t>PACIFIC INVESTMENT MANAGEMENT COMPANY LLC, SOLELY IN ITS CAPACITY AS ADVISOR ON BEHALF OF  THE TARGET PORTFOLIO TRUST: INTERMEDIATE-TERM BOND PORTFOLIO</t>
  </si>
  <si>
    <t>PACIFIC INVESTMENT MANAGEMENT COMPANY LLC, SOLELY IN ITS CAPACITY AS ADVISOR ON BEHALF OF THE TARGET PORTFOLIO TRUST: TOTAL RETURN BOND PORTFOLIO</t>
  </si>
  <si>
    <t>UNITED PARCEL SERVICE INC</t>
  </si>
  <si>
    <t>WESCAM, INC.</t>
  </si>
  <si>
    <t>DUKE ENERGY FLORIDA LLC</t>
  </si>
  <si>
    <t>DUKE ENERGY PROGRESS LLC</t>
  </si>
  <si>
    <t>EMPRESA NACIONAL DE TELECOMUNICACIONES SA</t>
  </si>
  <si>
    <t>SCOTIA GLOBAL GROWTH FUND</t>
  </si>
  <si>
    <t>OUTLANDER POULTRY FARMS LTD</t>
  </si>
  <si>
    <t>HIGH PLAINS POULTRY FARMS LTD</t>
  </si>
  <si>
    <t>ICE E-CONFIRM</t>
  </si>
  <si>
    <t>CORPORATION BOLSIPOL SAC</t>
  </si>
  <si>
    <t>EMPAQUES CORRUGADOS Y PLEGADIZOS S.A DE C.V.</t>
  </si>
  <si>
    <t>BMO WORLD BOND FUND</t>
  </si>
  <si>
    <t>CANACOL ENERGY COLOMBIA S.A.</t>
  </si>
  <si>
    <t>CAMSO INC</t>
  </si>
  <si>
    <t>SCOTIA SHORT TERM BOND FUND</t>
  </si>
  <si>
    <t>CLEAR LEASING S.A DE C.V SOFOM ENR</t>
  </si>
  <si>
    <t>CLEAR LEASING SA DE CV</t>
  </si>
  <si>
    <t>CARDINAL PIPELINE LP</t>
  </si>
  <si>
    <t>CONAGRA FOODS PACKAGED FOODS LLC</t>
  </si>
  <si>
    <t>DYNAMIC GLOBAL REAL ESTATE FUND</t>
  </si>
  <si>
    <t>TOYOTA CREDIT CANADA INC.</t>
  </si>
  <si>
    <t>BMO GLOBAL EQUITY CLASS</t>
  </si>
  <si>
    <t>E &amp; M SRL</t>
  </si>
  <si>
    <t>E AND M SRL</t>
  </si>
  <si>
    <t>INTACT FINANCIAL CORPORATION</t>
  </si>
  <si>
    <t>9155 4915 QUEBEC INC</t>
  </si>
  <si>
    <t>9155 4915 QUEBEC INC.</t>
  </si>
  <si>
    <t>Prudential Investment Portfolios, Inc. 17 - Prudential Short Duration Multi-Sector Bond Fund</t>
  </si>
  <si>
    <t>PHN ENHANCED LONG GOVERNMENT BOND FUND</t>
  </si>
  <si>
    <t>ALBERTA TEACHERS RETIREMENT FND BRD</t>
  </si>
  <si>
    <t>AUREL BGC</t>
  </si>
  <si>
    <t>ENMAX ENERGY MARKETING INC</t>
  </si>
  <si>
    <t>CAMBRIDGE PURE CANADIAN EQUITY FUND</t>
  </si>
  <si>
    <t>ANGLE ENERGY INC</t>
  </si>
  <si>
    <t>PACIFIC INVESTMENT MANAGEMENT COMPANY LLC, SOLELY IN ITS CAPACITY AS ADVISOR ON BEHALF OF PIMCO CAYMAN COMMODITY PORTFOLIO I, LTD</t>
  </si>
  <si>
    <t>RBC MONTHLY INCOME HIGH YIELD BOND FUND</t>
  </si>
  <si>
    <t>NEMAK S.A.B. DE C.V.</t>
  </si>
  <si>
    <t>SOGEMA TECHNOLOGIES INC</t>
  </si>
  <si>
    <t>METROLINX</t>
  </si>
  <si>
    <t>ESTANTERIAS METALICAS JRM SAC</t>
  </si>
  <si>
    <t>PROMOTORA CERRO AZUL SAC</t>
  </si>
  <si>
    <t>SCOTIA PRIVATE SHORT TERM INCOME POOL</t>
  </si>
  <si>
    <t>CO-OPERATORS LIFE INSURANCE COMPANY</t>
  </si>
  <si>
    <t>NTRUST TECHNOLOGY SOLUTIONS CORP</t>
  </si>
  <si>
    <t>CSV MIDSTREAM SOLUTIONS CORP</t>
  </si>
  <si>
    <t>CDEMO MOBILE SOLUTIONS LTD</t>
  </si>
  <si>
    <t>IG MACKENZIE CANADIAN SMALL MID CAP CLASS III</t>
  </si>
  <si>
    <t>DYNAMIC VALUE BALANCED FUND</t>
  </si>
  <si>
    <t>TORC OIL &amp; GAS LTD.</t>
  </si>
  <si>
    <t>CHANNEL ISLAND CAPITAL LLC</t>
  </si>
  <si>
    <t>CROP MARKETING SERVICES LLC</t>
  </si>
  <si>
    <t>EASTSIDE RICE LLC</t>
  </si>
  <si>
    <t>ERWIN KEITH LLC</t>
  </si>
  <si>
    <t>FARMERS GRANARY INC</t>
  </si>
  <si>
    <t>DEVTEK CORPORATION_CANCELLED-</t>
  </si>
  <si>
    <t>HARVEST RICE INC</t>
  </si>
  <si>
    <t>JONESBORO RICE CO LLC</t>
  </si>
  <si>
    <t>PLANTERS RICE MILL LLC</t>
  </si>
  <si>
    <t>POINSETT RICE AND GRAIN INC</t>
  </si>
  <si>
    <t>CIDEL BANK AND TRUST INC</t>
  </si>
  <si>
    <t>CIDEL BANK &amp; TRUST</t>
  </si>
  <si>
    <t>CIDEL BANK AND TRUST INC.</t>
  </si>
  <si>
    <t>PRODUCERS RICE MILL INC</t>
  </si>
  <si>
    <t>CROMBIE LIMITED PARTNERSHIP</t>
  </si>
  <si>
    <t>RICELAND FOODS INC</t>
  </si>
  <si>
    <t>SOUTHERN RICE AND COTTON LLC</t>
  </si>
  <si>
    <t>CALIFORNIA AIR RESOURCES BOARD</t>
  </si>
  <si>
    <t>CHS AGRONEGOCIO</t>
  </si>
  <si>
    <t>BTG PACTUAL GLOBAL EQUITY OPPORTUNITIES MASTER FUND LP CDEA</t>
  </si>
  <si>
    <t>NEWCREST FINANCE PTY LIMITED</t>
  </si>
  <si>
    <t>NEWCREST FINANCE PTY LTD</t>
  </si>
  <si>
    <t>WHEELABRATOR TECHNOLOGIES INC</t>
  </si>
  <si>
    <t>GEOSOUTHERN DEWITT PROPERTIES LLC</t>
  </si>
  <si>
    <t>GEOSOUTHERN FAYETTE PROPERTIES LLC</t>
  </si>
  <si>
    <t>GEOSOUTHERN LAVACA PROPERTIES LLC</t>
  </si>
  <si>
    <t>EAGLE FORD FIELD SERVICES LLC</t>
  </si>
  <si>
    <t>EVOLUTION MARKETS FUTURES LLC</t>
  </si>
  <si>
    <t>BMO COVERED CALL UTILITIES ETF</t>
  </si>
  <si>
    <t>AOZORA BANK LIMITED</t>
  </si>
  <si>
    <t>TORQUEST PARTNERS FUND III LP</t>
  </si>
  <si>
    <t>HIDROCARBUROS DEL CASANARE SAS</t>
  </si>
  <si>
    <t>BUNGE NORTH AMERICA INC</t>
  </si>
  <si>
    <t>BMO COVERED CALL CANADIAN BANKS ETF</t>
  </si>
  <si>
    <t>SUN LIFE CAPITAL MANAGEMENT (CANADA) INC</t>
  </si>
  <si>
    <t>VITOL SA</t>
  </si>
  <si>
    <t>VITOL SA.</t>
  </si>
  <si>
    <t>interactive Brokers LLC</t>
  </si>
  <si>
    <t>DOMTAR INC.</t>
  </si>
  <si>
    <t>DOMTAR INC</t>
  </si>
  <si>
    <t>MAFIC CANADA INC</t>
  </si>
  <si>
    <t>PHN CUSTOM INTEREST RATE OVERLAY FUND</t>
  </si>
  <si>
    <t>CITY OF OTTAWA</t>
  </si>
  <si>
    <t>TOMLINSON DEVELOPMENT CORPORATION</t>
  </si>
  <si>
    <t>CENTRAL BERNARD BUTCHERS CORP INC</t>
  </si>
  <si>
    <t>MERRILL LYNCH COMMODITIES INC</t>
  </si>
  <si>
    <t>RIOBEL INC</t>
  </si>
  <si>
    <t>GG CANADA LIMITED PARTNERSHIP</t>
  </si>
  <si>
    <t>SHASTA SYSTEMS LIMITED</t>
  </si>
  <si>
    <t>LONG TERM ASSET MANAGEMENT INC</t>
  </si>
  <si>
    <t>EMPIRE LIFE EMBLEM DIVERSIFIED INCOME PORTFOLIO</t>
  </si>
  <si>
    <t>BMO GLOBAL DIVIDEND FUND</t>
  </si>
  <si>
    <t>MACKENZIE STRATEGIC BOND FUND</t>
  </si>
  <si>
    <t>SALTILLO TILE CALGARY LTD</t>
  </si>
  <si>
    <t>COMPANIA AGRICOLA INDUSTRIAL SANTA ANA S.A.</t>
  </si>
  <si>
    <t>LIGA AGRICOLA INDUSTRIAL DE LA CANA DE AZUCAR</t>
  </si>
  <si>
    <t>BMO MID-TERM US IG CORPORATE BOND HEDGED TO CAD INDEX ETF</t>
  </si>
  <si>
    <t>ATF COMMODITIES LLC</t>
  </si>
  <si>
    <t>CONSTELLATION BRANDS SMO, LLC</t>
  </si>
  <si>
    <t>CONSTELLATION ENERGY COMMODITIES GROUP, INC</t>
  </si>
  <si>
    <t>CSR LIMITED</t>
  </si>
  <si>
    <t>SHANNEX RLC LIMITED</t>
  </si>
  <si>
    <t>PICTON MAHONEY 130/30 ALPHA EXTENSION CANADIAN EQUITY FUND</t>
  </si>
  <si>
    <t>TRANSPORTES ACOINSA SA</t>
  </si>
  <si>
    <t>WINDWARD INVESTMENTS LIMITED</t>
  </si>
  <si>
    <t>MF Global UK Limited</t>
  </si>
  <si>
    <t>FORACO CANADA LTD.</t>
  </si>
  <si>
    <t>FORACO CANADA LTD</t>
  </si>
  <si>
    <t>DYNAMIC ADVANTAGE BOND FUND</t>
  </si>
  <si>
    <t>DYNAMIC CANADIAN BOND FUND</t>
  </si>
  <si>
    <t>CONSOLIDATED FASTFRATE INC</t>
  </si>
  <si>
    <t>DYNAMIC VALUE FUND OF CANADA</t>
  </si>
  <si>
    <t>PPL AQUATIC FITNESS AND SPA GROUP</t>
  </si>
  <si>
    <t>DYNAMIC POWER GLOBAL GROWTH FUND</t>
  </si>
  <si>
    <t>DYNAMIC FINANCIAL SERVICES FUND</t>
  </si>
  <si>
    <t>BMO US DIVIDEND HEDGED TO CAD ETF</t>
  </si>
  <si>
    <t>ABASTECEDORA LUMEN SA DE CV</t>
  </si>
  <si>
    <t>INDUSTRIAS ZUDHER SA DE CV</t>
  </si>
  <si>
    <t>BEPENSA BEBIDAS SA DE CV</t>
  </si>
  <si>
    <t>PRICESMART PANAMA SA</t>
  </si>
  <si>
    <t>SLC MANAGEMENT PRIVATE FIXED INCOME PLUS FUND</t>
  </si>
  <si>
    <t>SUN LIFE PRIVATE FIXED INCOME PLUS</t>
  </si>
  <si>
    <t>RBC EMERGING MARKETS DIVIDEND FUND</t>
  </si>
  <si>
    <t>JEFFERIES LEVERAGED CREDIT PRODUCTS LLC</t>
  </si>
  <si>
    <t>IRVING MARINE FLEET HOLDING CORPORATION</t>
  </si>
  <si>
    <t>DYNAMIC POWER AMERICAN GROWTH FUND</t>
  </si>
  <si>
    <t>STANLEY COOPER TIMBER AND STONE LTD</t>
  </si>
  <si>
    <t>TSB COMMUNICATIONS INC</t>
  </si>
  <si>
    <t>VOTORANTIM METAIS S.A.</t>
  </si>
  <si>
    <t>ICRON TECHNOLOGIES CORPORATION</t>
  </si>
  <si>
    <t>1832 CORE EQUITY STRATEGY</t>
  </si>
  <si>
    <t>THE CORPORATION OF THE CITY OF NIAGARA FALLS</t>
  </si>
  <si>
    <t>THE ARBITRAGE EVENT DRIVEN FUND</t>
  </si>
  <si>
    <t>PERPETUAL ENERGY OPERATING CORP</t>
  </si>
  <si>
    <t>DYNAMIC DOLLAR COST AVERAGING FUND</t>
  </si>
  <si>
    <t>MACKENZIE GLOBAL LARGE CAP QUALITY GROWTH POOL</t>
  </si>
  <si>
    <t>RBC EMERGING MARKETS SMALL CAP EQUITY FUND</t>
  </si>
  <si>
    <t>PEMEX PROJECT FUNDING MASTER TRUST</t>
  </si>
  <si>
    <t>URBAN LIGHTS INC</t>
  </si>
  <si>
    <t>YIKANOMI CONTRATISTAS GENERALES</t>
  </si>
  <si>
    <t>BMO EQUAL WEIGHT UTILITIES INDEX ETF</t>
  </si>
  <si>
    <t>MOODYS ASIA PACIFIC LTD.</t>
  </si>
  <si>
    <t>MANROWS LIMITED</t>
  </si>
  <si>
    <t>ARETAS SENSOR NETWORKS INC</t>
  </si>
  <si>
    <t>KNW DIESEL INC.</t>
  </si>
  <si>
    <t>FORTH PORTS LIMITED</t>
  </si>
  <si>
    <t>EQT PRODUCTION COMPANY</t>
  </si>
  <si>
    <t>BANCO NACIONAL DE MEXICO, S.A.</t>
  </si>
  <si>
    <t>BANCO NACIONAL DE MEXICO SA INTEGRANTE DEL GRUPO FINANCIERO BANAMEX DIVISION FIDUCIARIA EN SU CARACTER DE FIDUCIARIO DEL FIDEICOMISO IRREVOCABLE NUMERO F180295</t>
  </si>
  <si>
    <t>BANCO NACIONAL DE MEXICO SA INTEGRANTE DEL GRUPO FINANCIERO BANAMEX DIVISION FIDUCIARIA CONTRATO DE FIDEICOMISO IRREVOCABLE F/180228</t>
  </si>
  <si>
    <t>BANCO NACIONAL DE MEXICO SA INTEGRANTE DEL GRUPO FINANCIERO BANAMEX, DIVISION FIDUCIARIA, ACTING NOT IN THIS INDIVIDUAL CAPACITY BUT SOLELY IN ITS CAPACITY AS TRUSTEE OF FIDEICOMISO IRREVOCABLE F/17458-9</t>
  </si>
  <si>
    <t>BANCO NACIONAL DE MEXICO SA (BANAMEX)</t>
  </si>
  <si>
    <t>PACIFIC INVESTMENT MANAGEMENT COMPANY LLC, SOLELY IN ITS CAPACITY AS ADVISOR ON BEHALF OF PIMCO ABSOLUTE RETURN STRATEGY IV MASTER FUND LDC</t>
  </si>
  <si>
    <t>EMPIRE LIFE MONTHLY INCOME MUTUAL FUND</t>
  </si>
  <si>
    <t>FEDNAV HOLDINGS INC</t>
  </si>
  <si>
    <t>GLUSKIN SHEFF + ASSOCIATES INC.</t>
  </si>
  <si>
    <t>REGIONAL CRANE RENTALS LIMITED</t>
  </si>
  <si>
    <t>JV PRODUCTIONS</t>
  </si>
  <si>
    <t>MIRAMAR HOLDINGS LTD</t>
  </si>
  <si>
    <t>PACIFIC INVESTMENT MANAGEMENT COMPANY LLC, SOLELY IN ITS CAPACITY AS ADVISOR ON BEHALF OF  MILLERCOORS LLC MASTER RETIREMENT TRUST</t>
  </si>
  <si>
    <t>DEMENAGEMENT OUTAOUAIS INC</t>
  </si>
  <si>
    <t>ALGONQUIN POWER AND UTILITIES CORP</t>
  </si>
  <si>
    <t>LES BAR INVESTMENTS LIMITED OA ROSN</t>
  </si>
  <si>
    <t>EUROPE BLUE-CHIP DIVIDEND GROWTH FUND</t>
  </si>
  <si>
    <t>SUBD CARTAS DE CREDITO Y COBR INTER</t>
  </si>
  <si>
    <t>MARATHON LOAN OPPORTUNITIES MASTER FUND LTD</t>
  </si>
  <si>
    <t>PHN 20+ STRIP FUND</t>
  </si>
  <si>
    <t>NBIMC INFRASTRUCTURE FUND</t>
  </si>
  <si>
    <t>DEUTSCHE BANK MEXICO SA FIDEICOMISO 1325 THE TRUST</t>
  </si>
  <si>
    <t>SAKTO CORPORATION</t>
  </si>
  <si>
    <t>SUBDISC STUDIO INC</t>
  </si>
  <si>
    <t>RBC BALANCED GROWTH AND INCOME FUND</t>
  </si>
  <si>
    <t>BROOKFIELD GLOBAL INFRASTRUCTURE SECURITIES INCOME FUND</t>
  </si>
  <si>
    <t>G AND J CAPITAL INC</t>
  </si>
  <si>
    <t>FEDERAL RESERVE BANK GATEWAY</t>
  </si>
  <si>
    <t>CKDPACK INC</t>
  </si>
  <si>
    <t>H AND R REAL ESTATE INVESTMENT TRUST</t>
  </si>
  <si>
    <t>H&amp;R REAL ESTATE INVESTMENT TRUST</t>
  </si>
  <si>
    <t>AXIOM LIMITED</t>
  </si>
  <si>
    <t>V. FRAAS MANUFACTURING INC</t>
  </si>
  <si>
    <t>V FRAAS MANUFACTURING INC</t>
  </si>
  <si>
    <t>ZAN PARTNERS LIMITED</t>
  </si>
  <si>
    <t>LANZBRO CORP</t>
  </si>
  <si>
    <t>BULLETPROOF SOLUTIONS ULC</t>
  </si>
  <si>
    <t>THE ALBERTA TEACHERS ASSOCIATION</t>
  </si>
  <si>
    <t>FRANKLIN BISSETT CORPORATE BOND FUND</t>
  </si>
  <si>
    <t>POWER AUTHORITY OF THE STATE OF NEW YORK</t>
  </si>
  <si>
    <t>ICATOM S.A</t>
  </si>
  <si>
    <t>ANTRIM RESOURCES NI LTD</t>
  </si>
  <si>
    <t>SPARTAN ENERGY CORP</t>
  </si>
  <si>
    <t>MD GROWTH INVESTMENTS LIMITED MF</t>
  </si>
  <si>
    <t>MD GROWTH INVESTMENTS LIMITED</t>
  </si>
  <si>
    <t>GREENSVILLE SOAPSTONE COMPANY INC</t>
  </si>
  <si>
    <t>BURMAN AND FELLOWS GROUP INC</t>
  </si>
  <si>
    <t>ENLACE CORREOS SA</t>
  </si>
  <si>
    <t>Galena Asset Management Ltd</t>
  </si>
  <si>
    <t>KANSAS CITY SOUTHERN DE MEXICO SA DE CV</t>
  </si>
  <si>
    <t>KANSAS CITY SOUTHERN DE MEXICO S.A. DE C.V.</t>
  </si>
  <si>
    <t>KANSAS CITY SOUTHERN DE MEXICO</t>
  </si>
  <si>
    <t>DMP POWER GLOBAL GROWTH CLASS</t>
  </si>
  <si>
    <t>SUNWEST SCREEN GRAPHICS LTD</t>
  </si>
  <si>
    <t>CINCINNATI RETIREMENT SYSTEM</t>
  </si>
  <si>
    <t>PACIFIC INVESTMENT MANAGEMENT COMPANY LLC, SOLELY IN ITS CAPACITY AS ADVISOR ON BEHALF OF  MEADWESTVACO CORPORATION MASTER RETIREMENT TRUST</t>
  </si>
  <si>
    <t>FARMAGRO SA</t>
  </si>
  <si>
    <t>LABRADOR-ISLAND LINK LIMITED PARTNERSHIP</t>
  </si>
  <si>
    <t>SOKKIA CORPORATION</t>
  </si>
  <si>
    <t>SUNDANCE ENERGY INC</t>
  </si>
  <si>
    <t>PRAIRIESKY ROYALTY LTD</t>
  </si>
  <si>
    <t>1592581 ALBERTA LTD</t>
  </si>
  <si>
    <t>C2 FARMS LTD</t>
  </si>
  <si>
    <t>C2 FARMS PARTNERSHIP</t>
  </si>
  <si>
    <t>MICHAEL CARTER AND KEVIN CARTER O/A C2 FARMS PARTNERSHIP</t>
  </si>
  <si>
    <t>INMOBILIARIA NACIONAL MEXICANA SAPI DE CV</t>
  </si>
  <si>
    <t>BAB TRUST</t>
  </si>
  <si>
    <t>ABCO FARMS LTD</t>
  </si>
  <si>
    <t>INTERCONTINENTAL EXCHANGE LICENSED WAREHOUSE</t>
  </si>
  <si>
    <t>DRYER MASTER INC</t>
  </si>
  <si>
    <t>MARITIME PAPER PRODUCTS LIMITED PAR</t>
  </si>
  <si>
    <t>RP CORPORATE INDEX PLUS FUND</t>
  </si>
  <si>
    <t>RP FIXED INCOME PLUS FUND</t>
  </si>
  <si>
    <t>RP SELECT OPPORTUNITIES MASTER FUND LTD</t>
  </si>
  <si>
    <t>ARDENT MILLS, LLC</t>
  </si>
  <si>
    <t>ARDENT MILLS LLC</t>
  </si>
  <si>
    <t>AQR - ETRADING BLOCK</t>
  </si>
  <si>
    <t>VCON_BLOCK_CIG_ETRADING</t>
  </si>
  <si>
    <t>FIDELITY - ETRADING BLOCK</t>
  </si>
  <si>
    <t>HARVARD - VCON BLOCK ETRADING</t>
  </si>
  <si>
    <t>LOOMIS - ETRADING BLOCK</t>
  </si>
  <si>
    <t>SUNRISE PARTNERS - ETRADING BLOCK</t>
  </si>
  <si>
    <t>WHITEBOX - ETRADING BLOCK</t>
  </si>
  <si>
    <t>MIBANCO - BANCO DE LA MICROEMPRESA S A</t>
  </si>
  <si>
    <t>IG AGF U.S. GROWTH CLASS</t>
  </si>
  <si>
    <t>INVESTORS CORE CANADIAN EQUITY FUND MID CAP</t>
  </si>
  <si>
    <t>INVESTORS CORE CANADIAN EQUITY FUND</t>
  </si>
  <si>
    <t>AIG INSURANCE COMPANY OF CANADA GROUP</t>
  </si>
  <si>
    <t>AIG INSURANCE COMPANY OF CANADA</t>
  </si>
  <si>
    <t>IG BEUTEL GOODMAN CANADIAN BALANCED FUND</t>
  </si>
  <si>
    <t>VCON_BLOCK_ABER</t>
  </si>
  <si>
    <t>PH&amp;N CORE PLUS BOND FUND</t>
  </si>
  <si>
    <t>PH&amp;N BOND FUND</t>
  </si>
  <si>
    <t>PHN CORE PLUS BOND FUND</t>
  </si>
  <si>
    <t>IG BEUTEL GOODMAN CANADIAN EQUITY FUND</t>
  </si>
  <si>
    <t>INVESTORS CORE U.S. EQUITY FUND</t>
  </si>
  <si>
    <t>SLR INTERNATIONAL LTD</t>
  </si>
  <si>
    <t>VCON_BLOCK_AGCO</t>
  </si>
  <si>
    <t>VCON_BLOCK_ARCE</t>
  </si>
  <si>
    <t>VCON_BLOCK_CDPQ</t>
  </si>
  <si>
    <t>VCON_BLOCK_GEFM</t>
  </si>
  <si>
    <t>VCON_BLOCK_KEPC</t>
  </si>
  <si>
    <t>VCON_BLOCK_MCM</t>
  </si>
  <si>
    <t>VCON_BLOCK_PHAR</t>
  </si>
  <si>
    <t>VCON_BLOCK_PLCAP</t>
  </si>
  <si>
    <t>VCON_BLOCK_REGB</t>
  </si>
  <si>
    <t>VCON_BLOCK_ROWE</t>
  </si>
  <si>
    <t>VCON_BLOCK_TUDOR</t>
  </si>
  <si>
    <t>PH&amp;N CUSTOM INTEREST RATE COMPLETION FUND</t>
  </si>
  <si>
    <t>61065 NEWFOUNDLAND AND LABRADOR INC</t>
  </si>
  <si>
    <t>WASSERSTEIN DEBT OPPORTUNITIES MASTER LP</t>
  </si>
  <si>
    <t>MORRISON FINANCIAL SERVICES LIMITED</t>
  </si>
  <si>
    <t>POLIURETANOS SW LEON SA DE CV</t>
  </si>
  <si>
    <t>ECOFIT NETWORKS INC</t>
  </si>
  <si>
    <t>NEUMA PERUS CONTRATISTA GENERALES S A C</t>
  </si>
  <si>
    <t>SUNSHINE MINTING INTERNATIONAL (SHANGHAI) CO LTD</t>
  </si>
  <si>
    <t>ENERVEST ENERGY INSTITUTIONAL FUND XIII A LP</t>
  </si>
  <si>
    <t>ENERVEST ENERGY INSTITUTIONAL FUND XIII WIB LP</t>
  </si>
  <si>
    <t>ENERVEST ENERGY INSTITUTIONAL FUND XIII WIC LP</t>
  </si>
  <si>
    <t>IG BEUTEL GOODMAN CANADIAN EQUITY CLASS</t>
  </si>
  <si>
    <t>IG AGF CANADIAN BALANCED FUND FIXED INCOME AGFI</t>
  </si>
  <si>
    <t>IG AGF CANADIAN BALANCED FUND</t>
  </si>
  <si>
    <t>IG CI CANADIAN BALANCED FUND</t>
  </si>
  <si>
    <t>AVALON OCEAN PRODUCTS INC</t>
  </si>
  <si>
    <t>AGRICOLA PAMPA BAJA SAC</t>
  </si>
  <si>
    <t>BRENTWOOD DISPLAY SERVICES LTD</t>
  </si>
  <si>
    <t>GRAHAM MACRO STRATEGIC LTD CDEA</t>
  </si>
  <si>
    <t>H. CHALUT LT¿E</t>
  </si>
  <si>
    <t>PARAMOUNT OPTIONS IN</t>
  </si>
  <si>
    <t>REDEEMER UNIVERSITY</t>
  </si>
  <si>
    <t>PHN LIFETIME 2050</t>
  </si>
  <si>
    <t>S.M.A.FUND INC.</t>
  </si>
  <si>
    <t>STOKES INC</t>
  </si>
  <si>
    <t>EXCO OPERATING COMPANY</t>
  </si>
  <si>
    <t>KEYERA ENERGY FACILITIES LTD</t>
  </si>
  <si>
    <t>ATLAS ENERGY OPERATING COMPANY LLC</t>
  </si>
  <si>
    <t>AMEREN CORPORATION</t>
  </si>
  <si>
    <t>ILLINOIS POWER COMPANY</t>
  </si>
  <si>
    <t>CENTRAL ILLINOIS LIGHT COMPANY</t>
  </si>
  <si>
    <t>FORTIS ENERGY MARKETING AND TRADING GP</t>
  </si>
  <si>
    <t>GASMAR</t>
  </si>
  <si>
    <t>CPPIB CREDIT INVESTMENT INC</t>
  </si>
  <si>
    <t>NORTHWESTERN CORPORATION</t>
  </si>
  <si>
    <t>THE BANK OF EAST ASIA (CHINA) LIMITED</t>
  </si>
  <si>
    <t>THE BANK OF EAST ASIA(CHINA)LTD</t>
  </si>
  <si>
    <t>MANULIFE VALUE BALANCED FUND-STRATEGIC INCOME SLEEVE</t>
  </si>
  <si>
    <t>MANULIFE VALUE BALANCED FUND CLASS</t>
  </si>
  <si>
    <t>MANULIFE GLOBAL MONTHLY HIGH INCOME FUND-FKA MANULIFE VALUE BALANCED FUND</t>
  </si>
  <si>
    <t>MANULIFE CANADIAN BOND FUND</t>
  </si>
  <si>
    <t>MANULIFE YIELD OPPORTUNITIES FUND</t>
  </si>
  <si>
    <t>MANULIFE GROWTH OPPORTUNITIES CLASS</t>
  </si>
  <si>
    <t>MARITIME LIFE CDN GROWTH FUND</t>
  </si>
  <si>
    <t>TYSON FOODS INC</t>
  </si>
  <si>
    <t>ADDENDA ACTIVE DURATION GOVERNMENT LONG BOND POOLED FUNDS</t>
  </si>
  <si>
    <t>ADDENDA CORPORATE LONG BOND POOLED FUNDS</t>
  </si>
  <si>
    <t>ADDENDA ACTIVE DURATION BOND POOLED FUND</t>
  </si>
  <si>
    <t>ADDENDA CORPORATE BOND POOLED FUND</t>
  </si>
  <si>
    <t>VCON_BLOCK_PARK_ETRADING</t>
  </si>
  <si>
    <t>MANULIFE ASSET MANAGEMENT LTD FAMILY OF FUNDS</t>
  </si>
  <si>
    <t>SHAWCOR LIMITED</t>
  </si>
  <si>
    <t>MINERA YANACOCHA S.R.L.</t>
  </si>
  <si>
    <t>SCHOTT AG</t>
  </si>
  <si>
    <t>BMO DISCOUNT BOND INDEX ETF</t>
  </si>
  <si>
    <t>BMO MSCI EUROPE HIGH QUALITY HEDGED TO CAD INDEX ETF</t>
  </si>
  <si>
    <t>BMO FLOATING RATE HIGH YIELD ETF</t>
  </si>
  <si>
    <t>BMO SHORT-TERM US IG CORPORATE BOND HEDGED TO CAD INDEX ETF</t>
  </si>
  <si>
    <t>9305-2363 QUEBEC INC</t>
  </si>
  <si>
    <t>MUSKOKA TEAK</t>
  </si>
  <si>
    <t>NCF FUNDING LLC</t>
  </si>
  <si>
    <t>DUQUESNE POWER LLC</t>
  </si>
  <si>
    <t>KGHM POLSKA MIEDZ SA</t>
  </si>
  <si>
    <t>KGHM POLSKA MIEDZ - S.A.</t>
  </si>
  <si>
    <t>KGHM POLSKA MIEDZ S.A</t>
  </si>
  <si>
    <t>KGHM POLSKA MIEDZ S.A.</t>
  </si>
  <si>
    <t>MUFG SECURITIES EMEA PLC LONDON</t>
  </si>
  <si>
    <t>MUFG Securities EMEA PLC</t>
  </si>
  <si>
    <t>LA MET SPA</t>
  </si>
  <si>
    <t>VOLKSWAGEN LEASING GMBH</t>
  </si>
  <si>
    <t>Account102</t>
  </si>
  <si>
    <t>CQS Directional Opportunities Master Fund Limited</t>
  </si>
  <si>
    <t>EASTGEN INCORPORATED</t>
  </si>
  <si>
    <t>POLIURETANOS SW SA DE CV</t>
  </si>
  <si>
    <t>CYMI II, LTD</t>
  </si>
  <si>
    <t>LANDESKREDITBANK BADEN WURTTEMBERG FORDERBANK</t>
  </si>
  <si>
    <t>L-BANK</t>
  </si>
  <si>
    <t>LOUIS DREYFUS COMPANY LLC</t>
  </si>
  <si>
    <t>LINCOLN NATIONAL LIFE INSURANCE COMPANY</t>
  </si>
  <si>
    <t>LINCOLN NATIONAL CORPORATION</t>
  </si>
  <si>
    <t>PETROSHALE US INC</t>
  </si>
  <si>
    <t>ERSTE ABWICKLUNGSANSTALT NOCSA</t>
  </si>
  <si>
    <t>ERSTE ABWICKLUNGSANSTALT</t>
  </si>
  <si>
    <t>LS CABLE &amp; SYSTEM LIMITED</t>
  </si>
  <si>
    <t>ENQUEST HEATHER LTD</t>
  </si>
  <si>
    <t>ENQUEST PLC</t>
  </si>
  <si>
    <t>IG AGF US GROWTH FUND</t>
  </si>
  <si>
    <t>MATALCO INC</t>
  </si>
  <si>
    <t>NEW GENERATION SEAFOOD LTD</t>
  </si>
  <si>
    <t>TRIPLE M METAL LP</t>
  </si>
  <si>
    <t>Triple M Metal LP</t>
  </si>
  <si>
    <t>ANGLO PLATINUM MARKETING LIMITED SINGAPORE BRANCH</t>
  </si>
  <si>
    <t>ANGLO PLATINUM MARKETING IMITED</t>
  </si>
  <si>
    <t>ANGLO PLATINUM MARKETING LIMITED</t>
  </si>
  <si>
    <t>ANGLO PLATINUM MARKETING LTD</t>
  </si>
  <si>
    <t>Sculptor Enhanced Master Fund  Ltd</t>
  </si>
  <si>
    <t>Sculptor Special Funding  LP</t>
  </si>
  <si>
    <t>SILVER WHEATON LUXEMBOURG SARL</t>
  </si>
  <si>
    <t>SILVER WHEATON LUXEMBOURG S.A.R.L</t>
  </si>
  <si>
    <t>SCOTIA CAPITAL (USA) INC.</t>
  </si>
  <si>
    <t>NEW YORK CME EXCHANGE</t>
  </si>
  <si>
    <t>CHICAGO MERCANTILE EXCHANGE INC.</t>
  </si>
  <si>
    <t>CHICAGO MERCANTILE EXCHANGE INC</t>
  </si>
  <si>
    <t>CHICAGO MERCANTILE EXCHANGE</t>
  </si>
  <si>
    <t>CME_SOLO</t>
  </si>
  <si>
    <t>Sculptor Master Fund  Ltd</t>
  </si>
  <si>
    <t>OZ MASTER FUND LTD</t>
  </si>
  <si>
    <t>DEGUSSA SONNE/MOND GOLDHANDEL GMBH</t>
  </si>
  <si>
    <t>Account10L</t>
  </si>
  <si>
    <t>EAGLE HYDROCARBONS INC</t>
  </si>
  <si>
    <t>BANCO SANTANDER CHILE</t>
  </si>
  <si>
    <t>BIG ROCK AMERICAS HIGH YIELD FUND LP</t>
  </si>
  <si>
    <t>CANSO SELECT OPPORTUNITIES FUND</t>
  </si>
  <si>
    <t>RASTALL TOOL CORP</t>
  </si>
  <si>
    <t>Marex Financial Ltd</t>
  </si>
  <si>
    <t>MAREX Financial Limited</t>
  </si>
  <si>
    <t>BMO DIVERSIFIED INCOME PORTFOLIO</t>
  </si>
  <si>
    <t>BMO GLOBAL GROWTH &amp; INCOME FUND</t>
  </si>
  <si>
    <t>MKS PRECIOUS METALS DMCC</t>
  </si>
  <si>
    <t>SILVERSTREAM SECZ</t>
  </si>
  <si>
    <t>OMERS Administration Corporation</t>
  </si>
  <si>
    <t>OMERS ADMINISTRATION CORPORATION</t>
  </si>
  <si>
    <t>POWERSHARES FUNDAMENTAL HIGH YIELD</t>
  </si>
  <si>
    <t>POWERSHARES CANADIAN PREF SHAR INDX</t>
  </si>
  <si>
    <t>POWERSHARES QQQ (CAD HEDGED) INDEX</t>
  </si>
  <si>
    <t>POWERSHARES SENIOR LOAN (CAD HEDGED</t>
  </si>
  <si>
    <t>POWERSHARES S AND P 500 HIGH BETA</t>
  </si>
  <si>
    <t>POWERSHARES FTSE RAFI US FUNDAMENTA</t>
  </si>
  <si>
    <t>POWERSHARES ULTRA LIQUID LONG TERM</t>
  </si>
  <si>
    <t>POWERSHARES US LOW VOLATILITY INDX</t>
  </si>
  <si>
    <t>POWERSHARES 1 TO 5 YR LADDERED INV</t>
  </si>
  <si>
    <t>PITBLADO LLP</t>
  </si>
  <si>
    <t>POWERSHARES CANADIAN LOW VOLATILITY</t>
  </si>
  <si>
    <t>PORTABLE PACKAGING SYSTEMS INC</t>
  </si>
  <si>
    <t>POWERSHARES S AND P TSX COMPOSITE</t>
  </si>
  <si>
    <t>POWERSHARES S AND P 500 LOW VOLATI</t>
  </si>
  <si>
    <t>POWERSHARES TACTICAL BOND ETF</t>
  </si>
  <si>
    <t>STIFEL NICOLAUS AND COMPANY INC CDEA</t>
  </si>
  <si>
    <t>RILPA ENTERPRISES LTD</t>
  </si>
  <si>
    <t>NRW BANK CDEA</t>
  </si>
  <si>
    <t>NRW BANK</t>
  </si>
  <si>
    <t>DZ BANK AG DEUTSCHE ZENTRAL - GENOSSENSCHAFTSBANK</t>
  </si>
  <si>
    <t>DZ BANK AG CDEA</t>
  </si>
  <si>
    <t>DZ BANK AG</t>
  </si>
  <si>
    <t>INTEL CORPORATION</t>
  </si>
  <si>
    <t>AN 2014 TRUST</t>
  </si>
  <si>
    <t>DEPOSITORY TRUST COMPANY OF DELAWARE LLC</t>
  </si>
  <si>
    <t>MANULIFE CANADIAN BOND PLUS FUND</t>
  </si>
  <si>
    <t>L1E FUNDING GMBH</t>
  </si>
  <si>
    <t>DYNAMIC CREDIT SPECTRUM FUND</t>
  </si>
  <si>
    <t>DYNAMIC INVESTMENT GRADE FLOATING RATE FUND</t>
  </si>
  <si>
    <t>DYNAMIC PREFERRED YIELD CLASS</t>
  </si>
  <si>
    <t>DYNAMIC REAL ESTATE AND INFRASTRUCTURE INCOME FUND</t>
  </si>
  <si>
    <t>DYNAMIC REAL ESTATE AND INFASTRUCTURE INCOME FUND</t>
  </si>
  <si>
    <t>DYNAMIC US MONTHLY INCOME FUND</t>
  </si>
  <si>
    <t>DYNAMIC US VALUE BALANCED FUND</t>
  </si>
  <si>
    <t>SCOTIA FLOATING RATE INCOME FUND</t>
  </si>
  <si>
    <t>SCOTIABANK SHORT TERM INCOME FUND</t>
  </si>
  <si>
    <t>CI CANADIAN SMALL MID CAP FUND INT</t>
  </si>
  <si>
    <t>CI CANADIAN SMALL MID CAP FUND - 9023DD</t>
  </si>
  <si>
    <t>CI CANADIAN SMALL MID CAP FUND - 9023</t>
  </si>
  <si>
    <t>PICTON MAHONEY ASSET MANAGEMENT, MANAGED FUNDS</t>
  </si>
  <si>
    <t>PICTON MAHONEY ASSET MANAGEMENT (AS AGENT)</t>
  </si>
  <si>
    <t>SYNERGY AMERICAN CORPORATE CLASS</t>
  </si>
  <si>
    <t>SYNERGY AMERICAN FUND</t>
  </si>
  <si>
    <t>SYNERGY CANADIAN CORP CLASS USD</t>
  </si>
  <si>
    <t>SYNERGY CANADIAN CORP CLASS</t>
  </si>
  <si>
    <t>SYNERGY CANADIAN CORP CLASS CAD</t>
  </si>
  <si>
    <t>SYNERGY CANADIAN CORP CLASS INT</t>
  </si>
  <si>
    <t>DYNAMIC POWER GLOBAL GROWTH CLASS</t>
  </si>
  <si>
    <t>SYNERGY GLOBAL CORPORATE CLASS USD</t>
  </si>
  <si>
    <t>SYNERGY GLOBAL CORPORATE CLASS INTERNATIONAL</t>
  </si>
  <si>
    <t>SYNERGY GLOBAL CORPORATE CLASS</t>
  </si>
  <si>
    <t>BARCLAYS BANK PLC</t>
  </si>
  <si>
    <t>BARCLAYS BANK PLC GLOBAL EQUITY FINANCE</t>
  </si>
  <si>
    <t>BARCLAYS BANK PLC (SSIF)</t>
  </si>
  <si>
    <t>BARCLAYS BANK PLC-SBE</t>
  </si>
  <si>
    <t>Barclays Bank PLC</t>
  </si>
  <si>
    <t>BARCLAYS BK PLC</t>
  </si>
  <si>
    <t>BARCLAYS BANK PLC CLEARING ACCOUNT</t>
  </si>
  <si>
    <t>BARCLAYS BANK ALLOCATED ACCOUNT</t>
  </si>
  <si>
    <t>BARCLAYS BANK PLC AND OR THEIR</t>
  </si>
  <si>
    <t>BARCLAYS BANK PLC HONG KONG</t>
  </si>
  <si>
    <t>BARCLAYS BANK PLC TOKYO</t>
  </si>
  <si>
    <t>BARCLAYS BANK PLC-SEOUL (ASIA PACIFIC RIM)</t>
  </si>
  <si>
    <t>BARCLAYS BANK  PLC NEW YORK</t>
  </si>
  <si>
    <t>BARCLAYS BANK PLC LONDON-SIF</t>
  </si>
  <si>
    <t>BARCLAYS BANK PLC-LONDON- (ASIA PACIFIC RIM)</t>
  </si>
  <si>
    <t>BARCLAYS BANK PLC LONDON 60095</t>
  </si>
  <si>
    <t>BARCLAYS BANK PLC  NEW YORK</t>
  </si>
  <si>
    <t>BARCLAYS BANK PLC  LONDON</t>
  </si>
  <si>
    <t>BARCLAYS BANK PLC (COLLATERAL)</t>
  </si>
  <si>
    <t>BARCLAYS BANK PLC. LONDON FX</t>
  </si>
  <si>
    <t>BARCLAYS BANK PLC NEW YORK</t>
  </si>
  <si>
    <t>BARCLAYS BANK PLC LONDON</t>
  </si>
  <si>
    <t>BARCLAYS BANK PLC (BNS MUMBAI)</t>
  </si>
  <si>
    <t>BARCLAYS BANK PLC SEOUL</t>
  </si>
  <si>
    <t>BARCLAYS BANK PLC RED KITE FUND</t>
  </si>
  <si>
    <t>Barclays Bank Plc</t>
  </si>
  <si>
    <t>BARCLAYS BANK  PLC LONDON</t>
  </si>
  <si>
    <t>BARCLAYS BANK PLC REPOS</t>
  </si>
  <si>
    <t>COMPANIA MINERA QUIRUVILCA S.A.</t>
  </si>
  <si>
    <t>VANTAGE ENERGY INC</t>
  </si>
  <si>
    <t>CC&amp;L Q 130/30 FUND II</t>
  </si>
  <si>
    <t>CC AND L Q 130 30 FUND II (RBC IS)</t>
  </si>
  <si>
    <t>CC&amp;L Q 130/30 Fund II</t>
  </si>
  <si>
    <t>BANCO BILBAO VIZCAYA ARGENTARIA S.A.</t>
  </si>
  <si>
    <t>BANCO BILBAO VIZCAYA ARGENTARIA SA NEW YORK</t>
  </si>
  <si>
    <t>BANCO BILBAO VIZCAYA ARGENTARIA S.A.  (MADRID)</t>
  </si>
  <si>
    <t>BANCO BILBAO VIZCAYA ARGENTARIA SA</t>
  </si>
  <si>
    <t>Banco Bilbao Vizcaya Argentinaria S.A.</t>
  </si>
  <si>
    <t>GLENCORE INTERNATIONAL AG</t>
  </si>
  <si>
    <t>EUROPEAN INVESTMENT BANK</t>
  </si>
  <si>
    <t>DSM FARMS LTD GROUP</t>
  </si>
  <si>
    <t>European Investment Bank</t>
  </si>
  <si>
    <t>EDINBURGH AIRPORT LIMITED</t>
  </si>
  <si>
    <t>PREMIER OIL HOLDINGS LTD</t>
  </si>
  <si>
    <t>BTG PACTUAL COMMODITIES (S'PORE)</t>
  </si>
  <si>
    <t>BTG PACTUAL COMMODITIES (SINGAPORE) PTE LIMITED</t>
  </si>
  <si>
    <t>IG FI CANADIAN EQUITY CLASS</t>
  </si>
  <si>
    <t>IG MACKENZIE IVY EUROPEAN CLASS III</t>
  </si>
  <si>
    <t>PETROAMERICA OIL CORP CANADA BASED</t>
  </si>
  <si>
    <t>TRATTAMENTI CENERI AUROARGENTIFERE SPA</t>
  </si>
  <si>
    <t>TCA TRATTAMENTI CENERI AUROARGENTIFERE SPA</t>
  </si>
  <si>
    <t>TCA TRATTMENTI CENERI AUROGENIFORE SPA</t>
  </si>
  <si>
    <t>TRATTAMENTI CENERI AUROARGENTIFERE SPA HQ</t>
  </si>
  <si>
    <t>T C A TRATTAMENTI CENERI AURARGENTIFORE SPA</t>
  </si>
  <si>
    <t>T C A TRATTAMENTI CENERI AURARGENTIFORE</t>
  </si>
  <si>
    <t>BTG PACTUAL US LLC</t>
  </si>
  <si>
    <t>TEXTIL ONLY STAR</t>
  </si>
  <si>
    <t>DARCOR LIMITED</t>
  </si>
  <si>
    <t>INVESTORS INCOME PLUS PORTFOLIO ACT</t>
  </si>
  <si>
    <t>INTL FCSTONE (EUROPE) LTD</t>
  </si>
  <si>
    <t>INTL FCSTONE LTD</t>
  </si>
  <si>
    <t>Stone X Financial Ltd</t>
  </si>
  <si>
    <t>INTL FC STONE LIMITED</t>
  </si>
  <si>
    <t>StoneX Financial Ltd</t>
  </si>
  <si>
    <t>OMNICOM FINANCE PLC</t>
  </si>
  <si>
    <t>PETROSHALE INC</t>
  </si>
  <si>
    <t>INVESTORS RETIREMENT GROWTH PORTFOLIO ACTIVELY MANAGED</t>
  </si>
  <si>
    <t>INVESTORS RETIREMENT PLUS PORTFOLIO ACTIVELY MANAGED</t>
  </si>
  <si>
    <t>MINERA MEDIA LUNA S A DE C V</t>
  </si>
  <si>
    <t>MINERA MEDIA LUNA, S.A. DE C.V.</t>
  </si>
  <si>
    <t>MINERA MEDIA LUNA S.A. DE C.V.</t>
  </si>
  <si>
    <t>CALGARY STAMPEDERS 2012 LTD PARTNER</t>
  </si>
  <si>
    <t>URG GRAPHICS INC</t>
  </si>
  <si>
    <t>ALLEGRO BALANCED PORTFOLIO CLASS</t>
  </si>
  <si>
    <t>INVESTORS GROWTH PORTFOLIO ACTIVELY MANAGED</t>
  </si>
  <si>
    <t>NALCOR ENERGY MARKETING CORPORATION</t>
  </si>
  <si>
    <t>SLAVINRAPHAEL DISTRIBUTION INC</t>
  </si>
  <si>
    <t>ALFRED H. KNIGHT NORTH AMERICA LTD</t>
  </si>
  <si>
    <t>DYNAMIC SHORT TERM BOND FUND</t>
  </si>
  <si>
    <t>DYNAMIC GLOBAL BALANCED FUND</t>
  </si>
  <si>
    <t>DYNAMIC GLOBAL EQUITY FUND</t>
  </si>
  <si>
    <t>MUSKRAT FALLS CORPORATION</t>
  </si>
  <si>
    <t>LAZARD GLOBAL CREDIT II FUND</t>
  </si>
  <si>
    <t>IG FI CANADIAN EQUITY FUND</t>
  </si>
  <si>
    <t>IG BEUTEL GOODMAN CANADIAN SMALL CAP FUND</t>
  </si>
  <si>
    <t>KELLAS MIDSTREAM LIMITED</t>
  </si>
  <si>
    <t>Jefferies International PLC</t>
  </si>
  <si>
    <t>WESTERN PETROLEUM NEWFOUNDLAND LIMITED</t>
  </si>
  <si>
    <t>LL GROWTH AND INCOME US EQUITY AGFI</t>
  </si>
  <si>
    <t>LL GROWTH AND INCOME FIXED INCOME AGFI</t>
  </si>
  <si>
    <t>LL GROWTH AND INCOME GLOBAL CORE EQUITY AGFI</t>
  </si>
  <si>
    <t>LL GROWTH AND INCOME CANADIAN EQUITY HIGHSTREET</t>
  </si>
  <si>
    <t>LL GROWTH AND INCOME</t>
  </si>
  <si>
    <t>IPROFILE EMERGING MARKETS POOL</t>
  </si>
  <si>
    <t>IPROFILE INTERNATIONAL EQUITY POOL</t>
  </si>
  <si>
    <t>INNOTECH NUTRITION SOLUTIONS LTD</t>
  </si>
  <si>
    <t>BRED BANQUE POPULAIRE PARIS</t>
  </si>
  <si>
    <t>PETROAMERICA RESOURCES INTERNATIONAL COLOMBIA CORP SUCURSAL</t>
  </si>
  <si>
    <t>PETROAMERICA INTERNATIONAL COLOMBIA CORP</t>
  </si>
  <si>
    <t>MARSIA FOODS INC</t>
  </si>
  <si>
    <t>DEUTSCHE BUNDESBANK</t>
  </si>
  <si>
    <t>ENHANCED INCOME POOL AA</t>
  </si>
  <si>
    <t>ENHANCED INCOME POOL</t>
  </si>
  <si>
    <t>MAPLE LEAF BUILDING SUPPLIES LTD</t>
  </si>
  <si>
    <t>PICTON MAHONEY SPECIAL SITUATIONS FUND</t>
  </si>
  <si>
    <t>KOREA INVESTMENT &amp; SECURITIES CO. LTD</t>
  </si>
  <si>
    <t>BARRICK GOLD CORPORATION</t>
  </si>
  <si>
    <t>PORCUPINE WOOD PRODUCTS LTD</t>
  </si>
  <si>
    <t>PORCUPINE WOOD PRODUCTS LTD.</t>
  </si>
  <si>
    <t>CO-OPERATIVE BANK PLC</t>
  </si>
  <si>
    <t>ALIMENTATION COUCHE TARD INC</t>
  </si>
  <si>
    <t>ALIMENTATION COUCHE-TARD INC.</t>
  </si>
  <si>
    <t>ALCAN PRIMARY PRODUCTS  COMPANY  LLC</t>
  </si>
  <si>
    <t>PICTOR HODINGS CORPORATION</t>
  </si>
  <si>
    <t>PETROAMERICA INTERNATIONAL CORP CANADA BASED</t>
  </si>
  <si>
    <t>PETROAMERICA INTERNATIONAL CORP BARBADOS BASED</t>
  </si>
  <si>
    <t>MD BOND FUND</t>
  </si>
  <si>
    <t>MDPIM SHORT-TERM BOND POOL</t>
  </si>
  <si>
    <t>MDPIM CANADIAN LONG TERM BOND POOL</t>
  </si>
  <si>
    <t>HOWSON TATTERSALL CANADIAN BOND POOL</t>
  </si>
  <si>
    <t>DAIMLER SOUTH EAST ASIA PTE LTD</t>
  </si>
  <si>
    <t>INVERSIONES INTERAMERICANAS</t>
  </si>
  <si>
    <t>WORKERS COMPENSATION BOARD OF ALBERTA (WCB ALBERTA)</t>
  </si>
  <si>
    <t>DOMINION ENERGY GAS HOLDINGS LLC</t>
  </si>
  <si>
    <t>INKA TERRA PERU SAC</t>
  </si>
  <si>
    <t>UNIVERSITY OF TORONTO MASTER TRUST</t>
  </si>
  <si>
    <t>ADVANCED CHEMICAL COMPANY</t>
  </si>
  <si>
    <t>RELIANCE EAGLEFORD UPSTREAM HOLDING LP</t>
  </si>
  <si>
    <t>FGF BRANDS INC</t>
  </si>
  <si>
    <t>FGF BRANDS INC.</t>
  </si>
  <si>
    <t>FORTUNE BRANDS HOME AND SECURITY INC</t>
  </si>
  <si>
    <t>NBIMC EXTERNAL INTERNATIONAL EQUITY FUND</t>
  </si>
  <si>
    <t>NBIMC LOW VOLATILITY CANADIAN EQUITY FUND</t>
  </si>
  <si>
    <t>IG MACKENZIE FLOATING RATE INCOME FUND</t>
  </si>
  <si>
    <t>WESTFIELD UK AND EUROPE FINANCE PLC</t>
  </si>
  <si>
    <t>WESTFIELD UK &amp; EUROPE FINANCE PLC</t>
  </si>
  <si>
    <t>BANK OF N.T. BUTTERFIELD &amp; SON LTD.</t>
  </si>
  <si>
    <t>BANK OF NT BUTTERFIELD &amp; SON LIMITED</t>
  </si>
  <si>
    <t>BERKSHIRE HATHAWAY ENERGY CO.</t>
  </si>
  <si>
    <t>NBIMC CANADIAN EQUITY INDEX FUND</t>
  </si>
  <si>
    <t>CSC COVANSYS CORPORATION</t>
  </si>
  <si>
    <t>AGF STRATEGIC INCOME FUND</t>
  </si>
  <si>
    <t>AGF STRATEGIC INCOME FUND (U.S. EQUITY)</t>
  </si>
  <si>
    <t>AGF STRATEGIC INCOME FUND (GLOBAL CORE EQUITY - AGFI)</t>
  </si>
  <si>
    <t>AGF STRATEGIC INCOME FUND (FIXED INCOME - AGFI)</t>
  </si>
  <si>
    <t>AGF STRATEGIC INCOME FUND (CANADIAN EQUITY - HIGHSTREET)</t>
  </si>
  <si>
    <t>MALCA-AMIT USA LLC</t>
  </si>
  <si>
    <t>MALCA AMIT COMMODITIES LTD</t>
  </si>
  <si>
    <t>BUDMARK TEXTILES INTERNATIONAL INC.</t>
  </si>
  <si>
    <t>SHOPPERS DRUG MART CORPORATION</t>
  </si>
  <si>
    <t>DYNAMIC DIVERSIFIED REAL ASSET FUND</t>
  </si>
  <si>
    <t>G3 CORP</t>
  </si>
  <si>
    <t>CALIFORNIA RESOURCES CORPORATION</t>
  </si>
  <si>
    <t>DEUTSCHE BANK AG FRANKFURT</t>
  </si>
  <si>
    <t>DEUTSCHE BANK AG-NEW YORK- (ASIA PACIFIC RIM)</t>
  </si>
  <si>
    <t>DEUTSCHE BANK AG SEOUL(ASIA PACIFIC RIM)</t>
  </si>
  <si>
    <t>DEUTSCHE BANK AG-SINGAPORE- (ASIA PACIFIC RIM)</t>
  </si>
  <si>
    <t>DEUTSCHE BANK AG (STF)</t>
  </si>
  <si>
    <t>DEUTSCHE BANK AG CANADA BRANCH</t>
  </si>
  <si>
    <t>DEUTSCHE BANK AG SYDNEY (AUSTRALIA)</t>
  </si>
  <si>
    <t>DEUTSCHE BANK A.G. NEW YORK</t>
  </si>
  <si>
    <t>DEUTSCHE BANK AG</t>
  </si>
  <si>
    <t>DEUTSCHE BANK AG SEOUL</t>
  </si>
  <si>
    <t>DEUTSCHE BANK (THANACHART)</t>
  </si>
  <si>
    <t>DEUTSCHE BANK AG FIX MEXICO</t>
  </si>
  <si>
    <t>DEUTSCHE BANK</t>
  </si>
  <si>
    <t>DEUTSCHE BANK AG-SBE</t>
  </si>
  <si>
    <t>DEUTSCHE BANK AG GLOBAL EQUITY FINANCE</t>
  </si>
  <si>
    <t>DEUTSCHE BANK AG  NEW YORK</t>
  </si>
  <si>
    <t>DEUTSCHE BANK  AG  NEW YORK</t>
  </si>
  <si>
    <t>Deutsche Bank AG</t>
  </si>
  <si>
    <t>DEUTSCHE BANK A.G.</t>
  </si>
  <si>
    <t>DEUTSCHE BK AG SINGAPORE</t>
  </si>
  <si>
    <t>Deutsche Bank AG Global Equity Finance</t>
  </si>
  <si>
    <t>DEUTSCHE BANK AG TOKYO (JAPAN)</t>
  </si>
  <si>
    <t>DEUTSCHE BANK AG GRAND CAYMAN</t>
  </si>
  <si>
    <t>DEUTSCHE BANK AG PARIS (FRANCE)</t>
  </si>
  <si>
    <t>DEUTSCHE BANK AG BRUSSELS (BELGIUM)</t>
  </si>
  <si>
    <t>DEUTSCHE BANK AG NASSAU (BAHAMAS)</t>
  </si>
  <si>
    <t>DEUTSCHE BANK LONDON.</t>
  </si>
  <si>
    <t>DEUTSCHE BANK FRANKFURT-SIF</t>
  </si>
  <si>
    <t>DEUTSCHE BANK AG NEW YORK 60095</t>
  </si>
  <si>
    <t>Deutsche Bank</t>
  </si>
  <si>
    <t>DEUTSCHE BANK AG NEW YORK</t>
  </si>
  <si>
    <t>DEUTSCHE BANK AG BANGKOK</t>
  </si>
  <si>
    <t>DEUTSCHE BANK AG HONG KONG</t>
  </si>
  <si>
    <t>DEUTSCHE BANK  HQ</t>
  </si>
  <si>
    <t>CHENS REAL ESTATE CORP GROUP</t>
  </si>
  <si>
    <t>THE MANGROVE PARTNERS MASTER FUND LTD</t>
  </si>
  <si>
    <t>SBI INTERNATIONAL SAVOIE AND BOUDRE</t>
  </si>
  <si>
    <t>HOLLAND BLOORVIEW KIDS REHABILITATI</t>
  </si>
  <si>
    <t>GESTION DE SERVICIOS AMBIENTALES SAC</t>
  </si>
  <si>
    <t>PAPELERA DEL SUR SA</t>
  </si>
  <si>
    <t>TIFFANY SWITZERLAND WATCH COMPANY SAGL</t>
  </si>
  <si>
    <t>AXENS SA</t>
  </si>
  <si>
    <t>BNP PARIBAS SECURITIES SERVICES</t>
  </si>
  <si>
    <t>IRPC PUBLIC COMPANY LIMITED</t>
  </si>
  <si>
    <t>E D &amp; F MAN CAPITAL MARKETS LIMITED</t>
  </si>
  <si>
    <t>ED &amp; F Man Commodity Advisers Limited</t>
  </si>
  <si>
    <t>TONGLING NONFERROUS METALS GROUP CO LTD</t>
  </si>
  <si>
    <t>Triland Metals Ltd</t>
  </si>
  <si>
    <t>TRILAND METALS LIMITED</t>
  </si>
  <si>
    <t>NATIONAL AUSTRALIA BANK LIMITED   TOKYO</t>
  </si>
  <si>
    <t>NATIONAL AUSTRALIA BANK</t>
  </si>
  <si>
    <t>NAB</t>
  </si>
  <si>
    <t>NATIONAL AUSTRALIA BANK LTD.</t>
  </si>
  <si>
    <t>NATIONAL AUSTRALIA BANK LTD MELBOURNE</t>
  </si>
  <si>
    <t>NATIONAL AUSTRALIA BANK LTD LONDON</t>
  </si>
  <si>
    <t>NATIONAL AUSTRALIA BANK LIMITED   NEW YORK</t>
  </si>
  <si>
    <t>NATIONAL AUSTRALIA BANK LIMITED (REPOS)</t>
  </si>
  <si>
    <t>NATIONAL AUSTRALIA BANK LTD</t>
  </si>
  <si>
    <t>LME CLEAR LIMITED MEMBER DEFAULT FUND</t>
  </si>
  <si>
    <t>LME CLEAR LIMITED</t>
  </si>
  <si>
    <t>ARQIVA FINANCING NUMBER 1 LIMITED</t>
  </si>
  <si>
    <t>PACIFIC INVESTMENT MANAGEMENT COMPANY LLC, SOLELY IN ITS CAPACITY AS ADVISOR ON BEHALF OF  THE TRUSTEES OF THE WESTLB UK PENSION PLAN</t>
  </si>
  <si>
    <t>WILPRIDE LLC</t>
  </si>
  <si>
    <t>VORWERK AND CO KG</t>
  </si>
  <si>
    <t>9133 7907 QUEBEC INC</t>
  </si>
  <si>
    <t>GUARDIAN U.S. EQUITY FUND</t>
  </si>
  <si>
    <t>GUARDIAN EQUITY INCOME FUND</t>
  </si>
  <si>
    <t>956190 ONTARIO INC OA CANADIAN SPA</t>
  </si>
  <si>
    <t>MEDIQUE USA (MGCR) INC.</t>
  </si>
  <si>
    <t>SOLVEST LTD. (BERMUDA)</t>
  </si>
  <si>
    <t>CARBAJALES UNIDOS SAC</t>
  </si>
  <si>
    <t>HIDROSTAL SA</t>
  </si>
  <si>
    <t>MANULIFE GLOBAL STRATEGIC BALANCED</t>
  </si>
  <si>
    <t>MANULIFE GLOBL STRAT BAL YLD FD GLO</t>
  </si>
  <si>
    <t>MANULIFE GLOBAL STRATEGIC BALANCED YIELD FUND FIXED INCOME SLEEVE</t>
  </si>
  <si>
    <t>MANULIFE GLOBAL STRATEGIC BAL YLD F</t>
  </si>
  <si>
    <t>MANULIFE GLOBAL STRATEGIC BALANCED YIELD FUND-US FIXED INCOME</t>
  </si>
  <si>
    <t>Royal Bank of Canada Europe Limited</t>
  </si>
  <si>
    <t>RBC EUROPE LTD</t>
  </si>
  <si>
    <t>RBC Europe Ltd  RBC Barbados</t>
  </si>
  <si>
    <t>NEI CANADIAN BOND FUND</t>
  </si>
  <si>
    <t>WSIB INVESTMENTS (PUBLIC EQUITIES) POOLED FUND TRUST</t>
  </si>
  <si>
    <t>ONE - THE PUBLIC SECTOR GROUP OF FUNDS</t>
  </si>
  <si>
    <t>CITY OF HAMILTON MASTER TRUST FUND</t>
  </si>
  <si>
    <t>GUARDIAN CANADIAN EQUITY FUND</t>
  </si>
  <si>
    <t>GUARDIAN CANADIAN GROWTH EQUITY FUND</t>
  </si>
  <si>
    <t>GEM FIXED INCOME POOL</t>
  </si>
  <si>
    <t>INTEGRAL GROUP CONSULTING BC LLP</t>
  </si>
  <si>
    <t>SUNRISE COLONY GRAIN AND LIVESTOCK</t>
  </si>
  <si>
    <t>AMES ADVANCED MATERIALS CORPORATION</t>
  </si>
  <si>
    <t>VCL MULTI COMPARTMENT S A  COMPARTMENT VCL 34</t>
  </si>
  <si>
    <t>TECK METALS LTD.</t>
  </si>
  <si>
    <t>TECK METALS LIMITED</t>
  </si>
  <si>
    <t>MANULIFE ASSET MANAGEMENT GLOBAL SM</t>
  </si>
  <si>
    <t>NEW BRUNSWICK INVESTMENT MANAGEMENT CORPORATION AS TRUSTEE NBIMC CANADIAN REAL ESTATE INVESTMENT TRUST FUND</t>
  </si>
  <si>
    <t>BLACKSTONE/GSO SENIOR FLOATING RATE TERM FUND</t>
  </si>
  <si>
    <t>INGRAM MICRO LUXEMBOURG SARL</t>
  </si>
  <si>
    <t>TIFFANY AND COMPANY</t>
  </si>
  <si>
    <t>TIFFANY &amp; CO.</t>
  </si>
  <si>
    <t>IRVING PULP AND PAPER LIMITED</t>
  </si>
  <si>
    <t>IRVING PULP &amp; PAPER LIMITED</t>
  </si>
  <si>
    <t>IRVING PAPER LIMITED</t>
  </si>
  <si>
    <t>MANULIFE GLOBAL DIVIDEND FUND</t>
  </si>
  <si>
    <t>BMO SELECTCLASS BALANCED PORTFOLIO</t>
  </si>
  <si>
    <t>BMO SELECTTRUST BALANCED PORTFOLIO</t>
  </si>
  <si>
    <t>BMO SELECTCLASS GROWTH PORTFOLIO</t>
  </si>
  <si>
    <t>BMO SELECTTRUST CONSERVATIVE PORTFOLIO</t>
  </si>
  <si>
    <t>BMO SELECTTRUST FIXED INCOME PORTFOLIO</t>
  </si>
  <si>
    <t>BMO SELECTTRUST GROWTH PORTFOLIO</t>
  </si>
  <si>
    <t>BMO SELECTTRUST INCOME PORTFOLIO</t>
  </si>
  <si>
    <t>BMO BALANCED ETF PORTFOLIO</t>
  </si>
  <si>
    <t>BMO BALANCED ETF PORTFOLIO CLASS</t>
  </si>
  <si>
    <t>BMO GROWTH ETF PORTFOLIO CLASS</t>
  </si>
  <si>
    <t>BMO GROWTH ETF PORTFOLIO</t>
  </si>
  <si>
    <t>BMO CONSERVATIVE ETF PORTFOLIO</t>
  </si>
  <si>
    <t>BMO FIXED INCOME ETF PORTFOLIO</t>
  </si>
  <si>
    <t>BMO INCOME ETF PORTFOLIO CLASS</t>
  </si>
  <si>
    <t>BMO INCOME ETF PORTFOLIO</t>
  </si>
  <si>
    <t>PEEL PORTS LIMITED GROUP</t>
  </si>
  <si>
    <t>VITOL INC</t>
  </si>
  <si>
    <t>PRR TRUST</t>
  </si>
  <si>
    <t>NOBLE RESOURCES UK LIMITED</t>
  </si>
  <si>
    <t>NATIONAL BANK OF UKRAINE</t>
  </si>
  <si>
    <t>BANCA POPOLARE DEL ETRURIA ET</t>
  </si>
  <si>
    <t>RBC INTERNATIONAL EQUITY CURRENCY NEUTRAL FUND</t>
  </si>
  <si>
    <t>GARFIN ZEIDENBERG</t>
  </si>
  <si>
    <t>ARGEX LIMITED</t>
  </si>
  <si>
    <t>RBC QUBE LOW VOLATILITY ALL COUNTRY WORLD EQUITY FUND</t>
  </si>
  <si>
    <t>OCEAN HARVEST SEAFOODS</t>
  </si>
  <si>
    <t>NEYASKWEYAHK TRUST</t>
  </si>
  <si>
    <t>K.C. ALBERTA LTD.</t>
  </si>
  <si>
    <t>THE WEIR GROUP PLC</t>
  </si>
  <si>
    <t>AURAMET INTERNATIONAL LLC</t>
  </si>
  <si>
    <t>EQB COVERED BOND (LEGISLATIVE) GUARANTOR LIMITED PARTNERSHIP</t>
  </si>
  <si>
    <t>AFRICAN DEVELOPMENT BANK</t>
  </si>
  <si>
    <t>STONE TIGER  INVESTMENTS LTD</t>
  </si>
  <si>
    <t>GMP SECURITIES L.P.</t>
  </si>
  <si>
    <t>DYNAMIC ADVANTAGE BOND CLASS</t>
  </si>
  <si>
    <t>DYNAMIC ALTERNATIVE YIELD FUND</t>
  </si>
  <si>
    <t>DYNAMIC CAN EQUITY PRIV POOL CLASS</t>
  </si>
  <si>
    <t>DYNAMIC CANADIAN EQUITY PRIVATE  POOL CLASS</t>
  </si>
  <si>
    <t>ROCKTECH LP</t>
  </si>
  <si>
    <t>ORIGEN 2007 A</t>
  </si>
  <si>
    <t>ORIGEN 2007 B</t>
  </si>
  <si>
    <t>ORIGEN 2006 A</t>
  </si>
  <si>
    <t>CITIGROUP COMMERCIAL MORTGAGE TRUST 2007 C6 A4FL</t>
  </si>
  <si>
    <t>COBALT 2007 C2 AJFL</t>
  </si>
  <si>
    <t>DYNAMIC CORPORATE BOND STRATEGIES CLASS</t>
  </si>
  <si>
    <t>DYNAMIC CORP BOND STRAT FUND</t>
  </si>
  <si>
    <t>DYNAMIC GLOBAL INFRASTRUCTURE FUND</t>
  </si>
  <si>
    <t>DYNAMIC GLOBAL YIELD PRIV POOL</t>
  </si>
  <si>
    <t>DYNAMIC GLOBAL YIELD PRIVATE POOL</t>
  </si>
  <si>
    <t>DYNAMIC GLOBAL YIELD PRIVATE POOL CLASS</t>
  </si>
  <si>
    <t>DYNAMIC GLOBAL YIELD PRIV POOL CLAS</t>
  </si>
  <si>
    <t>DYNAMIC PREMIUM YIELD FUND</t>
  </si>
  <si>
    <t>THE ROYAL BANK OF CANADA</t>
  </si>
  <si>
    <t>THE ROYAL BANK OF CANADA SYDNEY (AUSTRALIA)</t>
  </si>
  <si>
    <t>THE ROYAL BANK OF CANADA MONTREAL</t>
  </si>
  <si>
    <t>THE ROYAL BANK OF CANADA (TREAS)</t>
  </si>
  <si>
    <t>THE ROYAL BANK OF CANADA NEW YORK</t>
  </si>
  <si>
    <t>ROYAL BANK OF CANADA NEW YORK</t>
  </si>
  <si>
    <t>ROYAL BANK OF CANADA SYDNEY (AUSTRALIA)</t>
  </si>
  <si>
    <t>ROYAL BANK OF CANADA</t>
  </si>
  <si>
    <t>ROYAL BANK OF CANADA, THE</t>
  </si>
  <si>
    <t>THE ROYAL BANK OF CANADA GLOBAL EQUITY FINANCE</t>
  </si>
  <si>
    <t>THE ROYAL BANK OF CANADA (STF)</t>
  </si>
  <si>
    <t>THE ROYAL BANK OF CANADA TORONTO 60095</t>
  </si>
  <si>
    <t>THE ROYAL BANK OF CANADA TORONTO.</t>
  </si>
  <si>
    <t>THE ROYAL BANK OF CANADA LONDON</t>
  </si>
  <si>
    <t>The Royal Bank of Canada Toronto</t>
  </si>
  <si>
    <t>ROYAL BANK OF CDA</t>
  </si>
  <si>
    <t>ROYAL BANK OF CANADA MONTREAL</t>
  </si>
  <si>
    <t>ROYAL BANK OF CANADA LONDON</t>
  </si>
  <si>
    <t>JOHN HOPKINSON AND ASSOCIATES LTD</t>
  </si>
  <si>
    <t>TRIMBLE EUROPE BV</t>
  </si>
  <si>
    <t>CLAIRVEST EQUITY PARTNERS V LIMITED PARTNERSHIP</t>
  </si>
  <si>
    <t>ADVANCED TECH MATERIALS TRADING CRP</t>
  </si>
  <si>
    <t>WARATAH ONE LIMITED PARTNERSHIP</t>
  </si>
  <si>
    <t>WARATAH ONE OFFSHORE MASTER FUND L.P.</t>
  </si>
  <si>
    <t>WARATAH PERFORMANCE LIMITED PARTNERSHIP</t>
  </si>
  <si>
    <t>IMKT DIRECT SOLUTIONS CORPORATION</t>
  </si>
  <si>
    <t>SAGEN MORTGAGE INSURANCE COMPANY CANADA</t>
  </si>
  <si>
    <t>GENWORTH FINANCIAL MORTGAGE INSURANCE COMPANY CANADA</t>
  </si>
  <si>
    <t>RBC QUANT EMERGING MARKETS DIVIDEND LEADERS ETF</t>
  </si>
  <si>
    <t>MIDATLANTIC MINERALS INC</t>
  </si>
  <si>
    <t>DYNAMIC STRATEGIC ENERGY CLASS</t>
  </si>
  <si>
    <t>DYNAMIC US EQ PRIV POOL CLASS</t>
  </si>
  <si>
    <t>DYNAMIC US EQUITY PRIVATE POOL CLASS</t>
  </si>
  <si>
    <t>DYNAMIC US DIVIDEND ADVANTAGE FUND</t>
  </si>
  <si>
    <t>DYNAMIC U.S. DIVIDEND ADVANTAGE FUND</t>
  </si>
  <si>
    <t>MARQUIS INSTITUTIONAL BOND PORTFOLIO</t>
  </si>
  <si>
    <t>MARQUIS INSTITUTIONAL BALANCED PORTFOLIO</t>
  </si>
  <si>
    <t>SCOTIA CAN CORP BOND FUND</t>
  </si>
  <si>
    <t>SCOTIA PRIVATE CANADIAN CORPORATE BOND POOL</t>
  </si>
  <si>
    <t>SCOTIA PRIVATE REAL ESTATE INCOME POOL</t>
  </si>
  <si>
    <t>CROWN AMERICAS LLC</t>
  </si>
  <si>
    <t>TECH DATA CANADA CORPORATION</t>
  </si>
  <si>
    <t>LONDON FOODS LTD.</t>
  </si>
  <si>
    <t>BABY GOURMET FOODS INC</t>
  </si>
  <si>
    <t>MANHEIM AUTO AUCTIONS COMPANY</t>
  </si>
  <si>
    <t>RBC QUANT EUROPEAN DIVIDEND LEADERS</t>
  </si>
  <si>
    <t>AGF TOTAL RETURN BOND FUND</t>
  </si>
  <si>
    <t>INTERNATIONAL HOTEL LICENSING S.A.R</t>
  </si>
  <si>
    <t>INTERNATIONAL HOTEL LICENSING COMPANY S.A.R.L</t>
  </si>
  <si>
    <t>RELAM AMSTERDAM HOLDINGS B.V.</t>
  </si>
  <si>
    <t>ONCAP III LP</t>
  </si>
  <si>
    <t>RBC US DIVIDEND CLASS FUND</t>
  </si>
  <si>
    <t>BLACKSTONE GSO STRATEGIC CREDIT FUND</t>
  </si>
  <si>
    <t>UBS SECURITIES LLC</t>
  </si>
  <si>
    <t>SACRAMENTO COUNTY EMPLOYEES RETIREMENT SYSTEM - PRUDENTIAL FIXED INCOME ACCOUNT</t>
  </si>
  <si>
    <t>SYMMETRY MASTER FUND LIMITED</t>
  </si>
  <si>
    <t>SYMMETRY MASTER FUND LIMITED - BLOCK TRADE</t>
  </si>
  <si>
    <t>SYMMETRY MASTER FUND LIMITED - CDEA</t>
  </si>
  <si>
    <t>VOLKSWAGEN FINANCIAL SERVICES UK LIMITED</t>
  </si>
  <si>
    <t>CENTRICA PLC</t>
  </si>
  <si>
    <t>DB COMMODITIES CANADA LIMITED</t>
  </si>
  <si>
    <t>REALITY FOOD SERVICES INC</t>
  </si>
  <si>
    <t>RBC SELECT VERY CONSERVATIVE PORTFOLIO</t>
  </si>
  <si>
    <t>RBC SELECT CONSERVATIVE PORTFOLIO</t>
  </si>
  <si>
    <t>RBC SELECT BALANCED PORTFOLIO</t>
  </si>
  <si>
    <t>RBC SELECT GROWTH PORTFOLIO</t>
  </si>
  <si>
    <t>RBC SELECT AGGRESSIVE GROWTH PORTFOLIO</t>
  </si>
  <si>
    <t>PRAXAIR SURFACE TECHNOLOGIES, INC.</t>
  </si>
  <si>
    <t>MFX SOLUTIONS INC</t>
  </si>
  <si>
    <t>DAEWON CABLE CO. LTD</t>
  </si>
  <si>
    <t>GERALD METALS S.A.</t>
  </si>
  <si>
    <t>GERALD METALS S.A</t>
  </si>
  <si>
    <t>ELEMETAL REFINING LLC</t>
  </si>
  <si>
    <t>ELEMETAL REFINING, LLC</t>
  </si>
  <si>
    <t>CELESTICA INC.</t>
  </si>
  <si>
    <t>CELESTICA INC</t>
  </si>
  <si>
    <t>COMPANIA MINERA CONDESTABLE S.A.</t>
  </si>
  <si>
    <t>BAVARIA SA</t>
  </si>
  <si>
    <t>BAVARIA S.A.</t>
  </si>
  <si>
    <t>JB FUTURES LIMITED</t>
  </si>
  <si>
    <t>NATWEST MARKETS SECURITIES INC.</t>
  </si>
  <si>
    <t>G T COMMODITIES LLC</t>
  </si>
  <si>
    <t>GT COMMODITIES LLC</t>
  </si>
  <si>
    <t>DUTCHAK SCRAP METAL LTD</t>
  </si>
  <si>
    <t>ONTARIO POWER GENERATION ENERGY TRD</t>
  </si>
  <si>
    <t>VOLCAN COMPANIA MINERA S.A.A.(VCM)</t>
  </si>
  <si>
    <t>VOLCAN COMPANIA MINERA SAA</t>
  </si>
  <si>
    <t>SPONDEN (CAYMAN) LTD</t>
  </si>
  <si>
    <t>M.D. CAYMAN LTD</t>
  </si>
  <si>
    <t>1832 EQUITY INCOME STRATEGY</t>
  </si>
  <si>
    <t>LG CHEM LTD</t>
  </si>
  <si>
    <t>LS NIKKO COPPER INC</t>
  </si>
  <si>
    <t>LS-NIKKO COPPER INC</t>
  </si>
  <si>
    <t>LS-NIKKO COPPER INC.</t>
  </si>
  <si>
    <t>LS NIKKO COPPER INC.</t>
  </si>
  <si>
    <t>STANDARD CHARTERED BANK</t>
  </si>
  <si>
    <t>Standard Chartered Bank</t>
  </si>
  <si>
    <t>STANDARD CHARTERED BANK GBR</t>
  </si>
  <si>
    <t>STANDARD CHARTERED NY</t>
  </si>
  <si>
    <t>STANDARD CHARTERED BANK (REPOS)</t>
  </si>
  <si>
    <t>SCB Standard Chartered Bank</t>
  </si>
  <si>
    <t>STANDARD CHARTERED BANK ALLOCATED</t>
  </si>
  <si>
    <t>STANDARD CHARTERED BANK NEW YORK</t>
  </si>
  <si>
    <t>STANDARD CHARTERED BANK LONDON  (SSA)</t>
  </si>
  <si>
    <t>STANDARD CHARTERED  BANK</t>
  </si>
  <si>
    <t>STANDARD CHARTERED BANK  (BNS MUMBAI)</t>
  </si>
  <si>
    <t>STANDARD CHARTERED BANK  LONDON</t>
  </si>
  <si>
    <t>STD CHARTERED BK TSY,</t>
  </si>
  <si>
    <t>STANDARD CHARTERED BANK SINGAPORE</t>
  </si>
  <si>
    <t>STANDARD CHARTERED BANK LC</t>
  </si>
  <si>
    <t>MITSUBISHI ELECTRIC SALES CANADA INC.</t>
  </si>
  <si>
    <t>THE GOVERNING COUNCIL OF THE UNIVERSITY OF TORONTO - LTCAP OVERLAY</t>
  </si>
  <si>
    <t>THE GOVERNING COUNCIL OF THE UNIVERSITY OF TORONTO - EFIP OVERLAY</t>
  </si>
  <si>
    <t>The Governing Council Of The University Of Toronto</t>
  </si>
  <si>
    <t>THE GOVERNING COUNCIL OF THE UNIVERSITY OF TORONTO</t>
  </si>
  <si>
    <t>BARNEGAT FUND LIMITED CDEA</t>
  </si>
  <si>
    <t>BANCA POPOLARE DI VICENZA</t>
  </si>
  <si>
    <t>BPVLNSHQ</t>
  </si>
  <si>
    <t>BANCA POPOLARE DI VICENZA SPA</t>
  </si>
  <si>
    <t>BANCA POPOLARE VICENTINA</t>
  </si>
  <si>
    <t>NOBLE AMERICAS GAS AND POWER CORP</t>
  </si>
  <si>
    <t>PH&amp;N CANADIAN EQUITY VALUE FUND</t>
  </si>
  <si>
    <t>POWERSHARES CANADIAN DIV INDEX ETF</t>
  </si>
  <si>
    <t>FMS WERTMANAGEMENT</t>
  </si>
  <si>
    <t>BANCO CENTRAL DE RESERVA DE EL SALVADOR</t>
  </si>
  <si>
    <t>BRUCE R SMITH LIMITED</t>
  </si>
  <si>
    <t>IPROFILE FIXED INCOME - CANADIAN BOND MANDATE</t>
  </si>
  <si>
    <t>IPROFILE FIXED INCOME POOL</t>
  </si>
  <si>
    <t>NEWGEN EQUITY LONG-SHORT FUND</t>
  </si>
  <si>
    <t>THE SCOULAR COMPANY</t>
  </si>
  <si>
    <t>ALLOY HOLDINGS, LLC</t>
  </si>
  <si>
    <t>NESTLE CANADA INC MASTER TRUST</t>
  </si>
  <si>
    <t>NESTLE CANADA INC MASTER TRUST FUND</t>
  </si>
  <si>
    <t>IPROFILE FIXED INCOME - HIGH YIELD BOND MANDATE</t>
  </si>
  <si>
    <t>INVESTORS EUROPEAN MID-CAP EQUITY CLASS</t>
  </si>
  <si>
    <t>IG MACKENZIE EUROPEAN MID CAP EQUITY CLASS</t>
  </si>
  <si>
    <t>INVESTORS GLOBAL SCIENCE &amp; TECHNOLOGY CLASS</t>
  </si>
  <si>
    <t>INVESTORS GREATER CHINA CLASS</t>
  </si>
  <si>
    <t>BANCA MONTE DEIPASCHI DI SIENA</t>
  </si>
  <si>
    <t>BANCA MONTE DEI PASCHI DI SIENA</t>
  </si>
  <si>
    <t>BANCA MONTE DEIPASCHIDISIENA</t>
  </si>
  <si>
    <t>BANCA MONTE DEL PASCHI DI SIENA</t>
  </si>
  <si>
    <t>BANCA MONTE DEI PASCHI DI SIENE</t>
  </si>
  <si>
    <t>T-BASE COMMUNICATIONS INC.</t>
  </si>
  <si>
    <t>DYNAMIC ACTIVE CREDIT STRATEGIES PRIVATE POOL</t>
  </si>
  <si>
    <t>A.T. WALL COMPANY</t>
  </si>
  <si>
    <t>999 GOLD DEPOT (CANADA) LTD</t>
  </si>
  <si>
    <t>999 GOLD DEPOT CANADA LTD</t>
  </si>
  <si>
    <t>W.R. COBB COMPANY</t>
  </si>
  <si>
    <t>VALERO SERVICES INC.</t>
  </si>
  <si>
    <t>VACUUM ENGINEERING AND MATERIALS CO. INC.</t>
  </si>
  <si>
    <t>UNIVERSAL GOLD LIMITED</t>
  </si>
  <si>
    <t>SYMMETRY BALANCED PORTFOLIO</t>
  </si>
  <si>
    <t>SYMMETRY CONSERVATIVE PORTFOLIO</t>
  </si>
  <si>
    <t>ABRAHAM TRADING, L.P.</t>
  </si>
  <si>
    <t>UNITED PRECIOUS METALS REFINING, INC.</t>
  </si>
  <si>
    <t>KINDER MORGAN INC</t>
  </si>
  <si>
    <t>KINROSS BRASIL MINERACAO SA</t>
  </si>
  <si>
    <t>RIO PARACATU MINERACAO SA</t>
  </si>
  <si>
    <t>TLT FAMILY CORP</t>
  </si>
  <si>
    <t>TJTEAM LLC</t>
  </si>
  <si>
    <t>THE DOW CHEMICAL COMPANY</t>
  </si>
  <si>
    <t>THE DOW CHEMICAL COMPANY NDF</t>
  </si>
  <si>
    <t>TESORO REFINING &amp; MARKETING COMPANY LLC</t>
  </si>
  <si>
    <t>THE ARGEN CORPORATION AND PENTRON ALLOYS LLC</t>
  </si>
  <si>
    <t>AGEM LTD.</t>
  </si>
  <si>
    <t>TECHNIC INC</t>
  </si>
  <si>
    <t>KINROSS GOLD CORPORATION</t>
  </si>
  <si>
    <t>GT GOLD BULLION COMPANY LIMITED</t>
  </si>
  <si>
    <t>AGNICO EAGLE MINES LIMITED</t>
  </si>
  <si>
    <t>AGNICO- EAGLE MINES LIMITED, FX</t>
  </si>
  <si>
    <t>TASIAST MAURITANIE LIMITED S.A.</t>
  </si>
  <si>
    <t>STEPHENS INC.</t>
  </si>
  <si>
    <t>STEPHENS INC</t>
  </si>
  <si>
    <t>LEE MINSHULL R.C. INC</t>
  </si>
  <si>
    <t>LEE MINSHULL R.C. INC.</t>
  </si>
  <si>
    <t>ALAMOS GOLD INCORPORATED</t>
  </si>
  <si>
    <t>ALAMOS GOLD INC</t>
  </si>
  <si>
    <t>S E A BULLION PTE LTD</t>
  </si>
  <si>
    <t>NORAM ENTERPRISES INC</t>
  </si>
  <si>
    <t>LF INVESTMENTS EMPIRE LP</t>
  </si>
  <si>
    <t>MACDOUGALL, MACDOUGALL &amp; MACTIER, INC</t>
  </si>
  <si>
    <t>A-MARK PRECIOUS METALS, INC.</t>
  </si>
  <si>
    <t>MACKENZIE GLOBAL TACTICAL BOND FUND</t>
  </si>
  <si>
    <t>MACKENZIE CANADIAN RESOURCE FUND</t>
  </si>
  <si>
    <t>AMES GOLDSMITH CORP.</t>
  </si>
  <si>
    <t>AMES GOLDSMITH CORP</t>
  </si>
  <si>
    <t>MACKIE RESEARCH CAPITAL CORPORATION</t>
  </si>
  <si>
    <t>MAK CAPITAL FUND LP</t>
  </si>
  <si>
    <t>YAMANA GOLD INC</t>
  </si>
  <si>
    <t>YAMANA GOLD INC.</t>
  </si>
  <si>
    <t>ANADIGICS, INC.</t>
  </si>
  <si>
    <t>STANLEYCREATION - HQ</t>
  </si>
  <si>
    <t>STANLEY CREATIONS, INC.</t>
  </si>
  <si>
    <t>WADDELL &amp; REED FINANCIAL INC. RETIREMENT INCOME PLAN</t>
  </si>
  <si>
    <t>MAK-RO CAPITAL MASTER FUND LP</t>
  </si>
  <si>
    <t>SPROTT SMALL CAP EQUITY FUND</t>
  </si>
  <si>
    <t>ST. ANDREW GOLDFIELDS LTD</t>
  </si>
  <si>
    <t>ST. ANDREW GOLDFIELDS LTD.</t>
  </si>
  <si>
    <t>ANGLOGOLD ASHANTI CORREGO DO SITIO MINERACAO SA</t>
  </si>
  <si>
    <t>MANFRA, TORDELLA AND BROOKES, INC</t>
  </si>
  <si>
    <t>MANFRA,TORDELLA &amp; BROOKES INC.</t>
  </si>
  <si>
    <t>MANFRA, TORDELLA &amp; BROOKES, INC.</t>
  </si>
  <si>
    <t>SPROTT RESOURCE PARTNERSHIP</t>
  </si>
  <si>
    <t>SPROTT RESOURCES LENDING PARTNERSHIP</t>
  </si>
  <si>
    <t>CHINOOK SCAFFOLD SYSTEMS LTD</t>
  </si>
  <si>
    <t>MANULIFE ASSET MGMT SHORT TERM BPF</t>
  </si>
  <si>
    <t>MANULIFE CANADIAN MONTHLY INCOME FUND</t>
  </si>
  <si>
    <t>STANDARD LIFE DIVERSIFIED INCOME FU</t>
  </si>
  <si>
    <t>STANDARD LIFE TACTICAL INCOME FUND</t>
  </si>
  <si>
    <t>MANULIFE TACTICAL INCOME FUND</t>
  </si>
  <si>
    <t>AGFIQ U.S. SECTOR CLASS</t>
  </si>
  <si>
    <t>SPROTT RESOURCE CORP.</t>
  </si>
  <si>
    <t>ARMBRUST INTERNATIONAL LTD</t>
  </si>
  <si>
    <t>MARSAM DISTRIBUIDORA DE TITULOS E VALORES MOBILIAR</t>
  </si>
  <si>
    <t>SPROTT PHYSICAL SILVER TRUST</t>
  </si>
  <si>
    <t>NINEPOINT RESOURCE CLASS</t>
  </si>
  <si>
    <t>ASIA PACIFIC INTERNATIONAL INC.</t>
  </si>
  <si>
    <t>ASIA PACIFIC INTERNATIONAL INC</t>
  </si>
  <si>
    <t>SPROTT PHYSICAL GOLD TRUST</t>
  </si>
  <si>
    <t>MASTERMELT AMERICA, LLC</t>
  </si>
  <si>
    <t>TE Connectivity Holding International II S.a r.l.</t>
  </si>
  <si>
    <t>WHEATON PRECIOUS METALS CORP.</t>
  </si>
  <si>
    <t>SPROTT MASTER FUND LTD</t>
  </si>
  <si>
    <t>IAMGOLD CORP</t>
  </si>
  <si>
    <t>IAMGOLD CORPORATION</t>
  </si>
  <si>
    <t>NATIONAL BANK OF CANADA NASSAU</t>
  </si>
  <si>
    <t>NATIONAL BANK OF CANADA TOKYO</t>
  </si>
  <si>
    <t>NATIONAL BANK OF CANADA LONDON</t>
  </si>
  <si>
    <t>NATIONAL BANK OF CANADA HONG KONG</t>
  </si>
  <si>
    <t>NATIONAL BANK OF CANADA NEW YORK</t>
  </si>
  <si>
    <t>NATIONAL BANK OF CANADA (STF)</t>
  </si>
  <si>
    <t>NATIONAL BANK OF CANADA</t>
  </si>
  <si>
    <t>National Bank of Canada</t>
  </si>
  <si>
    <t>NATIONAL BANK OF CANADA (TREASURY)</t>
  </si>
  <si>
    <t>NATIONAL BANK OF CANADA, MONTREAL</t>
  </si>
  <si>
    <t>NATIONAL BANK OF CANADA.</t>
  </si>
  <si>
    <t>MASTERMELT METAL MANAGEMENT LLC</t>
  </si>
  <si>
    <t>KENSICO OFFSHORE FUND MASTER, LTD</t>
  </si>
  <si>
    <t>AURICO GOLD INC</t>
  </si>
  <si>
    <t>AURICO METALS INC</t>
  </si>
  <si>
    <t>AURICO GOLD INC.</t>
  </si>
  <si>
    <t>SAUDI BASIC INDUSTRIES CORPORATION (SABIC)</t>
  </si>
  <si>
    <t>SAUDI BASIC INDUSTRIES CORPORATION</t>
  </si>
  <si>
    <t>AGNICO EAGLE MEXICO S.A. DE C.V.</t>
  </si>
  <si>
    <t>AGNICO EAGLE MEXICO SA DE CV</t>
  </si>
  <si>
    <t>AGNICO-EAGLE MEXICO S.A. DE C.V.</t>
  </si>
  <si>
    <t>SPROTT HEDGE FUND LP II</t>
  </si>
  <si>
    <t>AURIDENT, INC.</t>
  </si>
  <si>
    <t>MCEWEN MINING INC.</t>
  </si>
  <si>
    <t>SOLUCIONES ECOLOGICAS EN METALES S.A. DE C.V.</t>
  </si>
  <si>
    <t>SOUTHERN WISCONSIN BANCSHARES CORPORATION</t>
  </si>
  <si>
    <t>COMFORTABLE IMAGE INC OA WATCH IT</t>
  </si>
  <si>
    <t>TEMISKAMING INDUSTRIAL MINING EQUIPMENT LIMITED</t>
  </si>
  <si>
    <t>BANCO BTG PACTUAL SA CAYMAN BRANCH</t>
  </si>
  <si>
    <t>BANCO BTG PACTUAL SA CAYMAN ISLAND</t>
  </si>
  <si>
    <t>BANCO BTG PACTUAL SA BRAZIL</t>
  </si>
  <si>
    <t>BANCO BTG PACTUAL SA CAYMAN</t>
  </si>
  <si>
    <t>BASF CORPORATION</t>
  </si>
  <si>
    <t>BARRICK INTERNATIONAL (BARBADOS) CORP.</t>
  </si>
  <si>
    <t>APMEX INC</t>
  </si>
  <si>
    <t>APMEX, INC.</t>
  </si>
  <si>
    <t>MEDIA IMPORTS, INC.</t>
  </si>
  <si>
    <t>MERCATOR MINERALS (BARBADOS) LTD.</t>
  </si>
  <si>
    <t>SO ACCURATE GROUP, INC.</t>
  </si>
  <si>
    <t>BESSEMER TRUST COMPANY, NATIONAL ASSOCIATION</t>
  </si>
  <si>
    <t>SIPI METALS CORP</t>
  </si>
  <si>
    <t>METALOR ELECTROTECHNICS (USA) CORP.</t>
  </si>
  <si>
    <t>METALOR TECHNOLOGIES USA CORP</t>
  </si>
  <si>
    <t>SINOPEC USA, INC.</t>
  </si>
  <si>
    <t>METALOR USA REFINING CORP</t>
  </si>
  <si>
    <t>BULLION CUSTODIAL SERVICES</t>
  </si>
  <si>
    <t>Bullion Custodial Services Inc</t>
  </si>
  <si>
    <t>SIMON GOLUB &amp; SONS, INC</t>
  </si>
  <si>
    <t>METALURGICA MET-MEX PENOLES, SA DE CV</t>
  </si>
  <si>
    <t>METALURGICA MET- MEX PENOLES, SA DE CV</t>
  </si>
  <si>
    <t>METALURGICA MET MEX PENOLES,S.A.DE C.V.</t>
  </si>
  <si>
    <t>SIMON AND DIANA RAAB</t>
  </si>
  <si>
    <t>THE RAAB FAMILY TRUST</t>
  </si>
  <si>
    <t>MOTIVA ENTERPRISES LLC</t>
  </si>
  <si>
    <t>BMG BULLION FUND</t>
  </si>
  <si>
    <t>BMG BullionFund</t>
  </si>
  <si>
    <t>BMG MANAGEMENT SERVICES INC  BULLION FUND</t>
  </si>
  <si>
    <t>SCOTIA U.S. EQUITY FUND</t>
  </si>
  <si>
    <t>SCOTIA U.S. BLUE CHIP FUND</t>
  </si>
  <si>
    <t>SCOTIA PRIVATE U.S. EQUITY FUND</t>
  </si>
  <si>
    <t>SCOTIA PRIVATE US EQUITY POOL FUND</t>
  </si>
  <si>
    <t>BMG Gold BullionFund</t>
  </si>
  <si>
    <t>BMG MANAGEMENT SERVICES INC GOLD BULLION FUND</t>
  </si>
  <si>
    <t>BUFFALO SPRINGS INVESTMENTS, LLC</t>
  </si>
  <si>
    <t>MINAS DE ORO NACIONAL SA DE CV</t>
  </si>
  <si>
    <t>MINAS DE ORO NACIONAL S.A. DE C.V.</t>
  </si>
  <si>
    <t>MICRO CONTACTS, INC.</t>
  </si>
  <si>
    <t>SCOTIA RESOURCE FUND</t>
  </si>
  <si>
    <t>SCOTIA RESOURCES FUND</t>
  </si>
  <si>
    <t>CAPSTONE GOLD, S.A. DE C.V.</t>
  </si>
  <si>
    <t>CAPSTONE GOLD S.A. DE C.V.</t>
  </si>
  <si>
    <t>CAREMEX, S.A. DE C.V.</t>
  </si>
  <si>
    <t>SCOTIA PRIVATE NORTH AMERICAN EQTY</t>
  </si>
  <si>
    <t>SCOTIA NORTH AMERICAN EQUITY FUND</t>
  </si>
  <si>
    <t>SCOTIA PRIVATE NORTH AMERICAN EQUITY FUND</t>
  </si>
  <si>
    <t>MINERACAO APOENA S.A. (APO)</t>
  </si>
  <si>
    <t>CARESTREAM HEALTH INC</t>
  </si>
  <si>
    <t>MITSUBISHI INTERNATIONAL CORPORATION</t>
  </si>
  <si>
    <t>MITSUBISHI INTERNATIONAL CORP</t>
  </si>
  <si>
    <t>NYRSTAR CAMPO MORADO S.A. DE C.V.</t>
  </si>
  <si>
    <t>SCOTIA CYCLICAL OPPORTUNITIES FUND</t>
  </si>
  <si>
    <t>SCOTIA PRIVATE CYCLICAL OPPORTUNITIES FUND</t>
  </si>
  <si>
    <t>MINERA SANTA RITA S. DE R.L. DE C.V.</t>
  </si>
  <si>
    <t>MINERA SANTA RITA, S. DE R. L. DE C.V.</t>
  </si>
  <si>
    <t>MINERA SAN XAVIER S.A DE C.V.</t>
  </si>
  <si>
    <t>CARLA CORPORATION</t>
  </si>
  <si>
    <t>SCOTIA PRIVATE CANADIAN EQUITY POOL</t>
  </si>
  <si>
    <t>SCOTIA CANADIAN EQUITY FUND</t>
  </si>
  <si>
    <t>SCOTIA PRIVATE CANADIAN EQUITY FUND</t>
  </si>
  <si>
    <t>CASH AMERICA INTERNATIONAL INC.</t>
  </si>
  <si>
    <t>Chesapeake Capital Corp</t>
  </si>
  <si>
    <t>CHESAPEAKE CAPITAL CORPORATION</t>
  </si>
  <si>
    <t>UMICORE PRECIOUS METALS NJ LLC</t>
  </si>
  <si>
    <t>Umicore Precious Metals NJ, LLC</t>
  </si>
  <si>
    <t>TRIDENT PERFORMANCE TRUST</t>
  </si>
  <si>
    <t>THE SHERWIN-WILLIAMS COMPANY</t>
  </si>
  <si>
    <t>TRIDENT INVESTMENT MANAGEMENT  LLC</t>
  </si>
  <si>
    <t>ANGLOGOLD ASHANTI USA INC.</t>
  </si>
  <si>
    <t>SUNSHINE MINTING, INC.</t>
  </si>
  <si>
    <t>ABINGTON METALS INC.</t>
  </si>
  <si>
    <t>STRATEGIC GOLD CORP.</t>
  </si>
  <si>
    <t>STULLER INC.</t>
  </si>
  <si>
    <t>AGNICO-EAGLE FINLAND OY</t>
  </si>
  <si>
    <t>SM FBO OF W &amp; R ASSET STRATEGY FUND LLC</t>
  </si>
  <si>
    <t>WADDELL &amp; REED ASSET STRATEGY FUND, LLC</t>
  </si>
  <si>
    <t>CHEVRON PHILLIPS CHEMICAL COMPANY LP</t>
  </si>
  <si>
    <t>NINEPOINT SILVER EQUITIES CLASS</t>
  </si>
  <si>
    <t>CHEVRON USA INC</t>
  </si>
  <si>
    <t>CHEVRON U.S.A. INC.</t>
  </si>
  <si>
    <t>CHIRANO GOLD MINES LIMITED</t>
  </si>
  <si>
    <t>TRANSCANADA ENERGY LTD.</t>
  </si>
  <si>
    <t>YOUTH WITH A MISSION SOCIETY MEXICO</t>
  </si>
  <si>
    <t>CI INVESTMENTS INC</t>
  </si>
  <si>
    <t>CI Investments Inc.</t>
  </si>
  <si>
    <t>CI INVESTMENTS INC GROUP</t>
  </si>
  <si>
    <t>ABINGTON RELDAN METALS, LLC</t>
  </si>
  <si>
    <t>MORGAN ADVANCED CERAMICS, INC.</t>
  </si>
  <si>
    <t>SIGNATURE ALL GOLD CORPORATE CLASS FUND</t>
  </si>
  <si>
    <t>NINEPOINT SILVER BULLION FUND</t>
  </si>
  <si>
    <t>COIMPA INDUSTRIAL LTDA</t>
  </si>
  <si>
    <t>COINS 'N THINGS, INC.</t>
  </si>
  <si>
    <t>SPROTT PHYSICAL PLATINUM AND PALLADIUM TRUST</t>
  </si>
  <si>
    <t>COLT REFINING, INC.</t>
  </si>
  <si>
    <t>SPROTT MASTER FUND LTD II</t>
  </si>
  <si>
    <t>MACKENZIE PRECIOUS METALS CLASS</t>
  </si>
  <si>
    <t>COMMEMORATIVE BRANDS, INC.</t>
  </si>
  <si>
    <t>MACKENZIE GLOBAL RESOURCE CLASS</t>
  </si>
  <si>
    <t>COMPANIA MINERA MANTOS DE ORO</t>
  </si>
  <si>
    <t>NINEPOINT GOLD BULLION FUND</t>
  </si>
  <si>
    <t>SPROTT GOLD BULLION FUND</t>
  </si>
  <si>
    <t>MORGAN STANLEY SMITH BARNEY LLC</t>
  </si>
  <si>
    <t>MORGAN STANLEY SMITH BARNEY (MSSBCA)</t>
  </si>
  <si>
    <t>COMPANIA MINERA MARICUNGA</t>
  </si>
  <si>
    <t>SPROTT GOLD AND PRECIOUS MINERALS FUND</t>
  </si>
  <si>
    <t>NINEPOINT GOLD AND PRECIOUS MINERALS FUND</t>
  </si>
  <si>
    <t>COMPANIA MINERA PODEROSA SA</t>
  </si>
  <si>
    <t>SIGNATURE GLOBAL RESOURCE CORPORATE CLASS</t>
  </si>
  <si>
    <t>CONSORCIO MINERO HORIZONTE S.A.</t>
  </si>
  <si>
    <t>CONSORCIO MINERO S.A.</t>
  </si>
  <si>
    <t>CORPORACION NACIONAL DEL COBRE DE CHILE</t>
  </si>
  <si>
    <t>Nan Ya Plastics Corporation, America</t>
  </si>
  <si>
    <t>NAN YA PLASTICS CORPORATION AMERICA</t>
  </si>
  <si>
    <t>SCOTIA PACIFIC RIM FUND</t>
  </si>
  <si>
    <t>SCOTIA GLOBAL SMALL CAP FUND</t>
  </si>
  <si>
    <t>SCOTIA INTERNATIONAL VALUE FUND</t>
  </si>
  <si>
    <t>SCOTIA GLOBAL OPPORTUNITIES FUND</t>
  </si>
  <si>
    <t>SCOTIA DIVERSIFIED MONTHLY INCOME FUND</t>
  </si>
  <si>
    <t>SCOTIA DIVERSIFED MONTHLY INCOME FUND</t>
  </si>
  <si>
    <t>SCOTIABANK GLOBAL DV FUND</t>
  </si>
  <si>
    <t>SCOTIA CANADIAN SMALL CAP FUND</t>
  </si>
  <si>
    <t>CRESTLINE PROPERTIES LIMITED</t>
  </si>
  <si>
    <t>SCOTIA CANADIAN DIVIDEND FUND</t>
  </si>
  <si>
    <t>SCOTIA DIVIDED BALANCED FUND</t>
  </si>
  <si>
    <t>SCOTIA CANADIAN DIVIDEND INCOME FUND</t>
  </si>
  <si>
    <t>SCOTIA DIVIDEND BALANCED FUND</t>
  </si>
  <si>
    <t>SHELL CATALYSTS AND TECHNOLOGIES HOLDINGS INC</t>
  </si>
  <si>
    <t>SHELL CATALYSTS &amp; TECHNOLOGIES HOLDINGS INC</t>
  </si>
  <si>
    <t>NATIONAL CHAIN COMPANY</t>
  </si>
  <si>
    <t>D.F. GOLDSMITH CHEMICAL &amp; METAL CORPORATION</t>
  </si>
  <si>
    <t>SCOTIA CANADIAN BLUE CHIP FUND</t>
  </si>
  <si>
    <t>SCOTIA BLUE CHIP FUND</t>
  </si>
  <si>
    <t>SCOTIA CDN BLUE CHIP</t>
  </si>
  <si>
    <t>DEL GRECO COINS INC.</t>
  </si>
  <si>
    <t>NATIONAL FINANCIAL SERVICES LLC</t>
  </si>
  <si>
    <t>1011778 BC UNLIMITED LIABILITY COMPANY</t>
  </si>
  <si>
    <t>NBI GOLD L.P.</t>
  </si>
  <si>
    <t>PARSLEY ENERGY LP</t>
  </si>
  <si>
    <t>TRIMAR MACHINE INC</t>
  </si>
  <si>
    <t>SCOTIA US OPPORTUNITIES FUND</t>
  </si>
  <si>
    <t>SCOTIA U.S. OPPORTUNITIES FUND</t>
  </si>
  <si>
    <t>GROUPE RIENDEAU INC</t>
  </si>
  <si>
    <t>DELAWARE DEPOSITORY SERVICE COMPANY, LLC</t>
  </si>
  <si>
    <t>Delaware Depository Service Company, LLC</t>
  </si>
  <si>
    <t>DELAWARE DEPOSITORY SERVICE COMPANY</t>
  </si>
  <si>
    <t>NEWMONT GHANA GOLD LIMITED</t>
  </si>
  <si>
    <t>DERINGER-NEY INC.</t>
  </si>
  <si>
    <t>NORTHERN BORDERS INVESTMENTS L.P.</t>
  </si>
  <si>
    <t>DYNAMIC AMERICAN VALUE CLASS</t>
  </si>
  <si>
    <t>DYNAMIC AMERICAN CLASS</t>
  </si>
  <si>
    <t>SCONYERS RESEARCH AND CONSULTING INC.</t>
  </si>
  <si>
    <t>SCIENTIFIC DESIGN COMPANY, INC.</t>
  </si>
  <si>
    <t>DYNAMIC AMERICAN VALUE FUND</t>
  </si>
  <si>
    <t>DYNAMIC AMERICAN FUND</t>
  </si>
  <si>
    <t>DYNAMIC BLUE CHIP BALANCED FUND</t>
  </si>
  <si>
    <t>PAULSBORO REFINING COMPANY</t>
  </si>
  <si>
    <t>PEASE AND CURREN, INC.</t>
  </si>
  <si>
    <t>SANDSTORM GOLD LTD.</t>
  </si>
  <si>
    <t>SANDSTORM GOLD LTD</t>
  </si>
  <si>
    <t>PERIDIAN LTD. FUND</t>
  </si>
  <si>
    <t>PERIDIAN LTD.</t>
  </si>
  <si>
    <t>DYNAMIC CANADIAN DIVIDEND CLASS</t>
  </si>
  <si>
    <t>OLD MUTUAL BOND 3 FUND</t>
  </si>
  <si>
    <t>SCOTIA CANADIAN BALANCED FUND</t>
  </si>
  <si>
    <t>SCOTIA CDN BALANCED FUND</t>
  </si>
  <si>
    <t>PERISCOPE CAPITAL INC.</t>
  </si>
  <si>
    <t>SALEM 2X FUND LP</t>
  </si>
  <si>
    <t>SABIN METAL CORPORATION</t>
  </si>
  <si>
    <t>PERMANENS CAPITAL PHYSICAL PRECIOUS METALS FUND LP</t>
  </si>
  <si>
    <t>PERMANENS CAPITAL PHYSICAL PRECIOUS METALS FUND L.P.</t>
  </si>
  <si>
    <t>EASTMAN CHEMICAL COMPANY</t>
  </si>
  <si>
    <t>RRBL HOLDINGS INC.</t>
  </si>
  <si>
    <t>PERMANENT PORTFOLIO FAMILY OF FUNDS, INC</t>
  </si>
  <si>
    <t>PERMANENT PORTFOLIO OF FUNDS, INC</t>
  </si>
  <si>
    <t>ELECTRICAL CONTACTS LIMITED</t>
  </si>
  <si>
    <t>PJT FAMILY CORP</t>
  </si>
  <si>
    <t>NISSAN AUTO RECEIVABLES FINANCE LLC</t>
  </si>
  <si>
    <t>ROSEBELGOLD MINES NV</t>
  </si>
  <si>
    <t>MACDERMID ENTHONE INC.</t>
  </si>
  <si>
    <t>PRECIOUS METALS BULLION TRUST</t>
  </si>
  <si>
    <t>ROYAL CANADIAN MINT</t>
  </si>
  <si>
    <t>EQUINOX PARTNERS LP</t>
  </si>
  <si>
    <t>PRIMERO EMPRESA MINERA S.A. DE C.V.</t>
  </si>
  <si>
    <t>PRIMERO EMPRESA MINERA S A DE C V</t>
  </si>
  <si>
    <t>RICHLINE GROUP INC.</t>
  </si>
  <si>
    <t>PRINCE AND IZANT COMPANY</t>
  </si>
  <si>
    <t>RELDAN METALS INC.</t>
  </si>
  <si>
    <t>RELIABLE SILVER CORP.</t>
  </si>
  <si>
    <t>RDP INVESTMENT LP</t>
  </si>
  <si>
    <t>RAWHIDE MINING LLC</t>
  </si>
  <si>
    <t>KENSICO PARTNERS, L.P.</t>
  </si>
  <si>
    <t>EQUISTAR CHEMICALS, LP</t>
  </si>
  <si>
    <t>KENSICO OFFSHORE FUND II MASTER LTD</t>
  </si>
  <si>
    <t>KENSICO OFFSHORE FUND II MASTER LTD.</t>
  </si>
  <si>
    <t>ESSAKANE SA</t>
  </si>
  <si>
    <t>QUALITY GOLD INC</t>
  </si>
  <si>
    <t>QUALITY GOLD, INC.</t>
  </si>
  <si>
    <t>QUALITY GOLD, INC</t>
  </si>
  <si>
    <t>QUALITY GOLD INC.</t>
  </si>
  <si>
    <t>FIRST CASH FINANCIAL SERVICES INC.</t>
  </si>
  <si>
    <t>FMS TRADING AG</t>
  </si>
  <si>
    <t>KENSICO ASSOCIATES, LP</t>
  </si>
  <si>
    <t>HANDY AND HARMAN OF CANADA LIMITED</t>
  </si>
  <si>
    <t>FRANCO-NEVADA (BARBADOS) CORPORATION</t>
  </si>
  <si>
    <t>KENNECOTT UTAH COPPER LLC</t>
  </si>
  <si>
    <t>CARLETON UNIVERSITY</t>
  </si>
  <si>
    <t>DOWNTOWN CAMERA LTD</t>
  </si>
  <si>
    <t>FUSION, INC.</t>
  </si>
  <si>
    <t>HENKEL ELECTRONIC MATERIALS (BELGIUM) NV</t>
  </si>
  <si>
    <t>HENKEL ELECTRONICS MATERIALS (BELGIUM) NV</t>
  </si>
  <si>
    <t>GANNON &amp; SCOTT, INC.</t>
  </si>
  <si>
    <t>GEIB REFINING CORP.</t>
  </si>
  <si>
    <t>GLINES &amp; RHODES, INC.</t>
  </si>
  <si>
    <t>KEMP METAL PRODUCTS, INC.</t>
  </si>
  <si>
    <t>HENKEL ELECTRONICS MATERIALS LLC</t>
  </si>
  <si>
    <t>HENKEL NEDERLAND BV</t>
  </si>
  <si>
    <t>KELLEY METALS CORP</t>
  </si>
  <si>
    <t>JOSTENS INC.</t>
  </si>
  <si>
    <t>ASAHI REFINING CANADA LTD.</t>
  </si>
  <si>
    <t>ASAHI REFINING CANADA LTD</t>
  </si>
  <si>
    <t>MR. JOSEPH SAUL STEINBERG</t>
  </si>
  <si>
    <t>GOLDCORP TRADING GMBH</t>
  </si>
  <si>
    <t>HERAEUS METALS NEW YORK LLC</t>
  </si>
  <si>
    <t>HIGH TOR LIMITED</t>
  </si>
  <si>
    <t>GOLDCORP INC</t>
  </si>
  <si>
    <t>GOLDCORP INC.</t>
  </si>
  <si>
    <t>GOLDEN OR INC</t>
  </si>
  <si>
    <t>Johnson Matthey Inc.</t>
  </si>
  <si>
    <t>JOHNSON MATTHEY INC.</t>
  </si>
  <si>
    <t>JOHNSON MATTHEY INC</t>
  </si>
  <si>
    <t>ASAHI REFINING</t>
  </si>
  <si>
    <t>JOHNSON MATTHEY INC PENNSYLVANIA</t>
  </si>
  <si>
    <t>HI-REL ALLOYS ULC</t>
  </si>
  <si>
    <t>HONDA TRADING AMERICA CORPORATION</t>
  </si>
  <si>
    <t>JENSEN INDUSTRIES, INC.</t>
  </si>
  <si>
    <t>Greenlight Capital, L.P.</t>
  </si>
  <si>
    <t>GREENLIGHT CAPITAL, LP</t>
  </si>
  <si>
    <t>INDUSTRIAS PENOLES S.A.B. DE C.V.</t>
  </si>
  <si>
    <t>INDUSTRIAS PE¿OLES S.A.B. DE C.V.</t>
  </si>
  <si>
    <t>INDUSTRIAS PENOLES SAB DE CV</t>
  </si>
  <si>
    <t>INDUSTRIAS PENOLES S.A.B DE C.V.</t>
  </si>
  <si>
    <t>Industrias Peñoles, S.A.B. de C.V.</t>
  </si>
  <si>
    <t>JNL/IVY ASSET STRATEGY FUND LTD.</t>
  </si>
  <si>
    <t>IVY FUNDS INC ASSET STRATEGY FUND</t>
  </si>
  <si>
    <t>JNL IVY ASSET STRATEGY FUND LTD</t>
  </si>
  <si>
    <t>I.M.D. TRADING COMPANY, INC.</t>
  </si>
  <si>
    <t>II-VI INCORPORATED</t>
  </si>
  <si>
    <t>INTERNACIONAL DE METALES PRECIOSOS S.A. DE C.V.</t>
  </si>
  <si>
    <t>IVY ASSET STRATEGY FUND II, LTD</t>
  </si>
  <si>
    <t>GREENLIGHT CAPITAL INVESTORS, LP</t>
  </si>
  <si>
    <t>GREENLIGHT CAPITAL (GOLD) LP - USD CLASS</t>
  </si>
  <si>
    <t>GREENLIGHT CAPITAL QUALIFIED, L.P.</t>
  </si>
  <si>
    <t>GREENLIGHT CAPITAL QUALIFIED, LP</t>
  </si>
  <si>
    <t>INTL COMMODITIES INC.</t>
  </si>
  <si>
    <t>INTL COMMODITIES, INC.</t>
  </si>
  <si>
    <t>GREENLIGHT CAPITAL OFFSHORE PARTNERS</t>
  </si>
  <si>
    <t>IVY VIP ASF II LTD</t>
  </si>
  <si>
    <t>GREENLIGHT REINSURANCE, LTD</t>
  </si>
  <si>
    <t>GREENLIGHT CAPITAL OFFSHORE MASTER (GOLD) LTD</t>
  </si>
  <si>
    <t>GREENLIGHT CAPITAL OFFSHORE MASTER LTD.</t>
  </si>
  <si>
    <t>Greenlight Capital Offshore Master, Ltd</t>
  </si>
  <si>
    <t>LF INVESTMENTS FORTY NINE LP</t>
  </si>
  <si>
    <t>NOK1 CAPITAL, L.P.</t>
  </si>
  <si>
    <t>MINERACAO FAZENDA BRASILEIRO S.A.</t>
  </si>
  <si>
    <t>MINERACAO SERRA GRANDE S.A.</t>
  </si>
  <si>
    <t>MITSUI &amp; CO. PRECIOUS METALS INC</t>
  </si>
  <si>
    <t>DYNAMIC CANADIAN DIVIDEND FUND</t>
  </si>
  <si>
    <t>DYNAMIC CONTRARIAN FUND</t>
  </si>
  <si>
    <t>MTM RECOGNITION CORPORATION</t>
  </si>
  <si>
    <t>DYNAMIC DIVIDEND ADVANTAGE CLASS</t>
  </si>
  <si>
    <t>DYNAMIC DIVIDEND INCOME CLASS</t>
  </si>
  <si>
    <t>DYNAMIC DIVIDEND INCOME FUND</t>
  </si>
  <si>
    <t>DYNAMIC US EQUITY INCOME FUND</t>
  </si>
  <si>
    <t>DYNAMIC EQUITY INCOME FUND</t>
  </si>
  <si>
    <t>DYNAMIC EUROPEAN VALUE FUND</t>
  </si>
  <si>
    <t>DYNAMIC ASIA PACIFIC EQUITY FUND</t>
  </si>
  <si>
    <t>DYNAMIC FAR EAST VALUE FUND</t>
  </si>
  <si>
    <t>MACKENZIE GOLD BULLION CLASS</t>
  </si>
  <si>
    <t>DYNAMIC FOCUS ALTERNATIVE FUND</t>
  </si>
  <si>
    <t>DYNAMIC RESOURCE FUND</t>
  </si>
  <si>
    <t>DYNAMIC GLOBAL ASSET ALLOCATION CLA</t>
  </si>
  <si>
    <t>DYNAMIC GLOBAL ASSET ALLOCATION CLASS</t>
  </si>
  <si>
    <t>DYNAMIC GLOBAL ASSET ALLOCATION FUND</t>
  </si>
  <si>
    <t>DYNAMIC GLOBAL DISCOVERY FUND</t>
  </si>
  <si>
    <t>DYNAMIC GLOBAL SMALL CAP VALUE FUND</t>
  </si>
  <si>
    <t>DYNAMIC GLOBAL DISCOVERY CLASS</t>
  </si>
  <si>
    <t>DYNAMIC GLOBAL DIVIDEND FUND</t>
  </si>
  <si>
    <t>DYNAMIC GLOBAL DIVIDEND VALUE FUND</t>
  </si>
  <si>
    <t>Dynamic Global Dividend Fund</t>
  </si>
  <si>
    <t>DYNAMIC GLOBAL VALUE CLASS FUND</t>
  </si>
  <si>
    <t>DYNAMIC GLOBAL VALUE FUND</t>
  </si>
  <si>
    <t>DYNAMIC INCOME OPPORTUNITIES FUND</t>
  </si>
  <si>
    <t>BANK OF CANADA</t>
  </si>
  <si>
    <t>BANK OF CANADA FOR HER MAJESTY SPOT</t>
  </si>
  <si>
    <t>BANK OF CANADA FOR HER MAJESTY</t>
  </si>
  <si>
    <t>BANK OF CANADA FOR HER MAJESTY FUNDING</t>
  </si>
  <si>
    <t>BANK OF CANADA-INFRASTRUCTURE FX HEDGES</t>
  </si>
  <si>
    <t>BANK OF CANADA -NON-CORE REAL ESTATE FX HEDGES</t>
  </si>
  <si>
    <t>DYNAMIC POWER BALANCED CLASS</t>
  </si>
  <si>
    <t>DYNAMIC POWER BALANCED FUND</t>
  </si>
  <si>
    <t>DYNAMIC POWER CANADIAN GROWTH CLASS</t>
  </si>
  <si>
    <t>DYNAMIC POWER CANADIAN GROWTH FUND</t>
  </si>
  <si>
    <t>DYNAMIC CANADIAN GROWTH FUND</t>
  </si>
  <si>
    <t>DYNAMIC SMALL BUSINESS FUND</t>
  </si>
  <si>
    <t>DYNAMIC POWER GLOBAL NAVIGATOR</t>
  </si>
  <si>
    <t>DYNAMIC POWER GLOBAL NAVIGATOR CLASS</t>
  </si>
  <si>
    <t>DYNAMIC STRATEGIC GOLD CLASS</t>
  </si>
  <si>
    <t>DYNAMIC STRATEGIC RESOURCE CLASS</t>
  </si>
  <si>
    <t>DYNAMIC GLOBAL GROWTH OPPORTUNITIES FUND</t>
  </si>
  <si>
    <t>DYNAMIC POWER HEDGE FUND</t>
  </si>
  <si>
    <t>DYNAMIC POWER MANAGED GROWTH CLASS</t>
  </si>
  <si>
    <t>DYNAMIC POWER SMALL CAP FUND</t>
  </si>
  <si>
    <t>DYNAMIC PRECIOUS METALS FUND</t>
  </si>
  <si>
    <t>DYNAMIC STRATEGIC YIELD CLASS</t>
  </si>
  <si>
    <t>DYNAMIC STRATEGIC YIELD FUND</t>
  </si>
  <si>
    <t>DYNAMIC US STRATEGIC YIELD FUND</t>
  </si>
  <si>
    <t>VISTA TRAINING CANADA INC</t>
  </si>
  <si>
    <t>DYNAMIC BLUE CHIP U.S. BALANCED CLASS</t>
  </si>
  <si>
    <t>DYNAMIC BLUE CHIP US BALANCED CLASS</t>
  </si>
  <si>
    <t>BARRICK GOLD INC</t>
  </si>
  <si>
    <t>CITIGROUP GLOBAL MARKETS INC</t>
  </si>
  <si>
    <t>CITIGROUP GLOBAL MARKETS INC SL CME</t>
  </si>
  <si>
    <t>CITIGROUP GLOBAL MARKETS</t>
  </si>
  <si>
    <t>DILLON GAGE INC., OF DALLAS</t>
  </si>
  <si>
    <t>DILLON GAGE REFINERY</t>
  </si>
  <si>
    <t>DILLON GAGE INCORPORATED OF DALLAS</t>
  </si>
  <si>
    <t>MORGANITE INDUSTRIES INC</t>
  </si>
  <si>
    <t>SCOTIABANK DE PUERTO RICO</t>
  </si>
  <si>
    <t>SCOTIABANK DE PUERTO RICO  FDIC</t>
  </si>
  <si>
    <t>SCOTIABANK DE PUERTO RICO FDIC</t>
  </si>
  <si>
    <t>SCOTIABANK DE PUERTO RICO.</t>
  </si>
  <si>
    <t>SCOTIA CAPITAL (USA) INC</t>
  </si>
  <si>
    <t>IAN SPARKES AND MARIA SPARKES</t>
  </si>
  <si>
    <t>BNS65235 SCOTIA CAPITAL INC US OPERATIONS</t>
  </si>
  <si>
    <t>SCOTIA CAPITAL INC EQUITYSP</t>
  </si>
  <si>
    <t>SCOTIA CAPITAL INC EQUITYFSO</t>
  </si>
  <si>
    <t>SCOTIA CAPITAL USA INC</t>
  </si>
  <si>
    <t>SCOTIA CAPITAL USA</t>
  </si>
  <si>
    <t>SBI DERIVATIVE  PRODUCTS</t>
  </si>
  <si>
    <t>SCOTIABANC INC</t>
  </si>
  <si>
    <t>BNS DERIVATIVE PRODUCTS 66167</t>
  </si>
  <si>
    <t>FREESTONE MANAGED HOLDINGS LP - SERIES B</t>
  </si>
  <si>
    <t>ISHARES GOLD BULLION ETF</t>
  </si>
  <si>
    <t>IVOCLAR VIVADENT INC.</t>
  </si>
  <si>
    <t>IVOCLAR VIVADENT INC</t>
  </si>
  <si>
    <t>IVOCLAR VIVADENT,INC.</t>
  </si>
  <si>
    <t>AQR CAPITAL MANAGEMENT LLC CDEA</t>
  </si>
  <si>
    <t>AQR CAPITAL MANAGEMENT - BLOCK TRADE</t>
  </si>
  <si>
    <t>AQR CAPITAL MANAGEMENT LLC</t>
  </si>
  <si>
    <t>QUALITY MOVE MANAGEMENT INC</t>
  </si>
  <si>
    <t>KICKING HORSE COFFEE CO. LTD.</t>
  </si>
  <si>
    <t>DANSKE BANK A/S</t>
  </si>
  <si>
    <t>MTF_DANSKE BANK A/S CPH</t>
  </si>
  <si>
    <t>DANSKE BANK AS COPENHAGEN-SIF</t>
  </si>
  <si>
    <t>DANSKE BANK A/S COPENHAGEN</t>
  </si>
  <si>
    <t>MOORE CAPITAL MANAGEMENT LP CDEA BLOCK</t>
  </si>
  <si>
    <t>SCOTIABANK (IRELAND) DESIGNATED ACTIVITY COMPANY LIMITED DUB - 06955</t>
  </si>
  <si>
    <t>SCOTIABANK (IRELAND) DESIGNATED ACTIVITY COMPANY LIMITED DUB - 06925</t>
  </si>
  <si>
    <t>SCOTIABANK (IRELAND) DESIGNATED ACTIVITY COMPANY LIMITED DUB - 06945</t>
  </si>
  <si>
    <t>SCOTIABANK (IRELAND) DESIGNATED ACTIVITY COMPANY LIMITED DUB - 07035</t>
  </si>
  <si>
    <t>SCOTIABANK (IRELAND) DESIGNATED ACTIVITY COMPANY LIMITED DUB - 07055</t>
  </si>
  <si>
    <t>SCOTIABANK  IRELAND LTD DP (SCI)</t>
  </si>
  <si>
    <t>SCOTIABANK (IRELAND) DESIGNATED ACTIVITY COMPANY LIMITED</t>
  </si>
  <si>
    <t>SIDAC</t>
  </si>
  <si>
    <t>SCOTIABANK IRELAND-SIF</t>
  </si>
  <si>
    <t>SCOTIABANK (IRELAND) 38885 DP TORONTO</t>
  </si>
  <si>
    <t>SCOTIABANK IRELAND LTD TREASURY</t>
  </si>
  <si>
    <t>SIDAC GLOBAL EQUITY DERIVATIVES</t>
  </si>
  <si>
    <t>SCOTIABANK IRELAND LTD- (ASIA PACIFIC RIM)</t>
  </si>
  <si>
    <t>SCOTIABANK (IRELAND) LTD GLOBAL EQUITY FINANCE.</t>
  </si>
  <si>
    <t>SCOTIABANK (IRELAND) OFFSHORE BOOK (SIL)</t>
  </si>
  <si>
    <t>SCOTIABANK IRELAND LIMITED</t>
  </si>
  <si>
    <t>BNS 11395 SCOTIABK IRE</t>
  </si>
  <si>
    <t>SIDAC PRIME SERVICES</t>
  </si>
  <si>
    <t>SIL TERM FUNDING</t>
  </si>
  <si>
    <t>SIL TERM FUNDING - MONEY DESK</t>
  </si>
  <si>
    <t>SCOTIABANK (IRELAND) REPO BOOK (SIL)</t>
  </si>
  <si>
    <t>SCTL TERM FUNDING</t>
  </si>
  <si>
    <t>SCOTIABANK CARIBBEAN TREASURY LIMITED.</t>
  </si>
  <si>
    <t>SCTL TREASURY</t>
  </si>
  <si>
    <t>SCOTIABANK CARIBBEAN TREASURY LTD (BARBADOS</t>
  </si>
  <si>
    <t>SCOTIABANK CARIBBEAN TREASURY LIMITED - 04705</t>
  </si>
  <si>
    <t>SCOTIABANK CARIBBEAN TREASURY LTD.</t>
  </si>
  <si>
    <t>SCOTIABANK CARIB TREASURY LTD</t>
  </si>
  <si>
    <t>BANK OF NOVA SCOTIA GFI EMERGING SPOT (SCTL)</t>
  </si>
  <si>
    <t>SCOTIABANK CARIBBEAN TREASURY LIMITED</t>
  </si>
  <si>
    <t>SCOTIA CARIBBEAN TREASURY LIMITED</t>
  </si>
  <si>
    <t>CARIBBEAN BRANCHES</t>
  </si>
  <si>
    <t>CARIBBEAN BRANCHES EXTERNAL LOANS</t>
  </si>
  <si>
    <t>SCTL TERM FUNDING PRE 2008.</t>
  </si>
  <si>
    <t>BNS CARIBBEAN TREASURY UNIT BAH LTD</t>
  </si>
  <si>
    <t>SCOTIABANK CARIBBEAN TREASURY LTD</t>
  </si>
  <si>
    <t>SCOTIABANK CARIBBEAN TREASURY LMTD.</t>
  </si>
  <si>
    <t>SCOTIA CARIBBEAN TREASURY LIMITED (NASSAU)</t>
  </si>
  <si>
    <t>SCOTIA CARIBBEAN TREASURY LIMITED (MEX)</t>
  </si>
  <si>
    <t>VALE CANADA LIMITED</t>
  </si>
  <si>
    <t>VALE CANADA LTD.</t>
  </si>
  <si>
    <t>Silver Standard Resources Inc</t>
  </si>
  <si>
    <t>SSR MINING INC.</t>
  </si>
  <si>
    <t>GOLDCORP AUREUS INC</t>
  </si>
  <si>
    <t>AGINCOURT INVESTMENTS LTD</t>
  </si>
  <si>
    <t>THOMVEST SEED CAPITAL INC</t>
  </si>
  <si>
    <t>THOMVEST SEED CAPITAL INC.</t>
  </si>
  <si>
    <t>REDBUD TRUST</t>
  </si>
  <si>
    <t>AGNICO SONORA SA DE CV</t>
  </si>
  <si>
    <t>AGNICO SONORA S.A. DE C.V.</t>
  </si>
  <si>
    <t>MINERA SAN FRANCISCO DEL ORO S.A. DE C.V.</t>
  </si>
  <si>
    <t>MADRONA TRUST</t>
  </si>
  <si>
    <t>ELIZABETH GRIOT PETERSON</t>
  </si>
  <si>
    <t>NEWMONT GOLDEN RIDGE LIMITED</t>
  </si>
  <si>
    <t>Minera Frisco, S.A.B. De C.V.</t>
  </si>
  <si>
    <t>MINERA FRISCO S A B DE C V</t>
  </si>
  <si>
    <t>MINERA FRISCO S.A.B. DE C.V.</t>
  </si>
  <si>
    <t>MINERA FRISCO, S.A.B. DE C.V.</t>
  </si>
  <si>
    <t>FRANCO NEVADA CANADA HOLDINGS CORP</t>
  </si>
  <si>
    <t>RMLB, LLC</t>
  </si>
  <si>
    <t>ELEMETAL CAPITAL LLC</t>
  </si>
  <si>
    <t>ELEMETAL CAPITAL  LLC</t>
  </si>
  <si>
    <t>PEASE &amp; CURREN MATERIALS, INC</t>
  </si>
  <si>
    <t>COMMODITY INVESTMENT FUND LLC</t>
  </si>
  <si>
    <t>RPI FINANCE TRUST</t>
  </si>
  <si>
    <t>MINSUR S.A</t>
  </si>
  <si>
    <t>LMC BERMUDA LIMITED</t>
  </si>
  <si>
    <t>LMC BERMUDA LTD</t>
  </si>
  <si>
    <t>NUSANTARA DE MEXICO S.A. DE C.V.</t>
  </si>
  <si>
    <t>MINERA REAL DE ANGELES SA DE CV</t>
  </si>
  <si>
    <t>MINERA REAL DE ANGELES, S.A. DE C.V.</t>
  </si>
  <si>
    <t>AN2 LLC</t>
  </si>
  <si>
    <t>RIGEL FINANCIAL HOLDINGS INC.</t>
  </si>
  <si>
    <t>SCOTIABANK TRINIDAD AND TOBAGO LIMITED</t>
  </si>
  <si>
    <t>ANGLO AMERICAN CAPITAL PLC</t>
  </si>
  <si>
    <t>DRIVER UK MASTER SA</t>
  </si>
  <si>
    <t>NEPTUNE FRESH PRODUCE INC</t>
  </si>
  <si>
    <t>MIZUHO INTERNATIONAL PLC</t>
  </si>
  <si>
    <t>Mizuho International PLC</t>
  </si>
  <si>
    <t>SAMSUNG FUTURES INC</t>
  </si>
  <si>
    <t>TRAFIGURA INVESTMENT (CHINA) CO LTD</t>
  </si>
  <si>
    <t>LUNDIN MINING AB</t>
  </si>
  <si>
    <t>GWL AMERICAN GROWTH FUND (GAMGCA)</t>
  </si>
  <si>
    <t>LONDON LIFE AMERICAN GROWTH FUND (LAMGCA)</t>
  </si>
  <si>
    <t>SEASIDE PAPER PRODUCTS LTD</t>
  </si>
  <si>
    <t>HYDRO ALUMINIUM A.S.</t>
  </si>
  <si>
    <t>Hydro Aluminium AS</t>
  </si>
  <si>
    <t>CLOROX NEW ZEALAND LIMITED</t>
  </si>
  <si>
    <t>CITIC SECURITIES COMPANY LIMITED</t>
  </si>
  <si>
    <t>MACKENZIE UNCONSTRAINED FIXED INCOME FUND</t>
  </si>
  <si>
    <t>BMO BOND FUND</t>
  </si>
  <si>
    <t>BMO CORE BOND FUND</t>
  </si>
  <si>
    <t>BMO CORE PLUS BOND FUND</t>
  </si>
  <si>
    <t>GS+A TACTICAL FIXED INCOME FUND II GROUP</t>
  </si>
  <si>
    <t>GS+A TACTICAL FIXED INCOME FUND II</t>
  </si>
  <si>
    <t>PARK FUELS LTD</t>
  </si>
  <si>
    <t>WESTERN UNION INTERNATIONAL LIMITED</t>
  </si>
  <si>
    <t>BAL INTERNATIONAL INC.</t>
  </si>
  <si>
    <t>SCS Commodities Corp</t>
  </si>
  <si>
    <t>MONTANA SA</t>
  </si>
  <si>
    <t>AVIONCO CANADA LTD</t>
  </si>
  <si>
    <t>INTERTRADE METALS L.P.</t>
  </si>
  <si>
    <t>Intertrade Metals Limited Partnership</t>
  </si>
  <si>
    <t>ALPINE PARTNERS VI, LLC</t>
  </si>
  <si>
    <t>ABM RESEARCH LTD</t>
  </si>
  <si>
    <t>ELIZABETH GRANT INTERNATIONAL INC</t>
  </si>
  <si>
    <t>SPROTT BULL/BEAR RSP FUND</t>
  </si>
  <si>
    <t>SPROTT BULL BEAR RSP FUND</t>
  </si>
  <si>
    <t>PYROPURE INC.</t>
  </si>
  <si>
    <t>FRESENIUS MEDICAL CARE AG AND CO KGAA</t>
  </si>
  <si>
    <t>FRESENIUS SE &amp; CO. KGAA</t>
  </si>
  <si>
    <t>FRESENIUS SE AND CO KGAA</t>
  </si>
  <si>
    <t>DMP RESOURCE CLASS</t>
  </si>
  <si>
    <t>SHANGHAI INTERNATIONAL GOLD EXCHANGE CO LTD</t>
  </si>
  <si>
    <t>CANADIAN EQUITY VALUE CORPORATE CLASS</t>
  </si>
  <si>
    <t>8154686 CANADA INC</t>
  </si>
  <si>
    <t>ARPIS INDUSTRIES LTD</t>
  </si>
  <si>
    <t>CANADIAN REAL ESTATE ASSOCIATION</t>
  </si>
  <si>
    <t>ENSTOR ENERGY SERVICES LLC</t>
  </si>
  <si>
    <t>CONSOLIDATED EDISON ENERGY INC</t>
  </si>
  <si>
    <t>CARFIN FINANCE INTERNATIONAL DAC</t>
  </si>
  <si>
    <t>GPD TRADING INC</t>
  </si>
  <si>
    <t>DE SHAW REFRACTION PORTFOLIOS LLC</t>
  </si>
  <si>
    <t>DUQUESNE LIGHT COMPANY</t>
  </si>
  <si>
    <t>CABO BUENA ESPERANZA SA</t>
  </si>
  <si>
    <t>CENTRO DE NEGOCIOS EL CEDRAL CNEC SA</t>
  </si>
  <si>
    <t>DESARROLLOS PLAYA MARFIL SA</t>
  </si>
  <si>
    <t>DESARROLLOS ESCARLATA SA</t>
  </si>
  <si>
    <t>DESARROLLOS PLAYA MORENA PLAMOSA SA</t>
  </si>
  <si>
    <t>LOFTS AVENIDA ESCAZU SA</t>
  </si>
  <si>
    <t>PLAZA RIVIERA SA</t>
  </si>
  <si>
    <t>SUENOS INMOBILIARIOS SA</t>
  </si>
  <si>
    <t>TORRES MEDICAS DEL OESTE TMO SA</t>
  </si>
  <si>
    <t>KOOTENAY TONEWOOD LTD</t>
  </si>
  <si>
    <t>DARIN AMOS INFORMATION TECHNOLOGY</t>
  </si>
  <si>
    <t>PANGEO USA CORPORATION</t>
  </si>
  <si>
    <t>CANERECTOR INC</t>
  </si>
  <si>
    <t>ADVANCED SERIES TRUST AST BOND PORTFOLIO 2026</t>
  </si>
  <si>
    <t>CBRE LIMITED PARTNERSHIP</t>
  </si>
  <si>
    <t>EVONIK CORPORATION</t>
  </si>
  <si>
    <t>AGS AIRPORTS LIMITED</t>
  </si>
  <si>
    <t>APT PIPELINES LIMITED</t>
  </si>
  <si>
    <t>INMOBILIARIA GRUPO MW</t>
  </si>
  <si>
    <t>LEVICO LIGHTING LTD</t>
  </si>
  <si>
    <t>HUNTER DOUGLAS METALS LLC</t>
  </si>
  <si>
    <t>Hunter Douglas Metals LLC</t>
  </si>
  <si>
    <t>INTERNATIONAL FUND FOR AGRICULTURAL DEVELOPMENT</t>
  </si>
  <si>
    <t>KOCH METALS TRADING LIMITED</t>
  </si>
  <si>
    <t>Koch Metals Trading Ltd</t>
  </si>
  <si>
    <t>MGF GLOBAL RESOURCES FUND</t>
  </si>
  <si>
    <t>CUMMINS INC.</t>
  </si>
  <si>
    <t>CUMMINS INC</t>
  </si>
  <si>
    <t>CUMMINS INC REAL W CSA</t>
  </si>
  <si>
    <t>PLACEHOLDER CUMMINS INC W FAKE CSA</t>
  </si>
  <si>
    <t>CONTACT TECHNOLOGIES INC.</t>
  </si>
  <si>
    <t>CONTACT TECHNOLOGIES INC</t>
  </si>
  <si>
    <t>CALIPER INSPECTION LTD</t>
  </si>
  <si>
    <t>JH II ALTERNATIVE ASSET ALLOCATION</t>
  </si>
  <si>
    <t>DACURY AGENCIES CORPORATION</t>
  </si>
  <si>
    <t>TYCO ELECTRONICS GROUP S.A</t>
  </si>
  <si>
    <t>AccountOPL</t>
  </si>
  <si>
    <t>HUDBAY (BVI) INC</t>
  </si>
  <si>
    <t>INTERNATIONAL DEPOSITORY SERVICES OF CANADA</t>
  </si>
  <si>
    <t>ADFAM VENTURES INC - LYNN AND DAVID ADAMS</t>
  </si>
  <si>
    <t>NEW CREDIT FIRST NATIONS COMMUNITY TRUST</t>
  </si>
  <si>
    <t>OXITENO NORDESTE S.A.INDUSTRIA E COMERCIO</t>
  </si>
  <si>
    <t>CAE INC.</t>
  </si>
  <si>
    <t>THE TOCQUEVILLE GOLD FUND</t>
  </si>
  <si>
    <t>GOLDMONEY VAULT INC.</t>
  </si>
  <si>
    <t>BLUEQUEST RESOURCES AG</t>
  </si>
  <si>
    <t>REPSOL OIL AND GAS CANADA INC</t>
  </si>
  <si>
    <t>HH ROBERTS MACHINERY LIMITED</t>
  </si>
  <si>
    <t>BRITA CANADA CORP</t>
  </si>
  <si>
    <t>OREZ LTD.</t>
  </si>
  <si>
    <t>DUESMANN &amp; HENSEL RECYCLING NA, INC</t>
  </si>
  <si>
    <t>ECHO ENVIRONMENTAL WAVERLY, LLC</t>
  </si>
  <si>
    <t>PESQUERA NIROCI SAC</t>
  </si>
  <si>
    <t>ECHO ENVIRONMENTAL LLC</t>
  </si>
  <si>
    <t>TOKURIKI HONTEN CO LTD</t>
  </si>
  <si>
    <t>INDUST AND COML BK OF CHINA (MACAU)</t>
  </si>
  <si>
    <t>ABSOLUTE IMAGING INC</t>
  </si>
  <si>
    <t>NISSAN COLLATERALIZED AUTO RECEIVABLES LLC</t>
  </si>
  <si>
    <t>HINDALCO INDUSTRIES LIMITED</t>
  </si>
  <si>
    <t>PACIFIC INVESTMENT MANAGEMENT COMPANY LLC, SOLELY IN ITS CAPACITY AS ADVISOR ON BEHALF OF RETAIL CLERKS PENSION TRUST.</t>
  </si>
  <si>
    <t>SUPERIOR MEDICAL</t>
  </si>
  <si>
    <t>SCOTIABANK INVERLAT SA</t>
  </si>
  <si>
    <t>IG85_10MM_UNS_LE</t>
  </si>
  <si>
    <t>IG85_5MM_UNS_LE</t>
  </si>
  <si>
    <t>IG85_15MM_UNS_LE</t>
  </si>
  <si>
    <t>SCOTIABANK INVERLAT SA FID 11040292</t>
  </si>
  <si>
    <t>IG85_25MM_UNS_LE</t>
  </si>
  <si>
    <t>IG85_20MM_UNS_LE</t>
  </si>
  <si>
    <t>IG85_3MM_UNS_LE</t>
  </si>
  <si>
    <t>VENTAS INSTITUCIONALES</t>
  </si>
  <si>
    <t>SCOTIABANK INVERLAT S.A.</t>
  </si>
  <si>
    <t>SCOTIABANK INVERLAT SA FID 11040128</t>
  </si>
  <si>
    <t>SCOTIA INVERLAT CASA DE BOLSA SA CV</t>
  </si>
  <si>
    <t>SCOTIABANK INVERLAT SA DE CV</t>
  </si>
  <si>
    <t>BANCO INVERLAT</t>
  </si>
  <si>
    <t>SCOTIABANK INVERLAT S A</t>
  </si>
  <si>
    <t>CORPORATIVO MONTERREY</t>
  </si>
  <si>
    <t>SCOTIABANK INVERLAT SA FID 170074439</t>
  </si>
  <si>
    <t>TITULOS BANCARIOS ESTRUCTURADOS</t>
  </si>
  <si>
    <t>GRUPO ESPECIALIZADO DE DERIVADOS</t>
  </si>
  <si>
    <t>NAPOLES</t>
  </si>
  <si>
    <t>MODULO S.H.C.P.SAN LORENZO</t>
  </si>
  <si>
    <t>MODULO BOTURINI</t>
  </si>
  <si>
    <t>PATRIOTISMO</t>
  </si>
  <si>
    <t>DIVISION DEL NORTE PACIFICO</t>
  </si>
  <si>
    <t>LA ESTADIA CHILUCA</t>
  </si>
  <si>
    <t>MODULO TELEVISA SANTA FE</t>
  </si>
  <si>
    <t>GALERIAS CHALCO</t>
  </si>
  <si>
    <t>MODULO COMISION NACIONAL DEL AGUA</t>
  </si>
  <si>
    <t>SENDERO IXTAPALUCA</t>
  </si>
  <si>
    <t>TAXQUENA CULHUACAN</t>
  </si>
  <si>
    <t>SCOTIABANK INVERLAT S A  (ASIA PACIFIC RIM)</t>
  </si>
  <si>
    <t>SCOTIA INVERLAT CASA DE BOLSA, S.A. DE C.V.</t>
  </si>
  <si>
    <t>SCOTIA INVERLAT CASA DE BOLSA SA DE C.V.</t>
  </si>
  <si>
    <t>PLAZA VAQUERITOS</t>
  </si>
  <si>
    <t>LOS CEDROS TEPOZOTLAN</t>
  </si>
  <si>
    <t>PRINCIPAL MORELIA</t>
  </si>
  <si>
    <t>MUNOZ</t>
  </si>
  <si>
    <t>GALERIAS LAS TORRES</t>
  </si>
  <si>
    <t>PLAZA COLINAS</t>
  </si>
  <si>
    <t>SENDERO QUERETARO</t>
  </si>
  <si>
    <t>PLAZA DORADA</t>
  </si>
  <si>
    <t>RENACIMIENTO</t>
  </si>
  <si>
    <t>PRINCIPAL PACHUCA</t>
  </si>
  <si>
    <t>PLAZA UNIVERSIDAD PACHUCA</t>
  </si>
  <si>
    <t>PLAZA CRYSTAL</t>
  </si>
  <si>
    <t>PELLICER</t>
  </si>
  <si>
    <t>PLAZA 2000 - LOS MOCHIS</t>
  </si>
  <si>
    <t>PASEO MONTEJO</t>
  </si>
  <si>
    <t>PASEO CANCUN</t>
  </si>
  <si>
    <t>ATLACOMULCO CENTRO</t>
  </si>
  <si>
    <t>PRINCIPAL DELICIAS</t>
  </si>
  <si>
    <t>MODULO DELPHI</t>
  </si>
  <si>
    <t>INMOBILIARIA SCOTIA INVERLAT SA DE CV</t>
  </si>
  <si>
    <t>IG 85 UNSECURED</t>
  </si>
  <si>
    <t>PLAZA DEL MAR</t>
  </si>
  <si>
    <t>MODULO CASA DE BOLSA</t>
  </si>
  <si>
    <t>SCOTIA INVERLAT CASA DE BOLSA SA DE CV</t>
  </si>
  <si>
    <t>PALACIO DE HIERRO - CONDESA</t>
  </si>
  <si>
    <t>PLAZA LAS ANIMAS</t>
  </si>
  <si>
    <t>COSTA AZUL</t>
  </si>
  <si>
    <t>MEXICO</t>
  </si>
  <si>
    <t>PLAZA SCOTIABANK AGUASCALIENTES</t>
  </si>
  <si>
    <t>SERAFIN PENA</t>
  </si>
  <si>
    <t>PARQUE MEJORADA</t>
  </si>
  <si>
    <t>COLOSIO</t>
  </si>
  <si>
    <t>FUNDADORES</t>
  </si>
  <si>
    <t>MODULO HACIENDA HIDALGO</t>
  </si>
  <si>
    <t>MODULO SERVS PEMEX</t>
  </si>
  <si>
    <t>PARQUES POLANCO</t>
  </si>
  <si>
    <t>SCOTIABANK INVERLAT S.A. GRAND CAYMAN</t>
  </si>
  <si>
    <t>MASTERMELT REFINING SERVICES LIMITED</t>
  </si>
  <si>
    <t>VAC DEVELOPMENTS LIMITED</t>
  </si>
  <si>
    <t>PACIFIC INVESTMENT MANAGEMENT COMPANY LLC, SOLELY IN ITS CAPACITY AS ADVISOR ON BEHALF OF UBS PACE STRATEGIC FIXED INCOME INVESTMENTS</t>
  </si>
  <si>
    <t>CANADIAN NATIONAL EXHIBITION ASSOCIATION</t>
  </si>
  <si>
    <t>RICHARD SUNGHI YOON</t>
  </si>
  <si>
    <t>PACIFIC INVESTMENT MANAGEMENT COMPANY LLC, SOLELY IN ITS CAPACITY AS ADVISOR ON BEHALF OF  STICHTING BEDRIJFSTAKPENSIOENFONDS VOOR DE ZOETWARENINDUSTRIE</t>
  </si>
  <si>
    <t>PIMCO - VCON BLOCK ETRADING</t>
  </si>
  <si>
    <t>PIMCO BLOCK SUB ACCOUNT CDEA</t>
  </si>
  <si>
    <t>SUNSELECT PRODUCE LIMITED PARTNERSHIP</t>
  </si>
  <si>
    <t>JP MORGAN SECURITIES PLC</t>
  </si>
  <si>
    <t>JP Morgan Securities plc</t>
  </si>
  <si>
    <t>J.P. MORGAN SECURITIES PLC</t>
  </si>
  <si>
    <t>J.P. Morgan Securities PLC</t>
  </si>
  <si>
    <t>J P MORGAN SECURITIES PLC</t>
  </si>
  <si>
    <t>JP Morgan Securities PLC</t>
  </si>
  <si>
    <t>J.P.Morgan Securities Ltd</t>
  </si>
  <si>
    <t>J.P. Morgan Securities plc</t>
  </si>
  <si>
    <t>ABBEY NATIONAL TREASURY SERVICES PLC</t>
  </si>
  <si>
    <t>ABBEY NATIONAL TREASURY SERVICES PLC (US BRANCH STANFORD)</t>
  </si>
  <si>
    <t>ABBEY NATIONAL TREASURY SERVICES PLC LONDON</t>
  </si>
  <si>
    <t>ABBEY NATIONAL TREASURY SERVICES PLC NEW YORK</t>
  </si>
  <si>
    <t>ABBEY NATIONAL TREASURY SERVICE PLC</t>
  </si>
  <si>
    <t>Abbey National Treasury Services PLC</t>
  </si>
  <si>
    <t>ABBEY NATIONAL TREASURY SERVICES PLC HONG KONG</t>
  </si>
  <si>
    <t>ABBEY NATIONAL FINANCIAL PRODUCTS</t>
  </si>
  <si>
    <t>GROUPE BSM INC</t>
  </si>
  <si>
    <t>LONGLAC LUMBER INC</t>
  </si>
  <si>
    <t>BONAVISTA PETROLEUM</t>
  </si>
  <si>
    <t>JAMAC SALES LIMITED</t>
  </si>
  <si>
    <t>BLACKROCK LIABILITY SOLUTIONS FUNDS III TAILORED FUND XXX</t>
  </si>
  <si>
    <t>BLACKROCK LIABILITY SOLUTIONS FUNDS III TAILORED FUND XXXIV</t>
  </si>
  <si>
    <t>CLOROX AUSTRALIA PTY. LTD</t>
  </si>
  <si>
    <t>PRECISION PARTNERS HOLDING COMPANY</t>
  </si>
  <si>
    <t>FIMA SA</t>
  </si>
  <si>
    <t>STANLEY BLACK &amp; DECKER CANADA INC.</t>
  </si>
  <si>
    <t>WILLIS GROUP SERVICES LTD</t>
  </si>
  <si>
    <t>THE MORGAN CRUCIBLE CO PLC</t>
  </si>
  <si>
    <t>MORGAN ADVANCED MATERIALS PLC</t>
  </si>
  <si>
    <t>PROJECT MATERIALS CANADA</t>
  </si>
  <si>
    <t>DIGIFLARE INC</t>
  </si>
  <si>
    <t>PUGET ENERGY INC</t>
  </si>
  <si>
    <t>JYSKE BANK A.S.</t>
  </si>
  <si>
    <t>MACQUARIE BANK LIMITED SEOUL</t>
  </si>
  <si>
    <t>MACQUARIE BANK LTD</t>
  </si>
  <si>
    <t>Macquarie Bank Ltd</t>
  </si>
  <si>
    <t>MACQUARIE BANK LTD.</t>
  </si>
  <si>
    <t>MACQUARIE BANK LIMITED</t>
  </si>
  <si>
    <t>MACQUARIE BANK LIMITED CDEA</t>
  </si>
  <si>
    <t>MACQUARIE BANK LTD REPO</t>
  </si>
  <si>
    <t>MACQUARIE BANK LIMITED SYDNEY</t>
  </si>
  <si>
    <t>MACQUARIE BANK LTD GLOBAL EQUITY FINANCE</t>
  </si>
  <si>
    <t>WILLIS GROUP LIMITED</t>
  </si>
  <si>
    <t>FIRST TRUST INTERMEDIATE DURATION PREFERRED AND INCOME FUND - CDEA</t>
  </si>
  <si>
    <t>DOCKLANDS AVIATION GROUP LMITED</t>
  </si>
  <si>
    <t>BLACKROCK LIABILITY SOLUTIONS FUNDS II GBP TAILORED FUNDXIII</t>
  </si>
  <si>
    <t>BAR XH SALES INC</t>
  </si>
  <si>
    <t>LANDWIRTSCHAFTLICHE RENTENBANK FRANKFURT</t>
  </si>
  <si>
    <t>BRINK'S JAPAN LIMITED</t>
  </si>
  <si>
    <t>BRINKS JAPAN LTD</t>
  </si>
  <si>
    <t>BMO MSCI ALL COUNTRY WORLD HIGH QUALITY INDEX ETF</t>
  </si>
  <si>
    <t>TOTAL TERMINALS INTERNATIONAL LLC</t>
  </si>
  <si>
    <t>CREDIT SUISSE INTERNATIONAL</t>
  </si>
  <si>
    <t>CREDIT SUISSE INTERNATIONAL LDN</t>
  </si>
  <si>
    <t>CREDIT SUISSE INTERNATIONAL - SIF</t>
  </si>
  <si>
    <t>CREDIT SUISSE INTERNATIONAL-LONDON- (ASIA PACIF</t>
  </si>
  <si>
    <t>CREDIT SUISSE INTERNATIONAL   LONDON</t>
  </si>
  <si>
    <t>CREDIT SUISSE INTERNATIONAL LONDON 60095</t>
  </si>
  <si>
    <t>CREDIT SUISSE INTERNATIONAL LDN GLOBAL EQUITY FINANCE</t>
  </si>
  <si>
    <t>CREDIT SUISSE INTERNATIONAL  LONDON</t>
  </si>
  <si>
    <t>CREDIT SUISSE INTERNATIONAL LONDON</t>
  </si>
  <si>
    <t>CREDIT SUISSE INTERNATIONAL (GROUP TREASURY)</t>
  </si>
  <si>
    <t>Credit Suisse International</t>
  </si>
  <si>
    <t>EMPRESA ELECTRICA VENTANAS SA</t>
  </si>
  <si>
    <t>GITA JEWELLERS PTE LTD</t>
  </si>
  <si>
    <t>UNIGOLD INTERNATIONAL PTE LTD</t>
  </si>
  <si>
    <t>SPADOR-FLINOIS SA</t>
  </si>
  <si>
    <t>HANWHA TOTAL PETROCHEMICAL CO LTD</t>
  </si>
  <si>
    <t>NIEUPORT AVIATION INFRASTRUCTURE PARTNERS GP</t>
  </si>
  <si>
    <t>THE GEORGE BROWN COLLEGE FOUNDATION</t>
  </si>
  <si>
    <t>FURUKAWA ELECTRIC CO. LTD</t>
  </si>
  <si>
    <t>BERTLING TRANSGAS TANKERS SAC</t>
  </si>
  <si>
    <t>EPLI SAC</t>
  </si>
  <si>
    <t>SCOTIA PRIVATE INTERNATIONAL EQUITY POOL</t>
  </si>
  <si>
    <t>SCOTIA PRIVATE INTERNAT EQUITY POOL</t>
  </si>
  <si>
    <t>DENTSU INTERNATIONAL LIMITED</t>
  </si>
  <si>
    <t>SKYFER LOGISTIC INC</t>
  </si>
  <si>
    <t>CHINA MERCHANTS SECURITIES (UK) LIMITED</t>
  </si>
  <si>
    <t>GLOBE HERO (SINGAPORE) PTE LTD</t>
  </si>
  <si>
    <t>MICRON INDUSTRIES INC</t>
  </si>
  <si>
    <t>NORAM PETROLEUM LLC</t>
  </si>
  <si>
    <t>CEI ACQUISITION LLC</t>
  </si>
  <si>
    <t>CEI PIPELINE LLC</t>
  </si>
  <si>
    <t>CHAPARRAL CO2 LLC</t>
  </si>
  <si>
    <t>CHAPARRAL EXPLORATION LLC</t>
  </si>
  <si>
    <t>CHAPARRAL REAL ESTATE LLC</t>
  </si>
  <si>
    <t>CHAPARRAL RESOURCES LLC</t>
  </si>
  <si>
    <t>GREEN COUNTRY SUPPLY INC</t>
  </si>
  <si>
    <t>JGC FLOUR KITIMAT LNG PROJECT JV</t>
  </si>
  <si>
    <t>ROADRUNNER DRILLING LLC</t>
  </si>
  <si>
    <t>BOMBARDIER TRUST (CANADA)</t>
  </si>
  <si>
    <t>SCOTIA PRIVATE US MID CP GROWTH P</t>
  </si>
  <si>
    <t>SCOTIA PRIVATE US MID CAP VALUE POOL</t>
  </si>
  <si>
    <t>SCOTIA PRIVATE US VALUE POOL</t>
  </si>
  <si>
    <t>SCOTIA US DIVIDEND FUND</t>
  </si>
  <si>
    <t>SCOTIA US INDEX FUND</t>
  </si>
  <si>
    <t>US EQUITY ALPHA CORPORATE CLASS</t>
  </si>
  <si>
    <t>COMPANIA MINERA CHUNGAR S.A.C</t>
  </si>
  <si>
    <t>CAI CAPITAL PARTNERS GP INC.</t>
  </si>
  <si>
    <t>CAI CAPITAL PARTNERS &amp; CO. IV, L.P.</t>
  </si>
  <si>
    <t>EPCOR MERCHANT AND CAPITAL LP</t>
  </si>
  <si>
    <t>CP ENERGY MARKETING LP</t>
  </si>
  <si>
    <t>DYNAMIC ALPHA PERFORMANCE FUND</t>
  </si>
  <si>
    <t>DYNAMIC ALPHA PERFORMANCE HEDGING FUND</t>
  </si>
  <si>
    <t>BlueBay Funds - BUPA Pension Scheme Trustees Limited acting in its capacity as trustee of the BUPA Pension Scheme</t>
  </si>
  <si>
    <t>EMERGING MARKETS FOUNDATION FUND</t>
  </si>
  <si>
    <t>BONAVISTA CANADIAN EQUITY VALUE FUND</t>
  </si>
  <si>
    <t>TROJAN TECHNOLOGIES</t>
  </si>
  <si>
    <t>TROJAN TECHNOLOGIES INC</t>
  </si>
  <si>
    <t>BELL CANADA</t>
  </si>
  <si>
    <t>BROOKFIELD RENEWABLE PARTNERS ULC</t>
  </si>
  <si>
    <t>THE BANK OF LAO PEOPLES DEMOCRATIC REPUBLIC</t>
  </si>
  <si>
    <t>BROWN BROTHERS HARRIMAN TRUST COMPANY CAYMAN LIMITED AS A TRUSTEE OF PRU CREDIT INCOME FUND 2014 A SERIES TRUST OF THE MULTI MANAGER GLOBAL</t>
  </si>
  <si>
    <t>HERAEUS GMBH HOLDING A/C</t>
  </si>
  <si>
    <t>IG FRANKLIN BISSETT CANADIAN EQUITY CLASS II</t>
  </si>
  <si>
    <t>INTERNATIONAL EQUITY GROWTH CORPORATE CLASS</t>
  </si>
  <si>
    <t>ATB COMPASS BALANCED PORTFOLIO</t>
  </si>
  <si>
    <t>ATB - UNIVALT BALANCED</t>
  </si>
  <si>
    <t>ATB COMPASS BALANCED GROWTH PORTFOLIO</t>
  </si>
  <si>
    <t>PENSION PLAN FOR THE PRESBYTERIAN CHURCH IN CANADA</t>
  </si>
  <si>
    <t>JOHN HANCOCK INVESTMENT TRUST JOHN HANCOCK BALANCED FUND</t>
  </si>
  <si>
    <t>JOHN HANCOCK INVESTMENT TRUST II FINANCIAL INDUSTRIES FUND</t>
  </si>
  <si>
    <t>JOHN HANCOCK INVESTMENT TRUST II REGIONAL BANK FUND</t>
  </si>
  <si>
    <t>JOHN HANCOCK HIGH YIELD MUNICIPAL BOND FUND</t>
  </si>
  <si>
    <t>JOHN HANCOCK TAX FREE BOND</t>
  </si>
  <si>
    <t>SEAFOOD EXPRESS (PEI) LIMITED</t>
  </si>
  <si>
    <t>SEAFOOD EXPRESS PEI LTD</t>
  </si>
  <si>
    <t>1146476 B.C. LTD.</t>
  </si>
  <si>
    <t>SECURE ENERGY SERVICES INC</t>
  </si>
  <si>
    <t>SELECT INCOME MANAGED CORP CLASS</t>
  </si>
  <si>
    <t>BIMCOR INC., CANADA</t>
  </si>
  <si>
    <t>MANULIFE AM INTERNATIONAL EQUITY INDEX</t>
  </si>
  <si>
    <t>Shanghai Commercial &amp; Savings Bank, Ltd., The</t>
  </si>
  <si>
    <t>SHANGHAI COMMERCIAL AND SAVINGS BANK LTD</t>
  </si>
  <si>
    <t>SHORT TERM INCOME POOL</t>
  </si>
  <si>
    <t>SHANNEX INCORPORATED</t>
  </si>
  <si>
    <t>SIGNATURE EMERGING MARKETS FUND</t>
  </si>
  <si>
    <t>HIRAM WALKER AND SONS LIMITED</t>
  </si>
  <si>
    <t>AGF CANADIAN RESOURCES CLASS</t>
  </si>
  <si>
    <t>U.S. MID CAP FUND</t>
  </si>
  <si>
    <t>STATE BANK OF VIETNAM</t>
  </si>
  <si>
    <t>1083116 ALBERTA LTD</t>
  </si>
  <si>
    <t>MACKENZIE GLOBAL CONCENTRATED EQUITY FUND</t>
  </si>
  <si>
    <t>Teachers Pension Plan Trustee Inc. as Trustee for The Province of Nova Scotia Teachers Pension Fund</t>
  </si>
  <si>
    <t>ICICI BANK CANADA</t>
  </si>
  <si>
    <t>BOLIDEN MINERAL AB</t>
  </si>
  <si>
    <t>MANULIFE INVESTMENT TRUST STRATEGIC INCOME OPPORTUNITIES FUND</t>
  </si>
  <si>
    <t>SIGNATURE GLOBAL RESOURCE FUND</t>
  </si>
  <si>
    <t>IG MACKENZIE IVY EUROPEAN CLASS II</t>
  </si>
  <si>
    <t>DYNAMIC DIVIDEND ADVANTAGE FUND</t>
  </si>
  <si>
    <t>DYNAMIC EAFE VALUE CLASS FUND</t>
  </si>
  <si>
    <t>WASTE MANAGEMENT QUEBEC</t>
  </si>
  <si>
    <t>SCOTIA LATIN AMERICAN FUND</t>
  </si>
  <si>
    <t>INVESCO INTACTIVE BALANCED INC PORT</t>
  </si>
  <si>
    <t>INVESCO INTACTIVE GROWTH PORTF CLAS</t>
  </si>
  <si>
    <t>INVESCO INTACTIVE MAXIMUM GROWTH PO</t>
  </si>
  <si>
    <t>SELECT INTERNATIONAL EQUITY MANAGED CORPORATE CLASS</t>
  </si>
  <si>
    <t>MANULIFE ASSET MGMT GLOBAL FOCUS</t>
  </si>
  <si>
    <t>SOCIAL HOUSING CANADIAN SHORT-TERM BOND FUND</t>
  </si>
  <si>
    <t>AGF EUROPEAN EQUITY CLASS</t>
  </si>
  <si>
    <t>SCOTIA TR INTL EQ COM TRUST</t>
  </si>
  <si>
    <t>SCOTIA TRUST INTERNATIONAL EQUITY COMMON TRUST FUND</t>
  </si>
  <si>
    <t>BANCA CR FIRENZE SPA</t>
  </si>
  <si>
    <t>SOPREMA INC</t>
  </si>
  <si>
    <t>SOPREMA INC.</t>
  </si>
  <si>
    <t>BNS INTERNATIONAL BARBADOS LTD (SCTL)</t>
  </si>
  <si>
    <t>1157472 ONTARIO LIMITED O/A HG INTERNATIONAL</t>
  </si>
  <si>
    <t>CABLETEST SYSTEMS INC</t>
  </si>
  <si>
    <t>JOHN HANCOCK FINANCIAL OPPORTUNITIES FUND</t>
  </si>
  <si>
    <t>MEXICO CLUB 1 LP</t>
  </si>
  <si>
    <t>JOHN HANCOCK PREFERRED INCOME FUND</t>
  </si>
  <si>
    <t>JOHN HANCOCK PREFERRED INCOME FUND II</t>
  </si>
  <si>
    <t>JOHN HANCOCK PREFERRED INCOME FUND III</t>
  </si>
  <si>
    <t>JOHN HANCOCK PREMIUM DIVIDEND FUND</t>
  </si>
  <si>
    <t>JOHN HANCOCK TAX ADVANTAGED DIVIDEND INCOME FUND</t>
  </si>
  <si>
    <t>STANDARD LIFE BALANCED FUND</t>
  </si>
  <si>
    <t>MANULIFE CANADIAN DIVIDEND GROWTH FUND</t>
  </si>
  <si>
    <t>STANDARD LIFE CANADIAN EQUITY FUND</t>
  </si>
  <si>
    <t>SELECT INTERNATIONAL EQUITY MANAGED FUND DD</t>
  </si>
  <si>
    <t>SELECT INTERNATIONAL EQUITY MANAGED FUND</t>
  </si>
  <si>
    <t>SELECT INTERNATIONAL EQUITY MANAGED FUND AA</t>
  </si>
  <si>
    <t>SELECT INTERNATIONAL EQUITY MANAGED</t>
  </si>
  <si>
    <t>AST PRUDENTIAL GROWTH ALLOCATION PORTFOLIO CORE PLUS LIMITED</t>
  </si>
  <si>
    <t>BMO S&amp;P/TSX EQUAL WEIGHT GLOBAL GOLD INDEX ETF</t>
  </si>
  <si>
    <t>BMO S&amp;P/TSX EQUAL WEIGHT GLOBAL BASE METALS HEDGED TO CAD INDEX ETF</t>
  </si>
  <si>
    <t>CANADIAN ELECTROCOATING LTD</t>
  </si>
  <si>
    <t>TD ASSET MANAGEMENT 1558</t>
  </si>
  <si>
    <t>TD ASSET MANAGEMENT T1509</t>
  </si>
  <si>
    <t>TD ASSET MANAGEMENT 1531</t>
  </si>
  <si>
    <t>MANULIFE CANADIAN DIVIDEND INCOME FUND</t>
  </si>
  <si>
    <t>MANULIFE EMERGING MARKETS FUND</t>
  </si>
  <si>
    <t>MANULIFE GLOBAL EQUITY UNCONSTRAINED FUND</t>
  </si>
  <si>
    <t>SELECT CANADIAN EQUITY MANAGED CORPORATE CLASS</t>
  </si>
  <si>
    <t>SELECT CANADIAN EQUITY MANAGED CORPORATE CLASS EE</t>
  </si>
  <si>
    <t>WILD GRAY CAPITAL MANAGEMENT GROUP INC</t>
  </si>
  <si>
    <t>CANADIAN GERMAN CHAMBER OF INDUSTRY AND COMMERCE INC.</t>
  </si>
  <si>
    <t>TD ASSET MANAGEMENT T47773</t>
  </si>
  <si>
    <t>JOYLYPSO INC.</t>
  </si>
  <si>
    <t>NIVEL INC AND RENNAT INC AND JOYLYP</t>
  </si>
  <si>
    <t>TD ASSET MANAGEMENT 41829</t>
  </si>
  <si>
    <t>SPECTRA ENERGY EMPRESS LP</t>
  </si>
  <si>
    <t>GUNG KEE JIM OA G K JIM FARMS.</t>
  </si>
  <si>
    <t>CC&amp;L GROUP INCOME &amp; GROWTH FUND</t>
  </si>
  <si>
    <t>EAST COAST INVESTMENT GRADE II FUND</t>
  </si>
  <si>
    <t>PACIFIC INVESTMENT MANAGEMENT COMPANY LLC, SOLELY IN ITS CAPACITY AS ADVISOR ON BEHALF OF BRUNEI SHELL FUNDS SENDIRIAN BERHAD AS TRUSTEE OF BRUNEI SHELL RETIREMENT BENEFIT FUND</t>
  </si>
  <si>
    <t>MANULIFE U.S. DIVIDEND INCOME FUND</t>
  </si>
  <si>
    <t>MANULIFE UNHEDGED US MONTHLY HIGH INCOME FUND HY SLEEVE</t>
  </si>
  <si>
    <t>AGF GLOBAL EQUITY CLASS</t>
  </si>
  <si>
    <t>AGF GLOBAL RESOURCES CLASS</t>
  </si>
  <si>
    <t>AGF GLOBAL REAL ASSETS CLASS</t>
  </si>
  <si>
    <t>SALVATION ARMY OFFICER RETIREMENT TRUST FUND PENSION PLAN</t>
  </si>
  <si>
    <t>PHN LONG INVESTMENT GRADE CORPORATE BOND TRUST</t>
  </si>
  <si>
    <t>PRATT &amp; WHITNEY CANADA CORP. MASTER TRUST FUND</t>
  </si>
  <si>
    <t>DLF PICKSEED CANADA INC</t>
  </si>
  <si>
    <t>DOFASCO INC. EMPLOYEES SAVINGS AND PROFIT SHARING FUND</t>
  </si>
  <si>
    <t>DOFASCO INC. SUPPLEMENTARY EMPLOYEE RETIREMENT PLAN</t>
  </si>
  <si>
    <t>DYNAMIC MONEY MARKET CLASS</t>
  </si>
  <si>
    <t>KUWAIT INVESTMENT AUTHORITY</t>
  </si>
  <si>
    <t>AGF GLOBAL SELECT FUND</t>
  </si>
  <si>
    <t>AGF US SMALL-MID CAP FUND</t>
  </si>
  <si>
    <t>AGF AMERICAN GROWTH CLASS</t>
  </si>
  <si>
    <t>STICHTING MN SERVICES OBLIGATIEFONDS EMERGING MARKETS CORE HARD CURRENCY EMERGING MARKET DEBT PORTFOLIO</t>
  </si>
  <si>
    <t>STICHTING PENSIOEN FONDS METAAL EN TECHNIEK - CORE HARD CURRENCY EMERGING MARKETS DEBT PORTFOLIO</t>
  </si>
  <si>
    <t>STICHTING PENSIOEN FONDS METAAL EN TECHNIEK - CORE LOCAL CURRENCY EMERGING MARKETS DEBT PORTFOLIO</t>
  </si>
  <si>
    <t>FRESENIUS KABI AG</t>
  </si>
  <si>
    <t>CC&amp;L CUSTOM LONG TERM FIXED INCOME FUND (FI QUANT) (129001)</t>
  </si>
  <si>
    <t>CC&amp;L MARKET NEUTRAL ONSHORE FUND</t>
  </si>
  <si>
    <t>CC&amp;L Q GLOBAL EQUITY FUND</t>
  </si>
  <si>
    <t>CC&amp;L Q GROUP GLOBAL EQUITY FUND</t>
  </si>
  <si>
    <t>CC&amp;L Q INTERNATIONAL EQUITY FUND</t>
  </si>
  <si>
    <t>LOGISTEC CORPORATION</t>
  </si>
  <si>
    <t>LORAMA GROUP INC</t>
  </si>
  <si>
    <t>RBC QUANT U.S. DIVIDEND LEADERS ETF</t>
  </si>
  <si>
    <t>RBC US MONTHLY INCOME FUND</t>
  </si>
  <si>
    <t>GLOBAL FOCUSED OPPORTUNITIES FUND</t>
  </si>
  <si>
    <t>STORNOWAY DIAMOND CORPORATION</t>
  </si>
  <si>
    <t>SUBSIDIZED SCHOOLS PROVIDENT FUND</t>
  </si>
  <si>
    <t>MICHROZ INC</t>
  </si>
  <si>
    <t>IG MACKENZIE INCOME FUND</t>
  </si>
  <si>
    <t>FOREIGN BOND COMPONENT OF SYMMETRY GLOBAL BOND FUND</t>
  </si>
  <si>
    <t>GEM GLOBAL EQUITY POOL</t>
  </si>
  <si>
    <t>ITAU CORPBANCA SA</t>
  </si>
  <si>
    <t>CORPBANCA</t>
  </si>
  <si>
    <t>ITAU CORPBANCA SA CHILE</t>
  </si>
  <si>
    <t>CORPBANCA (CHILE)</t>
  </si>
  <si>
    <t>ITAU CORPBANCA SA NEW YORK</t>
  </si>
  <si>
    <t>MANULIFE CANADIAN BALANCED PRIVATE POOL</t>
  </si>
  <si>
    <t>PROVINCE OF NEWFOUNDLAND AND LABRADOR</t>
  </si>
  <si>
    <t>GUARDIAN I3 GLOBAL DIVIDEND GROWTH FUND</t>
  </si>
  <si>
    <t>MACKENZIE IVY CANADIAN BALANCED FUND (612AA)</t>
  </si>
  <si>
    <t>MACKENZIE IVY CANADIAN BALANCED FUND</t>
  </si>
  <si>
    <t>MACKENZIE CANADIAN LARGE CAP BALANCED FUND</t>
  </si>
  <si>
    <t>MANULIFE INVESTMENT EXCHANGE FUNDS CORP. - MANULIFE CANADIAN EQUITY PRIVATE POOL</t>
  </si>
  <si>
    <t>MANULIFE CORPORATE FIXED INCOME PRIVATE POOL</t>
  </si>
  <si>
    <t>GWL INCOME FUND (6.06M)</t>
  </si>
  <si>
    <t>MACKENZIE CANADIAN BOND FUND</t>
  </si>
  <si>
    <t>MACKENZIE CANADIAN MONEY MARKET FUND</t>
  </si>
  <si>
    <t>MACKENZIE STRATEGIC INCOME FUND</t>
  </si>
  <si>
    <t>MACKENZIE STRATEGIC INCOME FUND NORTH AMERICAN EQUITY</t>
  </si>
  <si>
    <t>MACKENZIE STRATEGIC INCOME FUND FIXED INCOME</t>
  </si>
  <si>
    <t>MACKENZIE STRATEGIC INCOME FUND GLOBAL EQUITY &amp; INCOME</t>
  </si>
  <si>
    <t>PUBLIC SERVICE SUPERANNUATION PLAN</t>
  </si>
  <si>
    <t>ALMAT PHARMACHEM INC</t>
  </si>
  <si>
    <t>ALMIDONES MEXICANOS SA DE CV</t>
  </si>
  <si>
    <t>ALMIDONES MEXICANOS S A DE C V</t>
  </si>
  <si>
    <t>TD ASSET MANAGEMENT 47512</t>
  </si>
  <si>
    <t>TD ASSET MANAGEMENT 47512012</t>
  </si>
  <si>
    <t>TD ASSET MANAGEMENT 47512011</t>
  </si>
  <si>
    <t>TD ASSET MANAGEMENT 47512013</t>
  </si>
  <si>
    <t>TD ASSET MANAGEMENT 47512014</t>
  </si>
  <si>
    <t>TD ASSET MANAGEMENT 41680</t>
  </si>
  <si>
    <t>MACKENZIE GLOBAL SMALL CAP GROWTH CLASS</t>
  </si>
  <si>
    <t>RHP HOTEL PROPERTIES LP</t>
  </si>
  <si>
    <t>RUBENSTEIN RB DIGITAL INC.</t>
  </si>
  <si>
    <t>ASTON HILL GLOBAL GROWTH AND INCOME</t>
  </si>
  <si>
    <t>FORESTERS ASSET MANAGEMENT INC. (AS AGENT)</t>
  </si>
  <si>
    <t>MACKENZIE CANADIAN SHORT TERM INCOME FUND</t>
  </si>
  <si>
    <t>MACKENZIE STRATEGIC INCOME CLASS</t>
  </si>
  <si>
    <t>MACKENZIE US MID CAP GROWTH CURRENCY NEUTRAL CLASS</t>
  </si>
  <si>
    <t>MACKENZIE CANADIAN GROWTH BALANCED FUND</t>
  </si>
  <si>
    <t>MACKENZIE CANADIAN GROWTH FUND</t>
  </si>
  <si>
    <t>MACKENZIE INTERNATIONAL GROWTH FUND</t>
  </si>
  <si>
    <t>MCCOY GLOBAL INC</t>
  </si>
  <si>
    <t>CHINA CITIC BANK CORPORATION LIMITED</t>
  </si>
  <si>
    <t>China CITIC Bank Corporation Limite</t>
  </si>
  <si>
    <t>MANULIFE DIVIDEND INCOME PRIVATE POOL</t>
  </si>
  <si>
    <t>FSG00426</t>
  </si>
  <si>
    <t>TD ASSET MANAGEMENT 385317</t>
  </si>
  <si>
    <t>TD ASSET MANAGEMENT T1151</t>
  </si>
  <si>
    <t>TORONTO TRANSIT COMMISSION PENSION</t>
  </si>
  <si>
    <t>TORONTO TRANSIT COMMISSION PENSION FUND SOCIETY-48115001</t>
  </si>
  <si>
    <t>TORONTO TRANSIT COMMISSION PENSION FUND SOCIETY-48115002</t>
  </si>
  <si>
    <t>TORONTO TRANSIT COMMISSION PENSION FUND SOCIETY</t>
  </si>
  <si>
    <t>TTC PENSION FUND SOCIETY</t>
  </si>
  <si>
    <t>TURKIYE GARANTI BANKASI A.S</t>
  </si>
  <si>
    <t>DOW CHEMICAL CANADA ULC</t>
  </si>
  <si>
    <t>TD ASSET MANGEMENT 1099002</t>
  </si>
  <si>
    <t>TD ASSET MANAGEMENT T1099</t>
  </si>
  <si>
    <t>TD ASSET MANAGMENT 1099001</t>
  </si>
  <si>
    <t>TD ASSET MANAGEMENT 1110</t>
  </si>
  <si>
    <t>TD ASSET MANAGEMENT T1218</t>
  </si>
  <si>
    <t>TD ASSET MANAGEMENT T1431002</t>
  </si>
  <si>
    <t>TD ASSET MANAGEMENT T1431001</t>
  </si>
  <si>
    <t>TD ASSET MANAGEMENT T1431</t>
  </si>
  <si>
    <t>TD ASSET  MANAGEMENT 1063</t>
  </si>
  <si>
    <t>ZURCHER KANTONALBANK</t>
  </si>
  <si>
    <t>ZURCHER KANTONAL BANK</t>
  </si>
  <si>
    <t>ONTARIO PENSION BOARD</t>
  </si>
  <si>
    <t>DBS BANK LTD</t>
  </si>
  <si>
    <t>DBS Bank Ltd</t>
  </si>
  <si>
    <t>DEVELOPMENT BANK OF SINGAPORE LTD-SPORE- (ASIA PACIFIC RIM)</t>
  </si>
  <si>
    <t>DBS BANK,</t>
  </si>
  <si>
    <t>DBS BANK LTD HONGKONG</t>
  </si>
  <si>
    <t>DBS BANK LIMITED</t>
  </si>
  <si>
    <t>DBS BANK LTD (FORMERLY DEVELOPMENT BANK OF SINGAPORE LIMITED)</t>
  </si>
  <si>
    <t>THE DEVELOPMENT BANK OF SINGAPORE</t>
  </si>
  <si>
    <t>INTACT PENSION FUNDS MASTER TRUST</t>
  </si>
  <si>
    <t>INTACT PENSION FUNDS - MASTER TRUST</t>
  </si>
  <si>
    <t>BANK OF CANADA PENSION PLAN</t>
  </si>
  <si>
    <t>BANK OF CANADA PENSION FUND REAL ESTATE</t>
  </si>
  <si>
    <t>BANK OF CANADA PENSION FUND SPOT</t>
  </si>
  <si>
    <t>TD ASSET MANAGEMENT T1094</t>
  </si>
  <si>
    <t>TD ASSET MANAGEMENT 1094002</t>
  </si>
  <si>
    <t>TD ASSET MANAGEMENT 1094001</t>
  </si>
  <si>
    <t>TD ASSET MANAGEMENT T1093</t>
  </si>
  <si>
    <t>TD ASSET MANAGEMENT 1152005</t>
  </si>
  <si>
    <t>TD ASSET MANAGEMENT 1152004</t>
  </si>
  <si>
    <t>TD ASSET MANAGMENT 1152006</t>
  </si>
  <si>
    <t>TD ASSET MANAGEMENT T1152</t>
  </si>
  <si>
    <t>TD ASSET MANAGEMENT 1152003</t>
  </si>
  <si>
    <t>TD ASSET MANAGEMENT 1152002</t>
  </si>
  <si>
    <t>TD ASSET MANAGEMENT T1080</t>
  </si>
  <si>
    <t>TD ASSET MANAGEMENT 108001</t>
  </si>
  <si>
    <t>TD DIVIDEND INCOME FUND 108003</t>
  </si>
  <si>
    <t>TD DIVIDEND INCOME FUND 108001</t>
  </si>
  <si>
    <t>TD DIVIDEND INCOME FUND 108004</t>
  </si>
  <si>
    <t>TD DIVIDEND INCOME FUND 108002</t>
  </si>
  <si>
    <t>TD ASSET MANAGEMENT 1517</t>
  </si>
  <si>
    <t>TD ASSET MANAGEMENT T1522</t>
  </si>
  <si>
    <t>TD ASSET MANAGEMENT 1522001</t>
  </si>
  <si>
    <t>TD ASSET MANAGEMENT 1522002</t>
  </si>
  <si>
    <t>TD ASSET MANAGEMENT T1572</t>
  </si>
  <si>
    <t>CI INCOME FUND</t>
  </si>
  <si>
    <t>SELECT INCOME ADVANTAGE MANAGED FUND</t>
  </si>
  <si>
    <t>CI INCOME FUND KK</t>
  </si>
  <si>
    <t>CI INCOME FUND BB</t>
  </si>
  <si>
    <t>CI INCOME FUND CC</t>
  </si>
  <si>
    <t>CI INCOME FUND EE</t>
  </si>
  <si>
    <t>CI INCOME FUND AA</t>
  </si>
  <si>
    <t>DYNAMIC ACTIVE CORE BOND PRIVATE POOL</t>
  </si>
  <si>
    <t>DYNAMIC ALTERNATIVE INVESTMENT PRIVATE POOL CLASS</t>
  </si>
  <si>
    <t>DYNAMIC ALT INVSTMNT PRVT POOL CLS</t>
  </si>
  <si>
    <t>DYNAMIC ALTERNATIVE INVESTMENTS PRIVATE POOL CLASS</t>
  </si>
  <si>
    <t>MANULIFE LIFE INSURANCE COMPANY (MANULIFE JAPAN)</t>
  </si>
  <si>
    <t>MANULIFE LIFE INSURANCE COMPANY MANULIFE JAPAN</t>
  </si>
  <si>
    <t>CC&amp;L SHORT TERM BOND FUND</t>
  </si>
  <si>
    <t>TD ASSET MANAGEMENT 1039001</t>
  </si>
  <si>
    <t>TD ASSET MANAGEMENT 1039002</t>
  </si>
  <si>
    <t>TD ASSET MANAGEMENT 1039</t>
  </si>
  <si>
    <t>TD ASSET MANAGEMENT 1039003</t>
  </si>
  <si>
    <t>TD ASSET MANAGEMENT 1038</t>
  </si>
  <si>
    <t>TD ASSET MANAGEMENT T1140</t>
  </si>
  <si>
    <t>TD MONTHLY INCOME FUND 1140004</t>
  </si>
  <si>
    <t>TD MONTHLY INCOME FUND 1140001</t>
  </si>
  <si>
    <t>TD MONTHLY INCOME FUND 1140003</t>
  </si>
  <si>
    <t>TD MONTHLY INCOME FUND 1140002</t>
  </si>
  <si>
    <t>TD ASSET MANAGEMENT T1216</t>
  </si>
  <si>
    <t>TD ASSET MANAGEMENT T1127003</t>
  </si>
  <si>
    <t>TD ASSET MANAGEMENT T1127002</t>
  </si>
  <si>
    <t>TD ASSET MANAGEMENT T1127</t>
  </si>
  <si>
    <t>TD ASSET MANAGEMENT T1127001</t>
  </si>
  <si>
    <t>TD ASSET MANAGEMENT 1109002</t>
  </si>
  <si>
    <t>TD ASSET MANAGEMENT 1109</t>
  </si>
  <si>
    <t>TD ASSET MANAGEMENT 1109001</t>
  </si>
  <si>
    <t>TD ASSET MANAGEMENT 1109003</t>
  </si>
  <si>
    <t>TD ASSET MANAGEMENT  T1065</t>
  </si>
  <si>
    <t>TD GLOBAL BALANCED OPPORTUNITIES 1681006</t>
  </si>
  <si>
    <t>TD GLOBAL BALANCED OPPORTUNITIES 1681007</t>
  </si>
  <si>
    <t>TD ASSET MANAGEMENT 1681008</t>
  </si>
  <si>
    <t>TD ASSET MANAGEMENT T1681</t>
  </si>
  <si>
    <t>TD ASSET MANAGEMENT 1681005</t>
  </si>
  <si>
    <t>TD ASSET MANAGEMENT 1681004</t>
  </si>
  <si>
    <t>TD ASSET MANAGEMENT 1681002</t>
  </si>
  <si>
    <t>TD ASSET MANAGEMENT 1681001</t>
  </si>
  <si>
    <t>TD ASSET MANAGEMENT T1215</t>
  </si>
  <si>
    <t>DYNAMIC AURION TOTAL RETURN BOND CLASS FUND - REGULATED MUTUAL FUND TRUST</t>
  </si>
  <si>
    <t>DYNAMIC AURION TOTAL RETURN BOND CL</t>
  </si>
  <si>
    <t>MANULIFE MACKENZIE INCOME GIF</t>
  </si>
  <si>
    <t>THE FREE METHODIST CHURCH IN CANADA</t>
  </si>
  <si>
    <t>MANULIFE IVY FOREIGN EQUITY FUND</t>
  </si>
  <si>
    <t>MANULIFE STRATEGIC INCOME CLASS</t>
  </si>
  <si>
    <t>REAL ESTATE INVESTMENT CORPOR CLASS</t>
  </si>
  <si>
    <t>DELOITTE  LLP</t>
  </si>
  <si>
    <t>DELOITTE LLP</t>
  </si>
  <si>
    <t>SARAH MACDONALD</t>
  </si>
  <si>
    <t>SCOTIA CANADIAN BOND INDEX FUND</t>
  </si>
  <si>
    <t>WORLD ANTI DOPING AGENCY</t>
  </si>
  <si>
    <t>YELLOW PAGES GROUP CO</t>
  </si>
  <si>
    <t>INSTITUTO COSTARRICENSE DE ELECTRICIDAD</t>
  </si>
  <si>
    <t>PORCELANITE LAMOSA S.A. DE CV</t>
  </si>
  <si>
    <t>PORCELANITE LAMOSA SA DE C V</t>
  </si>
  <si>
    <t>PORCELANITE LAMOSA SA DE CV</t>
  </si>
  <si>
    <t>SANITARIOS LAMOSA S.A. DE C.V.</t>
  </si>
  <si>
    <t>OESTERREICHISCHE NATIONAL BANK</t>
  </si>
  <si>
    <t>OESTERREICHISCHE NATIONALBANK</t>
  </si>
  <si>
    <t>SIGNATURE EMERGING MARKETS CORPORATE CLASS</t>
  </si>
  <si>
    <t>US EQUITY VALUE CORPORATE CLASS</t>
  </si>
  <si>
    <t>CMA PENSION PLAN</t>
  </si>
  <si>
    <t>TD ASSET MANAGEMENT T1553</t>
  </si>
  <si>
    <t>RBC EUROPEAN DIVIDEND FUND</t>
  </si>
  <si>
    <t>RBC US MID CAP VALUE EQUITY FUND</t>
  </si>
  <si>
    <t>RBC GLOBAL EQUITY FOCUS FUND</t>
  </si>
  <si>
    <t>MAM CA SHORT DURATION FI</t>
  </si>
  <si>
    <t>MANUFACTURERS LIFE REINSURANCE LTD 4979</t>
  </si>
  <si>
    <t>MANUFACTURERS LIFE REINSURANCE LIMITED</t>
  </si>
  <si>
    <t>DYNAMIC EMERGING MARKETS CLASS</t>
  </si>
  <si>
    <t>DYNAMIC GLOBAL EQ PRIVATE POOL CLAS</t>
  </si>
  <si>
    <t>DYNAMIC GLOBAL EQUITY PRIVATE POOL CLASS</t>
  </si>
  <si>
    <t>NBIMC EXTERNAL CANADIAN EQUITY FUND</t>
  </si>
  <si>
    <t>RBC INTERNATIONAL DIVIDEND GROWTH FUND</t>
  </si>
  <si>
    <t>MICHELIN NORTH AMERICA (CANADA) INC. MASTER TRUST</t>
  </si>
  <si>
    <t>FEDERAL REPUBLIC OF GERMANY</t>
  </si>
  <si>
    <t>MARANELLO SPORTS INC.</t>
  </si>
  <si>
    <t>MARANELLO SPORTS INC</t>
  </si>
  <si>
    <t>THYSSENKRUPP MATERIALS CA LTD</t>
  </si>
  <si>
    <t>CI AMERICAN MANAGERS CORP CLASS A</t>
  </si>
  <si>
    <t>CI GLOBAL CORPORATE CLASS</t>
  </si>
  <si>
    <t>IG MACKENZIE PACIFIC INTERNATIONAL FUND</t>
  </si>
  <si>
    <t>INVESTORS PACIFIC INTERNATIONAL FUND</t>
  </si>
  <si>
    <t>CIBC PENSION PLAN (12995)</t>
  </si>
  <si>
    <t>CIBC PENSION PLAN</t>
  </si>
  <si>
    <t>CIBC PENSION PLAN (12998)</t>
  </si>
  <si>
    <t>CIBC PENSION PLAN (13990)</t>
  </si>
  <si>
    <t>CIBC PENSION PLAN (13992)</t>
  </si>
  <si>
    <t>CIBC PENSION PLAN (13904)</t>
  </si>
  <si>
    <t>CIBC PENSION PLAN (12996)</t>
  </si>
  <si>
    <t>CIBC PENSION PLAN (13998)</t>
  </si>
  <si>
    <t>CIBC PENSION PLAN (13997)</t>
  </si>
  <si>
    <t>CIBC PENSION PLAN (13996)</t>
  </si>
  <si>
    <t>CIBC PENSION PLAN (13995)</t>
  </si>
  <si>
    <t>CIBC PENSION PLAN (13993)</t>
  </si>
  <si>
    <t>CIBC PENSION PLAN (12997)</t>
  </si>
  <si>
    <t>BANQUE PICTET &amp; CIE SA</t>
  </si>
  <si>
    <t>BANQUE PICTET AND CIE SA</t>
  </si>
  <si>
    <t>CORBY SPIRIT AND WINE LTD</t>
  </si>
  <si>
    <t>DYNAMIC US SECTOR FOCUS CLASS</t>
  </si>
  <si>
    <t>TOUCHSTONE EXPLORATION INC</t>
  </si>
  <si>
    <t>TRIMARK INTEREST SEG FUND</t>
  </si>
  <si>
    <t>CTBC BANK CORP. (CANADA)</t>
  </si>
  <si>
    <t>HI-FLYER FOOD (CANADA) INC.</t>
  </si>
  <si>
    <t>HI FLYER FOOD CANADA INC</t>
  </si>
  <si>
    <t>HOLMAN FARMING COMPANY INC</t>
  </si>
  <si>
    <t>NBIMC LOW VOLATILITY EMERGING MARKETS EQUITY FUND</t>
  </si>
  <si>
    <t>NBIMC LOW VOLATILITY EMERGING MARKETS EQUITY FUND-CLASS N</t>
  </si>
  <si>
    <t>CHOW TAI FOOK JEWELLERY GROUP LTD</t>
  </si>
  <si>
    <t>GOLD LINKAGE BULLION CO LTD</t>
  </si>
  <si>
    <t>SK INNOVATION CO LTD</t>
  </si>
  <si>
    <t>WESTSHORE TERMINALS LIMITED PARTNERSHIP</t>
  </si>
  <si>
    <t>WILSON TRANSPORTATION AND LEASING GROUP (CANADA) INC</t>
  </si>
  <si>
    <t>WILSON TRANSPORTATION AND LEASING GROUP(CANADA)INC</t>
  </si>
  <si>
    <t>VESTCOR INC. AS AGENT</t>
  </si>
  <si>
    <t>CITY OF CALGARY SHORT-TERM BOND FUND</t>
  </si>
  <si>
    <t>TEO CHEOW SENG (HONG KONG) LIMITED</t>
  </si>
  <si>
    <t>TEO CHEOW SENG (HONG KONG) LTD</t>
  </si>
  <si>
    <t>NOVACRO MACHINING INC</t>
  </si>
  <si>
    <t>ECOM AGROINDUSTRIAL CORP LIMITED</t>
  </si>
  <si>
    <t>EDUCATORS U.S. EQUITY FUND</t>
  </si>
  <si>
    <t>GLOBAL FIXED INCOME POOL</t>
  </si>
  <si>
    <t>GLOBAL FIXED INCOME POOL CC</t>
  </si>
  <si>
    <t>GLOBAL FIXED INCOME POOL BB</t>
  </si>
  <si>
    <t>CANADIAN EQUITY GROWTH POOL</t>
  </si>
  <si>
    <t>TD ASSET MANAGEMENT 47498</t>
  </si>
  <si>
    <t>UNIVERSITY OF SASKATCHEWAN</t>
  </si>
  <si>
    <t>EMERGING MARKETS EQUITY CORP CLASS</t>
  </si>
  <si>
    <t>KRUNG THAI BANK PUBLIC COMPANY LIMITED</t>
  </si>
  <si>
    <t>KRUNG THAI BANK PUBLIC CO LTD</t>
  </si>
  <si>
    <t>COMCAST CORPORATION</t>
  </si>
  <si>
    <t>LES MINES OPINACA LTEE</t>
  </si>
  <si>
    <t>ENHANCED INCOME CORP CLASS A</t>
  </si>
  <si>
    <t>ENHANCED INCOME CORP CLASS</t>
  </si>
  <si>
    <t>BROWN BROTHERS HARRIMAN TRUST COMPANY (CAYMAN) AS TRUSTEE OF US SHORT TERM HIGH YIELD BOND (JPY HEDGED) FUND, A SERIES TRUST OF CAYMAN WORLD INVEST TRUST</t>
  </si>
  <si>
    <t>MCAP SERVICE CORPORATION</t>
  </si>
  <si>
    <t>NIDERA SEMENTES LTDA</t>
  </si>
  <si>
    <t>NORCAN PETROLEUM PRODUCTS, G.P.</t>
  </si>
  <si>
    <t>NORCAN PETROLEUM/NORCAN TRUST</t>
  </si>
  <si>
    <t>IA CLARINGTON FLOATING RATE INCOME FUND</t>
  </si>
  <si>
    <t>BANCO NACIONAL DE COMERCIO EXTERIOR,S.N.C.</t>
  </si>
  <si>
    <t>BANCO NACIONAL DE COMERCIO EXTERIOR S N C</t>
  </si>
  <si>
    <t>IA CLARINGTON CORE PLUS BOND FUND</t>
  </si>
  <si>
    <t>NORREP US DIVIDEND PLUS</t>
  </si>
  <si>
    <t>SCOTIA INSTITUTIONAL TACTICAL BOND FUND</t>
  </si>
  <si>
    <t>THE GOVERNORS OF THE UNIVERSITY OF ALBERTA</t>
  </si>
  <si>
    <t>POWERSHARES FTSE RAFI EMERG MARK FD</t>
  </si>
  <si>
    <t>PRIVATE CLIENT CANADIAN EQUITY PORTFOLIO</t>
  </si>
  <si>
    <t>LEAR CANADA PENSION PLAN / LEAR CANADA JOINT INVESTMENTS FUND AND MEMBER PENSION PLANS</t>
  </si>
  <si>
    <t>VETEMENTS DE SPORTS STONE LIZARD INC</t>
  </si>
  <si>
    <t>EXEMPLAR INVESTMENT GRADE FUND</t>
  </si>
  <si>
    <t>MATTAMY GROUP CORPORATION</t>
  </si>
  <si>
    <t>WELDED TUBE OF CANADA CORP</t>
  </si>
  <si>
    <t>BANCO CENTRAL DE LA REPUBLICA DOMINICANA</t>
  </si>
  <si>
    <t>CENTRAL BANK OF THE DOMINCAN REPUBLIC</t>
  </si>
  <si>
    <t>VOLKSWAGEN BANK GMBH</t>
  </si>
  <si>
    <t>BLACKROCK LIABILITY MATCHING FUNDS LEVERAGED GBP 2027 INDEX-LINKED GILT FUND</t>
  </si>
  <si>
    <t>BLACKROCK LIABILITY MATCHING FUNDS LEVERAGED GBP 2030 GILT FUND</t>
  </si>
  <si>
    <t>BLACKROCK LIABILITY MATCHING FUNDS LEVERAGED GBP 2032 INDEX-LINKED GILT FUND</t>
  </si>
  <si>
    <t>BLACKROCK LIABILITY MATCHING FUNDS LEVERAGED GBP 2040 INDEX-LINKED GILT FUND</t>
  </si>
  <si>
    <t>BLACKROCK LIABILITY MATCHING FUNDS LEVERAGED GBP 2040 GILT FUND</t>
  </si>
  <si>
    <t>OCBC WING HANG BANK LIMITED</t>
  </si>
  <si>
    <t>OCBC WING HANG BANK LTD</t>
  </si>
  <si>
    <t>OCBC WING HANG BANK, LIMITED</t>
  </si>
  <si>
    <t>OLAM AMERICAS INC</t>
  </si>
  <si>
    <t>MCGILL UNIVERSITY PENSION PLAN</t>
  </si>
  <si>
    <t>RENAISSANCE HIGH INCOME FUND (EQUITY)</t>
  </si>
  <si>
    <t>RENAISSANCE HIGH INCOME FUND (BOND)</t>
  </si>
  <si>
    <t>RENAISSANCE HIGH INCOME FUND</t>
  </si>
  <si>
    <t>THE ALEXANDRIA FUND - CANADA EQUITY SUB-FUND</t>
  </si>
  <si>
    <t>ALEXANDRIA REAL RETURN INTL BOND FUND</t>
  </si>
  <si>
    <t>US EQUITY VALUE CURRENCY HEDGE CORPORATE</t>
  </si>
  <si>
    <t>FIXED INCOME REPO BOOK (SCI)</t>
  </si>
  <si>
    <t>FIXED INCOME BILL BOOK (SCI)</t>
  </si>
  <si>
    <t>WILSON EQUIPMENT LIMITED</t>
  </si>
  <si>
    <t>HIGHVIEW GLOBAL DIVIDEND  - HOLLYWOOD SARASOTA LP</t>
  </si>
  <si>
    <t>HIRAM WALKER CANADIAN POOLED FUND TRUST</t>
  </si>
  <si>
    <t>BLACKROCK LIABILITY MATCHING FUNDS LEVERAGED GBP 2050 INDEX-LINKED GILT FUND</t>
  </si>
  <si>
    <t>BLACKROCK LIABILITY MATCHING FUNDS LEVERAGED GBP 2052 GILT FUND</t>
  </si>
  <si>
    <t>BLACKROCK LIABILITY MATCHING FUNDS LEVERAGED GBP 2060 GILT FUND</t>
  </si>
  <si>
    <t>BLACKROCK LIABILITY MATCHING FUNDS LEVERAGED GBP 2062 INDEX-LINKED GILT FUND</t>
  </si>
  <si>
    <t>BLACKROCK LIABILITY MATCHING FUNDS LEVERAGED GBP FIXED 2025 - 2029 SWAP FUND</t>
  </si>
  <si>
    <t>BLACKROCK LIABILITY MATCHING FUNDS LEVERAGED GBP FIXED 2030 - 2034 SWAP FUND</t>
  </si>
  <si>
    <t>BLACKROCK LIABILITY MATCHING FUNDS LEVERAGED GBP FIXED 2035 - 2039 SWAP FUND</t>
  </si>
  <si>
    <t>BlackRock Liability Matching Funds Leveraged GBP Fixed 2040 - 2044 Swap Fund</t>
  </si>
  <si>
    <t>BlackRock Liability Matching Funds Leveraged GBP Fixed 2045 - 2049 Swap Fund</t>
  </si>
  <si>
    <t>BlackRock Liability Matching Funds Leveraged GBP Fixed 2050 - 2054 Swap Fund</t>
  </si>
  <si>
    <t>BlackRock Liability Matching Funds Leveraged GBP Fixed 2055 - 2059 Swap Fund</t>
  </si>
  <si>
    <t>BLACKROCK LIABILITY MATCHING FUNDS LEVERAGED GBP INFLATION 2020 - 2024 SWAP FUND</t>
  </si>
  <si>
    <t>BLACKROCK LIABILITY MATCHING FUNDS LEVERAGED GBP INFLATION 2030 - 2034 SWAP FUND</t>
  </si>
  <si>
    <t>BLACKROCK LIABILITY MATCHING FUNDS LEVERAGED GBP INFLATION 2040 - 2044 SWAP FUND</t>
  </si>
  <si>
    <t>BLACKROCK LIABILITY MATCHING FUNDS LEVERAGED GBP INFLATION 2050 - 2054 SWAP FUND</t>
  </si>
  <si>
    <t>PACCAR INC.</t>
  </si>
  <si>
    <t>PACCAR OF CANADA LTD.</t>
  </si>
  <si>
    <t>PACIFIC RUBIALES ENERGY CORP</t>
  </si>
  <si>
    <t>CANOE DEFENSIVE GLOBAL EQUITY</t>
  </si>
  <si>
    <t>BMO CONCENTRATED GLOBAL EQUITY FUND F SERIES HEDGE</t>
  </si>
  <si>
    <t>BMO CONCENTRATED GLOBAL EQUITY FUND ADVISOR SERIES HEDGE</t>
  </si>
  <si>
    <t>BMO CONCENTRATED GLOBAL BALANCED FUND F SERIES HEDGE</t>
  </si>
  <si>
    <t>BMO CONCENTRATED GLOBAL BALANCED FUND ADVISOR SERIES HEDGE</t>
  </si>
  <si>
    <t>BMO CONCENTRATED GLOBAL BALANCED FUND</t>
  </si>
  <si>
    <t>FIERA GLOBAL EQUITY FUND</t>
  </si>
  <si>
    <t>FIERA MULTI STRATEGY INCOME FUND</t>
  </si>
  <si>
    <t>FIERA MULTI STRATEGY INCOME FUND PW540SDG</t>
  </si>
  <si>
    <t>3992128 CANADA INC</t>
  </si>
  <si>
    <t>FIRST TRUST EMERGING MARKETS ALPHADEX FUND</t>
  </si>
  <si>
    <t>BlackRock Liability Matching Funds Leveraged GBP Real 2015 - 2019 Swap Fund</t>
  </si>
  <si>
    <t>BlackRock Liability Matching Funds Leveraged GBP Real 2020 - 2024 Swap Fund</t>
  </si>
  <si>
    <t>BlackRock Liability Matching Funds Leveraged GBP Real 2025 - 2029 Swap Fund</t>
  </si>
  <si>
    <t>BlackRock Liability Matching Funds Leveraged GBP Real 2030 - 2034 Swap Fund</t>
  </si>
  <si>
    <t>BLACKROCK LIABILITY MATCHING FUNDS LEVERAGED GBP REAL 2035 -2039 SWAP FUND</t>
  </si>
  <si>
    <t>BLACKROCK LIABILITY MATCHING FUNDS LEVERAGED GBP REAL 2040 - 2044 SWAP FUND</t>
  </si>
  <si>
    <t>BlackRock Liability Matching Funds Leveraged GBP Real 2045 - 2049 Swap Fund</t>
  </si>
  <si>
    <t>BlackRock Liability Matching Funds Leveraged GBP Real 2050 - 2054 Swap Fund</t>
  </si>
  <si>
    <t>BLACKROCK LIABILITY SOLUTIONS FUNDS II GBP TAILORED FUND II</t>
  </si>
  <si>
    <t>BLACKROCK LIABILITY SOLUTIONS FUNDS II GBP TAILORED FUND V</t>
  </si>
  <si>
    <t>BLACKROCK LIABILITY SOLUTIONS FUNDS II GBP TAILORED FUND VII</t>
  </si>
  <si>
    <t>BLACKROCK LIABILITY SOLUTIONS FUNDS II GBP TAILORED FUND X</t>
  </si>
  <si>
    <t>IA CLARINGTON STRATEGIC US GROWTH AND INCOME FUND</t>
  </si>
  <si>
    <t>PAINTED PONY ENERGY LTD</t>
  </si>
  <si>
    <t>PEI GRAIN ELEVATORS CORPORATION</t>
  </si>
  <si>
    <t>FQM FINANCE LTD</t>
  </si>
  <si>
    <t>FIRST QUANTUM MINERALS LTD</t>
  </si>
  <si>
    <t>GOVERNMENT OF CANADA</t>
  </si>
  <si>
    <t>PETRA LTD</t>
  </si>
  <si>
    <t>PETRA LTD.</t>
  </si>
  <si>
    <t>PETROQUIM SA</t>
  </si>
  <si>
    <t>FIERA US EQUITY FUND</t>
  </si>
  <si>
    <t>MONTCALM MEATS</t>
  </si>
  <si>
    <t>BANCO SANTANDER MEXICO SA</t>
  </si>
  <si>
    <t>BANCO SANTANDER (MEXICO), S.A.</t>
  </si>
  <si>
    <t>Banco Santander (Mexico) SA Institucion de Banca Multiple Grupo Financiero Santander Mexico</t>
  </si>
  <si>
    <t>BANCO SANTANDER SERFIN.S.A.</t>
  </si>
  <si>
    <t>BLACKROCK LIABILITY SOLUTIONS FUNDS II TAILORED FUND XIX..</t>
  </si>
  <si>
    <t>BLACKROCK LIABILITY SOLUTIONS FUNDS II TAILORED FUND XIX.</t>
  </si>
  <si>
    <t>BLACKROCK LIABILITY SOLUTIONS FUNDS II TAILORED FUND XIX .</t>
  </si>
  <si>
    <t>BLACKROCK LIABILITY SOLUTIONS FUNDS II TAILORED FUND XIX ..</t>
  </si>
  <si>
    <t>BLACKROCK LIABILITY SOLUTIONS FUNDS II TAILORED FUND XIX</t>
  </si>
  <si>
    <t>BLACKROCK LIABILITY SOLUTIONS FUNDS II GBP TAILORED FUND XV</t>
  </si>
  <si>
    <t>BLACKROCK LIABILITY SOLUTIONS FUNDS II TAILORED FUND XVII</t>
  </si>
  <si>
    <t>BLACKROCK LIABILITY SOLUTIONS FUNDS II TAILORED FUND XVIII</t>
  </si>
  <si>
    <t>BLACKROCK LIABILITY SOLUTIONS FUNDS II GBP TAILORED FUND XX</t>
  </si>
  <si>
    <t>BLACKROCK LIABILITY SOLUTIONS FUNDS II TAILORED FUND XX .</t>
  </si>
  <si>
    <t>BLACKROCK LIABILITY SOLUTIONS FUNDS II TAILORED FUND XX</t>
  </si>
  <si>
    <t>BLACKROCK LIABILITY SOLUTIONS FUNDS III TAILORED FUND XL</t>
  </si>
  <si>
    <t>BLACKROCK LIABILITY SOLUTIONS FUNDS III TAILORED FUND XLVI</t>
  </si>
  <si>
    <t>WORKPLACE HEALTH SAFETY AND COMPENSATION COMMISSION OF NEWFOUNDLAND AND LABRADOR</t>
  </si>
  <si>
    <t>RBC PREMIUM US$ MONEY MARKET FUND</t>
  </si>
  <si>
    <t>EMPRESAS IANSA SA</t>
  </si>
  <si>
    <t>MERCER CONSULTING GROUP, INC.</t>
  </si>
  <si>
    <t>3M CANADA COMPANY MASTER TRUST</t>
  </si>
  <si>
    <t>INTERNATIONAL EQUITY VALUE CURRENCY HEDGED CORPORATE CLASS.</t>
  </si>
  <si>
    <t>O SHAUGHNESSY US GROWTH FUND</t>
  </si>
  <si>
    <t>O SHAUGHNESSY U.S. GROWTH FUND</t>
  </si>
  <si>
    <t>FLEET BRAKE PARTS AND SERVICE LIMIT</t>
  </si>
  <si>
    <t>FLEET BRAKE PARTS AND SERVICE LIMITED</t>
  </si>
  <si>
    <t>FTI CONSULTING CANADA INC.</t>
  </si>
  <si>
    <t>BLACKROCK LIABILITY SOLUTIONS FUNDS III TAILORED FUND XXI</t>
  </si>
  <si>
    <t>BLACKROCK LIABILITY SOLUTIONS FUNDS III TAILORED FUND XXII</t>
  </si>
  <si>
    <t>BLACKROCK LIABILITY SOLUTIONS FUNDS III TAILORED FUND XXIII</t>
  </si>
  <si>
    <t>BLACKROCK LIABILITY SOLUTIONS FUNDS III TAILORED FUND XXIV</t>
  </si>
  <si>
    <t>BLACKROCK LIABILITY SOLUTIONS FUNDS III TAILORED FUND XXIX</t>
  </si>
  <si>
    <t>BLACKROCK LIABILITY SOLUTIONS FUNDS III TAILORED FUND XXV</t>
  </si>
  <si>
    <t>BLACKROCK LIABILITY SOLUTIONS FUNDS III TAILORED FUND XXVIII</t>
  </si>
  <si>
    <t>BLACKROCK LIABILITY SOLUIONS FUNDS III TAILORED FUND XXXI</t>
  </si>
  <si>
    <t>BLACKROCK LIABILITY SOLUTIONS FUNDS III TAILORED FUND XXXII</t>
  </si>
  <si>
    <t>BLACKROCK LIABILITY SOLUTIONS FUNDS III TAILORED FUND XXXIII</t>
  </si>
  <si>
    <t>BLACKROCK LIABILITY SOLUTIONS FUNDS III TAILORED FUND XXXIX</t>
  </si>
  <si>
    <t>INTERPROVINCIAL TRAFFIC SERVICES LTD.</t>
  </si>
  <si>
    <t>PHN INFRASTRUCTURE DEBT FUND</t>
  </si>
  <si>
    <t>FIERA CAPITAL CORPORATION (AS AGENT)</t>
  </si>
  <si>
    <t>FIERA CAPITAL CORPORATION</t>
  </si>
  <si>
    <t>BLACKROCK LIABILITY SOLUTIONS FUNDS III TAILORED FUND XXXVII</t>
  </si>
  <si>
    <t>BLACKROCK LIABILITY SOLUTIONS FUNDS III TAILORED FUND XXXVIII</t>
  </si>
  <si>
    <t>BLUEWAVE ENERGY LIMITED</t>
  </si>
  <si>
    <t>IG MACKENZIE MAXXUM DIVIDEND GROWTH FUND</t>
  </si>
  <si>
    <t>AST PRUDENTIAL FLEXIBLE MULTI STRATEGY PORTFOLIO ALTERNATIVES GLOBAL ABSOLUTE RETURN</t>
  </si>
  <si>
    <t>PH&amp;N BALANCED PENSION TRUST</t>
  </si>
  <si>
    <t>PHILLIPS HAGER &amp; NORTH BLUEBAY EMER</t>
  </si>
  <si>
    <t>FRANCHISE MANAGEMENT INC.</t>
  </si>
  <si>
    <t>FRANCHISE MANAGEMENT INC</t>
  </si>
  <si>
    <t>FRANKLIN BISSETT SHORT DURATION BOND FUND</t>
  </si>
  <si>
    <t>FRANKLIN BISSETT CANADIAN SHORT TERM BOND FUND</t>
  </si>
  <si>
    <t>FRANKLIN BISSETT FUNDS AGENCY</t>
  </si>
  <si>
    <t>AGF CANADA CLASS</t>
  </si>
  <si>
    <t>INVESTORS GROUP CORPORATE CLASS INC</t>
  </si>
  <si>
    <t>PICTON MAHONEY DIVERSIFIED STRATEGIES FUND</t>
  </si>
  <si>
    <t>AVIVA INVESTORS GLOBAL SERVICES LIMITED</t>
  </si>
  <si>
    <t>THE FULCRUM INVESTMENT COMPANY LIMITED</t>
  </si>
  <si>
    <t>BMO EQUITY GROWTH ETF PORTFOLIO</t>
  </si>
  <si>
    <t>BMO EQUITY GROWTH ETF PORTFOLIO CLASS</t>
  </si>
  <si>
    <t>INVESTORS PAN ASIAN EQUITY FUND</t>
  </si>
  <si>
    <t>IG MACKENZIE PAN ASIAN EQUITY FUND</t>
  </si>
  <si>
    <t>BANK OF LITHUANIA</t>
  </si>
  <si>
    <t>BANK OF LITHUANIA (LIETUVOS BANKAS)</t>
  </si>
  <si>
    <t>BANK SINOPAC CO LTD</t>
  </si>
  <si>
    <t>BANK SINOPAC</t>
  </si>
  <si>
    <t>CENTRAL BANK OF THE UNITED ARAB EMIRATES</t>
  </si>
  <si>
    <t>CENTRAL BANK OF U.A.E.</t>
  </si>
  <si>
    <t>VTB BANK (VTB)</t>
  </si>
  <si>
    <t>AGF HIGH YIELD BOND FUND</t>
  </si>
  <si>
    <t>AGF INTERNATIONAL STOCK CLASS</t>
  </si>
  <si>
    <t>SCOTIA BALANCED OPPORTUNITIES FUND (GLOBAL)</t>
  </si>
  <si>
    <t>BMO SELECTTRUST EQUITY GROWTH PORTFOLIO</t>
  </si>
  <si>
    <t>NARODOWY BANK POLSKI</t>
  </si>
  <si>
    <t>SCOTIA CANADIAN INDEX FUND</t>
  </si>
  <si>
    <t>PACTIV LLC</t>
  </si>
  <si>
    <t>PORTFOLIO SERIES BALANCED FUND</t>
  </si>
  <si>
    <t>CI PORTFOLIO SERIES BALANCED GROWTH FUND</t>
  </si>
  <si>
    <t>PORTFOLIO SERIES CONSERVATIVE BALANCED FUND</t>
  </si>
  <si>
    <t>CI PORTFOLIO SERIES CONSERVATIVE FUND</t>
  </si>
  <si>
    <t>CI PORTFOLIO SERIES GROWTH FUND</t>
  </si>
  <si>
    <t>PORTFOLIO SERIES INCOME FUND</t>
  </si>
  <si>
    <t>PORTFOLIO SERIES MAXIMUM GROWTH FUND</t>
  </si>
  <si>
    <t>GNUTTI CARLO CANADA LTD</t>
  </si>
  <si>
    <t>GNUTTI CARLO CANADA LIMITED</t>
  </si>
  <si>
    <t>SCOTIA GLOBAL DIVIDEND FUND</t>
  </si>
  <si>
    <t>SCOTIA GLOBAL BALANCED FUND</t>
  </si>
  <si>
    <t>SCOTIA INTERNATIONAL INDEX FUND</t>
  </si>
  <si>
    <t>PACIFIC INVESTMENT MANAGEMENT COMPANY LLC, SOLELY IN ITS CAPACITY AS ADVISOR ON BEHALF OF FEDERATED DEPARTMENT STORES, INC. DEFINED BENEFIT PLANS MASTER TRUST</t>
  </si>
  <si>
    <t>ADDENDA BONDS LONG TERM PROVINCIAL INDEX OVERLAY POOLED FUND</t>
  </si>
  <si>
    <t>PHN LIFETIME 2025</t>
  </si>
  <si>
    <t>BANK OF ENGLAND</t>
  </si>
  <si>
    <t>BANK OF ENGLAND (ALLOCATED)HQ</t>
  </si>
  <si>
    <t>BANK OF ENGLAND CUSTOMER A/C</t>
  </si>
  <si>
    <t>BANK OF ENGLAND DEPOSIT ACCOUNT</t>
  </si>
  <si>
    <t>GORDON FOOD SERVICE CANADA LTD</t>
  </si>
  <si>
    <t>GREENFIELD JOHNSTOWN LIMITED PARTNERSHIP</t>
  </si>
  <si>
    <t>GREGG DISTRIBUTORS LIMITED PARTNERSHIP</t>
  </si>
  <si>
    <t>SCOTIA NASDAQ INDEX FUND</t>
  </si>
  <si>
    <t>SCOTIA PRIVATE AMERICAN CORE PLUS BOND POOL</t>
  </si>
  <si>
    <t>SCOTIA PRIVATE CANADIAN GROWTH POOL</t>
  </si>
  <si>
    <t>SCOTIA PRIVATE CANADIAN MID CAP POOL</t>
  </si>
  <si>
    <t>SCOTIA PRIVATE CANADIAN SMALL CAP POOL</t>
  </si>
  <si>
    <t>SCOTIA PRIVATE CANADIAN VALUE POOL</t>
  </si>
  <si>
    <t>SCOTIA PRIVATE EMERGING MARKETS POOL</t>
  </si>
  <si>
    <t>SCOTIA PRIVATE GLOBAL EQUITY POOL</t>
  </si>
  <si>
    <t>SCOTIA PRIVATE GLOBAL REAL ESTATE POOL</t>
  </si>
  <si>
    <t>SCOTIA PRIVATE INCOME POOL</t>
  </si>
  <si>
    <t>DANA PETROLEUM LTD</t>
  </si>
  <si>
    <t>UNICREDIT BANCA SPA</t>
  </si>
  <si>
    <t>UNICREDIT BANCA</t>
  </si>
  <si>
    <t>UNICREDIT SPA</t>
  </si>
  <si>
    <t>UNICREDIT SPA HQ</t>
  </si>
  <si>
    <t>CIH INTERNATIONAL S.A.R.L.</t>
  </si>
  <si>
    <t>CIH INTERNATIONAL SARL</t>
  </si>
  <si>
    <t>BMO SELECTCLASS EQUITY GROWTH PORTFOLIO</t>
  </si>
  <si>
    <t>INDUSTRIAL AND COMMERCIAL BANK OF CHINA LIMITED (ICBC)</t>
  </si>
  <si>
    <t>INDUSTRIAL AND COMMERCIAL BANK OF CHINA LIMITED</t>
  </si>
  <si>
    <t>INDUSTRIAL AND COMMERCIAL BANK OF CHINA</t>
  </si>
  <si>
    <t>INDUSTRIAL &amp; COMMERCIAL BANK OF CHINA LIMITED</t>
  </si>
  <si>
    <t>INDUSTRIAL &amp; COMMERCIAL BANK OF CHINA</t>
  </si>
  <si>
    <t>INDUSTRIAL &amp; COMMERCIAL BK OF CHINA</t>
  </si>
  <si>
    <t>IPROFILE U.S. EQUITY POOL</t>
  </si>
  <si>
    <t>PRANA BIOVEGETALIENS INC</t>
  </si>
  <si>
    <t>PRAXAIR CANADA INC. PENSION PLAN FOR CANADIAN EMPLOYEES</t>
  </si>
  <si>
    <t>COMMISSION DE LA CAISSE COMMUNE DE RETRAITE DES EMPLOYES DE LA VILLE DE MONTREAL</t>
  </si>
  <si>
    <t>LINCLUDEN CANADIAN &amp; GLOBAL EQUITY POOLED FUND</t>
  </si>
  <si>
    <t>LINCLUDEN U.S. EQUITY POOLED FUND</t>
  </si>
  <si>
    <t>LINC. PRIVATE CLIENT BOND POOLED FD</t>
  </si>
  <si>
    <t>NORGES BANK</t>
  </si>
  <si>
    <t>AKBANK</t>
  </si>
  <si>
    <t>SCOTIA PRIVATE INTERNATIONAL SMALL TO MID CAP VALUE</t>
  </si>
  <si>
    <t>SCOTIA PRIVATE US LARGE CAP GR FUND</t>
  </si>
  <si>
    <t>TRAFIGURA BEHEER B.V.</t>
  </si>
  <si>
    <t>NYRSTAR SALES &amp; MARKETING AG</t>
  </si>
  <si>
    <t>NYRSTAR SALES AND MARKETING AG</t>
  </si>
  <si>
    <t>TRAFIGURA PTE LIMITED</t>
  </si>
  <si>
    <t>TRAFIGURA PTE LTD</t>
  </si>
  <si>
    <t>ALPHA ASSEMBLY SOLUTIONS NETHERLANDS B.V</t>
  </si>
  <si>
    <t>INGRAM EUROPEAN COORDINATION CENTER N.V.</t>
  </si>
  <si>
    <t>NORSPAN LNG V AS</t>
  </si>
  <si>
    <t>TAQA BRATANI LTD</t>
  </si>
  <si>
    <t>THAMES WATER UTILITIES FINANCE PLC 2</t>
  </si>
  <si>
    <t>FORD MOTOR COMPANY OF CANADA LIMITED PENSION TRUST</t>
  </si>
  <si>
    <t>CBRE GLOBAL HOLDINGS S.A.R.L</t>
  </si>
  <si>
    <t>DANA PETROLEUM NORWAY AS</t>
  </si>
  <si>
    <t>RKI EXPLORATION AND PRODUCTION LLC</t>
  </si>
  <si>
    <t>BOLIDEN COMMERCIAL</t>
  </si>
  <si>
    <t>FIRST OIL AND GAS LTD</t>
  </si>
  <si>
    <t>CMB NV</t>
  </si>
  <si>
    <t>DANA PETROLEUM HOLDINGS BV</t>
  </si>
  <si>
    <t>DANA PETROLEUM NETHERLANDS BV</t>
  </si>
  <si>
    <t>VML US FINANCE LLC</t>
  </si>
  <si>
    <t>AON UK LIMITED</t>
  </si>
  <si>
    <t>SANDISK CORPORATION</t>
  </si>
  <si>
    <t>L BRANDS INC.</t>
  </si>
  <si>
    <t>NORSPAN LNG VII AS</t>
  </si>
  <si>
    <t>ALENT HONG KONG LIMITED</t>
  </si>
  <si>
    <t>ALPHA ASSEMBLY SOLUTIONS INC.</t>
  </si>
  <si>
    <t>ITOCHU CORPORATION</t>
  </si>
  <si>
    <t>PREMIER OIL EXPLORATION AND PRODUCTION LTD</t>
  </si>
  <si>
    <t>MARATHON OIL CORPORATION</t>
  </si>
  <si>
    <t>TYCO ELECTRONICS CORP</t>
  </si>
  <si>
    <t>TYCO ELECTRONICS CORPORATION</t>
  </si>
  <si>
    <t>SCOTIABANK URUGUAY</t>
  </si>
  <si>
    <t>SCOTIABANK URUGUAY SA</t>
  </si>
  <si>
    <t>NUEVO BANCO COMERCIAL S A</t>
  </si>
  <si>
    <t>WATERTEC IRRIGATION LTD</t>
  </si>
  <si>
    <t>UNIVERSITY OF PITTSBURGH OF THE COM</t>
  </si>
  <si>
    <t>UTAH RETIREMENT SYSTEMS</t>
  </si>
  <si>
    <t>PREMIER OIL UK LTD</t>
  </si>
  <si>
    <t>PRUDENTIAL HIGH YIELD FUND OF THE PRUDENTIAL TRUST COMPANY COLLECTIVE TRUST</t>
  </si>
  <si>
    <t>PRUDENTIAL INVESTMENT PORTFOLIOS, INC 15: PRUDENTIAL HIGH YIELD FUND INC</t>
  </si>
  <si>
    <t>CONSTELLATION BRANDS NEW ZEALAND LIMITED</t>
  </si>
  <si>
    <t>UPC BROADBAND HOLDING BV</t>
  </si>
  <si>
    <t>CANPRO INVESTMENTS LTD</t>
  </si>
  <si>
    <t>HEATHROW FUNDING  LIMITED</t>
  </si>
  <si>
    <t>HEATHROW FUNDING LIMITED</t>
  </si>
  <si>
    <t>HEATHROW FUNDING LIMITED.</t>
  </si>
  <si>
    <t>HOST HOTELS &amp; RESORTS LP</t>
  </si>
  <si>
    <t>HOST HOTELS AND RESORTS LP</t>
  </si>
  <si>
    <t>LCH CLEARNET LTD</t>
  </si>
  <si>
    <t>LCH_SOLO</t>
  </si>
  <si>
    <t>INTERNATIONAL GAME TECHNOLOGY PLC</t>
  </si>
  <si>
    <t>COMMONWEALTH BANK OF AUSTRALIA</t>
  </si>
  <si>
    <t>COMMONWEALTH BANK AUSTRALIA LONDON CDEA</t>
  </si>
  <si>
    <t>COMMONWEALTH BANK AUSTRALIA SYDNEY CDEA</t>
  </si>
  <si>
    <t>COMMONWEALTH BANK AUSTRALIA NEW YORK CDEA</t>
  </si>
  <si>
    <t>COMMONWEALTH  BANK OF AUSTRALIA NEW YORK DIRECT CLEARING</t>
  </si>
  <si>
    <t>COMMONWEALTH BANK OF AUSTRALIA LONDON DIRECT CLEARING</t>
  </si>
  <si>
    <t>COMMONWEALTH BANK OF AUSTRALIA SYDNEY DIRECT CLEARING</t>
  </si>
  <si>
    <t>COMMONWEALTH BANK OF AUSTRALIA LONDON</t>
  </si>
  <si>
    <t>CA EMPENOS MEXICO, S. DE R.L. DE CV</t>
  </si>
  <si>
    <t>CURIAN VARIABLE SERIES TRUST</t>
  </si>
  <si>
    <t>FIRST NIAGARA BANK N.A.</t>
  </si>
  <si>
    <t>CHINA PRECISION MATERIAL LIMITED</t>
  </si>
  <si>
    <t>ONEX PARALLEL (ONCAP) III LP</t>
  </si>
  <si>
    <t>DOLLAR TREE INC</t>
  </si>
  <si>
    <t>SEOWON CO LTD</t>
  </si>
  <si>
    <t>MASTER TRUST FUND FOR PARTICIPATING PENSION PLANS OF THE NATIONAL BANK OF CANADA</t>
  </si>
  <si>
    <t>AGF FIXED INCOME PLUS FUND</t>
  </si>
  <si>
    <t>AGF GLOBAL SUSTAINABLE GROWTH EQUITY POOLED FUND</t>
  </si>
  <si>
    <t>AGF GLOBAL SUSTAINABLE GROWTH EQUITY FUND</t>
  </si>
  <si>
    <t>AGF GLOBAL SUSTAINABLE BALANCED FUND - FIXED INCOME</t>
  </si>
  <si>
    <t>AGF GLOBAL SUSTAINABLE BALANCED FUND - EQUITY</t>
  </si>
  <si>
    <t>AGF DIVERSIFIED INCOME FUND</t>
  </si>
  <si>
    <t>HANIL CAN COMPANY LIMITED</t>
  </si>
  <si>
    <t>PETROAMERICA INTERNATIONAL SUCURSAL COLOMBIA</t>
  </si>
  <si>
    <t>MAVERICK AGENCY LTD</t>
  </si>
  <si>
    <t>PRAIRIE MERCHANT CORPORATION</t>
  </si>
  <si>
    <t>PINNACLE RENEWABLE ENERGY INC.</t>
  </si>
  <si>
    <t>PINNACLE RENEWABLE ENERGY INC</t>
  </si>
  <si>
    <t>AGF ELEMENTS BALANCED PORTFOLIO CLASS</t>
  </si>
  <si>
    <t>AGF ELEMENTS CONSERVATIVE PORTFOLIO CLASS</t>
  </si>
  <si>
    <t>AGF ELEMENTS GLOBAL PORTFOLIO CLASS</t>
  </si>
  <si>
    <t>OHIO NATIONAL LIFE INSURANCE COMPANY</t>
  </si>
  <si>
    <t>AGF EMERGING MARKETS CLASS</t>
  </si>
  <si>
    <t>Scholz Holding Gmbh</t>
  </si>
  <si>
    <t>SCHOLZ MANAGEMENT SERVICES Gmbh</t>
  </si>
  <si>
    <t>NH Futures Co., Ltd</t>
  </si>
  <si>
    <t>AGF ELEMENTS GROWTH PORTFOLIO CLASS</t>
  </si>
  <si>
    <t>ORIGIN ENERGY LIMITED</t>
  </si>
  <si>
    <t>ONCAP III (CANADA) LP</t>
  </si>
  <si>
    <t>HSBC US EQUITY POOLED FUND</t>
  </si>
  <si>
    <t>LEXMARK INTERNATIONAL TECHNOLOGY SA</t>
  </si>
  <si>
    <t>REVOLUTION ENVIRONMENTAL SOLUTIONS LP</t>
  </si>
  <si>
    <t>REVOLUTION LANDFILL LP</t>
  </si>
  <si>
    <t>REVOLUTION ORS LP</t>
  </si>
  <si>
    <t>REVOLUTION VSC LP</t>
  </si>
  <si>
    <t>CONVERTIDORA DEL PACIFICO EIRL</t>
  </si>
  <si>
    <t>EXELL BUSINESS LTD</t>
  </si>
  <si>
    <t>SHOWA DENKO K.K</t>
  </si>
  <si>
    <t>SMELTER SERVICE CORPORATION</t>
  </si>
  <si>
    <t>UNION DE CERVECERIAS PERUANAS BACKUS Y JOHNSTON S.A.A.</t>
  </si>
  <si>
    <t>TRANSAMINE TRADING S.A</t>
  </si>
  <si>
    <t>TRANSAMINE TRADING S.A.</t>
  </si>
  <si>
    <t>TRANSAMINE TRADING SA</t>
  </si>
  <si>
    <t>C HAFNER GMBH AND CO KG</t>
  </si>
  <si>
    <t>MEADOWBRINK FARM LTD</t>
  </si>
  <si>
    <t>PR GRAND HOTEL LIMITED PARTNERSHIP</t>
  </si>
  <si>
    <t>DEA DEUTSCHE ERDOEL AG</t>
  </si>
  <si>
    <t>Oddo &amp; Cie</t>
  </si>
  <si>
    <t>HYDRO OTTAWA LIMITED</t>
  </si>
  <si>
    <t>ENVIROSYSTEMS INC</t>
  </si>
  <si>
    <t>ALMON EQUIPMENT LTD</t>
  </si>
  <si>
    <t>Longboard Alternative Growth Fund</t>
  </si>
  <si>
    <t>PRIMERA OIL AND GAS LIMITED</t>
  </si>
  <si>
    <t>TERRITORIAL OILFIELD MANAGEMENT SERVICES LIMITED (TRINIDAD)</t>
  </si>
  <si>
    <t>NUMISMATIC GUARANTY CORPORATION OF AMERICA</t>
  </si>
  <si>
    <t>STATE BANK OF PATIALA</t>
  </si>
  <si>
    <t>CHOW TAI FOOK JEWELLERY COMPANY LIMITED</t>
  </si>
  <si>
    <t>CHOW TAI FOOK JEWELLERY CO LTD</t>
  </si>
  <si>
    <t>CHOW SANG SANG (CHINA) COMPANY LIMITED</t>
  </si>
  <si>
    <t>CHINA MINMETALS NONFERROUS METALS CO LTD</t>
  </si>
  <si>
    <t>CHINA MINMETALS NON-FERROUS METALS CO., LTD</t>
  </si>
  <si>
    <t>CHENGDU TIANXINYANG GOLD INDUSTRY CO., LTD</t>
  </si>
  <si>
    <t>JIANGXI COPPER COMPANY LIMITED</t>
  </si>
  <si>
    <t>TONGLING NONFERROUS METALS GROUP HOLDINGS LTD.</t>
  </si>
  <si>
    <t>ABLE JEWELRY MANUFACTURING LIMITED</t>
  </si>
  <si>
    <t>SIGMA TUBE AND BAR LLC</t>
  </si>
  <si>
    <t>BRINKS HONG KONG LTD</t>
  </si>
  <si>
    <t>BRINK'S HONG KONG LIMITED</t>
  </si>
  <si>
    <t>FIRST TRUST EMERGING MARKETS LOCAL CURRENCY BOND ETF</t>
  </si>
  <si>
    <t>TANAKA KIKINZOKU KOGYO K K</t>
  </si>
  <si>
    <t>PT ANTAM (PERSERO) TBK</t>
  </si>
  <si>
    <t>Hampshire Chemical Corp</t>
  </si>
  <si>
    <t>PRANDA JEWELRY PUBLIC COMPANY LIMITED</t>
  </si>
  <si>
    <t>YOO LIM COMPANY LIMITED</t>
  </si>
  <si>
    <t>NATURAL GOLD TRADING COMPANY LIMITED</t>
  </si>
  <si>
    <t>S P C PRECIOUS METAL CO LTD</t>
  </si>
  <si>
    <t>TCH GOLD COMPANY LIMITED</t>
  </si>
  <si>
    <t>SUMITOMO METAL MINING CO LTD</t>
  </si>
  <si>
    <t>PET FAR EASTERN (HOLDING) LTD</t>
  </si>
  <si>
    <t>QATAR NATIONAL BANK</t>
  </si>
  <si>
    <t>UNI DESIGN JEWELLERY (INDIA) PRIVATE LIMITED</t>
  </si>
  <si>
    <t>ORIENTAL UNION CHEMICAL CORPORATION</t>
  </si>
  <si>
    <t>AUER LIGHTING GMBH</t>
  </si>
  <si>
    <t>NAN CHUNG PETROCHEMICAL CORPORATION</t>
  </si>
  <si>
    <t>FAITHFUL JEWELLERY SDN BHD</t>
  </si>
  <si>
    <t>CAPITOL INTERNATIONAL LIMITED</t>
  </si>
  <si>
    <t>SCB LONDON</t>
  </si>
  <si>
    <t>STANDARD CHARTERED BANK (HONG KONG) LIMITED</t>
  </si>
  <si>
    <t>STANDARD CHARTERED BK (HK) LTD</t>
  </si>
  <si>
    <t>SCB HK BK</t>
  </si>
  <si>
    <t>STANDARD CHARTERED BANK HONG KONG CONSUMER BANKING</t>
  </si>
  <si>
    <t>BOSERA ASSET MANAGEMENT CO., LTD</t>
  </si>
  <si>
    <t>G.G.R. CAPITAL COMPANY LIMITED</t>
  </si>
  <si>
    <t>SAMSUNG GOLD &amp; SILVER CO., LTD.</t>
  </si>
  <si>
    <t>FINEST GOLD CO LTD</t>
  </si>
  <si>
    <t>INTERGOLD GOLD TRADE CO LTD</t>
  </si>
  <si>
    <t>E.FUND ASSET MANAGEMENT CO., LTD</t>
  </si>
  <si>
    <t>YLG BULLION INTERNATIONAL CO LTD</t>
  </si>
  <si>
    <t>POLIURETANOS MEXICANOS WOODBRIDGE SA DE CV</t>
  </si>
  <si>
    <t>NEXANS CANADA ENERGY NETWORK</t>
  </si>
  <si>
    <t>US FINANCIALS INCOME FUND</t>
  </si>
  <si>
    <t>VALVOLINE CUMMINS PRIVATE LIMITED</t>
  </si>
  <si>
    <t>WHIRLPOOL OF INDIA LIMITED</t>
  </si>
  <si>
    <t>MOSAIC INDIA PRIVATE LTD.</t>
  </si>
  <si>
    <t>MOSAIC INDIA PRIVATE LTD</t>
  </si>
  <si>
    <t>THE CHEMOURS COMPANY FC,LLC</t>
  </si>
  <si>
    <t>AGF ELEMENTS GLOBAL PORTFOLIO</t>
  </si>
  <si>
    <t>AGF ELEMENTS GROWTH PORTFOLIO</t>
  </si>
  <si>
    <t>AGF GLOBAL RESOURCES FUND</t>
  </si>
  <si>
    <t>BMO DIVIDEND FUND</t>
  </si>
  <si>
    <t>G4S INTL LOGISTICS (HONGKONG) LIMITED</t>
  </si>
  <si>
    <t>G4S INTERNATIONAL LOGISTICS (HONG KONG) LIMITED</t>
  </si>
  <si>
    <t>BOWINS SILVER COMPANY LIMITED</t>
  </si>
  <si>
    <t>CHIN HUA HENG GOLDSMITH CO LTD</t>
  </si>
  <si>
    <t>LOOMIS INTERNATIONAL (HK) LIMITED</t>
  </si>
  <si>
    <t>LOOMIS INTERNATIONAL LTD</t>
  </si>
  <si>
    <t>LOOMIS INTERNATIONAL</t>
  </si>
  <si>
    <t>LOOMIS INTL LTD ACCOUNT JBR REFINERY RECOVERY LTD</t>
  </si>
  <si>
    <t>LOOMIS INTERNATIONAL (HK) LTD</t>
  </si>
  <si>
    <t>GUOTAI ASSET MANAGEMENT COMPANY LIMITED</t>
  </si>
  <si>
    <t>SURE SPREAD LIMITED</t>
  </si>
  <si>
    <t>TD ASSET MANAGEMENT T1113</t>
  </si>
  <si>
    <t>TD ASSET MANAGEMENT T5015</t>
  </si>
  <si>
    <t>CANADIAN UTILITIES LTD PLAN 1</t>
  </si>
  <si>
    <t>The Retirement Plan for Employees of Canadian Utilities Limited and Participating Companies - Plan 1</t>
  </si>
  <si>
    <t>JIANGTONG INTERNATIONAL (SINGAPORE) PTE LTD</t>
  </si>
  <si>
    <t>MIFAB INC</t>
  </si>
  <si>
    <t>AGF EUROPEAN EQUITY FUND SERIES S</t>
  </si>
  <si>
    <t>GFL ENVIRONMENTAL INC</t>
  </si>
  <si>
    <t>AGF GLOBAL CONVERTIBLE BOND FUND</t>
  </si>
  <si>
    <t>BLACKROCK INC</t>
  </si>
  <si>
    <t>AGF TACTICAL FUND SERIES S</t>
  </si>
  <si>
    <t>PRIMERICA RETIREMENT INCOME FUND (EQUITIES)</t>
  </si>
  <si>
    <t>PRIMERICA COMMON SENSE FUNDS STRATEGIC RETIREMENT INCOME FUND</t>
  </si>
  <si>
    <t>CANOE CANADIAN ASSET ALLOCATION CLASS</t>
  </si>
  <si>
    <t>CANOE EQUITY CLASS</t>
  </si>
  <si>
    <t>NEWFIELD EXPLORATION COMPANY</t>
  </si>
  <si>
    <t>CANOE ENERGY INCOME CLASS</t>
  </si>
  <si>
    <t>CANOE DEFENSIVE U.S. EQUITY PORTFOLIO CLASS</t>
  </si>
  <si>
    <t>PACIFIC INVESTMENT MANAGEMENT COMPANY LLC, SOLELY IN ITS CAPACITY AS ADVISOR ON BEHALF OF MASTER TRUST AGREEMENT FOR CERTIAN TAX-QUALIFIED RETIREMENT PLANS OF BECHTEL CORPORATION</t>
  </si>
  <si>
    <t>HIGHSTREET CANADIAN BOND FUND</t>
  </si>
  <si>
    <t>AMCOR LIMITED</t>
  </si>
  <si>
    <t>CHENIERE CORPUS CHRISTI HOLDINGS LLC</t>
  </si>
  <si>
    <t>RAFFEMET COMMODITIES BV</t>
  </si>
  <si>
    <t>RAFFEMET COMMODITIES B.V</t>
  </si>
  <si>
    <t>EAGLE ENERGY CANADA INC</t>
  </si>
  <si>
    <t>ARMACELL CANADA INC</t>
  </si>
  <si>
    <t>HOCKEY HALL OF FAME AND MUSEUM</t>
  </si>
  <si>
    <t>L AND M ENTERPRISES LIMITED</t>
  </si>
  <si>
    <t>EXPORTADORA AGRICOLA ORGANICA SAC</t>
  </si>
  <si>
    <t>NIOBEC INC.</t>
  </si>
  <si>
    <t>NIOBEC INC</t>
  </si>
  <si>
    <t>1292724 ALBERTA LTD</t>
  </si>
  <si>
    <t>UNIFIED VALVE GROUP LTD</t>
  </si>
  <si>
    <t>BOSTON PROPERTIES LIMITED PARTNERSHIP</t>
  </si>
  <si>
    <t>RIDER HUNT INTL ALBERTA INC</t>
  </si>
  <si>
    <t>TORSTAR CORPORATION (GROUP)</t>
  </si>
  <si>
    <t>TORSTAR CORPORATION</t>
  </si>
  <si>
    <t>TOYOTA TSUSHO METALS LIMITED</t>
  </si>
  <si>
    <t>Toyota Tsusho Metals Limited</t>
  </si>
  <si>
    <t>TOBIQUE SILVICULTURE LTD</t>
  </si>
  <si>
    <t>9155406 CANADA INC</t>
  </si>
  <si>
    <t>NIAGARA MOHAWK POWER CORPORATION D/B/A NATIONAL GRID</t>
  </si>
  <si>
    <t>MAIKE METALS INTERNATIONAL LIMITED</t>
  </si>
  <si>
    <t>JOHN *EDNEY</t>
  </si>
  <si>
    <t>JOHN EDNEY</t>
  </si>
  <si>
    <t>John A. Edney Estate</t>
  </si>
  <si>
    <t>HOWARD EPSTEIN AND STEVEN EPSTEIN EXECUTORS FLORENCE EPSTEIN ESTATE</t>
  </si>
  <si>
    <t>MR. H.E. *MCINNIS</t>
  </si>
  <si>
    <t>H.E.MCINNIS</t>
  </si>
  <si>
    <t>MR. FRANCIS J. *NESTOR</t>
  </si>
  <si>
    <t>DENA MJS TRUST M JOSEPH SIMOES TRUSTEE</t>
  </si>
  <si>
    <t>PHYLLIS KATZ</t>
  </si>
  <si>
    <t>ISAAC ROSENBERG</t>
  </si>
  <si>
    <t>VERB INTERACTIVE INC</t>
  </si>
  <si>
    <t>CANADIAN SOIL DRILLING</t>
  </si>
  <si>
    <t>GLG Market Neutral Fund</t>
  </si>
  <si>
    <t>MORGAN STANLEY &amp; CO LLC</t>
  </si>
  <si>
    <t>WELLINGTON MANAGEMENT COMPANY LLP - CDEA</t>
  </si>
  <si>
    <t>SK PLYMOUTH LLC</t>
  </si>
  <si>
    <t>US EQUITY PLUS INCOME ETF</t>
  </si>
  <si>
    <t>MOTO INVESTMENTS LIMITED</t>
  </si>
  <si>
    <t>FEDERATION DES CAISSES DESJARDINS DU QUEBEC.</t>
  </si>
  <si>
    <t>FEDERATION DES CAISSES DESJARDINS DU QUEBEC</t>
  </si>
  <si>
    <t>SOCIETE GENERALE 60095</t>
  </si>
  <si>
    <t>SOCIETE GENERALE</t>
  </si>
  <si>
    <t>SOCIETE GENERALE NEW YORK</t>
  </si>
  <si>
    <t>SOCIETE GENERALE  NEW YORK</t>
  </si>
  <si>
    <t>SOCIETE GENERALE GLOBAL EQUITY FINANCE</t>
  </si>
  <si>
    <t>SOCIETE GENERALE SEOUL</t>
  </si>
  <si>
    <t>SOCIETE GENERAL PARIS.</t>
  </si>
  <si>
    <t>SOCIETE GENERALE SINGAPORE</t>
  </si>
  <si>
    <t>SOCIETE GENERALE,</t>
  </si>
  <si>
    <t>SOCIETE GENERALE PARIS</t>
  </si>
  <si>
    <t>SOCIETE GENERALE  PARIS (GROUP TREASURY)</t>
  </si>
  <si>
    <t>SOCIETE GENERALE.</t>
  </si>
  <si>
    <t>Societe Generale Paris</t>
  </si>
  <si>
    <t>EMPRESA NACIONAL DE MINERIA</t>
  </si>
  <si>
    <t>CENTRE POINT FUNDING LLC</t>
  </si>
  <si>
    <t>ARROW RELOAD SYSTEMS INC</t>
  </si>
  <si>
    <t>ARROW TRANSPORTATION SYSTEMS INC</t>
  </si>
  <si>
    <t>WNY PUBLIC BROADCASTING ASSOCIATION</t>
  </si>
  <si>
    <t>Ancona Investment Co Ltd</t>
  </si>
  <si>
    <t>HYUNDAI HEAVY INDUSTRIES CO., LTD.</t>
  </si>
  <si>
    <t>SAMSUNG HEAVY IND. CO. LTD.</t>
  </si>
  <si>
    <t>G F FINANCIAL MARKETS (UK) LIMITED</t>
  </si>
  <si>
    <t>Natixis Commodity Markets Limited</t>
  </si>
  <si>
    <t>HASBRO DE MEXICO DE S.R.L. DE C.V.</t>
  </si>
  <si>
    <t>NEWCOM BUSINESS MEDIA INC</t>
  </si>
  <si>
    <t>LOUIS DREYFUS COMPANY METALS SUISSE SA</t>
  </si>
  <si>
    <t>IXM S.A.</t>
  </si>
  <si>
    <t>DAIWA CAPITAL MARKETS EUROPE LIMITED</t>
  </si>
  <si>
    <t>MEX_BNPP</t>
  </si>
  <si>
    <t>BNP PARIBAS PARIS-SIF</t>
  </si>
  <si>
    <t>BNP PARIBAS GLOBAL EQUITY FINANCE</t>
  </si>
  <si>
    <t>BNP PARIBAS</t>
  </si>
  <si>
    <t>BNP PARIBAS (BNS MUMBAI)</t>
  </si>
  <si>
    <t>BNP Paribas</t>
  </si>
  <si>
    <t>BNP PARIBAS LONDON GT</t>
  </si>
  <si>
    <t>BNP Paribas Global Equity Finance</t>
  </si>
  <si>
    <t>BNP  PARIBAS PARIS</t>
  </si>
  <si>
    <t>BNP Paribas SA</t>
  </si>
  <si>
    <t>BNP PARIBAS STF</t>
  </si>
  <si>
    <t>BNP PARIBAS   PARIS</t>
  </si>
  <si>
    <t>BNP PARIBAS LONDON</t>
  </si>
  <si>
    <t>BNP PARIBAS SA</t>
  </si>
  <si>
    <t>BNP PARIBAS S.A.</t>
  </si>
  <si>
    <t>BNP PARIBAS PARIS</t>
  </si>
  <si>
    <t>BNP PARIBAS AMSTERDAM</t>
  </si>
  <si>
    <t>BNP PARIBAS CAYMAN ISLANDS</t>
  </si>
  <si>
    <t>BNP PARIBAS SUCCURSALE DE LUXEMBOURG</t>
  </si>
  <si>
    <t>BNP PARIBAS MADRID</t>
  </si>
  <si>
    <t>BNP PARIBAS  SAARBRUCKEN</t>
  </si>
  <si>
    <t>BNP PARIBAS BRUSSELS</t>
  </si>
  <si>
    <t>BNP PARIBAS FRANKFURT</t>
  </si>
  <si>
    <t>BNP PARIBAS NEW YORK</t>
  </si>
  <si>
    <t>BNP PARIBAS  TOKYO</t>
  </si>
  <si>
    <t>BNP PARIBAS - BANGKOK BRANCH (THANACHART)</t>
  </si>
  <si>
    <t>BNP PARIBAS (SUISSE) S A</t>
  </si>
  <si>
    <t>Amalgamated Metal Trading Limited</t>
  </si>
  <si>
    <t>AMALGAMATED METAL TRADING LIMITED,</t>
  </si>
  <si>
    <t>CAPULA GLOBAL RELATIVE VALUE MASTER FUND LTD</t>
  </si>
  <si>
    <t>CAPULA GLOBAL RELATIVE VALUE MASTER FUND LIMITED</t>
  </si>
  <si>
    <t>CAPULA GLOBAL RELATIVE VALUE MASTER FUND LTD US - CDEA</t>
  </si>
  <si>
    <t>CAPULA TAIL RISK MASTER FUND LTD CA - CDEA</t>
  </si>
  <si>
    <t>CAPULA TAIL RISK MASTER FUND LTD EU - CDEA</t>
  </si>
  <si>
    <t>CAPULA TAIL RISK MASTER FUND LTD US - CDEA</t>
  </si>
  <si>
    <t>CAPULA GLOBAL RELATIVE VALUE MASTER FUND LTD CA - CDEA</t>
  </si>
  <si>
    <t>CAPULA GLOBAL RELATIVE VALUE MASTER FUND LTD EU - CDEA</t>
  </si>
  <si>
    <t>COMMERZBANK AG  FRANKFURT</t>
  </si>
  <si>
    <t>COMMERZBANK A.G. NEW YORK</t>
  </si>
  <si>
    <t>COMMERZBANK AG BRUSSELS</t>
  </si>
  <si>
    <t>COMMERZBANK AG LONDON GT</t>
  </si>
  <si>
    <t>COMMERZBANK AG JAPAN</t>
  </si>
  <si>
    <t>COMMERZBANK AG GRAND CAYMAN</t>
  </si>
  <si>
    <t>COMMERZBANK AG PARIS</t>
  </si>
  <si>
    <t>COMMERZBANK AG HONG KONG</t>
  </si>
  <si>
    <t>COMMERZBANK AG SINGAPORE</t>
  </si>
  <si>
    <t>COMMERZBANK AG</t>
  </si>
  <si>
    <t>Commerzbank AG</t>
  </si>
  <si>
    <t>COMMERZBANK A G</t>
  </si>
  <si>
    <t>COMMERZBANK AG LONDON</t>
  </si>
  <si>
    <t>COMMERZBANK AG SINGAPORE.</t>
  </si>
  <si>
    <t>COMMERZBANK AG FRANKFURT (STF)</t>
  </si>
  <si>
    <t>COMMERZBANK AG-SBE</t>
  </si>
  <si>
    <t>COMMERZ BANK AG</t>
  </si>
  <si>
    <t>COMMERZBANK A G LUXEMBOURG BRANCH</t>
  </si>
  <si>
    <t>COMMERZBANK  AG</t>
  </si>
  <si>
    <t>Commerzbank AG (formely DRESDNER BANK)</t>
  </si>
  <si>
    <t>COMMERZBANK A G FRANKFURT AM MAIN</t>
  </si>
  <si>
    <t>XIAMEN ITG GROUP CORP LTD</t>
  </si>
  <si>
    <t>THINKING CAPITAL FINANCIAL CORPORATION</t>
  </si>
  <si>
    <t>INTERNATIONAL CO. FOR GOLDSMITHING AND JEWELLERY</t>
  </si>
  <si>
    <t>COMPANIA MINERA ARES S.A.C.</t>
  </si>
  <si>
    <t>COMPANIA MINERA ARES SAC</t>
  </si>
  <si>
    <t>LIBERTY COMMUNICATIONS OF PUERTO RICO LLC</t>
  </si>
  <si>
    <t>ONESTEEL RECYCLING HONG KONG LTD</t>
  </si>
  <si>
    <t>CITIGROUP GLOBAL MARKETS  LIMITED</t>
  </si>
  <si>
    <t>CITIGROUP GLOBAL MARKETS LTD (GROUP TREASURY)</t>
  </si>
  <si>
    <t>Citigroup Global Markets PLC</t>
  </si>
  <si>
    <t>CITIGROUP GLOBAL MARKETS LIMITED</t>
  </si>
  <si>
    <t>CITIGROUP GLOBAL MARKETS LIMITED EQUITY TRS FACILITY</t>
  </si>
  <si>
    <t>Citi Global Markets</t>
  </si>
  <si>
    <t>CITIGROUP GLOBAL MARKETS LTD</t>
  </si>
  <si>
    <t>ALLGEMEINE GOLD-UND SILBERSCHEIDEANSTALT AG</t>
  </si>
  <si>
    <t>BOKF NA</t>
  </si>
  <si>
    <t>BOKF NATIONAL ASSOCIATION</t>
  </si>
  <si>
    <t>PACIFIC INVESTMENT MANAGEMENT COMPANY LLC, SOLELY IN ITS CAPACITY AS ADVISOR ON BEHALF OF CARGILL INCORPORATED AND ASSOCIATED COMPANIES MASTER PENSION TRUST</t>
  </si>
  <si>
    <t>LOOMIS INTERNATIONAL (AE) FZE</t>
  </si>
  <si>
    <t>LOOMIS INTERNATIONAL (CH) AG</t>
  </si>
  <si>
    <t>XANDER INC</t>
  </si>
  <si>
    <t>OCEANEASE LIMITED</t>
  </si>
  <si>
    <t>THE FEDERAL BANK LIMITED</t>
  </si>
  <si>
    <t>LS METALS CO. LTD</t>
  </si>
  <si>
    <t>MALAYSIA SMELTING CORP. BERHAD</t>
  </si>
  <si>
    <t>2435572 ONTARIO INC.</t>
  </si>
  <si>
    <t>MIDWEST METALS CORPORATION</t>
  </si>
  <si>
    <t>SUTTON GROUP REALTY SERVICES LTD</t>
  </si>
  <si>
    <t>ARCELORMITTAL TREASURY SNC</t>
  </si>
  <si>
    <t>MRI TRADING AG</t>
  </si>
  <si>
    <t>LIHIR GOLD LIMITED</t>
  </si>
  <si>
    <t>CADIA HOLDINGS PTY LIMITED</t>
  </si>
  <si>
    <t>PT NUSA HALMAHERA MINERALS</t>
  </si>
  <si>
    <t>HONG KONG TONGYUAN TRADING DEVELOPMENT LIMITED</t>
  </si>
  <si>
    <t>TRIMET SCHWEIZ AG</t>
  </si>
  <si>
    <t>THE FALCONWOOD CORPORATION</t>
  </si>
  <si>
    <t>FALCONWOOD CORPORATION</t>
  </si>
  <si>
    <t>GALAXY MARINE LIMITED</t>
  </si>
  <si>
    <t>TRAFIGURA AG</t>
  </si>
  <si>
    <t>TRIMET ALUMINIUM SE</t>
  </si>
  <si>
    <t>UIL(SINGAPORE)PTE LTD</t>
  </si>
  <si>
    <t>UIL (SINGAPORE) PTE. LTD.</t>
  </si>
  <si>
    <t>LYB TRADING COMPANY B.V.</t>
  </si>
  <si>
    <t>DEXIA CREDIT LOCAL SA NEW YORK</t>
  </si>
  <si>
    <t>RAYTHEON SYSTEMS LIMITED</t>
  </si>
  <si>
    <t>TRAFIGURA DERIVATIVES LIMITED</t>
  </si>
  <si>
    <t>ABN AMRO CLEARING BANK NV</t>
  </si>
  <si>
    <t>ABN AMRO Clearing Bank N.V.</t>
  </si>
  <si>
    <t>WB THE CREATIVE JEWELLERY GROUP LTD</t>
  </si>
  <si>
    <t>BANCA POPOLARE FRIULADRIA S.P.A.</t>
  </si>
  <si>
    <t>BANCA POPOLARE FRILADRIA SPA</t>
  </si>
  <si>
    <t>BANCA POPLARE FRIULADRIA S.P.A.</t>
  </si>
  <si>
    <t>BANCA POPOLARE FRIULADRIA</t>
  </si>
  <si>
    <t>BREVAN HOWARD INVESTMENT FUND ACTING FOR AND ON BEHALF OF BREVAN HOWARD INVESTMENT FUND EMERGING MARKETS LOCAL FIXED INCOME FUND</t>
  </si>
  <si>
    <t>UMICORE AG &amp; CO KG</t>
  </si>
  <si>
    <t>UMICORE AG AND CO KG</t>
  </si>
  <si>
    <t>BRINKS GLOBAL SERVICES FZE</t>
  </si>
  <si>
    <t>KOMMUNALBANKEN AS CDEA</t>
  </si>
  <si>
    <t>KOMMUNALBANKEN AS</t>
  </si>
  <si>
    <t>767 FIFTH PARTNERS LLC</t>
  </si>
  <si>
    <t>WELLS FARGO AND COMPANY</t>
  </si>
  <si>
    <t>CHUKOTKA MINING &amp; GEOLOGICAL COMPANY</t>
  </si>
  <si>
    <t>CHUKOTKA MINING AND GEOGLOGICAL COMPANY -</t>
  </si>
  <si>
    <t>YORK MACHINE SHOP LTD</t>
  </si>
  <si>
    <t>RIDLEY TERMINALS INC</t>
  </si>
  <si>
    <t>Sucden Financial Limited</t>
  </si>
  <si>
    <t>SKIPTON BUILDING SOCIETY CDEA</t>
  </si>
  <si>
    <t>SHELL TREASURY CENTRE LTD</t>
  </si>
  <si>
    <t>FORMERANK LTD</t>
  </si>
  <si>
    <t>TAQA FINANCIAL SERVICES B.V</t>
  </si>
  <si>
    <t>KOMMUNEKREDIT</t>
  </si>
  <si>
    <t>HS1 LIMITED</t>
  </si>
  <si>
    <t>JM BRIMSDOWN A/C PRESMAN LTD</t>
  </si>
  <si>
    <t>JM BRIMSDOWN A/C CIPAN</t>
  </si>
  <si>
    <t>JM BRIMSDOWN A/C REMETALL DROCHOW GMBH</t>
  </si>
  <si>
    <t>JOHNSON MATTHEY PLC(TRADING A/C)</t>
  </si>
  <si>
    <t>JOHNSON MATTHEY TRADING HQ</t>
  </si>
  <si>
    <t>JOHNSON MATTHEY PLC</t>
  </si>
  <si>
    <t>JM BRIMSDOWN A/C HAFNER GMBH</t>
  </si>
  <si>
    <t>JM HOLDING ACCOUNT</t>
  </si>
  <si>
    <t>JM BRIMSDOWN A/C MASTERMELT LTD</t>
  </si>
  <si>
    <t>JM BRIMSDOWN AC HENSEL RECYCLING GMBH</t>
  </si>
  <si>
    <t>JOHNSON MATTHEY PLC H/Q    A/C</t>
  </si>
  <si>
    <t>JM BRIMSDOWN A/C MAIREC EDELMETALLGESELLSCHAFT MBH</t>
  </si>
  <si>
    <t>CICC COMMODITY TRADING LIMITED</t>
  </si>
  <si>
    <t>MAIREC EDELMETALLGESELLSCHAFT MBH PM RECYCLING</t>
  </si>
  <si>
    <t>MAIREC EDELMETALLGESELLSCHAFT MBH</t>
  </si>
  <si>
    <t>ATLANTIC COPPER S.L.U</t>
  </si>
  <si>
    <t>ATLANTIC COPPER S L U</t>
  </si>
  <si>
    <t>MASTERMELT LIMITED</t>
  </si>
  <si>
    <t>AURUBIS AG</t>
  </si>
  <si>
    <t>PARANAPANEMA S.A.</t>
  </si>
  <si>
    <t>NATIONAL BANK OF SLOVAKIA</t>
  </si>
  <si>
    <t>NARODNA BANKA SLOVENSKA</t>
  </si>
  <si>
    <t>CHRYSOS SPA</t>
  </si>
  <si>
    <t>HANWA CO LTD</t>
  </si>
  <si>
    <t>HANWA CO LIMITED</t>
  </si>
  <si>
    <t>HANWA CO. LTD</t>
  </si>
  <si>
    <t>RED KITE MASTER FUND LIMITED</t>
  </si>
  <si>
    <t>CIPAN - COMPANHIA INDUSTRIAL PRODUTORA DE</t>
  </si>
  <si>
    <t>BANQUE NATIONALE SUISSE</t>
  </si>
  <si>
    <t>SWISS NATIONAL BANK</t>
  </si>
  <si>
    <t>E ON ESPANA SLU</t>
  </si>
  <si>
    <t>NORTHAM PLATINUM LTD</t>
  </si>
  <si>
    <t>BREVAN HOWARD INVESTMENT FUND ACTING FOR AND ON BEHALF OF BREVAN HOWARD INVESTMENT FUND EMERRGING MARKETS LOCAL FIXED INCOME FUND</t>
  </si>
  <si>
    <t>APAR INDUSTRIES LIMITED</t>
  </si>
  <si>
    <t>BREVAN HOWARD INVESTMENT FUND II MACRO FX FUND CDEA</t>
  </si>
  <si>
    <t>M G TRADING LTD</t>
  </si>
  <si>
    <t>TRAXYS EUROPE S.A</t>
  </si>
  <si>
    <t>LSIS CO LTD</t>
  </si>
  <si>
    <t>CHINA NATIONAL GEOLOGICAL &amp; MINING (HK) LIMITED</t>
  </si>
  <si>
    <t>CHINA NATIONAL GEOLOGICAL &amp; MINING(HK) LIMITED</t>
  </si>
  <si>
    <t>ING VYSYA BANK LIMITED</t>
  </si>
  <si>
    <t>PRESMAN (BULLION) LIMITED</t>
  </si>
  <si>
    <t>SCHONE EDELMETAAL B.V</t>
  </si>
  <si>
    <t>JBR RECOVERY LTD</t>
  </si>
  <si>
    <t>BRINKS DUBAI</t>
  </si>
  <si>
    <t>BRINKS DUBAI 2</t>
  </si>
  <si>
    <t>DUXTON WINDOWS AND DOORS LTD</t>
  </si>
  <si>
    <t>FLEET PRODUCTS LTD</t>
  </si>
  <si>
    <t>CFM INDOSUEZ WEALTH MANAGEMENT SA (FKA: CREDIT FONCIER DE MONACO)</t>
  </si>
  <si>
    <t>THE CURRENCY EXCHANGE FUND N.V.</t>
  </si>
  <si>
    <t>DEUTSCHE BANK SAE</t>
  </si>
  <si>
    <t>DODUCO ESPANA S.L.</t>
  </si>
  <si>
    <t>QATAR FUEL ADDITIVES COMPANY LIMITED (QAFAC)</t>
  </si>
  <si>
    <t>EUROPEAN BANK FOR RECONSTRUCTION &amp; DEVELOPMENT</t>
  </si>
  <si>
    <t>EUROPEAN BANK FOR RECONSTRUCTION AND DEVELOPMENT</t>
  </si>
  <si>
    <t>THE EUROPEAN BANK FOR RECONSTRUCTION AND DEVELOPMENT</t>
  </si>
  <si>
    <t>CANADIAN FLY IN FISHING RED LAKE LTD</t>
  </si>
  <si>
    <t>FLNG LIQUEFACTION 3 LLC</t>
  </si>
  <si>
    <t>Gottex Brokers SA</t>
  </si>
  <si>
    <t>NESTE OYJ</t>
  </si>
  <si>
    <t>RAND REFINERY (PTY) LIMITED</t>
  </si>
  <si>
    <t>RAND REFINERY PROPRIETRY LTD INVENTORY HQ</t>
  </si>
  <si>
    <t>RAND REFINERY PROPRIETRY LIMITED</t>
  </si>
  <si>
    <t>ANGLIAN WATER SERVICES FINANCING PLC.</t>
  </si>
  <si>
    <t>ANGLIAN WATER SERVICES FINANCING PLC</t>
  </si>
  <si>
    <t>BLUECREST CAPITAL INTERNATIONAL MASTER FUND LIMITED CDEA</t>
  </si>
  <si>
    <t>BLUECREST CAPITAL INTERNATIONAL MASTER FUND LIMITED</t>
  </si>
  <si>
    <t>1472490 ALBERTA LTD</t>
  </si>
  <si>
    <t>UNITED PETROLEUM PRODUCTS INC</t>
  </si>
  <si>
    <t>COLUMBIA FUELS LTD</t>
  </si>
  <si>
    <t>PARKLAND REFINING LTD</t>
  </si>
  <si>
    <t>NEUFELD PETROLEUM AND PROPANE LTD</t>
  </si>
  <si>
    <t>CANGO INC</t>
  </si>
  <si>
    <t>SPARLINGS PROPANE CO LTD</t>
  </si>
  <si>
    <t>1714141 ALBERTA LTD</t>
  </si>
  <si>
    <t>SPF ENERGY INC</t>
  </si>
  <si>
    <t>SUPERPUMPER INC</t>
  </si>
  <si>
    <t>FARSTAD OIL INC</t>
  </si>
  <si>
    <t>PARKLAND US ACQUISITION CORP</t>
  </si>
  <si>
    <t>PARKLAND US FINANCING CORP</t>
  </si>
  <si>
    <t>PARKLAND US HOLDING CORP</t>
  </si>
  <si>
    <t>BGC Derivatives Markets LP</t>
  </si>
  <si>
    <t>BGC DERIVATIVES MARKETS LP</t>
  </si>
  <si>
    <t>BGC CAPITAL MARKETS</t>
  </si>
  <si>
    <t>BGC Capital Markets Hong Kong Limited</t>
  </si>
  <si>
    <t>BGC PARTNERS (SINGAPORE) LIMITED</t>
  </si>
  <si>
    <t>BIERBAUM AND CO GMBH</t>
  </si>
  <si>
    <t>BARCLAYS TRADER</t>
  </si>
  <si>
    <t>BLOOMBERG MARKET MAKER</t>
  </si>
  <si>
    <t>BLOOMBERG MARKET TAKER</t>
  </si>
  <si>
    <t>BLOOMBERG SYSTEM</t>
  </si>
  <si>
    <t>BLOOMBERG POWERMATCH</t>
  </si>
  <si>
    <t>AUTOBAHN</t>
  </si>
  <si>
    <t>MERCURIA ENERGY TRADING S.A</t>
  </si>
  <si>
    <t>GTI TRANSPORT SOLUTIONS INC.</t>
  </si>
  <si>
    <t>BLOOMBERG SEF LLC</t>
  </si>
  <si>
    <t>VENTANILLA CELAYA</t>
  </si>
  <si>
    <t>CMH REUTERS TRADER</t>
  </si>
  <si>
    <t>CME REUTERS TRADER</t>
  </si>
  <si>
    <t>CURRENEX TORONTO</t>
  </si>
  <si>
    <t>CURRENEX LONDON</t>
  </si>
  <si>
    <t>CURRENEX HONG KONG</t>
  </si>
  <si>
    <t>CURRENEX NEW YORK</t>
  </si>
  <si>
    <t>CURRENEX, INC.</t>
  </si>
  <si>
    <t>CREDIT SUISSE PRIME TRADE</t>
  </si>
  <si>
    <t>CITI BROKER</t>
  </si>
  <si>
    <t>VENTANILLA MESA DEPT INTERNOS</t>
  </si>
  <si>
    <t>VENTANILLA MESA DE DERIVADOS</t>
  </si>
  <si>
    <t>DYNAMIC MUTUAL FUNDS</t>
  </si>
  <si>
    <t>EBS AGRESSOR</t>
  </si>
  <si>
    <t>EBS NON AGGRESSOR</t>
  </si>
  <si>
    <t>EBS MATCHING BROKER</t>
  </si>
  <si>
    <t>EBS TRADER</t>
  </si>
  <si>
    <t>ENLACE INT SA DE CV MEXICO</t>
  </si>
  <si>
    <t>ENLACE INT SA DE CV</t>
  </si>
  <si>
    <t>Enlace New York Inc</t>
  </si>
  <si>
    <t>ENLACE NEW YORK INC</t>
  </si>
  <si>
    <t>FAROS TRADING LLC</t>
  </si>
  <si>
    <t>FRONTIER FX</t>
  </si>
  <si>
    <t>TULLETT PREBON (SINGAPORE) LIMITED</t>
  </si>
  <si>
    <t>TULLETT PREBON SINGAPORE LTD</t>
  </si>
  <si>
    <t>FREEDOM INTERNATIONAL</t>
  </si>
  <si>
    <t>CIT BROKER</t>
  </si>
  <si>
    <t>NEXANS NORWAY AS</t>
  </si>
  <si>
    <t>MANULIFE ASSET MGMT CDN CORE FIXED</t>
  </si>
  <si>
    <t>MANULIFE AM CANADIAN CORE FIXED INCOME</t>
  </si>
  <si>
    <t>First Trust Strategic Income ETF</t>
  </si>
  <si>
    <t>MANULIFE AM CANADIAN CORE PLUS FIXED</t>
  </si>
  <si>
    <t>FXTRADER</t>
  </si>
  <si>
    <t>GELBER GROUP LLC</t>
  </si>
  <si>
    <t>GFI (HK) BROKERS LTD</t>
  </si>
  <si>
    <t>GFI GROUP INC</t>
  </si>
  <si>
    <t>GFI SWAPS EXCHANGE LLC</t>
  </si>
  <si>
    <t>GFI FOREX MATCH</t>
  </si>
  <si>
    <t>GFI GROUP PTE LTD</t>
  </si>
  <si>
    <t>GTB BROKER</t>
  </si>
  <si>
    <t>HARLOW LONDON LTD</t>
  </si>
  <si>
    <t>NITTAN CAPITAL ASIA LIMITED</t>
  </si>
  <si>
    <t>HSBC TRADER</t>
  </si>
  <si>
    <t>ICAP AUSTRALIA</t>
  </si>
  <si>
    <t>ICAP Austalia Pty LTD</t>
  </si>
  <si>
    <t>ICAP LIMITED HONG KONG</t>
  </si>
  <si>
    <t>ICAP SEF (US) LLC</t>
  </si>
  <si>
    <t>ICAP (SINGAPORE) PTE LTD</t>
  </si>
  <si>
    <t>ICAP Europe Ltd</t>
  </si>
  <si>
    <t>INTERCAPITAL EUROPE LTD</t>
  </si>
  <si>
    <t>INTEGRAL MARKET MAKER</t>
  </si>
  <si>
    <t>VENTANILLA IRAPUATO 2</t>
  </si>
  <si>
    <t>ITP BROKER CODE</t>
  </si>
  <si>
    <t>JPM TRADER</t>
  </si>
  <si>
    <t>VENTANILLA LAREDO</t>
  </si>
  <si>
    <t>MAKO FX</t>
  </si>
  <si>
    <t>AMERISUR EXPLORACION COLOMBIA LTD</t>
  </si>
  <si>
    <t>MAN FINANCIAL INC CCM DIVISION</t>
  </si>
  <si>
    <t>Martin Broker UK PLC</t>
  </si>
  <si>
    <t>MARTIN BROKERS UK PLC</t>
  </si>
  <si>
    <t>TRADITION NIHON LTD</t>
  </si>
  <si>
    <t>FXALL MEXICO</t>
  </si>
  <si>
    <t>MATAMOROS</t>
  </si>
  <si>
    <t>MS TRADER</t>
  </si>
  <si>
    <t>NITTAN MONEY MARKETS</t>
  </si>
  <si>
    <t>NITTAN CAPITAL SINGAPORE PTE LTD</t>
  </si>
  <si>
    <t>FX ORDER BLOTTER BROKER</t>
  </si>
  <si>
    <t>DEALT BY PHONE</t>
  </si>
  <si>
    <t>CD DEL CARMEN</t>
  </si>
  <si>
    <t>PLAYA DELCARMEN</t>
  </si>
  <si>
    <t>PLAYA DEL CARMEN</t>
  </si>
  <si>
    <t>PHONE 1 WAY</t>
  </si>
  <si>
    <t>TULLETT PREBON CANADA</t>
  </si>
  <si>
    <t>Tullett Prebon Canada Limited</t>
  </si>
  <si>
    <t>PHONE 2 WAY</t>
  </si>
  <si>
    <t>RBS TRADER</t>
  </si>
  <si>
    <t>GS MARQUEE</t>
  </si>
  <si>
    <t>REUTERS MATCHING AGGRESSOR</t>
  </si>
  <si>
    <t>DR MITTAL TRADING AS MITTAL TRADING</t>
  </si>
  <si>
    <t>VALCAMBI SA</t>
  </si>
  <si>
    <t>DODUCO CONTACTS AND REFINING GMBH</t>
  </si>
  <si>
    <t>CREDIT MUTUEL ARKEA</t>
  </si>
  <si>
    <t>MMG ALUMINIUM A.G</t>
  </si>
  <si>
    <t>REUTERS CONVERSATIONAL</t>
  </si>
  <si>
    <t>REUTERS MATCHING NON AGGRESSOR</t>
  </si>
  <si>
    <t>REUTERS DEALING BROKER</t>
  </si>
  <si>
    <t>REUTERS MATCHING INTERFACE BROKER</t>
  </si>
  <si>
    <t>REMATE LINCE SA MEXICO</t>
  </si>
  <si>
    <t>RESET PTE LTD</t>
  </si>
  <si>
    <t>STATE STREET AKA GLOBAL LINK</t>
  </si>
  <si>
    <t>STATE STREET</t>
  </si>
  <si>
    <t>TOKYO FOREX AND UEDA HARLOW LTD</t>
  </si>
  <si>
    <t>TULLETT PREBON LTD</t>
  </si>
  <si>
    <t>TULLET PREBON MEXICO</t>
  </si>
  <si>
    <t>TRADITION NORTH AMERICA INC.</t>
  </si>
  <si>
    <t>TRADITION SINGAPORE LTD</t>
  </si>
  <si>
    <t>TULLETT LIBERTY INC</t>
  </si>
  <si>
    <t>VERACRUZ</t>
  </si>
  <si>
    <t>INSTITUTIONAL EQUITY</t>
  </si>
  <si>
    <t>TP MATCH LOCATION SINGAPORE</t>
  </si>
  <si>
    <t>TRADITION LTD</t>
  </si>
  <si>
    <t>PINTO VALLEY MINING CORP</t>
  </si>
  <si>
    <t>COUNTRY ROAD DISTRIBUTING</t>
  </si>
  <si>
    <t>MMTC LIMITED</t>
  </si>
  <si>
    <t>MKS (SWITZERLAND) SA</t>
  </si>
  <si>
    <t>BAXTER PUBLICATIONS INC</t>
  </si>
  <si>
    <t>TENDER CORPORATION</t>
  </si>
  <si>
    <t>MMTC UNSECURED LOAN HQ</t>
  </si>
  <si>
    <t>SAMUEL TAYLOR LIMITED</t>
  </si>
  <si>
    <t>ADDENDA GLOBAL TACTICAL FIXED INCOME POOLED FUND</t>
  </si>
  <si>
    <t>SUNSHINE MINTING NEVADA, LLC</t>
  </si>
  <si>
    <t>VANCOUVER PROFESSIONAL BASEBALL LLP</t>
  </si>
  <si>
    <t>GRANITE OIL CORP</t>
  </si>
  <si>
    <t>DEETHREE EXPLORATION LTD</t>
  </si>
  <si>
    <t>AST MULTI-SECTOR FIXED INCOME PORTFOLIO</t>
  </si>
  <si>
    <t>NEW SILVER SRL</t>
  </si>
  <si>
    <t>CHINA COPPER INDUSTRY GROUP LTD</t>
  </si>
  <si>
    <t>COTERRA ENERGY INC.</t>
  </si>
  <si>
    <t>MEMORIAL RESOURCE DEVELOPMENT CORPORATION</t>
  </si>
  <si>
    <t>CALLON PETROLEUM COMPANY</t>
  </si>
  <si>
    <t>CARRIZO OIL &amp; GAS, INC.</t>
  </si>
  <si>
    <t>HYUNDAI HONG KONG CO LTD.</t>
  </si>
  <si>
    <t>RGLD GOLD AG</t>
  </si>
  <si>
    <t>UMICORE PRECIOUS METALS (THAILAND) LTD</t>
  </si>
  <si>
    <t>PETRONAS CHEMICALS AROMATICS SDN BHD</t>
  </si>
  <si>
    <t>MOLINOS AZTECA DE CHALCO SA DE CV</t>
  </si>
  <si>
    <t>MOLINOS AZTECA DE CHIAPAS SA DE CV</t>
  </si>
  <si>
    <t>MOLINOS AZTECA DE VERACRUZ SA DE CV</t>
  </si>
  <si>
    <t>HARINERA DE YUCATAN SA DE CV</t>
  </si>
  <si>
    <t>HARINERA DE MAIZ DE JALISCO SA DE CV</t>
  </si>
  <si>
    <t>HARINERA DE MAIZ DE MEXICALI SA DE CV</t>
  </si>
  <si>
    <t>HARINERA DE VERACRUZ SA DE CV</t>
  </si>
  <si>
    <t>NOVAGLOBE INTERNATIONAL INC</t>
  </si>
  <si>
    <t>HERAEUS METALS GERMANY GMBH</t>
  </si>
  <si>
    <t>HERAEUS METALS GERMANY GMBH &amp; CO KG</t>
  </si>
  <si>
    <t>HERAEUS METALS GERMANY GMBH &amp; CO. KG</t>
  </si>
  <si>
    <t>HERAEUS METALL HQ ACCOUNT</t>
  </si>
  <si>
    <t>SKY JEWELLERY LLC</t>
  </si>
  <si>
    <t>ITALPREZIOSI SPA</t>
  </si>
  <si>
    <t>AL BADIA OPTIONS ACCOUNT</t>
  </si>
  <si>
    <t>AL BADIA JEWELLERY</t>
  </si>
  <si>
    <t>AL BADIA JEWELLERY LOAN HQ</t>
  </si>
  <si>
    <t>AL HASEENA LLC</t>
  </si>
  <si>
    <t>SUPREME JEWELS FZCO</t>
  </si>
  <si>
    <t>MECATAFF SAL</t>
  </si>
  <si>
    <t>NATIONAL COMMERCIAL BANK</t>
  </si>
  <si>
    <t>NATIONAL COMMERCIAL BANK JEDDAH</t>
  </si>
  <si>
    <t>WOLVERINE TUBE INC</t>
  </si>
  <si>
    <t>DENIZBANK AS</t>
  </si>
  <si>
    <t>TURK EKONOMI BANKASI AS</t>
  </si>
  <si>
    <t>TURK EKONOMI BANKASI AS LC</t>
  </si>
  <si>
    <t>QUANTUM INVESTMENT BANK LIMITED</t>
  </si>
  <si>
    <t>ASTER COMMODITIES DMCC</t>
  </si>
  <si>
    <t>AL ZAHRA JEWELLERY LLC</t>
  </si>
  <si>
    <t>ATLAS JEWELLERY LLC</t>
  </si>
  <si>
    <t>ATLAS JEWELLRY LLC</t>
  </si>
  <si>
    <t>BIN SABT JEWELLERY LLC</t>
  </si>
  <si>
    <t>DAMAS LLC</t>
  </si>
  <si>
    <t>DEEPU JEWELLERS</t>
  </si>
  <si>
    <t>THE BANK OF MONGOLIA</t>
  </si>
  <si>
    <t>BANK OF MONGOLIA</t>
  </si>
  <si>
    <t>FINJA JEWELLERY DMCC</t>
  </si>
  <si>
    <t>G.B JEWELLERS LLC</t>
  </si>
  <si>
    <t>JOY ALUKKAS JEWELLERY LLC</t>
  </si>
  <si>
    <t>JOY ALUKKAS  JEWELLERY LLC</t>
  </si>
  <si>
    <t>MANISH JEWELLERS LLC</t>
  </si>
  <si>
    <t>POPLEY KEWALRAM JEWELLERS LLC</t>
  </si>
  <si>
    <t>POPLEY KEWALRAM JEWELLERY LLC</t>
  </si>
  <si>
    <t>ROOPAM JEWELLERS LLC</t>
  </si>
  <si>
    <t>SHANTILAL JEWELLERS LLC</t>
  </si>
  <si>
    <t>SHATTAF JEWELLERS LLC</t>
  </si>
  <si>
    <t>SHATTAF JEWELLERS LLC LOAN ACCOUNT</t>
  </si>
  <si>
    <t>NATIONAL BK OF KYRGYZ REPUBLIC</t>
  </si>
  <si>
    <t>ARGOR-HERAEUS S.A</t>
  </si>
  <si>
    <t>ARGOR-HEREAUS SA</t>
  </si>
  <si>
    <t>ARGOR-HERAEUS S.A.</t>
  </si>
  <si>
    <t>LOOMIS STORAGE FACILITY AT ARGOR HERAEUS SA</t>
  </si>
  <si>
    <t>ARGOR-HERAEUS S A</t>
  </si>
  <si>
    <t>PAUL ELIAN GOLD &amp; EXCHANGE CORP</t>
  </si>
  <si>
    <t>J P ENTERPRISES LTD</t>
  </si>
  <si>
    <t>INTEC HEALTHCARE SOLUTIONS INC</t>
  </si>
  <si>
    <t>JOYERIA FINA SA</t>
  </si>
  <si>
    <t>ARGYOR SA 2</t>
  </si>
  <si>
    <t>ARGYOR S.A</t>
  </si>
  <si>
    <t>HENSEL RECYCLING GMBH</t>
  </si>
  <si>
    <t>HENCEL RECYCLING GBMH</t>
  </si>
  <si>
    <t>HERAEUS GMBH AC HENSEL RECYCLING GMBH</t>
  </si>
  <si>
    <t>WAJAX LIMITED</t>
  </si>
  <si>
    <t>GAY FRERES SAS</t>
  </si>
  <si>
    <t>GERRARDS PRECIOUS METALS LTD</t>
  </si>
  <si>
    <t>MASHREQ BANK PSC</t>
  </si>
  <si>
    <t>TOP JEWELLERS</t>
  </si>
  <si>
    <t>GOLD FIELDS LA CIMA S.A</t>
  </si>
  <si>
    <t>KALYAN JEWELLERS FZE</t>
  </si>
  <si>
    <t>DUNYA ULUSLARARASI MUCEVHERAT</t>
  </si>
  <si>
    <t>AKZO NOBEL FUNCTIONAL CHEMICALS AB</t>
  </si>
  <si>
    <t>ISTANBUL  ALTIN RAFINERISI SIKERT</t>
  </si>
  <si>
    <t>GOLD INVESTMENTS LTD</t>
  </si>
  <si>
    <t>BAIRD AND CO LTD</t>
  </si>
  <si>
    <t>BAIRD AND CO LTD ALLOCATED</t>
  </si>
  <si>
    <t>AL BOGARI ISLAMIC GOLD DMCC</t>
  </si>
  <si>
    <t>EMIRATES GOLD DMCC HM TREASURY, Blocked ACC: Machanga Ltd I/N/O EMIRATES GOLD DMCC HM TREASURY A/C re Blocked Account #0349216, I/N/O: O.F.A.C. Machanga Ltd</t>
  </si>
  <si>
    <t>EMIRATES GOLD DMCC HM TREASURY, Blocked Acc: Uganda Commercial Impex (UCI) Ltd I/N/O EMIRATES GOLD DMCC HM TREASURY A/C re Blocked Account #0349119, I/N/O : O.F.A.C. Uganda Commercial Impex (UCI) Ltd.</t>
  </si>
  <si>
    <t>EMIRATES GOLD DMCC</t>
  </si>
  <si>
    <t>EMIRATES GOLD DMCC HM TREASURY A/C</t>
  </si>
  <si>
    <t>F5 NETWORKS CANADA LTD</t>
  </si>
  <si>
    <t>MH HOTELS MEADOWVALE LIMITED</t>
  </si>
  <si>
    <t>SALEM HAMAD NASSER AL SHUEIBI</t>
  </si>
  <si>
    <t>AMES GOLDSMITH U.K. LIMITED</t>
  </si>
  <si>
    <t>AMES GOLDSMITH U.K.LIMITED</t>
  </si>
  <si>
    <t>BANQUE DES ETATS DE L'AFRIQUE CENTRALE</t>
  </si>
  <si>
    <t>CLEMENTS FAMILY GIFTS-1</t>
  </si>
  <si>
    <t>K A M AGA KHAN</t>
  </si>
  <si>
    <t>MR KARL.O.LEE</t>
  </si>
  <si>
    <t>BESSEMER PLYWOOD CORP</t>
  </si>
  <si>
    <t>MR SCOTT H ANDREW</t>
  </si>
  <si>
    <t>MRS C.S JAKUBCZAK</t>
  </si>
  <si>
    <t>AL BAHRAIN BULLION DMCC</t>
  </si>
  <si>
    <t>URLTA OF MARY ALICE MIDDLETON</t>
  </si>
  <si>
    <t>BANCA DI ANGHIARI E STIA CREDITO COOPERATIVO</t>
  </si>
  <si>
    <t>BANCA DI CREDITO COOPERATIVO ANGHIARI E STIA</t>
  </si>
  <si>
    <t>ALPHA TRAINS FINANCE SA</t>
  </si>
  <si>
    <t>HANDY AND HARMAN GROUP LTD</t>
  </si>
  <si>
    <t>HANDY &amp; HARMAN GROUP LTD.</t>
  </si>
  <si>
    <t>HANDY &amp; HARMAN GROUP LTD</t>
  </si>
  <si>
    <t>ANGLO AMERICAN MARKETING LIMITED</t>
  </si>
  <si>
    <t>AUSTRALIAN ENERGY GROUP</t>
  </si>
  <si>
    <t>JNR INC</t>
  </si>
  <si>
    <t>CALIFORNIA RESOURCES CORPORATION MARKETING INC</t>
  </si>
  <si>
    <t>9320-2125 QUEBEC INC.</t>
  </si>
  <si>
    <t>NEXEYA CANADA INC</t>
  </si>
  <si>
    <t>OPTICAL TECHNOLOGIES SAC</t>
  </si>
  <si>
    <t>ANNEX NEWCOM LIMITED PARTNERSHIP</t>
  </si>
  <si>
    <t>TALUS TECHNOLOGIES INC</t>
  </si>
  <si>
    <t>Citadel Securities LLC</t>
  </si>
  <si>
    <t>SINOCHEM PETROLEUM USA LP</t>
  </si>
  <si>
    <t>National Pension Service</t>
  </si>
  <si>
    <t>IFG INVESTMENTS LTD</t>
  </si>
  <si>
    <t>LEGEN TEX LTD</t>
  </si>
  <si>
    <t>WEST PENETONE INC</t>
  </si>
  <si>
    <t>LORCA HOLDING B.V.</t>
  </si>
  <si>
    <t>TECHEMET METALS TRADING, LLC</t>
  </si>
  <si>
    <t>HOLOGIC INC</t>
  </si>
  <si>
    <t>HOLOGIC, INC.</t>
  </si>
  <si>
    <t>MIDAS GOLD CORP</t>
  </si>
  <si>
    <t>BOFA MERCURY</t>
  </si>
  <si>
    <t>GEORGETOWN FINANCE</t>
  </si>
  <si>
    <t>LAUREL FINANCE</t>
  </si>
  <si>
    <t>NORSPEC FILTRATION LTD</t>
  </si>
  <si>
    <t>PERFORMANCE ENERGY SERVICES INC</t>
  </si>
  <si>
    <t>BLUE MOUNTAIN CREDIT ALTERNATIVES MASTER FUND L.P</t>
  </si>
  <si>
    <t>BLUE MOUNTAIN CREDIT ALTERNATIVES MASTER FUND LP</t>
  </si>
  <si>
    <t>ABOSSO GOLDFIELDS LTD</t>
  </si>
  <si>
    <t>FIDELITY CLEARING CANADA ULC</t>
  </si>
  <si>
    <t>GOLD CORPORATION</t>
  </si>
  <si>
    <t>GOLDFIELDS GHANA LTD</t>
  </si>
  <si>
    <t>FB TANKSHIP III LTD</t>
  </si>
  <si>
    <t>FB TANKSHIP IV LTD</t>
  </si>
  <si>
    <t>FC TANKSHIP I LTD</t>
  </si>
  <si>
    <t>BELFIUS BANK</t>
  </si>
  <si>
    <t>FC TANKSHIP II LTD</t>
  </si>
  <si>
    <t>AGNEW GOLD MINING COMPANY (PTY) LTD</t>
  </si>
  <si>
    <t>NEWFOUNDLAND CAPITAL CORPORATION</t>
  </si>
  <si>
    <t>OCEAN BRANDS GP</t>
  </si>
  <si>
    <t>ST IVES GOLD MINING COMPANY PTY LTD</t>
  </si>
  <si>
    <t>ST IVES GOLD MINING COMPANY (PTY) LTD</t>
  </si>
  <si>
    <t>ST. IVES GOLD MINING COMPANY PTY LTD.</t>
  </si>
  <si>
    <t>0880984 BC LTD</t>
  </si>
  <si>
    <t>0880984 BC LTD O/A MCL MOTOR CARS 2010</t>
  </si>
  <si>
    <t>AUTOMOTIVE PROPERTIES LIMITED PARTNERSHIP</t>
  </si>
  <si>
    <t>GOLDEN ARROW TOURS</t>
  </si>
  <si>
    <t>EXCELLENT ADVENTURES OUTPOSTS</t>
  </si>
  <si>
    <t>PEVISA AUTO PARTS SA</t>
  </si>
  <si>
    <t>OLIN CORPORATION</t>
  </si>
  <si>
    <t>ARDAGH METAL PACKAGING CANADA LTD</t>
  </si>
  <si>
    <t>CONTAINERS NO 1 INC</t>
  </si>
  <si>
    <t>TRADITION SERVICES SA  DE CV</t>
  </si>
  <si>
    <t>GFI GROUP MEXICO S A DE C V</t>
  </si>
  <si>
    <t>SIF GARBAN INTERCAPITAL MEXICO SA DE CV</t>
  </si>
  <si>
    <t>SIF ICAP SA DE CV</t>
  </si>
  <si>
    <t>EVONIK INDUSTRIES AG</t>
  </si>
  <si>
    <t>B2GOLD CORP</t>
  </si>
  <si>
    <t>B2GOLD CORP.</t>
  </si>
  <si>
    <t>TRITON MINERA S.A</t>
  </si>
  <si>
    <t>MOTHER PARKERS TEA AND COFFEE USA LTD</t>
  </si>
  <si>
    <t>JAHESA SA</t>
  </si>
  <si>
    <t>COLDWATER NARROWS LAND TRUST - COMMUNITY DEVELOPMENT FUND</t>
  </si>
  <si>
    <t>REDPATH MEXICANA CONSTRUCCIONES S A DE C V</t>
  </si>
  <si>
    <t>REIMER WORLD CORP</t>
  </si>
  <si>
    <t>BABCOCK &amp; WILCOX COMPANY</t>
  </si>
  <si>
    <t>RUBICON MINERALS CORPORATION</t>
  </si>
  <si>
    <t>16 DE SEPTIEMBRE</t>
  </si>
  <si>
    <t>20 DE NOVIEMBRE</t>
  </si>
  <si>
    <t>5 DE FEBRERO</t>
  </si>
  <si>
    <t>A INDUSTRIAL MX LP</t>
  </si>
  <si>
    <t>ABASTOS</t>
  </si>
  <si>
    <t>ABASTOS GUADALUPE</t>
  </si>
  <si>
    <t>ABASTOS SAN NICOLAS</t>
  </si>
  <si>
    <t>ABELARDO L RODRIGUEZ</t>
  </si>
  <si>
    <t>ACAMBARO</t>
  </si>
  <si>
    <t>ACAPULCO</t>
  </si>
  <si>
    <t>ACAPULCO DIAMANTE</t>
  </si>
  <si>
    <t>ACAYUCAN</t>
  </si>
  <si>
    <t>ACERAXY SA DE CV</t>
  </si>
  <si>
    <t>ACTOPAN</t>
  </si>
  <si>
    <t>ACUEDUCTO</t>
  </si>
  <si>
    <t>ADMINISTRADORA DE ACTIVOS CF S DE RL DE CV</t>
  </si>
  <si>
    <t>AECOM INGENIERIA SA DE CV</t>
  </si>
  <si>
    <t>AERO CHARTER CANCUN SA DE CV</t>
  </si>
  <si>
    <t>AEROPUERTO INTERNACIONAL</t>
  </si>
  <si>
    <t>AGRICOLA LA VIDORAMA SA DE CV</t>
  </si>
  <si>
    <t>AGRICOLA TERRAMARA S DE RL DE CV</t>
  </si>
  <si>
    <t>AGRO PRODUCTOS MEVI, SA DE CV</t>
  </si>
  <si>
    <t>AGROPECUARIA AGER SPR DE RL</t>
  </si>
  <si>
    <t>AGROPECUARIOS TOM SA DE CV</t>
  </si>
  <si>
    <t>AGROPRODUCTOS TRIGON, S.A. DE C.V.</t>
  </si>
  <si>
    <t>AGUASCALIENTES CENTRO</t>
  </si>
  <si>
    <t>AGUSTIN YANEZ</t>
  </si>
  <si>
    <t>AHERN INTERNACIONAL DE MEXICO SA DE CV</t>
  </si>
  <si>
    <t>AHORRO INDIVIDUAL XXI BANORTE SIEFORE, S.A. DE C.V.</t>
  </si>
  <si>
    <t>AIFCO SA DE CV</t>
  </si>
  <si>
    <t>ALAMEDAS</t>
  </si>
  <si>
    <t>ALAMOS XOLA</t>
  </si>
  <si>
    <t>ALEMANIA</t>
  </si>
  <si>
    <t>ALIMENTOS CENTRALIZADOS DE MEXICO S DE RL DE CV</t>
  </si>
  <si>
    <t>ALIMENTOS Y PRODUCTOS PARA GANADO LECHERO</t>
  </si>
  <si>
    <t>ALTA TENSION</t>
  </si>
  <si>
    <t>ALTABRISA</t>
  </si>
  <si>
    <t>ALTAMIRA</t>
  </si>
  <si>
    <t>ALVARO OBREGON</t>
  </si>
  <si>
    <t>AMECA</t>
  </si>
  <si>
    <t>AMERICAS</t>
  </si>
  <si>
    <t>AMERICAS VALLARTA</t>
  </si>
  <si>
    <t>ANGELOPOLIS</t>
  </si>
  <si>
    <t>ANILLO SAN JERONIMO</t>
  </si>
  <si>
    <t>ANIMAS JALAPA</t>
  </si>
  <si>
    <t>ANZURES</t>
  </si>
  <si>
    <t>APARATOLOGIA ANAD SA DE CV</t>
  </si>
  <si>
    <t>APATZINGAN</t>
  </si>
  <si>
    <t>APIZACO</t>
  </si>
  <si>
    <t>APODACA</t>
  </si>
  <si>
    <t>ARANDAS</t>
  </si>
  <si>
    <t>ARBIDE</t>
  </si>
  <si>
    <t>ARBOLEDAS</t>
  </si>
  <si>
    <t>ARCOS BOSQUES</t>
  </si>
  <si>
    <t>ARCOS DE BELEM</t>
  </si>
  <si>
    <t>ARCOS SERCAL INMOBILIARIA S DE RL DE CV</t>
  </si>
  <si>
    <t>ARRECIFES</t>
  </si>
  <si>
    <t>AS AGRICOLA SELVA SPR DE RL</t>
  </si>
  <si>
    <t>ASIA GOURMET SA DE CV</t>
  </si>
  <si>
    <t>ATASTA</t>
  </si>
  <si>
    <t>ATCO SERVICIOS Y ENERGIA SA DE CV</t>
  </si>
  <si>
    <t>ATLACOMULCO</t>
  </si>
  <si>
    <t>ATLIXCO</t>
  </si>
  <si>
    <t>AUTOREFACCIONES DE CALIDAD S.A. DE C.V.</t>
  </si>
  <si>
    <t>AVENIDA CARRANZA</t>
  </si>
  <si>
    <t>AVENIDA MEXICO</t>
  </si>
  <si>
    <t>AVENIDA TOLUCA</t>
  </si>
  <si>
    <t>AX COMUNICACION SA DE CV</t>
  </si>
  <si>
    <t>AYOTLA</t>
  </si>
  <si>
    <t>AZCAPOTZALCO</t>
  </si>
  <si>
    <t>BACALAR</t>
  </si>
  <si>
    <t>BAHIA DE SANTA BARBARA</t>
  </si>
  <si>
    <t>BALBOA PORTALES</t>
  </si>
  <si>
    <t>BANCO BASE, SA INSTITUCION DE BANCA MULTIPLE</t>
  </si>
  <si>
    <t>BANCO BASE SA INSTITUCION DE BANCA MULTIPLE GRUPO FINANCIERO BASE</t>
  </si>
  <si>
    <t>BANCO CREDIT SUISSE MEXICO SA</t>
  </si>
  <si>
    <t>BELLAVISTA</t>
  </si>
  <si>
    <t>BENITO JUAREZ</t>
  </si>
  <si>
    <t>PRINCIPAL CANCUN</t>
  </si>
  <si>
    <t>BENJAMIN FRANKLIN</t>
  </si>
  <si>
    <t>BIENES PROGRAMADOS SA DE CV</t>
  </si>
  <si>
    <t>BLM MINERA MEXICANA, SA DE CV</t>
  </si>
  <si>
    <t>BLVD AEROPUERTO TOLLOCAN</t>
  </si>
  <si>
    <t>BLVD ATLIXCAYOTL</t>
  </si>
  <si>
    <t>BLVD DE LA NACION</t>
  </si>
  <si>
    <t>BLVD LOPEZ MATEOS</t>
  </si>
  <si>
    <t>BOCA DEL RIO</t>
  </si>
  <si>
    <t>BOLIVAR</t>
  </si>
  <si>
    <t>BOSQUE DE ARAGON</t>
  </si>
  <si>
    <t>BOSQUE DEL LAGO</t>
  </si>
  <si>
    <t>BOULEVARD</t>
  </si>
  <si>
    <t>BOULEVARD AEROPUERTO</t>
  </si>
  <si>
    <t>BOULEVARD NORTE</t>
  </si>
  <si>
    <t>BOULEVARD SOLIDARIDAD</t>
  </si>
  <si>
    <t>CABALLITO</t>
  </si>
  <si>
    <t>CABLEBOX SA DE CV</t>
  </si>
  <si>
    <t>CABO SAN LUCAS</t>
  </si>
  <si>
    <t>CABORCA</t>
  </si>
  <si>
    <t>CADEREYTA</t>
  </si>
  <si>
    <t xml:space="preserve">CAFE TOSTADO DE EXPORTACION					</t>
  </si>
  <si>
    <t>CAFE TOSTADO DE EXPORTACION SA DE CV</t>
  </si>
  <si>
    <t>CAFES FINOS DE CORDOBA SA DE CV</t>
  </si>
  <si>
    <t>CAFETALES</t>
  </si>
  <si>
    <t>CAJAPLAX, S.A. DE C.V.</t>
  </si>
  <si>
    <t>CALIDAD EN CONGELADOS SA DE CV</t>
  </si>
  <si>
    <t>CALZADA DEL HUESO</t>
  </si>
  <si>
    <t>CALZADA DEL VALLE</t>
  </si>
  <si>
    <t>CAMARGO</t>
  </si>
  <si>
    <t>CAMELINAS</t>
  </si>
  <si>
    <t>CAMPECHE</t>
  </si>
  <si>
    <t>CAMPESTRE</t>
  </si>
  <si>
    <t>CAMPESTRE CHURUBUSCO</t>
  </si>
  <si>
    <t>CAMPOS ELISEOS</t>
  </si>
  <si>
    <t>CARDENAS</t>
  </si>
  <si>
    <t>CARLOS CONSTANDSE MADRAZO</t>
  </si>
  <si>
    <t>CARRERA TORRES</t>
  </si>
  <si>
    <t>CARSO INFRAESTRUCTURA Y CONSTRUCCION SA DE CV</t>
  </si>
  <si>
    <t>CARVAJAL EDUCACION SA DE CV</t>
  </si>
  <si>
    <t>CASA CRAVIOTO SA DE CV</t>
  </si>
  <si>
    <t>CASA DE BOLSA</t>
  </si>
  <si>
    <t>CATEDRAL</t>
  </si>
  <si>
    <t>CD ACUNA</t>
  </si>
  <si>
    <t>CD GUZMAN</t>
  </si>
  <si>
    <t>CD JUAREZ</t>
  </si>
  <si>
    <t>MADERO</t>
  </si>
  <si>
    <t>CD MADERO</t>
  </si>
  <si>
    <t>CD MANTE</t>
  </si>
  <si>
    <t>CD OBREGON</t>
  </si>
  <si>
    <t>CD VALLES</t>
  </si>
  <si>
    <t>CELAYA</t>
  </si>
  <si>
    <t>CELAYA RESORTS S DE RL DE CV</t>
  </si>
  <si>
    <t>CENTRAL DE ABASTOS</t>
  </si>
  <si>
    <t>CENTRO - MERIDA</t>
  </si>
  <si>
    <t>CENTRO - TAMPICO</t>
  </si>
  <si>
    <t>CENTRO CD JUAREZ</t>
  </si>
  <si>
    <t>CENTRO CIVICO</t>
  </si>
  <si>
    <t>CENTRO CUAUTLA</t>
  </si>
  <si>
    <t>CENTRO INSURGENTES</t>
  </si>
  <si>
    <t>CENTRO MAX</t>
  </si>
  <si>
    <t>CENTRO MAYA</t>
  </si>
  <si>
    <t>CENTRO MEDICO</t>
  </si>
  <si>
    <t>CENTRO NUEVO LAREDO</t>
  </si>
  <si>
    <t>CENTURIAS</t>
  </si>
  <si>
    <t>CENTURION GLOBAL FUND</t>
  </si>
  <si>
    <t>CETYS</t>
  </si>
  <si>
    <t>CHALCO</t>
  </si>
  <si>
    <t>CHAPALITA</t>
  </si>
  <si>
    <t>CHAPULE</t>
  </si>
  <si>
    <t>CHAPULTEPEC</t>
  </si>
  <si>
    <t>CHETUMAL</t>
  </si>
  <si>
    <t>CHIEF ENTERPRISES MEXICO S DE RL DE CV</t>
  </si>
  <si>
    <t>CHIHUAHUA</t>
  </si>
  <si>
    <t>CHILPANCINGO</t>
  </si>
  <si>
    <t>CHIPINQUE</t>
  </si>
  <si>
    <t>CHOLULA</t>
  </si>
  <si>
    <t>CHULAVISTA</t>
  </si>
  <si>
    <t>CHUVISCAR</t>
  </si>
  <si>
    <t>CIACOMEX, SA DE CV</t>
  </si>
  <si>
    <t>CIBELES</t>
  </si>
  <si>
    <t>CIUDADELA</t>
  </si>
  <si>
    <t>CLAVIJERO</t>
  </si>
  <si>
    <t>CLOUD DATA PROCESSING AND STORAGE SA DE CV</t>
  </si>
  <si>
    <t>CLUB CAMPESTRE DE CHIHUAHUA SA DE CV</t>
  </si>
  <si>
    <t>CLUB DE GOLF MEXICO</t>
  </si>
  <si>
    <t>CM EQUIPOS Y SOPORTE SA DE CV</t>
  </si>
  <si>
    <t>COATZACOALCOS</t>
  </si>
  <si>
    <t>COLECCIONES SAPIR SA DE CV</t>
  </si>
  <si>
    <t>COLIMA</t>
  </si>
  <si>
    <t>COLINAS</t>
  </si>
  <si>
    <t>COLINAS PONIENTE</t>
  </si>
  <si>
    <t>COLON</t>
  </si>
  <si>
    <t>COMALCALCO</t>
  </si>
  <si>
    <t>COMERCIALIZACION Y MANUFACTURA LATINOAMERICANA SA DE CV</t>
  </si>
  <si>
    <t>COMECIALIZADORA DIEM DEL BAJIO SA DE CV</t>
  </si>
  <si>
    <t>COMITAN</t>
  </si>
  <si>
    <t>COMPA¿IA DE MINERALES DE ZACATECAS, S DE RL DE CV</t>
  </si>
  <si>
    <t>COMPUGOLFO, SA DE CV</t>
  </si>
  <si>
    <t>CONDESA</t>
  </si>
  <si>
    <t>CONGELADORA VELAZQUEZ SA DE CV</t>
  </si>
  <si>
    <t>CONSORCIO INTEGRAL DEL SECTOR ENERGETICO AC</t>
  </si>
  <si>
    <t>CONSTITUYENTES</t>
  </si>
  <si>
    <t>CONSTRUCCIONES INTEGRALES Y COMUNICACIONES INTEGRALES SA DE CV</t>
  </si>
  <si>
    <t>CONTOUR HARDENING OPERACIONES,S DE RL DE CV</t>
  </si>
  <si>
    <t>CONTRY</t>
  </si>
  <si>
    <t>CORDOBA</t>
  </si>
  <si>
    <t>CORPORATIVO LA BICI SA DE CV</t>
  </si>
  <si>
    <t>COSTA DE ORO</t>
  </si>
  <si>
    <t>COUNTRY CLUB</t>
  </si>
  <si>
    <t>COYOACAN</t>
  </si>
  <si>
    <t>COZUMEL</t>
  </si>
  <si>
    <t>CREDITO FAMILIAR SA DE CV SOFOM ER</t>
  </si>
  <si>
    <t>CRONIC CORP SA DE CV</t>
  </si>
  <si>
    <t>CROSS AIR SERVICES SA DE CV</t>
  </si>
  <si>
    <t>CRUZ DEL SUR</t>
  </si>
  <si>
    <t>CUAJIMALPA</t>
  </si>
  <si>
    <t>CUAUTITLAN IZCALLI</t>
  </si>
  <si>
    <t>CUAUTITLAN MEXICO</t>
  </si>
  <si>
    <t>CUAUTLA</t>
  </si>
  <si>
    <t>CUBIERTAS DE ASIENTOS DE SABINAS, S.A. DE C.V.</t>
  </si>
  <si>
    <t>CUERNAVACA</t>
  </si>
  <si>
    <t>MUNICIPIO DE CUERNAVACA</t>
  </si>
  <si>
    <t>CUITLAHUAC</t>
  </si>
  <si>
    <t>CUMBRES</t>
  </si>
  <si>
    <t>DARIO ADOLFO MORAN SEGOVIA</t>
  </si>
  <si>
    <t>DELTA</t>
  </si>
  <si>
    <t>DERIVATIVES NEGOCIACION</t>
  </si>
  <si>
    <t>DESPEPITADORA EL LLANO SPR DE RL DE CV</t>
  </si>
  <si>
    <t>DIAZ MIRON</t>
  </si>
  <si>
    <t>DISEKO SOLUCIONES SA DE CV</t>
  </si>
  <si>
    <t>DISTRIBUIDORA DE AUTOINDUSTRIAS SA DE CV</t>
  </si>
  <si>
    <t>DM INGENIEROS SA DE CV</t>
  </si>
  <si>
    <t>DOMINGO DIEZ</t>
  </si>
  <si>
    <t>DON PEPE COFFEE SA DE CV</t>
  </si>
  <si>
    <t>DURANGO</t>
  </si>
  <si>
    <t>ECATEPEC</t>
  </si>
  <si>
    <t>EDITORIAL MOTORPRESS TELEVISA SA DE CV</t>
  </si>
  <si>
    <t>EDMEX SA</t>
  </si>
  <si>
    <t>EJERCITO NACIONAL</t>
  </si>
  <si>
    <t>EL CHARRO</t>
  </si>
  <si>
    <t>EL CORTIJO ZARAGOZA</t>
  </si>
  <si>
    <t>EL FRESNO</t>
  </si>
  <si>
    <t>EL TOREO MAZATLAN</t>
  </si>
  <si>
    <t>EMILIANO ZAPATA</t>
  </si>
  <si>
    <t>EMPACADORA LA MERCED SA DE CV</t>
  </si>
  <si>
    <t>EMPACADORA SELECTA LOS ANGELES SA DE CV</t>
  </si>
  <si>
    <t>EMPACADORA SELECTA LOS ANGELES, SA DE CV</t>
  </si>
  <si>
    <t>ENERFLEX COMPRESSION SERVICES MEXICO S DE RL DE CV</t>
  </si>
  <si>
    <t>ENLACES NACIONALES DE AGRONEGOCIOS SA DE CV</t>
  </si>
  <si>
    <t>ENSENADA</t>
  </si>
  <si>
    <t>EQUIPO CONSTRUCCION Y SERVICIOS AMERICA SA DE CV</t>
  </si>
  <si>
    <t>ESMERALDA</t>
  </si>
  <si>
    <t>ESTUDIOS TELEMEXICO S DE RL DE CV</t>
  </si>
  <si>
    <t>EUROCENTER SANTA FE</t>
  </si>
  <si>
    <t>EVCR, SA DE CV</t>
  </si>
  <si>
    <t>EVE HAIR INC</t>
  </si>
  <si>
    <t>EVOLUCIONA COMUNICACIONES SA DE CV</t>
  </si>
  <si>
    <t>EXPERIENCIAS XCARET PARQUES SAPI DE CV</t>
  </si>
  <si>
    <t>FAGIOLI INC</t>
  </si>
  <si>
    <t>FELIX CUEVAS</t>
  </si>
  <si>
    <t>FELIX URESTI GOMEZ</t>
  </si>
  <si>
    <t>FICAMPRO, SA DE CV</t>
  </si>
  <si>
    <t>FIDEICOMISO TORRE DIANA F00892</t>
  </si>
  <si>
    <t>FINAE SAPI DE CV SOFOM ER</t>
  </si>
  <si>
    <t>FINAE SAPI DE CV SOFOM ENR</t>
  </si>
  <si>
    <t>FINANCIERA BEPENSA SA DE CV</t>
  </si>
  <si>
    <t>FLORENCIA HAMBURGO</t>
  </si>
  <si>
    <t>FLORIDA ECHEGARAY</t>
  </si>
  <si>
    <t>FORJADORES CHOLULA</t>
  </si>
  <si>
    <t>FORUM</t>
  </si>
  <si>
    <t>FORUM BUENAVISTA</t>
  </si>
  <si>
    <t>FRANCISCO COSS</t>
  </si>
  <si>
    <t>FRANCISCO DE MONTEJO</t>
  </si>
  <si>
    <t>FRIO EXPRESS SA DE CV</t>
  </si>
  <si>
    <t>FUTURA INDUSTRIAL, SA DE CV</t>
  </si>
  <si>
    <t>FX TR AND DP</t>
  </si>
  <si>
    <t>FX TRADING AREA NEGOTIATION</t>
  </si>
  <si>
    <t>FX TRADING FOR ARBITRAGE DEALS</t>
  </si>
  <si>
    <t>G DEL CARIBE SA DE CV</t>
  </si>
  <si>
    <t>GAENCA CONSULTING SA DE CV</t>
  </si>
  <si>
    <t>GALERIAS MERIDA</t>
  </si>
  <si>
    <t>GALERIAS SALTILLO</t>
  </si>
  <si>
    <t>GANADERA MEXICALI SA DE CV</t>
  </si>
  <si>
    <t>GANADERA MONEGRO SA DE CV</t>
  </si>
  <si>
    <t>GANADERA MONEGRO, SA DE CV</t>
  </si>
  <si>
    <t>GENERAL ESCOBEDO</t>
  </si>
  <si>
    <t>GILDAN ACTIVEWEAR MEXICO SA DE CV</t>
  </si>
  <si>
    <t>GLORIETA CAMARONES</t>
  </si>
  <si>
    <t>GLORIETA ETIOPIA</t>
  </si>
  <si>
    <t>GLORIETA JUAREZ</t>
  </si>
  <si>
    <t>GOMEZ MORIN</t>
  </si>
  <si>
    <t>GOMEZ PALACIOS</t>
  </si>
  <si>
    <t>GONCAL SA DE CV</t>
  </si>
  <si>
    <t>GONET MEXICO S.A. DE C.V.</t>
  </si>
  <si>
    <t>GONFERNA SOLUCIONES SA DE CV</t>
  </si>
  <si>
    <t>GONZALEZ ORTEGA</t>
  </si>
  <si>
    <t>GRAMOSA ALIMENTOS SA DE CV</t>
  </si>
  <si>
    <t>GRAMOSA AGROALIMENTOS SA DE CV</t>
  </si>
  <si>
    <t>GRAN SUR</t>
  </si>
  <si>
    <t>GRANJAS MEXICO</t>
  </si>
  <si>
    <t>GREENCORP BIORGANIKS DE MEXICO, SA DE CV</t>
  </si>
  <si>
    <t>GRUPO IMPORTADOR Y EXPORTADOR MEXICANO, SA DE CV</t>
  </si>
  <si>
    <t>GRUPO INDUSTRIAL C Y F SA DE CV</t>
  </si>
  <si>
    <t>GRUPO INDUSTRIAL PERSAL SA DE CV</t>
  </si>
  <si>
    <t>GRUPO KUO, SAB DE CV</t>
  </si>
  <si>
    <t>GRUPO KUO SAB DE CV</t>
  </si>
  <si>
    <t>GRUPO PLASTIKROM SA DE CV</t>
  </si>
  <si>
    <t>GRUPO RUZ SA DE CV</t>
  </si>
  <si>
    <t>GRUPO URREA DIVISION HERRAMIENTAS SA DE CV</t>
  </si>
  <si>
    <t>GRUPO VI DESARROLLOS INTEGRALES SA DE CV</t>
  </si>
  <si>
    <t>GSA LEASING SAPI DE CV</t>
  </si>
  <si>
    <t>GUACHOCHI</t>
  </si>
  <si>
    <t>PRINCIPAL CULIACAN</t>
  </si>
  <si>
    <t>GUADALUPE - CULIACAN</t>
  </si>
  <si>
    <t>GUADALUPE CENTRO</t>
  </si>
  <si>
    <t>GUADALUPE INN</t>
  </si>
  <si>
    <t>GUAMUCHIL</t>
  </si>
  <si>
    <t>GUANAJUATO</t>
  </si>
  <si>
    <t>GUASAVE</t>
  </si>
  <si>
    <t>GUAYMAS</t>
  </si>
  <si>
    <t>GUSTAVO BAZ</t>
  </si>
  <si>
    <t>HERMOSILLO</t>
  </si>
  <si>
    <t>PCC AEROSTRUCTURES MEXICO SA DE CV</t>
  </si>
  <si>
    <t>ESTADO DE HIDALGO</t>
  </si>
  <si>
    <t>HIDALGO</t>
  </si>
  <si>
    <t>HOSPITAL ALMATER SA DE CV</t>
  </si>
  <si>
    <t>HOSPITALIDAD DE IRAPUATO SA DE CV</t>
  </si>
  <si>
    <t>HOSPITALIDAD REAL DE LOMAS SA DE CV</t>
  </si>
  <si>
    <t>HUAJUAPAN DE LEON</t>
  </si>
  <si>
    <t>HUATULCO</t>
  </si>
  <si>
    <t>HUATUSCO</t>
  </si>
  <si>
    <t>HUAUCHINANGO</t>
  </si>
  <si>
    <t>HUDSON RESPIRATORY CARE TECATE S DE RL DE CV</t>
  </si>
  <si>
    <t>HUIXTLA</t>
  </si>
  <si>
    <t>HUNTINGTON APARTMENTS SAPI DE CV</t>
  </si>
  <si>
    <t>IGUALA</t>
  </si>
  <si>
    <t>IMPERSEALCO SA DE CV</t>
  </si>
  <si>
    <t>IMPORMOTOS SA DE CV</t>
  </si>
  <si>
    <t>IMPORTADORA GLOBASTIC SA DE CV</t>
  </si>
  <si>
    <t>INDEPENDENCIA</t>
  </si>
  <si>
    <t>INDUSTRIAL 2000</t>
  </si>
  <si>
    <t>INDUSTRIAL LAS AMERICAS</t>
  </si>
  <si>
    <t>INDUSTRIAL VALLEJO</t>
  </si>
  <si>
    <t>INDUSTRIAS ASOCIADAS MAQUILADORAS SA DE CV</t>
  </si>
  <si>
    <t>INDUSTRIAS CAVALIER SA DE CV</t>
  </si>
  <si>
    <t>INGENIERIA ESPECIALIZADA EN LA INDUSTRIA ENERGETICA SA DE CV</t>
  </si>
  <si>
    <t>INGUARAN</t>
  </si>
  <si>
    <t>INMOBILIARIA COLPAL S DE RL DE CV</t>
  </si>
  <si>
    <t>INMOBILIARIA IAMSA SA DE CV</t>
  </si>
  <si>
    <t>INSTITUTO DEL FONDO NACIONAL PARA EL CONSUMO DE LOS TRABAJADORES</t>
  </si>
  <si>
    <t>INSTITUTO DEL FONDO NACIONAL PARA EL CONSUMO DE LOS TRABA</t>
  </si>
  <si>
    <t>INSURGENTES DEL VALLE</t>
  </si>
  <si>
    <t>INSURGENTES SAN ANGEL</t>
  </si>
  <si>
    <t>INTERCAMBIO MEXICANO DE COMERCIO SA DE CV</t>
  </si>
  <si>
    <t>INTERCAMBIO MEXICANO DE COMERCIO, S.A. DE C.V.</t>
  </si>
  <si>
    <t>INTERLOMAS</t>
  </si>
  <si>
    <t>IRAPUATO</t>
  </si>
  <si>
    <t>ISABEL LA CATOLICA</t>
  </si>
  <si>
    <t>ITP UNDER BULLETIN GENERIC</t>
  </si>
  <si>
    <t>IZUCAR DE MATAMOROS</t>
  </si>
  <si>
    <t>JALAPA</t>
  </si>
  <si>
    <t>JAMAICA</t>
  </si>
  <si>
    <t>JARDIN</t>
  </si>
  <si>
    <t>JARDIN BALBUENA</t>
  </si>
  <si>
    <t>JARDINES DE LA HACIENDA</t>
  </si>
  <si>
    <t>JARDINES DE LA MONTANA</t>
  </si>
  <si>
    <t>JARDINES DE MERIDA</t>
  </si>
  <si>
    <t>JARDINES DURANGO</t>
  </si>
  <si>
    <t>JASSOS STEEL FOUNDRY SA DE CV</t>
  </si>
  <si>
    <t>JAVIER MINA</t>
  </si>
  <si>
    <t>JESUS DEL MONTE</t>
  </si>
  <si>
    <t>JESUS HECTOR DE LA GARZA ACOSTA</t>
  </si>
  <si>
    <t>JIMENEZ</t>
  </si>
  <si>
    <t>JINETES</t>
  </si>
  <si>
    <t>JIQUILPAN</t>
  </si>
  <si>
    <t>JIUTEPEC</t>
  </si>
  <si>
    <t>JUAN  BOSCO</t>
  </si>
  <si>
    <t>JUCHITAN</t>
  </si>
  <si>
    <t>JURICA</t>
  </si>
  <si>
    <t>JURIQUILLA</t>
  </si>
  <si>
    <t>KABAH</t>
  </si>
  <si>
    <t>KAPSCH TRAFFICOM IVHS SA DE CV</t>
  </si>
  <si>
    <t>KLAR AND DANVER</t>
  </si>
  <si>
    <t>LA CASTILLA</t>
  </si>
  <si>
    <t>LA DIANA</t>
  </si>
  <si>
    <t>LA ESTANCIA</t>
  </si>
  <si>
    <t>LA HUERTA</t>
  </si>
  <si>
    <t>LA JUNTA</t>
  </si>
  <si>
    <t>LA LOMA</t>
  </si>
  <si>
    <t>LA MESA</t>
  </si>
  <si>
    <t>LA NOGALERA</t>
  </si>
  <si>
    <t>LA NORMAL</t>
  </si>
  <si>
    <t>LA PAZ</t>
  </si>
  <si>
    <t>LA PIEDAD</t>
  </si>
  <si>
    <t>LA ROSITA</t>
  </si>
  <si>
    <t>LA VIGA CHURUBUSCO</t>
  </si>
  <si>
    <t>LAGOS DE MORENO</t>
  </si>
  <si>
    <t>LAGUNILLA</t>
  </si>
  <si>
    <t>LAS AGUILAS</t>
  </si>
  <si>
    <t>LAS AMERICAS ECATEPEC</t>
  </si>
  <si>
    <t>LAS FLORES</t>
  </si>
  <si>
    <t>LAS FUENTES</t>
  </si>
  <si>
    <t>LAS PALMAS</t>
  </si>
  <si>
    <t>LAS QUINTAS</t>
  </si>
  <si>
    <t>LAS ROSAS</t>
  </si>
  <si>
    <t>LAS TORRES</t>
  </si>
  <si>
    <t>LASSER CELULAR SA DE CV</t>
  </si>
  <si>
    <t>LATIN 7, S.A. DE C.V. FONDO DE INVERSION DE RENTA VARIABLE</t>
  </si>
  <si>
    <t>LAURO VILLAR</t>
  </si>
  <si>
    <t>LAZARO CARDENAS</t>
  </si>
  <si>
    <t>LEANDRO VALLE</t>
  </si>
  <si>
    <t>LEON</t>
  </si>
  <si>
    <t>LEONES</t>
  </si>
  <si>
    <t>LERDO</t>
  </si>
  <si>
    <t>LERMA</t>
  </si>
  <si>
    <t>LIME TREE HOLDINGS S DE RL DE CV</t>
  </si>
  <si>
    <t>LINARES</t>
  </si>
  <si>
    <t>LINCOLN</t>
  </si>
  <si>
    <t>LINDAVISTA</t>
  </si>
  <si>
    <t>LINERPAC &amp; UNIPAC DE MEXICO SA DE CV</t>
  </si>
  <si>
    <t>LIVERPOOL POLANCO</t>
  </si>
  <si>
    <t>LOMAS DE ROSALES</t>
  </si>
  <si>
    <t>LOMAS DE SAN LUIS</t>
  </si>
  <si>
    <t>LOMAS DE TECAMACHALCO</t>
  </si>
  <si>
    <t>LOMAS PALMAS</t>
  </si>
  <si>
    <t>LOMAS VERDES</t>
  </si>
  <si>
    <t>LOPEZ MATEOS</t>
  </si>
  <si>
    <t>LOS ALTOS</t>
  </si>
  <si>
    <t>LOS MOCHIS</t>
  </si>
  <si>
    <t>LOS REYES LA PAZ</t>
  </si>
  <si>
    <t>LUNA PARC</t>
  </si>
  <si>
    <t>MABE SA DE CV</t>
  </si>
  <si>
    <t>MACROPLAZA MERIDA</t>
  </si>
  <si>
    <t>MACUSPANA</t>
  </si>
  <si>
    <t>MADERO ORIENTE</t>
  </si>
  <si>
    <t>MADERO PONIENTE</t>
  </si>
  <si>
    <t>MADERO Y CATOLICA</t>
  </si>
  <si>
    <t>MADINSA TABLEROS SA DE CV</t>
  </si>
  <si>
    <t>MAINBIT SA DE CV</t>
  </si>
  <si>
    <t>MALECON</t>
  </si>
  <si>
    <t>MALECON HOLDING S DE RL DE CV</t>
  </si>
  <si>
    <t>MANJARREZ IMPRESORES SA DE CV</t>
  </si>
  <si>
    <t>MANUEL BARRAGAN</t>
  </si>
  <si>
    <t>MANZANILLO</t>
  </si>
  <si>
    <t>MAPED SILCO SA DE CV</t>
  </si>
  <si>
    <t>MARCOS CONSTANDSE MADRAZO</t>
  </si>
  <si>
    <t>MARIO ALBERTO PORRAZ GOMEZ</t>
  </si>
  <si>
    <t>MARTINEZ DE LA TORRE</t>
  </si>
  <si>
    <t>MAS LEASING SA DE CV</t>
  </si>
  <si>
    <t>MATIAS ROMERO</t>
  </si>
  <si>
    <t>MAZATLAN</t>
  </si>
  <si>
    <t>MAZDA MOTOR DE MEXICO S DE RL DE CV</t>
  </si>
  <si>
    <t>MEGACABLE COMUNICACIONES DE MEXICO SA DE CV</t>
  </si>
  <si>
    <t>MELCHOR MUZQUIZ</t>
  </si>
  <si>
    <t>MENITA COMERCIAL OCEANICA SA DE CV</t>
  </si>
  <si>
    <t>MEOQUI</t>
  </si>
  <si>
    <t>MEPEPSA S.A. DE C.V.</t>
  </si>
  <si>
    <t>MERCADO HIDALGO</t>
  </si>
  <si>
    <t>MERINO TELIS CAFE SA DE CV</t>
  </si>
  <si>
    <t>METEPEC</t>
  </si>
  <si>
    <t>MEX_JV</t>
  </si>
  <si>
    <t>MEX_LOAN</t>
  </si>
  <si>
    <t>MEX_ST</t>
  </si>
  <si>
    <t>MEX_TREAS</t>
  </si>
  <si>
    <t>MEXICALI</t>
  </si>
  <si>
    <t>MUNICIPIO DE MEXICALI</t>
  </si>
  <si>
    <t>MEXICO TOWER PARTNERS SAPI DE CV</t>
  </si>
  <si>
    <t>MEXICAN TOWER PARTNERS SAPI DE CV</t>
  </si>
  <si>
    <t>MEXICO POSITION CONVERSION BK1</t>
  </si>
  <si>
    <t>MEXICO POSITION CONVERSION BK2</t>
  </si>
  <si>
    <t>MEXICO POSITION CONVERSION C1</t>
  </si>
  <si>
    <t>MEXICO POSITION CONVERSION CB</t>
  </si>
  <si>
    <t>MEXICO POSITION CONVERSION CMM</t>
  </si>
  <si>
    <t>MEXICO POSITION CONVERSION CTRL</t>
  </si>
  <si>
    <t>MEXICO POSITION CONVERSION EMP</t>
  </si>
  <si>
    <t>MEXICO POSITION CONVERSION IB5</t>
  </si>
  <si>
    <t>MEXICO POSITION CONVERSION INS</t>
  </si>
  <si>
    <t>MEXICO POSITION CONVERSION PPM</t>
  </si>
  <si>
    <t>MEXICO POSITION CONVERSION RDS</t>
  </si>
  <si>
    <t>MEZCALES</t>
  </si>
  <si>
    <t>MIGUEL ALEMAN</t>
  </si>
  <si>
    <t>MIGUEL ANGEL DE QUEVEDO</t>
  </si>
  <si>
    <t>MILAR SA DE CV</t>
  </si>
  <si>
    <t>MILENIO</t>
  </si>
  <si>
    <t>MINATITLAN</t>
  </si>
  <si>
    <t>MINERA AGAVE SA DE CV</t>
  </si>
  <si>
    <t>MINERA DE CORDILLERAS, S DE RL DE CV</t>
  </si>
  <si>
    <t>MINERA GOLDZONE SA DE CV</t>
  </si>
  <si>
    <t>MINERIA VIZAMEX SA DE CV</t>
  </si>
  <si>
    <t>MINERVA</t>
  </si>
  <si>
    <t>MIRAMONTES</t>
  </si>
  <si>
    <t>MIRAVALLE</t>
  </si>
  <si>
    <t>MITLA</t>
  </si>
  <si>
    <t>MITRAS</t>
  </si>
  <si>
    <t>MIXCOAC</t>
  </si>
  <si>
    <t>MODULO TELEVISA SAN ANGEL</t>
  </si>
  <si>
    <t>MODULO UASC</t>
  </si>
  <si>
    <t>MODULO VISTEON</t>
  </si>
  <si>
    <t>MONCLOVA</t>
  </si>
  <si>
    <t>MONRAZ</t>
  </si>
  <si>
    <t>MONTEALBAN</t>
  </si>
  <si>
    <t>MONTEBELLO</t>
  </si>
  <si>
    <t>MONTECRISTO</t>
  </si>
  <si>
    <t>MONTEMORELOS</t>
  </si>
  <si>
    <t>MORASH INVESTMENTS DE MEXICO S DE RL DE CV</t>
  </si>
  <si>
    <t>MORELOS</t>
  </si>
  <si>
    <t>MOROLEON</t>
  </si>
  <si>
    <t>MULTIFONDO DE PREVISION 1 XXI BANORTE SIEFORE, S.A. DE C.V.</t>
  </si>
  <si>
    <t>MULTIFONDO DE PREVISION 2 XXI BANORTE SIEFORE, S.A. DE C.V.</t>
  </si>
  <si>
    <t>MULTIFONDO DE PREVISION 3 XXI BANORTE SIEFORE, S.A. DE C.V.</t>
  </si>
  <si>
    <t>MULTIFONDO DE PREVISION 4 XXI BANORTE SIEFORE, S.A. DE C.V.</t>
  </si>
  <si>
    <t>MULTIFONDO DE PREVISION 5 XXI BANORTE SIEFORE, S.A. DE C.V.</t>
  </si>
  <si>
    <t>MULTIPLAZA ARAGON</t>
  </si>
  <si>
    <t>MUNDO E</t>
  </si>
  <si>
    <t>NARMX RENTCO SA DE CV</t>
  </si>
  <si>
    <t>NAUCALPAN</t>
  </si>
  <si>
    <t>NAVOJOA</t>
  </si>
  <si>
    <t>NAYAR</t>
  </si>
  <si>
    <t>NEZAHUALCOYOTL</t>
  </si>
  <si>
    <t>NICHUPTE</t>
  </si>
  <si>
    <t>NINOS HEROES</t>
  </si>
  <si>
    <t>NODRIZA CONSTITUCION</t>
  </si>
  <si>
    <t>NOGALES</t>
  </si>
  <si>
    <t>NONOALCO</t>
  </si>
  <si>
    <t>NOREVO MEXICO, SA DE CV</t>
  </si>
  <si>
    <t>HOTEL PUEBLA DE ANTANO SA DE CV</t>
  </si>
  <si>
    <t>NORTH AMERICAN SOFTWARE SAPI DE CV</t>
  </si>
  <si>
    <t>NOVA EAGLE MULTIFAMILY FUND II, S.A.P.I. DE C.V.</t>
  </si>
  <si>
    <t>NUEVA GALICIA</t>
  </si>
  <si>
    <t>NUEVO LAREDO</t>
  </si>
  <si>
    <t>OAXACA</t>
  </si>
  <si>
    <t>OBRA NACIONAL DE LA BUENA PRENSA AC</t>
  </si>
  <si>
    <t>OBSERVATORIO</t>
  </si>
  <si>
    <t>OCOTLAN</t>
  </si>
  <si>
    <t>OJO DE AGUA</t>
  </si>
  <si>
    <t>OLMECA</t>
  </si>
  <si>
    <t>OPERACI¿N BENDICION MEXICO AC</t>
  </si>
  <si>
    <t>OPERADORA DE FONDOS CORPORATIVOS SA DE CV</t>
  </si>
  <si>
    <t>OPERADORA DE HOTELES LORETO S DE RL DE CV</t>
  </si>
  <si>
    <t>OPERADORA DE RESTAURANTES BGFM SA DE CV</t>
  </si>
  <si>
    <t>OPERADORA LOB SA DE CV</t>
  </si>
  <si>
    <t>ORIZABA</t>
  </si>
  <si>
    <t>ORIZABA CIRCUNVALACION</t>
  </si>
  <si>
    <t>OSCAR CONSTANDSE MADRAZO</t>
  </si>
  <si>
    <t>OTAY</t>
  </si>
  <si>
    <t>PABELLON BOSQUES</t>
  </si>
  <si>
    <t>PABLO CHARVEL OROZCO</t>
  </si>
  <si>
    <t>PADRE MIER</t>
  </si>
  <si>
    <t>PALAU</t>
  </si>
  <si>
    <t>PAQUIME</t>
  </si>
  <si>
    <t>PARQUE CELAYA</t>
  </si>
  <si>
    <t>PARQUE INDUSTRIAL</t>
  </si>
  <si>
    <t>PARQUE INDUSTRIAL EL MARQUES</t>
  </si>
  <si>
    <t>PARQUE INDUSTRIAL MEXICALI SA DE CV</t>
  </si>
  <si>
    <t>PARQUE INDUSTRIAL MEXICALI, SA DE CV</t>
  </si>
  <si>
    <t>PARQUE LINDAVISTA</t>
  </si>
  <si>
    <t>PARQUE TEZONTLE</t>
  </si>
  <si>
    <t>PARRAL</t>
  </si>
  <si>
    <t>PASEO</t>
  </si>
  <si>
    <t>PASEO ACOXPA</t>
  </si>
  <si>
    <t>PASEO CENTRAL</t>
  </si>
  <si>
    <t>PASEO DE LA HERRADURA</t>
  </si>
  <si>
    <t>PASEO DEL RIO</t>
  </si>
  <si>
    <t>PASEO DURANGO</t>
  </si>
  <si>
    <t>PASEO LA HUASTECA</t>
  </si>
  <si>
    <t>PASEO LA RIOJA</t>
  </si>
  <si>
    <t>PASEO TEHUACAN</t>
  </si>
  <si>
    <t>PASEO TOLLOCAN</t>
  </si>
  <si>
    <t>PASTEUR HEALTH CARE SA DE CV</t>
  </si>
  <si>
    <t>PASTEURIZADORA JERSEY DEL NOROESTE SA</t>
  </si>
  <si>
    <t>PAVOS PARSON SA DE CV</t>
  </si>
  <si>
    <t>PC CAPITAL MANAGEMENT SC</t>
  </si>
  <si>
    <t>PEDREGAL</t>
  </si>
  <si>
    <t>PEM PECAN EXPORT DE MEXICO SA DE CV</t>
  </si>
  <si>
    <t>PENINSULA</t>
  </si>
  <si>
    <t>PERIFERICO</t>
  </si>
  <si>
    <t>PERIFERICO COLON</t>
  </si>
  <si>
    <t>PERIFERICO REYNOSA</t>
  </si>
  <si>
    <t>PERISUR</t>
  </si>
  <si>
    <t>PIEDRAS NEGRAS</t>
  </si>
  <si>
    <t>PIMIENTOS SELECTOS SA DE CV</t>
  </si>
  <si>
    <t>PINO SUAREZ</t>
  </si>
  <si>
    <t>PISOS CREATIVOS S DE RL DE CV</t>
  </si>
  <si>
    <t>PLAN DE AYALA</t>
  </si>
  <si>
    <t>PLAZA ANTARA</t>
  </si>
  <si>
    <t>PLAZA AVIACION</t>
  </si>
  <si>
    <t>PLAZA BONAMPAK</t>
  </si>
  <si>
    <t>PLAZA BOSQUES</t>
  </si>
  <si>
    <t>PLAZA CABALLITO</t>
  </si>
  <si>
    <t>PLAZA CENTRAL DE ABASTOS</t>
  </si>
  <si>
    <t>PLAZA COACALCO</t>
  </si>
  <si>
    <t>PLAZA COVADONGA</t>
  </si>
  <si>
    <t>PLAZA CUERNAVACA</t>
  </si>
  <si>
    <t>PLAZA DEL BOSQUE</t>
  </si>
  <si>
    <t>PLAZA DEL RIO</t>
  </si>
  <si>
    <t>PLAZA DEL SOL</t>
  </si>
  <si>
    <t>PLAZA ERMITA</t>
  </si>
  <si>
    <t>PLAZA ESPANA</t>
  </si>
  <si>
    <t>PLAZA INN</t>
  </si>
  <si>
    <t>PLAZA JUAREZ</t>
  </si>
  <si>
    <t>PLAZA LAS AMERICAS</t>
  </si>
  <si>
    <t>PLAZA LAS HACIENDAS</t>
  </si>
  <si>
    <t>PLAZA LAS PALMAS</t>
  </si>
  <si>
    <t>PLAZA LAS TORRES</t>
  </si>
  <si>
    <t>PLAZA MARINA</t>
  </si>
  <si>
    <t>PLAZA PANAMERICANA</t>
  </si>
  <si>
    <t>PLAZA PATRIA</t>
  </si>
  <si>
    <t>PLAZA PENINSULA</t>
  </si>
  <si>
    <t>PLAZA PLATINO</t>
  </si>
  <si>
    <t>PLAZA PREMIER IZCALLI</t>
  </si>
  <si>
    <t>PLAZA REAL</t>
  </si>
  <si>
    <t>PLAZA RIO</t>
  </si>
  <si>
    <t>PLAZA SAN DIEGO</t>
  </si>
  <si>
    <t>PLAZA SAN RAFAEL</t>
  </si>
  <si>
    <t>PLAZA SANTA MARIA</t>
  </si>
  <si>
    <t>PLAZA SATELITE</t>
  </si>
  <si>
    <t>PLAZA SCOTIABANK</t>
  </si>
  <si>
    <t>PLAZA TULANCINGO</t>
  </si>
  <si>
    <t>PLAZA UNIVERSIDAD</t>
  </si>
  <si>
    <t>PLAZA VELEROS</t>
  </si>
  <si>
    <t>POCHUTLA</t>
  </si>
  <si>
    <t>POLANCO</t>
  </si>
  <si>
    <t>POLIFORUM</t>
  </si>
  <si>
    <t>PORFIRIO DIAZ</t>
  </si>
  <si>
    <t>POWER CENTER COACALCO</t>
  </si>
  <si>
    <t>POZA RICA</t>
  </si>
  <si>
    <t>P.P.D. PLASTICO S.A. DE C.V.</t>
  </si>
  <si>
    <t>PRADERA</t>
  </si>
  <si>
    <t>PRADO NORTE</t>
  </si>
  <si>
    <t>PRESTARIS ARRENDADORA SAPI DE CV</t>
  </si>
  <si>
    <t>PRIMOS AND COUSINS SA DE CV</t>
  </si>
  <si>
    <t>PRINCIPAL CD VICTORIA</t>
  </si>
  <si>
    <t>PRINCIPAL CUAUHTEMOC</t>
  </si>
  <si>
    <t>PRINCIPAL TOLUCA</t>
  </si>
  <si>
    <t>PROALTUS CAPITAL PARTNERSSC</t>
  </si>
  <si>
    <t>PROCESADORA RIO NUEVO SA DE CV</t>
  </si>
  <si>
    <t>PRODUCCIONES Y MAQUINADOS BUEN DIA SA DE CV</t>
  </si>
  <si>
    <t>PRODUCTOS AGRICOLAS LA CAMPI¿A,S.A. DE C.V.</t>
  </si>
  <si>
    <t>PRODUCTOS Y SERVICIOS DEL CENTRO SA DE CV</t>
  </si>
  <si>
    <t>PROLAWMEX SC</t>
  </si>
  <si>
    <t>PROPEC PROCESOS PECUARIOS SA DE CV</t>
  </si>
  <si>
    <t>PROVIDENCIA</t>
  </si>
  <si>
    <t>PUERTA DEL SOL</t>
  </si>
  <si>
    <t>PUERTA MAYA</t>
  </si>
  <si>
    <t>PUERTO VALLARTA</t>
  </si>
  <si>
    <t>QUERETARO  ZARAGOZA</t>
  </si>
  <si>
    <t>QUESERIA DOS LAGUNAS SA DE CV</t>
  </si>
  <si>
    <t>QUINTA NORTE</t>
  </si>
  <si>
    <t>RAYON</t>
  </si>
  <si>
    <t>REFORMA</t>
  </si>
  <si>
    <t>REFORMA 222</t>
  </si>
  <si>
    <t>RELOJ PACHUCA</t>
  </si>
  <si>
    <t>REPUBLICA</t>
  </si>
  <si>
    <t>REVOLUCION</t>
  </si>
  <si>
    <t>REYNOSA</t>
  </si>
  <si>
    <t>MUNICIPIO DE REYNOSA TAMAULIPAS</t>
  </si>
  <si>
    <t>RIO BRAVO</t>
  </si>
  <si>
    <t>RIO FUERTE</t>
  </si>
  <si>
    <t>RIO MAYO</t>
  </si>
  <si>
    <t>RITCH MUELLER HEATHER Y NICOLAU SC</t>
  </si>
  <si>
    <t>RIVIERA</t>
  </si>
  <si>
    <t>RIVIERA MAYA</t>
  </si>
  <si>
    <t>RODRIGUEZ TRIANA</t>
  </si>
  <si>
    <t>ROJO GOMEZ</t>
  </si>
  <si>
    <t>ROMA SUR</t>
  </si>
  <si>
    <t>ROSARITO</t>
  </si>
  <si>
    <t>RUIZ CORTINES</t>
  </si>
  <si>
    <t>RYC ALIMENTOS SA DE CV</t>
  </si>
  <si>
    <t>SABINAS</t>
  </si>
  <si>
    <t>SABINAS HIDALGO</t>
  </si>
  <si>
    <t>SAHUAYO</t>
  </si>
  <si>
    <t>SALAMANCA</t>
  </si>
  <si>
    <t>SALINA CRUZ</t>
  </si>
  <si>
    <t>SALTILLO</t>
  </si>
  <si>
    <t>SAN AGUSTIN</t>
  </si>
  <si>
    <t>SAN ANDRES TUXTLA</t>
  </si>
  <si>
    <t>SAN ANTONIO</t>
  </si>
  <si>
    <t>SAN BENITO</t>
  </si>
  <si>
    <t>SAN BERNABE</t>
  </si>
  <si>
    <t>SAN CRISTOBAL DE LAS CASAS</t>
  </si>
  <si>
    <t>SAN FRANCISCO</t>
  </si>
  <si>
    <t>SAN FRANCISCO DEL RINCON</t>
  </si>
  <si>
    <t>SAN ISIDRO</t>
  </si>
  <si>
    <t>SAN JAVIER</t>
  </si>
  <si>
    <t>SAN JERONIMO</t>
  </si>
  <si>
    <t>SAN JORGE</t>
  </si>
  <si>
    <t>SAN JOSE DEL CABO</t>
  </si>
  <si>
    <t>SAN JOSE INN</t>
  </si>
  <si>
    <t>SAN JUAN DE ARAGON</t>
  </si>
  <si>
    <t>SAN JUAN DEL RIO</t>
  </si>
  <si>
    <t>SAN LUCAS COYOACAN</t>
  </si>
  <si>
    <t>SAN LUIS RIO COLORADO</t>
  </si>
  <si>
    <t>SAN MARCOS</t>
  </si>
  <si>
    <t>SAN MARTIN TEXMELUCAN</t>
  </si>
  <si>
    <t>SAN MATEO</t>
  </si>
  <si>
    <t>SAN MIGUEL DE ALLENDE</t>
  </si>
  <si>
    <t>SAN PATRICIO</t>
  </si>
  <si>
    <t>SAN PEDRO MARTIR</t>
  </si>
  <si>
    <t>SANTA ANA CHIAUTEMPAN</t>
  </si>
  <si>
    <t>SANTA CLARA</t>
  </si>
  <si>
    <t>SANTA FE</t>
  </si>
  <si>
    <t>SANTA TERESA</t>
  </si>
  <si>
    <t>SANTA TERESITA</t>
  </si>
  <si>
    <t>SANTIAGO PAPASQUIARO</t>
  </si>
  <si>
    <t>SAUCITO</t>
  </si>
  <si>
    <t>SCOTIA INVERSIONES PLUS SA DE CV SIRV</t>
  </si>
  <si>
    <t>SENDERO</t>
  </si>
  <si>
    <t>SENDERO SALTILLO</t>
  </si>
  <si>
    <t>SERVIACERO PLANOS S DE RL DE CV</t>
  </si>
  <si>
    <t>SERVICE TRADING SA DE CV</t>
  </si>
  <si>
    <t>SERVICIOS AGNICOS DEL PACIFICO SA DE CV</t>
  </si>
  <si>
    <t>SERVICIOS AGNICO EAGLE MEXICO,S.A. DE CV</t>
  </si>
  <si>
    <t>SERVICIOS DE ASEGURAMIENTO DE CALIDAD MUNING SC</t>
  </si>
  <si>
    <t>SERVICIOS DE TECNOLOGIA Y ORGANIZACION SA DE CV</t>
  </si>
  <si>
    <t>SERVICIOS OPERBES, S.A. DE C.V.</t>
  </si>
  <si>
    <t>SERVICIOS Y RECURSOS ADMINISTRATIVOS HOTELEROS S DE RL DE CV</t>
  </si>
  <si>
    <t>SEVILLA DEL RIO</t>
  </si>
  <si>
    <t>SEXTA SUR</t>
  </si>
  <si>
    <t>SIEFORE ISSEMYM, S.A. DE C.V.</t>
  </si>
  <si>
    <t>SIEFORE PMX SAR, S.A. DE C.V.</t>
  </si>
  <si>
    <t>SIEFORE XXI BANORTE CONSOLIDA, S.A. DE C.V.</t>
  </si>
  <si>
    <t>SIEFORE XXI BANORTE CRECE, S.A. DE C.V.</t>
  </si>
  <si>
    <t>SIEFORE XXI BANORTE DESARROLLA, S.A. DE C.V.</t>
  </si>
  <si>
    <t>SIEFORE XXI BANORTE BASICA DE PENSIONES SA DE CV</t>
  </si>
  <si>
    <t>SIEFORE ISSSTELEON, S.A. DE C.V.</t>
  </si>
  <si>
    <t>SIEFORE XXI BANORTE PROTEGE, S.A. DE C.V.</t>
  </si>
  <si>
    <t>SOL AZTECA</t>
  </si>
  <si>
    <t>SOR JUANA INES</t>
  </si>
  <si>
    <t>SUBWAY INTERNATIONAL DE MEXICO SA DE CV</t>
  </si>
  <si>
    <t>SULLIVAN</t>
  </si>
  <si>
    <t>SYNTHETIC ARBITRAGE POSITION</t>
  </si>
  <si>
    <t>TABACALERA</t>
  </si>
  <si>
    <t>TABASCO 2000</t>
  </si>
  <si>
    <t>TANGAMANGA</t>
  </si>
  <si>
    <t>TAPACHULA</t>
  </si>
  <si>
    <t>TECAMAC</t>
  </si>
  <si>
    <t>TECAMACHALCO</t>
  </si>
  <si>
    <t>TECNOLOGICO DE CHIHUAHUA</t>
  </si>
  <si>
    <t>TECNOLOGICO DE MONTERREY</t>
  </si>
  <si>
    <t>TECNOLOGICO LAS TORRES</t>
  </si>
  <si>
    <t>TEHUACAN</t>
  </si>
  <si>
    <t>TEJEDA</t>
  </si>
  <si>
    <t>TEKONEK DE MEXICO SA DE CV</t>
  </si>
  <si>
    <t>TEMIXCO</t>
  </si>
  <si>
    <t>TEPATITLAN DE MORELOS</t>
  </si>
  <si>
    <t>TEPEYAC</t>
  </si>
  <si>
    <t>TEPIC</t>
  </si>
  <si>
    <t>TEQUISQUIAPAN</t>
  </si>
  <si>
    <t>TESORERIA GRUPO MEXICO</t>
  </si>
  <si>
    <t>TESORERIA GRUPO</t>
  </si>
  <si>
    <t>TEXCOCO</t>
  </si>
  <si>
    <t>TEZIUTLAN</t>
  </si>
  <si>
    <t>TIJUANA</t>
  </si>
  <si>
    <t>TINTO ROCA EXPLORACION SA DE CV</t>
  </si>
  <si>
    <t>TIRE EXPRESS SA DE CV</t>
  </si>
  <si>
    <t>TLA ESCROW S DE RL DE CV</t>
  </si>
  <si>
    <t>TLACOTALPAN</t>
  </si>
  <si>
    <t>TLAHUAC</t>
  </si>
  <si>
    <t>TLALNEPANTLA</t>
  </si>
  <si>
    <t>TLALPAN CORUNA</t>
  </si>
  <si>
    <t>TLALPAN SAN FERNANDO</t>
  </si>
  <si>
    <t>TLALPAN SUR</t>
  </si>
  <si>
    <t>TLAQUEPAQUE</t>
  </si>
  <si>
    <t>TLAXCALA</t>
  </si>
  <si>
    <t>TONALA</t>
  </si>
  <si>
    <t>TOREO CUATRO CAMINOS</t>
  </si>
  <si>
    <t>TORRE DIANA SERVICIOS SA DE CV</t>
  </si>
  <si>
    <t>TORRE SCOTIABANK</t>
  </si>
  <si>
    <t>TORRECILLAS PUEBLA</t>
  </si>
  <si>
    <t>TORREON</t>
  </si>
  <si>
    <t>TORRES LANDA</t>
  </si>
  <si>
    <t>TRACTOEQUIPOS AGRICOLAS SA DE CV</t>
  </si>
  <si>
    <t>TRACTORES DEL NORTE SA DE CV</t>
  </si>
  <si>
    <t>TRAFICTOURS DE MEXICO,S.A. DE C.V.</t>
  </si>
  <si>
    <t>TRANSFER FACTOR DE MEXICO S DE RL DE CV</t>
  </si>
  <si>
    <t>TRANSITO</t>
  </si>
  <si>
    <t>TRANSPORTADORA MARITIMA DE BAJA CALIFORNIA SA DE CV</t>
  </si>
  <si>
    <t>TREADSPOT SA DE CV</t>
  </si>
  <si>
    <t>TREASURY NEGOCIACION</t>
  </si>
  <si>
    <t>TRES RIOS</t>
  </si>
  <si>
    <t>TRIBUNAL FEDERAL DE JUSTICIA ADMINISTRATIVA</t>
  </si>
  <si>
    <t>TRNM HOLDING S DE R.L DE C.V.</t>
  </si>
  <si>
    <t>TRNM HOLDING VI S DE R.L DE C.V.</t>
  </si>
  <si>
    <t>TRNM HOLDINGS II S DE RL DE CV</t>
  </si>
  <si>
    <t>TRNM HOLDINGS V S DE RL DE CV</t>
  </si>
  <si>
    <t>TROQUELADOS KLEY SA DE CV</t>
  </si>
  <si>
    <t>TULANCINGO</t>
  </si>
  <si>
    <t>TULUM</t>
  </si>
  <si>
    <t>TUXPAN</t>
  </si>
  <si>
    <t>TUXTEPEC</t>
  </si>
  <si>
    <t>TUXTLA GUTIERREZ</t>
  </si>
  <si>
    <t>ULSA TECH SA DE CV</t>
  </si>
  <si>
    <t>ULTRA MANUFACTURING SA DE CV</t>
  </si>
  <si>
    <t>UNION DE CREDITO INDUSTRIAL Y AGROPECUARIO DE LA LAGUNA SA DE CV</t>
  </si>
  <si>
    <t>UNION DE CREDITO PARA LA CONTADURIA PUBLICA SA DE CV</t>
  </si>
  <si>
    <t>UNIVERSIDAD</t>
  </si>
  <si>
    <t>UNIVERSIDAD AUTONOMA DE COAHUILA</t>
  </si>
  <si>
    <t>UNIVERSIDAD COPILCO</t>
  </si>
  <si>
    <t>UPM CASTING SA DE CV</t>
  </si>
  <si>
    <t>URUAPAN</t>
  </si>
  <si>
    <t>US COTTON DE MEXICO S DE RL DE CV</t>
  </si>
  <si>
    <t>UTILITY TRAILERS DE MEXICO SAPI DE CV</t>
  </si>
  <si>
    <t>VALLE</t>
  </si>
  <si>
    <t>VALLE DE BRAVO</t>
  </si>
  <si>
    <t>VALLE DORADO</t>
  </si>
  <si>
    <t>VALLE HERMOSO</t>
  </si>
  <si>
    <t>VALLE MARINO</t>
  </si>
  <si>
    <t>VALLE REAL</t>
  </si>
  <si>
    <t>VALORES CORPORATIVOS SOFTTEK SA DE CV</t>
  </si>
  <si>
    <t>VALSEQUILLO</t>
  </si>
  <si>
    <t>VANGUARDIA TURISTICA IV SA DE CV</t>
  </si>
  <si>
    <t>VASCONCELOS</t>
  </si>
  <si>
    <t>VELSIMEX SA DE CV</t>
  </si>
  <si>
    <t>VERGELES</t>
  </si>
  <si>
    <t>VERY TOURISTIC 5 SA DE CV</t>
  </si>
  <si>
    <t>VIAJES Y AVENTURAS DEL MAYAB S DE RL DE CV</t>
  </si>
  <si>
    <t>VILLA</t>
  </si>
  <si>
    <t>VILLA COAPA</t>
  </si>
  <si>
    <t>VILLA CONSULADO</t>
  </si>
  <si>
    <t>VILLA DE ALVAREZ</t>
  </si>
  <si>
    <t>VILLA DEL MAR</t>
  </si>
  <si>
    <t>VILLA GONZALEZ</t>
  </si>
  <si>
    <t>VILLA JUAREZ</t>
  </si>
  <si>
    <t>VILLA VERDUN</t>
  </si>
  <si>
    <t>VILLAFONTANA</t>
  </si>
  <si>
    <t>VILLAHERMOSA</t>
  </si>
  <si>
    <t>VIRTU FINANCIAL BD LLC</t>
  </si>
  <si>
    <t>VISTA HERMOSA</t>
  </si>
  <si>
    <t>WALDEN GROUP MEXICO SA DE CV</t>
  </si>
  <si>
    <t>WGA PARALEL FUND SAPI DE CV</t>
  </si>
  <si>
    <t>WORLD TRADE CENTER</t>
  </si>
  <si>
    <t>WTC CIUDAD DE MEXICO</t>
  </si>
  <si>
    <t>XOCHIMILCO</t>
  </si>
  <si>
    <t>XXI BANORTE PREVISION SOCIAL CORTO PLAZO SIEFORE, S.A. DE C.V.</t>
  </si>
  <si>
    <t>ZACATECAS</t>
  </si>
  <si>
    <t>ZAMORA</t>
  </si>
  <si>
    <t>ZARAGOZA PANTITLAN</t>
  </si>
  <si>
    <t>ZAVALETA</t>
  </si>
  <si>
    <t>ZIHUATANEJO</t>
  </si>
  <si>
    <t>ZITACUARO</t>
  </si>
  <si>
    <t>ZONA AZUL</t>
  </si>
  <si>
    <t>ZONA ESMERALDA</t>
  </si>
  <si>
    <t>ZONA PLATEADA</t>
  </si>
  <si>
    <t>OASIS JEWELS DMCC</t>
  </si>
  <si>
    <t>CENTRAL DE MATERIALES REWO SA DE CV</t>
  </si>
  <si>
    <t>AGROMOLECULAS DEL NOROESTE SA DE CV</t>
  </si>
  <si>
    <t>PHIL. GOLD PROCESSING &amp; REFINING CORPORATION</t>
  </si>
  <si>
    <t>INTERNATIONAL GAME TECHNOLOGY</t>
  </si>
  <si>
    <t>URBANIZADORA 4000PAZ SA DE CV</t>
  </si>
  <si>
    <t>ALMACENAJE Y MERCADEO INTERNACIONAL SA DE CV</t>
  </si>
  <si>
    <t>DYNAMIC EDGE BALANCED PORTFOLIO</t>
  </si>
  <si>
    <t>NEOMEXICANA DE GNC SAPI DE CV</t>
  </si>
  <si>
    <t>CONSULTORIA EN OBRAS ESTRUCTURALES DE TUBERIAS S DE RL DE CV</t>
  </si>
  <si>
    <t>SCOTIA INNOVA BALANCED GROWTH PORTFOLIO</t>
  </si>
  <si>
    <t>FUNDACION INFANTIL RONALD MCDONALD AC</t>
  </si>
  <si>
    <t>ITP CONTROL Y REGISTRO CONTABLE</t>
  </si>
  <si>
    <t>LATAMEL DISTRIBUIDORA S DE RL DE CV</t>
  </si>
  <si>
    <t>SIEFORE INVERCAP BASICA 60 64 SA DE CV</t>
  </si>
  <si>
    <t>SIEFORE INVERCAP II S.A. DE C.V.</t>
  </si>
  <si>
    <t>SIEFORE INVERCAP BASICA 75 79 SA DE CV</t>
  </si>
  <si>
    <t>SIEFORE INVERCAP III S.A. DE C.V.</t>
  </si>
  <si>
    <t>SIEFORE INVERCAP IV S.A. DE C.V.</t>
  </si>
  <si>
    <t>SIEFORE INVERCAP BASICA 85 89 SA DE CV</t>
  </si>
  <si>
    <t>SIEFORE INVERCAP BASICA 55 59 SA DE CV</t>
  </si>
  <si>
    <t>SIEFORE INVERCAP S.A. DE C.V.</t>
  </si>
  <si>
    <t>TRNM HOLDINGS IV S DE R.L DE C.V.</t>
  </si>
  <si>
    <t>ACES GLOBAL QUALITY SERVICES CANADA</t>
  </si>
  <si>
    <t>SMX FINANCIAL SAPI DE CV SOFOM ENR</t>
  </si>
  <si>
    <t>SCOTIA SOLUCION 5 SA DE CV FONDO DE INVERSION EN INSTRUMENTOS DE DEUDA CLAVE SBANKDL</t>
  </si>
  <si>
    <t>SCOTIA CANADIAN EQUITY BLEND CLASS</t>
  </si>
  <si>
    <t>SAFE INVESTMENT COMPANY LIMITED</t>
  </si>
  <si>
    <t>SCOTIA SELECTED BALANCED GROWTH PORTFOLIO</t>
  </si>
  <si>
    <t>WILHELM GRILLO HANDELSGESELLSCHAFT MBH</t>
  </si>
  <si>
    <t>WILHELM GRILLO HANDELSGESELLSCHAFT</t>
  </si>
  <si>
    <t>WILHELM GRILLO HANDELSGESELLSCHAFT mbH</t>
  </si>
  <si>
    <t>LAURENCE B. BOUCHER</t>
  </si>
  <si>
    <t>IMTA ENTERPRISES INCORPORATED</t>
  </si>
  <si>
    <t>TELECOMUNICACIONES CAPAGA SA DE CV</t>
  </si>
  <si>
    <t>ALINDA INFRASTRUCTURE FUND I LP</t>
  </si>
  <si>
    <t>PREMIUM FOOD SALES LTD</t>
  </si>
  <si>
    <t>TEMPLETON PLACE LIMITED</t>
  </si>
  <si>
    <t>UNICUM MANAGEMENT CORP</t>
  </si>
  <si>
    <t>PRO AURUM GMBH</t>
  </si>
  <si>
    <t>ADVANCED SERIES TRUST-AST</t>
  </si>
  <si>
    <t>AURUM INTERNATIONAL FZC</t>
  </si>
  <si>
    <t>MINERA LA ANTIGUA SA DE CV</t>
  </si>
  <si>
    <t>MERCURIA ENERGY TRADING PTE LTD</t>
  </si>
  <si>
    <t>GOLD STOCK CORPORATION</t>
  </si>
  <si>
    <t>GOLDMONEY PROCESSING EUROPE LIMITED</t>
  </si>
  <si>
    <t>NET - GOLD SERVICES LIMITED</t>
  </si>
  <si>
    <t>NET GOLD SERVICES LIMITED VAULT</t>
  </si>
  <si>
    <t>NET-GOLD SERVICES LIMITED</t>
  </si>
  <si>
    <t>NET-GOLD SERVICES LIMITED VAULT</t>
  </si>
  <si>
    <t>RTFX</t>
  </si>
  <si>
    <t>A SIMPLY B AMERICA SA DE CV</t>
  </si>
  <si>
    <t>SSL FINANCE INC.</t>
  </si>
  <si>
    <t>SILVER TOWNE,L.P.</t>
  </si>
  <si>
    <t>SILVER TOWNE LP</t>
  </si>
  <si>
    <t>RAFAT GENERAL CONTRACTOR INC</t>
  </si>
  <si>
    <t>ARC RESOURCES COMPANY LTD</t>
  </si>
  <si>
    <t>ARC RESOURCES COMPANY</t>
  </si>
  <si>
    <t>LYONDELL CHIMIE FRANCE SAS</t>
  </si>
  <si>
    <t>COCLISA SA DE CV</t>
  </si>
  <si>
    <t>CLIMATE SYSTEMS MEXICANA SA DE CV</t>
  </si>
  <si>
    <t>CASTLETON COMMODITIES MERCHANT EUROPE SARL</t>
  </si>
  <si>
    <t>STUNT AND CO LIMITED</t>
  </si>
  <si>
    <t>CROSSLINX TRANSIT SOLUTIONS GENERAL PARTNERSHIP</t>
  </si>
  <si>
    <t>MEX 35667</t>
  </si>
  <si>
    <t>AGF INVESTMENTS INC. AFFILIATED FUNDS (AGENCY)</t>
  </si>
  <si>
    <t>AGF INVESTMENTS INC (AFFILIATED FUND)</t>
  </si>
  <si>
    <t>AGF INVESTMENTS INC.</t>
  </si>
  <si>
    <t>HOLLYFRONTIER CORPORATION</t>
  </si>
  <si>
    <t>LYONDELL HQ</t>
  </si>
  <si>
    <t>SUN GOD RESOURCES INC</t>
  </si>
  <si>
    <t>C&amp;C LATH MILL LTD</t>
  </si>
  <si>
    <t>YORK REALTY INC</t>
  </si>
  <si>
    <t>STONECREEK SHOPPING CENTRE INC</t>
  </si>
  <si>
    <t>SERVICIOS ADMINISTRATIVOS TD JV S DE RL DE CV</t>
  </si>
  <si>
    <t>HUNTINGTON NATIONAL BANK</t>
  </si>
  <si>
    <t>BICO FASTER DRILLING TOOLS INC</t>
  </si>
  <si>
    <t>VICE STUDIO CANADA INC</t>
  </si>
  <si>
    <t>METLIFE INC.</t>
  </si>
  <si>
    <t>PROMOCIONES Y REGALOS EL EXITO SA DE CV</t>
  </si>
  <si>
    <t>OLEODUCTO CENTRAL SA</t>
  </si>
  <si>
    <t>TENN TRADING LLC</t>
  </si>
  <si>
    <t>POINTER INVESTMENT (HONG KONG) LTD</t>
  </si>
  <si>
    <t>SULPHUR RECOVERY ENGINEERING INC</t>
  </si>
  <si>
    <t>2055648 ONTARIO INC OA YAYA AND CO</t>
  </si>
  <si>
    <t>AETUS SAPI DE CV</t>
  </si>
  <si>
    <t>2219625 ONTARIO INC</t>
  </si>
  <si>
    <t>CELESTICA LIMITED</t>
  </si>
  <si>
    <t>NGKF SA DE CV</t>
  </si>
  <si>
    <t>HYDRO ALUMINIUM INTERNATIONAL SA</t>
  </si>
  <si>
    <t>COMPANIA MINERA TECK CARMEN DE ANDACOLLO</t>
  </si>
  <si>
    <t>OTTAWA VALLEY TOURS</t>
  </si>
  <si>
    <t>668152 ONTARIO LIMITED</t>
  </si>
  <si>
    <t>EAST SUCCESS ENTERPRISE LIMITED</t>
  </si>
  <si>
    <t>SINCLAR GROUP FOREST PRODUCTS LTD</t>
  </si>
  <si>
    <t>SINCLAR GROUP FOREST PRODUCTS LTD.</t>
  </si>
  <si>
    <t>LAKELAND MILLS LTD</t>
  </si>
  <si>
    <t>YUNNAN COPPER HK LIMITED</t>
  </si>
  <si>
    <t>WINEBERRY LIMITED</t>
  </si>
  <si>
    <t>JEANS JEWELS INC</t>
  </si>
  <si>
    <t>INTERCAM BANCO SA,  INSTITUCION DE BANCA MULTIPLE, INTERCAM GRUPO FINANCIERO</t>
  </si>
  <si>
    <t>INTERCAM BANCO SA IBM INTERCAM GRUPO FINANCIERO</t>
  </si>
  <si>
    <t>TEXTILES CAMONES SA</t>
  </si>
  <si>
    <t>NELSON GRANITE LIMITED</t>
  </si>
  <si>
    <t>ADAM FINE CARS LTD</t>
  </si>
  <si>
    <t>COMERCIALIZADORA LOAEZA SA DE CV</t>
  </si>
  <si>
    <t>CAFE DEL PACIFICO SAPI DE CV</t>
  </si>
  <si>
    <t>BALL BEVERAGE PACKAGING EUROPE LIMITED</t>
  </si>
  <si>
    <t>BANK OF BOTSWANA1036</t>
  </si>
  <si>
    <t>BANK OF BOTSWANA</t>
  </si>
  <si>
    <t>PROTEINAS Y OLEICOS SA DE CV</t>
  </si>
  <si>
    <t>PACIFIC INVESTMENT MANAGEMENT COMPANY LLC, SOLELY IN ITS CAPACITY AS ADVISOR ON BEHALF OF DAIMLERCHRYSLER CORPORATION MASTER RETIREMENT TRUST</t>
  </si>
  <si>
    <t>BANCO CENTRAL DE BOLIVIA</t>
  </si>
  <si>
    <t>BAYTEX ENERGY CORP.</t>
  </si>
  <si>
    <t>BAYTEX ENERGY CORP</t>
  </si>
  <si>
    <t>BRISTOL GATE CAPITAL PARTNER INC</t>
  </si>
  <si>
    <t>2312651 ONTARIO INC</t>
  </si>
  <si>
    <t>OTIS ROAD INVESTMENTS LP</t>
  </si>
  <si>
    <t>BACHOCO SA DE CV</t>
  </si>
  <si>
    <t>INDUSTRIAS BACHOCO S.A.B. DE C.V.</t>
  </si>
  <si>
    <t>BETA PROCESOS SA DE CV</t>
  </si>
  <si>
    <t>JOHNSON CONTROLS MASTER PENSION FUND</t>
  </si>
  <si>
    <t>2225981 ONTARIO LTD</t>
  </si>
  <si>
    <t>TUDOR INVESTMENT CORPORATION</t>
  </si>
  <si>
    <t>5601 ANDERSON WAY INVESTMENTS LTD</t>
  </si>
  <si>
    <t>INDUBA PAVOS SA DE CV</t>
  </si>
  <si>
    <t>BACHOCO COMERCIAL SA DE CV</t>
  </si>
  <si>
    <t>REXAM PLC</t>
  </si>
  <si>
    <t>REXAM LIMITED</t>
  </si>
  <si>
    <t>BROWN BROTHERS HARRIMAN TRUST COMPANY (CAYMAN) LIMITED AS TRUSTEE OF PRU CAYMAN IG MID TERM CREDIT BOND FUND 2015 A SERIES TRUST OF MULTI MANAGER GLOBAL INVESTMENT TRUST</t>
  </si>
  <si>
    <t>BROWN BROTHERS HARRIMAN TRUST COMPANY CAYMAN LIMITED AS TRUSTEE OF PRU CAYMAN IG LONG TERM CREDIT BOND FUND 2015 A SERIES TRUST OF MULTI MANAGER GLOBAL INVESTMENT TRUST</t>
  </si>
  <si>
    <t>B2GOLD NAMIBIA (PROPRIETARY) LIMITED</t>
  </si>
  <si>
    <t>HALLCON CREW TRANSPORT INC</t>
  </si>
  <si>
    <t>TORRE MAYOR MANAGEMENT S C</t>
  </si>
  <si>
    <t>BMO NESBITT BURNS INC.</t>
  </si>
  <si>
    <t>PRUDENTIAL TRUST COMPANY MASTER COMMINGLED INVESTMENT FUND FOR TAX EXEMPT TRUSTS WITH RESPECT TO THE INSTITUTIONAL LONG DURATION GOVERNMENT CREDIT CONSERVATIVE BOND FUND</t>
  </si>
  <si>
    <t>TARGET PORTFOLIO TRUST PRUDENTIAL CORPORATE BOND FUND</t>
  </si>
  <si>
    <t>FXALL</t>
  </si>
  <si>
    <t>FXALL TRADER</t>
  </si>
  <si>
    <t>FXALL DIRECT</t>
  </si>
  <si>
    <t>FX INSIDE</t>
  </si>
  <si>
    <t>PRU CREDIT INCOME FUND 2015 A SERIES OF THE MULTI MANAGER GLOBAL INVESTMENT TRUST</t>
  </si>
  <si>
    <t>PRODOMAX AUTOMATION LTD.</t>
  </si>
  <si>
    <t>PRODOMAX AUTOMATION LTD</t>
  </si>
  <si>
    <t>RDJ BAKERIES LTD</t>
  </si>
  <si>
    <t>CIPAN HOLDING A/C</t>
  </si>
  <si>
    <t>LIMPID MARKETS LTD</t>
  </si>
  <si>
    <t>PREBON PREMEX SINGAPORE</t>
  </si>
  <si>
    <t>COSMOREX AG</t>
  </si>
  <si>
    <t>AGRO QUERETANA S DE RL DE CV</t>
  </si>
  <si>
    <t>ENERGIA ELECTRICA BAL SA DE CV</t>
  </si>
  <si>
    <t>HALLCON CORPORATION</t>
  </si>
  <si>
    <t>360T MARKET MAKER</t>
  </si>
  <si>
    <t>360T MARKET TAKER</t>
  </si>
  <si>
    <t>Acasta Global Master Fund</t>
  </si>
  <si>
    <t>PERFORMANCE MALL PROPERTIES LP</t>
  </si>
  <si>
    <t>LUBRICANTES DE AMERICA, SA DE CV</t>
  </si>
  <si>
    <t>CONSORCIO PANAMERICANO DE INVERSIONES SAC</t>
  </si>
  <si>
    <t>TRADITION SEF</t>
  </si>
  <si>
    <t>Tradition SEF Inc</t>
  </si>
  <si>
    <t>UBS TRADER</t>
  </si>
  <si>
    <t>TP SEF INC</t>
  </si>
  <si>
    <t>XSTREAM</t>
  </si>
  <si>
    <t>Dynamic Global All-Terrain Fund</t>
  </si>
  <si>
    <t>DYNAMIC GLOBAL ALL TERRAIN FUND</t>
  </si>
  <si>
    <t>SOL INVESTMENTS LIMITED</t>
  </si>
  <si>
    <t>EBS</t>
  </si>
  <si>
    <t>R J O'BRIEN LIMITED</t>
  </si>
  <si>
    <t>BANK OF THAILAND EMERGING MARKET DEBT FUND</t>
  </si>
  <si>
    <t>TD ASSET MANAGEMENT T1503</t>
  </si>
  <si>
    <t>FAMESA EXPLOSIVOS SAC</t>
  </si>
  <si>
    <t>SERVICIOS HOTELEROS DE PRESTIGIO SA DE CV</t>
  </si>
  <si>
    <t>AVENTIS ASSET MANAGEMENT LLC</t>
  </si>
  <si>
    <t>ANATOLIA HOLDING CORP</t>
  </si>
  <si>
    <t>CAMPI ALIMENTOS SA DE CV</t>
  </si>
  <si>
    <t>DYNAMIX LONDON INC</t>
  </si>
  <si>
    <t>CONTROLADORA PETROBAL SA DE CV</t>
  </si>
  <si>
    <t>REAL ESTATE BOARD OF GTR VANCOUVER</t>
  </si>
  <si>
    <t>DESARROLLO MINERO DE NICARAGUA S.A</t>
  </si>
  <si>
    <t>BEECAL FRONTIER ROAD PROPERTY LIMITED PARTNERSHIP</t>
  </si>
  <si>
    <t>CHURCHILL FALLS LABRADOR CORP LTD</t>
  </si>
  <si>
    <t>GONHERMEX SA DE CV</t>
  </si>
  <si>
    <t>GONHER DE MEXICO SA DE CV</t>
  </si>
  <si>
    <t>ACIDAV S DE RL DE CV</t>
  </si>
  <si>
    <t>AIR PARTNERS CORP</t>
  </si>
  <si>
    <t>PERFILES Y VENTANAS EUROPEAS SA DE CV</t>
  </si>
  <si>
    <t>F AND C MANAGEMENT LTD AS AGENT FOR AFFILIATED FUNDS</t>
  </si>
  <si>
    <t>HUTTERIAN BRETHREN CHURCH OF LAJORD</t>
  </si>
  <si>
    <t>VALE S.A.</t>
  </si>
  <si>
    <t>ECOELECTRICA LP</t>
  </si>
  <si>
    <t>TRAILER WIZARDS LTD</t>
  </si>
  <si>
    <t>1327363 ALBERTA LTD</t>
  </si>
  <si>
    <t>STRACON GYM MEXICO SA DE CV</t>
  </si>
  <si>
    <t>ALUCAPS MEXICANA SA DE CV</t>
  </si>
  <si>
    <t>THE NARRAGANSETT ELECTRIC COMPANY D/B/A NATIONAL GRID</t>
  </si>
  <si>
    <t>Highbridge Capital Management LLC</t>
  </si>
  <si>
    <t>LIBERTY ST FUNDING (CRST AUTO RECEIVABLES ASSET TRUST 2010-2</t>
  </si>
  <si>
    <t>LIBERTY ST FUNDING (CRST AUTO RCVBL ASSET TR CRST IV)</t>
  </si>
  <si>
    <t>LIBERTY STREET FUNDING LLC (CRST AUTO RECEIVABLES ASSET TRUST 2010-2)</t>
  </si>
  <si>
    <t>LIBERTY STREET FUNDING LLC AS INVESTOR IN CRST 2010-1 CLASS A</t>
  </si>
  <si>
    <t>LIBERTY STREET FUNDING LLC (CRST AUTO RECEIVABLES ASSET TRUST 2010-4)</t>
  </si>
  <si>
    <t>LIBERTY STREET FUNDING CORP (CELLCO EDGE LLC)</t>
  </si>
  <si>
    <t>LIBERTY STREET FUNDING LLC (FLEX JERSEY LIMITED)</t>
  </si>
  <si>
    <t>HEIMERLE &amp; MEULE GMBH</t>
  </si>
  <si>
    <t>HEIMERLE &amp;MEULE GMBH</t>
  </si>
  <si>
    <t>INMOBILIARIA EYMSA SA DE CV</t>
  </si>
  <si>
    <t>UCORE RARE METALS INC</t>
  </si>
  <si>
    <t>TRANSMISIONES Y EQUIPOS MECANICOS SA DE CV</t>
  </si>
  <si>
    <t>CATERPILLAR FINANCIAL SERVICES CORPORATION</t>
  </si>
  <si>
    <t>NATIONAL RAILROAD RETIREMENT INVESTMENT TRUST.</t>
  </si>
  <si>
    <t>VOYA FINANCIAL INC GROUP</t>
  </si>
  <si>
    <t>FIDELITY FOREX,  INC.</t>
  </si>
  <si>
    <t>VELA J 26 SA DE CV</t>
  </si>
  <si>
    <t>LIBERTY UTILITIES MIDSTATES NATURAL GAS CORP</t>
  </si>
  <si>
    <t>LIBERTY UTILITIES PEACH STATE NATURAL GAS CORP</t>
  </si>
  <si>
    <t>VICTORIA POWER NETWORKS FINANCE PTY LTD</t>
  </si>
  <si>
    <t>TOYOTA TSUSHO AMERICA, INC.</t>
  </si>
  <si>
    <t>DISTRIBUIDORA HORTIMEX,S.A. DE C.V.</t>
  </si>
  <si>
    <t>SUN LIFE DYNAMIC STRATEGIC YIELD FUND</t>
  </si>
  <si>
    <t>SUN LIFE DYNAMIC STRATEGIC YIELD FD</t>
  </si>
  <si>
    <t>TRI CANADA INDUSTRIES LTD</t>
  </si>
  <si>
    <t>AMERISUR RESOURCES PLC</t>
  </si>
  <si>
    <t>SCREENSCAPE NETWORKS INC</t>
  </si>
  <si>
    <t>ENVASES AGRICOLAS E INDUSTRIALES SA DE CV</t>
  </si>
  <si>
    <t>CORPORACION DE ALIMENTOS MEXICALI SA DE CV</t>
  </si>
  <si>
    <t>CORPORACION DE ALIMENTOS DE MEXICALI SA DE CV</t>
  </si>
  <si>
    <t>HDI SEGUROS SA DE CV</t>
  </si>
  <si>
    <t>PROLEC GE INTERNACIONAL, S. DE R.L.  DE C.V.</t>
  </si>
  <si>
    <t>PROLEC GE INTERNATIONALS. de.R.L.de C.V.</t>
  </si>
  <si>
    <t>PROLEC GE INTERNACIONAL, S. DE R.L. DE C.V.</t>
  </si>
  <si>
    <t>HLCM CAPITAL SDN BHD</t>
  </si>
  <si>
    <t>STANDARD LIFE EQUITY TRI-PLAN FUND</t>
  </si>
  <si>
    <t>STANDARD LIFE</t>
  </si>
  <si>
    <t>STANDARD LIFE DIVERSIFIED TRI-PLAN</t>
  </si>
  <si>
    <t>IDEAL BALANCED FUND</t>
  </si>
  <si>
    <t>STANDARD LIFE CAPPED CANADIAN EQUITY FUND</t>
  </si>
  <si>
    <t>STANDARD LIFE US EQUITY DIRECT INDX</t>
  </si>
  <si>
    <t>SLAC CANADIAN STAFF PENSION FUND</t>
  </si>
  <si>
    <t>TRNM HOLDINGS III S DE RL DE CV</t>
  </si>
  <si>
    <t>WEST CARE MEDICAL LTD</t>
  </si>
  <si>
    <t>IBERDROLA FINANCIACION S.A.U</t>
  </si>
  <si>
    <t>BOSTON GAS COMPANY D/B/A NATIONAL GRID</t>
  </si>
  <si>
    <t>IDEAL CANADIAN EQUITY FUND</t>
  </si>
  <si>
    <t>IXE FONDO DIVISAS SA DE CV SOCIEDAD DE INVERSION EN INSTRUMENTOS DE DEUDA</t>
  </si>
  <si>
    <t>IXE FONDO DIVISAS 2 SA DE CV SOCIEDAD DE INVERSION EN INSTRUMENTOS DE DEUDA</t>
  </si>
  <si>
    <t>INNOCAP GLOBAL INVESTMENT MANAGEMNT</t>
  </si>
  <si>
    <t>NATIONAL BANK OF CANADA (GLOBAL) LIMITED</t>
  </si>
  <si>
    <t>CBRE GLOBAL TREASURY LIMITED</t>
  </si>
  <si>
    <t>INTERFONDOS SA SAF GROUP</t>
  </si>
  <si>
    <t>PRITAM TRANSPORT LIMITED</t>
  </si>
  <si>
    <t>DREAM ASSET MANAGEMENT CORP</t>
  </si>
  <si>
    <t>THE BROOKLYN UNION GAS COMPANY D/B/A NATIONAL GRID NY</t>
  </si>
  <si>
    <t>COLONIAL GAS COMPANY D/B/A NATIONAL GRID</t>
  </si>
  <si>
    <t>KEYSPAN GAS EAST CORPORATION D/B/A NATIONAL GRID</t>
  </si>
  <si>
    <t>FIRST TRUST DYNAMIC EUROPE EQUITY INCOME FUND</t>
  </si>
  <si>
    <t>GANADERIA ADDTUL SA DE CV</t>
  </si>
  <si>
    <t>GANADERIA ADDTUL SPR DE RL</t>
  </si>
  <si>
    <t>ANATOLIA DOGALTAS SERAMIK A S</t>
  </si>
  <si>
    <t>JACOBS ENGINEERING DE MEXICO SA DE CV</t>
  </si>
  <si>
    <t>RED RIVER GALVANIZING INC</t>
  </si>
  <si>
    <t>CBRE GWS LLC</t>
  </si>
  <si>
    <t>INACTIVE</t>
  </si>
  <si>
    <t>ROOTS CORPORATION</t>
  </si>
  <si>
    <t>SOCIEDAD MINERA CERRO VERDE S.A.A.</t>
  </si>
  <si>
    <t>ALAN ARTURO SANCHEZ DE CASTRO</t>
  </si>
  <si>
    <t>387661 ONTARIO LIMITED</t>
  </si>
  <si>
    <t>KAHUNAVERSE SPORTS GROUP INC.</t>
  </si>
  <si>
    <t>CLIMAPROYECTOS SA DE CV</t>
  </si>
  <si>
    <t>FMP GAS SA DE CV</t>
  </si>
  <si>
    <t>CHINA TAX AUTHORITY</t>
  </si>
  <si>
    <t>NEW YORK TAX AUTHORITY</t>
  </si>
  <si>
    <t>JAPAN TAX AUTHORITY</t>
  </si>
  <si>
    <t>CAISSE D'EPARGNE COTE D'AZUR</t>
  </si>
  <si>
    <t>FID TORRE MAYOR TERRENO</t>
  </si>
  <si>
    <t>N.V. UMICORE S.A.</t>
  </si>
  <si>
    <t>N.V UMICORE S.A</t>
  </si>
  <si>
    <t>N.V UMICORE S.A.</t>
  </si>
  <si>
    <t>N.V.UMICORE S.A</t>
  </si>
  <si>
    <t>N.V,UMICORE SA</t>
  </si>
  <si>
    <t>N.V.UMICORE S.A.</t>
  </si>
  <si>
    <t>N.V. UMICORE S.A</t>
  </si>
  <si>
    <t>WINTON CAPITAL US LLC</t>
  </si>
  <si>
    <t>SINTAGRO SA DE CV</t>
  </si>
  <si>
    <t>VENETO BANCA S.C.P.A</t>
  </si>
  <si>
    <t>HUNTSMAN INTERNATIONAL LLC</t>
  </si>
  <si>
    <t>JAMISON CAPITAL PARTNERS LP</t>
  </si>
  <si>
    <t>CHY FUND GROUP</t>
  </si>
  <si>
    <t>ASHLAND CHEMICAL DE MEXICO S.A. DE C.V.</t>
  </si>
  <si>
    <t>EXPORTADORA DE CAFE CALIFORNIA SA DE CV</t>
  </si>
  <si>
    <t>PRESTACION PROFESIONAL DE RECURSOS HUMANOS A LA MINERIA SA DE CV</t>
  </si>
  <si>
    <t>BANCA POPOLARE DI BERGAMO -CREDITO VARESINO SPA</t>
  </si>
  <si>
    <t>BANCA POPOLARE DI BERGAMO-CREDITO VARESINO SPA</t>
  </si>
  <si>
    <t>MINERA EL TESORO</t>
  </si>
  <si>
    <t>MINERA CENTINELA</t>
  </si>
  <si>
    <t>ASHLAND CANADA CORP.</t>
  </si>
  <si>
    <t>ASHLAND INDUSTRIES DEUTSCHLAND GMBH</t>
  </si>
  <si>
    <t>Wobble Company Limited</t>
  </si>
  <si>
    <t>ASHLAND SERVICES B.V.</t>
  </si>
  <si>
    <t>ASHLAND SPECIALTIES UK LIMITED</t>
  </si>
  <si>
    <t>CORPORATIVO AUTO REFACCIONES DE CALIDAD S.A. DE C.V.</t>
  </si>
  <si>
    <t>COLGATE BUSINESS SERVICES OF THE AMERICAS SC</t>
  </si>
  <si>
    <t>BHALFA CONSTRUCTORA SA DE CV</t>
  </si>
  <si>
    <t>CORRALES ADDTUL SA DE CV</t>
  </si>
  <si>
    <t>COSECHA BIENESTAR SAPI DE CV</t>
  </si>
  <si>
    <t>THK RHYTHM AUTOMOTIVE CANADA LIMITED</t>
  </si>
  <si>
    <t>ASHLAND SPECIALTY INGREDIENTS G.P.</t>
  </si>
  <si>
    <t>JACOBINA MINERACAO E COMERCIO LTDA</t>
  </si>
  <si>
    <t>PRODUCTORA Y DISTRIBUIDORA SA DE CV</t>
  </si>
  <si>
    <t>AUTOPARTES BROKERS SA DE CV</t>
  </si>
  <si>
    <t>SCEISE SA DE CV</t>
  </si>
  <si>
    <t>ALPHACREDIT CAPITAL SA DE CV SOFOM ENR</t>
  </si>
  <si>
    <t>A B CEDAR SHINGLE INC</t>
  </si>
  <si>
    <t>FREEPORT MINERALS CORPORATION</t>
  </si>
  <si>
    <t>FREEPORT MCMORAN CORPORATION</t>
  </si>
  <si>
    <t>PRINCIPAL R V, SA DE CV. SOC INV RENTA VARIABLE</t>
  </si>
  <si>
    <t>NOVA SCOTIA TEACHERS? PENSION PLAN</t>
  </si>
  <si>
    <t>NOVA SCOTIA TEACHERS PENSION PLAN</t>
  </si>
  <si>
    <t>ARROW ECS INTERNET SECURITY AG</t>
  </si>
  <si>
    <t>ARROW ECS LTD.</t>
  </si>
  <si>
    <t>BLACKROCK BALANCED CAP VI FUND FI</t>
  </si>
  <si>
    <t>BLACKROCK BALANCED CAPITAL VI FUND</t>
  </si>
  <si>
    <t>MAPLE LEAF METALS</t>
  </si>
  <si>
    <t>ABT ASSOCIATES INC</t>
  </si>
  <si>
    <t>FIDEICOMISO EMPRESARIAL F1562 DE DEUTSCHE BANK MEX</t>
  </si>
  <si>
    <t>FIDEICOMISO EMPRESARIAL F 1562 DE DEUSTCHE BANK MEXICO SA</t>
  </si>
  <si>
    <t>SERVICIOS MEDICOS DE LA FRONTERA SA DE CV</t>
  </si>
  <si>
    <t>SUM CANADA ENTERPRISES LTD</t>
  </si>
  <si>
    <t>Guoco Group Ltd</t>
  </si>
  <si>
    <t>GUOCO GROUP LTD</t>
  </si>
  <si>
    <t>GUOCO GROUP LIMITED</t>
  </si>
  <si>
    <t>PROFESSIONAL EQUIPMENT INC</t>
  </si>
  <si>
    <t>GILBANE ALBERICI SERVICES S DE RL DE CV</t>
  </si>
  <si>
    <t>TPSWAP_LN on behalf of Tullet Prebon Europe Ltd</t>
  </si>
  <si>
    <t>Tullett Prebon (Europe) Limited</t>
  </si>
  <si>
    <t>TULLETT PREBON (EUROPE) LTD</t>
  </si>
  <si>
    <t>TCHIR FAMILY ASSETS CORP</t>
  </si>
  <si>
    <t>SMASHING BOTTLES INC</t>
  </si>
  <si>
    <t>LEEDS BUILDING SOCIETY CDEA</t>
  </si>
  <si>
    <t>HANESBRANDS CANADA EXPORT LLC</t>
  </si>
  <si>
    <t>LA LUNA</t>
  </si>
  <si>
    <t>BELLOTA MEXICO SA DE CV</t>
  </si>
  <si>
    <t>PRINCIPAL R V A1 SA DE CV SOCIEDAD DE INVERSION</t>
  </si>
  <si>
    <t>ELLISDON COCO VIVANEXT PARTNERSHIP</t>
  </si>
  <si>
    <t>MOTORMEXA ARRENDAMIENTOS SA DE CV</t>
  </si>
  <si>
    <t>CAPSTONE INVESTMENT ADVISORS LLC</t>
  </si>
  <si>
    <t>NORTHERN TRUST COMPANY</t>
  </si>
  <si>
    <t>NORTHERN TRUST COMPANY (STF)</t>
  </si>
  <si>
    <t>HFC PROYECTOS  SC</t>
  </si>
  <si>
    <t>EVERZINC BELGIUM</t>
  </si>
  <si>
    <t>VM BUILDING SOLUTIONS SAS</t>
  </si>
  <si>
    <t>REGINA AIRPORT AUTHORITY INC</t>
  </si>
  <si>
    <t>COTY INC</t>
  </si>
  <si>
    <t>CUMMINS LTD</t>
  </si>
  <si>
    <t>POLAR INDUSTRIAL SERVICES LTD</t>
  </si>
  <si>
    <t>NOVANNI STAINLESS INC</t>
  </si>
  <si>
    <t>INTEGRADORA DE GANADEROS DE ENGORDA DE LA LAGUNA SA DE CV</t>
  </si>
  <si>
    <t>SGO MINING INC</t>
  </si>
  <si>
    <t>CLAUDE RESOURCES INC.</t>
  </si>
  <si>
    <t>SGO MINING INC.</t>
  </si>
  <si>
    <t>ITX FINANCIEN  B.V.</t>
  </si>
  <si>
    <t>DALTON EFECTIVO SEGURO GDL SA DE CV</t>
  </si>
  <si>
    <t>GENERATION INTERNATIONAL MARKETING SA DE CV</t>
  </si>
  <si>
    <t>COHEN S ROOFING S DE RL DE CV</t>
  </si>
  <si>
    <t>PRINCIPAL SIEFORE BASICA 60 64 SA DE CV</t>
  </si>
  <si>
    <t>PRINCIPAL SIEFORE BASICA 75 79 SA DE CV</t>
  </si>
  <si>
    <t>SINTESIS Y FORMULACIONES DE ALTA TECNOLOGIA SA DE CV</t>
  </si>
  <si>
    <t>SINTESIS Y FORMULACIONES DE ALTA TECNOLOGIA, SA DE CV</t>
  </si>
  <si>
    <t>KINGDOM HOTELS TORONTO LTD</t>
  </si>
  <si>
    <t>GUOLINE INTERNATIONAL LIMITED</t>
  </si>
  <si>
    <t>GUOLINE INTERNATIONAL LIMITED AC 2</t>
  </si>
  <si>
    <t>PRINCIPAL SIEFORE BASICA DE PENSIONES SA DE CV</t>
  </si>
  <si>
    <t>FRANCO-NEVADA CORPORATION</t>
  </si>
  <si>
    <t>NIPRO PHARMALPACKAGING FRANCE</t>
  </si>
  <si>
    <t>MAREX SPECTRON INTERNATIONAL LIMITED</t>
  </si>
  <si>
    <t>HOSPITALIDAD PUERTO PE¿ASCO SA DE CV</t>
  </si>
  <si>
    <t>Mitsui Bussan Commodities Limited</t>
  </si>
  <si>
    <t>NR FINANCE MEXICO S.A. DE C.V. SOFOM E.N.R.</t>
  </si>
  <si>
    <t>NR FINANCE MEXICO SA DE CV SOFOM ENR</t>
  </si>
  <si>
    <t>NR FINANCE MEXICO SA DE CV</t>
  </si>
  <si>
    <t>CAPIA CORPORATIVO S DE RL DE CV</t>
  </si>
  <si>
    <t>FN HOLDINGS ULC</t>
  </si>
  <si>
    <t>PERSONA MORAL OPCION IMPLICITA.</t>
  </si>
  <si>
    <t>PIM INVESTMENTS INC STRUCTURED PRODUCTS OPPORTUNITY ACCOUNT</t>
  </si>
  <si>
    <t>COEUR MEXICANA, S.A. DE C.V</t>
  </si>
  <si>
    <t>COEUR MEXICANA SA DE CV</t>
  </si>
  <si>
    <t>G H FINANCIALS LTD</t>
  </si>
  <si>
    <t>COEUR ROCHESTER, INC</t>
  </si>
  <si>
    <t>SPX FLOW, INC.</t>
  </si>
  <si>
    <t>INDUSTRIAS SERGAL, S.A. DE C.V.</t>
  </si>
  <si>
    <t>BELTSERVICE CANADA CO</t>
  </si>
  <si>
    <t>VANORA HOLDINGS LIMITED</t>
  </si>
  <si>
    <t>LANYOR INVESTMENTS LTD</t>
  </si>
  <si>
    <t>2442985 ONTARIO INC</t>
  </si>
  <si>
    <t>RICHWIL TRUCK CENTRE LTD</t>
  </si>
  <si>
    <t>FIRST MAJESTIC SILVER CORP</t>
  </si>
  <si>
    <t>FIRST MAJESTIC SILVER CORP.</t>
  </si>
  <si>
    <t>HORTICOLA CIMARRON SA DE CV</t>
  </si>
  <si>
    <t>LOS AZURES III FASE II</t>
  </si>
  <si>
    <t>BIRCHIE CORP</t>
  </si>
  <si>
    <t>FORZA STEEL SA DE CV</t>
  </si>
  <si>
    <t>PAL TECHNICAL INC</t>
  </si>
  <si>
    <t>0944531 BC LTD</t>
  </si>
  <si>
    <t>CIMAREX ENERGY CO</t>
  </si>
  <si>
    <t>OCEANAGOLD CORPORATION</t>
  </si>
  <si>
    <t>668824 ALBERTA LTD.</t>
  </si>
  <si>
    <t>GFI SECURITIES LLC</t>
  </si>
  <si>
    <t>LOUIS CAPITAL MARKETS UK LLP</t>
  </si>
  <si>
    <t>Tradition UK Limited</t>
  </si>
  <si>
    <t>TRADITION UK LIMITED</t>
  </si>
  <si>
    <t>Tullet Prebon Australia Pty LTD</t>
  </si>
  <si>
    <t>TULLETT PREBON AUSTRALIA LIMITED</t>
  </si>
  <si>
    <t>ALLIANZ GLOBAL INVESTORS KAPITAL</t>
  </si>
  <si>
    <t>PACIFIC INVESTMENT MANAGEMENT COMPANY LLC, SOLELY IN ITS CAPACITY AS ADVISOR ON BEHALF OF ALLIANZ INVESTORS VISION OF THE ALLIANZ GLOBAL INVESTORS FUND.</t>
  </si>
  <si>
    <t>MD PRECISION CANADIAN MODER GROW MF</t>
  </si>
  <si>
    <t>MD PRECISION CANADIAN MODERATE GROWTH FUND</t>
  </si>
  <si>
    <t>MD PRECISION CANADIAN MODERATE GROWTH FUND-OPPORTUNISTIC SLEEVE</t>
  </si>
  <si>
    <t>MD PRECISION CANADIAN MODERATE GROWTH FUND-EQUITY SLEEVE</t>
  </si>
  <si>
    <t>MD PRECISION CANADIAN MODERATE GROWTH FUND-FIXED INCOME SLEEVE</t>
  </si>
  <si>
    <t>MD PRECISION CANADIAN MODERATE GROWTH FUND- EQUITY SLEEVE</t>
  </si>
  <si>
    <t>MD PRECICION CANADIAN MODERATE GROWTH FUNF-FIXED INCOME SLEEVE</t>
  </si>
  <si>
    <t>ENBRIDGE PIPELINES INC.</t>
  </si>
  <si>
    <t>ENBRIDGE PIPELINES INC</t>
  </si>
  <si>
    <t>VIE VERTE HERMOSILLO SA DE CV</t>
  </si>
  <si>
    <t>VIE VERTE HERMOSILLOSA DE CV</t>
  </si>
  <si>
    <t>VIE VERTE QUERETARO SA DE CV</t>
  </si>
  <si>
    <t>REICHMANN MEXICO CHAPULTEPEC, SA DE CV</t>
  </si>
  <si>
    <t>ABU DHABI INVESTMENT AUTHORITY TOTA</t>
  </si>
  <si>
    <t>MDPIM STRATEGIC YIELD POOL</t>
  </si>
  <si>
    <t>MDPIM STRATEGIC OPPORTUNITIES POOL</t>
  </si>
  <si>
    <t>MD STRATEGIC YIELD FUND</t>
  </si>
  <si>
    <t>MD STRATEGIC OPPORTUNITIES FUNDS</t>
  </si>
  <si>
    <t>SASKATCHEWAN MOTOR CLUB</t>
  </si>
  <si>
    <t>LAMBERTI CANADA INC</t>
  </si>
  <si>
    <t>PACIFIC INVESTMENT MANAGEMENT COMPANY LLC, SOLELY IN ITS CAPACITY AS ADVISOR ON BEHALF OF LOS ANGELES COUNTY EMPLOYEES RETIREMENT ASSOCIATION</t>
  </si>
  <si>
    <t>PLACEHOLDER AT&amp;T INC</t>
  </si>
  <si>
    <t>AT&amp;T INC</t>
  </si>
  <si>
    <t>PENSION BENEFIT GUARANTY CORPORATION - EMERGING MARKETS DEBT</t>
  </si>
  <si>
    <t>PENSION BENEFIT GUARANTY CORPORATION: CORE FIXED INCOME PORTFOLIO</t>
  </si>
  <si>
    <t>PENSION BENEFIT GUARANTY CORP.</t>
  </si>
  <si>
    <t>PENSION BENEFIT GUARANTY CORPORATION-FIXED INCOME ACCOUNT</t>
  </si>
  <si>
    <t>PENSION BENEFIT GUARANTY CORPORATION - U.S. HIGH YIELD FIXED INCOME ACCOUNT</t>
  </si>
  <si>
    <t>PACIFIC INVESTMENT MANAGEMENT COMPANY LLC, SOLELY IN ITS CAPACITY AS ADVISOR ON BEHALF OF MASSACHUSETTS MUTUAL LIFE INSURANCE COMPANY - FPD ALPHA BACKED NOTES SEPERATE ACCOUNT I</t>
  </si>
  <si>
    <t>PACIFIC INVESTMENT MANAGEMENT COMPANY LLC, SOLELY IN ITS CAPACITY AS ADVISOR ON BEHALF OF MASSACHUSETTS MUTUAL LIFE INSURANCE COMPANY - IBM INDEX GUARANTEED SEPARATE ACCOUNT 1</t>
  </si>
  <si>
    <t>THE PNC FINANCIAL SERVICE GROUP INC. PENSION PLAN: CORE FIXED INCOME ACCOUNT</t>
  </si>
  <si>
    <t>GRUPO CACR SA DE CV</t>
  </si>
  <si>
    <t>TERRADOR FARMS INC AND ENCORE FARMS LTD</t>
  </si>
  <si>
    <t>DE SHAW COMPOSITE PORTFOLIOS LLC</t>
  </si>
  <si>
    <t>DE SHAW COMPOSITE PORTFOLIOS LLC CDEA</t>
  </si>
  <si>
    <t>W AND T OFFSHORE INC</t>
  </si>
  <si>
    <t>ENERFLEX LTD.</t>
  </si>
  <si>
    <t>ENERFLEX LTD</t>
  </si>
  <si>
    <t>NBL NORTH AMERICAN RISK MANAGEMENT LLC</t>
  </si>
  <si>
    <t>REALOGY GROUP LLC</t>
  </si>
  <si>
    <t>FERRER Y ASOCIADOS, S.A. DE C.V.</t>
  </si>
  <si>
    <t>IMPORTACIONES INTERAMERICANA, S.A. DE C.V.</t>
  </si>
  <si>
    <t>PACIFIC INVESTMENT MANAGEMENT COMPANY LLC, SOLELY IN ITS CAPACITY AS ADVISOR ON BEHALF OF STATE SUPER FINANCIAL SERVICES LIMITED AS TRUSTEE ON BEHALF OF THE INTERNATIONAL FIXED INTEREST SECTOR TRUST</t>
  </si>
  <si>
    <t>LEIDOS HOLDINGS INC</t>
  </si>
  <si>
    <t>PICTON MAHONEY LONG SHORT EQUITY FUND</t>
  </si>
  <si>
    <t>GUARDIAN CAPITAL LP AFFILIATED FUND (AS AGENT)</t>
  </si>
  <si>
    <t>GUARDIAN CAPITAL INC</t>
  </si>
  <si>
    <t>PHOENIX TOWER DOMINICANA SAS</t>
  </si>
  <si>
    <t>MYLAN LABORATORIES LTD</t>
  </si>
  <si>
    <t>PTW ENERGY SERVICES LTD.</t>
  </si>
  <si>
    <t>PTW ENERGY SERVICES LTD</t>
  </si>
  <si>
    <t>CBRE LIMITED (UK)</t>
  </si>
  <si>
    <t>CBRE LIMITED (NZ)</t>
  </si>
  <si>
    <t>PICTON MAHONEY WORLD 130/30 CANADIAN EQUITY FUND</t>
  </si>
  <si>
    <t>W R GRACE &amp; Co. -CONN</t>
  </si>
  <si>
    <t>W.R. GRACE &amp; CO.-CONN.</t>
  </si>
  <si>
    <t>BTG PACTUAL COMMODITIES ABSOLUTE RETURN LTD</t>
  </si>
  <si>
    <t>PERFILES MODULARES ALEMANES S DE RL DE CV</t>
  </si>
  <si>
    <t>AUSTRALIA &amp; NEW ZEALAND BANKING GROUP LTD.</t>
  </si>
  <si>
    <t>AUSTRALIA AND NEW ZEALAND BANKING GROUP LTD REPO</t>
  </si>
  <si>
    <t>AUSTRALIA AND NEW ZEALAND BANKING  GROUP LTD MELBOURNE</t>
  </si>
  <si>
    <t>ANZ BANKING GROUP-LONDON (ASIA PACIFIC RIM) RCM</t>
  </si>
  <si>
    <t>ANZ BANKING GROUP-LONDON- (ASIA PACIFIC RIM)</t>
  </si>
  <si>
    <t>AUSTRALIA AND NEW ZEALAND BANKING GROUP LTD WELLINGTON</t>
  </si>
  <si>
    <t>AUSTRALIA AND NEW ZEALAND BANKING GROUP LIMITED - DIRECT CLE</t>
  </si>
  <si>
    <t>AUSTRALIA AND NEW ZEALAND BANKING GROUP</t>
  </si>
  <si>
    <t>AUSTRALIA AND NEW ZEALAND BANKING GROUP LIMITED</t>
  </si>
  <si>
    <t>AUSTRALIA AND NEW ZEALAND BANKING</t>
  </si>
  <si>
    <t>ANZ MELBOURNE</t>
  </si>
  <si>
    <t>ANZ BANKING GROUP-MELBOURNE(ASIA PACIFIC RIM)</t>
  </si>
  <si>
    <t>AUSTRALIA AND NEW ZEALAND BKG GROUP LTD</t>
  </si>
  <si>
    <t>ANZ BKG GROUP LTD</t>
  </si>
  <si>
    <t>AUSTRALIA AND NEW ZEALAND BANKING. GROUP LTD AUSTRALIA</t>
  </si>
  <si>
    <t>KRUGER TROIS-RIVIERES L.P.</t>
  </si>
  <si>
    <t>CHALMETTE REFINING LLC C/O PBF HOLDING COMPANY LLC</t>
  </si>
  <si>
    <t>ALTAVISTA RETAIL PROPERTIES S DE RL DE CV</t>
  </si>
  <si>
    <t>ALTAVISTA RETAIL PROPERTIES SRL CV</t>
  </si>
  <si>
    <t>PACIFIC INVESTMENT MANAGEMENT COMPANY LLC, SOLELY IN ITS CAPACITY AS ADVISOR ON BEHALF OF STICHTING DOW PENSIOENFONDS - GLOBAL</t>
  </si>
  <si>
    <t>NORTH DAKOTA STATE INVESTMENT BOARD INSURANCE TRUST CORE PLUS ACCOUNT</t>
  </si>
  <si>
    <t>Tullet &amp; Tokyo</t>
  </si>
  <si>
    <t>DISTRIBUIDORA LIVERPOOL SA DE CV</t>
  </si>
  <si>
    <t>EL PUERTO DE LIVERPOOL SAB DE CV</t>
  </si>
  <si>
    <t>IMPORTACIONES FACTUM SA DE CV</t>
  </si>
  <si>
    <t>SERVICIOS LIVERPOOL SA DE CV</t>
  </si>
  <si>
    <t>MANULIFE MPF HEALTHCARE FUND</t>
  </si>
  <si>
    <t>DELTA INMOBILIARIA Y VALORES SA DE CV</t>
  </si>
  <si>
    <t>AUTOPISTAS METROPOLITANAS DE PUERTO RICO LLC</t>
  </si>
  <si>
    <t>CIBC CANADIAN RESOURCES FUND</t>
  </si>
  <si>
    <t>ELMWOLD FARMS LTD</t>
  </si>
  <si>
    <t>CIBC PRECIOUS METALS FUND</t>
  </si>
  <si>
    <t>RENAISSANCE GLOBAL RESOURCE FUND</t>
  </si>
  <si>
    <t>TRANSAMINE TRADING DE MEXICO SA DE CV</t>
  </si>
  <si>
    <t>EMPIRE LIFE INVESTMENT INC AS AGENT FOR AFFILIATED MUTUAL FUNDS</t>
  </si>
  <si>
    <t>TIFFANY &amp; CO. SWISS WATCHES SAGL</t>
  </si>
  <si>
    <t>PILOT AIR FREIGHT DE MEXICO S DE RL DE C</t>
  </si>
  <si>
    <t>MWH GLOBAL INC</t>
  </si>
  <si>
    <t>CAPSULE FACTORY NUTRACEUTICALS LTD</t>
  </si>
  <si>
    <t>DELL INTERNATIONAL LLC</t>
  </si>
  <si>
    <t>VENTANAS AL MAR DE COZUMEL SA DE CV</t>
  </si>
  <si>
    <t>BODEYUC SA DE CV</t>
  </si>
  <si>
    <t>THE BUCKET SHOP INC</t>
  </si>
  <si>
    <t>OMACHRON BETA INC</t>
  </si>
  <si>
    <t>PERFORMANCE ABRASIVES GROUP INC</t>
  </si>
  <si>
    <t>PACIFIC INVESTMENT MANAGEMENT COMPANY LLC, SOLELY IN ITS CAPACITY AS ADVISOR ON BEHALF OF AON RETIREMENT PLAN MASTER TRUST</t>
  </si>
  <si>
    <t>LANCASHIRE INSURANCE COMPANY LIMITED</t>
  </si>
  <si>
    <t>PACIFIC INVESTMENT MANAGEMENT COMPANY LLC, SOLELY IN ITS CAPACITY AS ADVISOR ON BEHALF OF DONNELLEY DEFERRED COMPENSATION AND VOLUNTARY SAVINGS PLAN MASTER TRUST</t>
  </si>
  <si>
    <t>PACIFIC INVESTMENT MANAGEMENT COMPANY LLC, SOLELY IN ITS CAPACITY AS ADVISOR ON BEHALF OF SPRINT MASTER TRUST</t>
  </si>
  <si>
    <t>PACIFIC INVESTMENT MANAGEMENT COMPANY LLC, SOLEY IN ITS CAPACITY AS ADVISOR ON BEHALF OF SPRINT MASTER TRUST</t>
  </si>
  <si>
    <t>PACIFIC INVESTMENT MANAGEMENT COMPANY LLC, SOLELY IN ITS CAPACITY AS ADVISOR ON BEHALF OF HANG SENG (TRUSTEE) LTD ON BEHALF OF THE HANG SENG BANK LTD DEFINED BENEFIT SCHEME</t>
  </si>
  <si>
    <t>PACIFIC INVESTMENT MANAGEMENT COMPANY LLC, SOLELY IN ITS CAPACITY AS ADVISOR ON BEHALF OF GOVERNMENT SUPERANNUATION FUND AUTHORITY ON BEHALF OF THE GOVERNMENT SUPERANNUATION FUND.</t>
  </si>
  <si>
    <t>PACIFIC INVESTMENT MANAGEMENT COMPANY LLC, SOLELY IN ITS CAPACITY AS ADVISOR ON BEHALF OF EQUITY TRUSTEES LIMITED AS RESPONSIBLE ENTITY FOR PIMCO EXTENDED MARKETS FUND</t>
  </si>
  <si>
    <t>PACIFIC INVESTMENT MANAGEMENT COMPANY LLC, SOLELY IN ITS CAPACITY AS ADVISOR ON BEHALF OF EQUITY TRUSTEES LIMITED AS RESPONSIBLE ENTITY FOR PIMCO GLOBAL BOND FUND</t>
  </si>
  <si>
    <t>PACIFIC INVESTMENT MANAGEMENT COMPANY LLC, SOLELY IN ITS CAPACITY AS ADVISOR ON BEHALF OF EQUITY TRUSTEES LIMITED AS RESPONSIBLE ENTITY FOR PIMCO GLOBAL REAL RETURN FUND</t>
  </si>
  <si>
    <t>PACIFIC INVESTMENT MANAGEMENT COMPANY LLC, SOLELY IN ITS CAPACITY AS ADVISOR ON BEHALF OF EQUITY TRUSTEES LIMITED AS RESPONSIBLE ENTITY FOR PIMCO TARGET RETURN FUND</t>
  </si>
  <si>
    <t>PACIFIC INVESTMENT MANAGEMENT COMPANY LLC, SOLELY IN ITS CAPACITY AS ADVISOR ON BEHALF OF BRUNEI SHELL FUNDS SENDIRIAN BERHAD AS TRUSTEE OF BRUNEI SHELL PROVIDENT FUND</t>
  </si>
  <si>
    <t>PACIFIC INVESTMENT MANAGEMENT COMPANY LLC SOLELY IN ITS CAPACITY AS ADVISOR ON BEHALF OF SUNOCO INC. MASTER RETIREMENT TRUST</t>
  </si>
  <si>
    <t>PACIFIC INVESTMENT MANAGEMENT COMPANY LLC, SOLELY IN ITS CAPACITY AS ADVISOR ON BEHALF OF TARGET ASSET ALLOCATION FUNDS: TARGET CONSERVATIVE ALLOCATION FUND</t>
  </si>
  <si>
    <t>PACIFIC INVESTMENT MANAGEMENT COMPANY LLC, SOLELY IN ITS CAPACITY AS ADVISOR ON BEHALF OF BMW (UK) TRUSTEES LIMITED ACTING AS TRUSTEE OF THE BMW (UK) OPERATIONS PENSION SCHEME</t>
  </si>
  <si>
    <t>OHIO HEALTH CORPORATION</t>
  </si>
  <si>
    <t>BELL ATLANTIC MASTER TRUST</t>
  </si>
  <si>
    <t>PACIFIC INVESTMENT MANAGEMENT COMPANY LLC, SOLELY IN ITS CAPACITY AS ADVISOR ON BEHALF OF BELL ATLANTIC MASTER TRUST.</t>
  </si>
  <si>
    <t>PACIFIC INVESTMENT MANAGEMENT COMPANY LLC, SOLELY IN ITS CAPACITY AS ADVISOR ON BEHALF OF ILLINOIS STATE UNIVERSITIES RETIREMENT SYSTEM</t>
  </si>
  <si>
    <t>FEDERAL HOME LOAN BANK OF INDIANAPOLIS</t>
  </si>
  <si>
    <t>PIMCO CAYMAN COMMODITY FUND III LTD</t>
  </si>
  <si>
    <t>Hong Kong Housing Authority</t>
  </si>
  <si>
    <t>PACIFIC INVESTMENT MANAGEMENT COMPANY LLC, SOLELY IN ITS CAPACITY AS ADVISOR ON BEHALF OF TRANSAMERICA LIFE INSURANCE COMPANY - PFL CORPORATE ACCOUNT ONE</t>
  </si>
  <si>
    <t>PACIFIC INVESTMENT MANAGEMENT COMPANY LLC, SOLELY IN ITS CAPACITY AS ADVISOR ON BEHALF OF EMPLOYEE RETIREMENT INCOME PLAN TRUST OF MINNESOTA MINING AND MANUFACTURING COMPANY</t>
  </si>
  <si>
    <t>PACIFIC INVESTMENT MANAGEMENT COMPANY LLC, SOLELY IN ITS CAPACITY AS ADVISOR ON BEHALF OFTHE TRUSTEES OF THE MTR CORPORATION LIMITED RETIREMENT SCHEME</t>
  </si>
  <si>
    <t>PACIFIC INVESTMENT MANAGEMENT COMPANY LLC, SOLELY IN ITS CAPACITY AS ADVISOR ON BEHALF OF TARGET ASSET ALLOCATION FUNDS: TARGET MODERATE ALLOCATION FUND</t>
  </si>
  <si>
    <t>PACIFIC INVESTMENT MANAGEMENT COMPANY LLC, SOLELY IN ITS CAPACITY AS ADVISOR ON BEHALF OF  RUSSELL INVESTMENT COMPANY II PLC - THE GLOBAL BOND (EURO HEDGED) FUND</t>
  </si>
  <si>
    <t>PACIFIC INVESTMENT MANAGEMENT COMPANY LLC, SOLELY IN ITS CAPACITY AS ADVISOR ON BEHALF OF RUSSELL MULTI-MANAGER UNIT TRUST RUSSELL AUSTRALIAN BOND FUND</t>
  </si>
  <si>
    <t>PACIFIC INVESTMENT MANAGEMENT COMPANY LLC, SOLELY IN ITS CAPACITY AS ADVISOR ON BEHALF OF RUSSELL INVESTMENT MANAGEMENT LIMITED AS RESPONSIBLE ENTITY FOR THE RUSSELL AUSTRALIAN BOND FUND</t>
  </si>
  <si>
    <t>PACIFIC INVESTMENT MANAGEMENT COMPANY LLC, SOLELY IN ITS CAPACITY ASADVISOR ON BEHALF OF RUSSELL INVESTMENT MANAGEMENT LIMITED AS RESPONSIBLE ENTITY OF THE RUSSELL INTERNATIONAL BOND FUND - A$ HEDGED.</t>
  </si>
  <si>
    <t>PACIFIC INVESTMENT MANAGEMENT COMPANY LLC, SOLELY IN ITS CAPACITY AS ADVISOR ON BEHALF OF IPAC ASSET MANAGEMENT LIMITED AS RESPONSIBLE ENTITY FOR INTERNATIONAL FIXED INTEREST STRATEGY NO. 2</t>
  </si>
  <si>
    <t>PACIFIC INVESTMENT MANAGEMENT COMPANY LLC, SOLELY IN ITS CAPACITY AS ADVISOR ON BEHALF OF IPAC ASSET MANAGEMENT LIMITED AS RESPONSIBLE ENTITY FOR IPAC SPECIALIST INVESTMENT STRATEGIES - ALTERNATIVE INCOME STRATEGY NO 1 ARSN 108 702 987</t>
  </si>
  <si>
    <t>PACIFIC INVESTMENT MANAGEMENT COMPANY LLC, SOLELY IN ITS CAPACITY AS ADVISOR ON BEHALF OF ACCIDENT COMPENSATION CORPORATION AS ADMINISTRATOR OF THE ACCIDENT COMPENSATION SCHEME</t>
  </si>
  <si>
    <t>PACIFIC INVESTMENT MANAGEMENT COMPANY LLC, SOLELY IN ITS CAPACITY AS ADVISOR ON BEHALF OF BARCLAYS PENSION FUNDS TRUSTEE LIMITED ACTING AS TRUSTEE FOR THE BARCLAYS BANK UK RETIREMENT FUND</t>
  </si>
  <si>
    <t>PACIFIC INVESTMENT MANAGEMENT COMPANY LLC, SOLELY IN ITS CAPACITY AS ADVISOR ON BEHALF OF  THE GOV'T OF THE REPUBLIC OF SINGAPORE, AS REPRESENTED BY THE BOARD OF TRUSTEES OF THE SAVER-PREMIUM FUND PIMCO FUNDS STANHOPE PENSION TRUST LTD AS TRUSTEE OF THE G</t>
  </si>
  <si>
    <t>PACIFIC INVESTMENT MANAGEMENT COMPANY LLC, SOLELY IN ITS CAPACITY AS ADVISOR ON BEHALF OF STANHOPE PENSION TRUST LIMITED AS TRUSTEE OF THE G.E.C. 1972 PENSION PLAN.</t>
  </si>
  <si>
    <t>PACIFIC INVESTMENT MANAGEMENT COMPANY LLC, SOLELY IN ITS CAPACITY AS ADVISOR ON BEHALF OF  J SAINSBURY PENSION SCHEME TRUSTEES LIMITED IN ITS CAPACITY AS TRUSEE OF THE SAINSBURY'S PENSION SCHEME</t>
  </si>
  <si>
    <t>PACIFIC INVESTMENT MANAGEMENT COMPANY LLC, SOLELY IN ITS CAPACITY AS ADVISOR ON BEHALF OF TOWER TRUST AS TRUSTEE FOR TAM INTERNATIONAL TRUST  INTERNATIONAL BOND FUND</t>
  </si>
  <si>
    <t>PACIFIC INVESTMENT MANAGEMENT COMPANY LLC, SOLELY IN ITS CAPACITY AS ADVISOR ON BEHALF OF TELSTRA SUPER PTY LTD AS TRUSTEE FOR THE TELSTRA SUPERANNUATION SCHEME</t>
  </si>
  <si>
    <t>GLOBAL MACRO PORTFOLIO</t>
  </si>
  <si>
    <t>GLOBAL OPPORTUNITIES PORTFOLIO</t>
  </si>
  <si>
    <t>INTERNATIONAL INCOME PORTFOLIO</t>
  </si>
  <si>
    <t>PIMCO FUNDS: A555741</t>
  </si>
  <si>
    <t>BANK OF AMERICA MEXICO, S.A. INSTITUCION DE BANCA MULTIPLE</t>
  </si>
  <si>
    <t>BGI BLOCK TRADE</t>
  </si>
  <si>
    <t>PACIFIC INVESTMENT MANAGEMENT COMPANY LLC, SOLELY IN ITS CAPACITY AS ADVISOR ON BEHALF OF  BARCLAYS MULTI-MANAGER FUND PUBLIC LIMITED COMPANY: BARCLAYS GLOBALACCESS GLOBAL CORPORATE BOND FUND</t>
  </si>
  <si>
    <t>BLACKROCK GLOBAL CREDIT STRATEGY</t>
  </si>
  <si>
    <t>PACIFIC INVESTMENT MANAGEMENT COMPANY LLC, SOLELY IN ITS CAPACITY AS ADVISOR ON BEHALF OF CHARITABLE REMAINDER UNITRUST U/D/T MAY 8, 1989</t>
  </si>
  <si>
    <t>PACIFIC INVESTMENT MANAGEMENT COMPANY LLC, SOLELY IN ITS CAPACITY AS ADVISOR ON BEHALF OF VICTORIAN FUNDS MANAGEMENT CORPORATION AS TRUSTEE FOR THE EMERGENCY SERVICES SUPERANNUATION SCHEME (INTERNATIONAL FIXED INTEREST SUB PORTFOLIO)</t>
  </si>
  <si>
    <t>PACIFIC INVESTMENT MANAGEMENT COMPANY LLC, SOLELY IN ITS CAPACITY AS ADVISOR ON BEHALF OF CENTRAL PROVIDENT FUND BOARD ON BEHALF OF THE HPF-PIMCO INVESTMENT ACCOUNT</t>
  </si>
  <si>
    <t>PACIFIC INVESTMENT MANAGEMENT COMPANY LLC, SOLELY IN ITS CAPACITY AS ADVISOR ON BEHALF OF BNY FUND MANAGEMENT (CAYMAN) LIMITED, AS TRUSTEE ON BEHALF OF THE US INVESTMENT GRADE CORPORATES CAYMAN UNIT TRUST: PACIFIC INVESTMENT GRADE CAYMAN FUND</t>
  </si>
  <si>
    <t>EFH RETIREMENT PLAN</t>
  </si>
  <si>
    <t>PACIFIC INVESTMENT MANAGEMENT COMPANY LLC, SOLELY IN ITS CAPACITY AS ADVISOR ON BEHALF OF GA FUND L - BOND ACTIVE WORLD TP</t>
  </si>
  <si>
    <t>PACIFIC INVESTMENT MANAGEMENT COMPANY LLC, SOLELY IN ITS CAPACITY AS ADVISOR ON BEHALF OF SARA LEE CORPORATION MASTER INVESTMENT TRUST FOR DEFINED BENENIT PLANS</t>
  </si>
  <si>
    <t>PACIFIC INVESTMENT MANAGEMENT COMPANY LLC, SOLELY IN ITS CAPACITY AS ADVISOR ON BEHALF OF METAL BOX PENSION TRUSTEES LIMITED (AS TRUSTEE) OF THE METAL BOX PENSION SCHEME</t>
  </si>
  <si>
    <t>PACIFIC INVESTMENT MANAGEMENT COMPANY LLC, SOLELY IN ITS CAPACITY AS ADVISOR ON BEHALF OF  HSBC INTERNATIONAL TRUSTEE LIMITED AS TRUSTEES FOR THE MTR CORPORATION LIMITED PROVIDENT FUND SCHEME</t>
  </si>
  <si>
    <t>PACIFIC INVESTMENT MANAGEMENT COMPANY LLC, SOLELY IN ITS CAPACITY AS ADVISOR ON BEHALF OF EQUITY TRUSTEES LIMITED AS RESPONSIBLE ENTITY FOR PIMCO GLOBAL CREDIT FUND</t>
  </si>
  <si>
    <t>PACIFIC INVESTMENT MANAGEMENT COMPANY LLC, SOLELY IN ITS CAPACITY AS ADVISOR ON BEHALF OF PEABODY RETIREMENT PLAN FOR SALARIED EMPLOYEES</t>
  </si>
  <si>
    <t>GOVERNMENT PENSION FUND</t>
  </si>
  <si>
    <t>PACIFIC INVESTMENT MANAGEMENT COMPANY LLC, SOLELY IN ITS CAPACITY AS ADVISOR ON BEHALF OF PIMCO A-OR-BETTER CORE FIXED INCOME FUND</t>
  </si>
  <si>
    <t>PACIFIC INVESTMENT MANAGEMENT COMPANY LLC, SOLELY IN ITS CAPACITY AS ADVISOR ON BEHALF OF BROWN BROTHERS HARRIMAN TRUST COMPANY (CAYMAN) LIMITED AS TRUSTEE ON BEHALF OF THE PIMCO BERMUDA TRUST II PIMCO BERMUDA JGB FLOATER FOREIGN STRATEGY FUND.</t>
  </si>
  <si>
    <t>PACIFIC INVESTMENT MANAGEMENT COMPANY LLC, SOLELY IN ITS CAPACITY AS ADVISOR ON BEHALF OF BROWN BROTHERS HARRIMAN TRUST COMPANY (CAYMAN) LIMITED AS TRUSTEE ON BEHALF OF THE PIMCO BERMUDA TRUST II  - PIMCO BERMUDA JGB FLOATER US STRATEGY FUND.</t>
  </si>
  <si>
    <t>PACIFIC INVESTMENT MANAGEMENT COMPANY LLC, SOLELY IN ITS CAPACITY AS ADVISOR ON BEHALF OF BROWN BROTHERS HARRIMAN TRUST COMPANY (CAYMAN) LIMITED AS TRUSTEE ON BEHALF OF THE PIMCO BERMUDA TRUST IV - PIMCO BERMUDA GLOBAL BOND EX-JAPAN FUND</t>
  </si>
  <si>
    <t>PACIFIC INVESTMENT MANAGEMENT COMPANY LLC, SOLELY IN ITS CAPACITY AS ADVISOR ON BEHALF OF BROWN BROTHERS HARRIMAN TRUST COMPANY (CAYMAN) LIMITED AS TRUSTEE ON BEHALF OF THE PIMCO BERMUDA TRUST IV - PIMCO EMERGING BOND STRATEGY FUND</t>
  </si>
  <si>
    <t>PACIFIC INVESTMENT MANAGEMENT COMPANY LLC, SOLELY IN ITS CAPACITY AS ADVISOR ON BEHALF OF BROWN BROTHERS HARRIMAN TRUST COMPANY (CAYMAN) LIMITED AS TRUSTEE ON BEHALF OF THE PIMCO BERMUDA TRUST IV - PIMCO GLOBAL HIGH YIELF STRATEGY FUND</t>
  </si>
  <si>
    <t>PACIFIC INVESTMENT MANAGEMENT COMPANY LLC, SOLELY IN ITS CAPACITY AS ADVISOR ON BEHALF OF BROWN BROTHERS HARRIMAN TRUST COMPANY (CAYMAN) LIMITED AS TRUSTEE ON BEHALF OF THE PIMCO BERMUDA TRUST - PIMCO BERMUDA FOREIGN LOW DURATION FUND</t>
  </si>
  <si>
    <t>PACIFIC INVESTMENT MANAGEMENT COMPANY LLC, SOLELY IN ITS CAPACITY AS ADVISOR ON BEHALF OF BROWN BROTHERS HARRIMAN TRUST COMPANY (CAYMAN) LIMITED AS TRUSTEE ON BEHALF OF THE PIMCO BERMUDA TRUST - PIMCO BERMUDA U.S. LOW DURATION FUND</t>
  </si>
  <si>
    <t>PACIFIC INVESTMENT MANAGEMENT COMPANY LLC, SOLELY IN ITS CAPACITY AS ADVISOR ON BEHALF OF BROWN BROTHERS HARRIMAN TRUST COMPANY (CAYMAN) LIMITED AS TRUSTEE ON BEHALF OF THE PIMCO BERMUDA TRUST II - PIMCO BERMUDA DEVELOPING LOCAL MARKETS FUND</t>
  </si>
  <si>
    <t>PACIFIC INVESTMENT MANAGEMENT COMPANY LLC, SOLELY IN ITS CAPACITY AS ADVISOR ON BEHALF OF BROWN BROTHERS HARRIMAN TRUST COMPANY (CAYMAN) LIMITED AS TRUSTEE ON BEHALF OF THE PIMCO BERMUDA TRUST - PIMCO EURO TOTAL RETURN FUND</t>
  </si>
  <si>
    <t>PACIFIC INVESTMENT MANAGEMENT COMPANY LLC, SOLELY IN ITS CAPACITY AS ADVISOR ON BEHALF OF BROWN BROTHERS HARRIMAN TRUST COMPANY (CAYMAN) LIMITED AS TRUSTEE ON BEHALF OF THE PIMCO CAYMAN TRUST - PIMCO CAYMAN AUSTRALIAN CORPORATE FUND</t>
  </si>
  <si>
    <t>PACIFIC INVESTMENT MANAGEMENT COMPANY LLC, SOLELY IN ITS CAPACITY AS ADVISOR ON BEHALF OF BROWN BROTHERS HARRIMAN TRUST COMPANY (CAYMAN) LIMITED AS TRUSTEE ON BEHALF OF THE PIMCO CAYMAN TRUST - PIMCO CAYMAN GLOBAL HIGH INCOME FUND</t>
  </si>
  <si>
    <t>PACIFIC INVESTMENT MANAGEMENT COMPANY LLC, SOLELY IN ITS CAPACITY AS ADVISOR ON BEHALF OF BROWN BROTHERS HARRIMAN TRUST COMPANY (CAYMAN) LIMITED AS TRUSTEE ON BEHALF OF THE PIMCO CAYMAN TRUST - PIMCO CAYMAN AUSTRALIAN MULTI-SECTOR FUND</t>
  </si>
  <si>
    <t>PACIFIC INVESTMENT MANAGEMENT COMPANY LLC, SOLELY IN ITS CAPACITY AS ADVISOR ON BEHALF OF BROWN BROTHERS HARRIMAN TRUST COMPANY (CAYMAN) LIMITED AS TRUSTEE ON BEHALF OF THE PIMCO CAYMAN TRUST - PIMCO CAYMAN U.S. TOTAL RETURN FUND</t>
  </si>
  <si>
    <t>PACIFIC INVESTMENT MANAGEMENT COMPANY LLC, SOLELY IN ITS CAPACITY AS ADVISOR ON BEHALF OF BROWN BROTHERS HARRIMAN TRUST COMPANY (CAYMAN) LIMITED AS TRUSTEE ON BEHALF OF THE PIMCO CAYMAN TRUST - PIMCO CAYMAN GLOBAL EX-JAPAN BOND FUND</t>
  </si>
  <si>
    <t>PACIFIC INVESTMENT MANAGEMENT COMPANY LLC, SOLELY IN ITS CAPACITY AS ADVISOR ON BEHALF OF BROWN BROTHERS HARRIMAN TRUST COMPANY (CAYMAN) LIMITED AS TRUSTEE ON BEHALF OF THE PIMCO CAYMAN TRUST - PIMCO CAYMAN FOREIGN BOND FUND</t>
  </si>
  <si>
    <t>PACIFIC INVESTMENT MANAGEMENT COMPANY LLC, SOLELY IN ITS CAPACITY AS ADVISOR ON BEHALF OF BROWN BROTHERS HARRIMAN TRUST COMPANY (CAYMAN) LIMITED AS TRUSTEE ON BEHALF OF THE PIMCO CAYMAN TRUST - PIMCO CAYMAN GLOBAL AGGREGATE EX-JAPAN (YEN-HEDGED) INCOME FU</t>
  </si>
  <si>
    <t>PACIFIC INVESTMENT MANAGEMENT COMPANY LLC, SOLELY IN ITS CAPACITY AS ADVISOR ON BEHALF OF BROWN BROTHERS HARRIMAN TRUST COMPANY (CAYMAN) LIMITED AS TRUSTEE ON BEHALF OF THE PIMCO CAYMAN TRUST - PIMCO CAYMAN GLOBAL AGGREGATE EX-JAPAN BOND FUND (** THIS IS</t>
  </si>
  <si>
    <t>PACIFIC INVESTMENT MANAGEMENT COMPANY LLC, SOLELY IN ITS CAPACITY AS ADVISOR ON BEHALF OF BROWN BROTHERS HARRIMAN TRUST COMPANY (CAYMAN) LIMITED AS TRUSTEE ON BEHALF OF THE PIMCO CAYMAN TRUST - PIMCO CAYMAN GLOBAL AGGREGATE EX-JAPAN INCOME FUND</t>
  </si>
  <si>
    <t>PACIFIC INVESTMENT MANAGEMENT COMPANY LLC, SOLELY IN ITS CAPACITY AS ADVISOR ON BEHALF OF BROWN BROTHERS HARRIMAN TRUST COMPANY (CAYMAN) LIMITED AS TRUSTEE ON BEHALF OF THE PIMCO CAYMAN TRUST - PIMCO CAYMAN GOBAL EX-JAPAN (YEN-HEDGED) BOND FUND</t>
  </si>
  <si>
    <t>PACIFIC INVESTMENT MANAGEMENT COMPANY LLC, SOLELY IN ITS CAPACITY AS ADVISOR ON BEHALF OF BROWN BROTHERS HARRIMAN TRUST COMPANY (CAYMAN) LIMITED AS TRUSTEE ON BEHALF OF THE PIMCO CAYMAN TRUST - PIMCO CAYMAN GLOBAL HIGH INCOME (YEN-HEDGED) FUND</t>
  </si>
  <si>
    <t>PACIFIC INVESTMENT MANAGEMENT COMPANY LLC, SOLELY IN ITS CAPACITY AS ADVISOR ON BEHALF OF BROWN BROTHERS HARRIMAN TRUST COMPANY (CAYMAN) LIMITED AS TRUSTEE ON BEHALF OF THE PIMCO CAYMAN TRUST - PIMCO CAYMAN GLOBAL LIBOR PLUS (U.S. DOLLAR HEDGED) FUND</t>
  </si>
  <si>
    <t>PACIFIC INVESTMENT MANAGEMENT COMPANY LLC, SOLELY IN ITS CAPACITY AS ADVISOR ON BEHALF OF BROWN BROTHERS HARRIMAN TRUST COMPANY (CAYMAN) LIMITED AS TRUSTEE ON BEHALF OF THE PIMCO CAYMAN TRUST - PIMCO CAYMAN SHORT-TERM MORTGAGE FUND A</t>
  </si>
  <si>
    <t>PACIFIC INVESTMENT MANAGEMENT COMPANY LLC, SOLELY IN ITS CAPACITY AS ADVISOR ON BEHALF OF BROWN BROTHERS HARRIMAN TRUST COMPANY (CAYMAN) LIMITED AS TRUSTEE ON BEHALF OF THE PIMCO CAYMAN TRUST - PIMCO CAYMAN SHORT-TERM MORTGAGE FUND</t>
  </si>
  <si>
    <t>PACIFIC INVESTMENT MANAGEMENT COMPANY LLC, SOLELY IN ITS CAPACITY AS ADVISOR ON BEHALF OF PIMCO FUNDS: GLOBAL INVESTORS SERIES PLC COMMODITIESPLUS STRATEGY FUND</t>
  </si>
  <si>
    <t>PACIFIC INVESTMENT MANAGEMENT COMPANY LLC, SOLELY IN ITS CAPACITY AS ADVISOR ON BEHALF OF EQUITY TRUSTEES LIMITED AS RESPONSIBLE ENTITY FOR PIMCO AUSTRALIAN BOND FUND</t>
  </si>
  <si>
    <t>PACIFIC INVESTMENT MANAGEMENT COMPANY LLC, SOLELY IN ITS CAPACITY AS ADVISOR ON BEHALF OF KINGFISHER PENSION TRUSTEE LIMITED AS TRUSTEE OF THE KINGFISHER PENSION SCHEME</t>
  </si>
  <si>
    <t>PACIFIC INVESTMENT MANAGEMENT COMPANY LLC, SOLELY IN ITS CAPACITY AS ADVISOR ON BEHALF OF BROWN BROTHERS HARRIMAN TRUST COMPANY (CAYMAN) LIMITED AS TRUSTEE OF THE STELLAR PERFORMER GLOBAL SERIES</t>
  </si>
  <si>
    <t>PACIFIC INVESTMENT MANAGEMENT COMPANY LLC, SOLELY IN ITS CAPACITY AS ADVISOR ON BEHALF OF BROWN BROTHERS HARRIMAN TRUST COMPANY (CAYMAN) LIMITED AS TRUSTEE ON BEHALF OF THE PIMCO BERMUDA TRUST II - PIMCO BERMUDA U.S. HIGH YIELD MASTER FUND</t>
  </si>
  <si>
    <t>PACIFIC INVESTMENT MANAGEMENT COMPANY LLC, SOLELY IN ITS CAPACITY AS ADVISOR ON BEHALF OF  NATIONAL PENSION SERVICE AS TRUSTEE ON BEHALF OF THE NPC TRUST - FIXED INCOME 2</t>
  </si>
  <si>
    <t>PACIFIC INVESTMENT MANAGEMENT COMPANY LLC, SOLELY IN ITS CAPACITY AS ADVISOR ON BEHALF OF BROWN BROTHERS HARRIMAN TRUST COMPANY (CAYMAN) LIMITED AS TRUSTEE ON BEHALF OF THE PIMCO CAYMAN TRUST - PIMCO CAYMAN MORTGAGE FUND</t>
  </si>
  <si>
    <t>PACIFIC INVESTMENT MANAGEMENT COMPANY LLC, SOLELY IN ITS CAPACITY AS ADVISOR ON BEHALF OF BROWN BROTHERS HARRIMAN TRUST COMPANY (CAYMAN) LIMITED AS TRUSTEE ON BEHALF OF THE PIMCO CAYMAN TRUST - PIMCO CAYMAN GLOBAL AGGREGATE BOND FUND (**THIS IS A LEGAL NA</t>
  </si>
  <si>
    <t>PIMCO FUNDS: G4639</t>
  </si>
  <si>
    <t>PIMCO FUNDS E739</t>
  </si>
  <si>
    <t>PIMCO FUNDS - PIMCO EMERGING LOCAL BOND FUND</t>
  </si>
  <si>
    <t>PIMCO FUNDS GLOBAL INVESTORS SERIES PLC EMERGING LOCAL BOND FUND</t>
  </si>
  <si>
    <t>PACIFIC INVESTMENT MANAGEMENT COMPANY LLC, SOLELY IN ITS CAPACITY AS ADVISOR ON BEHALF OF PIMCO COMBINED ALPHA STRATEGIES MASTER FUND LDC</t>
  </si>
  <si>
    <t>PACIFIC INVESTMENT MANAGEMENT COMPANY LLC, SOLELY IN ITS CAPACITY AS ADVISOR ON BEHALF OFPIMCO COMBINED ALPHA STRATEGIES MASTER FUND LDC</t>
  </si>
  <si>
    <t>PACIFIC INVESTMENT MANAGEMENT COMPANY LLC, SOLELY IN ITS CAPACITY AS ADVISOR ON BEHALF OF  PIMCO FUNDS: PRIVATE ACCOUNT PORTFOLIO SERIES SHORT-TERM FLOATING NAV PORTFOLIO II</t>
  </si>
  <si>
    <t>PACIFIC INVESTMENT MANAGEMENT COMPANY LLC, SOLELY IN ITS CAPACITY AS ADVISOR ON BEHALF OF PIMCO INTERMEDIATE GOVERNMENT/CREDIT FUND</t>
  </si>
  <si>
    <t>PACIFIC INVESTMENT MANAGEMENT COMPANY LLC, SOLELY IN ITS CAPACITY AS ADVISOR ON BEHALF OF PIMCO FUNDS: GLOBAL INVESTORS SERIES PLC, EURIBORPLUS FUND</t>
  </si>
  <si>
    <t>FDP GLOBAL FIXED INCOME PORTFOLIO</t>
  </si>
  <si>
    <t>BLUEBAY FUNDS - POOL REINSURANCE COMPANY LIMITED</t>
  </si>
  <si>
    <t>PACIFIC INVESTMENT MANAGEMENT COMPANY LLC, SOLELY IN ITS CAPACITY AS ADVISOR ON BEHALF OF SKYLON GLOBAL YIELD FUND LIMITED - SERIES A UNITS</t>
  </si>
  <si>
    <t>THE MUNICIPAL EMPLOYEES PENSION FUND</t>
  </si>
  <si>
    <t>PACIFIC INVESTMENT MANAGEMENT COMPANY LLC, SOLELY IN ITS CAPACITY AS ADVISOR ON BEHALF OF UNILEVER SUPERANNUATION (IRELAND) TRUST LIMITED AS THE TRUSTEE OF THE UNILEVER SUPERANNUATION (IRELAND) FUND</t>
  </si>
  <si>
    <t>GRUPO CUPRUM SAPI DE CV</t>
  </si>
  <si>
    <t>PACIFIC INVESTMENT MANAGEMENT COMPANY LLC, SOLELY IN ITS CAPACITY AS ADVISOR ON BEHALF OF VOLUNTARY EMPLOYEES' BENEFICIARY ASSOCIATION OF THE NON-REPRESENTED EMPLOYEES OF SOUTHERN CALIFORNIA EDISON COMPANY</t>
  </si>
  <si>
    <t>PACIFIC INVESTMENT MANAGEMENT COMPANY LLC, SOLELY IN ITS CAPACITY AS ADVISOR ON BEHALF OF COMMONWEALTH BANK OFFICERS SUPERANNUATION CORPORATION PTY LIMITED AS TRUSTEE FOR OFFICERS SUPERANNUATION FUND</t>
  </si>
  <si>
    <t>PACIFIC INVESTMENT MANAGEMENT COMPANY LLC, SOLELY IN ITS CAPACITY AS ADVISOR ON BEHALF OF ROBUSTA GLOBAL CREDIT BOND FUND</t>
  </si>
  <si>
    <t>PACIFIC INVESTMENT MANAGEMENT COMPANY LLC, SOLELY IN ITS CAPACITY AS ADVISOR ON BEHALF OF PIMCO FUNDS: GLOBAL INVESTORS SERIES PLC, DIVERSIFIED INCOME FUND</t>
  </si>
  <si>
    <t>SIGNATURE ALUMINUM CANADA INC</t>
  </si>
  <si>
    <t>KHODY LAND AND MINERALS COMPANY</t>
  </si>
  <si>
    <t>BRANCH BANKING AND TRUST COMPANY</t>
  </si>
  <si>
    <t>TRUIST BANK</t>
  </si>
  <si>
    <t>TRUIST BANK CDEA</t>
  </si>
  <si>
    <t>TRUIST BANK ATLANTA</t>
  </si>
  <si>
    <t>FIRST NATL BK OF PENNSYLV CASH LETT</t>
  </si>
  <si>
    <t>FIRST NATIONAL BANK OF PENNSYLVANIA</t>
  </si>
  <si>
    <t>THE TARGET PORTFOLIO TURST - PRUDENTIAL CORE BOND PORTFOLIO</t>
  </si>
  <si>
    <t>PACIFIC INVESTMENT MANAGEMENT COMPANY LLC, SOLELY IN ITS CAPACITY AS ADVISOR ON BEHALF OF THE LOCAL GOVERNMENT PENSIONS INSTITUTION OF FINLAND</t>
  </si>
  <si>
    <t>PIMCO FIXED INCOME SOURCE ETFS PLC PIMCO EMERGING MARKETS ADVANTAGE LOCAL BOND INDEX SOURCE UCITS ETF</t>
  </si>
  <si>
    <t>PIMCO FUND: E4737</t>
  </si>
  <si>
    <t>BANCO J.P. MORGAN SA DIVISION FIDUCIARIA  FIDEICOMISO F/002</t>
  </si>
  <si>
    <t>BANCO JP MORGAN SA INSTITUCION DE BANCA MULTIPLE</t>
  </si>
  <si>
    <t>BANCO J.P. MORGAN SA INSTITUCION DE BANCA MULTIPLE</t>
  </si>
  <si>
    <t>BANCO JP MORGAN SA INSTITUCION DE BANCA MULTIPLE JP MORGAN GRUPO FINANCIERO</t>
  </si>
  <si>
    <t>THE PRUDENTIAL INSURANCE COMPANY OF AMERICA: SEPARATE ACCOUNT VCA-GI-3 LONG DURATION CORPORATE BOND ACCOUNT</t>
  </si>
  <si>
    <t>PACIFIC INVESTMENT MANAGEMENT COMPANY LLC, SOLELY IN ITS CAPACITY AS ADVISOR ON BEHALF OF METLIFE SEPARATE ACCOUNT NO. 346</t>
  </si>
  <si>
    <t>PACIFIC INVESTMENT MANAGEMENT COMPANY LLC, SOLELY IN ITS CAPACITY AS ADVISOR ON BEHALF OF PIMCO LARGE-CAP STOCKSPLUS TOTAL RETURN FUND</t>
  </si>
  <si>
    <t>PACIFIC INVESTMENT MANAGEMENT COMPANY LLC, SOLELY IN ITS CAPACITY AS ADVISOR ON BEHALF OF UBS PACE GOVERNMENT SECURITIES FIXED INCOME INVESTMENTS</t>
  </si>
  <si>
    <t>SI GROUP - INDIA LIMITED</t>
  </si>
  <si>
    <t>ORANGE AND ROCKLAND UTILITIES INC</t>
  </si>
  <si>
    <t>WEYERHAEUSER NR COMPANY</t>
  </si>
  <si>
    <t>EXTERRAN ENERGY SOLUTIONS LP</t>
  </si>
  <si>
    <t>NSW ELECTRICITY NETWORKS FINANCE PTY LTD</t>
  </si>
  <si>
    <t>MEADWESTVACO CANADA LP</t>
  </si>
  <si>
    <t>WRK LUXEMBOURG SARL</t>
  </si>
  <si>
    <t>WRK LUXEMBOURG S.A. R.L.</t>
  </si>
  <si>
    <t>CANADIAN PACIFIC RAILWAY COMPANY PENSION PLAN - SUB A/C A</t>
  </si>
  <si>
    <t>CANADIAN PACIFIC RAILWAY COMPANY PENSION PLAN - SUB A/C B</t>
  </si>
  <si>
    <t>CANADIAN PACIFIC RAILWAY COMPANY PENSION PLAN</t>
  </si>
  <si>
    <t>24833877 ONTARIO INC OA STOCKWELL SUPPLY</t>
  </si>
  <si>
    <t>BGC Brokers L.P.</t>
  </si>
  <si>
    <t>BGC BROKERS L P</t>
  </si>
  <si>
    <t>BRIARWOOD CAPITAL MANAGEMENT INC</t>
  </si>
  <si>
    <t>CARGILL FINANCIAL SERVICES EUROPE LTD</t>
  </si>
  <si>
    <t>SSQ LIFE INSURANCE COMPANY INC</t>
  </si>
  <si>
    <t>VOLKSWAGEN AG</t>
  </si>
  <si>
    <t>MOLSON COORS BEVERAGE COMPANY</t>
  </si>
  <si>
    <t>AMCOR FINANCE USA INC</t>
  </si>
  <si>
    <t>2018672 ONTARIO INC.</t>
  </si>
  <si>
    <t>ADELLA D. QUINTENZ REVOCABLE TRUST -TRUSTEE ADELLA QUINTEZ</t>
  </si>
  <si>
    <t>ANDRES GLUCK TRUST UAD 6/16/97</t>
  </si>
  <si>
    <t>ARMCAN SALES LIMITED</t>
  </si>
  <si>
    <t>AUDREY NEWMAN REVOC</t>
  </si>
  <si>
    <t>BESSEMER TRUST COMPANY</t>
  </si>
  <si>
    <t>BETTY GAYLE HALL</t>
  </si>
  <si>
    <t>BPV LC LINE</t>
  </si>
  <si>
    <t>CIMB THAI BANK PUBLIC CO. LTD.</t>
  </si>
  <si>
    <t>CITIGROUP GM IRA</t>
  </si>
  <si>
    <t>COMEX CLEARING MEMBERS</t>
  </si>
  <si>
    <t>DORIS DINSMORE</t>
  </si>
  <si>
    <t>DORMAN TRADING LLC</t>
  </si>
  <si>
    <t>ESTATE OF JEROME S. GORDON</t>
  </si>
  <si>
    <t>ESTATE OF LOUIS L. ANDERSON</t>
  </si>
  <si>
    <t>F.C. STONE &amp; COMPANY</t>
  </si>
  <si>
    <t>GREENLIGHT CAPITAL OFFSHORE LTD</t>
  </si>
  <si>
    <t>HAMILTON PAX INC.</t>
  </si>
  <si>
    <t>HERBERT &amp; MARLENE SINGER TRUSTEE(S)</t>
  </si>
  <si>
    <t>JEFFERIES BACHE, LLC</t>
  </si>
  <si>
    <t>SUN LIFE GRANITE BALANCED GROWTH PORTFOLIO</t>
  </si>
  <si>
    <t>SUN LIFE GRANITE CONSERVATIVE PORTFOLIO</t>
  </si>
  <si>
    <t>SUN LIFE GRANITE ENHANCED INCOME PORTFOLIO</t>
  </si>
  <si>
    <t>SUN LIFE GRANITE INCOME PORTFOLIO</t>
  </si>
  <si>
    <t>2480621 ONTARIO INC O/A NIELSENS FLY-IN LODGE</t>
  </si>
  <si>
    <t>VISION FINANCIAL MARKETS</t>
  </si>
  <si>
    <t>NORTH AMERICAN FOREIGN CORP.</t>
  </si>
  <si>
    <t>PETRA GLOBAL MERCHANT FUND, LP</t>
  </si>
  <si>
    <t>PTG DIVISION OF NEWEDGE USA, LLC</t>
  </si>
  <si>
    <t>MARSHALL &amp; MEYER, INC.</t>
  </si>
  <si>
    <t>MITSUI &amp; CO. (HK) LTD.</t>
  </si>
  <si>
    <t>MIZUHO DIVISION OF FC STONE, LLC</t>
  </si>
  <si>
    <t>R.T. ARMISTEAD MARITAL TRUST ONE</t>
  </si>
  <si>
    <t>ROBERT A ANDERSEN TRUST # 1</t>
  </si>
  <si>
    <t>SHELDON W HAYES LIVING TRUST</t>
  </si>
  <si>
    <t>BOCI GLOBAL COMMODITIES (UK) LTD</t>
  </si>
  <si>
    <t>TRADERIGHT LIMITED</t>
  </si>
  <si>
    <t>SUN LIFE GRANITE BALANCED PORTFOLIO</t>
  </si>
  <si>
    <t>GREENPOINT REALTY INC</t>
  </si>
  <si>
    <t>STRONACH CONSULTING CORP</t>
  </si>
  <si>
    <t>ABU DHABI BANK</t>
  </si>
  <si>
    <t>SIN HUA BANK L/C ACCOUNT</t>
  </si>
  <si>
    <t>1865646 ONTARIO INC</t>
  </si>
  <si>
    <t>PACIFIC INVESTMENT MANAGEMENT COMPANY LLC, SOLELY IN ITS CAPACITY AS ADVISOR ON BEHALF OF  NESTLE IN THE USA SAVINGS TRUST</t>
  </si>
  <si>
    <t>INTERNET MOVIL S DE RL DE CV</t>
  </si>
  <si>
    <t>1762852 ONTARIO INC</t>
  </si>
  <si>
    <t>FONDS DE SOLIDARITE DE LA FEDERATION DES TRAVAILLEURS DU QUEBEC</t>
  </si>
  <si>
    <t>GRAND BAHAMA POWER COMPANY</t>
  </si>
  <si>
    <t>CAVAN AGRI SERVICE LTD</t>
  </si>
  <si>
    <t>TORRE DIANA MANAGEMENT SC</t>
  </si>
  <si>
    <t>KATA SEAFOODS INC</t>
  </si>
  <si>
    <t>FIBRON INSULATIONS INC</t>
  </si>
  <si>
    <t>MSGN HOLDINGS L.P.</t>
  </si>
  <si>
    <t>LOBB HENG PTE LTD</t>
  </si>
  <si>
    <t>ENDURANCE RE OF AMERICA</t>
  </si>
  <si>
    <t>VIESGO HOLDCO SA</t>
  </si>
  <si>
    <t>CANSO CREDIT INCOME FUND</t>
  </si>
  <si>
    <t>DAREDON ASSETS LIMITED</t>
  </si>
  <si>
    <t>CANSO CREDIT OPPORTUNITIES FUND</t>
  </si>
  <si>
    <t>716051 ONTARIO LIMITED</t>
  </si>
  <si>
    <t>CANSO P-40 FUND</t>
  </si>
  <si>
    <t>911 SUPPLY AND ADVENTURE GEAR INC</t>
  </si>
  <si>
    <t>RAL CANADA ACQUISITION ULC</t>
  </si>
  <si>
    <t>TRINITY INDUSTRIES INC</t>
  </si>
  <si>
    <t>OCEANA GOLD PTY LTD</t>
  </si>
  <si>
    <t>OCEANA GOLD LIMITED</t>
  </si>
  <si>
    <t>LIBERTY STREET FUNDING - FORD CREDIT AUTO LEASE TRUST 2015 - CLF3</t>
  </si>
  <si>
    <t>GRT JEWELLERS LLC</t>
  </si>
  <si>
    <t>DISTRIBUIDORA DE LACTEOS ALGIL SA DE CV</t>
  </si>
  <si>
    <t>DERIVADOS DE LECHE LA ESMERALDA SA DE CV</t>
  </si>
  <si>
    <t>ALGERMAN INMOBILIARIA SA DE CV</t>
  </si>
  <si>
    <t>OBRIEN AND FUERST LOGGING LTD</t>
  </si>
  <si>
    <t>DUCORAGRO, S.A. DE C.V.</t>
  </si>
  <si>
    <t>KING AND ALBERT DEVELOPMENT LIMITED</t>
  </si>
  <si>
    <t>GERDAU METALDOM S A</t>
  </si>
  <si>
    <t>RK MINE FINANCE MASTER FUND I LIMITED</t>
  </si>
  <si>
    <t>PAUL BOUDREAU SEAFOOD LTD</t>
  </si>
  <si>
    <t>CENTRAL BANK OF CYPRUS</t>
  </si>
  <si>
    <t>SIEFORE INVERCAP BASICA DE PENSIONES SA D ECV</t>
  </si>
  <si>
    <t>ENGIE ENERGIA PERU SA</t>
  </si>
  <si>
    <t>ENERGIA DEL SUR SA</t>
  </si>
  <si>
    <t>PETRO CANADA EUROPE LUBRICANTS LIMITED</t>
  </si>
  <si>
    <t>CHIMET SPA</t>
  </si>
  <si>
    <t>CHIMET S.P.A.</t>
  </si>
  <si>
    <t>LAS VEGAS SANDS GROUP</t>
  </si>
  <si>
    <t>VENETIAN VENTURE DEVELOPMENT INTERMEIATE II</t>
  </si>
  <si>
    <t>COMPA¿IA COMERCIAL CIMACO SA DE CV</t>
  </si>
  <si>
    <t>COMPANIA COMERCIAL CIMACO SA DE CV</t>
  </si>
  <si>
    <t>EPC MULTIFAMILY PARTNERS III SAPI DE CV</t>
  </si>
  <si>
    <t>JIAFENG CHINA DEVELOPMENT LIMITED</t>
  </si>
  <si>
    <t>MANTOS COPPER S.A.</t>
  </si>
  <si>
    <t>P AND C SIMPSON INC</t>
  </si>
  <si>
    <t>Velocity Trade International Limited</t>
  </si>
  <si>
    <t>VELOCITY TRADE INTERNATIONAL LTD</t>
  </si>
  <si>
    <t>SIMON FRASER STUDENT SOCIETY</t>
  </si>
  <si>
    <t>INMOBILIARIA SBLAN SA DE CV</t>
  </si>
  <si>
    <t>REPUBLIC METALS CORPORATION</t>
  </si>
  <si>
    <t>VOORTMAN COOKIES LIMITED</t>
  </si>
  <si>
    <t>1774900 ALBERTA LTD</t>
  </si>
  <si>
    <t>BP TRADING IMPORTACAO EXPORTACAO E COMERCIO DE METAIS S.A.</t>
  </si>
  <si>
    <t>HERITAGE CAPITAL CORPORATION</t>
  </si>
  <si>
    <t>HERITAGE CAPITAL CORPORATION (MLC test 2)</t>
  </si>
  <si>
    <t>DOW EUROPE GMBH</t>
  </si>
  <si>
    <t>DOW AGROSCIENCES SWITZERLAND S.A.</t>
  </si>
  <si>
    <t>HECLA GREENS CREEK MINING COMPANY</t>
  </si>
  <si>
    <t>LUNDIN NORWAY AS</t>
  </si>
  <si>
    <t>ONNET FIBRA COLOMBIA S.A.S.B</t>
  </si>
  <si>
    <t>THE WESTERN UNION COMPANY GROUP</t>
  </si>
  <si>
    <t>GALBER SA.DE.C.V</t>
  </si>
  <si>
    <t>GALBER SA DE CV</t>
  </si>
  <si>
    <t>PONDS AUTO 2002 LTD</t>
  </si>
  <si>
    <t>MONTEJO 333 SA DE CV</t>
  </si>
  <si>
    <t>RBC PRIVATE U S LARGE CAP EQUI POOL</t>
  </si>
  <si>
    <t>RBC PRIVATE U.S. LARGE-CAP CORE EQUITY POOL</t>
  </si>
  <si>
    <t>EAGLE ENERGY INC</t>
  </si>
  <si>
    <t>NEXEN ENERGY ULC</t>
  </si>
  <si>
    <t>JNA FARMS LTD</t>
  </si>
  <si>
    <t>UTILIZACION VEHICULAR AL MAXIMO SA DE CV</t>
  </si>
  <si>
    <t>ALBUM TRADING COMPANY LIMITED</t>
  </si>
  <si>
    <t>CHEM TEC WEST ENTERPRISES LTD</t>
  </si>
  <si>
    <t>ICE TRADE VAULT LLC</t>
  </si>
  <si>
    <t>ICE TRADE VAULT EUROPE LTD</t>
  </si>
  <si>
    <t>MAJURE DESARROLLOS SA DE CV</t>
  </si>
  <si>
    <t>FREXPORT SA DE CV</t>
  </si>
  <si>
    <t>LAMINAS PLASTICAS Y COMPLEMENTOS,S.A. DE C.V.</t>
  </si>
  <si>
    <t>NEXT VEGETALES SA DE CV</t>
  </si>
  <si>
    <t>DIGITAL GOUGH LLC</t>
  </si>
  <si>
    <t>EL GALLITO DE TOLUCA SA DE CV</t>
  </si>
  <si>
    <t>FOUR SEASONS HOTELS LIMITED</t>
  </si>
  <si>
    <t>VANCOUVER FOUR SEASONS HOTEL LP</t>
  </si>
  <si>
    <t>Citibank, National Association - London branch</t>
  </si>
  <si>
    <t>CITIBANK NA LONDON BRANCH</t>
  </si>
  <si>
    <t>CITIBANK N.A, LONDON BRANCH</t>
  </si>
  <si>
    <t>CITIBANK LONDON</t>
  </si>
  <si>
    <t>CITIBANK, NATIONAL ASSOCIATION- LONDON BRANCH</t>
  </si>
  <si>
    <t>CITIBANK NA LONDON</t>
  </si>
  <si>
    <t>NICKLESON MACHINE AND TOOL INC</t>
  </si>
  <si>
    <t>EURO TILE &amp; STONE INC.</t>
  </si>
  <si>
    <t>ZACON LIMITED</t>
  </si>
  <si>
    <t>RELIANT MANUFACTURING SOLUTIONS INC.</t>
  </si>
  <si>
    <t>JOSEPH AND WOLF LEBOVIC JEWISH COMMUNITY CAMPUS</t>
  </si>
  <si>
    <t>DEPFA BANK PLC DUBLIN</t>
  </si>
  <si>
    <t>DEPFA BANK PLC NEW YORK</t>
  </si>
  <si>
    <t>ISLAND TIMBERLANDS LIMITED PARTNERSHIP</t>
  </si>
  <si>
    <t>GLENCORE CANADA CORPORATION</t>
  </si>
  <si>
    <t>NORANDA INC</t>
  </si>
  <si>
    <t>NEWMONT AUSTRALIA LIMITED</t>
  </si>
  <si>
    <t>CRUX HOLDINGS CORPORATION</t>
  </si>
  <si>
    <t>CARSCALLEN LLP</t>
  </si>
  <si>
    <t>RUBEN GARZA GONZALEZ</t>
  </si>
  <si>
    <t>DAVID ELIUD GONZALEZ HARO</t>
  </si>
  <si>
    <t>FEDERATED CASH LLC</t>
  </si>
  <si>
    <t>GUILDFORD TOWNGATE INVESTMENT LTD</t>
  </si>
  <si>
    <t>BANCO ACTINVER</t>
  </si>
  <si>
    <t>BANCO ACTINVER, S.A., INSTITUCI¿N DE BANCA M¿LTIPLE, GRUPO FINANCIERO ACTINVER, FIDUCIARIA</t>
  </si>
  <si>
    <t>BNS 68346 TAUNTON AND WESTNEY</t>
  </si>
  <si>
    <t>BANCO ACTINVER S.A. INSTITUCION DE BANCA MULTIPLE</t>
  </si>
  <si>
    <t>BANCO ACTINVER, S.A. INSTITUCION DE BANCA MULTIPLE, GRUPO FINANCIERO ACTINVER, DIVISION FIDUCIARIA, NOT IN ITS INDIVIDUAL CAPACITY BUT SOLELY ACTING AS TRUSTEE OF CONTRATO DE FIDEICOMISO IRREVOCABLE NO. 1721</t>
  </si>
  <si>
    <t>CRH MEDICAL CORPORATION</t>
  </si>
  <si>
    <t>MIDDLETON ENERGY MANAGEMENT LTD</t>
  </si>
  <si>
    <t>RIVERSIDE DAIRY LIMITED PARTNERSHIP</t>
  </si>
  <si>
    <t>TIAMAT HOLDINGS CORPORATION</t>
  </si>
  <si>
    <t>GRAN TIERRA ENERGY INTERNATIONAL HOLDINGS LTD</t>
  </si>
  <si>
    <t>GRAN TIERRA ENERGY INTL HOLDING LTD</t>
  </si>
  <si>
    <t>GRAN TIERRA ENERGY INTERNATIONAL HOLDINGS LTD.</t>
  </si>
  <si>
    <t>ADVANCED CERAMICS CORP</t>
  </si>
  <si>
    <t>SHEEHAN EQUIPMENT CO LTD</t>
  </si>
  <si>
    <t>PELIKAN MEXICO SA DE CV</t>
  </si>
  <si>
    <t>PARSONS CORPORATION</t>
  </si>
  <si>
    <t>GANADERA RUBIOS SPR DE RL DE CV</t>
  </si>
  <si>
    <t>GANADERA RUBIO'S S P R DE R L DE C V</t>
  </si>
  <si>
    <t>EDGEWATER MARKETS LLC</t>
  </si>
  <si>
    <t>7799870 CANADA INC TA STRIDER APPAREL</t>
  </si>
  <si>
    <t>WESTJET, AN ALBERTA PARTNERSHIP</t>
  </si>
  <si>
    <t>VANTAGE PROTECTED PERFORMANCE FUND</t>
  </si>
  <si>
    <t>CARLO KIER SC</t>
  </si>
  <si>
    <t>ZEVEST DEVELOPMENT CORPORATION</t>
  </si>
  <si>
    <t>TEEKAY TANKERS LTD</t>
  </si>
  <si>
    <t>953568 ONTARIO INC AND ZEVEST DEVELOPMENT CORPORATION</t>
  </si>
  <si>
    <t>TRANSED PARTNERS GENERAL PARTNERSHIP</t>
  </si>
  <si>
    <t>INTERNACIONAL QUIMICA DE COBRE SA DE CV</t>
  </si>
  <si>
    <t>COASTAL ENTERPRISES LTD</t>
  </si>
  <si>
    <t>SUPERIOR NUT PRODUCTS LTD OA KARAN FASTENERS</t>
  </si>
  <si>
    <t>DOWA HIGHTECH CO LTD</t>
  </si>
  <si>
    <t>GLEN EAGLE RESOURCES INC</t>
  </si>
  <si>
    <t>MORIEN RESOURCES CORP</t>
  </si>
  <si>
    <t>HYDRA SLIDE LTD</t>
  </si>
  <si>
    <t>INTERCITY WATCH CANADA INC</t>
  </si>
  <si>
    <t>2317274 ONTARIO INC</t>
  </si>
  <si>
    <t>THE NORTHERN TRUST COMPANY CANADA</t>
  </si>
  <si>
    <t>PATRIMONIO EN FIDEICOMISO HUNT OIL COMPANY OF PERU LLC</t>
  </si>
  <si>
    <t>HUNAN YUTENG NONFERROUS METALS CO LTD</t>
  </si>
  <si>
    <t>CONCORD METAL MANUFACTURING INC</t>
  </si>
  <si>
    <t>QUALITY WIRE PRODUCTS MFG INC</t>
  </si>
  <si>
    <t>HER MAJESTY THE QUEEN IN RIGHT OF ALBERTA DZEO</t>
  </si>
  <si>
    <t>HER MAJESTY THE QUEEN IN RIGHT OF ALBERTA DZEN</t>
  </si>
  <si>
    <t>HER MAJESTY THE QUEEN IN RIGHT OF ALBERTA DZED</t>
  </si>
  <si>
    <t>HER MAJESTY THE QUEEN IN RIGHT OF ALBERTA SD29</t>
  </si>
  <si>
    <t>HER MAJESTY THE QUEEN IN RIGHT OF ALBERTA SD61</t>
  </si>
  <si>
    <t>HER MAJESTY THE QUEEN IN RIGHT OF ALBERTA BY ITS EXPRESSLY AUTHORIZED AGENT,     ALBERTA CAPITAL FINANCE AUTHORITY</t>
  </si>
  <si>
    <t>HER MAJESTY THE QUEEN IN RIGHT OF ALBERTA SD2A</t>
  </si>
  <si>
    <t>HER MAJESTY THE QUEEN IN RIGHT OF ALBERTA SD4J</t>
  </si>
  <si>
    <t>HER MAJESTY THE QUEEN IN RIGHT OF ALBERTA SD58</t>
  </si>
  <si>
    <t>HER MAJESTY THE QUEEN IN RIGHT OF ALBERTA SD2J</t>
  </si>
  <si>
    <t>HER MAJESTY THE QUEEN IN RIGHT OF ALBERTA SD1Z</t>
  </si>
  <si>
    <t>HER MAJESTY THE QUEEN IN RIGHT OF ALBERTA SD4Z</t>
  </si>
  <si>
    <t>HER MAJESTY THE QUEEN IN RIGHT OF ALBERTA DZF3</t>
  </si>
  <si>
    <t>HER MAJESTY THE QUEEN IN RIGHT OF ALBERTA DZF6</t>
  </si>
  <si>
    <t>HER MAJESTY THE QUEEN IN RIGHT OF ALBERTA PIP6GV</t>
  </si>
  <si>
    <t>HER MAJESTY THE QUEEN IN RIGHT OF ALBERTA PIP6PX</t>
  </si>
  <si>
    <t>HER MAJESTY THE QUEEN IN RIGHT OF ALBERTA SD56</t>
  </si>
  <si>
    <t>HER MAJESTY THE QUEEN IN RIGHT OF ALBERTA SD4Y</t>
  </si>
  <si>
    <t>HER MAJESTY THE QUEEN IN RIGHT OF ALBERTA SD8B</t>
  </si>
  <si>
    <t>ALBERTA INVESTMENT MANAGEMENT CORPORATION (AIMCo) SD1S</t>
  </si>
  <si>
    <t>HER MAJESTY THE QUEEN IN RIGHT OF ALBERTA SDFY</t>
  </si>
  <si>
    <t>HER MAJESTY THE QUEEN IN RIGHT OF ALBERTA SD3N</t>
  </si>
  <si>
    <t>HER MAJESTY THE QUEEN IN RIGHT OF ALBERTA SD52</t>
  </si>
  <si>
    <t>HER MAJESTY THE QUEEN IN RIGHT OF ALBERTA SD4F</t>
  </si>
  <si>
    <t>HER MAJESTY THE QUEEN IN RIGHT OF ALBERTA SD1W</t>
  </si>
  <si>
    <t>HER MAJESTY THE QUEEN IN RIGHT OF ALBERTA SD3B</t>
  </si>
  <si>
    <t>HER MAJESTY THE QUEEN IN RIGHT OF ALBERTA SD1M</t>
  </si>
  <si>
    <t>HER MAJESTY THE QUEEN IN RIGHT OF ALBERTA SD1X</t>
  </si>
  <si>
    <t>HER MAJESTY THE QUEEN IN RIGHT OF ALBERTA SD36</t>
  </si>
  <si>
    <t>HER MAJESTY THE QUEEN IN RIGHT OF ALBERTA SD5W</t>
  </si>
  <si>
    <t>HER MAJESTY THE QUEEN IN RIGHT OF ALBERTA SD1F</t>
  </si>
  <si>
    <t>HER MAJESTY THE QUEEN IN RIGHT OF ALBERTA SD25</t>
  </si>
  <si>
    <t>HER MAJESTY THE QUEEN IN RIGHT OF ALBERTA SD17</t>
  </si>
  <si>
    <t>HER MAJESTY THE QUEEN IN RIGHT OF ALBERTA SD19</t>
  </si>
  <si>
    <t>HER MAJESTY THE QUEEN IN RIGHT OF ALBERTA SD3J</t>
  </si>
  <si>
    <t>HER MAJESTY THE QUEEN IN RIGHT OF ALBERTA SD2Z</t>
  </si>
  <si>
    <t>HER MAJESTY THE QUEEN IN RIGHT OF ALBERTA SD22</t>
  </si>
  <si>
    <t>HER MAJESTY THE QUEEN IN RIGHT OF ALBERTA SDFX</t>
  </si>
  <si>
    <t>HER MAJESTY THE QUEEN IN RIGHT OF ALBERTA SD4A</t>
  </si>
  <si>
    <t>HER MAJESTY THE QUEEN IN RIGHT OF ALBERTA SD03</t>
  </si>
  <si>
    <t>HER MAJESTY THE QUEEN IN RIGHT OF ALBERTA SD2P</t>
  </si>
  <si>
    <t>HER MAJESTY THE QUEEN IN RIGHT OF ALBERTA SD2Q</t>
  </si>
  <si>
    <t>HER MAJESTY THE QUEEN IN RIGHT OF ALBERTA SD66</t>
  </si>
  <si>
    <t>HER MAJESTY THE QUEEN IN RIGHT OF ALBERTA SD60</t>
  </si>
  <si>
    <t>HER MAJESTY THE QUEEN IN RIGHT OF ALBERTA SD8F</t>
  </si>
  <si>
    <t>HER MAJESTY THE QUEEN IN RIGHT OF ALBERTA SD2I</t>
  </si>
  <si>
    <t>HER MAJESTY THE QUEEN IN RIGHT OF ALBERTA SD8M</t>
  </si>
  <si>
    <t>HER MAJESTY THE QUEEN IN RIGHT OF ALBERTA SD3Y</t>
  </si>
  <si>
    <t>HER MAJESTY THE QUEEN IN RIGHT OF ALBERTA SD4X</t>
  </si>
  <si>
    <t>HER MAJESTY THE QUEEN IN RIGHT OF ALBERTA SD1B</t>
  </si>
  <si>
    <t>HER MAJESTY THE QUEEN IN RIGHT OF ALBERTA SD2M</t>
  </si>
  <si>
    <t>HER MAJESTY THE QUEEN IN RIGHT OF ALBERTA SD78</t>
  </si>
  <si>
    <t>ALBERTA INVESTMENT MANAGEMENT CORPORATION (AIMCo) SD2D</t>
  </si>
  <si>
    <t>ALBERTA INVESTMENT MANAGEMENT CORPORATION (AIMCo) SD2E</t>
  </si>
  <si>
    <t>HER MAJESTY THE QUEEN IN RIGHT OF ALBERTA SD2V</t>
  </si>
  <si>
    <t>HER MAJESTY THE QUEEN IN RIGHT OF ALBERTA SD2W</t>
  </si>
  <si>
    <t>HER MAJESTY THE QUEEN IN RIGHT OF ALBERTA SDZM</t>
  </si>
  <si>
    <t>HER MAJESTY THE QUEEN IN RIGHT OF ALBERTA SDZN</t>
  </si>
  <si>
    <t>HER MAJESTY THE QUEEN IN RIGHT OF ALBERTA SD9M</t>
  </si>
  <si>
    <t>HER MAJESTY THE QUEEN IN RIGHT OF ALBERTA SD23</t>
  </si>
  <si>
    <t>HER MAJESTY THE QUEEN IN RIGHT OF ALBERTA GLEDS</t>
  </si>
  <si>
    <t>HER MAJESTY THE QUEEN IN RIGHT OF ALBERTA DZES</t>
  </si>
  <si>
    <t>PROVINCE OF ALBERTA</t>
  </si>
  <si>
    <t>HER MAJESTY THE QUEEN IN RIGHT OF ALBERTA DZFA</t>
  </si>
  <si>
    <t>HER MAJESTY THE QUEEN IN RIGHT OF ALBERTA DZF4</t>
  </si>
  <si>
    <t>HER MAJESTY THE QUEEN IN RIGHT OF ALBERTA DZFB</t>
  </si>
  <si>
    <t>HER MAJESTY THE QUEEN IN RIGHT OF ALBERTA DZEW</t>
  </si>
  <si>
    <t>HER MAJESTY THE QUEEN IN RIGHT OF ALBERTA DZEF</t>
  </si>
  <si>
    <t>HRM THE QUEEN IN RIGHT OF AB VRVS</t>
  </si>
  <si>
    <t>HER MAJESTY THE QUEEN IN RIGHT OF ALBERTA DZER</t>
  </si>
  <si>
    <t>HER MAJESTY THE QUEEN IN RIGHT OF ALBERTA DZEZ</t>
  </si>
  <si>
    <t>HER MAJESTY THE QUEEN IN RIGHT OF ALBERTA DZFN</t>
  </si>
  <si>
    <t>HER MAJESTY THE QUEEN IN RIGHT OF ALBERTA DZFO</t>
  </si>
  <si>
    <t>HER MAJESTY THE QUEEN IN RIGHT OF ALBERTA DZFR</t>
  </si>
  <si>
    <t>HER MAJESTY THE QUEEN IN RIGHT OF ALBERTA DZFW</t>
  </si>
  <si>
    <t>HRM THE QUEEN IN RIGHT OF AB DZFZ</t>
  </si>
  <si>
    <t>HER MAJESTY THE QUEEN IN RIGHT OF ALBERTA DZG4</t>
  </si>
  <si>
    <t>HER MAJESTY THE QUEEN IN RIGHT OF ALBERTA DZG7</t>
  </si>
  <si>
    <t>HER MAJESTY THE QUEEN IN RIGHT OF ALBERTA DZGS</t>
  </si>
  <si>
    <t>HER MAJESTY THE QUEEN IN RIGHT OF ALBERTA DZGU</t>
  </si>
  <si>
    <t>HER MAJESTY THE QUEEN IN RIGHT OF ALBERTA DZGV</t>
  </si>
  <si>
    <t>HER MAJESTY THE QUEEN IN RIGHT OF ALBERTA DZGZ</t>
  </si>
  <si>
    <t>HER MAJESTY THE QUEEN IN RIGHT OF ALBERTA DZIH</t>
  </si>
  <si>
    <t>HER MAJESTY THE QUEEN IN RIGHT OF ALBERTA HMPA</t>
  </si>
  <si>
    <t>HER MAJESTY THE QUEEN IN RIGHT OF ALBERTA SD2R</t>
  </si>
  <si>
    <t>HER MAJESTY THE QUEEN IN RIGHT OF ALBERTA SD3L</t>
  </si>
  <si>
    <t>HER MAJESTY THE QUEEN IN RIGHT OF ALBERTA SD3X</t>
  </si>
  <si>
    <t>HER MAJESTY THE QUEEN IN RIGHT OF ALBERTA SD8L</t>
  </si>
  <si>
    <t>HER MAJESTY THE QUEEN IN RIGHT OF ALBERTA SD9X</t>
  </si>
  <si>
    <t>HER MAJESTY THE QUEEN IN RIGHT OF ALBERTA 038CDM354</t>
  </si>
  <si>
    <t>HER MAJESTY THE QUEEN IN RIGHT OF ALBERTA SDT7</t>
  </si>
  <si>
    <t>HER MAJESTY THE QUEEN IN RIGHT OF ALBERTA SD92</t>
  </si>
  <si>
    <t>HER MAJESTY THE QUEEN IN RIGHT OF ALBERTA DZF2</t>
  </si>
  <si>
    <t>HER MAJESTY THE QUEEN IN RIGHT OF ALBERTA DZG2</t>
  </si>
  <si>
    <t>HER MAJESTY THE QUEEN IN RIGHT OF ALBERTA SDT9</t>
  </si>
  <si>
    <t>HER MAJESTY THE QUEEN IN RIGHT OF ALBERTA DZJL</t>
  </si>
  <si>
    <t>HER MAJESTY THE QUEEN IN RIGHT OF ALBERTA DZGC</t>
  </si>
  <si>
    <t>HER MAJESTY THE QUEEN IN RIGHT OF ALBERTA DZF8</t>
  </si>
  <si>
    <t>HER MAJESTY THE QUEEN IN RIGHT OF ALBERTA SD45</t>
  </si>
  <si>
    <t>HER MAJESTY THE QUEEN IN RIGHT OF ALBERTA SD44</t>
  </si>
  <si>
    <t>HER MAJESTY THE QUEEN IN RIGHT OF ALBERTA SD3Z</t>
  </si>
  <si>
    <t>HER MAJESTY THE QUEEN IN RIGHT OF ALBERTA SD74</t>
  </si>
  <si>
    <t>HER MAJESTY THE QUEEN IN RIGHT OF ALBERTA SD50</t>
  </si>
  <si>
    <t>HER MAJESTY THE QUEEN IN RIGHT OF ALBERTA SD9N</t>
  </si>
  <si>
    <t>HER MAJESTY THE QUEEN IN RIGHT OF ALBERTA SD2S</t>
  </si>
  <si>
    <t>HER MAJESTY THE QUEEN IN RIGHT OF ALBERTA SD3R</t>
  </si>
  <si>
    <t>HER MAJESTY THE QUEEN IN RIGHT OF ALBERTA SD3Q</t>
  </si>
  <si>
    <t>HER MAJESTY THE QUEEN IN RIGHT OF ALBERTA SD83</t>
  </si>
  <si>
    <t>HER MAJESTY THE QUEEN IN RIGHT OF ALBERTA SD4R</t>
  </si>
  <si>
    <t>HER MAJESTY THE QUEEN IN RIGHT OF ALBERTA SD3V</t>
  </si>
  <si>
    <t>HER MAJESTY THE QUEEN IN RIGHT OF ALBERTA SD4S</t>
  </si>
  <si>
    <t>HER MAJESTY THE QUEEN IN RIGHT OF ALBERTA SD4V</t>
  </si>
  <si>
    <t>HER MAJESTY THE QUEEN IN RIGHT OF ALBERTA SD51</t>
  </si>
  <si>
    <t>HER MAJESTY THE QUEEN IN RIGHT OF ALBERTA SD1H</t>
  </si>
  <si>
    <t>HER MAJESTY THE QUEEN IN RIGHT OF ALBERTA SD3W</t>
  </si>
  <si>
    <t>HER MAJESTY THE QUEEN IN RIGHT OF ALBERTA PDLFX</t>
  </si>
  <si>
    <t>HER MAJESTY THE QUEEN IN RIGHT OF ALBERTA SDGN</t>
  </si>
  <si>
    <t>HRM THE QUEEN IN RIGHT OF AB SDWD</t>
  </si>
  <si>
    <t>HER MAJESTY THE QUEEN IN RIGHT OF ALBERTA SDZG</t>
  </si>
  <si>
    <t>HER MAJESTY THE QUEEN IN RIGHT OF ALBERTA SD4D</t>
  </si>
  <si>
    <t>HER MAJESTY THE QUEEN IN RIGHT OF ALBERTA SD4G</t>
  </si>
  <si>
    <t>HER MAJESTY THE QUEEN IN RIGHT OF ALBERTA SD4H</t>
  </si>
  <si>
    <t>HER MAJESTY THE QUEEN IN RIGHT OF ALBERTA SD4I</t>
  </si>
  <si>
    <t>ALBERTA INVESTMENT MANAGEMENT CORPORATION (AIMCo) SD1U</t>
  </si>
  <si>
    <t>HER MAJESTY THE QUEEN IN RIGHT OF ALBERTA SD1Y</t>
  </si>
  <si>
    <t>HER MAJESTY THE QUEEN IN RIGHT OF ALBERTA SD21</t>
  </si>
  <si>
    <t>HER MAJESTY THE QUEEN IN RIGHT OF ALBERTA SD2B</t>
  </si>
  <si>
    <t>HER MAJESTY THE QUEEN IN RIGHT OF ALBERTA SD2L</t>
  </si>
  <si>
    <t>HER MAJESTY THE QUEEN IN RIGHT OF ALBERTA SD2U</t>
  </si>
  <si>
    <t>HER MAJESTY THE QUEEN IN RIGHT OF ALBERTA SD4L</t>
  </si>
  <si>
    <t>HER MAJESTY THE QUEEN IN RIGHT OF ALBERTA SD4Q</t>
  </si>
  <si>
    <t>HER MAJESTY THE QUEEN IN RIGHT OF ALBERTA SD4U</t>
  </si>
  <si>
    <t>HER MAJESTY THE QUEEN IN RIGHT OF ALBERTA SD4W</t>
  </si>
  <si>
    <t>HER MAJESTY THE QUEEN IN RIGHT OF ALBERTA SD7B</t>
  </si>
  <si>
    <t>HER MAJESTY THE QUEEN IN RIGHT OF ALBERTA SD91</t>
  </si>
  <si>
    <t>HER MAJESTY THE QUEEN IN RIGHT OF ALBERTA SD9A</t>
  </si>
  <si>
    <t>HER MAJESTY THE QUEEN IN RIGHT OF ALBERTA SD9B</t>
  </si>
  <si>
    <t>HER MAJESTY THE QUEEN IN RIGHT OF ALBERTA SDES</t>
  </si>
  <si>
    <t>HER MAJESTY THE QUEEN IN RIGHT OF ALBERTA SD2Y</t>
  </si>
  <si>
    <t>HER MAJESTY THE QUEEN IN RIGHT OF ALBERTA SD3A</t>
  </si>
  <si>
    <t>HER MAJESTY THE QUEEN IN RIGHT OF ALBERTA SD3P</t>
  </si>
  <si>
    <t>HER MAJESTY THE QUEEN IN RIGHT OF ALBERTA SD3S</t>
  </si>
  <si>
    <t>HER MAJESTY THE QUEEN IN RIGHT OF ALBERTA SD04</t>
  </si>
  <si>
    <t>HER MAJESTY THE QUEEN IN RIGHT OF ALBERTA DZCE</t>
  </si>
  <si>
    <t>HER MAJESTY THE QUEEN IN RIGHT OF ALBERTA DZEQ</t>
  </si>
  <si>
    <t>HER MAJESTY THE QUEEN IN RIGHT OF ALBERTA DZEU</t>
  </si>
  <si>
    <t>HER MAJESTY THE QUEEN IN RIGHT OF ALBERTA DZEV</t>
  </si>
  <si>
    <t>HER MAJESTY THE QUEEN IN RIGHT OF ALBERTA DZF5</t>
  </si>
  <si>
    <t>HER MAJESTY THE QUEEN IN RIGHT PF ALBERTA DZF7</t>
  </si>
  <si>
    <t>HER THE MAJESTY QUEEN IN RIGHT OF ALBERTA DZFY</t>
  </si>
  <si>
    <t>HER MAJESTY THE QUEEN IN RIGHT OF ALBERTA DZG1</t>
  </si>
  <si>
    <t>HER MAJESTY THE QUEEN IN RIGHT OF ALBERTA DZGR</t>
  </si>
  <si>
    <t>HER MAJESTY THE QUEEN IN RIGHT OF ALBERTA DZGY</t>
  </si>
  <si>
    <t>HER MAJESTY THE QUEEN IN RIGHT OF ALBERTA DZIB</t>
  </si>
  <si>
    <t>HER MAJESTY THE QUEEN IN RIGHT OF ALBERTA DZID</t>
  </si>
  <si>
    <t>HER MAJESTY THE QUEEN IN RIGHT OF ALBERTA DZIG</t>
  </si>
  <si>
    <t>HER MAJESTY THE QUEEN IN RIGHT OF ALBERTA HMPE</t>
  </si>
  <si>
    <t>PROVINCE OF ALBERTA CSA</t>
  </si>
  <si>
    <t>HER MAJESTY THE QUEEN IN RIGHT OF ALBERTA SDGY</t>
  </si>
  <si>
    <t>HER MAJESTY THE QUEEN IN RIGHT OF ALBERTA SDG7</t>
  </si>
  <si>
    <t>HER MAJESTY THE QUEEN IN RIGHT OF ALBERTA PREF</t>
  </si>
  <si>
    <t>HER MAJESTY THE QUEEN IN RIGHT OF ALBERTA FILCRBC</t>
  </si>
  <si>
    <t>HER MAJESTY THE QUEEN IN RIGHT OF ALBERTA SLICERBC</t>
  </si>
  <si>
    <t>HER MAJESTY THE QUEEN IN RIGHT OF ALBERTA SDEU</t>
  </si>
  <si>
    <t>HER MAJESTY THE QUEEN IN RIGHT OF ALBERTA SDZP</t>
  </si>
  <si>
    <t>HER MAJESTY THE QUEEN IN RIGHT OF ALBERTA SD3U</t>
  </si>
  <si>
    <t>HER MAJESTY THE QUEEN IN RIGHT OF ALBERTA SDGJ</t>
  </si>
  <si>
    <t>HER MAJESTY THE QUEEN IN RIGHT OF ALBERTA DZJA</t>
  </si>
  <si>
    <t>HER MAJESTY THE QUEEN IN RIGHT OF ALBERTA SDZH</t>
  </si>
  <si>
    <t>HER MAJESTY THE QUEEN IN RIGHT OF ALBERTA</t>
  </si>
  <si>
    <t>HER MAJESTY THE QUEEN IN RIGHT OF ALBERTA SDZI</t>
  </si>
  <si>
    <t>HER MAJESTY THE QUEEN IN RIGHT OF ALBERTA 038CDL0</t>
  </si>
  <si>
    <t>HER MAJESTY THE QUEEN IN RIGHT OF ALBERTA DZIJ</t>
  </si>
  <si>
    <t>HER MAJESTY THE QUEEN IN RIGHT OF ALBERTA SDCE</t>
  </si>
  <si>
    <t>CARGOJET AIRWAYS LTD</t>
  </si>
  <si>
    <t>Carlyle Commodity Management LLC</t>
  </si>
  <si>
    <t>GARDEN SANTA FE</t>
  </si>
  <si>
    <t>ENGORDA TECNIFICADA DE LA LAGUNA SA DE CV</t>
  </si>
  <si>
    <t>ERASUN SA DE CV</t>
  </si>
  <si>
    <t>NEMAK MEXICO S A</t>
  </si>
  <si>
    <t>MEXICANA DE TECNICOS EN AUTOPISTAS SA DE CV</t>
  </si>
  <si>
    <t>ROAD AND RAIL EQUIPMENT TECHNOLOGIES LTD</t>
  </si>
  <si>
    <t>VIKEN CRUDE AS</t>
  </si>
  <si>
    <t>ASAHI REFINING USA, INC</t>
  </si>
  <si>
    <t>JM GOLD AND SILVER REFINING, INC.</t>
  </si>
  <si>
    <t>Asahi Refining USA Inc.</t>
  </si>
  <si>
    <t>XXI BANORTE PREVISIONAL SIEFORE, S.A. DE C.V.</t>
  </si>
  <si>
    <t>MANUFACTURAS MECA SA DE CV</t>
  </si>
  <si>
    <t>BMO RISK REDUCTION FIXED INCOME FUND</t>
  </si>
  <si>
    <t>TRI CORP TRANSPORTATION LTD</t>
  </si>
  <si>
    <t>BANCO OURINVEST S.A.</t>
  </si>
  <si>
    <t>BMO RISK REDUCTION EQUITY FUND</t>
  </si>
  <si>
    <t>LA ROCA</t>
  </si>
  <si>
    <t>DEGUSSA SONNE/MOND GOLDHANDEL AG</t>
  </si>
  <si>
    <t>ITAU GLOBAL INVESTMENTS SPC - ITAU GLOBAL MACRO HEDGE FUND SEGREGATED PORTFOLIO</t>
  </si>
  <si>
    <t>ITAU GLOBAL INVESTMENTS SPC  GMHF SEGREGATED PORTFOLIO</t>
  </si>
  <si>
    <t>RBC QUANT US EQUITY LEADERS ETF</t>
  </si>
  <si>
    <t>MUNICIPIO DE PUEBLA</t>
  </si>
  <si>
    <t>QIS QUERETARO INDUSTRIAL SERVICIO S DE RL DE CV</t>
  </si>
  <si>
    <t>9577262 CANADA INC</t>
  </si>
  <si>
    <t>SPEEDTAP INDUSTRIES INC</t>
  </si>
  <si>
    <t>KUWASHA INTERNATIONAL DEVELOPMENT SOCIETY</t>
  </si>
  <si>
    <t>COVENTRY BUILDING SOCIETY</t>
  </si>
  <si>
    <t>NORDIC INVESTMENT BANK</t>
  </si>
  <si>
    <t>INMOBILIARIA LAS AMERICAS 1966 SA DE CV</t>
  </si>
  <si>
    <t>JUNGBUNZLAUER MEXICO S A DE C V</t>
  </si>
  <si>
    <t>COMPANIA AZUCARERA SALVADORENA S.A. DE C.V.</t>
  </si>
  <si>
    <t>EQT ENERGY LLC</t>
  </si>
  <si>
    <t>HOLLIS CANADIAN BANK</t>
  </si>
  <si>
    <t>DUNDEE BANK OF CANADA</t>
  </si>
  <si>
    <t>IGWRAP INC</t>
  </si>
  <si>
    <t>ISOLUX DE MEXICO SA DE CV</t>
  </si>
  <si>
    <t>OMNICOM FINANCE CANADA ULC</t>
  </si>
  <si>
    <t>ZURICH VIDA COMPA¿¿A DE SEGUROS SA</t>
  </si>
  <si>
    <t>ZURICH COMPA¿IA DE SEGUROS SA</t>
  </si>
  <si>
    <t>KELL FARMS LIMITED</t>
  </si>
  <si>
    <t>LOOMIS ARMORED US, LLC</t>
  </si>
  <si>
    <t>DESTINATION LOGISTICS INC</t>
  </si>
  <si>
    <t>MARUBENI CORPORATION</t>
  </si>
  <si>
    <t>VAST INDUSTRIAL CORP</t>
  </si>
  <si>
    <t>UNITED OVERSEAS BANK (CHINA) LIMITED</t>
  </si>
  <si>
    <t>MERCURIA COMMODITIES CANADA CORPORATION</t>
  </si>
  <si>
    <t>NATIONAL SMOKELESS TOBACCO CO.</t>
  </si>
  <si>
    <t>MULTIGRANOS MOCHIS SA DE CV</t>
  </si>
  <si>
    <t>SAUDI ARABIAN MONETARY AGENCY</t>
  </si>
  <si>
    <t>SAUDI ARABIAN MONETARY AGENCY GLOBA</t>
  </si>
  <si>
    <t>TFCF INTERNATIONAL CHANNELS MEXICO S DE RL DE CV</t>
  </si>
  <si>
    <t>FOX TELEVISION GROUP S DE R.L.DE C.V.</t>
  </si>
  <si>
    <t>MORGUARD REAL ESTATE FUND</t>
  </si>
  <si>
    <t>MIDAMERICAN ENERGY SERVICES LLC</t>
  </si>
  <si>
    <t>HALIFAX REGIONAL MUNICIPALITY MASTER TRUST</t>
  </si>
  <si>
    <t>KANSAS CITY SOUTHERN RAILWAY COMPANY</t>
  </si>
  <si>
    <t>KANSAS CITY SOUTHERN</t>
  </si>
  <si>
    <t>GRUPO ROTOPLAS SAB DE CV</t>
  </si>
  <si>
    <t>PAUL WATSON FARMS LTD</t>
  </si>
  <si>
    <t>JSMB ADVENTURES INC</t>
  </si>
  <si>
    <t>TRILLIUM CREDIT CARD TRUST II</t>
  </si>
  <si>
    <t>TORTOISE ENERGY INFRASTRUCTURE CORPORATION</t>
  </si>
  <si>
    <t>UNION DE CREDITO ALPURA SA DE CV</t>
  </si>
  <si>
    <t>BASAK METAL TICARET VE SANAYI A.S</t>
  </si>
  <si>
    <t>TAYLOR WOODS CAPITAL MANAGEMENT LLC</t>
  </si>
  <si>
    <t>THE CENTRAL AMERICA BOTTLING CORPORATION</t>
  </si>
  <si>
    <t>THE CENTRAL AMERICA BOTTLING CORP</t>
  </si>
  <si>
    <t>GS+A ENHANCED YIELD FUND</t>
  </si>
  <si>
    <t>PRODUCTOS LAMINADOS DE MONTERREY SA DE CV</t>
  </si>
  <si>
    <t>AUTOPARK SUPERSTORE INC</t>
  </si>
  <si>
    <t>SHARIF METALS INTERNATIONAL DMCC</t>
  </si>
  <si>
    <t>AWIN RESOURCE INTERNATIONAL PTE LTD</t>
  </si>
  <si>
    <t>TAIPEI FUBON COMMERCIAL BANK CO., LTD.</t>
  </si>
  <si>
    <t>TAIPEI FUBON COMM'L BANK</t>
  </si>
  <si>
    <t>BRIAN C PEETERS</t>
  </si>
  <si>
    <t>LONDONIA BIDCO LIMITED</t>
  </si>
  <si>
    <t>MAZDA LOGISTICA OPERACIONES DE MEXICO SA DE CV</t>
  </si>
  <si>
    <t>MAZDA LOGISTICA DE MEXICO SA DE CV</t>
  </si>
  <si>
    <t>GRUPO INDUSTRIAL ITAL MODA SA DE CV</t>
  </si>
  <si>
    <t>HUTCHISON INTERNATIONAL</t>
  </si>
  <si>
    <t>Hutchison OMF Ltd.</t>
  </si>
  <si>
    <t>ELEPHANT DENTAL BV</t>
  </si>
  <si>
    <t>Hyman Beck and Company Inc</t>
  </si>
  <si>
    <t>HECLA QUEBEC INC.</t>
  </si>
  <si>
    <t>ADLER PHARMA S DE RL DE CV</t>
  </si>
  <si>
    <t>ENVASES PLASTICOS DEL CENTRO SA DE CV</t>
  </si>
  <si>
    <t>EMPACADORA OBERTAL S DE RL DE CV</t>
  </si>
  <si>
    <t>RADEC SA DE CV</t>
  </si>
  <si>
    <t>The Hongkong Land Company Limited</t>
  </si>
  <si>
    <t>SINOCHEM HONG KONG (GROUP) COMPANY LIMITED</t>
  </si>
  <si>
    <t>URE TECH SURFACES INC</t>
  </si>
  <si>
    <t>DALHOUSIE MEDICAL RESEARCH FOUNDATION</t>
  </si>
  <si>
    <t>THE DALHOUSIE MEDICAL RESEARCH FOUNDATION</t>
  </si>
  <si>
    <t>SABI HOLDINGS LIMITED</t>
  </si>
  <si>
    <t>NEW MEXICO EDUCATIONAL RETIREMENT BOARD ACTIVE EMERGING MARKETS DEBT</t>
  </si>
  <si>
    <t>EARTH DRILLING CO LTD</t>
  </si>
  <si>
    <t>FRANCISCO CORDOVA LIRA</t>
  </si>
  <si>
    <t>RPR HOLDINGS LTD</t>
  </si>
  <si>
    <t>Altis Partners (Jersey) Limited</t>
  </si>
  <si>
    <t>CITADEL SECURITIES EUROPE LIMITED DIRECT CLEARING</t>
  </si>
  <si>
    <t>UNION BANCAIRE PRIVEE LONDON</t>
  </si>
  <si>
    <t>UNION BANCAIRE PRIVEE</t>
  </si>
  <si>
    <t>UNION BANCAIRE PRIVEE CBI-TDB</t>
  </si>
  <si>
    <t>UNION BANCAIRE PRIVEE UBP SA</t>
  </si>
  <si>
    <t>SEI CANADIAN EQUITY FUND</t>
  </si>
  <si>
    <t>ACS RACING</t>
  </si>
  <si>
    <t>7741995 CANADA INC</t>
  </si>
  <si>
    <t>MCC Non-Ferrous Trading, Inc</t>
  </si>
  <si>
    <t>MCC NON-FERROUS TRADING INC</t>
  </si>
  <si>
    <t>KOREA INVESTMENT CORPORATION ON BEHALF OF MINISTRY OF STRATEGY AND FINANCE OF THE REPUBLIC OF KOREA</t>
  </si>
  <si>
    <t>BMO LOW VOLATILITY INTERNATIONAL EQUITY ETF</t>
  </si>
  <si>
    <t>Jane Street Global Trading  LLC</t>
  </si>
  <si>
    <t>Jane Street Global Trading  LLC (US Mkts)</t>
  </si>
  <si>
    <t>Jane Street Global Trading LLC</t>
  </si>
  <si>
    <t>HKL (Treasury Services) Limited</t>
  </si>
  <si>
    <t>Jane Street Financial Limited</t>
  </si>
  <si>
    <t>WINTON CAPITAL MANAGEMENT LIMITED</t>
  </si>
  <si>
    <t>CURVATURE MARKET NEUTRAL FUND</t>
  </si>
  <si>
    <t>ARROW GLOBAL ADVANTAGE ALTERNATIVE CLASS</t>
  </si>
  <si>
    <t>TERMO PUERTAS AJUSTABLES SA DE CV</t>
  </si>
  <si>
    <t>LARAL OXYGEN ENTERPRISES INC</t>
  </si>
  <si>
    <t>MUNICIPALITY FINANCE PLC</t>
  </si>
  <si>
    <t>RK CAPITAL MANAGEMENT LLP</t>
  </si>
  <si>
    <t>VERBEEK PALLET SUPPLY CO. LTD.</t>
  </si>
  <si>
    <t>HIGHPACK S DE RL DE CV</t>
  </si>
  <si>
    <t>HONG KONG DEPOSIT PROTECTION BOARD</t>
  </si>
  <si>
    <t>EXPEDIA, INC. (DELAWARE)</t>
  </si>
  <si>
    <t>CUNEXT COPPER INDUSTRIES S.L</t>
  </si>
  <si>
    <t>CUNEXT COPPER INDUSTRIES SL</t>
  </si>
  <si>
    <t>SALLES SAINZ GRANT THORNTON SC</t>
  </si>
  <si>
    <t>PACIFIC CENTRE FOR REPRODUCTIVE MED</t>
  </si>
  <si>
    <t>S.A.R METALS LTD</t>
  </si>
  <si>
    <t>S.AR METALS LTD</t>
  </si>
  <si>
    <t>JM BRIMSDOWN A/C SAR METALS LTD</t>
  </si>
  <si>
    <t>CREDIT AGRICOLE SA</t>
  </si>
  <si>
    <t>Celeworld Ltd.</t>
  </si>
  <si>
    <t>CELEWORLD LIMITED</t>
  </si>
  <si>
    <t>Handsome Chemical Services Ltd</t>
  </si>
  <si>
    <t>FABRICA DE PAPEL SAN FRANCISCO SA DE CV</t>
  </si>
  <si>
    <t>STIFEL NICOLAUS EUROPE LIMITED</t>
  </si>
  <si>
    <t>CONVAL EQUIPMENT LTD</t>
  </si>
  <si>
    <t>YORKSHIRE BUILDING SOCIETY</t>
  </si>
  <si>
    <t>CEREALES COMERCIALES DE LA COSTA,S.A. DE C.V</t>
  </si>
  <si>
    <t>2433226 ONTARIO LIMITED</t>
  </si>
  <si>
    <t>PACIFIC INVESTMENT MANAGEMENT COMPANY LLC, SOLELY IN ITS CAPACITY AS ADVISOR ON BEHALF OF FIRSTCARIBBEAN INTERNATIONAL BANK (CAYMAN) LIMITED</t>
  </si>
  <si>
    <t>PACIFIC INVESTMENT MANAGEMENT COMPANY LLC, SOLELY IN ITS CAPACITY AS ADVISOR ON BEHALF OF GRONFUL LIMITED</t>
  </si>
  <si>
    <t>PACIFIC INVESTMENT MANAGEMENT COMPANY LLC, SOLELY IN ITS CAPACITY AS ADVISOR ON BEHALF OF HEWLETT-PACKARD LIMITED RETIREMENT BENEFITS PLAN</t>
  </si>
  <si>
    <t>PACIFIC INVESTMENT MANAGEMENT COMPANY LLC, SOLELY IN ITS CAPACITY AS ADVISOR ON BEHALF OF JASMINE MANAGEMENT SERVICES LIMITED</t>
  </si>
  <si>
    <t>PACIFIC INVESTMENT MANAGEMENT COMPANY LLC, SOLELY IN ITS CAPACITY AS ADVISOR ON BEHALF OF RHODODENDRON LIMITED</t>
  </si>
  <si>
    <t>PACIFIC INVESTMENT MANAGEMENT COMPANY LLC, SOLELY IN ITS CAPACITY AS ADVISOR ON BEHALF OF SKYLON GLOBAL HIGH YIELD TRUST</t>
  </si>
  <si>
    <t>PACIFIC INVESTMENT MANAGEMENT COMPANY LLC, SOLELY IN ITS CAPACITY AS ADVISOR ON BEHALF OF STICHTING BLUE SKY ACTIVE FUND INCOME EMERGING MARKETS DEBT FUND</t>
  </si>
  <si>
    <t>PACIFIC INVESTMENT MANAGEMENT COMPANY LLC, SOLELY IN ITS CAPACITY AS ADVISOR ON BEHALF OF STICHTING BLUE SKY ACTIVE GLOBAL INFLATION-LINKED BOND FUND</t>
  </si>
  <si>
    <t>PACIFIC INVESTMENT MANAGEMENT COMPANY LLC, SOLELY IN ITS CAPACITY AS ADVISOR ON BEHALF OF THE OVERSEAS ASSURANCE CORPORATION LIMITED</t>
  </si>
  <si>
    <t>PACIFIC INVESTMENT MANAGEMENT COMPANY LLC, SOLELY IN ITS CAPACITY AS ADVISOR ON BEHALF OF THE PAUL HAMLYN FOUNDATION</t>
  </si>
  <si>
    <t>AURIGA POLYMERS INC</t>
  </si>
  <si>
    <t>FIBERVISIONS L P</t>
  </si>
  <si>
    <t>FIBERVISIONS MANUFACTURING COMPANY</t>
  </si>
  <si>
    <t>FIBERVISIONS PRODUCTS INC</t>
  </si>
  <si>
    <t>INDORAMA VENTURES ALPHAPET HOLDINGS INC</t>
  </si>
  <si>
    <t>STARPET INC</t>
  </si>
  <si>
    <t>RICHARDSON RFPD INC.</t>
  </si>
  <si>
    <t>CONDUMEX S.A. DE C.V.</t>
  </si>
  <si>
    <t>BESSEMER INVESTMENT MANAGEMENT LLC</t>
  </si>
  <si>
    <t>BHP BILLITON MARKETING AG</t>
  </si>
  <si>
    <t>644-646 PORTLAND INC</t>
  </si>
  <si>
    <t>ALGOMA UNIVERSITY</t>
  </si>
  <si>
    <t>DEUTSCHE BANK MEXICO SOCIEDAD ANONIMA INSTITUCION DE BANCA MULTIPLE DIVISION FIDUCIARIA F/1616</t>
  </si>
  <si>
    <t>DEUTSCHE BANK MEXICO SA FIDEICOMISO F/1616</t>
  </si>
  <si>
    <t>EUROFIMA (EUROPEAN COMPANY FOR THE FINANCING OF RAILROAD ROLLING STOCK)</t>
  </si>
  <si>
    <t>PROVINCE DE QUEBEC</t>
  </si>
  <si>
    <t>PROVINCE DE QUEBEC .</t>
  </si>
  <si>
    <t>PROVINCE OF QUEBEC</t>
  </si>
  <si>
    <t>MINISTRE DES FINANCES - PROVINCE OF QUEBEC</t>
  </si>
  <si>
    <t>PROVINCE OF QUEBEC, MINISTRY OF FINANCE</t>
  </si>
  <si>
    <t>PROVINCE DE QUEBEC.</t>
  </si>
  <si>
    <t>JUAN CRISTOBAL FERRER BOHORQUES</t>
  </si>
  <si>
    <t>2132867 ONTARIO LIMITED</t>
  </si>
  <si>
    <t>ALLY ABBNS ISSUER LLC</t>
  </si>
  <si>
    <t>ASIGNA COMPENSACION Y LIQ F30430</t>
  </si>
  <si>
    <t>China Travel International Investment Hong Kong Ltd.</t>
  </si>
  <si>
    <t>VRX VENTURES LTD</t>
  </si>
  <si>
    <t>RP INVESTMENT ADVISORS</t>
  </si>
  <si>
    <t>NATIONAL TRUST FUND</t>
  </si>
  <si>
    <t>Man Multi-Strategy Master Fund</t>
  </si>
  <si>
    <t>Man Qualifying Investor Funds PLC - GLG ELS Master QIF</t>
  </si>
  <si>
    <t>GLG European Long-Short Fund</t>
  </si>
  <si>
    <t>GLG European Long-Short Master Fund Ltd</t>
  </si>
  <si>
    <t>AL ZAIN TRADING COMPANY WLL</t>
  </si>
  <si>
    <t>KERRY TRADING COMPANY LIMITED</t>
  </si>
  <si>
    <t>ARGONAUT GOLD INC</t>
  </si>
  <si>
    <t>ARGONAUT GOLD INC.</t>
  </si>
  <si>
    <t>MINERA REAL DEL ORO SA DE CV</t>
  </si>
  <si>
    <t>MINERA REAL DEL ORO S.A. DE C.V.</t>
  </si>
  <si>
    <t>COMPA¿IA MINERA PITALLA SA DE CV</t>
  </si>
  <si>
    <t>COMPANIA MINERA PITALLA S.A. DE C.V.</t>
  </si>
  <si>
    <t>TAMPA PORT SERVICES LLC</t>
  </si>
  <si>
    <t>CAIDA DE AGUA SERVICIOS S DE RL DE CV</t>
  </si>
  <si>
    <t>KFW BANKENGRUPPE</t>
  </si>
  <si>
    <t>KREDITANSTALT FUR WEIDERAUFBAU BANKENGRUPPE</t>
  </si>
  <si>
    <t>PGIM INC - BLOCK TRADE</t>
  </si>
  <si>
    <t>PRUDENTIAL BLOCK SUB ACCOUNT CDEA</t>
  </si>
  <si>
    <t>PGIM INC. AS AGENT</t>
  </si>
  <si>
    <t>GOVERNMENT OF URUGUAY</t>
  </si>
  <si>
    <t>GSC TECHNOLOGIES INC</t>
  </si>
  <si>
    <t>854921 ONTARIO LTD</t>
  </si>
  <si>
    <t>FIRST TRUST BICK INDEX FUND</t>
  </si>
  <si>
    <t>FIRST TRUST NASDAQ GLOBAL AUTO INDEX FUND</t>
  </si>
  <si>
    <t>FIRST TRUST NORTH AMERICAN ENERGY INFRASTRUCTURE FUND</t>
  </si>
  <si>
    <t>FIRST TRUST CHINA ALPHADEX FUND</t>
  </si>
  <si>
    <t>FIRST TRUST DEVELOPED MARKETS EX US ALPHADEX FUND</t>
  </si>
  <si>
    <t>FIRST TRUST FTSE EPRA NAREIT DEVELOPED MARKETS REAL ESTATE INDEX FUND</t>
  </si>
  <si>
    <t>FIRST TRUST GERMANY ALPHADEX FUND</t>
  </si>
  <si>
    <t>FIRST TRUST UNITED KINGDOM ALPHADEX FUND</t>
  </si>
  <si>
    <t>FIRST TRUST LATIN AMERICA ALPHADEX FUND</t>
  </si>
  <si>
    <t>FIRST TRUST NASDAQ CEA SMARTPHONE INDEX FUND</t>
  </si>
  <si>
    <t>FIRST TRUST ALPHADEX US FINANCIAL SECTOR INDEX ETF</t>
  </si>
  <si>
    <t>FIRST TRUST EUROZONE ALPHADEX ETF</t>
  </si>
  <si>
    <t>FIRST TRUST UNITED KINGDOM ALPHADEX UCITS ETF</t>
  </si>
  <si>
    <t>FIRST TRUST US LARGE CAP CORE ALPHADEX UCITS ETF</t>
  </si>
  <si>
    <t>AGROQUIMICOS Y FERTILIZANTES DEL PACIFICO SAPI DE C.V.</t>
  </si>
  <si>
    <t>WSP GLOBAL INC</t>
  </si>
  <si>
    <t>PHOENIX FUTURES AND OPTIONS LLC</t>
  </si>
  <si>
    <t>BANSCO &amp; CO</t>
  </si>
  <si>
    <t>GILA INMOBILIARIA, SA DE CV</t>
  </si>
  <si>
    <t>STANDARD CHARTERED BANK KOREA LIMITED</t>
  </si>
  <si>
    <t>STD CHARTERED BANK KOREA LIMITED</t>
  </si>
  <si>
    <t>STANDARD CHARTERED BANK MALAYSIA BERHAD</t>
  </si>
  <si>
    <t>NEDERLANDSE WATERSCHAPSBANK N. V.</t>
  </si>
  <si>
    <t>NEDERLANDSE WATERSCHAPSBANK N V</t>
  </si>
  <si>
    <t>STANDARD CHARTERED BANK (CHINA)</t>
  </si>
  <si>
    <t>CANOE ENHANCED INCOME CLASS</t>
  </si>
  <si>
    <t>APPLEWOOD HOLDINGS INC</t>
  </si>
  <si>
    <t>KEN VAN RAAY INC</t>
  </si>
  <si>
    <t>PMI TRADING LIMITED</t>
  </si>
  <si>
    <t>VERTEX REAL ESTATE DOS SA P I DE CV</t>
  </si>
  <si>
    <t>VERTEX REAL ESTATE SAPI DE CV</t>
  </si>
  <si>
    <t>CITY BUICK CHEVROLET CADILLAC GMC LTD</t>
  </si>
  <si>
    <t>CROWN CAP 1987 LTD</t>
  </si>
  <si>
    <t>STELCO INC.</t>
  </si>
  <si>
    <t>CELTIC EXPLORATION LTD</t>
  </si>
  <si>
    <t>BNLLNSHQ</t>
  </si>
  <si>
    <t>BANCA NAZIONALE DEL LAVORO</t>
  </si>
  <si>
    <t>BANCA NAZIONALE DEL LAVORO FILIALE DI ALESSANDRIA</t>
  </si>
  <si>
    <t>BANCA NAZIONALE DEL LAVORO FILIALE DI AREZZO</t>
  </si>
  <si>
    <t>BNLCONSHQ</t>
  </si>
  <si>
    <t>BANCA NAZIONALE DEL LAVORO FILIALE MILANO</t>
  </si>
  <si>
    <t>BANCA NAZIONALE DEL LAVORO FILLIALE MILANO</t>
  </si>
  <si>
    <t>BANCA NAZIONALE  DEL LAVORO</t>
  </si>
  <si>
    <t>BANCA NAZIONALE DEL LAVORO S.P.A</t>
  </si>
  <si>
    <t>BANK OF TOYKO-MITSUBISHI UFJ LTD SINGAPORE-(ASIA PACIFIC</t>
  </si>
  <si>
    <t>MUFG BANK LTD</t>
  </si>
  <si>
    <t>MUFG BANK LTD (NEW YORK)</t>
  </si>
  <si>
    <t>MUFG BANK LTD (SINGAPORE)</t>
  </si>
  <si>
    <t>MUFG BANK LTD (LONDON)</t>
  </si>
  <si>
    <t>MUFG BANK LTD (TOKYO)</t>
  </si>
  <si>
    <t>MUFG BANK LTD (STF)</t>
  </si>
  <si>
    <t>BANK OF TOKYO MITSUBISHI UFJ LTD</t>
  </si>
  <si>
    <t>THE BK OF TOKYO-MITSUBISHI LTD</t>
  </si>
  <si>
    <t>ARRENDADORA Y COMERCIALIZADORA LINGO SA DE CV SOFOM ER</t>
  </si>
  <si>
    <t>ARRENDADORA Y COMERCIALIZADORA LINGO SA DE CV</t>
  </si>
  <si>
    <t>AVANT ENERGIAS RENOVABLES I SAPI DE CV</t>
  </si>
  <si>
    <t>LIDD CONSULTANTS INC</t>
  </si>
  <si>
    <t>CENTRAL HUDSON GAS &amp; ELECTRIC CORPORATION</t>
  </si>
  <si>
    <t>TELEVISA CJ GRAND, SA DE CV (subsidiaria Grupo Televisa)</t>
  </si>
  <si>
    <t>MPO RETAIL INVESTMENTS, L.P.</t>
  </si>
  <si>
    <t>MERIDIAN ONECAP CREDIT CORP</t>
  </si>
  <si>
    <t>MTR CORPORATION LTD</t>
  </si>
  <si>
    <t>BSMA LIMITED CA</t>
  </si>
  <si>
    <t>BSMA LIMITED US - CDEA</t>
  </si>
  <si>
    <t>BSMA LIMITED EU</t>
  </si>
  <si>
    <t>BSMA LIMITED US</t>
  </si>
  <si>
    <t>BSMA LIMITED</t>
  </si>
  <si>
    <t>BSMA LIMITED CDEA</t>
  </si>
  <si>
    <t>BSMA LIMITED CA - CDEA</t>
  </si>
  <si>
    <t>BSMA LIMITED EU - CDEA</t>
  </si>
  <si>
    <t>PACCAR FINANCIAL MEXICO SA DE CV</t>
  </si>
  <si>
    <t>THE PAVLIK GROUP INC</t>
  </si>
  <si>
    <t>CLP Holdings Limited</t>
  </si>
  <si>
    <t>LBL WASSERSTEIN DEBT INVESTMENT LLC</t>
  </si>
  <si>
    <t>ALTIUS MINERALS CORPORATION</t>
  </si>
  <si>
    <t>PMI COMERCIO INTERNACIONAL SA DE CV</t>
  </si>
  <si>
    <t>VIZCAZA MAZ SA DE CV</t>
  </si>
  <si>
    <t>PMI DUCTO DE JUAREZ SRL DE CV</t>
  </si>
  <si>
    <t>Sinopec Century Bright Capital Investment Limited</t>
  </si>
  <si>
    <t>MARK J WALSH &amp; COMPANY</t>
  </si>
  <si>
    <t>SUN LIFE MULTI-STRATEGY BOND FUND</t>
  </si>
  <si>
    <t>THE HONG KONG JOCKEY CLUB</t>
  </si>
  <si>
    <t>The Hong Kong Jockey Club</t>
  </si>
  <si>
    <t>HK JOCKEY CLUB AND CHARITIES TRUST</t>
  </si>
  <si>
    <t>THE HONG KONG JOCKEY CLUB CHARITIES TRUST</t>
  </si>
  <si>
    <t>The Hong Kong Jockey Club Charities Trust</t>
  </si>
  <si>
    <t>D SQUARED HOLDINGS LTD</t>
  </si>
  <si>
    <t>MINERA SONORA BORAX SA DE CV</t>
  </si>
  <si>
    <t>SHPH OTTAWA INC</t>
  </si>
  <si>
    <t>WINTEC S.A</t>
  </si>
  <si>
    <t>DISTRIBUIDORA VENUS SA DE CV</t>
  </si>
  <si>
    <t>BACON ENGINEERING LTD</t>
  </si>
  <si>
    <t>NUEVA AGROINDUSTRIAS DEL NORTE,S.A. DE C.V.</t>
  </si>
  <si>
    <t>ACCENTS HOME FURNITURE LTD</t>
  </si>
  <si>
    <t>NWS HOLDINGS LIMITED</t>
  </si>
  <si>
    <t>FABRICA NACIONAL DE LIJA SA DE CV</t>
  </si>
  <si>
    <t>BANCO SANTANDER (BRASIL) SA</t>
  </si>
  <si>
    <t>NORTONLIFELOCK INC</t>
  </si>
  <si>
    <t>SYMANTEC CORPORATION</t>
  </si>
  <si>
    <t>CROWN GROUP FINANCE LIMITED</t>
  </si>
  <si>
    <t>EC LEGAL MEXICO SC</t>
  </si>
  <si>
    <t>MANULIFE ASSET MANAGEMENT US LLC</t>
  </si>
  <si>
    <t>WARATAH INCOME LIMITED PARTNERSHIP</t>
  </si>
  <si>
    <t>ALBACOR SA DE CV</t>
  </si>
  <si>
    <t>JIFKINS,S.A. DE C.V.</t>
  </si>
  <si>
    <t>ORCHID HOLDINGS INC</t>
  </si>
  <si>
    <t>GLENCORE AG</t>
  </si>
  <si>
    <t>DBX ADVISORS LLC AS AGENT FOR DEUTSCHE X-TRACKERS FUNDS</t>
  </si>
  <si>
    <t>WAL-MART CANADA CORP.</t>
  </si>
  <si>
    <t>DESTINO XCARET SAPI DE CV</t>
  </si>
  <si>
    <t>LA CAPITALE CIVIL SERVICE INSURER INC</t>
  </si>
  <si>
    <t>BRADECK ENTERPRISES LTD</t>
  </si>
  <si>
    <t>9188 3843 QUEBEC INC</t>
  </si>
  <si>
    <t>360 I INSTALLATIONS INC</t>
  </si>
  <si>
    <t>VICAN PRODUCT DISTRIBUTION CANADA I</t>
  </si>
  <si>
    <t>GAM INTERNATIONAL MANAGEMENT LIMITED BLOCK TRADE CDEA</t>
  </si>
  <si>
    <t>GAM INTERNATIONAL MANAGEMENT LIMITED CSF30</t>
  </si>
  <si>
    <t>HAIDAR CAPITAL MANGEMENT LLC</t>
  </si>
  <si>
    <t>DISTRIBUIDORA MEXICANA DE CITRICOS S DE RL DE CV</t>
  </si>
  <si>
    <t>DISTRIBUIDORA MEXICANA DE CITRICOS SRL DE CV</t>
  </si>
  <si>
    <t>CRIMSON MIDSTREAM OPERATING LLC</t>
  </si>
  <si>
    <t>TE Connectivity Holding International II S.ar.L, Luxembourg (LU), Schaffhausen Branch</t>
  </si>
  <si>
    <t>EUROCLEAR BANK S.A./N.V - FAIR VALUE EQUITY LINKED NOTES</t>
  </si>
  <si>
    <t>EUROCLEAR BANK S.A./N.V - FAIR VALUE RATE LINKED NOTES</t>
  </si>
  <si>
    <t>Euroclear Bank SA/NV</t>
  </si>
  <si>
    <t>TELUS INTERNATIONAL (CDA) INC</t>
  </si>
  <si>
    <t>TELUS INTERNATIONAL (CDA) INC.</t>
  </si>
  <si>
    <t>JAGUAR LAND ROVER CANADA</t>
  </si>
  <si>
    <t>NEW WORLD CHINA LAND LIMITED</t>
  </si>
  <si>
    <t>NORD-AM REALTY LTD.</t>
  </si>
  <si>
    <t>GOBE DE OCCIDENTE SA DE CV</t>
  </si>
  <si>
    <t>INVERBECK SA DE CV</t>
  </si>
  <si>
    <t>OFIBOGA SERVICIOS SA DE CV</t>
  </si>
  <si>
    <t>BALL CORPORATION</t>
  </si>
  <si>
    <t>CENTRO REGIONAL LAS AMERICAS SA DE CV</t>
  </si>
  <si>
    <t>CENTRO SAN MIGUEL SA DE CV</t>
  </si>
  <si>
    <t>PROMOTORA Y DESARROLLADORA DE CENTROS COMERCIALES SA DE CV</t>
  </si>
  <si>
    <t>UNITED ENERGY DISTRIBUTION PTY LIMITED</t>
  </si>
  <si>
    <t>CARGILL FINANCIAL SERVICES INTERNATIONAL, INC</t>
  </si>
  <si>
    <t>CARGILL FINANCIAL SERVICES INTERNATIONAL INC CDEA</t>
  </si>
  <si>
    <t>CARGILL FINANCIAL SERVICES INTERNATIONAL INC</t>
  </si>
  <si>
    <t>CARGILL FINANCIAL SERVICES INTERNATIONAL, INC.</t>
  </si>
  <si>
    <t>FERRETERA CENTRAL DEL GOLFO SA DE CV</t>
  </si>
  <si>
    <t>RESIRENE SA DE CV</t>
  </si>
  <si>
    <t>INTEROIL COLOMBIA EXPLORATION AND PRODUCTION INC (BVI)</t>
  </si>
  <si>
    <t>BARRIERTEK INC</t>
  </si>
  <si>
    <t>Man Funds VI PLC- Man GLG European Equity Alternative</t>
  </si>
  <si>
    <t>HSBC BANK MALAYSIA BERHAD</t>
  </si>
  <si>
    <t>HSBC BANK MALAYSIA BERHAD - AGEF</t>
  </si>
  <si>
    <t>HSBC BANK MALAYSIA BERHAD,</t>
  </si>
  <si>
    <t>OPERADORA DE ARRENDAMIENTO PURO SAPI DE CV</t>
  </si>
  <si>
    <t>SELVA INDUSTRIAL</t>
  </si>
  <si>
    <t>GMF PRIME AUTOMOBILE WAREHOUSE TRUST VIII</t>
  </si>
  <si>
    <t>FIRST HORIZON BANK</t>
  </si>
  <si>
    <t>KS2 CORP INC</t>
  </si>
  <si>
    <t>KOPLAST INDUSTRIAL SA</t>
  </si>
  <si>
    <t>STORAGE POWER SOLUTIONS INC</t>
  </si>
  <si>
    <t>BLACKROCK LIABILITY MATCHING FUNDS LEVERAGED GBP 2022 INDEX-LINKED GILT FUND</t>
  </si>
  <si>
    <t>BLACKROCK LIABILITY MATCHING FUNDS LEVERAGED GBP FIXED 2020 - 2024 SWAP FUND</t>
  </si>
  <si>
    <t>BLACKROCK LIABILITY SOLUTIONS FUNDS II GBP TAILORED FUND XI</t>
  </si>
  <si>
    <t>BLACKROCK LIABILITY SOLUTIONS FUNDS III TAILORED FUND XXXV</t>
  </si>
  <si>
    <t>SMS SILENCERS INC</t>
  </si>
  <si>
    <t>AKELIUS RESIDENTIAL PROPERTY AB</t>
  </si>
  <si>
    <t>GAS NATURAL DE LIMA Y CALLAO SA</t>
  </si>
  <si>
    <t>SCOTIA FONDOS SOCIEDAD ADMINISTRDORA DE FONDOS SA</t>
  </si>
  <si>
    <t>SCOTIA FONDOS SA DE CV CUSTODIA SCOT 04</t>
  </si>
  <si>
    <t>SCOTIA FONDOS SA DE CV CUSTODIA SCOT 03</t>
  </si>
  <si>
    <t>SCOTIA FONDOS SA DE CV CUSTODIA SCOTDL</t>
  </si>
  <si>
    <t>SCOTIA FONDOS SA DE CV</t>
  </si>
  <si>
    <t>SCOTIA FONDOS SOCIEDAD ADMINISTRADORA DE FONDOS</t>
  </si>
  <si>
    <t>PMI NORTEAMERICA SA DE CV</t>
  </si>
  <si>
    <t>PROPHET RIVER HOLDINGS LTD</t>
  </si>
  <si>
    <t>BOCCARD LIFE SCIENCES INC</t>
  </si>
  <si>
    <t>MCKESSON UK FINANCE II LIMITED</t>
  </si>
  <si>
    <t>WASTE CONNECTIONS US, INC</t>
  </si>
  <si>
    <t>DORAL STEEL MEXICO S DE RL DE CV</t>
  </si>
  <si>
    <t>FAR EASTERN NEW CENTURY CORP.</t>
  </si>
  <si>
    <t>FAR EASTERN NEW CENTURY CORPORATION</t>
  </si>
  <si>
    <t>EDELWEISS COMMODITIES SERVICES LTD</t>
  </si>
  <si>
    <t>CITIBANK CANADA</t>
  </si>
  <si>
    <t>TD ASSET MANAGEMENT T1549</t>
  </si>
  <si>
    <t>PENSION PROTECTION FUND</t>
  </si>
  <si>
    <t>FIBRA MTY F/2157</t>
  </si>
  <si>
    <t>ZODIAC IMPEX INC</t>
  </si>
  <si>
    <t>GRESHAM INVESTMENT MANAGEMENT LLC</t>
  </si>
  <si>
    <t>LYDIAN INTERNATIONAL LIMITED</t>
  </si>
  <si>
    <t>BARRIE EQUIPMENT SALES</t>
  </si>
  <si>
    <t>RBC DOMINION SECURITIES INC</t>
  </si>
  <si>
    <t>THE HP INVEST GLOBAL FIXED INCOME SUB-FUND</t>
  </si>
  <si>
    <t>TREFO PROVIDENCIA SA DE CV</t>
  </si>
  <si>
    <t>FONDS DE PLACEMENT DIVIDENDES DU BARREAU DU QUEBEC</t>
  </si>
  <si>
    <t>BCA Finance Limited</t>
  </si>
  <si>
    <t>Shanghai Industrial Holdings Limited</t>
  </si>
  <si>
    <t>BICE VIDA COMPANIA DE SEGUROS SA GROUP</t>
  </si>
  <si>
    <t>CANADIAN INTERNATIONAL PHARMACY ASSOCIATION</t>
  </si>
  <si>
    <t>CORPORATIVO VASCO DE QUIROGA SA DE CV</t>
  </si>
  <si>
    <t>AMERICA EMPACK S DE RL DE CV</t>
  </si>
  <si>
    <t>TABERNA PREFERRED FUNDING VIII LTD</t>
  </si>
  <si>
    <t>BNP CORTEX</t>
  </si>
  <si>
    <t>Tradition Securities And Futures S.A</t>
  </si>
  <si>
    <t>TRADITION SECURITIES AND FUTURES SA</t>
  </si>
  <si>
    <t>B H MINING &amp; PETROLEUM PTE LTD</t>
  </si>
  <si>
    <t>Nova Scotia Health Employees Pension Plan</t>
  </si>
  <si>
    <t>TD ASSET MANAGEMENT 47351003</t>
  </si>
  <si>
    <t>NOVA SCOTIA HEALTH EMPLOYEES PENSION PLAN</t>
  </si>
  <si>
    <t>TRUSTEES OF THE NOVA SCOTIA HEALTH EMPLOYEES PENSION PLAN</t>
  </si>
  <si>
    <t>CHALLENGER LIFE COMPANY LIMITED IN RESPECT OF ITS STATUTORY FUND NO.2</t>
  </si>
  <si>
    <t>CRIUS ENERGY HOLDINGS INC</t>
  </si>
  <si>
    <t>PRODUCTORA DE FERTILIZANTES DEL NOROESTE SA DE CV</t>
  </si>
  <si>
    <t>SLATE ROCK LLC</t>
  </si>
  <si>
    <t>IBERDROLA CANADA ENERGY SERVICES LTD</t>
  </si>
  <si>
    <t>CREATION TECHNOLOGIES LP</t>
  </si>
  <si>
    <t>PARKLAND CORPORATION (FKA: PARKLAND FUEL CORPORATION)</t>
  </si>
  <si>
    <t>PARKLAND FUEL CORPORATION</t>
  </si>
  <si>
    <t>PARKLAND CORPORATION</t>
  </si>
  <si>
    <t>BLAIR SPECIALTY MATERIALS SA DE CV</t>
  </si>
  <si>
    <t>OTTAWA HOSPITAL RESEARCH INSTITUTE</t>
  </si>
  <si>
    <t>UCF HOTEL VENTURE IV</t>
  </si>
  <si>
    <t>9330-0572 QUEBEC INC</t>
  </si>
  <si>
    <t>TRAFIGURA GROUP PTE LTD</t>
  </si>
  <si>
    <t>DISTINGISHED SOUND INC</t>
  </si>
  <si>
    <t>TELEVISION INTERNACIONAL SA DE CV</t>
  </si>
  <si>
    <t>PINEAPPLE BYTES INC</t>
  </si>
  <si>
    <t>GOODRICH RIQUELME Y ASOCIADOS AC</t>
  </si>
  <si>
    <t>HUSKY OIL CHINA LIMITED</t>
  </si>
  <si>
    <t>THE CSL GROUP INC</t>
  </si>
  <si>
    <t>CLIMAS SA DE CV</t>
  </si>
  <si>
    <t>LONGHAUL LOGISTICS INC</t>
  </si>
  <si>
    <t>ZAGILA TECHNOLOGY CORP</t>
  </si>
  <si>
    <t>DAMAR G AND L SAC</t>
  </si>
  <si>
    <t>SERVICIOS INTEGRALES DE CONSERVACION INDUSTRIAL SA DE CV</t>
  </si>
  <si>
    <t>DEUSTCHE BANK MEXICO SA INSTITUCION DE BANCA MULTIPLE DIVISION FIDUCIARIA FIDEICOMISO F 16</t>
  </si>
  <si>
    <t>WELLS FARGO SECURITIES LLC</t>
  </si>
  <si>
    <t>ABC TECHNOLOGIES INC</t>
  </si>
  <si>
    <t>VELOCI MOTORS SA DE CV</t>
  </si>
  <si>
    <t>R CAT OILFIELD CORP</t>
  </si>
  <si>
    <t>MACQUARIE PHYSICAL COMMODITIES LLC</t>
  </si>
  <si>
    <t>CONCERT REAL ESTATE CORPORATION</t>
  </si>
  <si>
    <t>Cassa di Risparmio della Spezia SpA (Carispezia)</t>
  </si>
  <si>
    <t>KEY QUIMICA SA DE CV</t>
  </si>
  <si>
    <t>ACTIMED, S.A. DE C.V. SOC INV INS DEU</t>
  </si>
  <si>
    <t>MEADOW CREEK RETIREMENT CENTER INC</t>
  </si>
  <si>
    <t>HSL AUTOMATION LTD.</t>
  </si>
  <si>
    <t>CC&amp;L Q Market Neutral Fund II</t>
  </si>
  <si>
    <t>CC&amp;L Q MARKET NEUTRAL FUND II (SCOTIA)</t>
  </si>
  <si>
    <t>CC&amp;L Q MARKET NEUTRAL FUND II (TD)</t>
  </si>
  <si>
    <t>CC&amp;L Q MARKET NEUTRAL FUND II</t>
  </si>
  <si>
    <t>ITI INSTRUMENT TOOLS INDUSTRIAL CORP</t>
  </si>
  <si>
    <t>LAFRAMBOISE GROUP LTD</t>
  </si>
  <si>
    <t>PETES PALLET MANUFACTURING INC</t>
  </si>
  <si>
    <t>GREAT LAKES COPPER LIMITED</t>
  </si>
  <si>
    <t>RBC GLOBAL ASSET MANAGEMENT INC MANAGED FUNDS (AS AGENT)</t>
  </si>
  <si>
    <t>THAMES VALLEY BUILDING PRODUCTS LTD</t>
  </si>
  <si>
    <t>ALTIUS ROYALTY CORPORATION</t>
  </si>
  <si>
    <t>LAM SOON (HONG KONG) LTD</t>
  </si>
  <si>
    <t>LAM SOON (HONG KONG) LIMITED</t>
  </si>
  <si>
    <t>Lam Soon Cleaning &amp; Caring Laboratories (Hong Kong) Company Ltd.</t>
  </si>
  <si>
    <t>Lam Soon Products Supply (Hong Kong) Company Ltd.</t>
  </si>
  <si>
    <t>PANSOLO HOLDING INC</t>
  </si>
  <si>
    <t>NEDERLANDSCHE BANK (DE) N.V.</t>
  </si>
  <si>
    <t>HSBC TRINKAUS UND BURKHARDT AG</t>
  </si>
  <si>
    <t>TA 2000 SA DE CV</t>
  </si>
  <si>
    <t>OCEANAGOLD (NEW ZEALAND) LIMITED</t>
  </si>
  <si>
    <t>OCEANA GOLD (NEW ZEALAND) LIMITED</t>
  </si>
  <si>
    <t>OCEANAGOLD NEW ZEALAND LIMITED</t>
  </si>
  <si>
    <t>CANDA SIX FORTUNE ENTERPRISE CO. LTD.</t>
  </si>
  <si>
    <t>T&amp;T SUPERMARKET INC</t>
  </si>
  <si>
    <t>PRESIDENT'S CHOICE BANK</t>
  </si>
  <si>
    <t>ACTIPLUUS SA DE CV FONDO DE INVERSION EN INSTRUMENTOS DE DEUDA</t>
  </si>
  <si>
    <t>STRATICS NETWORKS INC</t>
  </si>
  <si>
    <t>ICA FLUOR DANIEL S DE RL DE CV</t>
  </si>
  <si>
    <t>MACDERMID ENTHONE B.V</t>
  </si>
  <si>
    <t>WAREHOUSE CONSULTING (CAYMAN ISLANDS) LTD</t>
  </si>
  <si>
    <t>CALLINGWOOD DOWNS LIMITED</t>
  </si>
  <si>
    <t>DISTRIBUIDORA DE ALIMENTOS TH SA CV</t>
  </si>
  <si>
    <t>SOAPS TECHNOLOGY SA DE CV</t>
  </si>
  <si>
    <t>THE BANK OF FINLAND</t>
  </si>
  <si>
    <t>1631650 ALBERTA ULC</t>
  </si>
  <si>
    <t>RADIN CAPITAL PARTNERS AS AGENT FOR REGULATED FUNDS</t>
  </si>
  <si>
    <t>ANGELA KALLMAN</t>
  </si>
  <si>
    <t>BIHUA CHEN</t>
  </si>
  <si>
    <t>CHRISTOPHER PAOLINO</t>
  </si>
  <si>
    <t>DR. PAUL BORBELY</t>
  </si>
  <si>
    <t>DR. RICHARD ALMOND</t>
  </si>
  <si>
    <t>DR. RICHARD JARECKI</t>
  </si>
  <si>
    <t>Engelhard</t>
  </si>
  <si>
    <t>GEORGE LICHTENSTEIN</t>
  </si>
  <si>
    <t>HANNAH KAZAK</t>
  </si>
  <si>
    <t>HELEN HURLEY SMITH</t>
  </si>
  <si>
    <t>JAMES S. GINSBERG</t>
  </si>
  <si>
    <t>JAMES TRIBON</t>
  </si>
  <si>
    <t>JIM FARRELL</t>
  </si>
  <si>
    <t>JOHN &amp; KERMA *KAROLY</t>
  </si>
  <si>
    <t>JOHN CIFELLI</t>
  </si>
  <si>
    <t>JOHN H. RAMISTELLA</t>
  </si>
  <si>
    <t>JOHN KELLY</t>
  </si>
  <si>
    <t>JOHN L. CONNOR SR.</t>
  </si>
  <si>
    <t>JOHN PAUL DEJORIA</t>
  </si>
  <si>
    <t>JOHN PISTILLI</t>
  </si>
  <si>
    <t>JUI TING PENG</t>
  </si>
  <si>
    <t>LEN AXELROD</t>
  </si>
  <si>
    <t>LEWIS NIEWEG</t>
  </si>
  <si>
    <t>LINDA HELEN RAND</t>
  </si>
  <si>
    <t>MAHYAR AMIRSALEH</t>
  </si>
  <si>
    <t>MICHAEL ALLEN STEIN</t>
  </si>
  <si>
    <t>MR. AND MRS. MERLE GRAY</t>
  </si>
  <si>
    <t>MR. BERYL WHITMAN</t>
  </si>
  <si>
    <t>MR. DOUGLAS LOCKHART</t>
  </si>
  <si>
    <t>MR. HENRY MOSHBERGER</t>
  </si>
  <si>
    <t>MR. IVAN A. SCHERTZER</t>
  </si>
  <si>
    <t>MR. JEFFREY LEWIS</t>
  </si>
  <si>
    <t>MR. ROY HARVEY</t>
  </si>
  <si>
    <t>MRS. ELEANORE G,GANN</t>
  </si>
  <si>
    <t>NOEMI COLTON</t>
  </si>
  <si>
    <t>PAUL BECKER</t>
  </si>
  <si>
    <t>REX MARTIN</t>
  </si>
  <si>
    <t>RICHARD A. LEVINE</t>
  </si>
  <si>
    <t>RICK J. WILLIAMS</t>
  </si>
  <si>
    <t>ROBERT B &amp; MARGARET J EBERLE</t>
  </si>
  <si>
    <t>ROBERT BRODSKY AND ANNA BRODSKY JTWROS</t>
  </si>
  <si>
    <t>ROBERT J. HEWITT, SR.</t>
  </si>
  <si>
    <t>THOMAS D. CARLISLE JR.</t>
  </si>
  <si>
    <t>TORONTO VAULT SAFEKEEPING A/C</t>
  </si>
  <si>
    <t>VAMAFON ANSTALT</t>
  </si>
  <si>
    <t>VINCENT M. YACAVINO, JR.</t>
  </si>
  <si>
    <t>W. PHILLIPS MERTZ AND JANICE M. MERTZ JT. TEN</t>
  </si>
  <si>
    <t>WALTER BOUGHTON</t>
  </si>
  <si>
    <t>WILFRED J. *MOREAU</t>
  </si>
  <si>
    <t>WILLIAM E. WEGENER</t>
  </si>
  <si>
    <t>WILLIAM MASCIARELLI</t>
  </si>
  <si>
    <t>YOGESH CHAND</t>
  </si>
  <si>
    <t>YUFENG D LI &amp; XIANGYU HOU</t>
  </si>
  <si>
    <t>ASTON HILL ADVANTAGE BOND FUND</t>
  </si>
  <si>
    <t>HAIDLMAIR NORTH AMERICA CORP</t>
  </si>
  <si>
    <t>ENVASES UNIVERSALES DE MEXICO SAPI de CV</t>
  </si>
  <si>
    <t>ENVASES UNIVERSALES DE MEXICO SAPI DE CV</t>
  </si>
  <si>
    <t>ORION RESOURCE PARTNERS USA LTD</t>
  </si>
  <si>
    <t>GUYANA GOLDFIELDS INC</t>
  </si>
  <si>
    <t>VALHALLA ASSOCIATES LLC</t>
  </si>
  <si>
    <t>REMI AGNICO SA DE CV SOFOM ENR</t>
  </si>
  <si>
    <t>KFC HOLDING CO</t>
  </si>
  <si>
    <t>BANK OF AYUDHYA PUBLIC CO LTD</t>
  </si>
  <si>
    <t>SIBRA ARRENDADORA SA DE CV</t>
  </si>
  <si>
    <t>BGC INTERNATIONAL</t>
  </si>
  <si>
    <t>MALCA-AMIT FAR EAST LTD</t>
  </si>
  <si>
    <t>BRINKS TAIWAN SECURITY LIMITED</t>
  </si>
  <si>
    <t>EBS SERVICE COMPANY LIMITED</t>
  </si>
  <si>
    <t>EBS DEALING RESOURCES INTL LTD</t>
  </si>
  <si>
    <t>ABN AMRO BANK NV</t>
  </si>
  <si>
    <t>ABN AMRO LONDON-SIF</t>
  </si>
  <si>
    <t>ABN AMRO BANK, AMSTERDAM</t>
  </si>
  <si>
    <t>ABN AMRO BANK NV, LONDON BRANCH</t>
  </si>
  <si>
    <t>ABN AMRO BANK  NV AMSTERDAM</t>
  </si>
  <si>
    <t>ABN AMRO BANK  NV GLOBAL EQUITY FINANCE</t>
  </si>
  <si>
    <t>ABN AMRO BANK  NV UTRECHT</t>
  </si>
  <si>
    <t>ABN AMRO BANK NV LONDON</t>
  </si>
  <si>
    <t>COUNCIL OF EUROPE DEVELOPMENT BANK</t>
  </si>
  <si>
    <t>ONTARIO GRAPHITE LTD</t>
  </si>
  <si>
    <t>ORGANIZACION ALTEX SA DE CV</t>
  </si>
  <si>
    <t>CORDAX EVALUATION TECHNOLOGIES INC</t>
  </si>
  <si>
    <t>TRADING IN RIVIERA SA DE CV</t>
  </si>
  <si>
    <t>RLH PROPERTIES SA B DE CV</t>
  </si>
  <si>
    <t>NATURESWEET INVERNADEROS S DE RL DE CV</t>
  </si>
  <si>
    <t>FRONTIER SUPPLY CHAIN SOLUTIONS INC</t>
  </si>
  <si>
    <t>HELIJET INTERNATIONAL INC</t>
  </si>
  <si>
    <t>SUNRISE REGIONAL HEALTH AUTHORITY</t>
  </si>
  <si>
    <t>AKER BP ASA</t>
  </si>
  <si>
    <t>BROOKFIELD INFRASTRUCTURE GROUP MEXICO SA DE CV</t>
  </si>
  <si>
    <t>1 DUPRAY INDUSTRIES INC</t>
  </si>
  <si>
    <t>XTRACKERS MSCI EUROZONE HEDGED EQUITY ETF</t>
  </si>
  <si>
    <t>VW CREDIT CANADA INC</t>
  </si>
  <si>
    <t>VW CREDIT CANADA, INC.</t>
  </si>
  <si>
    <t>SOULPEPPER THEATRE COMPANY</t>
  </si>
  <si>
    <t>SDP FINCO PTY LTD</t>
  </si>
  <si>
    <t>DEUTSCHE X-TRACKERS MSCI EMERGING MARKETS HIGH DIVIDEND YIELD HEDGED EQUITY ETF</t>
  </si>
  <si>
    <t>XTRACKERS MSCI ALL WORLD EX US HIGH DIVIDEND YIELD  EQUITY ETF</t>
  </si>
  <si>
    <t>XTRACKERS MSCI EAFE HIGH DIVIDEND YIELD EQUITY ETF</t>
  </si>
  <si>
    <t>XTRACKERS MSCI ALL WORLD EX US HEDGED EQUITY ETF</t>
  </si>
  <si>
    <t>XTRACKERS MSCI GERMANY HEDGED EQUITY ETF</t>
  </si>
  <si>
    <t>XTRACKERS MSCI EUROPE HEDGED EQUITY ETF</t>
  </si>
  <si>
    <t>XTRACKERS INTERNATIONAL REAL ESTATE ETF</t>
  </si>
  <si>
    <t>XTRACKERS MSCI JAPAN HEDGED EQUITY ETF</t>
  </si>
  <si>
    <t>XTRACKERS MSCI EAFE HEDGED EQUITY ETF</t>
  </si>
  <si>
    <t>XTRACKERS MSCI EMERGING MARKETS HEDGED EQUITY ETF</t>
  </si>
  <si>
    <t>ASPENLEAF ENERGY LIMITED</t>
  </si>
  <si>
    <t>ASPENLEAF ENERGY LTD</t>
  </si>
  <si>
    <t>ASPENLEAF ENERGY LTD.</t>
  </si>
  <si>
    <t>636697 ONTARIO LIMITED</t>
  </si>
  <si>
    <t>GBS SOLUTIONS NORTH AMERICA LLC</t>
  </si>
  <si>
    <t>OFFSET MARKET EXCHANGE INC</t>
  </si>
  <si>
    <t>CIBANCO SA INSTITUCION DE BANCA MULTIPLE DIVISION FIDUCIARIA F1622 FIBRA</t>
  </si>
  <si>
    <t>F/1622 FIBRA MACQUARIE MEXICO</t>
  </si>
  <si>
    <t>ALIMENTOS Y SERVICIOS PECUARIOS SA DE CV</t>
  </si>
  <si>
    <t>THOMSON REUTERS SEF LLC</t>
  </si>
  <si>
    <t>RAFFEMET PTE LIMITED</t>
  </si>
  <si>
    <t>RAFFEMET PTE</t>
  </si>
  <si>
    <t>RAFFEMET PTE LTD</t>
  </si>
  <si>
    <t>PREMIER MANAGEMENT INSURANCE INC.</t>
  </si>
  <si>
    <t>PAULINE CENTRE CORP</t>
  </si>
  <si>
    <t>CERES INDUSTRIES</t>
  </si>
  <si>
    <t>TOKA INTERNACIONAL SAPI DE CV</t>
  </si>
  <si>
    <t>1787930 ONTARIO INC</t>
  </si>
  <si>
    <t>MAGNA ASIENTOS DE ALLENDE SA DE CV</t>
  </si>
  <si>
    <t>GOLF DE MAYAKOBA SA DE CV</t>
  </si>
  <si>
    <t>IHG CORE HOLDINGS LTD</t>
  </si>
  <si>
    <t>THE MINISTER OF FINANCE OF NOVA SCOTIA AS TRUSTEE FOR THE PROVINCE OF NOVA SCOTIA PUBLIC SERVICE SUPERANNUATION FUND - PFI INVESTMENT MANDATE</t>
  </si>
  <si>
    <t>BULLIONVAULT LTD</t>
  </si>
  <si>
    <t>LASCAUX RESOURCE CAPITAL LLC</t>
  </si>
  <si>
    <t>LOWER MATTAGAMI ENERGY LP</t>
  </si>
  <si>
    <t>STARWOOD FINANCE LUXEMBURG SARL</t>
  </si>
  <si>
    <t>BANCO MONEX SA INSTITUCION DE BANCA MULTIPLE, MONEX GRUPO FINANCIERO, ACTING NOT IN ITS INDIVIDUAL CAPACITY BUT SOLELY IN ITS CAPACITY AS TRUSTEE OF FIDEICOMISO IRREVOCABLE F/3261</t>
  </si>
  <si>
    <t>SAMSUNG ELECTRONICS MEXICO SA DE CV</t>
  </si>
  <si>
    <t>ENBRIDGE INCOME FUND</t>
  </si>
  <si>
    <t>SERVAX BLEU S DE RL DE CV</t>
  </si>
  <si>
    <t>ADRIANA DOMINGUEZ SEGARRA</t>
  </si>
  <si>
    <t>WEST SPORT FISHING LTD</t>
  </si>
  <si>
    <t>MOLSON COORS NETHERLANDS B.V.</t>
  </si>
  <si>
    <t>MOLSON COORS NETHERLANDS B V</t>
  </si>
  <si>
    <t>COORS BREWING COMPANY</t>
  </si>
  <si>
    <t>MOLSON CANADA 2005</t>
  </si>
  <si>
    <t>CBRE, INC.</t>
  </si>
  <si>
    <t>LOGIQ CAPITAL 2016</t>
  </si>
  <si>
    <t>GABADI SERVICES CANADA INC</t>
  </si>
  <si>
    <t>HOTEL EXPO SA DE CV</t>
  </si>
  <si>
    <t>NATURAL ASSEMBLY LTD</t>
  </si>
  <si>
    <t>RUDNIK (IVLINE) SAS DOOEL MAKEDONSKA KAMENICA</t>
  </si>
  <si>
    <t>TD ASSET  MANAGEMENT 1035</t>
  </si>
  <si>
    <t>DEUTSCHE X-TRACKERS MSCI SPAIN HEDGED EQUITY ETF</t>
  </si>
  <si>
    <t>SUN LIFE SHORT TERM PRIVATE FIXED INCOME PLUS FUND</t>
  </si>
  <si>
    <t>CBRE S A DE CV</t>
  </si>
  <si>
    <t>CARIANA L P</t>
  </si>
  <si>
    <t>CARIANA L.P</t>
  </si>
  <si>
    <t>CAVA SAN JOSE SA DE CV</t>
  </si>
  <si>
    <t>KYOZOU INC</t>
  </si>
  <si>
    <t>HOTEL PARQUE SANTA FE SA DE CV</t>
  </si>
  <si>
    <t>INMOBILIARIA MARLY SA DE CV</t>
  </si>
  <si>
    <t>AF RETAIL S DE RL DE CV</t>
  </si>
  <si>
    <t>CALFRAC WELL SERVICES LTD.</t>
  </si>
  <si>
    <t>PCCW LTD</t>
  </si>
  <si>
    <t>LYNX RESOURCES LIMITED</t>
  </si>
  <si>
    <t>LOS RANCHEROS COMERCIALIZADORA SA DE CV</t>
  </si>
  <si>
    <t>TITAN ENERGY OPERATING LLC</t>
  </si>
  <si>
    <t>VERESEN MIDSTREAM LIMITED PARTNERSHIP</t>
  </si>
  <si>
    <t>GUARDIAN INTERNATIONAL EQUITY SELECT FUND</t>
  </si>
  <si>
    <t>BLUECREST CAPITAL MANAGEMENT UK LLP BLOCK TRADE</t>
  </si>
  <si>
    <t>MOLSON COORS BEVERAGE COMPANY UK LIMITED</t>
  </si>
  <si>
    <t>MOLSON COORS BEVERAGE COMPANY (UK) LIMITED</t>
  </si>
  <si>
    <t>MOLSON COORS BREWING COMPANY (UK) LIMITED</t>
  </si>
  <si>
    <t>West Kowloon Cultural District Authority</t>
  </si>
  <si>
    <t>TAHOE RESOURCES INC</t>
  </si>
  <si>
    <t>VENAMECA MEXICO SA DE CV</t>
  </si>
  <si>
    <t>VERIZON COMMUNICATIONS INC.</t>
  </si>
  <si>
    <t>VERIZON COMMUNICATIONS INC</t>
  </si>
  <si>
    <t>VERIZON COMMUNICATIONS INC (LOW CSA THRESHOLD)</t>
  </si>
  <si>
    <t>VERIZON COMMUNICATIONS INC (HIGH CSA THRESHOLD)</t>
  </si>
  <si>
    <t>ONE WIND SERVICES INC</t>
  </si>
  <si>
    <t>INMOBILIARIA AREL SA DE CV</t>
  </si>
  <si>
    <t>1851410 ONTARIO INC O/A MAVERICKS VFX</t>
  </si>
  <si>
    <t>BrokerTec Europe Limited</t>
  </si>
  <si>
    <t>MOUNTAIN VIEW PARTNERS GP</t>
  </si>
  <si>
    <t>BOEMAR SURFACE SYSTEMS INC</t>
  </si>
  <si>
    <t>FARAH AUTO BODY LTD</t>
  </si>
  <si>
    <t>GRAN TIERRA ENERGY CANADA ULC</t>
  </si>
  <si>
    <t>GRAN TIERRA RESOURCES LIMITED</t>
  </si>
  <si>
    <t>SSAB ENTERPRISES LLC</t>
  </si>
  <si>
    <t>ABRY ADVANCED SECURITIES FUND III LP</t>
  </si>
  <si>
    <t>CONCORDIA INSTITUTIONAL MULTI-STRATEGY LTD</t>
  </si>
  <si>
    <t>CONCORDIA G10 FIXED INCOME RELATIVE VALUE FUND LP</t>
  </si>
  <si>
    <t>III TERM CREDIT HUB FUND LTD.</t>
  </si>
  <si>
    <t>SCOTIA ADMINISTRADORA GENERAL DE FONDOS  S.A</t>
  </si>
  <si>
    <t>LYSANDER BALANCED FUND</t>
  </si>
  <si>
    <t>SE CANADA HOLDINGS LP</t>
  </si>
  <si>
    <t>RJ CAPITAL SERVICES INC</t>
  </si>
  <si>
    <t>OCEANAGOLD (PHILIPPINES), INC</t>
  </si>
  <si>
    <t>OCEANAGOLD MANAGEMENT PTY LIMITED</t>
  </si>
  <si>
    <t>THE BRENAN GROUP LTD</t>
  </si>
  <si>
    <t>RAWLCO CAPITAL LTD</t>
  </si>
  <si>
    <t>WESTERN AUSTRALIAN MINT</t>
  </si>
  <si>
    <t>DELL INC.</t>
  </si>
  <si>
    <t>DELL INC</t>
  </si>
  <si>
    <t>EMC CORPORATION</t>
  </si>
  <si>
    <t>CC&amp;L Q Global Equity Market Neutral Master Fund Ltd.</t>
  </si>
  <si>
    <t>HUNTER LITIGATION CHAMBERS LAW CORP</t>
  </si>
  <si>
    <t>4369777 CANADA INC</t>
  </si>
  <si>
    <t>TH LOGISTICS INC</t>
  </si>
  <si>
    <t>7 ELEVEN INC</t>
  </si>
  <si>
    <t>HEADWATER EXPLORATION INC.</t>
  </si>
  <si>
    <t>HEADWATER EXPLORATION INC</t>
  </si>
  <si>
    <t>RIO NUEVO TRUCKING S DE RL DE CV</t>
  </si>
  <si>
    <t>JOHN HANCOCK STRATEGIC INCOME OPPORTUNITIES FUND</t>
  </si>
  <si>
    <t>JH STRATEGIC INCOME OPPORTUNITIES FUND</t>
  </si>
  <si>
    <t>INSURGENTES LA JOYA</t>
  </si>
  <si>
    <t>HILL-ROM HOLDINGS, INC.</t>
  </si>
  <si>
    <t>PARQUE INDUSTRIAL NUEVO LAREDO 2000 SA DE CV</t>
  </si>
  <si>
    <t>BLACKHAWK CAPITAL CORPORATION</t>
  </si>
  <si>
    <t>IGT MEXICO LOTTERY SRL DE CV</t>
  </si>
  <si>
    <t>CIBC MELLON TRUST COMPANY</t>
  </si>
  <si>
    <t>GRUPO TRANSFER SA DE CV</t>
  </si>
  <si>
    <t>HIDROCAPITALES SA DE CV</t>
  </si>
  <si>
    <t>623715 BC LIMITED</t>
  </si>
  <si>
    <t>TORONTO DOMINION BANK TAIPEI (TAIWAN)</t>
  </si>
  <si>
    <t>TD Bank Southeast Asia / TD Bank</t>
  </si>
  <si>
    <t>TORONTO DOMINION BANK SINGAPORE</t>
  </si>
  <si>
    <t>TD Bank Singapore</t>
  </si>
  <si>
    <t>NATIONAL BANK OF FUJAIRAH PSC</t>
  </si>
  <si>
    <t>NATIONAL BANK OF FUJAIRAH</t>
  </si>
  <si>
    <t>CHINA DIRECT SALES LTD</t>
  </si>
  <si>
    <t>BANQUE NATIONALE DE BELGIQUE SA</t>
  </si>
  <si>
    <t>MEDMIRA LABORATORIES INC</t>
  </si>
  <si>
    <t>GRUPO INDUSTRIAL SALTILLO SAB DE CV</t>
  </si>
  <si>
    <t>HOLLYFRONTIER REFINING AND MARKETING LLC</t>
  </si>
  <si>
    <t>SPINRITE LIMITED PARTNERSHIP</t>
  </si>
  <si>
    <t>GO SEA LOGISTICS AND SERVICES SA DE CV</t>
  </si>
  <si>
    <t>MURPHY OIL COMPANY LTD</t>
  </si>
  <si>
    <t>BNP PARIBAS PRIME BROKERAGE, INC.</t>
  </si>
  <si>
    <t>BNP PARIBAS PRIME BROKERAGE, INC</t>
  </si>
  <si>
    <t>BLAST PROMOTIONS INC</t>
  </si>
  <si>
    <t>DANCING BEE INC</t>
  </si>
  <si>
    <t>FORD INVESTMENT CORP</t>
  </si>
  <si>
    <t>RAVI HOLDINGS INC</t>
  </si>
  <si>
    <t>INDELPRO SA DE CV</t>
  </si>
  <si>
    <t>INDELPRO S.A. DE C.V.</t>
  </si>
  <si>
    <t>PC JEWELLER LIMITED</t>
  </si>
  <si>
    <t>WILTON RE LTD.</t>
  </si>
  <si>
    <t>CASTLERIGG MASTER INVESTMENTS LIMITED</t>
  </si>
  <si>
    <t>AGRODESA LAGUNA S P R DE R L</t>
  </si>
  <si>
    <t>DIEGO ESPADA IGLESIAS</t>
  </si>
  <si>
    <t>COTY B.V.</t>
  </si>
  <si>
    <t>LB PALLETS &amp; CRATES DEL POTOSI S R L DE CV</t>
  </si>
  <si>
    <t>OCEANVIEW PATIO DOORS LTD</t>
  </si>
  <si>
    <t>X149X</t>
  </si>
  <si>
    <t>GLOBAL EQUITY FINANCE SCOTIA CAP</t>
  </si>
  <si>
    <t>BNS ON BEHALF OF TRW DELPLAS</t>
  </si>
  <si>
    <t>BNS 07305 BNS LONDON - REMITTING - SPOT</t>
  </si>
  <si>
    <t>BNS 07405 BNS UK REM</t>
  </si>
  <si>
    <t>CMF NEW YORK DESK</t>
  </si>
  <si>
    <t>WMF GLOBAL EQUITY FINANCE (01347)</t>
  </si>
  <si>
    <t>BNS 06955 SIDAC CMF</t>
  </si>
  <si>
    <t>BNS26047 BNS IB CORPORATE POSITION</t>
  </si>
  <si>
    <t>GFI AUSTRALIA PTY LTD</t>
  </si>
  <si>
    <t>BNSL</t>
  </si>
  <si>
    <t>BNS 33621 SAINTE DOROTHEE</t>
  </si>
  <si>
    <t>BNS 43661 POINTE AUX TREMBLES</t>
  </si>
  <si>
    <t>OPICS FX OPTIONS</t>
  </si>
  <si>
    <t>DIR CONTAB PROD FINAN Y PROC ESP</t>
  </si>
  <si>
    <t>GIA OPERACION TESORERIA¿BANCO</t>
  </si>
  <si>
    <t>GIA SISTEMAS DE PAGOS 1</t>
  </si>
  <si>
    <t>TT GENERIC CLIENT SETUP TEMPLATE</t>
  </si>
  <si>
    <t>MARIA DE LOS DOLORES MONTILLA BRAVO</t>
  </si>
  <si>
    <t>VENTANILLA TORREON 1</t>
  </si>
  <si>
    <t>FICC STRUCTURED NOTES</t>
  </si>
  <si>
    <t>BNS 41327 IBGAAP_CHILE</t>
  </si>
  <si>
    <t>BNS MID TERM FUNDING10 DESK</t>
  </si>
  <si>
    <t>BNS MID TERM FUNDING13 DESK</t>
  </si>
  <si>
    <t>BNS MID TERM FUNDING4 DESK</t>
  </si>
  <si>
    <t>BNS MID FUNDING 8 DESK</t>
  </si>
  <si>
    <t>BNS MID TERM FUNDING9 DESK</t>
  </si>
  <si>
    <t>NY MOCATTA SFX DUMMY</t>
  </si>
  <si>
    <t>VENTANILLA MOD. POLANCO</t>
  </si>
  <si>
    <t>PHONE</t>
  </si>
  <si>
    <t>MEXICO METALS DESK</t>
  </si>
  <si>
    <t>GIA CAMBIOS Y SISTEMAS DE PAGOS 2</t>
  </si>
  <si>
    <t>REGIONAL DIVERSIFIED INDUSTRIES</t>
  </si>
  <si>
    <t>DIR ADJ CONTABILIDAD Y CREDITO</t>
  </si>
  <si>
    <t>INVERDOL</t>
  </si>
  <si>
    <t>GIA CONTABILIDAD FIDUCIARIO</t>
  </si>
  <si>
    <t>GIA CONTABILIDAD CAMBIOS</t>
  </si>
  <si>
    <t>OP MULTITRONIC INVERWEB</t>
  </si>
  <si>
    <t>VENTANILLA PLAYA DEL CARMEN</t>
  </si>
  <si>
    <t>BNS SCOTIA PLAZA ISS SECURITIES OP</t>
  </si>
  <si>
    <t>VENTANILLA REYNOSA</t>
  </si>
  <si>
    <t>LDC PROVISIONING</t>
  </si>
  <si>
    <t>STOP LOSS ORDER</t>
  </si>
  <si>
    <t>SPOT HEDGE CUSTOMER</t>
  </si>
  <si>
    <t>VENTANILLA MERIDA</t>
  </si>
  <si>
    <t>THE BANK OF NOVA SCOTIA</t>
  </si>
  <si>
    <t>BNS SUNDRY DEALS TO</t>
  </si>
  <si>
    <t>VENTANILLA MONTERREY 2</t>
  </si>
  <si>
    <t>MOCH THE BANK OF NOVA SCOTIAMOCATTA TOTUS</t>
  </si>
  <si>
    <t>MOCH THE BANK OF NOVA SCOTIAMOCATTA NON TOTUS</t>
  </si>
  <si>
    <t>SCOTIAMOCATTA TORONTO</t>
  </si>
  <si>
    <t>BNS 05736 TRENTON TO CEN</t>
  </si>
  <si>
    <t>BNS COMMODITIES INX</t>
  </si>
  <si>
    <t>BNS 30254 MINTO</t>
  </si>
  <si>
    <t>BNS 30288 STAR CITY</t>
  </si>
  <si>
    <t>BNS 30320 SALMON ARM</t>
  </si>
  <si>
    <t>BNS 30353 MIDDLETON</t>
  </si>
  <si>
    <t>BNS COUVA BR 30395</t>
  </si>
  <si>
    <t>BNS 51680 GLENN MOUNTAIN VILLAGE</t>
  </si>
  <si>
    <t>BNS 51920 IRONWOOD PLAZA RICHMOND,</t>
  </si>
  <si>
    <t>BNS 52142 BROWNS LINENB</t>
  </si>
  <si>
    <t>BNS 52795 SAT BR OF JAMA</t>
  </si>
  <si>
    <t>BNS 06213 GALWAY</t>
  </si>
  <si>
    <t>BNS 06486 ALGONQUIN SQUARE</t>
  </si>
  <si>
    <t>GLOBAL EQUITY FINANCE SYNTHETIC</t>
  </si>
  <si>
    <t>VENTANILLA HERMOSILLO 2</t>
  </si>
  <si>
    <t>BNS 07252 PARKSIDE/WEBER</t>
  </si>
  <si>
    <t>BNS 07906 2290 LAWRENCE AVE E</t>
  </si>
  <si>
    <t>BNS08276 BRAMPTON AIRPORT YELL AVEN</t>
  </si>
  <si>
    <t>SK BUSINESS BANKING</t>
  </si>
  <si>
    <t>BNS 08532  463 ST CLAIR</t>
  </si>
  <si>
    <t>BNS 30528 BOX 347 REGINA</t>
  </si>
  <si>
    <t>BNS 30569 FT MCMURRAY</t>
  </si>
  <si>
    <t>BNS 30601 BNS ALMA</t>
  </si>
  <si>
    <t>BNS 30650 BNS RUTLAND</t>
  </si>
  <si>
    <t>BNS 30692 NEWMARKET ONT</t>
  </si>
  <si>
    <t>BNS 30726 P ANKA/MCCARTH</t>
  </si>
  <si>
    <t>BNS 30767 FLIN FLON</t>
  </si>
  <si>
    <t>BNS 30809 BRAESIDE S C</t>
  </si>
  <si>
    <t>BNS 30890 BNS FERNIE</t>
  </si>
  <si>
    <t>BNS 53330 OVAL VILLAGE</t>
  </si>
  <si>
    <t>CMG CREDIT TRS PORTFOLIO 53397</t>
  </si>
  <si>
    <t>BNS 54321 MONTREAL CAU</t>
  </si>
  <si>
    <t>BNS GLOBAL TREASURY LOSSES TRADING</t>
  </si>
  <si>
    <t>BNS 54726 ERIN MILLS</t>
  </si>
  <si>
    <t>BNS 54916 SCARBOROUGH</t>
  </si>
  <si>
    <t>BNS 55566 PEN CTRE</t>
  </si>
  <si>
    <t>VENTANILLA MAZATLAN</t>
  </si>
  <si>
    <t>PRINCIPAL TRADERS CONSOLIDATED</t>
  </si>
  <si>
    <t>SMWBGL</t>
  </si>
  <si>
    <t>BNS 50302 BNS CONSECON</t>
  </si>
  <si>
    <t>BNS 50336 SOUTH MOUNTAIN</t>
  </si>
  <si>
    <t>BNS 50369 BNS OLDS ALTA</t>
  </si>
  <si>
    <t>BNS 01792 UNIONVILLE</t>
  </si>
  <si>
    <t>BNS 01845 HK GLB CAP MRK ASIA PACIF</t>
  </si>
  <si>
    <t>BNS 02022 DON MILLS/EGLI</t>
  </si>
  <si>
    <t>BNSSIPM BNS SINGAPORE PMTU</t>
  </si>
  <si>
    <t>BNS 25106 SUPERCENTRE</t>
  </si>
  <si>
    <t>BNS25882 BRAMALEA AND SANDALWOOD BR</t>
  </si>
  <si>
    <t>BNS26112 MISSISSAUGA AND FINANCIAL</t>
  </si>
  <si>
    <t>BNS 27516 TECUMSEH</t>
  </si>
  <si>
    <t>BNS 50542 DUNDAS AND LYLE</t>
  </si>
  <si>
    <t>BNS 50583 CHANNEL PORT</t>
  </si>
  <si>
    <t>BNS 50617 PORTAGE LA PRA</t>
  </si>
  <si>
    <t>BNS 50658 BNS WEYBURN</t>
  </si>
  <si>
    <t>BNS 50708 BNS SASKATOON</t>
  </si>
  <si>
    <t>BNS 50773 BNS ALBANY</t>
  </si>
  <si>
    <t>BNS22467 BANK CORPORATE POSITION FWD</t>
  </si>
  <si>
    <t>BNS 02659 WESTMOUNT</t>
  </si>
  <si>
    <t>BNS 02881 PLACE GRILLI</t>
  </si>
  <si>
    <t>BNS 03020 VANCOUVER BSC PROCESS INQ</t>
  </si>
  <si>
    <t>BNS 03129 SOUTH LETHBRIDGE ALBERTA</t>
  </si>
  <si>
    <t>BNS 03210 LADNER BC</t>
  </si>
  <si>
    <t>BNS 03285 THESSALONIKI</t>
  </si>
  <si>
    <t>BNS 03350 CAMBIE AND KING EDWARD V BC</t>
  </si>
  <si>
    <t>BNS03731 SAINTE-CATHERINE ET GUY</t>
  </si>
  <si>
    <t>BNS 30015 35-45 KING ST</t>
  </si>
  <si>
    <t>BNS 30049 NORTH HILL</t>
  </si>
  <si>
    <t>BNS 30072 LAWRENCE/BATH</t>
  </si>
  <si>
    <t>BNS 30106 ARNPRIOR ONT</t>
  </si>
  <si>
    <t>BNS 30148 CHOICELAND</t>
  </si>
  <si>
    <t>BNS QITS MONTREAL</t>
  </si>
  <si>
    <t>BNS 51201 BNS ROSEMERE</t>
  </si>
  <si>
    <t>BNS 51326 BARHVN TWN CTR</t>
  </si>
  <si>
    <t>GLOBAL EQUITY DERIVATIVES NON TOTUS</t>
  </si>
  <si>
    <t>BNS 51391 CHARLES BORG</t>
  </si>
  <si>
    <t>BNS 51433 SUMMERSIDE MAL</t>
  </si>
  <si>
    <t>BNS51516</t>
  </si>
  <si>
    <t>BNS 51631 ST JEAN RICHEL</t>
  </si>
  <si>
    <t>BNS 03996 FRONT STREET CENTALIZED A</t>
  </si>
  <si>
    <t>BNS 04175 SYDNEY BRANCH</t>
  </si>
  <si>
    <t>BNS 04952 HIWAY 7 AND BULL</t>
  </si>
  <si>
    <t>BNS 05132 MCCOWAN/ALTON</t>
  </si>
  <si>
    <t>BNS 05462 WATER PARK PL</t>
  </si>
  <si>
    <t>BANK OF NOVA SCOTIA (SILVER)</t>
  </si>
  <si>
    <t>BNS TORONTO ALTERNATIVE</t>
  </si>
  <si>
    <t>GATINEAU GARDA</t>
  </si>
  <si>
    <t>BNS VAUGHAN BATHURST AND TESTON</t>
  </si>
  <si>
    <t>BNS 78816 HEALTH CARE PROFESSIONAL</t>
  </si>
  <si>
    <t>BNS 80010 BNS VICTORIA</t>
  </si>
  <si>
    <t>BNS 80051 DECARRIE/FERR</t>
  </si>
  <si>
    <t>BNS 12187 INTERNATIONAL TREASURY</t>
  </si>
  <si>
    <t>BNS 80093 FRESHWTR/PARAD</t>
  </si>
  <si>
    <t>BNS 80143 BNS BRIDGETOWN</t>
  </si>
  <si>
    <t>BNS 80176 COBDEN ONTARIO</t>
  </si>
  <si>
    <t>BNS 80200 MAILLARDVILLE</t>
  </si>
  <si>
    <t>BNS 80234 LANCASTER</t>
  </si>
  <si>
    <t>BNS 80358 13TH/ROBINSON</t>
  </si>
  <si>
    <t>BNS 80382 HAILEYBURY ONT</t>
  </si>
  <si>
    <t>BNS 80440 GRANVILLE/PEND</t>
  </si>
  <si>
    <t>BNS 80481 LAURENTIAN/GOR</t>
  </si>
  <si>
    <t>BNS 80549 OTTEWELL SC</t>
  </si>
  <si>
    <t>BNS 80598 PARKLAND MALL</t>
  </si>
  <si>
    <t>BNS 80648 CIRCLE/FAITHFL</t>
  </si>
  <si>
    <t>MANITOBA INBC MIBC</t>
  </si>
  <si>
    <t>BNS 80770 FORT NELSON</t>
  </si>
  <si>
    <t>BNS 80812 PETROLIA ONTARIO</t>
  </si>
  <si>
    <t>FUTURE TRADERS POSITION</t>
  </si>
  <si>
    <t>FXPLSWP</t>
  </si>
  <si>
    <t>FXSWEEP</t>
  </si>
  <si>
    <t>BNS 24042 49 MATHESON BL</t>
  </si>
  <si>
    <t>BNS 50161 COTE DE NEIGE</t>
  </si>
  <si>
    <t>BNS 50203 BNS DIGBY</t>
  </si>
  <si>
    <t>BNS 50237 BNS RED LAKE</t>
  </si>
  <si>
    <t>BNS 50278 SPRITWOOD</t>
  </si>
  <si>
    <t>BNS STE.HUBERT QUEBEC</t>
  </si>
  <si>
    <t>BNS 91512 PARLIAMENT/GER</t>
  </si>
  <si>
    <t>BNS 91603 FARVIEW BRANCH</t>
  </si>
  <si>
    <t>BNS 91660 WESTBANK, BC</t>
  </si>
  <si>
    <t>BNS 92429 EATON CENTRE EDMONTON</t>
  </si>
  <si>
    <t>BNS 92650 PORT COQ</t>
  </si>
  <si>
    <t>BNS 92809 PILOT SOUND EDMONTON</t>
  </si>
  <si>
    <t>BNS 93062 GODERICH ONT</t>
  </si>
  <si>
    <t>BNS METRO MCGILL MONTREAL QUEBEC</t>
  </si>
  <si>
    <t>BNS 93682 AJAX, HIGHWAY 2 N HARWOOD</t>
  </si>
  <si>
    <t>BNS 94045 PROVIDENCIALES</t>
  </si>
  <si>
    <t>BNS SCOTIA CASSELS INVESTMENTS INC</t>
  </si>
  <si>
    <t>CTRL</t>
  </si>
  <si>
    <t>BANK OF NOVA SCOTIA (94342)</t>
  </si>
  <si>
    <t>CLARO COLOMBIA LOANS</t>
  </si>
  <si>
    <t>BANK OF NOVA SCOTIA 94342DWB</t>
  </si>
  <si>
    <t>BNS 94375 GUYANA COUNTRY OFFICE</t>
  </si>
  <si>
    <t>BNS 94706 SHERWAY GAR</t>
  </si>
  <si>
    <t>BNS 71282 EGLINGTON/CALE</t>
  </si>
  <si>
    <t>BNS 71373 GOULDS, NFLD</t>
  </si>
  <si>
    <t>BNS 71423 TRURO CENTER</t>
  </si>
  <si>
    <t>BNS 71480 5 AND BRIDGPT RD</t>
  </si>
  <si>
    <t>BNS 71662 WESTBURY HOTEL</t>
  </si>
  <si>
    <t>BNS 71787 WINNIPEG</t>
  </si>
  <si>
    <t>SCOTIA MERCANTILE BANK (94995)</t>
  </si>
  <si>
    <t>BNS 95596 KENWICK PL</t>
  </si>
  <si>
    <t>CMF STIRT</t>
  </si>
  <si>
    <t>BNS 95802 WALKERS LINE</t>
  </si>
  <si>
    <t>BNS 96412 LANGSTAFF/RIV</t>
  </si>
  <si>
    <t>BNS 97832 MISSISSAUGA M</t>
  </si>
  <si>
    <t>BNS 98756 FINDLAY CREEK OTTAWA</t>
  </si>
  <si>
    <t>GENERIC CORP CURRENT A/C NO FX SWP</t>
  </si>
  <si>
    <t>BNS 72272 PEEL VILLAGE S</t>
  </si>
  <si>
    <t>BNS 72462 BNS WEST AND NOR</t>
  </si>
  <si>
    <t>BANK OF NOVA SCOTIA (72702)</t>
  </si>
  <si>
    <t>BNS 72793 PRIVATE BANKING HALIFAX</t>
  </si>
  <si>
    <t>BNS DEALER BANKING DIVISION</t>
  </si>
  <si>
    <t>BNS73320 CLAYTON</t>
  </si>
  <si>
    <t>BNS 73502 BRAMALEA CTY C</t>
  </si>
  <si>
    <t>BNS CAPITAL MARKETS MERCHANT</t>
  </si>
  <si>
    <t>BNS CURACAO</t>
  </si>
  <si>
    <t>BANK OF NOVA SCOTIA  EURO</t>
  </si>
  <si>
    <t>BNS MAIN BRANCH HALIFAX</t>
  </si>
  <si>
    <t>BNS INVESTMENT ACCOUNTING</t>
  </si>
  <si>
    <t>BNS 74245 RODNEY BAY, ST.LUCIA</t>
  </si>
  <si>
    <t>BNS 74526 AGINCOURT MALL</t>
  </si>
  <si>
    <t>BNS 74716 DIXIE VALUE</t>
  </si>
  <si>
    <t>GFI CREDIT SPOT</t>
  </si>
  <si>
    <t>BNS OTHER BANKS SUNDRY</t>
  </si>
  <si>
    <t>BNS PENSION FUND</t>
  </si>
  <si>
    <t>BNS 88856 CHINGUACOUSY AND QUEEN</t>
  </si>
  <si>
    <t>BNS 89375 BANK OF NOVA SCOTIA BAHAM</t>
  </si>
  <si>
    <t>BNS 90134 BNS CHATHAM NB</t>
  </si>
  <si>
    <t>BNS 90183 BRIDGE BRANCH</t>
  </si>
  <si>
    <t>BNS 90233 BARRINGTON ST</t>
  </si>
  <si>
    <t>BNS 90266 OTTAWA EAST</t>
  </si>
  <si>
    <t>BNS 90290 PORT HARDY</t>
  </si>
  <si>
    <t>BNS 90340 BNS TERRACE BC</t>
  </si>
  <si>
    <t>BNS 90399 BNS RED DEER</t>
  </si>
  <si>
    <t>BNS 90530 MAIN/SECOND</t>
  </si>
  <si>
    <t>BNS 90605 WEST GATE</t>
  </si>
  <si>
    <t>BNS 90639 82ND AV/75TH</t>
  </si>
  <si>
    <t>BNS12617 BANK STRUCTURAL POSITION FWD</t>
  </si>
  <si>
    <t>BNS 90704 BNS TRACADIE</t>
  </si>
  <si>
    <t>BNS 90753 BNS WESLEYVILL</t>
  </si>
  <si>
    <t>BNS 90829 STANDOFF</t>
  </si>
  <si>
    <t>BNS 90902 NIAGARA/WELAND</t>
  </si>
  <si>
    <t>BNS 90993 BRIDGEWATER</t>
  </si>
  <si>
    <t>PACIFIC INBC PIBC</t>
  </si>
  <si>
    <t>BNS 91231 PLAZA LANGELI</t>
  </si>
  <si>
    <t>BNS 91280 WYNN VALLEY BC BRANCH</t>
  </si>
  <si>
    <t>BNS 91363 MICMAC MALL</t>
  </si>
  <si>
    <t>BNS 91389 SPRUCE GROVE</t>
  </si>
  <si>
    <t>BNS 81190 REDWOOD SQUARE</t>
  </si>
  <si>
    <t>BNS 81323 ABERDEEN MALL</t>
  </si>
  <si>
    <t>BNS 81372 QUEENSWAY &amp;  ISLINGTON</t>
  </si>
  <si>
    <t>BNS 81455 ST GEORGES</t>
  </si>
  <si>
    <t>BNS 81463 BNS LONG POND</t>
  </si>
  <si>
    <t>BNS 81562 QUEEN/WINEVA</t>
  </si>
  <si>
    <t>BNS 81695 SFRAN AGENCY</t>
  </si>
  <si>
    <t>BNS 81802 WATERLOO</t>
  </si>
  <si>
    <t>BNS 81950 COAL HARBOUR</t>
  </si>
  <si>
    <t>BNS 82040 SURREY, B.C</t>
  </si>
  <si>
    <t>BNS 82925 BARBADOS OFFSHORE BKG UNI</t>
  </si>
  <si>
    <t>BNS82941 ILE DES SOEURS</t>
  </si>
  <si>
    <t>BNS 83030 PITT MEADOWS BRANCH</t>
  </si>
  <si>
    <t>BNS 83170 BNS PRIVATE BANKING - VIC</t>
  </si>
  <si>
    <t>BNS 83402 MIDTOWN MALL O</t>
  </si>
  <si>
    <t>BNS 83832 VILLAGE GREEN</t>
  </si>
  <si>
    <t>BNS 84392 DIXIE/EGLINTON</t>
  </si>
  <si>
    <t>BNS 84822 CHRIS/CHAMPLAN</t>
  </si>
  <si>
    <t>BNS 85126 10 CAMERON ST</t>
  </si>
  <si>
    <t>VENTANILLA IRAPUATO 1</t>
  </si>
  <si>
    <t>BNS 85282 DON/YORK MILLS</t>
  </si>
  <si>
    <t>BNS 86082 BRADFORD</t>
  </si>
  <si>
    <t>BNS 86462 DIXIE/BRITANNA</t>
  </si>
  <si>
    <t>BNS 87122 MARKHAM PLACE</t>
  </si>
  <si>
    <t>BNS 87312 PICKERING HUBB PLAZA</t>
  </si>
  <si>
    <t>BNS 87882 DAVIS/LESLIE</t>
  </si>
  <si>
    <t>BNS 88336 LAURELWOOD AND ERBSVILLE</t>
  </si>
  <si>
    <t>BNS 00364 BNS WOODSTOCK</t>
  </si>
  <si>
    <t>BNS 00380 BROADWAY AND ONT</t>
  </si>
  <si>
    <t>BNS 00612 MATTAWA ONT</t>
  </si>
  <si>
    <t>BNS 00687 BALM/HEWITSON</t>
  </si>
  <si>
    <t>BNS 00737 BNS WINKLER</t>
  </si>
  <si>
    <t>BNS 21402 KINGSTO/MIDLAN</t>
  </si>
  <si>
    <t>BNS 21519 CLOVER BAR</t>
  </si>
  <si>
    <t>BNS 20107 BNS EMERSON</t>
  </si>
  <si>
    <t>BNS 20149 BROOKS ALTA</t>
  </si>
  <si>
    <t>BNS 20313 HANTSPORT</t>
  </si>
  <si>
    <t>BNS 41640 CRNBRK/6TH S N</t>
  </si>
  <si>
    <t>BNS 41731 PRIVATE BANKING MONTREAL</t>
  </si>
  <si>
    <t>BNS 41962 HURON/HIGHBURY</t>
  </si>
  <si>
    <t>BNS 42143 DOW LOWER SACK</t>
  </si>
  <si>
    <t>BNS DP GLOBAL ENERGY SOLUTIONS</t>
  </si>
  <si>
    <t>BNS 42341 ST LAMBERT</t>
  </si>
  <si>
    <t>BNS 61630 VILLAGE GREEN</t>
  </si>
  <si>
    <t>BNS 61762 YONGE AND ST CLAIR</t>
  </si>
  <si>
    <t>BNS 61812 UNION/MOORE</t>
  </si>
  <si>
    <t>BNS 61952 1791 LAKSHR W</t>
  </si>
  <si>
    <t>BNS 62232 NORTHERN/HWY17</t>
  </si>
  <si>
    <t>BNS 62422 PORT UNION/FAN</t>
  </si>
  <si>
    <t>BNS 62703 HALIFAX</t>
  </si>
  <si>
    <t>BNS 62786 PETAWAWA ONT</t>
  </si>
  <si>
    <t>BNS 62935 WILDEY BR</t>
  </si>
  <si>
    <t>BNS NY</t>
  </si>
  <si>
    <t>BNS 20354 SUSSEX</t>
  </si>
  <si>
    <t>BNS 20388 AVALON S M</t>
  </si>
  <si>
    <t>BNS 20438 ALBERT/9TH</t>
  </si>
  <si>
    <t>VENTANILLA AEROPUERTO</t>
  </si>
  <si>
    <t>THE BANK OF NOVA SCOTIA ADP 191</t>
  </si>
  <si>
    <t>BNS 40733 CLARKES BEACH</t>
  </si>
  <si>
    <t>BNS 40832 PORT CARLING</t>
  </si>
  <si>
    <t>BNS 40873 GLOVERTOWN</t>
  </si>
  <si>
    <t>BNS 41392 KINGSTON/MAIN</t>
  </si>
  <si>
    <t>BNS 41483 WHITBOURNE</t>
  </si>
  <si>
    <t>BNS 70763 BNS WABANA</t>
  </si>
  <si>
    <t>BNS 71142-130 BLOOR ST W</t>
  </si>
  <si>
    <t>BNS 20032 KING/VICTORIA</t>
  </si>
  <si>
    <t>BNS 20073 BNS AMHERST</t>
  </si>
  <si>
    <t>BNS MIAMI</t>
  </si>
  <si>
    <t>BNS 12419 SOUTH CENTRE CALGARY</t>
  </si>
  <si>
    <t>BNS 12559 BRIDLEWOOD</t>
  </si>
  <si>
    <t>BNS 35832 ERIN MILLS</t>
  </si>
  <si>
    <t>BNS 35857</t>
  </si>
  <si>
    <t>BNS38695 CENTRALIZED ACCOUNTING FAC</t>
  </si>
  <si>
    <t>BNS 70052 KITCHENER ONT</t>
  </si>
  <si>
    <t>BNS 70094 BNS CAMPBELLTN</t>
  </si>
  <si>
    <t>BNS 70128 BNS BEECHY</t>
  </si>
  <si>
    <t>BNS 70151 ST PETER ST QB</t>
  </si>
  <si>
    <t>BNS 70201 MASSON/4TH AV</t>
  </si>
  <si>
    <t>BNS 12781 FAUBOURG BOISBRIAND</t>
  </si>
  <si>
    <t>BNS 12872 EDINBURGH AND KORTRIGHT</t>
  </si>
  <si>
    <t>BNS 13060 RSC ESTATES</t>
  </si>
  <si>
    <t>BNS 13110 PANORAMA</t>
  </si>
  <si>
    <t>BNS 13300 BAKER STREET</t>
  </si>
  <si>
    <t>BNS 40014 CHARLOTTE ST</t>
  </si>
  <si>
    <t>BNS 40048 WEST SIDE, SAS</t>
  </si>
  <si>
    <t>BNS 40089 82/105 EDMONTN</t>
  </si>
  <si>
    <t>BNS 40170 BNS LUMBY</t>
  </si>
  <si>
    <t>BNS 40212 BRANTFORD</t>
  </si>
  <si>
    <t>BNS SOUTH ALBERTA, SASK</t>
  </si>
  <si>
    <t>BNS 20941 LOUVAIN/MEILLE</t>
  </si>
  <si>
    <t>BNS 21063 SCOTIA SQUARE</t>
  </si>
  <si>
    <t>BNS 21337 WINNIPEG SYMCOR</t>
  </si>
  <si>
    <t>BNS 44966 OSHAWA</t>
  </si>
  <si>
    <t>BNS 45252 HIGHLAND PARK</t>
  </si>
  <si>
    <t>BNS 45476 TROWBRIDGE ST</t>
  </si>
  <si>
    <t>BNS 45682 STRATFORD FEST</t>
  </si>
  <si>
    <t>BNS 47316 ALCONA INNISFIL</t>
  </si>
  <si>
    <t>BNS 70227 THUNDER BAY</t>
  </si>
  <si>
    <t>BNS 70268 SHELLBROOK</t>
  </si>
  <si>
    <t>BNS 70300 PORT MOODY</t>
  </si>
  <si>
    <t>BNS 70334 BNS SACKVILLE</t>
  </si>
  <si>
    <t>BNS 70383 NORTH SYDNEY</t>
  </si>
  <si>
    <t>BNS 70433 BNS RIVER JOHN</t>
  </si>
  <si>
    <t>BNS 70441 ST MICHEL BLVD</t>
  </si>
  <si>
    <t>BNS 70516 CARLING/PARKDL</t>
  </si>
  <si>
    <t>BNS 70540 MARINE/MCGOWAN</t>
  </si>
  <si>
    <t>BNS 70581 ST.VIATN CASGR</t>
  </si>
  <si>
    <t>BNS 10793 BNS KENSINGTON</t>
  </si>
  <si>
    <t>BNS 10892 ST CATHARINES</t>
  </si>
  <si>
    <t>BNS 11171 VICTORIAVILLE</t>
  </si>
  <si>
    <t>GPFCOLL</t>
  </si>
  <si>
    <t>BNS 33415 BNS NAGUA</t>
  </si>
  <si>
    <t>BNS 33522 LEBA</t>
  </si>
  <si>
    <t>BNS 34132 PORT COLBORNE</t>
  </si>
  <si>
    <t>BNS 34322 KING/UNIVERSIT</t>
  </si>
  <si>
    <t>BNS 34702 TILLSONBURG</t>
  </si>
  <si>
    <t>BNS 35212 ROSS/ANDERSON</t>
  </si>
  <si>
    <t>BNS 60384 BNS BATHURST</t>
  </si>
  <si>
    <t>BNS 60426 BEAVERBROOK PL</t>
  </si>
  <si>
    <t>BNS 60475 BNS CASTRIES ST.LUCIA</t>
  </si>
  <si>
    <t>BNS 60509 95/111 AV CALG</t>
  </si>
  <si>
    <t>BNS CHAGUANAS MID CENTRE MALL605255</t>
  </si>
  <si>
    <t>BNS 60590 WEST VCR</t>
  </si>
  <si>
    <t>BNS 60640 49TH ELLIOT</t>
  </si>
  <si>
    <t>BNS 60699 BNS CAMROSE</t>
  </si>
  <si>
    <t>BNS 11759 BIG SPRINGS</t>
  </si>
  <si>
    <t>BNS 11833 VIRG PARK PLZ</t>
  </si>
  <si>
    <t>BNS 12062 OWEN SOUND</t>
  </si>
  <si>
    <t>BNS 64782 SHERIDAN MALL</t>
  </si>
  <si>
    <t>BNS 20479 STADIUM S C</t>
  </si>
  <si>
    <t>BNS 20503 WESTVILLE</t>
  </si>
  <si>
    <t>BNS 20552 DUNDAS/PATERSO</t>
  </si>
  <si>
    <t>BNS 20628 CUMBERLAND PLAZA</t>
  </si>
  <si>
    <t>BNS 43562 BRANCH TREASURY SVCS SCOT</t>
  </si>
  <si>
    <t>BNS 44297 WINNIPEG CTF PERU</t>
  </si>
  <si>
    <t>IBD CENTRAL AMERICAN LOANS</t>
  </si>
  <si>
    <t>BNS SUNNY ST.CROIX</t>
  </si>
  <si>
    <t>BNS 65276 HUNTSVILLE PL</t>
  </si>
  <si>
    <t>BNS 65532 DUNDAS AND MAVIS</t>
  </si>
  <si>
    <t>BNS 65656 SPARTAN SQUARE</t>
  </si>
  <si>
    <t>BNS 65896 GOVERNMENT STUDENT LOAN A</t>
  </si>
  <si>
    <t>BNS 66555 HAGGATT HALL ST MICAHAEL</t>
  </si>
  <si>
    <t>BNS 66878</t>
  </si>
  <si>
    <t>BNS 67132 STRATHROY ONT</t>
  </si>
  <si>
    <t>BNS 67876 TORONTO BSC ONTARIO 3</t>
  </si>
  <si>
    <t>BNS 00059 BNS LETHBRIDGE</t>
  </si>
  <si>
    <t>BNS 00109 BNS AIRDRIE</t>
  </si>
  <si>
    <t>BNS 00141 LONGUEUIL QUE</t>
  </si>
  <si>
    <t>BNS 00182 BLIND RIVER</t>
  </si>
  <si>
    <t>BNS 00216 BANK AND FOURTH</t>
  </si>
  <si>
    <t>BNS 00240 BNS ABBOTSFORD</t>
  </si>
  <si>
    <t>BNS 00331 PORT DANIEL</t>
  </si>
  <si>
    <t>BNS 20776 BARRHAVEN MILL</t>
  </si>
  <si>
    <t>BNS 17632 QUEENSWA/CAWTH</t>
  </si>
  <si>
    <t>BNS 18226 VAUGHAN ON</t>
  </si>
  <si>
    <t>BNS 18366 DUFFERIN STREET</t>
  </si>
  <si>
    <t>BNS 18705 ST LUCIA C. A. U.</t>
  </si>
  <si>
    <t>BNS 20008 BNS REGINA</t>
  </si>
  <si>
    <t>BNS 40261 SHERBROOKE/GUY</t>
  </si>
  <si>
    <t>BNS 40295 BNS FAJARDO</t>
  </si>
  <si>
    <t>BNS 60756 ORLEANS ONT</t>
  </si>
  <si>
    <t>BNS 60780 BNS LANGLEY</t>
  </si>
  <si>
    <t>BNS 60830 BNS MAPLE RDG</t>
  </si>
  <si>
    <t>BNS 61309 DEERFT BUS CTR</t>
  </si>
  <si>
    <t>BNS 61473 CORNER BRK PLZ</t>
  </si>
  <si>
    <t>BNS BOND EQUITY INV</t>
  </si>
  <si>
    <t>BNS 14597 PAYMENT PROCESSING</t>
  </si>
  <si>
    <t>BNS 15016 BAYFIELD MALL</t>
  </si>
  <si>
    <t>BNS 15172 STEELES/SIGNET</t>
  </si>
  <si>
    <t>GFI CREDIT AVG</t>
  </si>
  <si>
    <t>BNS 40329 BNS LEGAL ALTA</t>
  </si>
  <si>
    <t>BNS 40360 BRDWY/COMMERCL</t>
  </si>
  <si>
    <t>BNS 40394 796 MTN RD</t>
  </si>
  <si>
    <t>BNS 40428 WHEATLAND S M</t>
  </si>
  <si>
    <t>BNS PRINCES TOWN 40485</t>
  </si>
  <si>
    <t>BNS63149 CALGARY</t>
  </si>
  <si>
    <t>BNS 63230 VANCOUVER BC</t>
  </si>
  <si>
    <t>BNS 63982 YONGE AND 16TH</t>
  </si>
  <si>
    <t>BNS 64386 ISLINGTON AND NAPA VALLEY</t>
  </si>
  <si>
    <t>BNS 21642 SPADINA/DUNDAS</t>
  </si>
  <si>
    <t>BNS 21782 TRENTON ONT</t>
  </si>
  <si>
    <t>BNS 21899 BNS SOUTH PORT</t>
  </si>
  <si>
    <t>BNS 22012 ELM/LANSDOWNE</t>
  </si>
  <si>
    <t>BNS 22251 FAIRVEIW</t>
  </si>
  <si>
    <t>BANK OF NOVA SCOTIA (22582)</t>
  </si>
  <si>
    <t>BNS 47852 WESTON/HWY 7</t>
  </si>
  <si>
    <t>BNS DERIVATIVES PROD</t>
  </si>
  <si>
    <t>BNS DERIVATIVES PRODUCTS MUT FUND</t>
  </si>
  <si>
    <t>BNS 48306 BNS MICHIGAN AVENUE</t>
  </si>
  <si>
    <t>BNS 50013 ST JOHNS NFLD</t>
  </si>
  <si>
    <t>BNS 00786 KANATA TWN CTR</t>
  </si>
  <si>
    <t>BNS 00836 HERONGATE MAL</t>
  </si>
  <si>
    <t>BNS 00943 BNS HUBBARDS</t>
  </si>
  <si>
    <t>BNS 01032 SUDBURY ONT</t>
  </si>
  <si>
    <t>BNS 01131 BNS CAP ROUGE</t>
  </si>
  <si>
    <t>BNS 01180 BNS WHITE ROCK</t>
  </si>
  <si>
    <t>BNS 22731 PARC AND  BERNARD</t>
  </si>
  <si>
    <t>BNS 22905 PANAMA CITY</t>
  </si>
  <si>
    <t>BNS 23077 FCA BUSINESS ACCOUNT CAU</t>
  </si>
  <si>
    <t>BNS 23382 QUEENSWA/ATOMI</t>
  </si>
  <si>
    <t>BNS 23556 ORILLIA</t>
  </si>
  <si>
    <t>SCOTIA PRIVATE CLIENT GROUP CENTRE</t>
  </si>
  <si>
    <t>NEW YORK DERIVATIVES</t>
  </si>
  <si>
    <t>TORONTO CORPORATE LOANS</t>
  </si>
  <si>
    <t>TERIP NO 1 (CDO) LIMITED CLASS B ( USD)</t>
  </si>
  <si>
    <t>TERIP NO 1 (CDO) LIMITED C (USD)</t>
  </si>
  <si>
    <t>TESORERIA</t>
  </si>
  <si>
    <t>(FOR INTERNAL USE ONLY)</t>
  </si>
  <si>
    <t>BNS 10132 AURORA ONT</t>
  </si>
  <si>
    <t>BNS 10173 BNS CHESTER</t>
  </si>
  <si>
    <t>BNS 10207 ARTHUR AND PARKDALE</t>
  </si>
  <si>
    <t>BNS 31252 DUNDAS/BROCK</t>
  </si>
  <si>
    <t>BNS 31336 SOUTHGATE, OTT</t>
  </si>
  <si>
    <t>BNS 31435 BNS BOQUETE</t>
  </si>
  <si>
    <t>BNS 31542 QUEEN AND PAPE</t>
  </si>
  <si>
    <t>BNS TOKYO BRANCH</t>
  </si>
  <si>
    <t>TOKYO MERCHANT BANKING</t>
  </si>
  <si>
    <t>STAFF PURCHASES</t>
  </si>
  <si>
    <t>QUEBEC IBC QIBC</t>
  </si>
  <si>
    <t>BNS55848 BLAIRMORE CENTRE</t>
  </si>
  <si>
    <t>BNS DOMINICAN REP BAHAMAS OFFSHORE</t>
  </si>
  <si>
    <t>BNS 59782 BURLINGTON COM</t>
  </si>
  <si>
    <t>BNS PARK AND PEMBROKE 10405</t>
  </si>
  <si>
    <t>BNS 10454 CHAMPLAIN PLACE, DIEPPE,</t>
  </si>
  <si>
    <t>BNS 10496 PINECREST MALL</t>
  </si>
  <si>
    <t>BNS 10561 BNS PASPEBIAC</t>
  </si>
  <si>
    <t>BNS 10603 CORNER BROOK</t>
  </si>
  <si>
    <t>BNS 10652 MILTON ONT</t>
  </si>
  <si>
    <t>BNS 10710 PRINCE RUPERT</t>
  </si>
  <si>
    <t>BNS 31849 FRANKLIN IN PK</t>
  </si>
  <si>
    <t>BNS 32532 THICKSON DRYDO</t>
  </si>
  <si>
    <t>BNS 32839 BNS PRIVATE BANKING EDMON</t>
  </si>
  <si>
    <t>BANK OF NOVA SCOTIA 33092DWB</t>
  </si>
  <si>
    <t>BNS 60079 33RD AVE S W</t>
  </si>
  <si>
    <t>BNS 60103 ANNAPOLIS ROYL</t>
  </si>
  <si>
    <t>BNS 60137 MARION/TRAVERS</t>
  </si>
  <si>
    <t>BNS 60186 BNS VANIER ONT</t>
  </si>
  <si>
    <t>BNS 60210 MISSION CITY</t>
  </si>
  <si>
    <t>BNS 60244 BNS MCADAM</t>
  </si>
  <si>
    <t>MESA DE TRADING</t>
  </si>
  <si>
    <t>TRIOPTIMA CDS CONFIRMS</t>
  </si>
  <si>
    <t>CORPORATE RISK MGT &amp; INSURANCE</t>
  </si>
  <si>
    <t>STIGA PLC (INAUGARAL)</t>
  </si>
  <si>
    <t>GROUP TREASURY MONEY MARKET (SCBT)</t>
  </si>
  <si>
    <t>BNS_GPFLATAM</t>
  </si>
  <si>
    <t>DERIVATIVE PRODUCTS OPERATIONS 48082 (GT)</t>
  </si>
  <si>
    <t>EMBEDDED DERIVATIVES-GT</t>
  </si>
  <si>
    <t>NY AGENCY</t>
  </si>
  <si>
    <t>IBD DERIVATIVE PRODUCTS</t>
  </si>
  <si>
    <t>IBD PRECIOUS METALS</t>
  </si>
  <si>
    <t>IG 60 SECURED</t>
  </si>
  <si>
    <t>IG 65 SECURED</t>
  </si>
  <si>
    <t>IG 70 SECURED</t>
  </si>
  <si>
    <t>IG 73 SECURED</t>
  </si>
  <si>
    <t>BNS GLOBAL ENERGY PORTFOLIO (SCEI)</t>
  </si>
  <si>
    <t>SCOTIA CAPITAL RETAIL PORTFOLIO (SCI)</t>
  </si>
  <si>
    <t>BNS NEW YORK FIXED INCOME CHILE</t>
  </si>
  <si>
    <t>GFI TORONTO EMERGING MKT CHILE</t>
  </si>
  <si>
    <t>BANK OF NOVA SCOTIA CAPITAL MARKETS (SCTL)</t>
  </si>
  <si>
    <t>BANK OF NOVA SCOTIA (SCTL)</t>
  </si>
  <si>
    <t>SECURITIZE</t>
  </si>
  <si>
    <t>BNS NEGATIVE BASIS TRADING TORONTO SEVERN</t>
  </si>
  <si>
    <t>BNS SHORTSWAPS PORTFOLIO</t>
  </si>
  <si>
    <t>IG 77 SECURED</t>
  </si>
  <si>
    <t>IG 80 SECURED</t>
  </si>
  <si>
    <t>IG 83 SECURED</t>
  </si>
  <si>
    <t>IG 85 SECURED</t>
  </si>
  <si>
    <t>IG 87 SECURED</t>
  </si>
  <si>
    <t>IG 90 UNSECURED</t>
  </si>
  <si>
    <t>IG 95 UNSECURED</t>
  </si>
  <si>
    <t>IG 98 UNSECURED</t>
  </si>
  <si>
    <t>IG 99 UNSECURED</t>
  </si>
  <si>
    <t>IGCHF SECECURED</t>
  </si>
  <si>
    <t>IGEUR UNSECURED</t>
  </si>
  <si>
    <t>IGGBP</t>
  </si>
  <si>
    <t>IGHKD UNSECURED</t>
  </si>
  <si>
    <t>IGJPY UNSECURED</t>
  </si>
  <si>
    <t>IGKRW UNSECURED</t>
  </si>
  <si>
    <t>IGMXN UNSECURED</t>
  </si>
  <si>
    <t>IGMYR UNSECURED</t>
  </si>
  <si>
    <t>IGNZD UNSECURED</t>
  </si>
  <si>
    <t>IGSGD UNSECURED</t>
  </si>
  <si>
    <t>BNS ARBITRAGE 60095 STF</t>
  </si>
  <si>
    <t>BNS DERIVATIVE PRODUCTS TORONTO (INTL)</t>
  </si>
  <si>
    <t>BNS DERIVATIVE PRODUCTS TORONTO (LON)</t>
  </si>
  <si>
    <t>LONDON OPTIONS BOOK -CANCELLED-</t>
  </si>
  <si>
    <t>GLOBAL ENERGY NG BASIS BOOK</t>
  </si>
  <si>
    <t>LONDON SWAPS BOOK - CANCELLED-</t>
  </si>
  <si>
    <t>LPM HEDGE DERIVATIVE PRODUCTS TORONTO</t>
  </si>
  <si>
    <t>LPM DERIVATIVE PRODUCTS NEW YORK</t>
  </si>
  <si>
    <t>BNS NEW YORK FIXED INCOME SOVEREIGN BOND PORTFOLIO</t>
  </si>
  <si>
    <t>CREDIT DERIVATIVES</t>
  </si>
  <si>
    <t>BNS DP CREDITBOND PORTFOLIO</t>
  </si>
  <si>
    <t>BNS CREDITMGMT DESK</t>
  </si>
  <si>
    <t>CREDIT TRS DESK</t>
  </si>
  <si>
    <t>BNS ENCOMM ADMIN PORTFOLIO</t>
  </si>
  <si>
    <t>DERIVATIVES PRODUCT (ASIA PACIFIC RIM) RCM</t>
  </si>
  <si>
    <t>THE BANK OF NOVA SCOTIA MUMBAI(ASIA PACIFIC RIM) RCM</t>
  </si>
  <si>
    <t>THE BANK OF NOVA SCOTIA TOKYO (ASIA PACIFIC RIM)RCM</t>
  </si>
  <si>
    <t>BNS SPORE (INTL FUNDING DESK)</t>
  </si>
  <si>
    <t>GLOBAL ENERGY REFINED PRODUCTS BOOK</t>
  </si>
  <si>
    <t>RETAIL DYNAMIC HEDGE BOOK PRE 2008</t>
  </si>
  <si>
    <t>BNS GPF SPB TRS ALPINE BOOK FOR SPFAL</t>
  </si>
  <si>
    <t>BNS GPF SPB TRS BURREN BOOK FOR SPFBU</t>
  </si>
  <si>
    <t>BNS GPF SPB TRS CITADEL BOOK FOR SPFCT</t>
  </si>
  <si>
    <t>BNS GPF SPB TRS NINE MASTS</t>
  </si>
  <si>
    <t>BNS GPF SPB TRS BNS TORONTO BOOK FOR SPFTO</t>
  </si>
  <si>
    <t>BNS GPF SPB TRS TYRUS BOOK FOR SPFAL</t>
  </si>
  <si>
    <t>BNS GPF SPB TRS WEISS BOOK FOR SPFWS</t>
  </si>
  <si>
    <t>GLOBAL ENERGY CASH MANAGEMENT BOOK</t>
  </si>
  <si>
    <t>GLOBAL ENERGY MANAGEMENT BOOK</t>
  </si>
  <si>
    <t>EQUITY DERIVATIVES ASIA</t>
  </si>
  <si>
    <t>BNS DERIVATIVE PRODUCTS EQUITY COLLATERAL PORTFOLIO</t>
  </si>
  <si>
    <t>DP EQUITY INDEX OPTIONS</t>
  </si>
  <si>
    <t>DERIVATIVE PRODUCTS RISK PARTICIPATION SWAPS OFFSET</t>
  </si>
  <si>
    <t>D1 S&amp;P500 HEDGE</t>
  </si>
  <si>
    <t>BNS EMERGING MARKETS BRAZIL PORTFOLIO</t>
  </si>
  <si>
    <t>BNS DP EMERGING MARKETS CREDIT DESK</t>
  </si>
  <si>
    <t>BNS DP EMERGING MARKETS DESK</t>
  </si>
  <si>
    <t>BNS EMERGING MARKETS PERU PORTFOLIO</t>
  </si>
  <si>
    <t>BNS DP EMERGING TRY DESK</t>
  </si>
  <si>
    <t>KGI SECURITIES CO LTD. - FAIR VALUE RATE LINKED NOTES_OIS DI</t>
  </si>
  <si>
    <t>CDS - SCOTIA CAPITAL - FAIR VALUE RATE LINKED NOTES_OIS DISC</t>
  </si>
  <si>
    <t>STIGA PLC (BOREALIS)</t>
  </si>
  <si>
    <t>BNS MIAMI AGENCY</t>
  </si>
  <si>
    <t>TORONTO DERIVATIVE PRODUCTS</t>
  </si>
  <si>
    <t>BNS TORONTO BRACH CALL LOAN (STF)</t>
  </si>
  <si>
    <t>BNS93567 DIVERSIFIED CENTRAL</t>
  </si>
  <si>
    <t>BNS95687 GLOBAL EQUITY DERIVATIVES AVG.</t>
  </si>
  <si>
    <t>BNS ARBITRAGE 48082 STF</t>
  </si>
  <si>
    <t>BNS ARBITRAGE 23895 STF</t>
  </si>
  <si>
    <t>BNS ARBITRAGE 52712 STF.</t>
  </si>
  <si>
    <t>SEVERN HOLDINGS INC</t>
  </si>
  <si>
    <t>SWAPS DESK (NON-STRUCTURED)</t>
  </si>
  <si>
    <t>SWAPSHEDGE</t>
  </si>
  <si>
    <t>PRINCIPAL TRADER (DENOTES DEALS)</t>
  </si>
  <si>
    <t>EMBEDDED DERIVATIVES - GT FAIR VALUE</t>
  </si>
  <si>
    <t>GT-SCOTIA MORTGAGE INVESTMENT CORP</t>
  </si>
  <si>
    <t>BNS SINGAPORE BRANCH</t>
  </si>
  <si>
    <t>GROUP TREASURY BSM HEDGES PORTFOLIO (GT)</t>
  </si>
  <si>
    <t>BNS GBP SWAPS LONDON PORTFOLIO</t>
  </si>
  <si>
    <t>BNS DP GLOBAL EQUITY DESK</t>
  </si>
  <si>
    <t>BNS DERIVATIVE PRODUCTS</t>
  </si>
  <si>
    <t>BNS ARBITRAGE CHIEF ACCOUNTANTS.</t>
  </si>
  <si>
    <t>THE BANK OF NOVA SCOTIA- DOMINICAN REPUBLIC -OFFSHORE BANKING UNIT</t>
  </si>
  <si>
    <t>BNS KENTVILLE NOVA SCOTIA BRANCH</t>
  </si>
  <si>
    <t>BNS ALBERTA DEALER FINANCE CENTRE</t>
  </si>
  <si>
    <t>BNS ALBERTA DEALER FINANCE CENTRE PRE 2008</t>
  </si>
  <si>
    <t>BNS93682 HWY 2 &amp; HOWARD AJAX</t>
  </si>
  <si>
    <t>LATIN AMERICAN REGIONAL OFFICE (LARO)</t>
  </si>
  <si>
    <t>NASSAU CORPORATE BANKING NASSAU</t>
  </si>
  <si>
    <t>BNS WEST METRO CBC</t>
  </si>
  <si>
    <t>CORPORATE AND REAL ESTATE BANKING</t>
  </si>
  <si>
    <t>BANK OF NOVA SCOTIA ASSET SWAP BOOK</t>
  </si>
  <si>
    <t>SCOTIAMOCATTA BASE METALS</t>
  </si>
  <si>
    <t>GBM DTC STRUCTURED NOTES DELTA1</t>
  </si>
  <si>
    <t>BNS CLIENT ACCT AT SCOTIACAPITAL (400-20088)</t>
  </si>
  <si>
    <t>BIDS WORKAROUND [PENSION]</t>
  </si>
  <si>
    <t>BNS_ACG13</t>
  </si>
  <si>
    <t>BNS ACG13 EXTERNAL COUNTERPARTIES</t>
  </si>
  <si>
    <t>BNS ACG13 SUB</t>
  </si>
  <si>
    <t>BNS BONDS</t>
  </si>
  <si>
    <t>BNS RE: CANADA TRUST</t>
  </si>
  <si>
    <t>SCOTIABANK CLEARING ACCOUNT AT BANCO ITAU BBA SA EMERGING MA</t>
  </si>
  <si>
    <t>BNS NOTES</t>
  </si>
  <si>
    <t>BANK OF NOVA SCOTIA  PANAMA</t>
  </si>
  <si>
    <t>BANK OF NOVA SCOTIA HATO REY PUERTO RICO</t>
  </si>
  <si>
    <t>BNS WORKAROUNDS UNDER LIBOR</t>
  </si>
  <si>
    <t>BNS WORKAROUNDS-SN ACCOUNTING</t>
  </si>
  <si>
    <t>LONDON INTERNATIONAL FINANCIAL FUTURES &amp; OPTIONS EXCHANGE</t>
  </si>
  <si>
    <t>PORTFOLIO MANAGEMENT BOOK</t>
  </si>
  <si>
    <t>BNS PORTFOLIO MANAGEMENT CUSTOM PORTFOLIO</t>
  </si>
  <si>
    <t>PROPRIETARY</t>
  </si>
  <si>
    <t>DERIVATIVE PRODUCTS-SIF</t>
  </si>
  <si>
    <t>BNS GROUP TREASURY MID-TERM FUNDING (BNS PUERTO RICO)</t>
  </si>
  <si>
    <t>GLOBAL ENERGY BACK TO BACK OTHER COMMODITIES BOOK</t>
  </si>
  <si>
    <t>LONDON CROSS CURRENCY SWAP BOOK</t>
  </si>
  <si>
    <t>ELEMENT CAPITAL MASTER FUND LTD CA - CDEA</t>
  </si>
  <si>
    <t>MILLENNIUM FIXED INCOME LTD CA - CDEA</t>
  </si>
  <si>
    <t>MILLENNIUM FIXED INCOME LTD US - CDEA</t>
  </si>
  <si>
    <t>JB DRAX HONORE (UK) LIMITED EU - CDEA</t>
  </si>
  <si>
    <t>KEPOS ALPHA MASTER FUND LP EU - CDEA</t>
  </si>
  <si>
    <t>COLLATERAL FOR CENTRAL CLEARING HOUSE</t>
  </si>
  <si>
    <t>BNS COLLATERAL DESK</t>
  </si>
  <si>
    <t>BNS COLLTRD DESK</t>
  </si>
  <si>
    <t>SIL_52712</t>
  </si>
  <si>
    <t>BNS DERIVATIVE PRODUCTS TORONTO (SLC)</t>
  </si>
  <si>
    <t>SYMMETRY MASTER FUND LIMITED US</t>
  </si>
  <si>
    <t>BNS 06502 BUSINESS SERVICE CENTRE</t>
  </si>
  <si>
    <t>BNS 32730 SCOTIA DEALER ADVANTAGE</t>
  </si>
  <si>
    <t>CREDIT130</t>
  </si>
  <si>
    <t>CREDIT208</t>
  </si>
  <si>
    <t>CREDIT273</t>
  </si>
  <si>
    <t>MUXVA</t>
  </si>
  <si>
    <t>BNS36707 MBS AGGREGATION</t>
  </si>
  <si>
    <t>BNS36657 MBS AGGREGATION</t>
  </si>
  <si>
    <t>NEW YORK INFLATION</t>
  </si>
  <si>
    <t>BNS NEW YORK FIXED INCOME SHORT TERM TRADING PORTFOLIO</t>
  </si>
  <si>
    <t>MANAGEMENT</t>
  </si>
  <si>
    <t>GBM INTEREST RATE OPTIONS IN LONDON PORTFOLIO</t>
  </si>
  <si>
    <t>TCL-CHILE LOAN TR41327</t>
  </si>
  <si>
    <t>GES BRENTNONLIN</t>
  </si>
  <si>
    <t>GES ENERGYCVA</t>
  </si>
  <si>
    <t>GES GESTCLO</t>
  </si>
  <si>
    <t>GES NGSWAP</t>
  </si>
  <si>
    <t>LPM HEDGE PORTFOLIO TORONTO</t>
  </si>
  <si>
    <t>PRIVATE BANKING UNIT SCOTIA PLAZA TORONTO ONT</t>
  </si>
  <si>
    <t>PRIVATE BANKING UNIT SCOTIA PLAZA TORONTO ONT PRE 2008</t>
  </si>
  <si>
    <t>BNS BRAMPTON BUSINESS BANKING CENTRE</t>
  </si>
  <si>
    <t>BNS ONTARIO BUSINESS SUPPORT CENTRE 3 PRE 2008</t>
  </si>
  <si>
    <t>SCOTIABANK - BAHAMAS BRANCH</t>
  </si>
  <si>
    <t>BNS DOMINICAN REPUBLIC</t>
  </si>
  <si>
    <t>BNS NETHERLANDS ANTILLES PHILIPSBURG ST. MAARTEN</t>
  </si>
  <si>
    <t>BNS WINDSOR MAIN BRANCH AND CBC</t>
  </si>
  <si>
    <t>MONEY MARKET SC SHORT TERM FUNDING</t>
  </si>
  <si>
    <t>ONTARIO DEALER FINANCE CENTRE</t>
  </si>
  <si>
    <t>BALANCE SHEET MANAGEMENT HEDGES</t>
  </si>
  <si>
    <t>PRECIOUS METALS - TORONTO (FRONT OFFICE)</t>
  </si>
  <si>
    <t>YORK COMMERCIAL BANKING CENTRE</t>
  </si>
  <si>
    <t>BNS NEW YORK AGENCY</t>
  </si>
  <si>
    <t>BNS SEPT ILES</t>
  </si>
  <si>
    <t>SAN FRANCISCO AGENCY</t>
  </si>
  <si>
    <t>BNS BARBADOS OFFSHORE BANKING UNIT</t>
  </si>
  <si>
    <t>SCOTIAMOCATTA - NEW YORK</t>
  </si>
  <si>
    <t>BNS - IBD DERIVATIVE PRODUCTS (CREDIT DESK)</t>
  </si>
  <si>
    <t>BNS - IBD DERIVATIVE PRODUCTS (EQUITY DESK)</t>
  </si>
  <si>
    <t>BNS IBD DERIVATIVE PRODUCTS FAIR VALUE</t>
  </si>
  <si>
    <t>BNS - IBD DERIVATIVE PRODUCTS HIGH YIELD DESK (STF)</t>
  </si>
  <si>
    <t>BNS - IBD DERIVATIVE PRODUCTS STRUCTURED NOTES</t>
  </si>
  <si>
    <t>BNS NY SHORT TERM PORTFOLIO</t>
  </si>
  <si>
    <t>BNS 54007 REGAL 1</t>
  </si>
  <si>
    <t>BNS- FIXED INCOME/ EQUITY</t>
  </si>
  <si>
    <t>BNS GROUP TREASURY AND GLOBAL TRADING</t>
  </si>
  <si>
    <t>FOREIGN EXCHANGE OPTIONS AND PRECIOUS METALS</t>
  </si>
  <si>
    <t>BNS BARRIE MAIN BRANCH</t>
  </si>
  <si>
    <t>CBC &amp; MAIN BRANCH LANGLEY BC</t>
  </si>
  <si>
    <t>BNS GLOBAL TREASURY</t>
  </si>
  <si>
    <t>MONTREAL BUSINESS SUPPORT CENTRE (QUEBEC) PRE 2008</t>
  </si>
  <si>
    <t>BNS PORTLAND BRANCH</t>
  </si>
  <si>
    <t>THE BANK OF NOVA SCOTIA HK BRANCH FUNDING</t>
  </si>
  <si>
    <t>SCOTIAMOCATTA - BASE METALS LONDON</t>
  </si>
  <si>
    <t>ONTARION BUSINESS SUPPORT CENTRE PRE 2008</t>
  </si>
  <si>
    <t>BNS 23630 OCEAN PARK</t>
  </si>
  <si>
    <t>BNS 23309 EAST VILLAGE</t>
  </si>
  <si>
    <t>HY CREDIT HEDGE PORTFOLIO</t>
  </si>
  <si>
    <t>BC HCP</t>
  </si>
  <si>
    <t>NFLD LABRADOR HCP</t>
  </si>
  <si>
    <t>ALBERTA HCP</t>
  </si>
  <si>
    <t>ONTARIO HCP</t>
  </si>
  <si>
    <t>SASKATCHEWAN HCP</t>
  </si>
  <si>
    <t>ATLANTIC NS PEI AND NB HCP</t>
  </si>
  <si>
    <t>MANITOBA</t>
  </si>
  <si>
    <t>QUEBEC HCP</t>
  </si>
  <si>
    <t>IRELAND CORPORATE BANKING</t>
  </si>
  <si>
    <t>EUROPE INTERNATIONAL LOANS</t>
  </si>
  <si>
    <t>COLUMBIA OFFSHORE</t>
  </si>
  <si>
    <t>NYA CORPORATE BANKING - NY AGENCY</t>
  </si>
  <si>
    <t>GOVERNMENT LOANS</t>
  </si>
  <si>
    <t>US REAL ESTATE GAMBLING AND LEISURE (REGAL)</t>
  </si>
  <si>
    <t>DIVERSIFIED WEST</t>
  </si>
  <si>
    <t>HOUSTON CORPORATE BANKING - HOUSTON BRANCH</t>
  </si>
  <si>
    <t>US AUTOMOTIVE</t>
  </si>
  <si>
    <t>US MEDIA COMMUNICATIONS</t>
  </si>
  <si>
    <t>NY ECI TAX</t>
  </si>
  <si>
    <t>GEDCANREVCON</t>
  </si>
  <si>
    <t>NYLTFUNDING - NY LOAN TRADING</t>
  </si>
  <si>
    <t>TRADE SERVICES AND FINANCE SCOTIA CAPITAL</t>
  </si>
  <si>
    <t>FABRICA DE PAPEL SAN FRANCISCO</t>
  </si>
  <si>
    <t>IG_73SEC_100MMONEWAY</t>
  </si>
  <si>
    <t>USDSWAPS</t>
  </si>
  <si>
    <t>BTRDTRADER1</t>
  </si>
  <si>
    <t>BTRDTRADER2</t>
  </si>
  <si>
    <t>BNS 08102 VAUGHAN METROPOLITAN CENTRE</t>
  </si>
  <si>
    <t>IG_73SEC_125MMONEWAY</t>
  </si>
  <si>
    <t>IG_73SEC_135MMONEWAY</t>
  </si>
  <si>
    <t>IG_73SEC_150MMONEWAY</t>
  </si>
  <si>
    <t>IG_73SEC_175MMONEWAY</t>
  </si>
  <si>
    <t>BNS 33530 FRASER HWY AND LIVINGSTONE</t>
  </si>
  <si>
    <t>BNS 07542 YONGE AND SOUDAN</t>
  </si>
  <si>
    <t>BNS 43349 UNIVERSITY DISTRICT</t>
  </si>
  <si>
    <t>BNS 23580 LOWER LONSDALE</t>
  </si>
  <si>
    <t>EQUSB2B</t>
  </si>
  <si>
    <t>EQUITYIABSF</t>
  </si>
  <si>
    <t>BNS 23390 DAVIE &amp; BIDWELL</t>
  </si>
  <si>
    <t>GBM STRUCTURED NOTES - ELN - CLEARSTREAM</t>
  </si>
  <si>
    <t>BNS 16592 MCLEOD SQUARE</t>
  </si>
  <si>
    <t>SYMMETRY MASTER FUND LIMITED CA</t>
  </si>
  <si>
    <t>GARDA FIRV OPPORTUNITY MASTER FUND LTD - US</t>
  </si>
  <si>
    <t>MILLENNIUM FIXED INCOME LTD EU</t>
  </si>
  <si>
    <t>SYMMETRY MASTER FUND LIMITED EU</t>
  </si>
  <si>
    <t>HBK MASTER FUND LP US - CDEA</t>
  </si>
  <si>
    <t>MKP CAPITAL MANAGEMENT LLC CDEA BLOCK - EU</t>
  </si>
  <si>
    <t>MILLENNIUM FIXED INCOME LTD CA</t>
  </si>
  <si>
    <t>GARDA FIRV OPPORTUNITY MASTER FUND LTD EU - CDEA</t>
  </si>
  <si>
    <t>GARDA FIRV OPPORTUNITY MASTER FUND LTD CA - CDEA</t>
  </si>
  <si>
    <t>HBK MASTER FUND LP EU - CDEA</t>
  </si>
  <si>
    <t>MKP CAPITAL MANAGEMENT LLC CDEA BLOCK - CA</t>
  </si>
  <si>
    <t>HBK MASTER FUND LP CA - CDEA</t>
  </si>
  <si>
    <t>GARDA FIRV OPPORTUNITY MASTER FUND LTD US - CDEA</t>
  </si>
  <si>
    <t>MKP CAPITAL MANAGEMENT LLC CDEA BLOCK - US</t>
  </si>
  <si>
    <t>BNS 39156 WINDFIELD BRANCH</t>
  </si>
  <si>
    <t>BNS 59436 CARLTON AND CHURCH</t>
  </si>
  <si>
    <t>BNS 17392 REGENT PARK</t>
  </si>
  <si>
    <t>BNS 27102 QUEENS QUAY</t>
  </si>
  <si>
    <t>HOWARD REAL ESTATE HOLDINGS INC</t>
  </si>
  <si>
    <t>CB-EUROPEUKC</t>
  </si>
  <si>
    <t>BNS 03640 VANCOUVER HOUSE</t>
  </si>
  <si>
    <t>GROUP TREASURY</t>
  </si>
  <si>
    <t>ATLANTIC PEI NS BUSINESS BANKING</t>
  </si>
  <si>
    <t>MB BUSINESS BANKING</t>
  </si>
  <si>
    <t>AB AND NWT BUSINESS BANKING</t>
  </si>
  <si>
    <t>NFLD LABRADOR BUSINESS BANKING</t>
  </si>
  <si>
    <t>BTRDTRADER7</t>
  </si>
  <si>
    <t>BTRDTRADER5</t>
  </si>
  <si>
    <t>BTRDTRADER3</t>
  </si>
  <si>
    <t>BTRCOBERMXN</t>
  </si>
  <si>
    <t>BTRDTRADER4</t>
  </si>
  <si>
    <t>BTRDTRADER6</t>
  </si>
  <si>
    <t>BNS 39206 EAST GWILLIMBURY</t>
  </si>
  <si>
    <t>BNS_HEDGE ACCOUNTING ALT REF RATE CLEARING HOUSE</t>
  </si>
  <si>
    <t>BNS_HEDGE ACCOUNTING CLEARING HOUSE</t>
  </si>
  <si>
    <t>CELER INTERNAL</t>
  </si>
  <si>
    <t>BNS 43380 EDGEMONT VILLAGE</t>
  </si>
  <si>
    <t>NY HG TRADING CDS</t>
  </si>
  <si>
    <t>NY LOAN TRADING CDS</t>
  </si>
  <si>
    <t>NY HY TRADING CDS</t>
  </si>
  <si>
    <t>BNS_HEDGE ACCOUNTING ALT REF RATE</t>
  </si>
  <si>
    <t>BNS_HEDGE ACCOUNTING ALT REF RATE EXTERNAL</t>
  </si>
  <si>
    <t>EMERGINGTOT</t>
  </si>
  <si>
    <t>TRANSIT 06387</t>
  </si>
  <si>
    <t>SocGen Paris</t>
  </si>
  <si>
    <t>BANK OF NOVA SCOTIA TORONTO (PR)</t>
  </si>
  <si>
    <t>BNS 05125 KING STREET WEST</t>
  </si>
  <si>
    <t>MEX_13987</t>
  </si>
  <si>
    <t>EQUITYDMX</t>
  </si>
  <si>
    <t>BNS83220 SOUTHEAST FALSE CREEK</t>
  </si>
  <si>
    <t>BNS - INTERNATIONAL BANKING DIVISION (SCIE)</t>
  </si>
  <si>
    <t>NY SHORT TERM FUNDING</t>
  </si>
  <si>
    <t>EQUITYDC2</t>
  </si>
  <si>
    <t>EQUITYDMX2</t>
  </si>
  <si>
    <t>CITADEL GLOBAL FIXED INCOME MASTER FUND LTD CA - CDEA</t>
  </si>
  <si>
    <t>CITADEL GLOBAL FIXED INCOME MASTER FUND LTD EU - CDEA</t>
  </si>
  <si>
    <t>CITADEL GLOBAL FIXED INCOME MASTER FUND LTD US - CDEA</t>
  </si>
  <si>
    <t>ELEMENT CAPITAL MASTER FUND LTD US - CDEA</t>
  </si>
  <si>
    <t>EXODUSPOINT PARTNERS MASTER FUND LP CA - CDEA</t>
  </si>
  <si>
    <t>EXODUSPOINT PARTNERS MASTER FUND LP EU - CDEA</t>
  </si>
  <si>
    <t>EXODUSPOINT PARTNERS MASTER FUND LP US - CDEA</t>
  </si>
  <si>
    <t>JB DRAX HONORE (UK) LIMITED CA - CDEA</t>
  </si>
  <si>
    <t>JB DRAX HONORE (UK) LIMITED US - CDEA</t>
  </si>
  <si>
    <t>GARDA FIRV OPPORTUNITY MASTER FUND LTD - EU</t>
  </si>
  <si>
    <t>GARDA FIRV OPPORTUNITY MASTER FUND LTD - CA</t>
  </si>
  <si>
    <t>BNS06247 BRIDGEWATER</t>
  </si>
  <si>
    <t>BNS13631 LA PRAIRIE</t>
  </si>
  <si>
    <t>TORONTO GLOBAL EQUITY DERIVITIES US</t>
  </si>
  <si>
    <t>BANK OF NOVA SCOTIA SINGAPORE</t>
  </si>
  <si>
    <t>KGI SECURITIES CO LTD.</t>
  </si>
  <si>
    <t>BANK OF NOVA SCOTIA TORONTO (SCTL)</t>
  </si>
  <si>
    <t>BNS 81687 TORONTO</t>
  </si>
  <si>
    <t>DTC SCOTIA CAPITAL CAPITAL - FAIR VALUE OIS ELN</t>
  </si>
  <si>
    <t>CDS - SCOTIA CAPITAL - FAIR VALUE OIS ELN</t>
  </si>
  <si>
    <t>BNS 29306 ONTARIO BUSINESS BANKING</t>
  </si>
  <si>
    <t>GFI LONDON RATES CHILE</t>
  </si>
  <si>
    <t>GFI TORONTO RATES CHILE</t>
  </si>
  <si>
    <t>NEW YORK CMF STIRT</t>
  </si>
  <si>
    <t>GLOBAL COLLATERAL MANAGEMENT</t>
  </si>
  <si>
    <t>TERM AND CAPITAL FUNDING</t>
  </si>
  <si>
    <t>ARBITRAGE INTERNAL</t>
  </si>
  <si>
    <t>STRUCTURED NOTES -SN ACCOUNTING</t>
  </si>
  <si>
    <t>BNS GROUP TREASURY MID TERM FUNDING-- SN ACCOUNTING</t>
  </si>
  <si>
    <t>BNS TOR FIXED INCOME HEDGE PORTFOLIO</t>
  </si>
  <si>
    <t>BNS GROUP TREASURY STRUCTURED NOTES-SN ACCOUNTING</t>
  </si>
  <si>
    <t>GBM GED STRUCTURED NOTES-SN ACCOUNTING</t>
  </si>
  <si>
    <t>STRUCTURED NOTES OCI ADJ - BASE VS FAIR VALE - OIS DISCOUNTI</t>
  </si>
  <si>
    <t>STRUCTURED NOTES OCI ADJ - BASE VS FAIR VALE - OIS DISCOUNTING LEGACY</t>
  </si>
  <si>
    <t>BNS CLEARSTREAM</t>
  </si>
  <si>
    <t>D1 ETF SWAP HEDGE</t>
  </si>
  <si>
    <t>D1 LONG BASKET HEDGE</t>
  </si>
  <si>
    <t>D1 SPTR SWAP HEDGE</t>
  </si>
  <si>
    <t>D1 SHORT BASKET HEDGE</t>
  </si>
  <si>
    <t>BNS 06595 CMF SBE</t>
  </si>
  <si>
    <t>SCI_35667</t>
  </si>
  <si>
    <t>TORUSSWAP</t>
  </si>
  <si>
    <t>MERITZ SECURITIES CO LTD - GT FAIR VALUE</t>
  </si>
  <si>
    <t>BNS30361 ST ROMUALD</t>
  </si>
  <si>
    <t>BNS84152 ENTERPRISE AND BIRCHMOUNT</t>
  </si>
  <si>
    <t>BNS64642 RATHBURN AND PONYTRAIL</t>
  </si>
  <si>
    <t>GLOBAL FX DESK</t>
  </si>
  <si>
    <t>BNS WORKAROUNDS (CREDIT TRS)</t>
  </si>
  <si>
    <t>FICC TACTICAL TRADING GFI</t>
  </si>
  <si>
    <t>BNS SC SHORT TERM PORTFOLIO-SN ACCOUNTING</t>
  </si>
  <si>
    <t>IG87_3MM_SECWEEK</t>
  </si>
  <si>
    <t>BNS 43984 ENGLISH CARIBBEAN ADMIN</t>
  </si>
  <si>
    <t>GFI FUNDING AVG TOTUS</t>
  </si>
  <si>
    <t>BNS 04215 SINGAPORE</t>
  </si>
  <si>
    <t>BNS 07475 SYDNEY</t>
  </si>
  <si>
    <t>HEDGING CVA CAPITAL</t>
  </si>
  <si>
    <t>BNS25072 LIBERTY VILLAGE</t>
  </si>
  <si>
    <t>FICC TOTUS TACTICAL TRADING DESK</t>
  </si>
  <si>
    <t>IG85_50MM_UNS_LE</t>
  </si>
  <si>
    <t>IG85_125MM_UNS_LE</t>
  </si>
  <si>
    <t>IG85_75MM_UNS_LE</t>
  </si>
  <si>
    <t>TTFXGL</t>
  </si>
  <si>
    <t>BNS TOR GLOBAL EQUITY DRIV US</t>
  </si>
  <si>
    <t>GLOBAL ENERGY COLLATERAL AND FUNDING</t>
  </si>
  <si>
    <t>CREDIT LOAN</t>
  </si>
  <si>
    <t>BNSAL CASH RATES</t>
  </si>
  <si>
    <t>CMF - GLOBAL SECURED FUNDING</t>
  </si>
  <si>
    <t>BNS LONDON FIXED INCOME RATES</t>
  </si>
  <si>
    <t>SECURITIZED TERM AUTO RECEIVABLES TRUST 2019-CRT</t>
  </si>
  <si>
    <t>GBMOTA</t>
  </si>
  <si>
    <t>SBE FIXED INCOME TERM DEPOSIT</t>
  </si>
  <si>
    <t>GBM GED EQUITY LINKED NOTES</t>
  </si>
  <si>
    <t>GBM GED STRUCTURED NOTES (IRLN)</t>
  </si>
  <si>
    <t>The Bank of Nova Scotia (Toronto -SCRITTURA)</t>
  </si>
  <si>
    <t>LATAMCDS</t>
  </si>
  <si>
    <t>SCOTIA CARIBBEAN TREASURY LTD ALM UNIT SCTL 66167</t>
  </si>
  <si>
    <t>BANK OF NOVA SCOTIA CAPITAL MARKETS SCTL 66167</t>
  </si>
  <si>
    <t>THE BANK OF NOVA SCOTIA - TORONTO</t>
  </si>
  <si>
    <t>BNS 66167</t>
  </si>
  <si>
    <t>Technical CTP for Accruals</t>
  </si>
  <si>
    <t>WEBSTORE CLIENT</t>
  </si>
  <si>
    <t>SASKATCHEWAN TAX AUTHORITY</t>
  </si>
  <si>
    <t>SCOTIAMOCATTA FBO BNY MELLON CUSTODIAN</t>
  </si>
  <si>
    <t>MANITOBA TAX AUTHORITY</t>
  </si>
  <si>
    <t>GERMAN TAX AUTHORITY</t>
  </si>
  <si>
    <t>CANADA TAX AUTHORITY</t>
  </si>
  <si>
    <t>B.N.S. TORONTO VLT</t>
  </si>
  <si>
    <t>QUEBEC TAX AUTHORITY</t>
  </si>
  <si>
    <t>BC TAX AUTHORITY</t>
  </si>
  <si>
    <t>MOCATTA DELIVERY ORDERS</t>
  </si>
  <si>
    <t>BNS75523 PRIVATE BANKING ST JOHNS</t>
  </si>
  <si>
    <t>The Bank of Nova Scotia, Toronto</t>
  </si>
  <si>
    <t>ITALY TAX AUTHORITY</t>
  </si>
  <si>
    <t>ALLOCATED SK-BNS CERTIFICATES NI 81-102</t>
  </si>
  <si>
    <t>SCOTIAMOCATTA</t>
  </si>
  <si>
    <t>GROUP TREASURY EMBEDDED DERIVATIVE EQUITY LINKED NOTE</t>
  </si>
  <si>
    <t>GBM STRUCTURED NOTES - CLEARSTREAM - OIS DISCOUNTING</t>
  </si>
  <si>
    <t>GROUP TREASURY EMBEDDED DERIVATIVE INTEREST RATE LINKED NOTE</t>
  </si>
  <si>
    <t>DTC SCOTIA CAPITAL CAPITAL - FAIR VALUE RATE LINKED NOTES_OI</t>
  </si>
  <si>
    <t>IBK SECURITIES CO - FAIR VALUE RATE LINKED NOTES_OIS DISCOUN</t>
  </si>
  <si>
    <t>HOME CAPITAL GROUP</t>
  </si>
  <si>
    <t>GLOBAL EQUITY DERIVATIVES</t>
  </si>
  <si>
    <t>GLOBAL EQUITY DERIVATIVES ECI</t>
  </si>
  <si>
    <t>BNS 29256 OAKWOODS CENTRE OAKVILLE</t>
  </si>
  <si>
    <t>MERITZ SECURITIES CO LTD - FAIR VALUE RATE LINKED NOTE</t>
  </si>
  <si>
    <t>EQUITABLE BANK CHT</t>
  </si>
  <si>
    <t>GBM STRUCTURED NOTES - OIS DISCOUNTING GROUP</t>
  </si>
  <si>
    <t>SCOTIABANK EUROPE (GT)._OIS DISCOUNTING</t>
  </si>
  <si>
    <t>FICC TACTICAL TRADING GFI.</t>
  </si>
  <si>
    <t>EAC INVENTORY FINANCING</t>
  </si>
  <si>
    <t>BNS ARBITRAGE 42267 STF</t>
  </si>
  <si>
    <t>BNS_HDGL EXTERNAL TRADING COUNTERPARTIES</t>
  </si>
  <si>
    <t>BNS ACG13 EXTERNAL TRADING COUNTERPARTIES</t>
  </si>
  <si>
    <t>BNS_ACG13 INTERNAL TRADING COUNTERPARTIES</t>
  </si>
  <si>
    <t>BNS_HDGL INTERNAL TRADING COUNTERPARTIES</t>
  </si>
  <si>
    <t>THE BANK OF NOVA SCOTIA.</t>
  </si>
  <si>
    <t>GENERIC CLIENT SETUP TEMPLATE</t>
  </si>
  <si>
    <t>BNS 29066 SEATON CENTRE PICKERING</t>
  </si>
  <si>
    <t>CAD LOAN TRADE</t>
  </si>
  <si>
    <t>GFI STRUCTURED NOTE - NOCSA</t>
  </si>
  <si>
    <t>BAIL IN- GFI STD NOTES</t>
  </si>
  <si>
    <t>GFI STRUCTURED NOTE</t>
  </si>
  <si>
    <t>BNS05085</t>
  </si>
  <si>
    <t>GT SHORT TERM FUNDING TORONTO</t>
  </si>
  <si>
    <t>BNS 43521 BANKING OPERATIONS</t>
  </si>
  <si>
    <t>BNS 78956 BANKING OPERATIONS</t>
  </si>
  <si>
    <t>LONDON CVA HEDGING DESK</t>
  </si>
  <si>
    <t>BNS GLOBAL EQUITY DERIVATIVES EQUITY LINKED NOTES</t>
  </si>
  <si>
    <t>EMERGING MKT TOR ACCRUAL</t>
  </si>
  <si>
    <t>BNS95687 GLOBAL EQUITY DERIVATIVES AVG</t>
  </si>
  <si>
    <t>GFICVA</t>
  </si>
  <si>
    <t>CMF ASIA</t>
  </si>
  <si>
    <t>CMF SHORT TERM INTEREST RATE TRADING ASIA</t>
  </si>
  <si>
    <t>CAPITALMGMT</t>
  </si>
  <si>
    <t>LIBERTY STREET FUNDING 85647</t>
  </si>
  <si>
    <t>CMF SCI</t>
  </si>
  <si>
    <t>STRUCTURED BOND FORWARDS PORTFOLIO</t>
  </si>
  <si>
    <t>ENERGY CDS TORONTO</t>
  </si>
  <si>
    <t>FUNDING SGP 04315</t>
  </si>
  <si>
    <t>GFI RATES TORONTO</t>
  </si>
  <si>
    <t>BNS CVA SPOT TOTUS</t>
  </si>
  <si>
    <t>BNS DP POWER TRADING PORTFOLIO.</t>
  </si>
  <si>
    <t>BNS HALIFAX BUSINESS SUPPORT CENTRE</t>
  </si>
  <si>
    <t>BNS SARNIA MAIN BRANCH</t>
  </si>
  <si>
    <t>LONDON INFLATION PRODUCTS</t>
  </si>
  <si>
    <t>BNS GPF SPB TRS POLYGON</t>
  </si>
  <si>
    <t>BNS TOR - IE FINANCE &amp; DERV - LATAM</t>
  </si>
  <si>
    <t>BNS CORRELATION DESK PRE 2008</t>
  </si>
  <si>
    <t>BNS CREDIT DEFAULT SWAP SPV</t>
  </si>
  <si>
    <t>BNS73437</t>
  </si>
  <si>
    <t>BNS FLORENCEVILLE N.B</t>
  </si>
  <si>
    <t>LONDON ASSET</t>
  </si>
  <si>
    <t>BNS NEW YORK FIXED INCOME DERIVATIVES PORTFOLIO</t>
  </si>
  <si>
    <t>EURO DERIVATIVE PRODUCTS (LONDON)</t>
  </si>
  <si>
    <t>TRIOPTIMA IRS CONFIRMS</t>
  </si>
  <si>
    <t>THE BANK 0F NOVA SCOTIA - SCOTIA LEASING PRE 2008</t>
  </si>
  <si>
    <t>BNS PRECIOUS METAL-SILVER</t>
  </si>
  <si>
    <t>VAUGHAN COMMERCIAL BANKING CENTER</t>
  </si>
  <si>
    <t>BNS EMERGING MARKETS COLOMBIA PORTFOLIO</t>
  </si>
  <si>
    <t>BNS MONTREAL TRUST IPL ADMIN CENTRE PRE 2008</t>
  </si>
  <si>
    <t>BNS CREDIT RELATIVE VALUE TRADING PORTFOLIO</t>
  </si>
  <si>
    <t>BNS DP EMERGING MARKETS DESK TRS</t>
  </si>
  <si>
    <t>BNS03947 AUTOMOTIVE</t>
  </si>
  <si>
    <t>AHSWAPS TRADING DESK</t>
  </si>
  <si>
    <t>YONGE AND HILLCREST TORONTO ONTARIO</t>
  </si>
  <si>
    <t>BNS SASKATOON SASKATCHEWAN</t>
  </si>
  <si>
    <t>BNS STRUCTURED FINANCE PORTFOLIO</t>
  </si>
  <si>
    <t>LPM DERIVATIVE PRODUCTS REBALANCING</t>
  </si>
  <si>
    <t>BNS VANCOUVER MAIN BRANCH BRITISH COLUMBIA</t>
  </si>
  <si>
    <t>BNS ARBITRAGE 80085 STF</t>
  </si>
  <si>
    <t>STRIP</t>
  </si>
  <si>
    <t>BNS BRAZIL OFFSHORE LOAN PORTFOLIO</t>
  </si>
  <si>
    <t>CMG CREDIT TRS PORTFOLIO</t>
  </si>
  <si>
    <t>SCI_48082</t>
  </si>
  <si>
    <t>BNS NEWFOUNDLAND BUSINESS SUPPORT CENTRE</t>
  </si>
  <si>
    <t>DERIVATIVE PRODUCTS ACA PORTFOLIO</t>
  </si>
  <si>
    <t>ORIX LEASING MALAYSIA BERHAD</t>
  </si>
  <si>
    <t>BNS EDMONTON MAIN CBC</t>
  </si>
  <si>
    <t>FLOATING RATE NOTE ISSUANCE (STF)</t>
  </si>
  <si>
    <t>BNS ARBITRAGE 80085 STF.</t>
  </si>
  <si>
    <t>MOCATTA DEPOSITORY CORPORATION-NEW YORK (SUB-IRON MOUNTAIN)</t>
  </si>
  <si>
    <t>NY DERIVATIVE PRODUCTS REBALANCING</t>
  </si>
  <si>
    <t>BNS PRECIOUS METALS - LONDON</t>
  </si>
  <si>
    <t>FUNDINGTOR</t>
  </si>
  <si>
    <t>BNS DP HEDGE FUND DESK</t>
  </si>
  <si>
    <t>BNS DERIVATIVE PRODUCTS (FLATROCK)</t>
  </si>
  <si>
    <t>BNS FUTURES - FINANCIAL ENGINEERING</t>
  </si>
  <si>
    <t>BNS IBD DERIVATIVES PRODUCT</t>
  </si>
  <si>
    <t>BNS CARRY DRIVE MEDICINE HAT ALBERTA</t>
  </si>
  <si>
    <t>BNS CALGARY CBC</t>
  </si>
  <si>
    <t>1760452 ONTARIO INC GROUP</t>
  </si>
  <si>
    <t>74336Q</t>
  </si>
  <si>
    <t>BNS HALIFAX BUSINESS SUPPORT CENTRE PRE 2008</t>
  </si>
  <si>
    <t>BANK OF NOVA SCOTIA TORONTO EXECUTIVE OFFICE 22582</t>
  </si>
  <si>
    <t>BNS SEOUL</t>
  </si>
  <si>
    <t>GES NGOPT</t>
  </si>
  <si>
    <t>BNS AIRPORT BUSINESS BANKING CENTRE (MALTON)</t>
  </si>
  <si>
    <t>BNS EUR SWAPS LONDON PORTFOLIO</t>
  </si>
  <si>
    <t>GES GESTNGO</t>
  </si>
  <si>
    <t>LA TOUR SCOTIA MONTREAL QUEBEC</t>
  </si>
  <si>
    <t>TORONTO CAPITAL MARKETS SWAPS DESK</t>
  </si>
  <si>
    <t>BANK OF NOVA SCOTIA ATLANTA</t>
  </si>
  <si>
    <t>BNS GTA WEST COMMERCIAL BANKING</t>
  </si>
  <si>
    <t>BNS OTTAWA MAIN CBC ONT</t>
  </si>
  <si>
    <t>BNS CHABANEL</t>
  </si>
  <si>
    <t>USD DERIVATIVES</t>
  </si>
  <si>
    <t>BNS ONTARIO BUSINESS SUPPORT CENTRE 3</t>
  </si>
  <si>
    <t>TORONTO CAPITAL MARKETS OPTIONS DESK</t>
  </si>
  <si>
    <t>BNS EMERGING MARKETS MEXICO PORTFOLIO</t>
  </si>
  <si>
    <t>BNS ADMIN CDS BOOK</t>
  </si>
  <si>
    <t>GPFTOREF</t>
  </si>
  <si>
    <t>BNS VANCOUVER BUSINESS SUPPORT CENTRE PRE 2008</t>
  </si>
  <si>
    <t>NEW YORK TREASURY</t>
  </si>
  <si>
    <t>GES USPWR</t>
  </si>
  <si>
    <t>BUSINESS SUPPORT CENTRE SAULT STE. MARIE</t>
  </si>
  <si>
    <t>BNS GPF SPB TRS CASTLE CREEK BOOK FOR SPFCR</t>
  </si>
  <si>
    <t>BNS KITCHENER ONTARIO</t>
  </si>
  <si>
    <t>BNS FOREIGN EXCHANGE ARBICHIEF STF</t>
  </si>
  <si>
    <t>BNS DERIVATIVE PRODUCTS TORONTO (STFLDN)</t>
  </si>
  <si>
    <t>BNS CAIRO (INTL)</t>
  </si>
  <si>
    <t>GROUP TREASURY BSM SELLER SWAPS PORTOFLIO (GT)</t>
  </si>
  <si>
    <t>LONDON MTN</t>
  </si>
  <si>
    <t>BNS CALGARY PRIVATE BANKING UNIT CALGARY AB</t>
  </si>
  <si>
    <t>DEALER BANKING DIVISION</t>
  </si>
  <si>
    <t>ONTARIO BUSINESS SUPPORT CENTRE</t>
  </si>
  <si>
    <t>GLOBAL ENERGY EAST POWER BOOK</t>
  </si>
  <si>
    <t>GBM CREDIT HEDGE &amp; RELATIVE VALUE PORTFOLIO</t>
  </si>
  <si>
    <t>BNS - IBD DERIVATIVE PRODUCTS (BIDS DESK)</t>
  </si>
  <si>
    <t>BNS SC SHORT TERM PORTFOLIO</t>
  </si>
  <si>
    <t>BNS RECEIVE IBA DUE TO IR OPER ACCT</t>
  </si>
  <si>
    <t>GES GESTNGS</t>
  </si>
  <si>
    <t>GLOBAL ENERGY NG OPTIONS BOOK</t>
  </si>
  <si>
    <t>PRAIRIES CLIENT RELATIONSHIP GROUP STRUCTURED</t>
  </si>
  <si>
    <t>BNS NEW YORK HEDGE</t>
  </si>
  <si>
    <t>BANK OF NOVA SCOTIA ANGUILLA LIMITED</t>
  </si>
  <si>
    <t>RIPPLE INVESTMENT BOOK</t>
  </si>
  <si>
    <t>BNS GLOBAL EQUITY DERIVATIVES ASIA</t>
  </si>
  <si>
    <t>MOCATTA BASE FOREX DEALS</t>
  </si>
  <si>
    <t>BNS NEW YORK AGENCY PRE 2008</t>
  </si>
  <si>
    <t>GES BTBOTHER</t>
  </si>
  <si>
    <t>BNS GLOBAL ENERGY SOLUTIONS</t>
  </si>
  <si>
    <t>BNS GPF SPB TRS BACK TO BACK (ASIA) BOOK FOR SPFTR</t>
  </si>
  <si>
    <t>BNS ATLANTA AGENCY</t>
  </si>
  <si>
    <t>BNS WINNIPEG MAIN CBC</t>
  </si>
  <si>
    <t>CAD DERIVATIVES</t>
  </si>
  <si>
    <t>BNS SWAPTION HEDGE</t>
  </si>
  <si>
    <t>BNS US FINANCIAL SERVICES LOANS PORTFOLIO</t>
  </si>
  <si>
    <t>EQUITY DERIVATIVES DESK</t>
  </si>
  <si>
    <t>BNS WORKAROUNDS</t>
  </si>
  <si>
    <t>GES POWER</t>
  </si>
  <si>
    <t>BNS HALIFAX COMMERCIAL BANKING CENTRE AND MAIN BRANCH</t>
  </si>
  <si>
    <t>ONTARIO INTERNATIONAL TRADE SERVICES</t>
  </si>
  <si>
    <t>BNS TORONTO SBIF LATAM JV</t>
  </si>
  <si>
    <t>PENANG PORT SDN BHD</t>
  </si>
  <si>
    <t>BNS MONTREAL DEALER FINANCE CENTRE</t>
  </si>
  <si>
    <t>REGIONAL CREDIT MARKET</t>
  </si>
  <si>
    <t>NEW YORK CREDIT TRADING PORTFOLIO</t>
  </si>
  <si>
    <t>BNS LABUAN BRANCH (INTL)</t>
  </si>
  <si>
    <t>LOAN</t>
  </si>
  <si>
    <t>ACG13_SBILOAN</t>
  </si>
  <si>
    <t>GES ENCOMMSWPTN</t>
  </si>
  <si>
    <t>BNS GROUP TREASURY MID TERM FUNDING</t>
  </si>
  <si>
    <t>STRUCTURED NOTES</t>
  </si>
  <si>
    <t>CMG LOANS ACCRUAL PORTFOLIO</t>
  </si>
  <si>
    <t>SCOTIA CAPITAL CDS-GT</t>
  </si>
  <si>
    <t>NATIONAL TRUST</t>
  </si>
  <si>
    <t>BNS INFRASTRUCTURE</t>
  </si>
  <si>
    <t>BNS 12245 MIAMI</t>
  </si>
  <si>
    <t>BNS COMMERCIAL BANKING INCOME PROPERTY LENDING</t>
  </si>
  <si>
    <t>ADMIN DESK (NON-STRUCTURED)</t>
  </si>
  <si>
    <t>47472 TORONTO CORPORATE LOANS</t>
  </si>
  <si>
    <t>SWAPLDN</t>
  </si>
  <si>
    <t>BNS GROUP TREASURY MID TERM CMHC BOOK</t>
  </si>
  <si>
    <t>BNS TORONTO MAIN BRANCH</t>
  </si>
  <si>
    <t>GES AGS</t>
  </si>
  <si>
    <t>BNS INCOME PROPERTY LENDING PRE 2008</t>
  </si>
  <si>
    <t>BNS ARBITRAGE 60095 STF.</t>
  </si>
  <si>
    <t>BNS15347 MBS AGGREGATION</t>
  </si>
  <si>
    <t>BNS TOR-IE FINANCE AND DERV-LATAM</t>
  </si>
  <si>
    <t>BNS GROUP TREASURY MID TERM PORTFOLIO</t>
  </si>
  <si>
    <t>DERIVATIVE PRODUCTS CREDIT MAPLES PORTFOLIO</t>
  </si>
  <si>
    <t>BNS COMMERCIAL BANKING ONTARIO STRUCTURED</t>
  </si>
  <si>
    <t>SCOTIAMOCATTA HONG KONG</t>
  </si>
  <si>
    <t>CALGARY BUSINESS SERVICE CENTRE</t>
  </si>
  <si>
    <t>BNS ANJOU QUEBEC</t>
  </si>
  <si>
    <t>BNS  ST JOHNS NEWFOUNDLAND BRANCH</t>
  </si>
  <si>
    <t>GES BNS GLOBAL ENERGY BRENT LINEAR AND NON LINEAR PRODUCTS P</t>
  </si>
  <si>
    <t>GLOBAL ENERGY COMMODITY ETF PORTFOLIO</t>
  </si>
  <si>
    <t>SCOTIAMOCATTA - SINGAPORE</t>
  </si>
  <si>
    <t>LONDON CREDIT DERIVATIVES</t>
  </si>
  <si>
    <t>LONDON BANKING DIVISION CALL LOAN AND DEPOSIT</t>
  </si>
  <si>
    <t>TERIP NO 1 (CDO) LIMITED CLASS B (AUD)</t>
  </si>
  <si>
    <t>BNS TORONTO QFII EQUITY DERIVATIVES ASIA</t>
  </si>
  <si>
    <t>NEW YORK AGENCIES.</t>
  </si>
  <si>
    <t>GROUP TREASURY BSM SELLER SWAP PORTFOLIO</t>
  </si>
  <si>
    <t>BNS STRATEGIC</t>
  </si>
  <si>
    <t>BNS GPF SPB TRS ETON PARK BOOK FOR SPFEP</t>
  </si>
  <si>
    <t>MONTREAL BUSINESS SUPPORT CENTRE (QUEBEC)</t>
  </si>
  <si>
    <t>BNS_HDGL EXTERNAL COUNTERPARTIES</t>
  </si>
  <si>
    <t>BNS DP ENERGY AND COMMODITY DESK</t>
  </si>
  <si>
    <t>CREDIT STRUC DESK</t>
  </si>
  <si>
    <t>BNS - IBD DERIVATIVE PRODUCTS</t>
  </si>
  <si>
    <t>GES ENCOMM</t>
  </si>
  <si>
    <t>MORTGAGE AGGREGATION SELLER SWAP</t>
  </si>
  <si>
    <t>NEW YORK REPOS</t>
  </si>
  <si>
    <t>GES GESTCLS</t>
  </si>
  <si>
    <t>THE BK OF NOVA SCOTIA-DOMINICAN REPUBLIC OFFSHORE BANKING</t>
  </si>
  <si>
    <t>STRUCTURED DERIVATIVE PRODUCTS PRE 2008</t>
  </si>
  <si>
    <t>MEDIUM TERM NOTES</t>
  </si>
  <si>
    <t>BNS COMMERCIAL BANKING TORONTO</t>
  </si>
  <si>
    <t>BNS ST.JOHN'S MAIN BRANCH NEW FOUNDLAND</t>
  </si>
  <si>
    <t>BNS 48082BR</t>
  </si>
  <si>
    <t>BNS NY FIXED OIS HEDGE PORTFOLIO</t>
  </si>
  <si>
    <t>BNS GPF SPB TRS CHEYNE BOOK FOR SPFCH</t>
  </si>
  <si>
    <t>BNS_BRAZILSBL</t>
  </si>
  <si>
    <t>DP EQUITY DELTA ONE DYNAMIC</t>
  </si>
  <si>
    <t>GES AGS2</t>
  </si>
  <si>
    <t>BNS TORONTO US FIXED INCOME PORTFOLIO</t>
  </si>
  <si>
    <t>BNS55657 GFI RATES ASIA</t>
  </si>
  <si>
    <t>BNS75697 GFI CREDIT SPOT</t>
  </si>
  <si>
    <t>GFI EMERGING MARKET SPOT</t>
  </si>
  <si>
    <t>GFI CREDIT AVERAGE</t>
  </si>
  <si>
    <t>GFI RATES ASIA</t>
  </si>
  <si>
    <t>BNS GLOBAL ENERGY SOLUTIONS STRATEGIC RISK PORTFOLIO</t>
  </si>
  <si>
    <t>BNS FORT ST JOHN BRITISH COLUMBIA</t>
  </si>
  <si>
    <t>GES BASKETOPT</t>
  </si>
  <si>
    <t>PRECIOUS METALS ACCOUNTING - TORONTO</t>
  </si>
  <si>
    <t>BNS 392 BAY STREET ONTARIO</t>
  </si>
  <si>
    <t>TERIP NO 1 (CDO) LIMITED CLASS B (SGD)</t>
  </si>
  <si>
    <t>GBM CREDIT MACRO TRADING STRATEGY</t>
  </si>
  <si>
    <t>BNS NEW YORK OPTIONS</t>
  </si>
  <si>
    <t>BNS CORPORATE AVIATION 23416</t>
  </si>
  <si>
    <t>BNS GLOBAL PRIME FINANCE EQUITY REPO PORTFOLIO</t>
  </si>
  <si>
    <t>GES ENFUND</t>
  </si>
  <si>
    <t>BNS MALAYSIA LABAUN</t>
  </si>
  <si>
    <t>BNS TAIWAN (REPUBLIC OF CHINA)  TAIPEI</t>
  </si>
  <si>
    <t>DERIVATIVE PRODUCTS INVESTMENTS</t>
  </si>
  <si>
    <t>INTERNATIONAL BANKING SPECIAL LOANS PACIFIC</t>
  </si>
  <si>
    <t>HARN LEN CORP BHD</t>
  </si>
  <si>
    <t>GES BNS GLOBAL ENERGY COMPOSITE AND SWAPTION PRODUCTS PORTFO</t>
  </si>
  <si>
    <t>CREDITHEDGE</t>
  </si>
  <si>
    <t>KGI SECURITIES CO LTD REPO</t>
  </si>
  <si>
    <t>BNS FIXED INCOME PORTFOLIO NON TOTUS</t>
  </si>
  <si>
    <t>BNS FIXED INCOME PORTFOLIO TOTUS</t>
  </si>
  <si>
    <t>BNS LATAM LOANS PORTFOLIO</t>
  </si>
  <si>
    <t>BNS 03509 CHAPPELLE COMMONS</t>
  </si>
  <si>
    <t>BNS11387 SEVERN HOLDINGS INC</t>
  </si>
  <si>
    <t>DTC SCOTIA CAPITAL CAPITAL - GT FAIR VALUE</t>
  </si>
  <si>
    <t>BNS INDEX</t>
  </si>
  <si>
    <t>BNS CVA</t>
  </si>
  <si>
    <t>BNS15727 GFI CREDIT AVERAGE</t>
  </si>
  <si>
    <t>BNS85647 GFI RATES TORONTO</t>
  </si>
  <si>
    <t>BNS SYNTHETIC REPO FOR SINGAPORE PORTFOLIO</t>
  </si>
  <si>
    <t>BNS_HDGL</t>
  </si>
  <si>
    <t>BNS CHARLOTTETOWN PRINCE EDWARD ISLAND</t>
  </si>
  <si>
    <t>BNS ST.CROIX US VIRGIN ISLANDS</t>
  </si>
  <si>
    <t>SCOTIAMOCATTA-NY FRONT OFFICE</t>
  </si>
  <si>
    <t>GES ENMGMT</t>
  </si>
  <si>
    <t>EO OBOE</t>
  </si>
  <si>
    <t>GT SHORT TERM FUNDING NON QUALIFYING</t>
  </si>
  <si>
    <t>IBD SPECIAL LOANS CARIBBEAN PRE 2008</t>
  </si>
  <si>
    <t>BNS DP EMERGING MARKETS DESK CORP</t>
  </si>
  <si>
    <t>TREASURY AUCTION TRADING BOOK FOR NYRATES</t>
  </si>
  <si>
    <t>FUNDINGMITTM</t>
  </si>
  <si>
    <t>BNS PRIVATE BANKING HALIFAX</t>
  </si>
  <si>
    <t>ASIA SWAPS DESK</t>
  </si>
  <si>
    <t>BNS GLOBAL EQUITY DERIVATIVES CVA BOOK</t>
  </si>
  <si>
    <t>BNS ARBITRAGE 23895 STF.</t>
  </si>
  <si>
    <t>GES GESTSTR</t>
  </si>
  <si>
    <t>YORKTON SASKETCHEWAN MAIN BRANCH CBC</t>
  </si>
  <si>
    <t>DAMANSARA ENTERTAIMENT CENTRE SDN BHD</t>
  </si>
  <si>
    <t>CMG TRIPARTY REPO PORTFOLIO</t>
  </si>
  <si>
    <t>CALGARY BUSINESS SUPPORT CENTRE</t>
  </si>
  <si>
    <t>LONDON BANKING DIVISION</t>
  </si>
  <si>
    <t>GROUP TREASURY MONEY MARKET CALL FUNDING</t>
  </si>
  <si>
    <t>USD LOANS  DEPOSITS</t>
  </si>
  <si>
    <t>BNS INCOME PROPERTY LENDING</t>
  </si>
  <si>
    <t>BNS EMERGING MARKETS CHILE PORTFOLIO</t>
  </si>
  <si>
    <t>BNS PICTOU NS MAIN CBC(CANCELLED)</t>
  </si>
  <si>
    <t>BNS TORONTO BUSINESS SUPPORT CENTRE</t>
  </si>
  <si>
    <t>BNS - IBD DERIVATIVE PRODUCTS PRE 2008</t>
  </si>
  <si>
    <t>BNS CRST SERIES 14</t>
  </si>
  <si>
    <t>BNS SECURITIES OPERATIONS</t>
  </si>
  <si>
    <t>STRUCTURED DERIVATIVE PRODUCTS</t>
  </si>
  <si>
    <t>BANK OF NOVA SCOTIA BANGKOK</t>
  </si>
  <si>
    <t>BANK OF NOVA SCOTIA</t>
  </si>
  <si>
    <t>GBM FI LONDON RESERVE PORTFOLIO</t>
  </si>
  <si>
    <t>BNS QUEBEC CITY COMMERCIAL UNIT</t>
  </si>
  <si>
    <t>BNS ASSET SECURITIZATION OFFSET</t>
  </si>
  <si>
    <t>BNS REGINA MAIN BRANCH</t>
  </si>
  <si>
    <t>BNS WHOLESALE MARGIN FINANCE</t>
  </si>
  <si>
    <t>BNS GPF SPB TRS PINE RIVER</t>
  </si>
  <si>
    <t>BNS - INTERNATIONAL BANKING DIVISION (REPOS)</t>
  </si>
  <si>
    <t>IBD SPECIAL LOANS CARIBBEAN</t>
  </si>
  <si>
    <t>BNS ATLANTIC DEALER FINANCE CENTRE</t>
  </si>
  <si>
    <t>BNS GPF SPB TRS SILVER STALLION</t>
  </si>
  <si>
    <t>BNS PRIVATE BANKING MONTREAL</t>
  </si>
  <si>
    <t>GLOBAL ENERGY NG SWAPS BOOK</t>
  </si>
  <si>
    <t>TORONTO BUSINESS SUPPORT  CENTRE NO. 4</t>
  </si>
  <si>
    <t>LONDON BISCUIT BHD</t>
  </si>
  <si>
    <t>GES BNS GLOBAL ENERGY WTI LINEAR PRODUCT PORTFOLIO</t>
  </si>
  <si>
    <t>BNS NY GROUP TREASURY MONEY MARKET CALL FUNDING</t>
  </si>
  <si>
    <t>BNS GRAND CAYMAN</t>
  </si>
  <si>
    <t>GROUP TREASURY BSM HEDGES PORTOFLIO</t>
  </si>
  <si>
    <t>BNS FREDERICTON MAIN BRANCH</t>
  </si>
  <si>
    <t>BNS ATLANTIC DEALER FINANCE CENTRE PRE 2008</t>
  </si>
  <si>
    <t>BNS SUMMERSIDE PRINCE EDWARD ISLAND</t>
  </si>
  <si>
    <t>GROUP TREASURY MID TERM PORTFOLIO (GT)</t>
  </si>
  <si>
    <t>BNS SINGAPORE</t>
  </si>
  <si>
    <t>SWAPS DESK (NON-STRUCTURED) PRE 2008</t>
  </si>
  <si>
    <t>93567 DIVERSIFIED CENTRAL</t>
  </si>
  <si>
    <t>CREDIT NEGATIVE BASIS TRADING</t>
  </si>
  <si>
    <t>TERIP NO 1 (CDO) LIMITED  CLASS A</t>
  </si>
  <si>
    <t>BNS SUDBURY MAIN BRANCH</t>
  </si>
  <si>
    <t>BANK OF NOVA SCOTIA TORONTO</t>
  </si>
  <si>
    <t>BNS - FIXED INCOME / EQUITY</t>
  </si>
  <si>
    <t>BNS WESTSIDE SASKATOON</t>
  </si>
  <si>
    <t>SCI_01135</t>
  </si>
  <si>
    <t>BNS DERIVATIVE PRODUCTS (PANAMA)</t>
  </si>
  <si>
    <t>BNS GROUP TREASURY MID TERM NHA BOOK</t>
  </si>
  <si>
    <t>BNS GPF SPB TRS DAVIDSON KEMPNER BOOK FOR SPFDK</t>
  </si>
  <si>
    <t>DP GES FINANCE VOLUMEMETRIC PROD &amp; PAYTS BOOK</t>
  </si>
  <si>
    <t>THE BANK 0F NOVA SCOTIA - SCOTIA LEASING.</t>
  </si>
  <si>
    <t>BNS 70722 BUSINESS BANKING CTR NORTH BAY ONTARIO</t>
  </si>
  <si>
    <t>BNS CORRELATION DESK</t>
  </si>
  <si>
    <t>BNS GPF SPB TRS TRADING BOOK FOR SPFCD</t>
  </si>
  <si>
    <t>PRECIOUS METALS - SPECIAL PROJECT</t>
  </si>
  <si>
    <t>NEW YORL TSY LONG</t>
  </si>
  <si>
    <t>BNS QUEBEC INTERNATIONAL TRADE SERVICES</t>
  </si>
  <si>
    <t>BNS DECARIE &amp; FERRIER</t>
  </si>
  <si>
    <t>SCOTIA CAPITAL CDS - GT FAIR VALUE</t>
  </si>
  <si>
    <t>GES GESTNGB</t>
  </si>
  <si>
    <t>PRINCIPAL TRADER (DEAL SUPPORT)</t>
  </si>
  <si>
    <t>GES NGBAS</t>
  </si>
  <si>
    <t>NY LPM HEDGE PORTFOLIO</t>
  </si>
  <si>
    <t>RETAIL DYNAMIC HEDGE BOOK</t>
  </si>
  <si>
    <t>BNS CREDITINDEX</t>
  </si>
  <si>
    <t>DP EQUITY SINGLE STOCK OPTIONS</t>
  </si>
  <si>
    <t>GES GESFVPP</t>
  </si>
  <si>
    <t>BNS COLLATERAL TRADING PORTFOLIO</t>
  </si>
  <si>
    <t>THE BANK OF NOVA SCOTIA SINGAPORE (ASIA PACIFIC RIM) RCM</t>
  </si>
  <si>
    <t>EQUITYSP</t>
  </si>
  <si>
    <t>BANK OF NOVA SCOTIA GRENADA</t>
  </si>
  <si>
    <t>BNS TORONTO DERIVATIVES EQUITY LINKED NOTES</t>
  </si>
  <si>
    <t>TERIP NO 1 (CDO) LIMITED CLASS C (AUD)</t>
  </si>
  <si>
    <t>BNS PRIVATE BANKING</t>
  </si>
  <si>
    <t>BNS CORPORATE BANKING FINANCIAL INSTITUTIONS GRP</t>
  </si>
  <si>
    <t>BNS 69625</t>
  </si>
  <si>
    <t>BNS EAC INVENTORY FINANCE PORTFOLIO</t>
  </si>
  <si>
    <t>GBM ADMIN RESERVE FOR CVA PORTFOLIO</t>
  </si>
  <si>
    <t>BNS PUERTO RICO INTERNATIONAL BANKING ENTITY</t>
  </si>
  <si>
    <t>BNS ARBITRAGE CHIEF ACCOUNTANTS</t>
  </si>
  <si>
    <t>BNS MONTREAL TRUST IPL ADMIN CENTRE</t>
  </si>
  <si>
    <t>BNS LONDON FIXED INCOME PORTFOLIO</t>
  </si>
  <si>
    <t>BNS WINNIPEG BUSINESS SUPPORT CENTRE PRE 2008</t>
  </si>
  <si>
    <t>BNS LONDON ONTARIO 00042</t>
  </si>
  <si>
    <t>BNS GPF SPB TRS FLOWERING TREE</t>
  </si>
  <si>
    <t>DP BNSSCTLHEDGE DESK</t>
  </si>
  <si>
    <t>LONDON CREDIT</t>
  </si>
  <si>
    <t>BNS PORTFOLIO MANAGMENT STRUCTURED BOOK</t>
  </si>
  <si>
    <t>BNS WINNIPEG BUSINESS SUPPORT CENTRE</t>
  </si>
  <si>
    <t>BNS HAMILTON</t>
  </si>
  <si>
    <t>DERIVATIVE PRODUCTS CREDIT CORP PORTFOLIO</t>
  </si>
  <si>
    <t>GES GESTNGC</t>
  </si>
  <si>
    <t>CREDIT LDN</t>
  </si>
  <si>
    <t>EO LOXLEY</t>
  </si>
  <si>
    <t>GLOBAL FOREX</t>
  </si>
  <si>
    <t>BNS PROVISIONS EQUITY AND CREDIT PORTFILIO</t>
  </si>
  <si>
    <t>BNS GPF SPB TRS DE SHAW BOOK FOR SPFDE</t>
  </si>
  <si>
    <t>BNS WESTERN CANADIAN INCOME PROPERTY LENDING</t>
  </si>
  <si>
    <t>BNS 53280 BANKING OPERATIONS</t>
  </si>
  <si>
    <t>GLOBAL EQUITY DERIVATIVES - ASIA</t>
  </si>
  <si>
    <t>TREASURY LONG END TRADING BOOK</t>
  </si>
  <si>
    <t>BNS TOR ETF TRADING</t>
  </si>
  <si>
    <t>BNS 14548 CREDIT SALES AND MONEY MA</t>
  </si>
  <si>
    <t>BNS GROUP TREASURY BSM SEC CIP</t>
  </si>
  <si>
    <t>TRADING BONOS</t>
  </si>
  <si>
    <t>IG77_50MM_ UNSECURED</t>
  </si>
  <si>
    <t>BNS TORONTO BUSINESS SUPPORT CENTRE PRE 2008</t>
  </si>
  <si>
    <t>TORONTO BUSINESS SUPPORT CENTRE NO. 4 PRE 2008</t>
  </si>
  <si>
    <t>BNS BRANTFORD MAIN BRANCH</t>
  </si>
  <si>
    <t>BNS - CHIEF ACCOUNTANTS (MONTREAL TRUST)</t>
  </si>
  <si>
    <t>GES ENCOMMADMIN</t>
  </si>
  <si>
    <t>GES REFPRD</t>
  </si>
  <si>
    <t>BNS NEGATIVE BASIS TRADING PORTFOLIO</t>
  </si>
  <si>
    <t>SCOTIA MOCATTA-BULLION &amp; PRECIOUS METALS LONDON</t>
  </si>
  <si>
    <t>LONDON BASIS</t>
  </si>
  <si>
    <t>BNS84657</t>
  </si>
  <si>
    <t>BNS VANCOUVER BUSINESS SUPPORT CENTRE</t>
  </si>
  <si>
    <t>LEHMAN BROTHERS SPECIAL FINANCING INC. (FLATROCK)</t>
  </si>
  <si>
    <t>BNS GPF SPB TRS TIBURON BOOK FOR SPFTB</t>
  </si>
  <si>
    <t>CAD LOANS DEPOSITS</t>
  </si>
  <si>
    <t>LPM DERIVATIVE  PRODUCTS TORONTO</t>
  </si>
  <si>
    <t>BNS WINNIPEG COMMERCIAL BANKING CENTRE</t>
  </si>
  <si>
    <t>BNS - INTERNATIONAL BANKING DIVISION</t>
  </si>
  <si>
    <t>BNS TRURO NS</t>
  </si>
  <si>
    <t>CREDIT  WORKS</t>
  </si>
  <si>
    <t>BNS TORONTO-GLOBAL EQUITY FINANCE-CANADA</t>
  </si>
  <si>
    <t>ASIA SWAPS DESK.</t>
  </si>
  <si>
    <t>ST.JOHN NEW BRUNSWICK</t>
  </si>
  <si>
    <t>BNS TORONTO FX</t>
  </si>
  <si>
    <t>BNS 73007 MORTGAGE HEDGES</t>
  </si>
  <si>
    <t>BNS 01795 COLOMBIA OFFSHORE LOAN PO</t>
  </si>
  <si>
    <t>SWAP EXECUTION FACILITY DUMMY</t>
  </si>
  <si>
    <t>KGI SECURITIES CO. LTD</t>
  </si>
  <si>
    <t>SCOTIABANK EUROPE SN AMORTIZED</t>
  </si>
  <si>
    <t>MERITZ SECURITIES CO. LTD</t>
  </si>
  <si>
    <t>DTC SCOTIA CAPITAL SN AMORTIZED</t>
  </si>
  <si>
    <t>KGI SECURITIES CO LTD</t>
  </si>
  <si>
    <t>BNS 92999 TIMBERLANDS</t>
  </si>
  <si>
    <t>GBM STRUCTURED NOTE AMORTIZED COST</t>
  </si>
  <si>
    <t>IG77_750K_ UNSECURED</t>
  </si>
  <si>
    <t>DUMMY1</t>
  </si>
  <si>
    <t>B.N.S. BULLION CERTIFICATES OUTSTANDING</t>
  </si>
  <si>
    <t>BNS 42739 BANKING OPERATIONS</t>
  </si>
  <si>
    <t>BNS GROUP TREASURY FUNDING (HOLLIS) 95257</t>
  </si>
  <si>
    <t>GPFCCOLL</t>
  </si>
  <si>
    <t>BNS PERU DUMMY</t>
  </si>
  <si>
    <t>IGCLPSEC SECURED</t>
  </si>
  <si>
    <t>IGCLP UNSECURED GROUP</t>
  </si>
  <si>
    <t>RATELKN</t>
  </si>
  <si>
    <t>BNS83139 EDMONTON CENTRALIZED CURRENCY UNIT</t>
  </si>
  <si>
    <t>BNS 13250 BANKING OPERATIONS</t>
  </si>
  <si>
    <t>GLOBAL EQUITY DERIVATIVES TOTUS</t>
  </si>
  <si>
    <t>IGEUR SECURED MOD</t>
  </si>
  <si>
    <t>The Bank of Nova Scotia Ltd (Toronto)</t>
  </si>
  <si>
    <t>FICC TACTICAL TRADING</t>
  </si>
  <si>
    <t>BNS 08946 BANKING OPERATIONS</t>
  </si>
  <si>
    <t>EAC INVENTORY FINANCING (SIL) IRELAND</t>
  </si>
  <si>
    <t>SCOTIA CAPITAL CDS-SN AMORTIZED</t>
  </si>
  <si>
    <t>DTC SCOTIA CAPITAL-SN AMORTIZED</t>
  </si>
  <si>
    <t>KGI SECURITIES CO LT.</t>
  </si>
  <si>
    <t>MERITZ SECURITIES CO LTD.</t>
  </si>
  <si>
    <t>EMBEDDED DERIVATIVES - STRUCTURED NOTE</t>
  </si>
  <si>
    <t>SCOTIA CAPITAL CDS  SN AMORTIZED</t>
  </si>
  <si>
    <t>EMBEDDED DERIVATIVES - STRUCTURED NOTES</t>
  </si>
  <si>
    <t>SCOTIABANK EUROPE-SN AMORTIZED</t>
  </si>
  <si>
    <t>BNS 39008 REGINA CENTRALIZED CURREN</t>
  </si>
  <si>
    <t>BNS 78766 OTTAWA CENTRALIZED CURREN</t>
  </si>
  <si>
    <t>BNS 74856 CLIFFCREST PL</t>
  </si>
  <si>
    <t>BNS 74872 YONGE AND GREENF</t>
  </si>
  <si>
    <t>BNS 74906 SILVERLAND</t>
  </si>
  <si>
    <t>BNS 75002 WALLACEBURG</t>
  </si>
  <si>
    <t>BNS 75176 TUDOR CENTRE</t>
  </si>
  <si>
    <t>CANADIAN GROWTH D</t>
  </si>
  <si>
    <t>INTERNATIONAL EQUITY E</t>
  </si>
  <si>
    <t>ISS SECURITIES OPERATIONS FUNDS</t>
  </si>
  <si>
    <t>ISS SECURITIES OPERATIONS</t>
  </si>
  <si>
    <t>BNS INVESTMENT INC 04226</t>
  </si>
  <si>
    <t>BNS INVESTMANT INC (04226)</t>
  </si>
  <si>
    <t>BNS 04382 YONGE/BALLIOL</t>
  </si>
  <si>
    <t>BNS 04762 VICTORIA P/TE</t>
  </si>
  <si>
    <t>BNS 04796 SHEPPARD</t>
  </si>
  <si>
    <t>BNS 04812 WESTGATE PLAZA</t>
  </si>
  <si>
    <t>BNS 04986 13 VICTORIA ST</t>
  </si>
  <si>
    <t>BNS 05066 42 TALBOTS ST</t>
  </si>
  <si>
    <t>BNS 05256 FENNELL SQ</t>
  </si>
  <si>
    <t>BNS 05306 CATARAQUI</t>
  </si>
  <si>
    <t>BNS 05322 1094 BARRYDOWN</t>
  </si>
  <si>
    <t>BNS 05546 1 DUNDAS ST</t>
  </si>
  <si>
    <t>BNS 05686 TAVISTOCK ONT</t>
  </si>
  <si>
    <t>BNS 05876 SUNDRY CLEARING UNIT</t>
  </si>
  <si>
    <t>BNS 05942 SCOTIA LEASING</t>
  </si>
  <si>
    <t>MOCS THE BANK OF NOVA SCOTIAMOCATTA</t>
  </si>
  <si>
    <t>BNS 06916 MALDEN</t>
  </si>
  <si>
    <t>BNS 07096 PRIVATE BANKING LONDON</t>
  </si>
  <si>
    <t>BNS 07286 WESTON RD AND RUTHERFORD</t>
  </si>
  <si>
    <t>BNS07476 INVERLAT CANADA MEX MIGRAT</t>
  </si>
  <si>
    <t>BNS 07922 ISS SECURITIES OPER</t>
  </si>
  <si>
    <t>BNS 08136 WHITBY SHORES</t>
  </si>
  <si>
    <t>BNS 08326 CHINGUACOUSY</t>
  </si>
  <si>
    <t>BNS 08482 STEELES/ALNESS</t>
  </si>
  <si>
    <t>BNS 08862 BNS SAGINAW SQUARE</t>
  </si>
  <si>
    <t>BNS 10009 ALBERTA MAIN</t>
  </si>
  <si>
    <t>BNS 10017 PORTAGE/KENNE</t>
  </si>
  <si>
    <t>BNS 10025 PRINCESS ST</t>
  </si>
  <si>
    <t>BNS 10033 BNS TRURO</t>
  </si>
  <si>
    <t>BNS 10041 BNS PLACE QUEB</t>
  </si>
  <si>
    <t>BNS 10058 PRINCE ALBERT</t>
  </si>
  <si>
    <t>BNS 10066 ELGIN AND FRANK</t>
  </si>
  <si>
    <t>BNS 10074 BNS NEWCASTLE</t>
  </si>
  <si>
    <t>BNS 10082 SPADINA/DUPONT</t>
  </si>
  <si>
    <t>BNS 10090 BROADWAY/BURR</t>
  </si>
  <si>
    <t>BNS 10108 BNS AVONLEA</t>
  </si>
  <si>
    <t>BNS 10124 BLACKS HARBOUR</t>
  </si>
  <si>
    <t>BNS 10140 BNS KAMLOOPS</t>
  </si>
  <si>
    <t>BNS 10157 BNS VIRDEN</t>
  </si>
  <si>
    <t>BNS 10181 COTE DE LIESSE</t>
  </si>
  <si>
    <t>BNS 10199 17TH/38TH ST</t>
  </si>
  <si>
    <t>BNS 10223 GLACE BAY</t>
  </si>
  <si>
    <t>GFI TORUSFI STRUCTURING FEES</t>
  </si>
  <si>
    <t>SECURITIZED TERM AUTO RECEIVABLES TRUST 2018-1</t>
  </si>
  <si>
    <t>BNS 02170</t>
  </si>
  <si>
    <t>BNS 02212 COUNTY FAIR PZ</t>
  </si>
  <si>
    <t>BNS 02220 SARDIS</t>
  </si>
  <si>
    <t>BNS 02279 COUNTRY HILLS TOWN CENTRE</t>
  </si>
  <si>
    <t>BNS 02303 GREENWOOD MALL</t>
  </si>
  <si>
    <t>BNS 02352 EARLTON ONT</t>
  </si>
  <si>
    <t>BNS O2410 NELSON SQUARE</t>
  </si>
  <si>
    <t>BNS02469 CALGARY WEST SPRINGS</t>
  </si>
  <si>
    <t>BNS 02501 ST.HYACINTHE QUEBEC</t>
  </si>
  <si>
    <t>BNS 02550 PARK ROYAL</t>
  </si>
  <si>
    <t>BNS 02642 YONGE MULOCK</t>
  </si>
  <si>
    <t>BNS 02741 JEAN TALON BRANCH</t>
  </si>
  <si>
    <t>BNS 02790 WHISTLER</t>
  </si>
  <si>
    <t>BNS 02931 PLAZA GLENWOOD</t>
  </si>
  <si>
    <t>BNS 03012 SHEPPARD/CONSU</t>
  </si>
  <si>
    <t>BNS 03079 CRANSTON, CALGARY ALBERTA</t>
  </si>
  <si>
    <t>BNS 03111 BNS QUEBEC</t>
  </si>
  <si>
    <t>BNS 03145 FINANCE DEPT PUERTO RICO</t>
  </si>
  <si>
    <t>BNS 03152 ONT C.A.U.</t>
  </si>
  <si>
    <t>BNS 03251 LACHENAIE QC</t>
  </si>
  <si>
    <t>BNS 03269 AIRDRIE SIERRA SPRINGS</t>
  </si>
  <si>
    <t>BNS 03392 NEW STR/W LINE</t>
  </si>
  <si>
    <t>BNS 03715 MANILA PHILIPPINES</t>
  </si>
  <si>
    <t>BNS 04002 SEFCO TORONTO</t>
  </si>
  <si>
    <t>BNS71589 SYLVAN LAKE</t>
  </si>
  <si>
    <t>BNS 71605 ST. MAARTEN</t>
  </si>
  <si>
    <t>BNS 71613 BRIDGEWATER</t>
  </si>
  <si>
    <t>BNS 71639 BNS BEAUMONT</t>
  </si>
  <si>
    <t>BNS 71670 WANETA PLAZA</t>
  </si>
  <si>
    <t>BNS 71712 WILSON/JANE</t>
  </si>
  <si>
    <t>BNS 71795 MGR DIR OFF HM</t>
  </si>
  <si>
    <t>BNS 71803 BNS BEDFORD</t>
  </si>
  <si>
    <t>BNS 71829 RANCHLANDS SC</t>
  </si>
  <si>
    <t>BNS 71852 BOX 760 WINDSR</t>
  </si>
  <si>
    <t>BNS 71902 KING/SPRINGHST</t>
  </si>
  <si>
    <t>BNS 72082 WHITBY ONTARIO</t>
  </si>
  <si>
    <t>BNS 72090 PARKSVILLE BC</t>
  </si>
  <si>
    <t>BNS 72132 KRUG/SHERWOOD</t>
  </si>
  <si>
    <t>BNS 72140  STRAWBERRY HILL</t>
  </si>
  <si>
    <t>BNS 72231 CARREFOUR LAVAL</t>
  </si>
  <si>
    <t>BNS 72249 RIVER BANK SQ</t>
  </si>
  <si>
    <t>BNS 72322 KINGSTON/MORNG</t>
  </si>
  <si>
    <t>BNS 72439 SOUTH GATE SHOPPING CTR E</t>
  </si>
  <si>
    <t>BNS 72520 CITY SQUARE</t>
  </si>
  <si>
    <t>BNS72579 ASPEN WOODS CALGARY AL</t>
  </si>
  <si>
    <t>BNS 72629 TD SQUARE</t>
  </si>
  <si>
    <t>BNS 72710 UNIVERCITY</t>
  </si>
  <si>
    <t>BNS 72751 DOLLARD DES ORMEAUX</t>
  </si>
  <si>
    <t>BNS 72819 BNS ALBERTA</t>
  </si>
  <si>
    <t>BNS 73015 ROBB STREET GEORGETOWN</t>
  </si>
  <si>
    <t>BNS 73072 CHARLOTTE/PARK</t>
  </si>
  <si>
    <t>BNS73437 DIVERSIFIED WEST</t>
  </si>
  <si>
    <t>BNS 73452 TRAFALGAR RIDGE OAKVILLE</t>
  </si>
  <si>
    <t>BNS 73742 MONTGOMERY PL</t>
  </si>
  <si>
    <t>BNS 74062 BAYVIEW AND WELD</t>
  </si>
  <si>
    <t>BNS 74112 STONE CHURCH</t>
  </si>
  <si>
    <t>BNS 74302 QUINTE MALL</t>
  </si>
  <si>
    <t>BNS 74476 50 BLOOR ST</t>
  </si>
  <si>
    <t>BNS DIEGO MARTIN 74625</t>
  </si>
  <si>
    <t>BNS 74732 BONIS/BIRCHMT</t>
  </si>
  <si>
    <t>BNS SCOTIA CENTRE 74815</t>
  </si>
  <si>
    <t>BNS 70664 WESTMRLD/MCALL</t>
  </si>
  <si>
    <t>BNS 70672 MORRISBURG ONT</t>
  </si>
  <si>
    <t>BNS 70680 SPRUCELAND BC</t>
  </si>
  <si>
    <t>BNS 70698 ROSETOWN</t>
  </si>
  <si>
    <t>BNS 70722 NORTH BAY ONT</t>
  </si>
  <si>
    <t>BNS 70730 CAMPBELL RIVER</t>
  </si>
  <si>
    <t>BNS 70755 SANTO DOMINGO</t>
  </si>
  <si>
    <t>BNS 70789 BOWDEN ALBERTA</t>
  </si>
  <si>
    <t>BNS 70813 BNS MORELL</t>
  </si>
  <si>
    <t>BNS 70854 HARTLAND,NB</t>
  </si>
  <si>
    <t>BNS 70862 PORT HOPE ONTARIO</t>
  </si>
  <si>
    <t>BNS 70870 VCR DATA CTR</t>
  </si>
  <si>
    <t>BNS 70912 FAIRVIEW SP CT</t>
  </si>
  <si>
    <t>BNS 70920 WHITEHORSE BC</t>
  </si>
  <si>
    <t>BNS 70953 BNS MARYSTOWN</t>
  </si>
  <si>
    <t>BNS 70979 RICHMOND RD</t>
  </si>
  <si>
    <t>BNS 71001 MONTREAL CENTRAL ACCOUNTI</t>
  </si>
  <si>
    <t>BNS 71092 BATHURST/DUNDA</t>
  </si>
  <si>
    <t>BNS 71100 BNS DUNCAN</t>
  </si>
  <si>
    <t>BNS 71191 CENTRE-VILLE</t>
  </si>
  <si>
    <t>BNS 71209 1835 DUNMORE</t>
  </si>
  <si>
    <t>BNS71324 RIVERVIEW</t>
  </si>
  <si>
    <t>BNS 71332 CEDARBRAE PLAZ</t>
  </si>
  <si>
    <t>BNSF BNS FRANKFURT</t>
  </si>
  <si>
    <t>BNS 71381 BNS VAL D'OR</t>
  </si>
  <si>
    <t>BNS 71407 POLO PARK</t>
  </si>
  <si>
    <t>BNS 71431 SAMUEL HOLLAND</t>
  </si>
  <si>
    <t>BNS 71472 MT DENNIS</t>
  </si>
  <si>
    <t>BNS 71522 QUEEN/CHURCH</t>
  </si>
  <si>
    <t>BNS 71530 RUTHERFORD MAL</t>
  </si>
  <si>
    <t>BNS ON BEHALF OF CHC HELICOPTER</t>
  </si>
  <si>
    <t>CONV_CASH</t>
  </si>
  <si>
    <t>GENERIC CORP CURRENT A/C FXSWP</t>
  </si>
  <si>
    <t>DUMM</t>
  </si>
  <si>
    <t>FX AUTO ROLL CUSTOMER</t>
  </si>
  <si>
    <t>FX/FRA TRADE DESK</t>
  </si>
  <si>
    <t>FX ARB MARGIN CUSTOMER</t>
  </si>
  <si>
    <t>FOREIGN EXCHANGE REVENUE HEDGING</t>
  </si>
  <si>
    <t>GLOBAL EQUITY FINANCE LONDON TOTUS</t>
  </si>
  <si>
    <t>GLOBAL PRIME FINANCE</t>
  </si>
  <si>
    <t>BNS GWS ON BEHALF OF SNC LAVALIN</t>
  </si>
  <si>
    <t>HK MOCATTA SFX DUMMY</t>
  </si>
  <si>
    <t>CANADIAN BALANCED B</t>
  </si>
  <si>
    <t>EUROPEAN GROWTH LND C</t>
  </si>
  <si>
    <t>BNS 01362 HUMBERTOWN CTR</t>
  </si>
  <si>
    <t>BNS 01412 KINGSTON/ST CL</t>
  </si>
  <si>
    <t>BNS 01420 VANCOUVER CTR</t>
  </si>
  <si>
    <t>BNS 01479 WETASKIWIN MAL</t>
  </si>
  <si>
    <t>BNS 01529 MARKET/MAGRATH</t>
  </si>
  <si>
    <t>BNS 01552 QUEEN/RIVER</t>
  </si>
  <si>
    <t>BNS01560 GLENMORE BC</t>
  </si>
  <si>
    <t>BNS 01602 ST CLAIR/OAKWD</t>
  </si>
  <si>
    <t>BNS 01669 BNS MIDNAPORE</t>
  </si>
  <si>
    <t>BNS 01677 CAU WINNIPEG CENTRAL ACCO</t>
  </si>
  <si>
    <t>BNS 01701 CSP LAVAL QUE</t>
  </si>
  <si>
    <t>BNS 01800 HASTINGS/SEYMO</t>
  </si>
  <si>
    <t>BNS 01842 NIPISSING PLAZ</t>
  </si>
  <si>
    <t>BNS 01859 WOODBINE SQUAR</t>
  </si>
  <si>
    <t>BNS 01883 BNS SHERBOURNE</t>
  </si>
  <si>
    <t>BNS 02139 CALGARY CENTRAL ACCOUNTIN</t>
  </si>
  <si>
    <t>BNS 02162 YONGE/EGLINTON</t>
  </si>
  <si>
    <t>BNS 70318 REGENT PARK PL</t>
  </si>
  <si>
    <t>BNS 70326 ST ISIDORE DEP</t>
  </si>
  <si>
    <t>BNS 70342 EXETER ONTARIO</t>
  </si>
  <si>
    <t>BNS 70359 BNS MILO</t>
  </si>
  <si>
    <t>BNS 70391 BNS SHERBROOKE</t>
  </si>
  <si>
    <t>BNS 70409 BNS STETTLER</t>
  </si>
  <si>
    <t>MERITZ SECURITIES CO LTD</t>
  </si>
  <si>
    <t>BNS 00281 MAISSON COOPER</t>
  </si>
  <si>
    <t>BNS 00299 HINTON-DRINNAN</t>
  </si>
  <si>
    <t>BNS 00307 BOX 845 WINNIP</t>
  </si>
  <si>
    <t>BNS 00315 SANTIAGO DE LOS CABALLERO</t>
  </si>
  <si>
    <t>BNS 00323 INGONISH BEACH</t>
  </si>
  <si>
    <t>BNS 00349 MEDICINE HAT</t>
  </si>
  <si>
    <t>BNS 00356 BNS BUCKINGHAM</t>
  </si>
  <si>
    <t>BNS 00372 SPEEDVA AND STE</t>
  </si>
  <si>
    <t>BNS 00406 CARLETON UNIV</t>
  </si>
  <si>
    <t>BNS 00422 OTTAWA AND BARTO</t>
  </si>
  <si>
    <t>BNS 00430 DUNBAR AND 41ST</t>
  </si>
  <si>
    <t>BNS 00455 BNS ST CROIX</t>
  </si>
  <si>
    <t>BNS 00463 BNS SYDNEY</t>
  </si>
  <si>
    <t>BNS 00471 LAURENT/CHURCH</t>
  </si>
  <si>
    <t>BNS 00489 JASPER/107</t>
  </si>
  <si>
    <t>BNS 00513 BNS WINDSOR</t>
  </si>
  <si>
    <t>BNS 00521 DRUMMONDVILLE</t>
  </si>
  <si>
    <t>BNS 00539 MACLEOD TRAI S</t>
  </si>
  <si>
    <t>BNS 00562 WESTOWN PLAZA</t>
  </si>
  <si>
    <t>BNS 00596 OTTAWA DATA CR</t>
  </si>
  <si>
    <t>BNS 00620 SHLBN/CEDR HIL</t>
  </si>
  <si>
    <t>BNS 00646 RIVERSIDE MALL</t>
  </si>
  <si>
    <t>BNS 00703 DKWRTH/COCHRN</t>
  </si>
  <si>
    <t>BNS 00729 CENTRE ST N</t>
  </si>
  <si>
    <t>BNS 00752 3RD LINE/SPEER</t>
  </si>
  <si>
    <t>BNS 00760 BNS MACKENZIE</t>
  </si>
  <si>
    <t>BNS 00794 BNS LINCOLN</t>
  </si>
  <si>
    <t>BNS 00802 PETERBOROUGH</t>
  </si>
  <si>
    <t>BNS 00893 GRAND FALLS</t>
  </si>
  <si>
    <t>BNS 00901 LE CAVALIER SC</t>
  </si>
  <si>
    <t>BNS 00992 SPANISH ONT</t>
  </si>
  <si>
    <t>BNS 01024 KING/GERMAIN</t>
  </si>
  <si>
    <t>BNS 01073 SAULNIERVILLE</t>
  </si>
  <si>
    <t>BNS 01099 PETRO PLAZA</t>
  </si>
  <si>
    <t>BNS 01123 BNS WEST END</t>
  </si>
  <si>
    <t>FIXED INCOME NYA OTC DERIVATIVES</t>
  </si>
  <si>
    <t>BNS 01172 COLLEGE/BATHUR</t>
  </si>
  <si>
    <t>BNS 01222 DANFORTH/WOODB</t>
  </si>
  <si>
    <t>BNS 01230 POWELL RIVER</t>
  </si>
  <si>
    <t>BNS 01289 9203-34TH EDMN</t>
  </si>
  <si>
    <t>BNS 70482 KINGSTON ONT</t>
  </si>
  <si>
    <t>BNS 70490 GRENVILLE/68TH</t>
  </si>
  <si>
    <t>BNS 70524 BNS EDMUNSTON</t>
  </si>
  <si>
    <t>BNS 70532 LINWOOD ONT</t>
  </si>
  <si>
    <t>BNS 70557 BNS MARATHON</t>
  </si>
  <si>
    <t>BNS 70565 BNS WORTHING</t>
  </si>
  <si>
    <t>BNS 70573 BNS CATALINA</t>
  </si>
  <si>
    <t>BNS 70599 BRENTWOOD CALGARY</t>
  </si>
  <si>
    <t>BNS 70607 DAKOTA AND WARDE</t>
  </si>
  <si>
    <t>BNS SANGRE GRANDE 70615</t>
  </si>
  <si>
    <t>BNS 70623 BNS GANDER</t>
  </si>
  <si>
    <t>BNS 70649 17TH/8TH ST SW</t>
  </si>
  <si>
    <t>BNS 65706 66 ONTARIO RD</t>
  </si>
  <si>
    <t>BNS 65862 BNS BATH AND CEN</t>
  </si>
  <si>
    <t>BNS 66332 ISS SECURITIES OPERATIONS</t>
  </si>
  <si>
    <t>BNS 66662 QUEEN/HANSEN</t>
  </si>
  <si>
    <t>MOCLPB THE BANK OF NOVA SCOTIAMOCAT</t>
  </si>
  <si>
    <t>BNS 67082 WESTWOOD MALL</t>
  </si>
  <si>
    <t>BNS GROUP TREASURY FUNDING (HOLLIS)</t>
  </si>
  <si>
    <t>BNS GROUP TREASURY MID TERM FUNDING (HOLLIS)</t>
  </si>
  <si>
    <t>BNS MONTREAL TRUST</t>
  </si>
  <si>
    <t>BNS02147 BANK CORPORATE POSITION</t>
  </si>
  <si>
    <t>BANK CORPORATE POSITION</t>
  </si>
  <si>
    <t>BNS 00018 BNS SASKATOON</t>
  </si>
  <si>
    <t>BNS 00026 BANK/GLOUCESTE</t>
  </si>
  <si>
    <t>BNS 00034 MONCTON NB</t>
  </si>
  <si>
    <t>BNS 00042 LONDON ONT</t>
  </si>
  <si>
    <t>BNS 00083 BNS SUMMERSIDE</t>
  </si>
  <si>
    <t>BNS 00091 ST LAWR/JEAN T</t>
  </si>
  <si>
    <t>BNS 00117 PEMBINA HWY</t>
  </si>
  <si>
    <t>BNS 00133 BEDFORD NS</t>
  </si>
  <si>
    <t>BNS 00158 BNS CODETTE</t>
  </si>
  <si>
    <t>BNS 00166 CITY VIEW</t>
  </si>
  <si>
    <t>BNS 00174 GAGETOWN</t>
  </si>
  <si>
    <t>BNS 00190 BNS MCBRIDE</t>
  </si>
  <si>
    <t>BNS 00208 KINISTINO</t>
  </si>
  <si>
    <t>BNS 00224 JAQUET RIVER</t>
  </si>
  <si>
    <t>BNS 00232 BROCKVILLE</t>
  </si>
  <si>
    <t>BNS 00257 BNS THOMPSON</t>
  </si>
  <si>
    <t>BNS 00273 NORTH WEST ARM</t>
  </si>
  <si>
    <t>BNS GROUP TREASURY SCBG</t>
  </si>
  <si>
    <t>BNS 67116 PRIV BKG HAMILTON</t>
  </si>
  <si>
    <t>BANK OF NOVA SCOTIA 67496</t>
  </si>
  <si>
    <t>BNS 67686 PLATEAU</t>
  </si>
  <si>
    <t>BNS 67926 4559 HURONTARIO ST</t>
  </si>
  <si>
    <t>BNS 68056 COLBORNE STREET WEST</t>
  </si>
  <si>
    <t>BNS 68106 WOODROFFE</t>
  </si>
  <si>
    <t>BNS 68262 DOON VILLAGE</t>
  </si>
  <si>
    <t>BNS 68296 MAJ MACKENZIE AND MARKHAM</t>
  </si>
  <si>
    <t>BNS 68452 LAURIER CENTRE</t>
  </si>
  <si>
    <t>BNS 68726 MISSISSAUGA AND WILLIAMS</t>
  </si>
  <si>
    <t>BNS 69625 BNS HOUSTON BRANCH</t>
  </si>
  <si>
    <t>BNS 70003 HALIFAX MAIN</t>
  </si>
  <si>
    <t>RECIPROCITY HOLDINGS LTD</t>
  </si>
  <si>
    <t>STORA FOREST INDUSTRIES LTD.</t>
  </si>
  <si>
    <t>BNS 70029 WEST END CALG</t>
  </si>
  <si>
    <t>BNS 70037 PORTAGE/ROSEBR</t>
  </si>
  <si>
    <t>BNS 70060 BNS WHALLEY</t>
  </si>
  <si>
    <t>BNS 70078 BNS TISDALE</t>
  </si>
  <si>
    <t>BNS 70086 PEMBROKE ONT</t>
  </si>
  <si>
    <t>BNS 70102 HALTON HILLS</t>
  </si>
  <si>
    <t>BNS 70110 BNS CLOVERDALE</t>
  </si>
  <si>
    <t>BNS 70136 BELLS CORNERS</t>
  </si>
  <si>
    <t>BNS 70144 BNS CHIPMAN</t>
  </si>
  <si>
    <t>BNS 70169 1ST ST W/6TH</t>
  </si>
  <si>
    <t>BNS 70177 WINNIPEGOSIS</t>
  </si>
  <si>
    <t>BNS 70193 WDLWN-WESTPHAL</t>
  </si>
  <si>
    <t>BNS 70219 JASPER PLACE</t>
  </si>
  <si>
    <t>BNS 70243 COBOURG/ROBIE</t>
  </si>
  <si>
    <t>BNS 70250 6TH AV/5TH AV</t>
  </si>
  <si>
    <t>BNS 70276 PRESTON/NORMAN</t>
  </si>
  <si>
    <t>BNS 70284 ST ANDREWS</t>
  </si>
  <si>
    <t>BNS 70292 COCHRANE ONT</t>
  </si>
  <si>
    <t>BNS 61689 VILLAGE TREE M</t>
  </si>
  <si>
    <t>BNS MARABELLA 61705</t>
  </si>
  <si>
    <t>BNS 61747 CANADA LOAN TRADING</t>
  </si>
  <si>
    <t>BNS 61770 CHETWYND</t>
  </si>
  <si>
    <t>BNS 61796 ISS FINANCE CORPORATION</t>
  </si>
  <si>
    <t>BNS 61853 KENMOUNT SQ</t>
  </si>
  <si>
    <t>BNS 61929 LAC LA BICHE ALBERTA</t>
  </si>
  <si>
    <t>BNS 62042 DANFORTH/COXWL</t>
  </si>
  <si>
    <t>BNS 62182 MIDLAND ONT</t>
  </si>
  <si>
    <t>BNS 62281 612 RUE ST.JACQUES W.</t>
  </si>
  <si>
    <t>RTLERROR</t>
  </si>
  <si>
    <t>BNS ON BEHALF OF U.S. AIRWAYS INC.</t>
  </si>
  <si>
    <t>ASW</t>
  </si>
  <si>
    <t>ONTARIO OFFSITE ABM / NON-DEPOSIT</t>
  </si>
  <si>
    <t>BNS S P PRIVATE BKG</t>
  </si>
  <si>
    <t>BNS 62323 ELMSDALE SHOPPING CENTRE</t>
  </si>
  <si>
    <t>BNS 62570 BRENTWOOD</t>
  </si>
  <si>
    <t>BNS 62711 ST LEONARD</t>
  </si>
  <si>
    <t>BNS 62752 YONGE/BERNARD</t>
  </si>
  <si>
    <t>BNS 62851 ROCKLAND SHOP</t>
  </si>
  <si>
    <t>BNS RIO CLARO 62885</t>
  </si>
  <si>
    <t>BNS 62992-15 GERVAIS/WYN</t>
  </si>
  <si>
    <t>BNS 63032 BLOOR W/SALEM</t>
  </si>
  <si>
    <t>BANK OF NOVA SCOTIA (63065)</t>
  </si>
  <si>
    <t>BNS 63081 PLACE MONTREAL TRUST</t>
  </si>
  <si>
    <t>BNS 63099 BELMONT EDMONTON</t>
  </si>
  <si>
    <t>BNS TOR-IE FINANCE + DERV</t>
  </si>
  <si>
    <t>BNS 63131 QUEBEC STE FOY</t>
  </si>
  <si>
    <t>BNS 63172 LINDSAY ONT</t>
  </si>
  <si>
    <t>BNS 63362 RIVERSIDE SP P</t>
  </si>
  <si>
    <t>BNS 63412 CONSTELLATION</t>
  </si>
  <si>
    <t>BNS 63552 HWY 10 NBOVAIRD BRAMPTON</t>
  </si>
  <si>
    <t>BNS 63685 HOLETOWN BARB</t>
  </si>
  <si>
    <t>BNS 63735 BNS P0RTLAND</t>
  </si>
  <si>
    <t>BNS 63966 ONTARIO CASH PROCESSING C</t>
  </si>
  <si>
    <t>BNS 64212 DEVONSHIRE</t>
  </si>
  <si>
    <t>BNS 64352 BARTON/GREENS</t>
  </si>
  <si>
    <t>BNS 64576 ONE FINAN</t>
  </si>
  <si>
    <t>BNS 64626 THORNCLIFFE</t>
  </si>
  <si>
    <t>BNS 64766 NEWMARKET</t>
  </si>
  <si>
    <t>BNS 64816 ST.CLAIR AND DUFFERIN</t>
  </si>
  <si>
    <t>BNS 64832 ERB ST W.</t>
  </si>
  <si>
    <t>BNS 64972 MEADOWVALE S</t>
  </si>
  <si>
    <t>BNS 65185 BNS CMMB NEW YORK</t>
  </si>
  <si>
    <t>BNS STEELES MIDDLEFIELD</t>
  </si>
  <si>
    <t>BNS 65466 1712 CARLING</t>
  </si>
  <si>
    <t>BNS 60061 ST ROCH</t>
  </si>
  <si>
    <t>BNS 60087 PORTAGE/TORONT</t>
  </si>
  <si>
    <t>BNS 60111 BNS GRENVILLE</t>
  </si>
  <si>
    <t>BNS 60129 ATHABASCA</t>
  </si>
  <si>
    <t>BNS 60152 BARRIE ONTARIO</t>
  </si>
  <si>
    <t>BNS 60160 KITIMAT</t>
  </si>
  <si>
    <t>BNS 60178 HUDSON BAY</t>
  </si>
  <si>
    <t>BNS 60194 HAMPTON ST N</t>
  </si>
  <si>
    <t>BNS 60202 BRAMPTON ONT</t>
  </si>
  <si>
    <t>BNS 60228 N BATTLEFORD</t>
  </si>
  <si>
    <t>BNS 60236 CARLING/WOODRF</t>
  </si>
  <si>
    <t>BNS 60251 WESTMOUNT MTL</t>
  </si>
  <si>
    <t>BNS 60269 CENTURY PLACE</t>
  </si>
  <si>
    <t>BNS SAN FERNANDO 60285</t>
  </si>
  <si>
    <t>BNS 60293 QUINPOOL RD</t>
  </si>
  <si>
    <t>BNS 60301 MURDOCHVILLE</t>
  </si>
  <si>
    <t>BNS 60319 INNISFAIL</t>
  </si>
  <si>
    <t>BNSJ BNS ST JOHN AN</t>
  </si>
  <si>
    <t>BNS 60343 LIVERPOOL</t>
  </si>
  <si>
    <t>BNS 60350 BDWY/MACDONALD</t>
  </si>
  <si>
    <t>BNS 60368 HILLSDALE MALL</t>
  </si>
  <si>
    <t>BNS 60376 FT COULONGE</t>
  </si>
  <si>
    <t>BNS 60392 JAMES/BURLINGT</t>
  </si>
  <si>
    <t>BNS 60400 EDM ST/6TH ST</t>
  </si>
  <si>
    <t>BNS 60442 JAMES/FENNEL</t>
  </si>
  <si>
    <t>BNS 60459 LAKEVIEW PLAZA</t>
  </si>
  <si>
    <t>BNS 60483 TATAMGOUCHE</t>
  </si>
  <si>
    <t>BNS 60491 ST RAYMOND</t>
  </si>
  <si>
    <t>BNS 60517 GARDEN CITY SQ</t>
  </si>
  <si>
    <t>BNS CHAGUANAS 60525</t>
  </si>
  <si>
    <t>BNS 60533 BAY ROBERTS</t>
  </si>
  <si>
    <t>BNS 60541 BONAVENTURE</t>
  </si>
  <si>
    <t>BNS 60574 ST JOHN DATA</t>
  </si>
  <si>
    <t>BNS 60582 MALTON BRANCH</t>
  </si>
  <si>
    <t>BNS 60616 BARRISTER OTTW</t>
  </si>
  <si>
    <t>BNS 60632 HUNTSVILLE ONT</t>
  </si>
  <si>
    <t>BNS 60673 ST ANTHONY</t>
  </si>
  <si>
    <t>BNS 60681 ROCK FOREST</t>
  </si>
  <si>
    <t>BNS 60715 SB PR HATO REY</t>
  </si>
  <si>
    <t>BNS 60723 BNS SPRINGDALE</t>
  </si>
  <si>
    <t>BNS 60764 GRAND BAY</t>
  </si>
  <si>
    <t>BNS 60772 PARRY SOUND ON</t>
  </si>
  <si>
    <t>BNS 60814 MILLIDGE VILLE</t>
  </si>
  <si>
    <t>BNS 60822 PICTON ONTARIO</t>
  </si>
  <si>
    <t>BNS 60855 BUENOS AIRES</t>
  </si>
  <si>
    <t>BNS 60889 CALGARY DATA</t>
  </si>
  <si>
    <t>BNS 60913 LABRADOR</t>
  </si>
  <si>
    <t>BNS 60962 NORTHGATE S C</t>
  </si>
  <si>
    <t>BNS 61002 STOUFFVILLE ON</t>
  </si>
  <si>
    <t>BNS 61051 BNS GRANBY</t>
  </si>
  <si>
    <t>BNS 61101 BAIE COMEAU QU</t>
  </si>
  <si>
    <t>BNS 61176 ORLEANS GARDEN</t>
  </si>
  <si>
    <t>BNS 61192 DANFORTH/DANFH</t>
  </si>
  <si>
    <t>BNS 61200 KINGSWAY/BRKR</t>
  </si>
  <si>
    <t>BNS 61242 DUFFERIN/CASTL</t>
  </si>
  <si>
    <t>BNS 61275 BNS COROZOL</t>
  </si>
  <si>
    <t>BNS 61382 KINGSTON/BINGHAM</t>
  </si>
  <si>
    <t>BNS 61432 LAWRENCE/BIRCH</t>
  </si>
  <si>
    <t>BNS 61523 ST JOHNS DATA</t>
  </si>
  <si>
    <t>BNS 61549 GRAND CENTRE</t>
  </si>
  <si>
    <t>BNS 61572 QUEENSWAY/SMIT</t>
  </si>
  <si>
    <t>BNS 61622 SHEPPARD/RIVAL</t>
  </si>
  <si>
    <t>CAPM CAPITAL MKTS TO</t>
  </si>
  <si>
    <t>GIA OPERACION BOVEDA</t>
  </si>
  <si>
    <t>GIA OPER CAPTACION MEDIOS ELECTRON</t>
  </si>
  <si>
    <t>GIA PAGO A PROVEEDORES</t>
  </si>
  <si>
    <t>GIA CONCILIACIONES BANCOS, MATRIZ Y SUCURSALES</t>
  </si>
  <si>
    <t>BNS ARBITRAGE TOTUS</t>
  </si>
  <si>
    <t>SCOTIAMOCATTA INDIA</t>
  </si>
  <si>
    <t>SCOTIAMOCATTA NY</t>
  </si>
  <si>
    <t>BNS INVERLAT MEXICO DUMMY</t>
  </si>
  <si>
    <t>BNS ON BEHALF OF NORTHERN TRUST</t>
  </si>
  <si>
    <t>BNS PRECIOUS METALS + FOREX OPTIONS</t>
  </si>
  <si>
    <t>PENDING CUSTOMER</t>
  </si>
  <si>
    <t>PROPRIETY TRADING</t>
  </si>
  <si>
    <t>PRINCIPAL TRAD POS 3</t>
  </si>
  <si>
    <t>PRINCIPAL TRADER SPOT DESK</t>
  </si>
  <si>
    <t>SCOTIAMOCATTA REVENUE HEDGING</t>
  </si>
  <si>
    <t>BNS SUNDRIES</t>
  </si>
  <si>
    <t>BNS 30833 PORT HAWKESBRY</t>
  </si>
  <si>
    <t>BNS 30882 RICHMOND HILL</t>
  </si>
  <si>
    <t>BNS 30932 ST THOMAS ONT</t>
  </si>
  <si>
    <t>BNS 30957 PRIVATE BANKING</t>
  </si>
  <si>
    <t>BNS 30965 TRUST CO W.I.</t>
  </si>
  <si>
    <t>BNS 30973 BNS FORTUNE</t>
  </si>
  <si>
    <t>BNS 30981 KIRKLAND QUE</t>
  </si>
  <si>
    <t>BNS 31013 BNS HALIFAX NOVA SCOTIA S</t>
  </si>
  <si>
    <t>BNS 31062 TEMAGAMI ONT</t>
  </si>
  <si>
    <t>BNS 31112 BLOOR AND JANE</t>
  </si>
  <si>
    <t>BNS 31120 KG GEO/HWY 102</t>
  </si>
  <si>
    <t>BNS 31161 BNS AMOS</t>
  </si>
  <si>
    <t>BNS 31179 BNS LEDUC</t>
  </si>
  <si>
    <t>BNS 31211 BNS BROSSARD</t>
  </si>
  <si>
    <t>BNS 31302 EGLINTON/MIDLA</t>
  </si>
  <si>
    <t>BNS 31310 NORED PLAZA</t>
  </si>
  <si>
    <t>BNS 31369 BNS BLAIRMORE</t>
  </si>
  <si>
    <t>BNS 31401 BNS ANJOU</t>
  </si>
  <si>
    <t>BNS 31419 THICKWOOD HGTS</t>
  </si>
  <si>
    <t>BNS 31443 ARNOLDS COVE</t>
  </si>
  <si>
    <t>BNS 31492 PAPE AND GOWAN</t>
  </si>
  <si>
    <t>BNS CHOMODUI</t>
  </si>
  <si>
    <t>BNS31609 GRANDE PRAIRIE WESTGATE</t>
  </si>
  <si>
    <t>BNS 31682 YONGE/CUMMER</t>
  </si>
  <si>
    <t>BNS 31732 YONGE AND DUNDAS</t>
  </si>
  <si>
    <t>INTL BANKING CENTRE AIBC</t>
  </si>
  <si>
    <t>BNS 31872 WOODSTOCK ONT</t>
  </si>
  <si>
    <t>BNS 31922 36 BRAMALEA</t>
  </si>
  <si>
    <t>BNS 32052 VICTOR P/DRAY</t>
  </si>
  <si>
    <t>BNS 32102 AJAX ONT</t>
  </si>
  <si>
    <t>BNS 32169 BNS ALBERTA</t>
  </si>
  <si>
    <t>BNS 32193 BURNSIDE N S</t>
  </si>
  <si>
    <t>BNS HERITAGE PLAZA EDM</t>
  </si>
  <si>
    <t>BNS 32243 DEER LAKE NFLD</t>
  </si>
  <si>
    <t>BNS 32292 MARKHAM/ELLESM</t>
  </si>
  <si>
    <t>BNS 32326 DEALER FIN SER</t>
  </si>
  <si>
    <t>BNS 32342 COLLINGWOOD</t>
  </si>
  <si>
    <t>BNS 32409 NORTHLAND CALGARY AB</t>
  </si>
  <si>
    <t>BNS 32482 BNS METRO TOR</t>
  </si>
  <si>
    <t>BNS 32706 SCOTIABANK N TRUST OTTOWA</t>
  </si>
  <si>
    <t>BNS 32805 SCOTIABANK INC ATLANTA</t>
  </si>
  <si>
    <t>BNS 33019 CHESTERMERE STATION WAY</t>
  </si>
  <si>
    <t>BANK OF NOVA SCOTIA (33092)</t>
  </si>
  <si>
    <t>BNS 60053 M BR DARTMOUTH</t>
  </si>
  <si>
    <t>BNS 53009 STONEY PLAIN</t>
  </si>
  <si>
    <t>BNS 53132 ALBION/CARRIER</t>
  </si>
  <si>
    <t>BNS 53215 SAN JUAN PUERTO RICO</t>
  </si>
  <si>
    <t>BNS 53512 ALBION/REXDALE</t>
  </si>
  <si>
    <t>BNS 54122 DUNDAS    WHARTON</t>
  </si>
  <si>
    <t>BNS GLOBAL TREASURY BOND INV(54346)</t>
  </si>
  <si>
    <t>BNS FOREIGN EXCHANGE FMK</t>
  </si>
  <si>
    <t>BNS SIPARIA 54635</t>
  </si>
  <si>
    <t>BNS POINT FORTIN SALES CENTRE546355</t>
  </si>
  <si>
    <t>BNS 54742 HERITAGE HILLS</t>
  </si>
  <si>
    <t>BNS 54882 FANSHAWE PK RD</t>
  </si>
  <si>
    <t>BNS 55202 IROQUOIS SHORE</t>
  </si>
  <si>
    <t>BNS 55236 LIME RIDGE</t>
  </si>
  <si>
    <t>BNS 55442 MAIN AND YONGE</t>
  </si>
  <si>
    <t>BNS 55582 VAUGHAN CBC</t>
  </si>
  <si>
    <t>BNS FOREIGN CURRENCY AND PRECIOUS</t>
  </si>
  <si>
    <t>BNS 56382 CENTRAL/TECUMS</t>
  </si>
  <si>
    <t>BNS 56622 ALLANDALE CTR</t>
  </si>
  <si>
    <t>BNS 57372 NIAGARA/THOROL</t>
  </si>
  <si>
    <t>BNS 57422 ELLIOT LAKE ON</t>
  </si>
  <si>
    <t>BNS 57612 BROCK/PLUMMER</t>
  </si>
  <si>
    <t>BNS 57802 EAST PARK CTR</t>
  </si>
  <si>
    <t>BNS 57836 FANSHAWE PARK</t>
  </si>
  <si>
    <t>BNS 58172 MOLSON PARK AND HWY 400</t>
  </si>
  <si>
    <t>BNS 58198 GRASSLANDS REGINA SASK</t>
  </si>
  <si>
    <t>BNS 58586 BATHURST AND CARRVILLE</t>
  </si>
  <si>
    <t>BNS 58685 DOMINICAN REP BAHAMAS OFF</t>
  </si>
  <si>
    <t>BNS 58826 OAKRIDGE LONDON</t>
  </si>
  <si>
    <t>BNS PRICE PLAZA 59345</t>
  </si>
  <si>
    <t>BNS 60004 SAINT JOHN NB</t>
  </si>
  <si>
    <t>BNS 60012 HAMILTON ONT</t>
  </si>
  <si>
    <t>BNS 60020 NEW WESTMINSTE</t>
  </si>
  <si>
    <t>BNS 60038 MOOSE JAW</t>
  </si>
  <si>
    <t>BNS 60046 WESTBORO OTTAW</t>
  </si>
  <si>
    <t>FUTURES BA'S / EURO</t>
  </si>
  <si>
    <t>BNS ARBITRAGE SCOTIA EUROPE LONDON</t>
  </si>
  <si>
    <t>BNS ARBITRAGE LONDON</t>
  </si>
  <si>
    <t>BNSM BNS MUMBAI TOTUS</t>
  </si>
  <si>
    <t>BNSK BNS SEOUL TOTUS</t>
  </si>
  <si>
    <t>BNS CHIEF ACCOUNTANTS</t>
  </si>
  <si>
    <t>BANK OF NOVA SCOTIA 00455</t>
  </si>
  <si>
    <t>BNS CAIRO</t>
  </si>
  <si>
    <t>BNSH BNS HONG KONG TOTUS</t>
  </si>
  <si>
    <t>BANK STRUCTURAL POSITION (BNSI)</t>
  </si>
  <si>
    <t>BNS IBD LOAN ACCOUNTING</t>
  </si>
  <si>
    <t>BNS INTERNATIONAL U.K.</t>
  </si>
  <si>
    <t>BNS KUALA LUMPUR TOTUS</t>
  </si>
  <si>
    <t>BNS LOAN ACCOUNTING</t>
  </si>
  <si>
    <t>BNS PACIFIC INTL ALTERNATE</t>
  </si>
  <si>
    <t>BNS PAYMENTS</t>
  </si>
  <si>
    <t>BNSQ BNS TOKYO</t>
  </si>
  <si>
    <t>BNS QUEBEC INTL TRADE SERVICES</t>
  </si>
  <si>
    <t>BANK OF NOVA SCOTIA (30585)</t>
  </si>
  <si>
    <t>BNS TORONTO</t>
  </si>
  <si>
    <t>BNSTQ BNS ARBITRAGE TOKYO</t>
  </si>
  <si>
    <t>BNS TAIPEI TOTUS</t>
  </si>
  <si>
    <t>BNS WINNIPEG RE: AIR CANADA</t>
  </si>
  <si>
    <t>BANK OF NOVA SCOTIA (99325)</t>
  </si>
  <si>
    <t>BNS INTERNATIONAL STRUCTURAL HEDGE</t>
  </si>
  <si>
    <t>BNS12617 BANK STRUCTURAL POSITION</t>
  </si>
  <si>
    <t>BNS 96032 M'GROVE AND REX</t>
  </si>
  <si>
    <t>BANK OF NOVA SCOTIA - NCB NEW YORK</t>
  </si>
  <si>
    <t>BNS 97006 TORONTO CENTRAL ABM</t>
  </si>
  <si>
    <t>BNS98186 DUNDAS WATERDOWN</t>
  </si>
  <si>
    <t>BNS 98376 COTTRELLE ON</t>
  </si>
  <si>
    <t>BNS 98616 CASTLEMORE</t>
  </si>
  <si>
    <t>BNS WEST END</t>
  </si>
  <si>
    <t>BNS99432 SYSTEMS MAINTE BANKING OPS</t>
  </si>
  <si>
    <t>BNS 30171 NEIGES/QU MARY</t>
  </si>
  <si>
    <t>BNS 30189 7AV/7ST CALGRY</t>
  </si>
  <si>
    <t>BNS 30197 BNS BALMERTOWN</t>
  </si>
  <si>
    <t>BNS 30213 FREEPORT N S</t>
  </si>
  <si>
    <t>BNS 30221 DECARIE/ISABEL</t>
  </si>
  <si>
    <t>BNS 30239 101ST/102ND AV</t>
  </si>
  <si>
    <t>BNS 30247 CORYDON/DALY</t>
  </si>
  <si>
    <t>BNS 30262 CHELMSFORD ONT</t>
  </si>
  <si>
    <t>BNS 30270 PORT ALBERNI</t>
  </si>
  <si>
    <t>BNS 30296 RENFREW ONT</t>
  </si>
  <si>
    <t>BNS 30312 CORNWALL ONT</t>
  </si>
  <si>
    <t>BNS 30338 MIDTOWN PLAZA</t>
  </si>
  <si>
    <t>BNS 30346 VAN KLEEK HILL</t>
  </si>
  <si>
    <t>BNS 30379 PEACE RIVER</t>
  </si>
  <si>
    <t>BNS 30387 SPRINGFIELD HT</t>
  </si>
  <si>
    <t>BNS 30403 PICTOU</t>
  </si>
  <si>
    <t>BNS 30411 VERDUN 203</t>
  </si>
  <si>
    <t>BNS 30429 THORHILD</t>
  </si>
  <si>
    <t>BNS 30445 ST THOMAS V I</t>
  </si>
  <si>
    <t>BNS 30452 U OTTAWA/FENNE</t>
  </si>
  <si>
    <t>BNS 30460 10TH/LANGLEY</t>
  </si>
  <si>
    <t>BNS 30486 OSGOODE ONT</t>
  </si>
  <si>
    <t>BNS 30494 DEVON PARK S C</t>
  </si>
  <si>
    <t>BNS 30502 WEST END KING</t>
  </si>
  <si>
    <t>BNS 30510 KERRISDALE</t>
  </si>
  <si>
    <t>BNS 30544 GRAND FALLS</t>
  </si>
  <si>
    <t>BNS 30551 WESTMOUNT 215</t>
  </si>
  <si>
    <t>BNS 30585 ISLAND CTRE SC</t>
  </si>
  <si>
    <t>BNS 30593 BNS CLARENVILL</t>
  </si>
  <si>
    <t>BNS 30619 BNS VALLEYVIEW</t>
  </si>
  <si>
    <t>BNS ST. JAMES 30635</t>
  </si>
  <si>
    <t>BNS 30643 HARBOUR GRACE</t>
  </si>
  <si>
    <t>BNS 30668 BNS ESTEVAN</t>
  </si>
  <si>
    <t>BNS 30684 CAMPOBELLO ISL</t>
  </si>
  <si>
    <t>BNS 30700 SIMON FRASER U</t>
  </si>
  <si>
    <t>BNS LAWSON HEIGHTS SASK</t>
  </si>
  <si>
    <t>BNS 30742 OAKVILLE ONT</t>
  </si>
  <si>
    <t>BNS 30759 FT SASKATCHEW</t>
  </si>
  <si>
    <t>BNS 30775 GEORGETWN GUYANA</t>
  </si>
  <si>
    <t>BNS 30783 BNS CRAPAUD</t>
  </si>
  <si>
    <t>BNS 30825 19/23 KNIGHTS</t>
  </si>
  <si>
    <t>BNS INTERNATIONAL BANKING DIVISION</t>
  </si>
  <si>
    <t>BNS INTL BKG DIVISION</t>
  </si>
  <si>
    <t>BNS 52761 CHOMEDEY AND DU SOUVENIR</t>
  </si>
  <si>
    <t>BNS 52811 VAN HORNE</t>
  </si>
  <si>
    <t>BNS 52829 BNS ALBERTA</t>
  </si>
  <si>
    <t>BNS 51052 THORNHILL ONT</t>
  </si>
  <si>
    <t>BNS 51060 BNS DELTA</t>
  </si>
  <si>
    <t>BNS 51102 BLOOR AND CHURCH</t>
  </si>
  <si>
    <t>BNS 51110 WILLIAMS LAKE</t>
  </si>
  <si>
    <t>BNS 51169 COCHRANE AB</t>
  </si>
  <si>
    <t>BNS 51193 ATLANTIC CENTRAL UNIT</t>
  </si>
  <si>
    <t>BNS 51219 RUNDLEHORN PLZ</t>
  </si>
  <si>
    <t>BNS 51292 EGL AND CASTLE K</t>
  </si>
  <si>
    <t>BNS 51300 LOUGHEED VLG</t>
  </si>
  <si>
    <t>BNS 51342 SPADINA AND LON</t>
  </si>
  <si>
    <t>BNS 51359 BNS COALDALE</t>
  </si>
  <si>
    <t>BNS 51409 GAETZ AV/67TH</t>
  </si>
  <si>
    <t>BNS 51417 LINDEN RIDGE</t>
  </si>
  <si>
    <t>BNS 51482 NEW TORONTO</t>
  </si>
  <si>
    <t>BNS 51490 COQUITLAM CTE</t>
  </si>
  <si>
    <t>BNS 51532 QUEEN AND LANSDN</t>
  </si>
  <si>
    <t>BNS 51623 CHURCHILL FALL</t>
  </si>
  <si>
    <t>BNS 51649 WHITECOURT</t>
  </si>
  <si>
    <t>BNS 51672 WESTON/LAWREN</t>
  </si>
  <si>
    <t>BNS 51862 OTTAWA ST WINS</t>
  </si>
  <si>
    <t>BNS 51912 FERGUS ONT</t>
  </si>
  <si>
    <t>BNS 52050 1ST AND RENFREW</t>
  </si>
  <si>
    <t>BNS 52092 QUEENSTON AND NA</t>
  </si>
  <si>
    <t>BNS 52100 PRIVATE BANKING VANCOUVER</t>
  </si>
  <si>
    <t>BNS 52209 MACKENZIE LAKE</t>
  </si>
  <si>
    <t>BNS 52233 HUBLEY CENTRE</t>
  </si>
  <si>
    <t>BNS 52282 LYNDEN ROAD</t>
  </si>
  <si>
    <t>BNS 52332 QUEEN AND PARK</t>
  </si>
  <si>
    <t>52357 WINNIPEG COMM TF SC MEXICO</t>
  </si>
  <si>
    <t>BNS 52472 BNS EASTERN ON</t>
  </si>
  <si>
    <t>BNS 52639 MACLEOD CENTRE CALGARY,AL</t>
  </si>
  <si>
    <t>BNS 52662 CALEDONIA ONT</t>
  </si>
  <si>
    <t>IBDT BNS TORONTO</t>
  </si>
  <si>
    <t>CLARO BRAZIL LOANS</t>
  </si>
  <si>
    <t>BNS 94342 CLARO CAYMAN</t>
  </si>
  <si>
    <t>BNS 94342 CLARO REP OF JAMAICA</t>
  </si>
  <si>
    <t>CLARO PERU LOANS</t>
  </si>
  <si>
    <t>BANK OF NOVA SCOTIA 94342 REV REPO</t>
  </si>
  <si>
    <t>BNS 94466 3446 YONGE</t>
  </si>
  <si>
    <t>BNS ROSEAU</t>
  </si>
  <si>
    <t>BNS 94862 YONGE CORP CTR</t>
  </si>
  <si>
    <t>BNS 94896 EASTOWN SHOP</t>
  </si>
  <si>
    <t>BNS 95042 BNS CHARGEX CR</t>
  </si>
  <si>
    <t>BNS 95182 RITSON TAUNTON</t>
  </si>
  <si>
    <t>BANK OF NOVA SCOTIA 95216 WESTDALE</t>
  </si>
  <si>
    <t>BNS MARAVAL 95315</t>
  </si>
  <si>
    <t>BNS 95372 STEELES/PUTNAM</t>
  </si>
  <si>
    <t>BNS 95406 HURONIA MALL</t>
  </si>
  <si>
    <t>BNS 95422 WESTCASTLE OSH</t>
  </si>
  <si>
    <t>BNS 95562 NORTH CUMBER.</t>
  </si>
  <si>
    <t>BNS 95612 BNS UXBRIDGE</t>
  </si>
  <si>
    <t>BNS 95646 795 QUEEN ST</t>
  </si>
  <si>
    <t>BNS 95786 PARKWAY M</t>
  </si>
  <si>
    <t>BNS 95968 SASKATCHEWAN BUS SUP CNTR</t>
  </si>
  <si>
    <t>BNS 93021 BNS CANDIAC, QUEBEC</t>
  </si>
  <si>
    <t>BANK OF NOVA SCOTIA 93088</t>
  </si>
  <si>
    <t>BNS 93112 JANE/EDDYSTONE</t>
  </si>
  <si>
    <t>BNS 93302 RIDGEWAYNCOLL</t>
  </si>
  <si>
    <t>BNS 93492 WILBERFORCE ON</t>
  </si>
  <si>
    <t>BNS 93732 MAYNOOTH ONT</t>
  </si>
  <si>
    <t>BNS 93922 BOVAIRD/MOUNTAINASH BRAMP</t>
  </si>
  <si>
    <t>BANK OF NOVA SCOTIA (94102)</t>
  </si>
  <si>
    <t>BNS 94235 BASSETERRE ST.KITTS</t>
  </si>
  <si>
    <t>BNS 94292-753 KING ST E</t>
  </si>
  <si>
    <t>BNS84012 FINANCIAL ACCOUNTING GOVERNANCE AND CONTROL</t>
  </si>
  <si>
    <t>BNS 23259 CALGARY</t>
  </si>
  <si>
    <t>BNS 23275 CHAUSEE RD N HIGHT STR CA</t>
  </si>
  <si>
    <t>23432 CAMPBELLVILLE SUB MILTON</t>
  </si>
  <si>
    <t>BNS 23465 BNS DAJABON</t>
  </si>
  <si>
    <t>BNS 23572 ST CATHERINES</t>
  </si>
  <si>
    <t>BNS 23952 UPPER MID/3RD</t>
  </si>
  <si>
    <t>BNS 24182 HWY2/WESTNEY</t>
  </si>
  <si>
    <t>BNS 24265 TURKS/CAICOS</t>
  </si>
  <si>
    <t>BNS 24562 KEELE/MAJ MACK</t>
  </si>
  <si>
    <t>BNS 24596 1547 BAYVIEW</t>
  </si>
  <si>
    <t>BNS 24802 GADINERS/BATH</t>
  </si>
  <si>
    <t>BNS 25122 UNIV CITYPLAZ</t>
  </si>
  <si>
    <t>BNS 25296 168 WELLINGT</t>
  </si>
  <si>
    <t>BNS 25346 202 MAIN ST</t>
  </si>
  <si>
    <t>BNS 25452 BAY/ST JOSEPH</t>
  </si>
  <si>
    <t>BNS 25486 25 TORONTO ST</t>
  </si>
  <si>
    <t>BNS 25536 437 GEORGE ST</t>
  </si>
  <si>
    <t>BNS 25742 NACT COMPTROL</t>
  </si>
  <si>
    <t>BNS 25932 JAMES AND RYMAL</t>
  </si>
  <si>
    <t>BNS 26062 EGL AND CREDITVW</t>
  </si>
  <si>
    <t>BNS 26492 MALVERN TOWN C</t>
  </si>
  <si>
    <t>BNS 26526 CLAIRFIELDS CENTRE</t>
  </si>
  <si>
    <t>BNS 27052 THOROLO/PORTAG</t>
  </si>
  <si>
    <t>BNS 27086 BNS NORTH YORK</t>
  </si>
  <si>
    <t>BNS 27896 UPPER WENTHWORTH AND F</t>
  </si>
  <si>
    <t>BNS RICHMOND HILL BAYVIEW HIGH TECH</t>
  </si>
  <si>
    <t>BNS 28332 KING N UNIVERSITY BR WATE</t>
  </si>
  <si>
    <t>BNS 28472 STEELES/P GATE</t>
  </si>
  <si>
    <t>BNS 30007 WINNIPEG MAIN</t>
  </si>
  <si>
    <t>BNS 30023 CHARLOTTETOWN</t>
  </si>
  <si>
    <t>BNS 30031 PARK/FAIRMOUNT</t>
  </si>
  <si>
    <t>BNS 30056 BANK/GLADSTONE</t>
  </si>
  <si>
    <t>BNS 30064 NORTH END</t>
  </si>
  <si>
    <t>BNS 30080 GRANVILLE/DAVI</t>
  </si>
  <si>
    <t>BNS 30098 VICTORIA/WINN</t>
  </si>
  <si>
    <t>BNS 30114 BNS BATH</t>
  </si>
  <si>
    <t>BNS 30122 APPLEWOOD VILL</t>
  </si>
  <si>
    <t>BNS 30130 DAWSON CREEK</t>
  </si>
  <si>
    <t>BNS 30163 BNS CANNING</t>
  </si>
  <si>
    <t>BNS 50732 YONGE AND MPL GR</t>
  </si>
  <si>
    <t>BNS 50740 GUILDFORD BC</t>
  </si>
  <si>
    <t>BNS 50823 BNS O'LEARY</t>
  </si>
  <si>
    <t>BNS 50856 RIDEAU CENTRE</t>
  </si>
  <si>
    <t>BNS 50872 POWASSAN ONT</t>
  </si>
  <si>
    <t>BNS 50922 ST JACOBS ONT</t>
  </si>
  <si>
    <t>BNS 50963 BNS BURGEO</t>
  </si>
  <si>
    <t>BNS 50989 149TH ST EDMNT</t>
  </si>
  <si>
    <t>BNS 51003 BNS SHERWOOD</t>
  </si>
  <si>
    <t>BNS 51029 BNS VERMILLION</t>
  </si>
  <si>
    <t>BNS 50120 BNS COURTENAY</t>
  </si>
  <si>
    <t>BNS 50138 BNS CARROT RIV</t>
  </si>
  <si>
    <t>BNS 50146 CARLETON PLACE</t>
  </si>
  <si>
    <t>BNS 50153 BNS CALEDONIA</t>
  </si>
  <si>
    <t>BNS 50187 BNS BEARDMORE</t>
  </si>
  <si>
    <t>BNS 50195 MANDEVILLE</t>
  </si>
  <si>
    <t>BNS 50211 MT ROY/ST URBA</t>
  </si>
  <si>
    <t>BNS 50229 97TH/132ND</t>
  </si>
  <si>
    <t>BNS 50252 CHATHAM</t>
  </si>
  <si>
    <t>BNS 50260 PENTICTON</t>
  </si>
  <si>
    <t>BNS 50286 SOMERSET/BRONS</t>
  </si>
  <si>
    <t>BNS 50294 ST GEORGE</t>
  </si>
  <si>
    <t>BNS 50310 PRINCE GEORGE</t>
  </si>
  <si>
    <t>BNS 50328 BOX 1110 SASK</t>
  </si>
  <si>
    <t>BNS 50344 SHIPPEAGAN</t>
  </si>
  <si>
    <t>BNS 50351 ST MALO</t>
  </si>
  <si>
    <t>BNS 50377 IMP BRDWY TOWR</t>
  </si>
  <si>
    <t>BNS 50393 OXFORD N S</t>
  </si>
  <si>
    <t>BNS 50401 TROIS RIVIERES</t>
  </si>
  <si>
    <t>BNS 50419 BNS TABER</t>
  </si>
  <si>
    <t>BNS 50427 WINNIPEG DATA</t>
  </si>
  <si>
    <t>BNS 50435 WEST END BR LD</t>
  </si>
  <si>
    <t>BNS 50443 SHEET HARBOUR</t>
  </si>
  <si>
    <t>BNS 50450 EAST HASTINGS</t>
  </si>
  <si>
    <t>BNS 50468 REGINA DATA CT</t>
  </si>
  <si>
    <t>BNS 50476 ST LAURNT AND CY</t>
  </si>
  <si>
    <t>BNS 50500 HASTINGS/VERN</t>
  </si>
  <si>
    <t>BNS 50526 BEACON HILL SP</t>
  </si>
  <si>
    <t>BNS 50559 GAETZ AVE/45TH</t>
  </si>
  <si>
    <t>BNS 50567 UNICITY FASHIO</t>
  </si>
  <si>
    <t>BNS 50591 STE THERESE</t>
  </si>
  <si>
    <t>BNS 50609 MONTORY SQ, CALGARY</t>
  </si>
  <si>
    <t>BNS 50633 GRAND BANK</t>
  </si>
  <si>
    <t>BNS 50641 LAVAL SC</t>
  </si>
  <si>
    <t>BNS 50674 KINGS PLACE</t>
  </si>
  <si>
    <t>BNS 50682 NEW LISKEARD</t>
  </si>
  <si>
    <t>BNS 50690 640 NO 3 RD BC</t>
  </si>
  <si>
    <t>BNS 91405 LONDON DATA</t>
  </si>
  <si>
    <t>BNS 91413 CUMBERLAND MAL</t>
  </si>
  <si>
    <t>BNS 91439 BNS OKOTOKS</t>
  </si>
  <si>
    <t>BNS 91462 CEDR HGTS PLAZ</t>
  </si>
  <si>
    <t>BNS 91470 LANSDOWNE PLAZ</t>
  </si>
  <si>
    <t>BNS 91579 AIRWAYS IND PK</t>
  </si>
  <si>
    <t>BNS 91595 BELIZE CITY</t>
  </si>
  <si>
    <t>BNS 91629 WINDERMERE</t>
  </si>
  <si>
    <t>BNS 91652  PARKWOODS VILLAGE</t>
  </si>
  <si>
    <t>BNS 91702 YONGE CORP CTR</t>
  </si>
  <si>
    <t>BNS 91835 SOUTHAMTON</t>
  </si>
  <si>
    <t>BNS 91892 AMBASSADOR PLZ</t>
  </si>
  <si>
    <t>BNS 91942 OAKWOOD/VAUGHN</t>
  </si>
  <si>
    <t>BNS 92072 BAYVIEW VILLAG</t>
  </si>
  <si>
    <t>BNS 92080 LAKESHORE CTR</t>
  </si>
  <si>
    <t>BNS 92122 FISHER/NORTHGT</t>
  </si>
  <si>
    <t>BNS 92213 CLAYTON PARK</t>
  </si>
  <si>
    <t>BNS 92239 AUTOMOTIVE DEALER FINANCE</t>
  </si>
  <si>
    <t>BNS 92262 FINCH/DUFFERIN</t>
  </si>
  <si>
    <t>BNS 92312 ORILLIA ONT</t>
  </si>
  <si>
    <t>BNS 92361 WESTMOUNT BRANCH</t>
  </si>
  <si>
    <t>BNS 92452 SIMCOE ONTARIO</t>
  </si>
  <si>
    <t>BNS 92569 BNS CALGARY</t>
  </si>
  <si>
    <t>BNS 92619 KENSINGTON NW BRANCH</t>
  </si>
  <si>
    <t>BNS92726 DEALER LEASE ADMI CENTRE</t>
  </si>
  <si>
    <t>BNS 92742 CONTROLLER 9TH FLOOR SCOT</t>
  </si>
  <si>
    <t>BNS 92940 BNS BC</t>
  </si>
  <si>
    <t>BNS 90860 HART SHOP CTR</t>
  </si>
  <si>
    <t>BNS 90969 SHERWOOD PARK</t>
  </si>
  <si>
    <t>BNS 90985 TRUST CO CARIB</t>
  </si>
  <si>
    <t>BNS 91082 SHEPPARD/MDLND</t>
  </si>
  <si>
    <t>BNS 91090 PENDER/THURLOW</t>
  </si>
  <si>
    <t>BNS 91132 MIDTOWN COMCTR</t>
  </si>
  <si>
    <t>BNS 91181 ST JEROME</t>
  </si>
  <si>
    <t>BNS 91223 OLD PARLICAN</t>
  </si>
  <si>
    <t>BNS 91272 EGLINTN/BTHRST</t>
  </si>
  <si>
    <t>BNS 91322 GOLDEN MILE SU</t>
  </si>
  <si>
    <t>BNS 91330 TRANQUILLE/REN</t>
  </si>
  <si>
    <t>COMPRA VENTA AUTOMATICA</t>
  </si>
  <si>
    <t>BNS 38836 INTL PRIVATE BANKING CTRE</t>
  </si>
  <si>
    <t>BNS 21071 BEAUPORT</t>
  </si>
  <si>
    <t>BNS 21089 CRESTWOOD/69TH</t>
  </si>
  <si>
    <t>BNS 21105 MILFORD RD</t>
  </si>
  <si>
    <t>BNS 21113 MOUNT PEARL</t>
  </si>
  <si>
    <t>BNS 21162 CLOVERDALE M</t>
  </si>
  <si>
    <t>BNS 21196 STITTSVILLE</t>
  </si>
  <si>
    <t>BNS 21212 DANFORTH/PAPE</t>
  </si>
  <si>
    <t>BNS 21220 1 RD STEVESTON</t>
  </si>
  <si>
    <t>BNS 21253 HALIFAX DATA</t>
  </si>
  <si>
    <t>BNS 21279 DRAYTON VALLEY</t>
  </si>
  <si>
    <t>BNS 21295 BNS BRIDGE ST</t>
  </si>
  <si>
    <t>BNS 21311 FABREVILLE</t>
  </si>
  <si>
    <t>BNS 21329 BEDDINGTON HGT</t>
  </si>
  <si>
    <t>BNS 21352 WOODBINE</t>
  </si>
  <si>
    <t>BNS 21386 CENTRE PT NEPE</t>
  </si>
  <si>
    <t>BNS 21410 HATLEY PARK SC</t>
  </si>
  <si>
    <t>BNS 21436 PRIVATE BKG</t>
  </si>
  <si>
    <t>BNS 21550 SYDNEY BC</t>
  </si>
  <si>
    <t>BNS 21592 ST CLAIR/AVENU</t>
  </si>
  <si>
    <t>BNS 21675 EDINBURGH</t>
  </si>
  <si>
    <t>BNS 21691 BROSSARD TASCHEREAU</t>
  </si>
  <si>
    <t>BNS 21832 WELLINGTON</t>
  </si>
  <si>
    <t>BNS 21865 PORT-AU-PRINCE</t>
  </si>
  <si>
    <t>BNS 21873 COLBY VILLAGE</t>
  </si>
  <si>
    <t>BNS 21949 THE GRANGE EDMONTON</t>
  </si>
  <si>
    <t>BNS 21972 HAMILT/HIGHBUR</t>
  </si>
  <si>
    <t>BNS22129 RED DEER LANCASTER CENTRE</t>
  </si>
  <si>
    <t>BNS 22152 YORKDALE S CTR</t>
  </si>
  <si>
    <t>BNS 22160 VCR CENTRALIZED ACCOUNTIN</t>
  </si>
  <si>
    <t>BNS 22400 POINT GREY VANCOUVER BC</t>
  </si>
  <si>
    <t>BNS 22442 ALLISTON ONT</t>
  </si>
  <si>
    <t>BNS 22640 WILLOWBROOK</t>
  </si>
  <si>
    <t>BNS 22681 SUCCURSALE DE LAVAL EST</t>
  </si>
  <si>
    <t>BNS 22822 ETOBICO C BK C</t>
  </si>
  <si>
    <t>BNS 22871 NAT TRST 2000</t>
  </si>
  <si>
    <t>BNS 22970 VANCOUVER SYMCOR</t>
  </si>
  <si>
    <t>BNS 23002 3750 LAW AVE E</t>
  </si>
  <si>
    <t>BNS 23200 VANCOUVER</t>
  </si>
  <si>
    <t>BNS 50039 JASPER/115TH</t>
  </si>
  <si>
    <t>BNS 50047 BNS DAUPHIN</t>
  </si>
  <si>
    <t>BNS 50054 323 ST/GEORGE</t>
  </si>
  <si>
    <t>BNS 50062 DANFORTH/GREEN</t>
  </si>
  <si>
    <t>BNS 50070 49TH/FRASER</t>
  </si>
  <si>
    <t>BNS 50088 BNS NIPAWIN</t>
  </si>
  <si>
    <t>BNS 50096 OTTAWA SOUTH</t>
  </si>
  <si>
    <t>BNS 50104 BNS ALBERT</t>
  </si>
  <si>
    <t>BNS 50112 ALEXANDRIA</t>
  </si>
  <si>
    <t>BNS 44362 COURTLAND  SHEL</t>
  </si>
  <si>
    <t>BNS 44412 CRESCENT TOWN</t>
  </si>
  <si>
    <t>BNS 44776 YORK PLAZA</t>
  </si>
  <si>
    <t>BNS 45112 QUEEN, STE MAR</t>
  </si>
  <si>
    <t>BNS 45146 THAMES LEA</t>
  </si>
  <si>
    <t>BNS 45286 471 HAZELDEAN</t>
  </si>
  <si>
    <t>BNS 45302 SKYLINE HOTEL</t>
  </si>
  <si>
    <t>BNS 45492 HOL CT TIMMINS</t>
  </si>
  <si>
    <t>BNS 45526 PORTAGE PL</t>
  </si>
  <si>
    <t>BNS 45872 HARBOUR SQ, TO</t>
  </si>
  <si>
    <t>BNS 45922 HG NVALLEYMEDE</t>
  </si>
  <si>
    <t>BNS 46052 PORCUPINE PL</t>
  </si>
  <si>
    <t>BNS 46102 KING AND PETER</t>
  </si>
  <si>
    <t>BNS PENAL 46375</t>
  </si>
  <si>
    <t>BNS DEBE SALES CENTRE 463755</t>
  </si>
  <si>
    <t>BNS 46482-165 DUNDAS W</t>
  </si>
  <si>
    <t>BNS 46672 DORCHESTER</t>
  </si>
  <si>
    <t>BNS 46862 PARKEDALE/STEW</t>
  </si>
  <si>
    <t>BNS 47092 PORT ELGIN</t>
  </si>
  <si>
    <t>BNS 47142 BROCKVILLE COURTHOUSE</t>
  </si>
  <si>
    <t>BNS 47282 MOUNT OSHAWA</t>
  </si>
  <si>
    <t>BNS 47308 PRIVATE BANKING SASKATOON</t>
  </si>
  <si>
    <t>CORL TO CORP LOANS</t>
  </si>
  <si>
    <t>BANK OF NOVA SCOTIA (47472)</t>
  </si>
  <si>
    <t>BNS 47696 TORONTO BSC ONTARIO</t>
  </si>
  <si>
    <t>BNS 47886 TORONTO BSC ONTARIO 4</t>
  </si>
  <si>
    <t>BNS DERIVATIVES PRODUCTS</t>
  </si>
  <si>
    <t>BNS DERIVATIVE PROD EQ</t>
  </si>
  <si>
    <t>BNS FINANCIAL ENGINEERING GROUP</t>
  </si>
  <si>
    <t>BNS48116 MARCH ROAD</t>
  </si>
  <si>
    <t>BNS 48686 PORT PERRY</t>
  </si>
  <si>
    <t>BNS 48702 AGRI BUSINESS BANKING CEN</t>
  </si>
  <si>
    <t>BNS48942 PAYROLL PROC AND ACCT</t>
  </si>
  <si>
    <t>BNS 49445 BNS ST KITTS</t>
  </si>
  <si>
    <t>BNS 90316 RUSSELL ONT</t>
  </si>
  <si>
    <t>BNS 90324 ST STEPHEN</t>
  </si>
  <si>
    <t>BNS 90332 UNIVERSITY PLZ</t>
  </si>
  <si>
    <t>BNS 90357 CORYDON AND WATERLOO</t>
  </si>
  <si>
    <t>BNS 90373 NEW WATERFORD</t>
  </si>
  <si>
    <t>BNS 90381 ST ANDRE EST</t>
  </si>
  <si>
    <t>BNS ARIMA 90415</t>
  </si>
  <si>
    <t>BNS 90423 RIVER HERBERT</t>
  </si>
  <si>
    <t>BNS 90431 BNS STE FOYE</t>
  </si>
  <si>
    <t>BNS 90449 BNS WESTLOCK</t>
  </si>
  <si>
    <t>BNS 90456 BNS GATINEAU</t>
  </si>
  <si>
    <t>BNS 90464 BNS CENTREVILL</t>
  </si>
  <si>
    <t>BNS 90472 KEMPTVILLE ONTARIO</t>
  </si>
  <si>
    <t>BNS 90480 41/C'HILL VANC</t>
  </si>
  <si>
    <t>BNS 90506 PLACE DE VILLE</t>
  </si>
  <si>
    <t>BNS 90514 PERTH-ANDOVER</t>
  </si>
  <si>
    <t>BNS 90522 LANARK ONT</t>
  </si>
  <si>
    <t>BNS 90563 CARBONEAR</t>
  </si>
  <si>
    <t>BNS 90571 CHICOUTIMI</t>
  </si>
  <si>
    <t>BNS 90613 BNS FOGO  NFLD</t>
  </si>
  <si>
    <t>BNS 90621 BNS DUVERNAY</t>
  </si>
  <si>
    <t>BNS 90662 MILVERTON ONT</t>
  </si>
  <si>
    <t>BNS 90670 BNS PEMBERTON</t>
  </si>
  <si>
    <t>BNS 90720 BNS QUESNEL</t>
  </si>
  <si>
    <t>BNS 90746 LES TERRASSES</t>
  </si>
  <si>
    <t>BNS 90779 132 AND 82 ST</t>
  </si>
  <si>
    <t>BNS 90787 ROBLIN AND DIEPPE WPG</t>
  </si>
  <si>
    <t>BNS 90803 BNS MONTAGUE</t>
  </si>
  <si>
    <t>BNS 90852 PORT DOVER ONT</t>
  </si>
  <si>
    <t>BNS 90274 PORT ELGIN  NB</t>
  </si>
  <si>
    <t>BNS 90282 COBOURG ONT</t>
  </si>
  <si>
    <t>BNS 90308 21-3RD AV</t>
  </si>
  <si>
    <t>DIRECCION SCOTIA SEGUROS</t>
  </si>
  <si>
    <t>DIR SERV COMP RECURSOS HUMANOS</t>
  </si>
  <si>
    <t>OPIN</t>
  </si>
  <si>
    <t>INFRASTRUCTURE</t>
  </si>
  <si>
    <t>OP MDO DIN Y CART VAL TES BCO UMS</t>
  </si>
  <si>
    <t>SUBDIRECCION ADMINISTRACION COBRANZ</t>
  </si>
  <si>
    <t>SUBDIRECCION PAGOS Y CONCILIACION</t>
  </si>
  <si>
    <t>GIA MD SECTOR PUBLICO  BANC CORP</t>
  </si>
  <si>
    <t>CORP BANKING MEX SECT PUB GLOBBANK</t>
  </si>
  <si>
    <t>DIR ADJ¿PREV FRAUDES Y ACLARACIONES</t>
  </si>
  <si>
    <t>GIA COMP Y DISTRIB TARJETAS BANCAR</t>
  </si>
  <si>
    <t>GERENCIA CONTABILIDAD VALORES</t>
  </si>
  <si>
    <t>BNS 20172 BELMONT ONT</t>
  </si>
  <si>
    <t>BNS 20180 BNS LYTTON</t>
  </si>
  <si>
    <t>BNS 20198 KINDERSLEY</t>
  </si>
  <si>
    <t>BNS 20206 BANK/ALTA VIST</t>
  </si>
  <si>
    <t>BNS 20214 HILLSBOROUGH</t>
  </si>
  <si>
    <t>BNS 20222 BRIGDEN ONT</t>
  </si>
  <si>
    <t>BNS 20248 ALBERT/DEWDNEY</t>
  </si>
  <si>
    <t>BNS 20263 NORTH/AGRICOLA</t>
  </si>
  <si>
    <t>BNS 20271 SHERBRK/HARVRD</t>
  </si>
  <si>
    <t>BNS 20289 GRANDE PRAIRIE</t>
  </si>
  <si>
    <t>BNS 20297 HULL-LENNOX</t>
  </si>
  <si>
    <t>BNS 20321 NEW RICHMOND</t>
  </si>
  <si>
    <t>BNS 20339 MAYOR MAGRATH</t>
  </si>
  <si>
    <t>BNS 20347 STURGEON WPG</t>
  </si>
  <si>
    <t>BNS 20362 GUELPH ONT</t>
  </si>
  <si>
    <t>BNS 20370 BROADWAY/OAK</t>
  </si>
  <si>
    <t>BNS 20396 CARLING/KIRKWO</t>
  </si>
  <si>
    <t>BNS 20404 SMYTH/DUNDONAL</t>
  </si>
  <si>
    <t>BNS 20412 MAIN/KENILWORT</t>
  </si>
  <si>
    <t>BNS 20453 STELLARTON</t>
  </si>
  <si>
    <t>BNS 20461 BOUCHERVILLE</t>
  </si>
  <si>
    <t>BNS 20487 PEMBINA N KILLARNEY WINNI</t>
  </si>
  <si>
    <t>BNS 20495 ST GEORGE GRENADA</t>
  </si>
  <si>
    <t>BNS 20511 VALLEYFIELD QU</t>
  </si>
  <si>
    <t>BNS 20529 MAYLAND HGTS</t>
  </si>
  <si>
    <t>BNS 20602 MARTINTOWN</t>
  </si>
  <si>
    <t>BNS 20610 OAK BY/HAMPSHR</t>
  </si>
  <si>
    <t>BNS 20651 ST LEONARD</t>
  </si>
  <si>
    <t>BNS 20669 17 SE/RADISSON</t>
  </si>
  <si>
    <t>BNS 20693 CORNWALL/HAMLT</t>
  </si>
  <si>
    <t>BNS 20701 MONTREAL DATA</t>
  </si>
  <si>
    <t>BNS 20719 BNS CALGARY</t>
  </si>
  <si>
    <t>BNS 20727 BNS STTEINBACH</t>
  </si>
  <si>
    <t>BNS 20735 VIEUX FORT</t>
  </si>
  <si>
    <t>BNS 20743 TWILLINGATE</t>
  </si>
  <si>
    <t>BNS 20750 CRANBROOK</t>
  </si>
  <si>
    <t>BNS 20784 NACKAWIC NB</t>
  </si>
  <si>
    <t>BNS 20792 PERTH ONT</t>
  </si>
  <si>
    <t>BNS 20842 PORT CREDIT</t>
  </si>
  <si>
    <t>BNS 20883 ELIZABETH AVE</t>
  </si>
  <si>
    <t>BNS 20933 DARK COVE</t>
  </si>
  <si>
    <t>BNS 20982 SMITHS FALLS</t>
  </si>
  <si>
    <t>BNS 21022 STREETSVILLE</t>
  </si>
  <si>
    <t>BNS 43612 DOUGALL/CADANA</t>
  </si>
  <si>
    <t>BNS 43695 BNS ATLANTA</t>
  </si>
  <si>
    <t>BNS 43893 FALL RIVER NOVA SCOTIA</t>
  </si>
  <si>
    <t>BNS 43992 BRIST.N CRVIEW</t>
  </si>
  <si>
    <t>BNS 44016 CHARLEMAGNE PLAZA ORLEANS</t>
  </si>
  <si>
    <t>BNS 44222 190 MINETS PT</t>
  </si>
  <si>
    <t>BNS 41632 SPADINA ADELAIDE</t>
  </si>
  <si>
    <t>BNS 41699 LLOYDMINSTER</t>
  </si>
  <si>
    <t>BNS 41723 ATLANTIC CHEQUE PROCESSIN</t>
  </si>
  <si>
    <t>BNS 41772 BNS YORK ST</t>
  </si>
  <si>
    <t>BNS 41822 WELLAND ONT</t>
  </si>
  <si>
    <t>BNS 41889 ELLERSLIE AND 111TH</t>
  </si>
  <si>
    <t>BNS 42002 LINCOLN PLAZA</t>
  </si>
  <si>
    <t>BNS TUNAPUNA 42135</t>
  </si>
  <si>
    <t>BNS 42192 SOUTHCREST S C</t>
  </si>
  <si>
    <t>BNS 42242 AZILDA ONT</t>
  </si>
  <si>
    <t>BNS 42259 NORTHSTAR CITY EDMONTON</t>
  </si>
  <si>
    <t>BNS 42291 OUTREMONT QC</t>
  </si>
  <si>
    <t>BNS 42309 BASELINE VILLAGE EDMONTON</t>
  </si>
  <si>
    <t>BNS 42432 ORANGEVILLE</t>
  </si>
  <si>
    <t>BNS 42465 COIMATORE INDIA</t>
  </si>
  <si>
    <t>BNS 42721 PLACE DU FRERE ANDRE</t>
  </si>
  <si>
    <t>BNS 42762 SOUTHGATE SH C</t>
  </si>
  <si>
    <t>BNS42861 CAVENDISH MALL</t>
  </si>
  <si>
    <t>BNS 42895 BEIRUT LEBANON</t>
  </si>
  <si>
    <t>BNS 42952 HWY 27 N LANGSTAFF, VAUGH</t>
  </si>
  <si>
    <t>BNS 43000 BNS PENTICTON SOUTH, BC</t>
  </si>
  <si>
    <t>BNS 43042 GRAVENHURST</t>
  </si>
  <si>
    <t>BNS 43240 BC AND YUKON CAU</t>
  </si>
  <si>
    <t>BNS 43372 PACIFIC RG SL</t>
  </si>
  <si>
    <t>C/O LOANS ACCTG</t>
  </si>
  <si>
    <t>BANK OF NOVA SCOTIA (43372)</t>
  </si>
  <si>
    <t>BNS 85142 INVESTMENT SUPPORT MF ACC</t>
  </si>
  <si>
    <t>BNS 85233 HALIFAX</t>
  </si>
  <si>
    <t>BNS85365 SCOTIABANK ANGUILLA LTD</t>
  </si>
  <si>
    <t>BNS 85472 30 KING ST W</t>
  </si>
  <si>
    <t>BNS 85696 ST MARYS</t>
  </si>
  <si>
    <t>BNS 86322 WILSON/KEELE</t>
  </si>
  <si>
    <t>BNS 86405 BNS NEW DELHI</t>
  </si>
  <si>
    <t>BNS 86496  MTCC TRANSITION</t>
  </si>
  <si>
    <t>BNS 87106 PRIVATE BKG</t>
  </si>
  <si>
    <t>BNS 87262 171 QUEENS AVE LONDON ONT</t>
  </si>
  <si>
    <t>BNS 87296 DUNDAS AND APPLEBY LINE</t>
  </si>
  <si>
    <t>BNS 87692 JANE AND 7TH</t>
  </si>
  <si>
    <t>BNS 87866 BNS BUS SUPPORT CENTR BSC</t>
  </si>
  <si>
    <t>BNS 87916 661 DANFORTH AVE</t>
  </si>
  <si>
    <t>BNS RYMAL ROAD STONEY CREEK</t>
  </si>
  <si>
    <t>BNS 88666 MILTON ONT</t>
  </si>
  <si>
    <t>BNS 88716 BNS WATERLOO</t>
  </si>
  <si>
    <t>BNS GEORGTOWN (GRAND CAYMAN)</t>
  </si>
  <si>
    <t>BNS PRIVATE CLIENT GROUP 89805</t>
  </si>
  <si>
    <t>BNS 90001 MTL MAIN BR</t>
  </si>
  <si>
    <t>BNS 90019 EDMONTON MAIN</t>
  </si>
  <si>
    <t>BNS 90027 ELLICE AV/ERIN</t>
  </si>
  <si>
    <t>SCOTIA CENTRE 90035</t>
  </si>
  <si>
    <t>BNS 90043 BNS KENTVILLE</t>
  </si>
  <si>
    <t>BNS 90050 DOUGLAS/HILLSD</t>
  </si>
  <si>
    <t>BNS 90068 8TH/CLARENCE</t>
  </si>
  <si>
    <t>BNS 90076 W'TON/ROSEMONT</t>
  </si>
  <si>
    <t>BNS 90084 HAYMARKET SQ</t>
  </si>
  <si>
    <t>BNS 90092 BLOOR/SPADINA</t>
  </si>
  <si>
    <t>BNS 90100 BNS CHILLIWACK</t>
  </si>
  <si>
    <t>BNS 90118 BNS AYLSHAM</t>
  </si>
  <si>
    <t>BNS 90126 BEACHBURG</t>
  </si>
  <si>
    <t>BNS 90142 BANCROFT</t>
  </si>
  <si>
    <t>BNS 90167 MAIN/POLSON</t>
  </si>
  <si>
    <t>BNS 90191 DORCH/UNIV MTL</t>
  </si>
  <si>
    <t>BNS 90217 BNS KENORA</t>
  </si>
  <si>
    <t>BNS 90241 ST LAW/PR ARTH</t>
  </si>
  <si>
    <t>BNS 90258 13TH/SCARTH</t>
  </si>
  <si>
    <t>BNS 84772 MARKHAM COMCTR</t>
  </si>
  <si>
    <t>BNS 84962 SCAR TOWN CTR</t>
  </si>
  <si>
    <t>BNS 85092 GEORGIAN MALL</t>
  </si>
  <si>
    <t>FRESNILLO</t>
  </si>
  <si>
    <t>BNS 13862 KING AND LAMBERT</t>
  </si>
  <si>
    <t>BNS 14092 BAYVIEW/WELLINGTON AURORA</t>
  </si>
  <si>
    <t>BNS 14142 HALTON HILLS</t>
  </si>
  <si>
    <t>BNS 14332 KEELE/TORO RD</t>
  </si>
  <si>
    <t>BNS 14456 BOWMANVILLE</t>
  </si>
  <si>
    <t>BNS 14696 MARKHAM</t>
  </si>
  <si>
    <t>BNS 14712 UNIVERSITY/ELM</t>
  </si>
  <si>
    <t>BNS 14746 SQUARE ONE</t>
  </si>
  <si>
    <t>BNS 14845 GUYANA NEW AMSTERDAM BRAN</t>
  </si>
  <si>
    <t>BNS 14902 FORT ERIE ONT</t>
  </si>
  <si>
    <t>BNS 14936 WHITBY</t>
  </si>
  <si>
    <t>BNS 15115 BRAVO LOS CACICAZGOS</t>
  </si>
  <si>
    <t>BNS 15156 KING GEORGE</t>
  </si>
  <si>
    <t>BNS 15362 GLENWOODS S C</t>
  </si>
  <si>
    <t>BNS 15396 COMMISSIONERS</t>
  </si>
  <si>
    <t>BNS 15602 HWY 2/WHITES</t>
  </si>
  <si>
    <t>BNS 15842 TORBRAM/KIMBEL</t>
  </si>
  <si>
    <t>BNS 16022 HANOVER ONT</t>
  </si>
  <si>
    <t>BNS 16295 TUTU PARK</t>
  </si>
  <si>
    <t>BNS 16402 MARKHAM/MCNICO</t>
  </si>
  <si>
    <t>BANK OF NOVA SCOTIA - NCB BOSTON</t>
  </si>
  <si>
    <t>BNS 16972 SHEPPARD/MCCOW</t>
  </si>
  <si>
    <t>BNS 17012 DIXIE/ADVANCE</t>
  </si>
  <si>
    <t>BNS 17152 MAPLE VIEW CENTER</t>
  </si>
  <si>
    <t>BNS SECURITIES TRADING-NYA</t>
  </si>
  <si>
    <t>BNS 17996 BNS VALLEY EAST BRANCH</t>
  </si>
  <si>
    <t>BNS18192 BANKING OPERATIONS SERV M</t>
  </si>
  <si>
    <t>BNS 18242 LISTOWEL ONT</t>
  </si>
  <si>
    <t>BNS TRINCITY 18275</t>
  </si>
  <si>
    <t>BNS 18382 HWY 10/EGLINT</t>
  </si>
  <si>
    <t>ONT INT BKG CTR OICB</t>
  </si>
  <si>
    <t>BNS 18762 MEADOWLANDS</t>
  </si>
  <si>
    <t>BNS 18812 AMHERSTBURG</t>
  </si>
  <si>
    <t>BNS 18846 NOBLETON</t>
  </si>
  <si>
    <t>BNS 20016 RIDEAU/WILLIAM</t>
  </si>
  <si>
    <t>BNS 20024 FREDERICTON NB</t>
  </si>
  <si>
    <t>BNS 20040 CHINATOWN BRAN</t>
  </si>
  <si>
    <t>BNS 20057 PORT LA PRAIRI</t>
  </si>
  <si>
    <t>BNS 20081 BNS CHABANEL</t>
  </si>
  <si>
    <t>BNS 20099 BNS LLOYDMINST</t>
  </si>
  <si>
    <t>BNS 20123 BNS AYLESFORD</t>
  </si>
  <si>
    <t>BNS 20131 BNS LASALLE</t>
  </si>
  <si>
    <t>BNS 20156 CARP ONT</t>
  </si>
  <si>
    <t>BNS 20164 FLORENCEVILLE</t>
  </si>
  <si>
    <t>BNS 40964 REGENT/PRIESTM</t>
  </si>
  <si>
    <t>BNS 40972 STATION MALL</t>
  </si>
  <si>
    <t>BNS 41012 STRATFORD</t>
  </si>
  <si>
    <t>BNS 41053 NEW MINAS NS</t>
  </si>
  <si>
    <t>BNS 41111 PL QU SUB BRCH</t>
  </si>
  <si>
    <t>BNS 41152 BROADVIEW/GERR</t>
  </si>
  <si>
    <t>BNS 41160 BNS COQUITLAM</t>
  </si>
  <si>
    <t>BNS 41186 ROCKLAND S.C.</t>
  </si>
  <si>
    <t>BNS 41202 DANFORTH/MAIN</t>
  </si>
  <si>
    <t>BNS 41210 BNS SMITHERS</t>
  </si>
  <si>
    <t>BNS 437 STJACQUES ST MTL</t>
  </si>
  <si>
    <t>BNS 41319 ABBOTSFIELD SM</t>
  </si>
  <si>
    <t>BNS 41376 BNS BRIDLEWOOD</t>
  </si>
  <si>
    <t>BNS 41442 LAWRENCE/KEELE</t>
  </si>
  <si>
    <t>BNS WEST LETHBRIDGE</t>
  </si>
  <si>
    <t>BNS 41582 ISLINGTO/REXDA</t>
  </si>
  <si>
    <t>BNS 40386 MANIWAKI</t>
  </si>
  <si>
    <t>BNS 40402 KING/SHERMAN</t>
  </si>
  <si>
    <t>BNS 40410 KINGSWAY/NLSN</t>
  </si>
  <si>
    <t>BNS 40444 ROTHESAY</t>
  </si>
  <si>
    <t>BNS 40451 POINTE CLAIRE</t>
  </si>
  <si>
    <t>BNS 40469 ST ALBERT</t>
  </si>
  <si>
    <t>BNS PRINCES TOWN SALES CENTRE404855</t>
  </si>
  <si>
    <t>BNS 40493 TRENTON NS</t>
  </si>
  <si>
    <t>BNS 40501 COTE ST LUC/WS</t>
  </si>
  <si>
    <t>BNS 40527 DUBLIN/BORDER</t>
  </si>
  <si>
    <t>BNS 40543 BONAVISTA</t>
  </si>
  <si>
    <t>BNS 40550 ROBSON AND BUTE</t>
  </si>
  <si>
    <t>BNS 40576 TERRY FOX AND CAMPEAU</t>
  </si>
  <si>
    <t>BNS 40592 MARKHAM ONT</t>
  </si>
  <si>
    <t>BNS 40600 BNS VERNON</t>
  </si>
  <si>
    <t>BNS 40642 MERRITTON</t>
  </si>
  <si>
    <t>BNS 40659 WSTMSTR VILLAG</t>
  </si>
  <si>
    <t>BNS 40683 CHURCHILL PARK</t>
  </si>
  <si>
    <t>BNS 40691 BNS LACHINE</t>
  </si>
  <si>
    <t>BNS 40709 16TH AVE CALG</t>
  </si>
  <si>
    <t>BNS SAN JUAN 40725</t>
  </si>
  <si>
    <t>BNS 40782 PENETANGUISHEN</t>
  </si>
  <si>
    <t>BNS 40808 BNS MOOSOMIN</t>
  </si>
  <si>
    <t>BNS 40840 HILLSIDE SH CT</t>
  </si>
  <si>
    <t>BNS 40865 MEXICO CITY</t>
  </si>
  <si>
    <t>BNS 40923 FLOWERS COVE</t>
  </si>
  <si>
    <t>BNS 40931 GALERIES HILL</t>
  </si>
  <si>
    <t>BNS 81489 MORINVILLE ALT</t>
  </si>
  <si>
    <t>BNS 81513 HALIFAX PROF C</t>
  </si>
  <si>
    <t>BNS 81612 STCLAIR/OCONNR</t>
  </si>
  <si>
    <t>BNS 81620 BNS SAHALI BC</t>
  </si>
  <si>
    <t>BNS 81679 BNS LACOMBE</t>
  </si>
  <si>
    <t>BNS CIPERO AND RUSHWORTH 81745</t>
  </si>
  <si>
    <t>BNS 81760 N LANGLY CTR</t>
  </si>
  <si>
    <t>BNS 81869 CANMORE, ALBERTA</t>
  </si>
  <si>
    <t>BNS 81885 TRUST CO CHANN</t>
  </si>
  <si>
    <t>BNS 81935 HAVENDALE</t>
  </si>
  <si>
    <t>BNS 81992 KING/DREW</t>
  </si>
  <si>
    <t>BNS 82032 SKYWAY PLAZA</t>
  </si>
  <si>
    <t>BNS 82172 BLOOR/KEELE</t>
  </si>
  <si>
    <t>BNS 82222 ANGUS</t>
  </si>
  <si>
    <t>BNS 82263 K-MART</t>
  </si>
  <si>
    <t>BNS 82289 CASTLERIDGE CA</t>
  </si>
  <si>
    <t>BNS 82321 PROMENADE ST BRUNO, QUEBE</t>
  </si>
  <si>
    <t>BNS 82362 WESTON/TORYORK</t>
  </si>
  <si>
    <t>BNS 82420 CORDOVA BAY</t>
  </si>
  <si>
    <t>BNS 82651 MASCOUCHE</t>
  </si>
  <si>
    <t>BNS 82719 SUMMERSIDE EDMONTON</t>
  </si>
  <si>
    <t>BNS 82792 JANE/TRETHEWAY</t>
  </si>
  <si>
    <t>BNS 82891 1030 ST JOSEPH</t>
  </si>
  <si>
    <t>BNS 82982 BROOKDALE MALL</t>
  </si>
  <si>
    <t>BNS 82990 DELTA BC</t>
  </si>
  <si>
    <t>BNS 83022 HWY7/KEELE</t>
  </si>
  <si>
    <t>BNS 83121 BANKING OPERATIONS</t>
  </si>
  <si>
    <t>BNS 83162 BATHRST/DEWLAN</t>
  </si>
  <si>
    <t>BNS 83212 YONGE AND WELLES</t>
  </si>
  <si>
    <t>BNS83311 BEAUPORT</t>
  </si>
  <si>
    <t>BNS 83352 BOLTON</t>
  </si>
  <si>
    <t>BNS 83592 LORNE/DEMOREST</t>
  </si>
  <si>
    <t>WARDEN &amp; BAMBURGH</t>
  </si>
  <si>
    <t>BNS 83972 KENNEDY/ROUTH</t>
  </si>
  <si>
    <t>BNS 84103 PARADISE BRANCH</t>
  </si>
  <si>
    <t>BNS COLUMBO SRI LANKA</t>
  </si>
  <si>
    <t>BNS 84442 LEAMINGTON</t>
  </si>
  <si>
    <t>BNS 81406 ST LAURENT/CYR</t>
  </si>
  <si>
    <t>BNS 81422 BNS KINGSWAY</t>
  </si>
  <si>
    <t>BNS 11221 JONQUIERE</t>
  </si>
  <si>
    <t>BNS 11239 FOOTHILLS IND</t>
  </si>
  <si>
    <t>BNS 11262 DUNDAS/PACIFIC</t>
  </si>
  <si>
    <t>BNS 11270 BNS BURNABY</t>
  </si>
  <si>
    <t>BNS 11312 EGLINTON/MT PL</t>
  </si>
  <si>
    <t>BNS 11338 CARDS ACCOUNTING DEPT,EGL</t>
  </si>
  <si>
    <t>BNS 11353 HAPPY VALLEY</t>
  </si>
  <si>
    <t>BNS 11403 SCOTIA SQ SC</t>
  </si>
  <si>
    <t>BNS11429 HIGH RIVER ALBERTA</t>
  </si>
  <si>
    <t>BNS 11452 EGLINTON/LAIRD</t>
  </si>
  <si>
    <t>BNS 011460 CLEARBROOK</t>
  </si>
  <si>
    <t>BNS 11569 FORT MCMURRAY</t>
  </si>
  <si>
    <t>BNS 11601 755 ST JEAN BL</t>
  </si>
  <si>
    <t>ALB/SASK INTL ASBC</t>
  </si>
  <si>
    <t>BNS 11643 PROF CTR DART</t>
  </si>
  <si>
    <t>BNS 11650 BNS NEWTON</t>
  </si>
  <si>
    <t>BNS 11692 YONGE AND FINCH</t>
  </si>
  <si>
    <t>BNS 11742 YONGE/LAWRENCE</t>
  </si>
  <si>
    <t>BNS 11775 HAMILTON</t>
  </si>
  <si>
    <t>SCOTIA MORTGAGE INVESTMENT CORP</t>
  </si>
  <si>
    <t>BNS 11882 JARVIS/CHARLES</t>
  </si>
  <si>
    <t>BNS 11932 BNS MIMICO</t>
  </si>
  <si>
    <t>BNS LOWLANDS 12005</t>
  </si>
  <si>
    <t>BNS 12070 FLEETWOOD SURR</t>
  </si>
  <si>
    <t>BNS 12153 BNS HALIFAX ATLANTIC REGI</t>
  </si>
  <si>
    <t>BNS 12252 KENNEDY/ELLESM</t>
  </si>
  <si>
    <t>BNS 12302 U WELLING/MOH</t>
  </si>
  <si>
    <t>BNS 12435 BNS ABERDEEN</t>
  </si>
  <si>
    <t>BNS 12492 CARIBBEAN RO</t>
  </si>
  <si>
    <t>BNS 12716 CARLING N MATLAND OTTAWA</t>
  </si>
  <si>
    <t>GOLD DEPT BNS</t>
  </si>
  <si>
    <t>BNS 12831 COTE ST LUC</t>
  </si>
  <si>
    <t>BNS12849 CALGARY THE BRIDGES</t>
  </si>
  <si>
    <t>BNS 12989 CALGARY BUS SUPPORT CENTR</t>
  </si>
  <si>
    <t>BNS 13045 BNS MOCA</t>
  </si>
  <si>
    <t>BNS 13185 1 MERC PLZA SJ</t>
  </si>
  <si>
    <t>BNS 13201 LEBOURGNEUF BRANCH</t>
  </si>
  <si>
    <t>BNS 13219 BNS ROYAL OAK</t>
  </si>
  <si>
    <t>BNS 13235 ORANGE WALK</t>
  </si>
  <si>
    <t>BNS 13342 DUNDAS/L JOHN</t>
  </si>
  <si>
    <t>BNS 13375 BNS KINGSTOWN ST.VINCENT</t>
  </si>
  <si>
    <t>BNS 13391 MONTREAL SYMCOR</t>
  </si>
  <si>
    <t>BNS 13441 ST JEROME QC</t>
  </si>
  <si>
    <t>BNS 13482 SHERIDAN MALL</t>
  </si>
  <si>
    <t>BNS 13722 LAWRENCE/ALLEN</t>
  </si>
  <si>
    <t>BNS 40113 BNS ANTIGONISH</t>
  </si>
  <si>
    <t>BNS 40121 LACHUTE QUEBEC</t>
  </si>
  <si>
    <t>BNS 40139 BNS BARRHEAD</t>
  </si>
  <si>
    <t>BNS 40147 WINDSOR PARK</t>
  </si>
  <si>
    <t>BNS 40154 BNS DOAKTOWN</t>
  </si>
  <si>
    <t>BNS 40162 BELLEVILLE</t>
  </si>
  <si>
    <t>BNS 40188 BNS HUMBOLDT</t>
  </si>
  <si>
    <t>BNS 40196 HAWKESBURY</t>
  </si>
  <si>
    <t>BNS 40220 NANAIMO</t>
  </si>
  <si>
    <t>BNS 40238 BNS OUTLOOK</t>
  </si>
  <si>
    <t>BNS 40279 BNS EDSON</t>
  </si>
  <si>
    <t>BNS 40287 NAIRN/BIRDSHIL</t>
  </si>
  <si>
    <t>BNS 40303 SPR GRDN/BRNTN</t>
  </si>
  <si>
    <t>BNS 40311 NEW CARLISLE</t>
  </si>
  <si>
    <t>BNS 40345 WULF/EAST NASS</t>
  </si>
  <si>
    <t>BNS 40352 CAMBRIDGE</t>
  </si>
  <si>
    <t>BNS 40378 PARK ST/ARCOLA</t>
  </si>
  <si>
    <t>BNS 35436 12 WEST ST</t>
  </si>
  <si>
    <t>BNS 35766 PINCREST SHP</t>
  </si>
  <si>
    <t>BNS 35782 AQUITAINE PL</t>
  </si>
  <si>
    <t>BNS 35972 1ST CLAIR AV E</t>
  </si>
  <si>
    <t>BNS 36285 WARRENS BARBADOS</t>
  </si>
  <si>
    <t>BNS 36475 BNS NASSAU CORPORATE BRAN</t>
  </si>
  <si>
    <t>BNS 36566 BNS RIVERSIDE SOUTH</t>
  </si>
  <si>
    <t>BNS 37192 WELLINGTON/BROCK KINGSTON</t>
  </si>
  <si>
    <t>BNS 37572 KING AND THORTON</t>
  </si>
  <si>
    <t>BNS 37762 MATHESON/EXPL</t>
  </si>
  <si>
    <t>BNS 37812 KING/BATHURST</t>
  </si>
  <si>
    <t>BNS 37846 BNS BROOKLIN</t>
  </si>
  <si>
    <t>BNS 38125 DR PROCESSING CENTRE</t>
  </si>
  <si>
    <t>BNS38166 CENTENNIAL AND RIDDELL</t>
  </si>
  <si>
    <t>BNS38216 ELGIN MILLS AND LESLIE</t>
  </si>
  <si>
    <t>BNS 38356 LAKESHORE AND BATHURST</t>
  </si>
  <si>
    <t>BNS 38646 KING ST EAST</t>
  </si>
  <si>
    <t>38786 PRIVATE BANKING - BARRIE</t>
  </si>
  <si>
    <t>BNS 40006 OTTAWA ONT</t>
  </si>
  <si>
    <t>BNS 40022 QUEEN/MCCAUL</t>
  </si>
  <si>
    <t>BNS 40030 BNS NORTH VCR</t>
  </si>
  <si>
    <t>BNS 40055 BRIDGETOWN BARBADOS</t>
  </si>
  <si>
    <t>BNS 40063 BNS YARMOUTH</t>
  </si>
  <si>
    <t>BNS 40071 CTE D LIE/LUCR</t>
  </si>
  <si>
    <t>BNS 40097 MAIN/LOMBARD</t>
  </si>
  <si>
    <t>BNS 80317 BNS SELKIRK</t>
  </si>
  <si>
    <t>BNS 80341 BNS PORTNEUF</t>
  </si>
  <si>
    <t>BNS 80366 CAMPBELLS BAY</t>
  </si>
  <si>
    <t>BNS 80374 BNS NASHWAAKSI</t>
  </si>
  <si>
    <t>BNS80390</t>
  </si>
  <si>
    <t>BNS 80408 INT BK SRV GRP</t>
  </si>
  <si>
    <t>BNS 80465 FREDRIKSTED</t>
  </si>
  <si>
    <t>BNS 80473 SYDNEY MINES</t>
  </si>
  <si>
    <t>BNS 80499 104/63 EDMNTN</t>
  </si>
  <si>
    <t>BNS 80523 BAIE VERTE</t>
  </si>
  <si>
    <t>BNS 80531 SEPT ISLES</t>
  </si>
  <si>
    <t>BNS 80572 RICHMOND/OXFOD</t>
  </si>
  <si>
    <t>BNS 80580 VCR HEIGHTS</t>
  </si>
  <si>
    <t>BNS 80622 MAXVILLE ONT</t>
  </si>
  <si>
    <t>BNS 80630 PARK CREST PLZ</t>
  </si>
  <si>
    <t>BNS 80655 ST MICHAEL</t>
  </si>
  <si>
    <t>BNS 80663 LEWISPORTE</t>
  </si>
  <si>
    <t>BNS 80689 TERA LOSA CTR</t>
  </si>
  <si>
    <t>BNS 80713 ST LAWRENCE</t>
  </si>
  <si>
    <t>BNS 80739 SLAVE LAKE</t>
  </si>
  <si>
    <t>BNS 80762 OSHAWA ONT</t>
  </si>
  <si>
    <t>BNS 80788 PENSIONS ASSETS</t>
  </si>
  <si>
    <t>BNS 80804</t>
  </si>
  <si>
    <t>BNS 80820 PT COQUITLAM</t>
  </si>
  <si>
    <t>BNS 80853 SYDNEY S C</t>
  </si>
  <si>
    <t>BNS 80903 LOWER SACKVILL</t>
  </si>
  <si>
    <t>BNS 80911 2020 UNIV MTL</t>
  </si>
  <si>
    <t>BNS 80952 EASTLAND PLAZA</t>
  </si>
  <si>
    <t>BNS 80960 ELLWOOD CTE BC</t>
  </si>
  <si>
    <t>BNS 81042 SUTTON WEST ON</t>
  </si>
  <si>
    <t>BNS 81075 BNS PIRAEUS</t>
  </si>
  <si>
    <t>BNS 81083 WEST SIDE SC</t>
  </si>
  <si>
    <t>BNS 81091 PLACE IBERVILL</t>
  </si>
  <si>
    <t>BNS 81109 WAGNER RD EDMN</t>
  </si>
  <si>
    <t>BNS 81182 COLLEGE/GRACE</t>
  </si>
  <si>
    <t>BNS 81232 LAWRENCE/DON M</t>
  </si>
  <si>
    <t>BNS 81299 5TH/5TH AV SW</t>
  </si>
  <si>
    <t>BNS 81331 3000 BLVD LAUR</t>
  </si>
  <si>
    <t>BNS 81349 SADDLERIDGE</t>
  </si>
  <si>
    <t>BNS 80242 BURLINGTON ONT</t>
  </si>
  <si>
    <t>BNS 80259 124TH STREET  EDMN</t>
  </si>
  <si>
    <t>BNS 80267 DAKOTA VLG SC</t>
  </si>
  <si>
    <t>BNS 80283 NOVA SCOTIAN</t>
  </si>
  <si>
    <t>BNS 80291 VANHORNE/VICTO</t>
  </si>
  <si>
    <t>BNS 80309 HWY BR,HINTON</t>
  </si>
  <si>
    <t>BNS 10231 ST. LAW/ONTARI</t>
  </si>
  <si>
    <t>BNS 10249 118TH/81ST ST</t>
  </si>
  <si>
    <t>BNS 10264 PETITCODIAC</t>
  </si>
  <si>
    <t>BNS 10272 CHESTERVILLE</t>
  </si>
  <si>
    <t>BNS 10298 BNS WYNYARD</t>
  </si>
  <si>
    <t>BNS 10306 RICHMOND ONT</t>
  </si>
  <si>
    <t>BNS 10314 W SAINT JOHN</t>
  </si>
  <si>
    <t>BNS 10322 DEEP RIVER</t>
  </si>
  <si>
    <t>BNS 10330 BNS SQUAMISH</t>
  </si>
  <si>
    <t>BNS 10348 33RD/AVENUE C</t>
  </si>
  <si>
    <t>BNS 10363 NEW GLASGOW</t>
  </si>
  <si>
    <t>BNS 10371 STE MARIE DE B</t>
  </si>
  <si>
    <t>BNS 10389 PICT BUTTE</t>
  </si>
  <si>
    <t>BNS 10397 BRANDON SM</t>
  </si>
  <si>
    <t>BNS 10413 PUGWASH</t>
  </si>
  <si>
    <t>BNS 10421 LAGAUCHE/MANSF</t>
  </si>
  <si>
    <t>BNS 10439 BNS VAUXHALL</t>
  </si>
  <si>
    <t>BNS 10462 KAPUSKASING</t>
  </si>
  <si>
    <t>BNS 10470 GRANVILLE/12TH</t>
  </si>
  <si>
    <t>BNS 10512 KING AND SHELDON</t>
  </si>
  <si>
    <t>BNS 10520 KWAY/VICT VANC</t>
  </si>
  <si>
    <t>BNS 10553 BNS BURIN</t>
  </si>
  <si>
    <t>BNS 10579 ROCKY MOUNTAIN</t>
  </si>
  <si>
    <t>BNS 10587 BNS THE PAS</t>
  </si>
  <si>
    <t>BNS 10611 BNS TRACY</t>
  </si>
  <si>
    <t>BNS 10629 BNS YELLOWKNIF</t>
  </si>
  <si>
    <t>BNS 10660 FORT ST. JOHN</t>
  </si>
  <si>
    <t>BNS 10702 NIAGARA FALLS</t>
  </si>
  <si>
    <t>BNS 10769 DRUMHELLER</t>
  </si>
  <si>
    <t>BANK OF NOVA SCOTIA (10785)</t>
  </si>
  <si>
    <t>BNS 10819 EDGEMOND CALGARY</t>
  </si>
  <si>
    <t>BNS 10843 TOPSAIL ROAD</t>
  </si>
  <si>
    <t>BNS 10850 COMOX BRANCH</t>
  </si>
  <si>
    <t>BNS 10942 SARNIA ONT</t>
  </si>
  <si>
    <t>BNS 10983 BNS AVALON STJ</t>
  </si>
  <si>
    <t>BNS 11023 ST JOHNS NFLD</t>
  </si>
  <si>
    <t>BNS11049 CITADEL VILLAGE ST ALBERT</t>
  </si>
  <si>
    <t>BNS 11072 TIMMINS ONT</t>
  </si>
  <si>
    <t>BNS 11080 BURRARD/COMAX</t>
  </si>
  <si>
    <t>BNS 11122 BLOOR/S CLAREN</t>
  </si>
  <si>
    <t>BNS 11130 ORCHARD PK SC</t>
  </si>
  <si>
    <t>BNS 11213 STEPHENVILLE</t>
  </si>
  <si>
    <t>BNS33092 TRIN TOBAGO</t>
  </si>
  <si>
    <t>BNS 33100 GRANDVIEW CORNERS, SURREY</t>
  </si>
  <si>
    <t>BNS33209 BNS CALGARY</t>
  </si>
  <si>
    <t>BNS 33225 MARIA MONTEZ</t>
  </si>
  <si>
    <t>BNS 33332 HEARST ONT</t>
  </si>
  <si>
    <t>BNS 33472 HWY 24/LANGS</t>
  </si>
  <si>
    <t>EUROPE REGION LOANS</t>
  </si>
  <si>
    <t>BNS 33662 BNS DOWLING</t>
  </si>
  <si>
    <t>BNS33993 HALIFAX BUSINESS CENTRE</t>
  </si>
  <si>
    <t>BNS 34033 HALIFAX BUSINESS SUPP CTR</t>
  </si>
  <si>
    <t>BNS 34256 WASAGA BEACH BRANCH</t>
  </si>
  <si>
    <t>BNS 34272-392 BAY</t>
  </si>
  <si>
    <t>BNS 34496 203 RONCESVAL</t>
  </si>
  <si>
    <t>BNS 34595 WULF/JER NASSA</t>
  </si>
  <si>
    <t>BNS 34876 BRIDLEWOOD</t>
  </si>
  <si>
    <t>BNS 34892 MGMT AND FIN SYS</t>
  </si>
  <si>
    <t>The Bank of Nova Scotia</t>
  </si>
  <si>
    <t>BNS_SPTCLIENT</t>
  </si>
  <si>
    <t>VENTANILLA MONTERREY 1</t>
  </si>
  <si>
    <t>BNS 16253 CSA ATLANTIC</t>
  </si>
  <si>
    <t>BNS GROUP TREASURY ALM CIP</t>
  </si>
  <si>
    <t>BNS GROUP TREASURY FLM CIP</t>
  </si>
  <si>
    <t>BNS 75432 WOODBINE AND MC</t>
  </si>
  <si>
    <t>BNS 75572 COLONIAL ACRES</t>
  </si>
  <si>
    <t>BNS 75622 OAKVILLE T CTR</t>
  </si>
  <si>
    <t>BNS 75796 485 DUNDAS ST</t>
  </si>
  <si>
    <t>BNS 76042 BNS JARVIS ONT</t>
  </si>
  <si>
    <t>BNS 76372 BRIGHTS GROVE</t>
  </si>
  <si>
    <t>BNS 76448 NELSON SASKATOON</t>
  </si>
  <si>
    <t>BANK OF NOVA SCOTIA-NCB SAN FRAN</t>
  </si>
  <si>
    <t>SCOTIA CENTRE 76885</t>
  </si>
  <si>
    <t>BNS CUNUPIA SALES CENTRE</t>
  </si>
  <si>
    <t>BNS 77206 LISTOWEL COMMERCIAL</t>
  </si>
  <si>
    <t>BNS 77446 BANKING OPERATIONS</t>
  </si>
  <si>
    <t>SCOTIABANK QUILMES S.A.</t>
  </si>
  <si>
    <t>BNS 77842 YORK COMM B CT</t>
  </si>
  <si>
    <t>MAGNA ENTERTAINMENT CORP</t>
  </si>
  <si>
    <t>BNS 77982 HWY 10/RAY LAW</t>
  </si>
  <si>
    <t>BNS 78006 MAIN AND THOMPSON MILTON</t>
  </si>
  <si>
    <t>BNS 78022 WONDERLAND MAL</t>
  </si>
  <si>
    <t>BNS78196 GUELPH PAISLEY IMPERIAL</t>
  </si>
  <si>
    <t>BNS 78436 BNS LONDON ON</t>
  </si>
  <si>
    <t>BNS 78626 WINSTON CHURCHILL THOMAS</t>
  </si>
  <si>
    <t>BNST TORONTO MAIN</t>
  </si>
  <si>
    <t>BNS 80028 SWIFT CURRENT</t>
  </si>
  <si>
    <t>BNS 80036 BNS HULL</t>
  </si>
  <si>
    <t>BNS 80044 OROMOCTO</t>
  </si>
  <si>
    <t>BNS 80077 BNS BRANDON</t>
  </si>
  <si>
    <t>BNSN BNS NY AGENCY</t>
  </si>
  <si>
    <t>BNS 80101 BROWNSBURG</t>
  </si>
  <si>
    <t>BNS 80119 BNS ARROWWOOD</t>
  </si>
  <si>
    <t>BNS 80127 PORTAGE/VIMY</t>
  </si>
  <si>
    <t>BNS 80150 BNS KELOWNA</t>
  </si>
  <si>
    <t>BNS 80168 BNS GLASLYN</t>
  </si>
  <si>
    <t>BNS 80184 GRAND MANAN</t>
  </si>
  <si>
    <t>BNS 80192 BRACEBRIDGE</t>
  </si>
  <si>
    <t>BNS 80218 BNS MELFORT</t>
  </si>
  <si>
    <t>BNS 80226 BRONSON/HOLMWD</t>
  </si>
  <si>
    <t>VENTANILLA GUADALAJARA</t>
  </si>
  <si>
    <t>MEXICALI II</t>
  </si>
  <si>
    <t>CDS - SCOTIA CAPITAL - FAIR VALUE EQUITY LINKED NOTES</t>
  </si>
  <si>
    <t>CDS - SCOTIA CAPITAL - FAIR VALUE RATE LINKED NOTES</t>
  </si>
  <si>
    <t>INTERNET BROKER</t>
  </si>
  <si>
    <t>VENTANILLA MORELIA</t>
  </si>
  <si>
    <t>VENTANILLA DURANGO</t>
  </si>
  <si>
    <t>VENTANILLA CHIHUAHUA 2</t>
  </si>
  <si>
    <t>VENTANILLA CD. JUAREZ 1</t>
  </si>
  <si>
    <t>VENTANILLA TIJUANA 1</t>
  </si>
  <si>
    <t>VENTANILLA MEXICALI 1</t>
  </si>
  <si>
    <t>VENTANILLA QUERETARO</t>
  </si>
  <si>
    <t>ESTORE MOCATTA RETAIL</t>
  </si>
  <si>
    <t>VENTANILLA CHIHUAHUA 1</t>
  </si>
  <si>
    <t>VENTANILLA VALLARTA 2</t>
  </si>
  <si>
    <t>MESA DE CAMBIOS</t>
  </si>
  <si>
    <t>VENTANILLA TEPIC</t>
  </si>
  <si>
    <t>VENTANILLA SAN LUIS POTOSI</t>
  </si>
  <si>
    <t>VENTANILLA MOD. BOSQUES</t>
  </si>
  <si>
    <t>VENTANILLA PUEBLA 2</t>
  </si>
  <si>
    <t>VENTANILLA ACAPULCO</t>
  </si>
  <si>
    <t>TAKE PROFIT ORDER</t>
  </si>
  <si>
    <t>EQUITYEU</t>
  </si>
  <si>
    <t>AT BEST ORDER DEAL</t>
  </si>
  <si>
    <t>VENTANILLA CANCUN</t>
  </si>
  <si>
    <t>VENTANILLA LEON</t>
  </si>
  <si>
    <t>VENTANILLA MESA CAMBIOS BANCO</t>
  </si>
  <si>
    <t>SBW SCO WIRES</t>
  </si>
  <si>
    <t>VENTANILLA AGUASCALIENTES</t>
  </si>
  <si>
    <t>INTERNET BROKER FUND</t>
  </si>
  <si>
    <t>BNS03947</t>
  </si>
  <si>
    <t>BNS13359 MAHOGANY PLAZA</t>
  </si>
  <si>
    <t>BNS GFI RATES ASIA (SBE)</t>
  </si>
  <si>
    <t>GLOBAL EQUITY FINANCE</t>
  </si>
  <si>
    <t>EMERGING MKTS TOTUS CASH TRDG</t>
  </si>
  <si>
    <t>SCI - FUNDSERV</t>
  </si>
  <si>
    <t>BNS 29116 BANKING OPERATIONS</t>
  </si>
  <si>
    <t>BNS GROUP TREASURY LIQUIDITY ASSETS</t>
  </si>
  <si>
    <t>GCIA CONTABILIDAD SEGUROS</t>
  </si>
  <si>
    <t>BNS GROUP TREASURY LIQUIDITY ASSETS HTM</t>
  </si>
  <si>
    <t>BNS GROUP TREASURY STRUCTURED NOTES</t>
  </si>
  <si>
    <t>01125 FIXED INCOME - NYA - RATES</t>
  </si>
  <si>
    <t>IG77_10MM_ UNSECURED</t>
  </si>
  <si>
    <t>IG77_3MM_ UNSECURED</t>
  </si>
  <si>
    <t>IG77_5MM_ UNSECURED</t>
  </si>
  <si>
    <t>BNS TORONTO FX TRADING SIF</t>
  </si>
  <si>
    <t>TIJUANA II</t>
  </si>
  <si>
    <t>THE BANK OF NOVA SCOTIA (PANAMA) S.A. / FID-129</t>
  </si>
  <si>
    <t>VENTANILLA ZACATECAS 1</t>
  </si>
  <si>
    <t>CONTRATOS DE REPORTO</t>
  </si>
  <si>
    <t>DEPOSITOS A PLAZO</t>
  </si>
  <si>
    <t>BONOS</t>
  </si>
  <si>
    <t>CREDITOS TASA FLOTANTE</t>
  </si>
  <si>
    <t>BNS 23671 OUTREMONT</t>
  </si>
  <si>
    <t>36707-MKTMBS SECURED</t>
  </si>
  <si>
    <t>BNS09076 GRIMSBY</t>
  </si>
  <si>
    <t>POSITION BROKER CODE</t>
  </si>
  <si>
    <t>FIXING ORDER</t>
  </si>
  <si>
    <t>LA ISLA</t>
  </si>
  <si>
    <t>IGMY SECURED</t>
  </si>
  <si>
    <t>BNS 23531 SOLAR UNIQUARTIER</t>
  </si>
  <si>
    <t>The Bank of Nova Scotia (Toronto Branch)</t>
  </si>
  <si>
    <t>BNS TORONTO DERIVATIVES INTEREST RATE LINKED NOTES</t>
  </si>
  <si>
    <t>BNS 24356 RSC STRATFROD - INDIRECT LOANS</t>
  </si>
  <si>
    <t>79285 SBE SHORT-TERM FUNDING EUROPE</t>
  </si>
  <si>
    <t>GFI EMERGING MARKETS</t>
  </si>
  <si>
    <t>GFI FUNDING</t>
  </si>
  <si>
    <t>The Bank of Nova Scotia Toronto ECI</t>
  </si>
  <si>
    <t>GFI RATES ASIA (MALAYSIA)</t>
  </si>
  <si>
    <t>CVA SPOT</t>
  </si>
  <si>
    <t>PRIME SERVICES SPB AND SBL</t>
  </si>
  <si>
    <t>IGSEK UNSECURED</t>
  </si>
  <si>
    <t>BNS15677 GFI FUNDING - AVG</t>
  </si>
  <si>
    <t>EAC TOTUS</t>
  </si>
  <si>
    <t>GFI RATES TORONTO (MALAYSIA)</t>
  </si>
  <si>
    <t>GROUP TREASURY ALTERNATE FUNDING</t>
  </si>
  <si>
    <t>ABM</t>
  </si>
  <si>
    <t>STRUCTURED NOTES OCI ADJ - BASE VALUE VS FAIR VALUE - LEGACY NOTE PRIOR Q3 2018</t>
  </si>
  <si>
    <t>BNS 22582 CHIEF ACCOUNTANT - ADMINSTERED EXPENSES</t>
  </si>
  <si>
    <t>BNS 76497 GWO LENDING SERVICES CORPORATE CREDIT</t>
  </si>
  <si>
    <t>BNS 28142 YONGE &amp; ELM</t>
  </si>
  <si>
    <t>STRUCTURED NOTES OCI ADJ - BASE VALUE VS FAIR VALUE</t>
  </si>
  <si>
    <t>BNS35667 GFI EMERGING MARKET - SPOT</t>
  </si>
  <si>
    <t>BNS36152 DUNDAS AND NEYAGAWA</t>
  </si>
  <si>
    <t>IGEUR SECURED</t>
  </si>
  <si>
    <t>IGGBP SECECURED</t>
  </si>
  <si>
    <t>IGHKD SECECURED</t>
  </si>
  <si>
    <t>IGJPY SECECURED</t>
  </si>
  <si>
    <t>IGKRW SECECURED</t>
  </si>
  <si>
    <t>IGMXN SECECURED</t>
  </si>
  <si>
    <t>IGNZD SECECURED</t>
  </si>
  <si>
    <t>IGSGD SECECURED</t>
  </si>
  <si>
    <t>COLLAHEDGE</t>
  </si>
  <si>
    <t>FAIR VALUE NOTES - EMBEDDED DERIVATIVES - OIS</t>
  </si>
  <si>
    <t>LONDON DERIVATIVE PRODUCTS (SBE)</t>
  </si>
  <si>
    <t>SCOTIABANK (NEW YORK LPM REBALANCING) SBE</t>
  </si>
  <si>
    <t>BNS TORONTO-GPF (SBE)</t>
  </si>
  <si>
    <t>BANK OF NOVA SCOTIA TORONTO (SBE)</t>
  </si>
  <si>
    <t>NY LPM HEDGE PORTFOLIO (SBE)</t>
  </si>
  <si>
    <t>SCOTIA CARIBBEAN TREASURY LTD ALM UNIT (SCTL)</t>
  </si>
  <si>
    <t>BNS GROUP TREASURY MID TERM FUNDING (SCTL)</t>
  </si>
  <si>
    <t>BNS NEW YORK AGENCY (SCUSA)</t>
  </si>
  <si>
    <t>BNS 51011 SAINT JEAN SUR RICHELIEU</t>
  </si>
  <si>
    <t>BNS10991 PINCOURT</t>
  </si>
  <si>
    <t>BNS03319 MISSION</t>
  </si>
  <si>
    <t>BNS95307 CVA SPOT</t>
  </si>
  <si>
    <t>BNS 88906 LAKESHORE AND PARKLAWN</t>
  </si>
  <si>
    <t>RETAILBNS</t>
  </si>
  <si>
    <t>BNS 13797 TRUE NORTH SQUARE</t>
  </si>
  <si>
    <t>BNS33340 CAMBIE AND MARINE</t>
  </si>
  <si>
    <t>FI TACTICAL TRADING</t>
  </si>
  <si>
    <t>BNS 02477 SCOTIA CAPITAL ENERGY</t>
  </si>
  <si>
    <t>BNS03350 CAMBIE AND KING EDWARD</t>
  </si>
  <si>
    <t>SCOTIABANK (TURKS &amp; CAICOS) LTD.</t>
  </si>
  <si>
    <t>BNS SHANGHAI TOTUS</t>
  </si>
  <si>
    <t>THE BANK OF NOVA SCOTIA SINGAPORE BRANCH FUNDING</t>
  </si>
  <si>
    <t>BNS TORONTO-GLOBAL EQUITY FINANCE-CANADA (00865)</t>
  </si>
  <si>
    <t>BANK OF NOVA SCOTIA DERIVATIVE PRODUCTS (BNSA).</t>
  </si>
  <si>
    <t>THE BANK OF NOVA SCOTIA SC-FX</t>
  </si>
  <si>
    <t>BNS92817</t>
  </si>
  <si>
    <t>BANK OF NOVA SCOTIA VICE PRESIDENT OFFICE</t>
  </si>
  <si>
    <t>SCOTIABANK U.S. VIRGIN ISLANDS</t>
  </si>
  <si>
    <t>IG 77 UNSECURED</t>
  </si>
  <si>
    <t>IG 80 UNSECURED</t>
  </si>
  <si>
    <t>IG 83 UNSECURED</t>
  </si>
  <si>
    <t>IG 87 UNSECURED</t>
  </si>
  <si>
    <t>IG 90 SECURED</t>
  </si>
  <si>
    <t>IG 95 SECURED</t>
  </si>
  <si>
    <t>IG 98 SECURED</t>
  </si>
  <si>
    <t>IG 99 SECURED</t>
  </si>
  <si>
    <t>IGAUD SECECURED</t>
  </si>
  <si>
    <t>IGAUD UNSECURED</t>
  </si>
  <si>
    <t>IGCAD SECECURED</t>
  </si>
  <si>
    <t>IGCAD UNSECURED</t>
  </si>
  <si>
    <t>IGCHF UNSECURED</t>
  </si>
  <si>
    <t>MEX_85647</t>
  </si>
  <si>
    <t>BNS34967 TORONTO GLOBAL EQUITY DERIVATIVES</t>
  </si>
  <si>
    <t>BANK OF NOVA SCOTIA TORONTO (SCTL).</t>
  </si>
  <si>
    <t>BNS Toronto Branch</t>
  </si>
  <si>
    <t>BNS16147 BNS IB CORPORATE POSITION</t>
  </si>
  <si>
    <t>BNS26047 BNS GBM CORPORATE POSITION</t>
  </si>
  <si>
    <t>BNS03491 BLAINVILLE</t>
  </si>
  <si>
    <t>BNS 15552 RENFORTH</t>
  </si>
  <si>
    <t>IG 85 ASYMMETRIC UNSECURED</t>
  </si>
  <si>
    <t>BNS PS LOAN HEDGE PORTFOLIO</t>
  </si>
  <si>
    <t>BNS 64097 200 PORTAGE AVE WINNIPEG</t>
  </si>
  <si>
    <t>BNS 19406 BUSINESS BANKING OTTAWA</t>
  </si>
  <si>
    <t>PH EMDER D1</t>
  </si>
  <si>
    <t>EQUITYSPI</t>
  </si>
  <si>
    <t>EQUITYFIO</t>
  </si>
  <si>
    <t>EQUITYFWD</t>
  </si>
  <si>
    <t>EQUITYDC</t>
  </si>
  <si>
    <t>EQUITYD1U</t>
  </si>
  <si>
    <t>BNS GROUP TREASURY MID TERM FUNDING (START)</t>
  </si>
  <si>
    <t>BNS DERIVATIVE PRODUCTS TORONTO SCEI</t>
  </si>
  <si>
    <t>BNS63792 STONE ROAD MALL BR GUELPH</t>
  </si>
  <si>
    <t>BNS66167 GLOBAL EQUITY DERIVATIVES</t>
  </si>
  <si>
    <t>GBM STRUCTURED NOTES BAIL IN</t>
  </si>
  <si>
    <t>BNS TORONTO.</t>
  </si>
  <si>
    <t>BNS SINGAPORE.</t>
  </si>
  <si>
    <t>GT LIQ ASSET JPY SUB DEPT</t>
  </si>
  <si>
    <t>VIKING HOLDINGS</t>
  </si>
  <si>
    <t>GEDECIUSCORP</t>
  </si>
  <si>
    <t>GED MANAGEMENT</t>
  </si>
  <si>
    <t>GED STOCK LINKED NOTES EXOTIC</t>
  </si>
  <si>
    <t>GED STOCK LINKED NOTES VANILLA</t>
  </si>
  <si>
    <t>GED STOCK OPTIONS FLOW</t>
  </si>
  <si>
    <t>GED INDEX LINKED NOTES VANILLA</t>
  </si>
  <si>
    <t>SCOTIA LEASING, THE BANK OF NOVA SCOTIA</t>
  </si>
  <si>
    <t>BGI BLOCK TRADE EU - CDEA</t>
  </si>
  <si>
    <t>ALPHADYNE BLOCK TRADE EU</t>
  </si>
  <si>
    <t>BGI BLOCK TRADE CA - CDEA</t>
  </si>
  <si>
    <t>BNS 73270 VANCOUVER</t>
  </si>
  <si>
    <t>STRUCTURED</t>
  </si>
  <si>
    <t>BNS GPF SPB RISKLESS PRINCIPLE</t>
  </si>
  <si>
    <t>BNS GPF SPB TRADING</t>
  </si>
  <si>
    <t>BNS GPF SPB CLIENT SWAP HEDGE</t>
  </si>
  <si>
    <t>SCI_95687</t>
  </si>
  <si>
    <t>SCOTIA CARIBBEAN TREASURY LTD ALM UNIT SCTL 34967</t>
  </si>
  <si>
    <t>BNS - IBD DERIVATIVE PRODUCTS BIDS DESK 34967</t>
  </si>
  <si>
    <t>IG80UNSMXN</t>
  </si>
  <si>
    <t>BNS TORONTO DERIVATIVE PRODUCTS IRELAND 34967</t>
  </si>
  <si>
    <t>BANK OF NOVA SCOTIA CAPITAL MARKETS SCTL 34967</t>
  </si>
  <si>
    <t>BNS TORONTO DERIVATIVES EQUITY LINKED NOTES 34967</t>
  </si>
  <si>
    <t>MEX 34967</t>
  </si>
  <si>
    <t>BANK OF NOVA SCOTIA TORONTO 34967</t>
  </si>
  <si>
    <t>DERIVATIVE PRODUCTS OPERATIONS 34967 GT</t>
  </si>
  <si>
    <t>BNS 03541 BANQUE SCOTIA EXPRESS</t>
  </si>
  <si>
    <t>BNS 03590 BELMONT MARKET</t>
  </si>
  <si>
    <t>SCI_34967</t>
  </si>
  <si>
    <t>BNS - IBD DERIVATIVE PRODUCTS EQUITY DESK 34967</t>
  </si>
  <si>
    <t>BNS DERIVATIVES PRODUCTS TORONTO SEVERN 34967</t>
  </si>
  <si>
    <t>COLLATERAL VALUATION</t>
  </si>
  <si>
    <t>NOTESCANACCT</t>
  </si>
  <si>
    <t>EQUITYDEFERR</t>
  </si>
  <si>
    <t>EQUITYDS</t>
  </si>
  <si>
    <t>ALPHADYNE BLOCK TRADE US</t>
  </si>
  <si>
    <t>ALPHADYNE BLOCK TRADE CA</t>
  </si>
  <si>
    <t>BGI BLOCK TRADE US - CDEA</t>
  </si>
  <si>
    <t>BNS 12740 VANCOUVER CENTRAL ABM</t>
  </si>
  <si>
    <t>BNS - INTERNATIONAL BANKING DIVISION NON-TOTUS</t>
  </si>
  <si>
    <t>COLLATERAL MANAGEMENT AND FUNDING SHORT TERM INTEREST RATE TRADING 4695</t>
  </si>
  <si>
    <t>THE BANK OF NOVA  SCOTIA</t>
  </si>
  <si>
    <t>GT_DP86157</t>
  </si>
  <si>
    <t>IG85_100MM_UNS_LE</t>
  </si>
  <si>
    <t>BNS08896 PRIVATE BANKING</t>
  </si>
  <si>
    <t>GLOBAL EQUITY DERIVATIVES TORONTO</t>
  </si>
  <si>
    <t>BNS MID TERM FUNDING 7 DSK</t>
  </si>
  <si>
    <t>BNS MID TERM FUNDING1 DESK</t>
  </si>
  <si>
    <t>BNS MID TERM FUNDING11 DESK</t>
  </si>
  <si>
    <t>BNS MID TERM FUNDING12 DESK</t>
  </si>
  <si>
    <t>BNS MID TERM FUNDING2 DESK</t>
  </si>
  <si>
    <t>GFI RATES TORONTO (SLC)</t>
  </si>
  <si>
    <t>GFI RATES TORONTO (IRLN)</t>
  </si>
  <si>
    <t>EMERGINGSCI</t>
  </si>
  <si>
    <t>BNS22921 6200 BOULEVARD TASCHEREAU</t>
  </si>
  <si>
    <t>COLLATERAL MANAGEMENT AND FUNDING SHORT TERM INTEREST RATE TRADING 95687</t>
  </si>
  <si>
    <t>GBM STRUCTURED NOTES 1</t>
  </si>
  <si>
    <t>BNS 43752 KITCHENER ONTARIO</t>
  </si>
  <si>
    <t>EQUITYLIO</t>
  </si>
  <si>
    <t>EQUITYLATAM</t>
  </si>
  <si>
    <t>EQUITYUS</t>
  </si>
  <si>
    <t>GLOBAL EQTY FIN LDN NON TOTUS</t>
  </si>
  <si>
    <t>CANADIAN BANKING BNS/MBS</t>
  </si>
  <si>
    <t>BNS - INTERNATIONAL BANKING DIVISION TOTUS</t>
  </si>
  <si>
    <t>BNS 13540 STEVESTON</t>
  </si>
  <si>
    <t>SCI_15677</t>
  </si>
  <si>
    <t>BNS03985 GED LONDON</t>
  </si>
  <si>
    <t>BNS GFI RATES TORONTO (SBE)</t>
  </si>
  <si>
    <t>GFI RATES TORONTO SCEI</t>
  </si>
  <si>
    <t>SCI_15727</t>
  </si>
  <si>
    <t>SCI_75697</t>
  </si>
  <si>
    <t>SCI_85647</t>
  </si>
  <si>
    <t>GFI CREDIT AVERAGE (SEVERN)</t>
  </si>
  <si>
    <t>GFI RATES TORONTO SIF</t>
  </si>
  <si>
    <t>GFI RATES TORONTO (SSA)</t>
  </si>
  <si>
    <t>IG 77 UNSECURED.</t>
  </si>
  <si>
    <t>BNS 23721 MONT SAINT HILARIE</t>
  </si>
  <si>
    <t>IG 90 USD</t>
  </si>
  <si>
    <t>STRUCTURED NOTES EQUITY LINKED NOTES</t>
  </si>
  <si>
    <t>IG QUARTERLY</t>
  </si>
  <si>
    <t>GFI RATES TORONTO (DOM)</t>
  </si>
  <si>
    <t>BNS MID TERM FUNDING3 DESK</t>
  </si>
  <si>
    <t>BNS MID TERM FUNDING5 DESK</t>
  </si>
  <si>
    <t>BNS MID TERM FUNDING6 DESK</t>
  </si>
  <si>
    <t>BNS44396 WHOLESALE BANKING STRATFOR</t>
  </si>
  <si>
    <t>BNS 52859 DUGGAN VILLAGE MALL ALTA</t>
  </si>
  <si>
    <t>BNS 53421 MONTREAL CENTRALIZED CURR</t>
  </si>
  <si>
    <t>BNS61317 INTERNATIONAL TREASURY</t>
  </si>
  <si>
    <t>BNS TORONTO CREDIT TRS PORTFOLIO (SBE)</t>
  </si>
  <si>
    <t>BNS MAIN ESTORE 80002</t>
  </si>
  <si>
    <t>MOCATTA WEBSTORE</t>
  </si>
  <si>
    <t>BANK OF NOVA SCOTIA MUMBAI (BNSA)</t>
  </si>
  <si>
    <t>BNS19216 BSC ROYNAT TECH BKG QUEBEC</t>
  </si>
  <si>
    <t>BNS 18796 BSC ROYNAT TECH BKG ONTAR</t>
  </si>
  <si>
    <t>TRANSIT 46417</t>
  </si>
  <si>
    <t>OP MDO DIN Y CART VAL TES TBILL</t>
  </si>
  <si>
    <t>TOR CMF ECI</t>
  </si>
  <si>
    <t>BNS15347 MBS AGGREGATION.</t>
  </si>
  <si>
    <t>BNS 63289 CENTRALIZED CURRENCY UNIT</t>
  </si>
  <si>
    <t>BNS 23549 SKY POINTE</t>
  </si>
  <si>
    <t>BNS23481 GRIFFINTOWN</t>
  </si>
  <si>
    <t>BNS 22301 QUEEN MARY</t>
  </si>
  <si>
    <t>TORCCS</t>
  </si>
  <si>
    <t>SCOTIABANK PRIVATE EQUITY INVESTMEN</t>
  </si>
  <si>
    <t>BNS GROUP TREASURY MID TERM FUNDING TRILLIUM</t>
  </si>
  <si>
    <t>BNS LE VILLAGE</t>
  </si>
  <si>
    <t>GFI RATES TORONTO HEDGE ACCOUNTING</t>
  </si>
  <si>
    <t>GBM STRUCTURED NOTE HEDGE ACCOUNTING</t>
  </si>
  <si>
    <t>BNS95356 LONDON GALLERIA LONDON ONT</t>
  </si>
  <si>
    <t>BC BUSINESS BANKING</t>
  </si>
  <si>
    <t>BNS 19026 TORONTO BUSINESS BANKING</t>
  </si>
  <si>
    <t>QUEBEC BUSINESS BANKING</t>
  </si>
  <si>
    <t>BNS16212 AVENUE ROAD AND CRANBROOKE</t>
  </si>
  <si>
    <t>BNS_HDGEXTL_OIS</t>
  </si>
  <si>
    <t>KGI SECURITIES CO LTD. - FAIR VALUE EQUITY LINKED NOTES</t>
  </si>
  <si>
    <t>MERITZ SECURITIES CO LTD - FAIR VALUE EQUITY LINKED NOTES</t>
  </si>
  <si>
    <t>DTC SCOTIA CAPITAL CAPITAL - FAIR VALUE RATE LINKED NOTES</t>
  </si>
  <si>
    <t>FAIR VALUE RATE LINKED NOTES - EMBEDDED DERIVATIVES</t>
  </si>
  <si>
    <t>KGI SECURITIES CO LTD. - FAIR VALUE RATE LINKED NOTES</t>
  </si>
  <si>
    <t>MERITZ SECURITIES CO LTD - FAIR VALUE RATE LINKED NOTES GROU</t>
  </si>
  <si>
    <t>GBM STRUCTURED NOTES</t>
  </si>
  <si>
    <t>GLOBAL EQUITY DERIVATIVES LONDON TOTUS</t>
  </si>
  <si>
    <t>BNS DOMINICAN REPUBLIC ONSHORE LOANS</t>
  </si>
  <si>
    <t>BNSJ BNS TOKYO</t>
  </si>
  <si>
    <t>FUNDSERV - FAIR VALUE GIC</t>
  </si>
  <si>
    <t>BNA CVA SCOTS</t>
  </si>
  <si>
    <t>BNS EAC TACTICAL TRADING</t>
  </si>
  <si>
    <t>D1 BALYASNY HEDGE BOOK</t>
  </si>
  <si>
    <t>D1 FINANCIALS HEDGE BOOK</t>
  </si>
  <si>
    <t>D1 NATURALS HEDGE BOOK</t>
  </si>
  <si>
    <t>IG SEMI 10MM</t>
  </si>
  <si>
    <t>SECURITIZED TERM AUTO RECEIVABLES TRUST 2019-1</t>
  </si>
  <si>
    <t>EQUITYDFO2</t>
  </si>
  <si>
    <t>EQUITYDFO</t>
  </si>
  <si>
    <t>EMBEDDED DERIVATIVES- GT</t>
  </si>
  <si>
    <t>GFI RATES  TORONTO</t>
  </si>
  <si>
    <t>SCOTIA CAPITAL CDS- GT</t>
  </si>
  <si>
    <t>GROUP TREASURY BSM  HEDGES PORTOFLIO</t>
  </si>
  <si>
    <t>BNS-INTERNATIONAL BANKING DIVISION</t>
  </si>
  <si>
    <t>GROUP TREASURY ALTERNATE  FUNDING</t>
  </si>
  <si>
    <t>BNSPM BNS PMTU</t>
  </si>
  <si>
    <t>BNS 00588 MEADOWS MARKET</t>
  </si>
  <si>
    <t>GBM STRUCTURED NOTE AMORTIZED COST.</t>
  </si>
  <si>
    <t>BNS 52860 BC AGRICULTURE</t>
  </si>
  <si>
    <t>EMBEDDED DERIVATIVES - STRUCTURED NOTE.</t>
  </si>
  <si>
    <t>BNS 35857 BSM MARKET INTELLIGENCE</t>
  </si>
  <si>
    <t>BNS GROUP TREASURY MARKET PORTFOLIO</t>
  </si>
  <si>
    <t>BNS22467 BANK CORPORATE POSITION SPOT</t>
  </si>
  <si>
    <t>DTC SCOTIA CAPITAL CAPITAL - FAIR VALUE EQUITY LINKED NOTES</t>
  </si>
  <si>
    <t>FAIR VALUE EQUITY LINKED NOTES - EMBEDDED DERIVATIVES</t>
  </si>
  <si>
    <t>BANK OF NOVA SCOTIA MUMBAI</t>
  </si>
  <si>
    <t>BNS DERIVATIVES PRODUCTS TORONTO (SSA)</t>
  </si>
  <si>
    <t>BNS DERIVATIVE PRODUCTS TORONTO (SSIF)</t>
  </si>
  <si>
    <t>LEHMAN BROTHERS SPECIAL FINANCING</t>
  </si>
  <si>
    <t>LEHMAN BROTHERS SPECIAL FINANCING INC</t>
  </si>
  <si>
    <t>EMERGINGNONL</t>
  </si>
  <si>
    <t>IG SEMI 2.5MM</t>
  </si>
  <si>
    <t>IG SEMI 5MM</t>
  </si>
  <si>
    <t>NY SHORT-TERM FUNDING</t>
  </si>
  <si>
    <t>BNS FLATROCK BOOK</t>
  </si>
  <si>
    <t>BNSARBITRAGE 52712 STF</t>
  </si>
  <si>
    <t>IGINR SECURED</t>
  </si>
  <si>
    <t>IGINR UNSECURED</t>
  </si>
  <si>
    <t>BNS42267 DP GLOBAL ENERGY SOLUTIONS</t>
  </si>
  <si>
    <t>GT BNS SUBORDINATED NOTES TRUST</t>
  </si>
  <si>
    <t>BNS 63370 RIVER DISTRICT</t>
  </si>
  <si>
    <t>BNS 48082SUB</t>
  </si>
  <si>
    <t>BNS GROUP TREASURY MID TERM FUNDING (BNS PUERTO RICO SUB)</t>
  </si>
  <si>
    <t>BNS DERIVATIVE PRODUCTS TORONTO (DOM)</t>
  </si>
  <si>
    <t>RCM SPORE</t>
  </si>
  <si>
    <t>DERIVATIVES PRODUCTS-(ASIA PACIFIC RIM)</t>
  </si>
  <si>
    <t>DTC SCOTIA CAPITAL - GT</t>
  </si>
  <si>
    <t>BNS NEW YORK FIXED INCOME DERIVATIVES (MEX)</t>
  </si>
  <si>
    <t>BNS NEW YORK SHORT TERM PORTFOLIO</t>
  </si>
  <si>
    <t>BNS GROUP TREASURY PORTFOLIO (SCBT)</t>
  </si>
  <si>
    <t>GLOBAL  FOREX</t>
  </si>
  <si>
    <t>THE BANK OF NOVA SCOTIA FX DESK (SCEL)</t>
  </si>
  <si>
    <t>IG 60 UNSECURED</t>
  </si>
  <si>
    <t>IG 65 UNSECURED</t>
  </si>
  <si>
    <t>IG 70 UNSECURED</t>
  </si>
  <si>
    <t>IG 73 UNSECURED</t>
  </si>
  <si>
    <t>IG 75 SECURED</t>
  </si>
  <si>
    <t>IG 75 UNSECURED</t>
  </si>
  <si>
    <t>BNS NEW YORK FIXED INCOME DERIVATIVES (PERU)</t>
  </si>
  <si>
    <t>BNS NEW YORK FIXED INCOME PORTFOLIO (SIF)</t>
  </si>
  <si>
    <t>LONDON BANKING DIVISION-SIF</t>
  </si>
  <si>
    <t>BNS DERIVATIVES PRODUCTS TORONTO (SEVERN)</t>
  </si>
  <si>
    <t>BNS TORONTO DERIVATIVE PRODUCTS [IRELAND]</t>
  </si>
  <si>
    <t>GBM GED STRUCTURED NOTES</t>
  </si>
  <si>
    <t>BNS PANAMA (TRANSIT 22905)</t>
  </si>
  <si>
    <t>EXITUS CREDIT SAPI DE CV SOFOM ENR</t>
  </si>
  <si>
    <t>PICACHO GRUPO AUTOMOTRIZ SA DE CV</t>
  </si>
  <si>
    <t>MICHAEL TOOL AND MOLD WINDSOR LIMITED</t>
  </si>
  <si>
    <t>9041 5522 QUEBEC INC</t>
  </si>
  <si>
    <t>BLAINDALE FARMS LTD</t>
  </si>
  <si>
    <t>CC&amp;L MULTI STRATEGY FUND (RBC ITS - Q FX HEDGE)</t>
  </si>
  <si>
    <t>CC&amp;L Multi-Strategy Fund</t>
  </si>
  <si>
    <t>CC&amp;L MULTI-STRATEGY FUND (FI MN) (RBC CM)</t>
  </si>
  <si>
    <t>CC&amp;L MULTI-STRATEGY FUND (FI MN) (JPM)</t>
  </si>
  <si>
    <t>CC&amp;L MULTI STRATEGY FUND</t>
  </si>
  <si>
    <t>CC&amp;L MULTI STRATEGY FUND (FI MN) (RBC DS)</t>
  </si>
  <si>
    <t>CC&amp;L MULTI STRATEGY FUND (FI MN) (TD)</t>
  </si>
  <si>
    <t>CC AND L MULTI-STRATEGY FUND (FI MN) (CS)</t>
  </si>
  <si>
    <t>BUYER GROUP CANADA INC</t>
  </si>
  <si>
    <t>CBRE GWS REAL ESTATE SERVICES LLC</t>
  </si>
  <si>
    <t>UPPER CANADA PORK LTD</t>
  </si>
  <si>
    <t>XTRACKERS FTSE DEVELOPED EX US COMPREHENSIVE FACTOR ETF</t>
  </si>
  <si>
    <t>XTRACKERS MSCI ALL CHINA EQUITY ETF</t>
  </si>
  <si>
    <t>COPACHISA SA DE CV</t>
  </si>
  <si>
    <t>ALCOA CORPORATION</t>
  </si>
  <si>
    <t>TERRAFORM POWER OPERATING LLC</t>
  </si>
  <si>
    <t>ONCAP MANAGEMENT PARTNERS LP</t>
  </si>
  <si>
    <t>HIGHMARK LIMITED</t>
  </si>
  <si>
    <t>LONSDALE FINANCE PTY LTD</t>
  </si>
  <si>
    <t>WHEATON PRECIOUS METALS INTERNATIONAL LTD</t>
  </si>
  <si>
    <t>WHEATON PRECIOUS METALS INTERNATIONAL LTD.</t>
  </si>
  <si>
    <t>Prudential Retirement Insurance and Annuity Company Separate Account Prudential Total Return Bond Fund (SACP1)</t>
  </si>
  <si>
    <t>BURGUNDY ASSET MANAGEMENT INC. AFFILIATED FUNDS (AS AGENT)</t>
  </si>
  <si>
    <t>TRIMLITE MFG INC</t>
  </si>
  <si>
    <t>TALOS ENERGY MEXICO 2 S DE RL DE CV</t>
  </si>
  <si>
    <t>TALOS ENERGY OFFSHORE MEXICO 2 S DE RL DE CV</t>
  </si>
  <si>
    <t>ZUNG FU CO LTD</t>
  </si>
  <si>
    <t>RIO NORTE OFFSHORE COMPANY S DE RL DE CV</t>
  </si>
  <si>
    <t>PHOENIX DURANGO OFFSHORE COMPANY S DE RL DE CV</t>
  </si>
  <si>
    <t>TALOS ENERGY MEXICO 7 S DE RL DE CV</t>
  </si>
  <si>
    <t>ALDE PUEBLA SA DE CV</t>
  </si>
  <si>
    <t>HUNAN JINWANG BISMUTH INDUSTRIAL CO LTD</t>
  </si>
  <si>
    <t>HUNAN XIANGYUN FINE CHEMICALS MANUFACTURER CO LTD</t>
  </si>
  <si>
    <t>HOSPITALIDAD DE MEXICALI SA DE CV</t>
  </si>
  <si>
    <t>HUNAN JINWANG (HONG KONG) LIMITED</t>
  </si>
  <si>
    <t>DYNAMIC PROPERTIES COMPANY LIMITED</t>
  </si>
  <si>
    <t>PRICEWATERHOUSECOOPERS FINANCE (US) BV</t>
  </si>
  <si>
    <t>PRICEWATER HOUSE COOPERS LLP</t>
  </si>
  <si>
    <t>PRICEWATERHOUSECOOPERS LLP</t>
  </si>
  <si>
    <t>SIME DARBY HK FINANCE LTD</t>
  </si>
  <si>
    <t>SIME DARBY HONGKONG FINANCE LIMITED</t>
  </si>
  <si>
    <t>IMPREGNACIONES ESPECIALES SA DE CV</t>
  </si>
  <si>
    <t>SEGUROS MONTERREY NEW YORK LIFE SA</t>
  </si>
  <si>
    <t>PORT COLBORNE YACHT HARBOUR AND MARINE LTD</t>
  </si>
  <si>
    <t>LACTEOS FENIX SA DE CV</t>
  </si>
  <si>
    <t>HUNAN HUAXIN RARE &amp; PRECIOUS METALS TECHNOLOGIES CO LTD</t>
  </si>
  <si>
    <t>UNIFILLER SYSTEMS INC</t>
  </si>
  <si>
    <t>NYK PORTS LLC SERIES A.</t>
  </si>
  <si>
    <t>AGRICOLA DEL CHIRA</t>
  </si>
  <si>
    <t>AGRICOLA DEL CHIRA SA AND SUBSIDIARIES SA</t>
  </si>
  <si>
    <t>BIOENERGIA DEL CHIRA</t>
  </si>
  <si>
    <t>SUCROALCOLERA DEL CHIRA</t>
  </si>
  <si>
    <t>INVESTECO SUSTAINABLE FOOD FUND II LP</t>
  </si>
  <si>
    <t>INVESTECO SUSTAINABLE FOOD FUND TRUST</t>
  </si>
  <si>
    <t>INVESTECO SUSTAINABLE FOOD FUND LP</t>
  </si>
  <si>
    <t>CENTERRA B.C. HOLDINGS INC.</t>
  </si>
  <si>
    <t>CENTERRA GOLD BC HOLDINGS INC</t>
  </si>
  <si>
    <t>ATD DESIGN AND MFG SERVICES INC</t>
  </si>
  <si>
    <t>AFORE BANAMEX SA DE CV PENSIONES</t>
  </si>
  <si>
    <t>AFORE BANAMEX SA DE CV POR CUENTA SIEFORE BNMX APORT VOLUNT PLUS</t>
  </si>
  <si>
    <t>WES TECH IRRIGATION SYSTEMS LTD</t>
  </si>
  <si>
    <t>DIRECT ENERGY MARKETING LTD</t>
  </si>
  <si>
    <t>HONG LEONG INSURANCE (ASIA) LIMITED</t>
  </si>
  <si>
    <t>LAMB WESTON HOLDINGS INC</t>
  </si>
  <si>
    <t>NUSTAR TERMINALS CANADA PARTNERSHIP</t>
  </si>
  <si>
    <t>UNIVERSIDAD ANAHUAC DE OAXACA SC</t>
  </si>
  <si>
    <t>UNIVERSIDAD ANAHUAC DE PUEBLA SC</t>
  </si>
  <si>
    <t>CANADIAN BULLION SERVICES INC</t>
  </si>
  <si>
    <t>MINERA INDE DE DURANGO SA DE CV</t>
  </si>
  <si>
    <t>UNIVERSIDAD ANAHUAC DE CANCUN SC</t>
  </si>
  <si>
    <t>INVESTIGACIONES Y ESTUDIOS SUPERIORES SC</t>
  </si>
  <si>
    <t>INVESTIGACIONES Y ESTUDIOS SUPERIORES DE QUERETARO SC</t>
  </si>
  <si>
    <t>UNIVERSIDAD DEL MAYAB SC</t>
  </si>
  <si>
    <t>PREBON PREMEX DUBAI</t>
  </si>
  <si>
    <t>SURTIDORA DEL BAJIO SA DE CV</t>
  </si>
  <si>
    <t>BRADNER FARMS 2015 LTD</t>
  </si>
  <si>
    <t>GOLDEN GATE FARMS LTD</t>
  </si>
  <si>
    <t>BRADNER R FARMS LTD.</t>
  </si>
  <si>
    <t>76895 NEWFOUNDLAND AND LABRADOR INC</t>
  </si>
  <si>
    <t>CREDITO ESPECIALIZADO AL CAMPO SA DE CV SOFOM ENR</t>
  </si>
  <si>
    <t>WATERFORD ENERGY SERVICES INC</t>
  </si>
  <si>
    <t>CORAL INTERNATIONAL FINANCE LIMITED AKA SABLE INTERNATIONAL FINANCE LIMITED</t>
  </si>
  <si>
    <t>SABLE INTERNATIONAL FINANCE LIMITED</t>
  </si>
  <si>
    <t>PARTHNON DERIVATIVES PTE LTD</t>
  </si>
  <si>
    <t>ATLAS ANCHOR SYSTEMS B C LTD</t>
  </si>
  <si>
    <t>G TACKABERRY AND SONS CONSTRUCTION COMPANY LIMITED</t>
  </si>
  <si>
    <t>ARTERRA WINES CANADA, INC.</t>
  </si>
  <si>
    <t>ARTERRA WINES CANADA INC</t>
  </si>
  <si>
    <t>CONSTELLATION BRANDS CANADA INC</t>
  </si>
  <si>
    <t>GRUPO CARTOGRAF SA DE CV</t>
  </si>
  <si>
    <t>CANBERRA METRO FINANCE PTY LTD</t>
  </si>
  <si>
    <t>KINGSTON MARKETING LIMITED</t>
  </si>
  <si>
    <t>BERCANDA SA DE CV</t>
  </si>
  <si>
    <t>SAMSUNG ELECTRONICS DIGITAL APPLIANCES MEXICO SA DE CV</t>
  </si>
  <si>
    <t>PACIFIC ARBOUR THREE RESIDENCES LTD</t>
  </si>
  <si>
    <t>AGSA MINERALS SA DE CV</t>
  </si>
  <si>
    <t>INDUSTRIAL BANK CO., LTD.</t>
  </si>
  <si>
    <t>INDUSTRIAL BANK CO LTD</t>
  </si>
  <si>
    <t>INDUSTRIAL BANK CO. LTD.</t>
  </si>
  <si>
    <t>CREDIT INDUSTRIEL ET COMMERCIAL PARIS</t>
  </si>
  <si>
    <t>CREDIT INDUSTRIEL ET COMMERCIAL</t>
  </si>
  <si>
    <t>CREDIT INDUSTRIEL ET COMMERCIA</t>
  </si>
  <si>
    <t>INTERNATIONAL PAPER CANADA PULP HOLDINGS ULC</t>
  </si>
  <si>
    <t>PROPANGOL SA DE CV</t>
  </si>
  <si>
    <t>ATCO PIPELINES SA DE CV</t>
  </si>
  <si>
    <t>CITIUM PROPERTIES HARDIN INC</t>
  </si>
  <si>
    <t>BLOOMBERG</t>
  </si>
  <si>
    <t>MINERA BATEAS S.A.C</t>
  </si>
  <si>
    <t>CI US INCOME DOLLAR US POOL</t>
  </si>
  <si>
    <t>CFI LOGISTICA, SA DE CV</t>
  </si>
  <si>
    <t>CFI TRUCKLOAD DE MEXICO, SA DE CV</t>
  </si>
  <si>
    <t>CFI MEX, S DE RL DE CV</t>
  </si>
  <si>
    <t>B AND Q TRADING G P</t>
  </si>
  <si>
    <t>CARDINAL PATH INC</t>
  </si>
  <si>
    <t>INDUSTRIAS EN SERVICIOS PLASTICOS MANUFACTURA SAPI DE CV</t>
  </si>
  <si>
    <t>LAGUNA AGRICOLA MECANICA SA DE CV</t>
  </si>
  <si>
    <t>INDUSTRIAS EN SERVICIOS PLASTICOS SAN LUIS SAPI DE CV</t>
  </si>
  <si>
    <t>INDUSTRIAS EN SERVICIOS PLASTICOS SAN LUIS, SAPI DE CV</t>
  </si>
  <si>
    <t>TD ASSET MANAGEMENT 1214</t>
  </si>
  <si>
    <t>AMCOR UK FINANCE PLC</t>
  </si>
  <si>
    <t>COLLIERS INTERNATIONAL HOLDINGS USA INC</t>
  </si>
  <si>
    <t>INTEGRA LIFESCIENCES HOLDINGS CORPORATION</t>
  </si>
  <si>
    <t>ATVENTURE COMPONENTS INC</t>
  </si>
  <si>
    <t>FIRST ROBOTICS CANADA</t>
  </si>
  <si>
    <t>GLOBE COMMERCIAL PRODUCTS INC</t>
  </si>
  <si>
    <t>MUKHTIAR GROWERS LTD</t>
  </si>
  <si>
    <t>DB ENERGY TRADING LLC</t>
  </si>
  <si>
    <t>CASCADES SONOCO INC.</t>
  </si>
  <si>
    <t>STRIDE CAPITAL CORP</t>
  </si>
  <si>
    <t>VIRGIN MEDIA INVESTMENT HOLDINGS LIMITED</t>
  </si>
  <si>
    <t>GOLDER ASSOCIATES MEXICO EMPLEADOS, SA DE CV</t>
  </si>
  <si>
    <t>GOLDER ASSOCIATES MEXICO, SA DE CV</t>
  </si>
  <si>
    <t>GOLDER ASSOCIATES MEXICO HOLDING SA DE CV</t>
  </si>
  <si>
    <t>RIO NUEVO EXPRESS SA DE CV</t>
  </si>
  <si>
    <t>MAS PENSION SIEFORE BASICA 75 79 SA DE CV</t>
  </si>
  <si>
    <t>MAS PENSION SIEFORE BASICA 85 89 SA DE CV</t>
  </si>
  <si>
    <t>MAS PENSION SIEFORE BASICA 55 59 SA DE CV</t>
  </si>
  <si>
    <t>MAS PENSION SIEFORE BASICA 60 64 SA DE CV</t>
  </si>
  <si>
    <t>TRNM HOLDINGS VII S DE RL DE CV</t>
  </si>
  <si>
    <t>EMC INFORMATION SYSTEMS INTERNATIONAL</t>
  </si>
  <si>
    <t>MINERA MAR DE PLATA SA DE CV</t>
  </si>
  <si>
    <t>COMPA¿¿A HOTELERA LUCERNA SA DE CV</t>
  </si>
  <si>
    <t>ARGO ALMACENADORA SA DE CV ORGANIZACION AUXILIAR DEL CREDITO</t>
  </si>
  <si>
    <t>ARGO ALMACENADORA SA DE CV</t>
  </si>
  <si>
    <t>FORRAJERA ACATEPEC SA DE CV</t>
  </si>
  <si>
    <t>TAMARACK VALLEY ENERGY LTD.</t>
  </si>
  <si>
    <t>SKY EYE MEASUREMENTS INC</t>
  </si>
  <si>
    <t>HON HAI PRECISION INDUSTRY CO. LTD.</t>
  </si>
  <si>
    <t>RIDGEBACK RESOURCES INC</t>
  </si>
  <si>
    <t>RIDGEBACK RESOURCES INC.</t>
  </si>
  <si>
    <t>AUSGRID FINANCE PTY LTD</t>
  </si>
  <si>
    <t>CREDITO UNICO SA DE CV SOFOM ENR</t>
  </si>
  <si>
    <t>FRUVER IMPORTACIONES SA DE CV</t>
  </si>
  <si>
    <t>REHM THERMAL SYSTEMS SA DE CV</t>
  </si>
  <si>
    <t>VERAFIN INC.</t>
  </si>
  <si>
    <t>GRUPO BAL SA DE CV</t>
  </si>
  <si>
    <t>LOMAZ INMOBILIARIA OBISPADO SA DE CV</t>
  </si>
  <si>
    <t>GREATSHIP INDIA LIMITED</t>
  </si>
  <si>
    <t>LEONARDO EMILIO RAMOS ROJAS</t>
  </si>
  <si>
    <t>UNIFICCOM, SA DE CV SOFOM, E N R</t>
  </si>
  <si>
    <t>TRAVEL MANITOBA</t>
  </si>
  <si>
    <t>OAKVILLE FINE HARDWARE INC</t>
  </si>
  <si>
    <t>DANIEL CADENA RUVALCABA</t>
  </si>
  <si>
    <t>HONG KONG TELECOM (HKT) LTD</t>
  </si>
  <si>
    <t>APTCO CAPITAL CORPORATION</t>
  </si>
  <si>
    <t>DOCTORS WITHOUT BORDERS MEDECINS SANS FRONTIERES CANADA</t>
  </si>
  <si>
    <t>GERON ASSOCIATES LIMITED</t>
  </si>
  <si>
    <t>INDUSTRIAL SCIENTIFIC CANADA ULC</t>
  </si>
  <si>
    <t>MODULO CORPORATIVO MERIDA</t>
  </si>
  <si>
    <t>METROLAND MEDIA GROUP LTD</t>
  </si>
  <si>
    <t>RAL CANADA HOLDINGS, LP (INTERMEDIATE TERMINALS WARESHOUSING COMPANY)</t>
  </si>
  <si>
    <t>LAPRAIRIE CRANE (ALBERTA) LTD</t>
  </si>
  <si>
    <t>FRICCION Y TECNOLOGIA SA DE CV</t>
  </si>
  <si>
    <t>RESEARCH CASTING INTERNATIONAL LTD</t>
  </si>
  <si>
    <t>COLLEGE OF PHYSICIANS AND SURGEONS OF ONTARIO</t>
  </si>
  <si>
    <t>PSA INTERNATIONAL PTE LTD</t>
  </si>
  <si>
    <t>OLAM INTERNATIONAL LIMITED</t>
  </si>
  <si>
    <t>RENTOKIL INITIAL 1927 PLC</t>
  </si>
  <si>
    <t>UNIVERSITY OF CALGARY</t>
  </si>
  <si>
    <t>BIMCOR BOND (UNIVERSE) POOLED FUND</t>
  </si>
  <si>
    <t>UDELIVER INC DBA KINGS COUNTY PRODUCE</t>
  </si>
  <si>
    <t>FONDO VALMEX XXI SA DE CV FONDO DE INVERSION EN INSTRUMENTOS DE DEUDA</t>
  </si>
  <si>
    <t>FGI FORMACION GLOBAL INTEGRAL S DE RL DE CV</t>
  </si>
  <si>
    <t>J 1 CONTRACTING LIMITED</t>
  </si>
  <si>
    <t>1875413 ALBERTA LTD</t>
  </si>
  <si>
    <t>ARCA CONTINENTAL SAB DE CV</t>
  </si>
  <si>
    <t>MARIO OCTAVIO FAUSTO GARCIA CARDONA</t>
  </si>
  <si>
    <t>GRUPO DE ADMINISTRACION DE BIENES Y SERVICIOS SA DE CV</t>
  </si>
  <si>
    <t>INTERGLASS SA DE CV</t>
  </si>
  <si>
    <t>AMMC S DE RL DE CV</t>
  </si>
  <si>
    <t>STATE STREET GLOBAL ADVISORS LTD AS AGENT</t>
  </si>
  <si>
    <t>SAINT-GOBAIN SOLAR GARD LLC</t>
  </si>
  <si>
    <t>PH&amp;N PRISM LEVERED GOVERNMENT BOND FUND</t>
  </si>
  <si>
    <t>APACHE NORTH SEA LTD.</t>
  </si>
  <si>
    <t>APACHE BERYL1 LIMITED</t>
  </si>
  <si>
    <t>MAM INVESTMENTS LTD</t>
  </si>
  <si>
    <t>LYDIAN ARMENIA CJSC</t>
  </si>
  <si>
    <t>MI PETRO HOLDINGS</t>
  </si>
  <si>
    <t>Cathay Pacific Airways Ltd</t>
  </si>
  <si>
    <t>SECURITY BANK CORPORATION</t>
  </si>
  <si>
    <t>PT DWINAD NUSA SEJAHTERA</t>
  </si>
  <si>
    <t>RELIANCE INDUSTRIES LTD</t>
  </si>
  <si>
    <t>RELIANCE INDUSTRIES LIMITED</t>
  </si>
  <si>
    <t>SERVICIO Y VENTA DE INSUMOS MEDICOS ESPECIALIZADOS SA DE CV</t>
  </si>
  <si>
    <t>DYNASOL ELASTOMEROS SA DE CV</t>
  </si>
  <si>
    <t>USANA MEXICO SA DE CV</t>
  </si>
  <si>
    <t>TSL MANUFACTURING AND DISTRIBUTION LIMITED</t>
  </si>
  <si>
    <t>YUE YUEN INDUSTRIAL (HOLDINGS) LTD</t>
  </si>
  <si>
    <t>YUE YUEN INDUSTRIAL HOLDINGS LTD</t>
  </si>
  <si>
    <t>YUE YUEN IND(HLDGS) LTD &amp;/OR SUBS</t>
  </si>
  <si>
    <t>YUE YUEN INDUSTRIAL (HOLDINGS) LIMITED</t>
  </si>
  <si>
    <t>BALYASNY ASSET MANAGEMENT LP</t>
  </si>
  <si>
    <t>MINEROS S.A.</t>
  </si>
  <si>
    <t>AMERICAN TOWER CORPORATION</t>
  </si>
  <si>
    <t>ACOTT CONSTRUCTION LTD</t>
  </si>
  <si>
    <t>AVNET DE MEXICO SA DE CV</t>
  </si>
  <si>
    <t>NARMX ADMINISTRATION SA DE CV</t>
  </si>
  <si>
    <t>SS LARK HOLDINGS LLC</t>
  </si>
  <si>
    <t>DP WORLD AUSTRALIA FINANCE PTY LTD</t>
  </si>
  <si>
    <t>DUMMY</t>
  </si>
  <si>
    <t>EXCH</t>
  </si>
  <si>
    <t>HOSPITALIDAD LA TENERIA SA DE CV</t>
  </si>
  <si>
    <t>IG70SEC</t>
  </si>
  <si>
    <t>IG70UNS</t>
  </si>
  <si>
    <t>MEDIASHACK INC</t>
  </si>
  <si>
    <t>MMTCHQ CONSIGNMENT</t>
  </si>
  <si>
    <t>SECOND HARVEST FOOD SUPPORT COMMITTEE</t>
  </si>
  <si>
    <t>The Hongkong and China Gas Company Ltd</t>
  </si>
  <si>
    <t>MATSUDA SANGYO CO LTD</t>
  </si>
  <si>
    <t>2291741 ONTARIO INC</t>
  </si>
  <si>
    <t>DELL GLOBAL BV</t>
  </si>
  <si>
    <t>HKSMGL</t>
  </si>
  <si>
    <t>CQS AIGUILLE DU CHARDONNET MF S.C.A. SICAV-SIF</t>
  </si>
  <si>
    <t>GRACECHURCH OPPORTUNITIES FUND LIMITED</t>
  </si>
  <si>
    <t>RED LAKE GOLD MINES PARTNERSHIP</t>
  </si>
  <si>
    <t>G4S INTERNAIONAL LOGISTICS UK LTD</t>
  </si>
  <si>
    <t>G4S INTERNATIONAL LOGISTICS UK LTD (DUBAI)</t>
  </si>
  <si>
    <t>G4S INTERNATIONAL LOGISTICS UK LTD (INDIA)</t>
  </si>
  <si>
    <t>G4S INTERNATIONAL LOGISTICS UK LIMITED</t>
  </si>
  <si>
    <t>LOOMIS INTERNATIONAL (UK) LTD</t>
  </si>
  <si>
    <t>LOOMIS AB</t>
  </si>
  <si>
    <t>ICE CLEAR CREDIT LLC DUMMY</t>
  </si>
  <si>
    <t>ICE CLEAR CREDIT LLC</t>
  </si>
  <si>
    <t>CATEGORY 5 IMAGING INC</t>
  </si>
  <si>
    <t>STRATH RESOURCES LTD</t>
  </si>
  <si>
    <t>W P CAREY INC</t>
  </si>
  <si>
    <t>DELL MEXICO S A DE C V</t>
  </si>
  <si>
    <t>DELL MEXICO, S.A. DE C.V.</t>
  </si>
  <si>
    <t>DELL PRODUCTS L.P.</t>
  </si>
  <si>
    <t>DELL PRODUCTS L P</t>
  </si>
  <si>
    <t>DELL PRODUCTS LP</t>
  </si>
  <si>
    <t>HERCULES LLC</t>
  </si>
  <si>
    <t>UNITED OVERSEAS BANK (MALAYSIA) BERHAD</t>
  </si>
  <si>
    <t>UOB (MALAYSIA) BHD,</t>
  </si>
  <si>
    <t>MONDE JOUETS BIZ INC</t>
  </si>
  <si>
    <t>CASTLETON COMMODITIES MERCHANT TRADING LP</t>
  </si>
  <si>
    <t>CASTLETON COMMODITIES MERCHANT ASIA CO. PTE LTD</t>
  </si>
  <si>
    <t>CASTLETON COMMODITIES MERCHANT ASIA CO. PTE LTD.</t>
  </si>
  <si>
    <t>BRANDYWINE GLOBAL INVES MGMT LLC</t>
  </si>
  <si>
    <t>METALOR TECHNOLOGIES SINGAPORE PTE LTD</t>
  </si>
  <si>
    <t>ZAPATA CAMIONES SA DE CV</t>
  </si>
  <si>
    <t>1103743 ONTARIO INC</t>
  </si>
  <si>
    <t>2104072 ONTARIO INC</t>
  </si>
  <si>
    <t>VERIZON DPPA MASTER TRUST</t>
  </si>
  <si>
    <t>SERVISAM SC</t>
  </si>
  <si>
    <t>TOPAZ CUIDADOS SAPI DE CV</t>
  </si>
  <si>
    <t>TRANSMISIONES Y ENSAMBLES MECANICOS SA DE CV</t>
  </si>
  <si>
    <t>IG75SEC</t>
  </si>
  <si>
    <t>GRUPO LALA SAB DE CV</t>
  </si>
  <si>
    <t>CENTRO DE ALMACENAMIENTO TULTITLAN SA DE CV</t>
  </si>
  <si>
    <t>LUSEME INGENIERIA SA DE CV</t>
  </si>
  <si>
    <t>REAL 37  S DE RL DE CV</t>
  </si>
  <si>
    <t>REAL 37 S DE RL DE CV</t>
  </si>
  <si>
    <t>507746 NB LTD</t>
  </si>
  <si>
    <t>CARUBE COPPER CORP</t>
  </si>
  <si>
    <t>BLUE TISSUE SAPI DE CV</t>
  </si>
  <si>
    <t>ORE DRILLING S DE RL DE CV</t>
  </si>
  <si>
    <t>TOPAZ HOLDING SAPI DE CV</t>
  </si>
  <si>
    <t>TOPAZ CAPITAL SAPI DE CV</t>
  </si>
  <si>
    <t>CHIPPEWAS OF RAMA FIRST NATION</t>
  </si>
  <si>
    <t>ALEXANDRA MARIE KARAM PALOMINO</t>
  </si>
  <si>
    <t>GOBIERNO DEL ESTADO DE NUEVO LEON SECRET</t>
  </si>
  <si>
    <t>PAUQUACHIN LEGACY TRUST</t>
  </si>
  <si>
    <t>AECOM GLOBAL IRELAND SERVICES, LTD</t>
  </si>
  <si>
    <t>606363 SASKATCHEWAN LTD.</t>
  </si>
  <si>
    <t>NEI NORTHWEST CANADIAN DIVIDEND FUN</t>
  </si>
  <si>
    <t>1341735 ALBERTA LTD.</t>
  </si>
  <si>
    <t>TD ASSET MANAGEMENT 1213</t>
  </si>
  <si>
    <t>TD ASSET MANAGEMENT 1217</t>
  </si>
  <si>
    <t>TD ASSET MANAGEMENT 1420</t>
  </si>
  <si>
    <t>TD ASSET MANAGEMENT 1426</t>
  </si>
  <si>
    <t>TD ASSET MANAGEMENT 1502</t>
  </si>
  <si>
    <t>TD ASSET MANAGEMENT 1532</t>
  </si>
  <si>
    <t>TD ASSET MANAGEMENT 1560</t>
  </si>
  <si>
    <t>TD ASSET MANAGEMENT 1567</t>
  </si>
  <si>
    <t>TD ASSET MANAGEMENT 1570</t>
  </si>
  <si>
    <t>TD ASSET MANAGEMENT 1106</t>
  </si>
  <si>
    <t>DELL PRODUCTS AN IRISH PRIVATE UNLIMITED COMPANY</t>
  </si>
  <si>
    <t>MANULIFE ASSET MANAGEMENT ASIAN BOND ABSOLUTE RETURN INVESTOR SERIES</t>
  </si>
  <si>
    <t>MANULIFE ASSET MANAGEMENT EMERGING MARKETS DEBT INVESTOR SERIES</t>
  </si>
  <si>
    <t>MANULIFE ASSET MANAGEMENT GLOBAL EMERGING MARKETS EQUITY INVESTOR SERIES</t>
  </si>
  <si>
    <t>MANULIFE ASSET MANAGEMENT STRATEGIC FIXED INCOME INVESTOR SERIES</t>
  </si>
  <si>
    <t>MANULIFE ASSET MANAGEMENT US LARGE CAP CORE EQUITY INVESTOR SERIES</t>
  </si>
  <si>
    <t>MGF GLOBAL EQUITY</t>
  </si>
  <si>
    <t>CBRE EUROPEAN TREASURY LIMITED</t>
  </si>
  <si>
    <t>LDM SA DE CV</t>
  </si>
  <si>
    <t>BASINTEK LLC</t>
  </si>
  <si>
    <t>ABACO DRILLING TECHNOLOGIES LLC</t>
  </si>
  <si>
    <t>FIDELITRADE INCORPORATED</t>
  </si>
  <si>
    <t>Ocampo Mining, S.A. de C.V.</t>
  </si>
  <si>
    <t>OCAMPO MINING S.A DE C.V.</t>
  </si>
  <si>
    <t>BANCO CITIBANK SA BRAZIL</t>
  </si>
  <si>
    <t>LARSEN AND TOUBRO LIMITED</t>
  </si>
  <si>
    <t>PRIMERO GOLD CANADA INC.</t>
  </si>
  <si>
    <t>APEX AG AND TRUCK LTD</t>
  </si>
  <si>
    <t>OPERATING ENGINEERS LOCAL 955 PENSION TRUST FUND</t>
  </si>
  <si>
    <t>8047286 CANADA INC</t>
  </si>
  <si>
    <t>G4S SOUTH AFRICA</t>
  </si>
  <si>
    <t>SERVICIOS AGROPECUARIOS DE LA COSTA SA DE CV</t>
  </si>
  <si>
    <t>SE</t>
  </si>
  <si>
    <t>ARDENT MILLS ULC</t>
  </si>
  <si>
    <t>CX DYNAMIS LIMITED</t>
  </si>
  <si>
    <t>CX GLOBAL ADVANTAGE LIMITED EU</t>
  </si>
  <si>
    <t>CX GLOBAL ADVANTAGE LIMITED US</t>
  </si>
  <si>
    <t>CX GLOBAL ADVANTAGE LIMITED</t>
  </si>
  <si>
    <t>CAXTON GLOBAL ADVANTAGE LTD</t>
  </si>
  <si>
    <t>CX GLOBAL ADVANTAGE LIMITED CA</t>
  </si>
  <si>
    <t>FERNANDEZ Y ESPINO JUAREZ SC</t>
  </si>
  <si>
    <t>DBNGP FINANCE CO PTY LTD</t>
  </si>
  <si>
    <t>BLACK HILLS ENERGY SERVICES COMPANY</t>
  </si>
  <si>
    <t>ADVANCED HOTELS N.S. INC.</t>
  </si>
  <si>
    <t>GROWERS GREENHOUSE SUPPLIES INC</t>
  </si>
  <si>
    <t>STRUCTURED FINANCE INTERNATIONAL LP</t>
  </si>
  <si>
    <t>YUANTA COMMERCIAL BANK CO., LTD.</t>
  </si>
  <si>
    <t>Yuanta Commercial Bank</t>
  </si>
  <si>
    <t>AGRIBIOTECH MEXICO SA DE CV</t>
  </si>
  <si>
    <t>GANADEROS PRODUCTORES DE LECHE PURA SAPI DE CV</t>
  </si>
  <si>
    <t>GANADEROS PRODUCTORES DE LECHE PURA SAPI</t>
  </si>
  <si>
    <t>JUGOS DEL VALLE SAPI DE CV</t>
  </si>
  <si>
    <t>1898305 ONTARIO INC OA SUMMERS ACRE</t>
  </si>
  <si>
    <t>SEVEN GENERATIONS ENERGY LTD</t>
  </si>
  <si>
    <t>MINERA HECLA, S.A. DE C.V.</t>
  </si>
  <si>
    <t>Minera Hecla, S.A. de C.V.</t>
  </si>
  <si>
    <t>1822606 ALBERTA LTD</t>
  </si>
  <si>
    <t>AGM INC.</t>
  </si>
  <si>
    <t>AGM INC</t>
  </si>
  <si>
    <t>NORAG RESOURCES INC</t>
  </si>
  <si>
    <t>BOULDER ENERGY LTD</t>
  </si>
  <si>
    <t>BOULDER ENERGY LTD.</t>
  </si>
  <si>
    <t>THE CITY OF EDMONTON</t>
  </si>
  <si>
    <t>BRITISH COLUMBIA TEACHERS FEDERATION SALARY INDEMNITY PLAN</t>
  </si>
  <si>
    <t>BNP PARISBAS FORTIS</t>
  </si>
  <si>
    <t>FORETHOUGHT LIFE INSURANCE COMPANY</t>
  </si>
  <si>
    <t>DENTSUBOS INC.</t>
  </si>
  <si>
    <t>FUNCTIONABILITY REHABILITATION SERVICES LP</t>
  </si>
  <si>
    <t>J.M. LARSEN FARMS INC.</t>
  </si>
  <si>
    <t>TETRA TECH, INC.</t>
  </si>
  <si>
    <t>JATIVA SPR DE EL DE CV</t>
  </si>
  <si>
    <t>LUNDIN PETROLEUM HOLDING BV</t>
  </si>
  <si>
    <t>LUNDIN ENERGY HOLDING BV</t>
  </si>
  <si>
    <t>UBS SINGAPORE</t>
  </si>
  <si>
    <t>UBS AG SINGAPORE</t>
  </si>
  <si>
    <t>UBS AG, Mumbai Branch</t>
  </si>
  <si>
    <t>BTG PACTUAL COMMODITIES (US) LLC</t>
  </si>
  <si>
    <t>ICAP CAPITAL MARKETS LLC</t>
  </si>
  <si>
    <t>ICAP Capital Markets LLC</t>
  </si>
  <si>
    <t>LACTEOS SANTA CLARA SA DE CV</t>
  </si>
  <si>
    <t>GREENSCENE AGRITEK INC</t>
  </si>
  <si>
    <t>VIAKEM SA DE CV</t>
  </si>
  <si>
    <t>PACIFIC INVESTMENT MANAGEMENT COMPANY LLC, SOLELY IN ITS CAPACITY AS ADVISOR ON BEHALF OF  JOHN HANCOCK VARIABLE INSURANCE TRUST GLOBAL BOND TRUST</t>
  </si>
  <si>
    <t>VIKING HOLDINGS LIMITED</t>
  </si>
  <si>
    <t>GENERAL MOTORS CANADIAN HOURLY-RATE EMPLOYEES PENSION PLAN</t>
  </si>
  <si>
    <t>GENERAL MOTORS CANADIAN HOURLY-RATE EMPLOYEES PENSION PLAN - LB (FI QUANT) (139501)</t>
  </si>
  <si>
    <t>GENERAL MOTORS CANADIAN HOURLY RATE EMPLOYEES PENSION - LONG BOND</t>
  </si>
  <si>
    <t>CANADA PENSION PLAN INVESTMENT BOARD - Q GLOBAL</t>
  </si>
  <si>
    <t>SPRACKMAN TERRENCE LLP</t>
  </si>
  <si>
    <t>DP WORLD LIMITED</t>
  </si>
  <si>
    <t>TORONTO STAR NEWSPAPERS LIMITED</t>
  </si>
  <si>
    <t>CC&amp;L CORPORATE BOND FUND</t>
  </si>
  <si>
    <t>CC&amp;L FIXED INCOME ABSOLUTE RETURN FUND</t>
  </si>
  <si>
    <t>CC&amp;L FIXED INCOME ABSOLUTE RETURN FUND (TD)</t>
  </si>
  <si>
    <t>CC AND L FIXED INCOME ABSOLUTE RETURN FUND (FI-JPM)</t>
  </si>
  <si>
    <t>CC&amp;L FIXED INCOME ABSOLUTE RETURN FUND (RBC CM)</t>
  </si>
  <si>
    <t>CC AND L FIXED INCOME ABSOLUTE RETURN FUND (CS)</t>
  </si>
  <si>
    <t>CC&amp;L TOTAL RETURN BOND FUND</t>
  </si>
  <si>
    <t>CHRYSLER CANADA INC. - EQUITY</t>
  </si>
  <si>
    <t>FIRST BLUEPRINT INC</t>
  </si>
  <si>
    <t>CORROMEX INGENIERIA Y SERVICIOS SA DE CV</t>
  </si>
  <si>
    <t>INFINITO MAYA SA DE CV</t>
  </si>
  <si>
    <t>SPEKTRA DRILLING SA DE CV</t>
  </si>
  <si>
    <t>INTERNATIONAL PAPER COMPANY</t>
  </si>
  <si>
    <t>CMR SAB DE CV</t>
  </si>
  <si>
    <t>PA AUTOMATIZACION MEXICO S DE RL DE CV</t>
  </si>
  <si>
    <t>INMOBILIARIA CALLES PAL SA DE CV</t>
  </si>
  <si>
    <t>GLENCORE CANADA FINANCIAL CORP</t>
  </si>
  <si>
    <t>XSTRATA FINANCE (DUBAI) LTD</t>
  </si>
  <si>
    <t>WESTERN DIGITAL CORPORATION</t>
  </si>
  <si>
    <t>DESARROLLADORA PUNTA PEDREGAL SA DE CV</t>
  </si>
  <si>
    <t>SERVICIOS HOSPITALARIOS DE MEXICO, SA DE CV</t>
  </si>
  <si>
    <t>GAMMON CONSTRUCTION LTD</t>
  </si>
  <si>
    <t>WELLINGTON GATEWAY PARTNERSHIP NO 2 LP</t>
  </si>
  <si>
    <t>TROY DUALAM INC</t>
  </si>
  <si>
    <t>EDUARDO ANTONIO TRICIO SIERRA</t>
  </si>
  <si>
    <t>EDUARDO ANTONIO TRICIO SIERRRA</t>
  </si>
  <si>
    <t>FONTIBRE SA DE CV</t>
  </si>
  <si>
    <t>DUCADO DE GUANAJUATO SPR DE RL Y CV</t>
  </si>
  <si>
    <t>DUCADO DE GUANAJUATO, SPR DE RL DE CV</t>
  </si>
  <si>
    <t>YTM CAPITAL MORTGAGE INCOME FUND</t>
  </si>
  <si>
    <t>ESIT CANADA ENTERPRISE SERVICES CO</t>
  </si>
  <si>
    <t>PISTONES MORESA SA DE CV</t>
  </si>
  <si>
    <t>TECHNOLOGY BREWING CORPORATION</t>
  </si>
  <si>
    <t>DACOMSA SA DE CV</t>
  </si>
  <si>
    <t>BANK OF CEYLON</t>
  </si>
  <si>
    <t>BANK OF CEYLON CHENNAI</t>
  </si>
  <si>
    <t>CR SUISSE SINGAPORE LIMITED</t>
  </si>
  <si>
    <t>COSTCO WHOLESALE CORP.</t>
  </si>
  <si>
    <t>AUSTRALIAN REGISTRY FINANCE PTY LIMITED</t>
  </si>
  <si>
    <t>JP MORGAN CHASE BANK NA SINGAPORE</t>
  </si>
  <si>
    <t>PLATINO ENERGY HOLDINGS CORP</t>
  </si>
  <si>
    <t>HOLOGIC IP LTD</t>
  </si>
  <si>
    <t>NEF FASTENERS DE MEXICO SA DE CV</t>
  </si>
  <si>
    <t>KENSINGTON CAPITAL PARTNERS LIMITED</t>
  </si>
  <si>
    <t>DEUTSCHE BANK AG, LONDON BRA2668</t>
  </si>
  <si>
    <t>DEUTSCHE BANK AG LONDON.</t>
  </si>
  <si>
    <t>DEUTSCHE BANK AG LONDON</t>
  </si>
  <si>
    <t>DEUTSCHE BANK AG, LONDON</t>
  </si>
  <si>
    <t>Deutsche Bank AG London</t>
  </si>
  <si>
    <t>DEUTSCHE BANK AG,LONDON</t>
  </si>
  <si>
    <t>DEUTSCHE BANK AG  LONDON</t>
  </si>
  <si>
    <t>DEUTSCHE BANK AG, LONDON BRANCH</t>
  </si>
  <si>
    <t>DEUTSCHE BANK AG - LONDON - (ASIA PACIFIC RIM)</t>
  </si>
  <si>
    <t>DEUTSCHE BANK AG - LONDON</t>
  </si>
  <si>
    <t>DEUTSCHE BANK AG LONDON 60095</t>
  </si>
  <si>
    <t>HOLOGIC HUB LTD.</t>
  </si>
  <si>
    <t>WEINBRENNER PLACE INC.</t>
  </si>
  <si>
    <t>DOWNS (MHC) LIMITED PARTNERSHIP AND DOWNS MANAGEMENT AND DEVELOPMENT CORPORATION LTD</t>
  </si>
  <si>
    <t>MINOX EQUITIES LIMITED</t>
  </si>
  <si>
    <t>0940110 BC LTD.</t>
  </si>
  <si>
    <t>BULK BARN FOODS LIMITED</t>
  </si>
  <si>
    <t>75 AVENUE COMMERCIAL LIMITED PARTNERSHIP</t>
  </si>
  <si>
    <t>BARCLAYS BK ( ONLY GBP / EUR / SGD)</t>
  </si>
  <si>
    <t>BARCLAYS BANK PLC  SINGAPORE</t>
  </si>
  <si>
    <t>MARES DEVELOPMENT LTD</t>
  </si>
  <si>
    <t>PEG PEREGO CANADA INC</t>
  </si>
  <si>
    <t>GRUPO ESTANCIAS EXTENDIDAS SA DE CV</t>
  </si>
  <si>
    <t>TF VICTOR SA DE CV</t>
  </si>
  <si>
    <t>LOGISTICA ADUANAL TEGO SA DE CV</t>
  </si>
  <si>
    <t>COMERCIALIZADORA PORCICOLA MEXICANA SA DE CV</t>
  </si>
  <si>
    <t>PHARMACIE FREDERIC LAHOUD INC</t>
  </si>
  <si>
    <t>PHARMACIE FREDERIC LAHOUD (ST-EPHREM) INC</t>
  </si>
  <si>
    <t>2561958 ONTARIO INC</t>
  </si>
  <si>
    <t>AD ASTRA INTERNATIONAL INC</t>
  </si>
  <si>
    <t>MCDONNELL MOTORS LIMITED</t>
  </si>
  <si>
    <t>ALAAED INC O A BELLA FLOORING PLUS</t>
  </si>
  <si>
    <t>TELENET INTERNATIONAL FINANCE S.A.R.L</t>
  </si>
  <si>
    <t>ARAMARK SERVICES INC</t>
  </si>
  <si>
    <t>RANCHACERO SA DE CV</t>
  </si>
  <si>
    <t>MIZUHO BANK MEXICO SA INSTITUCION DE BANCA MULTIPLE</t>
  </si>
  <si>
    <t>REALMAZA INC SA DE CV</t>
  </si>
  <si>
    <t>PHARMACIE FREDERIC DUPERE ET ANDREE GELINAS INC</t>
  </si>
  <si>
    <t>HOWARDVALE HOLSTEINS</t>
  </si>
  <si>
    <t>GANDER RIVER HOLDINGS LIMITED</t>
  </si>
  <si>
    <t>CAMBRIDGE CANADIAN DIVIDEND FUND</t>
  </si>
  <si>
    <t>KOMMUNINVEST I SVERIGE AB</t>
  </si>
  <si>
    <t>INSTITUTO DE CREDITO OFICIAL (ICO)</t>
  </si>
  <si>
    <t>MS  PEEKAY INTERMARK LIMITED</t>
  </si>
  <si>
    <t>TAMARACK ACQUISITION CORP</t>
  </si>
  <si>
    <t>TAMARACK ACQUISITION CORP.</t>
  </si>
  <si>
    <t>DYNAMIC AURION TOTAL RETURN BOND FUND - REGULATED MUTUAL FUND TRUST</t>
  </si>
  <si>
    <t>DYNAMIC AURION TOTAL RETURN BOND FUND</t>
  </si>
  <si>
    <t>WINDSOR TEXTILES LIMITED</t>
  </si>
  <si>
    <t>WINDSOR TEXTILES LTD</t>
  </si>
  <si>
    <t>TSX INC.</t>
  </si>
  <si>
    <t>TSX INC</t>
  </si>
  <si>
    <t>FARMACEUTICOS MAYPO SA DE CV</t>
  </si>
  <si>
    <t>ACCUTEC DE MEXICO S DE RL DE CV</t>
  </si>
  <si>
    <t>ASOFARMA DE MEXICO SA DE CV</t>
  </si>
  <si>
    <t>CABLEVISION RED SA DE CV</t>
  </si>
  <si>
    <t>ESPECIFICOS STENDHAL SA DE CV</t>
  </si>
  <si>
    <t>XP INVESTIMENTOS CCTVM SA</t>
  </si>
  <si>
    <t>TRANSURBAN QUEENSLAND FINANCE PTY LTD</t>
  </si>
  <si>
    <t>NOVELIS INC</t>
  </si>
  <si>
    <t>COMERCIALIZADORA DE SEMILLAS DEL NOROESTE, S.P.R. DE R.L.</t>
  </si>
  <si>
    <t>KOREA PETROCHEMICAL IND.CO.,LTD</t>
  </si>
  <si>
    <t>WRKCO INC</t>
  </si>
  <si>
    <t>WESTROCK COMPANY</t>
  </si>
  <si>
    <t>CITIBANK NA SINGAPORE</t>
  </si>
  <si>
    <t>MEX_NEX</t>
  </si>
  <si>
    <t>COMUNICACIONES NEXTEL DE MEXICO SA DE CV</t>
  </si>
  <si>
    <t>ATT COMUNICACIONES DIGITALES S DE RL DE CV</t>
  </si>
  <si>
    <t>STRONG INTERNATIONAL TRADING INC</t>
  </si>
  <si>
    <t>DESIGNS FOR HEALTH INC</t>
  </si>
  <si>
    <t>BALMORAL WOOD COMMERCIAL</t>
  </si>
  <si>
    <t>UBS AG ALLOCATED metal</t>
  </si>
  <si>
    <t>UBS AG London</t>
  </si>
  <si>
    <t>UBS AG  LONDON</t>
  </si>
  <si>
    <t>CI CANADIAN BALANCE FUND</t>
  </si>
  <si>
    <t>HARBOUR GROWTH AND INCOME FUND</t>
  </si>
  <si>
    <t>WEST ISLE ENTERPRISES LTD</t>
  </si>
  <si>
    <t>LT CUSTOM FURNISHINGS INC.</t>
  </si>
  <si>
    <t>QUADRANT ENERGY PTY LTD</t>
  </si>
  <si>
    <t>IA CLARINGTON STRATEGIC EQUITY INCOME FUND</t>
  </si>
  <si>
    <t>ALEXERIN DAIRY INC</t>
  </si>
  <si>
    <t>ESTADO DE MORELOS</t>
  </si>
  <si>
    <t>RON JUDY TODD AND ERIN NIXON</t>
  </si>
  <si>
    <t>DIRECT ELEVATOR SERVICES LTD</t>
  </si>
  <si>
    <t>MACKENZIE GLOBAL INFLATION LINKED FUND</t>
  </si>
  <si>
    <t>MACKENZIE SOVEREIGN BOND FUND</t>
  </si>
  <si>
    <t>RAIL AND TRACTION CANADA INC</t>
  </si>
  <si>
    <t>ROLEX CANADA LTD</t>
  </si>
  <si>
    <t>RICHHILL INVESTMENT LTD</t>
  </si>
  <si>
    <t>TURTLE CREEK CANADIAN EQUITY FUND</t>
  </si>
  <si>
    <t>TURTLE CREEK EQUITY FUND</t>
  </si>
  <si>
    <t>GMF PRIME AUTOMOBILE TRUST 2017-PP2</t>
  </si>
  <si>
    <t>AVIATION CMP INC</t>
  </si>
  <si>
    <t>HUTTERIAN BRETHREN CHURCH OF SOUTHLAND INC</t>
  </si>
  <si>
    <t>HUTTERIAN BRETHREN CHURCH OF SOUTHLAND INC.</t>
  </si>
  <si>
    <t>STONYBROOK FARMS LIMITED</t>
  </si>
  <si>
    <t>0871089 BC LTD</t>
  </si>
  <si>
    <t>EAGLE VIEW FARMS LTD GROUP</t>
  </si>
  <si>
    <t>STORAGEVAULT CANADA INC</t>
  </si>
  <si>
    <t>STORAGEVAULT CANADA INC - TRS</t>
  </si>
  <si>
    <t>DWIGHT GILMER AND SONS LTD</t>
  </si>
  <si>
    <t>FS BLOCK LTD</t>
  </si>
  <si>
    <t>NORREP CORE GLOBAL POOL</t>
  </si>
  <si>
    <t>DP WORLD PRINCE RUPERT INC</t>
  </si>
  <si>
    <t>DP WORLD PRINCE RUPERT INC.</t>
  </si>
  <si>
    <t>DRUMMELS HOLDINGS INC</t>
  </si>
  <si>
    <t>CARIBOU CAPITAL CORPORATION</t>
  </si>
  <si>
    <t>BOULDER BROTHERS INC</t>
  </si>
  <si>
    <t>PIZZA HUT HOLDINGS LLC</t>
  </si>
  <si>
    <t>TD ASSET MANAGEMENT 1542</t>
  </si>
  <si>
    <t>BELLA VISTA RV CENTRE INC</t>
  </si>
  <si>
    <t>MKP CAPITAL MANAGEMENT LLC CDEA BLOCK</t>
  </si>
  <si>
    <t>MKP CAPITAL MANAGEMENT L.L.C.</t>
  </si>
  <si>
    <t>CIBC CANADIAN REAL ESTATE MUTUAL FUND</t>
  </si>
  <si>
    <t>SELECT CANADIAN EQUITY MANAGED FUND EE</t>
  </si>
  <si>
    <t>SELECT CANADIAN EQUITY MANAGED FUND</t>
  </si>
  <si>
    <t>ELK RIDGE DAIRY LTD</t>
  </si>
  <si>
    <t>MAGOTTEAUX LTEE</t>
  </si>
  <si>
    <t>WARATAH ENERGY LIMITED PARTNERSHIP</t>
  </si>
  <si>
    <t>LYONDELLBASELL SUBHOLDINGS BV</t>
  </si>
  <si>
    <t>LAWRENCE PARK CREDIT STRATEGIES FUND</t>
  </si>
  <si>
    <t>SUN LIFE LONG TERM PRIVATE FIXED INCOME PLUS FUND</t>
  </si>
  <si>
    <t>1769123 ONTARIO INC</t>
  </si>
  <si>
    <t>MIEDEMA FARMS INC</t>
  </si>
  <si>
    <t>RBC QUBE MARKET NEUTRAL WORLD EQUITY FUND (CAD HEDGED)</t>
  </si>
  <si>
    <t>BGR PROPERTIES INC</t>
  </si>
  <si>
    <t>2327577 ONTARIO INC</t>
  </si>
  <si>
    <t>AXICOM FINANCE PTY LTD</t>
  </si>
  <si>
    <t>MINERA PENASQUITO SA DE CV</t>
  </si>
  <si>
    <t>MINERA PENASQUITO S.A. DE C.V.</t>
  </si>
  <si>
    <t>321 HENDERSON RECEIVABLES I LLC 2005 1</t>
  </si>
  <si>
    <t>321 HENDERSON RECEIVABLES I LLC 2004 A</t>
  </si>
  <si>
    <t>321 HENDERSON RECEIVABLES II LLC 2006 1</t>
  </si>
  <si>
    <t>321 HENDERSON RECEIVABLES II LLC 2006 3</t>
  </si>
  <si>
    <t>321 HENDERSON RECEIVABLES II LLC 2006 2</t>
  </si>
  <si>
    <t>ERO COPPER CORP.</t>
  </si>
  <si>
    <t>ERO COPPER CORP</t>
  </si>
  <si>
    <t>AG PIKES HOLDINGS LIMITED</t>
  </si>
  <si>
    <t>AVENUE CREDIT OPPORTUNITIES FUND L.P.</t>
  </si>
  <si>
    <t>MINERACAO CARAIBA S/A</t>
  </si>
  <si>
    <t>MINERACAO CARAIBA SA</t>
  </si>
  <si>
    <t>MINERACAO CARAIBA S.A.</t>
  </si>
  <si>
    <t>BONASA COMERCIAL SA DE CV</t>
  </si>
  <si>
    <t>IPC CO</t>
  </si>
  <si>
    <t>BLUE MOON MARINE</t>
  </si>
  <si>
    <t>HOSPITALIDAD DE PUEBLA SA DE CV</t>
  </si>
  <si>
    <t>GRUPO PORCICOLA MEXICANO SA DE CV</t>
  </si>
  <si>
    <t>FSG00335</t>
  </si>
  <si>
    <t>SA101</t>
  </si>
  <si>
    <t>AF420</t>
  </si>
  <si>
    <t>AF430</t>
  </si>
  <si>
    <t>AF440</t>
  </si>
  <si>
    <t>AF125</t>
  </si>
  <si>
    <t>AF130</t>
  </si>
  <si>
    <t>AF720</t>
  </si>
  <si>
    <t>AF730</t>
  </si>
  <si>
    <t>AF760</t>
  </si>
  <si>
    <t>SA103</t>
  </si>
  <si>
    <t>SA108</t>
  </si>
  <si>
    <t>ENGLOBE CORP</t>
  </si>
  <si>
    <t>TD ASSET MANAGEMENT 41939</t>
  </si>
  <si>
    <t>TD ASSET MANAGEMENT 41940</t>
  </si>
  <si>
    <t>TD ASSET MANAGEMENT 41936</t>
  </si>
  <si>
    <t>TD ASSET MANAGEMENT 41934</t>
  </si>
  <si>
    <t>TD ASSET MANAGEMENT 41935</t>
  </si>
  <si>
    <t>TD ASSET MANAGEMENT 41942</t>
  </si>
  <si>
    <t>TD ASSET MANAGEMENT 41941</t>
  </si>
  <si>
    <t>TD ASSET MANAGEMENT 41937</t>
  </si>
  <si>
    <t>TD ASSET MANAGEMENT 41931</t>
  </si>
  <si>
    <t>TD ASSET MANAGEMENT 41933</t>
  </si>
  <si>
    <t>DIR00327</t>
  </si>
  <si>
    <t>SA118</t>
  </si>
  <si>
    <t>SA112</t>
  </si>
  <si>
    <t>SA116</t>
  </si>
  <si>
    <t>TD ASSET MANAGEMENT  T1250</t>
  </si>
  <si>
    <t>FSG00446</t>
  </si>
  <si>
    <t>FUENTES DE SATELITE</t>
  </si>
  <si>
    <t>OPERADORA PORCICOLA MEXICANA SA DE CV</t>
  </si>
  <si>
    <t>CVG HI INDIA HOLDINGS INC</t>
  </si>
  <si>
    <t>SA109</t>
  </si>
  <si>
    <t>SA110</t>
  </si>
  <si>
    <t>SA111</t>
  </si>
  <si>
    <t>COMM BK OF AUSTRALIA</t>
  </si>
  <si>
    <t>VIVA ENERGY AUSTRALIA PTY LTD</t>
  </si>
  <si>
    <t>VIVA ENERGY AUSTRALIA PTY LTD.</t>
  </si>
  <si>
    <t>RAVEN INSURANCE COMPANY, LTD</t>
  </si>
  <si>
    <t>NORDSTROM CANADA RETAIL INC</t>
  </si>
  <si>
    <t>NORDSTROM CANADA LEASING LP</t>
  </si>
  <si>
    <t>FBM CANADA GSD INC</t>
  </si>
  <si>
    <t>MECAPLAST DE MEXICO SA DE CV</t>
  </si>
  <si>
    <t>NOVARES MEXICO SA DE CV</t>
  </si>
  <si>
    <t>PETROBAL UPSTREAM DELTA 1 SA DE CV</t>
  </si>
  <si>
    <t>10475 NFLD LTD</t>
  </si>
  <si>
    <t>NORDSTROM CANADA HOLDINGS II LLC</t>
  </si>
  <si>
    <t>IMPERIAL OIL LTD</t>
  </si>
  <si>
    <t>GAM CREATIVE MARKETING SOLUTIONS LTD</t>
  </si>
  <si>
    <t>CLEARWATER SEAFOODS LIMITED PARTNERSHIP</t>
  </si>
  <si>
    <t>CLEARWATER SEAFOODS LIMITED PARTNERSHIP.</t>
  </si>
  <si>
    <t>EXXONMOBIL CANADA LTD</t>
  </si>
  <si>
    <t>EXXONMOBIL BUSINESS SUPPORT CENTRE CANADA ULC</t>
  </si>
  <si>
    <t>TD ASSET MANAGEMENT T1114</t>
  </si>
  <si>
    <t>TD ASSET MANAGEMENT 5016</t>
  </si>
  <si>
    <t>T D BANK EUROPE LIMITED</t>
  </si>
  <si>
    <t>TD ASSET MANAGEMENT T1100</t>
  </si>
  <si>
    <t>INVERCAP SERVICE MANAGEMENT SA DE CV</t>
  </si>
  <si>
    <t>FIMEX, SA DE CV</t>
  </si>
  <si>
    <t>FIMEX SA DE CV</t>
  </si>
  <si>
    <t>7330383 CANADA INC DBA MONBLANC ENGINEERING</t>
  </si>
  <si>
    <t>1276423 ONTARIO INC</t>
  </si>
  <si>
    <t>SONEIL BRAM 812 INC</t>
  </si>
  <si>
    <t>UNACEM PERU SA</t>
  </si>
  <si>
    <t>EMBROSS NORTH AMERICA LTD</t>
  </si>
  <si>
    <t>EMBROSS NORTH AMERICA LTD.</t>
  </si>
  <si>
    <t>SONEIL STEELES INC</t>
  </si>
  <si>
    <t>SONEIL WEST INC</t>
  </si>
  <si>
    <t>ADM CELAYA SA DE CV</t>
  </si>
  <si>
    <t>SAINT-GOBAIN INNOVATIVE MATERIALS BELGIUM SA</t>
  </si>
  <si>
    <t>Saint-Gobain Isover G+H AG</t>
  </si>
  <si>
    <t>TURTLE CREEK UNITED STATES EQUITY FUND</t>
  </si>
  <si>
    <t>FRASERS PROPERTY AUSTRALIA PTY LIMITED</t>
  </si>
  <si>
    <t>PACIFIC INVESTMENT MANAGEMENT COMPANY LLC, SOLELY IN ITS CAPACITY AS ADVISOR ON BEHALF OF CATHAY LIFE INSURANCE CO., LTD.</t>
  </si>
  <si>
    <t>PACIFIC INVESTMENT MANAGEMENT COMPANY LLC, SOLELY IN ITS CAPACITY AS ADVISOR ON BEHALF OF CHINA EVERBRIGHT BANK</t>
  </si>
  <si>
    <t>CHINA EVERBRIGHT BANK CO LTD</t>
  </si>
  <si>
    <t>CHINA EVERBRIGHT BANK CO. LTD.</t>
  </si>
  <si>
    <t>ACCORDIA LIFE AND ANNUITY COMPANY</t>
  </si>
  <si>
    <t>FIRST ALLMERICA FINANCIAL LIFE INSURANCE COMPANY</t>
  </si>
  <si>
    <t>VENTAS REALTY LIMITED PARTNERSHIP</t>
  </si>
  <si>
    <t>VENTAS SSL HOLDINGS INC</t>
  </si>
  <si>
    <t>AIRPORT AUTHORITY</t>
  </si>
  <si>
    <t>AUSTRALIA PACIFIC AIRPORTS (MELBOURNE) PTY LTD</t>
  </si>
  <si>
    <t>INTERNACIONAL DE CERAMICA SAB DE CV</t>
  </si>
  <si>
    <t>SCOTIABANK AND TRUST (CAYMAN)</t>
  </si>
  <si>
    <t>BNS50955 BNS CAYMAN TRUST COMPANY</t>
  </si>
  <si>
    <t>SCOTIABANK &amp; TRUST (CAYMAN) LTD - SIL</t>
  </si>
  <si>
    <t>SCOTIABANK &amp; TRUST (CAYMAN) LTD.</t>
  </si>
  <si>
    <t>SCOTIABANK AND TRUST (CAYMAN).</t>
  </si>
  <si>
    <t>SCOTIABANK &amp; TRUST (CAYMAN) LTD</t>
  </si>
  <si>
    <t>SYDNEY AIRPORT FINANCE COMPANY PTY LIMITED</t>
  </si>
  <si>
    <t>TATA CHEMICALS INTERNATIONAL PTE LTD</t>
  </si>
  <si>
    <t>TRANSURBAN FINANCE COMPANY PTY. LTD.</t>
  </si>
  <si>
    <t>TRANSURBAN FINANCE CO. PTY. LTD</t>
  </si>
  <si>
    <t>WESFARMERS LIMITED</t>
  </si>
  <si>
    <t>WHITE HOUSE DESIGN COMPANY INC</t>
  </si>
  <si>
    <t>WHITE HOUSE DESIGN COMPANY INC.</t>
  </si>
  <si>
    <t>WSO FINANCE PTY LTD</t>
  </si>
  <si>
    <t>AUSTRALIAN GAS NETWORKS LIMITED</t>
  </si>
  <si>
    <t>2300 DREW ROAD INC</t>
  </si>
  <si>
    <t>HERMAN LAND AND CATTLE INC</t>
  </si>
  <si>
    <t>WARATAH SPECIAL OPPORTUNITIES LP</t>
  </si>
  <si>
    <t>616036 SASKATCHEWAN LTD</t>
  </si>
  <si>
    <t>INMOBILIARIA ORION DE BELEN S A</t>
  </si>
  <si>
    <t>WOOLWORTHS LIMITED</t>
  </si>
  <si>
    <t>MD SHORT-TERM BOND FUND</t>
  </si>
  <si>
    <t>MD SHORT TERM BOND FUND</t>
  </si>
  <si>
    <t>Orient Overseas Container Line Ltd.</t>
  </si>
  <si>
    <t>WESTROCK PACKAGING SYSTEMS LP</t>
  </si>
  <si>
    <t>GRUPO DE DISE¿O URBANO SC</t>
  </si>
  <si>
    <t>FUTURE GENERATIONS FUND</t>
  </si>
  <si>
    <t>MANULIFE CONSERVATIVE PORTFOLIO</t>
  </si>
  <si>
    <t>AUTORIDADE MONETARIA DE MACAU</t>
  </si>
  <si>
    <t>AUTORIDADE MONETARIA DE MACAO</t>
  </si>
  <si>
    <t>FIRST TRUST TACTICAL HIGH YIELD UCITS FUND</t>
  </si>
  <si>
    <t>BJL PROPERTIES INC</t>
  </si>
  <si>
    <t>FSG00434</t>
  </si>
  <si>
    <t>STATESMAN CAPITAL CORPORATION</t>
  </si>
  <si>
    <t>S AND V VOISIN LTD</t>
  </si>
  <si>
    <t>Melqart Opportunities Master Fund Ltd</t>
  </si>
  <si>
    <t>MANULIFE GROWTH PORTFOLIO</t>
  </si>
  <si>
    <t>MANULIFE BALANCED PORTFOLIO</t>
  </si>
  <si>
    <t>MANULIFE MODERATE PORTFOLIO</t>
  </si>
  <si>
    <t>SHANGHAI PUDONG DEVELOPMENT BANK CO. LTD.</t>
  </si>
  <si>
    <t>SHANGHAI PUDONG DEVELOPMENT BANK</t>
  </si>
  <si>
    <t>Shanghai Pudong Development Bank Co</t>
  </si>
  <si>
    <t>SHANGHAI PUDONG DEVELOPMENT BANK CO LTD</t>
  </si>
  <si>
    <t>MACKENZIE GLOBAL CREDIT OPPORTUNITIES FUND</t>
  </si>
  <si>
    <t>MACKENZIE GLOBAL HIGH YIELD FIXED INCOME ETF</t>
  </si>
  <si>
    <t>AEROPYCSA SA DE CV</t>
  </si>
  <si>
    <t>Woori Bank</t>
  </si>
  <si>
    <t>WOORI BANK</t>
  </si>
  <si>
    <t>TRINSEO EUROPE GMBH</t>
  </si>
  <si>
    <t>ALLY AFBNS ISSUER LLC</t>
  </si>
  <si>
    <t>EMC CORPORATION OF CANADA</t>
  </si>
  <si>
    <t>MAPED CANADA INC.</t>
  </si>
  <si>
    <t>CANADREAM INC.</t>
  </si>
  <si>
    <t>THE DESCARTES SYSTEMS GROUP INC</t>
  </si>
  <si>
    <t>INDORAMA VENTURES PTA MONTREAL L P</t>
  </si>
  <si>
    <t>INDORAMA VENTURES PTA MONTREAL L.P.</t>
  </si>
  <si>
    <t>INDORAMA VENTURES PTA MONTREAL LP</t>
  </si>
  <si>
    <t>DUNNBERRY FARMS LTD</t>
  </si>
  <si>
    <t>EUROTEX NORTH AMERICA INC</t>
  </si>
  <si>
    <t>GLOBAL HYDRO INC</t>
  </si>
  <si>
    <t>SENCORP CAPITAL LTD.</t>
  </si>
  <si>
    <t>NORTHWEST HERITAGE HOLDINGS LTD</t>
  </si>
  <si>
    <t>NETWORK FINANCE COMPANY PTY LTD</t>
  </si>
  <si>
    <t>ANZ BANKING GROUP LTD</t>
  </si>
  <si>
    <t>THE TABLE FACTORY INC</t>
  </si>
  <si>
    <t>SELCO EQUIPMENT SALES LTD</t>
  </si>
  <si>
    <t>BANGKOK BANK PUBLIC COMPANY LIMITED, THE</t>
  </si>
  <si>
    <t>BANGKOK BANK PUBLIC COMPANY LIMITED</t>
  </si>
  <si>
    <t>BANGKOK BANK PCL</t>
  </si>
  <si>
    <t>BNS LONDON GPF SYNTHETIC  PORTFOLIO</t>
  </si>
  <si>
    <t>BNS LONDON FIXED INCOME TRS BOOK</t>
  </si>
  <si>
    <t>BNS LONDON FIXED INCOME CASH 1 BOOK</t>
  </si>
  <si>
    <t>BNS LDN SBE SWAPS PORTFOLIO</t>
  </si>
  <si>
    <t>BNS LONDON FIXED INCOME PORTFOLIO (SBE)</t>
  </si>
  <si>
    <t>The Bank of Nova Scotia (London Branch)</t>
  </si>
  <si>
    <t>BNS London 02385</t>
  </si>
  <si>
    <t>BNS London 00375</t>
  </si>
  <si>
    <t>The Bank of Nova Scotia Ltd (London branch)</t>
  </si>
  <si>
    <t>BANK OF NOVA SCOTIA (60095)</t>
  </si>
  <si>
    <t>BNS GLOBAL EQUITY FUND LONDON</t>
  </si>
  <si>
    <t>BANK OF NOVA SCOTIA 60095 LIBOR DEP</t>
  </si>
  <si>
    <t>BANK OF NOVA SCOTIA (75408)</t>
  </si>
  <si>
    <t>The Bank of Nova Scotia London Branch</t>
  </si>
  <si>
    <t>BANK OF NOVA SCOTIA LONDON BRANCH (SBE)</t>
  </si>
  <si>
    <t>BANK OF NOVA SCOTIA LONDON (SBE)</t>
  </si>
  <si>
    <t>BANK OF NOVA SCOTIA GROUP TREASURY LONDON (SCTL)</t>
  </si>
  <si>
    <t>THE BANK OF NOVA SCOTIA LONDON BRANCH</t>
  </si>
  <si>
    <t>THE BANK OF NOVA SCOTIA LONDON BRANCH (SYNPB)</t>
  </si>
  <si>
    <t>BNS LONDON FIXED INCOME BACK TO BACK TRANSACT FOR ONE WAY CS</t>
  </si>
  <si>
    <t>BNS LONDON FIXED INCOME BACK TO BACK TRANSACTIONS FOR BILATERAL CSA</t>
  </si>
  <si>
    <t>BNS LONDON FIXED INCOME USD SWAPS PORTFOLIO</t>
  </si>
  <si>
    <t>BNS LONDON</t>
  </si>
  <si>
    <t>BNS DP LONDON EQUITY DESK</t>
  </si>
  <si>
    <t>BNS LONDON BANKING BRANCH (SCEL )</t>
  </si>
  <si>
    <t>BNS LONDON BRANCH (SIL)</t>
  </si>
  <si>
    <t>BNS LONDON MONEY MARKET [IRELAND]</t>
  </si>
  <si>
    <t>BNS 07305 BNS LONDON REMITTING SPOT</t>
  </si>
  <si>
    <t>BNS LONDON BANKING BRANCH (SCEL)</t>
  </si>
  <si>
    <t>BNS 00375 LONDON</t>
  </si>
  <si>
    <t>BNS ASIA LIMITED ( LONDON)</t>
  </si>
  <si>
    <t>BNS LONDON FIXED INCOME CASH 2 BOOK</t>
  </si>
  <si>
    <t>BNS LONDON FIXED INCOME CASH 3 BOOK</t>
  </si>
  <si>
    <t>BNS LONDON FIXED INCOME CURRENCY SWAP PORTFOLIO</t>
  </si>
  <si>
    <t>BNS LONDON FIXED INCOME OPTIONS BOOK</t>
  </si>
  <si>
    <t>BANK OF NOVA SCOTIA  LONDON MERCHANT BANKING</t>
  </si>
  <si>
    <t>BNS LONDON FIXED INCOME RESERVE BOOK</t>
  </si>
  <si>
    <t>BNS GFI LONDON DERIVATIVES PORTFOLIO (SIF)</t>
  </si>
  <si>
    <t>BNS LONDON DERIVATIVE PRODUCTS (IRELAND)</t>
  </si>
  <si>
    <t>GLOBAL FUNDING BOOK FOR FIXED INCOME</t>
  </si>
  <si>
    <t>BNS 06615 CMF BNS LONDON</t>
  </si>
  <si>
    <t>BNS LONDON FIXED INCOME CSA HEDGE BOOK</t>
  </si>
  <si>
    <t>BNS LONDON FIXED INCOME SWAP HEDGE BOOK</t>
  </si>
  <si>
    <t>BNS LONDON GPF SYNTHETIC PORTFOLIO NONSOTUS</t>
  </si>
  <si>
    <t>BNS LONDON GPF SYNTHETIC PORTFOLIO SOTUS</t>
  </si>
  <si>
    <t>WHO- FOR GTS PURPOSES</t>
  </si>
  <si>
    <t>BNS LONDON GPF SYNTHETIC PORTFOLIO</t>
  </si>
  <si>
    <t>BNS LONDON FIXED INCOME GBP SWAPS PORTOFLIO</t>
  </si>
  <si>
    <t>BNS LONDON FIXED INCOME PORTFOLIO PRE 2008</t>
  </si>
  <si>
    <t>BNS LONDON FIXED INCOME STIR BOOK</t>
  </si>
  <si>
    <t>BNS LONDON FIXED INCOME INFLATION SWAP PORTFOLIO</t>
  </si>
  <si>
    <t>BNS LONDON BRANCH</t>
  </si>
  <si>
    <t>BNS LONDON FIXED INCOME REPO BOOK</t>
  </si>
  <si>
    <t>BNS LONDON FIXED INCOME SSA</t>
  </si>
  <si>
    <t>BNS LONDON FIXED INCOME EUR SWAPS PORTFOLIO</t>
  </si>
  <si>
    <t>BNS 00375 LONDON BRANCH</t>
  </si>
  <si>
    <t>TELSTRA CORPORATION LTD</t>
  </si>
  <si>
    <t>TELSTRA CORPORATION LIMITED</t>
  </si>
  <si>
    <t>TD ASSET MANAGEMENT T1554</t>
  </si>
  <si>
    <t>VICINITY CENTRES RE LTD AS RESPONSIBLE ENTITY OF VICINITY CENTRES TRUST</t>
  </si>
  <si>
    <t>BCP IV SERVICE STATION LP</t>
  </si>
  <si>
    <t>INDELAT EVA SOCIEDAD ANONIMA CERRADA</t>
  </si>
  <si>
    <t>INDELAT SAC</t>
  </si>
  <si>
    <t>REENCAUCHADORA SUR PERU SAC</t>
  </si>
  <si>
    <t>R D LEGAULT SEEDS 2016 LTD</t>
  </si>
  <si>
    <t>SIAM COMMERCIAL BANK PUBLIC COMPANY LTD.</t>
  </si>
  <si>
    <t>SIAM COMMERCIAL BANK PCL HEAD OFFICE (THANACHART)</t>
  </si>
  <si>
    <t>SIAM COMMERCIAL BANK PUBLIC COMPANY LIMITED</t>
  </si>
  <si>
    <t>SIAM COMMERCIAL BANK PUBLIC CO., LTD.</t>
  </si>
  <si>
    <t>INMUNO HOLDING SA DE CV</t>
  </si>
  <si>
    <t>GRUPO LAMESA SA DE CV</t>
  </si>
  <si>
    <t>SIME DARBY ELCO POWER SYSTEMS LTD</t>
  </si>
  <si>
    <t>SCENTRE FINANCE (AUST) LIMITED</t>
  </si>
  <si>
    <t>FPH GROUP INC</t>
  </si>
  <si>
    <t>FPH GROUP INC.</t>
  </si>
  <si>
    <t>DOFASCO INC. SUPPLEMENTARY RETIREMENT INCOME PLAN</t>
  </si>
  <si>
    <t>MALAHAT INDUSTRIAL CENTER INC</t>
  </si>
  <si>
    <t>9349-5182 QUEBEC INC</t>
  </si>
  <si>
    <t>CREDIJAL SA DE CV SOFOM EN R</t>
  </si>
  <si>
    <t>L ALLIANCE BOVITEQ INC</t>
  </si>
  <si>
    <t>CREDICAM SA DE CV SOFOM ENR</t>
  </si>
  <si>
    <t>CARLTON ONE ENGAGEMENT CORPORATION</t>
  </si>
  <si>
    <t>INTERNATIONAL ACTUARIAL ASSOCIATION</t>
  </si>
  <si>
    <t>LENDLEASE FINANCE LIMITED</t>
  </si>
  <si>
    <t>BROADCAST AUSTRALIA FINANCE PTY LIMITED</t>
  </si>
  <si>
    <t>SORIN CORPORATION</t>
  </si>
  <si>
    <t>ARAMARK CANADA LTD</t>
  </si>
  <si>
    <t>AUSTRIAN MINT</t>
  </si>
  <si>
    <t>SASOL GERMANY GMBH</t>
  </si>
  <si>
    <t>PACIFIC INTERNATIONAL AIRWAYS, SA DE CV</t>
  </si>
  <si>
    <t>CHINA DAYE HONG KONG INVESTMENT LIMITED</t>
  </si>
  <si>
    <t>PETRONAS BOND</t>
  </si>
  <si>
    <t>ARCHIBALD EQUINE VETERINARY SERVICES LTD</t>
  </si>
  <si>
    <t>EDUCALCP SA DE CV</t>
  </si>
  <si>
    <t>UNIVERSIDAD INSURGENTES HOLDING SAPI DE CV</t>
  </si>
  <si>
    <t>KAMBEITZ AGRI INC</t>
  </si>
  <si>
    <t>VACAZIONE TURISTICHE 6 SA DE CV</t>
  </si>
  <si>
    <t>PARTS FOR TRUCKS INC.</t>
  </si>
  <si>
    <t>PARTS FOR TRUCKS INC</t>
  </si>
  <si>
    <t>DRW INVESTMENTS LLC</t>
  </si>
  <si>
    <t>AGRICOLA MEXICALI SA DE CV</t>
  </si>
  <si>
    <t>ALCAMARE INTERNATIONAL RECYCLING GROUP S DE RL DE CV</t>
  </si>
  <si>
    <t>CARNES SELECTAS DE MEXICO SA DE CV</t>
  </si>
  <si>
    <t>HYBRID LOGISTICS INC</t>
  </si>
  <si>
    <t>TIENDAS CHAPUR SA DE CV</t>
  </si>
  <si>
    <t>A INDUSTRIAL MX II LP</t>
  </si>
  <si>
    <t>ABF CARNES SA DE CV</t>
  </si>
  <si>
    <t>EMSO ASSET MANAGEMENT LIMITED EMSORFL</t>
  </si>
  <si>
    <t>Emerging Markets Special Opportunities Ltd.</t>
  </si>
  <si>
    <t>EMSO ASSET MANAGEMENT LIMITED EMSOSFL</t>
  </si>
  <si>
    <t>RX DRUG MART OPERATIONS INC</t>
  </si>
  <si>
    <t>OTTAWA COMMUNITY HOUSING CORP</t>
  </si>
  <si>
    <t>BATS HOTSPOT LLC</t>
  </si>
  <si>
    <t>2477405 ONTARIO INC - I LOVE TRAVEL</t>
  </si>
  <si>
    <t>NEX SEF LIMITED</t>
  </si>
  <si>
    <t>PRISTINE BISON LTD</t>
  </si>
  <si>
    <t>TRACTORES E IMPLEMENTOS ECONOMICOS, SA DE CV</t>
  </si>
  <si>
    <t>NEPAL RASTRA BANK</t>
  </si>
  <si>
    <t>RECKITT BENCKISER TREASURY SERVICES PLC</t>
  </si>
  <si>
    <t>DJF HOLDINGS LTD</t>
  </si>
  <si>
    <t>CONCOURS TECHNOLOGIES INC.</t>
  </si>
  <si>
    <t>CONCOURS TECHNOLOGIES INC</t>
  </si>
  <si>
    <t>JRA YUCATAN S DE RL DE CV</t>
  </si>
  <si>
    <t>LACTALIS ALIMENTOS MEXICO S DE RL</t>
  </si>
  <si>
    <t>WII PTE LTD</t>
  </si>
  <si>
    <t>WII PTE LIMITED</t>
  </si>
  <si>
    <t>FRASERS PROPERTY TREASURY PTE LTD</t>
  </si>
  <si>
    <t>FCL TREASURY PTE LTD</t>
  </si>
  <si>
    <t>GGB EXHAUST TECHNOLOGIES INC</t>
  </si>
  <si>
    <t>TROUT LAKE NBC INC</t>
  </si>
  <si>
    <t>MYL TRADING LTD</t>
  </si>
  <si>
    <t>SWISSLINE INDUSTRIES LIMITED</t>
  </si>
  <si>
    <t>BRANDON BABICH FARMS LTD</t>
  </si>
  <si>
    <t>BYRON BABICH FARMS LTD.</t>
  </si>
  <si>
    <t>BYRON BABICH FARMS LTD</t>
  </si>
  <si>
    <t>ALLIANCE DATA SYSTEMS CORPORATION</t>
  </si>
  <si>
    <t>BAARSVIEW FARMS INC</t>
  </si>
  <si>
    <t>RANCHO COCOYOL S DE PR DE RL</t>
  </si>
  <si>
    <t>PRINCE RUPERT GRAIN LTD</t>
  </si>
  <si>
    <t>ORO PREMIER DE MEXICO SA DE CV</t>
  </si>
  <si>
    <t>ALMACENAJES Y MANIOBRAS INTEGRALES DEL GOLFO SA DE CV</t>
  </si>
  <si>
    <t>1396970 ALBERTA LTD</t>
  </si>
  <si>
    <t>SIGNATURE DIVIDEND CORPORATE CLASS</t>
  </si>
  <si>
    <t>MINERA AUREA S.A. DE C.V.</t>
  </si>
  <si>
    <t>RESTAURANTES ADMX S DE RL DE CV</t>
  </si>
  <si>
    <t>GA COLES ENTERPRISES LTD</t>
  </si>
  <si>
    <t>MARK ANTHONY GROUP INC</t>
  </si>
  <si>
    <t>MARK ANTHONY PROPERTIES LTD</t>
  </si>
  <si>
    <t>TRI ILLUMINATED LTD</t>
  </si>
  <si>
    <t>RICH HEIGHTS LIMITED AND/OR OTHER SPV, WHOLLY OWNED BY CHEUNG KONG PROPERTY HOLDINGS LTD</t>
  </si>
  <si>
    <t>Rich Heights Limited and/or other SPV, wholly owned by Cheung Kong Property Holdings Limited</t>
  </si>
  <si>
    <t>2248214 ONTARIO LTD</t>
  </si>
  <si>
    <t>PERU 85647</t>
  </si>
  <si>
    <t>TECHBANX O/A 8207313 CANADA INC</t>
  </si>
  <si>
    <t>COMARCA CONSTRUCCIONES SA DE CV</t>
  </si>
  <si>
    <t>PROCESS FUSION INC</t>
  </si>
  <si>
    <t>TSH LAKE INC</t>
  </si>
  <si>
    <t>SAN JOSE Y SU AGRICULTURA SA DE CV</t>
  </si>
  <si>
    <t>INDEX PROPERTIES INC</t>
  </si>
  <si>
    <t>VRX CENTENARIO COMERCIAL S DE RL DE CV</t>
  </si>
  <si>
    <t>CMA AUTOMOTIVE SA DE CV</t>
  </si>
  <si>
    <t>TC HEARTLAND MEXICO MANUFACTURA, S DE RL DE CV</t>
  </si>
  <si>
    <t>HOULE PROPERTIES INC</t>
  </si>
  <si>
    <t>UBS FINANCIAL SERVICES INC</t>
  </si>
  <si>
    <t>LONDON DISTRICT ENERGY LP</t>
  </si>
  <si>
    <t>Jardine, Matheson &amp; Co., Limited</t>
  </si>
  <si>
    <t>RBC CAPITAL MARKETS, LLC</t>
  </si>
  <si>
    <t>CLP Power Hong Kong Limited</t>
  </si>
  <si>
    <t>ORGANIZACION LB S DE RL DE CV</t>
  </si>
  <si>
    <t>MAXIMO JAVIER CADENA PAYAN</t>
  </si>
  <si>
    <t>CURREY PROPERTIES (852 BANK ST) INC</t>
  </si>
  <si>
    <t>EMBOTELLADORA AGA SA DE CV</t>
  </si>
  <si>
    <t>VOYA RETIREMENT INSURANCE AND ANNUITY COMPANY</t>
  </si>
  <si>
    <t>VOYA INSURANCE AND ANNUITY COMPANY</t>
  </si>
  <si>
    <t>RELIASTAR LIFE INSURANCE COMPANY</t>
  </si>
  <si>
    <t>RELIASTAR LIFE INSURANCE COMPANY OF NEW YORK</t>
  </si>
  <si>
    <t>SECURITY LIFE OF DENVER INSURANCE COMPANY</t>
  </si>
  <si>
    <t>CHOW TAI FOOK ENTERPRISES LTD</t>
  </si>
  <si>
    <t>TD ASSET MANAGEMENT 1034</t>
  </si>
  <si>
    <t>CLASSIC GOLD COMPANY LTD</t>
  </si>
  <si>
    <t>KATHERINE RAWLINSON</t>
  </si>
  <si>
    <t>REBEL DEVELOPMENTS INC.</t>
  </si>
  <si>
    <t>THE MANOR AT CARRYING PLACE LTD.</t>
  </si>
  <si>
    <t>ACASIA HOME TREND INC</t>
  </si>
  <si>
    <t>BOLTON BG CANADA INC</t>
  </si>
  <si>
    <t>2585013 ONTARIO INC</t>
  </si>
  <si>
    <t>PRISMA TORREON SA DE CV</t>
  </si>
  <si>
    <t>CC&amp;L Q Equity Extension Fund II</t>
  </si>
  <si>
    <t>CC AND L Q EQUITY EXTENSION FUND II</t>
  </si>
  <si>
    <t>1618964 ONTARIO INC</t>
  </si>
  <si>
    <t>SIGNATURE DIVERSIFIED YIELD II FUND</t>
  </si>
  <si>
    <t>MARK ANTHONY BRANDS INC</t>
  </si>
  <si>
    <t>ISSA USED CARS</t>
  </si>
  <si>
    <t>ELBOW RIVER MARKETING MEXICO SA DE CV</t>
  </si>
  <si>
    <t>THE CHINA ENGINEERS LTD</t>
  </si>
  <si>
    <t>TCC MASTER MULTI-STRATEGY FUND LP</t>
  </si>
  <si>
    <t>TCC MASTER MULTI-STRATEGY FUND LP - BLOCK</t>
  </si>
  <si>
    <t>TCC MASTER MULTI-STRATEGY FUND LP CDEA</t>
  </si>
  <si>
    <t>COPPERFIELD CORNER INC</t>
  </si>
  <si>
    <t>AGRICOLA ALTA POZO MANUEL S.A. DE C.V.</t>
  </si>
  <si>
    <t>BESS MOBILITY LTD</t>
  </si>
  <si>
    <t>BLUE GLACIER SEAFOOD GROUP INC</t>
  </si>
  <si>
    <t>ONT SNB INC</t>
  </si>
  <si>
    <t>BELCOMO INVESTMENTS LIMITED</t>
  </si>
  <si>
    <t>VICTORIA PULSE TRADING CORP</t>
  </si>
  <si>
    <t>CORPESCA SA</t>
  </si>
  <si>
    <t>MATRIX METAL RESOURCES PTE LIMITED</t>
  </si>
  <si>
    <t>SPR YORK HOLDING ULC</t>
  </si>
  <si>
    <t>RENOVAC SAC</t>
  </si>
  <si>
    <t>49 NORTH SALES AND MARKETING INC</t>
  </si>
  <si>
    <t>RENTOKIL INITIAL PLC</t>
  </si>
  <si>
    <t>2582260 ONTARIO INC</t>
  </si>
  <si>
    <t>MITSUI &amp; CO LTD</t>
  </si>
  <si>
    <t>MITSUI CO. LTD</t>
  </si>
  <si>
    <t>JOSE ERNESTO LOPEZ PORTILLO ROJO</t>
  </si>
  <si>
    <t>FEVISA INDUSTRIAL SA DE CV</t>
  </si>
  <si>
    <t>CARIB LPG TRADING LTD</t>
  </si>
  <si>
    <t>LEGAL WAY INC</t>
  </si>
  <si>
    <t>AREA 51 MACHINE DESIGN INC</t>
  </si>
  <si>
    <t>CONSUMERS' CO-OPERATIVE REFINERIES LIMITED</t>
  </si>
  <si>
    <t>SHUN TAK HOLDINGS LTD</t>
  </si>
  <si>
    <t>FONDACTION, LE FONDS DE DEVELOPPEMENT DE LA CONFEDERATION DES SYNDICATS NATIONAUX POUR LA COOPERATION ET L'EMPLOI</t>
  </si>
  <si>
    <t>FONDACTION LE FONDS DE DEVELOPPEMENT DE LA CONFEDERATION DES</t>
  </si>
  <si>
    <t>PRIMAGOLD INTERNATIONAL COMPANY LIMITED</t>
  </si>
  <si>
    <t>ENWAVE ENERGY CORPORATION</t>
  </si>
  <si>
    <t>SUN LIFE CORE FIXED INCOME FUND</t>
  </si>
  <si>
    <t>HOUSE OF JEWELLERY AND HANDCRAFT CREATIONS INC</t>
  </si>
  <si>
    <t>DALE QUIMICA SA DE CV</t>
  </si>
  <si>
    <t>MULTISECTOR INCOME PORTFOLIO</t>
  </si>
  <si>
    <t>AG WORLD PARTNERSHIP</t>
  </si>
  <si>
    <t>ARTISAN WINES LTD</t>
  </si>
  <si>
    <t>AUTO-SPARES CANADA INC (O/A JETCO HEAVY DUTY LIGHTING)</t>
  </si>
  <si>
    <t>BIG MARBLE FARMS INC</t>
  </si>
  <si>
    <t>BIG MARBLE FARMS INC.</t>
  </si>
  <si>
    <t>DAVID DUCKETT</t>
  </si>
  <si>
    <t>GRAHAM BUSINESS TRUST</t>
  </si>
  <si>
    <t>R W GIBSON CONSULTING SERVICES LTD.</t>
  </si>
  <si>
    <t>REV ENGINEERING LTD.</t>
  </si>
  <si>
    <t>TAKRAF CANADA INC</t>
  </si>
  <si>
    <t>CARRIX INC</t>
  </si>
  <si>
    <t>EATON VANCE TAX MANAGED MULTU-CAP GROWTH PORTFOLIO</t>
  </si>
  <si>
    <t>NITTAN</t>
  </si>
  <si>
    <t>EATON VANCE DIVIDEND BUILDER PORTFOLIO</t>
  </si>
  <si>
    <t>PECUARIUS LABORATORIOS SA DE CV</t>
  </si>
  <si>
    <t>FUJIFILM CANADA INC.</t>
  </si>
  <si>
    <t>SUN LIFE LONG TERM CORE FIXED INCOME FUND</t>
  </si>
  <si>
    <t>HYP GOLF LTD DBA LIJA</t>
  </si>
  <si>
    <t>R.W. TOMLINSON LIMITED</t>
  </si>
  <si>
    <t>RW TOMLINSON LIMITED</t>
  </si>
  <si>
    <t>CAMBRIDGE BOND FUND</t>
  </si>
  <si>
    <t>HUMBERVIEW INC.</t>
  </si>
  <si>
    <t>YANTZIS FEED &amp; SEED LIMITED</t>
  </si>
  <si>
    <t>SYNERGY GRAIN TRADING LTD</t>
  </si>
  <si>
    <t>SILVER CRYSTAL SPORTS INC.</t>
  </si>
  <si>
    <t>ROCKSHIELD ENGINEERED WOOD PRODUCTS</t>
  </si>
  <si>
    <t>ROCKSHIELD ENGINEERED WOOD PRODUCTS ULC</t>
  </si>
  <si>
    <t>NATIONAL ENGINEERED FASTENERS INC</t>
  </si>
  <si>
    <t>LAKESHORE FOREST PRODUCTS LTD</t>
  </si>
  <si>
    <t>INNOTECH WINDOWS AND DOORS INC</t>
  </si>
  <si>
    <t>Mayflower Properties Inc. o/a Polymer Distribution Inc.</t>
  </si>
  <si>
    <t>CONTINENTAL GOLD LIMITED SUCURSAL COLUMBIA</t>
  </si>
  <si>
    <t>DUPRAY GMBH</t>
  </si>
  <si>
    <t>EXTENTCOM INC</t>
  </si>
  <si>
    <t>DG CAPITEL LTD.</t>
  </si>
  <si>
    <t>GT FRENCH PAPER LIMITED</t>
  </si>
  <si>
    <t>G.T. FRENCH PAPER LIMITED</t>
  </si>
  <si>
    <t>CLAIMSCORP INC</t>
  </si>
  <si>
    <t>BLUSKY ENTERPRISES LTD O/A AUTOMAXX</t>
  </si>
  <si>
    <t>JLR REAL ESTATE HOLDINGS INC</t>
  </si>
  <si>
    <t>462673 ONTARIO INC O/A  NOR-ARC STEEL FABRICATORS</t>
  </si>
  <si>
    <t>462673 ONTARIO INC OA NOR ARC STEEL</t>
  </si>
  <si>
    <t>1856067 ONTARIO INC O/A HART ACRE GRAINS</t>
  </si>
  <si>
    <t>1141480 ONTARIO INC.</t>
  </si>
  <si>
    <t>SAN GERARDO TEXTIL SA DE CV</t>
  </si>
  <si>
    <t>RAPID NOVOR INC</t>
  </si>
  <si>
    <t>LOTTE BP CHEMICAL CO LTD</t>
  </si>
  <si>
    <t>NBIMC QUANTITATIVE EQUITY STRATEGIC BETA (2017) FUND</t>
  </si>
  <si>
    <t>NBIMC QUANTITATIVE STRATEGIES (2017) FUND</t>
  </si>
  <si>
    <t>NBIMC PUBLIC INFRASTRUCTURE (2017) FUND</t>
  </si>
  <si>
    <t>NBIMC US EQUITY INDEX (2017) FUND</t>
  </si>
  <si>
    <t>2194641 ONTARIO INC</t>
  </si>
  <si>
    <t>SPIRIT REALTY L.P</t>
  </si>
  <si>
    <t>1468792 ONTARIO INC OA GDB CONSTRUCTEURS</t>
  </si>
  <si>
    <t>AGRO SOFOM SAPI DE CV SOFOM ENR</t>
  </si>
  <si>
    <t>KOREA MONEY BROKERAGE CORPORATION</t>
  </si>
  <si>
    <t>HORTALIZAS  ARGAMAN SA DE CV</t>
  </si>
  <si>
    <t>TOYS 4 BOYS MOTORSPORTS INC</t>
  </si>
  <si>
    <t>CANDO RAIL AND TERMINALS LTD</t>
  </si>
  <si>
    <t>DELMAR COMMODITIES LTD.</t>
  </si>
  <si>
    <t>DELMAR COMMODITIES LTD</t>
  </si>
  <si>
    <t>PACIFIC INVESTMENT MANAGEMENT COMPANY LLC, SOLELY IN ITS CAPACITY AS ADVISOR ON BEHALF OF PRUDENTIAL RETIREMENT INSURANCE AND ANNUITY COMPANY SEPARATE ACCOUNT SA-RFI</t>
  </si>
  <si>
    <t>PACIFIC INVESTMENT MANAGEMENT COMPANY LLC, SOLELY IN ITS CAPACITY AS ADVISOR ON BEHALF OF PRUDENTIAL RETIREMENT INSURANCE AND ANNUITY COMPANY SEPARATE ACCOUNT SA-CPP</t>
  </si>
  <si>
    <t>MISSOURI STATE EMPLOYEES RETIREMENT</t>
  </si>
  <si>
    <t>PACIFIC INVESTMENT MANAGEMENT COMPANY LLC SOLELY IN ITS CAPACITY AS ADVISOR ON BEHALF OF STOCKSPLUS SUB-FUND B LLC</t>
  </si>
  <si>
    <t>PACIFIC INVESTMENT MANAGEMENT COMPANY LLC, SOLELY IN ITS CAPACITY AS ADVISOR ON BEHALF OF FAIRFAX COUNTY EMPLOYEES RETIREMENT SYSTEM</t>
  </si>
  <si>
    <t>ST. MAURICE &amp; ST. VERENA COPTIC ORTHODOX CHURCH</t>
  </si>
  <si>
    <t>CI BANCO SA INSTITUCION DE BANCA MULTIPLE COMO FIDUCIARIO DEL CONTRATO DE  FIDEICOMISO IRREVOCABLE DE EMISION ADMINISTRACION Y PAGO NO CIB 2800</t>
  </si>
  <si>
    <t>PACIFIC INVESTMENT MANAGEMENT COMPANY LLC, SOLELY IN ITS CAPACITY AS ADVISOR ON BEHALF OF  CREACTIF OBLIGATIONS CORPORATES INTERNATIONALES</t>
  </si>
  <si>
    <t>ALIGNVEST STRATEGIC PARTNERS FUND</t>
  </si>
  <si>
    <t>NORTHPOINT GLOBAL PARTNERS FUND</t>
  </si>
  <si>
    <t>CENTRAL PARK ADMINISTRATION A C</t>
  </si>
  <si>
    <t>ARMISTICE WAY LIMITED PARTNERSHIP</t>
  </si>
  <si>
    <t>NATIONAL GENERAL RE LIMITED</t>
  </si>
  <si>
    <t>CANADITA PROPERTIES S DE RL DE CV</t>
  </si>
  <si>
    <t>INGENIO SAN NICOLAS SA DE CV</t>
  </si>
  <si>
    <t>OI EUROPEAN GROUP B.V.</t>
  </si>
  <si>
    <t>TREVALI MINING CORPORATION</t>
  </si>
  <si>
    <t>FONDO DE INVERSION INMOBILIARIO MULTIFONDOS</t>
  </si>
  <si>
    <t>2194640 ONTARIO INC</t>
  </si>
  <si>
    <t>FLH S DE RL DE CV</t>
  </si>
  <si>
    <t>TABASCO CITRUS PACK SA DE CV</t>
  </si>
  <si>
    <t>DOMINO COMERCIO SA DE CV</t>
  </si>
  <si>
    <t>ARMISTICE WAY 2 LIMITED PARTNERSHIP</t>
  </si>
  <si>
    <t>ASC (AB) FACILITY LIMITED PARTNERSHIP</t>
  </si>
  <si>
    <t>BEACON HILL LIMITED PARTNERSHIP</t>
  </si>
  <si>
    <t>LEWIS ESTATES SENIORS FACILITY LIMITED PARTNERSHIP</t>
  </si>
  <si>
    <t>ALL SENIORS CARE LIVING CENTRES LTD</t>
  </si>
  <si>
    <t>ST. ANNE'S LIMITED PARTNERSHIP</t>
  </si>
  <si>
    <t>TOWER RESEARCH CAPITAL EUROPE LTD</t>
  </si>
  <si>
    <t>TEACHERS RETIREMENT SYSTEM OF TEXAS</t>
  </si>
  <si>
    <t>TEACHER RETIREMENT SYSTEM OF TEXAS</t>
  </si>
  <si>
    <t>PACIFIC INVESTMENT MANAGEMENT COMPANY LLC, SOLELY IN ITS CAPACITY AS ADVISOR ON BEHALF OF HONG KONG HOUSING SOCIETY</t>
  </si>
  <si>
    <t>PH&amp;N PRIVATE PLACEMENT CORPORATE DEBT FUND</t>
  </si>
  <si>
    <t>PH&amp;N INVESTMENT GRADE CORPORATE BOND TRUST</t>
  </si>
  <si>
    <t>TIMBERCOVE HOLDINGS INC</t>
  </si>
  <si>
    <t>7 ELEVEN CANADA INC</t>
  </si>
  <si>
    <t>TENEDORA MPO S DE RL DE CV</t>
  </si>
  <si>
    <t>LED SMART INC</t>
  </si>
  <si>
    <t>SIBTHORPE MARKETING SERVICES INC</t>
  </si>
  <si>
    <t>TAIPEI FUBON COMMERCIAL BANK CO LTD</t>
  </si>
  <si>
    <t>VIRTUAL TOURS 8 SA DE CV</t>
  </si>
  <si>
    <t>MIZUHO CORP BANK</t>
  </si>
  <si>
    <t>MIZUHO BANK LTD LONDON</t>
  </si>
  <si>
    <t>INDUSTRIAS MELDER SA DE CV</t>
  </si>
  <si>
    <t>PACIFIC INVESTMENT MANAGEMENT COMPANY LLC, SOLELY IN ITS CAPACITY AS ADVISOR ON BEHALF OF THE WORLD HEALTH ORGANIZATION</t>
  </si>
  <si>
    <t>PACIFIC INVESTMENT MANAGEMENT COMPANY LLC, SOLELY IN ITS CAPACITY AS ADVISOR ON BEHALF OF SUN LIFE OF CANADA (US) VARIABLE ACCOUNT H</t>
  </si>
  <si>
    <t>AUSTRALIAN GAS NETWORKS VIC 3 PTY LTD</t>
  </si>
  <si>
    <t>ROCZAMB HOLDINGS LIMITED</t>
  </si>
  <si>
    <t>EPIC ADVENTURE SPORTS SA DE CV</t>
  </si>
  <si>
    <t>Bank of China International Ltd</t>
  </si>
  <si>
    <t>BANK OF CHINA INTERNATIONAL LIMITED</t>
  </si>
  <si>
    <t>BEAZLEY PLC GROUP</t>
  </si>
  <si>
    <t>NETMAR SA DE CV</t>
  </si>
  <si>
    <t>GOLDEN GATE WYECROFT PLAZA LIMITED</t>
  </si>
  <si>
    <t>CONTINENTAL GOLD INC</t>
  </si>
  <si>
    <t>PESQUERA CHICHIMECAS S DE RL DE CV</t>
  </si>
  <si>
    <t>AUSTRALIA AND NEW ZEALAND BANKING GROUP LTD HONGKONG</t>
  </si>
  <si>
    <t>AUSTRALIA AND NEW ZEALAND BANKING.GROUP LTD NEW YORK</t>
  </si>
  <si>
    <t>BK OF COMMUNICATIONS</t>
  </si>
  <si>
    <t>BANK OF COMMUNICATIONS CO LTD</t>
  </si>
  <si>
    <t>BANK OF COMMUNICATIONS CO., LTD.</t>
  </si>
  <si>
    <t>COLUMBIA FUNDS SERIES TRUST I - MULTI-MANAGER ALTERNATIVE STRATEGIES FUND</t>
  </si>
  <si>
    <t>UNIONVILLE RE DEV CORPORATION</t>
  </si>
  <si>
    <t>B J TAKE INC</t>
  </si>
  <si>
    <t>TOP SHELF FEEDS INC</t>
  </si>
  <si>
    <t>NESTLE CHILE S.A.</t>
  </si>
  <si>
    <t>BANCO INVEXSA INSTITUCION DE BANCA MULTIPLE INVEX GRUPO FINANCIERO EN SU CARACTER FIDUCIARIO DEL CONTRATO DE FIDEICOMISO IRREVOCABLE DE ADMINISTRACION Y PAGO CON DERECHOS DE REVERSION NO F3276</t>
  </si>
  <si>
    <t>AZZI MEDICAL &amp; PROFESSIONAL CENTRE INC</t>
  </si>
  <si>
    <t>Ever Supreme Development Limited</t>
  </si>
  <si>
    <t>TD ASSET MANAGEMENT T1600</t>
  </si>
  <si>
    <t>TD ASSET MANAGEMENT 1202</t>
  </si>
  <si>
    <t>TD ASSET MANAGEMENT T1202001</t>
  </si>
  <si>
    <t>TD ASSET MANAGEMENT T1202002</t>
  </si>
  <si>
    <t>ALADDIN INTERMEDIATE FUND (IRELAND) II LTD</t>
  </si>
  <si>
    <t>FOUR SEASONS HOTELS AND RESORTS B V</t>
  </si>
  <si>
    <t>SCOTIATRUST</t>
  </si>
  <si>
    <t>PACIFIC INVESTMENT MANAGEMENT COMPANY LLC, SOLELY IN ITS CAPACITY AS ADVISOR ON BEHALF OF PIMCO ABSOLUTE RETURN STRATEGY II TRUST, A SUB-TRUST OF PIMCO CAYMAN UNIT TRUST</t>
  </si>
  <si>
    <t>LEHMANS STORM FUND</t>
  </si>
  <si>
    <t>FMC FINANCE V SARL</t>
  </si>
  <si>
    <t>CIDEL TRUST COMPANY</t>
  </si>
  <si>
    <t>SORENSEN GREENHOUSE INC.</t>
  </si>
  <si>
    <t>SATORI AIR SERVICES INC</t>
  </si>
  <si>
    <t>P-RIDGE FARMS LTD.</t>
  </si>
  <si>
    <t>PACIFIC CAPITAL REAL ESTATE LTD</t>
  </si>
  <si>
    <t>GIRODAY SAWMILLS LTD.</t>
  </si>
  <si>
    <t>ALPHADYNE BLOCK TRADE</t>
  </si>
  <si>
    <t>ALPHADYNE ASSET MANAGEMENT - VCON BLOCK ETRADING</t>
  </si>
  <si>
    <t>ALPHADYNE BLOCK TRADE - CDEA</t>
  </si>
  <si>
    <t>TD ASSET MANAGEMENT 1374001</t>
  </si>
  <si>
    <t>TD ASSET MANAGEMENT 1374002</t>
  </si>
  <si>
    <t>TD ASSET MANAGEMENT 1371</t>
  </si>
  <si>
    <t>TD ASSET MANAGEMENT 1370</t>
  </si>
  <si>
    <t>TD ASSET MANAGEMENT 1375001</t>
  </si>
  <si>
    <t>TD ASSET MANAGEMENT 1375002</t>
  </si>
  <si>
    <t>TD ASSET MANAGEMENT 1735</t>
  </si>
  <si>
    <t>TD ASSET MANAGEMENT 1736</t>
  </si>
  <si>
    <t>TD ASSET MANAGEMENT 1732</t>
  </si>
  <si>
    <t>TD ASSET MANAGEMENT 1345</t>
  </si>
  <si>
    <t>ENGIE CANADA INC</t>
  </si>
  <si>
    <t>TD ASSET MANAGEMENT 1709</t>
  </si>
  <si>
    <t>TD ASSET MANAGEMENT 1731</t>
  </si>
  <si>
    <t>TD INCOME ADVANTAGE PORTFOLIO</t>
  </si>
  <si>
    <t>TD ASSET MANAGEMENT 1713</t>
  </si>
  <si>
    <t>TD ASSET MANAGEMENT 1346</t>
  </si>
  <si>
    <t>TD ASSET MANAGEMENT 1708</t>
  </si>
  <si>
    <t>TD ASSET MANAGEMENT 1347</t>
  </si>
  <si>
    <t>TD ASSET MANAGEMENT 1737</t>
  </si>
  <si>
    <t>TD ASSET MANAGEMENT T1971</t>
  </si>
  <si>
    <t>CANADA POST CORPORATION REGISTERED PENSION PLAN</t>
  </si>
  <si>
    <t>GRANDES HOTELITOS SA DE CV</t>
  </si>
  <si>
    <t>NUECES FINK SA DE CV</t>
  </si>
  <si>
    <t>1934519 ONTARIO INC  CAR LINK</t>
  </si>
  <si>
    <t>623619 ONTARIO INC OA WS SAFETY TECHNOLOGIES</t>
  </si>
  <si>
    <t>L WESTON OPERACIONES SA DE CV</t>
  </si>
  <si>
    <t>PRINTEL SA DE CV</t>
  </si>
  <si>
    <t>MAGICLAMP SOFTWARE SOLUTIONS INC</t>
  </si>
  <si>
    <t>GS+A US EQUITY FUND</t>
  </si>
  <si>
    <t>GS AND A US EQUITY FUND</t>
  </si>
  <si>
    <t>VIVIAN REISS LIVING LTD</t>
  </si>
  <si>
    <t>BHP BILLITON MARKETING INC</t>
  </si>
  <si>
    <t>MURPHY EXPLORATION &amp; PRODUCTION COMPANY USA INC</t>
  </si>
  <si>
    <t>NOR-ALTA AVIATION LEASING INC.</t>
  </si>
  <si>
    <t>NOR- ALTA AVIATION LEASING INC</t>
  </si>
  <si>
    <t>GS AND A INTERNATIONAL FUND</t>
  </si>
  <si>
    <t>CONSTRUCCIONES BAFAR SA DE CV</t>
  </si>
  <si>
    <t>A M B LIFT INC</t>
  </si>
  <si>
    <t>SCOTIA (HK) LTD (ASIA PACIFIC RIM) RCM</t>
  </si>
  <si>
    <t>Scotiabank (Hong Kong) Ltd</t>
  </si>
  <si>
    <t>Scotiabank (Hong Kong) Limited</t>
  </si>
  <si>
    <t>SCOTIABANK (HONG KONG) LIMITED</t>
  </si>
  <si>
    <t>CTBC BANK CO., LTD.</t>
  </si>
  <si>
    <t>HAILE GOLD MINE INC</t>
  </si>
  <si>
    <t>ALPHAPET INC.</t>
  </si>
  <si>
    <t>GROWMAX RESOURCES CORP</t>
  </si>
  <si>
    <t>AGRICOLA REBACE SPR DE RL</t>
  </si>
  <si>
    <t>CANFLEXOGRAPHICS LIMITED</t>
  </si>
  <si>
    <t>THE CITY OF CALGARY</t>
  </si>
  <si>
    <t>FDN SA DE CV</t>
  </si>
  <si>
    <t>FOUNDATION FOR THE PARKS AND RESERVES OF COTE D IVOIRE</t>
  </si>
  <si>
    <t>GRANMARK SA DE CV</t>
  </si>
  <si>
    <t>URANIUM PARTICIPATION CORPORATION</t>
  </si>
  <si>
    <t>CX MACRO LIMITED</t>
  </si>
  <si>
    <t>FERIQUE DIVIDEND FUND</t>
  </si>
  <si>
    <t>2545755 ONTARIO INC O/A THORPE CANADA CONSTRUCTION AND REFRACTORIES</t>
  </si>
  <si>
    <t>COMPAL ELECTRONICS INC.</t>
  </si>
  <si>
    <t>SALIDA WEALTH PRESERVATION FUND</t>
  </si>
  <si>
    <t>PACIFIC INVESTMENT MANAGEMENT COMPANY LLC, SOLELY IN ITS CAPACITY AS ADVISOR ON BEHALF OF  PIMCO FUNDS: GLOBAL INVESTORS SERIES PLC GLOBAL REAL RETURN FUND</t>
  </si>
  <si>
    <t>PACIFIC INVESTMENT MANAGEMENT COMPANY LLC, SOLELY IN ITS CAPACITY AS ADVISOR ON BEHALF OF PIMCO FUNDS: GLOBAL INVESTORS SERIES PLC LOW AVERAGE DURATION FUND</t>
  </si>
  <si>
    <t>PACIFIC INVESTMENT MANAGEMENT COMPANY LLC, SOLELY IN ITS CAPACITY AS ADVISOR ON BEHALF OF  THE NISOURCE INC. MASTER RETIREMENT TRUST</t>
  </si>
  <si>
    <t>PIMCO FUNDS: GLOBAL INVESTORS SERIES PLC EURO CREDIT FUND</t>
  </si>
  <si>
    <t>PACIFIC INVESTMENT MANAGEMENT COMPANY LLC, SOLELY IN ITS CAPACITY AS ADVISOR ON BEHALF OF PIMCO FUNDS: GLOBAL INVESTOR SERIES PLC, EURO REAL RETURN FUND</t>
  </si>
  <si>
    <t>NBCN CLEARING INC</t>
  </si>
  <si>
    <t>PACIFIC INVESTMENT MANAGEMENT COMPANY LLC, SOLELY IN ITS CAPACITY AS ADVISOR ON BEHALF OF EDUCATIONAL EMPLOYEES' SUPPLEMENTARY RETIREMENT SYSTEM OF FAIRFAX COUNTY</t>
  </si>
  <si>
    <t>PACIFIC INVESTMENT MANAGEMENT COMPANY LLC, SOLELY IN ITS CAPACITY AS ADVISOR ON BEHALF OF PIMCO FUNDS: PIMCO INCOME FUND</t>
  </si>
  <si>
    <t>DAYMEN UK ACQUISITIONS LTD.</t>
  </si>
  <si>
    <t>COUNSEL REGULAR PAY</t>
  </si>
  <si>
    <t>NATIONAL AUSTRALIA BANK LIMITED  HONG KONG</t>
  </si>
  <si>
    <t>QUATRO RESOURCES INC</t>
  </si>
  <si>
    <t>INMOBILIARIA HL SA DE CV</t>
  </si>
  <si>
    <t>PROMOTORA HORUS SAPI DE CV</t>
  </si>
  <si>
    <t>HACIENDA LOMA LARGA SA DE CV</t>
  </si>
  <si>
    <t>BALAM ADMINISTRADORA S DE RL DE CV</t>
  </si>
  <si>
    <t>AEROPUERTO DE GUADALAJARA SA DE CV</t>
  </si>
  <si>
    <t>TACO BELL OF AMERICA LLC</t>
  </si>
  <si>
    <t>Insight Investment Management (Global) Limited</t>
  </si>
  <si>
    <t>Insight Investment Management (Global) Limited, for and on behalf of FSG00390</t>
  </si>
  <si>
    <t>INSIGHT INVESTMENT MANAGEMENT - BLOCK TRADE</t>
  </si>
  <si>
    <t>PREMIER OIL ONS LTD</t>
  </si>
  <si>
    <t>C N R INTERNATIONAL UK LIMITED</t>
  </si>
  <si>
    <t>CANADIAN NATURAL RESOURCES INTERNATIONAL UK LIMITED</t>
  </si>
  <si>
    <t>BLAIR FRANKLIN GLOBAL CREDIT FUND L.P</t>
  </si>
  <si>
    <t>BLAIR FRANKLIN GLOBAL CREDIT FUND LP</t>
  </si>
  <si>
    <t>BLUECREST EMERGING MARKETS MASTER FUND LIMITED CDEA</t>
  </si>
  <si>
    <t>CIBC MELLON TRUST COMPANY AS TRUSTEE OF ONTARIO POWER GENERATION INC. PENSION FUND</t>
  </si>
  <si>
    <t>TD ASSET MANAGEMENT 47414</t>
  </si>
  <si>
    <t>FIRST TRUST ALPHADEX US DIVIDEND PLUS EFT CAD HEDGE</t>
  </si>
  <si>
    <t>FIRST TRUST ALPHADEX EMERGING MARKET DIVIDEND EFT CAD HEDGED</t>
  </si>
  <si>
    <t>RESOLUTE FP CANADA INC</t>
  </si>
  <si>
    <t>CANADIAN NATURAL RESOURCES</t>
  </si>
  <si>
    <t>YOUNG POONG CORPORATION</t>
  </si>
  <si>
    <t>850 BRANT PROPERTIES INC GROUP</t>
  </si>
  <si>
    <t>BARRICH HOLDINGS LTD</t>
  </si>
  <si>
    <t>The Hongkong Electric Company Ltd.</t>
  </si>
  <si>
    <t>QUIMAGRO INDUSTRIAL SA DE CV</t>
  </si>
  <si>
    <t>KOHLER TRADING MEXICO S DE RL DE CV</t>
  </si>
  <si>
    <t>CONSULTORIA DE INGENIERIA PARA SOLUCIONES INTEGRADAS S DE RL DE CV</t>
  </si>
  <si>
    <t>FIRST TRUST ALL WEATHER UCITS FUND</t>
  </si>
  <si>
    <t>Power Assets Holdings Ltd.</t>
  </si>
  <si>
    <t>3M SINGAPORE PTE LTD</t>
  </si>
  <si>
    <t>RC ENTRETENIMIENTOS DEPORTIVOS SA DE CV</t>
  </si>
  <si>
    <t>NATIONAL HOCKEY LEAGUE PLAYERS ASSN</t>
  </si>
  <si>
    <t>NEXTERA ENERGY CANADIAN HOLDINGS UL</t>
  </si>
  <si>
    <t>SUN LIFE FINANCIAL TRUST INC.</t>
  </si>
  <si>
    <t>SUN LIFE FINANCIAL TRUST</t>
  </si>
  <si>
    <t>RBC U.S. DIVIDEND FUND</t>
  </si>
  <si>
    <t>R M P ATHLETIC LOCKER LIMITED</t>
  </si>
  <si>
    <t>R.M.P. ATHLETIC LOCKER LIMITED</t>
  </si>
  <si>
    <t>RMP ATHLETIC LOCKER LIMITED</t>
  </si>
  <si>
    <t>PRIVA NORTH AMERICA INC</t>
  </si>
  <si>
    <t>MATSQUI AG REPAIR LTD</t>
  </si>
  <si>
    <t>LINCLUDEN INTERNATIONAL EQUITY POOLED FUND</t>
  </si>
  <si>
    <t>LA MAISON AMICO  1981  INC</t>
  </si>
  <si>
    <t>L PC INC</t>
  </si>
  <si>
    <t>FRICO FLOWERS INC</t>
  </si>
  <si>
    <t>EVENT RENTAL GROUP LIMITED PART</t>
  </si>
  <si>
    <t>0958836 BC LTD</t>
  </si>
  <si>
    <t>APPLE SADDLERY INC</t>
  </si>
  <si>
    <t>ANGLO AMERICAN CEDAR PRODUCTS LTD.</t>
  </si>
  <si>
    <t>1832 ASSET MANAGEMENT LP (AS AGENT)</t>
  </si>
  <si>
    <t>1832 ASSET MANAGEMENT LP</t>
  </si>
  <si>
    <t>1832 AM ON BEHALF OF SCOTIA ASSET MANAGEMENT CLIENTS</t>
  </si>
  <si>
    <t>AGF ELEMENTS BALANCED PORTFOLIO</t>
  </si>
  <si>
    <t>TD ASSET MANAGEMENT T5017</t>
  </si>
  <si>
    <t>TD ASSET MANAGEMENT 1115001</t>
  </si>
  <si>
    <t>HERAEUS METALS (SHANGHAI) CO LTD</t>
  </si>
  <si>
    <t>MACKENZIE INTERNATIONAL DIVIDEND FUND</t>
  </si>
  <si>
    <t>Hong Kong Dragon Airlines Limited</t>
  </si>
  <si>
    <t>DOUBLE LL FARMS</t>
  </si>
  <si>
    <t>SOURCE ENERGY SERVICES CANADA LP</t>
  </si>
  <si>
    <t>SOURCE ENERGY SERVICES CANADIAN LOGISTICS LIMITED PARTERSHIP</t>
  </si>
  <si>
    <t>CQS ACS FUND LIMITED</t>
  </si>
  <si>
    <t>MIGUEL ANGEL GARCIA PEREZ</t>
  </si>
  <si>
    <t>LU02</t>
  </si>
  <si>
    <t>LT03</t>
  </si>
  <si>
    <t>LU03</t>
  </si>
  <si>
    <t>LU04</t>
  </si>
  <si>
    <t>LT04</t>
  </si>
  <si>
    <t>GOLD FIELDS GROUP SERVICES (PROPRIETARY) LTD</t>
  </si>
  <si>
    <t>G Y &amp; S ENTERPRISES LTD.</t>
  </si>
  <si>
    <t>C_CHILE USER</t>
  </si>
  <si>
    <t>CANADA DIRECT TRADING LIMITED</t>
  </si>
  <si>
    <t>COMPANIA PENA SANCHEZ SA DE CV</t>
  </si>
  <si>
    <t>EHP SELECT FUND</t>
  </si>
  <si>
    <t>FORD OF CANADA - C.A.W. RETIREMENT PENSION PLAN NO. 1</t>
  </si>
  <si>
    <t>JAPAN SOLAR POOL III LP</t>
  </si>
  <si>
    <t>JAPAN SOLAR POOL II LP</t>
  </si>
  <si>
    <t>AGRICOLA MARTHA MARIA SPR DE RL DE CV</t>
  </si>
  <si>
    <t>SUSPENSE ACCOUNT</t>
  </si>
  <si>
    <t>LS02</t>
  </si>
  <si>
    <t>LS01</t>
  </si>
  <si>
    <t>LS03</t>
  </si>
  <si>
    <t>CITIBANK N.A HONG KONG</t>
  </si>
  <si>
    <t>360T</t>
  </si>
  <si>
    <t>ADACOMSA SA DE CV</t>
  </si>
  <si>
    <t>ALTAN REDES SAPI DE CV</t>
  </si>
  <si>
    <t>ANA MAITE MARTINEZ NOVOA</t>
  </si>
  <si>
    <t>DESC CORPORATIVO SA DE CV</t>
  </si>
  <si>
    <t>DYNASOL ALTAMIRA, SA DE CV</t>
  </si>
  <si>
    <t>COLBUN S.A.</t>
  </si>
  <si>
    <t>BANK OF AMERICA NA HONG KONG</t>
  </si>
  <si>
    <t>BANK OF AMERICA</t>
  </si>
  <si>
    <t>BANK OF AMERICA NA LONDON (STF)</t>
  </si>
  <si>
    <t>BANK OF AMERICA NA-LONDON-(ASIA PACIFIC RIM)</t>
  </si>
  <si>
    <t>LJ20</t>
  </si>
  <si>
    <t>ALNESS DEVELOPMENTS LTD.</t>
  </si>
  <si>
    <t>PICTON MAHONEY TACTICAL INCOME FUND</t>
  </si>
  <si>
    <t>PICTON MAHONEY TACTICAL INCOME FUND LONG</t>
  </si>
  <si>
    <t>PICTON MAHONEY TACTICAL INCOME FUND SHORT</t>
  </si>
  <si>
    <t>CMB WING LUNG BANK LIMITED</t>
  </si>
  <si>
    <t>CAMDEN PROPERTY TRUST</t>
  </si>
  <si>
    <t>AEROPUERTO DE TIJUANA SA DE CV</t>
  </si>
  <si>
    <t>FORZA SPL SA DE CV</t>
  </si>
  <si>
    <t>GRUPO COMERCIAL DSW SA DE CV</t>
  </si>
  <si>
    <t>HECTOR MANUEL BALMACEDA PEREZ</t>
  </si>
  <si>
    <t>IMPERQUIMIA SA DE CV</t>
  </si>
  <si>
    <t>JAGUAR EXPLORACION Y PRODUCCION DE HIDROCARBUROS SAPI DE CV</t>
  </si>
  <si>
    <t>POI BUSINESS INTERIORS INC</t>
  </si>
  <si>
    <t>PRODUCTOS LACTEOS SANBUENA SA DE CV</t>
  </si>
  <si>
    <t>SOLUCIONES INTERNACIONALES DE TRANSPORTE SA DE CV</t>
  </si>
  <si>
    <t>COMERCIALIZADORA DE PERSIANAS GABIN SA DE CV</t>
  </si>
  <si>
    <t>BULL WEALTH MANAGEMENT GROUP INC</t>
  </si>
  <si>
    <t>CENTRAL PARK</t>
  </si>
  <si>
    <t>POSTLAND INVESTMENTS LIMITED</t>
  </si>
  <si>
    <t>AVRILIUS HOLDINGS LIMITED</t>
  </si>
  <si>
    <t>MACKENZIE GLOBAL SUSTAINABILITY AND IMPACT BALANCED FUND</t>
  </si>
  <si>
    <t>MACKENZIE GLOBAL SUSTAINABLE BALANCED FUND</t>
  </si>
  <si>
    <t>MACKENZIE GLOBAL SUSTAINABILITY IMP</t>
  </si>
  <si>
    <t>MACKENZIE ALL CHINA EQUITY FUND</t>
  </si>
  <si>
    <t>CONCORD CENTRE FOR THE PERFORMING ARTS LTD.</t>
  </si>
  <si>
    <t>SYRUS DISTRIBUTION SA DE CV</t>
  </si>
  <si>
    <t>EJERCITO DE SALVACION INTERNACIONAL AC</t>
  </si>
  <si>
    <t>9970517 CANADA LTD O A ART MAGIC CARPENTRY</t>
  </si>
  <si>
    <t>CEDA PARENT HOLDINGS LIMITED</t>
  </si>
  <si>
    <t>ECONFIRM LLC</t>
  </si>
  <si>
    <t>THANACHART SECURITIES PUBLIC COMPANY LIMITED</t>
  </si>
  <si>
    <t>DYE &amp; DURHAM CORPORATION</t>
  </si>
  <si>
    <t>DYE AND DURHAM CORPORATION</t>
  </si>
  <si>
    <t>KUPOL VENTURES LIMITED</t>
  </si>
  <si>
    <t>AST HIGH YIELD PORTFOLIO</t>
  </si>
  <si>
    <t>Polygon European Equity Opportunity Master Fund (US Mkts)</t>
  </si>
  <si>
    <t>Polygon European Equity Opportunity Fund</t>
  </si>
  <si>
    <t>PICTON MAHONEY CONCENTRATED OPPORTUNISTIC LONG SHORT FUND</t>
  </si>
  <si>
    <t>MOBILE SERVICE CENTER CANADA LTD</t>
  </si>
  <si>
    <t>BLUE STREAK ELECTRONICS INC</t>
  </si>
  <si>
    <t>UNIVERSITY OF OTTAWA HEART INSTITUTE</t>
  </si>
  <si>
    <t>UNIVERSITY OF OTTAWA HEART INSTITUT</t>
  </si>
  <si>
    <t>RIMAC SEGUROS Y REASEGUROS</t>
  </si>
  <si>
    <t>CORPORACION DE ENERGIA MEXOIL SAPI DE CV</t>
  </si>
  <si>
    <t>731351 Alberta Ltd.</t>
  </si>
  <si>
    <t>PENSION PLAN FOR THE EMPLOYEES OF CONCORDIA UNIVERSITY</t>
  </si>
  <si>
    <t>RAINBOW GREENHOUSES INC</t>
  </si>
  <si>
    <t>THE LEADING EDGE BOUTIQUES LTD</t>
  </si>
  <si>
    <t>BANK OF NOVA SCOTIA 43372</t>
  </si>
  <si>
    <t>BNS SEOUL - DERIVATIVES</t>
  </si>
  <si>
    <t>THE BANK OF NOVA SCOTIA SEOUL BRANCH</t>
  </si>
  <si>
    <t>BANK OF NOVA SCOTIA ASIA LTD SPG</t>
  </si>
  <si>
    <t>BNS ASIA LTD</t>
  </si>
  <si>
    <t>BNS SINGAPORE SWAP BOOK</t>
  </si>
  <si>
    <t>SINGAPORE TAX AUTHORITY</t>
  </si>
  <si>
    <t>ENERGIA LIMPIA DE LA LAGUNA SAPI DE CV</t>
  </si>
  <si>
    <t>AGROPECUARIA LA NORTENITA S DE RL DE CV</t>
  </si>
  <si>
    <t>LANTERRA COMMERCIAL HOLDINGS INC.</t>
  </si>
  <si>
    <t>GROUPE IMECO IMMOBILIERS INC</t>
  </si>
  <si>
    <t>CANACOL ENERGY LTD</t>
  </si>
  <si>
    <t>RADICAL CANADA CORP</t>
  </si>
  <si>
    <t>PIMCO A-OR-BETTER CORE FIXED2823</t>
  </si>
  <si>
    <t>MANULIFE BALANCED INCOME PRIVATE TRUST</t>
  </si>
  <si>
    <t>MACKENZIE GLOBAL DIVIDEND FUND</t>
  </si>
  <si>
    <t>MANULIFE CORPORATE BOND FUND</t>
  </si>
  <si>
    <t>MANULIFE CORPORATE BOND CLASS</t>
  </si>
  <si>
    <t>MANULIFE MONTHLY HIGH INCOME FUND</t>
  </si>
  <si>
    <t>MAPLE BANK GMBH.</t>
  </si>
  <si>
    <t>MD DIVIDEND EQUITY FUND</t>
  </si>
  <si>
    <t>WILKRIDGE FARM</t>
  </si>
  <si>
    <t>0940380 B.C LTD</t>
  </si>
  <si>
    <t>FIRST GULF CORPORATION</t>
  </si>
  <si>
    <t>AMIGOS DE LA RIVIERA MAYA SA DE CV</t>
  </si>
  <si>
    <t>PACIFIC INVESTMENT MANAGEMENT COMPANY LLC, SOLELY IN ITS CAPACITY AS ADVISOR ON BEHALF OF THE GOODYEAR TIRE AND RUBBER COMPANY COMMON TRUST FOR THE COLLECTIVE INVESTMENT OF RETIREMENT PLAN FUNDS.</t>
  </si>
  <si>
    <t>PACIFIC INVESTMENT MANAGEMENT COMPANY LLC, SOLELY IN ITS CAPACITY AS ADVISOR ON BEHALF OF TA IDEX PIMCO TOTAL RETURN</t>
  </si>
  <si>
    <t>PACIFIC INVESTMENT MANAGEMENT COMPANY LLC, SOLELY IN ITS CAPACITY AS ADVISOR ON BEHALF OF JP MORGAN CHASE 401 (K) SAVINGS PLAN</t>
  </si>
  <si>
    <t>PACIFIC INVESTMENT MANAGEMENT COMPANY LLC, SOLELY IN ITS CAPACITY AS ADVISOR ON BEHALF OF THE WHITBREAD GROUP PENSION FUND</t>
  </si>
  <si>
    <t>PACIFIC INVESTMENT MANAGEMENT COMPANY LLC, SOLELY IN ITS CAPACITY AS ADVISOR ON BEHALF OF VICTORIAN FUNDS MANAGEMENT CORPORATION AS RESPONSIBLE ENTITY FOR TAC PIMCO ABSOLUTE RETURN STRATEGY IV (AUSTRALIAN FIXED INTEREST SUB PORTFOLIO)</t>
  </si>
  <si>
    <t>PACIFIC INVESTMENT MANAGEMENT COMPANY LLC, SOLELY IN ITS CAPACITY AS ADVISOR ON BEHALF OF THE NORTHROP GRUMMAN CORPORATION PENSION MASTER TRUST</t>
  </si>
  <si>
    <t>PACIFIC INVESTMENT MANAGEMENT COMPANY LLC, SOLELY IN ITS CAPACITY AS ADVISOR ON BEHALF OF VICTORIAN FUNDS MANAGEMENT CORPORATION AS RESPONSIBLE ENTITY FOR ESSS EX-SSF PIMCO ABSOLUTE RETURN STRATEGY IV (AUSTRALIAN FIXED INTEREST SUB PORTFOLIO)</t>
  </si>
  <si>
    <t>PACIFIC INVESTMENT MANAGEMENT COMPANY LLC, SOLELY IN ITS CAPACITY AS ADVISOR ON BEHALF OF PIMCO FUNDS: GLOBAL INVESTORS SERIES PLC GLOBAL BOND FUND</t>
  </si>
  <si>
    <t>PACIFIC INVESTMENT MANAGEMENT COMPANY LLC, SOLELY IN ITS CAPACITY AS ADVISOR ON BEHALF OF EFH RETIREMENT PLAN</t>
  </si>
  <si>
    <t>PACIFIC INVESTMENT MANAGEMENT COMPANY LLC, SOLELY IN ITS CAPACITY AS ADVISOR ON BEHALF OF USG CORPORATION MASTER INVESTMENT TRUST</t>
  </si>
  <si>
    <t>PACIFIC INVESTMENT MANAGEMENT COMPANY LLC, SOLELY IN ITS CAPACITY AS ADVISOR ON BEHALF OF FIRE AND POLICE MEMBERS' BENEFIT FUND</t>
  </si>
  <si>
    <t>PACIFIC INVESTMENT MANAGEMENT COMPANY LLC, SOLELY IN ITS CAPACITY AS ADVISOR ON BEHALF OF PIMCO FUNDS: GLOBAL INVESTORS SERIES PLC HIGH YIELD BOND FUND</t>
  </si>
  <si>
    <t>PACIFIC INVESTMENT MANAGEMENT COMPANY LLC, SOLELY IN ITS CAPACITY AS ADVISOR ON BEHALF OF  PIMCO FUNDS: GLOBAL INVESTORS SERIES PLC UK LONG TERM CORPORATE BOND FUND</t>
  </si>
  <si>
    <t>PACIFIC INVESTMENT MANAGEMENT COMPANY LLC, SOLELY IN ITS CAPACITY AS ADVISOR ON BEHALF OF PIMCO FUNDS GLOBAL INVESTORS SERIES PLC GLOBAL BOND EX-US FUND.</t>
  </si>
  <si>
    <t>PACIFIC INVESTMENT MANAGEMENT COMPANY LLC, SOLELY IN ITS CAPACITY AS ADVISOR ON BEHALF OF PIMCO FUNDS: GLOBAL INVESTORS SERIES PLC EMERGING MARKETS BOND FUND</t>
  </si>
  <si>
    <t>PACIFIC INVESTMENT MANAGEMENT COMPANY LLC, SOLELY IN ITS CAPACITY AS ADVISOR ON BEHALF OF PIMCO FUNDS: GLOBAL INVESTORS SERIES PLC EURO BOND FUND</t>
  </si>
  <si>
    <t>PACIFIC INVESTMENT MANAGEMENT COMPANY LLC, SOLELY IN ITS CAPACITY AS ADVISOR ON BEHALF OF PIMCO FUNDS: GLOBAL INVESTORS SERIES PLC EURO LONG AVERAGE DURATION FUND</t>
  </si>
  <si>
    <t>PACIFIC INVESTMENT MANAGEMENT COMPANY LLC, SOLELY IN ITS CAPACITY AS ADVISOR ON BEHALF OF  PIMCO FUNDS: GLOBAL INVESTORS SERIES PLC EURO ULTRA LONG DURATION FUND</t>
  </si>
  <si>
    <t>PACIFIC INVESTMENT MANAGEMENT COMPANY LLC, SOLELY IN ITS CAPACITY AS ADVISOR ON BEHALF OF  PIMCO FUNDS: GLOBAL INVESTORS SERIES PLC GLOBAL HIGH YIELD BOND FUND</t>
  </si>
  <si>
    <t>PACIFIC INVESTMENT MANAGEMENT COMPANY LLC, SOLELY IN ITS CAPACITY AS ADVISOR ON BEHALF OF PIMCO FUNDS: GLOBAL INVESTORS SERIES PLC GLOBAL INVESTMENT GRADE CREDIT FUND</t>
  </si>
  <si>
    <t>SCOTIA PRIVATE ADVANTAGE INCOME FUND</t>
  </si>
  <si>
    <t>PACIFIC INVESTMENT MANAGEMENT COMPANY LLC, SOLELY IN ITS CAPACITY AS ADVISOR ON BEHALF OF JP MORGAN CHASE RETIREMENT PLAN</t>
  </si>
  <si>
    <t>JOHN HANCOCK VARIABLE INSURANCE TRUST LIFESTYLE MODERATE MANAGED VOLATILIY TRUST</t>
  </si>
  <si>
    <t>JOHN HANCOCK VARIABLE INSURANCE TRUST LIFESTYLE GROWTH MANAGED VOLATILITY TRUST</t>
  </si>
  <si>
    <t>JOHN HANCOCK VARIABLE INSURANCE TRUST LIFESTYLE CONSERVATIVE MANAGED VOLATILITY TRUST</t>
  </si>
  <si>
    <t>JOHN HANCOCK VARIABLE INSURANCE TRUST LIFESTYLE BALANCED MANAGED VOLATILIY TRUST</t>
  </si>
  <si>
    <t>JOHN HANCOCK VARIABLE INSURANCE TRUST LIFESTYLE AGGRESSIVE MANAGED VOLATILITY FUND</t>
  </si>
  <si>
    <t>FIRST TRUST SENIOR LOAN ETF CAD HED</t>
  </si>
  <si>
    <t>FIRST TRUST ALPHADEX EUROPEAN DIVIDEND INDEX ETF</t>
  </si>
  <si>
    <t>BRANKSOME HALL</t>
  </si>
  <si>
    <t>DMP RESOURCES CLASS</t>
  </si>
  <si>
    <t>IG FRANKLIN BRISSETT CANADIAN EQUITY CLASS</t>
  </si>
  <si>
    <t>IG FRANKLIN BISSETT CANADIAN EQUITY FUND</t>
  </si>
  <si>
    <t>ISHARES SILVER BULLION ETF</t>
  </si>
  <si>
    <t>WESTWARD SHIPPING LTD</t>
  </si>
  <si>
    <t>UNITED WIRE AND CABLE CO CANADA</t>
  </si>
  <si>
    <t>TOYO TIRE CANADA INC</t>
  </si>
  <si>
    <t>SPARKLE INTERNATIONAL INC</t>
  </si>
  <si>
    <t>NORTH ENDERBY TIMBER LTD</t>
  </si>
  <si>
    <t>HI KALIBRE EQUIPMENT LTD</t>
  </si>
  <si>
    <t>HI-KALIBRE EQUIPMENT LIMITED</t>
  </si>
  <si>
    <t>DENNITECH INDUSTRIES LTD</t>
  </si>
  <si>
    <t>SCOTIA TOTAL RETURN BOND LP</t>
  </si>
  <si>
    <t>GMF CANADA LEASING TRUST</t>
  </si>
  <si>
    <t>PACIFIC INVESTMENT MANAGEMENT COMPANY LLC, SOLELY IN ITS CAPACITY AS ADVISOR ON BEHALF OF PIMCO VARIABLE INSURANCE TRUST HIGH YIELD PORTFOLIO</t>
  </si>
  <si>
    <t>PACIFIC INVESTMENT MANAGEMENT COMPANY LLC, SOLELY IN ITS CAPACITY AS ADVISOR ON BEHALF OF  RUSSELL TRUST COMPANY COMMINGLED EMPLOYEE BENEFIT FUNDS TRUST RUSSELL INTEREST RATE MANAGEMENT SOLUTION - RUSSELL LONG DURATION FIXED INCOME FUND</t>
  </si>
  <si>
    <t>PH&amp;N ENHANCED LONG BOND PENSION TRUST</t>
  </si>
  <si>
    <t>PHN ENHANCED TOTAL RETURN BOND FUND</t>
  </si>
  <si>
    <t>PH&amp;N ENHANCED TOTAL RETURN BOND FUND</t>
  </si>
  <si>
    <t>RBC CANADIAN SMALL/MID CAP RESOURCES FUND</t>
  </si>
  <si>
    <t>O SHAUGHNESSY INTERNATIONAL EQUITY FUND</t>
  </si>
  <si>
    <t>BLUE FIN TRADING LLC</t>
  </si>
  <si>
    <t>RBC PRIVATE INCOME POOL FUND</t>
  </si>
  <si>
    <t>RBC QUANT CANADIAN DIVIDEND LEADERS ETF</t>
  </si>
  <si>
    <t>TALOS ENERGY OFFSHORE MEXICO 7 S DE RL DE CV</t>
  </si>
  <si>
    <t>LEYSO SA DE CV</t>
  </si>
  <si>
    <t>2419402 ONTARIO INC</t>
  </si>
  <si>
    <t>ENGARDENT SYSTEMS INC</t>
  </si>
  <si>
    <t>ART SHOPPE LIMITED</t>
  </si>
  <si>
    <t>DITECH PAINT CO. LTD.</t>
  </si>
  <si>
    <t>BARRY WOLF FARMS LTD</t>
  </si>
  <si>
    <t>SPORT MASKA INC.</t>
  </si>
  <si>
    <t>VAN RAAY PASKAL FARMS LTD.</t>
  </si>
  <si>
    <t>VAN RAAY PASKAL FARMS LTD</t>
  </si>
  <si>
    <t>RSP PERMIAN, LLC</t>
  </si>
  <si>
    <t>IMECO CABLES INC.</t>
  </si>
  <si>
    <t>IMECO CABLES INC</t>
  </si>
  <si>
    <t>ALNOR INDUSTRIES</t>
  </si>
  <si>
    <t>BETA EXPRESS INC</t>
  </si>
  <si>
    <t>BIRCHWOOD AUTOMOTIVE GROUP PARTNERS</t>
  </si>
  <si>
    <t>BIRCHWOOD AUTOMOTIVE GROUP PARTNERSHIP</t>
  </si>
  <si>
    <t>THANACHART GOLD ETF</t>
  </si>
  <si>
    <t>THANACHART GOLD BULLION - CURRENCY UNHEDGED</t>
  </si>
  <si>
    <t>THANACHART GOLD BULLION - CURRENCY HEDGED</t>
  </si>
  <si>
    <t>QCC 191 HOLDINGS LTD.</t>
  </si>
  <si>
    <t>THANACHART FUND MANAGEMENT AFFILIATED FUNDS</t>
  </si>
  <si>
    <t>INMOBILIARIA VISTION SA DE CV</t>
  </si>
  <si>
    <t>REPUBLIC OF FRANCE</t>
  </si>
  <si>
    <t>THANACHART GOLD BULLION RETIREMENT (HEDGED)</t>
  </si>
  <si>
    <t>WISCONSIN POWER AND LIGHT COMPANY</t>
  </si>
  <si>
    <t>INTERSTATE POWER AND LIGHT COMPANY</t>
  </si>
  <si>
    <t>ORIGIN ORGANIC FARMS INC</t>
  </si>
  <si>
    <t>ORIGIN ORGANIC FARMS INC.</t>
  </si>
  <si>
    <t>GLOBAL PACIFIC RESOURCES INC</t>
  </si>
  <si>
    <t>MECANIZACIONES Y PROYECTOS SA DE CV</t>
  </si>
  <si>
    <t>CARLOS REYNOSO MARQUEZ</t>
  </si>
  <si>
    <t>OPERADORA RIO COLORADO S DE RL DE CV</t>
  </si>
  <si>
    <t>ADMINISTRADORA DEL COLORADO S DE RL DE CV</t>
  </si>
  <si>
    <t>HIGH STRENGTH PLATES AND PROFILES INC.</t>
  </si>
  <si>
    <t>PROFESIONAL 007 SA DE CV</t>
  </si>
  <si>
    <t>ARRISCRAFT CANADA INC</t>
  </si>
  <si>
    <t>MARYLEBONE DIVERSIFIED LLP</t>
  </si>
  <si>
    <t>COEUR SILVERTIP HOLDINGS LTD</t>
  </si>
  <si>
    <t>DIPROPLAS SA DE CV</t>
  </si>
  <si>
    <t>MP FOREST PRODUCTS INC</t>
  </si>
  <si>
    <t>Bank of Nova Scotia (The), Hong Kong</t>
  </si>
  <si>
    <t>BANK OF NOVA SCOTIA HONGKONG</t>
  </si>
  <si>
    <t>THE BANK OF NOVA SCOTIA HONG KONG (GROUP TREASURY)</t>
  </si>
  <si>
    <t>BANK OF NOVA SCOTIA  HONG KONG</t>
  </si>
  <si>
    <t>WPC HOLDCO LLC</t>
  </si>
  <si>
    <t>FONDO UMS NAFINSA SA DE CV FONDO DE INVERSION EN INSTRUMENTOS DE DEUDA REPRESENTADO POR</t>
  </si>
  <si>
    <t>NBI CANADIAN EQUITY GROWTH FUND</t>
  </si>
  <si>
    <t>DUCASSE INDUSTRIAL AZTECA SA DE CV</t>
  </si>
  <si>
    <t>JUEGOS DE VIDEO LATINOAMERICA GMBH</t>
  </si>
  <si>
    <t>617859 ONTARIO LIMITED OA VANTYGHEM DIAMONDS</t>
  </si>
  <si>
    <t>BORDEN LADNER GERVAIS LLP</t>
  </si>
  <si>
    <t>ROKOS GLOBAL MACRO MASTER FUND LP</t>
  </si>
  <si>
    <t>CUSTOM DIAMOND INTERNATIONAL INC.</t>
  </si>
  <si>
    <t>KILLICK AEROSPACE HOLDING INC. &amp; TURBINE ENGINE SPECIALISTS HOLDING, INC.</t>
  </si>
  <si>
    <t>COASTLAND WOOD INDUSTRIES LTD</t>
  </si>
  <si>
    <t>SAAM TOWAGE CANADA INC</t>
  </si>
  <si>
    <t>GOLD FIELDS AUSTRALIA (PTY) LTD.</t>
  </si>
  <si>
    <t>MAS BODEGA Y LOGISTICA SA DE CV</t>
  </si>
  <si>
    <t>ORIENTAL PETROCHEMICAL (TAIWAN) CO LTD</t>
  </si>
  <si>
    <t>MONTOUR LTEE</t>
  </si>
  <si>
    <t>RBC INTERNATIONAL INDEX CURRENCY NEUTRAL FUND</t>
  </si>
  <si>
    <t>RBC U.S. INDEX CURRENCY NEUTRAL FUND</t>
  </si>
  <si>
    <t>LANCASTER TECHNOLOGIES INC</t>
  </si>
  <si>
    <t>4351 PROPERTIES LTD.</t>
  </si>
  <si>
    <t>0137474 BC LTD.</t>
  </si>
  <si>
    <t>0137474 BC LTD</t>
  </si>
  <si>
    <t>FIDEICOMISO IRREVOCABLE DE EMISION ADMINISTRACION Y PAGO CIB 2826</t>
  </si>
  <si>
    <t>CANACOL ENERGY INC.</t>
  </si>
  <si>
    <t>MOD 1830 DE MEXICO, S DE RL DE CV</t>
  </si>
  <si>
    <t>TORONTO CONVENTION AND VISITORS ASSOCIATION T/A TOURISM TORONTO</t>
  </si>
  <si>
    <t>ECHELON WEALTH PARTNERS INC</t>
  </si>
  <si>
    <t>MERLOT PACKAGING INC.</t>
  </si>
  <si>
    <t>INVESTMENTS HARDWARE LIMITED</t>
  </si>
  <si>
    <t>FLETERA PEGASO SA DE CV</t>
  </si>
  <si>
    <t>GRUPO MINERO RJL,S.A. DE C.V.</t>
  </si>
  <si>
    <t>Assets Global International Limited</t>
  </si>
  <si>
    <t>ASSETS GLOBAL INTERNATIONAL LIMITED</t>
  </si>
  <si>
    <t>LAPP INDIA PRIVATE LIMITED</t>
  </si>
  <si>
    <t>DAJCOR ALUMINUM LTD.</t>
  </si>
  <si>
    <t>DAJCOR ALUMINUM LTD</t>
  </si>
  <si>
    <t>Royal Garden Inc aka Jardin Royal Inc</t>
  </si>
  <si>
    <t>MACKENZIE PORTFOLIO COMPLETION ETF</t>
  </si>
  <si>
    <t>MACKENZIE CANADIAN SHORT TERM FIXED INCOME ETF</t>
  </si>
  <si>
    <t>STAEDTLER-MARS LIMITED</t>
  </si>
  <si>
    <t>ODEM INTERNATIONAL INC</t>
  </si>
  <si>
    <t>ANCAST INDUSTRIES LTD</t>
  </si>
  <si>
    <t>ATIS GROUP INC.</t>
  </si>
  <si>
    <t>ATIS GROUP INC</t>
  </si>
  <si>
    <t>THANACHART GOLD BULLION RETIREMENT (UNHEDGED)</t>
  </si>
  <si>
    <t>INFLECTION STRATEGIC OPPORTUNITIES FUND</t>
  </si>
  <si>
    <t>THE VINE AGENCY INC.</t>
  </si>
  <si>
    <t>THE VINE AGENCY INC</t>
  </si>
  <si>
    <t>INDUSTRIAL AND COMMERCIAL BANK OF CHINA MEXICO SA</t>
  </si>
  <si>
    <t>PAGASA SA DE CV</t>
  </si>
  <si>
    <t>ALMONI METALS INC</t>
  </si>
  <si>
    <t>Man GLG Credit Multi-Strategy Master Fund</t>
  </si>
  <si>
    <t>HANWHA CORPORATION</t>
  </si>
  <si>
    <t>KOREA SOUTH-EAST POWER CO.</t>
  </si>
  <si>
    <t>SK LUBRICANTS CO. LTD</t>
  </si>
  <si>
    <t>SK NETWORKS CO., LTD.</t>
  </si>
  <si>
    <t>IBK SECURITIES CO. LTD</t>
  </si>
  <si>
    <t>IBK SECURITIES CO - FAIR VALUE RATE LINKED NOTES</t>
  </si>
  <si>
    <t>IBK SECURITIES CO</t>
  </si>
  <si>
    <t>IBK SECURITIES CO.,LTD.</t>
  </si>
  <si>
    <t>TATA COMMUNICATIONS LIMITED</t>
  </si>
  <si>
    <t>EXTRUSA DE MEXICO SA DE CV</t>
  </si>
  <si>
    <t>PRAIRIE MUSHROOMS 2010 LTD</t>
  </si>
  <si>
    <t>BNP PARIBAS HONG KONG</t>
  </si>
  <si>
    <t>ABODA ACQUISITION COMPANY INC</t>
  </si>
  <si>
    <t>PRODINOX INOXIDABLES SA DE CV</t>
  </si>
  <si>
    <t>RESORTES MONTICELLO DE MEXICO SA DE CV</t>
  </si>
  <si>
    <t>PARQUE INDUSTRIAL CACHANILLA SA DE CV</t>
  </si>
  <si>
    <t>LUMEN LONG SHORT EQUITY FUND LP</t>
  </si>
  <si>
    <t>MAM STRATEGIC INCOME (EX TOBACCO AND MARIJUANA) POOLED FUND</t>
  </si>
  <si>
    <t>REDBERRY CANADA HOLDINGS LTD</t>
  </si>
  <si>
    <t>REDBERRY PH HOLDCO INC.</t>
  </si>
  <si>
    <t>CCLUGRP</t>
  </si>
  <si>
    <t>CONNOR, CLARK &amp; LUNN INVESTMENT MANAGEMENT LTD. AFFILIATED FUNDS (AS AGENT)</t>
  </si>
  <si>
    <t>HIGHVAIL SYSTEMS INC</t>
  </si>
  <si>
    <t>CONTROLADORA MABE SA DE CV</t>
  </si>
  <si>
    <t>MABE COLOMBIA S A S</t>
  </si>
  <si>
    <t>CLEAN WATER WORKS INC.</t>
  </si>
  <si>
    <t>CLEAN WATER WORKS INC</t>
  </si>
  <si>
    <t>INMOBILIARIA CAREDO SA DE CV</t>
  </si>
  <si>
    <t>MISSISSAUGA METALS &amp; ALLOYS INC.</t>
  </si>
  <si>
    <t>CC&amp;L Q US Equity Extension Fund</t>
  </si>
  <si>
    <t>TREEHOUSE FOODS, INC.</t>
  </si>
  <si>
    <t>HINDUSTAN PETROLEUM CORPORATION LTD</t>
  </si>
  <si>
    <t>WESTROCK SHARED SERVICES LLC</t>
  </si>
  <si>
    <t>JAMES BRADEN FORD LTD.</t>
  </si>
  <si>
    <t>CITI BROADWAY</t>
  </si>
  <si>
    <t>CURRENEX BROADWAY</t>
  </si>
  <si>
    <t>EBD BROADWAY (BED)</t>
  </si>
  <si>
    <t>EBM BROADWAY</t>
  </si>
  <si>
    <t>JPM BROADWAY</t>
  </si>
  <si>
    <t>GS BROADWAY</t>
  </si>
  <si>
    <t>RBS BROADWAY</t>
  </si>
  <si>
    <t>UBS BROADWAY</t>
  </si>
  <si>
    <t>REU BROADWAY</t>
  </si>
  <si>
    <t>XTX BROADWAY</t>
  </si>
  <si>
    <t>PACIFIC POINT FOODS LTD</t>
  </si>
  <si>
    <t>MACKENZIE IVY EUROPEAN CLASS</t>
  </si>
  <si>
    <t>MACKENZIE FLOATING RATE INCOME ETF</t>
  </si>
  <si>
    <t>MACKENZIE USD GLOBAL STRATEGIC INCOME FUND</t>
  </si>
  <si>
    <t>MACKENZIE USD GLOBAL STRAT INCOM FD</t>
  </si>
  <si>
    <t>MACKENZIE USD ULTRA SHORT DURATION INCOME FUND</t>
  </si>
  <si>
    <t>MACKENZIE DIVERSIFIED ALTERNATIVES FUND</t>
  </si>
  <si>
    <t>MACKENZIE DIVERSIFIED ALTERNATIVES</t>
  </si>
  <si>
    <t>SYMMETRY CONSERVATIVE INCOME PORTFOLIO</t>
  </si>
  <si>
    <t>ADMINISTRACION TULTITLAN SA DE CV</t>
  </si>
  <si>
    <t>0910310 B C LTD</t>
  </si>
  <si>
    <t>OPERADORA DE FRANQUICIAS AGN SA DE CV</t>
  </si>
  <si>
    <t>DELPHI DIESEL SYSTEMS SRL DE CV</t>
  </si>
  <si>
    <t>APPLE ACADEMIC PRESS INC</t>
  </si>
  <si>
    <t>MACKENZIE GLOBAL TACTICAL INVESTMENT GRADE BOND FUND</t>
  </si>
  <si>
    <t>MACKENZIE GLOBAL TACTICAL INV GRADE</t>
  </si>
  <si>
    <t>SYMMETRY FIXED INCOME PORTFOLIO</t>
  </si>
  <si>
    <t>SYMMETRY GROWTH PORTFOLIO</t>
  </si>
  <si>
    <t>MACKENZIE USD GLOBAL TACTIC BOND FD</t>
  </si>
  <si>
    <t>MACKENZIE USD GLOBAL TACTICAL BOND FUND</t>
  </si>
  <si>
    <t>1984427 ONTARIO INC</t>
  </si>
  <si>
    <t>JOVA GRANEROS,S.A. DE C.V.</t>
  </si>
  <si>
    <t>ASOCIACION DE COLONOS KDK AC</t>
  </si>
  <si>
    <t>ALTA C1 ORGANICOS SAPI DE C.V.</t>
  </si>
  <si>
    <t>CANSO BROAD CORPORATE BOND FUND</t>
  </si>
  <si>
    <t>GENERAL SYNOD PENSION PLAN OF THE ANGLICAN CHURCH OF CANADA</t>
  </si>
  <si>
    <t>PEMBROKE CORPORATE BOND FUND</t>
  </si>
  <si>
    <t>CANSO CORPORATE BOND FUND</t>
  </si>
  <si>
    <t>SCOTIABANK MT CANSO CORPORATE BONDS</t>
  </si>
  <si>
    <t>CANSO CORPORATE VALUE FUND</t>
  </si>
  <si>
    <t>TORQUEST FUND IV L.P.</t>
  </si>
  <si>
    <t>CANOE BOND ADVANTAGE FUND</t>
  </si>
  <si>
    <t>SALMON CAPITAL CORPORATION</t>
  </si>
  <si>
    <t>BOF IV TRS, LLC</t>
  </si>
  <si>
    <t>KRUGER WAYAGAMACK LP</t>
  </si>
  <si>
    <t>KRUGER BROMPTON LP</t>
  </si>
  <si>
    <t>SOMERLED WILKINSON LP</t>
  </si>
  <si>
    <t>CONSTRUCTORA STIVA SA DE CV</t>
  </si>
  <si>
    <t>CROP PRODUCTION SERVICES (CANADA) INC.</t>
  </si>
  <si>
    <t>VARDHMAN TEXTILES LIMITED</t>
  </si>
  <si>
    <t>VARDHAMAN TEXTILES LTD</t>
  </si>
  <si>
    <t>JAMIESON LABORATORIES LIMITED</t>
  </si>
  <si>
    <t>IPLAS SA DE CV</t>
  </si>
  <si>
    <t>PROYECTOS DE INGENIERIA DFI SA DE CV</t>
  </si>
  <si>
    <t>WHEELCHAIR ACCESSIBLE TRANSIT INC</t>
  </si>
  <si>
    <t>WEST RIVER FARM LTD</t>
  </si>
  <si>
    <t>VISTA GROUP INC</t>
  </si>
  <si>
    <t>SOCIETE EN COMMANDITE 550 BEAUMONT</t>
  </si>
  <si>
    <t>SEGUI INVESTMENTS LIMITED</t>
  </si>
  <si>
    <t>PRIME ONE PROPERTY CORP</t>
  </si>
  <si>
    <t>HERO CYCLES LIMITED</t>
  </si>
  <si>
    <t>Hyundai Engineering &amp; Construction Co Ltd</t>
  </si>
  <si>
    <t>INDEX EXCHANGE INC</t>
  </si>
  <si>
    <t>KOREA SOUTHERN POWER CO LTD</t>
  </si>
  <si>
    <t>HONEYTEK SYSTEMS INC</t>
  </si>
  <si>
    <t>SCOTIA REINSURANCE LIMITED</t>
  </si>
  <si>
    <t>SYMMETRY US EQUITY FUND</t>
  </si>
  <si>
    <t>SYMMETRY US EQUITY FUND 4773</t>
  </si>
  <si>
    <t>BANK FOR INTERNATIONAL SETTLEMENTS</t>
  </si>
  <si>
    <t>BANK FOR INTERNATIONAL</t>
  </si>
  <si>
    <t>BANK FOR INTERNATIONAL SETTLEMETS</t>
  </si>
  <si>
    <t>BK FOR INTERNATIONAL SETTLEMENTS</t>
  </si>
  <si>
    <t>Bank for International Settlements</t>
  </si>
  <si>
    <t>DYNAMIC CONNECTIONS LTD</t>
  </si>
  <si>
    <t>AXIOM FINANCIAL GROUP INC.</t>
  </si>
  <si>
    <t>CLAIRVEST EQUITY PARTNERS IV LIMITED PARTNERSHIP</t>
  </si>
  <si>
    <t>CENTERRA GOLD INC</t>
  </si>
  <si>
    <t>BANK OF MOTREAL (CHINA) CO., LTD</t>
  </si>
  <si>
    <t>BANK OF MONTREAL (CHINA) CO LTD</t>
  </si>
  <si>
    <t>COMERCIALIZADORA DE AUTOPARTES CALDERON SA DE CV</t>
  </si>
  <si>
    <t>EDISOFT INC.</t>
  </si>
  <si>
    <t>LG INTERNATIONAL CORPORATION</t>
  </si>
  <si>
    <t>DAELIM INDUSTRIAL CO., LTD</t>
  </si>
  <si>
    <t>DAELIM INDUSTRIAL CO., LTD.</t>
  </si>
  <si>
    <t>DISTRIBUIDORA EL FLORIDO SA DE CV</t>
  </si>
  <si>
    <t>HUNT OIL COMPANY DE MEXICO S DE RL DE CV</t>
  </si>
  <si>
    <t>4422287 CANADA INC</t>
  </si>
  <si>
    <t>PATRICK LOR</t>
  </si>
  <si>
    <t>TVS MOTOR CO LTD</t>
  </si>
  <si>
    <t>TVS MOTOR COMPANY LIMITED</t>
  </si>
  <si>
    <t>PHARMACIE MICHAEL AOMARI INC</t>
  </si>
  <si>
    <t>P NELSON AND SONS FARMS LTD</t>
  </si>
  <si>
    <t>MEADOWFRESH DAIRY CORPORATION</t>
  </si>
  <si>
    <t>FSP HOLDINGS LTD.</t>
  </si>
  <si>
    <t>KOREA MIDLAND POWER CO LTD</t>
  </si>
  <si>
    <t>1801794 ONTARIO INC</t>
  </si>
  <si>
    <t>SDV Logistiques (Canada) INC</t>
  </si>
  <si>
    <t>BOLLOR¿ LOGISTICS CANADA INC.</t>
  </si>
  <si>
    <t>SAMSUNG ENGINEERING CO., LTD</t>
  </si>
  <si>
    <t>THUMPER WHITTAKER INC.</t>
  </si>
  <si>
    <t>MARMAX CONSULTING COMPANY LTD.</t>
  </si>
  <si>
    <t>PRINCETON WOOD PRESERVERS LTD.</t>
  </si>
  <si>
    <t>Biwa Fund Limited</t>
  </si>
  <si>
    <t>BIWA FUND LIMITED</t>
  </si>
  <si>
    <t>GS ENGINEERING &amp; CONSTRUCTION</t>
  </si>
  <si>
    <t>ENVISION ENERGY MEXICO SA DE CV</t>
  </si>
  <si>
    <t>CREMERIA HERMANOS CORONEL SA DE CV</t>
  </si>
  <si>
    <t>NEW HORIZONS CAR AND TRUCK RENTALS LTD</t>
  </si>
  <si>
    <t>9335 3282 QUEBEC INC</t>
  </si>
  <si>
    <t>ANYANG SHI MINSHAN NONFERROUS METALS CO LTD</t>
  </si>
  <si>
    <t>SENTRY CORPORATE BOND FUND</t>
  </si>
  <si>
    <t>SENTRY CORPORATE BOND CLASS</t>
  </si>
  <si>
    <t>SENTRY GLOBAL GROWTH AND INCOME CLASS</t>
  </si>
  <si>
    <t>MDPIM GLOBAL TACTICAL OPPORT POOL</t>
  </si>
  <si>
    <t>MDPIM GLOBAL TACTICAL OPPORTUNITIES POOL</t>
  </si>
  <si>
    <t>GRUPO COMERCIAL CHEDRAUI SAB DE CV</t>
  </si>
  <si>
    <t>DIMEX CAPITAL SA DE CV SOFOM ENR</t>
  </si>
  <si>
    <t>BUFFALO PLAINS CATTLE CO</t>
  </si>
  <si>
    <t>PSA HALIFAX HOLDINGS LIMITED PARTNERSHIP</t>
  </si>
  <si>
    <t>SAE TOWERS MEXICO S DE RL DE CV</t>
  </si>
  <si>
    <t>PRISMA RESIDENCIAL Y VIVIENDA SA DE C V</t>
  </si>
  <si>
    <t>THE NEW ZEALAND REFINING COMPANY LIMITED</t>
  </si>
  <si>
    <t>ANGLOGOLD ASHANTI LTD</t>
  </si>
  <si>
    <t>SYMMETRY EAFE EQUITY FUND</t>
  </si>
  <si>
    <t>PERFECT DELIVERY CANADA CO</t>
  </si>
  <si>
    <t>HYTECH PRODUCTION LTD</t>
  </si>
  <si>
    <t>DISTRIBUIDORA PH SA DE CV</t>
  </si>
  <si>
    <t>IMPORTACIONES PH SA DE CV</t>
  </si>
  <si>
    <t>ALTERTOUR SA DE CV</t>
  </si>
  <si>
    <t>COMERCIALIZADORA 1888 SA DE CV</t>
  </si>
  <si>
    <t>DETROIT WINDSOR TUNNEL LLC</t>
  </si>
  <si>
    <t>TRANSBEL SA DE CV</t>
  </si>
  <si>
    <t>COMPANIA CHIRICANA DE AUTOMOVILES</t>
  </si>
  <si>
    <t>TEINE ENERGY LTD.</t>
  </si>
  <si>
    <t>TEINE ENERGY LTD</t>
  </si>
  <si>
    <t>ELITE VERTICAL BLINDS MFG. CO. LTD.</t>
  </si>
  <si>
    <t>DUCHUCK HOLDINGS LTD</t>
  </si>
  <si>
    <t>CRASDALE FARMS INC</t>
  </si>
  <si>
    <t>CORDOVA REALTY</t>
  </si>
  <si>
    <t>BASF METALS LIMITED</t>
  </si>
  <si>
    <t>BRINK'S INC.</t>
  </si>
  <si>
    <t>BRINKS INC</t>
  </si>
  <si>
    <t>BRITANNIC STRATEGIES LIMITED</t>
  </si>
  <si>
    <t>HINDUSTAN PLATINUM PVT LTD</t>
  </si>
  <si>
    <t>NATIONAL BANK OF THE REPUBLIC OF NORTH MACEDONIA</t>
  </si>
  <si>
    <t>BULGARIAN NATIONAL BANK</t>
  </si>
  <si>
    <t>MINERA CORNER BAY S.A. DE C.V.</t>
  </si>
  <si>
    <t>DWS INVESTMENT MANAGEMENT AMERICAS INC</t>
  </si>
  <si>
    <t>DWS INVESTMENT MANAGEMENT AMERICAS INC AS AGENT</t>
  </si>
  <si>
    <t>CHINA MAN-MADE FIBER CORP</t>
  </si>
  <si>
    <t>MMTC PAMP INDIA PRIVATE LIMITED</t>
  </si>
  <si>
    <t>PAMP S.A</t>
  </si>
  <si>
    <t>PING AN BANK CO LTD</t>
  </si>
  <si>
    <t>SCMI LIMITED</t>
  </si>
  <si>
    <t>UNITED STATES MINT</t>
  </si>
  <si>
    <t>JPMORGAN CHASE BANK - FX</t>
  </si>
  <si>
    <t>JP MORGAN CHASE BANK NA LONDON</t>
  </si>
  <si>
    <t>JP MORGAN CHASE BANK (LDN)</t>
  </si>
  <si>
    <t>MEX_JPMC</t>
  </si>
  <si>
    <t>JP MORGAN CHASE BANK-LONDON-(ASIA PACIFIC RIM)</t>
  </si>
  <si>
    <t>JP MORGAN CHASE BANK LONDON</t>
  </si>
  <si>
    <t>JP MORGAN CHASE NA LONDON</t>
  </si>
  <si>
    <t>JP MORGAN CHASE LONDON-SIF</t>
  </si>
  <si>
    <t>JX NIPPON MINING &amp; METALS CORPORATION</t>
  </si>
  <si>
    <t>TASEKO MINES LIMITED</t>
  </si>
  <si>
    <t>HMC POLYMERS CO LTD</t>
  </si>
  <si>
    <t>JEWELLERY QUARTER BULLION LTD</t>
  </si>
  <si>
    <t>BRIGHT VISION TRADING INVESTMENT PTE LTD</t>
  </si>
  <si>
    <t>PT MEARES SOPUTAN MINING</t>
  </si>
  <si>
    <t>PT TAMBANG TONDANO NUSAJAYA</t>
  </si>
  <si>
    <t>DONGYING LUFANG METALS MATERIAL (HONG KONG) COMPANY LIMITED</t>
  </si>
  <si>
    <t>AURORA TRADING CO LTD</t>
  </si>
  <si>
    <t>NAN YA PLASTICS CORPORATION</t>
  </si>
  <si>
    <t>SASOL CHEMICALS (USA) LLC</t>
  </si>
  <si>
    <t>WM SHARPE FARMS LIMITED</t>
  </si>
  <si>
    <t>ITPS (CANADA) LTD.</t>
  </si>
  <si>
    <t>UNION DE PRODUCTORES DE CANA DE JOACHIN SA DE CV</t>
  </si>
  <si>
    <t>HITACHI GLOBAL STORAGE TECHNOLOGIES INC</t>
  </si>
  <si>
    <t>DOWA ELECTRONICS MATERIALS CO LTD</t>
  </si>
  <si>
    <t>JIANGXI COPPER HONG KONG COMPANY LIMITED</t>
  </si>
  <si>
    <t>Guyana Gold Board</t>
  </si>
  <si>
    <t>CHINA PLATINUM COMPANY</t>
  </si>
  <si>
    <t>Henkel Global Supply Chain B.V.</t>
  </si>
  <si>
    <t>HENKEL GLOBAL SUPPLY CHAIN B.V</t>
  </si>
  <si>
    <t>HONGKONG HUMON INTERNATIONAL LOGISTICS LIMITED</t>
  </si>
  <si>
    <t>BANK OF GUYANA</t>
  </si>
  <si>
    <t>RELIANCE JIO INFOCOMM LIMITED</t>
  </si>
  <si>
    <t>CHAMBAL FERTILISERS</t>
  </si>
  <si>
    <t>MONSANTO COMPANY</t>
  </si>
  <si>
    <t>SHAHUINDO SAC</t>
  </si>
  <si>
    <t>PTT GLOBAL CHEMICAL PUBLIC COMPANY LIMITED</t>
  </si>
  <si>
    <t>GC GLYCOL COMPANY LIMITED</t>
  </si>
  <si>
    <t>AUSIRIS COMPANY LIMITED</t>
  </si>
  <si>
    <t>ISTAR JEWELRY LLC</t>
  </si>
  <si>
    <t>Dow Chemical Iberica SL</t>
  </si>
  <si>
    <t>MTM INC</t>
  </si>
  <si>
    <t>ORION FUND JV LIMITED</t>
  </si>
  <si>
    <t>OMV REFINING AND MARKETING GMBH</t>
  </si>
  <si>
    <t>PREMIER GOLD MINES LIMITED</t>
  </si>
  <si>
    <t>HERAEUS LTD</t>
  </si>
  <si>
    <t>HERAEUS LIMITED</t>
  </si>
  <si>
    <t>BMG SILVER BULLIONFUND</t>
  </si>
  <si>
    <t>BMG MANAGEMENT SERVICES INC SILVER BULLION FUND</t>
  </si>
  <si>
    <t>INDORAMA VENTURES XYLENES AND PTA LLC</t>
  </si>
  <si>
    <t>INDORAMA VENTURES XYLENES &amp; PTA LLC</t>
  </si>
  <si>
    <t>TRIPLE FLAG MINING FINANCE BERMUDA</t>
  </si>
  <si>
    <t>TRIPLE FLAG MINING FINANCE BERMUDA LTD</t>
  </si>
  <si>
    <t>THE SOUTH AFRICAN MINT COMPANY (RF) (PTY) LTD</t>
  </si>
  <si>
    <t>LUCAS MILHAUPT, INC.</t>
  </si>
  <si>
    <t>GUANGDONG PROVINCE GOLD GROUP CO LTD</t>
  </si>
  <si>
    <t>GEITA GOLD MINING LTD</t>
  </si>
  <si>
    <t>MATERION ADVANCED MATERIALS GERMANY GMBH</t>
  </si>
  <si>
    <t>HENKEL KOREA LTD</t>
  </si>
  <si>
    <t>TMAC RESOURCES INC.</t>
  </si>
  <si>
    <t>GIBRALTAR MINES LTD.</t>
  </si>
  <si>
    <t>GIBRALTAR MINES LTD</t>
  </si>
  <si>
    <t>KHAZANA GOLD &amp; DIAMOND DMCC</t>
  </si>
  <si>
    <t>SAINT-GOBAIN ISOVER SA</t>
  </si>
  <si>
    <t>OSISKO GOLD ROYALTIES LTD</t>
  </si>
  <si>
    <t>ORION COMMODITIES FUND LP</t>
  </si>
  <si>
    <t>ORION MINE FINANCE (MASTER) FUND I LP</t>
  </si>
  <si>
    <t>OMF FUND II SO LIMITED</t>
  </si>
  <si>
    <t>ORION CO-INVESTMENTS II (STREAM)LIMITED</t>
  </si>
  <si>
    <t>LYNX METALS LIMITED</t>
  </si>
  <si>
    <t>WESTERKIRK CAPITAL INC.</t>
  </si>
  <si>
    <t>BANQUE DE LA REPUBLIQUE D HAITI</t>
  </si>
  <si>
    <t>COOKSON CLAL FORWARD TRADING</t>
  </si>
  <si>
    <t>COOKSON CLAL</t>
  </si>
  <si>
    <t>SILVER PURITY CO LTD</t>
  </si>
  <si>
    <t>BRINKS USA</t>
  </si>
  <si>
    <t>USI CORPORATION</t>
  </si>
  <si>
    <t>SAINT GOBAIN ISOVER IBERICA S.L</t>
  </si>
  <si>
    <t>JINGUI SILVER INTERNATIONAL TRADING (HK) LTD</t>
  </si>
  <si>
    <t>JINGUI SILVER INTERNATIONAL TRADING (HK) LIMITED</t>
  </si>
  <si>
    <t>FORMOSA PETROCHEMICAL CORPORATION</t>
  </si>
  <si>
    <t>THOMSON PRESS INDIA LTD</t>
  </si>
  <si>
    <t>PFAFF AUTOMOTIVE PARTNERS INC GROUP</t>
  </si>
  <si>
    <t>ANZT FINCO</t>
  </si>
  <si>
    <t>ALPINE SKI CLUB OF TORONTO</t>
  </si>
  <si>
    <t>851 TERMINAL AVENUE PROPERTIES LIMITED PARTNERSHIP</t>
  </si>
  <si>
    <t>2449796 ONTARIO LIMITED</t>
  </si>
  <si>
    <t>BAIYIN NON-FERROUS (HK) INTERNATIONAL TRADE CO LIMITED</t>
  </si>
  <si>
    <t>S-OIL CORPORATION</t>
  </si>
  <si>
    <t>MRS ELIANE SCOYER</t>
  </si>
  <si>
    <t>PRETIUM EXPLORATION INC.</t>
  </si>
  <si>
    <t>TORCH METAL LIMITED</t>
  </si>
  <si>
    <t>BNS GUANGZHOU TOTUS</t>
  </si>
  <si>
    <t>ORION TITHECO LIMITED</t>
  </si>
  <si>
    <t>OSISKO BERMUDA LIMITED</t>
  </si>
  <si>
    <t>2424454 ONTARIO INC</t>
  </si>
  <si>
    <t>GREAT PACIFIC INDUSTRIES INC</t>
  </si>
  <si>
    <t>GREAT PACIFIC INDUSTRIES INC.</t>
  </si>
  <si>
    <t>GRUMA S.A.B. DE C.V.</t>
  </si>
  <si>
    <t>GRUMA SAB DE CV</t>
  </si>
  <si>
    <t>MBJ AIRPORTS LIMITED</t>
  </si>
  <si>
    <t>PRODUCTOS Y DISTRIBUIDORA AZTECA S A DE C V</t>
  </si>
  <si>
    <t>PRODUCTOS Y DISTRIBUIDORA AZTECA SA DE CV</t>
  </si>
  <si>
    <t>MOLINOS AZTECA SA DE CV</t>
  </si>
  <si>
    <t>1535986 ALBERTA LTD.</t>
  </si>
  <si>
    <t>VICTORY PROPERTY CORP</t>
  </si>
  <si>
    <t>595799 ONTARIO LTD O/A BYTOWN INVESTMENTS</t>
  </si>
  <si>
    <t>JMJ PROPERTY HOLDINGS LIMITED PARTNERSHIP</t>
  </si>
  <si>
    <t>GRANDE PRAIRIE PLACE ENTERPRISES (1996) INC.</t>
  </si>
  <si>
    <t>VERTEX REAL ESTATE FONDO I</t>
  </si>
  <si>
    <t>PALACIO IMPORTACIONES SA DE CV</t>
  </si>
  <si>
    <t>PANTERA EXPLORACION Y PRODUCCION 2.2 SAPI DE CV</t>
  </si>
  <si>
    <t>DOMINO FOODS DE MEXICO, S.A. DE C.V.</t>
  </si>
  <si>
    <t>DEEPROOT CANADA CORP</t>
  </si>
  <si>
    <t>TUMI CANADA ULC</t>
  </si>
  <si>
    <t>COMPANIA NACIONAL ALMACENADORA SA DE CV</t>
  </si>
  <si>
    <t>CAD RAILWAY INDUSTRIES LTD.</t>
  </si>
  <si>
    <t>ADVANCED DYNAMICS CORPORATION LTD.</t>
  </si>
  <si>
    <t>MDI HOLDINGS CORP</t>
  </si>
  <si>
    <t>MDI HOLDINGS CORP.</t>
  </si>
  <si>
    <t>KOREA EAST- WEST POWER CO., LTD.</t>
  </si>
  <si>
    <t>DAELIM CORPORATION</t>
  </si>
  <si>
    <t>SQUAMISH MILLS LTD</t>
  </si>
  <si>
    <t>KOREA WESTERN POWER CO.,LTD</t>
  </si>
  <si>
    <t>AUTOCANADA HOLDINGS INC</t>
  </si>
  <si>
    <t>KOREA GAS CORPORATION</t>
  </si>
  <si>
    <t>ASR HOLDING DE MEXICO SA DE CV</t>
  </si>
  <si>
    <t>JAGUAR EXPLORACION Y PRODUCCION 2.3 SAPI DE CV</t>
  </si>
  <si>
    <t>APOLLO TYRES LIMITED</t>
  </si>
  <si>
    <t>ELLISDON INFRASTRUCTURE CGS RER INC</t>
  </si>
  <si>
    <t>DREAM INDUSTRIAL LP</t>
  </si>
  <si>
    <t>CIBANCO SA INSTITUCION DE BANCA MULTIPLE EN SU CARACTER DE FIDUCIARIO DEL CONTRATO DE FIDEICOMISO IRREVOCABLE NUMERO 2911</t>
  </si>
  <si>
    <t>CIBANCO SA INSTITUCION DE BANCA MULTIPLE EN SU CARACTER DE FIDUCIARIO DEL  CONTRATO DE FIDEICOMISO IRREVOCABLE CIB 01061</t>
  </si>
  <si>
    <t>CIBANCO SA INSTITUCION DE BANCA MULTIPLE EN SU CARATER DE FIDUCIARIO DEL CONTRATO DE FIDEICOMISO REVOCABLE NUMERO 2905</t>
  </si>
  <si>
    <t>CIBANCO SA INSTITUCION DE BANCA MULTIPLE EN SU CARACTER DE FIDUCIARO DEL CONTRATO DE FIDEICOMISO IRREVOCABLE NUMERO 2777</t>
  </si>
  <si>
    <t>VERTEX RESIDENCIAL CUAJIMALPA SAPI DE CV</t>
  </si>
  <si>
    <t>QUADRA PACIFIC PROPERTIES CORP</t>
  </si>
  <si>
    <t>WISTRON CORPORATION</t>
  </si>
  <si>
    <t>LJ03</t>
  </si>
  <si>
    <t>LJ18</t>
  </si>
  <si>
    <t>LJ22</t>
  </si>
  <si>
    <t>LK01 (CDEA)</t>
  </si>
  <si>
    <t>PAR479</t>
  </si>
  <si>
    <t>SA131</t>
  </si>
  <si>
    <t>CORRUGADOS DEL ATLANTICO SA</t>
  </si>
  <si>
    <t>LJ06</t>
  </si>
  <si>
    <t>LJ23</t>
  </si>
  <si>
    <t>LJ24</t>
  </si>
  <si>
    <t>LJ27</t>
  </si>
  <si>
    <t>SA145</t>
  </si>
  <si>
    <t>CARL ZEISS CANADA LTD</t>
  </si>
  <si>
    <t>LOWER CHURCHILL MANAGEMENT CORPORATION</t>
  </si>
  <si>
    <t>FSG00429</t>
  </si>
  <si>
    <t>LJ05</t>
  </si>
  <si>
    <t>VM VENTURE MANAGEMENT CORP</t>
  </si>
  <si>
    <t>9277-0585 QUEBEC INC</t>
  </si>
  <si>
    <t>LW PRUDENTIAL CORPORATION</t>
  </si>
  <si>
    <t>CHARTER PROPERTY LP</t>
  </si>
  <si>
    <t>1022403 ONTARIO LIMITED O/A MIRMIL PRODUCTS</t>
  </si>
  <si>
    <t>MULTIBOARD COMMUNICATIONS INC.</t>
  </si>
  <si>
    <t>ONEOK INC</t>
  </si>
  <si>
    <t>INFLECTION STRATEGIC OPPORTUNITIES FUND ULTRA</t>
  </si>
  <si>
    <t>ACEROS Y OVEROLLINGS DE MEXICO SA DE CV</t>
  </si>
  <si>
    <t>INNOCORE SALES AND MARKETING INC</t>
  </si>
  <si>
    <t>VISTEK LTD.</t>
  </si>
  <si>
    <t>BLAIR FRANKLIN GLOBAL CREDIT MASTER FUND (CAYMAN) LP</t>
  </si>
  <si>
    <t>GOODMAN &amp; COMPANY GLOBAL VALUE STRATEGY</t>
  </si>
  <si>
    <t>TRI S INTERNATIONAL INC</t>
  </si>
  <si>
    <t>SENTRY GLOBAL INFRASTRUCTURE FUND</t>
  </si>
  <si>
    <t>FOSTERS CUSTOM FARMING INC</t>
  </si>
  <si>
    <t>SURTEK INDUSTRIES INC</t>
  </si>
  <si>
    <t>SENTRY GROWTH AND INCOME FUND</t>
  </si>
  <si>
    <t>SENTRY GROWTH AND INCOME FUND (SHORT)</t>
  </si>
  <si>
    <t>SENTRY GROWTH AND INCOME FUND (EQUITY)</t>
  </si>
  <si>
    <t>SENTRY GLOBAL MONTHLY INCOME FUND (INTL EQ)</t>
  </si>
  <si>
    <t>SENTRY GLOBAL MONTHLY INCOME FUND</t>
  </si>
  <si>
    <t>SENTRY GLOBAL MONTHLY INCOME FUND (FI)</t>
  </si>
  <si>
    <t>DOUBLETREE FOREST PRODUCTS LTD</t>
  </si>
  <si>
    <t>TENJOULAND FOREST PRODUCTS INC</t>
  </si>
  <si>
    <t>TRIMEN FOOD SERVICE EQUIPMENT LTD</t>
  </si>
  <si>
    <t>HUTTERIAN BRETHREN CHURCH OF JUMBO VALLEY</t>
  </si>
  <si>
    <t>PAUL MEUIER &amp; SONS FARMS LTD.</t>
  </si>
  <si>
    <t>PAUL MEUNIER AND SONS FARMS LTD</t>
  </si>
  <si>
    <t>UNICER FOODS LTD.</t>
  </si>
  <si>
    <t>REDSTONE FOOD CONSULTANTS LTD.</t>
  </si>
  <si>
    <t>ADASTRA CORPORATION</t>
  </si>
  <si>
    <t>THYSSENKRUPP SUPPLY CHAIN SERVICES</t>
  </si>
  <si>
    <t>AFP CUPRUM SA - FUND A</t>
  </si>
  <si>
    <t>AFP CUPRUM SA - FUND B</t>
  </si>
  <si>
    <t>CARLWOOD LUMBER LIMITED</t>
  </si>
  <si>
    <t>AFP CUPRUM SA - FUND C</t>
  </si>
  <si>
    <t>CG WELLINGTON INC</t>
  </si>
  <si>
    <t>C.G. WELLINGTON INC.</t>
  </si>
  <si>
    <t>AFP CUPRUM SA - FUND D</t>
  </si>
  <si>
    <t>WEST CREEK FARMS LTD.</t>
  </si>
  <si>
    <t>MCCARTHY TETRAULT LLP</t>
  </si>
  <si>
    <t>PLAINSMAN MFG. INC.</t>
  </si>
  <si>
    <t>CAMPO EQUIPMENT CO LTD.</t>
  </si>
  <si>
    <t>CAMPO EQUIPMENT CO LTD</t>
  </si>
  <si>
    <t>CANDYM ENTERPRISES LTD.</t>
  </si>
  <si>
    <t>3728111 MANITOBA LTD. (O/A EASTSIDE INDUSTRIAL)</t>
  </si>
  <si>
    <t>DENBOW TRANSPORT LTD</t>
  </si>
  <si>
    <t>INTEGRA - FONDO1</t>
  </si>
  <si>
    <t>MOTION LP</t>
  </si>
  <si>
    <t>INTEGRA - FONDO2</t>
  </si>
  <si>
    <t>BMO INTERNATIONAL DIVIDEND ETF</t>
  </si>
  <si>
    <t>998833 ONTARIO LIMITED O A ACS DISTRIBUTING</t>
  </si>
  <si>
    <t>INTEGRA - FONDO3</t>
  </si>
  <si>
    <t>HETEK SOLUTIONS INC.</t>
  </si>
  <si>
    <t>LIND EQUIPMENT LTD</t>
  </si>
  <si>
    <t>RASTALL MINE SUPPLY LIMITED</t>
  </si>
  <si>
    <t>ADVANTAGE FARM EQUIPMENT LTD</t>
  </si>
  <si>
    <t>KENSINGTON VENTURE FUND, L.P.</t>
  </si>
  <si>
    <t>VISIONTEC (2008) LTD.</t>
  </si>
  <si>
    <t>PRIMA AFP FUND 1</t>
  </si>
  <si>
    <t>PRIMA AFP FUND 2</t>
  </si>
  <si>
    <t>CANSEL REAL ESTATE HOLDINGS INC</t>
  </si>
  <si>
    <t>BMO RETIREMENT INCOME PORTFOLIO</t>
  </si>
  <si>
    <t>STONEX GRANITE &amp; QUARTZ INC.</t>
  </si>
  <si>
    <t>THYSSENKRUPP FINANCE CA CORP</t>
  </si>
  <si>
    <t>NPS FI UNCONSTRAINED MANULIFE</t>
  </si>
  <si>
    <t>MATRIX VIDEO COMMUNICATIONS CORP</t>
  </si>
  <si>
    <t>MATRIX VIDEO COMMUNICATIONS CORPORATION</t>
  </si>
  <si>
    <t>WOODLAND EQUIPMENT INC</t>
  </si>
  <si>
    <t>THORBURN FLEX INC.</t>
  </si>
  <si>
    <t>THORBURN FLEX INC</t>
  </si>
  <si>
    <t>IDS NORTH AMERICA LTD</t>
  </si>
  <si>
    <t>SOUTHERN STEEL BERHAD (BERHAD)</t>
  </si>
  <si>
    <t>BMO RETIREMENT CONSERVATIVE PORTFOLIO</t>
  </si>
  <si>
    <t>THERMOS RIVE-NORD INC.</t>
  </si>
  <si>
    <t>SHAKESPEARE MILLS INC</t>
  </si>
  <si>
    <t>QUALTIA ALIMENTOS OPERACIONES S DE RL DE CV</t>
  </si>
  <si>
    <t>QUALTIA ALIMENTOS OPERACIONES, S. DE R.L. DE C.V.</t>
  </si>
  <si>
    <t>UNIVERSAL RENTAL SERVICES LIMITED</t>
  </si>
  <si>
    <t>BUSQUE &amp; LAFLAMME INC.</t>
  </si>
  <si>
    <t>FIRST TRUST RIVERFRONT DYNAMIC ASIA PACIFIC ETF</t>
  </si>
  <si>
    <t>BMO RETIREMENT BALANCED PORTFOLIO</t>
  </si>
  <si>
    <t>MANULIFE IDEAL FUNDAMENTAL MONTHLY INCOME SEG FUND-E</t>
  </si>
  <si>
    <t>MANULIFE IDEAL FUNDAMENTAL MONTHLY INCOME SEG FUND-A</t>
  </si>
  <si>
    <t>MANULIFE IDEAL FUNDAMENTAL MONTHLY INCOME SEG FUND-F</t>
  </si>
  <si>
    <t>FIRST TRUST RIVERFRONT DYNAMIC DEVELOPED INTERNATIONAL ETF</t>
  </si>
  <si>
    <t>INNOVAPLAST INC.</t>
  </si>
  <si>
    <t>RBC CONSERVATIVE GROWTH AND INCOME FUND</t>
  </si>
  <si>
    <t>853569 ONTARIO LIMITED O/A TILEMASTER</t>
  </si>
  <si>
    <t>CI FIRST ASSET GLOBAL FINANCIAL SECTOR ETF</t>
  </si>
  <si>
    <t>FIRST ASSET GLOBAL FINANCIAL SECTOR ETF</t>
  </si>
  <si>
    <t>IDEAL INCOME BALANCED FUND</t>
  </si>
  <si>
    <t>RED HAT CO-OPERATIVE LTD.</t>
  </si>
  <si>
    <t>BP CAPITAL INC</t>
  </si>
  <si>
    <t>RBC QUBE LOW VOLATILITY U.S. EQUITY CURRENCY NEUTRAL FUND</t>
  </si>
  <si>
    <t>C AND M SEEDS MANUFACTURING INC</t>
  </si>
  <si>
    <t>TRIO PAC INC.</t>
  </si>
  <si>
    <t>RBC GLOBAL DIVIDEND GROWTH CURRENCY NEUTRAL FUND</t>
  </si>
  <si>
    <t>RBC U.S. DIVIDEND CURRENCY NEUTRAL FUND</t>
  </si>
  <si>
    <t>KELTIC SEAFOODS LIMITED</t>
  </si>
  <si>
    <t>BMO MSCI EMERGING MARKETS INDEX ETF</t>
  </si>
  <si>
    <t>CANOE NORTH AMERICAN MONTHLY INCOME CLASS</t>
  </si>
  <si>
    <t>CALLOWAY LIMITED PARTNERSHIP AND PENGUIN PROPERTIES INC., AS GENERAL PARTNERS OF THE PENGUIN-CALLOWAY VAUGHAN PARTNERSHIP</t>
  </si>
  <si>
    <t>CANOE ENHANCED INCOME FUND</t>
  </si>
  <si>
    <t>BMO MID CORPORATE BOND INDEX ETF</t>
  </si>
  <si>
    <t>I3 FIXED INCOME FUND</t>
  </si>
  <si>
    <t>DURADRIVE SYSTEMS INTERNATIONAL INC</t>
  </si>
  <si>
    <t>RP STRATEGIC INCOME PLUS FUND</t>
  </si>
  <si>
    <t>ONTARIO POWER GENERATION INC. PENSION PLAN - LONG CORPORATE BOND MANDATE</t>
  </si>
  <si>
    <t>ONTARIO POWER GENERATION INC. PENSION PLAN - CORPORATE BOND MANDATE</t>
  </si>
  <si>
    <t>ONTARIO POWER GENERATION INC. PENSION PLAN - LONG CORPORATE BOND MANDATE 338</t>
  </si>
  <si>
    <t>8561567 CANADA INC O/A SIGNATURE PASSION</t>
  </si>
  <si>
    <t>TRANSCANADA REGISTERED PENSION PLAN</t>
  </si>
  <si>
    <t>BERNARDO METAL PRODUCTS LIMITED</t>
  </si>
  <si>
    <t>BMO EUROPE HIGH DIVIDEND COVERED CALL HEDGED TO CAD ETF</t>
  </si>
  <si>
    <t>BMO LOW VOLATILITY US EQUITY HEDGED TO CAD ETF</t>
  </si>
  <si>
    <t>BMO LOW VOLATILITY INTERNATIONAL EQUITY HEDGED TO CAD ETF</t>
  </si>
  <si>
    <t>FRANKLIN BISSETT MONTHLY INCOME AND GROWTH FUND</t>
  </si>
  <si>
    <t>NATIONAL BANK FIXED INCOME POOL</t>
  </si>
  <si>
    <t>CHILDRENS EDUCATIONAL FOUNDATION OF CANADA 60772</t>
  </si>
  <si>
    <t>CHILDRENS EDUCATIONAL FOUNDATION OF CANADA CESG/GRANT</t>
  </si>
  <si>
    <t>COUNSEL CANADIAN CORE FIXED INCOME</t>
  </si>
  <si>
    <t>CANOE ENERGY CLASS</t>
  </si>
  <si>
    <t>ATRIUM PROFESSIONAL CORPORATION</t>
  </si>
  <si>
    <t>BMO INTERNATIONAL DIVIDEND HEDGED TO CAD ETF</t>
  </si>
  <si>
    <t>RBC U.S. SMALL-CAP CORE EQUITY CLASS</t>
  </si>
  <si>
    <t>RBC GLOBAL GROWTH AND INCOME FUND</t>
  </si>
  <si>
    <t>RBC CANADIAN DIVIDEND CLASS</t>
  </si>
  <si>
    <t>INDUSTRIAL EQUIPMENT MANUFACTURING</t>
  </si>
  <si>
    <t>RBC GLOBAL EQUITY CLASS</t>
  </si>
  <si>
    <t>THE TRUSTEES OF THE OPSEU PENSION</t>
  </si>
  <si>
    <t>THE TRUSTEES OF THE OPSEU PENSION PLAN TRUST FUND</t>
  </si>
  <si>
    <t>THE TRUSTEES OF OPSEU PENSION REG</t>
  </si>
  <si>
    <t>THE TRUSTEES OPSEU PENSION PE CASH</t>
  </si>
  <si>
    <t>THE TRUSTEES OF THE OPSEU PENSION PLAN TRUST FUND INFRA CASH</t>
  </si>
  <si>
    <t>RBC U.S. EQUITY VALUE CLASS</t>
  </si>
  <si>
    <t>DYNAMIC GLOBAL EQUITY INCOME FUND</t>
  </si>
  <si>
    <t>RBC BALANCED GROWTH AND INCOME CLASS</t>
  </si>
  <si>
    <t>RBC U.S. MID-CAP VALUE EQUITY CLASS</t>
  </si>
  <si>
    <t>INVESTORS GROUP EQUITY POOL</t>
  </si>
  <si>
    <t>DYNAMIC GLOBAL STRATEGIC YIELD FUND</t>
  </si>
  <si>
    <t>RBC EMERGING MARKETS EQUITY CLASS</t>
  </si>
  <si>
    <t>RBC U.S. EQUITY CLASS</t>
  </si>
  <si>
    <t>SYMMETRY COMPREHENSIVE EQUITY FUND</t>
  </si>
  <si>
    <t>GRANDE CHEESE COMPANY LIMITED</t>
  </si>
  <si>
    <t>MACKENZIE CORE PLUS CANADIAN FIXED INCOME ETF</t>
  </si>
  <si>
    <t>RBC QUBE LOW VOLATILITY GLOBAL EQUITY CLASS</t>
  </si>
  <si>
    <t>SIGNATURE DIVERSIFIED YIELD CORPORATE CLASS</t>
  </si>
  <si>
    <t>RBC INTERNATIONAL EQUITY CLASS</t>
  </si>
  <si>
    <t>LAWRENCE PARK STRATEGIC INCOME FUND</t>
  </si>
  <si>
    <t>SIGNATURE PREFERRED SHARE POOL</t>
  </si>
  <si>
    <t>PICTON MAHONEY FORTIFIED INCOME FUND</t>
  </si>
  <si>
    <t>RBC U.S. SMALL-CAP CORE EQUITY FUND</t>
  </si>
  <si>
    <t>1832 AM CANADIAN GROWTH LP</t>
  </si>
  <si>
    <t>ST ANDREW S  BOOK GIFT AND CHURCH SUPPLY LTD</t>
  </si>
  <si>
    <t>PHARMACIE KARL CHIASSON ET MARTIN PAYER INC</t>
  </si>
  <si>
    <t>9052-5312 QUEBEC INC</t>
  </si>
  <si>
    <t>TUCOWS.COM CO</t>
  </si>
  <si>
    <t>MJS HOLDINGS &amp; MANAGEMENT INC.</t>
  </si>
  <si>
    <t>MACKENZIE UNCONSTRAINED BOND ETF</t>
  </si>
  <si>
    <t>RBC MARKET NEUTRAL EQUITY FUND</t>
  </si>
  <si>
    <t>RBC QUANT GLOBAL INFRASTUCTURE LEADERS ETF</t>
  </si>
  <si>
    <t>COLLEGE PARK 2 LIMITED PARTNERSHIP</t>
  </si>
  <si>
    <t>RBC QUANT GLOBAL REAL ESTATE LEADERS ETF</t>
  </si>
  <si>
    <t>THE BOARD OF TRUSTEES OF THE OPERATING ENGINEERS PENSION PLAN</t>
  </si>
  <si>
    <t>NESTLE SERVICIOS CORPORATIVOS SA DE CV</t>
  </si>
  <si>
    <t>CLASSIC TOOL AND DIE 1986 INC</t>
  </si>
  <si>
    <t>13702065 CANADA INC</t>
  </si>
  <si>
    <t>NESTLE SERVICIOS INDUSTRIALES SA DE CV</t>
  </si>
  <si>
    <t>KORE MINING LTD</t>
  </si>
  <si>
    <t>BMO S&amp;P 500 INDEX ETF (USD)</t>
  </si>
  <si>
    <t>BMO S&amp;P 500 INDEX ETF</t>
  </si>
  <si>
    <t>FORTY NINE BAKERSFIELD LTD</t>
  </si>
  <si>
    <t>INNOVA GLOBAL LTD</t>
  </si>
  <si>
    <t>1003694 ONTARIO INC (O/A CARE PARTNERS)</t>
  </si>
  <si>
    <t>BMO MID TERM US IG CORPORATE BOND INDEX ETF</t>
  </si>
  <si>
    <t>BMO MID-TERM US IG CORPORATE BOND INDEX ETF (USD)</t>
  </si>
  <si>
    <t>Robert Walsh and David Walsh (dba Glenview Farm)</t>
  </si>
  <si>
    <t>BROMPTON OIL SPLIT CORP.</t>
  </si>
  <si>
    <t>MANULIFE STRATEGIC INVESTMENT GRADE GLOBAL BOND</t>
  </si>
  <si>
    <t>ARROW TRANSPORTATION SYSTEMS HOLDINGS INC</t>
  </si>
  <si>
    <t>ARROW TRANSPORTATION SYSYEMS HOLDINGS INC</t>
  </si>
  <si>
    <t>RBC FOSSIL FUEL FREE GLOBAL EQUITY FUND</t>
  </si>
  <si>
    <t>EAGLEWOOD ENERGY INC</t>
  </si>
  <si>
    <t>AFP CUPRUM SA</t>
  </si>
  <si>
    <t>PILLAR5 PHARMA INC</t>
  </si>
  <si>
    <t>FIRST TRUST NORTH AMERICAN ENERGY INFRASTRUCTURE INCOME UCITS FUND</t>
  </si>
  <si>
    <t>NORCO MANAGEMENT INC</t>
  </si>
  <si>
    <t>BRONSWERK MARINE INC.</t>
  </si>
  <si>
    <t>LIGHTHOUSE CAPITAL ATLANTIC INC</t>
  </si>
  <si>
    <t>RBC QUANT EAFE EQUITY LEADERS ETF</t>
  </si>
  <si>
    <t>RBC U.S. SMALL-CAP VALUE EQUITY FUND</t>
  </si>
  <si>
    <t>BMO US PUT WRITE ETF</t>
  </si>
  <si>
    <t>REEFER SALES AND SERVICE (TORONTO) INCORPORATED</t>
  </si>
  <si>
    <t>DYNAMIC INTL DIVIDEND PRIVATE POOL</t>
  </si>
  <si>
    <t>9177-3572 QUEBEC INC.</t>
  </si>
  <si>
    <t>9177 3572 QUEBEC INC</t>
  </si>
  <si>
    <t>CORROSION SERVICE COMPANY LIMITED</t>
  </si>
  <si>
    <t>PARKLAND VENTURES</t>
  </si>
  <si>
    <t>BMO US PUT WRITE HEDGED TO CAD ETF</t>
  </si>
  <si>
    <t>ANATOLIA AVIATION LP</t>
  </si>
  <si>
    <t>CIBANCO SA INSTITUCION DE BANCA MULTIPLE EN SU CARACTER DE FIDUCIARIO DEL CONTRATO DE FIDEICOMISO IRREVOCABLE NUMERO 2206</t>
  </si>
  <si>
    <t>BMO US PREFERRED SHARE HEDGED TO CAD INDEX ETF</t>
  </si>
  <si>
    <t>RBC QUANT EMERGING MARKETS EQUITY LEADERS ETF</t>
  </si>
  <si>
    <t>2052061 ONTARIO INC</t>
  </si>
  <si>
    <t>BLUNDELL SEAFOODS LTD.</t>
  </si>
  <si>
    <t>ST. THOMAS OF VILLANOVA CATHOLIC SCHOOL</t>
  </si>
  <si>
    <t>CAMBRIDGE CANADIAN SHORT-TERM BOND POOL</t>
  </si>
  <si>
    <t>RBC QUBE CUSTOM GLOBAL EQUITY FUND</t>
  </si>
  <si>
    <t>HARBOUR GLB GRWTH INCOME CORP CLASS</t>
  </si>
  <si>
    <t>CPW MEXICO S DE RL DE CV</t>
  </si>
  <si>
    <t>MARCAS NESTLE SA DE CV GROUP</t>
  </si>
  <si>
    <t>MARCAS NESTLE S.A. DE C.V.</t>
  </si>
  <si>
    <t>MARCAS NESTLE SA DE CV</t>
  </si>
  <si>
    <t>NESTLE MEXICO SA DE CV</t>
  </si>
  <si>
    <t>MCCAIN FOODS INDIA (PVT) LTD</t>
  </si>
  <si>
    <t>MAHINDRA INTERTRADE LTD</t>
  </si>
  <si>
    <t>AMIA CAPITAL MACRO MASTER FUND LIMITED</t>
  </si>
  <si>
    <t>AFP PLANVITAL S.A. FUND A</t>
  </si>
  <si>
    <t>AFP PLANVITAL S.A. FUND B</t>
  </si>
  <si>
    <t>AFP PLANVITAL S.A. FUND C</t>
  </si>
  <si>
    <t>CAPULA TAIL RISK MASTER FUND LIMITED</t>
  </si>
  <si>
    <t>AFP PLANVITAL S.A. FUND D</t>
  </si>
  <si>
    <t>AFP PLANVITAL S.A. FUND E</t>
  </si>
  <si>
    <t>MCF HOLDINGS LTD</t>
  </si>
  <si>
    <t>CAN ART ALUMINUM EXTRUSION LIMITED PARTNERSHIP</t>
  </si>
  <si>
    <t>CAN ART ALUMINIUM EXTRUSION LP</t>
  </si>
  <si>
    <t>CIBC CAYMAN BANK LIMITED</t>
  </si>
  <si>
    <t>KENSINGTON AGRICULTURAL SERVICES LT</t>
  </si>
  <si>
    <t>PALADIN SECURITY GROUP LTD.</t>
  </si>
  <si>
    <t>ALCODM SA DE CV</t>
  </si>
  <si>
    <t>ALCO DISENO Y MANUFACTURA SA DE CV</t>
  </si>
  <si>
    <t>MD FOSSIL FREE BOND FUND</t>
  </si>
  <si>
    <t>MD STABLE INCOME FUND (OPPORTUNISTIC SLEEVE)</t>
  </si>
  <si>
    <t>056464 NEW BRUNSWICK</t>
  </si>
  <si>
    <t>BMO SHORT-TERM US TREASURY BOND INDEX ETF</t>
  </si>
  <si>
    <t>COAST SPAS MANUFACTURING INC.</t>
  </si>
  <si>
    <t>COAST SPAS MANUFACTURING INC</t>
  </si>
  <si>
    <t>HURON UNIVERSITY COLLEGE</t>
  </si>
  <si>
    <t>171517 CANADA INC</t>
  </si>
  <si>
    <t>SUNNYSITE COLONY FARMING CO. LTD.</t>
  </si>
  <si>
    <t>BBA INC</t>
  </si>
  <si>
    <t>TRIMAC TRANSPORTATION SERVICES INC AND TRIMAC TRANSPORTATION SERVICES LIMITED PARTNERSHIP</t>
  </si>
  <si>
    <t>TRIMAC TRANSPORTATION SERVICES LTD PARTNERSHIP</t>
  </si>
  <si>
    <t>TRIMAC TRANSPORTATION SERVICES LIMITED PARTNERSHIP</t>
  </si>
  <si>
    <t>TRIMAC TRANSPORTATION SERVICES INC</t>
  </si>
  <si>
    <t>PRIMA DAIRY FARM</t>
  </si>
  <si>
    <t>RBC QUBE LOW VOLATILITY U.S. EQUITY CLASS</t>
  </si>
  <si>
    <t>CHERRY HILL PROGRAMS, INC.</t>
  </si>
  <si>
    <t>8380767 CANADA INC</t>
  </si>
  <si>
    <t>IF IV CUSTODIA DOLARES LATAM FMIV</t>
  </si>
  <si>
    <t>ASC (SA) FACILITY LIMITED PARTNERSHIP</t>
  </si>
  <si>
    <t>QUEENS UNIVERSITY POOLED ENDOWMENT FUNDS</t>
  </si>
  <si>
    <t>PRIMA AFP FUND 3</t>
  </si>
  <si>
    <t>9060774 CANADA LTD</t>
  </si>
  <si>
    <t>LOGIQ HIGH INCOME FUND</t>
  </si>
  <si>
    <t>TORONTO WATERFRONT REVITALIZATION CORPORATION</t>
  </si>
  <si>
    <t>TNT HAY AND CATTLE SALES LTD</t>
  </si>
  <si>
    <t>LECHE 19 DIECINUEVE HERMANOS SA DE CV</t>
  </si>
  <si>
    <t>NUPLEN COMERCIALIZADORA SA DE CV</t>
  </si>
  <si>
    <t>BURGUNDY HIGH YIELD BOND FUND</t>
  </si>
  <si>
    <t>MARITIME HOME IMPROVEMENT</t>
  </si>
  <si>
    <t>BURGUNDY INVESTMENT GRADE CORPORATE BOND FUND</t>
  </si>
  <si>
    <t>WELCO LUMBER CORP</t>
  </si>
  <si>
    <t>CFFI TELECOMMUNICATIONS HOLDINGS LIMITED</t>
  </si>
  <si>
    <t>FORD LEASE TRUST II</t>
  </si>
  <si>
    <t>TINTERS METAL RECYCLING INC</t>
  </si>
  <si>
    <t>MP BOOKER ASSETS INC</t>
  </si>
  <si>
    <t>DUNMATT FARM INC</t>
  </si>
  <si>
    <t>SERFIBAL SA DE CV</t>
  </si>
  <si>
    <t>CAMPO PABLO BORQUEZ SA DE CV</t>
  </si>
  <si>
    <t>OCBC Bank (M) Berhad</t>
  </si>
  <si>
    <t>OCBC BANK MALAYSIA BERHAD</t>
  </si>
  <si>
    <t>ACTINVER TOTAL SA DE CV</t>
  </si>
  <si>
    <t>LA REALIDAD FABOSCH SA DE CV</t>
  </si>
  <si>
    <t>ABBATIS 1INC</t>
  </si>
  <si>
    <t>ABBATIS 1 INC</t>
  </si>
  <si>
    <t>CASC CORP</t>
  </si>
  <si>
    <t>820 MANAGEMENT TRUST</t>
  </si>
  <si>
    <t>INVESTORS GROUP INCOME POOL</t>
  </si>
  <si>
    <t>NEW YORK DERIVATIVE PRODUCTS</t>
  </si>
  <si>
    <t>BlackRock Liability Matching Funds Leveraged GBP Real 2055 - 2059 Swap Fund</t>
  </si>
  <si>
    <t>BNS CHARLOTTE AMALIE ST THOMAS U.S. VIRGIN ISLAN</t>
  </si>
  <si>
    <t>BNS BARBADOS BRIDGETOWN MAIN BRANCH</t>
  </si>
  <si>
    <t>BANK OF NOVA SCOTIA EL SALVADOR BRANCH</t>
  </si>
  <si>
    <t>BNS NEW YORK FIXED INCOME DERIVATIVES(PANAMA)</t>
  </si>
  <si>
    <t>BNS NEW YORK FIXED INCOME DERIVATIVES (PR)</t>
  </si>
  <si>
    <t>BNS NEW YORK FIXED INCOME DERIVATIVES ( PR )</t>
  </si>
  <si>
    <t>BNS NEW YORK FIXED INCOME DERIVATIVES (SSA)</t>
  </si>
  <si>
    <t>BNS NEW YORK FIXED INCOME DERIVATIVES (SCTL)</t>
  </si>
  <si>
    <t>NEW YORK FIXED INCOME DERIVATIVES</t>
  </si>
  <si>
    <t>BNS NEW YORK FIXED INCOME DERIVATIVES (SBE)</t>
  </si>
  <si>
    <t>PHOENIX WRAPPERS USA LLC</t>
  </si>
  <si>
    <t>ROYAL BANK OF CANADA SINGAPORE</t>
  </si>
  <si>
    <t>THE ROYAL BANK OF CANADA SINGAPORE</t>
  </si>
  <si>
    <t>BELCORP LIMITED</t>
  </si>
  <si>
    <t>EBS FA BROADWAY</t>
  </si>
  <si>
    <t>INTERNAL BROADWAY</t>
  </si>
  <si>
    <t>SEDUCTION RESORTS PV SAPI DE CV</t>
  </si>
  <si>
    <t>TF BAL SA DE CV</t>
  </si>
  <si>
    <t>LONE STAR TANGIBLE ASSETS LP</t>
  </si>
  <si>
    <t>DEUTSCHE BANK MEXICO, S.A.</t>
  </si>
  <si>
    <t>DEUTSCHE BANK MEXICO SA FIDEICOMISO</t>
  </si>
  <si>
    <t>DEUTSCHE BANK MEXICO SA F1554</t>
  </si>
  <si>
    <t>NATURES PATH FOOD INC</t>
  </si>
  <si>
    <t>GAIN GTX LLC</t>
  </si>
  <si>
    <t>AF155</t>
  </si>
  <si>
    <t>AF325</t>
  </si>
  <si>
    <t>AF330</t>
  </si>
  <si>
    <t>AF335</t>
  </si>
  <si>
    <t>AF340</t>
  </si>
  <si>
    <t>FSG00452</t>
  </si>
  <si>
    <t>TCL-MEXICO LOAN TR61317</t>
  </si>
  <si>
    <t>NYES1</t>
  </si>
  <si>
    <t>Mizuho Bank Ltd</t>
  </si>
  <si>
    <t>MIZUHO BANK LTD N.Y</t>
  </si>
  <si>
    <t>MAKSTEEL PARTNERSHIP</t>
  </si>
  <si>
    <t>BNS PERU LOANS PORTFOLIO</t>
  </si>
  <si>
    <t>GFI RATES ASIA.</t>
  </si>
  <si>
    <t>AEMB</t>
  </si>
  <si>
    <t>2100 STEELES AVENUE EAST INC</t>
  </si>
  <si>
    <t>PROMOTORA CARIBENA SA DE CV</t>
  </si>
  <si>
    <t>NEW YORK DERIVATIVES HEDGE</t>
  </si>
  <si>
    <t>BNS NEW YORK DERIVATIVES POS PORTFOLIO</t>
  </si>
  <si>
    <t>DOMINICAN REPUBLIC OFFSHORE LOANS</t>
  </si>
  <si>
    <t>LG03</t>
  </si>
  <si>
    <t>SA143</t>
  </si>
  <si>
    <t>AF530</t>
  </si>
  <si>
    <t>AF540</t>
  </si>
  <si>
    <t>NY FIXED INCOME MANAGEMENT PORTFOLIO</t>
  </si>
  <si>
    <t>NEW YORK DERIVATIVES LONDON</t>
  </si>
  <si>
    <t>NEW YORK SWAP</t>
  </si>
  <si>
    <t>BNS NY FIXED INCOME OPTION HEDGE PORTFOLIO (SCI)</t>
  </si>
  <si>
    <t>BNS NY FIXED INCOME OPTION HEDGE PORTFOLIO</t>
  </si>
  <si>
    <t>FSG00349</t>
  </si>
  <si>
    <t>CELESTICA MALAYSIA SDN BHD</t>
  </si>
  <si>
    <t>9372-0035 QUEBEC INC</t>
  </si>
  <si>
    <t>Wesdome Gold Mines Ltd</t>
  </si>
  <si>
    <t>CNTRL</t>
  </si>
  <si>
    <t>AEROPUERTO DEL BAJIO SA DE CV</t>
  </si>
  <si>
    <t>TURISMO NEXUS SA DE CV</t>
  </si>
  <si>
    <t>ROBERT AND KAREN BEDIN</t>
  </si>
  <si>
    <t>RALPH AND DEBORA CROSS</t>
  </si>
  <si>
    <t>LN10</t>
  </si>
  <si>
    <t>NBIMC NON CANADIAN PRIVATE REAL ESTATE FUND</t>
  </si>
  <si>
    <t>LQ01</t>
  </si>
  <si>
    <t>AEMI</t>
  </si>
  <si>
    <t>LK09</t>
  </si>
  <si>
    <t>TD ASSET MANAGEMENT T1559</t>
  </si>
  <si>
    <t>TD ASSET MANAGEMENT T1256</t>
  </si>
  <si>
    <t>YEOCHUN NCC CO.,LTD</t>
  </si>
  <si>
    <t>TD ASSET MANAGEMENT 1105003</t>
  </si>
  <si>
    <t>TD ASSET MANAGEMENT 1105004</t>
  </si>
  <si>
    <t>TD ASSET MANAGEMENT T1105</t>
  </si>
  <si>
    <t>TD ASSET MANAGEMENT 1105002</t>
  </si>
  <si>
    <t>TD ASSET MANAGEMENT 1105001</t>
  </si>
  <si>
    <t>TD ASSET MANAGEMENT 1105005</t>
  </si>
  <si>
    <t>GUARDIAN FUNDAMENTAL GLOBAL EQUITY FUND</t>
  </si>
  <si>
    <t>TD ASSET MANAGEMENT T1120</t>
  </si>
  <si>
    <t>THE PLUMBING &amp; PIPEFITTING WORKERS LOCAL 170 PENSION PLAN</t>
  </si>
  <si>
    <t>THE PLUMBING AND PIPEFITTING WORKERS LOCAL 170 PENSION PLAN</t>
  </si>
  <si>
    <t>SANDAKAN EDIBLE OILS SDN BHD</t>
  </si>
  <si>
    <t>EL GOBIERNO DEL  ESTADO DE TAMAULIPAS</t>
  </si>
  <si>
    <t>NUMA VACATIONS MEXICO SA DE CV</t>
  </si>
  <si>
    <t>GALERIE ALAN KLINKHOFF INC</t>
  </si>
  <si>
    <t>TELEMOVIL EL SALVADOR SA</t>
  </si>
  <si>
    <t>LJ28</t>
  </si>
  <si>
    <t>HUDSON DC ASSET LLC</t>
  </si>
  <si>
    <t>REDWOOD DC ASSET LLC</t>
  </si>
  <si>
    <t>NAVARRO DC ASSET LLC</t>
  </si>
  <si>
    <t>F&amp;C INVESTMENT MANAGEMENT LJ29</t>
  </si>
  <si>
    <t>LJ30</t>
  </si>
  <si>
    <t>LJ31</t>
  </si>
  <si>
    <t>AF615</t>
  </si>
  <si>
    <t>AF625</t>
  </si>
  <si>
    <t>TD ASSET MANAGEMENT T2103</t>
  </si>
  <si>
    <t>FSG00449</t>
  </si>
  <si>
    <t>DEUTSCHE BANK SECURITIES INC (REPOS)</t>
  </si>
  <si>
    <t>DEUTSCHE BANK SECURITIES INC.</t>
  </si>
  <si>
    <t>TD ASSET MANAGEMENT T2105</t>
  </si>
  <si>
    <t>CI FIRST ASSET PREFERRED SHARE ETF</t>
  </si>
  <si>
    <t>FIRST ASSET PREFERRED SHARE ETF</t>
  </si>
  <si>
    <t>HSBC SECURITIES USA INC</t>
  </si>
  <si>
    <t>HSBC SECURITIES (USA) INC.</t>
  </si>
  <si>
    <t>SHIMCO NORTH AMERICA INC</t>
  </si>
  <si>
    <t>EL GOBIERNO DEL ESTADO DE YUCATAN</t>
  </si>
  <si>
    <t>GFP SERVICES CANADA INC</t>
  </si>
  <si>
    <t>SA152</t>
  </si>
  <si>
    <t>SA149</t>
  </si>
  <si>
    <t>SA138</t>
  </si>
  <si>
    <t>LJ25</t>
  </si>
  <si>
    <t>LITIERE ROYAL INC</t>
  </si>
  <si>
    <t>GIM GRUPO INDUSTRIAL MEXICANO SA DE CV</t>
  </si>
  <si>
    <t>SA124</t>
  </si>
  <si>
    <t>COAST LIMITED PARTNERSHIP</t>
  </si>
  <si>
    <t>GRAN TIERRA ENERGY INC</t>
  </si>
  <si>
    <t>GRAN TIERRA ENERGY INC GROUP</t>
  </si>
  <si>
    <t>ORLEN LIETUVA AB</t>
  </si>
  <si>
    <t>SA121</t>
  </si>
  <si>
    <t>SA120</t>
  </si>
  <si>
    <t>SA106</t>
  </si>
  <si>
    <t>SA104</t>
  </si>
  <si>
    <t>DABUR INDIA LTD</t>
  </si>
  <si>
    <t>AFP CUPRUM SA - FUND E</t>
  </si>
  <si>
    <t>STEPHEN STOW (1995) FAMILY TRUST</t>
  </si>
  <si>
    <t>SA102</t>
  </si>
  <si>
    <t>BR-BALANCED INCOME PORTF FUND-ASSET</t>
  </si>
  <si>
    <t>BR-BALANCED INCOME PORT FD-INTL EQ</t>
  </si>
  <si>
    <t>BR-BALANCED INCOME PORTF FD-UK EQ</t>
  </si>
  <si>
    <t>MCKINSEY COMPANY INC MEXICO SC</t>
  </si>
  <si>
    <t>LORAC COMMUNICATIONS INC</t>
  </si>
  <si>
    <t>STUART BUDD &amp; SONS LTD</t>
  </si>
  <si>
    <t>STUART BUDD AND SONS LTD</t>
  </si>
  <si>
    <t>KAITLIN HOMES LTD</t>
  </si>
  <si>
    <t>BANK OF BARODA</t>
  </si>
  <si>
    <t>INDUSIND BANK LTD</t>
  </si>
  <si>
    <t>GRUPO AEROPORTUARIO DEL PACIFICO SAB DE CV</t>
  </si>
  <si>
    <t>RBC US SHORT-TERM CORPORATE BOND FUND</t>
  </si>
  <si>
    <t>SACOS DE POLIPROPILENO ESPECIALIZADOS SA DE CV</t>
  </si>
  <si>
    <t>SACOS DE POLIPROPILENO ESPECIALIZADO SA DE CV</t>
  </si>
  <si>
    <t>STATE BANK OF INDIA</t>
  </si>
  <si>
    <t>STATE BANK OF INDIA,</t>
  </si>
  <si>
    <t>RBC US STRATEGIC INCOME BOND FUND</t>
  </si>
  <si>
    <t>RBC GLOBAL BOND &amp; CURRENCY FUND</t>
  </si>
  <si>
    <t>RBC O'SHAUGHNESSY U.S. VALUE FUND (UNHEDGED)</t>
  </si>
  <si>
    <t>RBC GLOBAL EQUITY FOCUS CURRENCY NEUTRAL FUND</t>
  </si>
  <si>
    <t>RBC QUBE LOW VOLATILITY GLOBAL EQUITY CURRENCY NEUTRAL FUND</t>
  </si>
  <si>
    <t>MOLIMENTALES DEL NOROESTE S.A. DE C.V.</t>
  </si>
  <si>
    <t>HYDROCONTROL INDUSTRIAL SA DE CV</t>
  </si>
  <si>
    <t>ALIMENTOS CONCENTRADOS DE DELICIAS SA DE CV</t>
  </si>
  <si>
    <t>CYAN LABS SA DE CV</t>
  </si>
  <si>
    <t>PIHLAINEN APPAREL IMPORTS INC</t>
  </si>
  <si>
    <t>SCHOTT GEMTRON (CANADA) CORPORATION</t>
  </si>
  <si>
    <t>DEUTSCHE BANK MEXICO S A DIVISION FIDUCIARIA F1616</t>
  </si>
  <si>
    <t>PACIFIC COAST FRUIT PRODUCTS LTD</t>
  </si>
  <si>
    <t>STAGELINE SCENE MOBILE INC</t>
  </si>
  <si>
    <t>STAGELINE SCENE MOBILE INC.</t>
  </si>
  <si>
    <t>LINDMILK FARMS</t>
  </si>
  <si>
    <t>SOCCO HOLDINGS INC</t>
  </si>
  <si>
    <t>PACIFICA NORTHWEST TIMBER CORP</t>
  </si>
  <si>
    <t>PACIFICA TRADING CORP</t>
  </si>
  <si>
    <t>ADVANCED DESIGN SOLUTIONS INC.</t>
  </si>
  <si>
    <t>1975482 ONTARIO INC</t>
  </si>
  <si>
    <t>MAYBLOOM FARMS LTD</t>
  </si>
  <si>
    <t>SOUTHERN DRIP IRRIGATION LTD</t>
  </si>
  <si>
    <t>MAYBERRY FARMS LTD</t>
  </si>
  <si>
    <t>MAYBERRY FARMS LTD GROUP</t>
  </si>
  <si>
    <t>S2E TECHNOLOGIES INC.</t>
  </si>
  <si>
    <t>HARVEST RED FARMS LTD</t>
  </si>
  <si>
    <t>VELOCE DEVELOPMENTS LTD</t>
  </si>
  <si>
    <t>MD AMERICAN GROWTH FUND MF</t>
  </si>
  <si>
    <t>MD AMERICAN GROWTH FUND</t>
  </si>
  <si>
    <t>MD AMERICAN VALUE FUND MF</t>
  </si>
  <si>
    <t>MD AMERICAN VALUE FUND</t>
  </si>
  <si>
    <t>AC BEBIDAS S DE RL DE CV</t>
  </si>
  <si>
    <t>A C BEBIDAS S DE R L DE CV</t>
  </si>
  <si>
    <t>MD DIVIDEND GROWTH FUND</t>
  </si>
  <si>
    <t>MD DIVIDEND GROWTH FUND MF</t>
  </si>
  <si>
    <t>MD EQUITY FUND</t>
  </si>
  <si>
    <t>MD EQUITY FUND MF</t>
  </si>
  <si>
    <t>THE SUMITOMO WAREHOUSE CO LTD</t>
  </si>
  <si>
    <t>QUESTER TANGENT CORPORATION</t>
  </si>
  <si>
    <t>WARRINGTON AGRODYNAMIC LTD.</t>
  </si>
  <si>
    <t>WILLYS GREENHOUSE LTD</t>
  </si>
  <si>
    <t>KC HOTEL PROPERTY OWNER LLC</t>
  </si>
  <si>
    <t>2087 NEWPORT INC.</t>
  </si>
  <si>
    <t>MUNICH REINSURANCE COMPANY</t>
  </si>
  <si>
    <t>OAK BAY RENTAL INVESTMENTS LTD</t>
  </si>
  <si>
    <t>EZ REBUILDABLES LTD</t>
  </si>
  <si>
    <t>FORZA MOTOCICLISMO SA DE CV</t>
  </si>
  <si>
    <t>CONVERTER CONVERTER BROKER INC</t>
  </si>
  <si>
    <t>CHIC MONARCHIQUE DISTRIBUTIONS INC</t>
  </si>
  <si>
    <t>UNIFIN FINANCIERA SAB DE CV</t>
  </si>
  <si>
    <t>UNIFIN FINANCIERA S A B  DE CV</t>
  </si>
  <si>
    <t>LG ELECTRONICS CANADA, INC.</t>
  </si>
  <si>
    <t>SOLUCIONES BASICAS DE OCCIDENTE SA DE CV</t>
  </si>
  <si>
    <t>ATLANTIC SALMON FEDERATION CANADA</t>
  </si>
  <si>
    <t>ATLANTIC AQUA FARMS LIMITED</t>
  </si>
  <si>
    <t>RULAND REALTY LIMITED</t>
  </si>
  <si>
    <t>AYLMER COMMERCIAL CENTRE INC</t>
  </si>
  <si>
    <t>PRAIRIE SOURCE TRADING LTD.</t>
  </si>
  <si>
    <t>PROSPECTIVE MANAGEMENT SERVICES INC</t>
  </si>
  <si>
    <t>DELOM IMMOBILIER INC.</t>
  </si>
  <si>
    <t>MATERION ADVANCED MATERIALS TECH &amp; SERVICES CORP</t>
  </si>
  <si>
    <t>JOHN HANCOCK STRATEGIC INCOME FUND</t>
  </si>
  <si>
    <t>THE ONEX DSU HEDGE TRUST</t>
  </si>
  <si>
    <t>MACKENZIE US INVESTMENT GRADE CORPORATE BOND INDEX ETF</t>
  </si>
  <si>
    <t>LAMBARDAR INC.</t>
  </si>
  <si>
    <t>STINGRAY MUSIC SA DE CV</t>
  </si>
  <si>
    <t>TRAVEL STUDIO COMUNICACIONES SA DE CV</t>
  </si>
  <si>
    <t>MD FOSSIL FUEL FREE BOND FUND</t>
  </si>
  <si>
    <t>THE SHIZUOKA BANK LTD</t>
  </si>
  <si>
    <t>MD FOSSIL FUEL FREE EQUITY FUND</t>
  </si>
  <si>
    <t>MD FOSSIL FUEL FREE EQUITY FUND MF</t>
  </si>
  <si>
    <t>MD INTERNATIONAL GROWTH FUND MF</t>
  </si>
  <si>
    <t>MD INTERNATIONAL GROWTH FUND</t>
  </si>
  <si>
    <t>MD INTERNATIONAL VALUE FUND MF</t>
  </si>
  <si>
    <t>MD INTERNATIONAL VALUE FUND</t>
  </si>
  <si>
    <t>COLOMBIA ENERGY DEVELOPMENT CO., COLOMBIAN BRANCH</t>
  </si>
  <si>
    <t>MD MONEY FUND</t>
  </si>
  <si>
    <t>PHILLIPS, HAGER &amp; NORTH SYNTHETIC FLOATING RATE FUND</t>
  </si>
  <si>
    <t>PH&amp;N SYNTHETIC FLOATING RATE FUND</t>
  </si>
  <si>
    <t>WOLF COMPANY SA DE CV</t>
  </si>
  <si>
    <t>EQUIPOS PARA GAS SA DE CV</t>
  </si>
  <si>
    <t>ELLISDON INFRASTRUCTURE TBCC GENERAL PARTNERSHIP</t>
  </si>
  <si>
    <t>CELLULAR3000 INC</t>
  </si>
  <si>
    <t>POLIMEROS ESPECIALES SA DE CV</t>
  </si>
  <si>
    <t>EMPACADORA Y COMERCIALIZADORA DE PRODUCTOS BASICOS SAP DE CV</t>
  </si>
  <si>
    <t>GRANOS NACIONALES INTERNACIONALES DE SINALOA SA DE CV</t>
  </si>
  <si>
    <t>142503 CANADA INC</t>
  </si>
  <si>
    <t>TD ASSET MANAGEMENT 1162004</t>
  </si>
  <si>
    <t>TD ASSET MANAGEMENT 1160002</t>
  </si>
  <si>
    <t>TD ASSET MANAGEMENT 1160003</t>
  </si>
  <si>
    <t>TD ASSET MANAGEMENT 1160001</t>
  </si>
  <si>
    <t>TD ASSET MANAGEMENT 1160</t>
  </si>
  <si>
    <t>TD ASSET MANAGEMENT 1159003</t>
  </si>
  <si>
    <t>TD ASSET MANAGEMENT 1159002</t>
  </si>
  <si>
    <t>TD ASSET MANAGEMENT 1198004</t>
  </si>
  <si>
    <t>TD ASSET MANAGEMENT 1159001</t>
  </si>
  <si>
    <t>TD ASSET MANAGEMENT 1159</t>
  </si>
  <si>
    <t>GOHLER GMBH AND CO KG ANLAGENTECHNIK</t>
  </si>
  <si>
    <t>ISB TRANSPORT LTD</t>
  </si>
  <si>
    <t>MD PRECISION BALANCED GROWTH PORTFOLIO</t>
  </si>
  <si>
    <t>NORTHERN MAT &amp; BRIDGE LIMITED PARTNERSHIP</t>
  </si>
  <si>
    <t>NOMURA SECURITIES INTERNATIONAL, INC.</t>
  </si>
  <si>
    <t>NOMURA SECURITIES INTERNATIONAL, INC</t>
  </si>
  <si>
    <t>AGROPECUARIA CAMPILLO SA DE CV</t>
  </si>
  <si>
    <t>ENGENCAP HOLDING S DE RL DE CV</t>
  </si>
  <si>
    <t>TRI WIRE LINE CONSTRUCTION INC</t>
  </si>
  <si>
    <t>BLUERIDGE PRODUCE INC</t>
  </si>
  <si>
    <t>MD PRECISION CONSERVATIVE PORTFOLIO</t>
  </si>
  <si>
    <t>MD PRECISION BALANCED INCOME PORTFOLIO</t>
  </si>
  <si>
    <t>MD PRECISION MAXIMUM GROWTH PORTFOLIO</t>
  </si>
  <si>
    <t>MD PRECISION MODERATE BALANCED PORTFOLIO</t>
  </si>
  <si>
    <t>MD PRECISION MODERATE GROWTH PORTFOLIO</t>
  </si>
  <si>
    <t>GAVILON DE MEXICO SA DE CV</t>
  </si>
  <si>
    <t>UCF HOTEL VENTURE V</t>
  </si>
  <si>
    <t>ACCEL ENERGY CANADA LIMITED</t>
  </si>
  <si>
    <t>ACCEL CANADA HOLDINGS LIMITED</t>
  </si>
  <si>
    <t>MDPIM CANADIAN EQUITY POOL</t>
  </si>
  <si>
    <t>VINCULOS DE NEGOCIOS SA DE CV</t>
  </si>
  <si>
    <t>NEXCEM INC</t>
  </si>
  <si>
    <t>ESTRUXTURE DATA CENTERS INC</t>
  </si>
  <si>
    <t>IMAGEN COMUNICACION EN RADIO SA DE CV</t>
  </si>
  <si>
    <t>OMG INMOBILIARIA S A P I DE CV</t>
  </si>
  <si>
    <t>COMERCIAL GANADERA ALBORADA SA DE CV</t>
  </si>
  <si>
    <t>GOMAS NATURALES SA DE CV</t>
  </si>
  <si>
    <t>FORMOSA CHEMICALS &amp; FIBRE CORPORATION</t>
  </si>
  <si>
    <t>ELLISDON INFRASTRUCTURE BGH INC</t>
  </si>
  <si>
    <t>ICON TIRE INTERNATIONAL INC</t>
  </si>
  <si>
    <t>MERLYN AND BEVERLEY SPENCE</t>
  </si>
  <si>
    <t>ACCELERATED SYSTEMS INC</t>
  </si>
  <si>
    <t>GREEN ISLAND SOLUTIONS SA DE CV</t>
  </si>
  <si>
    <t>SSAB CENTRAL INC</t>
  </si>
  <si>
    <t>WESTERN COAST ENTERPRISE LTD</t>
  </si>
  <si>
    <t>MARTIN PAYER</t>
  </si>
  <si>
    <t>FACTOR GFC GLOBAL SA DE CV SOFOM ENR</t>
  </si>
  <si>
    <t>479008 ONTARIO INC</t>
  </si>
  <si>
    <t>FIBRA CONKRETAR SA DE CV</t>
  </si>
  <si>
    <t>EMPIRE FUND</t>
  </si>
  <si>
    <t>NEWCASTLE HOLDINGS INC</t>
  </si>
  <si>
    <t>HARTFORD ENTERPRISES INC</t>
  </si>
  <si>
    <t>SONORA SERVICIOS DE EMPLEO SA DE CV</t>
  </si>
  <si>
    <t>NORSTEEL BUILDINGS SALES CORPORATION</t>
  </si>
  <si>
    <t>MARATHON MODI PARTNERSHIP, L.P.</t>
  </si>
  <si>
    <t>CRIANZA SUPREMA SPR DE RL DE CV</t>
  </si>
  <si>
    <t>ROSS WATERS HOLDINGS LTD</t>
  </si>
  <si>
    <t>POLYMER NET TECHNOLOGY INC</t>
  </si>
  <si>
    <t>ALICORP SAA</t>
  </si>
  <si>
    <t>ALICORP S.A.A</t>
  </si>
  <si>
    <t>OMEGA TOOL CORP.</t>
  </si>
  <si>
    <t>JACOB AND WILLIAM HOLDINGS LTD.</t>
  </si>
  <si>
    <t>RANGLE IO INC</t>
  </si>
  <si>
    <t>MAPLETREE TREASURY SERVICES LIMITED</t>
  </si>
  <si>
    <t>JONVIEW CANADA INC</t>
  </si>
  <si>
    <t>9131 5986 QUEBEC INC W MAXWELL</t>
  </si>
  <si>
    <t>CDC WIRE S DE RL DE CV</t>
  </si>
  <si>
    <t>BIO BASIC CANADA INC</t>
  </si>
  <si>
    <t>RALPH M LANG FARMS INC</t>
  </si>
  <si>
    <t>PRODUCTOS MEDLINE MEXICALI S DE R L DE C V</t>
  </si>
  <si>
    <t>INGENIO TRES VALLES SA DE CV</t>
  </si>
  <si>
    <t>MEDICAL TECHNOLOGY (W.B) INC.</t>
  </si>
  <si>
    <t>BANCO INVEX, S.A.</t>
  </si>
  <si>
    <t>BANCO INVEX SA INSTITUCION DE BANCA MULTIPLE, INVEX GRUPO FINANCIERO, FIDUCIARIO UNICAMENTE Y EXCLUSIVAMENTE EN SU CARACTER DE FIDUCIARIO EN EL FIDEICOMISO NUMERO F/2264</t>
  </si>
  <si>
    <t>BANCO INVEX SA INSTITUCION DE BANCA MULTIPLE INVEX GRUPO FINANCIERO COMO FIDUCIARIO DEL FIDEICOMISO F 2264</t>
  </si>
  <si>
    <t>BANCO INVEX SA INSTITUCION DE BANCA MULTIPLE INVEX GRUPO FINANCIERO FIDUCIARIOCOMO FIDUCIARIO DEL FIDEICOMISO IRREVOCABLE NO 2157 FIBRA MT2</t>
  </si>
  <si>
    <t>BANCO INVEX SA INSTITUCION DE BANCA MULTIPLE INVEX GRUPO FINANCIERO EN SU CARACTER FIDUCIARIO DEL FIDEICOMISO F/3127</t>
  </si>
  <si>
    <t>FULL NAME: BANCO INVEX SOCIEDAD ANONIMA INSTITUCION DE BANCA MULTIPLE INVEX GRUPO FINANCIERO COMO FIDUCIARIO DEL FIDEICOMISO NUMERO 1380</t>
  </si>
  <si>
    <t>BANCO INVEX S.A. INSTITUCION DE BANCA MULTIPLE</t>
  </si>
  <si>
    <t>BANCO INVEX SA, INSTITUCION DE BANCA MULTIPLE, INVEX GRUPO FINANCIERO, EN SU CARACTER DE FIDUCIOARIO DEL CONTRATO DE FIDEICOMISO IRREVOCABLE NUMERO 2897</t>
  </si>
  <si>
    <t>BANCO INVEX S.A., INSTITUCION DE BANCA MULTIPLE, INVEX GRUPO FINANCIERO, FIDUCIARIO, COMO FIDUCIARIO DEL FIDEICOMISO IRREVOCABLE NO 2157  FIBRA MTY</t>
  </si>
  <si>
    <t>BANCO INVEX S.A. FIDEICOMISO F/1178</t>
  </si>
  <si>
    <t>BANCO INVEX SA INSTITUCION DE BANCA MULTIPLE  INVEX GRUPO FINANCIERO  FIDUCIARIO  COMO FIDUCIARIO DEL CONTRATO DE FIDEICOMISO IRREVOCABLE DE ADMINISTRACION Y PAGO NUMERO 3800</t>
  </si>
  <si>
    <t>BANCO INVEX SA INSTITUCION DE BANCA MULTIPLE INVEX GRUPO FINANCIERO COMO FIDUCIARIO DEL FIDEICOMISO 1178</t>
  </si>
  <si>
    <t>BANCO INVEX  SA INSTITUCION DE BANCA MULTIPLE  INVEX GRUPO FINANCIERO EN SU CARACTER DE FIDUCIARIO DEL CONTRATO DE FIDEICOMISO IRREVOCABLE DE EMISION ADMINISTRACION Y PAGO NO F 2966</t>
  </si>
  <si>
    <t>BANCO INVEX, S.A. INSTITUCION DE BANCA MULTIPLE, INVEX GRUPO FINANCIERO COMO FIDUCIARIO DEL FIDEICOMISO F/2236</t>
  </si>
  <si>
    <t>BANCO INVEX SA INSTITUCION DE BANCA MULTIPLE INVEX GRUPO FINANCIERO</t>
  </si>
  <si>
    <t>ASOCIACION DEL VALLE DE GUADALAJARA SC</t>
  </si>
  <si>
    <t>CULTURA DELTA AGUASCALIENTES SC</t>
  </si>
  <si>
    <t>CENTRO DE EDUCACION Y CULTURA DEL VALLE SC</t>
  </si>
  <si>
    <t>CENTRO DE EDUCACION Y ORIENTACION ACADEMICA DE CHIHUAHUA SC</t>
  </si>
  <si>
    <t>INSTITUTO EDUCATIVO COLINAS DE SAN JAVIER SC</t>
  </si>
  <si>
    <t>ASOCIACION CULTURAL DE ZACATECAS SC</t>
  </si>
  <si>
    <t>GOLDMAN SACHS ASSET MANAGEMENT LP CDEA</t>
  </si>
  <si>
    <t>ALESSO SA DE CV</t>
  </si>
  <si>
    <t>OPERADORA YAAN SA DE CV</t>
  </si>
  <si>
    <t>BERKELEY SQUARE PENSION TRUSTEE COMPANY LIMITED AS TRUSTEE OF THE GSK PENSION SCHEME</t>
  </si>
  <si>
    <t>MACKENZIE GROWTH ETF PORTFOLIO</t>
  </si>
  <si>
    <t>THE UNIVERSITY OF BRITISH COLUMBIA ENDOWMENT FUND - ENDOWMENT PD</t>
  </si>
  <si>
    <t>THE UNIVERSITY OF BRITISH COLUMBIA ENDOWMENT FUND - ENDOWMENT IE</t>
  </si>
  <si>
    <t>THE UNIVERSITY OF BRITISH COLUMBIA ENDOWMENT FUND - ENDOWMENT ARS</t>
  </si>
  <si>
    <t>THE UNIVERSITY OF BRITISH COLUMBIA ENDOWMENT FUND - ENDOWMENT RE</t>
  </si>
  <si>
    <t>THE UNIVERSITY OF BRITISH COLUMBIA ENDOWMENT FUND</t>
  </si>
  <si>
    <t>UNIVERSITY OF BRITISH COLUMBIA STAFF PENSION PLAN - STAFF RE</t>
  </si>
  <si>
    <t>UNIVERSITY OF BRITISH COLUMBIA STAFF PENSION PLAN</t>
  </si>
  <si>
    <t>UNIVERSITY OF BRITISH COLUMBIA STAFF PENSION PLAN - STAFF IE</t>
  </si>
  <si>
    <t>TD ASSET MANAGEMENT 1506</t>
  </si>
  <si>
    <t>TD ASSET MANAGEMENT 1031</t>
  </si>
  <si>
    <t>TD ASSET MANAGEMENT 1031001</t>
  </si>
  <si>
    <t>TD ASSET MANAGEMENT 1031002</t>
  </si>
  <si>
    <t>DYNAMIC ACTIVE INVESTMENT GRADE FLOATING RATE FUND</t>
  </si>
  <si>
    <t>TECNICA ADMINISTRATIVA BAL SA DE CV</t>
  </si>
  <si>
    <t>FPL PROPERTIES LTD</t>
  </si>
  <si>
    <t>RALPH LANG DBA RM LANG FARMS</t>
  </si>
  <si>
    <t>ELLISDON INFRASTRUCTURE KBT RER INC.</t>
  </si>
  <si>
    <t>BAIYIN NONFERROUS GROUP CO LTD</t>
  </si>
  <si>
    <t>ICAP Securities Ltd,</t>
  </si>
  <si>
    <t>ICAP Securities Ltd</t>
  </si>
  <si>
    <t>JB DRAX HONORE (UK) LIMITED</t>
  </si>
  <si>
    <t>MACKENZIE CONSERVATIVE ETF PORTFOLIO</t>
  </si>
  <si>
    <t>MACKENZIE BALANCED ETF PORTFOLIO</t>
  </si>
  <si>
    <t>AIR CANADA PENSION MASTER TRUST FUND</t>
  </si>
  <si>
    <t>AIR CANADA SYNTHETIC US</t>
  </si>
  <si>
    <t>AIR CANADA INTERNAL CANADIAN EQ</t>
  </si>
  <si>
    <t>AIR CANADA CORP MONTREAL</t>
  </si>
  <si>
    <t>AIR CANADA 4544293</t>
  </si>
  <si>
    <t>AIR CANADA 7505302</t>
  </si>
  <si>
    <t>AC-HEDGES ALTERN</t>
  </si>
  <si>
    <t>AIR CANADA SYNTHETIC CDN</t>
  </si>
  <si>
    <t>AIR CANADA INT DIST CASH</t>
  </si>
  <si>
    <t>AIR CANADA 02140002</t>
  </si>
  <si>
    <t>AIR CANADA SYNTHETIC EM</t>
  </si>
  <si>
    <t>AIR CANADA SYNTHETIC DURATION</t>
  </si>
  <si>
    <t>AIR CANADA 8522260</t>
  </si>
  <si>
    <t>AIR CANADA TREASURIES</t>
  </si>
  <si>
    <t>AC ALTERNATIVE TRUST FUND</t>
  </si>
  <si>
    <t>AIR CANADA 8267561</t>
  </si>
  <si>
    <t>AIR CANADA 8322961</t>
  </si>
  <si>
    <t>AIR CANADA SP500 PHYSICAL</t>
  </si>
  <si>
    <t>AIR CANADA COMPANY 90</t>
  </si>
  <si>
    <t>AIR CANADA 7725400</t>
  </si>
  <si>
    <t>AIR CANADA 8007748</t>
  </si>
  <si>
    <t>AIR CANADA RRB</t>
  </si>
  <si>
    <t>AIR CANADA 7506309</t>
  </si>
  <si>
    <t>AIR CANADA INT QUANT STRAT</t>
  </si>
  <si>
    <t>AIR CANADA SYNTHETIC GLOBAL</t>
  </si>
  <si>
    <t>AIR CANADA FIXED INC INTERNAL</t>
  </si>
  <si>
    <t>AIR CANADA SYNTHETIC EAFE</t>
  </si>
  <si>
    <t>AIR CANADA SYNTHETIC FI</t>
  </si>
  <si>
    <t>AIR CANADA 8626413</t>
  </si>
  <si>
    <t>BERKELEY SQUARE PENSION TRUSTEE COMPANY LIMITED AS TRUSTEE OF THE GSK PENSION FUND</t>
  </si>
  <si>
    <t>THE SALVATION ARMY GENERAL INVESTMENT FUND</t>
  </si>
  <si>
    <t>MULTILATERAL INVESTMENT GUARENTEE AGENCY</t>
  </si>
  <si>
    <t>LEGAL &amp; GENERAL INVESTMENT MANAGEMENT 5366</t>
  </si>
  <si>
    <t>LGIM (IRELAND) RISK MANAGEMENT SOLUTIONS PLC, ON BEHALF OF LGIM 2050 REAL FUND</t>
  </si>
  <si>
    <t>PH&amp;N CUSTOM UNIVERSE PROVINCIAL SPREAD OVERLAY FUND I</t>
  </si>
  <si>
    <t>IVY EME, LTD</t>
  </si>
  <si>
    <t>MONETTE AG VENTURES LTD.</t>
  </si>
  <si>
    <t>PRODUCTOS CAREY SA DE CV</t>
  </si>
  <si>
    <t>LIMBERIS SEAFOOD PROCESSING LTD</t>
  </si>
  <si>
    <t>PH&amp;N CUSTOM UNIVERSE PROVINCIAL SPREAD OVERLAY FUND II</t>
  </si>
  <si>
    <t>BMO HIGH YIELD US CORPORATE BOND INDEX ETF</t>
  </si>
  <si>
    <t>SONEIL HURONTARIO INC</t>
  </si>
  <si>
    <t>CI BANCO SA INSTITUCION DE BANCA MULTIPLE EN SU CARACTER DE FIDUCIARIO DEL CONTRATO DE FIDEICOMISO IRREVOCABLE NUMERO CIB 2810</t>
  </si>
  <si>
    <t>MD SELECT FUND</t>
  </si>
  <si>
    <t>MDPIM CANADIAN BOND POOL</t>
  </si>
  <si>
    <t>0936670 BC LTD</t>
  </si>
  <si>
    <t>LDM RENT SA DE CV</t>
  </si>
  <si>
    <t>SINTCO SA DE CV</t>
  </si>
  <si>
    <t>UPI SAPI DE CV</t>
  </si>
  <si>
    <t>RAGASA INDUSTRIAS SA DE CV</t>
  </si>
  <si>
    <t>RAGASA INDUSTRIAS S.A. DE C.V.</t>
  </si>
  <si>
    <t>SIGNATURE HIGH YIELD BOND II FUND</t>
  </si>
  <si>
    <t>Tewksbury Investment Fund Ltd</t>
  </si>
  <si>
    <t>CANADIAN ENGRAVERS SUPPLY COMPANY  LTD</t>
  </si>
  <si>
    <t>MOCE INGENIERIA SA DE CV</t>
  </si>
  <si>
    <t>DINE SAB DE CV</t>
  </si>
  <si>
    <t>PH&amp;N SHORT INVESTMENT GRADE CORPORATE BOND TRUST</t>
  </si>
  <si>
    <t>BABICH FARMS JOINT VENTURE</t>
  </si>
  <si>
    <t>PUROLATOR INC</t>
  </si>
  <si>
    <t>CASA LEY SAPI DE CV</t>
  </si>
  <si>
    <t>VEROSTAMP SA DE CV</t>
  </si>
  <si>
    <t>DISTRIBUTION ALIMENTAIRE CHRIS. P. INC.</t>
  </si>
  <si>
    <t>MEXICO SPOT BROADWAY</t>
  </si>
  <si>
    <t>0850463 BC LTD</t>
  </si>
  <si>
    <t>PUBLIC HOUSE LTD.</t>
  </si>
  <si>
    <t>TOTAL ENERGY SERVICES INC</t>
  </si>
  <si>
    <t>NEXTERA ENERGY OPERATING PARTNERS, LP</t>
  </si>
  <si>
    <t>BC TENEDORA INMOBILIARIA, S. DE R.L. DE C.V.</t>
  </si>
  <si>
    <t>CB CERVEZA OPERATIONS, S. DE R.L. DE C.V.</t>
  </si>
  <si>
    <t>GREENBELT GREENHOUSE LTD</t>
  </si>
  <si>
    <t>HUEVO SANTIAGO DE QUERETARO SPR DE RL DE CV</t>
  </si>
  <si>
    <t>UPS INSURANCE CLAIMS</t>
  </si>
  <si>
    <t>POOL</t>
  </si>
  <si>
    <t>VESTA ENERGY LTD.</t>
  </si>
  <si>
    <t>CONISTON HOLDINGS LTD.</t>
  </si>
  <si>
    <t>LYB AMERICAS FINANCE COMPANY LLC.</t>
  </si>
  <si>
    <t>2092172 ALBERTA LTD</t>
  </si>
  <si>
    <t>FRANK CARROLL FINANCIAL LTD</t>
  </si>
  <si>
    <t>9055-2910 QUEBEC INC</t>
  </si>
  <si>
    <t>CENTRE COMMERCIAL ST-CANUT INC</t>
  </si>
  <si>
    <t>9354875 CANADA INC</t>
  </si>
  <si>
    <t>PHARMACIE FREDERIC LAHOUD (AVENUE CARTIER) INC.</t>
  </si>
  <si>
    <t>FLYING COLOURS CORP.</t>
  </si>
  <si>
    <t>STEPHANE LESSARD ET RICHARD TREMBLAY</t>
  </si>
  <si>
    <t>PHARMACIE MAXIM FONTAINE INC</t>
  </si>
  <si>
    <t>9270 8213 QUEBEC INC</t>
  </si>
  <si>
    <t>OPTIMUM TALENT</t>
  </si>
  <si>
    <t>CONSTRUCTION BOULEVARD GOUIN INC</t>
  </si>
  <si>
    <t>INFRA SOLUTIONS CAPITAL INC</t>
  </si>
  <si>
    <t>PHARMACIE JEAN SEBASTIEN BLAIS JEAN-FRANCOIS LECLERC ET</t>
  </si>
  <si>
    <t>DISTRIBUTION STOX INC</t>
  </si>
  <si>
    <t>PHARMACIE HELENE MONTPETIT INC</t>
  </si>
  <si>
    <t>OLIVIER SEPTILES CHRYSLER DODGE JEEP RAM INC</t>
  </si>
  <si>
    <t>9163 2653 QUEBEC INC</t>
  </si>
  <si>
    <t>TIMKEL INC</t>
  </si>
  <si>
    <t>GESTION ELMARAL INC</t>
  </si>
  <si>
    <t>LAHOUD PHARMA INC</t>
  </si>
  <si>
    <t>IMMEUBLES LAHOUD INC</t>
  </si>
  <si>
    <t>IMMEUBLES G S C  S E N C</t>
  </si>
  <si>
    <t>DELTA PHARMA INC</t>
  </si>
  <si>
    <t>IMMOBILIER CTS INC</t>
  </si>
  <si>
    <t>GROUPE IMMOBILIER DUBEGE INC</t>
  </si>
  <si>
    <t>GROUPE IMMOBILIER DUBEGE INC.</t>
  </si>
  <si>
    <t>TRANSPORT MARITIME ST LAURENT INC</t>
  </si>
  <si>
    <t>DMT IMMOBILIERS INC</t>
  </si>
  <si>
    <t>9169-8464 QUEBEC INC</t>
  </si>
  <si>
    <t>9169 8464 QUEBEC INC</t>
  </si>
  <si>
    <t>ALLIANCE HEPYX INC</t>
  </si>
  <si>
    <t>ALLIANCE HEPYX</t>
  </si>
  <si>
    <t>BUKOVAL INC</t>
  </si>
  <si>
    <t>COMPLEXE OGILVY AVENUE LP AND 4373049 CANADA INC</t>
  </si>
  <si>
    <t>LES RESIDENCES SELECTION SEC V AND SOCIETE EN COMMANDITE RESIDENCE LE JARDIN DES SOURCES</t>
  </si>
  <si>
    <t>1929874 ONTARIO INC</t>
  </si>
  <si>
    <t>LES IMMEUBLES LABRIE GAUTHIER INC</t>
  </si>
  <si>
    <t>GROUPE GRENIER GUILBAULT INC</t>
  </si>
  <si>
    <t>92580034 QUEBEC INC</t>
  </si>
  <si>
    <t>9291 9190 QUEBEC INC</t>
  </si>
  <si>
    <t>BTG CAPITAL INC</t>
  </si>
  <si>
    <t>EDIFICE 5500 ROYALMOUNT INC</t>
  </si>
  <si>
    <t>JEAN FRANCOIS HEBERT AND GAETAN COUILLARD PHARMACIENS INC</t>
  </si>
  <si>
    <t>QUADRIAM INVESTMENTS INC</t>
  </si>
  <si>
    <t>SIGMA BROKING LIMITED</t>
  </si>
  <si>
    <t>COMPA¿¿A INMOBILIARIA MEXICANA, SA DE CV</t>
  </si>
  <si>
    <t>4307674 CANADA INC</t>
  </si>
  <si>
    <t>9177 2541 QUEBEC INC</t>
  </si>
  <si>
    <t>2502108 ONTARIO LTD</t>
  </si>
  <si>
    <t>GPA MOTOR TRADE INC</t>
  </si>
  <si>
    <t>SOCIETE DE DEVELOPPEMENT ECONOMIQUE DE DRUMMONDVILLE INC</t>
  </si>
  <si>
    <t>SOCIETE DE DEVELOPPEMENT ECONOMIQUE DE DRUMMONDVILLE INC.</t>
  </si>
  <si>
    <t>9256 2669 QUEBEC INC</t>
  </si>
  <si>
    <t>DELTASON TRADING LTD</t>
  </si>
  <si>
    <t>NORTHWEST HEALTHCARE AUSTRALIA RE LTD</t>
  </si>
  <si>
    <t>TRAXYS NORTH AMERICA LLC</t>
  </si>
  <si>
    <t>WYNDHAM HOTELS AND RESORTS INC</t>
  </si>
  <si>
    <t>AGF ELEMENTS YIELD PORTFOLIO CLASS</t>
  </si>
  <si>
    <t>MACKENZIE PRIVATE GLOBAL CONSERVATIVE INCOME BALANCED POOL</t>
  </si>
  <si>
    <t>MACKENZIE PRIVATE US EQUITY POOL</t>
  </si>
  <si>
    <t>MACKENZIE PRIVATE GLOBAL INCOME BALANCED POOL</t>
  </si>
  <si>
    <t>AGFIQ ENHANCED GLOBAL ESG FACTORS ETF</t>
  </si>
  <si>
    <t>MACKENZIE PRIVATE INCOME BALANCED POOL</t>
  </si>
  <si>
    <t>AGFIQ ENHANCED GLOBAL INFRASTRUCTURE ETF</t>
  </si>
  <si>
    <t>MACKENZIE PRIVATE CANADIAN FOCUSED EQUITY POOL</t>
  </si>
  <si>
    <t>MACKENZIE PRIVATE GLOBAL EQUITY POOL</t>
  </si>
  <si>
    <t>MACKENZIE US HIGH YIELD BOND INDEX ETF (CAD-HEDGED)</t>
  </si>
  <si>
    <t>MACKENZIE US TIPS INDEX ETF (CAD-HEDGED)</t>
  </si>
  <si>
    <t>MACKENZIE CANADIAN ALL CORPORATE BOND INDEX ETF</t>
  </si>
  <si>
    <t>MACKENZIE CANADIAN SHORT-TERM BOND INDEX ETF</t>
  </si>
  <si>
    <t>MACKENZIE CANADIAN AGGREGATE BOND INDEX ETF</t>
  </si>
  <si>
    <t>MACKENZIE INTERNATIONAL EQUITY INDEX ETF (CAD-HEDGED)</t>
  </si>
  <si>
    <t>MACKENZIE INTERNATIONAL EQUITY INDEX ETF</t>
  </si>
  <si>
    <t>MACKENZIE US LARGE CAP EQUITY INDEX ETF (CAD-HEDGED)</t>
  </si>
  <si>
    <t>MACKENZIE US LARGE CAP EQUITY INDEX ETF</t>
  </si>
  <si>
    <t>MACKENZIE CANADIAN EQUITY INDEX ETF</t>
  </si>
  <si>
    <t>IMMEUBLE 1965 ADL S.E.C</t>
  </si>
  <si>
    <t>MACKENZIE CANADIAN LARGE CAP EQUITY INDEX ETF</t>
  </si>
  <si>
    <t>MACKENZIE CHINA A-SHARES CSI 300 INDEX ETF</t>
  </si>
  <si>
    <t>LACTOPUR INC</t>
  </si>
  <si>
    <t>RAISIN VALLEY HOLSTEINS INC</t>
  </si>
  <si>
    <t>50 WOODBINE DOWNS LIMITED</t>
  </si>
  <si>
    <t>2560193 ONTARIO LTD</t>
  </si>
  <si>
    <t>HALIFAX INDEPENDENT SCHOOL SOCIETY</t>
  </si>
  <si>
    <t>DOMUS DEVELOPMENTS (LONDON) INC.</t>
  </si>
  <si>
    <t>2466705 ONTARIO INC.</t>
  </si>
  <si>
    <t>ZEIFMAN MANAGEMENT CORPORATION</t>
  </si>
  <si>
    <t>ZEIFMANS LLP</t>
  </si>
  <si>
    <t>WESGROUP PROPERTIES LIMITED PARTNERSHIP</t>
  </si>
  <si>
    <t>ATLANTIC ALL WEATHER WINDOWS LTD</t>
  </si>
  <si>
    <t>ATLANTIC ALL-WEATHER WINDOWS LIMITED</t>
  </si>
  <si>
    <t>2529098 ONTARIO CORP</t>
  </si>
  <si>
    <t>ROXVILLE INVESTMENTS LIMITED</t>
  </si>
  <si>
    <t>FERME RUBI INC</t>
  </si>
  <si>
    <t>1255402 ONTARIO LIMITED</t>
  </si>
  <si>
    <t>AFP PLANVITAL S.A.</t>
  </si>
  <si>
    <t>INTERNATIONAL MULTI-ASSET DIVERSIFIED INCOME INDEX FUND</t>
  </si>
  <si>
    <t>FIRST TRUST EMERGING MARKETS ALPHADEX UCITS ETF</t>
  </si>
  <si>
    <t>FIRST TRUST INTERNATIONAL IPO ETF</t>
  </si>
  <si>
    <t>FIRST TRUST ASIA PACIFIC EX-JAPAN ALPHADEX FUND</t>
  </si>
  <si>
    <t>FIRST TRUST ISE GLOBAL ENGINEERING AND CONSTRUCTION INDEX FUND</t>
  </si>
  <si>
    <t>FIRST TRUST DOW JONES GLOBAL SELECT DIVIDEND INDEX FUND</t>
  </si>
  <si>
    <t>FIRST TRUST GLOBAL EQUITY INCOME UCITS ETF</t>
  </si>
  <si>
    <t>FIRST TRUST EUROPE ALPHADEX FUND</t>
  </si>
  <si>
    <t>FIRST TRUST EMERGING MARKETS SMALL CAP ALPHADEX FUND</t>
  </si>
  <si>
    <t>FIRST TRUST DEVELOPED MARKETS EX US SMALL CAP ALPHADEX FUND</t>
  </si>
  <si>
    <t>FIRST TRUST STOXX EUROPEAN SELECT DIVIDEND INDEX FUND</t>
  </si>
  <si>
    <t>FIRST TRUST AUSTRALIA ALPHADEX FUND</t>
  </si>
  <si>
    <t>FIRST TRUST ISE GLOBAL WIND ENERGY INDEX FUND</t>
  </si>
  <si>
    <t>MCGRATH PHARMACIES INC</t>
  </si>
  <si>
    <t>VAN LAAR HOLDINGS LTD</t>
  </si>
  <si>
    <t>MENTANA GROUP OF COMPANIES</t>
  </si>
  <si>
    <t>MENTANA GROUP INC</t>
  </si>
  <si>
    <t>HYUNDAI MOBIS CO.,LTD</t>
  </si>
  <si>
    <t>4391 KING STREET INC</t>
  </si>
  <si>
    <t>CEDAR VILLA ANGUS FARMS</t>
  </si>
  <si>
    <t>10660 YONGE STREET INC</t>
  </si>
  <si>
    <t>ACCURATE MACHINE AND TOOL LTD.</t>
  </si>
  <si>
    <t>OLYMBEC DEVELOPMENT INC. &amp; OLYMBEC GROUP LP</t>
  </si>
  <si>
    <t>OLYMBEC DEVELOPMENT INC AND OLYMBEC GROUP LP</t>
  </si>
  <si>
    <t>JK PROPERTY MANAGEMENT LTD</t>
  </si>
  <si>
    <t>RICHMOND AUTO MALL HOLDINGS LIMITED</t>
  </si>
  <si>
    <t>DEVONIA DEVELOPMENT LP</t>
  </si>
  <si>
    <t>DAEWOO-SHIPBLD &amp; MARINE ENG CO LTD</t>
  </si>
  <si>
    <t>DAEWOO SHIPBLD &amp; MARINE ENG CO LTD</t>
  </si>
  <si>
    <t>SUBWAY DEVELOPMENTS 2000 INC</t>
  </si>
  <si>
    <t>MIDLEE FARMS LTD</t>
  </si>
  <si>
    <t>FREDWILL FARMS INC</t>
  </si>
  <si>
    <t>TATA COMMUNICATIONS NETHERLANDS BV</t>
  </si>
  <si>
    <t>169335 CANADA INC</t>
  </si>
  <si>
    <t>CARLETON CORNER FARMS LTD</t>
  </si>
  <si>
    <t>HOFHUIS FARMS INC</t>
  </si>
  <si>
    <t>HYUNDAI MIPO DOCKYARD CO.,LTD</t>
  </si>
  <si>
    <t>DOOSAN INFRACORE CO.,LTD</t>
  </si>
  <si>
    <t>HYUNDAI SAMHO HEAVY IND. CO., LTD.</t>
  </si>
  <si>
    <t>PUNTO INTEGRADORA ESTRATEGICA SA DE CV</t>
  </si>
  <si>
    <t>MACKENZIE CONSERVATIVE INCOME ETF PORTFOLIO</t>
  </si>
  <si>
    <t>Atlas Enhanced Master Fund Ltd</t>
  </si>
  <si>
    <t>RGA REINSURANCE COMPANY (BARBADOS) LTD.</t>
  </si>
  <si>
    <t>Atlas Fundamental Trading Master Fund Ltd</t>
  </si>
  <si>
    <t>10621196 CANADA INC.</t>
  </si>
  <si>
    <t>MACKENZIE CORE PLUS GLOBAL FIXED INCOME ETF</t>
  </si>
  <si>
    <t>MACKENZIE CORE PLUS GLOBAL FIXED IN</t>
  </si>
  <si>
    <t>Atlas macro Master Fund Ltd</t>
  </si>
  <si>
    <t>Atlas Macro Master Fund Ltd</t>
  </si>
  <si>
    <t>ATLAS MACRO MASTER FUND LTD CA - CDEA</t>
  </si>
  <si>
    <t>ATLAS MACRO MASTER FUND LTD US - CDEA</t>
  </si>
  <si>
    <t>ATLAS MACRO MASTER FUND LTD EU - CDEA</t>
  </si>
  <si>
    <t>IMF STAFF RETIREMENT PLAN</t>
  </si>
  <si>
    <t>IMF STAFF RETIREMENT PLAN - ZACKS GLOBAL WATER INDEX</t>
  </si>
  <si>
    <t>J N ACEROS S A</t>
  </si>
  <si>
    <t>MELLERSH FAMILY (2017) TRUST</t>
  </si>
  <si>
    <t>Atlas Quantitative Trading Fund Ltd</t>
  </si>
  <si>
    <t>AGROINDUSTRIAS DE PALENQUE SA DE CV</t>
  </si>
  <si>
    <t>MODULO SOLAR SA DE CV</t>
  </si>
  <si>
    <t>SAHARA ENERGY CORP</t>
  </si>
  <si>
    <t>BAM ZIE Master Fund Ltd</t>
  </si>
  <si>
    <t>ALCOA INC</t>
  </si>
  <si>
    <t>ALCOA INC.</t>
  </si>
  <si>
    <t>IMF RETIRED STAFF BENEFIT INVESTMENT</t>
  </si>
  <si>
    <t>IMF RETIRED STAFF BENEFITS INVESTMENT ACCOUNT - ZACKS GLOBAL WATER INDEX</t>
  </si>
  <si>
    <t>MDPIM DIVIDEND POOL MF</t>
  </si>
  <si>
    <t>MDPIM DIVIDEND POOL</t>
  </si>
  <si>
    <t>MDPIM EMERGING MKTS EQUITY POOL MF</t>
  </si>
  <si>
    <t>MDPIM EMERGING MARKETS EQUITY POOL</t>
  </si>
  <si>
    <t>TJM INSTITUTIONAL SERVICES LLC</t>
  </si>
  <si>
    <t>TJM Institutional Services LLC (TJM Energy Division)</t>
  </si>
  <si>
    <t>FIERA CAPITAL INCOME OPPORTUNITIES FUND</t>
  </si>
  <si>
    <t>MDPIM INTERNATIONAL EQUITY POOL</t>
  </si>
  <si>
    <t>MDPIM INTERNATIONAL EQUITY POOL MF</t>
  </si>
  <si>
    <t>MDPIM INTERNATIONAL EQUITY POOL SLEEVE 2</t>
  </si>
  <si>
    <t>MDPIM US EQUITY POOL</t>
  </si>
  <si>
    <t>MDPIM US EQUITY POOL MF</t>
  </si>
  <si>
    <t>MD BALANCED FUND</t>
  </si>
  <si>
    <t>GANADERA SOLORZANO</t>
  </si>
  <si>
    <t>DAKOTA MOTORSPORTS INC.</t>
  </si>
  <si>
    <t>TD ASSET MANAGEMENT T46660</t>
  </si>
  <si>
    <t>P &amp; C AG VENTURES LTD</t>
  </si>
  <si>
    <t>SCARLET POINT SEAFOODS LTD</t>
  </si>
  <si>
    <t>REPRESENTACIONES CENTER SA</t>
  </si>
  <si>
    <t>ERREKA MEX SA DE CV</t>
  </si>
  <si>
    <t>K. &amp; C. FARMS LTD.</t>
  </si>
  <si>
    <t>WIMACTEL CANADA INC.</t>
  </si>
  <si>
    <t>NUVASIVE INC</t>
  </si>
  <si>
    <t>NUVASIVE, INC.</t>
  </si>
  <si>
    <t>LYONDELL CHEMIE NEDERLAND BV</t>
  </si>
  <si>
    <t>LYONDELL CHEMIE NEDERLANDS BV</t>
  </si>
  <si>
    <t>ACTIRENT SA DE CV FONDO DE INVERSION EN INSTRUMENTOS DE DEUDA</t>
  </si>
  <si>
    <t>CPA: 18 LIMITED PARTNERSHIP</t>
  </si>
  <si>
    <t>GRUPO GOMMAR SA DE CV</t>
  </si>
  <si>
    <t>PROMOTORA INDUSTRIAL DE DESARROLLO SA DE CV</t>
  </si>
  <si>
    <t>NBIMC CANADIAN SMALL CAP EQUITY FUND</t>
  </si>
  <si>
    <t>NBIMC U.S. SMALL CAP EQUITY FUND</t>
  </si>
  <si>
    <t>ACEITES LUBRICANTES DE CHIHUAHUA SA DE CV</t>
  </si>
  <si>
    <t>PETM CANADA CORPORATION</t>
  </si>
  <si>
    <t>BANCO MONEX, S.A.</t>
  </si>
  <si>
    <t>BANCO MONEX SA INSTITUCION DE BANCA MULTIPLE MONEX GRUPO FINANCIERO F5786</t>
  </si>
  <si>
    <t>BANCO MONEX SA INSTITUCION DE BANCA MULTIPLE MONEX GRUPO FINANCIERO</t>
  </si>
  <si>
    <t>BANCO MONEX  S.A. INSTITUCION DE BANCA MULTIPLE MONEX GRUPO FINANCIERO EN SU CARACTER DE FIDUCIARIO DEL CONTRATO DE FIDEICOMISO IRREVOCABLE DE ADMINISTRACION Y FUENTE DE PAGO NUMERO F/4123</t>
  </si>
  <si>
    <t>BANCO MONEX SA INSTITUCION DE BANCA MULTIPLE MONEX GRUPO FINANCIERO ACTUANDO COMO FIDUCIARIO EN EL FIDEICOMISO IRREVOCABLE TRASLATIVO DE DOMINIO NUMERO F/1335</t>
  </si>
  <si>
    <t>1066779 ONTARIO LIMITED O/A STOLTZ SALES &amp; SERVICE</t>
  </si>
  <si>
    <t>IHAUL FREIGHT LTD</t>
  </si>
  <si>
    <t>MATERIAL RESOURCE MANAGEMENT INC</t>
  </si>
  <si>
    <t>BANCO INVEX S.A., INSTITUCION DE BANCA MULTIPLE, INVEX GRUPO FINANCIERO COMO FIDUCIARIO DEL FIDEICOMISO F/2834</t>
  </si>
  <si>
    <t>BANCO INVEX SA INSTITUCION DE BANCA MULTIPLE, INVEX GRUPO FINANCIERO, UNICAMENTE EN SU CARACTER DE FIDUCIARIO DEL FIDEICOMISO NUMERO F/1355</t>
  </si>
  <si>
    <t>BANCO INVEX SA FIDEICOMISO 1380</t>
  </si>
  <si>
    <t>EXPORT-IMPORT BANK OF KOREA</t>
  </si>
  <si>
    <t>The Export-Import Bank of Korea</t>
  </si>
  <si>
    <t>THE EXPORT IMPORT BANK OF KOREA</t>
  </si>
  <si>
    <t>VIDIR SOLUTIONS INC</t>
  </si>
  <si>
    <t>STOLTZ SALES AND SERVICE ELMIRA LIMITED</t>
  </si>
  <si>
    <t>EDUCALCP II SA DE CV</t>
  </si>
  <si>
    <t>ACTINVER PRIVADOS SA DE CV FONDO DE INVERSION EN INSTRUMENTOS DE DEUDA</t>
  </si>
  <si>
    <t>PELSA AGROPECUARIA SA DE CV</t>
  </si>
  <si>
    <t>MACKENZIE MODERATE GROWTH ETF PORTFOLIO</t>
  </si>
  <si>
    <t>LAURELTON SOURCING LLC</t>
  </si>
  <si>
    <t>TRIWAY INTERNATIONAL LIMITED</t>
  </si>
  <si>
    <t>MACKENZIE EMERGING MARKETS FUND</t>
  </si>
  <si>
    <t>MACKENZIE EMERGING MARKETS SMALL CAP FUND</t>
  </si>
  <si>
    <t>CETCO ENERGY SERVICES DE MEXICO SA DE CV</t>
  </si>
  <si>
    <t>CARLYLE INVESTMENT MANAGEMENT L.L.C.</t>
  </si>
  <si>
    <t>ALLTURF LTD.</t>
  </si>
  <si>
    <t>WHIRLPOOL FINANCE CENTER CORPORATION</t>
  </si>
  <si>
    <t>WHIRLPOOL FINANCE CENTER CORP.</t>
  </si>
  <si>
    <t>LJ17</t>
  </si>
  <si>
    <t>LJ19</t>
  </si>
  <si>
    <t>LJ34</t>
  </si>
  <si>
    <t>LJ35</t>
  </si>
  <si>
    <t>20-30 GURHOLT INC</t>
  </si>
  <si>
    <t>LJ36</t>
  </si>
  <si>
    <t>19-27 FIELDING INC</t>
  </si>
  <si>
    <t>LJ37</t>
  </si>
  <si>
    <t>INTERNATIONAL DEVELOPMENT ENTERPRISES(IDE CANADA)</t>
  </si>
  <si>
    <t>GUOLINE (SINGAPORE) PTE LTD</t>
  </si>
  <si>
    <t>GUOLINE (SINGAPORE) PTE LTD GROUP</t>
  </si>
  <si>
    <t>GUOLINE (SINGAPORE) PTE LTD 2</t>
  </si>
  <si>
    <t>GUOLINE (SINGAPORE) PTE LTD 3</t>
  </si>
  <si>
    <t>CORI PUNO S.A.C</t>
  </si>
  <si>
    <t>KEEN AND ABLE LOGISTICS INC</t>
  </si>
  <si>
    <t>EPC MULTIFAMILY PARTNERS IV SAPI DE CV</t>
  </si>
  <si>
    <t>NEO PELICULAS SA DE CV</t>
  </si>
  <si>
    <t>NEO PELICULAS S A DE C V</t>
  </si>
  <si>
    <t>VERTEX PRIVATE EQUITY SAPI DE CV</t>
  </si>
  <si>
    <t>DISTRIBUIDORA DE MAQUINARIA DEL NORTE SA DE CV</t>
  </si>
  <si>
    <t>ARPILLAS DE EXPORTACION SA DE CV</t>
  </si>
  <si>
    <t>INTERNACIONAL DE SACOS Y ARPILLAS SA DE CV</t>
  </si>
  <si>
    <t>SURETROL MANUFACTURING INC</t>
  </si>
  <si>
    <t>BETCHAR HOLDINGS LTD</t>
  </si>
  <si>
    <t>PROMOTORA EMPRESARIAL DEL NORTE SA DE CV</t>
  </si>
  <si>
    <t>EMPAQUES ESPECIALIZADOS SANROKE SA DE CV</t>
  </si>
  <si>
    <t>MACKENZIE MULTI-STRATEGY ABSOLUTE RETURN FUND</t>
  </si>
  <si>
    <t>MACKENZIE MULTI STRATEGY ABSOLUTE RETURN FUND SLEEVE 554632</t>
  </si>
  <si>
    <t>MACKENZIE MULTI-STRATEGY ABSOLUTE RETURN FUND - LONG ONLY CHINA</t>
  </si>
  <si>
    <t>MACKENZIE MULTI STRATEGY ABSOLUTE RETURN FUND HEDGED HIGH YIELD</t>
  </si>
  <si>
    <t>MAC GMSAR FD CR OV</t>
  </si>
  <si>
    <t>2498226 ONTARIO INC.</t>
  </si>
  <si>
    <t>THE FLUID POWER HOUSE CAMBRIDGE INC</t>
  </si>
  <si>
    <t>THE FLUID POWER HOUSE LTD</t>
  </si>
  <si>
    <t>THE FLUID POWER HOUSE SUDBURY INC</t>
  </si>
  <si>
    <t>KNIGHT THERAPEUTICS INC.</t>
  </si>
  <si>
    <t>GENERADORA METROPOLITANA SPA</t>
  </si>
  <si>
    <t>PERSPECTA INC.</t>
  </si>
  <si>
    <t>UOBBF CLEARING LIMITED</t>
  </si>
  <si>
    <t>THE FLUID POWER HOUSE TORONTO INC</t>
  </si>
  <si>
    <t>ARTICULOS Y MOTORES ELECTRICOS SA DE CV</t>
  </si>
  <si>
    <t>AES ECOTEK EUROPE HOLDINGS BV</t>
  </si>
  <si>
    <t>FUMAQ SA DE CV</t>
  </si>
  <si>
    <t>DISTRIBUCIONES GP SA DE CV</t>
  </si>
  <si>
    <t>LOVEPAC MEXICO SA DE CV</t>
  </si>
  <si>
    <t>ABPLANALP ENGINEERING AG</t>
  </si>
  <si>
    <t>FRESHSTONE BRANDS INC.</t>
  </si>
  <si>
    <t>CANADIAN CUSTOM LONG TERM FIXED INCOME FUND</t>
  </si>
  <si>
    <t>MACEWEN PETROLEUM INC</t>
  </si>
  <si>
    <t>FRESHSTONE BRANDS PROPERTIES INC</t>
  </si>
  <si>
    <t>TD ASSET MANAGEMENT 1539</t>
  </si>
  <si>
    <t>NEPTUNE ENERGY FINANCE LIMITED</t>
  </si>
  <si>
    <t>NEPTUNE ENERGY GROUP HOLDINGS LIMITED</t>
  </si>
  <si>
    <t>MANULIFE ASSET MANAGEMENT CANADIAN CORPORATE FIXED INCOME POOLED FUND</t>
  </si>
  <si>
    <t>LLOYDS BANK CORPORATE MARKETS PLC</t>
  </si>
  <si>
    <t>EDF EN CANADA INC.</t>
  </si>
  <si>
    <t>VOSO INC</t>
  </si>
  <si>
    <t>BUYAN SAPI DE CV</t>
  </si>
  <si>
    <t>COMPUSOLUCIONES Y ASOCIADOS SA DE CV</t>
  </si>
  <si>
    <t>STATE OF NORTH RHINE-WESTPHALIA</t>
  </si>
  <si>
    <t>BIT SERVICE COMPANY LTD</t>
  </si>
  <si>
    <t>RBC U.S. BANKS YIELD INDEX ETF</t>
  </si>
  <si>
    <t>DTA SERVICES LIMITED</t>
  </si>
  <si>
    <t>NURISE SALES AND MARKETING LTD</t>
  </si>
  <si>
    <t>CO VIDRIERA S.A.R.L.</t>
  </si>
  <si>
    <t>DOUBLEDIGIT SALES INC.</t>
  </si>
  <si>
    <t>SI VALE MEXICO SA DE CV</t>
  </si>
  <si>
    <t>604 RECORDS INC</t>
  </si>
  <si>
    <t>NATIONAL LUMBER GRADES AUTHORITY</t>
  </si>
  <si>
    <t>WHITE ELEPHANT HOLDINGS LTD</t>
  </si>
  <si>
    <t>STUDENT TRANSPORTATION OF AMERICA HOLDINGS, INC.</t>
  </si>
  <si>
    <t>ULTRA LABORATORIOS SA DE CV</t>
  </si>
  <si>
    <t>LITHOQUEST HOLDINGS INC</t>
  </si>
  <si>
    <t>LES PRODUCTION RUFFSOUND INC</t>
  </si>
  <si>
    <t>AGROTRACTORES DEL NORTE SA DE CV</t>
  </si>
  <si>
    <t>DUMMY2</t>
  </si>
  <si>
    <t>SLCP INFRASTRUCTURE I-B SARL</t>
  </si>
  <si>
    <t>NATURAMA TOURS ADVENTURES SAPI DE CV</t>
  </si>
  <si>
    <t>ALIGERADOS PADDA SA DE CV</t>
  </si>
  <si>
    <t>TECNOMEC AGRICOLA SA DE CV</t>
  </si>
  <si>
    <t>SANTANDER UK PLC</t>
  </si>
  <si>
    <t>SUMAN JEWELLERY (DELHI) (IG80)</t>
  </si>
  <si>
    <t>VOLKSWAGEN LEASING SA DE CV</t>
  </si>
  <si>
    <t>CTS FOODS BROKERS INC</t>
  </si>
  <si>
    <t>LANDMARK SOLUTIONS LTD</t>
  </si>
  <si>
    <t>HURONIA MACHINING SERVICES INC</t>
  </si>
  <si>
    <t>IG MACKENZIE GLOBAL INFLATION-LINKED POOL</t>
  </si>
  <si>
    <t>THE MOST WANTED ENTERTAINMENT COMPANY</t>
  </si>
  <si>
    <t>INGRAM MICRO MEXICO, S.A. DE C.V.</t>
  </si>
  <si>
    <t>RIVER ROAD RETIREMENT RESIDENCE INC.</t>
  </si>
  <si>
    <t>C. VILLENEUVE CONSTRUCTION CO. LTD.</t>
  </si>
  <si>
    <t>INCLINE B IRISHCO THREE LIMITED</t>
  </si>
  <si>
    <t>TEMPUR SEALY INTERNATIONAL INC</t>
  </si>
  <si>
    <t>TEMPUR SEALY INTERNATIONAL INC (GROUP)</t>
  </si>
  <si>
    <t>TEMPUR HOLDINGS B.V.</t>
  </si>
  <si>
    <t>AGRO SERVICIOS A PRODUCTORES DEL VALLE SA DE CV</t>
  </si>
  <si>
    <t>605667 SASKATCHEWAN LTD</t>
  </si>
  <si>
    <t>605236 SASKATCHEWAN LTD</t>
  </si>
  <si>
    <t>NO BROKER</t>
  </si>
  <si>
    <t>DESARROLLADORA PARQUE DE LA SABANA DPS S.A.</t>
  </si>
  <si>
    <t>2015-2017 RR LTD</t>
  </si>
  <si>
    <t>HUNTS TRANSPORT LIMITED</t>
  </si>
  <si>
    <t>KAPITALMUJER SA DE CV SOFOM ENR</t>
  </si>
  <si>
    <t>AMESA DE QUINTANA ROO SA DE CV</t>
  </si>
  <si>
    <t>FINSEC SERVICES INC</t>
  </si>
  <si>
    <t>MIZRAHI INC</t>
  </si>
  <si>
    <t>2012870 ONTARIO INC.</t>
  </si>
  <si>
    <t>BGE SERVICE &amp; SUPPLY LTD</t>
  </si>
  <si>
    <t>BGE INDOOR AIR QUALITY SOLUTIONS LTD</t>
  </si>
  <si>
    <t>KEVIN BIRCH</t>
  </si>
  <si>
    <t>PRESSELLO TRUST</t>
  </si>
  <si>
    <t>MOLIMENTALES DEL NOROESTE, S.A. DE C.V.</t>
  </si>
  <si>
    <t>AMERITAS LIFE INSURANCE CO</t>
  </si>
  <si>
    <t>NEPTUNE E&amp;P UK LIMITED</t>
  </si>
  <si>
    <t>NEPTUNE ENERGY DEUTSCHLAND GMBH</t>
  </si>
  <si>
    <t>NEPTUNE ENERGY HOLDINGS NETHERLANDS BV</t>
  </si>
  <si>
    <t>NEPTUNE ENERGY NETHERLANDS BV</t>
  </si>
  <si>
    <t>NEPTUNE ENERGY E&amp;P HOLDING NETHERLANDS BV</t>
  </si>
  <si>
    <t>SOLUCIONES LOGISTICAS DH SA DE CV</t>
  </si>
  <si>
    <t>THE GREEN BIO HEALTH INC</t>
  </si>
  <si>
    <t>HERMOS SA DE CV</t>
  </si>
  <si>
    <t>ALIANZA ST MICHEL SA DE CV</t>
  </si>
  <si>
    <t>ECONOMY ECIGS.COM LTD</t>
  </si>
  <si>
    <t>CASA SANTOS LUGO SA DE CV</t>
  </si>
  <si>
    <t>INDUSTRIAS DIXY SA DE CV</t>
  </si>
  <si>
    <t>ALL WORLD MACHINERY SUPPLY INC</t>
  </si>
  <si>
    <t>DAN-FOAM APS</t>
  </si>
  <si>
    <t>ADS ASSETS INC.</t>
  </si>
  <si>
    <t>NORTHLEAF SECONDARY PARTNERS HOLDINGS (CANADA) II LP</t>
  </si>
  <si>
    <t>NUEVA ASOCIACION COMERCIAL SA DE CV</t>
  </si>
  <si>
    <t>LOGIQ GLOBAL RESOURCE FUND</t>
  </si>
  <si>
    <t>RAPIDO TRAINS INC</t>
  </si>
  <si>
    <t>TD ASSET MANAGEMENT INC 1117003</t>
  </si>
  <si>
    <t>TD ASSET MANAGEMENT INC 1117</t>
  </si>
  <si>
    <t>TD ASSET MANAGEMENT INC 1117002</t>
  </si>
  <si>
    <t>TD ASSET MANAGEMENT INC 1117001</t>
  </si>
  <si>
    <t>CIE AUTOMOTIVE DE MEXICO SAPI DE CV</t>
  </si>
  <si>
    <t>INMOBILIARIA HOTELERA PASO MONTEJO SA DE CV</t>
  </si>
  <si>
    <t>PLASTIREY SA DE CV</t>
  </si>
  <si>
    <t>RBC QUBE STABLE DIVIDEND GLOBAL EQUITY FUND (CAD HEDGED)</t>
  </si>
  <si>
    <t>SWISS METAL GROUP INC.</t>
  </si>
  <si>
    <t>NORTHLEAF PRIVATE EQUITY HOLDINGS (CANADA) VII LP</t>
  </si>
  <si>
    <t>CHALEUR SAWMILLS LIMITED PARTNERSHIP</t>
  </si>
  <si>
    <t>CHALEUR FOREST PRODUCTS LP</t>
  </si>
  <si>
    <t>GONDI S DE RL DE CV</t>
  </si>
  <si>
    <t>T ONE LTD</t>
  </si>
  <si>
    <t>Anglesea Funding PLC</t>
  </si>
  <si>
    <t>MACKENZIE PRIVATE GLOBAL FIXED INCOME POOL</t>
  </si>
  <si>
    <t>CI SIGNATURE CORE PLUS BOND FUND</t>
  </si>
  <si>
    <t>IA CLARINGTON GLOBAL MULTI-ASSET FUND</t>
  </si>
  <si>
    <t>IA CLARINGTON GLOBAL BOND FUND</t>
  </si>
  <si>
    <t>THE WESTERN CARRIES SA DE CV</t>
  </si>
  <si>
    <t>CS MANUFACTURING INC</t>
  </si>
  <si>
    <t>FDS SA DE CV</t>
  </si>
  <si>
    <t>CASMO BIENES RAICES SA DE CV</t>
  </si>
  <si>
    <t>GRUPO TRANSPORTISTA ALTO LUCERO SA DE CV</t>
  </si>
  <si>
    <t>SPROTT PHYSICAL GOLD AND SILVER TRUST</t>
  </si>
  <si>
    <t>CAVALTA CORPORATION SAPI DE CV</t>
  </si>
  <si>
    <t>DESARROLLADORA KANAI QUINCE SAPI DE CV</t>
  </si>
  <si>
    <t>PROFESSIONAL CARRIERS INC.</t>
  </si>
  <si>
    <t>PROFESSIONAL CARRIERS INC</t>
  </si>
  <si>
    <t>TD ASSET MANAGEMENT 1158</t>
  </si>
  <si>
    <t>GS&amp;A SHORT TERM BOND FUND</t>
  </si>
  <si>
    <t>DYNAMIC PREMIUM YIELD CLASS</t>
  </si>
  <si>
    <t>CHALEUR FOREST PRODUCTS INC.</t>
  </si>
  <si>
    <t>UIL LIMITED</t>
  </si>
  <si>
    <t>UIL LIMITED GROUP</t>
  </si>
  <si>
    <t>GLOBAL DIVIDEND GROWTH SPLIT CORP.</t>
  </si>
  <si>
    <t>GUARDIAN INVESTMENT GRADE CORPORATE BOND FUND</t>
  </si>
  <si>
    <t>CONSORCIO DE SERVICIOS AL TRANSPORTE SA DE CV</t>
  </si>
  <si>
    <t>PLAZA NATIVA</t>
  </si>
  <si>
    <t>TUPSSAFLEX SA DE CV</t>
  </si>
  <si>
    <t>CANMED ENTERPRISES CORP.</t>
  </si>
  <si>
    <t>LINDA FOODS LTD</t>
  </si>
  <si>
    <t>ELANTAS BECK INDIA LTD</t>
  </si>
  <si>
    <t>BMO CANADIAN HIGH DIVIDEND COVERED CALL ETF</t>
  </si>
  <si>
    <t>BHARAT PETROLEUM CORPORATION LTD</t>
  </si>
  <si>
    <t>IRVING OIL COMPANY LIMITED</t>
  </si>
  <si>
    <t>Venture Commodities Partners LLP</t>
  </si>
  <si>
    <t>EL GOBIERNO DEL ESTADO DE PUEBLA</t>
  </si>
  <si>
    <t>1673208 ONTARIO INC. -  O/A SYSTEMS LOGIC</t>
  </si>
  <si>
    <t>ROCKMAN INDUSTRIES LIMITED</t>
  </si>
  <si>
    <t>FIERA ASFI-RELATIVE VALUE LONG TERM UNIVERSE FUND</t>
  </si>
  <si>
    <t>AUTOMOTRIZ TANGAMANGA DE TEXCOCO SA DE CV</t>
  </si>
  <si>
    <t>TANGAMANGA LOMAS SA DE CV</t>
  </si>
  <si>
    <t>AUTOMOTRIZ TANGAMANGA SA DE CV</t>
  </si>
  <si>
    <t>AUTOMOTORES TANGAMANGA SA DE CV</t>
  </si>
  <si>
    <t>EL MUNICIPIO DE LEON ESTADO DE GUANAJUATO</t>
  </si>
  <si>
    <t>HARVEST BIBLE CHAPEL BRAMPTON</t>
  </si>
  <si>
    <t>MENKES HOLDING INC.</t>
  </si>
  <si>
    <t>INDUSTRIAS BORIS SA DE CV</t>
  </si>
  <si>
    <t>GUIA CONEXION INMOBILIARIA SA DE CV</t>
  </si>
  <si>
    <t>SIMPLEHOME CONSTRUCTION MANAGEMENT</t>
  </si>
  <si>
    <t>GOLPRO HOLDINGS INC.</t>
  </si>
  <si>
    <t>TECH MAHINDRA LIMITED</t>
  </si>
  <si>
    <t>HIGHSTREET DIVIDEND INCOME FUND</t>
  </si>
  <si>
    <t>Z 2 P G INMOBILIARIA SA DE CV</t>
  </si>
  <si>
    <t>ALTERNATIVA 19 DEL SUR SA DE CV SOFOM ENR</t>
  </si>
  <si>
    <t>LUMEN LONG SHORT EQUITY MASTER FUND LP</t>
  </si>
  <si>
    <t>ROBERTSON ELECTRIC WHOLESALE 2008 LIMITED</t>
  </si>
  <si>
    <t>REA ELEKTRONIK CANADA LTD</t>
  </si>
  <si>
    <t>KOTAK MAHINDRA BANK</t>
  </si>
  <si>
    <t>TEMPUR PEDIC MANAGEMENT, LLC</t>
  </si>
  <si>
    <t>COLISPRO INC.</t>
  </si>
  <si>
    <t>AVENUE CREDIT OPPORTUNITIES FUND II LP</t>
  </si>
  <si>
    <t>1390658 ONTARIO, INC.</t>
  </si>
  <si>
    <t>BANCO INVEX  SA  INSTITUCION DE BANCA MULTIPLE INVEX GRUPO FINANCIERO EN SU CARACTER DE FIDUCIARIO DEL CONTRATO DE FIDEICOMISO IRREVOCABLE DE EMISION ADMINISTRACION Y PAGO NO F 3501</t>
  </si>
  <si>
    <t>SN BONOS</t>
  </si>
  <si>
    <t>SN CEBUR</t>
  </si>
  <si>
    <t>BRISTOL MACHINE WORKS LIMITED</t>
  </si>
  <si>
    <t>CHICKENOMICS INC</t>
  </si>
  <si>
    <t>CONCENTRADORA DE SERVICIOS Y CARTONES SA DE CV</t>
  </si>
  <si>
    <t>APTIV CONTRACT SERVICES S DE RL DE CV</t>
  </si>
  <si>
    <t>LONAS LORENZO SA DE CV</t>
  </si>
  <si>
    <t>TD ASSET MANAGEMENT 1161</t>
  </si>
  <si>
    <t>TD ASSET MANAGEMENT 1161002</t>
  </si>
  <si>
    <t>TD ASSET MANAGEMENT 1161003</t>
  </si>
  <si>
    <t>TD ASSET MANAGEMENT 1161001</t>
  </si>
  <si>
    <t>SEALY CANADA</t>
  </si>
  <si>
    <t>INGREDION CANADA INCORPORATED</t>
  </si>
  <si>
    <t>9252-0402 QUEBEC INC.</t>
  </si>
  <si>
    <t>9252-0402 QUEBEC INC</t>
  </si>
  <si>
    <t>SENTRY MONEY MARKET CLASS</t>
  </si>
  <si>
    <t>TSH MELTON INC</t>
  </si>
  <si>
    <t>SENTRY GLOBAL REIT FUND</t>
  </si>
  <si>
    <t>HIGHSTREET U.S. EQUITY FUND</t>
  </si>
  <si>
    <t>HIGHSTREET US EQUITY FUND</t>
  </si>
  <si>
    <t>BRK INVESTMENT INC.</t>
  </si>
  <si>
    <t>B.R.K. CAPITAL INC.</t>
  </si>
  <si>
    <t>THE GLENN AND AMEL CHAMANDY FAMILY FOUNDATION</t>
  </si>
  <si>
    <t>LUXE DECOR INC.</t>
  </si>
  <si>
    <t>LES ALIMENTS MULTIBAR INC</t>
  </si>
  <si>
    <t>WD Media (Malaysia) Sdn.</t>
  </si>
  <si>
    <t>BOCI GLOBAL COMMODITIES LTD</t>
  </si>
  <si>
    <t>TORCAN LIFT EQUIPMENT LTD</t>
  </si>
  <si>
    <t>TORCAN LIFT EQUIPMENT LTD.</t>
  </si>
  <si>
    <t>PACIFIC INVESTMENT MANAGEMENT COMPANY LLC, SOLELY IN ITS CAPACITY AS ADVISOR ON BEHALF OF AMERICAN SKANDIA TRUST - AST HIGH YIELD PORTFOLIO</t>
  </si>
  <si>
    <t>1104816 ONTARIO LIMITED</t>
  </si>
  <si>
    <t>2408114 ONTARIO INC.</t>
  </si>
  <si>
    <t>HIGHSTREET GLOBAL EQUITY FUND</t>
  </si>
  <si>
    <t>HIGHSTREET INTERNATIONAL EQUITY FUND A</t>
  </si>
  <si>
    <t>JEFFERIES STRUCTURED CREDIT LLC</t>
  </si>
  <si>
    <t>JEFFERIES STRUCTURED CREDIT LLC - CDO</t>
  </si>
  <si>
    <t>BISSEL SPUR FARMS LTD</t>
  </si>
  <si>
    <t>TRUPER SA DE CV</t>
  </si>
  <si>
    <t>INDUSTRIA VIDRIERA DE COAHUILA, S. DE R.L. DE C.V.</t>
  </si>
  <si>
    <t>TEMSPEC INC.</t>
  </si>
  <si>
    <t>TEMSPEC INC</t>
  </si>
  <si>
    <t>COUNSEL SHORT TERM BOND</t>
  </si>
  <si>
    <t>BLUEBAY ASSET MANAGEMENT LLP</t>
  </si>
  <si>
    <t>INGRAM MICRO INDIA SSC PRIVATE LTD</t>
  </si>
  <si>
    <t>RETIREMENT LIFE COMMUNITIES INC.</t>
  </si>
  <si>
    <t>SCNT POWER NORTE S DE RL DE CV</t>
  </si>
  <si>
    <t>DYNAMIC ALTERNATIVE YIELD CLASS</t>
  </si>
  <si>
    <t>SCOTIA PRIVATE OPTIONS INCOME POOL</t>
  </si>
  <si>
    <t>SCOTIA PRIVATE PREMIUM PAYOUT POOL</t>
  </si>
  <si>
    <t>CARLYLE STRUCTURED CREDIT FUND</t>
  </si>
  <si>
    <t>CARLYLE CREDIT OPPORTUNITIES FUND L.P.</t>
  </si>
  <si>
    <t>CARLYLE PARTNERS VII, L.P.</t>
  </si>
  <si>
    <t>CARLYLE INFRASTRUCTURE PARTNERS, L.P.</t>
  </si>
  <si>
    <t>CARLYLE INTERNATIONAL ENERGY PARTNERS, L.P.</t>
  </si>
  <si>
    <t>TECNOLOGIA ACUMEN DE MEXICO S DE RL DE CV</t>
  </si>
  <si>
    <t>CORPORACION BAL SA DE CV</t>
  </si>
  <si>
    <t>DIRSAMEX SA DE CV</t>
  </si>
  <si>
    <t>UNION BANK OF INDIA</t>
  </si>
  <si>
    <t>FEKOLA SA</t>
  </si>
  <si>
    <t>EXODUSPOINT PARTNERS MASTER FUND, LP</t>
  </si>
  <si>
    <t>EXODUSPOINT PARTNERS MASTER FUND LP</t>
  </si>
  <si>
    <t>SOUTHWESTERN ELECTRIC POWER COMPANY</t>
  </si>
  <si>
    <t>ADVANTAGE MACHINE AND TOOL INC</t>
  </si>
  <si>
    <t>BANK OF INDIA</t>
  </si>
  <si>
    <t>FIRST ASSET CANADIAN REIT ETF</t>
  </si>
  <si>
    <t>FIRST ASSET REIT INCOME FUND</t>
  </si>
  <si>
    <t>KOCH COMMODITIES EUROPE LIMITED</t>
  </si>
  <si>
    <t>KOCH COMMODITIES EUROPE LTD</t>
  </si>
  <si>
    <t>COMERCIAL DE HERRAMIENTAS SAPI DE CV</t>
  </si>
  <si>
    <t>YES BANK LTD</t>
  </si>
  <si>
    <t>YES BANK LIMITED</t>
  </si>
  <si>
    <t>735 QUEENSTON LIMITED PARTNERSHIP</t>
  </si>
  <si>
    <t>SHARPE FARM SUPPLIES LIMITED</t>
  </si>
  <si>
    <t>STOLAIRUS AVIATION INC.</t>
  </si>
  <si>
    <t>SYMTECH INNOVATIONS LTD</t>
  </si>
  <si>
    <t>CANARA BANK</t>
  </si>
  <si>
    <t>BIRD CAPITAL OMP PROJECT CO INC.</t>
  </si>
  <si>
    <t>BANK OF MONTREAL LONDON-SIF</t>
  </si>
  <si>
    <t>9875158 CANADA INC</t>
  </si>
  <si>
    <t>HUTTERIAN BRETHREN CHURCH OF TURIN</t>
  </si>
  <si>
    <t>GOLDRIDGE FARMING CO LTD</t>
  </si>
  <si>
    <t>MARCO ANTONIO SOTO CENTENO</t>
  </si>
  <si>
    <t>BRIT REINSURANCE(BERMUDA) LIMITED</t>
  </si>
  <si>
    <t>AIC ENHANCED LOAN MASTER FUND, LP</t>
  </si>
  <si>
    <t>MARKETING DE MONTERREY SAPI DE CV</t>
  </si>
  <si>
    <t>GROUPE AZUR INC.</t>
  </si>
  <si>
    <t>PRODUCTORA AGROPECUARIA LA JOYA SA DE CV</t>
  </si>
  <si>
    <t>ZONA FRANCA MULTIMODAL CAUCEDO, S.A.</t>
  </si>
  <si>
    <t>COEUR MINING, INC.</t>
  </si>
  <si>
    <t>COEUR MINING, INC</t>
  </si>
  <si>
    <t>COEUR MINING INC.</t>
  </si>
  <si>
    <t>COEUR MINING INC</t>
  </si>
  <si>
    <t>FAULTLESS SOLUTIONS CORPORATION</t>
  </si>
  <si>
    <t>SERVICIOS INTEGRALES DE ALMACENAMIENTO Y DISTRIBUCION SA DE CV</t>
  </si>
  <si>
    <t>OLAM FOOD INGREDIENTS INDIA PVT LTD</t>
  </si>
  <si>
    <t>WCX AT FINCO PTY LTD</t>
  </si>
  <si>
    <t>COLLISION 360 INC.</t>
  </si>
  <si>
    <t>CARLYLE GROUP</t>
  </si>
  <si>
    <t>PRODUCTORA INTERNACIONAL DE BEBIDAS SA DE CV</t>
  </si>
  <si>
    <t>ML BUILDING SUPPLY LTD</t>
  </si>
  <si>
    <t>TD ASSET MANAGEMENT 1104004</t>
  </si>
  <si>
    <t>TD ASSET MANAGEMENT T1104</t>
  </si>
  <si>
    <t>TD ASSET MANAGEMENT 1104001</t>
  </si>
  <si>
    <t>TD ASSET MANAGEMENT 1104002</t>
  </si>
  <si>
    <t>TD ASSET MANAGEMENT 1104003</t>
  </si>
  <si>
    <t>TD ASSET MANAGEMENT 1104005</t>
  </si>
  <si>
    <t>TD ASSET MANAGEMENT T1104004</t>
  </si>
  <si>
    <t>TD ASSET MANAGEMENT T110401</t>
  </si>
  <si>
    <t>TD ASSET MANAGEMENT T1104002</t>
  </si>
  <si>
    <t>TD ASSET MANAGEMENT T1104005</t>
  </si>
  <si>
    <t>TD ASSET MANAGEMENT T1104003</t>
  </si>
  <si>
    <t>CADILA HEALTHCARE LTD.</t>
  </si>
  <si>
    <t>CADILA HEALTHCARE LIMITED</t>
  </si>
  <si>
    <t>ANGEL SEAFOODS LTD</t>
  </si>
  <si>
    <t>SILKSTART TECHNOLOGY INC.</t>
  </si>
  <si>
    <t>DIMEX HARDWARE PRODUCTS</t>
  </si>
  <si>
    <t>SUMAN JEWELLERY(DELHI) PVT LTD</t>
  </si>
  <si>
    <t>RBC MANAGED PAYOUT SOLUTION - ENHANCED</t>
  </si>
  <si>
    <t>RBC MANAGED PAYOUT SOLUTION</t>
  </si>
  <si>
    <t>GESTION ST 1 INC</t>
  </si>
  <si>
    <t>ATCO ENERGIA SA DE CV</t>
  </si>
  <si>
    <t>EDUCACHILE S DE RL DE CV</t>
  </si>
  <si>
    <t>AUROBINDO PHARMA LIMITED</t>
  </si>
  <si>
    <t>DEUTSCHE BANK AG MUMBAI</t>
  </si>
  <si>
    <t>CREDIT AGRICOLE CORP AND INVST BANK</t>
  </si>
  <si>
    <t>LG ELECTRNOICS MEXICO, S.A. DE C.V.</t>
  </si>
  <si>
    <t>LG ELECTRONICS MEXICO SA DE CV</t>
  </si>
  <si>
    <t>LG ELECTRONICS MONTERREY MEXICO, S.A. DE C.V.</t>
  </si>
  <si>
    <t>LG ELECTRONICS MONTERREY MEXICO SA DE CV</t>
  </si>
  <si>
    <t>AMEREX BROKERS LLC</t>
  </si>
  <si>
    <t>MAKSTEEL HOLDINGS ULC</t>
  </si>
  <si>
    <t>MUFG BANK LIMITED</t>
  </si>
  <si>
    <t>SUN PHARMACEUTICAL INDUSTRIES LTD</t>
  </si>
  <si>
    <t>EHP ADVANTAGE ALTERNATIVE FUND</t>
  </si>
  <si>
    <t>AGROPECUARIA LA CAPILLA DEL NORESTE SA DE CV</t>
  </si>
  <si>
    <t>ITTIAM SYSTEMS PRIVATE LIMITED</t>
  </si>
  <si>
    <t>EHP FOUNDATION ALTERNATIVE FUND</t>
  </si>
  <si>
    <t>EHP FOUNDATION INTERNATIONAL ALTERNATIVE FUND</t>
  </si>
  <si>
    <t>EHP ADVANTAGE INTERNATIONAL ALTERNATIVE FUND</t>
  </si>
  <si>
    <t>NORTHWAY AIRCRAFT LEASING LTD</t>
  </si>
  <si>
    <t>EHP SELECT ALTERNATIVE FUND</t>
  </si>
  <si>
    <t>EHP GLOBAL ARBITRAGE ALTERNATIVE FUND</t>
  </si>
  <si>
    <t>CAPITAL JEFA INC</t>
  </si>
  <si>
    <t>ANADARKO CONSOLIDATED HOLDINGS LLC</t>
  </si>
  <si>
    <t>YAKULT SA DE CV</t>
  </si>
  <si>
    <t>OUTDOOR LIVING MANUFACTURING LTD</t>
  </si>
  <si>
    <t>RED RECOLECTOR SA DE CV</t>
  </si>
  <si>
    <t>0753214 B.C. LTD., 1232336 Alberta Ltd., 2008819 Alberta Ltd, and 2109725 ontario inc.</t>
  </si>
  <si>
    <t>SYMMETRY EQUITY PORTFOLIO CLASS</t>
  </si>
  <si>
    <t>SYMMETRY MODERATE GROWTH PORTFOLIO</t>
  </si>
  <si>
    <t>FRANKLIN BISSETT CANADIAN ALL CAP BALANCED FUND</t>
  </si>
  <si>
    <t>IMMORTAL CORPORATION</t>
  </si>
  <si>
    <t>ARCHER CATHRO AND ASSOCIATES (1981) LIMITED</t>
  </si>
  <si>
    <t>SIMEPA SA DE CV</t>
  </si>
  <si>
    <t>FRIGORIFICA CONTRERAS S.A. DE C.V.</t>
  </si>
  <si>
    <t>NH MERCADO GLOBAL SA DE CV</t>
  </si>
  <si>
    <t>WILSHIRE MUTUAL FUNDS, INC. - WILSHIRE INCOME OPPORTUNITIES FUND</t>
  </si>
  <si>
    <t>BMO US HIGH DIVIDEND COVERED CALL HEDGED TO CAD ETF</t>
  </si>
  <si>
    <t>COOPERATIEVE RABOBANK U.A. LONDON BRANCH</t>
  </si>
  <si>
    <t>BANK OF IRELAND DUBLIN-SIF</t>
  </si>
  <si>
    <t>AMVIC HOLDINGS INC.</t>
  </si>
  <si>
    <t>TRITURADOS DEL GUADIANA SA DE CV</t>
  </si>
  <si>
    <t>PROYECTOS ARQUITECTONICOS Y DE ESPECIFICACION SA DE CV</t>
  </si>
  <si>
    <t>INMOBILIARIA JARDINES DE ITZINCAB SA DE CV</t>
  </si>
  <si>
    <t>NAB,</t>
  </si>
  <si>
    <t>LINCLUDEN CORPORATE BOND POOLED FUND</t>
  </si>
  <si>
    <t>LINCLUDEN TACTICAL BOND POOLED FUND</t>
  </si>
  <si>
    <t>C. STEINWEG - HANDELSVEEM B.V</t>
  </si>
  <si>
    <t>Sinochem Fertilizer Macao Commercial Offshore Limited</t>
  </si>
  <si>
    <t>SISKINDS LLP</t>
  </si>
  <si>
    <t>ANNUITY INVESTORS LIFE INSURANCE COMPANY</t>
  </si>
  <si>
    <t>PROGRESSIVE AUTO SALES (SARNIA) INC.</t>
  </si>
  <si>
    <t>INTERSTAMPING AUTOMOTOR  SA DE CV</t>
  </si>
  <si>
    <t>INDIAN OIL CORPORATION LIMITED</t>
  </si>
  <si>
    <t>GREAT AMERICAN LIFE INSURANCE COMPANY</t>
  </si>
  <si>
    <t>STATE STREET GLOBAL ADVISORS TRUST COMPANY INVESTMENT FUNDS FOR TAX EXEMPT RETIREMENT PLANS - STATE STREET BLOOMBERG ROLL SELECT COMMODITY INDEX NON-LENDING FUND</t>
  </si>
  <si>
    <t>STATE STREET GLOBAL ADVISORS TRUST COMPANY WORLD INDEX COMMON TRUST FUNDS - STATE STREET BLOOMBERG ROLL SELECT COMMODITY INDEX NON-LENDING COMMON TRUST FUND</t>
  </si>
  <si>
    <t>STATE STREET GLOBAL ADVISORS TRUST COMPANY INVESTMENT FUNDS FOR TAX EXEMPT RETIREMENT PLANS - STATE STREET BLOOMBERG ROLL SELECT COMMODITY INDEX NON-LENDING SERIES FUND</t>
  </si>
  <si>
    <t>HUI 858 DEVELOPMENT LTD.</t>
  </si>
  <si>
    <t>MANUFACTURAS DE CALZADO FINO SA DE CV</t>
  </si>
  <si>
    <t>ZURICH AMERICAN INSURANCE CO.- INSURANCE MANAGED EQUITIES - CHINA EQUITIES</t>
  </si>
  <si>
    <t>LAMINAMA SA DE CV</t>
  </si>
  <si>
    <t>CORSAR ACCIONES SA DE CV</t>
  </si>
  <si>
    <t>LANDSCAPE SAFETY INC. OA LS TRAINING OA GREENIUS</t>
  </si>
  <si>
    <t>SCOTIABANK EL SALVADOR S.A.</t>
  </si>
  <si>
    <t>SCOTIABANK EL SALVADOR S.A</t>
  </si>
  <si>
    <t>SCOTIABANK EL SALVADOR</t>
  </si>
  <si>
    <t>THE CORPORATION OF THE TOWN OF BRADFORD WEST GWILLIMBURY</t>
  </si>
  <si>
    <t>HARI MASA SA DE CV</t>
  </si>
  <si>
    <t>3514 RUE PRINCIPALE INC.</t>
  </si>
  <si>
    <t>CLAYBURN SERVICES LTD</t>
  </si>
  <si>
    <t>PLUSPETROL RESOURCES CORPORATION CAYMAN</t>
  </si>
  <si>
    <t>CONDUENT BUSINESS SERVICES, LLC</t>
  </si>
  <si>
    <t>INTEGON SERVICE CO SA DE CV</t>
  </si>
  <si>
    <t>CANDACE LUNDY AND HAROLD KALKE</t>
  </si>
  <si>
    <t>PLANTAGRO SA DE CV</t>
  </si>
  <si>
    <t>CODIFARMA SA DE CV</t>
  </si>
  <si>
    <t>AC LA LAJA SA DE CV</t>
  </si>
  <si>
    <t>CHOW TAI FOOK JEWELLERY (SHENZHEN) CO., LTD</t>
  </si>
  <si>
    <t>PHARMACIE PHILIPPE DROUIN INC</t>
  </si>
  <si>
    <t>GESTION PHILIPPE DROUIN INC</t>
  </si>
  <si>
    <t>INMOBILIARIA 1 A 1 SA DE CV</t>
  </si>
  <si>
    <t>INDUSTRIAS SUANCA SA DE CV</t>
  </si>
  <si>
    <t>SENTRY US MONTHLY INCOME FUND - US HEDGE</t>
  </si>
  <si>
    <t>SENTRY US MONTHLY INCOME FUND</t>
  </si>
  <si>
    <t>SENTRY US MONTHLY INCOME FUND - CAD HEDGE</t>
  </si>
  <si>
    <t>CALHAN INVESTMENTS INC</t>
  </si>
  <si>
    <t>SENTRY CONSERVATIVE BALANCED INCOME FUND (EQUITY)</t>
  </si>
  <si>
    <t>SENTRY CONSERVATIVE BALANCED INCOME FUND</t>
  </si>
  <si>
    <t>SENTRY CONSERVATIVE BALANCED INCOME FUND (FIXED INCOME)</t>
  </si>
  <si>
    <t>IBERDROLA MEXICO SA DE CV</t>
  </si>
  <si>
    <t>FRESCOPACK SA DE CV</t>
  </si>
  <si>
    <t>AFP PROVIDA SA</t>
  </si>
  <si>
    <t>AFP PROVIDA SA - FUND A</t>
  </si>
  <si>
    <t>AFP PROVIDA SA - FUND B</t>
  </si>
  <si>
    <t>AFP PROVIDA SA - FUND C</t>
  </si>
  <si>
    <t>NBIMC INTERNATIONAL HIGH YIELD FIXED INCOME FUND</t>
  </si>
  <si>
    <t>AFP PROVIDA SA - FUND D</t>
  </si>
  <si>
    <t>AFP PROVIDA SA - FUND E</t>
  </si>
  <si>
    <t>NBIMC INTERNATIONAL REAL ESTATE (2017) FUND</t>
  </si>
  <si>
    <t>GOW GROUP INC.</t>
  </si>
  <si>
    <t>NATIONAL LOGISTICS SERVICES</t>
  </si>
  <si>
    <t>SPRINGWELL MANUFACTURING INC.</t>
  </si>
  <si>
    <t>TRUALL BUILDING COMPONENTS INC.</t>
  </si>
  <si>
    <t>BLUEBAY FUNDS - BLUEBAY EMERGING MARKET BOND FUND</t>
  </si>
  <si>
    <t>BlueBay Funds - BlueBay Emerging Market Absolute Return Bond Fund</t>
  </si>
  <si>
    <t>BlueBay Funds - Goldman Sachs Trust II - Goldman Sachs Multi-Manager Non-Core Fixed Income Fund</t>
  </si>
  <si>
    <t>BlueBay Funds - BlueBay Emerging Market Local Currency Bond Fund</t>
  </si>
  <si>
    <t>BlueBay Global Funds SPC - BlueBay Emerging Market Select Bond SP</t>
  </si>
  <si>
    <t>BlueBay Funds - Sihl Institutional Fund -Obligationen Emerging Markets</t>
  </si>
  <si>
    <t>RBC CONSERVATIVE BOND POOL</t>
  </si>
  <si>
    <t>RBC CORE BOND POOL</t>
  </si>
  <si>
    <t>RBC CORE PLUS BOND POOL</t>
  </si>
  <si>
    <t>TIENDAS CHEDRAUI SA DE CV</t>
  </si>
  <si>
    <t>PANEURASIA INCORPORATED</t>
  </si>
  <si>
    <t>FWD GROUP LIMITED</t>
  </si>
  <si>
    <t>DUKE REALTY LP (INCTR)</t>
  </si>
  <si>
    <t>LYSANDER CORPORATE VALUE BOND FUND</t>
  </si>
  <si>
    <t>FELIPE GONZALEZ SALVIDAR</t>
  </si>
  <si>
    <t>FELIPE GONZALEZ SALDIVAR</t>
  </si>
  <si>
    <t>MCGILL UNIVERSITY PLAN - ACCUMULATION FUND</t>
  </si>
  <si>
    <t>MCGILL UNIVERSITY PENSION PLAN - PENSIONER FUND</t>
  </si>
  <si>
    <t>PETROLEOS DEL PERU</t>
  </si>
  <si>
    <t>PETROLEOS DEL PERU SA</t>
  </si>
  <si>
    <t>RENAISSANCE CANADIAN FIXED INCOME</t>
  </si>
  <si>
    <t>TRIBALSCALE INC</t>
  </si>
  <si>
    <t>ADVENTUS MINING CORPORATION</t>
  </si>
  <si>
    <t>SHELL ENERGY NORTH AMERICA US LP</t>
  </si>
  <si>
    <t>PRM AIRCRAFT HOLDING CORP.</t>
  </si>
  <si>
    <t>HANWHA ENERGY CORPORATION JAPAN</t>
  </si>
  <si>
    <t>HUSKY MIDSTREAM LIMITED PARTNERSHIP</t>
  </si>
  <si>
    <t>HALOVANIC HOLDINGS INC</t>
  </si>
  <si>
    <t>BGC FINANCIAL LP</t>
  </si>
  <si>
    <t>BGC Financial LP</t>
  </si>
  <si>
    <t>BLUEBAY GLOBAL FUNDS SPC - EMERGING MARKET BLENDED BOND SP</t>
  </si>
  <si>
    <t>BLUEBAY STRUCTURED FUNDS - GLOBAL MULTI-ASSET CREDIT FUND</t>
  </si>
  <si>
    <t>RBC Fund for BlueBay Global Monthly Income Bond Fund</t>
  </si>
  <si>
    <t>BLUEBAY FUNDS - BLUEBAY GLOBAL SOVEREIGN OPPORTUNITIES FUND</t>
  </si>
  <si>
    <t>BlueBay Funds - The Global Sovereign Opportunities (Master) Fund Limited</t>
  </si>
  <si>
    <t>RBC BLUEBAY DIVERSIFIED CREDIT FUND</t>
  </si>
  <si>
    <t>RBC BLUEBAY EMERGING MARKET SELECT BOND FUND</t>
  </si>
  <si>
    <t>BLUEBAY FUNDS - BLUEBAY EMERGING MARKET SELECT BOND FUND</t>
  </si>
  <si>
    <t>BlueBay Structured Funds - SIM BlueBay Emerging Market Local Currency Bond Fund</t>
  </si>
  <si>
    <t>BLUEBAY FUNDS - BLUEBAY TOTAL RETURN CREDIT FUND</t>
  </si>
  <si>
    <t>BlueBay Structured Funds - Total Return Diversified Credit Fund</t>
  </si>
  <si>
    <t>BLUEBAY GLOBAL FUNDS SPC - BLUEBAY TOTAL RETURN CREDIT SP</t>
  </si>
  <si>
    <t>SENTRY DEFENSIVE INCOME PORTFOLIO</t>
  </si>
  <si>
    <t>EQUIPOS GLEZCO SA DE CV</t>
  </si>
  <si>
    <t>CITIBANK KOREA INC.</t>
  </si>
  <si>
    <t>CHINA CONSTRUCTION BANK CORP SEOUL</t>
  </si>
  <si>
    <t>BlueBay International Trust - Global Sovereign Opportunities Sub-Trust</t>
  </si>
  <si>
    <t>BlueBay Funds - BlueBay Emerging Market Aggregate Bond Fund</t>
  </si>
  <si>
    <t>TRADITION SECURITIES AND DERIVATIVES INC</t>
  </si>
  <si>
    <t>TRADITION SECURITIES &amp; DERIVATIVES, INC.</t>
  </si>
  <si>
    <t>CANSO MUSTANG FUND</t>
  </si>
  <si>
    <t>MGM RESORTS INTERNATIONAL</t>
  </si>
  <si>
    <t>NONGHYUP BANK</t>
  </si>
  <si>
    <t>SHERMAN CAMPUS</t>
  </si>
  <si>
    <t>WLC FLEET SERVICES LP</t>
  </si>
  <si>
    <t>The Bank of New York Mellon, Seoul Branch</t>
  </si>
  <si>
    <t>INDUSTRIAL AND COM'L BK OF CHINA</t>
  </si>
  <si>
    <t>IND N COMM BK CHINA</t>
  </si>
  <si>
    <t>IND AND COML BK OF CHINA SIN CLG</t>
  </si>
  <si>
    <t>INDUSTRIAL N COM'L BK CHINA</t>
  </si>
  <si>
    <t>INDUSTRIAL AND COMM BK OF CHINA</t>
  </si>
  <si>
    <t>BANK OF AMERICA NT &amp; SA</t>
  </si>
  <si>
    <t>CHINA TRUST COMM'L BANK</t>
  </si>
  <si>
    <t>CTBC BANK CO LTD</t>
  </si>
  <si>
    <t>PHN BLUEBAY EMERGING MARKET DEBT FUND (CAD HEDGED)</t>
  </si>
  <si>
    <t>OLAM AGRO MEXICO SA DE CV</t>
  </si>
  <si>
    <t>GASODUCTOS DEL NORESTE S DE RL DE CV</t>
  </si>
  <si>
    <t>AGROPECUARIA PIEDADENSE SA DE CV</t>
  </si>
  <si>
    <t>NUVOO INC</t>
  </si>
  <si>
    <t>KIA MORTORS CORP</t>
  </si>
  <si>
    <t>TAMRAY ENTERPRISES LTD.</t>
  </si>
  <si>
    <t>HIG LP MANAGEMENT INC.</t>
  </si>
  <si>
    <t>XTRACKERS MSCI EAFE ESG LEADERS EQUITY ETF</t>
  </si>
  <si>
    <t>ELKVIEW ENTERPRISES LTD</t>
  </si>
  <si>
    <t>LEGAL &amp; GENERAL ASSURANCE SOCIETY LIMITED 1345</t>
  </si>
  <si>
    <t>LEGAL &amp; GENERAL ASSURANCE SOCIETY LIMITED 1328</t>
  </si>
  <si>
    <t>LEGAL &amp; GENERAL ASSURANCE SOCIETY LIMITED 1343</t>
  </si>
  <si>
    <t>LEGAL &amp; GENERAL ASSURANCE SOCIETY LIMITED - 1342</t>
  </si>
  <si>
    <t>LEGAL &amp; GENERAL ASSURANCE SOCIETY LIMITED 1341</t>
  </si>
  <si>
    <t>LEGAL &amp; GENERAL ASSURANCE SOCIETY LIMITED 1329</t>
  </si>
  <si>
    <t>LEGAL AND GENERAL ASSURANCE SOCIETY LIMITED</t>
  </si>
  <si>
    <t>LEGAL &amp; GENERAL ASSURANCE SOCIETY LIMITED 1344</t>
  </si>
  <si>
    <t>LEGAL &amp; GENERAL ASSURANCE SOCIETY LIMITED 1346</t>
  </si>
  <si>
    <t>SABRA HEALTH CARE LIMITED PARTNER</t>
  </si>
  <si>
    <t>SABRA HEALTH CARE LIMITED PARTNERSHIP</t>
  </si>
  <si>
    <t>CIBANCO S A INSTITUCION DE BANCA MULTIPLE EN SU CARACTER DE FIDUCIARIO DEL CONTRATO DE FIDEICOMISO IRREVOCABLE DE ADMINISTRACION Y FUENTE DE PAGO NO CIB 3611</t>
  </si>
  <si>
    <t>CIBANCO S A INSTITUCION DE BANCA MULTIPLE EN SU CARACTER DE FIDUCIARIO DEL CONTRATO DE FIDEICOMISO IRREVOCABLE CIB3012</t>
  </si>
  <si>
    <t>MAS FONDOS MEDIANO PLAZO SA DE CV FIID</t>
  </si>
  <si>
    <t>SHANGHAI LAOFENGXIANG CO., LTD</t>
  </si>
  <si>
    <t>SHANGHAI OLD PHOENIX JEWELRY RES. INST. CO LTD</t>
  </si>
  <si>
    <t>HYUNDAI MOTOR COMPANY</t>
  </si>
  <si>
    <t>STEELE HOTELS LIMITED</t>
  </si>
  <si>
    <t>ARBUTUS VILLAGE HOLDINGS LTD</t>
  </si>
  <si>
    <t>The Hong Kong and Shanghai Banking Corporation Limited, Seoul Branch</t>
  </si>
  <si>
    <t>1627280 ONTARIO INC.</t>
  </si>
  <si>
    <t>SQAIR HVAC INC.</t>
  </si>
  <si>
    <t>CORNERS PRIDE FARMS LTD</t>
  </si>
  <si>
    <t>SENTRY ALL CAP INCOME FUND</t>
  </si>
  <si>
    <t>2098773 ONTARIO LIMITED</t>
  </si>
  <si>
    <t>AF520</t>
  </si>
  <si>
    <t>BLUEBAY FUNDS - VIRGINIA RETIREMENT SYSTEM</t>
  </si>
  <si>
    <t>BUPA MEXICO COMPANIA DE SEGUROS SA DE CV</t>
  </si>
  <si>
    <t>CABLETICA S.A.</t>
  </si>
  <si>
    <t>CABLETICA SA</t>
  </si>
  <si>
    <t>KNEW SALES GROUP INC.</t>
  </si>
  <si>
    <t>2292194 ONTARIO INC.</t>
  </si>
  <si>
    <t>EMBASSY OF HUNGARY</t>
  </si>
  <si>
    <t>ELEIDA PILAR LEDESMA LEDESMA</t>
  </si>
  <si>
    <t>PILAR MORAN LEDESMA</t>
  </si>
  <si>
    <t>MARIA ELENA MORAN LEDESMA</t>
  </si>
  <si>
    <t>FERNANDA MORAN LEDESMA</t>
  </si>
  <si>
    <t>TD GLOBAL EQUITY FOCUSED FUND</t>
  </si>
  <si>
    <t>TD ASSET MANAGEMENT 1163001</t>
  </si>
  <si>
    <t>MELROSE PAVING CO. LTD.</t>
  </si>
  <si>
    <t>DAVLIN ONTARIO INC.</t>
  </si>
  <si>
    <t>LUB MAR OIL DE MEXICO SA DE CV</t>
  </si>
  <si>
    <t>6772633 CANADA INC (OPERATING AS DES CANADA)</t>
  </si>
  <si>
    <t>EMSO EMERGING MARKETS ABSOLUTE RETURN FIXED INCOME FUND</t>
  </si>
  <si>
    <t>EMSO EMERGING MARKETS LIMITED DURATION BOND FUND</t>
  </si>
  <si>
    <t>EMSO EMERGING MARKETS ABSOLUTE RETURN DEBT FUND</t>
  </si>
  <si>
    <t>MAS FONDOS SA DE CV SOCIEDAD OPERADORA DE FONDOS DE INVERSION</t>
  </si>
  <si>
    <t>626545 BC LTD</t>
  </si>
  <si>
    <t>CITRON COMMODITIES LLC</t>
  </si>
  <si>
    <t>SIR CORP.</t>
  </si>
  <si>
    <t>AF620</t>
  </si>
  <si>
    <t>POLAR LONG/SHORT MASTER FUND</t>
  </si>
  <si>
    <t>AF750</t>
  </si>
  <si>
    <t>WHEEL KING TRANSHAUL INC.</t>
  </si>
  <si>
    <t>WHEEL KING TRANSHAUL INC</t>
  </si>
  <si>
    <t>TERANET COLLATERAL MANAGEMENT SOLUTIONS CORP.</t>
  </si>
  <si>
    <t>DYNAMIC AIR SHELTERS LTD.</t>
  </si>
  <si>
    <t>SAGIS INC.</t>
  </si>
  <si>
    <t>SUNNYSIDE PRODUCE LTD</t>
  </si>
  <si>
    <t>LZB HOLDINGS LTD</t>
  </si>
  <si>
    <t>1100289 BC LTD.</t>
  </si>
  <si>
    <t>SIMARK CONTROLS LTD.</t>
  </si>
  <si>
    <t>ONWARD AUTOMATION INC</t>
  </si>
  <si>
    <t>ZANADA INTERNATIONAL INC.</t>
  </si>
  <si>
    <t>EMBALLAGE ST JEAN LTEE</t>
  </si>
  <si>
    <t>EMBALLAGE ST-JEAN LTEE</t>
  </si>
  <si>
    <t>GRUPO INMOBILIARIO ENLACE DE PUEBLA SA DE CV</t>
  </si>
  <si>
    <t>NEXXUS IBERIA PRIVATE EQUITY FUND I. L.P.</t>
  </si>
  <si>
    <t>KENSINGTON PRIVATE EQUITY FUND</t>
  </si>
  <si>
    <t>BANCO ACTINVER SA  INSTITUCION DE BANCA MULTIPLE GRUPO FINANCIERO ACTINVER COMO FIDUCIARIO EN EL CONTRATO DE FIDEICOMISO IRREVOCABLE NUMERO F 3443</t>
  </si>
  <si>
    <t>DUMMY3</t>
  </si>
  <si>
    <t>DUMMY4</t>
  </si>
  <si>
    <t>OPERACIONES INTERNACIONALES OPIN</t>
  </si>
  <si>
    <t>E AND B SMOKE TECHNOLOGY LTD</t>
  </si>
  <si>
    <t>DUBACANO SA DE CV</t>
  </si>
  <si>
    <t>AXA SEGUROS SA DE CV</t>
  </si>
  <si>
    <t>CROSSOVER SOLUTIONS INC.</t>
  </si>
  <si>
    <t>BNS SHANGHAI</t>
  </si>
  <si>
    <t>COCA-COLA CANADA BOTTLING LTD</t>
  </si>
  <si>
    <t>COCA-COLA CANADA BOTTLING LIMITED</t>
  </si>
  <si>
    <t>CUSTOM HOUSE UK LTD</t>
  </si>
  <si>
    <t>CUSTOM HOUSE FINANCIAL (UK) LTD</t>
  </si>
  <si>
    <t>MKP ALPHA PORT, LTD</t>
  </si>
  <si>
    <t>ESAOTE SAP</t>
  </si>
  <si>
    <t>AXA SALUD SA DE CV</t>
  </si>
  <si>
    <t>AGFIQ ENHANCED CORE GLOBAL MULTI-SECTOR BOND ETF</t>
  </si>
  <si>
    <t>BROOKFIELD BPY HOLDINGS INC</t>
  </si>
  <si>
    <t>HUA AN ASSET MANAGEMENT COMPANY LIMITED</t>
  </si>
  <si>
    <t>TANAKA ELECTRONICS (HANGZHOU) CO., LTD</t>
  </si>
  <si>
    <t>THE GLENCORE CANADIAN PENSION FUNDS TRUST PRIVATE DEBT FUND</t>
  </si>
  <si>
    <t>DH MANUFACTURING INC.</t>
  </si>
  <si>
    <t>IRIS TECHNOLOGIES INC</t>
  </si>
  <si>
    <t>DARCY ANDERSON</t>
  </si>
  <si>
    <t>PLANTIVA SA DE CV</t>
  </si>
  <si>
    <t>ALLIANZ MEXICO SA COMPANIA DE SEGUROS</t>
  </si>
  <si>
    <t>MCCORMICK DE MEXICO SA DE CV</t>
  </si>
  <si>
    <t>NICOMEN FARM LTD.</t>
  </si>
  <si>
    <t>METALOR TECHNOLOGIES (SUZHOU) LTD</t>
  </si>
  <si>
    <t>CELESTICA INTERNATIONAL LP</t>
  </si>
  <si>
    <t>PHOENIX TOWER INTERNATIONAL SPAIN ETVE, S.L.U.</t>
  </si>
  <si>
    <t>PHOENIX TOWER INTERNATIONAL SPAIN ETVE SL</t>
  </si>
  <si>
    <t>GRUPO TELEVISA, S.A.B.</t>
  </si>
  <si>
    <t>GRUPO TELEVISA, S.A.B</t>
  </si>
  <si>
    <t>SCOTIA PRIVATE DIVERSIFIED INTERNATIONAL EQUITY POOL</t>
  </si>
  <si>
    <t>DYNAMIC PREMIUM YIELD PLUS FUND</t>
  </si>
  <si>
    <t>SHANNEX ONTARIO DEVELOPMENTS LTD</t>
  </si>
  <si>
    <t>GMF PRIME AUTOMOBILE TRUST 2018-PP5</t>
  </si>
  <si>
    <t>2247788 ONTARIO INC.</t>
  </si>
  <si>
    <t>FONDO BBVA BANCOMER DEUDA DOLARES  SA DE CV  FONDO DE INVERSION EN INSTRUMENTOS DE DEUDA</t>
  </si>
  <si>
    <t>RBC QUANT CANADIAN EQUITY LEADERS ETF</t>
  </si>
  <si>
    <t>ANANI INVESTMENTS LTD</t>
  </si>
  <si>
    <t>KOHLTECH INTERNATIONAL LIMITED</t>
  </si>
  <si>
    <t>BRISTOL PROPERTIES CORP.</t>
  </si>
  <si>
    <t>6855572 MANITOBA LTD</t>
  </si>
  <si>
    <t>CORPORATIVO PLAZA DEL PARQUE SA DE CV</t>
  </si>
  <si>
    <t>CORPORATIVO PLAZA DEL PARQUE SA CV</t>
  </si>
  <si>
    <t>JOHN HANCOCK CALIFORNIA TAX FREE INCOME FUND</t>
  </si>
  <si>
    <t>PARK SHOPPING CENTER SA DE CV</t>
  </si>
  <si>
    <t>NORTHRIVER MIDSTREAM OPERATIONS LP</t>
  </si>
  <si>
    <t>MACKENZIE EMERGING MARKETS CLASS</t>
  </si>
  <si>
    <t>NORTHRIVER MIDSTREAM FINANCE LP</t>
  </si>
  <si>
    <t>ANNADALE FINISHING SYSTEMS (2003) INC.</t>
  </si>
  <si>
    <t>CITY OF ST ALBERT</t>
  </si>
  <si>
    <t>EL ALBA PRODUCTOS DE CARNE SA DE CV</t>
  </si>
  <si>
    <t>PRODUCTOS AHULADOS INDUSTRIALES SA DE CV</t>
  </si>
  <si>
    <t>SERVICIOS Y ALMACENES DE VERACRUZ SA DE CV</t>
  </si>
  <si>
    <t>2183094 ONTARIO INC</t>
  </si>
  <si>
    <t>G.T.A. DNATA GROUND HANDLING LTD</t>
  </si>
  <si>
    <t>QASEMI GROUP OF COMPANIES IN CANADA INC.</t>
  </si>
  <si>
    <t>CUMMINS CANADA ULC</t>
  </si>
  <si>
    <t>HARRIS BROS INC.</t>
  </si>
  <si>
    <t>NORTH WEST TERMINAL LTD</t>
  </si>
  <si>
    <t>JUNOVA FUND L P</t>
  </si>
  <si>
    <t>JUNOVA FUND LP</t>
  </si>
  <si>
    <t>CI MUNRO ALTERNATIVE GLOBAL GROWTH FUND</t>
  </si>
  <si>
    <t>10219355 CANADA INC</t>
  </si>
  <si>
    <t>M.J.B. HOLDINGS LIMITED</t>
  </si>
  <si>
    <t>MJB HOLDINGS LIMITED</t>
  </si>
  <si>
    <t>SOCIETE IMMOBILIERE DES CHENAUX INC.</t>
  </si>
  <si>
    <t>DUZ CHO FOREST PRODUCTS LTD</t>
  </si>
  <si>
    <t>PREMET SA DE CV</t>
  </si>
  <si>
    <t>FRIGORIZADOS LA HUERTA SA DE CV</t>
  </si>
  <si>
    <t>NASOFT SYSTEMS SA DE CV</t>
  </si>
  <si>
    <t>30 DUKE STREET LIMITED</t>
  </si>
  <si>
    <t>FUTURE ELECTRONICS MEXICO SA DE CV</t>
  </si>
  <si>
    <t>TORQUEST MANAGEMENT SERVICES L.P.</t>
  </si>
  <si>
    <t>CANADA KUWAIT PETROCHEMICAL LIMITED PARTNERSHIP</t>
  </si>
  <si>
    <t>CANADA KUWAIT PETROCHEMICAL CORPORATION</t>
  </si>
  <si>
    <t>CARTOGRAPHIC SA DE CV</t>
  </si>
  <si>
    <t>MENTEC SARNIA INDUSTRIAL EQUIPMENT LIMITED</t>
  </si>
  <si>
    <t>THE SHOP INDUSTRIAL INC</t>
  </si>
  <si>
    <t>DYNAMIC NORTH AMERICAN DIVIDEND PRIVATE POOL</t>
  </si>
  <si>
    <t>1312239 ONTARIO INC.</t>
  </si>
  <si>
    <t>FONDO PROFUTURO SB4 SA DE CV SIEFORE</t>
  </si>
  <si>
    <t>BP AND SONS GRAIN AND STORAGE INC</t>
  </si>
  <si>
    <t>GRUNDY TELCOM INTEGRATION INC</t>
  </si>
  <si>
    <t>TBC DE MEXICO SA DE CV</t>
  </si>
  <si>
    <t>MATC INFRAESTRUCTURA S DE RL DE CV</t>
  </si>
  <si>
    <t>GLOBAL EQUITY ALLOCATION POOL</t>
  </si>
  <si>
    <t>LOS DIECINUEVE HERMANOS SPR DE RL</t>
  </si>
  <si>
    <t>AMERICAN TOWER CORPORATION DE MEXICO S DE RL DE CV</t>
  </si>
  <si>
    <t>MCCAIN CAPITAL INC</t>
  </si>
  <si>
    <t>DYNAMIC ALPHA PERFORMANCE II FUND</t>
  </si>
  <si>
    <t>EISLER CAPITAL MASTER FUND LIMITED</t>
  </si>
  <si>
    <t>MATC SERVICIOS S DE RL DE CV</t>
  </si>
  <si>
    <t>TRANSPORTADORA DEL NORTE SH S DE RL DE CV</t>
  </si>
  <si>
    <t>ARMASTUS HOLDINGS LTD</t>
  </si>
  <si>
    <t>WCX M4 FINCO PTY LTD</t>
  </si>
  <si>
    <t>FRATER HOLDINGS LTD</t>
  </si>
  <si>
    <t>BROMPTON GLOBAL DIVIDEND GROWTH ETF</t>
  </si>
  <si>
    <t>1887962 ONTARIO INC.</t>
  </si>
  <si>
    <t>DBS BANK (CHINA) LIMITED</t>
  </si>
  <si>
    <t>QUEENSWAY 427 CENTRE INC</t>
  </si>
  <si>
    <t>7108702 CANADA INC.</t>
  </si>
  <si>
    <t>MACKENZIE-IG CANADIAN BOND POOL</t>
  </si>
  <si>
    <t>MACKENZIE-IG CANADIAN EQUITY POOL</t>
  </si>
  <si>
    <t>MACKENZIE IG CANADIAN EQUITY POOL</t>
  </si>
  <si>
    <t>PRETIUM RESOURCES INC</t>
  </si>
  <si>
    <t>147 ELDER STREET INC</t>
  </si>
  <si>
    <t>TOBEQ TOOLS AND EQUIPMENT INC.</t>
  </si>
  <si>
    <t>TD ASSET  MANAGEMENT 3257</t>
  </si>
  <si>
    <t>TD SELECT ACTIVE SHORT TERM CORPORATE BOND LADDER ETF</t>
  </si>
  <si>
    <t>INFRAESTRUCTURA ENERGETICA NOVA SAPI DE CV</t>
  </si>
  <si>
    <t>INFRAESTRUCTURA ENERGETICA NOVA S A B DE C V</t>
  </si>
  <si>
    <t>A M INGREDIENTS CORP</t>
  </si>
  <si>
    <t>ATC LATIN AMERICA SA DE CV SOFOM ENR</t>
  </si>
  <si>
    <t>GRUPO HERDEZ SAB DE CV</t>
  </si>
  <si>
    <t>2634531 ONTARIO INC</t>
  </si>
  <si>
    <t>ASHFIELD HEALTHCARE CANADA INC.</t>
  </si>
  <si>
    <t>FLAIR PROM FASHION INC</t>
  </si>
  <si>
    <t>DAVID GUNN</t>
  </si>
  <si>
    <t>SILVER LAKE ONTARIO INC.</t>
  </si>
  <si>
    <t>ECOGAS MEXICO S DE RL DE CV</t>
  </si>
  <si>
    <t>FLAIR FLEXIBLE PACKAGING MEXICO SA DE CV</t>
  </si>
  <si>
    <t>VERSA FRAME INC</t>
  </si>
  <si>
    <t>MARTINI VISPAK INC</t>
  </si>
  <si>
    <t>EQUINOX GOLD CORP</t>
  </si>
  <si>
    <t>CORONATION MEDICAL PLAZA INC.</t>
  </si>
  <si>
    <t>MACKENZIE GLOBAL ENVIRONMENT EQUITY FUND</t>
  </si>
  <si>
    <t>THE WAWANESA MUTUAL INSURANCE COMPANY - CANADIAN EQUITY STRATEGY</t>
  </si>
  <si>
    <t>THE WAWANESA MUTUAL INSURANCE COMPANY</t>
  </si>
  <si>
    <t>GRUPO GUSI SPR DE RL DE CV</t>
  </si>
  <si>
    <t>HSBC DL SA DE CV SIID</t>
  </si>
  <si>
    <t>PRODUCTORES GANADEROS GUSI, SPR DE RL DE CV</t>
  </si>
  <si>
    <t>SIEFORE AZTECA BASICA DE PENSIONES  SA DE CV</t>
  </si>
  <si>
    <t>PIMCO MULTI-STRATEGY CREDIT FUND, L.P.</t>
  </si>
  <si>
    <t>SECURITIZED TERM AUTO RECEIVABLES TRUST 2018-2</t>
  </si>
  <si>
    <t>INVERSIONES HOTELERAS ONCE DE ABRIL S.A.</t>
  </si>
  <si>
    <t>CAMBRIDGE CANADIAN LONG TERM BOND POOL</t>
  </si>
  <si>
    <t>US EQUITY ALPHA POOL</t>
  </si>
  <si>
    <t>INTERNATIONAL EQUITY VALUE CURRENCY HEDGED POOL</t>
  </si>
  <si>
    <t>CI GLOBAL UNCONSTRAINED BOND PRIVATE POOL</t>
  </si>
  <si>
    <t>HOTELES MILEX SA DE CV</t>
  </si>
  <si>
    <t>ALIMENTOS BALANCEADOS SALAMANCA SA DE CV</t>
  </si>
  <si>
    <t>SPINNAKER GLOBAL EMERGING MARKETS FUND LTD</t>
  </si>
  <si>
    <t>CI GLOBAL ASSET ALLOCATION PRIVATE POOL</t>
  </si>
  <si>
    <t>CI GLOBAL CONCENTRATED EQUITY PRIVATE POOL</t>
  </si>
  <si>
    <t>SAUNDERS EQUIPMENT LTD.</t>
  </si>
  <si>
    <t>WARATAH ALTERNATIVE ESG LP</t>
  </si>
  <si>
    <t>GRANEROS CEDILLO SA DE CV</t>
  </si>
  <si>
    <t>INSUMOS Y FERTILIZANTES AGRICOLAS CEDILLO SA DE CV</t>
  </si>
  <si>
    <t>SALSIPUEDES SOLAR SA DE CV</t>
  </si>
  <si>
    <t>MONTREAL LUMINAIRE AND QUINCAILLERIE INC</t>
  </si>
  <si>
    <t>MERAKI COMMODITIES INC.</t>
  </si>
  <si>
    <t>TECNOVIDRIO SA DE CV</t>
  </si>
  <si>
    <t>BANCO INVEX SA INSTITUCION DE BANCA MULTIPLE  INVEX GRUPO FINANCIERO EN SU CARACTER DE FIDUCIARIO DEL CONTRATO DE FIDEICOMISO IRREVOCABLE DE EMISION DE CERTIFICADOS BURSATILES FIDUCIARIOS NO F 2936</t>
  </si>
  <si>
    <t>BALAM SOLAR I SAPI DE CV</t>
  </si>
  <si>
    <t>JUMP TRADING FUTURES LLC</t>
  </si>
  <si>
    <t>INVERSIONES HOTELERAS CH ESCAZU S.A.</t>
  </si>
  <si>
    <t>INTELLISYN PHARMA, INC</t>
  </si>
  <si>
    <t>CAJA BLANCA INTERNACIONAL SA DE CV</t>
  </si>
  <si>
    <t>WASTE CONNECTIONS OF CANADA INC.</t>
  </si>
  <si>
    <t>LONDON LIFE PATHWAYS CORE PLUS BOND FUND</t>
  </si>
  <si>
    <t>LONDON LIFE PATHWAYS GLOBAL CORE PLUS BOND FUND</t>
  </si>
  <si>
    <t>KRUSCHELL HOLDINGS LTD</t>
  </si>
  <si>
    <t>MARSAM METALS S.A.</t>
  </si>
  <si>
    <t>BANK LEUMI USA</t>
  </si>
  <si>
    <t>IJTSMA FARMS LTD</t>
  </si>
  <si>
    <t>AVIGRUPO MEXICO SA DE CV</t>
  </si>
  <si>
    <t>AGROINDUSTRIAS QUESADA S DE RL DE CV</t>
  </si>
  <si>
    <t>BACKERHAUS VEIT LTD</t>
  </si>
  <si>
    <t>PASCAL JOLY PHARMACIEN INC.</t>
  </si>
  <si>
    <t>9027-9480 QUEBEC INC.</t>
  </si>
  <si>
    <t>PARKDALE HOLDINGS LTD</t>
  </si>
  <si>
    <t>SIPRA HOLDINGS INC</t>
  </si>
  <si>
    <t>KAPITALO INTERNATIONAL FUND SPC- Segregated Portfolio K</t>
  </si>
  <si>
    <t>LAKESHORE RETAIL LTD</t>
  </si>
  <si>
    <t>CI ALTERNATIVE INVESTMENT GRADE CREDIT FUND</t>
  </si>
  <si>
    <t>LAWRENCE PARK ALTERNATIVE INVESTMENT GRADE CREDIT FUND</t>
  </si>
  <si>
    <t>QUARTER HOLDINGS LTD.</t>
  </si>
  <si>
    <t>Tullett Prebon Financial Services LLC</t>
  </si>
  <si>
    <t>SPIRIT REALTY CAPITAL INC</t>
  </si>
  <si>
    <t>UNITED NATIONS CHILDREN FUND UNICEF</t>
  </si>
  <si>
    <t>FONDO SAM BALANCEADO 10 SA DE CV FONDO DE INVERSION DE RENTA VARIABLE</t>
  </si>
  <si>
    <t>GIUSEPPE ZANCHIN</t>
  </si>
  <si>
    <t>CATHERINE ZANCHIN</t>
  </si>
  <si>
    <t>CHINA AMC MACKENZIE GLOBAL STRATEGIC INCOME FUND SLEEVE</t>
  </si>
  <si>
    <t>CHINA AMC MACKENZIE GLOBAL STRATEGIC INCOME FUND</t>
  </si>
  <si>
    <t>CHINA AMC MACKENZIE GLOBAL STRAT</t>
  </si>
  <si>
    <t>MEDIANET INC.</t>
  </si>
  <si>
    <t>HIGHERCONNECT.COM INC</t>
  </si>
  <si>
    <t>FORTIVE CORPORATION</t>
  </si>
  <si>
    <t>XTRACKERS MSCI ACWI EX USA ESG LEADERS EQUITY ETF</t>
  </si>
  <si>
    <t>ELCRISA SA DE CV</t>
  </si>
  <si>
    <t>CEREALES Y PASTAS SA DE CV</t>
  </si>
  <si>
    <t>AMAUNET SA DE CV</t>
  </si>
  <si>
    <t>BALAM SOLAR II SAPI DE CV</t>
  </si>
  <si>
    <t>STATE STREET GLOBAL ADVISORS TRUST COMPANY WORLD INDEX COMMON TRUST FUNDS - STATE STREET S&amp;P GSCI(R) NON-LENDING COMMON TRUST FUND</t>
  </si>
  <si>
    <t>CITADEL MACRO STRATEGIES MASTER FUND LTD</t>
  </si>
  <si>
    <t>XTRACKERS MSCI EMERGING MARKETS ESG LEADERS EQUITY ETF</t>
  </si>
  <si>
    <t>FONDO SAM BALANCEADO 4 SA DE CV FONDO DE INVERSION DE RENTA VARIABLE</t>
  </si>
  <si>
    <t>FONDO SAM BALANCEADO 14 SA DE CV FONDO DE INVERSION DE RENTA VARIABLE</t>
  </si>
  <si>
    <t>FONDO SAM BALANCEADO 15 SA DE CV FONDO DE INVERSION DE RENTA VARIABLE</t>
  </si>
  <si>
    <t>ACCIPITER FINANCE HOLDINGS DESIGNATED ACTIVITY COMPANY</t>
  </si>
  <si>
    <t>2415121 ONTARIO LIMITED</t>
  </si>
  <si>
    <t>CITROFRUT SAPI DE CV</t>
  </si>
  <si>
    <t>CITROFRUT SA DE CV</t>
  </si>
  <si>
    <t>SINAI HEALTH SYSTEM FOUNDATION</t>
  </si>
  <si>
    <t>TD SELECT ACTIVE U.S. SHORT TERM CORPORATE BOND LADDER ETF</t>
  </si>
  <si>
    <t>TD ACTIVE PREFERRED SHARE ETF</t>
  </si>
  <si>
    <t>METALSA, SA DE CV</t>
  </si>
  <si>
    <t>METALSA, S.A. DE C.V.</t>
  </si>
  <si>
    <t>KUWAITS PUBLIC INSTITUTION FOR SOCIAL SECURITY (PIFSS)</t>
  </si>
  <si>
    <t>GS+A ENHANCED BOND FUND (DELAWARE) LP</t>
  </si>
  <si>
    <t>CHAD TURTON</t>
  </si>
  <si>
    <t>CURIAN / VAN ECK INTERNATIONAL GOLD FUND, LTD</t>
  </si>
  <si>
    <t>MIN DE HAC Y CR PUBBLICO (DBA MINISTRY OF FINANCE AND PUBLIC CREDIT- REPUBLIC OF COLOMBIA)</t>
  </si>
  <si>
    <t>FIRST TRUST FACTORFX UCITS</t>
  </si>
  <si>
    <t>FONDO SAM BALANCEADO 16 SA DE CV FONDO DE INVERSION DE RENTA VARIABLE</t>
  </si>
  <si>
    <t>FONDO SAM RENTA VARIABLE 10 SA DE CV FONDO DE INVERSION DE RENTA VARIABLE</t>
  </si>
  <si>
    <t>FONDO SAM RENTA VARIABLE 17 SA DE CV FONDO DE INVERSION DE RENTA VARIABLE</t>
  </si>
  <si>
    <t>FONDO SAM RENTA VARIABLE 24 SA DE CV FONDO DE INVERSION DE RENTA VARIABLE</t>
  </si>
  <si>
    <t>FONDO SAM RENTA VARIABLE 7 SA DE CV FONDO DE INVERSION DE RENTA VARIABLE</t>
  </si>
  <si>
    <t>FONDO SAM RENTA VARIABLE 9 SA DE CV FONDO DE INVERSION DE RENTA VARIABLE</t>
  </si>
  <si>
    <t>INGENIERIA Y SERVICIOS ADM SA DE CV</t>
  </si>
  <si>
    <t>MARINA ACUARIOS S DE RL DE CV</t>
  </si>
  <si>
    <t>NATURGY SERVICIOS SA DE CV</t>
  </si>
  <si>
    <t>PANAMERICA TRADE INC</t>
  </si>
  <si>
    <t>PLESSISVILLE PHARMA INC.</t>
  </si>
  <si>
    <t>BLUE CUBE OPERATIONS LLC</t>
  </si>
  <si>
    <t>STABLECOTT PROPERTIES LTD</t>
  </si>
  <si>
    <t>GENFOOT INC</t>
  </si>
  <si>
    <t>LES IMMEUBLES GENFOOT INC</t>
  </si>
  <si>
    <t>BCP V FINCO (BERMUDA) LIMITED</t>
  </si>
  <si>
    <t>2380 LANCASTER LIMITED PARTNERSHIP</t>
  </si>
  <si>
    <t>AUGUST CORPORATE PARTNERS INC</t>
  </si>
  <si>
    <t>MATC DIGITAL S DE RL DE CV</t>
  </si>
  <si>
    <t>GREEN CENTURY ENTERPRISES INC.</t>
  </si>
  <si>
    <t>A.R. LEGER HOLDINGS INC</t>
  </si>
  <si>
    <t>RIVERSTONE GLOBAL ENERGY AND POWER FUND V, L.P.</t>
  </si>
  <si>
    <t>RIVERSTONE GLOBAL ENERGY AND POWER FUND V LP</t>
  </si>
  <si>
    <t>RIVERSTONE GLOBAL ENERGY AND POWER FUND VI, L.P.</t>
  </si>
  <si>
    <t>KAPITALO INTERNATIONAL FUND SPC - SEGREGATED PORTFOLIO OMEG</t>
  </si>
  <si>
    <t>SCSC HOLDINGS LTD.</t>
  </si>
  <si>
    <t>BLUESTAR INTERNATIONAL BUSINESS</t>
  </si>
  <si>
    <t>BRITEWEB LTD</t>
  </si>
  <si>
    <t>BROMPTON FUNDS LTD GROUP</t>
  </si>
  <si>
    <t>FONDO SAM BALANCEADO 6 SA DE CV FONDO DE INVERSION DE RENTA VARIABLE</t>
  </si>
  <si>
    <t>FONDO SAM BALANCEADO 5 SA DE CV FONDO DE INVERSION DE RENTA VARIABLE</t>
  </si>
  <si>
    <t>FONDO SAM DEUDA 5 SA DE CV FONDO DE INVERSION EN INSTRUMENTOS DE DEUDA</t>
  </si>
  <si>
    <t>FONDO SAM DEUDA CORTO PLAZO 4 SA DE CV FONDO DE INVERSION EN INSTRUMENTOS DE DEUDA</t>
  </si>
  <si>
    <t>GRUPO VITALMEX SA DE CV</t>
  </si>
  <si>
    <t>NACIONAL DE COBRE SA DE CV</t>
  </si>
  <si>
    <t>PASEO QUERETARO</t>
  </si>
  <si>
    <t>PUNTO VALLE</t>
  </si>
  <si>
    <t>RIVERSTONE CARLYLE GROUP</t>
  </si>
  <si>
    <t>SERVICIOS ADMINISTRATIVOS SINTCO S DE RL DE CV</t>
  </si>
  <si>
    <t>2001882 ONTARIO INC</t>
  </si>
  <si>
    <t>PATTERSON UTI ENERGY INC</t>
  </si>
  <si>
    <t>ROD HOLMAN TRUCKING LTD</t>
  </si>
  <si>
    <t>9121-1490 QUEBEC INC.</t>
  </si>
  <si>
    <t>RAPTOR RIG LTD</t>
  </si>
  <si>
    <t>RAPTOR RIG INC</t>
  </si>
  <si>
    <t>DURBAN DENTAL LABORATORIES CANADA INC</t>
  </si>
  <si>
    <t>DEPOSITO DE FABRICAS DF SA DE CV</t>
  </si>
  <si>
    <t>COMERCIALIZADORA PORTIMEX SA DE CV</t>
  </si>
  <si>
    <t>AGRICOLA SONORG SA DE CV</t>
  </si>
  <si>
    <t>ESPECIAS NATURALES DE MEXICO SA DE CV</t>
  </si>
  <si>
    <t>FONDO SAM DEUDA 11 SA DE CV FONDO DE INVERSION EN INSTRUMENTOS DE DEUDA</t>
  </si>
  <si>
    <t>FOOD SERVICE DE MEXICO SA DE CV</t>
  </si>
  <si>
    <t>MEXALIT INDUSTRIAL SA DE CV</t>
  </si>
  <si>
    <t>NAVIERA OCEAN GM SA DE CV</t>
  </si>
  <si>
    <t>TRITURADORA Y PROCESADORA DE MATERIALES SANTA ANITA SA DE CV</t>
  </si>
  <si>
    <t>OPERADORA PORTUARIA ISLA DEL CARMEN SA DE CV</t>
  </si>
  <si>
    <t>SPINNAKER GLOBAL OPPORTUNITY FUND LTD</t>
  </si>
  <si>
    <t>ALCOA HOLLAND B.V.</t>
  </si>
  <si>
    <t>DUNKLEY LUMBER LTD</t>
  </si>
  <si>
    <t>DUNKLEY LUMBER LTD.</t>
  </si>
  <si>
    <t>SUN LIFE GRANITE GROWTH PORTFOLIO</t>
  </si>
  <si>
    <t>HIGHSTREET ASSET MANAGEMENT</t>
  </si>
  <si>
    <t>ELLISDON INFRASTRUCTURE RGS RER INC</t>
  </si>
  <si>
    <t>LIZOTTE CONSULTANT LTEE</t>
  </si>
  <si>
    <t>QUEENS QUAY COOPER LIMITED PARTNERSHIP</t>
  </si>
  <si>
    <t>ACCOUNT10M</t>
  </si>
  <si>
    <t>SOLASGLAS INVESTMENTS LP</t>
  </si>
  <si>
    <t>PODER EJECUTIVO DEL ESTADO DE CAMPECHE S C</t>
  </si>
  <si>
    <t>ELITE WHITEBOARD SOLUTIONS INC</t>
  </si>
  <si>
    <t>TRAFFIC TECH SA DE CV</t>
  </si>
  <si>
    <t>APERI-FRUITS COMPTON INC.</t>
  </si>
  <si>
    <t>XPLORNET COMMUNICATIONS INC</t>
  </si>
  <si>
    <t>MARRET ALTERNATIVE ABSOLUTE RETURN BOND FUND</t>
  </si>
  <si>
    <t>CI PACIFIC CORPORATE CLASS</t>
  </si>
  <si>
    <t>SIGNATURE ASIAN OPPORTUNITIES FUND (FKA CI PACIFIC FUND)</t>
  </si>
  <si>
    <t>THE BANK OF NOVA SCOTIA TRUST COMPANY OF NEW YORK</t>
  </si>
  <si>
    <t>BANK OF NOVA SCOTIA TRUST CO. OF NY</t>
  </si>
  <si>
    <t>BNS TR CO OF NY ESCROW AGENT</t>
  </si>
  <si>
    <t>BNS 10975 TRUST CO NY</t>
  </si>
  <si>
    <t>BOPARAI ORCHARDS</t>
  </si>
  <si>
    <t>WATEROUS ENERGY FUND MANAGEMENT CORP.</t>
  </si>
  <si>
    <t>NOVABOX S DE RL DE CV</t>
  </si>
  <si>
    <t>DARREL MONETTE</t>
  </si>
  <si>
    <t>RUSSELL INDUSTRIES CORPORATION</t>
  </si>
  <si>
    <t>BL MESSAGE SIGNS AND INNOVATIVE LIGHTING LTD</t>
  </si>
  <si>
    <t>CCI WOODWORK LTD</t>
  </si>
  <si>
    <t>INNOVA S DE RL DE CV</t>
  </si>
  <si>
    <t>UNIFUND ASSURANCE COMPANY</t>
  </si>
  <si>
    <t>9325-8382 QUEBEC INC.</t>
  </si>
  <si>
    <t>ZABER TECHNOLOGIES INC</t>
  </si>
  <si>
    <t>AF450</t>
  </si>
  <si>
    <t>AF755</t>
  </si>
  <si>
    <t>RATES TRADING</t>
  </si>
  <si>
    <t>SUBURBIA S DE RL DE CV</t>
  </si>
  <si>
    <t>VERTEMAX INC</t>
  </si>
  <si>
    <t>WILLIAM MOWAT</t>
  </si>
  <si>
    <t>INTEL TECHNOLOGY INDIA PVT LTD</t>
  </si>
  <si>
    <t>MARE SWIMWEAR SA DE CV</t>
  </si>
  <si>
    <t>L C MINES SA DE CV</t>
  </si>
  <si>
    <t>TRIPLE S TUBE SUPPLY</t>
  </si>
  <si>
    <t>GAIL (INDIA) LIMITED</t>
  </si>
  <si>
    <t>UK TAX AUTHORITY</t>
  </si>
  <si>
    <t>CAST GROUP OF COMPANIES INC.</t>
  </si>
  <si>
    <t>IMPULSORA PLAZA TIJUANA OTAY SA DE CV</t>
  </si>
  <si>
    <t>FASTMATCH BROADWAY</t>
  </si>
  <si>
    <t>GOLTOOTH INC</t>
  </si>
  <si>
    <t>HEINMAN MACHINERY LTD.</t>
  </si>
  <si>
    <t>PRIMERO MINING CORPORATION</t>
  </si>
  <si>
    <t>1390 17TH AVENUE SE PROPERTIES LP</t>
  </si>
  <si>
    <t>THERMOPAC INDUSTRIES SA DE CV</t>
  </si>
  <si>
    <t>ELECTROMATE INC.</t>
  </si>
  <si>
    <t>RBC INTERNATIONAL SMALL CAP EQUITY FUND</t>
  </si>
  <si>
    <t>INTERNATIONAL PESTICIDE DEVELOPMENT CORP</t>
  </si>
  <si>
    <t>NWTL HOLDINGS LTD</t>
  </si>
  <si>
    <t>SUPERIOR BAKERY SYSTEMS INC</t>
  </si>
  <si>
    <t>FLAMAGLO FOODS LIMITED</t>
  </si>
  <si>
    <t>WINDSOR DETROIT BORDERLINK LIMITED</t>
  </si>
  <si>
    <t>RIMER ALCO NORTH AMERICA INC.</t>
  </si>
  <si>
    <t>HALLIBURTON SWISS HOLDINGS GMBH</t>
  </si>
  <si>
    <t>MARCHANDS DES AMERIQUES INC.</t>
  </si>
  <si>
    <t>TOPRE AUTOPARTS MEXICO SA DE CV</t>
  </si>
  <si>
    <t>LANDSBANKINN HF</t>
  </si>
  <si>
    <t>THE VILLAGE LOFTS LTD</t>
  </si>
  <si>
    <t>NBI PREFERRED EQUITY INCOME FUND</t>
  </si>
  <si>
    <t>KS SP LIMITED PARTNERSHIP</t>
  </si>
  <si>
    <t>1097454 ONTARIO LIMITED TA TELANO GROUP</t>
  </si>
  <si>
    <t>ENGENCAP S DE RL DE CV</t>
  </si>
  <si>
    <t>GIMTRAC SA DE CV</t>
  </si>
  <si>
    <t>PEASA AUTOPARTES SA DE CV</t>
  </si>
  <si>
    <t>PRODUCTOS ESPECIALIZADOS DE ACERO SA DE CV</t>
  </si>
  <si>
    <t>INTERNATIONAL BUSINESS MACHINES CORPORATION</t>
  </si>
  <si>
    <t>SYMMETRY CANADIAN EQUITY FUND (Q GLOBAL SMALL CAP)</t>
  </si>
  <si>
    <t>KOH-I-NOOR JEWELLERS</t>
  </si>
  <si>
    <t>4026152 CANADA INC</t>
  </si>
  <si>
    <t>AB&amp;C LEASING DE MEXICO SAPI DE CV</t>
  </si>
  <si>
    <t>AB AND C LEASING DE MEXICO SAPI DE CV</t>
  </si>
  <si>
    <t>CAI MANAGERS &amp; CO, LP</t>
  </si>
  <si>
    <t>CALERIN ENERGY INC.</t>
  </si>
  <si>
    <t>948466 ALBERTA LTD O/A HQ INDUSTRIES</t>
  </si>
  <si>
    <t>9484666 ALBERTA LTD. O/A HQ INDUSTRIES</t>
  </si>
  <si>
    <t>MACKENZIE HIGH DIVERSIFICATION GLOBAL EQUITY FUND</t>
  </si>
  <si>
    <t>MACKENZIE HIGH DIVERSIFICATION EUROPEAN EQUITY FUND</t>
  </si>
  <si>
    <t>MACKENZIE HIGH DIVERSIFICATION INTERNATIONAL EQUITY FUND</t>
  </si>
  <si>
    <t>CABOT LINKS AT INVERNESS LIMITED PARTNERSHIP</t>
  </si>
  <si>
    <t>COSMETICOS TRUJILLO SA DE CV</t>
  </si>
  <si>
    <t>GLOBAL CHOICE PRODUCTS INC</t>
  </si>
  <si>
    <t>KALISCHATARRA S DE RL DE CV</t>
  </si>
  <si>
    <t>SOMRU BIOSCIENCE INC.</t>
  </si>
  <si>
    <t>TELL TRADING COMPANY LIMITED</t>
  </si>
  <si>
    <t>UNIVERSIDAD INSURGENTES HOLDINGS SAPI DE CV</t>
  </si>
  <si>
    <t>VIADIRECT IT LATAM SA DE CV</t>
  </si>
  <si>
    <t>FCA CANADA INC. ELECTED MASTER TRUST</t>
  </si>
  <si>
    <t>CONOCOPHILLIPS COMPANY</t>
  </si>
  <si>
    <t>PEBBLEBROOK HOTEL LP</t>
  </si>
  <si>
    <t>KLONDEX MIDAS OPERATIONS INC</t>
  </si>
  <si>
    <t>KARVE ENERGY INC.</t>
  </si>
  <si>
    <t>AGROPECUARIA JS SA DE CV</t>
  </si>
  <si>
    <t>MAPULAS SA DE CV</t>
  </si>
  <si>
    <t>COMERCIO AND CIA SA</t>
  </si>
  <si>
    <t>PE CIELITO LINDO SAPI DE CV</t>
  </si>
  <si>
    <t>TD ASSET MANAGEMENT 1411</t>
  </si>
  <si>
    <t>PRIMERICA ASSET BUILDER EQUITY POOL</t>
  </si>
  <si>
    <t>PRIMERICA ASSET BUILDER EQUITY POOL (CA EQUITY)</t>
  </si>
  <si>
    <t>PRIMERICA ASSET BUILDER EQUITY POOL (US EQUITY)</t>
  </si>
  <si>
    <t>LUCA SAN ANGEL SA DE CV</t>
  </si>
  <si>
    <t>TELEFONIA POR CABLE SA DE CV</t>
  </si>
  <si>
    <t>COMERCIALIZADORA Y DESARROLLADORA DEL NORTE SA DE CV</t>
  </si>
  <si>
    <t>TD ASSET MANAGEMENT 1252001</t>
  </si>
  <si>
    <t>TAXI PARA ADAPTE INC</t>
  </si>
  <si>
    <t>GREAT WISDOM BUDDHIST INSTITUTE INC.</t>
  </si>
  <si>
    <t>COMPANIA DE SEGUROS CONFUTURO S.A.</t>
  </si>
  <si>
    <t>TD ASSET MANAGEMENT 1194</t>
  </si>
  <si>
    <t>TD ASSET  MANAGEMENT 3302</t>
  </si>
  <si>
    <t>TD ASSET MANAGEMENT 1091</t>
  </si>
  <si>
    <t>TD ASSET MANAGEMENT 1107001</t>
  </si>
  <si>
    <t>TD ASSET MANAGEMENT 1157001</t>
  </si>
  <si>
    <t>TD ASSET MANAGEMENT 1157</t>
  </si>
  <si>
    <t>TD ASSET MANAGEMENT 1376002</t>
  </si>
  <si>
    <t>TD ASSET MANAGEMENT 1372001</t>
  </si>
  <si>
    <t>TD ASSET MANAGEMENT T1376</t>
  </si>
  <si>
    <t>TD ASSET MANAGEMENT 1373002</t>
  </si>
  <si>
    <t>TD ASSET MANAGEMENT T1373005</t>
  </si>
  <si>
    <t>TD ASSET MANAGEMENT 1373003</t>
  </si>
  <si>
    <t>TD ASSET MANAGEMENT T1373003</t>
  </si>
  <si>
    <t>TD ASSET MANAGEMENT 1373001</t>
  </si>
  <si>
    <t>TD ASSET MANAGEMENT T1373</t>
  </si>
  <si>
    <t>TD ASSET MANAGEMENT T1043</t>
  </si>
  <si>
    <t>TD ASSET MANAGEMENT 1550</t>
  </si>
  <si>
    <t>PROMOTORA INDUSTRIAL GIM SA DE CV</t>
  </si>
  <si>
    <t>POLAR MICRO CAP FUND</t>
  </si>
  <si>
    <t>PH&amp;N LONG CORE PLUS BOND FUND</t>
  </si>
  <si>
    <t>PHN LONG CORE PLUS BOND FUND</t>
  </si>
  <si>
    <t>AYAL CAPITAL ADVISORS FUND LP</t>
  </si>
  <si>
    <t>SCHOUTEN DAIRY FARMS INC</t>
  </si>
  <si>
    <t>CHAHAL FAMILY INVESTMENTS LTD.</t>
  </si>
  <si>
    <t>0859669 B.C. LTD</t>
  </si>
  <si>
    <t>2497618 ONTARIO LTD</t>
  </si>
  <si>
    <t>2269366 ONTARIO LIMITED</t>
  </si>
  <si>
    <t>VIAMO INC</t>
  </si>
  <si>
    <t>QUEENS UNIVERSITY POOLED INVESTMENT FUNDS</t>
  </si>
  <si>
    <t>REDWOOD OPPORTUNITY MASTER FUND LTD</t>
  </si>
  <si>
    <t>CC&amp;L Alternative Canadian Equity Fund</t>
  </si>
  <si>
    <t>CC&amp;L ALTERNATIVE CANADIAN EQUITY FUND (JPM - 9016)</t>
  </si>
  <si>
    <t>CC AND L ALTERNATIVE CANADIAN EQUITY FUND</t>
  </si>
  <si>
    <t>CC AND L ALTERNATIVE GLOBAL EQUITY FUND (JPM - 9026)</t>
  </si>
  <si>
    <t>CC AND L ALTERNATIVE GLOBAL EQUITY FUND</t>
  </si>
  <si>
    <t>CC&amp;L Alternative Global Equity Fund</t>
  </si>
  <si>
    <t>CC AND L ALTERNATIVE INCOME FUND</t>
  </si>
  <si>
    <t>CC AND L ALTERNATIVE INCOME FUND (SCOTIA)</t>
  </si>
  <si>
    <t>CC AND L ALTERNATIVE INCOME FUND (CS)</t>
  </si>
  <si>
    <t>CC&amp;L ALTERNATIVE INCOME FUND</t>
  </si>
  <si>
    <t>CC&amp;L ALTERNATIVE INCOME FUND (TD)</t>
  </si>
  <si>
    <t>CC AND L ALTERNATIVE INCOME FUND (RBC CM)</t>
  </si>
  <si>
    <t>CC AND L ALTERNATIVE INCOME FUND JPM 9034</t>
  </si>
  <si>
    <t>CC AND L ALTERNATIVE INCOME FUND (TD )(MARGIN)</t>
  </si>
  <si>
    <t>CI MOSAIC BALANCED GROWTH ETF PORTFOLIO</t>
  </si>
  <si>
    <t>CI MOSAIC BALANCED INCOME ETF PORTFOLIO</t>
  </si>
  <si>
    <t>CI MOSAIC BALANCED ETF PORTFOLIO</t>
  </si>
  <si>
    <t>FRANKLIN HIGH INCOME FUND</t>
  </si>
  <si>
    <t>CI MOSAIC INCOME ETF PORTFOLIO</t>
  </si>
  <si>
    <t>CI MOSAIC GROWTH ETF PORTFOLIO</t>
  </si>
  <si>
    <t>FINANCIAMIENTO PROGRESEMOS SA DE CV  S O F O M  E N R</t>
  </si>
  <si>
    <t>FINANCIAMIENTO PROGRESEMOS SA DE CV SOFOM ENR</t>
  </si>
  <si>
    <t>HIR CENTER SA DE CV</t>
  </si>
  <si>
    <t>KUDETA INSIGHT INC</t>
  </si>
  <si>
    <t>LOGISTICA INDUSTRIAL DE TIJUANA ESTE SA DE CV</t>
  </si>
  <si>
    <t>NISSAN EXPORTS DE MEXICO S DE RL DE CV</t>
  </si>
  <si>
    <t>R.A.M. CONTRACTING LIMITED</t>
  </si>
  <si>
    <t>SANCHEZ DEVANNY ESEVERRI SC</t>
  </si>
  <si>
    <t>9173 1612 QUEBEC INC AND COMPLEXE EINSTEIN QUEBEC S.E.C.</t>
  </si>
  <si>
    <t>2562608 ONTARIO INC</t>
  </si>
  <si>
    <t>REKETA LTD</t>
  </si>
  <si>
    <t>SEC LEMIRE</t>
  </si>
  <si>
    <t>COOKSON PRECIOUS METALS LTD</t>
  </si>
  <si>
    <t>COOKSCONHQ</t>
  </si>
  <si>
    <t>CAVELLO BAY REINSURANCE LIMITED</t>
  </si>
  <si>
    <t>SIBANYE GOLD LIMITED</t>
  </si>
  <si>
    <t>ENSTAR (EU) LIMITED</t>
  </si>
  <si>
    <t>ABRY ADVANCED SECURITIES FUND IV LP</t>
  </si>
  <si>
    <t>INMOBILIARIA SKY DE YUCATAN SA DE CV</t>
  </si>
  <si>
    <t>TOUCHSTONE EXPLORATION (TRINIDAD) LTD</t>
  </si>
  <si>
    <t>DUNLOGON FARMS LTD</t>
  </si>
  <si>
    <t>ALIO GOLD INC.</t>
  </si>
  <si>
    <t>BAT INTERNATIONAL FINANCE PLC GROUP</t>
  </si>
  <si>
    <t>BAT INTERNATIONAL FINANCE PLC</t>
  </si>
  <si>
    <t>WARATAH ONE X LIMITED PARTNERSHIP</t>
  </si>
  <si>
    <t>CONTOURGLOBAL POWER HOLDINGS S.A.</t>
  </si>
  <si>
    <t>GARDE INTERNATIONAL PORTFOLIO FUND SPC - GARDE I SP</t>
  </si>
  <si>
    <t>OCDR HOLDINGS INC</t>
  </si>
  <si>
    <t>1075580 BC LTD</t>
  </si>
  <si>
    <t>APOYO ECONOMICO FAMILIAR SA DE CV SOFOM ENR</t>
  </si>
  <si>
    <t>FINANCIERA INDEPENDENCIA SAB DE CV SOFOM ENR</t>
  </si>
  <si>
    <t>GRUPO TERTON SA DE CV</t>
  </si>
  <si>
    <t>PLATEAUX CORESAFE CORE INC.</t>
  </si>
  <si>
    <t>POSSEHL SA DE CV</t>
  </si>
  <si>
    <t>THE STATE ADMINISTRATION OF FOREIGN EXCHANGE</t>
  </si>
  <si>
    <t>MADERAS Y PLASTICOS SA DE CV</t>
  </si>
  <si>
    <t>UNS_MXNCSA</t>
  </si>
  <si>
    <t>Man Funds VI plc - Man GLG Credit Multi-Strategy Alternative</t>
  </si>
  <si>
    <t>Man Funds VI plc - Man GLG High Yield Opportunities</t>
  </si>
  <si>
    <t>EMKAY CANADA LEASING CORPORATION</t>
  </si>
  <si>
    <t>EMKAY CANADA LEASING CORP</t>
  </si>
  <si>
    <t>2793377 CANADA INC</t>
  </si>
  <si>
    <t>MACKENZIE GLOBAL GROWTH BALANCED FUND</t>
  </si>
  <si>
    <t>ENERCAPITA ENERGY LTD.</t>
  </si>
  <si>
    <t>956216 ONTARIO INC O A VOS CONTRACTING</t>
  </si>
  <si>
    <t>LA CIMA</t>
  </si>
  <si>
    <t>PUERTA BAJIO</t>
  </si>
  <si>
    <t>MATERION ADVANCED MATERIALS TECHNOLOGIES AND SERVICES INC.</t>
  </si>
  <si>
    <t>KENMARE HOLDINGS LTD</t>
  </si>
  <si>
    <t>GUARDIAN STEADYPACE EQUITY FUND</t>
  </si>
  <si>
    <t>GUARDIAN STEADYFLOW EQUITY FUND</t>
  </si>
  <si>
    <t>GUARDIAN RISK MANAGED CONSERVATIVE PORTFOLIO</t>
  </si>
  <si>
    <t>TE CONNECTIVITY SOLUTIONS GMBH</t>
  </si>
  <si>
    <t>TYCO ELECTRONICS LOGISTICS</t>
  </si>
  <si>
    <t>WESTERN CANADIAN TIMBER PRODUCTS LTD</t>
  </si>
  <si>
    <t>DORMAN TIMBER LTD</t>
  </si>
  <si>
    <t>TAMIHI LOGGING CO LTD</t>
  </si>
  <si>
    <t>HALIFAX REGIONAL WATER COMMISION</t>
  </si>
  <si>
    <t>HANDY ANDY MAINTENANCE LTD</t>
  </si>
  <si>
    <t>LOS CUES INMOBILIARIA SA DE CV</t>
  </si>
  <si>
    <t>ORANGE TRANSPORT SA DE CV</t>
  </si>
  <si>
    <t>PRODUCTOS METALICOS STEELE SA DE CV</t>
  </si>
  <si>
    <t>GLAZER EM ARBITRAGE MASTER FUND LP - CDEA</t>
  </si>
  <si>
    <t>NESTLE PERU SA</t>
  </si>
  <si>
    <t>UNIVERSAL MOULDING LTD</t>
  </si>
  <si>
    <t>GCT AGROPECUARIA Y GANADERA SPR DE RL</t>
  </si>
  <si>
    <t>MILLENNIUM INTERNATIONAL MANAGEMENT LP - VCON_BLOCK_MLP_ETRADING</t>
  </si>
  <si>
    <t>PHN LIFETIME 2055 FUND</t>
  </si>
  <si>
    <t>THOMVEST ASSET MANAGEMENT INC</t>
  </si>
  <si>
    <t>2503106 ONTARIO INC</t>
  </si>
  <si>
    <t>GEOFF STIRLING ESTATE</t>
  </si>
  <si>
    <t>COMPANIA DE SEGUROS DE VIDA CONSORCIO NACIONAL DE SEGUROS S.A.</t>
  </si>
  <si>
    <t>CAMPOS AGRICOLAS UNIDOS POR LA COLONIA BUENA VISTA SPR DE RL</t>
  </si>
  <si>
    <t>DISTRIBUIDORA DE PRODUCTOS PLASTIGLAS SA DE CV</t>
  </si>
  <si>
    <t>GRUPO AGROPECUARIO BUDA S SPR DE RL DE CV</t>
  </si>
  <si>
    <t>GRUPO CAPISTRANO ALIMENTARI SA DE CV</t>
  </si>
  <si>
    <t>GRUPO VIA DELPHI SA DE CV</t>
  </si>
  <si>
    <t>INDUSTRIAL VALLERA DE MEXICALI SA DE CV</t>
  </si>
  <si>
    <t>IVEMSA ADMINISTRADORA DE SERVICIOS SA DE CV</t>
  </si>
  <si>
    <t>IVEMSA SA DE CV</t>
  </si>
  <si>
    <t>NADIM HAIDAR  MEDICINE PROFESSIONAL CORP</t>
  </si>
  <si>
    <t>OPERADORA XUNA SA DE CV</t>
  </si>
  <si>
    <t>PLASTIGLAS DE MEXICO SA DE CV</t>
  </si>
  <si>
    <t>PRO EX TRANSPORT SYSTEMS LTD</t>
  </si>
  <si>
    <t>GWL EQUITY GROWTH FUND 9.12M</t>
  </si>
  <si>
    <t>THAMES WATER UTILITIES LIMITED</t>
  </si>
  <si>
    <t>EQUIPSA REFRIGERACION NORESTE  S DE R L DE CV</t>
  </si>
  <si>
    <t>WARRA</t>
  </si>
  <si>
    <t>NEXA RESOURCES UK LIMITED</t>
  </si>
  <si>
    <t>COMERCIAL NOGALERA S DE RL DE CV</t>
  </si>
  <si>
    <t>TOTAL CAPITAL SA</t>
  </si>
  <si>
    <t>GEROLINE INC</t>
  </si>
  <si>
    <t>COMPANIA DE SEGUROS CORPSEGUROS S.A.</t>
  </si>
  <si>
    <t>COMPANIA DE SEGUROS CORPSEGUROS S A</t>
  </si>
  <si>
    <t>COMPANIA DE SEGUROS CORPSEGUROS S.A</t>
  </si>
  <si>
    <t>MAGRIS RESOURCES INC</t>
  </si>
  <si>
    <t>PREMISE LED INC</t>
  </si>
  <si>
    <t>TDAM USA INC. (AS AGENT)</t>
  </si>
  <si>
    <t>TD ASSET MANAGEMENT 2112001</t>
  </si>
  <si>
    <t>GA HOME AND GARDEN CENTRE LTD.</t>
  </si>
  <si>
    <t>WILLIAMS SONOMA INC</t>
  </si>
  <si>
    <t>HIGHLAND FEEDERS LIMITED</t>
  </si>
  <si>
    <t>NATIONAL BANK OF THE REPUBLIC OF BELARUS</t>
  </si>
  <si>
    <t>NARILA INVESTMENTS LTD</t>
  </si>
  <si>
    <t>CCBI Global Markets (UK) Limited</t>
  </si>
  <si>
    <t>SOLVAY SA</t>
  </si>
  <si>
    <t>9908951 CANADA INC.</t>
  </si>
  <si>
    <t>AGRICULTURA NACIONAL SA DE CV</t>
  </si>
  <si>
    <t>BROPAK INC.</t>
  </si>
  <si>
    <t>CONTROLADORA DE TERMINALES MEXICO SA DE CV</t>
  </si>
  <si>
    <t>COX AND PALMER NB LIMITED PARTNERSHIP</t>
  </si>
  <si>
    <t>EDUARDO TRICIO HARO</t>
  </si>
  <si>
    <t>FRATERNIDAD DE LUZ Y ESPERANZA AC</t>
  </si>
  <si>
    <t>MANUBIA INVESTMENTS INC</t>
  </si>
  <si>
    <t>MANUFACTURA INTERNACIONAL ATB S DE RL DE CV</t>
  </si>
  <si>
    <t>PEASGOOD HOLDINGS INC</t>
  </si>
  <si>
    <t>PROCESADORA LA NOGALERA SA DE CV</t>
  </si>
  <si>
    <t>PUROS CUATES SA DE CV</t>
  </si>
  <si>
    <t>SEALAND AVIATION LTD.</t>
  </si>
  <si>
    <t>HONEYWELL INTERNATIONAL INC</t>
  </si>
  <si>
    <t>WORLD DRIVE CENTRE INC</t>
  </si>
  <si>
    <t>COMBUSTION TECHNOLOGIES INC.</t>
  </si>
  <si>
    <t>EL ENCANTO AGROPECUARIA SA DE CV</t>
  </si>
  <si>
    <t>CARNES SELECTAS EL ENCANTO SA DE CV</t>
  </si>
  <si>
    <t>JAMES MCMANES HOLDINGS LTD.</t>
  </si>
  <si>
    <t>PRINS GREENHOUSES LTD.</t>
  </si>
  <si>
    <t>PRINS GREENHOUSES LTD</t>
  </si>
  <si>
    <t>ATB UNIVALT CONSERVATIVE</t>
  </si>
  <si>
    <t>ATB COMPASS CONSERVATIVE PORTFOLIO</t>
  </si>
  <si>
    <t>9271 1738 QUEBEC INC</t>
  </si>
  <si>
    <t>DISCOVERY FORD SALES LTD</t>
  </si>
  <si>
    <t>ATB COMPASS CONSERVATIVE BALANCED PORTFOLIO</t>
  </si>
  <si>
    <t>ATB - UNIVALT CONSERVATIVE BALANCED</t>
  </si>
  <si>
    <t>JOCELYN QUINTON  PHARMACIEN INC</t>
  </si>
  <si>
    <t>SMARTCENTRES REAL ESTATE INVESTMENT TRUST</t>
  </si>
  <si>
    <t>LAKE SHORE GOLD CORP</t>
  </si>
  <si>
    <t>ATB - UNIVALT BALANCED GROWTH</t>
  </si>
  <si>
    <t>OCEANVIEW FARM</t>
  </si>
  <si>
    <t>FLEETCOR TECHNOLOGIES OPERATING COMPANY LLC</t>
  </si>
  <si>
    <t>GALERIAS PLAYACAR S DE RL DE CV</t>
  </si>
  <si>
    <t>OST TECHNOLOGIES LTD.</t>
  </si>
  <si>
    <t>KRUGER INC. MASTER TRUST</t>
  </si>
  <si>
    <t>BROADCOM INC</t>
  </si>
  <si>
    <t>BYSTROM FARMS LTD</t>
  </si>
  <si>
    <t>ARKTE S DE RL DE CV</t>
  </si>
  <si>
    <t>ASESORIA EN MULTIFAMILIARES SC</t>
  </si>
  <si>
    <t>BI QEM SA DE CV</t>
  </si>
  <si>
    <t>MOLINERA DEL VALLE SA DE CV</t>
  </si>
  <si>
    <t>MOLINO HARINERO EL ROSAL SA DE CV</t>
  </si>
  <si>
    <t>REGEN COMPOSITES INTERNATIONAL CORP</t>
  </si>
  <si>
    <t>ROCO HOLDINGS SA DE CV</t>
  </si>
  <si>
    <t>GREEN SOLUTIONS INDUSTRIES INTERNATIONAL LTD.</t>
  </si>
  <si>
    <t>RBC QUBE MARKET NEUTRAL WORLD EQUITY FUND</t>
  </si>
  <si>
    <t>BOOTHBAY ABSOLUTE RETURN STRATEGIES LP</t>
  </si>
  <si>
    <t>DISTRIBUIDORA GRUPAR SA DE CV</t>
  </si>
  <si>
    <t>EXPOR SAN ANTONIO SA DE CV</t>
  </si>
  <si>
    <t>FB CAPITAL SAPI DE CV</t>
  </si>
  <si>
    <t>INDUSTRIAS SAN BERNARDINO SA DE CV</t>
  </si>
  <si>
    <t>INDUSTRIAS SOLA BASIC SA DE CV</t>
  </si>
  <si>
    <t>REGEN-COMPOSITES CORP</t>
  </si>
  <si>
    <t>TERRA WEALTH TRADER SA DE CV</t>
  </si>
  <si>
    <t>ALBA TOOLING Y ENGINEERING S DE RL DE CV</t>
  </si>
  <si>
    <t>ARMANDO DE JESUS  PALMA VARGAS</t>
  </si>
  <si>
    <t>CANADIAN PROPELLER LTD</t>
  </si>
  <si>
    <t>INGENIERIA SIGMA SA</t>
  </si>
  <si>
    <t>LUCOSTA INVESTMENTS INC.</t>
  </si>
  <si>
    <t>MACU FRESCOS SPR DE RL DE CV</t>
  </si>
  <si>
    <t>PESORAMA INC</t>
  </si>
  <si>
    <t>SISTEMA UNICO DE AUTOFINANCIAMIENTO SA DE CV</t>
  </si>
  <si>
    <t>SWEQUIPOS SA DE CV</t>
  </si>
  <si>
    <t>ECHOWORX CORPORATION</t>
  </si>
  <si>
    <t>PRIME SECURITY SERVICES BORROWER LL</t>
  </si>
  <si>
    <t>ALGODONERA EL AGATE SPR DE RL DE CV</t>
  </si>
  <si>
    <t>POLAR MICRO CAP FUND II</t>
  </si>
  <si>
    <t>BEADELL BRASIL LTDA</t>
  </si>
  <si>
    <t>MERCANTIL DE ALIMENTOS DEL MAR SA DE CV</t>
  </si>
  <si>
    <t>ALEJANDRO BAILLE CALDERON</t>
  </si>
  <si>
    <t>ALMACENADORA ACCEL SA</t>
  </si>
  <si>
    <t>JINZE (CANADA) CO LTD</t>
  </si>
  <si>
    <t>PR AQUA LLC</t>
  </si>
  <si>
    <t>ENSIGN DRILLING INC</t>
  </si>
  <si>
    <t>CIRRUS HOLDINGS LTD</t>
  </si>
  <si>
    <t>1131484 B.C. UNLIMITED LIABILITY COMPANY</t>
  </si>
  <si>
    <t>ACCEL COMERCIAL SA DE CV</t>
  </si>
  <si>
    <t>ACCEL DISTRIBUCION SA DE CV</t>
  </si>
  <si>
    <t>CENTRAL TRUCK BODY CO LTD</t>
  </si>
  <si>
    <t>COLIMAN FRUTAS FINAS S DE RL DE CV</t>
  </si>
  <si>
    <t>HYDRONOV LLC</t>
  </si>
  <si>
    <t>MONTE XANIC S DE RL DE CV</t>
  </si>
  <si>
    <t>NAVI LUX SA DE CV</t>
  </si>
  <si>
    <t>9048-9378 QUEBEC INC</t>
  </si>
  <si>
    <t>PHARMACIE CATHERINE BERGERON-LEGROS INC</t>
  </si>
  <si>
    <t>PHILLIPS 66 COMPANY</t>
  </si>
  <si>
    <t>ANDAMIOS ATLAS SA DE CV</t>
  </si>
  <si>
    <t>BEAVER PLASTICS LTD</t>
  </si>
  <si>
    <t>CONFRUTTA SA</t>
  </si>
  <si>
    <t>VALLE REDONDO SA DE CV</t>
  </si>
  <si>
    <t>WESTBORO PROPERTIES INC</t>
  </si>
  <si>
    <t>BARCLAYS BANK UK PLC CDEA</t>
  </si>
  <si>
    <t>BARCLAYS BANK UK PLC</t>
  </si>
  <si>
    <t>STAR PRODUCE LTD</t>
  </si>
  <si>
    <t>PRODUCTOS CIENTIFICOS SA DE CV</t>
  </si>
  <si>
    <t>WESTHILL INSTITUTE SC</t>
  </si>
  <si>
    <t>AUTOHAUS HOLDING INC</t>
  </si>
  <si>
    <t>IMPULSORA DE PROYECTOS NAFTA SAPI DE CV</t>
  </si>
  <si>
    <t>MANUEL MARTIN  CALCANEO GUTIERREZ</t>
  </si>
  <si>
    <t>VOLTRAK ENERGIA SA DE CV</t>
  </si>
  <si>
    <t>BOTANAS Y DERIVADOS SA DE CV</t>
  </si>
  <si>
    <t>K AND E MCNALLY FARMS LTD</t>
  </si>
  <si>
    <t>MTB TRANSIT SOLUTIONS INC</t>
  </si>
  <si>
    <t>CFP CONSOLIDATED FRUIT PACKERS LTD</t>
  </si>
  <si>
    <t>STINGRAY DIGITAL GROUP INC</t>
  </si>
  <si>
    <t>STINGRAY GROUP INC</t>
  </si>
  <si>
    <t>MURPHY CANADA LTD.</t>
  </si>
  <si>
    <t>MURPHY CANADA LIMITED</t>
  </si>
  <si>
    <t>ASA SERVICIOS ESPECIALIZADOS SA DE CV</t>
  </si>
  <si>
    <t>CIERRES Y ACCESORIOS BBJ SA DE CV</t>
  </si>
  <si>
    <t>GRANJA EL VOLANTIN SPR DE RL DE CV</t>
  </si>
  <si>
    <t>ROCK DRILL MINING SA DE CV</t>
  </si>
  <si>
    <t>SURTIDORA PAPACHAL SA DE CV</t>
  </si>
  <si>
    <t>EISA TRADING INC.</t>
  </si>
  <si>
    <t>LENK MANAGEMENT INC. T A RESOURCE GROUP CANADA</t>
  </si>
  <si>
    <t>NWT ENERGY CORPORATION (03) LTD</t>
  </si>
  <si>
    <t>CHESAPEAKE FUNDING II LLC</t>
  </si>
  <si>
    <t>THE TIRE DISCOUNTER GROUP INC</t>
  </si>
  <si>
    <t>TIRE DISCOUNTER GROUP INC</t>
  </si>
  <si>
    <t>CREDITO REAL SAB DE CV SOFOM ENR</t>
  </si>
  <si>
    <t>HAMMOND POWER SOLUTIONS SA DE CV</t>
  </si>
  <si>
    <t>Silicon Works Co., Ltd.</t>
  </si>
  <si>
    <t>MACKENZIE CREDIT ABSOLUTE RETURN FUND</t>
  </si>
  <si>
    <t>MACKENZIE CREDIT ABSOLUTE RETURN FUND- SLEEVE 596011</t>
  </si>
  <si>
    <t>MACKENZIE CREDIT ABSOLUTE RETURN FUND - SLEEVE 596021</t>
  </si>
  <si>
    <t>MACKENZIE GLOBAL LONG-SHORT EQUITY ALPHA FUND</t>
  </si>
  <si>
    <t>POLAR ASSET MANAGEMENT PARTNERS INC.</t>
  </si>
  <si>
    <t>POLAR ASSET MANAGEMENT PARTNERS INC</t>
  </si>
  <si>
    <t>AMADRI CHRISLEA INVESTMENTS INC</t>
  </si>
  <si>
    <t>AMADRI ROYTEC INVESTMENTS INC</t>
  </si>
  <si>
    <t>FRONTIER FARMS LTD</t>
  </si>
  <si>
    <t>VISION ALTERNATIVE INCOME FUND</t>
  </si>
  <si>
    <t>NAVES INDUSTRIALES DEL COLORADO SA DE CV</t>
  </si>
  <si>
    <t>SUMINISTROS DE MAIZ DEL MAYAB SA DE CV</t>
  </si>
  <si>
    <t>EXPERIENCIAS XCARET WEB SAPI DE CV</t>
  </si>
  <si>
    <t>SERVICIOS &amp; SOLUCIONES ELECTROMECANICOS SA DE CV</t>
  </si>
  <si>
    <t>BRIAN F DUNLOP</t>
  </si>
  <si>
    <t>MARCUS SLUYS</t>
  </si>
  <si>
    <t>ALOYSIUS JC AND ANTONIA KUIPERS</t>
  </si>
  <si>
    <t>ALOYSIUS JC KUIPERS</t>
  </si>
  <si>
    <t>GLASS ONION COMPANY</t>
  </si>
  <si>
    <t>CANPAD INC.</t>
  </si>
  <si>
    <t>GRUPO TISSUE DE MEXICO S DE RL DE CV</t>
  </si>
  <si>
    <t>PETRONAS CHEMICALS MTBE SDN BHD</t>
  </si>
  <si>
    <t>CANADIAN TARPAULIN MANUFACTURERS LTD.</t>
  </si>
  <si>
    <t>CHEMICAL &amp; SCHUTZ HIGH PERFORMANCE LUBRICANTS SA DE CV</t>
  </si>
  <si>
    <t>GL PLASTICOS Y EMPAQUES SA DE CV</t>
  </si>
  <si>
    <t>MTRANSCARGA SA DE CV</t>
  </si>
  <si>
    <t>SISTEMAS DE RIEGO CUAUHTEMOC SPR DE RL DE CV</t>
  </si>
  <si>
    <t>BRUNEI GOVT - RETIREMENT FUND</t>
  </si>
  <si>
    <t>BRUNEI GOVT - FISCAL STAB RESV FUND</t>
  </si>
  <si>
    <t>BRUNEI GOVT - STRA DEV CAP FUND</t>
  </si>
  <si>
    <t>DECISIVE DIVIDEND CORPORATION</t>
  </si>
  <si>
    <t>VENATOR OFFSHORE FUND INC (FKA VENATOR PARTNERS MASTER)</t>
  </si>
  <si>
    <t>CHABAD ON THE AVENUE</t>
  </si>
  <si>
    <t>2665904 ONTARIO INC</t>
  </si>
  <si>
    <t>DISRUPTION VENTURES I LIMITED PARTNERSHIP</t>
  </si>
  <si>
    <t>GRUPO NAVIERO PENINSULAR SA DE CV</t>
  </si>
  <si>
    <t>INDUSTRIALIZADORA DE C¿RNICOS STRATTEGA SA DE CV</t>
  </si>
  <si>
    <t>INMOBILIARIA Y DESARROLLADORA ENCASA SA DE CV</t>
  </si>
  <si>
    <t>JOSE ANTONIO TRICIO HARO</t>
  </si>
  <si>
    <t>1904812 ONTARIO LIMITED</t>
  </si>
  <si>
    <t>UNITED NATIONS JOINT STAFF PENSION FUND</t>
  </si>
  <si>
    <t>INMOBILIARIA KARMAR SA DE CV</t>
  </si>
  <si>
    <t>KINGSDALE PARTNERS LP</t>
  </si>
  <si>
    <t>MANUFACTURERA GISA SA DE CV</t>
  </si>
  <si>
    <t>CC&amp;L EQUITY INCOME AND GROWTH FUND</t>
  </si>
  <si>
    <t>MERCURY LAUNCH AND TUG LTD</t>
  </si>
  <si>
    <t>CELESTICA IRELAND LIMITED</t>
  </si>
  <si>
    <t>ATTAR METALS INC</t>
  </si>
  <si>
    <t>WILLIAMS SONOMA CANADA INC</t>
  </si>
  <si>
    <t>2231188 ONTARIO INC. O A STOUFVILLE AUTO SALES</t>
  </si>
  <si>
    <t>6413952 MANITOBA LTD O A CENTERLINE EQUIPMENT</t>
  </si>
  <si>
    <t>BEPENSA SA DE CV</t>
  </si>
  <si>
    <t>BRONCOLIN SA DE CV</t>
  </si>
  <si>
    <t>FAMO ALIMENTOS SA DE CV</t>
  </si>
  <si>
    <t>KSS HOLDCO INC</t>
  </si>
  <si>
    <t>MEGA EMPACK SA DE CV</t>
  </si>
  <si>
    <t>TEJIDOS DEL BAJIO SA DE CV</t>
  </si>
  <si>
    <t>NEWHAVEN SERVICES LIMITED</t>
  </si>
  <si>
    <t>FASKEN MARTINEAU DUMOULIN LLP</t>
  </si>
  <si>
    <t>CAFETAL DOS DE BELEN S.A</t>
  </si>
  <si>
    <t>BECERRIL REFRIGERACION SA DE CV</t>
  </si>
  <si>
    <t>INMOBILIARIA PATCH SA DE CV</t>
  </si>
  <si>
    <t>MEDICAL DIMEGAR SA DE CV</t>
  </si>
  <si>
    <t>METAPLUS SA DE CV</t>
  </si>
  <si>
    <t>LOOMIS INTERNATIONAL (US) INC.</t>
  </si>
  <si>
    <t>GSM MINING COMPANY PTY LTD</t>
  </si>
  <si>
    <t>AFORE SURA SA DE CV</t>
  </si>
  <si>
    <t>ALAN DE AGUASCALIENTES SA DE CV</t>
  </si>
  <si>
    <t>SUMINISTRO TRANSAMERICANO DE REFACCIONES SA DE CV</t>
  </si>
  <si>
    <t>2602203  ONTARIO INC</t>
  </si>
  <si>
    <t>GRANULE 777 INC</t>
  </si>
  <si>
    <t>EMPACADORA CAMPO FRIO SA DE CV</t>
  </si>
  <si>
    <t>CEDARBRINK HOLDINGS LTD</t>
  </si>
  <si>
    <t>AUTOMAXX AUTOMOTIVE SALES LTD.</t>
  </si>
  <si>
    <t>FERREMATERIALES Y ACEROS ENNS SA DE CV</t>
  </si>
  <si>
    <t>GRUPO INMOBILIARIO MARISCAL MEDINA SA DE CV</t>
  </si>
  <si>
    <t>CHIYU BANKING CORPORATION LIMITED</t>
  </si>
  <si>
    <t>CASFIELD INC</t>
  </si>
  <si>
    <t>AVENUE CREDIT OPPORTUNITIES FUND 1-A L.P.</t>
  </si>
  <si>
    <t>TD ASSET  MANAGEMENT 2340</t>
  </si>
  <si>
    <t>FOUR POINT SOLUTIONS LTD</t>
  </si>
  <si>
    <t>INMOBILIARIA HOTELERA BLANCARTE SA DE CV</t>
  </si>
  <si>
    <t>MANHATTAN SKMX S DE RL DE CV</t>
  </si>
  <si>
    <t>OPERADORA HOTELERA RAYMA SA DE CV</t>
  </si>
  <si>
    <t>PRODUCTORES ALGODONEROS DE MEXICALI SA DE CV</t>
  </si>
  <si>
    <t>THE UNIFORM GROUP INC.</t>
  </si>
  <si>
    <t>HYUNDAI CAPITAL CANADA INC</t>
  </si>
  <si>
    <t>GUARDIAN EMERGING MARKETS EQUITY FUND</t>
  </si>
  <si>
    <t>BMO CONCENTRATED GLOBAL EQUITY FUND</t>
  </si>
  <si>
    <t>INSTITUT DE MEDECINE SPECIALISEE DE LAVAL (IMSL) INC</t>
  </si>
  <si>
    <t>FABRICANTE Y COMERCIALIZADORA BETA SA DE CV</t>
  </si>
  <si>
    <t>A AND D PRECISION MACHINING INC.</t>
  </si>
  <si>
    <t>KAMPMANN HEATING, COOLING, VENTILATION LTD</t>
  </si>
  <si>
    <t>KELLAS GROUP FINANCE LTD</t>
  </si>
  <si>
    <t>LANGTON PROPERTIES LTD</t>
  </si>
  <si>
    <t>ASI HIGH STREET LIMITED PARTNERSHIP</t>
  </si>
  <si>
    <t>TIM DEL MAYAB SA DE CV</t>
  </si>
  <si>
    <t>BANK OF AMERICA NA SYDNEY (AUSTRALIA)</t>
  </si>
  <si>
    <t>HEADWATERS HOLDINGS, LLC.</t>
  </si>
  <si>
    <t>ANDY METROPOLITAIN INC</t>
  </si>
  <si>
    <t>WATERLOO INNOVATION NETWORK 460 INC.</t>
  </si>
  <si>
    <t>DESARROLLO E INVESTIGACION SA DE CV</t>
  </si>
  <si>
    <t>UNIVERSIDAD AUTONOMA DE CAMPECHE</t>
  </si>
  <si>
    <t>VALE SWITZERLAND S.A.</t>
  </si>
  <si>
    <t>LEGAL MANAGEMENT (PEI) INC</t>
  </si>
  <si>
    <t>MT REAL ESTATE HOLDINGS INC</t>
  </si>
  <si>
    <t>KAMAKI CONTRACTING SERVICES LTD</t>
  </si>
  <si>
    <t>JL HOLDINGS INC</t>
  </si>
  <si>
    <t>DUNLOGON LAND CORP</t>
  </si>
  <si>
    <t>PORT LAJORD TERMINAL CORP</t>
  </si>
  <si>
    <t>TWENTY SEVEN CARLTON MANAGEMENT LTD</t>
  </si>
  <si>
    <t>DINSURA SAC</t>
  </si>
  <si>
    <t>MERCADER FINANCIAL SA SOFOM ER</t>
  </si>
  <si>
    <t>SPORTSWORLD CROSSING INC</t>
  </si>
  <si>
    <t>THE ASSOCIATION OF PROFESSIONAL ENG</t>
  </si>
  <si>
    <t>THE ASSOCIATION OF PROFESSIONAL ENGINEERS OF ONTARIO</t>
  </si>
  <si>
    <t>MACDUFF SHELLFISH (SCOTLAND) LIMITED</t>
  </si>
  <si>
    <t>SSGA LDI LEVERAGED UK REAL RATE SWAP 2025 FUND</t>
  </si>
  <si>
    <t>NBI ACTIVE CANADIAN PREFERRED SHARES ETF</t>
  </si>
  <si>
    <t>ESPAMEX DISTRIBUCIONES Y REPRESENTACIONES SA DE CV</t>
  </si>
  <si>
    <t>ICR SA DE CV</t>
  </si>
  <si>
    <t>MAYA MOTRIZ SA DE CV</t>
  </si>
  <si>
    <t>OCEAN CONTRACTORS LIMITED</t>
  </si>
  <si>
    <t>SERVICIOS DE INGENIERIA EN MEDICINA SA DE CV</t>
  </si>
  <si>
    <t>TECNICENTRO ROYAL SA DE CV</t>
  </si>
  <si>
    <t>ETSA UTILITIES FINANCE PTY LTD</t>
  </si>
  <si>
    <t>MGKD MEDICAL LTD</t>
  </si>
  <si>
    <t>CPH COGEN INC</t>
  </si>
  <si>
    <t>GOLFO MOTRIZ SA DE CV</t>
  </si>
  <si>
    <t>PROVINCIAL PAVING LIMITED</t>
  </si>
  <si>
    <t>INTERNATIONAL GREENHOUSE PRODUCE SA DE CV</t>
  </si>
  <si>
    <t>VINOPLASTIC INYECCION SA DE CV</t>
  </si>
  <si>
    <t>GRAN COLOMBIA GOLD CORP</t>
  </si>
  <si>
    <t>BECTON DICKINSON AND COMPANY</t>
  </si>
  <si>
    <t>BECTON, DICKINSON AND COMPANY</t>
  </si>
  <si>
    <t>AVM L.P.</t>
  </si>
  <si>
    <t>EMBUTIDOS CORONA SA DE CV</t>
  </si>
  <si>
    <t>DIZZAINS MUEBLES S DE RL DE CV</t>
  </si>
  <si>
    <t>VALJER HOLDINGS INC</t>
  </si>
  <si>
    <t>EUROAMERICA SEGUROS DE VIDA S.A.</t>
  </si>
  <si>
    <t>BSIP FINCO LIMITED</t>
  </si>
  <si>
    <t>JOHN HANCOCK STRATEGIC FIXED INCOME OPPORTUNITIES TRUST SUB ACCOUNT 1</t>
  </si>
  <si>
    <t>JOHN HANCOCK STRATEGIC FIXED INCOME OPPORTUNITIES TRUST SUB ACCOUNT 2</t>
  </si>
  <si>
    <t>JOHN HANCOCK STRATEGIC FIXED INCOME OPPORTUNITIES TRUST</t>
  </si>
  <si>
    <t>ICON ELITE GROUP INC</t>
  </si>
  <si>
    <t>INTER ESPACIOS COMERCIALIZADORA SA DE CV</t>
  </si>
  <si>
    <t>RPK MEXICO SA DE CV</t>
  </si>
  <si>
    <t>BACKBONE HOSTING SOLUTIONS INC</t>
  </si>
  <si>
    <t>MINOTAUR CRANE SAPI DE CV</t>
  </si>
  <si>
    <t>PEGASO PCS SA DE CV</t>
  </si>
  <si>
    <t>H &amp; COMPANY DE MEXICO S DE RL DE CV</t>
  </si>
  <si>
    <t>GRANJAS OJAI SA DE CV</t>
  </si>
  <si>
    <t>MULTI HVAC INC.</t>
  </si>
  <si>
    <t>WOLF ASSET MANAGEMENT ULC</t>
  </si>
  <si>
    <t>9011-6047  QUEBEC INC</t>
  </si>
  <si>
    <t>LLB ANGUS FARM LTD</t>
  </si>
  <si>
    <t>DHANDA VENTURES INC</t>
  </si>
  <si>
    <t>1031069 BC LTD</t>
  </si>
  <si>
    <t>DYNAMIC REAL ESTATE &amp; INFRASTRUCTURE INCOME II FUND</t>
  </si>
  <si>
    <t>DYNAMIC REAL ESTATE &amp; INFRASTRUCTURE INCOME II HEDGING FUND</t>
  </si>
  <si>
    <t>GIBSON ENERGY INFRASTRUCTURE PARTNERSHIP</t>
  </si>
  <si>
    <t>HANON SYSTEMS EFP CANADA LTD. - (CONCORD MANUFACTURING ACCOUNTS)</t>
  </si>
  <si>
    <t>HANON SYSTEMS EFP CANADA LTD. - (CONCORD ENGINEERING ACCOUNTS)</t>
  </si>
  <si>
    <t>RBC U.S. INDEX FUND</t>
  </si>
  <si>
    <t>9247-0236 QUEBEC INC</t>
  </si>
  <si>
    <t>COLIMAN FRESH PRODUCE SA DE CV</t>
  </si>
  <si>
    <t>CORPORACION DE RADIO Y TELEVISION DEL NORTE DE MEXICO S DE RL DE CV</t>
  </si>
  <si>
    <t>UPC SWITZERLAND HOLDING BV</t>
  </si>
  <si>
    <t>UPC CHAT HOLDING BV</t>
  </si>
  <si>
    <t>AIRBUS GROUP SE</t>
  </si>
  <si>
    <t>AIRBUS GROUP S.E.</t>
  </si>
  <si>
    <t>AIRBUS GROUP S.E. (FKA AIRBUS GROUP NV)</t>
  </si>
  <si>
    <t>UNIFOR CANADIAN CORE FIXED INCOME PORTFOLIO</t>
  </si>
  <si>
    <t>BROWN LEE &amp; LAURA</t>
  </si>
  <si>
    <t>FIRST NATIONS FINANCE AUTHORITY</t>
  </si>
  <si>
    <t>LUMITECH INC</t>
  </si>
  <si>
    <t>MANCERA SC</t>
  </si>
  <si>
    <t>METABOLIK TECHNOLOGIES INC</t>
  </si>
  <si>
    <t>MODU LOC FENCE RENTALS LP</t>
  </si>
  <si>
    <t>RODAMIENTOS Y ACCESORIOS SA DE CV</t>
  </si>
  <si>
    <t>TIENDAS DE AUTOSERVICIO DEL NORTE SA DE CV</t>
  </si>
  <si>
    <t>SOHO COMMERCIAL CENTRE INC</t>
  </si>
  <si>
    <t>TERRA PINE VALLEY CORPORATION</t>
  </si>
  <si>
    <t>ACTIVE LEASING SA DE CV</t>
  </si>
  <si>
    <t>ARRENDADORA Y SOLUCIONES DE NEGOCIOS S A P I DE CV S O FO M E N R</t>
  </si>
  <si>
    <t>ARRENDAMIENTO Y SOLUCIONES EN ACTIVOS S A P I DE C V</t>
  </si>
  <si>
    <t>AUTO TODO MEXICANA SA DE CV</t>
  </si>
  <si>
    <t>SOUTH TRAIL CHRYSLER LTD.</t>
  </si>
  <si>
    <t>MILLENNIUM CMM LTD</t>
  </si>
  <si>
    <t>MILLENNIUM CMM LTD - CDEA</t>
  </si>
  <si>
    <t>UNIRENTA ARRENDAMIENTOS SA DE CV</t>
  </si>
  <si>
    <t>CORPORACION ZAPATA SA DE CV</t>
  </si>
  <si>
    <t>GRUPO NACIONAL PROVINCIAL SAB</t>
  </si>
  <si>
    <t>ACEROS ATSA SA DE CV</t>
  </si>
  <si>
    <t>GANADEROS ASOCIADOS DE QUERETARO SA DE CV</t>
  </si>
  <si>
    <t>IMPORTADORA COSECHA  SAPI DE CV</t>
  </si>
  <si>
    <t>KOBREX, SA DE CV</t>
  </si>
  <si>
    <t>HURON CROSSING DEVELOPMENTS INC</t>
  </si>
  <si>
    <t>VANCHAMP INC.</t>
  </si>
  <si>
    <t>TD GLOBAL TECHNOLOGY LEADERS INDEX ETF</t>
  </si>
  <si>
    <t>TD Q INTERNATIONAL LOW VOLATILITY ETF</t>
  </si>
  <si>
    <t>KGI BANK</t>
  </si>
  <si>
    <t>8906297 CANADA INC O/A FLYING COLOURS INTERNATIONAL</t>
  </si>
  <si>
    <t>SIXSIGMA NETWORKS MEXICO SA DE CV</t>
  </si>
  <si>
    <t>JARDIN ALEMAN SA DE CV</t>
  </si>
  <si>
    <t>TD ASSET MANAGEMENT T2112</t>
  </si>
  <si>
    <t>TD ACTIVE GLOBAL ENHANCED DIVIDEND ETF</t>
  </si>
  <si>
    <t>AIR BARVO CORP</t>
  </si>
  <si>
    <t>FORRAJERA DE GANADEROS DE AGUASCALIENTES SA DE CV</t>
  </si>
  <si>
    <t>AMERICA MOVIL SAB DE CV</t>
  </si>
  <si>
    <t>DBS TRUSTEE LIMITED AS TRUSTEE OF MANULIFE US REIT 2</t>
  </si>
  <si>
    <t>DBS TRUSTEE LIMITED AS TRUSTEE OF MANULIFE US REIT</t>
  </si>
  <si>
    <t>MCCAIN FOODS LIMITED</t>
  </si>
  <si>
    <t>COMPANIA HARINERA DE ORIENTE SA DE CV</t>
  </si>
  <si>
    <t>PETRONAS CHEMICALS GLYCOLS SDN BHD</t>
  </si>
  <si>
    <t>SPECIALTY DISTRIBUTING LTD</t>
  </si>
  <si>
    <t>RBC EMERGING MARKETS BALANCED FUND</t>
  </si>
  <si>
    <t>RBC EMERGING MARKETS EQUITY FOCUS FUND</t>
  </si>
  <si>
    <t>ADM INVESTOR SERVICES, INC.</t>
  </si>
  <si>
    <t>AI ADC COMERCIAL SAPI DE CV</t>
  </si>
  <si>
    <t>AIRMAT MEXICO SAPI DE CV</t>
  </si>
  <si>
    <t>AIRDUCT DEL BAJIO SA DE CV</t>
  </si>
  <si>
    <t>HEALTHCARE REALTY TRUST INC.</t>
  </si>
  <si>
    <t>STRATEGIC AVIATION HOLDINGS LTD</t>
  </si>
  <si>
    <t>FRANKLIN STRATEGIC INCOME FUND</t>
  </si>
  <si>
    <t>ALCHEMY WEST SURFACES LTD</t>
  </si>
  <si>
    <t>ENERGY PARTNERSHIP GAS PTY LTD</t>
  </si>
  <si>
    <t>1567571 ONTARIO INC</t>
  </si>
  <si>
    <t>183 RUTHERFORD ROAD FRONT INC AND 183 RUTHERFORD ROAD BACK I</t>
  </si>
  <si>
    <t>CENTRALE BANK VAN ARUBA</t>
  </si>
  <si>
    <t>CLARIOS GLOBAL LP</t>
  </si>
  <si>
    <t>VIRU SA</t>
  </si>
  <si>
    <t>INDALUM SA DE CV</t>
  </si>
  <si>
    <t>91884650 QUEBEC INC</t>
  </si>
  <si>
    <t>ROCA ACERO SA DE CV</t>
  </si>
  <si>
    <t>PURE BIOFUELS DEL PERU S.A.C.</t>
  </si>
  <si>
    <t>KANATA FOREST PRODUCTS LTD</t>
  </si>
  <si>
    <t>1956672 ALBERTA INC</t>
  </si>
  <si>
    <t>FIBRE NOIRE INTERNET INC</t>
  </si>
  <si>
    <t>FIBRENOIR INC</t>
  </si>
  <si>
    <t>LMR BLOCK FUND - CDEA</t>
  </si>
  <si>
    <t>BHD TUBULAR LTD</t>
  </si>
  <si>
    <t>BHD TUBULAR LIMITED</t>
  </si>
  <si>
    <t>BULOVA WATCH COMPANY LIMITED</t>
  </si>
  <si>
    <t>ADMINISTRACION PORTUARIA INTEGRAL DE SALINA CRUZ SA DE CV</t>
  </si>
  <si>
    <t>ADVANCE REAL ESTATE 2 S DE RL DE CV</t>
  </si>
  <si>
    <t>NORTH KEGS CORPORATION</t>
  </si>
  <si>
    <t>FORD MOTOR COMPANY</t>
  </si>
  <si>
    <t>AVENUE CAPITAL MANAGEMENT II L.P.</t>
  </si>
  <si>
    <t>PINNACLE INTERNATIONAL REALTY GROUP INC.</t>
  </si>
  <si>
    <t>ICAP Corporates LLC</t>
  </si>
  <si>
    <t>UNITED ICAP, A DIVISION OF ICAP CORPORATES LLC</t>
  </si>
  <si>
    <t>GREEN CROSS BIOTHERAPEUTICS INC</t>
  </si>
  <si>
    <t>MANULIFE (SINGAPORE) PTE LTD.</t>
  </si>
  <si>
    <t>MANULIFE SINGAPORE PTE LTD</t>
  </si>
  <si>
    <t>BANK OF JAMAICA</t>
  </si>
  <si>
    <t>BRISTOL MYERS SQUIBB COMPANY</t>
  </si>
  <si>
    <t>BRISTOL-MYERS SQUIBB COMPANY</t>
  </si>
  <si>
    <t>TITU SAN ANGEL SA DE CV</t>
  </si>
  <si>
    <t>CISCO SYSTEMS INC</t>
  </si>
  <si>
    <t>GLOBAL POWER GENERATION</t>
  </si>
  <si>
    <t>MATROSOV LEASING CORP</t>
  </si>
  <si>
    <t>RIVERSTONE RETIREMENT RIVERPATH LIMITED PARTNERSHIP</t>
  </si>
  <si>
    <t>ASHLAND GLOBAL HOLDINGS INC</t>
  </si>
  <si>
    <t>MD PRIVATE TRUST COMPANY</t>
  </si>
  <si>
    <t>DS VAL HOLDINGS INC</t>
  </si>
  <si>
    <t>NORTHLEAF SECON PART HOLD INT II LP</t>
  </si>
  <si>
    <t>DLG ACQUISITIONS LIMITED</t>
  </si>
  <si>
    <t>EXAGON MARKETING INC O/A ROCKETLINE</t>
  </si>
  <si>
    <t>CASA TRADICION SA DE CV</t>
  </si>
  <si>
    <t>PARAMITA ENTERPRISES LIMITED</t>
  </si>
  <si>
    <t>QUESTRAL HELICOPTERS LTD</t>
  </si>
  <si>
    <t>ACEROS TITAN SA DE CV</t>
  </si>
  <si>
    <t>CHAPA INDUSTRIAS SA DE CV</t>
  </si>
  <si>
    <t>MARINDUSTRIAS SA DE CV</t>
  </si>
  <si>
    <t>PLASTICS TECHNOLOGY DE MEXICO S DE RL DE CV</t>
  </si>
  <si>
    <t>Mackenzie Global Energy Opportunities Long-Short Fund</t>
  </si>
  <si>
    <t>RANCHO SANTA RITA SA DE CV</t>
  </si>
  <si>
    <t>CIBANCO SA INSTITUCION DE BANCA MULTIPLE UNICA Y EXCLUSIVAMENTE EN SU CARACTER DE FIDUCIARIO DEL FIDEICOMISO  IRREVOCABLE DE ADMINISTRACION Y FUENTE DE PAGO NUMERO CIB 3220</t>
  </si>
  <si>
    <t>ENERYA SA DE CV</t>
  </si>
  <si>
    <t>Mackenzie Enhanced Equity Risk Premia Fund</t>
  </si>
  <si>
    <t>Mackenzie Enhanced Fixed Income Risk Premia Fund</t>
  </si>
  <si>
    <t>DUNN CAPITAL CORPORATION</t>
  </si>
  <si>
    <t>COWARD PHARMACY LIMITED</t>
  </si>
  <si>
    <t>3V POTATOES LTD</t>
  </si>
  <si>
    <t>BRADNER B.C. ORGANIC FEED LTD.</t>
  </si>
  <si>
    <t>FERME AGRIGUAY INC</t>
  </si>
  <si>
    <t>FERME G R REGIMBALD INC</t>
  </si>
  <si>
    <t>QSBC INC</t>
  </si>
  <si>
    <t>2401662 ONTARIO INC</t>
  </si>
  <si>
    <t>THE PETERBOROUGH CLINIC</t>
  </si>
  <si>
    <t>NORWEST HOLDINGS LTD</t>
  </si>
  <si>
    <t>SYLVIE DELISLE PHARMACIENNE INC</t>
  </si>
  <si>
    <t>CENTRE DE L'ESTRIE INC</t>
  </si>
  <si>
    <t>KIPLING GLOBAL ENHANCED DIVIDEND FD</t>
  </si>
  <si>
    <t>KIPLING GLOBAL ENHANCED GROWTH FUND</t>
  </si>
  <si>
    <t>KIPLING MONTHLY INCOME FUND</t>
  </si>
  <si>
    <t>KIPLING STRATEGIC INCOME FUND</t>
  </si>
  <si>
    <t>GESTION BAYONNE INC &amp; AL</t>
  </si>
  <si>
    <t>PRESIDENTJI IMMOBILIER INC</t>
  </si>
  <si>
    <t>JAR DIAMOND METAL PRODUCTS LTD</t>
  </si>
  <si>
    <t>9151-4158 QUEBEC INC</t>
  </si>
  <si>
    <t>8012261 CANADA INC</t>
  </si>
  <si>
    <t>174762 CANADA INC O/A PROMENADE KIA</t>
  </si>
  <si>
    <t>9957057 CANADA INC O/A AYLMER KIA</t>
  </si>
  <si>
    <t>2820 2894 ST CHARLES INC</t>
  </si>
  <si>
    <t>AVNET MEXICANA S DE RL DE CV</t>
  </si>
  <si>
    <t>MGM GROWTH PROPERTIES LLC</t>
  </si>
  <si>
    <t>CB 920 ONTARIO INC</t>
  </si>
  <si>
    <t>COSA NOVA FASHIONS LIMITED</t>
  </si>
  <si>
    <t>PRODUCTORA AGRICOLA AZUL SPR DE RL DE CV</t>
  </si>
  <si>
    <t>EDIFICE COLBERT INC</t>
  </si>
  <si>
    <t>IMMEUBLES TOLIOPOULOS INC</t>
  </si>
  <si>
    <t>SECURITIZED TERM  AUTO RECEIVALBES TRUST  2017 1</t>
  </si>
  <si>
    <t>SECURITIZED TERM AUTO RECEIVABLES TRUST 2017-2</t>
  </si>
  <si>
    <t>NATIONAL ENVIRONMENTAL PRODUCTS LTD.</t>
  </si>
  <si>
    <t>NATIONAL ENVIRONMENTAL PRODUCTS LTD</t>
  </si>
  <si>
    <t>IWIRES AUTOFX</t>
  </si>
  <si>
    <t>AGUILARES SPR DE RL</t>
  </si>
  <si>
    <t>SVETSNING INC.</t>
  </si>
  <si>
    <t>WISE PUBLISHING, INC.</t>
  </si>
  <si>
    <t>PROVINCE OF NEW BRUNSWICK</t>
  </si>
  <si>
    <t>EXCHANGE INCOME CORPORATION</t>
  </si>
  <si>
    <t>MACKENZIE GLOBAL EQUITY INCOME FUND</t>
  </si>
  <si>
    <t>BMO GLOBAL CONSUMER STAPLES HEDGED TO CAD INDEX ETF</t>
  </si>
  <si>
    <t>BMO GLOBAL CONSUMER DISCRETIONARY HEDGED TO CAD INDEX ETF</t>
  </si>
  <si>
    <t>TCC LEVERED ACTIVE LT FIXED INCOME MASTER FUND L.P. - BLOCK</t>
  </si>
  <si>
    <t>TCC LEVERED ACTIVE LT FIXED INCOME MASTER FUND LP</t>
  </si>
  <si>
    <t>TCC LEVERED ACTIVE LT FIXED INCOME MASTER FUND L.P</t>
  </si>
  <si>
    <t>CIBANCO SA INSTITUCION DE BANCA MULTIPLE EN SU CARACTER DE FIDUCIARIO DEL FIDEICOMISO  CIB/3213</t>
  </si>
  <si>
    <t>BURBUTEK SA DE CV</t>
  </si>
  <si>
    <t>GRUPO IMAGEN MEDIOS DE COMUNICACION SA DE CV</t>
  </si>
  <si>
    <t>3101895 NOVA SCOTIA COMPANY</t>
  </si>
  <si>
    <t>1832 AM CANADIAN DIVIDEND LP</t>
  </si>
  <si>
    <t>MUSICIANS' PENSION FUND OF CANADA</t>
  </si>
  <si>
    <t>CANSO LONG TERM CREDIT FUND</t>
  </si>
  <si>
    <t>LAVAL UNIVERSITY PENSION PLAN</t>
  </si>
  <si>
    <t>ST. JOSEPH'S HEALTHCARE HAMILTON</t>
  </si>
  <si>
    <t>TCC ACTIVE LT FIXED INCOME MASTER FUND LP</t>
  </si>
  <si>
    <t>TCC ACTIVE+ LT FIXED INCOME MASTER FUND L.P.</t>
  </si>
  <si>
    <t>TCC ACTIVE+ LT FIXED INCOME MASTER FUND L.P. - BLOCK</t>
  </si>
  <si>
    <t>ECHELON GENERAL INSURANCE COMPANY</t>
  </si>
  <si>
    <t>ECHELON INSURANCE TRANSITION ACCOUNT (248A)</t>
  </si>
  <si>
    <t>IMAXX CANADIAN DIVIDEND FUND</t>
  </si>
  <si>
    <t>IMAXX CANADIAN DIVIDEND PLUS FUND (FKA IMAXX CANADIAN DIVIDEND FUND)</t>
  </si>
  <si>
    <t>IMAXX CANADIAN EQUITY GROWTH FUND</t>
  </si>
  <si>
    <t>IMAXX EQUITY GROWTH FUND (FKA IMAXX CANADIAN EQUITY GROWTH FUND)</t>
  </si>
  <si>
    <t>IMAXX CANADIAN FIXED PAY FUND</t>
  </si>
  <si>
    <t>SCOTIA PRIVATE TOTAL RETURN BOND POOL</t>
  </si>
  <si>
    <t>TD ASSET MANAGEMENT 1537</t>
  </si>
  <si>
    <t>TD ASSET MANAGEMENT 1537001</t>
  </si>
  <si>
    <t>DYNAMIC ACTIVE CANADIAN DIVIDEND FUND</t>
  </si>
  <si>
    <t>DYNAMIC ACTIVE PREFERRED SHARES FUND</t>
  </si>
  <si>
    <t>EDUCATORS MONTHLY INCOME FUND</t>
  </si>
  <si>
    <t>G &amp; B FRIESEN FARMS LTD</t>
  </si>
  <si>
    <t>COMERCIALIZADORA GAB SA DE CV</t>
  </si>
  <si>
    <t>VOX INTERNATIONAL INC</t>
  </si>
  <si>
    <t>PERTH AIRPORT PTY LTD</t>
  </si>
  <si>
    <t>FOWLER CONSTRUCTION COMPANY LIMITED</t>
  </si>
  <si>
    <t>UNIVERSITY STUDENTS COUNCIL OF UWO</t>
  </si>
  <si>
    <t>CAVALIER ENTERPRISES LTD</t>
  </si>
  <si>
    <t>WHARNCLIFFE HIGHVIEW CENTRE INC</t>
  </si>
  <si>
    <t>ROSETERRA INVESTMENTS LTD</t>
  </si>
  <si>
    <t>BARCEL, S.A. DE C.V.</t>
  </si>
  <si>
    <t>BIMBO, S.A. DE C.V.</t>
  </si>
  <si>
    <t>BIMBO SA DE CV</t>
  </si>
  <si>
    <t>BNS BRISAS DEL GOLF PANAMA</t>
  </si>
  <si>
    <t>02265 BNS PANAMA</t>
  </si>
  <si>
    <t>BNS PANAMA BRANCH</t>
  </si>
  <si>
    <t>BRAND FELT OF CANADA LTD</t>
  </si>
  <si>
    <t>PRECIMAC TOOL LTD</t>
  </si>
  <si>
    <t>PRIME ACRES LTD</t>
  </si>
  <si>
    <t>ENCINO ACQUISITION PARTNERS HOLDINGS LLC</t>
  </si>
  <si>
    <t>DISTRIBUIDORA DE AGROQUIMICOS DEL SURESTE DE LA REPUBLICA SA DE CV</t>
  </si>
  <si>
    <t>ABSOLUTE INTERNATIONAL HOLDINGS LTD.</t>
  </si>
  <si>
    <t>CI GLOBAL BALANCE YIELD PRIVATE PO</t>
  </si>
  <si>
    <t>AIR BP-PBF DEL PERU SAC</t>
  </si>
  <si>
    <t>ND VENTURES LTD</t>
  </si>
  <si>
    <t>TURTLE CREEK ASSET MANAGEMENT INC</t>
  </si>
  <si>
    <t>COMERCIAL DE RODAMIENTOS EN FIRME SA DE CV</t>
  </si>
  <si>
    <t>CONSORCIO DE INGENIERIA INTEGRAL</t>
  </si>
  <si>
    <t>FEDERAL METALS INC</t>
  </si>
  <si>
    <t>UNI ONE FOOD GROUP INC</t>
  </si>
  <si>
    <t>JEB2 PROPRTIES INC</t>
  </si>
  <si>
    <t>933672 ALBERTA LTD.</t>
  </si>
  <si>
    <t>933672 ALBERTA LTD</t>
  </si>
  <si>
    <t>SOCIEDAD QUIMICA Y MINERA DE CHILE S.A.</t>
  </si>
  <si>
    <t>SOCIEDAD QUIMICA Y MINERA DE CHILE</t>
  </si>
  <si>
    <t>PH&amp;N ALPHA PLUS BOND FUND</t>
  </si>
  <si>
    <t>PHILLIPS HAGER AND NORTH ALPHA PLUS BOND FUND</t>
  </si>
  <si>
    <t>DYNAMIC TACTICAL BOND PRIVATE POOL</t>
  </si>
  <si>
    <t>AVALONBAY COMMUNITIES INC</t>
  </si>
  <si>
    <t>SCOTIABANK REPUBLICA DOMINICANA  - BANCO MULTIPLE</t>
  </si>
  <si>
    <t>GESTION S. LEMIEUX INC</t>
  </si>
  <si>
    <t>NORTH YORK CHINESE BAPTIST CHURCH</t>
  </si>
  <si>
    <t>VINE AVENUE HOLDINGS LIMITED</t>
  </si>
  <si>
    <t>IRIDIUM HOLDINGS LTD</t>
  </si>
  <si>
    <t>LIVERPOOL WIND ENERGY STORAGE PROJECT INC</t>
  </si>
  <si>
    <t>ACRE 21 DEVELOPMENT CORP</t>
  </si>
  <si>
    <t>PROPIEDADES INVIERNO  SA DE CV</t>
  </si>
  <si>
    <t>AVNET SERVICES S DE RL DE CV</t>
  </si>
  <si>
    <t>MAPFRE MEXICO SA</t>
  </si>
  <si>
    <t>BLACK DIAMOND OILFIELD RENTALS S DE RL DE CV</t>
  </si>
  <si>
    <t>KITCHEN INNOVATIONS INC.</t>
  </si>
  <si>
    <t>BOFA SECURITIES INC</t>
  </si>
  <si>
    <t>CORPORACION FIRST MAJESTIC SA DE CV</t>
  </si>
  <si>
    <t>CORPORACION FIRST MAJESTIC, S.A. DE C.V.</t>
  </si>
  <si>
    <t>SAPEX CANADA INC</t>
  </si>
  <si>
    <t>WESTBORO PHARMACY INC</t>
  </si>
  <si>
    <t>DUPONT SPECIALTY PRODUCTS USA LLC</t>
  </si>
  <si>
    <t>ESAP PROJECT CO LIMITED PARTNERSHIP</t>
  </si>
  <si>
    <t>A.B.M. TOOL &amp; DIE CO LTD</t>
  </si>
  <si>
    <t>ABM TOOL AND DIE CO LTD</t>
  </si>
  <si>
    <t>BEDACOM SA DE CV</t>
  </si>
  <si>
    <t>FONDO MIVIVIENDA SA</t>
  </si>
  <si>
    <t>FONDO MIVIVIENDA</t>
  </si>
  <si>
    <t>HOTEL CAMINO REAL SA</t>
  </si>
  <si>
    <t>MOLINOS DEL GOLFO SA DE CV</t>
  </si>
  <si>
    <t>SAMUELSOHN LIMITED</t>
  </si>
  <si>
    <t>TOYS R US CANADA LTD</t>
  </si>
  <si>
    <t>SCOTIA PRIVATE STRATEGIC BALANCED POOL</t>
  </si>
  <si>
    <t>1145505 ONTARIO LIMITED</t>
  </si>
  <si>
    <t>TRANSCHILE CHARRUA TRANSMISION SA</t>
  </si>
  <si>
    <t>EMPRESA NACIONAL DEL PETROLEO ENAP</t>
  </si>
  <si>
    <t>BLUE WATER NEWFOUNDLAND LIMITED</t>
  </si>
  <si>
    <t>ABSOLUTE FUND OFFSHORE SPC ON BEHALF OF ABSOLUTE HEDGE OFFSH</t>
  </si>
  <si>
    <t>9275 HENRI BOURASSA SEC</t>
  </si>
  <si>
    <t>ASI SCOTIA BLOCK LIMITED PARTNERSHIP</t>
  </si>
  <si>
    <t>PRESTIGE HOSPITALITY HW LIMITED PARTNERSHIP</t>
  </si>
  <si>
    <t>1772809 ALBERTA LTD</t>
  </si>
  <si>
    <t>B AND M HANDLEMAN INVESTMENTS LIMITED</t>
  </si>
  <si>
    <t>2349210 ONTARIO INC</t>
  </si>
  <si>
    <t>ALL MAR DEVELOPMENTS LIMITED</t>
  </si>
  <si>
    <t>1214420 ONTARIO LIMITED</t>
  </si>
  <si>
    <t>BAYDO DEVELOPMENT CORPORATION</t>
  </si>
  <si>
    <t>ALBERTA CAPITAL FINANCE AUTHORITY</t>
  </si>
  <si>
    <t>MOSAIK PROPERTY MANAGEMENT  LIMITED</t>
  </si>
  <si>
    <t>CATHAY LIFE INSURANCE CO LTD</t>
  </si>
  <si>
    <t>UNITED CANADIAN FIXED INCOME POOL</t>
  </si>
  <si>
    <t>SHERON CAPITAL 2019 LTD</t>
  </si>
  <si>
    <t>SISTEMA INTERMUNICIPAL DE LOS SERVICIOS DE AGUA POTABLE Y ALCANTARILLADO</t>
  </si>
  <si>
    <t>BEATDAPP SOFTWARE INC.</t>
  </si>
  <si>
    <t>7249578 CANADA IN DBA VELOCITY GATEWAY</t>
  </si>
  <si>
    <t>D.D. (2019) HOSPITALITY CORP</t>
  </si>
  <si>
    <t>2305109 ONTARIO INC</t>
  </si>
  <si>
    <t>ALENCO INC</t>
  </si>
  <si>
    <t>FONDO COMERCIAL STIVA SA DE CV</t>
  </si>
  <si>
    <t>QBE STRATEGIC CAPITAL COMPANY PTY LIMITED</t>
  </si>
  <si>
    <t>9262-3776 QUEBEC INC.</t>
  </si>
  <si>
    <t>QUIMICAL SA DE CV</t>
  </si>
  <si>
    <t>TODO COMERCIO INTERNACIONAL SA DE CV</t>
  </si>
  <si>
    <t>R.J. *O'BRIEN &amp; ASSOC., INC.</t>
  </si>
  <si>
    <t>REDSTONE ENTERPRISES LTD</t>
  </si>
  <si>
    <t>IMC-CHICAGO LLC</t>
  </si>
  <si>
    <t>HI TEC PROFILES INC</t>
  </si>
  <si>
    <t>MTY FOOD GROUP INC</t>
  </si>
  <si>
    <t>MTY FOOD GROUP INC.</t>
  </si>
  <si>
    <t>ASANKO GOLD GHANA LIMITED</t>
  </si>
  <si>
    <t>1439447 ONTARIO LIMITED O/A LINAS SPOSA</t>
  </si>
  <si>
    <t>GAVEA MASTER FUND LTD</t>
  </si>
  <si>
    <t>GAVEA MASTER FUND LTD - CDEA</t>
  </si>
  <si>
    <t>Macquarie Bank Limited</t>
  </si>
  <si>
    <t>SCOTIABANK DE COSTA RICA SA</t>
  </si>
  <si>
    <t>SCOTIABANK DE COSTA RICA</t>
  </si>
  <si>
    <t>PETROTAL CORP</t>
  </si>
  <si>
    <t>HARBOUREDGE REALTY ADMINISTRATION CORPORATION</t>
  </si>
  <si>
    <t>GAVEA VERTEX FUND LTD</t>
  </si>
  <si>
    <t>GAVEA MASTER PLUS LTD</t>
  </si>
  <si>
    <t>GAVEA MASTER PLUS LTD - CDEA</t>
  </si>
  <si>
    <t>GAVEA BRIDGEWOOD FUND LTD - CDEA</t>
  </si>
  <si>
    <t>ANGELSTONE EVENTS INC</t>
  </si>
  <si>
    <t>GAVEA BRIDGEWOOD FUND LTD</t>
  </si>
  <si>
    <t>HUMPHREY AUTOMATION INC.</t>
  </si>
  <si>
    <t>CARTERS BRANDS SA DE CV</t>
  </si>
  <si>
    <t>JBR TRANSPORT LTD.</t>
  </si>
  <si>
    <t>PROMOCION INMOBILIARIA DEL SUR SAC</t>
  </si>
  <si>
    <t>BNS 04175 AUSTRALIA - TREASURY</t>
  </si>
  <si>
    <t>BNS AUSTRALIA - DERIVATIVES</t>
  </si>
  <si>
    <t>SYSCO CORPORATION</t>
  </si>
  <si>
    <t>SYSCO CORPORATION RETIREMENT1129</t>
  </si>
  <si>
    <t>CONCORD BAYSHORE HOLDINGS LTD</t>
  </si>
  <si>
    <t>FISHER HOLDINGS INC</t>
  </si>
  <si>
    <t>BC HOT HOUSE FOODS INC.</t>
  </si>
  <si>
    <t>2697620 ONTARIO INC</t>
  </si>
  <si>
    <t>CONTOURGLOBAL SERVICIOS OPERACIONALES DE MEXICO S DE RL DE CV</t>
  </si>
  <si>
    <t>FINANCIERA SAN YSIDRO SA DE CV SOFOM ENR</t>
  </si>
  <si>
    <t>GEOPACIFIC CONSULTANTS LTD</t>
  </si>
  <si>
    <t>MEGALARVA DE SINALOA S DE RL DE CV</t>
  </si>
  <si>
    <t>CYDSA CORPORATIVO SA DE CV</t>
  </si>
  <si>
    <t>CONTOURGLOBAL SERVICIOS ADMINISTRATIVOS DE GENERACION S DE RL DE CV</t>
  </si>
  <si>
    <t>CANTOR FITZGERALD EUROPE</t>
  </si>
  <si>
    <t>Cantor Fitzgerald Europe</t>
  </si>
  <si>
    <t>ENGIE SA</t>
  </si>
  <si>
    <t>ONE KENTON MEMORY CARE LIMITED PARTNERSHIP</t>
  </si>
  <si>
    <t>PALETS EMPAQUES Y EMBALAJES SA DE CV</t>
  </si>
  <si>
    <t>PRUDENTIAL DOLARES DE LARGO PLAZO, S.A. DE C.V. FIID</t>
  </si>
  <si>
    <t>AURORA CONVENTION CENTER HOTEL LLC</t>
  </si>
  <si>
    <t>GOLD FIELDS LTD</t>
  </si>
  <si>
    <t>WITDOUCK FARMS</t>
  </si>
  <si>
    <t>WITDOUCK FARMS PARTNERSHIP</t>
  </si>
  <si>
    <t>WITODUCK FARMS LIMITED</t>
  </si>
  <si>
    <t>COMPA¿IA MAYORISTA DE ABARROTES SA DE CV</t>
  </si>
  <si>
    <t>BANK LEUMI LE-ISREAL B.M.</t>
  </si>
  <si>
    <t>ATALLAH GROUP INC</t>
  </si>
  <si>
    <t>EQUIPBUREAU CANADA INC</t>
  </si>
  <si>
    <t>ADVANCE  BP S DE RL DE C.V.</t>
  </si>
  <si>
    <t>ADVANCE  K S DE RL DE C.V.</t>
  </si>
  <si>
    <t>3-101-742031 S.A.</t>
  </si>
  <si>
    <t>INDORAMA VENTURES OXIDE AND GLYCOLS LLC</t>
  </si>
  <si>
    <t>EMPIPE SOLUTIONS LTD</t>
  </si>
  <si>
    <t>IMPRESORES EN OFFSET Y SERIGRAFIA SC DE RL DE CV</t>
  </si>
  <si>
    <t>GRUPO CONSTRUCCIONES PLANIFICADAS SA DE CV</t>
  </si>
  <si>
    <t>GD GROUP SA DE CV</t>
  </si>
  <si>
    <t>R &amp; M WHITE HOLDINGS LIMITED O/A TRI W IMPORTS</t>
  </si>
  <si>
    <t>1401380 ONTARIO LIMITED</t>
  </si>
  <si>
    <t>EAGLE INVESTMENT II LP</t>
  </si>
  <si>
    <t>DELL CONDUIT FUNDING C LLC</t>
  </si>
  <si>
    <t>IMPULSORA PLAZA TAMAULIPAS SA DE CV</t>
  </si>
  <si>
    <t>ISA CORPORATIVO SA DE CV</t>
  </si>
  <si>
    <t>FIERA MICRO CAP OPPORTUNITIES FUND</t>
  </si>
  <si>
    <t>FIERA GLOBAL PRIVATE EQUITY FUND</t>
  </si>
  <si>
    <t>FIMUBAC S A  DE C V  SOFOM E N R</t>
  </si>
  <si>
    <t>HIRAM LODGE ENTERPRISES CORP</t>
  </si>
  <si>
    <t>OPERACION GMC MEXICO SA DE CV</t>
  </si>
  <si>
    <t>PIQUE SUPPLY CORP</t>
  </si>
  <si>
    <t>SWEET DREAM CORPORATION</t>
  </si>
  <si>
    <t>MICHAEL COOPER</t>
  </si>
  <si>
    <t>RIVERSTONE GLOBAL ENERGY AND POWER FUND VI CAYMAN</t>
  </si>
  <si>
    <t>INVERSIONES ZAHENA</t>
  </si>
  <si>
    <t>91384529 QUEBEC INC (G.G . TELECOM)</t>
  </si>
  <si>
    <t>9138-4529 QUEBEC INC(GG TELECOM)</t>
  </si>
  <si>
    <t>CLAREVIEW-ARGYLL II LIMITED PARTNERSHIP</t>
  </si>
  <si>
    <t>515 OAK POINT HIGHWAY LTD</t>
  </si>
  <si>
    <t>MCINNIS CEMENT INC O/S CIMENT MCINNIS INC</t>
  </si>
  <si>
    <t>FIDEICOMISO IRREVOCABLE NUMERO 2581 S C</t>
  </si>
  <si>
    <t>EMPRESAS TAJIN SA DE CV</t>
  </si>
  <si>
    <t>COCA-COLA SOUTHWEST BEVERAGE LLC</t>
  </si>
  <si>
    <t>COCA-COLA SOUTHWEST BEVERAGES LLC</t>
  </si>
  <si>
    <t>IMPORTACIONES LUMEN SA DE CV</t>
  </si>
  <si>
    <t>EDF TRADING NORTH AMERICA LLC</t>
  </si>
  <si>
    <t>CAPITALES ATACAMA S DE RL DE CV</t>
  </si>
  <si>
    <t>RESINAS COLORES Y COMPUESTOS SA DE CV</t>
  </si>
  <si>
    <t>HEMI SPHERE SA DE CV</t>
  </si>
  <si>
    <t>CAPITALES ANDINOS S DE RL DE CV</t>
  </si>
  <si>
    <t>FCSTONE MERCHANT SERVICES, LLC</t>
  </si>
  <si>
    <t>PLASTICOS SAL SA DE CV</t>
  </si>
  <si>
    <t>INTERACTIVE TECHNOLOGIES GROUP LTD</t>
  </si>
  <si>
    <t>KINGS SAN ANTON SA  DE CV</t>
  </si>
  <si>
    <t>AGROVIZION INTEGRADORA SA DE CV</t>
  </si>
  <si>
    <t>SAN ANTON DEL ORO SA DE CV</t>
  </si>
  <si>
    <t>ENTREPRISE SAINT -BONIFACE INC</t>
  </si>
  <si>
    <t>GLPL FINCO INC</t>
  </si>
  <si>
    <t>CORPORATION DE DEVELOPPEMENT ECONOMIQUE RIEL</t>
  </si>
  <si>
    <t>CHAPUR NORTE</t>
  </si>
  <si>
    <t>COMERCIALIZADORA RAGON SA DE CV</t>
  </si>
  <si>
    <t>SAN ANTON DE LAS MINAS SA DE CV</t>
  </si>
  <si>
    <t>HOTELERA PALACE RESORTS SAPI DE CV</t>
  </si>
  <si>
    <t>SE CANADA INVESTMENTS II ULC</t>
  </si>
  <si>
    <t>TRAFALGAR CASTLE SCHOOL</t>
  </si>
  <si>
    <t>LEPSA SA DE CV</t>
  </si>
  <si>
    <t>MACKENZIE ANTI-BENCHMARK GLOBAL INVESTMENT GRADE FUND</t>
  </si>
  <si>
    <t>MACKENZIE INTERNATIONAL QUANTITATIVE SMALL CAP FUND</t>
  </si>
  <si>
    <t>MACKENZIE INTERNATIONAL QUANTITATIVE LARGE CAP FUND</t>
  </si>
  <si>
    <t>DISTRIBUIDORA DE MAQUINARIA JM SA DE CV</t>
  </si>
  <si>
    <t>INDUSTRIAS PLASTICAS INTERNACIONALES SA DE CV</t>
  </si>
  <si>
    <t>BP PRODUCTS NORTH AMERICA INC</t>
  </si>
  <si>
    <t>HOTELES CITY EXPRESS SAB DE CV</t>
  </si>
  <si>
    <t>FIDEICOMISO FIBRA UNO</t>
  </si>
  <si>
    <t>DARKITECTOS SA DE CV</t>
  </si>
  <si>
    <t>INMOBILIARIA BARRANCA AHUEHUETES SA DE CV</t>
  </si>
  <si>
    <t>TEQUILA SAN MATIAS DE JALISCO SA DE CV</t>
  </si>
  <si>
    <t>INMOBILIARIA YOOCAABEE SA DE CV</t>
  </si>
  <si>
    <t>ALTER SANTA FE SA DE CV</t>
  </si>
  <si>
    <t>F1 SANTA FE SA DE CV</t>
  </si>
  <si>
    <t>FIRST TRUST ADVISORS LP</t>
  </si>
  <si>
    <t>2703132 ONTARIO INC</t>
  </si>
  <si>
    <t>MINEXON SA DE CV</t>
  </si>
  <si>
    <t>ACAVIDAS SA DE CV</t>
  </si>
  <si>
    <t>COMERCIALIZADORA NAREMO SA DE CV</t>
  </si>
  <si>
    <t>1103969 BC LTD</t>
  </si>
  <si>
    <t>MPT FINCO INC</t>
  </si>
  <si>
    <t>FUERZA Y ENERGIA BII HIOXO SA DE CV</t>
  </si>
  <si>
    <t>FUERZA Y ENERGIA BII HIOXO S.A. DE C.V.</t>
  </si>
  <si>
    <t>SISTEMAS EMPRESARIALES DABO SA DE CV</t>
  </si>
  <si>
    <t>INGENIERIA DE ALMACENAMIENTOS SA DE CV</t>
  </si>
  <si>
    <t>MEGASHEAR MINING  EXPLORATION SA DE CV</t>
  </si>
  <si>
    <t>EMPACADORA SAN MARCOS SA DE CV</t>
  </si>
  <si>
    <t>ANGLO AMERICAN MARKETING LIMITED SINGAPORE BRANCH- 126376</t>
  </si>
  <si>
    <t>SCALA HIGHER EDUCATION SC</t>
  </si>
  <si>
    <t>COMPA¿IA COMERCIAL HERDEZ SA DE CV</t>
  </si>
  <si>
    <t>1470475 ONTARIO INC. O/A FLEMING PROPERTY MANAGEMENT</t>
  </si>
  <si>
    <t>FGL PRECISION WORKS INC</t>
  </si>
  <si>
    <t>BPY BERMUDA HOLDINGS LTD</t>
  </si>
  <si>
    <t>APEX BRANDED SOLUTIONS INC</t>
  </si>
  <si>
    <t>DELPHINUS BLUE PLANET SA DE CV</t>
  </si>
  <si>
    <t>ENR AGS SA DE CV</t>
  </si>
  <si>
    <t>ENR NL SA DE CV</t>
  </si>
  <si>
    <t>GEM MARCHE CORP.</t>
  </si>
  <si>
    <t>NEOEN ENR MEXICO SA DE CV</t>
  </si>
  <si>
    <t>NEOEN SERVICIOS MEXICO SA DE CV</t>
  </si>
  <si>
    <t>R16RJE SEMARNAT IMTA SAR FOVISSSTE</t>
  </si>
  <si>
    <t>CONOCOPHILLIPS CANADA RESOURCES CORP</t>
  </si>
  <si>
    <t>FIRST TRUST RIVERFRONT DYNAMIC EMERGING MARKETS ETF</t>
  </si>
  <si>
    <t>EMPACADORA ABETO SA DE CV</t>
  </si>
  <si>
    <t>TRADING MEXDER</t>
  </si>
  <si>
    <t>QUEBEC IRON ORE INC</t>
  </si>
  <si>
    <t>CALVIN MCDONALD</t>
  </si>
  <si>
    <t>HULES ESPECIALIZADOS LUCTANIA SA DE CV</t>
  </si>
  <si>
    <t>ADQUISICIONES DQ SA DE CV</t>
  </si>
  <si>
    <t>LONG DECEMBER ON INC</t>
  </si>
  <si>
    <t>ALT CANADA INVESTMENT LP</t>
  </si>
  <si>
    <t>OROPLATA SA</t>
  </si>
  <si>
    <t>PAGNIFIQUE MEXICANA SA DE CV</t>
  </si>
  <si>
    <t>BOILERMAKERS PENSION PLAN</t>
  </si>
  <si>
    <t>TWO SIGMA ADVISERS LP</t>
  </si>
  <si>
    <t>CALGARY INTRINSIC OPPORTUNITY FUND II LTD</t>
  </si>
  <si>
    <t>TORONTO BARBER &amp; BEAUTY SUPPLY LIMITED</t>
  </si>
  <si>
    <t>LAS OLAS MAR Y SOL HOA AC</t>
  </si>
  <si>
    <t>AUTO PARTES Y MAS SA DE CV</t>
  </si>
  <si>
    <t>LEASE FOR YOU SA DE CV</t>
  </si>
  <si>
    <t>MACKENZIE EMERGING MARKETS BOND INDEX ETF (CAD-HEDGED)</t>
  </si>
  <si>
    <t>TWO SIGMA INVESTMENTS LP</t>
  </si>
  <si>
    <t>MICROCART SA DE CV</t>
  </si>
  <si>
    <t>PREMIER ELEVATOR INC</t>
  </si>
  <si>
    <t>STEPHENSONS RENTAL SERVICES INC</t>
  </si>
  <si>
    <t>STEPHENSON'S RENTAL SERVICES INC.</t>
  </si>
  <si>
    <t>FIRST TRUST DOW JONES INTERNATIONAL INTERNET UCITS ETF</t>
  </si>
  <si>
    <t>ECOPETROL S.A.</t>
  </si>
  <si>
    <t>ECOPETROL SA</t>
  </si>
  <si>
    <t>PLASTRAP SA DE CV</t>
  </si>
  <si>
    <t>FIRST TRUST INTERNATIONAL CAPITAL STRENGTH ETF</t>
  </si>
  <si>
    <t>MANIYAR TRADING I L.P.</t>
  </si>
  <si>
    <t>DICIPA CAPITAL SA DE CV</t>
  </si>
  <si>
    <t>MAXIPET SA DE CV</t>
  </si>
  <si>
    <t>RAMP INC</t>
  </si>
  <si>
    <t>DESARROLLOS INDUSTRIALES ARANA SA DE CV</t>
  </si>
  <si>
    <t>OCTAGON HIGH INCOME MASTER FUND LTD</t>
  </si>
  <si>
    <t>RL SEMILLAS Y AGRONEGOCIOS S DE RL DE CV</t>
  </si>
  <si>
    <t>OCCIDENTAL ENERGY MARKETING, INC.</t>
  </si>
  <si>
    <t>REFACCIONES AGRICOLAS FRIESSEN SA DE CV</t>
  </si>
  <si>
    <t>9117-6016 QUEBEC INC.</t>
  </si>
  <si>
    <t>ENERGETICOS INTERNACIONALES SA DE CV</t>
  </si>
  <si>
    <t>DR KEITH LEMAY &amp; DARLENE LEMAY</t>
  </si>
  <si>
    <t>LEEUWENBURGH DAIRY FARMS LTD</t>
  </si>
  <si>
    <t>GROUPE TOUCHETTE IMMOBILIER INC</t>
  </si>
  <si>
    <t>GRUPO TRIMEX SA DE CV</t>
  </si>
  <si>
    <t>BONDEXPRESS SA DE CV</t>
  </si>
  <si>
    <t>SWEET FARMS INC</t>
  </si>
  <si>
    <t>COMERCIAL INDUSTRIAL DELTA SA</t>
  </si>
  <si>
    <t>CORPORACION INMOBILIARIA VESTA SAB DE CV</t>
  </si>
  <si>
    <t>GENUINE PRODUCTS CORPORATION</t>
  </si>
  <si>
    <t>LOS RANCHEROS SC DE P DE RL</t>
  </si>
  <si>
    <t>SHIVA TEXTILE LTD</t>
  </si>
  <si>
    <t>GAS NATURAL ATLANTICO S DE RL</t>
  </si>
  <si>
    <t>INTL FCSTONE FINANCIAL INC</t>
  </si>
  <si>
    <t>NAVES INDUSTRIALES LA NORIA SA DE CV</t>
  </si>
  <si>
    <t>STEPHANO GROUP LTD.</t>
  </si>
  <si>
    <t>THE KAWA FUND LIMITED</t>
  </si>
  <si>
    <t>PHOENIX WRAPPERS ULC</t>
  </si>
  <si>
    <t>KLOOT FARMS LTD.</t>
  </si>
  <si>
    <t>KLOOT FARMS LTD</t>
  </si>
  <si>
    <t>KAWA CANADIAN PREFERRED FUND II, L.P.</t>
  </si>
  <si>
    <t>GILLIGAN S BOAT SALES LTD.</t>
  </si>
  <si>
    <t>19 DUNCAN PROPERTY INC</t>
  </si>
  <si>
    <t>PVH CANADA INC.</t>
  </si>
  <si>
    <t>INVESTECO SUSTAINABLE FOOD FUND III LP</t>
  </si>
  <si>
    <t>FTTH DE MEXICO SA DE CV</t>
  </si>
  <si>
    <t>PALLISER DE MEXICO SOCIEDAD DE RESPONSABILIDAD LIMITADA DE CAPITAL VARIABLE</t>
  </si>
  <si>
    <t>JVA BROKERS LIMITED</t>
  </si>
  <si>
    <t>DISENO CENTRAL SA DE CV</t>
  </si>
  <si>
    <t>DISTRIBUIDORA GARABANA DE COMBUSTIBLES Y LUBRICANTES SA DE CV</t>
  </si>
  <si>
    <t>HIDIS COMPANY SA DE CV</t>
  </si>
  <si>
    <t>PFAFF AUTOMOTIVE PARTNERS INC</t>
  </si>
  <si>
    <t>FIDEICOMISO 3899 S C</t>
  </si>
  <si>
    <t>GARDINER MILLER ARNOLD LLP</t>
  </si>
  <si>
    <t>CODRISE SA DE CV</t>
  </si>
  <si>
    <t>SEMPRA ENERGY</t>
  </si>
  <si>
    <t>CDM DISTRIBUTION INC</t>
  </si>
  <si>
    <t>ANIXTER CANADA INC</t>
  </si>
  <si>
    <t>THUNDER RIDGE FARMS LTD</t>
  </si>
  <si>
    <t>THUNDER RIDGE FARMS PARTNERSHIP</t>
  </si>
  <si>
    <t>CONSORCIO INDUSTRIAL VALSA SA DE CV</t>
  </si>
  <si>
    <t>WOODBINE CENTURIAN CENTRE INC</t>
  </si>
  <si>
    <t>PRESER SA DE CV</t>
  </si>
  <si>
    <t>A2MAC1 LATAM S DE RL DE CV</t>
  </si>
  <si>
    <t>TIENDAS SORIANA SA DE CV</t>
  </si>
  <si>
    <t>COGENERACION DE ALTAMIRA SA DE CV</t>
  </si>
  <si>
    <t>COGENERACION DE ALTAMIRA, S.A. DE C.V.</t>
  </si>
  <si>
    <t>850 BRANT PROPERTIES INC</t>
  </si>
  <si>
    <t>LEGGAT DISCOVERY MOTORS INC</t>
  </si>
  <si>
    <t>SAPISCO COMERCIAL SAC</t>
  </si>
  <si>
    <t>PLAINTREE SYSTEMS INC</t>
  </si>
  <si>
    <t>TONLU HOLDINGS LIMITED</t>
  </si>
  <si>
    <t>PERSONA MORAL IMPLICITA</t>
  </si>
  <si>
    <t>COREY SA DE CV</t>
  </si>
  <si>
    <t>EMPRESAS MT SA DE CV</t>
  </si>
  <si>
    <t>ACEROS COREY SAPI DE CV</t>
  </si>
  <si>
    <t>26185858 ONTARIO INC T/A TVCP DISTRIBUTION</t>
  </si>
  <si>
    <t>1855673 ONTARIO LTD</t>
  </si>
  <si>
    <t>RUSSELL INVESTMENTS CANADIAN FIXED INCOME FUND</t>
  </si>
  <si>
    <t>BLUEFYN INC</t>
  </si>
  <si>
    <t>2703365 ONTARIO INC</t>
  </si>
  <si>
    <t>TALBOT SALES LIMITED O/A CARDINAL FASTENERS</t>
  </si>
  <si>
    <t>SILVERCREST METALS</t>
  </si>
  <si>
    <t>AGRICOLA SAN PABLO S DE PR DE RL</t>
  </si>
  <si>
    <t>ARMANDO MALDONADO RAMOS</t>
  </si>
  <si>
    <t>EMPRESAS MATCO SA DE CV</t>
  </si>
  <si>
    <t>CONSULTORIA Y SERVICIOS ESPECIALIZADOS ALTO MEXICO SA DE CV</t>
  </si>
  <si>
    <t>BRAVO HOLDCO MEXICO S DE RL DE CV</t>
  </si>
  <si>
    <t>GREAT PANTHER MINING LIMITED</t>
  </si>
  <si>
    <t>PALETAS MARA SA DE CV</t>
  </si>
  <si>
    <t>HI TECH INSTALLATIONS LTD</t>
  </si>
  <si>
    <t>VENTURE GLOBAL CALCASIEU PASS LLC</t>
  </si>
  <si>
    <t>NORTH RIDGE PROPERTIES LIMITED PARTNERSHIP</t>
  </si>
  <si>
    <t>3275044 NOVA SCOTIA LIMITED O/A COLFORD PROPERTY DEVELOPMENTS LIMITED</t>
  </si>
  <si>
    <t>PLAZA AGROPECUARIO SA DE CV</t>
  </si>
  <si>
    <t>RED SOLUTIONS SA DE CV</t>
  </si>
  <si>
    <t>PALADIN INTERNATIONAL FOOD SALES (CANADA) LTD</t>
  </si>
  <si>
    <t>UNITED SILLKS AND WOOLLENS  - SHIRTEX INC</t>
  </si>
  <si>
    <t>IG MACKENZIE INTERNATIONAL SMALL CAP FUND</t>
  </si>
  <si>
    <t>CELESTICA ELECTRONICS (M) SDN BHD</t>
  </si>
  <si>
    <t>ORIENTAL HOLDINGS BERHAD</t>
  </si>
  <si>
    <t>WILMAR FERTILIZER MALAYSIA SDN BHD</t>
  </si>
  <si>
    <t>PGEO BIOTECH SDN BHD</t>
  </si>
  <si>
    <t>REALTY INCOME CORPORATION</t>
  </si>
  <si>
    <t>TV CABLE DE ORIENTE SA DE CV</t>
  </si>
  <si>
    <t>YELLOWMONT VENTURES LIMITED</t>
  </si>
  <si>
    <t>SUBURBAN CENTRE AND AUTO SERVICE LTD</t>
  </si>
  <si>
    <t>GRUPO CORPORATIVO PAPELERA SA DE CV</t>
  </si>
  <si>
    <t>IMPORTADORA Y MANUFACTURERA BRULUART SA DE CV</t>
  </si>
  <si>
    <t>GOTHAM DISCOUNTS INC</t>
  </si>
  <si>
    <t>ENTERRA FEED CORPORATION</t>
  </si>
  <si>
    <t>AGFIQ US MARKET NEUTRAL ANTI BETA CAD HEDGED ETF</t>
  </si>
  <si>
    <t>SECURITIZED TERM AUTO RECEIVABLES TRUST 2016 1</t>
  </si>
  <si>
    <t>THE ROYAL PRIME SOLUTIONS INC</t>
  </si>
  <si>
    <t>SEMILLAS Y FORRAJES FELIX SA DE CV</t>
  </si>
  <si>
    <t>AGY-ENDO CORPORATION</t>
  </si>
  <si>
    <t>ACCEL ENERGY SERVICES CANADA LTD</t>
  </si>
  <si>
    <t>ALTERNATIVE BELTING ENTERPRISES LTD</t>
  </si>
  <si>
    <t>PIERIDAE ENERGY</t>
  </si>
  <si>
    <t>CENTRIFUGADOS MEXICANOS SA DE CV</t>
  </si>
  <si>
    <t>LOGIX ITS INC</t>
  </si>
  <si>
    <t>PRESSURE VESSEL ENGINEERING LTD</t>
  </si>
  <si>
    <t>ENCIRCLE INC</t>
  </si>
  <si>
    <t>CERTIFIED CYLINDERS SERVICES INC</t>
  </si>
  <si>
    <t>CLEAR BLUE TECHNOLOGIES INC</t>
  </si>
  <si>
    <t>APPIA RESIDENCIAS SA DE CV</t>
  </si>
  <si>
    <t>ANGLOGOLD ASHANTI (IDUAPRIEM) LTD</t>
  </si>
  <si>
    <t>BAUER HOCKEY LTD.</t>
  </si>
  <si>
    <t>BANCO ACTINVER SA INSTITUCION DE BANCA MULTIPLE GRUPO FINANCIERO ACTINVER POR CTA FID 3955</t>
  </si>
  <si>
    <t>NUTRISA SA DE CV</t>
  </si>
  <si>
    <t>ALIMENTOS BENEFITS SA DE CV</t>
  </si>
  <si>
    <t>DISPENSADORES ELECTRICOS SA DE CV</t>
  </si>
  <si>
    <t>LAMCO INC</t>
  </si>
  <si>
    <t>AFFORDABLE CAR AND TRUCK RENTALS GODERICH INC</t>
  </si>
  <si>
    <t>MACKENZIE NORTH AMERICAN CORPORATE BOND FUND</t>
  </si>
  <si>
    <t>ARCHER GROWTH PARTNERS LLC</t>
  </si>
  <si>
    <t>MACKENZIE CORPORATE BOND FUND</t>
  </si>
  <si>
    <t>MACKENZIE CHINA BOND FUND</t>
  </si>
  <si>
    <t>CI GLOBAL HIGH YIELD CREDIT PRIVATE POOL</t>
  </si>
  <si>
    <t>SENTRY US GROWTH AND INCOME CURRENCY NEUTRAL CLASS</t>
  </si>
  <si>
    <t>SENTRY CANADIAN INCOME FUND EQ</t>
  </si>
  <si>
    <t>SENTRY GLOBAL INVESTMENT GRADE PRIVATE POOL CLASS</t>
  </si>
  <si>
    <t>DIRANCIA SA DE CV</t>
  </si>
  <si>
    <t>SPB SOLUTIONS INC</t>
  </si>
  <si>
    <t>GIGADAT INC</t>
  </si>
  <si>
    <t>ASTRAL DEL NOROESTE SA DE CV</t>
  </si>
  <si>
    <t>COMERCIALIZADORA MAYORISTA DEL GOLFO SA DE CV</t>
  </si>
  <si>
    <t>EXTENDED SUITES GLOBAL SOURCING SA DE CV</t>
  </si>
  <si>
    <t>ASTRAL DEL PACIFICO SA DE CV</t>
  </si>
  <si>
    <t>BLACKROCK LIABILITY SOLUTIONS FUNDS III TAILORED FUND XXXVI</t>
  </si>
  <si>
    <t>300 WELLINGTON EAST WING INC</t>
  </si>
  <si>
    <t>DESARROLLOS URBANISTICOS IVC SA DE CV</t>
  </si>
  <si>
    <t>TULTITLAN INMUEBLES SA DE CV</t>
  </si>
  <si>
    <t>GRAYGLEN DEVELOPMENTS LTD</t>
  </si>
  <si>
    <t>ZUCARMEX SA DE CV</t>
  </si>
  <si>
    <t>VALLEYBROOK GARDENS LTD</t>
  </si>
  <si>
    <t>PACIFIC REACH HOTEL RE GUILDFORD LIMITED PARTNERSHIP</t>
  </si>
  <si>
    <t>2011284 ALBERTA LTD</t>
  </si>
  <si>
    <t>ESTADO DE MEXICO</t>
  </si>
  <si>
    <t>DELONA S DE RL DE CV</t>
  </si>
  <si>
    <t>OXITENO MEXICO SA DE CV</t>
  </si>
  <si>
    <t>GRUPO FIMHER S DE RL DE CV</t>
  </si>
  <si>
    <t>AGROQUIMICOS VERSA SA DE CV</t>
  </si>
  <si>
    <t>SELFRIDGE LIMITED PARTNERSHIP</t>
  </si>
  <si>
    <t>CONVENTIONAL HOLDINGS LTD.</t>
  </si>
  <si>
    <t>BROOKFIELD AMERICAS INFRASTRUCTURE FUND LP</t>
  </si>
  <si>
    <t>BROOKFIELD AMERICAS INFRASTRUCTURE FUND LP - NDF</t>
  </si>
  <si>
    <t>ASTRA ENERGY SERVICES CORP</t>
  </si>
  <si>
    <t>VARNA GRAIN LTD</t>
  </si>
  <si>
    <t>VILARDO HOLDINGS INC</t>
  </si>
  <si>
    <t>KLAAS IJTSMA AND ELVINA IJTSMA</t>
  </si>
  <si>
    <t>VPI INCOME POOL</t>
  </si>
  <si>
    <t>BANK STRUCTURED INVESTMENT STRATEGY</t>
  </si>
  <si>
    <t>AEQUILIBRIUM SOFTWARE INC</t>
  </si>
  <si>
    <t>GILBERTO FIMBRES HERNANDEZ</t>
  </si>
  <si>
    <t>HOBBRY LTD</t>
  </si>
  <si>
    <t>CARDIF SERVICIOS SA DE CV</t>
  </si>
  <si>
    <t>REYSA LLANTAS SA DE CV</t>
  </si>
  <si>
    <t>9179879 CANADA INC</t>
  </si>
  <si>
    <t>MODEX CANADA INC</t>
  </si>
  <si>
    <t>N.O.W. AND ASSOCIATES INC.</t>
  </si>
  <si>
    <t>FIERA CANADIAN EQUITY FOSSIL FUEL FREE FUND</t>
  </si>
  <si>
    <t>HSBC HSBCSGSG</t>
  </si>
  <si>
    <t>HK AND SHANGHAI BKG CORP LTD</t>
  </si>
  <si>
    <t>HSBC BANK (SINGAPORE) LIMITED</t>
  </si>
  <si>
    <t>BERNARDUS &amp; ANNE MARIE DIRVEN</t>
  </si>
  <si>
    <t>CUBIMSA 2020 SA DE CV</t>
  </si>
  <si>
    <t>CUBIERTAS INDUSTRIALES DE MEXICO SA DE CV</t>
  </si>
  <si>
    <t>PITA HOLDINGS LLC</t>
  </si>
  <si>
    <t>GOBIERNO DEL ESTADO DE TABASCO</t>
  </si>
  <si>
    <t>CANADIAN CYCLING ASSOCIATION</t>
  </si>
  <si>
    <t>PRO FAB US SA DE CV</t>
  </si>
  <si>
    <t>ANGLOGOLD SOUTH AMERICA LIMITED</t>
  </si>
  <si>
    <t>SEAGATE HDD CAYMAN</t>
  </si>
  <si>
    <t>DREAM GLOBAL CAYMAN LP</t>
  </si>
  <si>
    <t>TRIMAC ENERGY SERVICES LTD</t>
  </si>
  <si>
    <t>HIGHLIGHT MOTOR FREIGHT INC</t>
  </si>
  <si>
    <t>BANCO ACTINVER SA IBM GRUPO FINANCIERO ACTINVER CONTRATO DE FIDEICOMISO IRREVOCABLE DE</t>
  </si>
  <si>
    <t>KEHAR FOODS INTERNATIONAL LTD</t>
  </si>
  <si>
    <t>SCORE MEDIA AND GAMING INC</t>
  </si>
  <si>
    <t>XTX MARKETS LIMITED</t>
  </si>
  <si>
    <t>ANGLO PACIFIC FINANCE DESIGNATED ACTIVITY COMPANY</t>
  </si>
  <si>
    <t>ACEROS CAMESA SA DE CV</t>
  </si>
  <si>
    <t>VETERMEX ANIMAL HEALTH SA DE CV</t>
  </si>
  <si>
    <t>NAVISTAR FINANCIAL S.A. DE C.V. SOFOM ENR</t>
  </si>
  <si>
    <t>COMMODITY EXCHANGE, INC.</t>
  </si>
  <si>
    <t>NEW YORK MERCANTILE EXCHANGE</t>
  </si>
  <si>
    <t>THE NEW YORK MERCANTILE EXCHANGE INC</t>
  </si>
  <si>
    <t>BANK OF THE WEST</t>
  </si>
  <si>
    <t>CONCORD RESOURCES LIMITED</t>
  </si>
  <si>
    <t>CORMARK SECURITIES INC.</t>
  </si>
  <si>
    <t>2667217 ONTARIO INC</t>
  </si>
  <si>
    <t>PRODUCTOS AGRICOLAS AOASS S DE RL DE CV</t>
  </si>
  <si>
    <t>CONCOURSE PETROLEUM INC</t>
  </si>
  <si>
    <t>CHIC EXQUISITE FASHION INC</t>
  </si>
  <si>
    <t>IGUALA CONCENTRADOS SA DE CV</t>
  </si>
  <si>
    <t>GRUPO LAMOSA S. A. B. DE C. V.</t>
  </si>
  <si>
    <t>GRUPO LAMOSA S A B DE C V</t>
  </si>
  <si>
    <t>GRUPO LAMOSA SAB DE CV</t>
  </si>
  <si>
    <t>GRUPO LAMOSA SA B DE CV</t>
  </si>
  <si>
    <t>GRUPO LAMOSA S.A.B. DE C.V.</t>
  </si>
  <si>
    <t>C P L SOCCER LP</t>
  </si>
  <si>
    <t>CARDIF MEXICO SEGUROS GENERALES SA DE CV</t>
  </si>
  <si>
    <t>CARDIF MEXICO SEGUROS DE VIDA SA DE CV</t>
  </si>
  <si>
    <t>MCCAIN SERVICIOS SA DE CV</t>
  </si>
  <si>
    <t>COLLECTORS UNIVERSE, INC.</t>
  </si>
  <si>
    <t>MD FINANCIAL MANAGEMENT INC</t>
  </si>
  <si>
    <t>MD FINANCIAL MANAGEMENT INC.</t>
  </si>
  <si>
    <t>AGFiQ US Market Neutral Anti-Beta CAD-Hedged ETF</t>
  </si>
  <si>
    <t>CME MW-HOUSE</t>
  </si>
  <si>
    <t>10219452 CANADA INC</t>
  </si>
  <si>
    <t>SOCIETE EN COMMANDITE ST JEROME</t>
  </si>
  <si>
    <t>JARISLOWSKY FRASER LIMITED</t>
  </si>
  <si>
    <t>NEWCREST RED CHRIS MINING LIMITED</t>
  </si>
  <si>
    <t>LCT MRE NOMINEES PTY LIMITED</t>
  </si>
  <si>
    <t>EDIFICE 101 ROLAND THERRIEN INC</t>
  </si>
  <si>
    <t>MOULTON PROPERTIES INC</t>
  </si>
  <si>
    <t>COMERCIALIZADORA SANBIA SA DE CV</t>
  </si>
  <si>
    <t>TADIEM INC T/A BENSIMON BYRNE</t>
  </si>
  <si>
    <t>NORTHLEAF 010 PRIVATE EQUITY HOLDINGS II LP</t>
  </si>
  <si>
    <t>PR HASTINGS LIMITED PARTNERSHIP</t>
  </si>
  <si>
    <t>GAP BRAZIL FUND SPC SEGREGATED PORTFOLIO CLASS B</t>
  </si>
  <si>
    <t>INDUSTRIAL CONSTRUCTORA METAL TEC SA DE CV</t>
  </si>
  <si>
    <t>DIXON COMERCIALIZADORA SA DE CV</t>
  </si>
  <si>
    <t>MEDIPHARM LABS INC</t>
  </si>
  <si>
    <t>MARTIN BROWER OF CANADA CO</t>
  </si>
  <si>
    <t>BANCO ACTINVER SA INST BANCA MULTIPLE GRUPO FINANCIERO ACTINVER CONTRATO DE FIDEICOMISO DE</t>
  </si>
  <si>
    <t>BANCO ACTINVER SA INST BANCA MULTIPLE GPO FINANCIERO ACTINVER CTO DE FIDEICOMISO IRREVOCAB</t>
  </si>
  <si>
    <t>HART PRINT INC</t>
  </si>
  <si>
    <t>METAL TEC INDUSTRIAL SA DE CV</t>
  </si>
  <si>
    <t>SHEEP BLACK WINE INC</t>
  </si>
  <si>
    <t>TECTONIC METALS INC</t>
  </si>
  <si>
    <t>Zung Fu (China) Limited</t>
  </si>
  <si>
    <t>NANHUA FINANCIAL (UK) CO LIMITED</t>
  </si>
  <si>
    <t>DELOM SERVICES INC</t>
  </si>
  <si>
    <t>DELSTAR ENERGIE INC</t>
  </si>
  <si>
    <t>LEPTON FUND LIMITED</t>
  </si>
  <si>
    <t>SCOTIA CAPITAL INC EQUITYD1D</t>
  </si>
  <si>
    <t>7933 HUNTINGTON ROAD INVESTMENTS LTD</t>
  </si>
  <si>
    <t>EAGLE APARTMENTS LTD</t>
  </si>
  <si>
    <t>MPS CAPITAL SERVICES BANCA PER LE IMPRESE SPA</t>
  </si>
  <si>
    <t>2573190 ONTARIO INC</t>
  </si>
  <si>
    <t>BURGER KING CORPORATION</t>
  </si>
  <si>
    <t>GAVEA INVESTIMENTOS LTDA</t>
  </si>
  <si>
    <t>DYNAMIC ACTIVE GLOBAL DIVIDEND FUND</t>
  </si>
  <si>
    <t>NEOGEN LATINOAMERICA SAPI DE CV</t>
  </si>
  <si>
    <t>SCALA LATIN AMERICA SAPI DE CV</t>
  </si>
  <si>
    <t>SAGEN BRUS SA DE CV</t>
  </si>
  <si>
    <t>PEDERSON HERITAGE FARMS INC</t>
  </si>
  <si>
    <t>ATHABASCA OIL CORPORATION</t>
  </si>
  <si>
    <t>ABASUR SA DE CV</t>
  </si>
  <si>
    <t>CIBANCO SA IBM FIDEICOMISO CIB 3339</t>
  </si>
  <si>
    <t>FOINBRA SAPI DE CV</t>
  </si>
  <si>
    <t>GRUPO MORSA DE MEXICO SA DE CV</t>
  </si>
  <si>
    <t>AEP TRANSMISSION COMPANY LLC</t>
  </si>
  <si>
    <t>NORTHLAND PROPERTIES CORPORATION</t>
  </si>
  <si>
    <t>FIRST TRUST LOW DURATION GLOBAL GOVERNMENT BOND UCITS ETF</t>
  </si>
  <si>
    <t>SETH &amp; THERESA MERSKY</t>
  </si>
  <si>
    <t>JOSE LUIS ARELLANO REYES</t>
  </si>
  <si>
    <t>VENATOR INCOME FUND</t>
  </si>
  <si>
    <t>VENATOR ALTERNATIVE INCOME FUND</t>
  </si>
  <si>
    <t>CHALK COUTURE CANADA INC</t>
  </si>
  <si>
    <t>MAS BIEN INDUSTRIAL S DE RL DE CV</t>
  </si>
  <si>
    <t>GRUPO PALACIO DE HIERRO SAB DE CV</t>
  </si>
  <si>
    <t>BERKSHIRE 500 OUELLETTE INC</t>
  </si>
  <si>
    <t>HONGKONG N SHANGHAI</t>
  </si>
  <si>
    <t>RPMG HOLDINGS LTD</t>
  </si>
  <si>
    <t>1175648 ONTARIO LTD O/A ADCO LOGISTICS</t>
  </si>
  <si>
    <t>DBE HYTEC LTD</t>
  </si>
  <si>
    <t>MEDTRONIC CRYOCATH LP</t>
  </si>
  <si>
    <t>TRANSFORMA METAL SA DE CV</t>
  </si>
  <si>
    <t>China Merchants Bank Co Ltd</t>
  </si>
  <si>
    <t>CHINA MERCHANTS BANK</t>
  </si>
  <si>
    <t>AEP TEXAS INC</t>
  </si>
  <si>
    <t>PHARMACIE ANDREW KASSIS ET ANTOINE NASSANE INC</t>
  </si>
  <si>
    <t>9019 8854 QUEBEC INC</t>
  </si>
  <si>
    <t>AQT WATER MANAGEMENT INC</t>
  </si>
  <si>
    <t>AIRPORT 12151 INC</t>
  </si>
  <si>
    <t>WASAYA AIRWAYS LEASING LTD</t>
  </si>
  <si>
    <t>123 LEASE SAPI DE CV</t>
  </si>
  <si>
    <t>ELITE CARWASH SOLUTIONS INC</t>
  </si>
  <si>
    <t>SYSTEMEX AUTOMATION INC</t>
  </si>
  <si>
    <t>ALPHADYNE BLOCK TRADE US - CDEA</t>
  </si>
  <si>
    <t>ALPHADYNE BLOCK TRADE CA - CDEA</t>
  </si>
  <si>
    <t>ALPHADYNE BLOCK TRADE EU - CDEA</t>
  </si>
  <si>
    <t>VESTCOR INVESTMENTS PRIVATE REAL ESTATE LP SLEEVE VRE01LEG</t>
  </si>
  <si>
    <t>VESTCOR INVESTMENTS PRIVATE REAL ESTATE LP SLEEVE VRE02LEG</t>
  </si>
  <si>
    <t>VESTCOR INVESTMENTS PRIVATE REAL ESTATE LP SLEEVE RE03CA</t>
  </si>
  <si>
    <t>VESTCOR INVESTMENTS PRIVATE REAL ESTATE LP SLEEVE RE03EU</t>
  </si>
  <si>
    <t>VESTCOR INVESTMENTS PRIVATE REAL ESTATE LP</t>
  </si>
  <si>
    <t>VESTCOR INVESTMENTS PRIVATE REAL ESTATE LP SLEEVE RE01CA</t>
  </si>
  <si>
    <t>VESTCOR INVESTMENTS PRIVATE REAL ESTATE 2 LP SLEEVE R201US</t>
  </si>
  <si>
    <t>VESTCOR INVESTMENTS PRIVATE REAL ESTATE 2 LP SLEEVE VRE202</t>
  </si>
  <si>
    <t>VESTCOR INVESTMENTS PRIVATE REAL ESTATE LP 2</t>
  </si>
  <si>
    <t>RP ALTERNATIVE GLOBAL BOND FUND</t>
  </si>
  <si>
    <t>LINCLUDEN GLOBAL STABLE EQUITY POOLED FUND</t>
  </si>
  <si>
    <t>AQUA TERRA INTERMEDIATE HOLDCO LP</t>
  </si>
  <si>
    <t>DEL MURO</t>
  </si>
  <si>
    <t>KEMETCO RESEARCH INC</t>
  </si>
  <si>
    <t>COMERCIALIZADORA FARMACEUTICA DE CHIAPAS SAPI DE CV</t>
  </si>
  <si>
    <t>ALMITA PILING LTD</t>
  </si>
  <si>
    <t>PETROSERVICIOS YUCATAN SA DE CV</t>
  </si>
  <si>
    <t>CHARTWELL MASTER CARE LP</t>
  </si>
  <si>
    <t>FRANCHISE AND LICENSE CANADIAN OPS LP</t>
  </si>
  <si>
    <t>BOONECO FEEDERS LTD</t>
  </si>
  <si>
    <t>EDMONTON ELEVATOR SERVICES CORPORATION</t>
  </si>
  <si>
    <t>INDUSTRIAS GUTIERREZ SA DE CV</t>
  </si>
  <si>
    <t>KEE WEST AUTO CARRIERS INC</t>
  </si>
  <si>
    <t>ENRIQUE DAVID MAY DIAZ</t>
  </si>
  <si>
    <t>CAXTON ASSOCIATES LP CXGA EU - CDEA</t>
  </si>
  <si>
    <t>CAXTON ASSOCIATES LP</t>
  </si>
  <si>
    <t>BRENNAN HOLDINGS LTD</t>
  </si>
  <si>
    <t>CAXTON ASSOCIATES LP CXGA</t>
  </si>
  <si>
    <t>CAXTON ASSOCIATES LP CXGO US - CDEA</t>
  </si>
  <si>
    <t>CAXTON ASSOCIATES LP CXGO CA - CDEA</t>
  </si>
  <si>
    <t>CAXTON ASSOCIATES LP CXGA US - CDEA</t>
  </si>
  <si>
    <t>CAXTON ASSOCIATES LP CXGA CA - CDEA</t>
  </si>
  <si>
    <t>CAXTON ASSOCIATES LP CXGO EU - CDEA</t>
  </si>
  <si>
    <t>DOWS LAKE COURT INC</t>
  </si>
  <si>
    <t>WINNERS MERCHANTS INTERNATIONAL L.P</t>
  </si>
  <si>
    <t>AIRESBAIR S DE RL DE CV</t>
  </si>
  <si>
    <t>OZAMA RIVER CORP</t>
  </si>
  <si>
    <t>TD Q GLOBAL DIVIDEND ETF</t>
  </si>
  <si>
    <t>TD Q GLOBAL MULTIFACTOR ETF</t>
  </si>
  <si>
    <t>TD Q U.S. SMALL-MID-CAP EQUITY ETF</t>
  </si>
  <si>
    <t>HUB CITY IRON &amp; METAL (2017) LTD.</t>
  </si>
  <si>
    <t>USA NEW HORIZONS INC</t>
  </si>
  <si>
    <t>TWO SEVENS CAPITAL INC</t>
  </si>
  <si>
    <t>REACTIV SA DE CV</t>
  </si>
  <si>
    <t>KINSTED WEALTH INC</t>
  </si>
  <si>
    <t>CI GLOBAL SMALL COMPANIES CORPORATE CLASS</t>
  </si>
  <si>
    <t>CI GLOBAL SMALL COMPANIES FUND</t>
  </si>
  <si>
    <t>MIDTOWN MALL INC</t>
  </si>
  <si>
    <t>GRUYERE MINING COMPANY PTY LTD</t>
  </si>
  <si>
    <t>PENSIONSKASSE DES BUNDES PUBLICA</t>
  </si>
  <si>
    <t>PUBLIC SERVICE COMPANY OF COLORADO</t>
  </si>
  <si>
    <t>GMC EQUIPOS MEXICO SA DE CV</t>
  </si>
  <si>
    <t>MINERA MANGANESO DE SAN FRANCISCO S DE RL</t>
  </si>
  <si>
    <t>ROMYFIN SA DE CV SOFOM ENR</t>
  </si>
  <si>
    <t>DANARK ENTERPRISES LIMITED</t>
  </si>
  <si>
    <t>CHENS REAL ESTATE CORP</t>
  </si>
  <si>
    <t>CANADA BREAD COMPANY, LIMITED</t>
  </si>
  <si>
    <t>CANADA BREAD COMPANY  LIMITED</t>
  </si>
  <si>
    <t>LES IMMEUBLES THEETGE INC</t>
  </si>
  <si>
    <t>9398 5059 QUEBEC INC</t>
  </si>
  <si>
    <t>INMOBILIARIA VILLER SA DE CV</t>
  </si>
  <si>
    <t>PTZ INSURANCE SERVICES LTD</t>
  </si>
  <si>
    <t>CREDIT SUISSE AG, LONDON BRANCH</t>
  </si>
  <si>
    <t>SERVICIOS EMPRESARIALES DE ALTA CALIDAD SA DE CV</t>
  </si>
  <si>
    <t>1509426 ONTARIO INC AND BVD HOLDINGS NIAGARA INC</t>
  </si>
  <si>
    <t>ENERCARE HS PORTFOLIO LIMITED PARTNERSHIP</t>
  </si>
  <si>
    <t>AES PANAMA S.R.L.</t>
  </si>
  <si>
    <t>AURELIAN ECUADOR S.A.</t>
  </si>
  <si>
    <t>CI CANADIAN FIXED INCOME PRIVATE POOL</t>
  </si>
  <si>
    <t>ELITE REAL ESTATE INVESTMENTS INC</t>
  </si>
  <si>
    <t>MARINER ALTERNATIVE RELATIVE VALUE MASTER FUND, LP CDEA</t>
  </si>
  <si>
    <t>REFRIGERACION OJEDA SA DE CV</t>
  </si>
  <si>
    <t>DEVENISH NUTRITION S DE RL DE CV</t>
  </si>
  <si>
    <t>K &amp; N INTERNATIONAL TRADING &amp;  BROKERAGE LTD</t>
  </si>
  <si>
    <t>TAUROPLAZA MEXICO SA DE CV</t>
  </si>
  <si>
    <t>CRYOINFRA DEL NORTE SA DE CV</t>
  </si>
  <si>
    <t>CM FIXED INCOME</t>
  </si>
  <si>
    <t>XP INVESTMENTS US, LLC</t>
  </si>
  <si>
    <t>XP SECURITIES LLC</t>
  </si>
  <si>
    <t>GRUPO FREZA SA DE CV</t>
  </si>
  <si>
    <t>SPECTRUM EQUIPMENT INC</t>
  </si>
  <si>
    <t>2714840 ONTARIO INC</t>
  </si>
  <si>
    <t>55 TOWNE CENTRE HOLDINGS INC</t>
  </si>
  <si>
    <t>YARSTICK SOFTWARE INC.</t>
  </si>
  <si>
    <t>HB TEXTIL SA DE CV</t>
  </si>
  <si>
    <t>STANDARD METAL HARDWARE MANUFACTURING LTD.</t>
  </si>
  <si>
    <t>PENON S DE RL DE CV</t>
  </si>
  <si>
    <t>EMKADE DISTRIBUTION INC</t>
  </si>
  <si>
    <t>OPERADORA DE CINEMAS SA DE CV</t>
  </si>
  <si>
    <t>CI CERVEZA GMBH</t>
  </si>
  <si>
    <t>2597835 ONTARIO INC</t>
  </si>
  <si>
    <t>AMBIENT DYNAMICS LTD</t>
  </si>
  <si>
    <t>CHAMBERS APPAREL LTD</t>
  </si>
  <si>
    <t>GIROTTI ST CATHARINES LTD</t>
  </si>
  <si>
    <t>MAC GROUP CANADA INC</t>
  </si>
  <si>
    <t>IMPALA TERMINALS SWITZERLAND SARL</t>
  </si>
  <si>
    <t>ONCAP IV LP</t>
  </si>
  <si>
    <t>ONCAP IV SELECT LP</t>
  </si>
  <si>
    <t>TRIPLE FLAG PRECIOUS METALS CORP</t>
  </si>
  <si>
    <t>1743085 ALBERTA LTD</t>
  </si>
  <si>
    <t>COMTRADE LTD</t>
  </si>
  <si>
    <t>CANMEX DOLLAR STORES SA DE CV</t>
  </si>
  <si>
    <t>BARR AG LTD</t>
  </si>
  <si>
    <t>MAIZ EDIFICACIONES SA DE CV</t>
  </si>
  <si>
    <t>POLLOS VIDAURRI SA DE CV</t>
  </si>
  <si>
    <t>1660905 ONTARIO LTD</t>
  </si>
  <si>
    <t>2259200 ONTARIO CORPORATION</t>
  </si>
  <si>
    <t>BICE VIDA COMPANIA DE SEGUROS SA</t>
  </si>
  <si>
    <t>VMC EAST BLOCK RESIDENCES LIMITED PARTNERSHIP</t>
  </si>
  <si>
    <t>ARBO HOLDINGS SAPI DE CV</t>
  </si>
  <si>
    <t>RPM TENEDORA SAPI DE CV</t>
  </si>
  <si>
    <t>STEERINGMEX S DE RL DE CV</t>
  </si>
  <si>
    <t>Posco International Corporate</t>
  </si>
  <si>
    <t>HUDSON PROPERTY DEVELOPMENT CORPORATION</t>
  </si>
  <si>
    <t>PENINSULA PLASTICS LTD</t>
  </si>
  <si>
    <t>VENTURE COMPUTERS OF CANADA INC</t>
  </si>
  <si>
    <t>CYR DEL SURESTE SA DE CV</t>
  </si>
  <si>
    <t>TATA COMMUNICATIONS INTERNATIONAL PTE LTD</t>
  </si>
  <si>
    <t>6646663 MANITOBA LTD</t>
  </si>
  <si>
    <t>MEXICAN ENERGY TRADING COMPANY SA DE CV</t>
  </si>
  <si>
    <t>ODYSSEY SHIPPING VCR LIMITED</t>
  </si>
  <si>
    <t>RESIDENCES LES JARDINS DE MONTARVILLE INC</t>
  </si>
  <si>
    <t>BLUE SIDE SA DE CV</t>
  </si>
  <si>
    <t>ROYAL AND SUN ALLIANCE INSURANCE COMPANY OF CANADA</t>
  </si>
  <si>
    <t>SCALA E CONTENT SA DE CV</t>
  </si>
  <si>
    <t>XDIFICA SA DE CV</t>
  </si>
  <si>
    <t>2226561 ONTARIO INC</t>
  </si>
  <si>
    <t>CREIGHTON ROCK DRILL LIMITED</t>
  </si>
  <si>
    <t>ESBE SCIENTIFIC INDUSTRIES INC</t>
  </si>
  <si>
    <t>BRUNEL PENSION PARTNERSHIP LIMITED</t>
  </si>
  <si>
    <t>KPM COOPERS INC</t>
  </si>
  <si>
    <t>EO GUADALAJARA AC</t>
  </si>
  <si>
    <t>FORESTALES MEXICANOS SA DE CV</t>
  </si>
  <si>
    <t>DYKMAN CATTLE CO LTD</t>
  </si>
  <si>
    <t>NBIMC PUBLIC INFRASTRUCTURE FUND-CLASS N</t>
  </si>
  <si>
    <t>NEW BRUNSWICK INVESTMENT MANAGEMENT COMPANY ASSET MIX STRATEGY FUND</t>
  </si>
  <si>
    <t>PHN U.S. INVESTMENT GRADE CORPORATE BOND TRUST (CAD HEDGED)</t>
  </si>
  <si>
    <t>SPCPP ACQUISITION INC</t>
  </si>
  <si>
    <t>JONES RAIL INDUSTRIES LTD</t>
  </si>
  <si>
    <t>INMOBILIARIA LAS HESPERIDES SA</t>
  </si>
  <si>
    <t>CANADIAN RAIL EQUIPMENT WORKS AND SERVICES INC</t>
  </si>
  <si>
    <t>BANCO ACTINVER SA  INSTITUCION DE BANCA MULTIPLE GRUPO FINANCIERO ACTINVER EN SU CARACTER DE FIDUCIARIO DEL FIDEICOMISO DE ADMINISTRACION NO 3955</t>
  </si>
  <si>
    <t>NBIMC EAFE EQUITY INDEX FUND</t>
  </si>
  <si>
    <t>NEVADA COPPER INC.</t>
  </si>
  <si>
    <t>NEVADA COPPER CORP</t>
  </si>
  <si>
    <t>NBIMC QUANTITATIVE EQUITY STRATEGIC BETA FUND</t>
  </si>
  <si>
    <t>NBIMC QUANTITATIVE EQUITY STRATEGIC BETA FUND-CLASS N</t>
  </si>
  <si>
    <t>ADM INTERNATIONAL SARL</t>
  </si>
  <si>
    <t>CLASSIC LANDSCAPES LIMITED</t>
  </si>
  <si>
    <t>BOCCARD MEURA MEXICO SA DE CV</t>
  </si>
  <si>
    <t>KP EXTRUSION MEXICO SA DE CV</t>
  </si>
  <si>
    <t>CP MANUFACTURING SA DE CV</t>
  </si>
  <si>
    <t>BN STEEL &amp; METALS (2002) INC.</t>
  </si>
  <si>
    <t>BN STEEL AND METAL 2002 INC</t>
  </si>
  <si>
    <t>CLEAR SPRINGS HUTTERIAN BRETHREN CORP</t>
  </si>
  <si>
    <t>BRUCE TELECOM ONTARIO INC</t>
  </si>
  <si>
    <t>OIL AND NATURAL GAS CORP LIMITED</t>
  </si>
  <si>
    <t>DUNCAN STORAGE LTD</t>
  </si>
  <si>
    <t>PRINCE EDWARD AQUA FARMS INC.</t>
  </si>
  <si>
    <t>BIESON PTY LTD AS TRUSTEE FOR THE CH DARTMOOR INVESTMENT TRUST</t>
  </si>
  <si>
    <t>MOLIBDENOS Y METALES SA</t>
  </si>
  <si>
    <t>SNEKKE SA DE CV</t>
  </si>
  <si>
    <t>CALENDAR CLUB OF CANADA LIMITED PARTNERSHIP</t>
  </si>
  <si>
    <t>SIEFORE INVERCAP BASICA 65-69 SA DE CV</t>
  </si>
  <si>
    <t>SIEFORE INVERCAP BASICA 80-84 SA DE CV</t>
  </si>
  <si>
    <t>SIEFORE INVERCAP BASICA INICIAL SA DE CV</t>
  </si>
  <si>
    <t>SIEFORE INVERCAP BASICA 70 74 SA DE CV</t>
  </si>
  <si>
    <t>SIEFORE INVERCAP BASICA 90-94 SA DE CV</t>
  </si>
  <si>
    <t>WELWING MASTER FUND - CDEA</t>
  </si>
  <si>
    <t>BRISTOL GATE US EQUITY ADVANTAGE FUND</t>
  </si>
  <si>
    <t>IA FINANCIAL CORPORATION INC</t>
  </si>
  <si>
    <t>ARROW ELECTRONICS ITALIA S.R.L.</t>
  </si>
  <si>
    <t>LEE CHOW GROUP LTD</t>
  </si>
  <si>
    <t>SE CANADA INVESTMENTS LIMITED PARTNERSHIP</t>
  </si>
  <si>
    <t>SE CANADA INVESTMENTS ULC</t>
  </si>
  <si>
    <t>MNP LLP</t>
  </si>
  <si>
    <t>NORGALV LIMITED</t>
  </si>
  <si>
    <t>VIASI BUILDINGS AND SOLUTIONS SA DE CV</t>
  </si>
  <si>
    <t>FORESTERS CANADIAN BRANCH SURPLUS FUND - A431FX</t>
  </si>
  <si>
    <t>FORESTERS CANADIAN BRANCH SURPLUS FUND - A431MM</t>
  </si>
  <si>
    <t>ABN AMRO CLEARING CHICAGO LLC</t>
  </si>
  <si>
    <t>HollyFrontier El Dorado Refining LLC</t>
  </si>
  <si>
    <t>GOTHARD HOLDINGS INC</t>
  </si>
  <si>
    <t>895 WAVERLEY STREET LTD</t>
  </si>
  <si>
    <t>ADVANTAGE FUTURES, LLC</t>
  </si>
  <si>
    <t>SAMAY I SA</t>
  </si>
  <si>
    <t>2108650 ONTARIO INC</t>
  </si>
  <si>
    <t>ICE FUTURES</t>
  </si>
  <si>
    <t>MACQUARIE FUTURES USA, INC.</t>
  </si>
  <si>
    <t>CI FIRST ASSET ACTIVE CANADIAN DIVIDEND ETF</t>
  </si>
  <si>
    <t>PHILLIP CAPITAL, INC.</t>
  </si>
  <si>
    <t>CI FIRST ASSET ACTIVE UTILITY AND INFRASTRUCTURE ETF</t>
  </si>
  <si>
    <t>RAND FINANCIAL SERVICES, INC.</t>
  </si>
  <si>
    <t>SABRA HEALTH CARE REIT INC</t>
  </si>
  <si>
    <t>SHURLOK SA DE CV</t>
  </si>
  <si>
    <t>INTEGRA LIFESCIENCES CORPORATION</t>
  </si>
  <si>
    <t>2444869 ONTARIO INC</t>
  </si>
  <si>
    <t>TRANSPORTES ACTIVOS CARGA COMBINADA SA DE CV</t>
  </si>
  <si>
    <t>PC CAPITAL DEVELOPMENT FUND II  LP</t>
  </si>
  <si>
    <t>IESA SA</t>
  </si>
  <si>
    <t>INDORAMA VENTURES OXIDES LLC</t>
  </si>
  <si>
    <t>PELMOREX CORP</t>
  </si>
  <si>
    <t>JRC MINING AND CONSTRUCTION SA DE CV</t>
  </si>
  <si>
    <t>KENMORE LAND CO LTD</t>
  </si>
  <si>
    <t>KELT EXPLORATION LTD</t>
  </si>
  <si>
    <t>ACCURATE GLASS PRODUCTS INC.</t>
  </si>
  <si>
    <t>CI MUNRO ALTERNATIVE GLOBAL GROWTH ETF</t>
  </si>
  <si>
    <t>HUTTERIAN BRETHREN CHURCH OF BEECHY INC</t>
  </si>
  <si>
    <t>SHINHAN BANK - MUMBAI</t>
  </si>
  <si>
    <t>CTBC BANK CO. LTD</t>
  </si>
  <si>
    <t>CTBC BANK CO LIMITED MUMBAI</t>
  </si>
  <si>
    <t>CHINATRUST COMM BANK,</t>
  </si>
  <si>
    <t>QUALITY CUTTING TOOLS INC.</t>
  </si>
  <si>
    <t>ANGLOGOLD ASHANTI (GHANA) LTD</t>
  </si>
  <si>
    <t>HUNTING HILL MASTER FUND, SPC- CONSERVATIVE ARBITRAGE SP</t>
  </si>
  <si>
    <t>HUNTING HILL MASTER FUND, SPC - FLAGSHIP ARBITRAGE SP</t>
  </si>
  <si>
    <t>RIDSDALE TRANSPORT LTD</t>
  </si>
  <si>
    <t>GARRISON DC HOLDINGS PTE LTD</t>
  </si>
  <si>
    <t>4554604 CANADA INC</t>
  </si>
  <si>
    <t>HUNTING HILL MASTER FUND, SPC - ETF AND INDEX OPPORTUNITIES SP</t>
  </si>
  <si>
    <t>WILSONHALL PROPERTIES INC</t>
  </si>
  <si>
    <t>ADP DIRECT POULTRY LTD</t>
  </si>
  <si>
    <t>INMOBILIARIA RAR S DE RL DE CV</t>
  </si>
  <si>
    <t>MSB LEON SA DE CV</t>
  </si>
  <si>
    <t>LUCMAR HOLDINGS LTD</t>
  </si>
  <si>
    <t>DSM FARMS LTD</t>
  </si>
  <si>
    <t>KPM STEELES INC</t>
  </si>
  <si>
    <t>ISLAND WATER TECHNOLOGIES INC</t>
  </si>
  <si>
    <t>BAYVIEW ST. JOHN'S CENTRE INC</t>
  </si>
  <si>
    <t>HOLLYFRONTIER CHEYENNE REFINING LLC</t>
  </si>
  <si>
    <t>THE 6IX AUTOLINE LTD</t>
  </si>
  <si>
    <t>LANDMARK STUDENT TRANSPORTATION LP</t>
  </si>
  <si>
    <t>STEEL REEF INFRASTRUCTURE CORP</t>
  </si>
  <si>
    <t>SCOTIA PRIVATE WORLD INFRASTRUCTURE POOL</t>
  </si>
  <si>
    <t>BEMIS COMPANY INC</t>
  </si>
  <si>
    <t>HOLLYFRONTIER NAVAJO REFINING LLC</t>
  </si>
  <si>
    <t>HOLLYFRONTIER TULSA REFINING LLC</t>
  </si>
  <si>
    <t>SEABLINC CANADA INC</t>
  </si>
  <si>
    <t>PETRO-CANADA LUBRICANTS INC.</t>
  </si>
  <si>
    <t>PETRO CANADA LUBRICANTS INC</t>
  </si>
  <si>
    <t>HollyFrontier Woods Cross Refining LLC</t>
  </si>
  <si>
    <t>MIZUHO BANK LTD</t>
  </si>
  <si>
    <t>TD ASIAN GROWTH FUND</t>
  </si>
  <si>
    <t>RBC VISION FOSSIL FUEL FREE SHORT TERM BOND FUND</t>
  </si>
  <si>
    <t>SCOTIA PRIVATE HIGH YIELD BOND POOL</t>
  </si>
  <si>
    <t>FIERA GLOBAL IMPACT FUND - R5017H</t>
  </si>
  <si>
    <t>FIERA GLOBAL IMPACT FUND R5017MM</t>
  </si>
  <si>
    <t>FIERA GLOBAL IMPACT FUND</t>
  </si>
  <si>
    <t>FIERA GLOBAL IMPACT FUND - R5017GE</t>
  </si>
  <si>
    <t>FIERA GLOBAL IMPACT FUND - R5017FI</t>
  </si>
  <si>
    <t>MATADOR COINVESTMENT SCSP</t>
  </si>
  <si>
    <t>FIERA GLOBAL DIVERSIFIED LENDING FUND</t>
  </si>
  <si>
    <t>DIXON GROUP CANADA LIMITED</t>
  </si>
  <si>
    <t>CLAVE 3701 DESARROLLOS SA DE CV</t>
  </si>
  <si>
    <t>AGROPECUARIA LAS MERCEDES SA DE CV</t>
  </si>
  <si>
    <t>FRUTIMEX DEL CENTRO DE VERACRUZ SA DE CV</t>
  </si>
  <si>
    <t>STELLAR IMPORTS</t>
  </si>
  <si>
    <t>HSBC BANK (TAIWAN) LIMITED</t>
  </si>
  <si>
    <t>VAN HERPT MOTORS LIMITED</t>
  </si>
  <si>
    <t>BIOCENT ANIMAL HEALTH CANADA INC.</t>
  </si>
  <si>
    <t>ROC CORP</t>
  </si>
  <si>
    <t>LEGACY EQUIPMENT INC.</t>
  </si>
  <si>
    <t>TRADE-MARK INDUSTRIAL INC.</t>
  </si>
  <si>
    <t>GARDE INTERNATIONAL PORTFOLIO FUND SPC - GARDE II SP</t>
  </si>
  <si>
    <t>FRIEGHT INVESTOR SERVICES LIMITED</t>
  </si>
  <si>
    <t>FREIGHT INVESTOR SERVICES LTD</t>
  </si>
  <si>
    <t>Tullett Prebon Securities Ltd</t>
  </si>
  <si>
    <t>TIME WARNER CABLE INC</t>
  </si>
  <si>
    <t>TULLETT PREBON (SECURITIES) LIMITED - CDEA</t>
  </si>
  <si>
    <t>OPERADORA HOTELERA HXA SAPI DE CV</t>
  </si>
  <si>
    <t>MIGRATIONS TRAVEL AND CRUISES LTD.</t>
  </si>
  <si>
    <t>NOTA ESTRUCTURADA PAY BONO</t>
  </si>
  <si>
    <t>Nota Estructurada founding PAY BONO</t>
  </si>
  <si>
    <t>SERVICIOS CORPORATIVOS CREDITO FAMILIAR S DE RL DE CV</t>
  </si>
  <si>
    <t>THE AES CORPORATION</t>
  </si>
  <si>
    <t>CABLES DE ENERGIA Y TELECOMUNICACIONES S.A.</t>
  </si>
  <si>
    <t>CABLES DE ENERGIA Y DE TELECOMUNICA</t>
  </si>
  <si>
    <t>CASA HOMS MEXICO SC</t>
  </si>
  <si>
    <t>GHM IMPORTACIONES SA DE CV</t>
  </si>
  <si>
    <t>SYSCO EU II SARL</t>
  </si>
  <si>
    <t>ITC HOLDINGS CORP</t>
  </si>
  <si>
    <t>EXPERIENCIAS XCARET HOTELES SAPI DE CV</t>
  </si>
  <si>
    <t>SKYTEX MEXICO SA DE CV</t>
  </si>
  <si>
    <t>MANULIFE IDEAL FUNDAMENTAL MONTHLY</t>
  </si>
  <si>
    <t>NOVATEC PAGANI SA DE CV</t>
  </si>
  <si>
    <t>M. PLAN INTERNATIONAL</t>
  </si>
  <si>
    <t>PLANAR MOTOR INCORPORATED</t>
  </si>
  <si>
    <t>SLC MANAGEMENT LONG CORPORATE BOND FUND</t>
  </si>
  <si>
    <t>CARDINAL TISSUE GROUP INC</t>
  </si>
  <si>
    <t>RAISIN RIVER FARMS INC</t>
  </si>
  <si>
    <t>SAGEN MI CANADA INC.</t>
  </si>
  <si>
    <t>GENWORTH MI CANADA INC</t>
  </si>
  <si>
    <t>915290 ONTARIO LTD</t>
  </si>
  <si>
    <t>DINA CAMIONES SA DE CV</t>
  </si>
  <si>
    <t>QUALITY CHEESE INC</t>
  </si>
  <si>
    <t>NORTH WEST REDWATER PARTNERSHIP</t>
  </si>
  <si>
    <t>SOUTHERN PERU COPPER CORPORATION</t>
  </si>
  <si>
    <t>IPC MULTI-FACTOR CANADIAN EQUITY</t>
  </si>
  <si>
    <t>IPC MULTI-FACTOR U.S. EQUITY</t>
  </si>
  <si>
    <t>IPC MULTI-FACTOR INTERNATIONAL EQUITY</t>
  </si>
  <si>
    <t>SOUTH AUSTRALIAN GOVERNMENT FINANCING AUTHORITY</t>
  </si>
  <si>
    <t>RBC INVESTOR SERVICES</t>
  </si>
  <si>
    <t>RBC INVESTOR SERVICES TRUST</t>
  </si>
  <si>
    <t>JACKLE ENTERPRISES INC</t>
  </si>
  <si>
    <t>1760452 ONTARIO INC</t>
  </si>
  <si>
    <t>MACKENZIE US QUANTITATIVE LARGE CAP FUND</t>
  </si>
  <si>
    <t>MACKENZIE US QUANTITATIVE SMALL CAP FUND</t>
  </si>
  <si>
    <t>ALLIED TRADERS INC</t>
  </si>
  <si>
    <t>MC ENTERPRISES LTD</t>
  </si>
  <si>
    <t>2132243 ONTARIO INC OA SODHI FURNITURE</t>
  </si>
  <si>
    <t>SUSTAINABLE FISH FARMING CANADA LTD</t>
  </si>
  <si>
    <t>COYOTE FLATS CHAROLAIS LTD</t>
  </si>
  <si>
    <t>LOHUES FARMS LTD</t>
  </si>
  <si>
    <t>MACKENZIE US MID CAP OPPORTUNITIES FUND</t>
  </si>
  <si>
    <t>FONDO DE GARANT¿AS DE INSTITUCIONES FINANCIERAS</t>
  </si>
  <si>
    <t>MACKENZIE EUROPEAN SMALL-MID CAP FUND</t>
  </si>
  <si>
    <t>MACKENZIE ASIAN SMALL-MID CAP FUND</t>
  </si>
  <si>
    <t>MACKENZIE GLOBAL SMALL-MID CAP FUND</t>
  </si>
  <si>
    <t>8170169 CANADA INC</t>
  </si>
  <si>
    <t>US CUSTOMS AND BORDER PROTECTION (INVOICE ONLY)</t>
  </si>
  <si>
    <t>CELLCHEM PHARMACEUTICALS GLOBAL INC</t>
  </si>
  <si>
    <t>Engadine Equity Master Fund</t>
  </si>
  <si>
    <t>2690491 ONTARIO INC</t>
  </si>
  <si>
    <t>FERMES BENALLAN S.E.N.C.</t>
  </si>
  <si>
    <t>L-MAR MFG LTD</t>
  </si>
  <si>
    <t>LAW OF INVESTMENTS</t>
  </si>
  <si>
    <t>Steppe Investments Limited</t>
  </si>
  <si>
    <t>COASTAL GASLINK PIPELINE LP</t>
  </si>
  <si>
    <t>GRECO INTERNATIONAL SALES CORP</t>
  </si>
  <si>
    <t>FOMENTO DE CULTURA SUPERIOR SA DE CV</t>
  </si>
  <si>
    <t>SAMUEL SON &amp; CO MEXICO SA DE CV</t>
  </si>
  <si>
    <t>COGNIZANT TECHNOLOGY SOLUTIONS CORPORATION</t>
  </si>
  <si>
    <t>BANISTMO SA</t>
  </si>
  <si>
    <t>DYNAMIC ACTIVE GLOBAL INFRASTRUCTURE ETF</t>
  </si>
  <si>
    <t>RAPTOR ENTERPRISES INC</t>
  </si>
  <si>
    <t>DYNAMIC ACTIVE INTERNATIONAL DIVIDEND ETF</t>
  </si>
  <si>
    <t>CC&amp;L Q GLOBAL SMALL CAP EQUITY FUND</t>
  </si>
  <si>
    <t>1832 AM INVESTMENT GRADE CANADIAN CORPORATE BOND POOL</t>
  </si>
  <si>
    <t>HEXION CANADA INC.</t>
  </si>
  <si>
    <t>CENTRO COMERCIAL MULTIPLAZA S.A</t>
  </si>
  <si>
    <t>CI FIRST ASSET MSCI WORLD ESG IMPACT ETF</t>
  </si>
  <si>
    <t>CI FIRST ASSET HEALTH CARE GIANTS COVERED CALL ETF</t>
  </si>
  <si>
    <t>CI FIRST ASSET ENERGY GIANTS COVERED CALL ETF</t>
  </si>
  <si>
    <t>CI FIRST ASSET MSCI EUROPE LOW RISK WEIGHTED ETF</t>
  </si>
  <si>
    <t>CI FIRST ASSET MSCI USA LOW RISK WEIGHTED ETF</t>
  </si>
  <si>
    <t>CI FIRST ASSET MSCI WORLD LOW RISK WEIGHTED ETF</t>
  </si>
  <si>
    <t>CI FIRST ASSET MSCI INTERNATIONAL LOW RISK WEIGHTED ETF</t>
  </si>
  <si>
    <t>FONDO ACTINVER OPORTUNIDADES 2  SA DE CV FIRV</t>
  </si>
  <si>
    <t>NATGAS QUERETARO SAPI DE CV</t>
  </si>
  <si>
    <t>EL NIPLITO DEL SURESTE SA DE CV</t>
  </si>
  <si>
    <t>924755 ALBERTA INC</t>
  </si>
  <si>
    <t>AUTOPLANET GROUP INC</t>
  </si>
  <si>
    <t>CI FIRST ASSET U.S. AND CANADA LIFECO INCOME ETF</t>
  </si>
  <si>
    <t>CI FIRST ASSET GOLD PLUS GIANTS COVERED CALL ETF</t>
  </si>
  <si>
    <t>RICHMOND HILL HOLDINGS LTD</t>
  </si>
  <si>
    <t>PR HOTEL LLC</t>
  </si>
  <si>
    <t>CI FIRST ASSET MSCI CANADA QUALITY INDEX CLASS ETF</t>
  </si>
  <si>
    <t>CI FIRST ASSET MORNINGSTAR CANADA MOMENTUM INDEX ETF</t>
  </si>
  <si>
    <t>CESLA AMERICAS SA DE CV</t>
  </si>
  <si>
    <t>BAJIO INDUSTRIAL PARK SA DE CV</t>
  </si>
  <si>
    <t>MAS PENSION SIEFORE BASICA 80 84 SA DE CV</t>
  </si>
  <si>
    <t>SERVICIOS COMPARTIDOS ARBO SA DE CV</t>
  </si>
  <si>
    <t>CI FIRST ASSET MORNINGSTAR CANADA VALUE INDEX ETF</t>
  </si>
  <si>
    <t>CI FIRST ASSET CANADIAN CONVERTIBLE BOND ETF</t>
  </si>
  <si>
    <t>PILOT TRAVEL CENTERS LLC</t>
  </si>
  <si>
    <t>9311-5947 QUEBEC INC.</t>
  </si>
  <si>
    <t>CI FIRST ASSET MSCI CANADA LOW RISK WEIGHTED ETF</t>
  </si>
  <si>
    <t>CI FIRST ASSET MORNINGSTAR NATIONAL BANK QUEBEC INDEX ETF</t>
  </si>
  <si>
    <t>CI FIRST ASSET MORNINGSTAR US MOMENTUM INDEX ETF</t>
  </si>
  <si>
    <t>CI FIRST ASSET MORNINGSTAR INTERNATIONAL MOMENTUM INDEX ETF</t>
  </si>
  <si>
    <t>FIRST ASSET CANADIAN CONVERTIBLE BOND FUND</t>
  </si>
  <si>
    <t>CI FIRST ASSET MORNINGSTAR US VALUE INDEX ETF</t>
  </si>
  <si>
    <t>ROYAL YORK SHORES (2663) INC</t>
  </si>
  <si>
    <t>CI FIRST ASSET MORNINGSTAR INTERNATIONAL VALUE INDEX ETF</t>
  </si>
  <si>
    <t>CI FIRST ASSET TECH GIANTS COVERED CALL ETF</t>
  </si>
  <si>
    <t>CI FIRST ASSET U.S. TRENDLEADERS INDEX ETF</t>
  </si>
  <si>
    <t>MANTIQUEIRA OVERSEAS FUND LTD CDEA</t>
  </si>
  <si>
    <t>MAS PENSION SIEFORE BASICA 70 74 SA DE CV</t>
  </si>
  <si>
    <t>GNI FINANCIAL SAPI DE CV SOFOM ENR</t>
  </si>
  <si>
    <t>MAS PENSION SIEFORE BASICA 65 69 SA DE CV</t>
  </si>
  <si>
    <t>MAS PENSION SIEFORE BASICA 90 94 SA DE CV</t>
  </si>
  <si>
    <t>LUXE DECOR SALES LTD</t>
  </si>
  <si>
    <t>MFF PROPERTIES INC</t>
  </si>
  <si>
    <t>WIPRO LIMITED</t>
  </si>
  <si>
    <t>OPERADORA LIVING SA DE CV</t>
  </si>
  <si>
    <t>MAS PENSION SIEFORE BASICA INICIAL SA DE CV</t>
  </si>
  <si>
    <t>PVIMEX SA DE CV</t>
  </si>
  <si>
    <t>SIEFORE AZTECA BASICA INICIAL SA DE CV</t>
  </si>
  <si>
    <t>SIEFORE AZTECA BASICA 80 - 84 SA DE CV</t>
  </si>
  <si>
    <t>SIEFORE AZTECA BASICA 90 94 SA DE CV</t>
  </si>
  <si>
    <t>PROTEINA ANIMAL SA DE CV</t>
  </si>
  <si>
    <t>SIEFORE AZTECA BASICA 70 - 74 SA DE CV</t>
  </si>
  <si>
    <t>JABIL INTERNATIONAL TREASURY PTE LT</t>
  </si>
  <si>
    <t>JABIL INTERNATIONAL TREASURY PTE. LTD.</t>
  </si>
  <si>
    <t>JABIL CIRCUIT CAYMAN L.P</t>
  </si>
  <si>
    <t>CJN HOLDINGS LTD</t>
  </si>
  <si>
    <t>NYPRO INC</t>
  </si>
  <si>
    <t>TNR HOLDINGS LTD</t>
  </si>
  <si>
    <t>ED &amp; F MAN CAPITAL MARKETS INC.</t>
  </si>
  <si>
    <t>E D &amp; F MAN CAPITAL MARKETS INC.</t>
  </si>
  <si>
    <t>ROSECO HOLDINGS LTD</t>
  </si>
  <si>
    <t>ALLIANZ GLOBAL INVESTORS FUND  ALLIANZ DYNAMIC MULTI ASSET STRATEGY SRI 50</t>
  </si>
  <si>
    <t>BLACKSTONE TACTICAL OPPORTUNITIES FUND III (CAYMAN) L.P.</t>
  </si>
  <si>
    <t>ALLIANZ GLOBAL INVESTORS FUND  ALLIANZ DYNAMIC COMMODITIES</t>
  </si>
  <si>
    <t>NORTHMOUNT SCHOOL FOR BOYS FOUNDATION</t>
  </si>
  <si>
    <t>SUN LIFE CORE ADVANTAGE CREDIT PRIVATE POOL</t>
  </si>
  <si>
    <t>SUN LIFE CORE ADVANTAGE CREDIT PRIVATE POOL.</t>
  </si>
  <si>
    <t>ALLIANZ FINANZPLAN 2025</t>
  </si>
  <si>
    <t>ALLIANZ FINANZPLAN 2030</t>
  </si>
  <si>
    <t>BONTE FOODS LTD</t>
  </si>
  <si>
    <t>EXPERIENCIAS XCARET LOYALTY SAPI DE CV</t>
  </si>
  <si>
    <t>ALLIANZ FINANZPLAN 2035</t>
  </si>
  <si>
    <t>ALLIANZ FINANZPLAN 2040</t>
  </si>
  <si>
    <t>ALLIANZ FINANZPLAN 2050</t>
  </si>
  <si>
    <t>ALLIANZ FINANZPLAN 2045</t>
  </si>
  <si>
    <t>ADMINISTRADORA DE FONDOS DE PENSIONES UNO SA</t>
  </si>
  <si>
    <t>ISLAND TRACTOR &amp; SUPPLY LTD</t>
  </si>
  <si>
    <t>MANUFACTURERA DE CIGUENALES DE MEXICO SA DE CV</t>
  </si>
  <si>
    <t>INPIXON CANADA INC</t>
  </si>
  <si>
    <t>BISHOPS GARDENS SENIORS LIVING LP</t>
  </si>
  <si>
    <t>TIMOTHY HARKEMA</t>
  </si>
  <si>
    <t>INTEGRAL MARKET MAKER RTNS</t>
  </si>
  <si>
    <t>SIEFORE AZTECA BASICA 85 89 SA DE CV</t>
  </si>
  <si>
    <t>SIEFORE AZTECA BASICA 60 64 SA DE CV</t>
  </si>
  <si>
    <t>CONSEJO NACIONAL AGROPECUARIO AC</t>
  </si>
  <si>
    <t>WEDBUSH SECURITIES INC.</t>
  </si>
  <si>
    <t>WEDBUSH SECURITIES INC</t>
  </si>
  <si>
    <t>BMO CAPITAL MARKETS CORP</t>
  </si>
  <si>
    <t>KNIGHT CAPITAL AMERICAS LLC</t>
  </si>
  <si>
    <t>PORT DOVER FARMS INC</t>
  </si>
  <si>
    <t>THE GEORGIAN BAY GOLF CLUB LIMITED</t>
  </si>
  <si>
    <t>0897359 BC LTD</t>
  </si>
  <si>
    <t>BISHA HOTEL TORONTO INC</t>
  </si>
  <si>
    <t>INTRALINE CANADA INC</t>
  </si>
  <si>
    <t>COMPANIA CERILLERA LA CENTRAL SA DE CV</t>
  </si>
  <si>
    <t>SIEFORE AZTECA BASICA 55 59 SA DE CV</t>
  </si>
  <si>
    <t>HSBC Institutional Trust Services (Singapore) Limited in its capacity as trustee of AREIT</t>
  </si>
  <si>
    <t>ALLIANZ MULTI ASSET LONG SHORT</t>
  </si>
  <si>
    <t>BNP PARIBAS SECURITIES CORP.</t>
  </si>
  <si>
    <t>TRANSPORTES KUGAR DEL PAPALOAPAN SA DE CV</t>
  </si>
  <si>
    <t>SIGMA ALIMENTOS SA DE CV</t>
  </si>
  <si>
    <t>ALLIANZ MULTI ASSET OPPORTUNITIES</t>
  </si>
  <si>
    <t>ALLIANZ GLOBAL INVESTORS FUND  ALLIANZ DYNAMIC RISK PARITY</t>
  </si>
  <si>
    <t>LARCO HOSPITALITY INC</t>
  </si>
  <si>
    <t>ALLIANZ GLOBAL INVESTORS FUND ALLIANZ MULTI ASSET RISK PREMIA</t>
  </si>
  <si>
    <t>INMOBILIARIA VALLE DE COLORINES SA DE CV</t>
  </si>
  <si>
    <t>NANALYSIS CORP</t>
  </si>
  <si>
    <t>DILAWRI INSURANCE TRUST</t>
  </si>
  <si>
    <t>VALLEY SELECT FOODS INC.</t>
  </si>
  <si>
    <t>VALLEY SELECT FOODS INC</t>
  </si>
  <si>
    <t>9409-5742 QUEBEC INC</t>
  </si>
  <si>
    <t>TAKUMI STAMPING CANADA INC</t>
  </si>
  <si>
    <t>ALLIANZ GLOBAL INVESTORS FUND  ALLIANZ DYNAMIC MULTI ASSET STRATEGY SRI 15</t>
  </si>
  <si>
    <t>ALLIANZ GLOBAL INVESTORS FUND  ALLIANZ DYNAMIC MULTI ASSET STRATEGY SRI 75</t>
  </si>
  <si>
    <t>ALLIANZ FINANZPLAN 2055</t>
  </si>
  <si>
    <t>BEST IN ONE BALANCED</t>
  </si>
  <si>
    <t>AS BOAS SC</t>
  </si>
  <si>
    <t>LANTRAX LOGISTICS LTD</t>
  </si>
  <si>
    <t>VERMOGENSMANAGEMENT BALANCE</t>
  </si>
  <si>
    <t>VERMOGENSMANAGEMENT SUBSTANZ</t>
  </si>
  <si>
    <t>NANHUA USA LLC</t>
  </si>
  <si>
    <t>VERMOGENSMANAGEMENT WACHSTUM</t>
  </si>
  <si>
    <t>MEDINA DC ASSETS LLC</t>
  </si>
  <si>
    <t>RP RENDITE PLUS  ALLIANZ VERMOGENSKONZEPT AUSGEWOGEN</t>
  </si>
  <si>
    <t>RP RENDITE PLUS  ALLIANZ VERMOGENSKONZEPT DYNAMISCH</t>
  </si>
  <si>
    <t>VERMOGENSMANAGEMENT CHANCE</t>
  </si>
  <si>
    <t>RP RENDITE PLUS  ALLIANZ VERMOGENSKONZEPT SRI DEFENSIV</t>
  </si>
  <si>
    <t>STRAITS FINANCIAL LLC</t>
  </si>
  <si>
    <t>TERM COMMODITIES, INC.</t>
  </si>
  <si>
    <t>RESCORP CONCEPTS SAPI DE CV</t>
  </si>
  <si>
    <t>US MOBILE CANADA INC</t>
  </si>
  <si>
    <t>ZOMORROD TRADING INC</t>
  </si>
  <si>
    <t>7TH AVENUE SKY PARTNERSHIP</t>
  </si>
  <si>
    <t>MASON DC ASSETS LLC</t>
  </si>
  <si>
    <t>AVIATION UNLIMITED (1990) INC.</t>
  </si>
  <si>
    <t>LEE WILLIAM NILSSON</t>
  </si>
  <si>
    <t>BELINDA STRONACH</t>
  </si>
  <si>
    <t>BANCO INVEX SA INSTITUCION DE BANCA MULTIPLE FIDEICOMISO 2556</t>
  </si>
  <si>
    <t>2744920 ONTARIO INC</t>
  </si>
  <si>
    <t>1978353 ONTARIO INC</t>
  </si>
  <si>
    <t>655 MAIN STREET EAST INC</t>
  </si>
  <si>
    <t>MONTEREY DC ASSETS LLC</t>
  </si>
  <si>
    <t>GRAHAM DAIRY FARMS LTD</t>
  </si>
  <si>
    <t>MAREX NORTH AMERICA LLC</t>
  </si>
  <si>
    <t>MCDAVID MILTON INC</t>
  </si>
  <si>
    <t>VONTIER CORPORATION</t>
  </si>
  <si>
    <t>PAPRIMA INDUSTRIES</t>
  </si>
  <si>
    <t>QACEL SYSTEMS LTD</t>
  </si>
  <si>
    <t>EL PALACIO DE HIERRO SA DE CV</t>
  </si>
  <si>
    <t>MR MATTHEW MALKIN</t>
  </si>
  <si>
    <t>STEDLO HOLDINGS LTD</t>
  </si>
  <si>
    <t>ACE RIVET AND FASTENER INC</t>
  </si>
  <si>
    <t>TERMINAL DE CRUCEROS PUNTA LANGOSTA COZUMEL SA DE CV</t>
  </si>
  <si>
    <t>JEFFREY KAUFMAN PROFESSIONAL CORPORATION</t>
  </si>
  <si>
    <t>POW RE CORPORATION 9408 3961 QUEBEC INC</t>
  </si>
  <si>
    <t>STEVESTED MACHINERY AND ENGINEERING LTD</t>
  </si>
  <si>
    <t>MULTIMERCADOS ZONALES S. A.</t>
  </si>
  <si>
    <t>PRINCIPAL SIEFORE BASICA 80 84 SA DE CV</t>
  </si>
  <si>
    <t>INGRUSUR SA DE CV</t>
  </si>
  <si>
    <t>PRINCIPAL SIEFORE BASICA 70 74 SA DE CV</t>
  </si>
  <si>
    <t>BCPS PSF SPV  LLC</t>
  </si>
  <si>
    <t>K2 PRINCIPAL FUND L.P.</t>
  </si>
  <si>
    <t>HEARTLAND PETROCHEMICAL LIMITED PARTNERSHIP</t>
  </si>
  <si>
    <t>HEARTLAND PETROCHEMICAL COMPLEX LTD</t>
  </si>
  <si>
    <t>RICHMOND VICTORIA LTD</t>
  </si>
  <si>
    <t>RED ENERGIA S DE RL DE CV</t>
  </si>
  <si>
    <t>AURIC SERVICES LLC</t>
  </si>
  <si>
    <t>TRAVIS AND JACLYN RIDDELL</t>
  </si>
  <si>
    <t>BASELL POLYOLEFINE GMBH</t>
  </si>
  <si>
    <t>PRINCIPAL SIEFORE BASICA 65 69 SA DE CV</t>
  </si>
  <si>
    <t>PRINCIPAL SIEFORE BASICA INICIAL SA DE CV</t>
  </si>
  <si>
    <t>PRINCIPAL SIEFORE BASICA 90 94 SA DE CV</t>
  </si>
  <si>
    <t>TEODORO MARTINEZ RAMOS</t>
  </si>
  <si>
    <t>NEW JERSEY RESOURCES CORPORATION</t>
  </si>
  <si>
    <t>CHEVRON GLOBAL ENERGY INC.</t>
  </si>
  <si>
    <t>DESARROLLOS PLAYA PRIETA DPP S.A</t>
  </si>
  <si>
    <t>ORANYA FARMS II HOLDINGS INC.</t>
  </si>
  <si>
    <t>CUSTOM AIR CONDITIONING LTD</t>
  </si>
  <si>
    <t>WANSOFT SAPI DE CV</t>
  </si>
  <si>
    <t>COMPANIA MINERA DOLORES SA DE CV</t>
  </si>
  <si>
    <t>KINOVA INC</t>
  </si>
  <si>
    <t>DMCC PERFORMANCE 1 TRUST</t>
  </si>
  <si>
    <t>DMCC HOLDINGS INC</t>
  </si>
  <si>
    <t>DGC VENTURES LTD</t>
  </si>
  <si>
    <t>DMCC AMERICAS INC</t>
  </si>
  <si>
    <t>KEEN AND ABLE LOGISTICS (VCR) INC</t>
  </si>
  <si>
    <t>AT AND T COMERCIALIZACION MOVIL S DE RL DE CV</t>
  </si>
  <si>
    <t>CIBANCO S A  INSTITUCION DE BANCA MULTIPLE  EN SU CARACTER DE FIDUCIARIO DEL CONTRATO DE FIDEICOMISO IRREVOCABLE DE ADMINISTRACION Y FUENTE DE PAGO NUMERO CIB 3327</t>
  </si>
  <si>
    <t>JUMP TRADING, LLC</t>
  </si>
  <si>
    <t>CURVATURE FUND LP</t>
  </si>
  <si>
    <t>CANLIFT EQUIPMENT LTD</t>
  </si>
  <si>
    <t>LOWER NICOLA CATTLE COMPANY LTD</t>
  </si>
  <si>
    <t>EMINUS SA DE CV</t>
  </si>
  <si>
    <t>RANSA COMERCIAL SA</t>
  </si>
  <si>
    <t>1934756 ONTARIO LIMITED</t>
  </si>
  <si>
    <t>SUMAS FEEDS HOLDINGS INC.</t>
  </si>
  <si>
    <t>98236659 MARKETING LTD</t>
  </si>
  <si>
    <t>385 PRINCESS ST LP</t>
  </si>
  <si>
    <t>EL CINE NOS MUEVE SAPI DE CV</t>
  </si>
  <si>
    <t>ENVY STORES S DE RL DE CV</t>
  </si>
  <si>
    <t>MOCHA MOTORS INC.</t>
  </si>
  <si>
    <t>DIGITAL REALTY TRUST INC</t>
  </si>
  <si>
    <t>KINGSETT 475 YONGE LP</t>
  </si>
  <si>
    <t>GROUPE INCURSION INC</t>
  </si>
  <si>
    <t>HOSPITALIDAD DE TIJUANA SA DE CV</t>
  </si>
  <si>
    <t>CANSO HURRICANE FUND</t>
  </si>
  <si>
    <t>EHP ADVANTAGE INTERNATIONAL FUND</t>
  </si>
  <si>
    <t>ARROW PERFORMANCE FUND</t>
  </si>
  <si>
    <t>Bernard &amp; Elaine Klop DBA Pacific Rim Dairies (A Partnership)</t>
  </si>
  <si>
    <t>VERISOURCE LTD</t>
  </si>
  <si>
    <t>CENTRAL TIRE SERVICE LIMITED</t>
  </si>
  <si>
    <t>BANCO INVEX SA INSTITUCION DE BANCA MULTIPLE INVEX GRUPO FINANCIERO EN SU CARACTER DE FIDUCIARIO DEL CONTRATO DE FIDEICOMISO IRREVOCABLE DE EMISION  ADMINISTRACION Y PAGO NUMERO 4011</t>
  </si>
  <si>
    <t>U S SILVER CORPORATION</t>
  </si>
  <si>
    <t>EFL FUTURES LIMITED</t>
  </si>
  <si>
    <t>TWO TWENTY RIVERSDALE HOLDINGS LTD</t>
  </si>
  <si>
    <t>BANCA AFIRME SA INSTITUCION DE BANCA MULTIPLE AFIRME GRUPO FINANCIERO FIDEICOMISO 79070</t>
  </si>
  <si>
    <t>SERVIACERO COMERCIAL SA DE CV</t>
  </si>
  <si>
    <t>SERVIACERO TUBULARES SA DE CV</t>
  </si>
  <si>
    <t>SYSCO CANADA INC</t>
  </si>
  <si>
    <t>1275 RYMAL ROAD INC</t>
  </si>
  <si>
    <t>PACIFIC WESTERN WOOD WORKS LTD</t>
  </si>
  <si>
    <t>ELM BUSINESS CENTRE MILTON INC</t>
  </si>
  <si>
    <t>INMOBILIARIA EMAR SA CV</t>
  </si>
  <si>
    <t>INMOBILIARIA EMAR SA DE CV</t>
  </si>
  <si>
    <t>CONVERTIDORA INDUSTRIAL SAB DE CV</t>
  </si>
  <si>
    <t>GRUPO DE TECNOLOGIA CIBERNETICA SA DE CV</t>
  </si>
  <si>
    <t>CONSULTORES MORFE SA DE CV</t>
  </si>
  <si>
    <t>1231541 BC LTD</t>
  </si>
  <si>
    <t>IMPERIAL GLOBAL EQUITY INCOME POOL</t>
  </si>
  <si>
    <t>FUSEFORWARD CLOUD SERVICES LTD</t>
  </si>
  <si>
    <t>PRINCIPAL SIEFORE BASICA 85 89 SA DE CV</t>
  </si>
  <si>
    <t>LAKEFISH NET AND TWINE LTD</t>
  </si>
  <si>
    <t>TD ACTIVE GLOBAL INFRASTRUCTURE EQUITY ETF TINF</t>
  </si>
  <si>
    <t>TD Q US LOW VOLATILITY ETF TULV</t>
  </si>
  <si>
    <t>FUSEFORWARD SOLUTIONS GROUP LTD</t>
  </si>
  <si>
    <t>PRINCIPAL SIEFORE BASICA 55 59 SA DE CV</t>
  </si>
  <si>
    <t>474947 ALBERTA LTD</t>
  </si>
  <si>
    <t>UNITED CORPORATIONS LIMITED</t>
  </si>
  <si>
    <t>2557904 ONTARIO INC</t>
  </si>
  <si>
    <t>2278197 ONTARIO LIMITED</t>
  </si>
  <si>
    <t>Boothbay Diversified Alpha Master Fund LP</t>
  </si>
  <si>
    <t>2000007 ONTARIO INC</t>
  </si>
  <si>
    <t>9300 2665 QUEBEC INC</t>
  </si>
  <si>
    <t>COSMOIFY INC</t>
  </si>
  <si>
    <t>PC TRUCKING INC</t>
  </si>
  <si>
    <t>9170-4767 QUEBEC INC</t>
  </si>
  <si>
    <t>496268 ONTARIO INC</t>
  </si>
  <si>
    <t>SUPER ABARROTES LUPITA SA DE CV</t>
  </si>
  <si>
    <t>SOLUTION TEK INC</t>
  </si>
  <si>
    <t>HUSSAIN ABOUD MEDICAL PROFESSIONAL CORPORATION</t>
  </si>
  <si>
    <t>CHARTER HALL LWR PTY LIMITED</t>
  </si>
  <si>
    <t>235 CARLAW LIMITED</t>
  </si>
  <si>
    <t>2444726 ONTARIO INC</t>
  </si>
  <si>
    <t>ZONA AZUL VENTURES INC</t>
  </si>
  <si>
    <t>WESTERN HARVEST BEAN ULC</t>
  </si>
  <si>
    <t>VIRTU FINANCIAL GLOBAL MARKETS LLC</t>
  </si>
  <si>
    <t>2718269 ONTARIO INC</t>
  </si>
  <si>
    <t>LATRUS INC</t>
  </si>
  <si>
    <t>CORNER BROOK PORT CORPORATION</t>
  </si>
  <si>
    <t>FOODEE MEDIA INC</t>
  </si>
  <si>
    <t>WOODSIDE FINANCE LIMITED</t>
  </si>
  <si>
    <t>CO-OPERATIVE SUPERANNUATION SOCIETY PENSION PLAN - CSS-MACK CUR HEDGE</t>
  </si>
  <si>
    <t>CO-OPERATIVE SUPERANNUATION SOCIETY PENSION PLAN</t>
  </si>
  <si>
    <t>TMB BANK PUBLIC COMPANY LIMITED</t>
  </si>
  <si>
    <t>TMB BANK PUBLIC CO LTD</t>
  </si>
  <si>
    <t>TRIPLE EIGHT TRANSPORT LTD</t>
  </si>
  <si>
    <t>PATTERSON-UTI MGMT SERVICES LLC</t>
  </si>
  <si>
    <t>MARTIN GOUIN</t>
  </si>
  <si>
    <t>CHEVALIER STAR TRADING CO LTD</t>
  </si>
  <si>
    <t>SCM LEASING LIMITED PARTNERSHIP</t>
  </si>
  <si>
    <t>ELECTRANET PTY LTD</t>
  </si>
  <si>
    <t>ELECTRANET PTY LIMITED</t>
  </si>
  <si>
    <t>SILVER HEIGHTS PROPERTIES LTD</t>
  </si>
  <si>
    <t>CHEMICOM INC</t>
  </si>
  <si>
    <t>ALL SPORT FLAG SHIP SA DE CV</t>
  </si>
  <si>
    <t>ELITE LOCKERS SA DE CV</t>
  </si>
  <si>
    <t>IMPULSORA DEPORTIVA DEL SURESTE SA DE CV</t>
  </si>
  <si>
    <t>3012352 MANITOBA LTD</t>
  </si>
  <si>
    <t>PRECISION HEAT TREAT LTD</t>
  </si>
  <si>
    <t>PERPETUAL (ASIA) LIMITED AS TRUSTEE OF KEPPEL PACIFIC OAK US REIT</t>
  </si>
  <si>
    <t>TRANSMONT DEVELOPMENT INC</t>
  </si>
  <si>
    <t>NORCARD ENTERPRISES LTD</t>
  </si>
  <si>
    <t>DIGIPUBLICENTRO SA DE CV</t>
  </si>
  <si>
    <t>MR SPORT GROUP SA DE CV</t>
  </si>
  <si>
    <t>CLEARING CORPORATION OF INDIA</t>
  </si>
  <si>
    <t>King's Lake Farms Ltd. EC Land Inc., Cas-Per Farms Inc, PC Land Inc. operating in a Joint Venture Cas-Grain Farms (Tisdale)</t>
  </si>
  <si>
    <t>CAS-GRAIN FARMS (TISDALE)</t>
  </si>
  <si>
    <t>COMERCIALIZADORA CANTU SA DE CV</t>
  </si>
  <si>
    <t>LEGACY WINDOWS INC</t>
  </si>
  <si>
    <t>EVOLUTION MINING GOLD OPERATIONS LTD.</t>
  </si>
  <si>
    <t>MANITOBAH MUKLUKS BLUE MOOSE CLOTHING COMPANY</t>
  </si>
  <si>
    <t>BLUE MOOSE CLOTHING COMPANY LTD</t>
  </si>
  <si>
    <t>NITRERA TECHNOLOGIES INC</t>
  </si>
  <si>
    <t>KENCAF IMPORTING &amp; DISTRIBUTING INC</t>
  </si>
  <si>
    <t>NATUGREEN SA DE CV</t>
  </si>
  <si>
    <t>VOLKSWAGEN FINANCE  PRIVATE LTD</t>
  </si>
  <si>
    <t>CELSIA COLOMBIA S.A. E.S.P</t>
  </si>
  <si>
    <t>PICTON MAHONEY FORTIFIED INCOME ALTERNATIVE FUND</t>
  </si>
  <si>
    <t>PICTON MAHONEY FORTIFIED ACTIVE EXTENSION ALTERNATIVE FUND</t>
  </si>
  <si>
    <t>XTRACKERS MSCI KOKUSAI EQUITY ETF</t>
  </si>
  <si>
    <t>DCMS REALTY (BELLEVILLE) LIMITED PARTNERSHIP</t>
  </si>
  <si>
    <t>2494747 ONTARIO LTD</t>
  </si>
  <si>
    <t>CENTURION APARTMENT PROPERTIES (167 KING) INC</t>
  </si>
  <si>
    <t>EAGLE VIEW FARMS LTD.</t>
  </si>
  <si>
    <t>EAGLE VIEW FARMS LTD</t>
  </si>
  <si>
    <t>HILTON CANADA CO</t>
  </si>
  <si>
    <t>HJS WHOLESALE LTD</t>
  </si>
  <si>
    <t>AXTEL SAB DE CV</t>
  </si>
  <si>
    <t>ARNOLD BROS TRANSPORT LTD.</t>
  </si>
  <si>
    <t>NANDALE 2018 LTD</t>
  </si>
  <si>
    <t>EMERSON MILLING REALTY LTD</t>
  </si>
  <si>
    <t>IG MACKENZIE CANADIAN SMALL MID CAP FUND II</t>
  </si>
  <si>
    <t>NORTHPOINT TECHNICAL SERVICES ULC</t>
  </si>
  <si>
    <t>MUFG BANK LTD (HONG KONG)</t>
  </si>
  <si>
    <t>ORLA MINING LTD</t>
  </si>
  <si>
    <t>CATALYST ENTERPRISE INC</t>
  </si>
  <si>
    <t>CIBC ASSET MANAGEMENT INC. AS AGENT</t>
  </si>
  <si>
    <t>VIH AVIATION GROUP LTD</t>
  </si>
  <si>
    <t>SEABANK VENTURES INC</t>
  </si>
  <si>
    <t>CIBC SHORT-TERM INCOME FUND</t>
  </si>
  <si>
    <t>CIBC CANADIAN SMALL CAP FUND</t>
  </si>
  <si>
    <t>CIBC U.S. BROAD MARKET INDEX FUND</t>
  </si>
  <si>
    <t>CIBC GLOBAL BOND INDEX FUND</t>
  </si>
  <si>
    <t>CIBC EMERGING MARKETS INDEX FUND</t>
  </si>
  <si>
    <t>CIBC US DOLLAR MANAGED INCOME PORTFOLIO</t>
  </si>
  <si>
    <t>CIBC U.S. DOLLAR MANAGED BALANCED PORTFOLIO</t>
  </si>
  <si>
    <t>CIBC US DOLLAR MANAGED GROWTH PORTFOLIO</t>
  </si>
  <si>
    <t>ECOLOMONDO ENVIRONMENTAL HAWKESBURY INC</t>
  </si>
  <si>
    <t>MOKA FINANCIAL TECHNOLOGIES INC</t>
  </si>
  <si>
    <t>U M LUXE CORPORATION</t>
  </si>
  <si>
    <t>CIBC INTERNATIONAL EQUITY POOL</t>
  </si>
  <si>
    <t>CIBC ACTIVE GLOBAL CURRENCY POOL</t>
  </si>
  <si>
    <t>CIBC SHORT TERM PRIVATE DEBT POOL</t>
  </si>
  <si>
    <t>CIBC LONG TERM PRIVATE DEBT POOL</t>
  </si>
  <si>
    <t>CIBC CANADIAN BOND CORE PLUS POOL</t>
  </si>
  <si>
    <t>CIBC HIGH YIELD BOND POOL</t>
  </si>
  <si>
    <t>CIBC CANADIAN CORE PLUS LONG BOND POOL</t>
  </si>
  <si>
    <t>44-50 FASKEN PROPERTY LTD</t>
  </si>
  <si>
    <t>MARYLOU ENTERPRISES LIMITED AND NG MARIN INC</t>
  </si>
  <si>
    <t>CORPORACION NOVAVISION S DE RL DE CV</t>
  </si>
  <si>
    <t>IMPERIAL CANADIAN BOND POOL</t>
  </si>
  <si>
    <t>CIBC GLOBAL EQUITY FUND</t>
  </si>
  <si>
    <t>G. H. FINANCIALS, LLC</t>
  </si>
  <si>
    <t>IMPERIAL U.S. EQUITY POOL</t>
  </si>
  <si>
    <t>IMPERIAL U.S. EQUITY POOL 25029</t>
  </si>
  <si>
    <t>KLA CORPORATION</t>
  </si>
  <si>
    <t>IWIRE</t>
  </si>
  <si>
    <t>KANE CONSULTING SERVICES LTD</t>
  </si>
  <si>
    <t>STEELEJET LIMITED</t>
  </si>
  <si>
    <t>TRADESTATION SECURITIES, INC.</t>
  </si>
  <si>
    <t>DELHOME FARMS LTD</t>
  </si>
  <si>
    <t>RIDGEVILLE HOLDING COMPANY LTD</t>
  </si>
  <si>
    <t>CONSERVATIVE INCOME PORTFOLIO</t>
  </si>
  <si>
    <t>BALANCED INCOME PORTFOLIO</t>
  </si>
  <si>
    <t>ENHANCED INCOME PORTFOLIO</t>
  </si>
  <si>
    <t>CIBC ACTIVE INVESTMENT GRADE FLOATING RATE BOND ETF</t>
  </si>
  <si>
    <t>CIBC ACTIVE INVESTMENT GRADE CORPORATE BOND ETF</t>
  </si>
  <si>
    <t>RENAISSANCE CANADIAN BOND FUND</t>
  </si>
  <si>
    <t>CIBC BALANCED FUND</t>
  </si>
  <si>
    <t>CIBC BALANCED FUND (29666)</t>
  </si>
  <si>
    <t>TGI HIMALAYA SA DE CV</t>
  </si>
  <si>
    <t>RENAISSANCE GLOBAL BOND PRIVATE POOL</t>
  </si>
  <si>
    <t>RENAISSANCE GLOBAL BOND PRIVATE POOL 29302</t>
  </si>
  <si>
    <t>RENAISSANCE GLOBAL BOND PRIVATE POOL 29303</t>
  </si>
  <si>
    <t>RENAISSANCE GLOBAL BOND PRIVATE POOL 29301</t>
  </si>
  <si>
    <t>RENAISSANCE MULTI SECTOR FIXED INCOME PRIVATE POOL</t>
  </si>
  <si>
    <t>RENAISSANCE MULTI-SECTOR FIXED INCOME PRIVATE POOL</t>
  </si>
  <si>
    <t>RENAISSANCE MULTI ASSET GLOBAL BALANCED INCOME PRIVATE POOL</t>
  </si>
  <si>
    <t>RENAISSANCE MULTI ASSET GLOBAL BALANCED PRIVATE POOL</t>
  </si>
  <si>
    <t>RENAISSANCE GLOBAL SCIENCE &amp; TECHNOLOGY FUND</t>
  </si>
  <si>
    <t>CIBC MULTI ASSET ABSOLUTE RETURN STRATEGY 28855</t>
  </si>
  <si>
    <t>CIBC MULTI ASSET ABSOLUTE RETURN STRATEGY 28856</t>
  </si>
  <si>
    <t>CIBC MULTI ASSET ABSOLUTE RETURN STRATEGY 28857</t>
  </si>
  <si>
    <t>CIBC MULTI ASSET ABSOLUTE RETURN STRATEGY 28858</t>
  </si>
  <si>
    <t>CIBC MULTI ASSET ABSOLUTE RETURN STRATEGY 28859</t>
  </si>
  <si>
    <t>CIBC MULTI-ASSET ABSOLUTE RETURN STRATEGY</t>
  </si>
  <si>
    <t>CIBC MULTI ASSET ABSOLUTE RETURN STRATEGY</t>
  </si>
  <si>
    <t>CIBC MULTI ASSET ABSOLUTE RETURN STRATEGY 28854</t>
  </si>
  <si>
    <t>EECOL ELECTRIC CORP</t>
  </si>
  <si>
    <t>TARION WARRANTY CORPORATION</t>
  </si>
  <si>
    <t>WESTINGHOUSE RAILWAY CANADA LTD.</t>
  </si>
  <si>
    <t>U.A. LOCAL UNION 628 PLUMBING AND PIPEFITTING MEMBERS PENSION TRUST FUND</t>
  </si>
  <si>
    <t>SPRINKLER INDUSTRY PENSION PLAN</t>
  </si>
  <si>
    <t>CORE RENTAL SERVICES LTD</t>
  </si>
  <si>
    <t>SCM PRODUCTS INC</t>
  </si>
  <si>
    <t>9415-7633 QUEBEC INC AND 9415-9472 QUEBEC INC</t>
  </si>
  <si>
    <t>401 DIXIE HOLDINGS INC.</t>
  </si>
  <si>
    <t>SASKATCHEWAN PIPING INDUSTRY PENSION TRUST FUND</t>
  </si>
  <si>
    <t>U.A. CANADIAN PIPELINE INDUSTRY NATIONAL PENSION TRUST FUND</t>
  </si>
  <si>
    <t>STONDEX GSQ SAPI DE CV</t>
  </si>
  <si>
    <t>CMP AUTOMATION INC</t>
  </si>
  <si>
    <t>RENAISSANCE US EQUITY GROWTH CURRENCY NEUTRAL FUND</t>
  </si>
  <si>
    <t>RENAISSANCE OPTIMAL GLOBAL EQUITY CURRENCY NEUTRAL PORTFOLIO</t>
  </si>
  <si>
    <t>RENAISSANCE GLOBAL GROWTH CURRENCY NEUTRAL FUND</t>
  </si>
  <si>
    <t>C.L. BENNINGER EQUIPMENT (1995) LTD.</t>
  </si>
  <si>
    <t>C L BENNINGER EQUIPMENT 1995 LTD</t>
  </si>
  <si>
    <t>AV GROUP NB INC</t>
  </si>
  <si>
    <t>JD IRVING LIMITED</t>
  </si>
  <si>
    <t>RBC CHINA EQUITY FUND</t>
  </si>
  <si>
    <t>RBC QUBE LOW VOLATILITY EMERGING MARKETS EQUITY FUND</t>
  </si>
  <si>
    <t>ZAYO GROUP HOLDINGS INC</t>
  </si>
  <si>
    <t>DIRECT ACCESS USA LLC</t>
  </si>
  <si>
    <t>WELLINGTON FERTILIZER INC</t>
  </si>
  <si>
    <t>RENAISSANCE GLOBAL INFRASTRUCTURE CURRENCY NEUTRAL FUND</t>
  </si>
  <si>
    <t>RICHSTONE FINE FOODS LTD</t>
  </si>
  <si>
    <t>SILVER KING HELICOPTERS INC</t>
  </si>
  <si>
    <t>ALBUNA FARMS INC</t>
  </si>
  <si>
    <t>BRIGHTSTONE COLONY FARMS LTD</t>
  </si>
  <si>
    <t>CIELO VISTA FARMS INC</t>
  </si>
  <si>
    <t>CIBC CANADIAN EQUITY FUND</t>
  </si>
  <si>
    <t>CIBC DIVIDEND GROWTH FUND</t>
  </si>
  <si>
    <t>CMS ENERGY CORPORATION</t>
  </si>
  <si>
    <t>2514351 ONTARIO INC</t>
  </si>
  <si>
    <t>2543133 ONTARIO INC</t>
  </si>
  <si>
    <t>DRIFTWOOD DIAMOND DRILLING LTD</t>
  </si>
  <si>
    <t>FLYING FRESH AIR FREIGHT</t>
  </si>
  <si>
    <t>INTERCAP REAL ESTATE INC</t>
  </si>
  <si>
    <t>RENAISSANCE OPTIMAL INFLATION OPPORTUNITIES PORTFOLIO</t>
  </si>
  <si>
    <t>RENAISSANCE CANADIAN BALANCED FUND</t>
  </si>
  <si>
    <t>RENAISSANCE CANADIAN BALANCED FUND (29662)</t>
  </si>
  <si>
    <t>CIBC ASIA PACIFIC FUND</t>
  </si>
  <si>
    <t>CIBC CORE PLUS FIXED INCOME POOL</t>
  </si>
  <si>
    <t>KHANNA TRANSPORT INC</t>
  </si>
  <si>
    <t>CIBC GLOBAL TECHNOLOGY FUND</t>
  </si>
  <si>
    <t>CIBC EUROPEAN EQUITY FUND</t>
  </si>
  <si>
    <t>CIBC ENERGY FUND</t>
  </si>
  <si>
    <t>TNT FINANCE B.V.</t>
  </si>
  <si>
    <t>CIBC US INDEX FUND</t>
  </si>
  <si>
    <t>CIBC DIVIDEND INCOME FUND</t>
  </si>
  <si>
    <t>CIBC FINANCIAL COMPANIES FUND</t>
  </si>
  <si>
    <t>CIBC CANADIAN EQUITY VALUE FUND</t>
  </si>
  <si>
    <t>CIBC INTERNATIONAL INDEX FUND</t>
  </si>
  <si>
    <t>CIBC EUROPEAN INDEX FUND</t>
  </si>
  <si>
    <t>10019038 CANADA LTD</t>
  </si>
  <si>
    <t>COMPANIA DE SEGUROS DE VIDA CAMARA SA</t>
  </si>
  <si>
    <t>CIBC MONTHLY INCOME FUND</t>
  </si>
  <si>
    <t>CIBC MONTHLY INCOME FUND (29664)</t>
  </si>
  <si>
    <t>SERVI AGRO S DE RL DE CV</t>
  </si>
  <si>
    <t>MHZ-NA INC</t>
  </si>
  <si>
    <t>CIBC ASIA PACIFIC INDEX FUND</t>
  </si>
  <si>
    <t>CIBC NASDAQ INDEX FUND</t>
  </si>
  <si>
    <t>RENAISSANCE CANADIAN MONTHLY INCOME FUND</t>
  </si>
  <si>
    <t>RENAISSANCE CANADIAN MONTHLY INCOME FUND (29663)</t>
  </si>
  <si>
    <t>CIBC GLOBAL MONTHLY INCOME FUND 29677</t>
  </si>
  <si>
    <t>CIBC GLOBAL MONTHLY INCOME FUND 29678</t>
  </si>
  <si>
    <t>CIBC GLOBAL MONTHLY INCOME FUND (29665)</t>
  </si>
  <si>
    <t>CIBC GLOBAL MONTHLY INCOME FUND</t>
  </si>
  <si>
    <t>PAUL AND SHAWNA CHADDOCK</t>
  </si>
  <si>
    <t>RENAISSANCE REAL RETURN BOND FUND</t>
  </si>
  <si>
    <t>RENAISSANCE CANADIAN DIVIDEND FUND</t>
  </si>
  <si>
    <t>RENAISSANCE CORPORATE BOND FUND</t>
  </si>
  <si>
    <t>CIBC CANADIAN BOND OVERLAY POOL</t>
  </si>
  <si>
    <t>Chan, Dorothy &amp; Hoy, Kenny</t>
  </si>
  <si>
    <t>RENAISSANCE CANADIAN SMALL CAP FUND</t>
  </si>
  <si>
    <t>NOSTRUM CAPITAL CORPORATION</t>
  </si>
  <si>
    <t>BMT CANADA LTD</t>
  </si>
  <si>
    <t>ADVANTAGE DISTRIBUTION LTD</t>
  </si>
  <si>
    <t>COSMO TRUST INC</t>
  </si>
  <si>
    <t>CORPORATIVO LAUDEX SAPI DE CV SOFOM ENR</t>
  </si>
  <si>
    <t>GENERATION 5 AG VENTURES LTD</t>
  </si>
  <si>
    <t>PARKWAY VIEWS PROPERTY LP</t>
  </si>
  <si>
    <t>ITAU ALLOCATION FUND SPC FOR AND ON BEHALF  ITAU GLOBAL OPPORTUNITIES FUND SEGREGATED PORTFOLIO CDEA</t>
  </si>
  <si>
    <t>CIBC CANADIAN BOND CORPORATE INVESTEMENTS GRADE</t>
  </si>
  <si>
    <t>1945744 ONTARIO INC</t>
  </si>
  <si>
    <t>CANADIAN COMMERCIAL WORKERS INDUSTRY PENSION PLAN TRUST FUND</t>
  </si>
  <si>
    <t>GEORGE WESTON LIMITED REAL ASSETS MASTER TRUST FUND</t>
  </si>
  <si>
    <t>GEORGE WESTON LIMITED RETURN SEEKING MASTER TRUST FUND</t>
  </si>
  <si>
    <t>WSIB INVESTMENTS (TOTAL RETURN) POOLED FUND TRUST</t>
  </si>
  <si>
    <t>BOMBARDIER TRUST CANADA GLOBAL BOND FUND</t>
  </si>
  <si>
    <t>THE TRUSTEES OF THE GENERAL SYNOD OF THE ANGLICAN CHURCH OF CANADA PENSION FUND</t>
  </si>
  <si>
    <t>REGIME DE RETRAITE DES EMPLOYES DE LA VILLE DE LAVAL</t>
  </si>
  <si>
    <t>TEACHERS PENSION PLAN FUND</t>
  </si>
  <si>
    <t>TEACHERS PENSION PLAN FUND (13651)</t>
  </si>
  <si>
    <t>TEACHERS PENSION PLAN FUND (13653)</t>
  </si>
  <si>
    <t>TEACHERS PENSION PLAN FUND (13652)</t>
  </si>
  <si>
    <t>TRANSALTA CORPORATION PENSION PLAN</t>
  </si>
  <si>
    <t>OWENS CORNING CANADA INC. CONSOLIDATED RETIREMENT PLAN</t>
  </si>
  <si>
    <t>HATTON NATIONAL BANK PLC SRI LANKA</t>
  </si>
  <si>
    <t>BROCK UNIVERSITY PENSION PLAN</t>
  </si>
  <si>
    <t>SRS REALTY GROUP INC</t>
  </si>
  <si>
    <t>CELL FOODS INC.</t>
  </si>
  <si>
    <t>CC&amp;L Q EMERGING MARKETS EQUITY UCITS FUND</t>
  </si>
  <si>
    <t>DWC ENTERTAINMENT INC</t>
  </si>
  <si>
    <t>SARCAN AUSTIN INC</t>
  </si>
  <si>
    <t>SENTRY US MONTHLY INCOME FUND - EQUITY</t>
  </si>
  <si>
    <t>COSMIC PLANTS INC</t>
  </si>
  <si>
    <t>NT GLOBAL MARKETING INC</t>
  </si>
  <si>
    <t>TERRA CO2 TECHNOLOGIES LTD</t>
  </si>
  <si>
    <t>JZ LINK SA DE CV</t>
  </si>
  <si>
    <t>GWILLIMDALE FARMS LIMITED</t>
  </si>
  <si>
    <t>VANTI S.A. ESP</t>
  </si>
  <si>
    <t>COMPANIA MINERA AUTLAN SAB DE CV</t>
  </si>
  <si>
    <t>FERGU IMPORT SA DE CV</t>
  </si>
  <si>
    <t>EXPANSION EMPIRIA SA DE CV</t>
  </si>
  <si>
    <t>DARTMOUTH INVESTMENTS LTD</t>
  </si>
  <si>
    <t>THE BOMBARDIER TRUST (UK)</t>
  </si>
  <si>
    <t>MULTI SPORTS SA DE CV</t>
  </si>
  <si>
    <t>MEYERS HOLDINGS</t>
  </si>
  <si>
    <t>1703334 ONTARIO INC</t>
  </si>
  <si>
    <t>LE GROUPE ADMINISTRATIF UNIVERSALIA LIMITEE</t>
  </si>
  <si>
    <t>LE GROUPE ADMINSTRATIF UNIVERSALIA</t>
  </si>
  <si>
    <t>SCHOOTEN HOLDINGS LTD</t>
  </si>
  <si>
    <t>SERFAS HOLDINGS LTD</t>
  </si>
  <si>
    <t>ALIMENTOS BALANCEADOS LORGAM SA DE CV</t>
  </si>
  <si>
    <t>CANADIAN EQUITY ALPHA CORPORATE CLASS</t>
  </si>
  <si>
    <t>RSB TRANSMISSIONS DE MEXICO S DE RL DE CV</t>
  </si>
  <si>
    <t>GULFDREAM LIMITED PARTNERSHIP</t>
  </si>
  <si>
    <t>PRO-LINE CONSTRUCTION MATERIALS LTD</t>
  </si>
  <si>
    <t>PRO LINE CONSTRUCTION MATERIALS LTD</t>
  </si>
  <si>
    <t>AGROPECUARIA PUEBLO BONITO SA DE CV</t>
  </si>
  <si>
    <t>IRRITEC MEXICO SISTEMAS DE RIEGO SA DE CV</t>
  </si>
  <si>
    <t>CI AMERICAN SMALL COMPANIES FUND</t>
  </si>
  <si>
    <t>CI INTERNATIONAL VALUE FUND</t>
  </si>
  <si>
    <t>ALIVE PUBLISHING GROUP INC</t>
  </si>
  <si>
    <t>SAPPHIRE CAPITAL LP</t>
  </si>
  <si>
    <t>OUTRE ATLANTIQUE INC</t>
  </si>
  <si>
    <t>CREDIX GS SA DE CV SOFOM ENR</t>
  </si>
  <si>
    <t>GREEN PLANET HOME SERVICES INC</t>
  </si>
  <si>
    <t>ALTMEDIA VENTURES INC</t>
  </si>
  <si>
    <t>GRUPO AGRO ESTACION SAPI DE CV</t>
  </si>
  <si>
    <t>CLARION MEDICAL TECHNOLOGIES INC</t>
  </si>
  <si>
    <t>KJM FARMS LTD</t>
  </si>
  <si>
    <t>CATERPILLAR FINANCIAL SERVICES LIMITED</t>
  </si>
  <si>
    <t>CATERPILLAR FINANCIAL SERVICES LIMITED LES SERVICES FINANCIERS CATERPILLAR LIMITEE</t>
  </si>
  <si>
    <t>GRANITE CENTRE HOLDINGS INC</t>
  </si>
  <si>
    <t>EONCA CORPORATION</t>
  </si>
  <si>
    <t>SERVICE MANAGMENT SOLUTIONS MEXICO SA DE CV</t>
  </si>
  <si>
    <t>SERVICIOS Y FINANCIAMIENTO AGRICOLA SA DE CV SOFOM ENR</t>
  </si>
  <si>
    <t>JP MORGAN CHASE BANK,</t>
  </si>
  <si>
    <t>CATERPILLAR FINANCIAL COMMERCIAL ACCOUNT CORPORATION</t>
  </si>
  <si>
    <t>MCMANES DEVELOPMENTS LTD</t>
  </si>
  <si>
    <t>VAN MEEKEREN FARMS LIMITED</t>
  </si>
  <si>
    <t>CI GLOBAL LONGEVITY ECONOMY FUND</t>
  </si>
  <si>
    <t>ENR CHI II SA DE CV</t>
  </si>
  <si>
    <t>SISTEMA DE RIEGO Y AGROQUIMICOS PUEBLO BONITO SA DE CV</t>
  </si>
  <si>
    <t>CI GLOBAL INFRASTRUCTURE PRIVATE POOL</t>
  </si>
  <si>
    <t>RIVERSTONE TIMBERWALK LIMITED PARTNERSHIP</t>
  </si>
  <si>
    <t>ALTERNATIVE BELTING VAN ISLAND ENTERPRISES LTD</t>
  </si>
  <si>
    <t>ALTERNATIVE STEEL FABRICATING LTD</t>
  </si>
  <si>
    <t>NEXT PATHWAY INC</t>
  </si>
  <si>
    <t>GREEN LIFE FARMS LTD</t>
  </si>
  <si>
    <t>ABASTIBLE S.A.</t>
  </si>
  <si>
    <t>CI GLOBAL REIT PRIVATE POOL</t>
  </si>
  <si>
    <t>CI GLOBAL REAL ASSET PRIVATE POOL</t>
  </si>
  <si>
    <t>MACKENZIE - IG CANADIAN CORPORATE BOND POOL</t>
  </si>
  <si>
    <t>INMOBILIARIA TRANSPARQUE SA DE CV</t>
  </si>
  <si>
    <t>FRONTPACK INMOBILIARIA S DE RL DE CV</t>
  </si>
  <si>
    <t>INMOBILIARIA PASEO DE LA REFORMA SA DE CV</t>
  </si>
  <si>
    <t>MACKENZIE - IG CANADIAN EQUITY INCOME POOL SLEEVE 1</t>
  </si>
  <si>
    <t>MACKENZIE - IG CANADIAN EQUITY INCOME POOL</t>
  </si>
  <si>
    <t>MACKENZIE - IG CANADIAN EQUITY INCOME POOL SLEEVE 2</t>
  </si>
  <si>
    <t>MACKENZIE - IG GLOBAL CREDIT OPPORTUNITIES POOL</t>
  </si>
  <si>
    <t>SEDE INMOBILIARIA SA DE CV</t>
  </si>
  <si>
    <t>AMP SOLAR GROUP INC</t>
  </si>
  <si>
    <t>APEX TRADES &amp;  EXPORT CORP</t>
  </si>
  <si>
    <t>DAKIA CANADA INC</t>
  </si>
  <si>
    <t>DEMIR ENGINEERING LTD</t>
  </si>
  <si>
    <t>CASAS ONNI ENSENADA SA DE CV</t>
  </si>
  <si>
    <t>ONNI ENSENADA SA DE CV</t>
  </si>
  <si>
    <t>RGA LIFE REINSURANCE COMPANY OF CANADA</t>
  </si>
  <si>
    <t>MCAP CORPORATION</t>
  </si>
  <si>
    <t>MCAP</t>
  </si>
  <si>
    <t>PREVENCION Y SOLUCIONES K-B SA DE CV</t>
  </si>
  <si>
    <t>INTEGRACION INMOBILIARIA SA DE CV</t>
  </si>
  <si>
    <t>GROUPE MACH INC</t>
  </si>
  <si>
    <t>MACKENZIE - IG GLOBAL BOND POOL</t>
  </si>
  <si>
    <t>TRANSCANADA GAS STORAGE PARTNERSHIP</t>
  </si>
  <si>
    <t>IMPERIAL INTERNATIONAL EQUITY POOL</t>
  </si>
  <si>
    <t>IMPERIAL INTERNATIONAL EQUITY POOL (29672)</t>
  </si>
  <si>
    <t>CIBC CANADIAN BOND FUND</t>
  </si>
  <si>
    <t>CALIBER EQUIPMENT LTD</t>
  </si>
  <si>
    <t>CREATIONS FOODS LTD</t>
  </si>
  <si>
    <t>THE BUTTERFIELD CORPORATION (Foley, Broderick LLP)</t>
  </si>
  <si>
    <t>PRAIRIE FLOUR REALTY LTD</t>
  </si>
  <si>
    <t>PIMCO FUNDS: EMD2612</t>
  </si>
  <si>
    <t>PENSION RESERVES INVESTMENT TRUST FUND-194</t>
  </si>
  <si>
    <t>PIMCO FUNDS: 3194</t>
  </si>
  <si>
    <t>CONSTRUCTORES DE DESARROLLADORES Y ASOCIADOS SA DE CV</t>
  </si>
  <si>
    <t>SUNALTA FARMS INC</t>
  </si>
  <si>
    <t>RENAISSANCE INTERNATIONAL EQUITY CURRENCY NEUTRAL FUND</t>
  </si>
  <si>
    <t>RENAISSANCE GLOBAL FOCUS CURRENCY NEUTRAL FUND</t>
  </si>
  <si>
    <t>RENAISSANCE U.S. EQUITY CURRENCY NEUTRAL PRIVATE POOL</t>
  </si>
  <si>
    <t>RENAISSANCE GLOBAL REAL ESTATE CURRENCY NEUTRAL FUND</t>
  </si>
  <si>
    <t>YOGTI INC</t>
  </si>
  <si>
    <t>PROMAC INDUSTRIES LTD</t>
  </si>
  <si>
    <t>NITMOI LABS INC</t>
  </si>
  <si>
    <t>RAMPS LOGISTICS S DE RL DE CV</t>
  </si>
  <si>
    <t>GPMX INFRAESTRUCTURA SA DE CV</t>
  </si>
  <si>
    <t>CROWN/POLAR SEGREGATED PORTFOLIO</t>
  </si>
  <si>
    <t>RENAISSANCE HIGH YIELD BOND FUND</t>
  </si>
  <si>
    <t>OWENS CORNING CANADIAN RETIREMENT PLAN</t>
  </si>
  <si>
    <t>RENAISSANCE CANADIAN CORE VALUE FUND</t>
  </si>
  <si>
    <t>RENAISSANCE DIVERSIFIED INCOME FUND</t>
  </si>
  <si>
    <t>RENAISSANCE CANADIAN ALL CAP EQUITY FUND</t>
  </si>
  <si>
    <t>PRODUCTORA DE AGAVES DEL BAJO SA DE CV</t>
  </si>
  <si>
    <t>WEALTHSIMPLE NORTH AMERICA SOCIALLY RESPONSIBLE INDEX ETF</t>
  </si>
  <si>
    <t>WEALTHSIMPLE DEVELOPED MARKETS EX NORTH AMERICA SOCIALLY RESPONSIBLE INDEX ETF</t>
  </si>
  <si>
    <t>PENSION PLAN FOR EMPLOYEES OF HEBREW DAY SCHOOLS</t>
  </si>
  <si>
    <t>GLOBAL FOOD AND INGREDIENTS INC</t>
  </si>
  <si>
    <t>NORTHLAND DAIRY LTD</t>
  </si>
  <si>
    <t>LANGFAB FABRICATORS LTD</t>
  </si>
  <si>
    <t>1749348 ONTARIO INC (OA TILLSONBURG CUSTOM FOODS)</t>
  </si>
  <si>
    <t>ILS FINANCING CORPORATION</t>
  </si>
  <si>
    <t>PLASTIQUE POLYDX INC</t>
  </si>
  <si>
    <t>GLOBAL SANITATION SOLUTIONS LTD</t>
  </si>
  <si>
    <t>PROMOTORA DE INMUEBLES SA DE CV</t>
  </si>
  <si>
    <t>DC OLIPHANT FARMS LTD</t>
  </si>
  <si>
    <t>MACKENZIE ALTERNATIVE ENHANCED YIELD FUN</t>
  </si>
  <si>
    <t>IG MACKENZIE GLOBAL FUND II (FKA IG AGF GLOBAL EQUITY FUND)</t>
  </si>
  <si>
    <t>NCR-T</t>
  </si>
  <si>
    <t>671851 ONTARIO LIMITED O/A E.B. BOX COMPANY</t>
  </si>
  <si>
    <t>DESARROLLO INDUSTRIAL PROGRESO SA DE CV</t>
  </si>
  <si>
    <t>THE GOVERNORS OF THE UNIVERSITY OF CALGARY</t>
  </si>
  <si>
    <t>THUNDER SEED CANADA INC</t>
  </si>
  <si>
    <t>RGA AMERICAS REINSURANCE COMPANY LTD</t>
  </si>
  <si>
    <t>RAZIR TRANSPORT SERVICES LTD</t>
  </si>
  <si>
    <t>IDBI BANK</t>
  </si>
  <si>
    <t>LEEWAY YACHTS LTD</t>
  </si>
  <si>
    <t>HAZAEL ANGEL PEREZ DUARTE</t>
  </si>
  <si>
    <t>MONDO FLOORS INC</t>
  </si>
  <si>
    <t>INDIAN BANK</t>
  </si>
  <si>
    <t>GAVILON AGRICULTURE INVESTMENT, INC</t>
  </si>
  <si>
    <t>J.E.B. TRANSPORT LTD</t>
  </si>
  <si>
    <t>FONDO ACTINVER OPORTUNIDADES 3 SA DE CV FIRV</t>
  </si>
  <si>
    <t>NO TILT MEDIA SAPI DE CV</t>
  </si>
  <si>
    <t>SILPIT INDUSTRIES CO. LTD.</t>
  </si>
  <si>
    <t>GRUPO CEMENTOS DE CHIHUAHUA SAB DE CV</t>
  </si>
  <si>
    <t>EMPRESAS PUBLICAS DE MEDELLIN SA ESP</t>
  </si>
  <si>
    <t>WINDSET FARMS CALIFORNIA LP</t>
  </si>
  <si>
    <t>GREENHOUSE GROWN FOODS INC</t>
  </si>
  <si>
    <t>GREENHOUSE GROWN FOODS INC DBA WINDSET FARMS</t>
  </si>
  <si>
    <t>DP STEEL INC</t>
  </si>
  <si>
    <t>CONTRACTECH SA DE CV</t>
  </si>
  <si>
    <t>SOUTH32 TREASURY LIMITED</t>
  </si>
  <si>
    <t>KOREA EXCHANGE BANK</t>
  </si>
  <si>
    <t>KEB HANA BANK</t>
  </si>
  <si>
    <t>HANA BANK</t>
  </si>
  <si>
    <t>MAPLE LANE DAIRY FARMS INC</t>
  </si>
  <si>
    <t>VTR Comunicaciones SpA y Filial (ex VTR Wireless SpA)</t>
  </si>
  <si>
    <t>OPERADORA COMERCIAL INTERNACIONAL G400 SA DE CV</t>
  </si>
  <si>
    <t>INMOBILIARIA OPEL SAPI DE CV</t>
  </si>
  <si>
    <t>GLOBAL SOLUTIONS MEDIA SA DE CV</t>
  </si>
  <si>
    <t>LEONALI S DE RL DE CV</t>
  </si>
  <si>
    <t>TRANSPORTES ONLINE S DE RL DE CV</t>
  </si>
  <si>
    <t>ARRENDADORA CONSTRUPLAN SA DE CV</t>
  </si>
  <si>
    <t>CYDSA SAB DE CV</t>
  </si>
  <si>
    <t>CI U.S. EQUITY CURRENCY NEUTRAL PRIVATE POOL CLASS</t>
  </si>
  <si>
    <t>OAPLE FOREST PRODUCTS LTD</t>
  </si>
  <si>
    <t>CAOBA INVERSIONES S A S</t>
  </si>
  <si>
    <t>ALPHA SP OF GENOA GLOBAL FUND SPC - CDEA</t>
  </si>
  <si>
    <t>TEKNACORP SUMINISTROS ESPECIALIZADOS DE MEXICO SA DE CV</t>
  </si>
  <si>
    <t>PROMISED LAND LTD</t>
  </si>
  <si>
    <t>SURGENOR NATIONAL LEASING LIMITED</t>
  </si>
  <si>
    <t>9410-3264 QUEBEC INC</t>
  </si>
  <si>
    <t>5031766 ONTARIO INC</t>
  </si>
  <si>
    <t>WPT INDUSTRIAL LP</t>
  </si>
  <si>
    <t>MPH CREATIONS INC</t>
  </si>
  <si>
    <t>UNITED BARCODE SYSTEMS DE MEXICO SA DE CV</t>
  </si>
  <si>
    <t>ALVEOKAPITAL SAPI DE CV</t>
  </si>
  <si>
    <t>EPIC INVESTMENT COMPANY SAPI DE CV</t>
  </si>
  <si>
    <t>GOELECTRIC VEHICLE CORPORATION</t>
  </si>
  <si>
    <t>FLAMBORO TECHNICAL SERVICES INC</t>
  </si>
  <si>
    <t>APOGEE CERAMICS INC</t>
  </si>
  <si>
    <t>REGIME DE RENTES DU MOUVEMENT DESJARDINS</t>
  </si>
  <si>
    <t>RENOUVEAU LA FONTAINE INC</t>
  </si>
  <si>
    <t>FURA INTERNATIONAL AD MEXICO SA DE CV</t>
  </si>
  <si>
    <t>CEGA CORPORATIVO SA DE CV</t>
  </si>
  <si>
    <t>IBM PERSONAL PENSION PLAN TRUST</t>
  </si>
  <si>
    <t>MACKENZIE GLOBAL LOW VOLATILITY EQUITY FUND</t>
  </si>
  <si>
    <t>MACKENZIE US CORE EQUITY FUND</t>
  </si>
  <si>
    <t>CALIFORNIA STATE TEACHERS RETIREMENT SYSTEM (CALSTRS)</t>
  </si>
  <si>
    <t>CALIFORNIA STATE TEACHER RETIREMENT SYSTEM</t>
  </si>
  <si>
    <t>ELECTRICIDAD DEL GOLFO S DE RL DE CV</t>
  </si>
  <si>
    <t>INTERPUMP SUPPLY LTD</t>
  </si>
  <si>
    <t>RESOLVER INC</t>
  </si>
  <si>
    <t>SOMITS IMPORTS AND EXPORTS</t>
  </si>
  <si>
    <t>NARMX SERVICE SA DE CV</t>
  </si>
  <si>
    <t>RENAISSANCE INTERNATIONAL DIVIDEND</t>
  </si>
  <si>
    <t>VCART TRUST</t>
  </si>
  <si>
    <t>FUTURAMA AUTOSERVICIO SA DE CV</t>
  </si>
  <si>
    <t>AGRO DESERT SPR DE RL DE CV</t>
  </si>
  <si>
    <t>CADENA AGRICOLA S DE RL DE CV</t>
  </si>
  <si>
    <t>DISCOVER CHEMICALS CORPORATION</t>
  </si>
  <si>
    <t>2740302 ONTARIO INC</t>
  </si>
  <si>
    <t>BROAD REACH MASTER FUND - CDEA</t>
  </si>
  <si>
    <t>SCOTIABANK CARIBBEAN HOLDINGS LTD</t>
  </si>
  <si>
    <t>HELCIM INC</t>
  </si>
  <si>
    <t>GRUPO AGROAG SA DE CV</t>
  </si>
  <si>
    <t>CAPITAL PRECIOUS METALS LTD</t>
  </si>
  <si>
    <t>SELECT 80I20E MANAGED PORTFOLIO CORPORATE CLASS</t>
  </si>
  <si>
    <t>SELECT 70I30E MANAGED PORTFOLIO CORPORATE CLASS</t>
  </si>
  <si>
    <t>SELECT 60I40E MANAGED PORTFOLIO CORPORATE CLASS</t>
  </si>
  <si>
    <t>CALIDAD DEL NORTE SC</t>
  </si>
  <si>
    <t>ALVEO CONSTRUCTORA SA DE CV</t>
  </si>
  <si>
    <t>CIF ALMACENAJES Y SERVICIOS SA DE CV</t>
  </si>
  <si>
    <t>KIDZANIA SAPI DE CV</t>
  </si>
  <si>
    <t>SELVA NAUYACA SA DE CV</t>
  </si>
  <si>
    <t>MID CANADA TRANSLOAD SERVICES 2020 LTD</t>
  </si>
  <si>
    <t>POINTS.COM INC</t>
  </si>
  <si>
    <t>SELECT 50I50E MANAGED PORTFOLIO CORPORATE CLASS</t>
  </si>
  <si>
    <t>SELECT 40I60E MANAGED PORTFOLIO CORPORATE CLASS</t>
  </si>
  <si>
    <t>SELECT 30I70E MANAGED PORTFOLIO CORPORATE CLASS</t>
  </si>
  <si>
    <t>LGT Select Equity Enhanced Minimum Variance Fund</t>
  </si>
  <si>
    <t>RANCHO EL 38 SPR DE RL</t>
  </si>
  <si>
    <t>AWA HOLDING COMPANY SAPI DE CV</t>
  </si>
  <si>
    <t>THE PERLEY AND RIDEAU VETERANS HEALTH CENTRE</t>
  </si>
  <si>
    <t>CHINOOK GLOBAL CONVERTIBLE BOND FUND</t>
  </si>
  <si>
    <t>SALAR FUND PLC</t>
  </si>
  <si>
    <t>CUPROSA SA DE CV</t>
  </si>
  <si>
    <t>DESPACHO CORPORATIVO SC</t>
  </si>
  <si>
    <t>AIT WORLDWIDE LOGISTICS S DE RL DE CV</t>
  </si>
  <si>
    <t>GENOMMA LAB INTERNACIONAL SAB DE CV</t>
  </si>
  <si>
    <t>XAL DIGITAL SA DE CV</t>
  </si>
  <si>
    <t>ITREMEX SA DE CV</t>
  </si>
  <si>
    <t>MEDICLIGHTS RESEARCH INC</t>
  </si>
  <si>
    <t>TUBERCULOS Y MAS DE MEXICO S P</t>
  </si>
  <si>
    <t>VET NOVATIONS CANADA INC</t>
  </si>
  <si>
    <t>MR JIAN SUN</t>
  </si>
  <si>
    <t>RGA REINSURANCE COMPANY</t>
  </si>
  <si>
    <t>ATLANTIS S A</t>
  </si>
  <si>
    <t>REGENCY SILVER SA DE CV</t>
  </si>
  <si>
    <t>TIME BASED MANAGEMENT CONSULTING MEXICO S DE RL DE CV</t>
  </si>
  <si>
    <t>VPI CORPORATE BOND POOL</t>
  </si>
  <si>
    <t>1674571 ONTARIO INC</t>
  </si>
  <si>
    <t>SONDA MEXICO SA DE CV</t>
  </si>
  <si>
    <t>DISTRIBUIDORA AGRICOLA DE SINALOA SA DE CV</t>
  </si>
  <si>
    <t>RANCHO LOS LUCHADORES SA DE CV</t>
  </si>
  <si>
    <t>TD WATERHOUSE PRIVATE INVESTMENT COUNSEL INC.</t>
  </si>
  <si>
    <t>TD WATERHOUSE PRIVATE INVESTMENT COUNSEL INC.   (PIC PT BULK ACCOUNT)</t>
  </si>
  <si>
    <t>TD WATERHOUSE PRIVATE INVESTMENT COUNSEL INC.   (PIC PROPER BULK ACCOUNT - USD)</t>
  </si>
  <si>
    <t>DIET LINE LATIN AMERCIA SAPI DE CV</t>
  </si>
  <si>
    <t>BE GRAND 1 SA DE CV</t>
  </si>
  <si>
    <t>BE GRAND 2 SA DE CV</t>
  </si>
  <si>
    <t>KIDZANIA DE MEXICO SA DE CV</t>
  </si>
  <si>
    <t>ANCAPACK S DE RL DE CV</t>
  </si>
  <si>
    <t>PROMOCIONES Y SERVICIOS POLANCO SA DE CV</t>
  </si>
  <si>
    <t>PHILLIPS HAGER AND NORTH LIFETIME 2060 FUND</t>
  </si>
  <si>
    <t>NUNCHI SA DE CV</t>
  </si>
  <si>
    <t>SERVICIOS ANCATEC SA DE CV</t>
  </si>
  <si>
    <t>FONDO ACTINVER PORTAFOLIO TACTICO 10 SA DE CV FONDO DE INVERSION DE RENTA VARIABLE</t>
  </si>
  <si>
    <t>CANADA SCAFFOLD SUPPLY CO LTD</t>
  </si>
  <si>
    <t>KEMWOOD FLOORS INC</t>
  </si>
  <si>
    <t>CENTRO MEDICO DE PUNTA DE MITA S DE RL DE CV</t>
  </si>
  <si>
    <t>CARNES RUBIOS SA DE CV</t>
  </si>
  <si>
    <t>ROTAREX MEXICO SA DE CV</t>
  </si>
  <si>
    <t>HABITA TULUM SA DE CV</t>
  </si>
  <si>
    <t>AMDE CONSULTORES  SC</t>
  </si>
  <si>
    <t>BYLSA DRILLING SA DE CV</t>
  </si>
  <si>
    <t>INTEGRADORA DE SERVICIOS MINEROS EL TECOLOTE S DE RL DE CV</t>
  </si>
  <si>
    <t>TRIFECTA GOLD LTD</t>
  </si>
  <si>
    <t>DISTRIBUCIONES KINO SA DE CV</t>
  </si>
  <si>
    <t>SIEFORE AZTECA BASICA 75 79 SA DE CV</t>
  </si>
  <si>
    <t>FONDO ALTERNA SA DE  CV FONDO DE INVERSION EN INSTRUMENTOS DE DEUDA</t>
  </si>
  <si>
    <t>ATAC RESOURCES LTD</t>
  </si>
  <si>
    <t>BRUNOS CARS INC</t>
  </si>
  <si>
    <t>LEMONROY BUSINESS SOLUTIONS SA DE CV</t>
  </si>
  <si>
    <t>NOVIPOLIS DESARROLLOS S DE RL DE CV</t>
  </si>
  <si>
    <t>JALET SERVICIOS DE TRANSPORTE SA DE CV</t>
  </si>
  <si>
    <t>RIVERSTONE ONYX STRATEGIC, L.P</t>
  </si>
  <si>
    <t>FIDEICOMISO QUERETARO 1487/2012</t>
  </si>
  <si>
    <t>MAINTENANCE EQUIPMENT DE MEXICO MEMEX SA DE CV</t>
  </si>
  <si>
    <t>GRUPO MINERO LOS HERMANOS S DE RL DE CV</t>
  </si>
  <si>
    <t>PROYECTOS Y SERVICIOS A LA INDUSTRIA Y CONSTRUCCION S.A. DE C.V</t>
  </si>
  <si>
    <t>INDUSTRIAL RRW SA DE CV</t>
  </si>
  <si>
    <t>ROI LAND INVESTMENTS LTD</t>
  </si>
  <si>
    <t>TEBB FARMS LTD</t>
  </si>
  <si>
    <t>POINT72 ASSOCIATES II LLC - CDEA</t>
  </si>
  <si>
    <t>FAIRLANE FARMING CO LTD.</t>
  </si>
  <si>
    <t>HOSPITAL MOSCATI DE QUERETARO SA DE CV</t>
  </si>
  <si>
    <t>MARMOLES MARBEL SA DE CV</t>
  </si>
  <si>
    <t>770 PACIFIC ROAD INC</t>
  </si>
  <si>
    <t>57 RYMAL ROAD WEST INC</t>
  </si>
  <si>
    <t>UNITIZA S DE RL DE CV</t>
  </si>
  <si>
    <t>MAQUINADOS DE PRECISION IEA SA DE CV</t>
  </si>
  <si>
    <t>ESTRADA MIRANDA PROYECTO Y CONSTRUCCION SA DE CV</t>
  </si>
  <si>
    <t>MAS PENSION SIEFORE BASICA DE PENSIONES SA DE CV</t>
  </si>
  <si>
    <t>RMRK S DE RL DE CV</t>
  </si>
  <si>
    <t>THE COIN HUNTER INC</t>
  </si>
  <si>
    <t>INMOBILIARIA MOSCATI DE QUERETARO SA DE CV</t>
  </si>
  <si>
    <t>INTERCAMBIO COMERCIAL SA DE CV</t>
  </si>
  <si>
    <t>EXPLORACIONES AAA SA DE CV</t>
  </si>
  <si>
    <t>SUAQUI VERDE PROPERTIES SA DE CV</t>
  </si>
  <si>
    <t>JK MATERIAL SA DE CV</t>
  </si>
  <si>
    <t>GRUPO PROHESTO S DE RL DE CV</t>
  </si>
  <si>
    <t>CSQB ENERGY SAPI DE CV</t>
  </si>
  <si>
    <t>KEYNOTE EQUITIES INC. &amp; KEYNOTE DEVELOPMENT CORPORATION</t>
  </si>
  <si>
    <t>CONSTRUCTORA SCSQ S DE RL DE CV</t>
  </si>
  <si>
    <t>CHICAGO BRIDGE DE MEXICO SA DE CV</t>
  </si>
  <si>
    <t>INMOBILIARIA LOMAS DE VALLE DORADO SA DE CV</t>
  </si>
  <si>
    <t>LYSSETTE SA DE CV</t>
  </si>
  <si>
    <t>AGRICOLA Y GANADERA LOS OLIVOS SPR DE RL</t>
  </si>
  <si>
    <t>CASA COMERCIAL DE AGROQUIMICOS MR S DE RL DE CV</t>
  </si>
  <si>
    <t>LEDUPGRADES CA LTD</t>
  </si>
  <si>
    <t>STUDIO ANIL MOHABIR INC</t>
  </si>
  <si>
    <t>KING CARLETON STREET INC</t>
  </si>
  <si>
    <t>KIRCHHOFF AUTOMOTIVE MEXICO SA DE CV</t>
  </si>
  <si>
    <t>FLOWEQUIPMENT DE MEXICO SA DE CV</t>
  </si>
  <si>
    <t>INMUEBLES COVER SA DE CV</t>
  </si>
  <si>
    <t>SEMEX SA DE CV</t>
  </si>
  <si>
    <t>MINERA IGMAR SA DE CV</t>
  </si>
  <si>
    <t>NIAGARA ORCHARD &amp; VINEYARD CORP</t>
  </si>
  <si>
    <t>STATFLO INC</t>
  </si>
  <si>
    <t>PH&amp;N SHORT CORE PLUS BOND FUND</t>
  </si>
  <si>
    <t>KEYNOTE EQUITIES INC</t>
  </si>
  <si>
    <t>PTG Division of SGAS</t>
  </si>
  <si>
    <t>CENTURY BUSINESS SOLUTIONS CANADA ULC</t>
  </si>
  <si>
    <t>HMB PRODUCE SA DE CV</t>
  </si>
  <si>
    <t>CORRALES LA ALDANA GRUPO AGROPECUARIO S DE PR DE RL</t>
  </si>
  <si>
    <t>YACHTCANCUN COM SA DE CV</t>
  </si>
  <si>
    <t>673753 ONTARIO LIMITED</t>
  </si>
  <si>
    <t>BONVIN WINE &amp; SPIRITS MERCHANTS LTD</t>
  </si>
  <si>
    <t>JUNO COLLEGE OF TECHNOLOGY INC</t>
  </si>
  <si>
    <t>CINTAS CANADA LIMITED</t>
  </si>
  <si>
    <t>EATON VANCE MANAGEMENT - BLOCK TRADE</t>
  </si>
  <si>
    <t>EATON VANCE AFFILIATED FUNDS (AS AGENT)</t>
  </si>
  <si>
    <t>SUN LIFE GLOBAL INVESTMENTS (CANADA) INC AFFILIATED FUNDS</t>
  </si>
  <si>
    <t>SALSA TAMAZULA SA DE CV</t>
  </si>
  <si>
    <t>LOGISTICA HMB SA DE CV</t>
  </si>
  <si>
    <t>SAGAQUIM S DE RL DE CV</t>
  </si>
  <si>
    <t>GFS INVESTMENTS CANADA INC</t>
  </si>
  <si>
    <t>HARRIS CANADA SYSTEMS INC</t>
  </si>
  <si>
    <t>WEYERHAEUSER COMPANY LIMITED</t>
  </si>
  <si>
    <t>A.F.P. MODELO S.A. - FONDO A</t>
  </si>
  <si>
    <t>DH DENTAL BUSINESS SERVICES, LLC</t>
  </si>
  <si>
    <t>A.F.P. MODELO S.A.  FONDO B</t>
  </si>
  <si>
    <t>INGENIERIA CONTROL E INSTRUMENTACION SA DE CV</t>
  </si>
  <si>
    <t>FROMSYN MULTISERVICIOS SA DE CV</t>
  </si>
  <si>
    <t>JOSE LUIS FLORES GARNICA</t>
  </si>
  <si>
    <t>468177 ONTARIO LTD</t>
  </si>
  <si>
    <t>TATA STEEL MINERALS CANADA LTD</t>
  </si>
  <si>
    <t>VALEURS MOBILIERES DESJARDINS INC</t>
  </si>
  <si>
    <t>A.F.P. MODELO S.A.  FONDO C</t>
  </si>
  <si>
    <t>BUFFALO CREEK MILLS 2017 INC</t>
  </si>
  <si>
    <t>AIR CANADA PENSION MASTER TRUST FUND - BLOCK</t>
  </si>
  <si>
    <t>TRANS-CANADA CAPITAL INC - BLOCK</t>
  </si>
  <si>
    <t>THE HANOVER INSURANCE GROUP INC</t>
  </si>
  <si>
    <t>A.F.P. MODELO S.A. FONDO D</t>
  </si>
  <si>
    <t>CHARGER LOGISTICS INC</t>
  </si>
  <si>
    <t>A.F.P. MODELO S.A. FONDO E</t>
  </si>
  <si>
    <t>MSI DE MEXICO INDUSTRIAL SUPPLIES &amp; MRO S DE RL DE CV</t>
  </si>
  <si>
    <t>INTERCOMZA SA DE CV</t>
  </si>
  <si>
    <t>SANTA ANA SPRINGS SA DE CV</t>
  </si>
  <si>
    <t>ISOENERGY LTD.</t>
  </si>
  <si>
    <t>FRUTERIA WELTON SA DE CV</t>
  </si>
  <si>
    <t>INGENIERIA Y DESARROLLO EMPRESARIAL DE TABASCO SA DE CV</t>
  </si>
  <si>
    <t>MASCO CORPORATION</t>
  </si>
  <si>
    <t>LEHMAN BRO INTL (EUROPE) CLIENT POS</t>
  </si>
  <si>
    <t>PX PRECINOX SA</t>
  </si>
  <si>
    <t>VALE INTERNATIONAL SA</t>
  </si>
  <si>
    <t>VALE INTERNATIONAL S.A.</t>
  </si>
  <si>
    <t>ELLIOT - BLOCK TRADE</t>
  </si>
  <si>
    <t>TFS Derivatives LTD</t>
  </si>
  <si>
    <t>TFS DERIVATIVES LTD</t>
  </si>
  <si>
    <t>BOBCAT EQUIPMENT LTD</t>
  </si>
  <si>
    <t>COAST MOUNTAIN BUS COMPANY LTD</t>
  </si>
  <si>
    <t>TOLEDO REFINING COMPANY</t>
  </si>
  <si>
    <t>APPNOVATION TECHNOLOGIES INC</t>
  </si>
  <si>
    <t>AIM PARTNERS FUND LP</t>
  </si>
  <si>
    <t>CARLYLE INTERNATIONAL ENERGY PARTNERS II SCSP</t>
  </si>
  <si>
    <t>STATE STREET TRUST COMPANY CANADA</t>
  </si>
  <si>
    <t>NATIONAL MACHINERY</t>
  </si>
  <si>
    <t>NATIONAL MACHINERY EXCHANGE, INC.</t>
  </si>
  <si>
    <t>SELECT 20I80E MANAGED PORTFOLIO CORPORATE CLASS</t>
  </si>
  <si>
    <t>SELECT 100E MANAGED PORTFOLIO CORPORATE CLASS</t>
  </si>
  <si>
    <t>ORGANIZACION DOT SA DE CV</t>
  </si>
  <si>
    <t>ORGANIZACION RODPER SA DE CV</t>
  </si>
  <si>
    <t>COMPANIA ADMINISTRADORA REMUJ SA DE CV</t>
  </si>
  <si>
    <t>FORMAS TROQUELADAS SA</t>
  </si>
  <si>
    <t>2024774 ALBERTA LTD</t>
  </si>
  <si>
    <t>SERVICIOS DIVERGENTES EN TECNOLOGIA SA DE CV</t>
  </si>
  <si>
    <t>ESSPT SA DE CV</t>
  </si>
  <si>
    <t>CLICK MOBILITYY SAPI DE CV</t>
  </si>
  <si>
    <t>BECHTEL CORPORATION</t>
  </si>
  <si>
    <t>ECARPET GALLERY INC</t>
  </si>
  <si>
    <t>275 RIDEAU STREET INC</t>
  </si>
  <si>
    <t>GRIFFITH FOODS LIMITED</t>
  </si>
  <si>
    <t>COAST HOTELS LIMITED</t>
  </si>
  <si>
    <t>INMOBILIARIA RAYGADA SA DE CV</t>
  </si>
  <si>
    <t>AGROINDUSTRIAS Y PETREOS GONMAR SPR DE RL</t>
  </si>
  <si>
    <t>METELIX DE MEXICO S DE RL DE CV</t>
  </si>
  <si>
    <t>RAUL FORTUNATO CARDOSO MAYCOTTE</t>
  </si>
  <si>
    <t>DG ENERGY SAPI DE CV</t>
  </si>
  <si>
    <t>VMED O2 UK LIMITED</t>
  </si>
  <si>
    <t>BCI QUADREAL REALTY</t>
  </si>
  <si>
    <t>BC MINING CO SA DE CV</t>
  </si>
  <si>
    <t>RAWLINGS FOUNDATION MEXICO AC</t>
  </si>
  <si>
    <t>FERTILIZANTES TEPEYAC SA DE CV</t>
  </si>
  <si>
    <t>FIO AUTOMOTIVE CANADA CORPORATION</t>
  </si>
  <si>
    <t>FIO AUTOMATIVE CANADA CORPORATION</t>
  </si>
  <si>
    <t>INTER AMERICAN INVESTMENT CORPORATION</t>
  </si>
  <si>
    <t>ADMINISTRADORA DE FONDOS DE PENSIONES MODELO S.A.</t>
  </si>
  <si>
    <t>MARIA LETICIA VELEZ SALCIDO</t>
  </si>
  <si>
    <t>MOLINO LA FAMA SA DE CV</t>
  </si>
  <si>
    <t>CONSULTORES DEFINIDOS EN CONCEPTOS DE ALTA DIRECCION SA DE CV</t>
  </si>
  <si>
    <t>NIRVANA BRANDS CANADA LIMITED</t>
  </si>
  <si>
    <t>ATLANTIC GATEWAY INTERNATIONAL INC</t>
  </si>
  <si>
    <t>CADEPO EDIFICACIONES S DE RL DE CV</t>
  </si>
  <si>
    <t>DMDA ENTERPRISES SA DE CV</t>
  </si>
  <si>
    <t>CRT GLOBAL SA DE CV</t>
  </si>
  <si>
    <t>WOSI PLAYA ADMINISTRADORA SA DE CV</t>
  </si>
  <si>
    <t>MESTRADA SA DE CV</t>
  </si>
  <si>
    <t>CONSULADO GENERAL DE LA REPUBLICA DE GUATEMALA SAN LUIS POTOSI SAN LUIS POTOSI</t>
  </si>
  <si>
    <t>RECICLA SIGLO XXI SA DE CV</t>
  </si>
  <si>
    <t>MURATA MACHINERY MEXICO S DE RL DE CV</t>
  </si>
  <si>
    <t>FORE CARE MEDICAL SA DE CV</t>
  </si>
  <si>
    <t>VISION COMERCIAL DEPORTIVA SA DE CV</t>
  </si>
  <si>
    <t>CONSOLIDATED URANIUM INC.</t>
  </si>
  <si>
    <t>THE DICKHOUT FAMILY FOUNDATION</t>
  </si>
  <si>
    <t>CBRE HOLDINGS LLC</t>
  </si>
  <si>
    <t>AGRO TRIGON SA DE CV</t>
  </si>
  <si>
    <t>UNION DE CREDITO AGRICOLA DEL YAQUI SA DE CV</t>
  </si>
  <si>
    <t>PRIVATE EQUITY OPERATING PARTNERS INC</t>
  </si>
  <si>
    <t>JENNINGS MARTIN</t>
  </si>
  <si>
    <t>DIREXYON INTERNATIONAL INC.</t>
  </si>
  <si>
    <t>ESTACION DE SERVICIOS PACIFICO AZUL S DE RL DE CV</t>
  </si>
  <si>
    <t>ACF MANUFACTURA DE ACEROS INOXIDABLES SA DE CV</t>
  </si>
  <si>
    <t>WORLDWIDE FOAM S DE RL DE CV</t>
  </si>
  <si>
    <t>RANCHO MEDIO KILO SPR DE RL</t>
  </si>
  <si>
    <t>AB DEVELOPMENT CONSULTING SA DE CV</t>
  </si>
  <si>
    <t>CONSORCIO MEXICANA HS SA DE CV</t>
  </si>
  <si>
    <t>2736905 ONTARIO INC</t>
  </si>
  <si>
    <t>SCOTTECH INNOVATION LTD</t>
  </si>
  <si>
    <t>ELEMENT FLEET MANAGEMENT CORP</t>
  </si>
  <si>
    <t>VMED O2 UK HOLDCO 4 LIMITED</t>
  </si>
  <si>
    <t>10437778 CANADA INC. DBA ALL PURPOSE CREATIVE INC</t>
  </si>
  <si>
    <t>ALL PURPOSE CREATIVE INC</t>
  </si>
  <si>
    <t>MARKETIT SA DE CV</t>
  </si>
  <si>
    <t>MILLENNIUM HOLDINGS S DE RL</t>
  </si>
  <si>
    <t>POCHTECA MATERIAS PRIMAS SA DE CV</t>
  </si>
  <si>
    <t>SPRINGS CANADA PRODUCTS ULC</t>
  </si>
  <si>
    <t>CI YIELD ENHANCED CANADA AGGREGATE BOND INDEX ETF</t>
  </si>
  <si>
    <t>CI YIELD ENHANCED CANADA SHORT-TERM AGGREGATE BOND INDEX ETF</t>
  </si>
  <si>
    <t>CI ICBCCS S&amp;P CHINA 500 INDEX ETF</t>
  </si>
  <si>
    <t>CI ONE NORTH AMERICAN CORE PLUS BOND ETF</t>
  </si>
  <si>
    <t>CI ONE GLOBAL EQUITY ETF</t>
  </si>
  <si>
    <t>BANCO INTERAMERICANO DE FINANZAS SA - BANBIF</t>
  </si>
  <si>
    <t>CI WISDOMTREE US QUALITY DIVIDEND GROWTH INDEX ETF</t>
  </si>
  <si>
    <t>CI WISDOMTREE US QUALITY DIVIDEND GROWTH VARIABLY HEDGED INDEX ETF</t>
  </si>
  <si>
    <t>CI WISDOMTREE CANADA QUALITY DIVIDEND GROWTH INDEX ETF</t>
  </si>
  <si>
    <t>CI WISDOMTREE EUROPE HEDGED EQUITY INDEX ETF</t>
  </si>
  <si>
    <t>CI WISDOMTREE EMERGING MARKETS DIVIDEND INDEX ETF</t>
  </si>
  <si>
    <t>CI WISDOMTREE INTERNATIONAL QUALITY DIVIDEND GROWTH INDEX ETF</t>
  </si>
  <si>
    <t>CI WISDOMTREE INTERNATIONAL QUALITY DIVIDEND GROWTH VARIABLY HEDGED INDEX ETF</t>
  </si>
  <si>
    <t>CI WISDOMTREE JAPAN EQUITY INDEX ETF</t>
  </si>
  <si>
    <t>CI WISDOMTREE US MIDCAP DIVIDEND INDEX ETF</t>
  </si>
  <si>
    <t>COMINIX MEXICO SA DE CV</t>
  </si>
  <si>
    <t>DEDAPAY SAPI DE CV</t>
  </si>
  <si>
    <t>DICUPA SA DE CV</t>
  </si>
  <si>
    <t>PRODUCTORA DE ALIMENTOS MEXICANOS SA DE CV</t>
  </si>
  <si>
    <t>WINDSOR GENERAL TECHNOLOGIES LTD</t>
  </si>
  <si>
    <t>MICRON TECHNOLOGY, INC</t>
  </si>
  <si>
    <t>MICRON TECHNOLOGY INC</t>
  </si>
  <si>
    <t>GRUPO ARRENDADOR DEL SURESTE SA DE CV</t>
  </si>
  <si>
    <t>ALCOHOLERA HORIZONTE SA DE CV</t>
  </si>
  <si>
    <t>NUTRIAMART INC</t>
  </si>
  <si>
    <t>VISION MARKET NEUTRAL ALTERNATIVE FUND</t>
  </si>
  <si>
    <t>TD ACTIVE GLOBAL REAL ESTATE EQUITY ETF</t>
  </si>
  <si>
    <t>MACKENZIE DEVELOPED EX NORTH AMERICA AGGREGATE BOND INDEX ETF</t>
  </si>
  <si>
    <t>MACKENZIE US AGGREGATE BOND INDEX ETF</t>
  </si>
  <si>
    <t>SOLUCIONES KASHMIRA SA DE CV</t>
  </si>
  <si>
    <t>PLAZA EXCELENCIA DE SAN LUIS S DE RL DE CV</t>
  </si>
  <si>
    <t>PROVEEDORA MARCEL INTERNACIONAL SA DE CV</t>
  </si>
  <si>
    <t>PERFECTUS TERRAMEXICO S DE RL DE CV</t>
  </si>
  <si>
    <t>INMOBILIARIA DOS PLAZAS SA DE CV</t>
  </si>
  <si>
    <t>INTELIGENCIA TECNOLOGICA AP 3 20 SA DE CV</t>
  </si>
  <si>
    <t>METEOR HORTICULTURAL SYSTEMS INC</t>
  </si>
  <si>
    <t>TD Q CANADIAN LOW VOLATILITY ETF TCLV</t>
  </si>
  <si>
    <t>INVESTISSEMENTS QAB 1 LTEE</t>
  </si>
  <si>
    <t>ATC INTERNATIONAL FINANCING B.V.</t>
  </si>
  <si>
    <t>ROYAL OAK ENTERPRISES LLC</t>
  </si>
  <si>
    <t>IRRATIONAL COMPANY S DE RL DE CV</t>
  </si>
  <si>
    <t>UNIGEL ACRILICOS SA DE CV</t>
  </si>
  <si>
    <t>METACRIL SA DE CV</t>
  </si>
  <si>
    <t>UNIGEL HOLDINGS SA DE CV</t>
  </si>
  <si>
    <t>TERMODINAMICA EN PROYECTOS DE CONSTRUCCION AVENIDA 30 S DE RL DE CV</t>
  </si>
  <si>
    <t>WORLD SMALL ANIMAL VETENNARY ASSOCIATION</t>
  </si>
  <si>
    <t>RBC PH AND N SHORT TERM CANADIAN BOND ETF</t>
  </si>
  <si>
    <t>PHOENIX TOWER INTERNATIONAL IBERICA ETVE, S.L.U.</t>
  </si>
  <si>
    <t>THE FOCUSON GROUP INC</t>
  </si>
  <si>
    <t>COMERCIALIZADORA Y NEGOCIOS 26 SA DE CV</t>
  </si>
  <si>
    <t>MINERALES DE TARACHI S DE RL DE CV</t>
  </si>
  <si>
    <t>INSTITUTO PARA DEVOLVER AL PUEBLO LO ROBADO</t>
  </si>
  <si>
    <t>SUNFARM PRODUCTS LTD</t>
  </si>
  <si>
    <t>MEJORES CULTIVOS SA DE CV</t>
  </si>
  <si>
    <t>DAH MING INC</t>
  </si>
  <si>
    <t>KARINA MELISSA GUERRERO RODRIGUEZ</t>
  </si>
  <si>
    <t>JANET DICKHOUT</t>
  </si>
  <si>
    <t>ROGER AND JANET DICKHOUT</t>
  </si>
  <si>
    <t>9363-3238 QUEBEC INC</t>
  </si>
  <si>
    <t>TENEDORA CAORTICA S DE RL DE CV</t>
  </si>
  <si>
    <t>MACKEYMI SA DE CV</t>
  </si>
  <si>
    <t>TRANSPORTES LYRMA DE CD JUAREZ SA DE CV</t>
  </si>
  <si>
    <t>PANGBORN DE MEXICO S DE RL DE CV</t>
  </si>
  <si>
    <t>RAM PACKAGING DE MEXICO SA DE CV</t>
  </si>
  <si>
    <t>JUAREZ BUS SERVICIOS S DE RL DE CV</t>
  </si>
  <si>
    <t>IDEAL SA</t>
  </si>
  <si>
    <t>FIDEICOMISO DE ADMINISTRACION CIB 2763</t>
  </si>
  <si>
    <t>ADMINISTRADORA MOLIERE 222 SA DE CV</t>
  </si>
  <si>
    <t>PLAR ENTERTAINMENT &amp; SERVICES SA DE CV</t>
  </si>
  <si>
    <t>INPUVE SA DE CV</t>
  </si>
  <si>
    <t>ANTONIO BUCH CORTINA</t>
  </si>
  <si>
    <t>CONTOURGLOBAL HOLDING DE GENERACION DE ENERGIA DE MEXICO SA DE CV</t>
  </si>
  <si>
    <t>GENETIC PROPERTIES INC</t>
  </si>
  <si>
    <t>HOLLYFRONTIER LUXEMBOURG HOLDING COMPANY</t>
  </si>
  <si>
    <t>HOLLYFRONTIER CYPRUS LIMITED</t>
  </si>
  <si>
    <t>VIAJES INTERNACIONALES MONARCA SA DE CV</t>
  </si>
  <si>
    <t>TSM FONDI SA DE CV</t>
  </si>
  <si>
    <t>ZAIDI MANZIL COZUMEL S DE RL DE CV</t>
  </si>
  <si>
    <t>RIVIERA KINGDOM SA DE CV</t>
  </si>
  <si>
    <t>IMPORCER SA DE CV</t>
  </si>
  <si>
    <t>PETRO CANADA AMERICA LUBRICANTS LLC</t>
  </si>
  <si>
    <t>JIA SHI LUBRICANTS TRADING SHANGHAI CO LTD</t>
  </si>
  <si>
    <t>HOLLYFRONTIER LSP EUROPE BV</t>
  </si>
  <si>
    <t>ENERGY INTERNATIONAL PUBLISHING SAPI DE CV</t>
  </si>
  <si>
    <t>HUEMEX SA DE CV</t>
  </si>
  <si>
    <t>SERVICIOS COMPUTARIZADOS DE SAN QUINTIN SC</t>
  </si>
  <si>
    <t>AMP CAPITAL INVESTORS LIMITED (AS TRUSTEE OF THE AMP CAPITAL WHOLESALE OFFICE FUND I)</t>
  </si>
  <si>
    <t>12247470 CANADA INC</t>
  </si>
  <si>
    <t>SISTEMAS DE RIEGO THOMAS SA DE CV</t>
  </si>
  <si>
    <t>LUXURY PENINSULAR PROPERTIES S DE RL DE CV</t>
  </si>
  <si>
    <t>IKE GRUPO EMPRESARIAL S DE RL DE CV</t>
  </si>
  <si>
    <t>CIRBA INC</t>
  </si>
  <si>
    <t>VAV CONCIERGE INTERNATIONAL SA DE CV</t>
  </si>
  <si>
    <t>COMERCIAL Y LOGISTICA ALD SA DE CV</t>
  </si>
  <si>
    <t>0658039 BC LTD</t>
  </si>
  <si>
    <t>OBRAS MINERAS EL PINGUICO SA DE CV</t>
  </si>
  <si>
    <t>MARIA DE LOURDES CALDERON XELHUANTZI</t>
  </si>
  <si>
    <t>NEWFIELDS SERVICIOS DE MEXICO S DE RL DE CV</t>
  </si>
  <si>
    <t>INMOBILIARIA MARANA SA DE CV</t>
  </si>
  <si>
    <t>NOR-TEC GROUP LTD</t>
  </si>
  <si>
    <t>CAMBRIDGE ASSET ALLOCATION FUND</t>
  </si>
  <si>
    <t>INFOASIST INFORMACION Y ASISTENCIA S DE RL DE CV</t>
  </si>
  <si>
    <t>ARSA ASESORIA INTEGRAL PROFESIONAL SA DE CV</t>
  </si>
  <si>
    <t>TRANSFRONTERA SA DE CV</t>
  </si>
  <si>
    <t>RANDS IMPEX INC</t>
  </si>
  <si>
    <t>CENTRO GRAFICO DEL NOROESTE SA DE CV</t>
  </si>
  <si>
    <t>CENTRO COMERCIAL COLOSO CHAVENA SA DE CV</t>
  </si>
  <si>
    <t>PLUSPETROL CAMISEA SA</t>
  </si>
  <si>
    <t>ROPER INDUSTRIES INC</t>
  </si>
  <si>
    <t>ROPER TECHNOLOGIES INC</t>
  </si>
  <si>
    <t>M H PROPERTIES GORE ROAD LP</t>
  </si>
  <si>
    <t>FARMAMEDICA DE MEXICO SA DE CV</t>
  </si>
  <si>
    <t>TRANSMISION MECANICA Y CONTROL SAS DE CV</t>
  </si>
  <si>
    <t>TERRAMIX MEXICO SA DE CV</t>
  </si>
  <si>
    <t>CRANES AND HOIST S DE RL DE CV</t>
  </si>
  <si>
    <t>BRAVO MEDICAL TRANSLATIONS SA DE CV</t>
  </si>
  <si>
    <t>EL DETALLE EN MODA SA DE CV</t>
  </si>
  <si>
    <t>SOLUCIONES PUNTO SINGULAR SA DE CV</t>
  </si>
  <si>
    <t>ENVERLIS SA DE CV</t>
  </si>
  <si>
    <t>CUANTITAS SA DE CV</t>
  </si>
  <si>
    <t>IGUS MEXICO S DE RL DE CV</t>
  </si>
  <si>
    <t>LEGEND FLEET SOLUTIONS INC</t>
  </si>
  <si>
    <t>LAKESIDE PLASTICS LIMITED</t>
  </si>
  <si>
    <t>KEVIN ANTHONY HAMMOND</t>
  </si>
  <si>
    <t>OLIVARES PLATA CONSULTORES SA DE CV</t>
  </si>
  <si>
    <t>LOS FERTRES AGROINDUSTRIA SPR DE RL DE CV</t>
  </si>
  <si>
    <t>RIVERSTONE GLOBAL ENERGY AND POWER FUND V (CAYMAN), L.P</t>
  </si>
  <si>
    <t>AGF GLOBAL OPPORTUNITIES BOND ETF</t>
  </si>
  <si>
    <t>RENAISSANCE US EQUITY PRIVATE POOL (29124)</t>
  </si>
  <si>
    <t>RENAISSANCE US EQUITY PRIVATE POOL (29125)</t>
  </si>
  <si>
    <t>MONTGOMERY COUNTY GROUP TRUST</t>
  </si>
  <si>
    <t>SAMPI IMPORTACIONES S DE RL DE CV</t>
  </si>
  <si>
    <t>COMERCIALIZADORA ARUSAM SA DE CV</t>
  </si>
  <si>
    <t>RICSA IND INTERNACIONAL SA DE CV</t>
  </si>
  <si>
    <t>VIVASEED S DE RL DE CV</t>
  </si>
  <si>
    <t>IMVISION S DE RL DE CV</t>
  </si>
  <si>
    <t>Capula Tactical Macro Master Fund Limited</t>
  </si>
  <si>
    <t>AIRSPRINT INC</t>
  </si>
  <si>
    <t>ANIXTER POWER SOLUTIONS CANADA INC.</t>
  </si>
  <si>
    <t>INDUSTRIA PLASTICA SA DE CV</t>
  </si>
  <si>
    <t>COMERCIALIZADORA GALQUE SA DE CV</t>
  </si>
  <si>
    <t>TARIMAS DEL NORESTE SA DE CV</t>
  </si>
  <si>
    <t>BLENDER GROUP SA DE CV</t>
  </si>
  <si>
    <t>AVALON HEALTHCARE PARTNERSHIP LP</t>
  </si>
  <si>
    <t>ITAU GLOBAL INVESTMENT FUND SPC FOR AND ON BEHALF  ITAU GLOBAL MACRO PREV FUND SEGREGATED PORTFOLIO CDEA</t>
  </si>
  <si>
    <t>TN SQUARE LIMITED PARTNERSHIP</t>
  </si>
  <si>
    <t>CSC LED CORP</t>
  </si>
  <si>
    <t>ECO VALUE SA DE CV</t>
  </si>
  <si>
    <t>OCTAPHARMA SA DE CV</t>
  </si>
  <si>
    <t>LUBRICANTES Y DERIVADOS NACIONALES SA DE CV</t>
  </si>
  <si>
    <t>AEROHARP SA DE CV</t>
  </si>
  <si>
    <t>AGFIQ GLOBAL BALANCED ETF PORTFOLIO FUND</t>
  </si>
  <si>
    <t>AGFIQ GLOBAL INCOME ETF PORTFOLIO FUND</t>
  </si>
  <si>
    <t>TECHNOLOGIES MINDCORE INC</t>
  </si>
  <si>
    <t>SOCIETE GENERALE LONDON BRANCH</t>
  </si>
  <si>
    <t>AIRLINE SERVICES INTERNATIONAL INC</t>
  </si>
  <si>
    <t>CORPORATIVO MELICAR S DE RL DE CV</t>
  </si>
  <si>
    <t>GTM GRUPTECHMEX SA DE CV</t>
  </si>
  <si>
    <t>FANARQ SA DE CV</t>
  </si>
  <si>
    <t>SERVICIO BACALAR SA DE CV</t>
  </si>
  <si>
    <t>EWS LTD MX S DE RL DE CV</t>
  </si>
  <si>
    <t>ZYIA ACTIVE CANADA LIMITED</t>
  </si>
  <si>
    <t>PLANEACION Y SISTEMAS PARA LA EMPRESA SA DE CV</t>
  </si>
  <si>
    <t>JFM GLOBAL WELLNESS SA DE CV</t>
  </si>
  <si>
    <t>GRAFICA REM SA DE CV</t>
  </si>
  <si>
    <t>SALUD DE PUNTA DE MITA S DE RL DE CV</t>
  </si>
  <si>
    <t>LOGISTICA INTERMODAL Y TRANSPORTE SA DE CV</t>
  </si>
  <si>
    <t>LIDERES RECICLANDO EN MEXICO SA DE CV</t>
  </si>
  <si>
    <t>GFC CAPITAL SA DE CV</t>
  </si>
  <si>
    <t>BLUEBAY FUNDS - BLUEBAY INVESTMENT GRADE GLOBAL AGGREGATE BOND FUND</t>
  </si>
  <si>
    <t>CORESCAN SA DE CV</t>
  </si>
  <si>
    <t>INGENIERIA ELECTRICA Y EQUIPOS EUROPEOS SA DE CV</t>
  </si>
  <si>
    <t>JASTRAM ENGINEERING LTD</t>
  </si>
  <si>
    <t>MACKENZIE US MID CAP OPPORTUNITIES CURRENCY NEUTRAL FUND</t>
  </si>
  <si>
    <t>A SAFE SA DE CV</t>
  </si>
  <si>
    <t>BELGIAN SERVICES COMPANY S DE RL DE CV</t>
  </si>
  <si>
    <t>KIROS ENERGY MARKETING ULC</t>
  </si>
  <si>
    <t>CONSULTORES INTERNACIONALES DE OUTTASKING S DE RL CV</t>
  </si>
  <si>
    <t>COMTURK QUIMICA Y COMERCIO SA DE CV</t>
  </si>
  <si>
    <t>KLUT DIRECT LIMITED</t>
  </si>
  <si>
    <t>THYSSENKRUPP INDUSTRIAL SOLUTIONS (CANADA) INC.</t>
  </si>
  <si>
    <t>BIBLIOSOLUCIONES SA DE CV</t>
  </si>
  <si>
    <t>DESARROLLADORA PUNTA MOLAS SA DE CV</t>
  </si>
  <si>
    <t>RESIDENCIAS REEF COZUMEL AC</t>
  </si>
  <si>
    <t>FERRETERIA Y ACEROS 2000 SA DE CV</t>
  </si>
  <si>
    <t>GRUPO VID OLIVO Y MAR SA DE CV</t>
  </si>
  <si>
    <t>CLEARVIEW RENTALS LTD</t>
  </si>
  <si>
    <t>LIBORIO CAMACHO RETANA</t>
  </si>
  <si>
    <t>VARAFY CORPORATION</t>
  </si>
  <si>
    <t>BNP PARIBAS DUBLIN</t>
  </si>
  <si>
    <t>INDUSTRIAS DE LINAMAR S A DE C V</t>
  </si>
  <si>
    <t>TRANSFORMADORA DE PROMOCIONALES DEL CENTRO S DE RL DE CV</t>
  </si>
  <si>
    <t>SERGIO MORALES BLANCARTE</t>
  </si>
  <si>
    <t>J JESUS GUADALUPE JOYA ACEVES</t>
  </si>
  <si>
    <t>CBM SOLUCIONES INDUSTRIALES SA DE CV</t>
  </si>
  <si>
    <t>OPERADORA HOTELERA CITY CENTER METEPEC S A DE C V</t>
  </si>
  <si>
    <t>OPERADORA PLAZA LANCASTER TOLUCA SA DE CV</t>
  </si>
  <si>
    <t>REPRESENTACIONES CEBALLOS SA DE CV</t>
  </si>
  <si>
    <t>ATC INTERNATIONAL FINANCING II BV.</t>
  </si>
  <si>
    <t>EVERSOURCE RETIREMENT PLAN MASTER TRUST</t>
  </si>
  <si>
    <t>CARBONCURE TECHNOLOGIES INC</t>
  </si>
  <si>
    <t>GS TURBOENERGY S DE RL DE CV</t>
  </si>
  <si>
    <t>GRUPO AUTOMATIZACION TECNOLOGIA E INNOVACION SA DE CV</t>
  </si>
  <si>
    <t>JULIA PATRICIA DE SARACHO GATZIONIS</t>
  </si>
  <si>
    <t>RESILIENCE BIOTECHNOLOGIES INC</t>
  </si>
  <si>
    <t>RENAISSANCE CANADIAN GROWTH FUND (29661)</t>
  </si>
  <si>
    <t>CHERRYMILL IRON AND METAL COMPANY LIMITED</t>
  </si>
  <si>
    <t>COMERCIALIZADORA MAQUIGTO SA DE CV</t>
  </si>
  <si>
    <t>ATOZ LOGISTICS SA DE CV</t>
  </si>
  <si>
    <t>SPECIALTY ALLOY RECYCLING LTD</t>
  </si>
  <si>
    <t>KAMS GROWERS SUPPLY INC</t>
  </si>
  <si>
    <t>INGENIERIA ELECTRICA Y AHORRO DE ENERGIA SA DE CV</t>
  </si>
  <si>
    <t>ENERGIA NATURAL DOMINICANA ENADOM SRL</t>
  </si>
  <si>
    <t>HOLCIM HELVETIA FINANCE AG</t>
  </si>
  <si>
    <t>GRUPO TIPSA PROYECTOS S DE RL DE CV</t>
  </si>
  <si>
    <t>MAQUINARIA Y CONSTRUCCIONES LOYA SA DE CV</t>
  </si>
  <si>
    <t>MG TECH EMBROIDERY MACHINE DE MEXICO SA DE CV</t>
  </si>
  <si>
    <t>ABASTECEDORA DE MAR Y TIERRA PAJI SA DE CV</t>
  </si>
  <si>
    <t>ASOCIADOS ADUANALES AICE SC</t>
  </si>
  <si>
    <t>Atlas Diversified Master Fund LTD</t>
  </si>
  <si>
    <t>Atlas Diversified Master Fund Ltd</t>
  </si>
  <si>
    <t>ATLAS DIVERSIFIED MASTER FUND LTD</t>
  </si>
  <si>
    <t>ENFRAGEN ENERGIA SUR SAU</t>
  </si>
  <si>
    <t>VISIONS COMPUTER IMAGING SYSTEMS LTD</t>
  </si>
  <si>
    <t>PRIME ENERGIA SPA</t>
  </si>
  <si>
    <t>STUART JAMES MCCOURT</t>
  </si>
  <si>
    <t>ROBERT MANDEL</t>
  </si>
  <si>
    <t>ZJR HOLDINGS LTD</t>
  </si>
  <si>
    <t>STAR DEL NORTE SA DE CV</t>
  </si>
  <si>
    <t>SERVICIOS Y SUMINISTROS BLESS SA DE CV</t>
  </si>
  <si>
    <t>MACKENZIE DEVELOPED MARKETS REAL ESTATE INDEX ETF</t>
  </si>
  <si>
    <t>MACKENZIE EMERGING MARKETS EQUITY INDEX ETF</t>
  </si>
  <si>
    <t>MACKENZIE CONSERVATIVE ALLOCATION</t>
  </si>
  <si>
    <t>MACKENZIE GROWTH ALLOCATION ETF</t>
  </si>
  <si>
    <t>MACKENZIE GLOBAL INFRASTRUCTURE INDEX ETF</t>
  </si>
  <si>
    <t>MACKENZIE GLOBAL SUSTAINABLE DIVIDEND INDEX ETF</t>
  </si>
  <si>
    <t>MACKENZIE GLOBAL FIXED INCOME ALLOCATION ETF</t>
  </si>
  <si>
    <t>MACKENZIE BALANCED ALLOCATION ETF</t>
  </si>
  <si>
    <t>ANDEAN TELECOM PARTNERS PERU S R L</t>
  </si>
  <si>
    <t>FLOWCOMMAND DE MEXICO S DE RL DE CV</t>
  </si>
  <si>
    <t>JAVIER ANGEL LEIJA ALVAREZ</t>
  </si>
  <si>
    <t>NORTHERN GATE ENTERPRISES LIMITED</t>
  </si>
  <si>
    <t>SWA EDMONTON LP</t>
  </si>
  <si>
    <t>IND GARP SA DE CV</t>
  </si>
  <si>
    <t>TWS WORLDWIDE SA DE CV</t>
  </si>
  <si>
    <t>12 ALCONES PRODUCTOS SA DE CV</t>
  </si>
  <si>
    <t>MEDIOS CATTRI SA DE CV</t>
  </si>
  <si>
    <t>LEGGAT AVIATION LTD</t>
  </si>
  <si>
    <t>PLUSGRADE INTER LP</t>
  </si>
  <si>
    <t>OXFORD ROLLFORM INC</t>
  </si>
  <si>
    <t>POPREACH INCORPORATED</t>
  </si>
  <si>
    <t>DMAT TACTICAL INCOME FUND LP</t>
  </si>
  <si>
    <t>VCP TECNOLOGIA S DE RL DE CV</t>
  </si>
  <si>
    <t>ORGANIC EL MARQUEZ S DE RL DE CV</t>
  </si>
  <si>
    <t>RO ORGANICO S DE RL DE CV</t>
  </si>
  <si>
    <t>MAESTRO CARNICERO SA DE CV</t>
  </si>
  <si>
    <t>AROMAMEX SA DE CV</t>
  </si>
  <si>
    <t>ROSA MARIA VILLARREAL QUEVEDO</t>
  </si>
  <si>
    <t>GRUPO UNITED AUTO SA DE CV</t>
  </si>
  <si>
    <t>UNITED AUTO DE MONTERREY S DE RL DE CV</t>
  </si>
  <si>
    <t>NORTHSTAR CIEL ET TERRE</t>
  </si>
  <si>
    <t>ABC BENEFITS CORPORATION</t>
  </si>
  <si>
    <t>TURTLE CREEK INVESTMENT FUND</t>
  </si>
  <si>
    <t>NOVA ENTERPRISES LIMITED</t>
  </si>
  <si>
    <t>DISTRIBUIDORA STEINHERT SA DE CV</t>
  </si>
  <si>
    <t>ONEX CREDIT HIGH YIELD BOND FUND, LP</t>
  </si>
  <si>
    <t>CENTURION FINANCIAL TRUST</t>
  </si>
  <si>
    <t>CENTURION REAL ESTATE OPPORTUNITIES TRUST</t>
  </si>
  <si>
    <t>CITRON HYGIENE LP</t>
  </si>
  <si>
    <t>CENTURION APARTMENT REAL ESTATE INVESTMENT TRUST</t>
  </si>
  <si>
    <t>WEST INSTRUMENTS DE MEXICO SA DE CV</t>
  </si>
  <si>
    <t>COLO DEVELOPMENTS SA DE CV</t>
  </si>
  <si>
    <t>JOSE CRISTOBAL VICTORIANO PORRERO LICHTLE</t>
  </si>
  <si>
    <t>PRODUCTOS TAJIN SA DE CV</t>
  </si>
  <si>
    <t>ACTIVOS TURISTICOS DE MEXICO SAPI DE CV</t>
  </si>
  <si>
    <t>COMERCIALIZADORA DE LACTEOS Y DERIVADOS SA DE CV</t>
  </si>
  <si>
    <t>PROLIMP DEL CENTRO SA DE CV</t>
  </si>
  <si>
    <t>JAVIER ARTURO MUNOZ DELGADO</t>
  </si>
  <si>
    <t>GUADALUPE JULIETA GALINDO SAINZ</t>
  </si>
  <si>
    <t>LANE TECHNOLOGIES INC</t>
  </si>
  <si>
    <t>VOMAR INDUSTRIES INC OA TANK TRADER</t>
  </si>
  <si>
    <t>ISAGEN S.A. E.S.P</t>
  </si>
  <si>
    <t>609905 SASKATCHEWAN DBA AG AUTHORITY</t>
  </si>
  <si>
    <t>THE GEORGIAN PEAKS CLUB</t>
  </si>
  <si>
    <t>HYLIFE LTD.</t>
  </si>
  <si>
    <t>PUREFACTS FINANCIAL SOLUTIONS INC</t>
  </si>
  <si>
    <t>DP World (Canada) Investments Inc.</t>
  </si>
  <si>
    <t>DP WORLD CANADA INVESTMENTS INC</t>
  </si>
  <si>
    <t>PORT &amp; FREE ZONE WORLD FZE</t>
  </si>
  <si>
    <t>1832 AM ENHANCED SHORT TERM CREDIT FUND</t>
  </si>
  <si>
    <t>24 EXCHANGE BERMUDA LIMITED</t>
  </si>
  <si>
    <t>CANADIAN QSR SOLUTIONS INC</t>
  </si>
  <si>
    <t>2054412 ONTARIO INC DBA DIAMONDS &amp; DIAMONDS</t>
  </si>
  <si>
    <t>BARLOVENTO CONSULTORES SC</t>
  </si>
  <si>
    <t>GLOBALMANI SA DE CV</t>
  </si>
  <si>
    <t>OMEGA TOOL CANADA DE MEXICO S DE RL DE CV</t>
  </si>
  <si>
    <t>BANCA MIFEL SA FIDEICOMISO NUMERO 3833 2020</t>
  </si>
  <si>
    <t>FRANCISCO JAVIER RAMIREZ ALVARADO</t>
  </si>
  <si>
    <t>GRUPO TEXTIL PROVIDENCIA SA DE CV</t>
  </si>
  <si>
    <t>EQUIPO LOGISTICO JC S DE RL DE CV</t>
  </si>
  <si>
    <t>YOLO DESIGNS COPORATION</t>
  </si>
  <si>
    <t>RICHMOND BUILDING SUPPLIES CO LTD</t>
  </si>
  <si>
    <t>DEVIDRILL MEXICO SA DE CV</t>
  </si>
  <si>
    <t>AGROSERVICIOS NACIONALES SAPI DE CV</t>
  </si>
  <si>
    <t>INDUSTRIAS LET SA DE CV</t>
  </si>
  <si>
    <t>PROVEEDORA DE RIELES Y DURMIENTES MEXICANOS SA DE CV</t>
  </si>
  <si>
    <t>GRUPO PAN DE PALA S DE RL DE CV</t>
  </si>
  <si>
    <t>AGENCIA DESARROLLADORA MEXICO AMERICANA SA DE CV</t>
  </si>
  <si>
    <t>TOMAS GERARDO GUILLEN CIENFUEGOS</t>
  </si>
  <si>
    <t>PRODUCTOS E INSUMOS AGRICOLAS DE ALTO NIVEL DEL VALLE SPR DE RL</t>
  </si>
  <si>
    <t>JEF GLOBAL SERVICES S DE RL DE CV</t>
  </si>
  <si>
    <t>MARIO ALFREDO DE LA FUENTE MIX</t>
  </si>
  <si>
    <t>IS DE MEXICO S DE RL DE CV</t>
  </si>
  <si>
    <t>SEPARATOR TECHNOLOGY SOLUTIONS MX S DE RL DE CV</t>
  </si>
  <si>
    <t>ETIFLEX SA DE CV</t>
  </si>
  <si>
    <t>NUSMAS SA DE CV</t>
  </si>
  <si>
    <t>MANANTIAL LAS AMAPOLAS S DE PR DE RL</t>
  </si>
  <si>
    <t>RAUL GREGORIO SOTO LOPEZ</t>
  </si>
  <si>
    <t>ALBERTO DE JESUS RUZ ALTAMIRANO</t>
  </si>
  <si>
    <t>MORF WORLDWIDE SA DE CV</t>
  </si>
  <si>
    <t>JORGE MARIO CARDENAS MARTINEZ</t>
  </si>
  <si>
    <t>PROMOTORA FIESTA DEL SUR SA DE CV</t>
  </si>
  <si>
    <t>INDUSTRIAL FED'S SA DE CV</t>
  </si>
  <si>
    <t>AGRICOLA DE PRODUCTOS E INSUMOS OPTIMOS DEL VALLE S DE PR DE RL</t>
  </si>
  <si>
    <t>JUANA INES ARREOLA ENRIQUEZ</t>
  </si>
  <si>
    <t>CHIIMPAAK SA DE CV</t>
  </si>
  <si>
    <t>SWY 2019 INC</t>
  </si>
  <si>
    <t>PRESTON CENTRE MALL INC</t>
  </si>
  <si>
    <t>PLUSPETROL LOTE 56 S.A.</t>
  </si>
  <si>
    <t>CORESCAN LTD</t>
  </si>
  <si>
    <t>EPIQ CLASS ACTION SERVICES CANADA INC</t>
  </si>
  <si>
    <t>GLOBALTRADE CORPORATION</t>
  </si>
  <si>
    <t>PC CAPITAL SUPPORT SC</t>
  </si>
  <si>
    <t>TENEDORA TEMPLE SAPI DE CV</t>
  </si>
  <si>
    <t>STETTLER AUCTION MART 2016 LTD</t>
  </si>
  <si>
    <t>HONG KONG TAX AUTHORITY</t>
  </si>
  <si>
    <t>VISA FACILITATION SERVICES MEXICO S DE RL DE CV</t>
  </si>
  <si>
    <t>SIEFORE AZTECA BASICA 65 69 SA DE CV</t>
  </si>
  <si>
    <t>MAXPOS S DE RL DE CV</t>
  </si>
  <si>
    <t>IREHOLD INVESTMENTS INC</t>
  </si>
  <si>
    <t>MACKENZIE PRIVATE EQUITY REPLICATION FUND</t>
  </si>
  <si>
    <t>MACKENZIE PRIVATE EQUITY REPLICATION FUND - 81961</t>
  </si>
  <si>
    <t>MACKENZIE PRIVATE EQUITY REPLICATION FUND - 81962</t>
  </si>
  <si>
    <t>2533-4517 QUEBEC INC</t>
  </si>
  <si>
    <t>3079686 CANADA INC</t>
  </si>
  <si>
    <t>CIBANCO SA INSTITUCION DE BANCA MULTIPLE EN SU CARACTER DE FIDUCIARIO DEL CONTRATO DE FIDEICOMISO IRREVOCABLE DE ADMINISTRACION Y FUENTE DE PAGO NO. CIB/3511</t>
  </si>
  <si>
    <t>2550337 ONTARIO LTD O/A WATCH CASH</t>
  </si>
  <si>
    <t>GRUPO SICEI SA DE CV</t>
  </si>
  <si>
    <t>JRG COMERCIAL SA DE CV</t>
  </si>
  <si>
    <t>MARTHA LETICIA MADRIGAL VELAZQUEZ</t>
  </si>
  <si>
    <t>RUFJ DE MEXICO S DE RL DE CV</t>
  </si>
  <si>
    <t>GUILLERMO ANTONIO ALVAREZ LOPEZ</t>
  </si>
  <si>
    <t>INBURSA SIEFORE BASICA 65 69 SA DE CV</t>
  </si>
  <si>
    <t>INBURSA SIEFORE BASICA 60-64 SA DE CV</t>
  </si>
  <si>
    <t>FLEXTRONICS HOLDING GMBH</t>
  </si>
  <si>
    <t>EAGLE HARBOUR MULTI-STRATEGY MASTER FUND LIMITED</t>
  </si>
  <si>
    <t>8135550 CANADA CORP</t>
  </si>
  <si>
    <t>JUAN BADIA ALONSO</t>
  </si>
  <si>
    <t>INBURSA SIEFORE BASICA 80 84 SA DE CV</t>
  </si>
  <si>
    <t>ACCESORIOS Y REFACCIONES NANEZ SA DE CV</t>
  </si>
  <si>
    <t>INBURSA SIEFORE BASICA 85 89 SA DE CV</t>
  </si>
  <si>
    <t>INBURSA SIEFORE BASICA 90 94 SA DE CV</t>
  </si>
  <si>
    <t>INBURSA SIEFORE BASICA INICIAL SA DE CV</t>
  </si>
  <si>
    <t>INBURSA SIEFORE BASICA 75 79 SA DE CV</t>
  </si>
  <si>
    <t>INBURSA SIEFORE BASICA 70 74 SA DE CV</t>
  </si>
  <si>
    <t>INBURSA SIEFORE BASICA DE PENSIONES SA DE CV</t>
  </si>
  <si>
    <t>INBURSA SIEFORE BASICA 55 59 SA DE CV</t>
  </si>
  <si>
    <t>MAXTELLI INC</t>
  </si>
  <si>
    <t>QAI LABORATORIES LTD</t>
  </si>
  <si>
    <t>CIBANCO SA INSTITUCION DE BANCA MULTIPLE EN SU CARACTER DE FIDUCIARIO DEL CONTRATO DE FIDEICOMISO IRREVOCABLE DE ADMINISTRACION Y FUENTE DE PAGO NO CIB 3430</t>
  </si>
  <si>
    <t>GUIOT GUTIERREZ Y ASOCIADOS SC</t>
  </si>
  <si>
    <t>KAMPALA CAPITAL SAPI DE CV SOFOM ENR</t>
  </si>
  <si>
    <t>EDUARDO SESMA GONZALEZ</t>
  </si>
  <si>
    <t>MERKADIA SAS DE CV</t>
  </si>
  <si>
    <t>NAUTILUS ENERGY PARTNERS LLC</t>
  </si>
  <si>
    <t>MAQUINARIA FRONTERA SA DE CV</t>
  </si>
  <si>
    <t>RAMON HUMBERTO SAMPAYO ORTIZ</t>
  </si>
  <si>
    <t>AHAU S DE RL DE CV</t>
  </si>
  <si>
    <t>RALPH EMMANUEL FARAGGI ATTORNEY</t>
  </si>
  <si>
    <t>YUM! RESTAURANTS INTERNATIONAL MANAGEMENT LLC</t>
  </si>
  <si>
    <t>CANADA HEALTHLABS ASSOCIATION</t>
  </si>
  <si>
    <t>JORGE BENJAMIN TRUJILLO BARRAGAN</t>
  </si>
  <si>
    <t>MOTORES Y BOMBAS DE QUERETARO SA DE CV</t>
  </si>
  <si>
    <t>TEACH 4 ALL MEXICO AC</t>
  </si>
  <si>
    <t>NBC INMOBILIARIA SA DE CV</t>
  </si>
  <si>
    <t>JUAN FELIPE SOTTIL ACHUTEGUI</t>
  </si>
  <si>
    <t>COMERCIALIZADORA SDMHC SA DE CV</t>
  </si>
  <si>
    <t>LUET CO LTD</t>
  </si>
  <si>
    <t>RENAISSANCE GLOBAL FOCUS FUND (929667)</t>
  </si>
  <si>
    <t>IMPERIAL OVERSEAS EQUITY POOL (29668)</t>
  </si>
  <si>
    <t>IMPERIAL OVERSEAS EQUITY POOL 29669</t>
  </si>
  <si>
    <t>RENAISSANCE INTERNATIONAL EQUITY PRIVATE POOL 29671</t>
  </si>
  <si>
    <t>RENAISSANCE INTERNL EQ P (29672)</t>
  </si>
  <si>
    <t>DMAT SHORT DURATION FUND LP</t>
  </si>
  <si>
    <t>HOMEGATE CORPORATION</t>
  </si>
  <si>
    <t>ROTEMA REAL ESTATE GROUP SA DE CV</t>
  </si>
  <si>
    <t>JULIO JOSE COTO PEREZ</t>
  </si>
  <si>
    <t>ACEITES ESPECIALES TH SA DE CV</t>
  </si>
  <si>
    <t>TD ASSET MANAGEMENT 2134</t>
  </si>
  <si>
    <t>CASA DE LUZ OUTREACH MINISTRIES</t>
  </si>
  <si>
    <t>VALVER LATAM SA DE CV</t>
  </si>
  <si>
    <t>PARADISE DOCK AND LIFT INC</t>
  </si>
  <si>
    <t>BRIGHT POINT INDIA PVT. LTD</t>
  </si>
  <si>
    <t>1898845 ONTARIO INC</t>
  </si>
  <si>
    <t>CREDIBLE HOSPITALITY CORP</t>
  </si>
  <si>
    <t>BISHOPS FAMILY CYCLES LTD</t>
  </si>
  <si>
    <t>VANESSA ELIZABETH FRANYUTTI JOHNSTONE</t>
  </si>
  <si>
    <t>ALDEA UH MAY S DE RL DE CV</t>
  </si>
  <si>
    <t>COMERCIALIZADORA DIVELCO SA DE CV</t>
  </si>
  <si>
    <t>JOSE ENRRIQUE ANGULO GUTIERREZ</t>
  </si>
  <si>
    <t>ANDRIGO S DE RL DE CV</t>
  </si>
  <si>
    <t>INMUEBLES AVENTUS SA DE CV</t>
  </si>
  <si>
    <t>MARCELA VEGA GUERRA</t>
  </si>
  <si>
    <t>MORRELL RECYCLING CORPORATION</t>
  </si>
  <si>
    <t>SUER AND POLLON MECHANICAL</t>
  </si>
  <si>
    <t>CIBC GLOBAL BOND FUND 29675</t>
  </si>
  <si>
    <t>CIBC GLOBAL BOND FUND 29673</t>
  </si>
  <si>
    <t>CIBC GLOBAL BOND FUND 29676</t>
  </si>
  <si>
    <t>CIBC GLOBAL BOND FUND</t>
  </si>
  <si>
    <t>CIBC GLOBAL BOND FUND (29674)</t>
  </si>
  <si>
    <t>POINT72 ASSOCIATES LLC - CDEA</t>
  </si>
  <si>
    <t>SONEIL CVD 55 INC</t>
  </si>
  <si>
    <t>LA BATERIA VERDE SA DE CV</t>
  </si>
  <si>
    <t>JOSE GERARDO AYALA VILLARREAL</t>
  </si>
  <si>
    <t>TLT TOOL AND DIE MEXICO SA DE CV</t>
  </si>
  <si>
    <t>MORNINGSTAR RESEARCH INC</t>
  </si>
  <si>
    <t>SONEIL CVD 105 INC</t>
  </si>
  <si>
    <t>RIVERSTONE RETIREMENT TRIM ROAD INC</t>
  </si>
  <si>
    <t>HJT DEVELOPMENT GROUP LTD</t>
  </si>
  <si>
    <t>MARIGOLD INFRASTRUCTURE PARTNERS LIMITED PARTNERSHIP</t>
  </si>
  <si>
    <t>NEBRASKA INVESTMENT COUNCIL161</t>
  </si>
  <si>
    <t>NEBRASKA INVESTMENT COUNCIL291</t>
  </si>
  <si>
    <t>9162-3579 QUEBEC INC</t>
  </si>
  <si>
    <t>CONSERVAS DEL NORTE SA DE CV</t>
  </si>
  <si>
    <t>MOVIMPACTO DE MEXICO SA DE CV</t>
  </si>
  <si>
    <t>PROMOTORA DE HOGARES SM DE MEXICO SA DE CV</t>
  </si>
  <si>
    <t>WINNERMAX CAPITAL INC</t>
  </si>
  <si>
    <t>ARJAZON SEED TRADING LTD.</t>
  </si>
  <si>
    <t>ARJAZON SEED TRADING LTD</t>
  </si>
  <si>
    <t>BARIATRIX NUTRITION INC</t>
  </si>
  <si>
    <t>CHIEF MEDICAL SUPPLIES LTD</t>
  </si>
  <si>
    <t>HULE Y SILICON SA DE CV</t>
  </si>
  <si>
    <t>IMAGINA CREATIVOS ESPACIOS SA DE CV</t>
  </si>
  <si>
    <t>GERARDO HINOJOSA CAMELO</t>
  </si>
  <si>
    <t>VISION FOODS SA DE CV</t>
  </si>
  <si>
    <t>FRACCIONADORA Y URBANIZADORA DEL BRAVO SA DE CV</t>
  </si>
  <si>
    <t>MGA COMMODITIES INC/COMMODOTIES MGA, ELITE DOREE, GOLDEN ELIT</t>
  </si>
  <si>
    <t>POINT72 LONDON INVESTMENTS LTD - CDEA</t>
  </si>
  <si>
    <t>TRANSFORMAX CONSULTING MEXICO SA DE CV</t>
  </si>
  <si>
    <t>ACEITES Y PROTEINAS SA DE CV</t>
  </si>
  <si>
    <t>KERSHE S DE RL DE CV</t>
  </si>
  <si>
    <t>COMERCIAL ARIETE SA DE CV</t>
  </si>
  <si>
    <t>LUIS SPENCER VELAZQUEZ HOLGUIN</t>
  </si>
  <si>
    <t>CASSIA PRODUCTOS SA DE CV</t>
  </si>
  <si>
    <t>STAR WEST PETROLEUM LTD</t>
  </si>
  <si>
    <t>XYLAN LOGISTICS LTD</t>
  </si>
  <si>
    <t>ROUTE THIS INC</t>
  </si>
  <si>
    <t>ROUTE THIS INC.</t>
  </si>
  <si>
    <t>IPROFILE FIXED INCOME PRIVATE POOL</t>
  </si>
  <si>
    <t>CANADA LIFE RISK-MANAGED GROWTH PORTFOLIO</t>
  </si>
  <si>
    <t>CHARTER HALL DIRECT PFA FUND</t>
  </si>
  <si>
    <t>OLEOQUIMICA MEXICANA SA DE CV</t>
  </si>
  <si>
    <t>REPRINTS UNLIMITED SA DE CV</t>
  </si>
  <si>
    <t>MAS PROYECTO SA DE CV</t>
  </si>
  <si>
    <t>DANIEL GERARDO LOERA GONZALEZ</t>
  </si>
  <si>
    <t>DOLORES ANGELICA GALICIA LOYA</t>
  </si>
  <si>
    <t>DANIEL JUAN CLAUDIO DE LABORDE NOGUEZ DE ITURBE</t>
  </si>
  <si>
    <t>MERCEDES TERECITA CAMELO MARTINEZ</t>
  </si>
  <si>
    <t>SHANTZ VILLAGE MARKET GP INC</t>
  </si>
  <si>
    <t>BRANT COMMUNITY HEALTHCARE SYSTEM</t>
  </si>
  <si>
    <t>DAN LOK EDUCATION INC</t>
  </si>
  <si>
    <t>HOME QUARTERS FURNISHINGS INC</t>
  </si>
  <si>
    <t>DESINEX DE MEXICO S DE RL DE CV</t>
  </si>
  <si>
    <t>EDOUARD JEAN FRANCOIS PASCAL MARIE CLAUZEL</t>
  </si>
  <si>
    <t>SERVICIOS GENERALES ESPECIALIZADOS SA</t>
  </si>
  <si>
    <t>ROBMA SA DE CV</t>
  </si>
  <si>
    <t>AGROPECUARIA INTERNACIONAL USCATEGUI OLANO SA DE CV</t>
  </si>
  <si>
    <t>METICULOSITY ENTERPRISES INC</t>
  </si>
  <si>
    <t>TOMAS GAYTAN GARCIA Y ASOCIADOS SA DE CV</t>
  </si>
  <si>
    <t>JORGE PIO ALEGRIA FORMOSO</t>
  </si>
  <si>
    <t>INTERCOM CONSULTORES ASOCIADOS SC</t>
  </si>
  <si>
    <t>SBLP MAGOG SHOPPING CENTRE INC</t>
  </si>
  <si>
    <t>1366687 ONTARIO INC</t>
  </si>
  <si>
    <t>BREAKERS/DRILLS NORTH AMERICA INC</t>
  </si>
  <si>
    <t>HOCKEY CANADA</t>
  </si>
  <si>
    <t>INNOVACION SEGURA SA DE CV</t>
  </si>
  <si>
    <t>ACE EMPAQUES SA DE CV</t>
  </si>
  <si>
    <t>CARAKADA SA DE CV</t>
  </si>
  <si>
    <t>CANADIAN TOWERS AND FIBER OPTICS SA CV</t>
  </si>
  <si>
    <t>SEAHAWK LOGITECH SA DE CV</t>
  </si>
  <si>
    <t>GRUPO INMOBILIARIO TERBA SA DE CV</t>
  </si>
  <si>
    <t>KILLTEC NA INC</t>
  </si>
  <si>
    <t>AODA FOODS INTERNATIONAL LTD</t>
  </si>
  <si>
    <t>CONSORCIO INTERCOM SA DE CV</t>
  </si>
  <si>
    <t>JOSE ANTONIO AMARE GOMEZ</t>
  </si>
  <si>
    <t>PDN SERVICIOS FERROVIARIOS SA DE CV</t>
  </si>
  <si>
    <t>CANADIAN TOWERS SA DE CV</t>
  </si>
  <si>
    <t>PUERTA QUERETARO SAPI DE CV</t>
  </si>
  <si>
    <t>VERTIENTES NSG SA DE CV</t>
  </si>
  <si>
    <t>METRO TOW TRUCKS LTD</t>
  </si>
  <si>
    <t>ARGO BRONTE RIVER CORPORATION</t>
  </si>
  <si>
    <t>FERNANDO POZAS GARCIA</t>
  </si>
  <si>
    <t>SYLVIA MARIANNE PENSKI BUCHTHAL</t>
  </si>
  <si>
    <t>H R TECHNOLOGIES SA DE CV</t>
  </si>
  <si>
    <t>FABIENNE MARIE GENEVIEVE GANDOULF GASTINEL</t>
  </si>
  <si>
    <t>INMOBILIARIA Y ARRENDADORA JELIN SA DE CV</t>
  </si>
  <si>
    <t>HUGUETTE LUISA GANDOULF LEBRE</t>
  </si>
  <si>
    <t>MIGUEL F MEISZNER MENDEL</t>
  </si>
  <si>
    <t>PROMOTORA HIGA SA DE CV</t>
  </si>
  <si>
    <t>SINAI HEALTH SYSTEM</t>
  </si>
  <si>
    <t>MAC ACRES LTD.</t>
  </si>
  <si>
    <t>ENTHEON HOLDINGS CORP</t>
  </si>
  <si>
    <t>FREZY INC</t>
  </si>
  <si>
    <t>JACOBO 711 SA DE CV</t>
  </si>
  <si>
    <t>NETINTERCOM SA DE CV</t>
  </si>
  <si>
    <t>MARIA CECILIA ESTELA DE ASUNCION DIAZ ROMO</t>
  </si>
  <si>
    <t>TURQUESTAN SA DE CV</t>
  </si>
  <si>
    <t>PRODUCCIONES P P MEXICO SERIES SA DE CV</t>
  </si>
  <si>
    <t>PRODUCCIONES P P MEXICO SA DE CV</t>
  </si>
  <si>
    <t>MICKAEL PASCAL JOSEPH GANDOULF ZBINDEN</t>
  </si>
  <si>
    <t>OPERADORA OMX SA DE CV</t>
  </si>
  <si>
    <t>ANGELICA SUSANA TRUJILLO BARRAGAN</t>
  </si>
  <si>
    <t>CORPORATION OF THE CITY OF WINDSOR</t>
  </si>
  <si>
    <t>AERFUNDING 1 LIMITED</t>
  </si>
  <si>
    <t>NORTHERN STATES POWER COMPANY - MINNESOTA</t>
  </si>
  <si>
    <t>NORTHERN STATES POWER COMPANY WISCONSIN</t>
  </si>
  <si>
    <t>GREENLAND GROWERS NURSERY LTD.</t>
  </si>
  <si>
    <t>ISMAEL CASTILLO HERNANDEZ</t>
  </si>
  <si>
    <t>ENERGIA SOLAR CUNCUNUL S DE RL DE CV</t>
  </si>
  <si>
    <t>DANIEL CASTILLO HERNANDEZ</t>
  </si>
  <si>
    <t>AF GEAR TECHNOLOGY SA DE CV</t>
  </si>
  <si>
    <t>HACIENDAS DE BACALAR SAPI DE CV</t>
  </si>
  <si>
    <t>LA CORRIENTE DEL GOLFO MEXICO SA DE CV</t>
  </si>
  <si>
    <t>BUY PLAYA SA DE CV</t>
  </si>
  <si>
    <t>AVANGRID, INC.</t>
  </si>
  <si>
    <t>AVANGRID INC</t>
  </si>
  <si>
    <t>ADVANCED MARKETING SOLUTIONS INC</t>
  </si>
  <si>
    <t>EMPIRE COMMUNITIES CORP</t>
  </si>
  <si>
    <t>FELDER RENTALS DE MEXICO SA DE CV</t>
  </si>
  <si>
    <t>JOSE LUIS CASTILLO BENITEZ</t>
  </si>
  <si>
    <t>TELTONIKA DE MEXICO S DE RL DE CV</t>
  </si>
  <si>
    <t>TEXAS INDUSTRIAL SUPPLY DE MEXICO SA DE CV</t>
  </si>
  <si>
    <t>LES EQUIPEMENTS RAPCO INC</t>
  </si>
  <si>
    <t>LOS ANGELES COUNTY DEFERRED 1003</t>
  </si>
  <si>
    <t>PACIFIC INTERNATIONAL EQUITIES CORP INC</t>
  </si>
  <si>
    <t>FRIEDMAN FAMILY FOUNDATION</t>
  </si>
  <si>
    <t>FOUNDATION MEHADURAS FRIEDMAN</t>
  </si>
  <si>
    <t>PROVEEDORA GENETICA DE DELICIAS SA DE CV</t>
  </si>
  <si>
    <t>ESTEBAN EDUARDO QUINTANA ROLDAN</t>
  </si>
  <si>
    <t>JOSE DACASA GOMEZ</t>
  </si>
  <si>
    <t>ALUMINIOS DEL PACIFICO SA DE CV</t>
  </si>
  <si>
    <t>OSMOW S INC.</t>
  </si>
  <si>
    <t>ROCKY MOUNTAIN EQUIPMENT LP</t>
  </si>
  <si>
    <t>NEPTUNE OPERATIONS LTD</t>
  </si>
  <si>
    <t>INVERFAL PERU SA</t>
  </si>
  <si>
    <t>AMELECO ELECTRIC INC</t>
  </si>
  <si>
    <t>GC STUDIOS SA DE CV</t>
  </si>
  <si>
    <t>SEMILLAS BERENTSEN SA DE CV</t>
  </si>
  <si>
    <t>INFRA SA DE CV</t>
  </si>
  <si>
    <t>CARRYGO TRASLADOS SA DE CV</t>
  </si>
  <si>
    <t>KABOOM FIREWORKS INC</t>
  </si>
  <si>
    <t>WILDCAT EQUIPMENT INC</t>
  </si>
  <si>
    <t>WEST WALL GROUP SA DE CV</t>
  </si>
  <si>
    <t>CGTS EQUIPMENT DE MEXICO SA DE CV</t>
  </si>
  <si>
    <t>MEDICAMENTOS Y ESPECIALIDADES GOMEDS S DE RL DE CV</t>
  </si>
  <si>
    <t>GABRIEL BUTELER</t>
  </si>
  <si>
    <t>WESER PHARMA SA DE CV</t>
  </si>
  <si>
    <t>CONTENT ED NET SA DE CV</t>
  </si>
  <si>
    <t>SCG AQUARIUS CALGARY HOTEL INC</t>
  </si>
  <si>
    <t>SCG AQUARIUS OTTAWA HOTEL INC</t>
  </si>
  <si>
    <t>SCG AQUARIUS TORONTO HOTEL INC</t>
  </si>
  <si>
    <t>ST. PAUL'S FOUNDATION OF VANCOUVER</t>
  </si>
  <si>
    <t>ELECTRONIC ARTS SINGAPORE PTE LTD</t>
  </si>
  <si>
    <t>ALTASTEEL INC.</t>
  </si>
  <si>
    <t>FAIRFAX FINANCIAL HOLDINGS LIMITED</t>
  </si>
  <si>
    <t>DEARDEN PROPERTIES S DE RL DE CV</t>
  </si>
  <si>
    <t>ALEXANDER TULUM DEVELOPMENT SA DE CV</t>
  </si>
  <si>
    <t>PRODUCCIONES PINGUINO SA DE CV</t>
  </si>
  <si>
    <t>JUAN MIGUEL GANDOULF CASTELLANOS</t>
  </si>
  <si>
    <t>MARIA DE LOURDES GOMEZ Y CALDERON</t>
  </si>
  <si>
    <t>BIO PAPPEL SCRIBE SA DE CV</t>
  </si>
  <si>
    <t>HO CHI MIGUEL VEGA RODRIGUEZ</t>
  </si>
  <si>
    <t>ZYRE LOGISTICS SA DE CV</t>
  </si>
  <si>
    <t>LA CORRIENTE DEL GOLFO SERIES SA DE CV</t>
  </si>
  <si>
    <t>STORAGE CAPITAL 2 LP</t>
  </si>
  <si>
    <t>EQUIPESCA DE OBREGON SA DE CV</t>
  </si>
  <si>
    <t>CLAUDIA ALICIA EL KHOURY RABAHIYE</t>
  </si>
  <si>
    <t>JOSE ANTONIO KHOURY RABAHIYE</t>
  </si>
  <si>
    <t>OSUM OIL SANDS CORP.</t>
  </si>
  <si>
    <t xml:space="preserve">GRUPO HERDEZ SAB DE CV					</t>
  </si>
  <si>
    <t>AKRA POLYESTER SA DE CV</t>
  </si>
  <si>
    <t>SOTAHUX SA DE CV</t>
  </si>
  <si>
    <t>LOCKSLEY TECNOLOGY SA DE CV</t>
  </si>
  <si>
    <t>TEREFTALATOS MEXICANOS SA DE CV</t>
  </si>
  <si>
    <t>GRANJAS AVICOLAS RANCHO GRANDE SPR DE RL</t>
  </si>
  <si>
    <t>SERGIO LOPEZ PODESTA</t>
  </si>
  <si>
    <t>FIRST TRUST INTERNATIONAL DEVELOPED CAPITAL STRENGTH ETF</t>
  </si>
  <si>
    <t>CANADA LIFE CANADIAN GROWTH BALANCED FUND EQUITY</t>
  </si>
  <si>
    <t>CANADA LIFE CANADIAN GROWTH BALANCED FUND FIXED INCOME</t>
  </si>
  <si>
    <t>CANADA LIFE CANADIAN GROWTH BALANCED FUND</t>
  </si>
  <si>
    <t>BALTIA APARTAMENTOS S A DE C V</t>
  </si>
  <si>
    <t>AG CAPITAL CANADA LIMITED PARTNERSHIP</t>
  </si>
  <si>
    <t>BAWBAGS SA DE CV</t>
  </si>
  <si>
    <t>OLNATURA SA DE CV</t>
  </si>
  <si>
    <t>EFE GROUP CHEMICAL SOLUTIONS SA DE CV</t>
  </si>
  <si>
    <t>INTERNATIONAL RAILCAR SERVICES INC</t>
  </si>
  <si>
    <t>ALVAREZ AND SALGADO ENERGIAS SUSTENTABLES SA DE CV</t>
  </si>
  <si>
    <t>GRUPEG MEXICO S DE RL DE CV</t>
  </si>
  <si>
    <t>NACIONAL DE INGREDIENTES SA DE CV</t>
  </si>
  <si>
    <t>POWER HIT SA DE CV</t>
  </si>
  <si>
    <t>ULTECHMEX SA DE CV</t>
  </si>
  <si>
    <t>AIRPORT FORD LINCOLN LTD</t>
  </si>
  <si>
    <t>CORPORATE BOND FUND (PORTICO)</t>
  </si>
  <si>
    <t>DEGROOTE-HILL CHEVROLET BUICK GMC LTD</t>
  </si>
  <si>
    <t>CLEAR VANTAGE MEDIA CORP</t>
  </si>
  <si>
    <t>AIR CANADA VACATIONS</t>
  </si>
  <si>
    <t>PVH BRANDS AUSTRALIA PTY LTD</t>
  </si>
  <si>
    <t>KITCHENER FORD LTD</t>
  </si>
  <si>
    <t>2481792 ONTARIO LTD</t>
  </si>
  <si>
    <t>QUADRUS CORE PLUS BOND FUND (PORTICO)</t>
  </si>
  <si>
    <t>EAST COAST SPC STRATEGIC CREDIT SP</t>
  </si>
  <si>
    <t>2786050 ONTARIO INC</t>
  </si>
  <si>
    <t>FOCUS CATALYTICS INC</t>
  </si>
  <si>
    <t>HYFLODRAULIC LIMITED</t>
  </si>
  <si>
    <t>SUNCNS MEXICO S DE RL DE CV</t>
  </si>
  <si>
    <t>MICLAN SA DE CV</t>
  </si>
  <si>
    <t>1469073 ONTARIO LTD</t>
  </si>
  <si>
    <t>BRUNSWICK BIER WORKS INC</t>
  </si>
  <si>
    <t>24X CELER</t>
  </si>
  <si>
    <t>BARX CELER</t>
  </si>
  <si>
    <t>CITI CELER</t>
  </si>
  <si>
    <t>CURRENEX CELER</t>
  </si>
  <si>
    <t>EBS DIRECT CELER</t>
  </si>
  <si>
    <t>EBS AI CELER</t>
  </si>
  <si>
    <t>EBS FA CELER</t>
  </si>
  <si>
    <t>FASTMATCH CELER</t>
  </si>
  <si>
    <t>GTX CELER</t>
  </si>
  <si>
    <t>HOTSPOT CELER</t>
  </si>
  <si>
    <t>JPM CELER</t>
  </si>
  <si>
    <t>REUTERS CELER</t>
  </si>
  <si>
    <t>CELER SALESDEALER</t>
  </si>
  <si>
    <t>UBS CELER</t>
  </si>
  <si>
    <t>SANZ</t>
  </si>
  <si>
    <t>TRAIL APPLIANCES LTD</t>
  </si>
  <si>
    <t>3RD GEN HOLDINGS LTD</t>
  </si>
  <si>
    <t>ALLAN EQUIPMENT MANUFACTURING LTD</t>
  </si>
  <si>
    <t>CI GOLD BULLION FUND</t>
  </si>
  <si>
    <t>NINEPOINT DIVERSIFIED BOND FUND</t>
  </si>
  <si>
    <t>OMEGA TRADING GROUP LTD.</t>
  </si>
  <si>
    <t>BODEGAS BAROUDI SA DE CV</t>
  </si>
  <si>
    <t>CONSTRUCCIONES DESARROLLOS Y RESORTS MEXICANOS SA DE CV</t>
  </si>
  <si>
    <t>IMPORTACIONES BAROUDI SA DE CV</t>
  </si>
  <si>
    <t>RIDGEVILLE COLONY FARMS LTD</t>
  </si>
  <si>
    <t>POINT72 GLOBAL MACRO INVESTMENTS LLC - CDEA</t>
  </si>
  <si>
    <t>458021 ONTARIO INC</t>
  </si>
  <si>
    <t>GRANDOR MANAGEMENT LTD</t>
  </si>
  <si>
    <t>CIUDAD COMERCIAL RODRIGUEZ SA DE CV</t>
  </si>
  <si>
    <t>DAGUSI IMPORT SA DE CV</t>
  </si>
  <si>
    <t>E MARKET AND TRADE SA DE CV</t>
  </si>
  <si>
    <t>IZCAYA SA DE CV</t>
  </si>
  <si>
    <t>DYNAMIC ENERGY EVOLUTION FUND</t>
  </si>
  <si>
    <t>LDI SOLUTIONS PLUS ICAV  KFM GBP INFLATION FUND 2021 2025</t>
  </si>
  <si>
    <t>LDI SOLUTIONS PLUS ICAV   KFM GBP INFLATION FUND 2026 - 2030</t>
  </si>
  <si>
    <t>LDI SOLUTIONS PLUS ICAV  KFM GBP INFLATION FUND 2031  2035</t>
  </si>
  <si>
    <t>LDI SOLUTIONS PLUS ICAV  KFM GBP INFLATION FUND 2036  2040</t>
  </si>
  <si>
    <t>RBC $U.S. GLOBAL BALANCED PORTFOLIO</t>
  </si>
  <si>
    <t>RBC VISION FOSSIL FUEL FREE EMERGING MARKETS EQUITY FUND</t>
  </si>
  <si>
    <t>ITAU GLOBAL INVESTMENT FUND SPC FOR AND ON BEHALF OF ITAU GLOBAL DYNAMIC FUND SEGREGATED PORTFOLIO</t>
  </si>
  <si>
    <t>MEMBERTOU PROPERTIES LIMITED PARTNERSHIP</t>
  </si>
  <si>
    <t>ARCTURUS NETWORKS INC</t>
  </si>
  <si>
    <t>CREATIVE VISUAL SOLUTIONS INC</t>
  </si>
  <si>
    <t>PABLO LEGASPI LANZ</t>
  </si>
  <si>
    <t>FIDEICOMISO IRREVOCABLE NO CIB3502 CI BANCO</t>
  </si>
  <si>
    <t>DESARROLLO COMERCIAL ABARROTERO SA DE CV</t>
  </si>
  <si>
    <t>INDUSTRIAS SOLMAR V SA DE CV</t>
  </si>
  <si>
    <t>LE COMMERCE DE PAPIER ANDES INC (ANDRES PAPER TRADING INC)</t>
  </si>
  <si>
    <t>ROBERT S LENNOX</t>
  </si>
  <si>
    <t>CORO MINING CORP.</t>
  </si>
  <si>
    <t>BLUEBAY GLOBAL HIGH YIELD BOND FUND (CANADA)</t>
  </si>
  <si>
    <t>RBC SHORT-TERM GLOBAL BOND FUND</t>
  </si>
  <si>
    <t>RBC  U.S. CORE BOND POOL</t>
  </si>
  <si>
    <t>ITAU GLOBAL INVESTMENT FUND SPC FOR AND ON BEHALF OF ITAU GLOBAL DYNAMIC FIXED INCOME FUND SEGREGATED PORTFOLIO</t>
  </si>
  <si>
    <t>M AND L MANAGEMENT INC</t>
  </si>
  <si>
    <t>RBC $U.S. GLOBAL BOND FUND</t>
  </si>
  <si>
    <t>RBC $U.S. CORE PLUS BOND POOL</t>
  </si>
  <si>
    <t>RBC VISION FOSSIL FUEL FREE BALANCED FUND</t>
  </si>
  <si>
    <t>CSH HCN REGENT PARK INC</t>
  </si>
  <si>
    <t>NINEPOINT CREDIT INCOME OPPORTUNITIES FUND</t>
  </si>
  <si>
    <t>11717600 CANADA LTD</t>
  </si>
  <si>
    <t>ALCH LTD</t>
  </si>
  <si>
    <t>BACATA FOOD AND MARKETING INC</t>
  </si>
  <si>
    <t>BIOSKINCO SA DE CV</t>
  </si>
  <si>
    <t>MACKENZIE NORTHLEAF PRIVATE CREDIT FUND</t>
  </si>
  <si>
    <t>RBC VISION FOSSIL FUEL FREE BOND FD</t>
  </si>
  <si>
    <t>CANADA LIFE GLOBAL STRATEGIC INCOME FUND</t>
  </si>
  <si>
    <t>CANADA LIFE GLOBAL STRATEGIC INCOME FUND EQUITY</t>
  </si>
  <si>
    <t>CANADA LIFE GLOBAL STRATEGIC INCOME FUND FIXED INCOME</t>
  </si>
  <si>
    <t>VANCOUVER NO 1 PARTNERSHIP</t>
  </si>
  <si>
    <t>MD MANAGEMENT LIMITED</t>
  </si>
  <si>
    <t>1656975 ONTARIO INC - CANADA GO GREEN</t>
  </si>
  <si>
    <t>AGRICOLA ALTA ELVA SAPI DE CV</t>
  </si>
  <si>
    <t>AGROPECUARIA MARIA JOSE SPR DE RL</t>
  </si>
  <si>
    <t>ALIMENTOS TERRANOBLE SA DE CV</t>
  </si>
  <si>
    <t>ARTISILIO S DE RL DE CV</t>
  </si>
  <si>
    <t>C6 MEDICAL INCORPORATED</t>
  </si>
  <si>
    <t>CADENA PRODUCTIVA FORESTAL KANAIMA SA DE CV</t>
  </si>
  <si>
    <t>CIBANCO SA INSTITUCION DE BANCA MULTIPLE EN SU CARACTER DE FIDUCIARIO DEL CONTRATO DE FIDEICOMISO IRREVOCABLE DE ADMINISTRACION Y FUENTE DE PAGO NO CIB3562</t>
  </si>
  <si>
    <t>DJ PRINT SA DE CV</t>
  </si>
  <si>
    <t>EARLY TERMINATION MX</t>
  </si>
  <si>
    <t>ENRIQUE FRANCO BUSTILLOS</t>
  </si>
  <si>
    <t>EUROSERVICIOS INDUSTRIALES DE MEXICO SA DE CV</t>
  </si>
  <si>
    <t>EXALTA HERO SAPI DE CV</t>
  </si>
  <si>
    <t>GLOBAL PETROLEUM MARKETING INC</t>
  </si>
  <si>
    <t>HERVE EDOUARD LOUIS GANDOULF GASTINEL</t>
  </si>
  <si>
    <t>HMB FIELDS SPR DE RL</t>
  </si>
  <si>
    <t>HOUSE OF JEWELLERY 2020 INC</t>
  </si>
  <si>
    <t>ILUMINACION SITLUX SA DE CV</t>
  </si>
  <si>
    <t>INMOBILIARIA 722 SA DE CV</t>
  </si>
  <si>
    <t>ISAAC FERMON MAYA</t>
  </si>
  <si>
    <t>JUAN PEDRO GANDOULF LEBRE</t>
  </si>
  <si>
    <t>KOR STRUCTURAL</t>
  </si>
  <si>
    <t>KORZITE COATINGS INC</t>
  </si>
  <si>
    <t>NOBLEMAX S DE RL DE CV</t>
  </si>
  <si>
    <t>OPERADORA CASA TULUM SA DE CV</t>
  </si>
  <si>
    <t>PELYTEX DEL CENTRO SA DE CV</t>
  </si>
  <si>
    <t>RAMPION ENTERPRISES LTD</t>
  </si>
  <si>
    <t>REYNA SILVER SAPI DE CV</t>
  </si>
  <si>
    <t>ROADSIDE SUPPLY LTD</t>
  </si>
  <si>
    <t>SAPUCHI MINERA S DE RL DE CV</t>
  </si>
  <si>
    <t>SEMAC AGROINOVACION EMPRESARIAL SA DE CV</t>
  </si>
  <si>
    <t>SERVICIOS DIMENSIONALES Y DE METROLOGIA SA DE CV</t>
  </si>
  <si>
    <t>T Y GROUP MEXICO S DE RL DE CV</t>
  </si>
  <si>
    <t>TRANSGRID SOLUTIONS INC</t>
  </si>
  <si>
    <t>ZER070 S DE RL DE CV</t>
  </si>
  <si>
    <t>SWITZER CARTY TRANSPORTATION SERVICES INC</t>
  </si>
  <si>
    <t>SWITZER-CARTY TRANSPORTATION SERVICES INC.</t>
  </si>
  <si>
    <t>MAINSTEELE DEVELOPMENT LTD</t>
  </si>
  <si>
    <t>EUROPEAN OPPORTUNITIES TRUST PLC</t>
  </si>
  <si>
    <t>BNS PRIME SERVICES HOUSTON BRANCH</t>
  </si>
  <si>
    <t>86689 NEWFOUNDLAND AND LABRADOR LIMITED</t>
  </si>
  <si>
    <t>PRODUCTORA VERLOT S DE PR DE RL DE CV</t>
  </si>
  <si>
    <t>AVNET HOLDING EUROPE BVBA</t>
  </si>
  <si>
    <t>DYNAMIC RETIREMENT INCOME PLUS FUND</t>
  </si>
  <si>
    <t>DYNAMIC RETIREMENT INCOME PLUS FUND HEDGE</t>
  </si>
  <si>
    <t>PCL NSP 2021 LTD</t>
  </si>
  <si>
    <t>3A INGENIEROS SA DE CV</t>
  </si>
  <si>
    <t>CONSTRUSERVICIOS ERFA SA DE CV</t>
  </si>
  <si>
    <t>CORRUGADOS DEL ALTIPLANO SA DE CV</t>
  </si>
  <si>
    <t>ENVAI FOOD PACKAGING SA DE CV</t>
  </si>
  <si>
    <t>EXPLORADORA LA REYNA SA DE CV</t>
  </si>
  <si>
    <t>GUILLERMINA BARRAGAN CARDENAS</t>
  </si>
  <si>
    <t>JP CAPITAL ADVISORS SA DE CV</t>
  </si>
  <si>
    <t>LA CORRIENTE DEL GOLFO PODCAST SA DE CV</t>
  </si>
  <si>
    <t>MARTHA EUGENIA TRUJILLO BARRAGAN</t>
  </si>
  <si>
    <t>MOEASY INMOBILIARIO SA DE CV</t>
  </si>
  <si>
    <t>MICHAEL GREEN Y ASOCIADOS SA DE CV</t>
  </si>
  <si>
    <t>MAGNA LIFE SETTLEMENT FUND</t>
  </si>
  <si>
    <t>PASQUALE BROS DOWNTOWN LIMITED</t>
  </si>
  <si>
    <t>SMART TRS LP X</t>
  </si>
  <si>
    <t>QUIMICA CARIBE LTDA S DE RL DE CV</t>
  </si>
  <si>
    <t>CTS PRODUCTION EQUIPMENT LTD.</t>
  </si>
  <si>
    <t>AGROKUMARA SA DE CV</t>
  </si>
  <si>
    <t>GRUPO JULIO SA DE CV</t>
  </si>
  <si>
    <t>KRAYDEN CANADA (E. B PEERLESS LTD)</t>
  </si>
  <si>
    <t>SYRE SUMINISTROS Y REPARACIONES ESPECIALIZADAS S DE RL DE CV</t>
  </si>
  <si>
    <t>NEUMATICOS MUEVETIERRA SA DE CV</t>
  </si>
  <si>
    <t>SERVIACERO ELECTRO FORJADOS SA DE CV</t>
  </si>
  <si>
    <t>IMPORTADORA DE MODA EXALTA SAPI DE CV</t>
  </si>
  <si>
    <t>LLANTAS Y REFACCIONES AGRICOLAS SA DE CV</t>
  </si>
  <si>
    <t>STONEFIELD APARTMENTS SAPI DE CV</t>
  </si>
  <si>
    <t>CANADA LIFE CANADIAN GROWTH FUND (GWLIM)</t>
  </si>
  <si>
    <t>LC INVESTMENTS FUND SPC - LC IV SEGREGATED PORTFOLIO-BLOCK</t>
  </si>
  <si>
    <t>LC INVESTMENTS FUND SPC - LC I SEGREGATED PORTFOLIO</t>
  </si>
  <si>
    <t>LC Investments Fund SPC - LC II Segregated Portfolio</t>
  </si>
  <si>
    <t>KAPITALFORENINGEN LD - GULDRANDEDE OBLIGATIONER - MANDAT 1</t>
  </si>
  <si>
    <t>774573 ALBERTA LTD</t>
  </si>
  <si>
    <t>CANADA LIFE CANADIAN DIVIDEND FUND (LAKETON)</t>
  </si>
  <si>
    <t>100478 P E I INC (O/A TOP DOG MANUFACTURING)</t>
  </si>
  <si>
    <t>ANBROOK INDUSTRIES LTD</t>
  </si>
  <si>
    <t>AON MEXICO BUSINESS SUPPORT SADE CV</t>
  </si>
  <si>
    <t>BIMCA Y ASOCIADOS SA DE CV</t>
  </si>
  <si>
    <t>BWC SERVICES TRUST</t>
  </si>
  <si>
    <t>CRCMX SA DE CV SOFOM ENR</t>
  </si>
  <si>
    <t>ENRIQUE JOSE PAZ FUENTES</t>
  </si>
  <si>
    <t>FLYGTA INC</t>
  </si>
  <si>
    <t>HORTICOLA TOM SA DE CV</t>
  </si>
  <si>
    <t>INTERLUB SA DE CV</t>
  </si>
  <si>
    <t>INTERMEDIACION GIAM SA DE CV</t>
  </si>
  <si>
    <t>LABORATORIOS DESPPO SA DE CV</t>
  </si>
  <si>
    <t>MARKO TEST ZONE S DE RL DE CV</t>
  </si>
  <si>
    <t>NEAMSBY INVESTMENTS INC</t>
  </si>
  <si>
    <t>POWER PROCESS CONTROL SA DE CV</t>
  </si>
  <si>
    <t>PWD GROUP INC</t>
  </si>
  <si>
    <t>RAMON ALEJANDRO TIRADO MARTINEZ</t>
  </si>
  <si>
    <t>SOTELCO SA DE CV</t>
  </si>
  <si>
    <t>ZGEMI INC.</t>
  </si>
  <si>
    <t>AMERICAS GOLD AND SILVER CORPORATION</t>
  </si>
  <si>
    <t>CANADA LIFE CANADIAN EQUITY  FUND (LAKETON)</t>
  </si>
  <si>
    <t>FSW ENTERTAINMENT INC</t>
  </si>
  <si>
    <t>RICARDO ARTURO  PARADA DIAZ</t>
  </si>
  <si>
    <t>ETYQUETAS RIBBON LOGISTIC GROUP S DE RL DE CV</t>
  </si>
  <si>
    <t>CROWN GAMING MEXICO SA DE CV</t>
  </si>
  <si>
    <t>WEIBSER SA DE CV</t>
  </si>
  <si>
    <t>CONSTRUCTORA COMERCIAL Y DESARROLLOS INMOBILIARIOS LAMBDA ESPECIALIZADA SA DE CV</t>
  </si>
  <si>
    <t>PRECISION WEST AG CORP</t>
  </si>
  <si>
    <t>CHICKS GOLD INC</t>
  </si>
  <si>
    <t>SERVICIOS LOGISTICOS GGA AND MIEL SA DE CV</t>
  </si>
  <si>
    <t>SANTEY BERRIES FARM SPR DE RL DE CV</t>
  </si>
  <si>
    <t>FRANK SA DE CV</t>
  </si>
  <si>
    <t>BAJA TACKLE SA DE CV</t>
  </si>
  <si>
    <t>HOTEL IMAGINA SA DE CV</t>
  </si>
  <si>
    <t>BEGOCE BERRIES S DE PR DE RL DE CV</t>
  </si>
  <si>
    <t>SRA CONSUELO SC DE RL DE CV</t>
  </si>
  <si>
    <t>CUAUHTEMOC GUERRERO GONZALEZ</t>
  </si>
  <si>
    <t>MELISA MICHELLE SAAD DURICK</t>
  </si>
  <si>
    <t>PINEDALE PROPERTIES LTD</t>
  </si>
  <si>
    <t>ROPACK INC</t>
  </si>
  <si>
    <t>SRSBH INTERNACIONAL S DE RL DE CV</t>
  </si>
  <si>
    <t>DIEGO MIRANDA ALVAREZ</t>
  </si>
  <si>
    <t>NA TRANSPORT SA DE CV</t>
  </si>
  <si>
    <t>KACHE MILLER</t>
  </si>
  <si>
    <t>OLAN DE MEXICO SA DE CV</t>
  </si>
  <si>
    <t>BOARDWALK REALTY PUERTO VALLARTA S DE RL DE CV</t>
  </si>
  <si>
    <t>CESAR HUMBERTO FUNES GARAY</t>
  </si>
  <si>
    <t>FERTICADENA SA DE CV</t>
  </si>
  <si>
    <t>OSCAR ZEPEDA SOTOMAYOR</t>
  </si>
  <si>
    <t>TME INGENIERIA BIOMEDICA SA DE CV</t>
  </si>
  <si>
    <t>HECTOR MANUEL IGLESIAS ARAGON</t>
  </si>
  <si>
    <t>VIRGINIA MARIA HARO ESPINOZA</t>
  </si>
  <si>
    <t>9307 5059 QUEBEC INC(SYNERGY SOURCING)</t>
  </si>
  <si>
    <t>BUCKINGHAM SPORTS PROPERTIES COMPANY</t>
  </si>
  <si>
    <t>EXCELSIOR MINING CORP</t>
  </si>
  <si>
    <t>CLARA CORONA KIRSCH</t>
  </si>
  <si>
    <t>NBN CO LIMITED</t>
  </si>
  <si>
    <t>THE SOLUTION IN PACKAGING FOOD S DE RL DE CV</t>
  </si>
  <si>
    <t>GARROBO OPERACIONES S DE RL DE CV</t>
  </si>
  <si>
    <t>MINERA PUEBLO DE ORO SA DE CV</t>
  </si>
  <si>
    <t>ENERCARE INC</t>
  </si>
  <si>
    <t>GFS US HOLDINGS LLC</t>
  </si>
  <si>
    <t>NEG NATURAL S.A. DE C.V.</t>
  </si>
  <si>
    <t>REMANSO AT ESPIRITU DEL MAR AC</t>
  </si>
  <si>
    <t>IMCO GLOBAL PUBLIC EQUITY LP</t>
  </si>
  <si>
    <t>ARTIC CANADIAN DIAMOND COMPANY</t>
  </si>
  <si>
    <t>COMERCIALIZADORA AGRESTE SA DE CV</t>
  </si>
  <si>
    <t>AGRICOLA ZARATTINI SA DE CV</t>
  </si>
  <si>
    <t>HECTOR VILLALOBOS DOMINGUEZ</t>
  </si>
  <si>
    <t>AGROCOLMEX SA DE CV</t>
  </si>
  <si>
    <t>MID CAP CANADA FUND (GWLIM)</t>
  </si>
  <si>
    <t>CANADA LIFE MID CAP CANADA FUND (GWLIM)</t>
  </si>
  <si>
    <t>CANADA LIFE US DIVIDEND FUND GWLIM</t>
  </si>
  <si>
    <t>PARTENAIRES LEB INC.</t>
  </si>
  <si>
    <t>IBEREOLICA CABO LEONES II SA</t>
  </si>
  <si>
    <t>OSUM PRODUCTION CORP</t>
  </si>
  <si>
    <t>OSUM PRODUCTION CORP.</t>
  </si>
  <si>
    <t>PETROLEUM KNOWLEDGE AND MANAGEMENT S DE RL DE CV</t>
  </si>
  <si>
    <t>COMERCIALIZADORA NECATI SA DE CV</t>
  </si>
  <si>
    <t>DREAM ASSIGNMENT FILMS SA DE CV</t>
  </si>
  <si>
    <t>MYCARD SA DE CV</t>
  </si>
  <si>
    <t>SANTIAGO PINSON CORREA</t>
  </si>
  <si>
    <t>PARKLAND REFINING BC LTD</t>
  </si>
  <si>
    <t>SIKA TRADING SA DE CV</t>
  </si>
  <si>
    <t>CANADA LIFE SCIENCE &amp; TECHNOLOGY FUND (LONDON CAPITAL)</t>
  </si>
  <si>
    <t>CORE BOND FUND (PORTICO)</t>
  </si>
  <si>
    <t>COPTIC ORTHODOX PATRIARCHATE OF ALEXANDRIA, THE CHURCH OF THE VIRGIN MARY AND ST ATHANISIUS</t>
  </si>
  <si>
    <t>CORPORATIVO ART IN TECHNOLOGY JFH S DE RL DE CV</t>
  </si>
  <si>
    <t>EVA CECILIA GORODZINSKY Y FREIMAN</t>
  </si>
  <si>
    <t>EUROPE EQUITIES MEXICO SC</t>
  </si>
  <si>
    <t>TOJTZOTZE LI MAYA SC DE RL DE CV</t>
  </si>
  <si>
    <t>JAIME HERNANDEZ GALLEGO</t>
  </si>
  <si>
    <t>INDUSTRIAS VAZQUEZ SA DE CV</t>
  </si>
  <si>
    <t>LA CORRIENTE DEL GOLFO PRODUCCIONES SA DE CV</t>
  </si>
  <si>
    <t>CARLOS ANTONIO CASTELLANOS RODRIGUEZ</t>
  </si>
  <si>
    <t>COMERCIO AGRICOLA SA DE CV</t>
  </si>
  <si>
    <t>1041590 ONTARIO LIMITED</t>
  </si>
  <si>
    <t>ELECTRICA A B SA DE CV</t>
  </si>
  <si>
    <t>ELECTRICA AB SA DE CV</t>
  </si>
  <si>
    <t>ADRIANA DE LA CRUZ DIAZ ROMO</t>
  </si>
  <si>
    <t>ARRENDADORA HIDROCALIDA SA DE CV</t>
  </si>
  <si>
    <t>UNION AGRICOLA REGIONAL DE PRODUCTORES DE MAIZ AMARILLO ASI COMO OTROS GRANOS Y SEMILLAS D</t>
  </si>
  <si>
    <t>TELAS LAPROTEX S DE RL DE CV</t>
  </si>
  <si>
    <t>JUAN IGNACIO FERNANDEZ CARBAJAL</t>
  </si>
  <si>
    <t>MARIA VICTORIA ESTEVE DE MURGA</t>
  </si>
  <si>
    <t>LA PROVIDENCIA TEXTIL S DE RL DE CV</t>
  </si>
  <si>
    <t>APACHE ENERGY LTD.</t>
  </si>
  <si>
    <t>THE COLLEGE OF APPLIED ARTS &amp; TECHNOLOGY PENSION PLAN</t>
  </si>
  <si>
    <t>KANJI INVESTMENT CORPORATION</t>
  </si>
  <si>
    <t>INNOVAK GLOBAL SA DE CV</t>
  </si>
  <si>
    <t>TTPSAS SA DE CV</t>
  </si>
  <si>
    <t>LUIS MENDEZ VILLADEMOROS</t>
  </si>
  <si>
    <t>MARTIN DANIEL INTERIORS INC</t>
  </si>
  <si>
    <t>STARTUPS MEXICO SAPI DE CV</t>
  </si>
  <si>
    <t>MOCENCO SA</t>
  </si>
  <si>
    <t>AMS CARIBE SA DE CV</t>
  </si>
  <si>
    <t>NORTHLEAF CAPITAL OPPORTUNITIES CANADA LP</t>
  </si>
  <si>
    <t>FRANCISCO JAVIER ESQUER LUKEN</t>
  </si>
  <si>
    <t>DYNAMIC INTERNATIONAL DISCOVERY FUND</t>
  </si>
  <si>
    <t>LANCASHIRE HOLDINGS LIMITED</t>
  </si>
  <si>
    <t>RESIDEO FUNDING INC.</t>
  </si>
  <si>
    <t>RESIDEO FUNDING INC</t>
  </si>
  <si>
    <t>QUIBISA SA DE CV</t>
  </si>
  <si>
    <t>DIEGO ZORRILLA VARGAS</t>
  </si>
  <si>
    <t>ENRIQUE MUNOZ CORRAL</t>
  </si>
  <si>
    <t>MARIA DEL CONSUELO MARCELA FLORES SAIFFE FLORES</t>
  </si>
  <si>
    <t>THE HOSPITAL FOR SICK CHILDREN FOUNDATION</t>
  </si>
  <si>
    <t>MANEGA SERVICES SC</t>
  </si>
  <si>
    <t>ENSTAR LIMITED</t>
  </si>
  <si>
    <t>GPG SOLAR CHILE 2017 SPA</t>
  </si>
  <si>
    <t>AES ANDRES BV</t>
  </si>
  <si>
    <t>ADLIB PUBLISHING SYSTEMS INC</t>
  </si>
  <si>
    <t>OPERADORA EPOCAS S DE RL DE CV</t>
  </si>
  <si>
    <t>ONEST MEXICO SA DE CV</t>
  </si>
  <si>
    <t>ABC TEC SA DE CV</t>
  </si>
  <si>
    <t>EWAO SA DE CV</t>
  </si>
  <si>
    <t>JAMIE KING</t>
  </si>
  <si>
    <t>JAMIE KING FAMILY TRUST (2012) #1</t>
  </si>
  <si>
    <t>RAYMOND PRETTY FAMILY TRUST (2012) #1</t>
  </si>
  <si>
    <t>RAYMOND PRETTY AND JANINE WOODROW</t>
  </si>
  <si>
    <t>HYDROGENICS CORPORATION</t>
  </si>
  <si>
    <t>ENRIQUE JULIO ZORRILLA FULLAONDO</t>
  </si>
  <si>
    <t>KEEL WORKSHOP SA DE CV</t>
  </si>
  <si>
    <t>SURTIDORA ELECTRICA DEL NOROESTE SA DE CV</t>
  </si>
  <si>
    <t>SMITH BROS AND WILSON B C LTD</t>
  </si>
  <si>
    <t>T &amp; L CATTLE LTD</t>
  </si>
  <si>
    <t>JRK GLOBAL TRADING SA DE CV</t>
  </si>
  <si>
    <t>ARENA SOL Y MAR DE TULUM SA DE CV</t>
  </si>
  <si>
    <t>2809211 ONTARIO INC</t>
  </si>
  <si>
    <t>SUMINISTRO Y SERVICIOS DE ESPECIALIDADES PETROLERAS SA DE CV</t>
  </si>
  <si>
    <t>PARCELAS CHUVISCAR S DE RL DE CV</t>
  </si>
  <si>
    <t>ALFONSO REYES LAFARGA</t>
  </si>
  <si>
    <t>DIX PERFORMANCE NORTH LTD</t>
  </si>
  <si>
    <t>J.B.S AUTOMOTIVE CENTRE LTD</t>
  </si>
  <si>
    <t>ENTERTAINMENT ONE LTD.</t>
  </si>
  <si>
    <t>KANJI PROPERTY CORP</t>
  </si>
  <si>
    <t>OEC FREIGHT S DE RL DE CV</t>
  </si>
  <si>
    <t>BARBARA GONZALEZ ROLON</t>
  </si>
  <si>
    <t>ALIMENTOS SELLO ROJO SA DE CV</t>
  </si>
  <si>
    <t>JOSE DIBILDOX NUNEZ</t>
  </si>
  <si>
    <t>VARALF SA DE CV</t>
  </si>
  <si>
    <t>DREAM COMMERCE SOLUTIONS SA DE CV</t>
  </si>
  <si>
    <t>MONTECITO AGROINDUSTRIAL SA DE CV</t>
  </si>
  <si>
    <t>CARTRO SAPI DE CV</t>
  </si>
  <si>
    <t>SIRIUS AMERICA INSURANCE COMPANY</t>
  </si>
  <si>
    <t>1287974 BC LTD</t>
  </si>
  <si>
    <t>CONVOCATION FLOWERS INCORPORATED</t>
  </si>
  <si>
    <t>TERRACEROS URBANIZADORES MFJ S DE RL DE CV</t>
  </si>
  <si>
    <t>ROMAN GONZALEZ RUVALCABA</t>
  </si>
  <si>
    <t>FEPO GRUPO CONTRATISTA SA DE CV</t>
  </si>
  <si>
    <t>ENTERTAINMENT ONE TELEVISION USA INC.</t>
  </si>
  <si>
    <t>ENTERTAINMENT ONE UK LIMITED</t>
  </si>
  <si>
    <t>PCJ ABSOLUTE RETURN II FUND</t>
  </si>
  <si>
    <t>PCJ Absolute Return II Fund</t>
  </si>
  <si>
    <t>MATADOR BASIN FARMS LTD</t>
  </si>
  <si>
    <t>CNH PRODUCTS INC</t>
  </si>
  <si>
    <t>PROYECCION Y CONSTRUCCION CIVIL Y ELECTRICA SA DE CV</t>
  </si>
  <si>
    <t>AGRICOLA REYES PESQUEIRA SPR DE RL</t>
  </si>
  <si>
    <t>MINERA REYNA DORADA SA DE CV</t>
  </si>
  <si>
    <t>JUAN DANIEL BOCANEGRA MORALES</t>
  </si>
  <si>
    <t>XISEQ INVERSIONES SA DE CV</t>
  </si>
  <si>
    <t>SAURER MEXICO SA DE CV</t>
  </si>
  <si>
    <t>JAIME HOMS QUIROGA</t>
  </si>
  <si>
    <t>LANDSOLUTIONS LP</t>
  </si>
  <si>
    <t>1292230 BC LTD</t>
  </si>
  <si>
    <t>683915 ALBERTA LTD O/A KOH-I-NOOR JEWELLERS</t>
  </si>
  <si>
    <t>DISCOVERY GLASS KELOWNA INC</t>
  </si>
  <si>
    <t>G W MOSHER MOTORS LTD</t>
  </si>
  <si>
    <t>CIMARRON SOLAR S DE RL DE CV</t>
  </si>
  <si>
    <t>DESARROLLADORA INMOBILIARIA PACIFICA SA DE CV</t>
  </si>
  <si>
    <t>MARIANO FRANCO HERNANDEZ</t>
  </si>
  <si>
    <t>FRANCISCO JAVIER ROBERTO JAIME GANEM ESTEVEZ</t>
  </si>
  <si>
    <t>ANDRES COELLO ITUARTE</t>
  </si>
  <si>
    <t>INGENIERIA Y REPRESENTACIONES OSENKA SA DE CV</t>
  </si>
  <si>
    <t>OUTLIERS CONSULTING SA DE CV</t>
  </si>
  <si>
    <t>INOVIA GROWTH FUND II LP</t>
  </si>
  <si>
    <t>JUAN MANUEL CARRILLO GONZALEZ</t>
  </si>
  <si>
    <t>ROCIO DEL CARMEN RIVERA VARGAS</t>
  </si>
  <si>
    <t>VV HERMOSILLO DOS SA DE CV</t>
  </si>
  <si>
    <t>ALFREDO SHABOT MARCOS</t>
  </si>
  <si>
    <t>2333281 ONTARIO LTD</t>
  </si>
  <si>
    <t>1573903 ONTARIO LTD</t>
  </si>
  <si>
    <t>2621918 ONTARIO INC</t>
  </si>
  <si>
    <t>133 HERKIMER LTD</t>
  </si>
  <si>
    <t>NAYA WATERS INC./LES EAUX NAYA INC</t>
  </si>
  <si>
    <t>LES EAUX NAYA INC</t>
  </si>
  <si>
    <t>NAYA WATERS INC</t>
  </si>
  <si>
    <t>TERRAPURE ENVIRONMENTAL LTD</t>
  </si>
  <si>
    <t>KEMI CHEM SPECIALTIES SA DE CV</t>
  </si>
  <si>
    <t>ESTAFETA MEXICANA SA DE CV</t>
  </si>
  <si>
    <t>CO2 DESIGNS BY NATURE SA DE CV</t>
  </si>
  <si>
    <t>KIEROCASA COM SA DE CV</t>
  </si>
  <si>
    <t>BALESIA TOWERS MEXICO SA DE CV</t>
  </si>
  <si>
    <t>EMBAJADA DE LA REPUBLICA DE COLOMBIA O OFICINA COMERCIAL DEL GOBIERNO DE COLOMBIA</t>
  </si>
  <si>
    <t>MCMT SOLUTIONS S DE RL DE CV</t>
  </si>
  <si>
    <t>ALFREDO ENRIQUE FRANCO MC INTOSCH</t>
  </si>
  <si>
    <t>ESTHER LUCIA ROBLES LOPEZ</t>
  </si>
  <si>
    <t>SANDRA MARGARITA FRANCO HERNANDEZ</t>
  </si>
  <si>
    <t>CIBC CANADIAN BOND INDEX ETF</t>
  </si>
  <si>
    <t>CIBC GLOBAL BOND EX-CANADA INDEX ETF (CAD-HEDGED)</t>
  </si>
  <si>
    <t>CIBC EMERGING MARKETS EQUITY INDEX ETF (25913)</t>
  </si>
  <si>
    <t>CIBC INTERNATIONAL EQUITY INDEX ETF</t>
  </si>
  <si>
    <t>9421 4772 QUEBEC INC</t>
  </si>
  <si>
    <t>WYNDHAM DESTINATIONS INC.</t>
  </si>
  <si>
    <t>WYNDHAM DESTINATIONS OVERSEAS SINGAPORE PTE LTD</t>
  </si>
  <si>
    <t>BLACKSTONE CAPITAL PARTNERS (CYM) VIII AIV - F L.P.</t>
  </si>
  <si>
    <t>LYNCHPIN TECHNOLOGIES LTD.</t>
  </si>
  <si>
    <t>ELIC IMPLANTES Y COMPONENTES DENTALES SA DE CV</t>
  </si>
  <si>
    <t>LATIUM TECHNOLOGIES INC</t>
  </si>
  <si>
    <t>ENSTAR GROUP LIMITED</t>
  </si>
  <si>
    <t>DYNAMIC EMERGING MARKETS EQUITY F</t>
  </si>
  <si>
    <t>CABSI SERVICIOS SA DE CV</t>
  </si>
  <si>
    <t>ERICA MARCELA FRANCO HERNANDEZ</t>
  </si>
  <si>
    <t>WTMVII CLEANING TECHNOLOGIES CANADA</t>
  </si>
  <si>
    <t>DIRECTRIK INC</t>
  </si>
  <si>
    <t>ELECTRONICA INGENIERIA Y COMUNICACIONES SA DE CV</t>
  </si>
  <si>
    <t>LES MATELAS LAPENSEE INC</t>
  </si>
  <si>
    <t>CORAL CANADA WIIDE LTD</t>
  </si>
  <si>
    <t>EDALICA METAL SERVICES LTD.</t>
  </si>
  <si>
    <t>JUAN CARLOS JIMENEZ CANTO</t>
  </si>
  <si>
    <t>ADRIANA VANESA FRANCO HERNANDEZ</t>
  </si>
  <si>
    <t>COMPANIA DE ELECTRICIDAD DE SAN PEDRO DE MACORIS SA</t>
  </si>
  <si>
    <t>MOISES MARCOVICH KATZ</t>
  </si>
  <si>
    <t>CONSTRUCCION INTEGRAL Y TERMODINAMICAS AVENIDA 30 S DE RL DE CV</t>
  </si>
  <si>
    <t>SOLUCIONES TECNOLOGICAS INDUSTRIALES LA MEJOR SA DE CV</t>
  </si>
  <si>
    <t>BRANTFORD SHOOTS AUTO INC</t>
  </si>
  <si>
    <t>AARON MARTIN HARNESS LTD</t>
  </si>
  <si>
    <t>ARMANDO SANCHEZ MABARAK</t>
  </si>
  <si>
    <t>REFACCIONARIA AUTOMOTRIZ ANCONA SA DE CV</t>
  </si>
  <si>
    <t>ALEJANDRO RODRIGUEZ VILLAVA</t>
  </si>
  <si>
    <t>LA PUNTA PROFESSIONAL RENTALS S DE RL CV</t>
  </si>
  <si>
    <t>LP DEVELOPMENT SA DE CV</t>
  </si>
  <si>
    <t>MONTESACRO IMPO AND EXPO SA DE CV</t>
  </si>
  <si>
    <t>ELMER FERNANDO FRANCO MACIAS</t>
  </si>
  <si>
    <t>MARIO ALFONSO CRUZ NUNEZ</t>
  </si>
  <si>
    <t>J D TECHNIQUE INC</t>
  </si>
  <si>
    <t>ALEJANDRA URREA VILLASENOR</t>
  </si>
  <si>
    <t>ANA ROSA TRUJILLO BARRAGAN</t>
  </si>
  <si>
    <t>TROPICASA REALTY SA DE CV</t>
  </si>
  <si>
    <t>HINT CHIHUAHUA SA DE CV</t>
  </si>
  <si>
    <t>HENCO GLOBAL SA DE CV</t>
  </si>
  <si>
    <t>CEIBA AZUL S DE RL DE CV</t>
  </si>
  <si>
    <t>HH EQUITIES S DE RL DE CV</t>
  </si>
  <si>
    <t>CHAPMAN HOLDINGS MEX S DE RL DE CV</t>
  </si>
  <si>
    <t>ASOCIACION DE CONDOMINIOS ISLA 33 AC</t>
  </si>
  <si>
    <t>ALICE S IRA S DE RL DE CV</t>
  </si>
  <si>
    <t>EICHCORP S DE RL DE CV</t>
  </si>
  <si>
    <t>NORTHRIVER MIDSTREAM</t>
  </si>
  <si>
    <t>SOLUCIONES LOGISTICAS GGA AND MALDONADO SA DE CV</t>
  </si>
  <si>
    <t>GLOBAL EQUITY POOL</t>
  </si>
  <si>
    <t>GLOBAL EQUITY POOL ? SLEEVE</t>
  </si>
  <si>
    <t>DYNAMIC ACTIVE US MID CAP FUND</t>
  </si>
  <si>
    <t>FABIAN SERVIN MARTINEZ</t>
  </si>
  <si>
    <t>JAUREGUI Y DEL VALLE SC</t>
  </si>
  <si>
    <t>FUNED IAP</t>
  </si>
  <si>
    <t>DESARROLLOS INMOBILIARIOS BERMUDEZ SA DE CV</t>
  </si>
  <si>
    <t>ANA SARA FERRER BOHORQUES</t>
  </si>
  <si>
    <t>MILTONS FINE FOODS INC</t>
  </si>
  <si>
    <t>RENAISSANCE SHORT TERM INCOME FUND</t>
  </si>
  <si>
    <t>ECOSYNTHETIX INC</t>
  </si>
  <si>
    <t>GREENWIN HOLDINGS INC.</t>
  </si>
  <si>
    <t>JOSE VAZQUEZ IBARRA</t>
  </si>
  <si>
    <t>ANA MARIA NORAH HORNA Y FERNANDEZ</t>
  </si>
  <si>
    <t>H Y A DE MEXICO DE B C SA DE CV</t>
  </si>
  <si>
    <t>KCM EXPORT SA DE CV</t>
  </si>
  <si>
    <t>VICTORIA MARIA DE LOURDES VEGA DE LLERGO CORNISH</t>
  </si>
  <si>
    <t>LIZETTE EUGENIA FRANCO MC INTOSH</t>
  </si>
  <si>
    <t>MACKENZIE CL IVY GLOBAL BALANCED LP</t>
  </si>
  <si>
    <t>S&amp;P GLOBAL INC</t>
  </si>
  <si>
    <t>MACKENZIE CL CANADIAN GROWTH LP</t>
  </si>
  <si>
    <t>MACKENZIE CL CANADIAN DIVIDEND LP</t>
  </si>
  <si>
    <t>MACKENZIE CL IVY FOREIGN EQUITY LP</t>
  </si>
  <si>
    <t>MACKENZIE CL STRATEGIC INCOME LP</t>
  </si>
  <si>
    <t>MACKENZIE CL STRATEGIC INCOME FIXED INCOME LP</t>
  </si>
  <si>
    <t>MACKENZIE CL IVY GLOBAL BALANCED FIXED INCOME LP</t>
  </si>
  <si>
    <t>GROBER NUTRITION INC</t>
  </si>
  <si>
    <t>EQB COVERED BOND LEGISLATIVE GUARANTOR LIMITED PARTNERSHIP</t>
  </si>
  <si>
    <t>LEARSI SERVICIOS LOGISTICOS SA DE CV</t>
  </si>
  <si>
    <t>INMOBILIN MEXICO SA DE CV</t>
  </si>
  <si>
    <t>SISTEMAS EDUCATIVOS DE ENSENANZA SA DE CV</t>
  </si>
  <si>
    <t>PT LOGISTICS SA DE CV</t>
  </si>
  <si>
    <t>COMPANIA MEXICANA DE RADIOLOGIA CGR SA DE CV</t>
  </si>
  <si>
    <t>MIGUEL ANGEL AVILA SEGURA</t>
  </si>
  <si>
    <t>EDITORIAL SANTILLANA SA DE CV</t>
  </si>
  <si>
    <t>CHEMAINUS VILLAGE SQUARE LTD</t>
  </si>
  <si>
    <t>70 WARD ROAD INC</t>
  </si>
  <si>
    <t>APPLIED PATENTS INC</t>
  </si>
  <si>
    <t>RICHMOND PUBLISHING SA DE CV</t>
  </si>
  <si>
    <t>PRIVADA OTAY LAGO S DE RL DE CV</t>
  </si>
  <si>
    <t>CONSTRUCTORA Y PROYECCION VISTA DEL RIO S DE RL DE CV</t>
  </si>
  <si>
    <t>LUIS ALFREDO MENDOZA FARIAS</t>
  </si>
  <si>
    <t>CAPITAL ACTIVO SA DE CV SFP</t>
  </si>
  <si>
    <t>CONSTRUCTORA Y PROYECCION COMERCIAL S DE RL DE CV</t>
  </si>
  <si>
    <t>INGENIERIA RIOBOO SA DE CV</t>
  </si>
  <si>
    <t>GRUPPO MASTROTTO MEXICO S DE RL DE CV</t>
  </si>
  <si>
    <t>WILLOW ENTERPRISES S DE RL DE CV</t>
  </si>
  <si>
    <t>BMS FOREX COMPANY.</t>
  </si>
  <si>
    <t>PROSODIO SA DE CV</t>
  </si>
  <si>
    <t>RASA LAND DEVELOPMENT S DE RL DE CV</t>
  </si>
  <si>
    <t>ARNOLD WINDSHIELD DISTRIBUTORS EDMONTON LTD</t>
  </si>
  <si>
    <t>EMO TRANS CANADA LTD</t>
  </si>
  <si>
    <t>LAGERHAUS SOLUTIONS SA DE CV</t>
  </si>
  <si>
    <t>BERNARDO GUTIERREZ CORTINA</t>
  </si>
  <si>
    <t>ATTWELL INVESTMENTS LTD</t>
  </si>
  <si>
    <t>RESERVE BANK OF FIJI</t>
  </si>
  <si>
    <t>ARTURO REUL JIMENEZ</t>
  </si>
  <si>
    <t>JAIME GONZALEZ GARZA</t>
  </si>
  <si>
    <t>JESUS GAMEZ ECHEVARRIA</t>
  </si>
  <si>
    <t>KAMIK US INC</t>
  </si>
  <si>
    <t>MARIA CLARA LONDONO VILLA</t>
  </si>
  <si>
    <t>REPEAT DIAGNOSTICS INC</t>
  </si>
  <si>
    <t>TWC INC</t>
  </si>
  <si>
    <t>ELL-BAR INVESTMENTS INC</t>
  </si>
  <si>
    <t>AUDLEY INVESTMENTS INC</t>
  </si>
  <si>
    <t>ESQUESING INVESTMENTS LTD</t>
  </si>
  <si>
    <t>STANDARD CHARTERED BANK (THAI) PLC (THANACHART)</t>
  </si>
  <si>
    <t>STANDARD CHARTERED BANK THAI PUBLIC COMPANY LIMITED</t>
  </si>
  <si>
    <t>STANDARD CHARTERED BANK (THAI) PUBLIC COMPANY</t>
  </si>
  <si>
    <t>MAINGATE PROPERTIES INC</t>
  </si>
  <si>
    <t>OLEET PROCESSING LTD</t>
  </si>
  <si>
    <t>BRIXMOR PROPERTY GROUP INC</t>
  </si>
  <si>
    <t>EXXONMOBIL CAPITAL B.V</t>
  </si>
  <si>
    <t>NORTHLEAF CAPITAL OPPORTUNITIES HOLDINGS (CANADA) PARTNERSHIP</t>
  </si>
  <si>
    <t>NORTHLEAF SECONDARY PARTNERS HOLDINGS (CANADA) III PARTNERSHIP</t>
  </si>
  <si>
    <t>MIGUEL ANGEL FRANCO HERNANDEZ</t>
  </si>
  <si>
    <t>DX PUBLICIDAD SA DE CV</t>
  </si>
  <si>
    <t>RIVIERA MAYA GRIP SA DE CV</t>
  </si>
  <si>
    <t>MARKIM ENTERPRISES INC.</t>
  </si>
  <si>
    <t>TANDEM EXPANSION FUND I LP</t>
  </si>
  <si>
    <t>FIRST TRUST JAPAN ALPHADEX FUND</t>
  </si>
  <si>
    <t>FIRST TRUST SWITZERLAND ALPHADEX FUND</t>
  </si>
  <si>
    <t>GROENEVELD BEKA CANADA INC</t>
  </si>
  <si>
    <t>EDUARDO MIGUEL FRANCO ALVAREZ</t>
  </si>
  <si>
    <t>EMBAJADA DE LA REPUBLICA DE AZERBAIYAN</t>
  </si>
  <si>
    <t>COMPONENTES Y HERRAMENTALES STAR MEXICO S D RL CV</t>
  </si>
  <si>
    <t>BURDICK Y BURDICK DE MEXICO SA DE CV</t>
  </si>
  <si>
    <t>GUILLERMO ERNESTO WEBB CRUCES</t>
  </si>
  <si>
    <t>SOLULYNC INC</t>
  </si>
  <si>
    <t>INDUSTRIA AGRICOLA MAYA SA DE CV</t>
  </si>
  <si>
    <t>102559 PEI INC O/A BECKS HOME FURNITURE &amp; APPLIANCE</t>
  </si>
  <si>
    <t>TAMARA BABICH FARMS LTD</t>
  </si>
  <si>
    <t>TAMARA BABICH FARMS LTD.</t>
  </si>
  <si>
    <t>COUNTRY ROAD ENTERPRISES LTD</t>
  </si>
  <si>
    <t>THE WINDMILL COUNTRY MARKET INC</t>
  </si>
  <si>
    <t>Vontobel Fund - Emerging Markets Corporate Bonds</t>
  </si>
  <si>
    <t>LINCLUDEN INCOME PLUS POOLED FUND</t>
  </si>
  <si>
    <t>Vontobel Fund - Sustainable Emerging Markets Local Currency Bond</t>
  </si>
  <si>
    <t>12263858 CANADA INC</t>
  </si>
  <si>
    <t>WALDUN FOREST LTD</t>
  </si>
  <si>
    <t>Vontobel Fund - Emerging Markets Debt</t>
  </si>
  <si>
    <t>CORPORATE RENAISSANCE GROUP</t>
  </si>
  <si>
    <t>MARGARITA PADIERNA BARTNING</t>
  </si>
  <si>
    <t>JOSE LUIS FRANCO ALVAREZ</t>
  </si>
  <si>
    <t>FONDEADORA 2 0 SAPI DE CV</t>
  </si>
  <si>
    <t>DORA MARIA PADIERNA BARTNING</t>
  </si>
  <si>
    <t>EFFECTS OR FILMS COMPANY SA DE CV</t>
  </si>
  <si>
    <t>DEACERO SAPI DE CV</t>
  </si>
  <si>
    <t>SANTIAGO GANEM ULACIA</t>
  </si>
  <si>
    <t>G&amp;B BABICH FARMS LTD</t>
  </si>
  <si>
    <t>102039665 SASKATCHEWAN LTD</t>
  </si>
  <si>
    <t>VARCO BJ B.V.</t>
  </si>
  <si>
    <t>10581909 CANADA INC</t>
  </si>
  <si>
    <t>COLT STRUCTURES LTD</t>
  </si>
  <si>
    <t>MARIA DANIELA GUERRA LOPEZ</t>
  </si>
  <si>
    <t>REGINA GANEM ULACIA</t>
  </si>
  <si>
    <t>Vontobel Fund - TwentyFour Absolute Return Credit Fund</t>
  </si>
  <si>
    <t>CANOE DEFENSIVE GLOBAL BALANCED FUND</t>
  </si>
  <si>
    <t>ARTURO TORRES ARPI DIAZ INFANTE</t>
  </si>
  <si>
    <t>MARIA DEL ROCIO ABASCAL SAINZ</t>
  </si>
  <si>
    <t>MUCHO EXITO CORPORATION SA DE CV</t>
  </si>
  <si>
    <t>PATRICIA AMTMANN AGUILAR</t>
  </si>
  <si>
    <t>ANA CRISTINA VAZQUEZ DE ANDA</t>
  </si>
  <si>
    <t>ISLA RETREATS S DE RL DE CV</t>
  </si>
  <si>
    <t>JORGE VARGAS IBARRECHE</t>
  </si>
  <si>
    <t>SAND TOES S DE RL DE CV</t>
  </si>
  <si>
    <t>GIOVANNA LIZEL PENA ALARCON</t>
  </si>
  <si>
    <t>SL CASAS INC S DE RL DE CV</t>
  </si>
  <si>
    <t>OCI SOUTH S DE RL DE CV</t>
  </si>
  <si>
    <t>LOGISTICS AND STATE KAR ARA SA DE CV</t>
  </si>
  <si>
    <t>TWINIGO INC</t>
  </si>
  <si>
    <t>APOTEX PHARMACHEM INC</t>
  </si>
  <si>
    <t>DOW GLOBAL FINANCIAL MANAGEMENT INC.</t>
  </si>
  <si>
    <t>DOW GLOBAL FINANCIAL MANAGEMENT</t>
  </si>
  <si>
    <t>DOW GLOBAL FINANCIAL MANAGEMENT NDF</t>
  </si>
  <si>
    <t>GOLDER EMPLOYEE SHAREHOLDER TRUST</t>
  </si>
  <si>
    <t>MARIA FERNANDA FRANCO HERNANDEZ</t>
  </si>
  <si>
    <t>VILLA TRANQUILA ISLA MUJERES S DE RL DE CV</t>
  </si>
  <si>
    <t>DAVID ULISES DAGER GOMEZ</t>
  </si>
  <si>
    <t>ALEJANDRO ISLAS BATIZ</t>
  </si>
  <si>
    <t>JOSE MARIA RIOBOO MARTIN</t>
  </si>
  <si>
    <t>AGRICOLA MORAY SPR DE RL DE CV</t>
  </si>
  <si>
    <t>IMPULSORA NOVA S DE RL DE CV</t>
  </si>
  <si>
    <t>HERNAN FUENTES ZAMBRANO</t>
  </si>
  <si>
    <t>RUDAMETKIN DISTRIBUIDORA SA DE CV</t>
  </si>
  <si>
    <t>ALEJANDRO LAPHOND FRANCO</t>
  </si>
  <si>
    <t>BEATRIZ IDALIA HINOJOSA ELIZONDO</t>
  </si>
  <si>
    <t>CASANUEVA PEREZ II SAPI DE CV</t>
  </si>
  <si>
    <t>T STAR TECHNOLOGY DEVELOPMENT INC</t>
  </si>
  <si>
    <t>DOW FINANCIAL SERVICES INC</t>
  </si>
  <si>
    <t>DOW FINANCIAL SERVICES INC NDF</t>
  </si>
  <si>
    <t>THE CHURCH OF ST. PAUL, BLOOR STREET</t>
  </si>
  <si>
    <t>NATIONAL OILWELL VARCO UK LIMITED</t>
  </si>
  <si>
    <t>BLACK DIAMOND GROUP LIMITED</t>
  </si>
  <si>
    <t>12374625 CANADA INC (CANUCK AUTO TRADING)</t>
  </si>
  <si>
    <t>BIZI TRANSPORT INC</t>
  </si>
  <si>
    <t>LINDA MARCOS DAYAN</t>
  </si>
  <si>
    <t>MANUEL ALFONSO JESUS JUNCO RIVERO</t>
  </si>
  <si>
    <t>ZIMMA CORPORATE FINANCE SA DE CV</t>
  </si>
  <si>
    <t>MIRAISALES SA DE CV</t>
  </si>
  <si>
    <t>PRAIRIE BATTERY LTD</t>
  </si>
  <si>
    <t>SNOWFLAKE INC</t>
  </si>
  <si>
    <t>SNOWFLAKE COMPUTING NETHERLANDS B.V.</t>
  </si>
  <si>
    <t>SNOWFLAKE COMPUTING UK LIMITED</t>
  </si>
  <si>
    <t>SNOWFLAKE COMPUTING PTY LTD</t>
  </si>
  <si>
    <t>LUNDIN GOLD INC</t>
  </si>
  <si>
    <t>MACKENZIE GLOBAL SUSTAINABLE BOND FUND</t>
  </si>
  <si>
    <t>JET ICE LIMITED</t>
  </si>
  <si>
    <t>SAINT PETER AND SAINT PAUL COPTIC ORTHODOX CHURCH OF OAKVILL</t>
  </si>
  <si>
    <t>MACKENZIE GREENCHIP GLOBAL BALANCED FUND 82581</t>
  </si>
  <si>
    <t>MACKENZIE GREENCHIP GLOBAL BALANCED FUND</t>
  </si>
  <si>
    <t>ASTRA SLR FINANCE PTY LIMITED (AKA CONNECTING SYDNEY FINANCE CO PTY LIMITED)</t>
  </si>
  <si>
    <t>LMAP CHI LIMITED</t>
  </si>
  <si>
    <t>CANADA LIFE STRATEGIC INCOME FUND FIXED INCOME</t>
  </si>
  <si>
    <t>CANADA LIFE STRATEGIC INCOME FUND GLOBAL EQUITY &amp; INCOME</t>
  </si>
  <si>
    <t>CANADA LIFE STRATEGIC INCOME FUND NORTH AMERICAN EQUITY</t>
  </si>
  <si>
    <t>CANADA LIFE STRATEGIC INCOME FUND</t>
  </si>
  <si>
    <t>1907 III FUND LTD</t>
  </si>
  <si>
    <t>PARKLAND PROPERTIES INC</t>
  </si>
  <si>
    <t>CRM DE LAS AMERICAS SA DE CV</t>
  </si>
  <si>
    <t>ANA GABRIELA ALVARADO BERMEA</t>
  </si>
  <si>
    <t>ENAT INTERNATIONAL SA DE CV</t>
  </si>
  <si>
    <t>VICENTE EDUARDO ORTIZ BELTRAN</t>
  </si>
  <si>
    <t>OLANREWAJU MICHEAL GEORGE</t>
  </si>
  <si>
    <t>COMPANIA INDUSTRIAL HANKA SA DE CV</t>
  </si>
  <si>
    <t>NORMAN MEXICO COMPANY LIMITED SA DE CV</t>
  </si>
  <si>
    <t>ADMINISTRACION ADHR S DE RL DE CV</t>
  </si>
  <si>
    <t>INMOBILIARIA MASALI S DE RL DE CV</t>
  </si>
  <si>
    <t>ACAPULCO AGUAS Y JUGO TROPICAL SA DE CV</t>
  </si>
  <si>
    <t>ZIMAT CONSULTORES COMUNICACION TOTAL SA DE CV</t>
  </si>
  <si>
    <t>FIRST TRUST INDXX NEXTG UCITS ETF</t>
  </si>
  <si>
    <t>IRRIGATION AND AUTOMATION SERVICES SA DE CV</t>
  </si>
  <si>
    <t>TONKIN MARKS ENTERPRISES SA DE CV</t>
  </si>
  <si>
    <t>HLE AUTOMATION S A DE CV</t>
  </si>
  <si>
    <t>QUISITIVE TECHNOLOGY SOLUTIONS INC</t>
  </si>
  <si>
    <t>DYNAMIC ACTIVE INTERNATIONAL ETF</t>
  </si>
  <si>
    <t>DYNAMIC ACTIVE RETIREMENT INCOME PLUS ETF</t>
  </si>
  <si>
    <t>DYNAMIC ACTIVE RETIREMENT INCOME PLUS ETF - DXRA</t>
  </si>
  <si>
    <t>PEI STORAGE SOLUTIONS INC</t>
  </si>
  <si>
    <t>CASA ELIZABETH S DE RL DE CV</t>
  </si>
  <si>
    <t>EMTJ PUNTA MITA LLC S DE RL DE CV</t>
  </si>
  <si>
    <t>KARNA DE MITA S DE RL DE CV</t>
  </si>
  <si>
    <t>MARIA EUGENIA GANEM ULACIA</t>
  </si>
  <si>
    <t>WENDY ANN FRANCO MORENO</t>
  </si>
  <si>
    <t>MARIA EUGENIA GARZA FALCON RAMIREZ WIELLA</t>
  </si>
  <si>
    <t>MONICA ROSARIO FRANCO HERNANDEZ</t>
  </si>
  <si>
    <t>MANUFACTURAS ESPECIALIZADAS MOBA S DE RL DE CV</t>
  </si>
  <si>
    <t>ITALMEX SA</t>
  </si>
  <si>
    <t>JTEID VACATIONS CO S DE RL DE CV</t>
  </si>
  <si>
    <t>JILL RAWLINSON</t>
  </si>
  <si>
    <t>CANADA LIFE GLOBAL BALANCED FUND</t>
  </si>
  <si>
    <t>CANADA LIFE GLOBAL BALANCED FUND FIXED INCOME</t>
  </si>
  <si>
    <t>CANADA LIFE GLOBAL BALANCED FUND GLOBAL OR IVY</t>
  </si>
  <si>
    <t>MD PRECISION CANADIAN BALANCED GROWTH FUND</t>
  </si>
  <si>
    <t>MD PRECISION CANADIAN BALANCD GR MF</t>
  </si>
  <si>
    <t>1969528 ONTARIO INC</t>
  </si>
  <si>
    <t>BOTANICO LTD</t>
  </si>
  <si>
    <t>DUENDES DE SANTA MONICA S DE RL DE CV</t>
  </si>
  <si>
    <t>ELMER FERNANDO FRANCO HERNANDEZ</t>
  </si>
  <si>
    <t>CLIFFSIDE VILLA MX S DE RL DE CV</t>
  </si>
  <si>
    <t>SMSRCR SA DE CV</t>
  </si>
  <si>
    <t>VILLA AND DREAMS COMPANY S DE RL DE CV</t>
  </si>
  <si>
    <t>MARIA DE LOS DOLORES SOFIA ELENA ANA BEISTEGUI ROHAN CHABOT</t>
  </si>
  <si>
    <t>CAREYEROS COLINA S DE RL DE CV</t>
  </si>
  <si>
    <t>R Y M DE TIJUANA SA DE CV</t>
  </si>
  <si>
    <t>SWOON GRUPO S DE RL DE CV</t>
  </si>
  <si>
    <t>HDM 202 S DE RL DE CV</t>
  </si>
  <si>
    <t>MARIA LUCRECIA DECRESCENZO JULIAN</t>
  </si>
  <si>
    <t>STANDARD CHARTERED BANK-MEX</t>
  </si>
  <si>
    <t>STD CHARTERED BANK</t>
  </si>
  <si>
    <t>STAND CHART BANK LDN-HK DESK</t>
  </si>
  <si>
    <t>CANADA LIFE CANADIAN DIVIDEND FUND</t>
  </si>
  <si>
    <t>CANADA LIFE CANADIAN DIVIDEND FUND CANADIAN EQUITY</t>
  </si>
  <si>
    <t>CANADA LIFE CANADIAN DIVIDEND FUND GLOBAL EQUITY</t>
  </si>
  <si>
    <t>CANADA LIFE CANADIAN DIVIDEND FUND U.S. EQUITY</t>
  </si>
  <si>
    <t>MACKENZIE CANADIAN DIVIDEND FUND</t>
  </si>
  <si>
    <t>MACKENZIE CANADIAN DIVIDEND FUND CANADIAN EQUITY</t>
  </si>
  <si>
    <t>MACKENZIE CANADIAN DIVIDEND FUND GLOBAL EQUITY</t>
  </si>
  <si>
    <t>MACKENZIE CANADIAN DIVIDEND FUND U.S. EQUITY</t>
  </si>
  <si>
    <t>GOLDEN STAR RESOURCES LTD</t>
  </si>
  <si>
    <t>CANADA LIFE CANADIAN FOCUSED GROWTH FUND</t>
  </si>
  <si>
    <t>RUNWAY VALUE MANAGEMENT LIMITED PARTNERSHIP</t>
  </si>
  <si>
    <t>CANADA LIFE FOREIGN EQUITY FUND</t>
  </si>
  <si>
    <t>ENWAVE CANADA INVESTMENT HOLDINGS 2 INC</t>
  </si>
  <si>
    <t>IG CORE PORTFOLIO - GLOBAL INCOME</t>
  </si>
  <si>
    <t>2565698 ONTARIO INC</t>
  </si>
  <si>
    <t>AIRSCIENCE TECHNOLOGIES INC</t>
  </si>
  <si>
    <t>INNOVATIVE TRAILER DESIGN INDUSTRIES INC</t>
  </si>
  <si>
    <t>JORGE ALBERTO GONZALEZ CALDERON</t>
  </si>
  <si>
    <t>AMINE HADDAD DE HADDAD</t>
  </si>
  <si>
    <t>MARIA LUISA GARCIA HERNANDEZ</t>
  </si>
  <si>
    <t>AGENCIA BEE SA DE CV</t>
  </si>
  <si>
    <t>LUCA LIBURDI SA DE CV</t>
  </si>
  <si>
    <t>KILDARE FISHERIES LTD</t>
  </si>
  <si>
    <t>NEWTOPIA INC</t>
  </si>
  <si>
    <t>THOMAS ARNDT TWA LAW</t>
  </si>
  <si>
    <t>PEDROSANTIAGO GANDARILLAS MARTINEZ</t>
  </si>
  <si>
    <t>ALEJANDRO DAVID RUDAMETKIN CHAPLUK</t>
  </si>
  <si>
    <t>ENLACES Y COMUNICACIONES AVANZADAS SA DE CV</t>
  </si>
  <si>
    <t>CARSEB CNC SA DE CV</t>
  </si>
  <si>
    <t>ANA IRENE TERRAZAS PENA</t>
  </si>
  <si>
    <t>COMERCIALIZACION INDUSTRIAL GLOBAL SA DE CV</t>
  </si>
  <si>
    <t>COMERCIALIZADORA Y SERVICIOS SNAAO SA DE CV</t>
  </si>
  <si>
    <t>PUNTA MITA BANDERAS INVESTMENT HOLDING S DE RL DE CV</t>
  </si>
  <si>
    <t>NANDOG PET COMPANY S DE RL DE CV</t>
  </si>
  <si>
    <t>EMBAJADA DE AUSTRIA</t>
  </si>
  <si>
    <t>GRUPO OLAS DE HUX S DE RL DE CV</t>
  </si>
  <si>
    <t>NUTRI SOW SA DE CV</t>
  </si>
  <si>
    <t>SERVICIOS INTEGRALES DE TECNOLOGIA KEA SA DE CV</t>
  </si>
  <si>
    <t>ACTICOBER SA DE CV FONDO DE INERSION EN INSTRUMENTOS DE DEUDA</t>
  </si>
  <si>
    <t>AGROPECUARIA CADENA HERMANOS SPR DE RL DE CV</t>
  </si>
  <si>
    <t>GRAMOSA HIDALGO SA DE CV</t>
  </si>
  <si>
    <t>MONICA RINCON GALLARDO Y CORCUERA</t>
  </si>
  <si>
    <t>LITTLE BUDDHA COCKTAIL COMPANY INC</t>
  </si>
  <si>
    <t>SHORT BROTHERS COMMON INVESTMENT FUND</t>
  </si>
  <si>
    <t>ZAG PROPERTIES BRAMPTON INC</t>
  </si>
  <si>
    <t>ERCO WORLDWIDE LP</t>
  </si>
  <si>
    <t>NUMOVAL SAPI DE CV</t>
  </si>
  <si>
    <t>MATERIALES NUNGARAY S DE RL DE CV</t>
  </si>
  <si>
    <t>SI VALE ADMINISTRADORA DE SERVICIOS SA DE CV</t>
  </si>
  <si>
    <t>RENTA DE MAQUINARIA SANFERRE SA DE CV</t>
  </si>
  <si>
    <t>JUAN CARLOS FRANCO HERNANDEZ</t>
  </si>
  <si>
    <t>AFP UNO TIPO A</t>
  </si>
  <si>
    <t>AFP UNO TIPO B</t>
  </si>
  <si>
    <t>HARNESS HARDWARE INC</t>
  </si>
  <si>
    <t>GS LEASING SERVICES DE MEXICO S DE RL DE CV</t>
  </si>
  <si>
    <t>TLOGCEX TRANSITARIO DE LOGISTICA EN COMERCIO EXTERIOR SA DE CV</t>
  </si>
  <si>
    <t>ERNESTO ZEPEDA PEREZ</t>
  </si>
  <si>
    <t>KIM GOMEZ FRANCO Y MUCENIC SC</t>
  </si>
  <si>
    <t>HEDESA HERMOSILLO SA DE CV</t>
  </si>
  <si>
    <t>GONZALEZ</t>
  </si>
  <si>
    <t>MARITIME BROADCASTING SYSTEMS LIMITED</t>
  </si>
  <si>
    <t>AFP UNO TIPO C</t>
  </si>
  <si>
    <t>AFP UNO TIPO D</t>
  </si>
  <si>
    <t>AFP UNO TIPO E</t>
  </si>
  <si>
    <t>TERENCE &amp; LINDSAY TREFIAK</t>
  </si>
  <si>
    <t>CIBC BALANCED INDEX FUND</t>
  </si>
  <si>
    <t>VESTCOR LOW VOLATILITY INTERNATIONAL EQUITY FUND</t>
  </si>
  <si>
    <t>ITAU GLOBAL INVESTMENT FUND SPC - ITAU OPTIMUS FIXED INCOME FUND SEGREGATED PORTFOLIO</t>
  </si>
  <si>
    <t>CDC FARMS LTD</t>
  </si>
  <si>
    <t>VESTCOR LOW VOLATILITY INTERNATIONAL EQUITY FUND - CLASS N</t>
  </si>
  <si>
    <t>DYNAMIC ACTIVE GLOBAL FINANCIAL SERVICES FUND</t>
  </si>
  <si>
    <t>DYNAMIC ACTIVE TACTICAL BOND FUND</t>
  </si>
  <si>
    <t>SUN LIFE DYNAMIC ENERGY FUND</t>
  </si>
  <si>
    <t>DYNAMIC ACTIVE CROSSOVER BOND FUND</t>
  </si>
  <si>
    <t>WESTEND CONNECTORS DEVELOPER GENERAL PARTNERSHIP</t>
  </si>
  <si>
    <t>IMPERIAL CANADIAN DIVIDEND INCOME POOL</t>
  </si>
  <si>
    <t>IMPERIAL SHORT TERM BOND POOL</t>
  </si>
  <si>
    <t>WEALTHSIMPLE SHARIAH WORLD EQUITY INDEX ETF</t>
  </si>
  <si>
    <t>MOLTEX ENERGY CANADA INC.</t>
  </si>
  <si>
    <t>XYPEX CHEMICAL CORPORATION</t>
  </si>
  <si>
    <t>FIDEICOMISO IRREVOCABLE Y DE ADMON CIB 3576</t>
  </si>
  <si>
    <t>EDGEWATER WIRELESS SYSTEMS INC</t>
  </si>
  <si>
    <t>AWARE360 LTD</t>
  </si>
  <si>
    <t>GROUPE IMMOBILIER PM INC</t>
  </si>
  <si>
    <t>ALFONSO FRANCO ALVAREZ</t>
  </si>
  <si>
    <t>AMALIA DE LA PURISIMA CONCEPCION GOMEZ Y CALDERON</t>
  </si>
  <si>
    <t>AMIN GUINDI LOPATA</t>
  </si>
  <si>
    <t>ARQUITECTURA BAJAPRO S DE RL DE CV</t>
  </si>
  <si>
    <t>BAJAPRO CONSTRUCTORES DE VIVIENDAS SA DE CV</t>
  </si>
  <si>
    <t>BLANCA GUADALUPE LOPEZ PODESTA</t>
  </si>
  <si>
    <t>C NUEVA ESPANA A C</t>
  </si>
  <si>
    <t>COMBUSTIBLES ECOLOGICOS MEXICANOS SA DE CV</t>
  </si>
  <si>
    <t>CORPORACION INMOBILIARIA KTRC SA DE CV</t>
  </si>
  <si>
    <t>EDGAR DAVID NOVELO AIZPURU</t>
  </si>
  <si>
    <t>EDMUNDO MANUEL ANGULO ROJAS</t>
  </si>
  <si>
    <t>FERNANDO DAVID HIRAOKA GUTIERREZ</t>
  </si>
  <si>
    <t>FERNANDO PEREZ MONTOYA</t>
  </si>
  <si>
    <t>GLOBAL ENGINEERING AND LOGISTICS SA DE CV</t>
  </si>
  <si>
    <t>GRACIELA FAGOAGA GUTIERREZ</t>
  </si>
  <si>
    <t>GRUPO SMLR SA DE CV</t>
  </si>
  <si>
    <t>GUIDO EBERGENYI VAZQUEZ</t>
  </si>
  <si>
    <t>IGNACIO GAVALDON GUAJARDO</t>
  </si>
  <si>
    <t>INDUFRESH MEXICO SA DE CV</t>
  </si>
  <si>
    <t>JAIME GUERRA ZAMUDIO</t>
  </si>
  <si>
    <t>JOSE BARHEM Y VILLASENOR ABOGADOS SC</t>
  </si>
  <si>
    <t>JOSE FRANCISCO BOURS GRIFFITH</t>
  </si>
  <si>
    <t>JOSEF JACOBO KOPCHINSKY LIBNIC</t>
  </si>
  <si>
    <t>M DOLORES VELAZQUEZ VERDAD</t>
  </si>
  <si>
    <t>MARIA LUISA PRIETO FORTUN</t>
  </si>
  <si>
    <t>MELISSA URIBE VELASCO</t>
  </si>
  <si>
    <t>NATALIA SAN ROMAN HERNANDEZ</t>
  </si>
  <si>
    <t>OSPRECISION S DE RL DE CV</t>
  </si>
  <si>
    <t>PATRICIA COHEN ROMANO</t>
  </si>
  <si>
    <t>PUBLICIDAD Y SOLUCIONES GREEN SA DE CV</t>
  </si>
  <si>
    <t>RESIDENCIAL MARANTA DOS S A P I DE CV</t>
  </si>
  <si>
    <t>SANTIAGO POLIDURA BLANDO</t>
  </si>
  <si>
    <t>SOLARWIND SA DE CV</t>
  </si>
  <si>
    <t>STKMJ ASSOCIATES S DE RL DE CV</t>
  </si>
  <si>
    <t>VERONICA FRANCO PONCE</t>
  </si>
  <si>
    <t>YOX HOLDING SA DE CV</t>
  </si>
  <si>
    <t>ZURITA Y MARRON ASESORES INDEPENDIENTES SA DE CV</t>
  </si>
  <si>
    <t>ASTRIA AUTOMATION S DE RL DE CV</t>
  </si>
  <si>
    <t>VANNY MIRIAM GUINDI LOPATA</t>
  </si>
  <si>
    <t>THE RESIDENCE AT LITTLEDALE INC</t>
  </si>
  <si>
    <t>TINY TITAN STUDIOS INC</t>
  </si>
  <si>
    <t>WISK AIR LIMITED</t>
  </si>
  <si>
    <t>AMS INSTRUMENTACION Y CONTROL SA DE CV</t>
  </si>
  <si>
    <t>ARQUITECTURA HABITACIONAL E INDUSTRIAL SA DE CV</t>
  </si>
  <si>
    <t>BENCAR TIDE S DE RL DE CV</t>
  </si>
  <si>
    <t>DTNI MEXICO SA DE CV</t>
  </si>
  <si>
    <t>ESCOLLERA PUNTA MITA S DE RL DE CV</t>
  </si>
  <si>
    <t>FELIPE DE JESUS AGUIRRE GARCIA</t>
  </si>
  <si>
    <t>IDENTIFICACION EN DISENO COMUNICACION SA DE CV</t>
  </si>
  <si>
    <t>INDUSTRIAS OLEOPALMA SA DE CV</t>
  </si>
  <si>
    <t>INGENIERIA Y MANUFACTURAS TEXHON SAS DE CV</t>
  </si>
  <si>
    <t>JESUS MARIA HINOJOSA SANCHEZ</t>
  </si>
  <si>
    <t>JOSE LUIS FRANCO MORENO</t>
  </si>
  <si>
    <t>JOSE RODRIGO TESTAS RODRIGUEZ</t>
  </si>
  <si>
    <t>JOSE SERGIO HERNANDEZ GONZALEZ</t>
  </si>
  <si>
    <t>MARIA DOLORES ALVERDE ARENA</t>
  </si>
  <si>
    <t>MAURICIO DEL MORAL AGUIRRE</t>
  </si>
  <si>
    <t>NAVES DEL BAJIO SA DE CV</t>
  </si>
  <si>
    <t>PROVEEDORA FLEXOGRAFICA SA DE CV</t>
  </si>
  <si>
    <t>ROSA SALAZAR ARENAS</t>
  </si>
  <si>
    <t>SARA KATZ KENNER</t>
  </si>
  <si>
    <t>RUSSELL INVESTMENT MANAGEMENT LIMITED AS RESPONSIBLE ENTITY FOR GPF (THAILAND) INVESTMENT FUND</t>
  </si>
  <si>
    <t>CSH PRINCESS INC</t>
  </si>
  <si>
    <t>5665249 MANITOBA LTD</t>
  </si>
  <si>
    <t>ALEJANDRO BALLESTEROS GUTIERREZ</t>
  </si>
  <si>
    <t>COAL ISLAND LTD.</t>
  </si>
  <si>
    <t>EARTH MAX CONSTRUCTION INC</t>
  </si>
  <si>
    <t>LAURA ESTELA BARRERA LOZANO</t>
  </si>
  <si>
    <t>MARIA DE LA LUZ KURI CHIBLI</t>
  </si>
  <si>
    <t>MAYRA GRISELDA CAMIL GARZA</t>
  </si>
  <si>
    <t>NATHAN MOUSSAN FARCA</t>
  </si>
  <si>
    <t>OCTAVIO JAVIER ORNELAS ESQUINCA</t>
  </si>
  <si>
    <t>PACIFICLINKS CONSULTING INC</t>
  </si>
  <si>
    <t>TUF-BAR INC.</t>
  </si>
  <si>
    <t>ANGLO PACIFIC GROUP PLC</t>
  </si>
  <si>
    <t>ROBERTSON STROMBERG LLP</t>
  </si>
  <si>
    <t>STONEBRIDGE FINANCIAL CORPORATION</t>
  </si>
  <si>
    <t>ALFREDO MARQUEZ JIMENEZ</t>
  </si>
  <si>
    <t>ANTONIO SANTIAGO LOPEZ DE SILANES ESPINOSA</t>
  </si>
  <si>
    <t>AVIAT NETWORKS MEXICO SA DE CV</t>
  </si>
  <si>
    <t>COZUMEL REALESTATE SA DE CV</t>
  </si>
  <si>
    <t>ELSA GUADALUPE PARADA DIAZ</t>
  </si>
  <si>
    <t>ENRIQUE NORTEN ROSENFELD</t>
  </si>
  <si>
    <t>FIT PIONEER MEXICO SA DE CV</t>
  </si>
  <si>
    <t>HASTENIS DEVELOPMENT S DE RL DE CV</t>
  </si>
  <si>
    <t>JAIME MONDRAGON HERNANDEZ</t>
  </si>
  <si>
    <t>JOSE ALBERTO BERRONDO DIAZ</t>
  </si>
  <si>
    <t>JOSE DE JESUS BRISENO CARLOS</t>
  </si>
  <si>
    <t>LUSI Y KURT SA DE CV</t>
  </si>
  <si>
    <t>MARIA DEL PILAR SANCHEZ RUIZ</t>
  </si>
  <si>
    <t>MARIA ISABEL GAVITO BARANDA</t>
  </si>
  <si>
    <t>MICHEL GOBERA FAJER</t>
  </si>
  <si>
    <t>NOVANDI S DE RL DE CV</t>
  </si>
  <si>
    <t>RAYMOND CHAINE BUSH</t>
  </si>
  <si>
    <t>ROBERTO SANCHEZ ALVAREZ</t>
  </si>
  <si>
    <t>SALOMON ALEJANDRO COHEN BERAUN</t>
  </si>
  <si>
    <t>VICTOR JOSE GAVITO BARANDA</t>
  </si>
  <si>
    <t>XAPITO INVERSIONES SAPI DE CV</t>
  </si>
  <si>
    <t>XAPITO PALI SAPI DE CV</t>
  </si>
  <si>
    <t>XAPITO SAPI DE CV</t>
  </si>
  <si>
    <t>ALSEA S A B DE CV</t>
  </si>
  <si>
    <t>TRANS FORM BY POMERLEAU INC (8860122 CANADA INC)</t>
  </si>
  <si>
    <t>FIDELITY INVESTMENTS CHARITABLE GIFT FUND</t>
  </si>
  <si>
    <t>FIDELITY INVESTMENTS CHARITABLE GIFT FUND (18002)</t>
  </si>
  <si>
    <t>FACEBOOK INC</t>
  </si>
  <si>
    <t>FACEBOOK IRELAND HOLDINGS UNLIMITED IRELAND</t>
  </si>
  <si>
    <t>GRUPO MEXICO, S.A.B. DE C.V.</t>
  </si>
  <si>
    <t>KNOWLEDGE FIRST FINANCIAL INC</t>
  </si>
  <si>
    <t>FACEBOOK IRELAND LIMITED IRELAND</t>
  </si>
  <si>
    <t>ANA ROSA VILLASENOR VAZQUEZ</t>
  </si>
  <si>
    <t>ADRIANA HIGUERA LOPEZ</t>
  </si>
  <si>
    <t>CARLOS PRIETO BARBACHANO</t>
  </si>
  <si>
    <t>DISTRICT VENTURES CPG 1 LP</t>
  </si>
  <si>
    <t>ENRIQUE CARLOS JULIO REGORDOSA VALENCIANA</t>
  </si>
  <si>
    <t>ESTRALO SERVICIOS TAKTIKOS S DE R L DE CV</t>
  </si>
  <si>
    <t>GRUPO CUSTOS 19 S DE RL</t>
  </si>
  <si>
    <t>GUARDERIAS SIGLO XXI SA DE CV</t>
  </si>
  <si>
    <t>INSTITUTO NACIONAL ELECTORAL</t>
  </si>
  <si>
    <t>LAURA MUNOZ DELGADO</t>
  </si>
  <si>
    <t>LUXOR BY DESIGNS INC</t>
  </si>
  <si>
    <t>MARYLUPE KAROL ARZAMENDI RODRIGUEZ</t>
  </si>
  <si>
    <t>PASEO INTERLOMAS</t>
  </si>
  <si>
    <t>ROSA NILDA GUTIERREZ PADILLA</t>
  </si>
  <si>
    <t>UBSA VIVIENDA SA DE CV</t>
  </si>
  <si>
    <t>USIGREI INC</t>
  </si>
  <si>
    <t>THE AUTO VAUGHAN TRUST</t>
  </si>
  <si>
    <t>Lark Properties #1 Inc</t>
  </si>
  <si>
    <t>MIREYA EUGENIA CUEVAS ECHAIDE</t>
  </si>
  <si>
    <t>IUS ATTORNEY SERVICES SC</t>
  </si>
  <si>
    <t>BLOQUELANDIA SA DE CV</t>
  </si>
  <si>
    <t>COMRI S DE RL DE CV</t>
  </si>
  <si>
    <t>GABRIELA BAUTISTA SOLIS</t>
  </si>
  <si>
    <t>OURWORLD IMPORT &amp; EXPORT SA DE CV</t>
  </si>
  <si>
    <t>PROYECTOS FARES SA DE CV</t>
  </si>
  <si>
    <t>WISE LINE METAL SALES INC</t>
  </si>
  <si>
    <t>OMNICOM CAPITAL INC GROUP</t>
  </si>
  <si>
    <t>PALADIN TECHNOLOGIES INC</t>
  </si>
  <si>
    <t>QM LP</t>
  </si>
  <si>
    <t>ACCU HOLDINGS LTD</t>
  </si>
  <si>
    <t>LACOMBE CENTRE GP INC</t>
  </si>
  <si>
    <t>BROADSIDE BULLION INC</t>
  </si>
  <si>
    <t>COMERCIALIZADORA BALANCA SA DE CV</t>
  </si>
  <si>
    <t>IGNACIO VALLINA FABRE</t>
  </si>
  <si>
    <t>IUS ESCROW SERVICES SA DE CV</t>
  </si>
  <si>
    <t>JOSE DE JESUS VELOZ GUTIERREZ</t>
  </si>
  <si>
    <t>LIDDIARD LAW PROFESSIONAL CORPORATION</t>
  </si>
  <si>
    <t>LUZ MARIA TRUJILLO BARRAGAN</t>
  </si>
  <si>
    <t>MACK SALES AND SERVICES OF NANAIMO LTD</t>
  </si>
  <si>
    <t>MARIA ELENA SANTOVENA  LAGO</t>
  </si>
  <si>
    <t>PLANET PERSONNEL AGENCY INC</t>
  </si>
  <si>
    <t>POLYBIO SAPI DE CV</t>
  </si>
  <si>
    <t>SPARKY PRODUCCIONES S DE RL DE CV</t>
  </si>
  <si>
    <t>TORONTO STANDARD CONDOMINIUM CORPORATION NO 1924</t>
  </si>
  <si>
    <t>WISE LINE TOOLS INC</t>
  </si>
  <si>
    <t>XAVIER JACOBO TOUCHE HERNANDEZ</t>
  </si>
  <si>
    <t>IDEAL CREATIVE HOLDINGS INC</t>
  </si>
  <si>
    <t>BULKMATIC DE MEXICO S DE RL DE CV</t>
  </si>
  <si>
    <t>HFY IMPORTADOR SA DE CV</t>
  </si>
  <si>
    <t>PARK PROPERTY MANAGEMENT INC.</t>
  </si>
  <si>
    <t>KANE VETERINARY SUPPLIES LTD</t>
  </si>
  <si>
    <t>APPS CARTAGE INC.</t>
  </si>
  <si>
    <t>GIVEX MEXICO SA DE CV</t>
  </si>
  <si>
    <t>URCIRSIO ANDRADE VALLEJO</t>
  </si>
  <si>
    <t>L EMBALLAGE TOUT INC</t>
  </si>
  <si>
    <t>ASCENTY MEXICO S DE RL DE CV</t>
  </si>
  <si>
    <t>BERNARDO SEPULVEDA AMOR</t>
  </si>
  <si>
    <t>CENTRO EDUCATIVO TRES CULTURAS SC</t>
  </si>
  <si>
    <t>CWEALTH</t>
  </si>
  <si>
    <t>KARMIRAL SA DE CV</t>
  </si>
  <si>
    <t>LOTTUS EDUCATION SA DE CV</t>
  </si>
  <si>
    <t>MATHERS LOGISTICS LTD</t>
  </si>
  <si>
    <t>RED COLOR DE MEXICO SPR DE RL</t>
  </si>
  <si>
    <t>TD ASSET MANAGEMENT 48322</t>
  </si>
  <si>
    <t>TOP ACES INC</t>
  </si>
  <si>
    <t>VICTORIA GOLD CORP</t>
  </si>
  <si>
    <t>12845903 CANADA INC</t>
  </si>
  <si>
    <t>ANA MELISSA FIMBRES HERNANDEZ</t>
  </si>
  <si>
    <t>BLACO RENT SC DE RL DE CV</t>
  </si>
  <si>
    <t>COMERCIAL MARITIMA DE LOGISTICA Y TRANSPORTES SA DE CV</t>
  </si>
  <si>
    <t>ESPE ELECTROMECHANICAL SOLUTIONS SAS</t>
  </si>
  <si>
    <t>GERMINACION COMERCIAL DIN SA DE CV</t>
  </si>
  <si>
    <t>GRUPO GOCALVI SA DE CV</t>
  </si>
  <si>
    <t>GRUPO MIRASOL DE OCCIDENTE SA DE CV</t>
  </si>
  <si>
    <t>HECTOR ANDRADE VILLARREAL</t>
  </si>
  <si>
    <t>HECTOR ANTONIO BOLANOS VARELA</t>
  </si>
  <si>
    <t>HIERBA BUENA SA DE CV</t>
  </si>
  <si>
    <t>INTERMEDIA WEB SA DE CV</t>
  </si>
  <si>
    <t>JAVIER CORONEL PINA</t>
  </si>
  <si>
    <t>JORGE LUIS RAMOS SANTOS</t>
  </si>
  <si>
    <t>MA GUADALUPE CAMPO ALCOCER</t>
  </si>
  <si>
    <t>MARIA ELENA DEL PUERTO TILVE</t>
  </si>
  <si>
    <t>MARIA ROBLES GOMEZ</t>
  </si>
  <si>
    <t>RADIO GRUAS TANTOCO SA DE CV</t>
  </si>
  <si>
    <t>SIVA FBP SC</t>
  </si>
  <si>
    <t>THERMOSTEK GLASS LTEE</t>
  </si>
  <si>
    <t>NASHVILLE HOLDINGS LTD</t>
  </si>
  <si>
    <t>JASMAS INC</t>
  </si>
  <si>
    <t>ALMA DELIA PULIDO ORTEGA</t>
  </si>
  <si>
    <t>CANADIAN NUMISMATIC RARITIES LTD</t>
  </si>
  <si>
    <t>CANNING COLLECTIVE INC</t>
  </si>
  <si>
    <t>CASA HISTORICA DEL CENTRO SAPI DE C</t>
  </si>
  <si>
    <t>EUGENIO DECRESCENZO JULIAN</t>
  </si>
  <si>
    <t>GLADYS EUGENIA BRAVO MAGANA</t>
  </si>
  <si>
    <t>SERVICIO DE INGENIERIA INDUSTRIAL Y OUTSOURCING SA DE CV</t>
  </si>
  <si>
    <t>YOLANDA VERDEJO HUERTA</t>
  </si>
  <si>
    <t>METTLER TOLEDO INTERNATIONAL INC</t>
  </si>
  <si>
    <t>9409-1568 QUEBEC INC</t>
  </si>
  <si>
    <t>THE COOPER COMPANIES INC</t>
  </si>
  <si>
    <t>THE COOPER COMPANIES, INC</t>
  </si>
  <si>
    <t>BOB DALE GLOVES &amp; IMPORTS LTD</t>
  </si>
  <si>
    <t>006 INVERSIX SAPI DE CV</t>
  </si>
  <si>
    <t>IADVISOR INC.</t>
  </si>
  <si>
    <t>INSTITUTO DE SEGURIDAD Y SERVICIOS SOCIALES DE LOS TRABAJADORES DEL ESTADO</t>
  </si>
  <si>
    <t>JESUS JOSE CASTRUITA AMAYA</t>
  </si>
  <si>
    <t>JUAN PABLO VILLAREAL TRICIO</t>
  </si>
  <si>
    <t>NORIS WITTIG OLGA</t>
  </si>
  <si>
    <t>PAULA BEGONA BELLO DE ARANAGA</t>
  </si>
  <si>
    <t>ROBERT FORMOSA</t>
  </si>
  <si>
    <t>RUSSET HOUSE INC AKA MAISSON RUSSET INC</t>
  </si>
  <si>
    <t>SOLVET SA DE CV</t>
  </si>
  <si>
    <t>TENERGY SA DE CV</t>
  </si>
  <si>
    <t>COUNTY OF LOS ANGELES</t>
  </si>
  <si>
    <t>MERCANTIL SA</t>
  </si>
  <si>
    <t>MIGUEL LOZANO MICHEL</t>
  </si>
  <si>
    <t>GUILLERMO GONZALEZ NOVA</t>
  </si>
  <si>
    <t>ESTHER LUZ TRASCIERRA GUZMAN</t>
  </si>
  <si>
    <t>RAUL VILLARREAL SOLORZANO</t>
  </si>
  <si>
    <t>PCD SYSTEMS S DE RL DE CV</t>
  </si>
  <si>
    <t>RAYMUNDO ROGELIO AGRASANCHEZ LOPEZ</t>
  </si>
  <si>
    <t>STAR FORT GAMES INC</t>
  </si>
  <si>
    <t>SOBRETTE MARKETS INC</t>
  </si>
  <si>
    <t>GUNG KEE JIM</t>
  </si>
  <si>
    <t>VITRO SAB DE CV</t>
  </si>
  <si>
    <t>MA GUADALUPE VILLANUEVA NIETO</t>
  </si>
  <si>
    <t>LAFIRMA ASSET SERVICES SC</t>
  </si>
  <si>
    <t>ANTONIO DIAZ BONNET</t>
  </si>
  <si>
    <t>LAFIRMA CAPITAL SAPI DE CV</t>
  </si>
  <si>
    <t>MA LUISA VILLANUEVA NIETO</t>
  </si>
  <si>
    <t>AYR MOTOR EXPRESS INC</t>
  </si>
  <si>
    <t>WORKPLACE SAFETY AND INSURANCE</t>
  </si>
  <si>
    <t>RBC CANADIAN MASTER TRUST - DC151CON</t>
  </si>
  <si>
    <t>RBC CANADIAN MASTER TRUST - DC151BC</t>
  </si>
  <si>
    <t>RBC CANADIAN MASTER TRUST - DC151BP</t>
  </si>
  <si>
    <t>CITADEL CELER</t>
  </si>
  <si>
    <t>PROYECTOS Y CONSTRUCCIONES AGROINDUSTRIALES SA</t>
  </si>
  <si>
    <t>MANTENIMIENTO GENERAL Y EQUIPAMIENTO DE PISCINAS SA DE CV</t>
  </si>
  <si>
    <t>ROUND 13 GROWTH II, L.P.</t>
  </si>
  <si>
    <t>ROUND 13 VENTURES II LP</t>
  </si>
  <si>
    <t>SRF5 AMBERLEA SHOPPING CENTRE INC</t>
  </si>
  <si>
    <t>EDGARDO ENRIQUE CODESAL MENDEZ</t>
  </si>
  <si>
    <t>MA GUADALUPE RINCON GALLARDO CORCUERA</t>
  </si>
  <si>
    <t>OCOTILLO CARGO SA DE CV</t>
  </si>
  <si>
    <t>PLANEACION AMBIENTACION Y PROYECTOS</t>
  </si>
  <si>
    <t>EHP STRATEGIC INCOME ALTERNATIVE FUND</t>
  </si>
  <si>
    <t>COLLECTIVE MINING INC</t>
  </si>
  <si>
    <t>MO DESIGN STUDIO SA DE CV</t>
  </si>
  <si>
    <t>BUDAS DATA SCIENCE S DE RL DE CV</t>
  </si>
  <si>
    <t>BILL LEVIN MORGENSTERN</t>
  </si>
  <si>
    <t>NEO STRECH SA DE CV</t>
  </si>
  <si>
    <t>COROSYS MEXICO SA DE CV</t>
  </si>
  <si>
    <t>SACOS ESPECIALIZADOS SAPIESA SA DE CV</t>
  </si>
  <si>
    <t>RICARDO RODRIGUEZ TOLENTINO</t>
  </si>
  <si>
    <t>RICARDO RODRIGUEZ ROMERO</t>
  </si>
  <si>
    <t>12386712 CANADA INC</t>
  </si>
  <si>
    <t>J AND C SIITEC DE MEXICO SA DE CV</t>
  </si>
  <si>
    <t>FRANCISCO JAVIER TREVINO MORENO</t>
  </si>
  <si>
    <t>CORPMEXLAW S DE RL DE CV</t>
  </si>
  <si>
    <t>INMUEBLES RECOLETOS SA DE CV</t>
  </si>
  <si>
    <t>DESARROLLADORA REVORG SA DE CV</t>
  </si>
  <si>
    <t>BEACH FRONT PV DEVELOPERS S DE RL DE CV</t>
  </si>
  <si>
    <t>SISTEMAS AGRO APP SA DE CV</t>
  </si>
  <si>
    <t>LAUNCHLIFE INTERNATIONAL INC</t>
  </si>
  <si>
    <t>FONDO DE PENSIONES PROTECCION</t>
  </si>
  <si>
    <t>2515878 ONTARIO LIMITED</t>
  </si>
  <si>
    <t>CHEMTRADE ELECTROCHEM INC.</t>
  </si>
  <si>
    <t>CHEMTRADE ELECTROCHEM LTD</t>
  </si>
  <si>
    <t>BIGFOOT CRANE COMPANY INC</t>
  </si>
  <si>
    <t>DESARROLLO INMOBILIARIO FOREVER HUATULCO SA DE CV</t>
  </si>
  <si>
    <t>MOMENT ENERGY INC</t>
  </si>
  <si>
    <t>XIGNUX, S.A. DE C.V.</t>
  </si>
  <si>
    <t>COREFAIN SA DE CV</t>
  </si>
  <si>
    <t>DYNAMIC ACTIVE ENERGY EVOLUTION ETF</t>
  </si>
  <si>
    <t>JOAQUIN ARRANGOIZ ORVANANOS</t>
  </si>
  <si>
    <t>JOSE ALFONSO GOMEZ SAUCEDO</t>
  </si>
  <si>
    <t>LAURA GUADALUPE TERCERO GARCIA</t>
  </si>
  <si>
    <t>AGRICOLA CUEVAS JALOMO SPR DE RL DE CV</t>
  </si>
  <si>
    <t>ALEJANDRO RANGEL GARCIA</t>
  </si>
  <si>
    <t>CHAMPLAIN PLASTICS INC</t>
  </si>
  <si>
    <t>M GUADALUPE OROZCO ALCARAZ</t>
  </si>
  <si>
    <t>COOPERVISION, INC.</t>
  </si>
  <si>
    <t>INMOBILIARIA VILLAS DE BENAVENTE SA DE CV</t>
  </si>
  <si>
    <t>MER PAP SA DE CV</t>
  </si>
  <si>
    <t>REGISTRY FINANCE PTY LTD</t>
  </si>
  <si>
    <t>ACART EQUIPMENT LTD</t>
  </si>
  <si>
    <t>ANDYS TIRE SHOP LIMITED</t>
  </si>
  <si>
    <t>CSRA CANADA INC</t>
  </si>
  <si>
    <t>LOGAN HOLDING INTERNATIONAL INC</t>
  </si>
  <si>
    <t>MAYAN ART PLAYA SA DE CV</t>
  </si>
  <si>
    <t>CIBC SUSTAINABLE GLOBAL EQUITY FUND</t>
  </si>
  <si>
    <t>DYNAMIC ACTIVE EMERGING MARKETS ETF</t>
  </si>
  <si>
    <t>WILLOWS AGRISERVICES LTD</t>
  </si>
  <si>
    <t>ANGLOGOLD ASHANTI AUSTRALIA LIMITED</t>
  </si>
  <si>
    <t>ENERGY CORPORATION MEXICO SA DE CV</t>
  </si>
  <si>
    <t>ANNA MARIE ROY</t>
  </si>
  <si>
    <t>PROMOTORA AMBIENTAL DE LA LAGUNA SA DE CV</t>
  </si>
  <si>
    <t>SALVADOR BERNARDO AVILA GUILLEN</t>
  </si>
  <si>
    <t>ERNESTO FERNANDEZ LOPEZ</t>
  </si>
  <si>
    <t>DIANA GERALDINA GUADALUPE ISABEL MOGOLLON ABAD</t>
  </si>
  <si>
    <t>CAR RECORD TECHNOLOGY SA DE CV</t>
  </si>
  <si>
    <t>UEBC SAPI DE CV</t>
  </si>
  <si>
    <t>SHENG BAO MEXICO SA DE CV</t>
  </si>
  <si>
    <t>PASA ADMINISTRACION SA DE CV</t>
  </si>
  <si>
    <t>JUAN DIEGO MANUEL DE GALLARDO THURLOW</t>
  </si>
  <si>
    <t>MIRIAM KATZ BERCOVITCH</t>
  </si>
  <si>
    <t>FERNANDO ROVALO Y LOPEZ DE LINARES</t>
  </si>
  <si>
    <t>MID WEST GRAIN LTD</t>
  </si>
  <si>
    <t>CARRARI MEX REAL ESTATE SA DE CV</t>
  </si>
  <si>
    <t>GEMINIS MUSICAL SA</t>
  </si>
  <si>
    <t>J.H. HUSCROFT LTD.</t>
  </si>
  <si>
    <t>PROLEC SA DE CV</t>
  </si>
  <si>
    <t>COMUNICACIONES INTELIGENTES Y AVANZADAS SA DE CV</t>
  </si>
  <si>
    <t>NORTH BLUE JAY INCORPORATED</t>
  </si>
  <si>
    <t>MINERVA CANTU CHAPA</t>
  </si>
  <si>
    <t>SALVADOR GUTIERREZ CHRISTLIEB</t>
  </si>
  <si>
    <t>SERVICIOS ERA SA DE CV</t>
  </si>
  <si>
    <t>GINA MARIA TRASCIERRA GUZMAN</t>
  </si>
  <si>
    <t>PATRICIA SUSANA DE LOURDES DE LA PENA ROMO</t>
  </si>
  <si>
    <t>CARLOS SATO HIRATA</t>
  </si>
  <si>
    <t>SOFIA ESTHER GALLEGO SALAS</t>
  </si>
  <si>
    <t>RAFAEL MARCOS DAYAN</t>
  </si>
  <si>
    <t>GG 9 MILE LIMITED</t>
  </si>
  <si>
    <t>CANSO PRIVATE BROAD CORPORATE BOND FUND</t>
  </si>
  <si>
    <t>GALERIAS IXTAPALUCA</t>
  </si>
  <si>
    <t>ELIAS LANIADO LABORIN</t>
  </si>
  <si>
    <t>OPICS FX FUTURES</t>
  </si>
  <si>
    <t>REDSA TRAVEL OPERADORA TURISTICA SA DE CV</t>
  </si>
  <si>
    <t>GUILLERMO ENRIQUE BABATZ TORRES</t>
  </si>
  <si>
    <t>ALTPROMEX SA DE CV</t>
  </si>
  <si>
    <t>SWEPT TECHNOLOGIES INC</t>
  </si>
  <si>
    <t>JOSE MANUEL PARADA DIAZ</t>
  </si>
  <si>
    <t>FIDUCIA PROJECT SC</t>
  </si>
  <si>
    <t>FRANKLIN AND O BRIEN SERVICES JURIDIQUES INC</t>
  </si>
  <si>
    <t>HONEYDEW INTERNATIONAL INC</t>
  </si>
  <si>
    <t>ARIELA KATZ KENNER</t>
  </si>
  <si>
    <t>RECOLECTORA DE DESECHOS Y RESIDUOS KING KONG SA DE CV</t>
  </si>
  <si>
    <t>RACHEL KATZ KENNER</t>
  </si>
  <si>
    <t>ALAIN ELIE GUGENHEIM DALSACE</t>
  </si>
  <si>
    <t>NORTH END AUTO SPRING LTD</t>
  </si>
  <si>
    <t>AGI FINANCE PTY LTD</t>
  </si>
  <si>
    <t>COOPERVISION INTERNATIONAL LIMITED</t>
  </si>
  <si>
    <t>3RD GEN BARONS HOLDINGS INC</t>
  </si>
  <si>
    <t>COC JERRY SC</t>
  </si>
  <si>
    <t>AGROPECUARIA RANCHO GRANDE SA DE CV</t>
  </si>
  <si>
    <t>MINERA CUICUILCO SA DE CV</t>
  </si>
  <si>
    <t>MARIA LUISA ROBLES MAYET</t>
  </si>
  <si>
    <t>ARMANDO GALLEGO IBARRA</t>
  </si>
  <si>
    <t>MEXICANA DE APLICACIONES Y CAPACITACION SA DE CV</t>
  </si>
  <si>
    <t>MONTO FACIL SAPI DE CV SOFOM ENR</t>
  </si>
  <si>
    <t>OMAR ADLAI ABBUD LOZOYA</t>
  </si>
  <si>
    <t>LEGGAT CAPITAL CORPORATION</t>
  </si>
  <si>
    <t>GREAT DALE MANOR LIMITED</t>
  </si>
  <si>
    <t>REGENCY CENTERS CORPORATION</t>
  </si>
  <si>
    <t>CIBC SUSTAINABLE CANADIAN CORE PLUS BOND FUND</t>
  </si>
  <si>
    <t>CIBC SUSTAINABLE CANADIAN EQUITY FUND</t>
  </si>
  <si>
    <t>CLG ENTERPRISES INC</t>
  </si>
  <si>
    <t>NADINE ARCELIA RODRIGUEZ MONTEMAYOR</t>
  </si>
  <si>
    <t>VICTORIA LOPATA DE GUINDI</t>
  </si>
  <si>
    <t>ALAN GUINDI LOPATA</t>
  </si>
  <si>
    <t>CARLOS ALBERTO GARCIA CARDOSO</t>
  </si>
  <si>
    <t>ALICIA DEL SAGRADO CORAZON PALOMERA MORQUECHO</t>
  </si>
  <si>
    <t>EVOLUCION EN EMPAQUE SA DE CV</t>
  </si>
  <si>
    <t>STRONGBASE SA DE CV</t>
  </si>
  <si>
    <t>GUSTAVO GONZALEZ FERNANDEZ</t>
  </si>
  <si>
    <t>QUANTIFIED IMAGINATION INC</t>
  </si>
  <si>
    <t>FENNEC FOODS INC</t>
  </si>
  <si>
    <t>AVENUE CREDIT OPPORTUNITIES FUND III LP</t>
  </si>
  <si>
    <t>JAVIER DE LA TORRE ALVARADO</t>
  </si>
  <si>
    <t>ALEJANDRO DE LOS SANTOS HERNANDEZ</t>
  </si>
  <si>
    <t>SPEAKEASY DESCRIBED VIDEO INC</t>
  </si>
  <si>
    <t>SUPPLEMENTKING INC</t>
  </si>
  <si>
    <t>BELORA ABADI SMEKE</t>
  </si>
  <si>
    <t>DAVID GORODZINSKY MIDLARSKY</t>
  </si>
  <si>
    <t>MARINA LASCARIS VENIZELOS</t>
  </si>
  <si>
    <t>PROMOTORA AMBIENTAL SERVICIOS SA DE CV</t>
  </si>
  <si>
    <t>ROBERTO JAVIER CARRETO CORDERO</t>
  </si>
  <si>
    <t>TIP SUPPORT SA DE CV</t>
  </si>
  <si>
    <t>MARIA VICTORIA CARAVEO VALLINA</t>
  </si>
  <si>
    <t>R16 RJE IMTA OTROS CASOS PROYECTO FOINS 4924</t>
  </si>
  <si>
    <t>MARIA ROSELA GALLEGO IBARRA</t>
  </si>
  <si>
    <t>MARIA CARLOTA GALLEGO IBARRA</t>
  </si>
  <si>
    <t>CELESTINO AMADOR ALVAREZ ROIZ</t>
  </si>
  <si>
    <t>RICARDO SANROMAN CARRILLO</t>
  </si>
  <si>
    <t>AML TEXTIL SA DE CV</t>
  </si>
  <si>
    <t>GEN INDUSTRIAL SA DE CV</t>
  </si>
  <si>
    <t>DARIO PALMA Y MEZA ESPINOZA</t>
  </si>
  <si>
    <t>ANTONIA LLORENS MERAZ</t>
  </si>
  <si>
    <t>JAIME CARLOS MIGOYA VON BERTRAB</t>
  </si>
  <si>
    <t>JESUS JAURRIETA VALLES</t>
  </si>
  <si>
    <t>GROUP ALITHYA INC</t>
  </si>
  <si>
    <t>VICTOR HERMOSILLO CELADA</t>
  </si>
  <si>
    <t>KOSKIE MINSKY LLP</t>
  </si>
  <si>
    <t>RAFAEL OCTAVIO PARADA DIAZ</t>
  </si>
  <si>
    <t>ALEJANDRA AGUIRRE DIAZ DE LA VEGA</t>
  </si>
  <si>
    <t>FRANCISCO ALBERTO MARTINEZ MARTINEZ</t>
  </si>
  <si>
    <t>JOSE ESQUINCA SANTAULARIA</t>
  </si>
  <si>
    <t>IRMA GUADALUPE GAMA CAHERO</t>
  </si>
  <si>
    <t>CATALYST CAPITAL GROUP INC</t>
  </si>
  <si>
    <t>GMF PRIME AUTOMOBILE TRUST 2021 PP4</t>
  </si>
  <si>
    <t>FIRST TRUST IPOX¿ EUROPE EQUITY OPPORTUNITIES UCITS ETF</t>
  </si>
  <si>
    <t>GAMARI DEVELOPMENT LTD</t>
  </si>
  <si>
    <t>GRUPO TENERIFE SA DE CV</t>
  </si>
  <si>
    <t>DINERIO SERVICIOS DE FINANZAS PERSONALES SAPI DE CV</t>
  </si>
  <si>
    <t>ANAERGIA INC</t>
  </si>
  <si>
    <t>MARIA EUGENIA VELEZ TIRADO</t>
  </si>
  <si>
    <t>DIANA LAURA MALTOS FLORES</t>
  </si>
  <si>
    <t>SILVESTRE RAMIREZ ARIAS</t>
  </si>
  <si>
    <t>COMERCIALIZADORA PRADO FUERTE SA DE CV</t>
  </si>
  <si>
    <t>DESARROLLO ECONOMICO E INDUSTRIAL DE TIJUANA AC</t>
  </si>
  <si>
    <t>COMITE BIOETICO AUTONOMO PARA ENSAYOS CLINICOS SC</t>
  </si>
  <si>
    <t>MACHINAGE PICHE INC</t>
  </si>
  <si>
    <t>BOF VI TRS LLC</t>
  </si>
  <si>
    <t>BRAR NATURAL FLOUR MILLING INC</t>
  </si>
  <si>
    <t>FUSION J Y J S DE RL DE CV</t>
  </si>
  <si>
    <t>SILVIA PATRICIA PEREZ CARAVEO</t>
  </si>
  <si>
    <t>ROMAN ROSSINI TELLEZ</t>
  </si>
  <si>
    <t>BANCO SANTANDER PERU SA</t>
  </si>
  <si>
    <t>ALUMINIO DE BAJA CALIFORNIA SA DE CV</t>
  </si>
  <si>
    <t>SALOMON GINDIC HOLLENDER</t>
  </si>
  <si>
    <t>MAYAN UNICORN S DE RL DE CV</t>
  </si>
  <si>
    <t>CARLOS FRANCISCO QUEZADA RODRIGUEZ</t>
  </si>
  <si>
    <t>INMOBILIARIA MAERCE SA DE CV</t>
  </si>
  <si>
    <t>TRES PUNTO CERO DIGITAL SA DE CV</t>
  </si>
  <si>
    <t>SOLUTIONS TABARNAPP INC</t>
  </si>
  <si>
    <t>ELLISDON INFRASTRUCTURE BHRP INC</t>
  </si>
  <si>
    <t>VICTORIA JACKMAN</t>
  </si>
  <si>
    <t>MAGNUS TEXTIL APLICATIONS SA DE CV</t>
  </si>
  <si>
    <t>EMBAJADA DE LA REPUBLICA ISLAMICA DE PAKISTAN</t>
  </si>
  <si>
    <t>CARLOS ZAGA HOP</t>
  </si>
  <si>
    <t>VAL MIX VALVES AND MIXERS SAS DE CV</t>
  </si>
  <si>
    <t>ECA LIQUEFACTION S DE RL DE CV</t>
  </si>
  <si>
    <t>GERENCIA DE RENTAS TITAN SA DE CV</t>
  </si>
  <si>
    <t>AMPARO LAURA TARDITI CONTRERAS</t>
  </si>
  <si>
    <t>HCCA CONSULTORIA Y DEFENSA JURIDICA SCP</t>
  </si>
  <si>
    <t>VIVE TERRASERENA SAPI DE CV</t>
  </si>
  <si>
    <t>MARIA INES URREA VILLASENOR</t>
  </si>
  <si>
    <t>TEOREMA ARLO S DE RL DE CV</t>
  </si>
  <si>
    <t>GOODMEDICAL NORTEAMERICA S DE RL DE CV</t>
  </si>
  <si>
    <t>JULIO CESAR DIAZ GALLARDO</t>
  </si>
  <si>
    <t>JULIO MARIO CHOW CANO DE LOS RIOS</t>
  </si>
  <si>
    <t>COMERCIALIZADORA YOBE 64 SA DE CV</t>
  </si>
  <si>
    <t>J.R. WISMER FARMS</t>
  </si>
  <si>
    <t>DAH CHONG HONG LIMITED</t>
  </si>
  <si>
    <t>ADAPTO LAW PROFESSIONAL CORPORATION</t>
  </si>
  <si>
    <t>ANA LAURA SAN SEBASTIAN VIGIL</t>
  </si>
  <si>
    <t>C-MERAK FOODS LTD.</t>
  </si>
  <si>
    <t>CARMEN MARIA GUILBOT VIDALES</t>
  </si>
  <si>
    <t>CLAUDIA INES MELICOFF ABRIL</t>
  </si>
  <si>
    <t>DOMINGO JAVIER MORENO GAMEZ</t>
  </si>
  <si>
    <t>ELVIRA ESCOBEDO ARCOS</t>
  </si>
  <si>
    <t>GUILLERMO ESTEBAN ZARATE GABARROT</t>
  </si>
  <si>
    <t>HECTOR HUGO MORENO MARTINEZ</t>
  </si>
  <si>
    <t>INMOBILIARIA EL COLORADO SA DE CV</t>
  </si>
  <si>
    <t>IRMA CECILIA BRAVO GARCIA</t>
  </si>
  <si>
    <t>JANITZIN FRANCO MORENO</t>
  </si>
  <si>
    <t>JUAN ANTONIO MORAN FLORES</t>
  </si>
  <si>
    <t>LORENA MARGARITA CARDENAS COSTAS</t>
  </si>
  <si>
    <t>MARIA TERESA GOMEZ  VAZQUEZ</t>
  </si>
  <si>
    <t>RAYMUNDO EMILIO ENRIQUEZ SANCHEZ</t>
  </si>
  <si>
    <t>SUSANA VILLANUEVA NIETO</t>
  </si>
  <si>
    <t>TD ASSET MANAGEMENT 1427</t>
  </si>
  <si>
    <t>UNIVERSIDAD AUTONOMA METROPOLITANA</t>
  </si>
  <si>
    <t>NINEPOINT ALTERNATIVE CREDIT OPPORTUNITIES FUND</t>
  </si>
  <si>
    <t>TIDAL ORGANICS INC.</t>
  </si>
  <si>
    <t>2459338 ONTARIO INC</t>
  </si>
  <si>
    <t>642111 ALBERTA INC.</t>
  </si>
  <si>
    <t>INTROHIVE SERVICES INC.</t>
  </si>
  <si>
    <t>RIGOBERTO CHAVEZ CARRILLO</t>
  </si>
  <si>
    <t>COMPANIA EMPRESARIAL INTERASIATICA SA DE CV</t>
  </si>
  <si>
    <t>INTI SOLUTIONS SA DE CV</t>
  </si>
  <si>
    <t>GRUPO DE ADMINISTRACION Y RENTA DE INMUEBLES DEL PACIFICO SA DE CV</t>
  </si>
  <si>
    <t>FRANKLIN WATER TREATMENT CANADA INC.</t>
  </si>
  <si>
    <t>REINICIO EMPRESARIAL DEL CARIBE SC</t>
  </si>
  <si>
    <t>FERNANDEZ SUAREZ JORGE</t>
  </si>
  <si>
    <t>EDIMEX ECONOMATICA SA DE CV</t>
  </si>
  <si>
    <t>COSTAMX STAGING S DE RL DE CV</t>
  </si>
  <si>
    <t>SILVIA LETICIA VILLALOBOS ROMERO</t>
  </si>
  <si>
    <t>PROACTIVE INDUSTRIAL INC</t>
  </si>
  <si>
    <t>DESARROLLOS INMOBILIARIOS REYES SA DE CV</t>
  </si>
  <si>
    <t>EDGEUNO MEXICO SA DE CV</t>
  </si>
  <si>
    <t>GILSA COMP SA DE CV</t>
  </si>
  <si>
    <t>JUAN PABLO BOURS GUERRA</t>
  </si>
  <si>
    <t>TERESA TORRES FRANCO</t>
  </si>
  <si>
    <t>U.A. LOCAL 46 PENSION PLAN</t>
  </si>
  <si>
    <t>EVEPSE SA DE CV</t>
  </si>
  <si>
    <t>PROCOSTA SA DE CV</t>
  </si>
  <si>
    <t>OM SHIVA SA DE CV</t>
  </si>
  <si>
    <t>MERCEDES GAVITO BARANDA</t>
  </si>
  <si>
    <t>CORPORACION ACUATICA SA DE CV</t>
  </si>
  <si>
    <t>COZUMEL ZEN SA DE CV</t>
  </si>
  <si>
    <t>CONFECCIONES BAQUITA SA DE CV</t>
  </si>
  <si>
    <t>GRUPO SHIVA SA DE CV</t>
  </si>
  <si>
    <t>COUTTS FAMILY HOLDINGS INC</t>
  </si>
  <si>
    <t>COLDWATER NARROWS LAND TRUST - DISTRIBUTION FUND</t>
  </si>
  <si>
    <t>COLDWATER NARROWS LAND TRUST - REINVESTMENT FUND</t>
  </si>
  <si>
    <t>GLOBAL CENTRE FOR PLURALISM</t>
  </si>
  <si>
    <t>ROMINA LAURA LOPEZ MARTINEZ</t>
  </si>
  <si>
    <t>MARGARITA VILLA RIVAS</t>
  </si>
  <si>
    <t>JORGE ARTEMIO GARZA RODRIGUEZ</t>
  </si>
  <si>
    <t>MASA INC</t>
  </si>
  <si>
    <t>SALAM ACCOUNTING INC</t>
  </si>
  <si>
    <t>GRACIELA GONZALEZ GARCIA</t>
  </si>
  <si>
    <t>LUIS ROBERTO FERNANDEZ  REYES</t>
  </si>
  <si>
    <t>ROGELIO ROMO MUNOZ</t>
  </si>
  <si>
    <t>TAIGA BUILDING PRODUCTS</t>
  </si>
  <si>
    <t>FRANCISCO ARIEL AMBRIZ OCHOA</t>
  </si>
  <si>
    <t>JUAN JOSE SUAREZ COPPEL</t>
  </si>
  <si>
    <t>PROMOTORA INMOBILIARIA DEL BRAVO SA DE CV</t>
  </si>
  <si>
    <t>KBM FORESTRY CONSULTANTS INC.</t>
  </si>
  <si>
    <t>RBC EMERGING MARKETS EX-CHINA DIVIDEND FUND</t>
  </si>
  <si>
    <t>EISLER CAPITAL MULTI STRATEGY MASTER FUND LTD CDEA</t>
  </si>
  <si>
    <t>MONARCH NORTH AMERICA STRUCTURES LIMITED</t>
  </si>
  <si>
    <t>CENTRO DE REPRODUCCION ASISTIDA LIV SC</t>
  </si>
  <si>
    <t>LETICIA SATO HIRATA</t>
  </si>
  <si>
    <t>MARIA GEORGINA FIMBRES HERNANDEZ</t>
  </si>
  <si>
    <t>DELIA MONICA HERNANDEZ GOMEZ</t>
  </si>
  <si>
    <t>PRODUCTORA DE ALIMENTOS NUTRITIVOS DEL VALLE DE ORIZABA SA DE CV</t>
  </si>
  <si>
    <t>JUAN HUMBERTO CAREAGA HUSSONG</t>
  </si>
  <si>
    <t>JUAN REBOLLEDO GOUT</t>
  </si>
  <si>
    <t>ARMANDO DE JESUS PALMA PENICHE</t>
  </si>
  <si>
    <t>SIERRA MORENA BERRYS SPR DE RL</t>
  </si>
  <si>
    <t>VINELAND GROWERS CO-OP LIMITED</t>
  </si>
  <si>
    <t>VINELAND GROWERS CO OP LIMITED</t>
  </si>
  <si>
    <t>CANADIAN KAILUAN DEHUA MINES CO LTD</t>
  </si>
  <si>
    <t>RODOLFO JUAN ZAMBRANO VILLARREAL</t>
  </si>
  <si>
    <t>ZENN DEVELOPMENTS LTD</t>
  </si>
  <si>
    <t>ALTA DON MARIO SAPI DE CV</t>
  </si>
  <si>
    <t>OPERADORA DE VILLAS OC S DE RL DE CV</t>
  </si>
  <si>
    <t>RECICLAJES INDUSTRIALES DE SALTILLO SA DE CV</t>
  </si>
  <si>
    <t>ONDINE BIOMEDICAL INC</t>
  </si>
  <si>
    <t>COLATINCO SPR DE RL DE CV</t>
  </si>
  <si>
    <t>ALEJANDRO BECERRA BLANCAS</t>
  </si>
  <si>
    <t>LUCIANO RAFAEL BELLO DE ARANAGA</t>
  </si>
  <si>
    <t>SMITHERS MALL INVESTMENT INC</t>
  </si>
  <si>
    <t>BIENES RAICES VALLARTA BAY PROPERTIES SC</t>
  </si>
  <si>
    <t>RIO NORTE INDUSTRIAS MEXICANAS S DE RL DE CV</t>
  </si>
  <si>
    <t>KARINA VALDEZ DIAZ</t>
  </si>
  <si>
    <t>HECTOR SALAS GARCIA</t>
  </si>
  <si>
    <t>JAVIER VALDEZ DIAZ</t>
  </si>
  <si>
    <t>ISA MARGARITA DIAZ GALLEGO</t>
  </si>
  <si>
    <t>SERVICIO CAMPANA SA DE CV</t>
  </si>
  <si>
    <t>MPI LIMITED DE MEXICO SA DE CV</t>
  </si>
  <si>
    <t>ANA CECILIA DIAZ HERNANDEZ</t>
  </si>
  <si>
    <t>RODRIGO FRANCO HERNANDEZ</t>
  </si>
  <si>
    <t>INMOBILIARIA PLAYA EL MORRO SA DE CV</t>
  </si>
  <si>
    <t>ONEX CREDIT FINANCE II CORPORATION</t>
  </si>
  <si>
    <t>EXC PACKAGING SA DE CV</t>
  </si>
  <si>
    <t>SASKIA CAROLA BRUHN ROHMER</t>
  </si>
  <si>
    <t>HECTOR EDUARDO MARES DELGADO</t>
  </si>
  <si>
    <t>NORMA JOSEFINA TORREGROSA ARMENTIA</t>
  </si>
  <si>
    <t>CORPORATIVO UNIMEX SA DE CV</t>
  </si>
  <si>
    <t>BIO PAPPEL SAB DE CV</t>
  </si>
  <si>
    <t>ORGANIZACION ANAHUAC SAPI DE CV</t>
  </si>
  <si>
    <t>ROSARIO ANNETTE CARAVEO VALLINA</t>
  </si>
  <si>
    <t>CARLOS TORRES SANDOVAL</t>
  </si>
  <si>
    <t>FRANCISCO SILVA PALENCIA</t>
  </si>
  <si>
    <t>MARIA DEL CARMEN DA COSTA GOMEZ BISTRAIN</t>
  </si>
  <si>
    <t>GOLF TOWN LIMITED</t>
  </si>
  <si>
    <t>B.C. GOVERNMENT AND SERVICE EMPLOYEES UNION</t>
  </si>
  <si>
    <t>FIRST FINANCIAL CANADIAN LEASING INC</t>
  </si>
  <si>
    <t>FIBRACAST LTD</t>
  </si>
  <si>
    <t>IMPORTADORA OCTLI SA DE CV</t>
  </si>
  <si>
    <t>OPERADORA SOURI S DE RL DE CV</t>
  </si>
  <si>
    <t>BAY SIDE ENTERPRISES SA DE CV</t>
  </si>
  <si>
    <t>LGLEZP SERVICIOS ESPECIALIZADOS SA DE CV</t>
  </si>
  <si>
    <t>SONEIL BIRCHMOUNT INC</t>
  </si>
  <si>
    <t>WF BAKERY INC</t>
  </si>
  <si>
    <t>2W LIVESTOCK EQUIPMENT LTD</t>
  </si>
  <si>
    <t>12963132 CANADA LTD.</t>
  </si>
  <si>
    <t>JOSE ALFREDO RUIZ SANCHEZ</t>
  </si>
  <si>
    <t>ASIVA SA DE CV</t>
  </si>
  <si>
    <t>COMZTAR INC</t>
  </si>
  <si>
    <t>TORQUEST PARTNERS FUND V, L.P.</t>
  </si>
  <si>
    <t>TERMINAL MARITIMA DE VERACRUZ SA DE CV</t>
  </si>
  <si>
    <t>ADAM CHRISTIAN LARSEN</t>
  </si>
  <si>
    <t>MONUMO SAPI DE CV</t>
  </si>
  <si>
    <t>ANDREW KING FAMILY TRUST (2012) #1</t>
  </si>
  <si>
    <t>TERMINAL MARITIMA DE TOPOLOBAMPO SA DE CV</t>
  </si>
  <si>
    <t>ABT AUSTIN SAPI DE CV</t>
  </si>
  <si>
    <t>BEFRA CAPITAL SC</t>
  </si>
  <si>
    <t>CALIFORNIA RE SAPI DE CV</t>
  </si>
  <si>
    <t>JORGE MARIA BARROSO COMBE</t>
  </si>
  <si>
    <t>INFRAESTRUCTURA PORTUARIA DEL GOLFO SA DE CV</t>
  </si>
  <si>
    <t>MACKENZIE IG EQUITY HEDGE POOL</t>
  </si>
  <si>
    <t>REALSTREAM INCOME PROPERTIES LIMITED PARTNERSHIP</t>
  </si>
  <si>
    <t>MARIA EUGENIA JOSEFINA SANCHEZ  ARRIBAS</t>
  </si>
  <si>
    <t>ERNESTO SESMA GONZALEZ</t>
  </si>
  <si>
    <t>VENATOR FOUNDERS ALTERNATIVE FUND</t>
  </si>
  <si>
    <t>VISION OPPORTUNITY MASTER FUND LP CLASS A</t>
  </si>
  <si>
    <t>VISION OPPORTUNITY MASTER FUND LP CLASS B</t>
  </si>
  <si>
    <t>VISION STRATEGIC OPPORTUNITY FUND LP</t>
  </si>
  <si>
    <t>VISION STRATEGIC OPPORTUNITY NON-RESIDENT FUND LP</t>
  </si>
  <si>
    <t>MARTA ELVA FIMBRES HERNANDEZ</t>
  </si>
  <si>
    <t>MACKENZIE TAX MANAGED GLOBAL EQUITY FUND GLOBAL EQUITY</t>
  </si>
  <si>
    <t>MACKENZIE TAX MANAGED GLOBAL EQUITY FUND US EQUITY</t>
  </si>
  <si>
    <t>MACKENZIE NORTHLEAF PRIVATE INFRASTRUCTURE FUND</t>
  </si>
  <si>
    <t>TRUTINO RELATIVE VALUE RATES MASTER FUND LP CDEA</t>
  </si>
  <si>
    <t>M+H PROPERTIES ONTARIO PLAZAS LP</t>
  </si>
  <si>
    <t>CASA MELISSA SA DE CV</t>
  </si>
  <si>
    <t>JUAN LUIS ARMIDA GRAHAM</t>
  </si>
  <si>
    <t>GRANOS SEMILLAS Y SERVICIOS AGRICOLAS SA DE CV</t>
  </si>
  <si>
    <t>MARIA ANDREA REINKING MARCE</t>
  </si>
  <si>
    <t>COSTA VALLARTA REALTY S DE RL DE CV</t>
  </si>
  <si>
    <t>MARCLY SAPI DE CV</t>
  </si>
  <si>
    <t>CLAUDIA LORENZA O FARRILL TOSCANO</t>
  </si>
  <si>
    <t>BAR E DAIRY LTD</t>
  </si>
  <si>
    <t>RIO2 LIMITED</t>
  </si>
  <si>
    <t>GLACIER ACQUISITIONCO SPA</t>
  </si>
  <si>
    <t>KYNDRYL HOLDINGS INC</t>
  </si>
  <si>
    <t>KYNDRYL HOLDINGS, INC.</t>
  </si>
  <si>
    <t>BOEKESTYN GREENHOUSES INC</t>
  </si>
  <si>
    <t>VASIVA SA DE CV</t>
  </si>
  <si>
    <t>VDM METALS CANADA LIMITED</t>
  </si>
  <si>
    <t>VIRGINIA ALVAREZ OCAMPO</t>
  </si>
  <si>
    <t>MARIA DEL PILAR ARNUS FERNANDEZ</t>
  </si>
  <si>
    <t>GABRIEL GARCIA DE LEON FIMBRES</t>
  </si>
  <si>
    <t>AMAZING EVENTS SA DE CV</t>
  </si>
  <si>
    <t>BEATRIZ JOSEFINA LOPEZ DE SILANES VALES</t>
  </si>
  <si>
    <t>FQ LABORATORIOS S A P I DE CV</t>
  </si>
  <si>
    <t>YOLANDA JOSEFINA FIMBRES HERNANDEZ</t>
  </si>
  <si>
    <t>CESAR EDUARDO RODRIGUEZ PEREDA</t>
  </si>
  <si>
    <t>JOSE JORGE RIVERO MENDEZ</t>
  </si>
  <si>
    <t>ST. HELEN'S MEAT PACKERS LIMITED</t>
  </si>
  <si>
    <t>ST HELEN'S MEAT PACKERS LIMITED</t>
  </si>
  <si>
    <t>GRUPO EMPAQUES BIO CORRUGADOS ALFA SA DE CV</t>
  </si>
  <si>
    <t>NASMARINE S DE RL DE CV</t>
  </si>
  <si>
    <t>NUDERE S DE R L DE C V</t>
  </si>
  <si>
    <t>GUILLERMO SANCHEZ PADILLA</t>
  </si>
  <si>
    <t>MARIA DEL CARMEN FIMBRES HERNANDEZ</t>
  </si>
  <si>
    <t>JUAN CARLOS MEJIA MANRIQUE</t>
  </si>
  <si>
    <t>WORLD WIDE CUSTOMS BROKERS LTD</t>
  </si>
  <si>
    <t>DAIMLER TRUCK FINANCE CANADA INC.</t>
  </si>
  <si>
    <t>DAIMLER TRUCK FINANCE CANADA INC</t>
  </si>
  <si>
    <t>MACKENZIE GLOBAL RESOURCE FUND II</t>
  </si>
  <si>
    <t>MACKENZIE IVY INTERNATIONAL FUND II</t>
  </si>
  <si>
    <t>SQUAREPOINT MASTER FUND LIMITED</t>
  </si>
  <si>
    <t>AMERICAN AGROPRODUCTS MEXICO SA DE CV</t>
  </si>
  <si>
    <t>ADRIAN GONZALEZ ESPINOSA</t>
  </si>
  <si>
    <t>CRISTINA AHUMADA ALDUNCIN</t>
  </si>
  <si>
    <t>CONVOY LOGISTICS PROVIDERS LTD.</t>
  </si>
  <si>
    <t>C SONS SA DE CV</t>
  </si>
  <si>
    <t>FRANCISCO MIGUEL KASSIAN DIAZ</t>
  </si>
  <si>
    <t>LUZ MARIA MONIQUE ESTUDILLO ESQUIVEL</t>
  </si>
  <si>
    <t>MACKENZIE PRECIOUS METALS FUND</t>
  </si>
  <si>
    <t>DAIMLER TRUCKS FINANCE NORTH AMERICA LLC</t>
  </si>
  <si>
    <t>DAIMLER TRUCK  FINANCE NORTH AMERICA LLC</t>
  </si>
  <si>
    <t>1716243 ONTARIO INC</t>
  </si>
  <si>
    <t>DORA LETICIA WONCHEE MONTANO</t>
  </si>
  <si>
    <t>NEVGOLD CORP</t>
  </si>
  <si>
    <t>CONTOURGLOBAL LUXEMBOURG S.A.R.L.</t>
  </si>
  <si>
    <t>JANSSEN INC. MASTER TRUST</t>
  </si>
  <si>
    <t>SQUAREPOINT ATLAS MASTER FUND LIMITED</t>
  </si>
  <si>
    <t>SQUAREPOINT CORE MASTER FUND LIMITED</t>
  </si>
  <si>
    <t>MACKENZIE US SMALL MID CAP GROWTH FUND</t>
  </si>
  <si>
    <t>384 RICHMOND ST CHATHAM HOLDINGS INC</t>
  </si>
  <si>
    <t>MARIA CARRION TORRES</t>
  </si>
  <si>
    <t>VIEW LINK SA DE CV</t>
  </si>
  <si>
    <t>UNIQUE SERVICIO DE MERCADOTECNIA SA DE CV</t>
  </si>
  <si>
    <t>LEANDRO LAMUNO OTAOLAURRUCHI</t>
  </si>
  <si>
    <t>GRACIELA TREVINO ARNOUX</t>
  </si>
  <si>
    <t>STATE STREET GLOBAL ADVISORS TRUST CO. (AS AGENT)</t>
  </si>
  <si>
    <t>BT WHOLESALE MULTI-MANAGER INTERNATIONAL SHARE FUND ARSN 124 773 628</t>
  </si>
  <si>
    <t>MANAGED PORTFOLIO SERIES INTERNATIONAL SHARES FUND 3 ARSN 625 870 617</t>
  </si>
  <si>
    <t>MARIA ISABEL BOUFFIER SOTO</t>
  </si>
  <si>
    <t>CAFE CACHANILLA S DE RL DE CV</t>
  </si>
  <si>
    <t>ANA LUISA VALENCIA  GARCIA</t>
  </si>
  <si>
    <t>JOINT AND CARGO INTERNATIONAL SA DE CV</t>
  </si>
  <si>
    <t>NICOLAS MARISCAL TORROELLA</t>
  </si>
  <si>
    <t>POL BEE INVESTMENTS LIMITED</t>
  </si>
  <si>
    <t>LINDA SUSANA DUNO SZEKELY</t>
  </si>
  <si>
    <t>MODELKITE INC</t>
  </si>
  <si>
    <t>HARMONIMD SOLUCIONES PARA CLINICAS Y HOSPITALES S DE RL DE CV</t>
  </si>
  <si>
    <t>MEZCAL DE LOS ANGELES SC DE RL</t>
  </si>
  <si>
    <t>GEORGINA DE LA LUZ ESPARZA GONZALEZ</t>
  </si>
  <si>
    <t>JOHN DEERE FINANCIAL SERVICES INC</t>
  </si>
  <si>
    <t>CANVER INC</t>
  </si>
  <si>
    <t>MARIA DE LOURDES GONZALEZ VARGAS</t>
  </si>
  <si>
    <t>MARIA FERNANDA BELLO DE ARANAGA</t>
  </si>
  <si>
    <t>CYBERMATICS SA DE CV</t>
  </si>
  <si>
    <t>FERZO PERSONAL EN SERVICIO SA DE CV</t>
  </si>
  <si>
    <t>MARGARITO GONZALEZ GONZALEZ</t>
  </si>
  <si>
    <t>ASEINV SAPI DE CV</t>
  </si>
  <si>
    <t>BT PARKHILL INC</t>
  </si>
  <si>
    <t>IMH 150 EAST KEITH APARTMENTS LTD.</t>
  </si>
  <si>
    <t>IMH 1005 JERVIS APARTMENTS LTD</t>
  </si>
  <si>
    <t>RANCHO EL ACICATE SA DE CV</t>
  </si>
  <si>
    <t>PEDRO LUIS MARTIN PINSON CORREA</t>
  </si>
  <si>
    <t>LITHIA MASTER LP COMPANY LP</t>
  </si>
  <si>
    <t>CHOLONCHO SA DE CV</t>
  </si>
  <si>
    <t>RUBEN RIVERA VILLEGAS</t>
  </si>
  <si>
    <t>INTELEX TECHNOLOGIES, ULC</t>
  </si>
  <si>
    <t>IMH 1501 HARO APARTMENTS LTD</t>
  </si>
  <si>
    <t>IMH LOUGHEED VILLAGE APARTMENTS LTD.</t>
  </si>
  <si>
    <t>IMH 1755 HARO APARTMENTS LTD</t>
  </si>
  <si>
    <t>IMH 1433 BURNABY APARTMENTS LTD</t>
  </si>
  <si>
    <t>K AND MM SERVICIOS PROF SA DE CV</t>
  </si>
  <si>
    <t>BAHIA MAYA MARINA SA DE CV</t>
  </si>
  <si>
    <t>LUIS SANTOS THERIOT</t>
  </si>
  <si>
    <t>DESARROLLO PUNTA ALLEN SA DE CV</t>
  </si>
  <si>
    <t>LOESATTORNEYS SC</t>
  </si>
  <si>
    <t>DIFUSO HOTELS SA DE CV</t>
  </si>
  <si>
    <t>OPERADORA TURISTICA PUNTA ALLEN SA DE CV</t>
  </si>
  <si>
    <t>AKELA DEVELOPMENT GROUP SA DE CV</t>
  </si>
  <si>
    <t>BERTHA ALICIA GONZALEZ MORENO</t>
  </si>
  <si>
    <t>ANDREAJAN SA DE CV</t>
  </si>
  <si>
    <t>CAMBRIDGE PUT WRITE POOL</t>
  </si>
  <si>
    <t>RENEE GUINDI COHEN</t>
  </si>
  <si>
    <t>INCOMPARABLES CONSTRUCCION Y COMERCIALIZADORA SA DE CV</t>
  </si>
  <si>
    <t>SAMUEL GONZALEZ MARTINEZ</t>
  </si>
  <si>
    <t>GLORIA JUDITH DIAZ DE LA VEGA LEVINSON</t>
  </si>
  <si>
    <t>LIDERNETWORKS SA DE CV</t>
  </si>
  <si>
    <t>FERNANDO MARCOS RODRIGUEZ TREJO</t>
  </si>
  <si>
    <t>ROBERTO MIGUEL AROZARENA MELDAHL</t>
  </si>
  <si>
    <t>MANUEL FRANCISCO LUEVANOS SANCHEZ</t>
  </si>
  <si>
    <t>BLAROK S DE RL DE CV</t>
  </si>
  <si>
    <t>RAFAEL LOPEZ DE SILANES PEREZ</t>
  </si>
  <si>
    <t>MARIA GUADALUPE BOURS GUERRA</t>
  </si>
  <si>
    <t>JOSE EDUARDO SALOMON ATALA CARAM</t>
  </si>
  <si>
    <t>LISTUGUJ MI GMAQ CLAIMS SETTLEMENT MINORS TRUST</t>
  </si>
  <si>
    <t>2528283 ONTARIO INC</t>
  </si>
  <si>
    <t>LUIS RIVERA ALFARO</t>
  </si>
  <si>
    <t>YUCATAN FIBER PARTNERS SAPI DE CV</t>
  </si>
  <si>
    <t>DARIO ALEJANDRO PALMA Y MEZA GARCIA</t>
  </si>
  <si>
    <t>INMOBILIARIA Y ARRENDADORA VISA SA DE CV</t>
  </si>
  <si>
    <t>INDUSTRIAS ILSA FRIGO SA DE CV</t>
  </si>
  <si>
    <t>ABDEL ALEJO JUNQUERA MUNOZ</t>
  </si>
  <si>
    <t>FADA ADMINISTRACION SA DE CV</t>
  </si>
  <si>
    <t>MARIA DELIA HUSSONG GONZALEZ</t>
  </si>
  <si>
    <t>JESUS GONZALEZ COSSIO</t>
  </si>
  <si>
    <t>TOTELCAMP SA DE CV</t>
  </si>
  <si>
    <t>MARIA MARTHA JOSEFINA MARQUEZ VILLALOBOS</t>
  </si>
  <si>
    <t>BEATRIZ EUGENIA HERNANDEZ GALLEGO</t>
  </si>
  <si>
    <t>SILVIA MARIA GUADALUPE HERNANDEZ GALLEGO</t>
  </si>
  <si>
    <t>JORGE GUTIERREZ TOSTADO</t>
  </si>
  <si>
    <t>JACOBO AUGUSTO GOMEZ GUTIERREZ</t>
  </si>
  <si>
    <t>NEX MATRIX CORP</t>
  </si>
  <si>
    <t>CIBANCO FIDEICOMISO NUMERO CIB/148</t>
  </si>
  <si>
    <t>APEXTECH FIBER CORP</t>
  </si>
  <si>
    <t>PARTYLAND XUAN SA DE CV</t>
  </si>
  <si>
    <t>COPAVI SA DE CV</t>
  </si>
  <si>
    <t>LUIS ROBERTO FRANCO MC INTOSH</t>
  </si>
  <si>
    <t>GASODUCTOS DE TAMAULIPAS S DE RL DE CV</t>
  </si>
  <si>
    <t>VANGUARDIA TECNOLOGICA JCR SA DE CV</t>
  </si>
  <si>
    <t>WOLF MIDSTREAM CANADA LP</t>
  </si>
  <si>
    <t>5032481 ONTARIO INC</t>
  </si>
  <si>
    <t>5032481 ONTARIO INC.</t>
  </si>
  <si>
    <t>RBC GLOBAL EQUITY LEADERS FUND</t>
  </si>
  <si>
    <t>2825277 ONTARIO INC</t>
  </si>
  <si>
    <t>MARIA DEL PILAR MARISCAL SERVITJE</t>
  </si>
  <si>
    <t>N S C  ASESORES S C ASESOR EN INVERSIONES INDEPENDIENTE</t>
  </si>
  <si>
    <t>SALEX INC</t>
  </si>
  <si>
    <t>SORA FOODS INC</t>
  </si>
  <si>
    <t>SBLP LANCASTER MALL INC</t>
  </si>
  <si>
    <t>KF KAMBEITZ LAND CORP</t>
  </si>
  <si>
    <t>GRAN PARADISO LTD</t>
  </si>
  <si>
    <t>PLANTFUEL LIFE INC.</t>
  </si>
  <si>
    <t>BICKLE MAIN INDUSTRIAL SUPPLY INC</t>
  </si>
  <si>
    <t>SUSANA CESPEDES CREIXELL</t>
  </si>
  <si>
    <t>GEORGINA MA GUADALUPE HERNANDEZ GALLEGO</t>
  </si>
  <si>
    <t>TDF S DE RL DE CV</t>
  </si>
  <si>
    <t>VICTOR MANUEL DE LA VEGA ALONSO</t>
  </si>
  <si>
    <t>ESPINOZA ATTORNEYS AND CONSULTANTS S C</t>
  </si>
  <si>
    <t>IENOVA PIPELINES S DE RL DE CV</t>
  </si>
  <si>
    <t>PARALAND S DE RL DE CV</t>
  </si>
  <si>
    <t>SBLP GANDER SHOPPING CENTRE INC</t>
  </si>
  <si>
    <t>TABASCO BUSINESS CENTER SA DE CV</t>
  </si>
  <si>
    <t>PETSTAR SAPI DE CV</t>
  </si>
  <si>
    <t>MARINA PATRICIA PARRA MORENO</t>
  </si>
  <si>
    <t>OCTAVIO DIAZ DE LEON CARRILLO</t>
  </si>
  <si>
    <t>JAMES CHRISTOPHER BAUDOUIN KENNEDY</t>
  </si>
  <si>
    <t>CESAR DE JESUS ORTEGA NFANTE</t>
  </si>
  <si>
    <t>FRANCISCO JAVIER VILLASENOR URREA</t>
  </si>
  <si>
    <t>FCEO S DE RL DE CV</t>
  </si>
  <si>
    <t>ACEDK SC</t>
  </si>
  <si>
    <t>ROSA ANGELICA ROMERO MIRANDA</t>
  </si>
  <si>
    <t>JAVIER CORZA FLORES</t>
  </si>
  <si>
    <t>TECH FORWARD FIRE SOLUTIONS LTD</t>
  </si>
  <si>
    <t>MACKENZIE CHINAAMC ALL CHINA BOND FUND</t>
  </si>
  <si>
    <t>JAQUELINE AMBRIZ NITO</t>
  </si>
  <si>
    <t>INOVATEC SYSTEMS CORPORATION</t>
  </si>
  <si>
    <t>ROSSEN GLASS &amp; MIRROR LTD</t>
  </si>
  <si>
    <t>SBLP KAPUSKASING SHOPPING CENTRE INC</t>
  </si>
  <si>
    <t>ROSA MARIA CORONA ALVAREZ</t>
  </si>
  <si>
    <t>RICARDO ROSETTE LOPEZ</t>
  </si>
  <si>
    <t>LIZA RUBINSTEIN RAFALIN</t>
  </si>
  <si>
    <t>FERNANDO CERDA MARTINEZ</t>
  </si>
  <si>
    <t>JASPER AND BRECHJE KRABBENBORG</t>
  </si>
  <si>
    <t>10033029 MANITOBA LTD</t>
  </si>
  <si>
    <t>ENRIQUE JUAN AZCARRAGA ANDRADE</t>
  </si>
  <si>
    <t>A AND Q ALFA LLANTAS DEL CARIBE SA DE CV</t>
  </si>
  <si>
    <t>MARIA DE LA CONCEPCION GAVITO BARANDA</t>
  </si>
  <si>
    <t>MAQUINSO RG SA DE CV</t>
  </si>
  <si>
    <t>4287410 CANADA INC</t>
  </si>
  <si>
    <t>COMPLEXE RUE HOCHELAGA/VIAU SEC</t>
  </si>
  <si>
    <t>2955 3138 QUEBEC INC</t>
  </si>
  <si>
    <t>INVESTOR STRATUM RESOURCES INC.</t>
  </si>
  <si>
    <t>RAUL URREA VILLASENOR</t>
  </si>
  <si>
    <t>ANA PAULA O FARRILL TOSCANO</t>
  </si>
  <si>
    <t>MARIA ELENA ALONSO SANTOVENA</t>
  </si>
  <si>
    <t>MARTHA DALIA RODRIGUEZ GONZALEZ</t>
  </si>
  <si>
    <t>LITHIA CANADA HOLDING COMPANY INC</t>
  </si>
  <si>
    <t>FINATE INC</t>
  </si>
  <si>
    <t>MARIO SENTIES PALACIO</t>
  </si>
  <si>
    <t>GUILLERMO DE LOS SANTOS ORDONEZ</t>
  </si>
  <si>
    <t>LAURA GIGER &amp; ASSOCIATES INC</t>
  </si>
  <si>
    <t>BLACKSTONE CAPITAL PARTNERS VIII LP</t>
  </si>
  <si>
    <t>MARIA DEL REFUGIO NITO BOLANOS</t>
  </si>
  <si>
    <t>OSCAR ENRIQUE FLORES GUERRERO</t>
  </si>
  <si>
    <t>JOSE LUIS RIVAS PEREZ</t>
  </si>
  <si>
    <t>4IMPULSE MARKET SA DE CV</t>
  </si>
  <si>
    <t>ARRENDASESORES CONSULTORIA JURIDICA SC</t>
  </si>
  <si>
    <t>RECIZA SERVICIOS INDUSTRIALES S DE RL DE CV</t>
  </si>
  <si>
    <t>TRIMBLE CANADA LTD</t>
  </si>
  <si>
    <t>PENDER ALTERNATIVE ABSOLUTE RETURN FUND</t>
  </si>
  <si>
    <t>PENDER ALTERNATIVE ARBITRAGE FUND</t>
  </si>
  <si>
    <t>AIDA HACES MONTES</t>
  </si>
  <si>
    <t>DEXTRA INVIERTE SAPI DE CV</t>
  </si>
  <si>
    <t>FERNANDO TABACHNIK ITZKOWICH</t>
  </si>
  <si>
    <t>JAIME LOMELIN GUILLEN</t>
  </si>
  <si>
    <t>ROBERTO CISNEROS RACHED</t>
  </si>
  <si>
    <t>SOFIA GUINDI COHEN</t>
  </si>
  <si>
    <t>ANDREWS OF SUMMERSIDE INC</t>
  </si>
  <si>
    <t>NIQITAQ FISHERIES LTD</t>
  </si>
  <si>
    <t>NIQITAQ FISHERIES LIMITED</t>
  </si>
  <si>
    <t>BALANCE BASICO SA DE CV</t>
  </si>
  <si>
    <t>BISCO INDUSTRIES LTD</t>
  </si>
  <si>
    <t>BOLSAS DELTA SA DE CV</t>
  </si>
  <si>
    <t>CARLO ALBERTO LAPOSSE ADAME</t>
  </si>
  <si>
    <t>COMERCIALIZADORA Y PROVEEDORA DE SERVICIOS ARCANTEX SA DE CV</t>
  </si>
  <si>
    <t>GENARO DAVID GONGORA PIMENTEL</t>
  </si>
  <si>
    <t>IVAN MOGUEL KURI</t>
  </si>
  <si>
    <t>JOSE FRANCISCO GOMEZ BELTRAN</t>
  </si>
  <si>
    <t>JOSE JUAN DE OLLOQUI GONZALEZ</t>
  </si>
  <si>
    <t>LUIS GERARDO GARCIA SANTOS COY</t>
  </si>
  <si>
    <t>MARIA DEL CARMEN JOSEFINA SERVITJE MONTULL</t>
  </si>
  <si>
    <t>MARTHA LUISA CUE DIAZ</t>
  </si>
  <si>
    <t>EASTERN TRINITY GP INC</t>
  </si>
  <si>
    <t>VONTOBEL APOLLINE OBLIGATIONS INTERNATIONALES</t>
  </si>
  <si>
    <t>CHAR TECHNOLOGIES LTD</t>
  </si>
  <si>
    <t>COCO BAKERY INC.</t>
  </si>
  <si>
    <t>SBLP HARDING STREET PROPERTY INC</t>
  </si>
  <si>
    <t>2053225 ONTARIO INC</t>
  </si>
  <si>
    <t>580 PROSPECT STREET FREDERICTON INC</t>
  </si>
  <si>
    <t>SBLP TRURO SHOPPING CENTRE INC</t>
  </si>
  <si>
    <t>3361781 CANADA INC</t>
  </si>
  <si>
    <t>10033618 CANADA INC</t>
  </si>
  <si>
    <t>2851 EGLINTON EAST HOLDINGS INC</t>
  </si>
  <si>
    <t>VIGUE RELLENO SANTIARIO SA DE CV</t>
  </si>
  <si>
    <t>970 HANWELL ROAD FREDERICTON INC</t>
  </si>
  <si>
    <t>1566 MIDLAND AVENUE HOLDINGS INC</t>
  </si>
  <si>
    <t>DICKLANDS BIOGAS LIMITED PARTNERSHIP</t>
  </si>
  <si>
    <t>DICKLANDS BIOGAS LIMITED PARTNERSHI</t>
  </si>
  <si>
    <t>WALGRE TRANSPORT INC</t>
  </si>
  <si>
    <t>JSK GROUP LIMITED</t>
  </si>
  <si>
    <t>TMB HOLDING INC</t>
  </si>
  <si>
    <t>UNITED CHEMICAL SERVICES INC</t>
  </si>
  <si>
    <t>PACIFIC INVESTMENT MANAGEMENT COMPANY LLC, SOLELY IN ITS CAPACITY AS ADVISOR ON BEHALF OF THE ALLIANZ GROUP PENSION SCHEME</t>
  </si>
  <si>
    <t>PACIFIC INVESTMENT MANAGEMENT COMPANY LLC, SOLELY IN ITS CAPACITY AS ADVISOR ON BEHALF OF THE NORTHROP GRUMMAN CORPORATION DEFINED CONTRIBUTION PLANS MASTER TRUST</t>
  </si>
  <si>
    <t>PIMCO 1798 DESJARDINS GLOBAL TACTICAL BOND FUND</t>
  </si>
  <si>
    <t>PACIFIC INVESTMENT MANAGEMENT COMPANY LLC, SOLELY IN ITS CAPACITY AS ADVISOR ON BEHALF OF STICHTING PENSIOENFONDS HOOGOVENS.</t>
  </si>
  <si>
    <t>PACIFIC INVESTMENT MANAGEMENT COMPANY LLC, SOLELY IN ITS CAPACITY AS ADVISOR ON BEHALF OF STICHTING PENSIOENFONDS HOOGOVENS</t>
  </si>
  <si>
    <t>PACIFIC INVESTMENT MANAGEMENT COMPANY LLC, SOLELY IN ITS CAPACITY AS ADVISOR ON BEHALF OF SAFEWAY INC. MASTER RETIREMENT TRUST</t>
  </si>
  <si>
    <t>GREENDALE INTERNATIONAL INC</t>
  </si>
  <si>
    <t>EDEN VALLEY POULTRY INCORPORATED</t>
  </si>
  <si>
    <t>TRISTAR VENTURES INC.</t>
  </si>
  <si>
    <t>MUNICIPIO DE ZAPOPAN ESTADO DE JALISCO</t>
  </si>
  <si>
    <t>TUNDRA PROCESS SOLUTIONS LTD</t>
  </si>
  <si>
    <t>2473344 ONTARIO INC</t>
  </si>
  <si>
    <t>PACIFIC INVESTMENT MANAGEMENT COMPANY LLC, SOLELY IN ITS CAPACITY AS ADVISOR ON BEHALF OF PIMCO FUNDS: FAR EAST (EX-JAPAN) STOCKSPLUS TR STRATEGY FUND</t>
  </si>
  <si>
    <t>PACIFIC INVESTMENT MANAGEMENT COMPANY LLC, SOLELY IN ITS CAPACITY AS ADVISOR ON BEHALF OF GGOF GLOBAL BOND FUND.</t>
  </si>
  <si>
    <t>PACIFIC INVESTMENT MANAGEMENT COMPANY LLC, SOLELY IN ITS CAPACITY AS ADVISOR ON BEHALF OF THE PRUDENTIAL SERIES FUND, INC. SP PIMCO HIGH YIELD PORTFOLIO</t>
  </si>
  <si>
    <t>PACIFIC INVESTMENT MANAGEMENT COMPANY LLC, SOLELY IN ITS CAPACITY AS ADVISOR ON BEHALF OF CONOCOPHILLIPS MASTER TRUST</t>
  </si>
  <si>
    <t>PACIFIC INVESTMENT MANAGEMENT COMPANY LLC, SOLELY IN ITS CAPACITY AS ADVISOR ON BEHALF OF FRANK RUSSELL INVESTMENT COMPANY MULTISTRATEGY BOND FUND</t>
  </si>
  <si>
    <t>PACIFIC INVESTMENT MANAGEMENT COMPANY LLC, SOLELY IN ITS CAPACITY AS ADVISOR ON BEHALF OF ALLIANZ DRESDNER PREMIER PIMCO US LOW DURATION</t>
  </si>
  <si>
    <t>VRAWAKE AND CPS STUDIOS SAPI DE CV</t>
  </si>
  <si>
    <t>TOPAZ PROYECTOS SAPI DE CV</t>
  </si>
  <si>
    <t>TOLVO ENTERPRISES S DE RL DE CV</t>
  </si>
  <si>
    <t>TEOFILO BORUNDA GUERRERO</t>
  </si>
  <si>
    <t>SLIM CONTRACTING INC</t>
  </si>
  <si>
    <t>SHAPE PACK SA DE CV</t>
  </si>
  <si>
    <t>ROSA PILAR PONS VALENZUELA</t>
  </si>
  <si>
    <t>RICARDO FRANCO GUZMAN</t>
  </si>
  <si>
    <t>RICARDO BORUNDA GUERRERO</t>
  </si>
  <si>
    <t>RAYMUNDO DE JESUS PORTILLA FERNANDEZ</t>
  </si>
  <si>
    <t>RAFAEL VEGA MORALES</t>
  </si>
  <si>
    <t>QUADRO MEXICO ALL PHOTO AGENCY SA DE CV</t>
  </si>
  <si>
    <t>PUMICITA Y AGREGADOS AMERICAS SA DE CV</t>
  </si>
  <si>
    <t>PROJECT MANAGEMENT AND DESIGN SA DE CV</t>
  </si>
  <si>
    <t>PRODUCTOS MENFRUT SA DE CV</t>
  </si>
  <si>
    <t>PRODUCTORA AGROKISH SA DE CV</t>
  </si>
  <si>
    <t>PATRICIA CALDERON TRUJILLO</t>
  </si>
  <si>
    <t>PASCUALE BASSO URUZUA</t>
  </si>
  <si>
    <t>PARQUE INDUSTRIAL TABASCO BUSINESS CENTER AC</t>
  </si>
  <si>
    <t>PARQUE INDUSTRIAL EL MARQUES SA DE CV</t>
  </si>
  <si>
    <t>PARADISE VILLAS &amp; PUNTA MITA S DE RL DE CV</t>
  </si>
  <si>
    <t>PABLO CAPPANERA MARTIN MAINE</t>
  </si>
  <si>
    <t>NAVYSNET SA DE CV</t>
  </si>
  <si>
    <t>MYRIAM SZYFMANOWICZ OLSZTEYN</t>
  </si>
  <si>
    <t>MULTISERVICIOS ELECTROMECANICOS SA</t>
  </si>
  <si>
    <t>MONICA GUADALUPE PEREZ CASTRO SANCHEZ</t>
  </si>
  <si>
    <t>MONICA GABRIELA MORENO GAVITO</t>
  </si>
  <si>
    <t>MIGUEL GERARDO RUIZ VILLALOBOS</t>
  </si>
  <si>
    <t>MARTHA MARIA ELENA CORREA Y ARRATIA</t>
  </si>
  <si>
    <t>MARIANA PATRICIA GARCIA BARCENA LANGENSCHEIDT</t>
  </si>
  <si>
    <t>MARIA TERESA TRICIO HARO</t>
  </si>
  <si>
    <t>MARIA MAYELA AMBRIZ NITO</t>
  </si>
  <si>
    <t>MARIA LUISA LAMUNO OTAOLAURRUCHI</t>
  </si>
  <si>
    <t>MARIA DEL CARMEN BRITO GARCIA TERUEL</t>
  </si>
  <si>
    <t>MARCELA VILLARREAL FERNANDEZ</t>
  </si>
  <si>
    <t>LMC CONTRACTORS S A DE C V</t>
  </si>
  <si>
    <t>LAURENT JULLIEN GANDOULF</t>
  </si>
  <si>
    <t>LARES DESARROLLOS AGUASCALIENTES I S DE RL DE CV</t>
  </si>
  <si>
    <t>KARMELE SA DE CV</t>
  </si>
  <si>
    <t>JULIAN FERNANDEZ RODRIGUEZ</t>
  </si>
  <si>
    <t>JUAN MONIR MANZUR NEMER</t>
  </si>
  <si>
    <t>JUAN JOSE ALONSO SANTOVENA</t>
  </si>
  <si>
    <t>JUAN CARLOS ROLDAN CERDA</t>
  </si>
  <si>
    <t>JOSE JOAQUIN LAMUNO OTAOLAURRUCHI</t>
  </si>
  <si>
    <t>JORGE MUNOZ GONZALI</t>
  </si>
  <si>
    <t>JOEL ZORRILLA VARGAS</t>
  </si>
  <si>
    <t>JAVIER MOLINA KARHN</t>
  </si>
  <si>
    <t>JAIME ANCHUSTEGUI CORREA</t>
  </si>
  <si>
    <t>INVERLEASING S DE RL DE CV</t>
  </si>
  <si>
    <t>INVERACTIV S DE RL DE CV</t>
  </si>
  <si>
    <t>IMPORTADORA MACHEN S A DE C V</t>
  </si>
  <si>
    <t>HILDA ISABEL PACHECO DE LA TORRE</t>
  </si>
  <si>
    <t>FIDELITY HOMES SA DE CV</t>
  </si>
  <si>
    <t>FERNANDO AGUSTIN FRANCO ALVAREZ</t>
  </si>
  <si>
    <t>ESPERANZA LETICIA AGUILA Y DAVALOS</t>
  </si>
  <si>
    <t>EPLANET COM S C</t>
  </si>
  <si>
    <t>ENGLES DEVELOPMENT COMPANY S DE RL DE CV</t>
  </si>
  <si>
    <t>EDUARDO CARLOS HOLSCHNEIDER GODDARD</t>
  </si>
  <si>
    <t>DUNAS PARAMAN S DE RL DE CV</t>
  </si>
  <si>
    <t>DESAFRAN S DE RL DE CV</t>
  </si>
  <si>
    <t>CORREDURIA PUBLICA 8 DF SC</t>
  </si>
  <si>
    <t>COLUMBUS DE MEXICO S A DE C V ASESOR EN INVERSIONES INDEPENDIENTE</t>
  </si>
  <si>
    <t>COLEGIO BILINGUE WINDSOR S C</t>
  </si>
  <si>
    <t>CLAUDIA CANTU SALAZAR</t>
  </si>
  <si>
    <t>CHALALEGRE S DE RL DE CV</t>
  </si>
  <si>
    <t>AUTOMOTRIZ TOY SA DE CV</t>
  </si>
  <si>
    <t>AUTOMOTRIZ DEL VALLE SA DE CV</t>
  </si>
  <si>
    <t>ASOCIACION DE COLONOS DE PARQUE INDUSTRIAL EL MARQUES AC</t>
  </si>
  <si>
    <t>ARMANDO GONZALEZ MAYAGOITIA</t>
  </si>
  <si>
    <t>ANTONELLA MARCOCCHIO MESSINA</t>
  </si>
  <si>
    <t>ANGEL FRANCISCO GUZMAN LASAGABASTER</t>
  </si>
  <si>
    <t>ANGEL ANTONIO LAMINO OTAOLAURRUCHI</t>
  </si>
  <si>
    <t>ALFREDO LAMUNO OTAOLAURRUCHI</t>
  </si>
  <si>
    <t>ALEJANDRO EMILIO EICHELMANN ARIZPE</t>
  </si>
  <si>
    <t>ALEJANDRA ZORRILLA IBARRA</t>
  </si>
  <si>
    <t>16 DE JULIO SPR DE RL</t>
  </si>
  <si>
    <t>MACKENZIE GLOBAL SUSTAINABLE BOND ETF</t>
  </si>
  <si>
    <t>ENTREPRISES LOUIS BALCAEN INC</t>
  </si>
  <si>
    <t>MACKENZIE BETTERWORLD CANADIAN EQUITY FUND</t>
  </si>
  <si>
    <t>PACIFIC INVESTMENT MANAGEMENT COMPANY LLC, SOLELY IN ITS CAPACITY AS ADVISOR ON BEHALF OF SKANDIA GLOBAL FUNDS PLC SKANDIA - PIMCO US TOTAL RETURN BOND FUND</t>
  </si>
  <si>
    <t>PACIFIC INVESTMENT MANAGEMENT COMPANY LLC, SOLELY IN ITS CAPACITY AS ADVISOR ON BEHALF OF ALLIANZ DRESDNER PREMIER PIMCO US TOTAL RETURN</t>
  </si>
  <si>
    <t>MACKENZIE BETTERWORLD GLOBAL EQUITY FUND</t>
  </si>
  <si>
    <t>PACIFIC INVESTMENT MANAGEMENT COMPANY LLC, SOLELY IN ITS CAPACITY AS ADVISOR ON BEHALF OF HEWLETT-PACKARD COMPANY 401 (K) PLAN TRUST</t>
  </si>
  <si>
    <t>PACIFIC INVESTMENT MANAGEMENT COMPANY LLC, SOLELY IN ITS CAPACITY AS ADVISOR ON BEHALF OF HEWLETT-PACKARD COMPANY 401 (K) PLAN TRUST.</t>
  </si>
  <si>
    <t>PACIFIC INVESTMENT MANAGEMENT COMPANY LLC, SOLELY IN ITS CAPACITY AS ADVISOR ON BEHALF OF DRESDNER RCM FIXED INCOME FUND</t>
  </si>
  <si>
    <t>PACIFIC INVESTMENT MANAGEMENT COMPANY LLC, SOLELY IN ITS CAPACITY AS ADVISOR ON BEHALF OF THE TARGET PORTFOLIO TRUST - INTERNATIONAL BOND PORTFOLIO</t>
  </si>
  <si>
    <t>PACIFIC INVESTMENT MANAGEMENT COMPANY LLC, SOLELY IN ITS CAPACITY AS ADVISOR ON BEHALF OF POLESTAR PENSION TRUSTEES LTD. AS TRUSTEE OF THE POLESTAR PENSION SCHEME</t>
  </si>
  <si>
    <t>PACIFIC INVESTMENT MANAGEMENT COMPANY LLC, SOLELY IN ITS CAPACITY AS ADVISOR ON BEHALF OF EQUITY TRUSTEES LIMITED AS RESPONSIBLE ENTITY FOR EQT PREMIUM BOND FUND</t>
  </si>
  <si>
    <t>PACIFIC INVESTMENT MANAGEMENT COMPANY LLC, SOLELY IN ITS CAPACITY AS ADVISOR ON BEHALF OF MINNEAPOLLS EMPLOYEES RETIREMENT FUND</t>
  </si>
  <si>
    <t>PACIFIC INVESTMENT MANAGEMENT COMPANY LLC, SOLELY IN ITS CAPACITY AS ADVISOR ON BEHALF OF BROWN BROTHERS HARRIMAN TRUST COMPANY (CAYMAN) LIMITED AS TRUSTEE ON BEHALF OF THE PIMCO BERMUDA TRUST II - PIMCO BERMUD TOTAL RETURN MBS FUND (M)</t>
  </si>
  <si>
    <t>PACIFIC INVESTMENT MANAGEMENT COMPANY LLC, SOLELY IN ITS CAPACITY AS ADVISOR ON BEHALF OF STICHTING PENSIOENFUNDS OCE</t>
  </si>
  <si>
    <t>PACIFIC INVESTMENT MANAGEMENT COMPANY LLC, SOLELY IN ITS CAPACITY AS ADVISOR ON BEHALF OF  STICHTING PENSIOENFONDS OCE</t>
  </si>
  <si>
    <t>PACIFIC INVESTMENT MANAGEMENT COMPANY LLC, SOLELY IN ITS CAPACITY AS ADVISOR ON BEHALF OF GAM LONDON LIMITED IN RELATION TO GAM STAR EUR BOND FUND</t>
  </si>
  <si>
    <t>PACIFIC INVESTMENT MANAGEMENT COMPANY LLC, SOLELY IN ITS CAPACITY AS ADVISOR ON BEHALF OF FIXED INCOME SHARES (SERIES H)</t>
  </si>
  <si>
    <t>PACIFIC INVESTMENT MANAGEMENT COMPANY LLC, SOLELY IN ITS CAPACITY AS ADVISOR ON BEHALF OF GEORGIA-PACIFIC CORPORATION MASTER TRUST FOR EMPLOYEE BENEFIT PLANS</t>
  </si>
  <si>
    <t>PACIFIC INVESTMENT MANAGEMENT COMPANY LLC, SOLELY IN ITS CAPACITY AS ADVISOR ON BEHALF OF BROWN BROTHERS HARRIMAN TRUST COMPANY (CAYMAN) LIMITED AS TRUSTEE ON BEHALF OF THE PIMCO CAYMAN TRUST - PIMCO CAYMAN GLOBAL AGGREGATE EX-JAPAN (YEN-HEDGED) BOND FUND</t>
  </si>
  <si>
    <t>PACIFIC INVESTMENT MANAGEMENT COMPANY LLC, SOLELY IN ITS CAPACITY AS ADVISOR ON BEHALF OF ENRON CORP. CASH BALANCE PLAN</t>
  </si>
  <si>
    <t>PACIFIC INVESTMENT MANAGEMENT COMPANY LLC, SOLELY IN ITS CAPACITY AS ADVISOR ON BEHALF OF EMPLOYEES' RETIREMENT PLAN OF INTERNATIONAL PAPER COMPANY AND CERTIAN OTHER PENSION PLANS OF INTERNATIONAL PAPER COMPANY</t>
  </si>
  <si>
    <t>PACIFIC INVESTMENT MANAGEMENT COMPANY LLC, SOLELY IN ITS CAPACITY AS ADVISOR ON BEHALF OF FRANK RUSSELL TRUST COMPANY RUSSELL COMMON TRUST CORE BOND FUND</t>
  </si>
  <si>
    <t>PACIFIC INVESTMENT MANAGEMENT COMPANY LLC, SOLELY IN ITS CAPACITY AS ADVISOR ON BEHALF OF BROWN BROTHERS HARRIMAN TRUST COMPANY (CAYMAN) LIMITED AS TRUSTEE ON BEHALF OF THE PIMCO BERMUDA TRUST IV - PIMCO BERMUDA GLOBAL HIGH YIELD FUND</t>
  </si>
  <si>
    <t>PACIFIC INVESTMENT MANAGEMENT COMPANY LLC, SOLELY IN ITS CAPACITY AS ADVISOR ON BEHALF OF STRATEGIC PARTNERS MUTUAL FUND, INC - STRATEGIC PARTNERS HIGH YIELD BOND FUND</t>
  </si>
  <si>
    <t>PACIFIC INVESTMENT MANAGEMENT COMPANY LLC, SOLELY IN ITS CAPACITY AS ADVISOR ON BEHALF OF GAM LONDON LIMITED IN RELATION TO GAM STAR USD BOND FUND</t>
  </si>
  <si>
    <t>PACIFIC INVESTMENT MANAGEMENT COMPANY LLC, SOLELY IN ITS CAPACITY AS ADVISOR ON BEHALF OF STICHTING PENSIOENFONDS TANDARTSEN &amp; TANDARTS-SPECIALISTEN</t>
  </si>
  <si>
    <t>PACIFIC INVESTMENT MANAGEMENT COMPANY LLC, SOLELY IN ITS CAPACITY AS ADVISOR ON BEHALF OF BROWN BROTHERS HARRIMAN TRUST COMPANY (CAYMAN) LIMITED AS TRUSTEE ON BEHALF OF THE PIMCO CAYMAN TRUST - PIMCO CAYMAN FOREIGN LOW DURATION FUND</t>
  </si>
  <si>
    <t>PACIFIC INVESTMENT MANAGEMENT COMPANY LLC, SOLELY IN ITS CAPACITY AS ADVISOR ON BEHALF OF GAM LONDON LIMITED IN RELATION TO GAM STAR GBP BOND FUND</t>
  </si>
  <si>
    <t>PACIFIC INVESTMENT MANAGEMENT COMPANY LLC, SOLELY IN ITS CAPACITY AS ADVISOR ON BEHALF OF  EMBARQ MASTER RETIREMENT TRUST</t>
  </si>
  <si>
    <t>PACIFIC INVESTMENT MANAGEMENT COMPANY LLC, SOLELY IN ITS CAPACITY AS ADVISOR ON BEHALF OF SIMON (FL) FUND, L.P.</t>
  </si>
  <si>
    <t>PACIFIC INVESTMENT MANAGEMENT COMPANY LLC, SOLELY IN ITS CAPACITY AS ADVISOR ON BEHALF OF STICHTING PENSIOENFONDS GRONTMIJ</t>
  </si>
  <si>
    <t>PACIFIC INVESTMENT MANAGEMENT COMPANY LLC, SOLELY IN ITS CAPACITY AS ADVISOR ON BEHALF OF THE PRUDENTIAL SERIES FUND, INC. SP PIMCO TOTAL RETURN PORTFOLIO</t>
  </si>
  <si>
    <t>PACIFIC INVESTMENT MANAGEMENT COMPANY LLC, SOLELY IN ITS CAPACITY AS ADVISOR ON BEHALF OF PIMCO GLOBAL INVESTORS SERIES PLC UK STERLING ULTRA LONG DURATION FUND</t>
  </si>
  <si>
    <t>PACIFIC INVESTMENT MANAGEMENT COMPANY LLC, SOLELY IN ITS CAPACITY AS ADVISOR ON BEHALF OF PORTIA EMERGING MARKET CAYMAN UNIT TRUST</t>
  </si>
  <si>
    <t>PACIFIC INVESTMENT MANAGEMENT COMPANY LLC, SOLELY IN ITS CAPACITY AS ADVISOR ON BEHALF OF USAA MASTER TRUST (PENSION AND SIP)</t>
  </si>
  <si>
    <t>PACIFIC INVESTMENT MANAGEMENT COMPANY LLC, SOLELY IN ITS CAPACITY AS ADVISOR ON BEHALF OF USAA MASTER TRUST (PENSION AND SIP) (*CORRECTION TO LEGAL NAME)</t>
  </si>
  <si>
    <t>PACIFIC INVESTMENT MANAGEMENT COMPANY LLC, SOLELY IN ITS CAPACITY AS ADVISOR ON BEHALF OF STICHTING PENSIOENFONDS STORK</t>
  </si>
  <si>
    <t>PACIFIC INVESTMENT MANAGEMENT COMPANY LLC, SOLELY IN ITS CAPACITY AS ADVISOR ON BEHALF OF  SOUTHERN CALIFORNIA UNITED FOOD AND COMMERCIAL WORKERS UNIONS AND FOOD EMPLOYERS JOINT PENSION TRUST FUND</t>
  </si>
  <si>
    <t>PACIFIC INVESTMENT MANAGEMENT COMPANY LLC, SOLELY IN ITS CAPACITY AS ADVISOR ON BEHALF OF SCHWAB CAPITAL TRUST - SCHWAB VIEWPOINTS FUND</t>
  </si>
  <si>
    <t>PACIFIC INVESTMENT MANAGEMENT COMPANY LLC, SOLELY IN ITS CAPACITY AS ADVISOR ON BEHALF OF QUEENSLAND INVESTMENT CORPORATION DIVERSIFIED FIXED INTEREST FUND #2</t>
  </si>
  <si>
    <t>PACIFIC INVESTMENT MANAGEMENT COMPANY LLC, SOLELY IN ITS CAPACITY AS ADVISOR ON BEHALF OF THE ATLAS COPCO PENSION SCHEME</t>
  </si>
  <si>
    <t>PACIFIC INVESTMENT MANAGEMENT COMPANY LLC, SOLELY IN ITS CAPACITY AS ADVISOR ON BEHALF OF STICHTING PENSIOENFONDS RANDSTAD</t>
  </si>
  <si>
    <t>PACIFIC INVESTMENT MANAGEMENT COMPANY LLC, SOLELY IN ITS CAPACITY AS ADVISOR ON BEHALF OF KODAK RETIERMENT INCOME PLAN TRUST Q</t>
  </si>
  <si>
    <t>PACIFIC INVESTMENT MANAGEMENT COMPANY LLC, SOLELY IN ITS CAPACITY AS ADVISOR ON BEHALF OF BROWN BROTHERS HARRIMAN TRUST COMPANY (CAYMAN) LIMITED AS TRUSTEE ON BEHALF OF THE PIMCO BERMUDA TRUST IV - PIMCO BERMUDA GLOBAL REAL RETURN FUND</t>
  </si>
  <si>
    <t>PACIFIC INVESTMENT MANAGEMENT COMPANY LLC, SOLELY IN ITS CAPACITY AS ADVISOR ON BEHALF OF RIVERWOOD INTERNATIONAL CORPORATION MASTER PENSION TRUST</t>
  </si>
  <si>
    <t>PACIFIC INVESTMENT MANAGEMENT COMPANY LLC, SOLELY IN ITS CAPACITY AS ADVISOR ON BEHALF OF UPS RETIREMENT PLAN</t>
  </si>
  <si>
    <t>PACIFIC INVESTMENT MANAGEMENT COMPANY LLC, SOLELY IN ITS CAPACITY AS ADVISOR ON BEHALF OF STICHTING PENSIOENFONDS KONINKLIJKE TEN CATE</t>
  </si>
  <si>
    <t>PACIFIC INVESTMENT MANAGEMENT COMPANY LLC, SOLELY IN ITS CAPACITY AS ADVISOR ON BEHALF OF QUEENSLAND INVESTMENT CORPORATION AS RESPONSIBLE ENTITY FOR QIC GLOBAL CREDIT FUND</t>
  </si>
  <si>
    <t>PACIFIC INVESTMENT MANAGEMENT COMPANY LLC, SOLELY IN ITS CAPACITY AS ADVISOR ON BEHALF OF THE PRUDENTIAL SERIES FUND, INC. DIVERSIFIED CONSERVATIVE GFROWTH PORTFOLIO</t>
  </si>
  <si>
    <t>PACIFIC INVESTMENT MANAGEMENT COMPANY LLC, SOLELY IN ITS CAPACITY AS ADVISOR ON BEHALF OF WHIRLPOOL CORPORATION AND SUBSIDIARY EMPLOYEES' RETIREMENT TRUST</t>
  </si>
  <si>
    <t>PACIFIC INVESTMENT MANAGEMENT COMPANY LLC, SOLELY IN ITS CAPACITY AS ADVISOR ON BEHALF OF P&amp;O PENSION FUNDS INVESTMENTS LIMITED AS TRUSTEE OF THE P&amp;O PENSION SCHEME</t>
  </si>
  <si>
    <t>PIMCO FUNDS: GLOBAL INVESTORS SERIES PLC ALL ASSET FUND</t>
  </si>
  <si>
    <t>PACIFIC INVESTMENT MANAGEMENT COMPANY LLC, SOLELY IN ITS CAPACITY AS ADVISOR ON BEHALF OF STICHTING PENSIOENFONDS HUISARTSEN</t>
  </si>
  <si>
    <t>CARLOS MARCELO BRINA</t>
  </si>
  <si>
    <t>GRACIELA CANTU GONZALEZ</t>
  </si>
  <si>
    <t>INTERTRADE LOGISTICS LTD</t>
  </si>
  <si>
    <t>NUECES AGUA CALIENTE SPR DE RL</t>
  </si>
  <si>
    <t>UNIS TECHNOLOGY CANADA LTD</t>
  </si>
  <si>
    <t>FAIRVIEW PROPERTY HOLDINGS INC</t>
  </si>
  <si>
    <t>9541489 CANADA INC</t>
  </si>
  <si>
    <t>9829636 CANADA INC</t>
  </si>
  <si>
    <t>7531842 CANADA LTEE</t>
  </si>
  <si>
    <t>PACIFIC INVESTMENT MANAGEMENT COMPANY LLC, SOLELY IN ITS CAPACITY AS ADVISOR ON BEHALF OF PRODUCER - WRITERS GUILD OF AMERICA PENSION PLAN</t>
  </si>
  <si>
    <t>PACIFIC INVESTMENT MANAGEMENT COMPANY LLC, SOLELY IN ITS CAPACITY AS ADVISOR ON BEHALF OF ARTSFARE 2006 TRUST NO. 1</t>
  </si>
  <si>
    <t>PACIFIC INVESTMENT MANAGEMENT COMPANY LLC, SOLELY IN ITS CAPACITY AS ADVISOR ON BEHALF OF UNITED SUPER LIMITED PTY LTD AS TRUSTEE FOR CONSTRUCTION AND BUILDING UNION SUPERANNUATION FUND</t>
  </si>
  <si>
    <t>PACIFIC INVESTMENT MANAGEMENT COMPANY LLC, SOLELY IN ITS CAPACITY AS ADVISOR ON BEHALF OF WINCHESTER GLOBAL SECURITIES LIMITED PIMCO TOTAL RETURN SERIES</t>
  </si>
  <si>
    <t>PACIFIC INVESTMENT MANAGEMENT COMPANY LLC, SOLELY IN ITS CAPACITY AS ADVISOR ON BEHALF OF PIMCO FUNDS: GLOBAL INVESTORS SERIES PLC, FX STRATEGIES FUND</t>
  </si>
  <si>
    <t>PACIFIC INVESTMENT MANAGEMENT COMPANY LLC, SOLELY IN ITS CAPACITY AS ADVISOR ON BEHALF OF BROWN BROTHERS HARRIMAN TRUST COMPANY (CAYMAN) LIMITED AS TRUSTEE ON BEHALF OF THE PIMCO BERMUDA TRUST - PIMCO CAYMAN LOW DURATION FUND II</t>
  </si>
  <si>
    <t>PACIFIC INVESTMENT MANAGEMENT COMPANY LLC, SOLELY IN ITS CAPACITY AS ADVISOR ON BEHALF OF BROWN BROTHERS HARRIMAN TRUST COMPANY (CAYMAN) LIMITED AS TRUSTEE ON BEHALF OF THE PIMCO CAYMAN TRUST - PIMCO CAYMAN GLOBAL LIBOR PLUS (YEN-HEDGED) FUND</t>
  </si>
  <si>
    <t>PACIFIC INVESTMENT MANAGEMENT COMPANY LLC, SOLELY IN ITS CAPACITY AS ADVISOR ON BEHALF OF PIMCO FUNDS: GLOBAL INVESTORS SERIES PLC EURO BOND FUND II</t>
  </si>
  <si>
    <t>PACIFIC INVESTMENT MANAGEMENT COMPANY LLC, SOLELY IN ITS CAPACITY AS ADVISOR ON BEHALF OF VANTAGE TRUST PLUS FUND</t>
  </si>
  <si>
    <t>PACIFIC INVESTMENT MANAGEMENT COMPANY LLC, SOLELY IN ITS CAPACITY AS ADVISOR ON BEHALF OF  UNIVERSAL MUSIC GROUP PENSION SCHEME</t>
  </si>
  <si>
    <t>PACIFIC INVESTMENT MANAGEMENT COMPANY LLC, SOLELY IN ITS CAPACITY AS ADVISOR ON BEHALF OF THE TRUSTEES OF THE ROLLS-ROYCE ANCILLARY BENEFIT PLAN</t>
  </si>
  <si>
    <t>PACIFIC INVESTMENT MANAGEMENT COMPANY LLC, SOLELY IN ITS CAPACITY AS ADVISOR ON BEHALF OF MERCER GLOBAL INVESTMENTS EUROPE LIMITED: MGI UK BOND FUND</t>
  </si>
  <si>
    <t>PACIFIC INVESTMENT MANAGEMENT COMPANY LLC SOLELY IN ITS CAPACITY AS ADVISOR ON BEHALF OF  MULTI-STYLE MULTI-MANAGER FUNDS PLC - THE GLOBAL STRATEGIC YIELD FUND</t>
  </si>
  <si>
    <t>PACIFIC INVESTMENT MANAGEMENT COMPANY LLC, SOLELY IN ITS CAPACITY AS ADVISOR ON BEHALF OF J SAINSBURY COMMON INVESTMENT FUND LIMITED</t>
  </si>
  <si>
    <t>PACIFIC INVESTMENT MANAGEMENT COMPANY LLC, SOLELY IN ITS CAPACITY AS ADVISOR ON BEHALF OF MILACRON INC. MASTER TRUST</t>
  </si>
  <si>
    <t>PACIFIC INVESTMENT MANAGEMENT COMPANY LLC, SOLELY IN ITS CAPACITY AS ADVISOR ON BEHALF OF BROWN BROTHERS HARRIMAN TRUST COMPANY (CAYMAN) LIMITED AS TRUSTEE ON BEHALF OF THE PIMCO CAYMAN TRUST - PIMCO CAYMAN ASSET-BACKED FUND</t>
  </si>
  <si>
    <t>PACIFIC INVESTMENT MANAGEMENT COMPANY LLC, SOLELY IN ITS CAPACITY AS ADVISOR ON BEHALF OF EMI PENSION GROUP TRUSTEES LIMITED</t>
  </si>
  <si>
    <t>PACIFIC INVESTMENT MANAGEMENT COMPANY LLC, SOLELY IN ITS CAPACITY AS ADVISOR ON BEHALF OF WINCHESTER GLOBAL SECURITIES LIMITED PIMCO LOW DURATION SERIES</t>
  </si>
  <si>
    <t>PACIFIC INVESTMENT MANAGEMENT COMPANY LLC, SOLELY IN ITS CAPACITY AS ADVISOR ON BEHALF OF POLARIS GLOBAL ABS FUND</t>
  </si>
  <si>
    <t>PACIFIC INVESTMENT MANAGEMENT COMPANY LLC, SOLELY IN ITS CAPACITY AS ADVISOR ON BEHALF OF BROWN BROTHERS HARRIMAN TRUST COMPANY (CAYMAN) LIMITED AS TRUSTEE ON BEHALF OF THE PIMCO CAYMAN TRUST - PIMCO CAYMAN SHORT-TERM MULTI-SECTOR FUND</t>
  </si>
  <si>
    <t>PACIFIC INVESTMENT MANAGEMENT COMPANY LLC, SOLELY IN ITS CAPACITY  AS ADVISOR ON BEHALF OF BMO HARRIS INCOME OPPORTUNITY BOND PORTFOLIO</t>
  </si>
  <si>
    <t>PACIFIC INVESTMENT MANAGEMENT COMPANY LLC, SOLELY IN ITS CAPACITY AS ADVISOR ON BEHALF OF BMA PENSION TRUSTEES LTD</t>
  </si>
  <si>
    <t>PACIFIC INVESTMENT MANAGEMENT COMPANY LLC, SOLELY IN ITS CAPACITY AS ADVISOR ON BEHALF OF  PIMCO FUNDS: PIMCO STOCKSPLUS TOTAL RETURN FUND</t>
  </si>
  <si>
    <t>PACIFIC INVESTMENT MANAGEMENT COMPANY LLC, SOLELY IN ITS CAPACITY AS ADVISOR ON BEHALF OF PIMCO VARIABLE INSURANCE TRUST STOCKSPLUS TOTAL RETURN PORTFOLIO</t>
  </si>
  <si>
    <t>PACIFIC INVESTMENT MANAGEMENT COMPANY LLC, SOLELY IN ITS CAPACITY AS ADVISOR ON BEHALF OF MERCER GLOBAL INVESTMENTS EUROPE LIMITED: MGI GLOBAL BOND FUND</t>
  </si>
  <si>
    <t>PACIFIC INVESTMENT MANAGEMENT COMPANY LLC, SOLELY IN ITS CAPACITY AS ADVISOR ON BEHALF OF PIMCO VARIABLE INSURANCE TRUST REALESTATEREALRETURN STRATEGY PORTFOLIO</t>
  </si>
  <si>
    <t>PACIFIC INVESTMENT MANAGEMENT COMPANY LLC, SOLELY IN ITS CAPACITY AS ADVISOR ON BEHALF OF WORKER BENEFIT PLANS OF THE LUTHERAN CHURCH - MISSOURI SYNOD</t>
  </si>
  <si>
    <t>PACIFIC INVESTMENT MANAGEMENT COMPANY LLC, SOLELY IN ITS CAPACITY AS ADVISOR ON BEHALF OF AZL PIMCO FUNDAMENTAL INDEXPLUS TOTAL RETURN FUND</t>
  </si>
  <si>
    <t>PACIFIC INVESTMENT MANAGEMENT COMPANY LLC, SOLELY IN ITS CAPACITY AS ADVISOR ON BEHALF OF PIMCO FUNDS: FUNDAMENTAL INDEXPLUS FUND</t>
  </si>
  <si>
    <t>PACIFIC INVESTMENT MANAGEMENT COMPANY LLC, SOLELY IN ITS CAPACITY AS ADVISOR ON BEHALF OF  PIMCO FUNDS: PIMCO FUNDAMENTAL INDEXPLUS TR FUND</t>
  </si>
  <si>
    <t>PACIFIC INVESTMENT MANAGEMENT COMPANY LLC, SOLELY IN ITS CAPACITY AS ADVISOR ON BEHALF OF UNILAC INC.</t>
  </si>
  <si>
    <t>PACIFIC INVESTMENT MANAGEMENT COMPANY LLC, SOLELY IN ITS CAPACITY AS ADVISOR ON BEHALF OF MLC INVESTMENTS LIMITED AS TRUSTEE FOR THE WM POOL - FIXED INTEREST TRUST NO 1 ARSN 094 968 911</t>
  </si>
  <si>
    <t>MACKENZIE GLOBAL CHINA FUND</t>
  </si>
  <si>
    <t>PACIFIC INVESTMENT MANAGEMENT COMPANY LLC, SOLELY IN ITS CAPACITY AS ADVISOR ON BEHALF OF PIMCO CANADA INFLATION LINKED BOND TRUST</t>
  </si>
  <si>
    <t>PACIFIC INVESTMENT MANAGEMENT COMPANY LLC, SOLELY IN ITS CAPACITY AS ADVISOR ON BEHALF OF NSK PENSION TRUSTEE LTD.</t>
  </si>
  <si>
    <t>PACIFIC INVESTMENT MANAGEMENT COMPANY LLC, SOLELY IN ITS CAPACITY AS ADVISOR ON BEHALF OF DANA UK COMMON INVESTMENT FUND LIMITED AS TRUSTEE OF THE DANA UK COMMON INVESTMENT FUND</t>
  </si>
  <si>
    <t>PACIFIC INVESTMENT MANAGEMENT COMPANY LLC, SOLELY IN ITS CAPACITY AS ADVISOR ON BEHALF OF NORTH CAROLINA BAPTIST HOSPITAL</t>
  </si>
  <si>
    <t>PACIFIC INVESTMENT MANAGEMENT COMPANY LLC, SOLELY IN ITS CAPACITY AS ADVISOR ON BEHALF OF UNIVERSITY OF ROCHESTER</t>
  </si>
  <si>
    <t>1736047 ONTARIO LIMITED</t>
  </si>
  <si>
    <t>3L GLOBAL COMPANY SUPPLY SA DE CV</t>
  </si>
  <si>
    <t>AB BERRY FARMS S DE RL DE CV</t>
  </si>
  <si>
    <t>ADRIANA MARIA AMBRIZ NITO</t>
  </si>
  <si>
    <t>ALFREDO SANCHEZ ROMAN DE LA MORA</t>
  </si>
  <si>
    <t>BERNARDO HABER FERNANDEZ POSADA</t>
  </si>
  <si>
    <t>CANADENSYS AEROSPACE CORPORATION</t>
  </si>
  <si>
    <t>CDWX INC</t>
  </si>
  <si>
    <t>CECILIA BRISENO GOMEZ ESPANA</t>
  </si>
  <si>
    <t>GRUPO CL KAAB SA DE CV</t>
  </si>
  <si>
    <t>HOLBART MEX SA DE CV</t>
  </si>
  <si>
    <t>INMOBILIARIA GABTER SA DE CV</t>
  </si>
  <si>
    <t>JORGE JESUS MARZUCA FERREYRO</t>
  </si>
  <si>
    <t>LAGFAM SA DE CV</t>
  </si>
  <si>
    <t>LETICIA TERRAZAS BECERRA</t>
  </si>
  <si>
    <t>LOURDES HORTENSIA BARRAGAN CONSTANDSE</t>
  </si>
  <si>
    <t>MARIA DEL PERPETUO SOCORRO CESPEDES Y CREIXELL</t>
  </si>
  <si>
    <t>MARIE AIMEE FRANCOISE BEATRICE DE MONTALEMBERT BEMBERG</t>
  </si>
  <si>
    <t>MARY LUZ ACUNA DELGADO</t>
  </si>
  <si>
    <t>META VICTORIA SA DE CV</t>
  </si>
  <si>
    <t>OLGA PATRICIA VALDIVIEZO OJEDA</t>
  </si>
  <si>
    <t>PIEDRA VICTORIA SA DE CV</t>
  </si>
  <si>
    <t>RAMON ENRIQUE CAMPOSECO ALVAREZ</t>
  </si>
  <si>
    <t>RISTEX GROUP INC</t>
  </si>
  <si>
    <t>SALVADOR EDUARDO PEREZ CELORIO</t>
  </si>
  <si>
    <t>SARA ELISA BERMUDEZ MURAYRA</t>
  </si>
  <si>
    <t>VELETA NATURE SAPI DE CV</t>
  </si>
  <si>
    <t>VIRTUAL WAVE CONTROL SA DE CV</t>
  </si>
  <si>
    <t>YVETTE MARIE FRANCO MORENO</t>
  </si>
  <si>
    <t>PACIFIC INVESTMENT MANAGEMENT COMPANY LLC, SOLELY IN ITS CAPACITY AS ADVISOR ON BEHALF OF BROWN BROTHERS HARRIMAN TRUST COMPANY (CAYMAN) LIMITED AS TRUSTEE ON BEHALF OF THE PIMCO CAYMAN TRUST PIMCO CAYMAN JAPAN LOW DURATION FUND</t>
  </si>
  <si>
    <t>PACIFIC INVESTMENT MANAGEMENT COMPANY LLC, SOLELY IN ITS CAPACITY AS ADVISOR ON BEHALF OF UNIVERSITY OF FLORIDA FOUNDATION, INC.</t>
  </si>
  <si>
    <t>PACIFIC INVESTMENT MANAGEMENT COMPANY LLC, SOLELY IN ITS CAPACITY AS ADVISOR ON BEHALF OF TMCT, L.L.C.</t>
  </si>
  <si>
    <t>PACIFIC INVESTMENT MANAGEMENT COMPANY LLC, SOLELY IN ITS CAPACITY AS ADVISOR ON BEHALF OF TMCT II, L.L.C.</t>
  </si>
  <si>
    <t>PACIFIC INVESTMENT MANAGEMENT COMPANY LLC, SOLELY IN ITS CAPACITY AS ADVISOR ON BEHALF OF NATIONAL ASSOCIATION OF SECURITIES DEALERS, INC.</t>
  </si>
  <si>
    <t>PACIFIC INVESTMENT MANAGEMENT COMPANY LLC, SOLELY IN ITS CAPACITY AS ADVISOR ON BEHALF OF MERRILL LYNCH GLOBAL SELECTS PORTFOLIOS PLC - TOTAL RETURN (USD) PORTFOLIO II</t>
  </si>
  <si>
    <t>PACIFIC INVESTMENT MANAGEMENT COMPANY LLC, SOLELY IN ITS CAPACITY AS ADVISOR ON BEHALF OF GARD COMMON CONTRACTUAL FUND - GLOBAL BOND FUND II</t>
  </si>
  <si>
    <t>PIMCO 1732 FRONTIERS GLOBAL POOL</t>
  </si>
  <si>
    <t>PACIFIC INVESTMENT MANAGEMENT COMPANY LLC, SOLELY IN ITS CAPACITY AS ADVISOR ON BEHALF OF CWA/ITU NEGOTIATED PENSION PLAN</t>
  </si>
  <si>
    <t>PACIFIC INVESTMENT MANAGEMENT COMPANY LLC, SOLELY IN ITS CAPACITY AS ADVISOR ON BEHALF OF BOUGAINVILLE HOLDINGS LTD</t>
  </si>
  <si>
    <t>PACIFIC INVESTMENT MANAGEMENT COMPANY LLC, SOLELY IN ITS CAPACITY AS ADVISOR ON BEHALF OF AUSTRALIAN RETIREMENT FUND PTY LTD AS TRUSTEE FOR AUSTRALIAN RETIREMENT FUND</t>
  </si>
  <si>
    <t>PACIFIC INVESTMENT MANAGEMENT COMPANY LLC, SOLELY IN ITS CAPACITY AS ADVISOR ON BEHALF OF THE PUBLIC SCHOOL RETIREMENT SYSTEM OF MISSOURI</t>
  </si>
  <si>
    <t>PACIFIC INVESTMENT MANAGEMENT COMPANY LLC, SOLELY IN ITS CAPACITY AS ADVISOR ON BEHALF OF THE PUBLIC SCHOOL RETIREMENT SYSTEM OF MISSOURI.</t>
  </si>
  <si>
    <t>PACIFIC INVESTMENT MANAGEMENT COMPANY LLC SOLELY IN ITS CAPACITY AS ADVISOR ON BEHALF OF THE SAMUEL ROBERTS NOBLE FOUNDATION INC.</t>
  </si>
  <si>
    <t>PACIFIC INVESTMENT MANAGEMENT COMPANY LLC, SOLELY IN ITS CAPACITY AS ADVISOR ON BEHALF OF BARLOWORLD CIF TRUSTEES LIMITED AS TRUSTEES OF THE COMMON INVESTMENT FUND</t>
  </si>
  <si>
    <t>PIMCO 6357</t>
  </si>
  <si>
    <t>PACIFIC INVESTMENT MANAGEMENT COMPANY LLC, SOLELY IN ITS CAPACITY AS ADVISOR ON BEHALF OF PIMCO LUXEMBOURG TRUST- GLOBAL STOCKSPLUS TR FUND IN EUROS</t>
  </si>
  <si>
    <t>PACIFIC INVESTMENT MANAGEMENT COMPANY LLC, SOLELY IN ITS CAPACITY AS ADVISOR ON BEHALF OF ERF-CDS FUND LLC</t>
  </si>
  <si>
    <t>PACIFIC INVESTMENT MANAGEMENT COMPANY LLC, SOLELY IN ITS CAPACITY AS ADVISOR ON BEHALF OF MERCER GLOBAL INVESTMENTS EUROPE LIMITED: MGI EURO BOND FUND</t>
  </si>
  <si>
    <t>PACIFIC INVESTMENT MANAGEMENT COMPANY LLC, SOLELY IN ITS CAPACITY AS ADVISOR ON BEHALF OF PIMCO LUXEMBOURG TRUST - GLOBAL BOND FUND (NOK HEDGED)</t>
  </si>
  <si>
    <t>PACIFIC INVESTMENT MANAGEMENT COMPANY LLC, SOLELY IN ITS CAPACITY AS ADVISOR ON BEHALF OF CN PENSION TRUST FUNDS</t>
  </si>
  <si>
    <t>PACIFIC INVESTMENT MANAGEMENT COMPANY LLC, SOLELY IN ITS CAPACITY AS ADVISOR ON BEHALF OF THE TRUSTEES OF THE BRITANNIA BUILDING SOCIET PENSION SCHEME</t>
  </si>
  <si>
    <t>PACIFIC INVESTMENT MANAGEMENT COMPANY LLC, SOLELY IN ITS CAPACITY AS ADVISOR ON BEHALF OF CELANESE AMERICAS CORPORATION RETIREMENT TRUST</t>
  </si>
  <si>
    <t>PACIFIC INVESTMENT MANAGEMENT COMPANY LLC, SOLELY IN ITS CAPACITY AS ADVISOR ON BEHALF OF PIMCO INTERNATIONAL STOCKSPLUS TOTAL RETURN FUND</t>
  </si>
  <si>
    <t>PACIFIC INVESTMENT MANAGEMENT COMPANY LLC, SOLELY IN ITS CAPACITY AS ADVISOR ON BEHALF OF THE TRUSTEE OF THE LITTLEWOODS PENSION SCHEME</t>
  </si>
  <si>
    <t>PACIFIC INVESTMENT MANAGEMENT COMPANY LLC, SOLELY IN ITS CAPACITY AS ADVISOR ON BEHALF OF  SCHLUMBERGER GROUP TRUST</t>
  </si>
  <si>
    <t>PACIFIC INVESTMENT MANAGEMENT COMPANY LLC, SOLELY IN ITS CAPACITY AS ADVISOR ON BEHALF OF SCHLUMBERGER INTERNATIONAL MASTER PROFIT SHARING TRUST AND THE DOWELL INTERNATIONAL MASTER PROFIT SHARING TRUST.</t>
  </si>
  <si>
    <t>SCHLUMBERGER MASTER PROFIT S423</t>
  </si>
  <si>
    <t>PACIFIC INVESTMENT MANAGEMENT COMPANY LLC SOLELY IN ITS CAPACITY AS ADVISOR ON BEHALF OF MULTI-STYLE MULTI-MANAGER FUNDS PLC - THE GLOBAL BOND FUND.</t>
  </si>
  <si>
    <t>PACIFIC INVESTMENT MANAGEMENT COMPANY LLC, SOLELY IN ITS CAPACITY AS ADVISOR ON BEHALF OF PIMCO FUNDS:GLOBAL INVESTORS SERIES PLC,GLOBAL MULTI-ALPHA FUND</t>
  </si>
  <si>
    <t>PACIFIC INVESTMENT MANAGEMENT COMPANY LLC, SOLELY IN ITS CAPACITY AS ADVISOR ON BEHALF OF MARITIME AND PORT AUTHORITY OF SINGAPORE</t>
  </si>
  <si>
    <t>FLUOR CONSTRUCTORS CANADA LTD</t>
  </si>
  <si>
    <t>PACIFIC INVESTMENT MANAGEMENT COMPANY LLC, SOLELY IN ITS CAPACITY AS ADVISOR ON BEHALF OF NATIONAL AGRICULTURAL COOPERATIVE FEDERATION</t>
  </si>
  <si>
    <t>PACIFIC INVESTMENT MANAGEMENT COMPANY LLC, SOLELY IN ITS CAPACITY AS ADVISOR ON BEHALF OF GARD COMMON CONTRACTUAL FUND - GLOBAL BOND FUND III</t>
  </si>
  <si>
    <t>PACIFIC INVESTMENT MANAGEMENT COMPANY LLC, SOLELY IN ITS CAPACITY AS ADVISOR ON BEHALF OF SENTARA HEALTHCARE</t>
  </si>
  <si>
    <t>PACIFIC INVESTMENT MANAGEMENT COMPANY LLC, SOLELY IN ITS CAPACITY AS ADVISOR ON BEHALF OF NIKKO TRUST - NIKKO PIMCO YEN LIBOR PLUS</t>
  </si>
  <si>
    <t>PACIFIC INVESTMENT MANAGEMENT COMPANY LLC, SOLELY IN ITS CAPACITY AS ADVISOR ON BEHALF OF CHINO CCP TRUST</t>
  </si>
  <si>
    <t>PACIFIC INVESTMENT MANAGEMENT COMPANY LLC, SOLELY IN ITS CAPACITY AS ADVISOR ON BEHALF OF  PIMCO FUNDS: PIMCO SMALL CAP STOCKSPLUS TR FUND</t>
  </si>
  <si>
    <t>PACIFIC INVESTMENT MANAGEMENT COMPANY LLC, SOLELY IN ITS CAPACITY AS ADVISOR ON BEHALF OF PIMCO VARIABLE INSURANCE TRUST SMALL CAP STOCKSPLUS TR PORTFOLIO</t>
  </si>
  <si>
    <t>PACIFIC INVESTMENT MANAGEMENT COMPANY LLC, SOLELY IN ITS CAPACITY AS ADVISOR ON BEHALF OF MUNICIPAL ADVANTAGE FUND INC.</t>
  </si>
  <si>
    <t>PACIFIC INVESTMENT MANAGEMENT COMPANY LLC, SOLELY IN ITS CAPACITY AS ADVISOR ON BEHALF OF PIMCO FUNDS: JAPANESE STOCKSPLUS TR STRATEGY FUND</t>
  </si>
  <si>
    <t>PACIFIC INVESTMENT MANAGEMENT COMPANY LLC, SOLELY IN ITS CAPACITY AS ADVISOR ON BEHALF OF LUXEMBOURG INVESTMENT FUND - SECOFIND INCOME</t>
  </si>
  <si>
    <t>PACIFIC INVESTMENT MANAGEMENT COMPANY LLC, SOLELY IN ITS CAPACITY AS ADVISOR ON BEHALF OF UNIVERSITY OF IOWA FOUNDATION</t>
  </si>
  <si>
    <t>PACIFIC INVESTMENT MANAGEMENT COMPANY LLC, SOLELY IN ITS CAPACITY AS ADVISOR ON BEHALF OF UPS PENSION PLAN</t>
  </si>
  <si>
    <t>PIMCO 6387</t>
  </si>
  <si>
    <t>PIMCO_6327</t>
  </si>
  <si>
    <t>PACIFIC INVESTMENT MANAGEMENT COMPANY LLC, SOLELY IN ITS CAPACITY AS ADVISOR ON BEHALF OF UFCW-NORTHERN CALIFORNIA EMPLOYERS JOINT PENSION PLAN</t>
  </si>
  <si>
    <t>ARTURO AMPUDIA RAMIREZ DE ARELLANO</t>
  </si>
  <si>
    <t>CHRISTIANE FERNANDEZ TEROUANNE</t>
  </si>
  <si>
    <t>HERNANDO CARLOS LUIS SABAU GARCIA</t>
  </si>
  <si>
    <t>KING HEATING PRODUCTS INC</t>
  </si>
  <si>
    <t>RENE CHENG ALT</t>
  </si>
  <si>
    <t>1312877 BC LTD</t>
  </si>
  <si>
    <t>PACIFIC INVESTMENT MANAGEMENT COMPANY LLC, SOLELY IN ITS CAPACITY AS ADVISOR ON BEHALF OF SYRACUSE UNIVERSITY</t>
  </si>
  <si>
    <t>PACIFIC INVESTMENT MANAGEMENT COMPANY LLC, SOLELY IN ITS CAPACITY AS ADVISOR ON BEHALF OF PIMCO FUNDS: GLOBAL INVESTORS SERIES PLC GLOBAL SHORT AVERAGE DURATION FUND</t>
  </si>
  <si>
    <t>PACIFIC INVESTMENT MANAGEMENT COMPANY LLC, SOLELY IN ITS CAPACITY AS ADVISOR ON BEHALF OF ESMEE FAIRBAIRN FOUNDATION</t>
  </si>
  <si>
    <t>PACIFIC INVESTMENT MANAGEMENT COMPANY LLC, SOLELY IN ITS CAPACITY AS ADVISOR ON BEHALF OF PAPAVER, INC.</t>
  </si>
  <si>
    <t>PACIFIC INVESTMENT MANAGEMENT COMPANY LLC, SOLELY IN ITS CAPACITY AS ADVISOR ON BEHALF OF DUKE UNIVERSITY</t>
  </si>
  <si>
    <t>PACIFIC INVESTMENT MANAGEMENT COMPANY LLC, SOLELY IN ITS CAPACITY AS ADVISOR ON BEHALF OF MINISTER OF FINANCE INCORPORATED FOR SAVER FUND</t>
  </si>
  <si>
    <t>PACIFIC INVESTMENT MANAGEMENT COMPANY LLC, SOLELY IN ITS CAPACITY AS ADVISOR ON BEHALF OF HENRY FORD HEALTH CARE CORPORATION MASTER RETIREMENT TRUST</t>
  </si>
  <si>
    <t>PACIFIC INVESTMENT MANAGEMENT COMPANY LLC, SOLELY IN ITS CAPACITY AS ADVISOR ON BEHALF OF IAG ASSET MANAGEMENT LIMITED</t>
  </si>
  <si>
    <t>PACIFIC INVESTMENT MANAGEMENT COMPANY LLC, SOLELY IN ITS CAPACITY AS ADVISOR ON BEHALF OF IAG ASSET MANAGEMENT LIMITED.</t>
  </si>
  <si>
    <t>PACIFIC INVESTMENT MANAGEMENT COMPANY LLC, SOLELY IN ITS CAPACITY AS ADVISOR ON BEHALF OF PACIFIC SEA INTERNATIONAL HOLDINGS LIMITED</t>
  </si>
  <si>
    <t>PACIFIC INVESTMENT MANAGEMENT COMPANY LLC, SOLELY IN ITS CAPACITY AS ADVISOR ON BEHALF OF DAVENPORT ROYAL DOCKYARD PENSION TRUSTEE LIMITED</t>
  </si>
  <si>
    <t>PACIFIC INVESTMENT MANAGEMENT COMPANY LLC, SOLELY IN ITS CAPACITY AS ADVISOR ON BEHALF OF JDD HOLDINGS LP</t>
  </si>
  <si>
    <t>PACIFIC INVESTMENT MANAGEMENT COMPANY LLC, SOLELY IN ITS CAPACITY AS ADVISOR ON BEHALF OF HARTFORD LIFE INSURANCE COMPANY SEPERATE ACCOUNT ICMG SERIES IV</t>
  </si>
  <si>
    <t>PACIFIC INVESTMENT MANAGEMENT COMPANY LLC, SOLELY IN ITS CAPACITY AS ADVISOR ON BEHALF OF TOWER TRUST AS TRUSTEE FOR TAM GLOBAL BOND GROUP INVESTMENT FUND.</t>
  </si>
  <si>
    <t>PACIFIC INVESTMENT MANAGEMENT COMPANY LLC, SOLELY IN ITS CAPACITY AS ADVISOR ON BEHALF OF ALCON CAPITAL AND INVESTMENT PANAMA S.A.</t>
  </si>
  <si>
    <t>PACIFIC INVESTMENT MANAGEMENT COMPANY LLC, SOLELY IN ITS CAPACITY AS ADVISOR ON BEHALF OF FRANK RUSSELL INVESTMENT COMPANY DIVERSIFIED BOND FUND</t>
  </si>
  <si>
    <t>PACIFIC INVESTMENT MANAGEMENT COMPANY LLC, SOLELY IN ITS CAPACITY AS ADVISOR ON BEHALF OF ALEPPA FUNDING I LLC</t>
  </si>
  <si>
    <t>PACIFIC INVESTMENT MANAGEMENT COMPANY LLC, SOLELY IN ITS CAPACITY AS ADVISOR ON BEHALF OF FLAGSTONE REINSURANCE LIMITED ~ CAPITAL FUNDS PORTFOLIO</t>
  </si>
  <si>
    <t>PIMCO 2366</t>
  </si>
  <si>
    <t>PIMCO 6337</t>
  </si>
  <si>
    <t>PACIFIC INVESTMENT MANAGEMENT COMPANY LLC, SOLELY IN ITS CAPACITY AS ADVISOR ON BEHALF OF PIMCO PENSIONPLUS FUND LLC</t>
  </si>
  <si>
    <t>PACIFIC INVESTMENT MANAGEMENT COMPANY LLC, SOLELY IN ITS CAPACITY AS ADVISOR ON BEHALF OF MORGAN STANLEY DEAN WITTER DEFINED BENEFIT MASTER TRUST</t>
  </si>
  <si>
    <t>PIMCO 2429</t>
  </si>
  <si>
    <t>PACIFIC INVESTMENT MANAGEMENT COMPANY LLC, SOLELY IN ITS CAPACITY AS ADVISOR ON BEHALF OF OMID KORDESTANI AND BITA DARYABARI TRUST AGREEMENT DATED JULY 10, 2001</t>
  </si>
  <si>
    <t>PACIFIC INVESTMENT MANAGEMENT COMPANY LLC, SOLELY IN ITS CAPACITY AS ADVISOR ON BEHALF OF VICTORIAN FUNDS MANAGEMENT CORPORATION AS TRUSTEE FOR VICTORIAN WORKCOVER AUTHORITY INTERNATIONAL FIXED INTEREST</t>
  </si>
  <si>
    <t>PACIFIC INVESTMENT MANAGEMENT COMPANY LLC, SOLELY IN ITS CAPACITY AS ADVISOR ON BEHALF OF MLC HONG KONG LIMITED</t>
  </si>
  <si>
    <t>PACIFIC INVESTMENT MANAGEMENT COMPANY LLC, SOLELY IN ITS CAPACITY AS ADVISOR ON BEHALF OF WORKERS COMPENSATION NOMINAL INSURER</t>
  </si>
  <si>
    <t>PACIFIC INVESTMENT MANAGEMENT COMPANY LLC, SOLELY IN ITS CAPACITY AS ADVISOR ON BEHALF OF INOVA HEALTH CARE SERVICES</t>
  </si>
  <si>
    <t>PACIFIC INVESTMENT MANAGEMENT COMPANY LLC, SOLELY IN ITS CAPACITY AS ADVISOR ON BEHALF OF STATE STREET CAYMAN TRUST COMPANY, LTD., TRUSTEE ON BEHALF OF GLOBAL LIBOR ALPHA CAYMAN UNIT TRUST - PACIFIC LIBOR ALPHA CAYMAN UNIT TRUST</t>
  </si>
  <si>
    <t>PACIFIC INVESTMENT MANAGEMENT COMPANY LLC, SOLELY IN ITS CAPACITY AS ADVISOR ON BEHALF OF AUSCOAL SUPERANNUATION PTY LTD AS TRUSTEE OF AUSCOAL SUPERANNUATION FUND</t>
  </si>
  <si>
    <t>PACIFIC INVESTMENT MANAGEMENT COMPANY LLC, SOLELY IN ITS CAPACITY AS ADVISOR ON BEHALF OF SAVINGS AUSTRALIA PTY LTD AS TRUSTEE FOR SUPERANNUATION TRUST OF AUSTRALIA</t>
  </si>
  <si>
    <t>PACIFIC INVESTMENT MANAGEMENT COMPANY LLC SOLELY IN ITS CAPACITY AS ADVISOR ON BEHALF OF SILVER CREEK CREDIT SAV L.L.C.</t>
  </si>
  <si>
    <t>PIMCO 2327</t>
  </si>
  <si>
    <t>PACIFIC INVESTMENT MANAGEMENT COMPANY LLC, SOLELY IN ITS CAPACITY AS ADVISOR ON BEHALF OF PIMCO VARIABLE INSURANCE TRUST STOCKSPLUS GROWTH AND INCOME PORTFOLIO</t>
  </si>
  <si>
    <t>PACIFIC INVESTMENT MANAGEMENT COMPANY LLC SOLELY IN ITS CAPACITY AS ADVISOR ON BEHALF OF THE GOV'T OF THE REPUBLIC OF SINGAPORE AS REPRESENTED BY THE BOARD OF TRUSTEES OF THE SAVER-PREMIUM FUND</t>
  </si>
  <si>
    <t>PACIFIC INVESTMENT MANAGEMENT COMPANY LLC, SOLELY IN ITS CAPACITY AS ADVISOR ON BEHALF OF THE TRUSTEES OF THE CORAS IOMPAIR EIREANN (CIE) SUPERANNUATION SCHEME, 1951 (AMENDMENT) SCHEME 2000, INCORPORATING THE CIE SALARIED OFFICERS AND CLERKS (GSR) SUPER A</t>
  </si>
  <si>
    <t>PACIFIC INVESTMENT MANAGEMENT COMPANY LLC, SOLELY IN ITS CAPACITY AS ADVISOR ON BEHALF OF THE TRUSTEES OF THE CORAS IOMPAIR EIREANN SUPERANNUATION SCHEME FOR REGULAR WAGES STAFF, ESTABLISHED BY STATUTORY INSTRUMENT NO. 242 OF 1945 AND SUBSEQUENT AMENDING</t>
  </si>
  <si>
    <t>PACIFIC INVESTMENT MANAGEMENT COMPANY LLC, SOLELY IN ITS CAPACITY AS ADVISOR ON BEHALF OF FLAGSTONE REINSURANCE LIMITED ~ POLICYHOLDERS FUNDS PORTFOLIO</t>
  </si>
  <si>
    <t>PACIFIC INVESTMENT MANAGEMENT COMPANY LLC, SOLELY IN ITS CAPACITY AS ADVISOR ON BEHALF OF TOWER ASSET MANAGEMENT LIMITED AS TRUSTEE FOR TOWER INTERNATIONAL FIXED INTEREST FUND</t>
  </si>
  <si>
    <t>PACIFIC INVESTMENT MANAGEMENT COMPANY LLC, SOLELY IN ITS CAPACITY AS ADVISOR ON BEHALF OF TRUST FOR THE EMPLOYEES OF DRESSER-RAND COMPANY PENSION PLAN</t>
  </si>
  <si>
    <t>PACIFIC INVESTMENT MANAGEMENT COMPANY LLC, SOLELY IN ITS CAPACITY AS ADVISOR ON BEHALF OF PIMCO FUNDS: GLOBAL INVESTORS SERIES PLC UK STERLING CORE PLUE FUND</t>
  </si>
  <si>
    <t>PACIFIC INVESTMENT MANAGEMENT COMPANY LLC, SOLELY IN ITS CAPACITY AS ADVISOR ON BEHALF OF MLC INVESTMENTS LIMITED AS TRUSTEE FOR NATIONAL CORPORATE INVESTMENTS TRUST: NCIT - PIMCO INTERNATIONAL FIXED INTEREST TRUST</t>
  </si>
  <si>
    <t>PACIFIC INVESTMENT MANAGEMENT COMPANY LLC, SOLELY IN ITS CAPACITY AS ADVISOR ON BEHALF OF TRANSAMERICA LIFE INSURANCE COMPANY - PFL CORPORATE SEPERATE ACCOUNT FOUR</t>
  </si>
  <si>
    <t>PACIFIC INVESTMENT MANAGEMENT COMPANY LLC, SOLELY IN ITS CAPACITY AS ADVISOR ON BEHALF OF HINTON INSURANCE LIMITED</t>
  </si>
  <si>
    <t>PACIFIC INVESTMENT MANAGEMENT COMPANY LLC, SOLELY IN ITS CAPACITY AS ADVISOR ON BEHALF OF PIMCO FUNDS: GLOBAL INVESTORS SERIES PLC, MORTGAGE-BACKED SECURITIES FUND</t>
  </si>
  <si>
    <t>TECHSIMARK GLOBAL SA DE CV</t>
  </si>
  <si>
    <t>MORALES</t>
  </si>
  <si>
    <t>JOSE GERARDO HILL CORTAZAR</t>
  </si>
  <si>
    <t>JENNEFER ELOISA DEVLYN GOMEZ</t>
  </si>
  <si>
    <t>HECTOR AMBRIZ NITO</t>
  </si>
  <si>
    <t>GUILLERMO FONSECA TORRES</t>
  </si>
  <si>
    <t>ESMART MEDIA PLANNING SA DE CV</t>
  </si>
  <si>
    <t>CAROLINA YOLANDA MAGANA OLIVARI</t>
  </si>
  <si>
    <t>BOSS S AND P SA DE CV</t>
  </si>
  <si>
    <t>SUNTERRA FARMS GREENHOUSE LTD</t>
  </si>
  <si>
    <t>PACIFIC INVESTMENT MANAGEMENT COMPANY LLC, SOLELY IN ITS CAPACITY AS ADVISOR ON BEHALF OF BROWN BROTHERS HARRIMAN TRUST COMPANY (CAYMAN) LIMITED AS TRUSTEE ON BEHALF OF THE PIMCO BERMUDA TRUST IV - PIMCO BERMUDA U.S. TOTAL RETURN FUND</t>
  </si>
  <si>
    <t>PACIFIC INVESTMENT MANAGEMENT COMPANY LLC, SOLELY IN ITS CAPACITY AS ADVISOR ON BEHALF OF EMPLOYEES' RETIREMENT SYSTEM OF BALTIMORE COUNTY</t>
  </si>
  <si>
    <t>PACIFIC INVESTMENT MANAGEMENT COMPANY LLC, SOLELY IN ITS CAPACITY AS ADVISOR ON BEHALF OF PILKINGTON BROTHERS SUPERANNUATION TRUSTEE LIMITED AS TRUSTEE OF THE PILKINGTON SUPERANNUATION SCHEME</t>
  </si>
  <si>
    <t>PIMCO 2329</t>
  </si>
  <si>
    <t>PACIFIC INVESTMENT MANAGEMENT COMPANY LLC, SOLELY IN ITS CAPACITY AS ADVISOR ON BEHALF OF  GM INVESTMENT TRUSTEES LIMITED AS TRUSTEE OF THE GM INTERNATIONAL FIXED INTEREST BONDS PFPV</t>
  </si>
  <si>
    <t>PACIFIC INVESTMENT MANAGEMENT COMPANY LLC, SOLELY IN ITS CAPACITY AS ADVISOR ON BEHALF OF ISAMARE LIMITED</t>
  </si>
  <si>
    <t>PACIFIC INVESTMENT MANAGEMENT COMPANY LLC, SOLELY IN ITS CAPACITY AS ADVISOR ON BEHALF OF MND HOLDINGS (PRIVATE) LIMITED</t>
  </si>
  <si>
    <t>PACIFIC INVESTMENT MANAGEMENT COMPANY LLC, SOLELY IN ITS CAPACITY AS ADVISOR ON BEHALF OF ALEPPA FUNDING II LLC</t>
  </si>
  <si>
    <t>PACIFIC INVESTMENT MANAGEMENT COMPANY LLC, SOLELY IN ITS CAPACITY AS ADVISOR ON BEHALF OF SOCIETE GENERALE AS TRUSTEE OF THE TOTAL RETURN</t>
  </si>
  <si>
    <t>PIMCO 2328</t>
  </si>
  <si>
    <t>PACIFIC INVESTMENT MANAGEMENT COMPANY LLC, SOLELY IN ITS CAPACITY AS ADVISOR ON BEHALF OF RUTHERFORD INDEMNITY LIMITED</t>
  </si>
  <si>
    <t>PACIFIC INVESTMENT MANAGEMENT COMPANY LLC, SOLELY IN ITS CAPACITY AS ADVISOR ON BEHALF OF MULLER GROUP INC. DEFINED BENEFIT MASTER TRUST</t>
  </si>
  <si>
    <t>PACIFIC INVESTMENT MANAGEMENT COMPANY LLC, SOLELY IN ITS CAPACITY AS ADVISOR ON BEHALF OF AZL PIMCO TARGETPLUS BALANCED FUND- DIVERSIFIED INCOME</t>
  </si>
  <si>
    <t>PACIFIC INVESTMENT MANAGEMENT COMPANY LLC, SOLELY IN ITS CAPACITY AS ADVISOR ON BEHALF OF AZL PIMCO TARGETPLUS BALANCED FUND- TOTAL RETURN</t>
  </si>
  <si>
    <t>PACIFIC INVESTMENT MANAGEMENT COMPANY LLC, SOLELY IN ITS CAPACITY AS ADVISOR ON BEHALF OF  THE NEW ZEALAND GUARDIAN TRUST COMPANY LIMITED AS TRUSTEE OF WUT 24</t>
  </si>
  <si>
    <t>PACIFIC INVESTMENT MANAGEMENT COMPANY LLC, SOLELY IN ITS CAPACITY AS ADVISOR ON BEHALF OF D S SMITH PENSION TRUSTEES LIMITED AS TRUSTEE OF THE D S SMITH GROUP PENSION SCHEME</t>
  </si>
  <si>
    <t>PACIFIC INVESTMENT MANAGEMENT COMPANY LLC, SOLELY IN ITS CAPACITY AS ADVISOR ON BEHALF OF CUMMINS UK PENSION PLAN TRUSTEE LIMITED AS TRUSTEE FOR THE CUMMINS UK PENSION SCHEME</t>
  </si>
  <si>
    <t>PACIFIC INVESTMENT MANAGEMENT COMPANY LLC, SOLELY IN ITS CAPACITY AS ADVISOR ON BEHALF OF THE DAVID A. DUFFIELD TRUST</t>
  </si>
  <si>
    <t>PACIFIC INVESTMENT MANAGEMENT COMPANY LLC, SOLELY IN ITS CAPACITY AS ADVISOR ON BEHALF OF THE UNIVERSITY OF TEXAS INVESTMENT MANAGEMENT COMPANY.</t>
  </si>
  <si>
    <t>PACIFIC INVESTMENT MANAGEMENT COMPANY LLC, SOLELY IN ITS CAPACITY AS ADVISOR ON BEHALF OF THE UNIVERSITY OF TEXAS INVESTMENT MANAGEMENT COMPANY</t>
  </si>
  <si>
    <t>PACIFIC INVESTMENT MANAGEMENT COMPANY LLC, SOLELY IN ITS CAPACITY AS ADVISOR ON BEHALF OF THE HOOVER TRUST FUND (1987) LIMITED AS TRUSTEE OF THE HOOVER (1987) PENSION SCHEME</t>
  </si>
  <si>
    <t>PACIFIC INVESTMENT MANAGEMENT COMPANY LLC, SOLELY IN ITS CAPACITY AS ADVISOR ON BEHALF OF CIVIL AVIATION AUTHORITY OF SINGAPORE</t>
  </si>
  <si>
    <t>PACIFIC INVESTMENT MANAGEMENT COMPANY LLC, SOLELY IN ITS CAPACITY AS ADVISOR ON BEHALF OF EMPLOYEES RETIREMENT PLAN OF SENTARA HEALTH SYSTEM</t>
  </si>
  <si>
    <t>PACIFIC INVESTMENT MANAGEMENT COMPANY LLC, SOLELY IN ITS CAPACITY AS ADVISOR ON BEHALF OF BANK OF BERMUDA (CAYMAN) LIMITED AS TRUSTEE OF STEALTH GROWTH FUND</t>
  </si>
  <si>
    <t>PACIFIC INVESTMENT MANAGEMENT COMPANY LLC, SOLELY IN ITS CAPACITY AS ADVISOR ON BEHALF OF TOP MANAGERS US FIXED INCOME FUND</t>
  </si>
  <si>
    <t>PACIFIC INVESTMENT MANAGEMENT COMPANY LLC, SOLELY IN ITS CAPACITY AS ADVISOR ON BEHALF OF CABLE &amp; WIRELESS PENSION TRUSTEE LIMITED AS TRUSTEE OF THE CABLE &amp; WIRELESS SUPERANNUATION FUND</t>
  </si>
  <si>
    <t>PACIFIC INVESTMENT MANAGEMENT COMPANY LLC, SOLELY IN ITS CAPACITY AS ADVISOR ON BEHALF OF WRIGLEY RETIREMENT TRUST</t>
  </si>
  <si>
    <t>PACIFIC INVESTMENT MANAGEMENT COMPANY LLC, SOLELY IN ITS CAPACITY AS ADVISOR ON BEHALF OF THE GAVI FUND</t>
  </si>
  <si>
    <t>PACIFIC INVESTMENT MANAGEMENT COMPANY LLC, SOLELY IN ITS CAPACITY AS ADVISOR ON BEHALF OF UNITED AIRLINES PILOT DIRECTED ACCOUNT PLAN</t>
  </si>
  <si>
    <t>PACIFIC INVESTMENT MANAGEMENT COMPANY LLC, SOLELY IN ITS CAPACITY AS ADVISOR ON BEHALF OF CHI RETIREMENT PLAN</t>
  </si>
  <si>
    <t>PACIFIC INVESTMENT MANAGEMENT COMPANY LLC, SOLELY IN ITS CAPACITY AS ADVISOR ON BEHALF OF PIMCO FUNDS: GLOBAL INVESTORS SERIES PLC UD DOLLAR SHORT-TERM FUND</t>
  </si>
  <si>
    <t>PIMCO 6317</t>
  </si>
  <si>
    <t>PACIFIC INVESTMENT MANAGEMENT COMPANY LLC, SOLELY IN ITS CAPACITY AS ADVISOR ON BEHALF OF THE INVESTMENT TRUSTEES OF THE NEI COMMON INVESTMENT FUND</t>
  </si>
  <si>
    <t>PACIFIC INVESTMENT MANAGEMENT COMPANY LLC, SOLELY IN ITS CAPACITY AS ADVISOR ON BEHALF OF AMEREN RETIREMENT PLAN</t>
  </si>
  <si>
    <t>PACIFIC INVESTMENT MANAGEMENT COMPANY LLC, SOLELY IN ITS CAPACITY AS ADVISOR ON BEHALF OF RED RIVER HYPI, L.P.</t>
  </si>
  <si>
    <t>PACIFIC INVESTMENT MANAGEMENT COMPANY LLC, SOLELY IN ITS CAPACITY AS ADVISOR ON BEHALF OF BROWN BROTHERS HARRIMAN TRUST COMPANY (CAYMAN) LIMITED AS TRUSTEE ON BEHALF OF THE PIMCO BERMUDA TRUST IV - PIMCO BERMUDA COMMODITYREALRETURN STRATEGY FUND</t>
  </si>
  <si>
    <t>PACIFIC INVESTMENT MANAGEMENT COMPANY LLC, SOLELY IN ITS CAPACITY AS ADVISOR ON BEHALF OF BROWN BROTHERS HARRIMAN TRUST COMPANY (CAYMAN) LIMITED AS TRUSTEE ON BEHALF OF THE PIMCO CAYMAN TRUST - PIMCO CAYMAN HIGH-GRADE SHORT-TERM (YEN-HEDGED) FUND</t>
  </si>
  <si>
    <t>PACIFIC INVESTMENT MANAGEMENT COMPANY LLC, SOLELY IN ITS CAPACITY AS ADVISOR ON BEHALF OF BROWN BROTHERS HARRIMAN TRUST COMPANY (CAYMAN) LIMITED AS TRUSTEE ON BEHALF OF THE PIMCO CAYMAN TRUST - PIMCO CAYMAN GLOBAL AGGEREGATE EX-JAPAN (YEN-HEDGED) BOND FUN</t>
  </si>
  <si>
    <t>PACIFIC INVESTMENT MANAGEMENT COMPANY LLC, SOLELY IN ITS CAPACITY AS ADVISOR ON BEHALF OF BROWN BROTHERS HARRIMAN TRUST COMPANY (CAYMAN) LIMITED AS TRUSTEE ON BEHALF OF THE PIMCO BERMUDA TRUST IV - PIMCO BERMUDA GLOBAL BOND STRATEGY FUND</t>
  </si>
  <si>
    <t>PACIFIC INVESTMENT MANAGEMENT COMPANY LLC, SOLELY IN ITS CAPACITY AS ADVISOR ON BEHALF OF BROWN BROTHERS HARRIMAN TRUST COMPANY (CAYMAN) LIMITED AS TRUSTEE ON BEHALF OF THE PIMCO BERMUDA TRUST IV - PIMCO BERMUDA COMMODITY REALRETURN STRATEGY FUND II (JPY,</t>
  </si>
  <si>
    <t>PACIFIC INVESTMENT MANAGEMENT COMPANY LLC, SOLELY IN ITS CAPACITY AS ADVISOR ON BEHALF OF WALKERS FUND SERVICES LIMITED AS TRUSTEE OF THE PIMCO OFFSHORE FUNDS: OVERLAY STRATEGIES FUND 1</t>
  </si>
  <si>
    <t>PACIFIC INVESTMENT MANAGEMENT COMPANY LLC, SOLELY IN ITS CAPACITY AS ADVISOR ON BEHALF OF PREMIER VIT - OPCAP MANAGED PORTFOLIO</t>
  </si>
  <si>
    <t>PACIFIC INVESTMENT MANAGEMENT COMPANY LLC, SOLELY IN ITS CAPACITY AS ADVISOR ON BEHALF OF UFJ TRUST BANK LIMITED AS TRUSTEE ON BEHALF OF PIMCO JGB FLOATER FUND</t>
  </si>
  <si>
    <t>PACIFIC INVESTMENT MANAGEMENT COMPANY LLC, SOLELY IN ITS CAPACITY AS ADVISOR ON BEHALF OF LINCE NETHERLANDS, B.V.</t>
  </si>
  <si>
    <t>PACIFIC INVESTMENT MANAGEMENT COMPANY LLC, SOLELY IN ITS CAPACITY AS ADVISOR ON BEHALF OF PIMCO BROAD MARKET STOCKSPLUS TOTAL RETURN FUND</t>
  </si>
  <si>
    <t>PACIFIC INVESTMENT MANAGEMENT COMPANY LLC, SOLELY IN ITS CAPACITY AS ADVISOR ON BEHALF OF MULTICARE HEALTH SYSTEMS</t>
  </si>
  <si>
    <t>PACIFIC INVESTMENT MANAGEMENT COMPANY LLC, SOLELY IN ITS CAPACITY AS ADVISOR ON BEHALF OF HELSINGFORS INVESTMENTS</t>
  </si>
  <si>
    <t>PACIFIC INVESTMENT MANAGEMENT COMPANY LLC, SOLELY IN ITS CAPACITY AS ADVISOR ON BEHALF OF MARS UK PENSION FUND</t>
  </si>
  <si>
    <t>PACIFIC INVESTMENT MANAGEMENT COMPANY LLC, SOLELY IN ITS CAPACITY AS ADVISOR ON BEHALF OF CS BOND STRATEGY LTD.</t>
  </si>
  <si>
    <t>PACIFIC INVESTMENT MANAGEMENT COMPANY LLC, SOLELY IN ITS CAPACITY AS ADVISOR ON BEHALF OF QUANTA REINSURANCE LTD.</t>
  </si>
  <si>
    <t>PACIFIC INVESTMENT MANAGEMENT COMPANY LLC, SOLELY IN ITS CAPACITY AS ADVISOR ON BEHALF OF BROWN BROTHERS HARRIMAN TRUST COMPANY (CAYMAN) LIMITED AS TRUSTEE ON BEHALF OF THE PIMCO CAYMAN TRUST PIMCO CAYMAN JAPAN COREPLUS FUND</t>
  </si>
  <si>
    <t>PACIFIC INVESTMENT MANAGEMENT COMPANY LLC, SOLELY IN ITS CAPACITY AS ADVISOR ON BEHALF OF PIMCO MUNICIPAL EDGE, LLC</t>
  </si>
  <si>
    <t>PACIFIC INVESTMENT MANAGEMENT COMPANY LLC, SOLELY IN ITS CAPACITY AS ADVISOR ON BEHALF OF JACUZZI BRANDS, INC. MASTER TRUST</t>
  </si>
  <si>
    <t>PACIFIC INVESTMENT MANAGEMENT COMPANY LLC, SOLELY IN ITS CAPACITY AS ADVISOR ON BEHALF OF EWING MARION KAUFFMAN FOUNDATION</t>
  </si>
  <si>
    <t>PIMCO 2334</t>
  </si>
  <si>
    <t>LG ELECTRONICS REYNOSA SA DE CV</t>
  </si>
  <si>
    <t>PACIFIC INVESTMENT MANAGEMENT COMPANY LLC, SOLELY IN ITS CAPACITY AS ADVISOR ON BEHALF OF ONDERLINGE WAARBORGMAATSCHAPPIJ CENTRALE ZORGVERZEKERAARS GROEP, ZORGVERZEKERAAR U.A.</t>
  </si>
  <si>
    <t>PACIFIC INVESTMENT MANAGEMENT COMPANY LLC, SOLELY IN ITS CAPACITY AS ADVISOR ON BEHALF OF GENCORP MASTER RETIREMENT TRUST</t>
  </si>
  <si>
    <t>PACIFIC INVESTMENT MANAGEMENT COMPANY LLC, SOLELY IN ITS CAPACITY AS ADVISOR ON BEHALF OF MEADWESTVACO CORPORATTION RETIREMENT PLAN FOR SALARIED EMPLOYEES</t>
  </si>
  <si>
    <t>PACIFIC INVESTMENT MANAGEMENT COMPANY LLC, SOLELY IN ITS CAPACITY AS ADVISOR ON BEHALF OF DMC INSURANCE CO., LTD.</t>
  </si>
  <si>
    <t>ATHLETICS CANADA</t>
  </si>
  <si>
    <t>CAPITALTECH FINANCIAL SAPI DE CV SOFOM ENR</t>
  </si>
  <si>
    <t>DIEGO DE ANDA MARTIN</t>
  </si>
  <si>
    <t>IMPULSORA HOTELERA RIO CULIACAN SA DE CV</t>
  </si>
  <si>
    <t>PRO PROFIT LABOR DE MEXICO S DE RL DE CV</t>
  </si>
  <si>
    <t>PACIFIC INVESTMENT MANAGEMENT COMPANY LLC, SOLELY IN ITS CAPACITY AS ADVISOR ON BEHALF OF BROWN BROTHERS HARRIMAN TRUST COMPANY (CAYMAN) LIMITED AS TRUSTEE ON BEHALF OF THE PIMCO CAYMAN TRUST - PIMCO CAYMAN LIMITED DURATION FUND</t>
  </si>
  <si>
    <t>PACIFIC INVESTMENT MANAGEMENT COMPANY LLC, SOLELY IN ITS CAPACITY AS ADVISOR ON BEHALF OF PIMCO LUXEMBOURG S.A. FOR ACCOUNT OF PIMCO LUXEMBOURG TRUST UK- STOCKSPLUS TR FUND</t>
  </si>
  <si>
    <t>PACIFIC INVESTMENT MANAGEMENT COMPANY LLC, SOLELY IN ITS CAPACITY AS ADVISOR ON BEHALF OF BNY FUND MANAGEMENT (CAYMAN) LIMITED AS TRUSTEE OF THE PACIFIC HIGH GRADE FUND</t>
  </si>
  <si>
    <t>PACIFIC INVESTMENT MANAGEMENT COMPANY LLC, SOLELY IN ITS CAPACITY AS ADVISOR ON BEHALF OF FIRST CARIBBEAN INTERNATIONAL BANK (BAHAMAS) LTD.</t>
  </si>
  <si>
    <t>PACIFIC INVESTMENT MANAGEMENT COMPANY LLC, SOLELY IN ITS CAPACITY AS ADVISOR ON BEHALF OF JOHNS HOPKINS UNIVERSITY</t>
  </si>
  <si>
    <t>IOOF INVESTMENT MANAGEMENT LIMITED - IOOF MULTIMIX WHOLESALE DIVERSIFIED FIXED INTEREST TRUST</t>
  </si>
  <si>
    <t>PACIFIC INVESTMENT MANAGEMENT COMPANY LLC, SOLELY IN ITS CAPACITY AS ADVISOR ON BEHALF OF CARPENTERS PENSION FUND OF ILLINOIS</t>
  </si>
  <si>
    <t>PACIFIC INVESTMENT MANAGEMENT COMPANY LLC, SOLELY IN ITS CAPACITY AS ADVISOR ON BEHALF OF INTEGRO HOLDINGS, LTD.</t>
  </si>
  <si>
    <t>PACIFIC INVESTMENT MANAGEMENT COMPANY LLC, SOLELY IN ITS CAPACITY AS ADVISOR ON BEHALF OF HIGHLAND ENHANCED VARIABLE RATE FUND LTD.</t>
  </si>
  <si>
    <t>PACIFIC INVESTMENT MANAGEMENT COMPANY LLC, SOLELY IN ITS CAPACITY AS ADVISOR ON BEHALF OF BROWN BROTHERS HARRIMAN TRUST COMPANY (CAYMAN) LIMITED AS TRUSTEE ON BEHALF OF THE PIMCO CAYMAN TRUST - PIMCO CAYMAN TOPIX PLUS FUND</t>
  </si>
  <si>
    <t>PACIFIC INVESTMENT MANAGEMENT COMPANY LLC, SOLELY IN ITS CAPACITY AS ADVISOR ON BEHALF OF MULTI-STYLE, MULTI-MANAGER FUNDS PLC - THE GLOBAL BOND (EURO HEDGED) FUND</t>
  </si>
  <si>
    <t>PACIFIC INVESTMENT MANAGEMENT COMPANY LLC, SOLELY IN ITS CAPACITY AS ADVISOR ON BEHALF OF CEA PIMCO DT FUND</t>
  </si>
  <si>
    <t>PACIFIC INVESTMENT MANAGEMENT COMPANY LLC, SOLELY IN ITS CAPACITY AS ADVISOR ON BEHALF OF SOUTHERN CALIFORNIA UNITED FOOD AND COMMERCIAL WORKERS UNION AND FOOD EMPLOYERS JOINT PENSION TRUST FUND</t>
  </si>
  <si>
    <t>PACIFIC INVESTMENT MANAGEMENT COMPANY LLC, SOLELY IN ITS CAPACITY AS ADVISOR ON BEHALF OF STRATEGIC PARTNERS STYLE SPECIFIC FUNDS: STRATEGIC PARTNERS TOTAL RETURN BOND FUND</t>
  </si>
  <si>
    <t>PACIFIC INVESTMENT MANAGEMENT COMPANY LLC, SOLELY IN ITS CAPACITY AS ADVISOR ON BEHALF OF BNY FUND MANAGEMENT (CAYMAN) LIMITED AS TRUSTEE ON BEHALF OF PIMCO EUROPEAN INVESTMENT GRADE FUND</t>
  </si>
  <si>
    <t>PACIFIC INVESTMENT MANAGEMENT COMPANY LLC, SOLELY IN ITS CAPACITY AS ADVISOR ON BEHALF OF NANYANG TECHNOLOGICAL UNIVERSITY</t>
  </si>
  <si>
    <t>PACIFIC INVESTMENT MANAGEMENT COMPANY LLC, SOLELY IN ITS CAPACITY AS ADVISOR ON BEHALF OF STICHTING PENSIOENFONDS GIST BROCADES</t>
  </si>
  <si>
    <t>PACIFIC INVESTMENT MANAGEMENT COMPANY LLC, SOLELY IN ITS CAPACITY AS ADVISOR ON BEHALF OF VOUGHT AIRCRAFT INDUSTRIES, INC. MASTER DEFINED BENEFIT TRUST.</t>
  </si>
  <si>
    <t>PACIFIC INVESTMENT MANAGEMENT COMPANY LLC, SOLELY IN ITS CAPACITY AS ADVISOR ON BEHALF OF MASTER TRUST OF THE CATHOLIC BISHOP OF CHICAGO, A CORPORATION SOLE</t>
  </si>
  <si>
    <t>PACIFIC INVESTMENT MANAGEMENT COMPANY LLC, SOLELY IN ITS CAPACITY AS ADVISOR ON BEHALF OF PIMCO FUNDS: EUROPEAN STOCKSPLUS TR STRATEGY FUND</t>
  </si>
  <si>
    <t>PACIFIC INVESTMENT MANAGEMENT COMPANY LLC, SOLELY IN ITS CAPACITY AS ADVISOR ON BEHALF OF THE PUBLIC EDUCATION EMPLOYEE RETIREMENT SYSTEM OF MISSOURI</t>
  </si>
  <si>
    <t>PACIFIC INVESTMENT MANAGEMENT COMPANY LLC, SOLELY IN ITS CAPACITY AS ADVISOR ON BEHALF OF THE PUBLIC EDUCATION EMPLOYEE RETIREMENT SYSTEM OF MISSOURI.</t>
  </si>
  <si>
    <t>PACIFIC INVESTMENT MANAGEMENT COMPANY LLC, SOLELY IN ITS CAPACITY AS ADVISOR ON BEHALF OF LIANHE INVESTMENTS PTE LTD</t>
  </si>
  <si>
    <t>PACIFIC INVESTMENT MANAGEMENT COMPANY LLC, SOLELY IN ITS CAPACITY AS ADVISOR ON BEHALF OF LEGACY HEALTH SYSTEMS</t>
  </si>
  <si>
    <t>PACIFIC INVESTMENT MANAGEMENT COMPANY LLC, SOLELY IN ITS CAPACITY AS ADVISOR ON BEHALF OF VGZ ZORGVEIZEKERAAR NV</t>
  </si>
  <si>
    <t>PACIFIC INVESTMENT MANAGEMENT COMPANY LLC, SOLELY IN ITS CAPACITY AS ADVISOR ON BEHALF OF KELLER MUNICIPAL ADVANTAGE I, LLC</t>
  </si>
  <si>
    <t>PACIFIC INVESTMENT MANAGEMENT COMPANY LLC, SOLELY IN ITS CAPACITY AS ADVISOR ON BEHALF OF RAYTHEON COMPANY MASTER TRUST FOR DEFINED CONTRIBUTION PLANS</t>
  </si>
  <si>
    <t>PACIFIC INVESTMENT MANAGEMENT COMPANY LLC, SOLELY IN ITS CAPACITY AS ADVISOR ON BEHALF OF  CIBA UK PENSION TRUST LIMITED</t>
  </si>
  <si>
    <t>PACIFIC INVESTMENT MANAGEMENT COMPANY LLC, SOLELY IN ITS CAPACITY AS ADVISOR ON BEHALF OF VISTEON CORPORATION DEFINED BENEFIT MASTER TRUST</t>
  </si>
  <si>
    <t>PACIFIC INVESTMENT MANAGEMENT COMPANY LLC, SOLELY IN ITS CAPACITY AS ADVISOR ON BEHALF OF BROWN UNIVERSITY</t>
  </si>
  <si>
    <t>PACIFIC INVESTMENT MANAGEMENT COMPANY LLC, SOLELY IN ITS CAPACITY AS ADVISOR ON BEHALF OF STICHTING BEDRIJFSPENSIOENFONDS VOOR DE SUIKERVERWERKENDE INDUSTRIE</t>
  </si>
  <si>
    <t>PACIFIC INVESTMENT MANAGEMENT COMPANY LLC, SOLELY IN ITS CAPACITY AS ADVISOR ON BEHALF OF  THE MCCLATCHY COMPANY MASTER RETIREMENT TRUST</t>
  </si>
  <si>
    <t>PACIFIC INVESTMENT MANAGEMENT COMPANY LLC, SOLELY IN ITS CAPACITY AS ADVISOR ON BEHALF OF STICHTING PENSIOENFONDS KAPPA PACKAGING NEDERLAND</t>
  </si>
  <si>
    <t>PACIFIC INVESTMENT MANAGEMENT COMPANY LLC, SOLELY IN ITS CAPACITY AS ADVISOR ON BEHALF OF ASB COMMUNITY TRUST (*LEGAL NAME CHANGE)</t>
  </si>
  <si>
    <t>PACIFIC INVESTMENT MANAGEMENT COMPANY LLC, SOLELY IN ITS CAPACITY AS ADVISOR ON BEHALF OF BROWN BROTHERS HARRIMAN TRUST COMPANY (CAYMAN) LIMITED AS TRUSTEE ON BEHALF OF THE PIMCO BERMUDA TRUST IV - PIMCO BERMUDA COMMODITY REALRETURN STRATEGY FUND II</t>
  </si>
  <si>
    <t>PACIFIC INVESTMENT MANAGEMENT COMPANY LLC, SOLELY IN ITS CAPACITY AS ADVISOR ON BEHALF OF SKANDIA GLOBAL FUNDS PLC - SKANDIA EMERGING MARKET DEBT FUND</t>
  </si>
  <si>
    <t>PIMCO 2310</t>
  </si>
  <si>
    <t>PACIFIC INVESTMENT MANAGEMENT COMPANY LLC, SOLELY IN ITS CAPACITY AS ADVISOR ON BEHALF OF PIMCO CORE PLUS FIXED INCOME FUND</t>
  </si>
  <si>
    <t>PACIFIC INVESTMENT MANAGEMENT COMPANY LLC, SOLELY IN ITS CAPACITY AS ADVISOR ON BEHALF OF CHAI EIGHTEEN INVESTMENT LIMITED</t>
  </si>
  <si>
    <t>PACIFIC INVESTMENT MANAGEMENT COMPANY LLC, SOLELY IN ITS CAPACITY AS ADVISOR ON BEHALF OF AZL PIMCO TARGETPLUS MODERATE FUND - DIVERSIFIED INCOME</t>
  </si>
  <si>
    <t>PACIFIC INVESTMENT MANAGEMENT COMPANY LLC, SOLELY IN ITS CAPACITY AS ADVISOR ON BEHALF OF AZL PIMCO TARGETPLUS MODERATE FUND - TOTAL RETURN</t>
  </si>
  <si>
    <t>PACIFIC INVESTMENT MANAGEMENT COMPANY LLC, SOLELY IN ITS CAPACITY AS ADVISOR ON BEHALF OF HENKEL CONSUMER GOODS INC.</t>
  </si>
  <si>
    <t>PACIFIC INVESTMENT MANAGEMENT COMPANY LLC, SOLELY IN ITS CAPACITY AS ADVISOR ON BEHALF OF AZL PIMCO TARGETPLUS GROWTH FUND - DIVERSIFIED INCOME</t>
  </si>
  <si>
    <t>PACIFIC INVESTMENT MANAGEMENT COMPANY LLC, SOLELY IN ITS CAPACITY AS ADVISOR ON BEHALF OF AZL PIMCO TARGETPLUS GROWTH FUND - TOTAL RETURN</t>
  </si>
  <si>
    <t>PACIFIC INVESTMENT MANAGEMENT COMPANY LLC, SOLELY IN ITS CAPACITY AS ADVISOR ON BEHALF OF BROWN BROTHERS HARRIMAN TRUST COMPANY (CAYMAN) LIMITED AS TRUSTEE ON BEHALF OF THE PIMCO CAYMAN TRUST - PIMCO CAYMAN U.S. LOW DURATION FUND</t>
  </si>
  <si>
    <t>PACIFIC INVESTMENT MANAGEMENT COMPANY LLC, SOLELY IN ITS CAPACITY AS ADVISOR ON BEHALF OF OLIN PENSION PLANS MASTER RETIREMENT TRUST</t>
  </si>
  <si>
    <t>PACIFIC INVESTMENT MANAGEMENT COMPANY LLC, SOLELY IN ITS CAPACITY AS ADVISOR ON BEHALF OF BROWN BROTHERS HARRIMAN TRUST COMPANY (CAYMAN) LIMITED AS TRUSTEE ON BEHALF OF PIMCO BERMUDA TRUST PIMCO BERMUDA JGB FLOATER US ALPHA FUND</t>
  </si>
  <si>
    <t>NETSTREIT CORPORATION</t>
  </si>
  <si>
    <t>PACIFIC INVESTMENT MANAGEMENT COMPANY LLC, SOLELY IN ITS CAPACITY AS ADVISOR ON BEHALF OF PORSCHE BUSINESS SERVICES INC.</t>
  </si>
  <si>
    <t>PACIFIC INVESTMENT MANAGEMENT COMPANY LLC, SOLELY IN ITS CAPACITY AS ADVISOR ON BEHALF OF JOHN HANCOCK INSURANCE COMPANY OF VERMONT FOR THE BENEFIT OF SEPERATE ACCOUNT NO. 113</t>
  </si>
  <si>
    <t>PACIFIC INVESTMENT MANAGEMENT COMPANY LLC, SOLELY IN ITS CAPACITY AS ADVISOR ON BEHALF OF MASTERBRAND INDUSTRIES, INC. MASTER RETIREMENT TRUST</t>
  </si>
  <si>
    <t>COMMONWEALTH BANK OFFICERS SUPERANNUATION CORPORATION PTY LI</t>
  </si>
  <si>
    <t>PACIFIC INVESTMENT MANAGEMENT COMPANY LLC, SOLELY IN ITS CAPACITY AS ADVISOR ON BEHALF OF WALTER INDUSTRIES, INC. SUBSIDIARIES MASTER PENSION TRUST</t>
  </si>
  <si>
    <t>PACIFIC INVESTMENT MANAGEMENT COMPANY LLC, SOLELY IN ITS CAPACITY AS ADVISOR ON BEHALF OF PIMCO FUNDS: GLOBAL INVESTORS SERIES PLC EURO STOCKSPLUS TOTAL RETURN FUND</t>
  </si>
  <si>
    <t>PACIFIC INVESTMENT MANAGEMENT COMPANY LLC, SOLELY IN ITS CAPACITY AS ADVISOR ON BEHALF OF EQUITY TRUSTEES LIMITED AS RESPONSIBLE ENTITY FOR PIMCO GLOBAL</t>
  </si>
  <si>
    <t>PACIFIC INVESTMENT MANAGEMENT COMPANY LLC, SOLELY IN ITS CAPACITY AS ADVISOR ON BEHALF OF BROWN BROTHERS HARRIMAN TRUST COMPANY (CAYMAN) LIMITED AS TRUSTEE ON BEHALF OF THE PIMCO BERMUDA TRUST IV - PIMCO BERMUDA GLOBAL EX-JAPAN STOCKSPLUS FUND</t>
  </si>
  <si>
    <t>PACIFIC INVESTMENT MANAGEMENT COMPANY LLC, SOLELY IN ITS CAPACITY AS ADVISOR ON BEHALF OF THE ROLLS-ROYCE PENSION FUND</t>
  </si>
  <si>
    <t>PACIFIC INVESTMENT MANAGEMENT COMPANY LLC, SOLELY IN ITS CAPACITY AS ADVISOR ON BEHALF OF THE SUPERMARKETS GENERAL CORPORATION MASTER RETIREMENT TRUST</t>
  </si>
  <si>
    <t>PACIFIC INVESTMENT MANAGEMENT COMPANY LLC, SOLELY IN ITS CAPACITY AS ADVISOR ON BEHALF OF BROWN BROTHERS HARRIMAN TRUST COMPANY (CAYMAN) LIMITED AS TRUSTEE ON BEHALF OF PIMCO BERMUDA TRUST PIMCO BERMUDA JGB FLOATER FOREIGN ALPHA FUND</t>
  </si>
  <si>
    <t>PACIFIC INVESTMENT MANAGEMENT COMPANY LLC, SOLELY IN ITS CAPACITY AS ADVISOR ON BEHALF OF WESTINGHOUSE SAVINGS PROGRAM MASTER TRUST</t>
  </si>
  <si>
    <t>PACIFIC INVESTMENT MANAGEMENT COMPANY LLC, SOLELY IN ITS CAPACITY AS ADVISOR ON BEHALF OF THE TRUSTEE OF THE VICKERS GROUP PENSION SCHEME</t>
  </si>
  <si>
    <t>PACIFIC INVESTMENT MANAGEMENT COMPANY LLC, SOLELY IN ITS CAPACITY AS ADVISOR ON BEHALF OF THE TRUSTEES OF THE PORTMAN BUILDING SOCIETY PENSION AND ASSURANCE SCHEME</t>
  </si>
  <si>
    <t>MACKENZIE CL GLOBAL RESOURCE LP</t>
  </si>
  <si>
    <t>PACIFIC INVESTMENT MANAGEMENT COMPANY LLC, SOLELY IN ITS CAPACITY AS ADVISOR ON BEHALF OF HOELZLE-JOEL LIVING TRUST DATED DECEMBER 8, 2003</t>
  </si>
  <si>
    <t>PACIFIC INVESTMENT MANAGEMENT COMPANY LLC, SOLELY IN ITS CAPACITY AS ADVISOR ON BEHALF OF  THE GOV'T OF THE REPUBLIC OF SINGAPORE, AS REPRESENTED BY THE BOARD OF TRUSTEES OF THE SAVER-PREMIUM FUND PIMCO FUNDS Barclays Multi-MGR fund public limited company</t>
  </si>
  <si>
    <t>LEAN APP SA DE CV</t>
  </si>
  <si>
    <t>PACIFIC SIGN GROUP INC</t>
  </si>
  <si>
    <t>CANADA LIFE GLOBAL RESOURCES FUND</t>
  </si>
  <si>
    <t>1627198 ONTARIO INC</t>
  </si>
  <si>
    <t>ALEJANDRO GARZA WILSON</t>
  </si>
  <si>
    <t>ANMORE ENTERPRISES LTD</t>
  </si>
  <si>
    <t>CARLOS ALBERTO GRISI MARISCAL</t>
  </si>
  <si>
    <t>COMERCIAL GIZI SA DE CV</t>
  </si>
  <si>
    <t>EDMUNDO ARZATE PRADO</t>
  </si>
  <si>
    <t>FELIPE DE ITURBE Y BERNAL</t>
  </si>
  <si>
    <t>FUAD ABED DALTON</t>
  </si>
  <si>
    <t>GABRIEL BORUNDA GUERRERO</t>
  </si>
  <si>
    <t>INDIAN FORCE CORPORATION S DE RL DE CV</t>
  </si>
  <si>
    <t>IMPRIMERIE GAUVIN LTEE</t>
  </si>
  <si>
    <t>INFORMATICA ALTAIR MEXICO S DE RL DE CV</t>
  </si>
  <si>
    <t>ISABEL FILOMENA ZAPATA OSCOZ</t>
  </si>
  <si>
    <t>ITALIAN PRODUCE CO LIMITED</t>
  </si>
  <si>
    <t>JUAN JOSE DE LA PUENTE FERNANDEZ</t>
  </si>
  <si>
    <t>JUAN PAULO ENRIQUEZ MIRANDA</t>
  </si>
  <si>
    <t>MARIA TERESA FRANCO PONCE</t>
  </si>
  <si>
    <t>PROMOTORA JPE SA DE CV</t>
  </si>
  <si>
    <t>SALVADOR VALLE OLVERA</t>
  </si>
  <si>
    <t>VERONICA BOLIO MEDINA</t>
  </si>
  <si>
    <t>PACIFIC INVESTMENT MANAGEMENT COMPANY LLC, SOLELY IN ITS CAPACITY AS ADVISOR ON BEHALF OF PIMCO VARIABLE INSURANCE TRUST TOTAL RETURN PORTFOLIO II</t>
  </si>
  <si>
    <t>PACIFIC INVESTMENT MANAGEMENT COMPANY LLC, SOLELY IN ITS CAPACITY AS ADVISOR ON BEHALF OF UNIVERSITY OF COLORADO FOUNDATION</t>
  </si>
  <si>
    <t>PACIFIC INVESTMENT MANAGEMENT COMPANY LLC,  SOLELY IN ITS CAPACITY AS ADVISOR ON BEHALF OF VAN LEER GROUP FOUNDATION.</t>
  </si>
  <si>
    <t>PACIFIC INVESTMENT MANAGEMENT COMPANY LLC, SOLELY IN ITS CAPACITY AS ADVISOR ON BEHALF OF SOBRATO DELELOPMENT COMPANY NO. 060, A CALIFORNIA LIMITED PARTNERSHIP</t>
  </si>
  <si>
    <t>IA CLARINGTON INVESTMENTS INC. ON BEHALF OF AFFILIATED FUNDS</t>
  </si>
  <si>
    <t>PACIFIC INVESTMENT MANAGEMENT COMPANY LLC, SOLELY IN ITS CAPACITY AS ADVISOR ON BEHALF OF PARK EMPLOYEES' AND RETIREMENT BOARD EMPLOYEES' ANNUITY AND BENEFIT FUND</t>
  </si>
  <si>
    <t>PICTON MAHONEY FORTIFIED EQUITY FUND PFEQAL</t>
  </si>
  <si>
    <t>PICTON MAHONEY FORTIFIED EQUITY FUND</t>
  </si>
  <si>
    <t>PICTON MAHONEY FORTIFIED EQUITY FUND PFEQCL</t>
  </si>
  <si>
    <t>PICTON MAHONEY FORTIFIED EQUITY US</t>
  </si>
  <si>
    <t>GRAHAM MACRO BLOCK CDEA</t>
  </si>
  <si>
    <t>BMO TACTICAL GLOBAL BOND ETF FUND</t>
  </si>
  <si>
    <t>TD ASSET MANAGEMENT 2237001</t>
  </si>
  <si>
    <t>SELECT US EQUITY POOL</t>
  </si>
  <si>
    <t>5993092 MANITOBA LTD</t>
  </si>
  <si>
    <t>ALEJANDRO MARTIN DEL CAMPO CERDA</t>
  </si>
  <si>
    <t>ALEJANDRO SAENZ CASTILLO</t>
  </si>
  <si>
    <t>ANDRES SANCHEZ BRUHN</t>
  </si>
  <si>
    <t>CANADA CAR COLOR INC.</t>
  </si>
  <si>
    <t>DANIEL ACHAR SITT</t>
  </si>
  <si>
    <t>EDUARDO MONROY CORONA</t>
  </si>
  <si>
    <t>FABIO BLANCARTE DIAZ</t>
  </si>
  <si>
    <t>GABRIELA FIGUEROA CAVAZOS</t>
  </si>
  <si>
    <t>GERARDO GONZALEZ FERNANDEZ</t>
  </si>
  <si>
    <t>GLOBAL REFINISHING IMPORTS LTD</t>
  </si>
  <si>
    <t>INB DE MEXICO SA DE CV</t>
  </si>
  <si>
    <t>IRMA GUILLERMINA TRUJILLO BARRAGAN</t>
  </si>
  <si>
    <t>JOSE ANTONIO FORTES ALVAREZ</t>
  </si>
  <si>
    <t>JOSE DE JESUS VALDEZ SIMANCAS</t>
  </si>
  <si>
    <t>KARLA SANCHEZ BRUHN</t>
  </si>
  <si>
    <t>OASIS LEISURE CENTRE INC.</t>
  </si>
  <si>
    <t>OLGA DELGADO GARCIA</t>
  </si>
  <si>
    <t>PHOTO STOCK SA DE CV</t>
  </si>
  <si>
    <t>PROACTIVE GROUP HOLDINGS INC.</t>
  </si>
  <si>
    <t>SARA FRANCISCA RUIZ DIAZ</t>
  </si>
  <si>
    <t>SARA WAISBURD KRETINGER</t>
  </si>
  <si>
    <t>SOLACE POWER INC.</t>
  </si>
  <si>
    <t>VANESSA MARIA ESQUINO GONZALEZ</t>
  </si>
  <si>
    <t>VIRGINIA HERMOSILLO</t>
  </si>
  <si>
    <t>FIRST TRUST EXCHANGE -TRADED FUND VIII - FIRST TRUST SKYBRIDGE CRYPTO LEADERS ETF</t>
  </si>
  <si>
    <t>GIBSON ENERGY INC</t>
  </si>
  <si>
    <t>PACIFIC INVESTMENT MANAGEMENT COMPANY LLC, SOLELY IN ITS CAPACITY AS ADVISOR ON BEHALF OF NORTHWESTERN MEMORIAL HEALTHCARE</t>
  </si>
  <si>
    <t>PACIFIC INVESTMENT MANAGEMENT COMPANY LLC, SOLELY IN ITS CAPACITY AS ADVISOR ON BEHALF OF BABCOCK INTERNATIONAL GROUP PENSION SCHEME</t>
  </si>
  <si>
    <t>ARTURO WOLF LISKER HALPERT</t>
  </si>
  <si>
    <t>DUPRAY VENTURES INC</t>
  </si>
  <si>
    <t>LA PUNTA CELESTE BEACH S DE RL DE CV</t>
  </si>
  <si>
    <t>MARIA CECILIA AZCARRAGA ANDRADE</t>
  </si>
  <si>
    <t>55 TOWN CENTRE HOLDINGS LTD</t>
  </si>
  <si>
    <t>PACIFIC WESTERN BREWING COMPANY LTD</t>
  </si>
  <si>
    <t>AECO GAS STORAGE PARTNERSHIP</t>
  </si>
  <si>
    <t>BLOOR @ TOWNLINE INC</t>
  </si>
  <si>
    <t>6834205 CANADA INC</t>
  </si>
  <si>
    <t>COMERCIALIZADORA NUNKAR SA DE CV</t>
  </si>
  <si>
    <t>DISENOS Y CONSTRUCCION LYP SA DE CV</t>
  </si>
  <si>
    <t>DOLORES DAHLHAUS HOLSTE</t>
  </si>
  <si>
    <t>HMMR4 SA DE CV</t>
  </si>
  <si>
    <t>MARIA DE LAS MERCEDES HERNANDEZ FERNANDEZ</t>
  </si>
  <si>
    <t>OMAR DIAZ LOMELIN</t>
  </si>
  <si>
    <t>PRINCER SPR DE RL</t>
  </si>
  <si>
    <t>RAQUEL BIRMAN FURMAN</t>
  </si>
  <si>
    <t>SOFIA SALIM PONCE</t>
  </si>
  <si>
    <t>AFP INTEGRA S.A.</t>
  </si>
  <si>
    <t>CANOE FINANCIAL LP (FAMILY OF FUNDS)</t>
  </si>
  <si>
    <t>PICTON MAHONEY CANADIAN 130/30 PENSION ONE</t>
  </si>
  <si>
    <t>BROAD REACH INVESTMENT MANAGEMENT LLP - BLOCK TRADE</t>
  </si>
  <si>
    <t>CANSO BANK LOAN FUND</t>
  </si>
  <si>
    <t>GENERAL MOTORS CANADIAN HOURLY EMPLOYEES PENSION PLAN - UNIVERSE BOND</t>
  </si>
  <si>
    <t>MANULIFE GLOBAL FOCUSED BALANCE FUND FI SLEEVE</t>
  </si>
  <si>
    <t>ANTONIO ANDERE PEREZ MORENO</t>
  </si>
  <si>
    <t>ANTONIO SEBASTIAN LUCIO FRANCISCO SOUZA SALDIVAR</t>
  </si>
  <si>
    <t>INES MARTIN DEL CAMPO GOMEZ DE PARADA</t>
  </si>
  <si>
    <t>KERALTY MEXICO SA DE CV</t>
  </si>
  <si>
    <t>SWIRE INTERMEDIARIO DE REASEGURO SA DE CV</t>
  </si>
  <si>
    <t>RBC GLOBAL EQUITY FOCUS PENSION TRUST</t>
  </si>
  <si>
    <t>NATIONAL FEDERATION OF FISHERIES COOPERATIVES</t>
  </si>
  <si>
    <t>DIAMONDBACK E&amp;P LLC</t>
  </si>
  <si>
    <t>BMO TACTICAL GLOBAL EQUITY ETF FUND</t>
  </si>
  <si>
    <t>CLS BANK</t>
  </si>
  <si>
    <t>2655 LR INC</t>
  </si>
  <si>
    <t>2655LR INC</t>
  </si>
  <si>
    <t>PACIFIC INVESTMENT MANAGEMENT COMPANY LLC, SOLELY IN ITS CAPACITY AS ADVISOR ON BEHALF OF SISTERS OF MERCY HEALTH SYSTEM, ST. LOUIS, INC.</t>
  </si>
  <si>
    <t>LAWRENCE PARK CAPITAL PARTNERS LTD AS AGENT FOR AFFILIATED FUNDS</t>
  </si>
  <si>
    <t>INTERNATIONAL EQUITY ALPHA CORPORATE CLASS</t>
  </si>
  <si>
    <t>NHL CANADA FUNDING LP</t>
  </si>
  <si>
    <t>SEI INVESTMENTS CANADIAN FIXED INCOME FUND</t>
  </si>
  <si>
    <t>AGROPRO LLC</t>
  </si>
  <si>
    <t>AUTOWORKS WOODBRIDGE, LP</t>
  </si>
  <si>
    <t>BANCO INVEX SA IBM INVEX GRUPO FINANCIERO FID 635</t>
  </si>
  <si>
    <t>FEDERICO CASAS ALATRISTE URQUIZA</t>
  </si>
  <si>
    <t>GUILLERMO ARIZMENDI PEDRAJO</t>
  </si>
  <si>
    <t>MARIA LUISA CEVALLOS ELIZONDO</t>
  </si>
  <si>
    <t>VANCOUVER-MP,LP</t>
  </si>
  <si>
    <t>WOODBRIDGE-MC LP</t>
  </si>
  <si>
    <t>YOLANDA MARGARITA TERCERO ROMO</t>
  </si>
  <si>
    <t>PACIFIC INVESTMENT MANAGEMENT COMPANY LLC, SOLELY IN ITS CAPACITY AS ADVISOR ON BEHALF OF ALLIANZ SE REINSURANCE BRANCH ASIA PACIFIC</t>
  </si>
  <si>
    <t>GENERAL KINETICS ENGINEERING CORPORATION</t>
  </si>
  <si>
    <t>RBC CANADIAN PREFERRED SHARE FUND</t>
  </si>
  <si>
    <t>AIDA FLORIDET DEL CARMEN DESTARAC SAENZ</t>
  </si>
  <si>
    <t>BARBARA MONZERRAT MERE CARRION</t>
  </si>
  <si>
    <t>ELVIA ELENA DOMINGUEZ LOPEZ</t>
  </si>
  <si>
    <t>GERARDO ALBERTO BRAUER ORTIZ</t>
  </si>
  <si>
    <t>LAURA CAMARENA PEREZ</t>
  </si>
  <si>
    <t>MAJESTIC ASSET MANAGEMENT LLC</t>
  </si>
  <si>
    <t>MARTHA MARIA DEL PILAR LAMUNO OTAOLAURRUCHI</t>
  </si>
  <si>
    <t>SWEET OYSTER COMPANY INC</t>
  </si>
  <si>
    <t>CANSO INVESTMENT COUNSEL LTD GROUP</t>
  </si>
  <si>
    <t>CANSO INVESTMENT COUNSEL LTD AS AGENT</t>
  </si>
  <si>
    <t>FONDO DE PENSIONES OBLIGATORIAS PROTECCION CONSERVADOR</t>
  </si>
  <si>
    <t>Altagas Holdings Ltd Partnership No.1</t>
  </si>
  <si>
    <t>COMPASS MINERALS CANADA CORP.</t>
  </si>
  <si>
    <t>GRUPO BIMBO, S.A.B DE C.V</t>
  </si>
  <si>
    <t>BELLBOY DRYCLEANING &amp; LAUNDRY LTD</t>
  </si>
  <si>
    <t>ARCELORMITTAL TAILORED BLANKS AMERICAS LIMITED</t>
  </si>
  <si>
    <t>MORRISON HERSHFIELD LIMITED</t>
  </si>
  <si>
    <t>AST HOTCHKIS &amp; WILEY LARGE-CAP VALUE PORTFOLIO</t>
  </si>
  <si>
    <t>PICTON MAHONEY FORTIFIED MULTI ASSET FUND</t>
  </si>
  <si>
    <t>JOHN HANCOCK FUNDS II JOHN HANCOCK ASIA PACIFIC TOTAL RETURN BOND FUND</t>
  </si>
  <si>
    <t>LYSANDER SHORT TERM AND FLOATING RATE FUND</t>
  </si>
  <si>
    <t>PACIFIC INVESTMENT MANAGEMENT COMPANY LLC SOLELY IN ITS CAPACITY AS ADVISOR ON BEHALF OF STOCKSPLUS LP</t>
  </si>
  <si>
    <t>BMO US DIVIDEND ETF (USD)</t>
  </si>
  <si>
    <t>BMO US DIVIDEND ETF</t>
  </si>
  <si>
    <t>CANOE PREMIUM INCOME FUND</t>
  </si>
  <si>
    <t>MACKENZIE MAXIMUM DIVERSIFICATION DEVELOPED EUROPE INDEX ETF</t>
  </si>
  <si>
    <t>SYMMETRY BALANCED PORTFOLIO CLASS</t>
  </si>
  <si>
    <t>FIRST ASSET EUROPEAN BANK ETF</t>
  </si>
  <si>
    <t>LYSANDER TDV FUND</t>
  </si>
  <si>
    <t>MANULIFE CDN GROWTH AND INCOME PRVT</t>
  </si>
  <si>
    <t>DYNAMIC ACTIVE U.S. DIVIDEND FUND</t>
  </si>
  <si>
    <t>BMO LOW VOLATILITY EMERGING MARKETS EQUITY ETF</t>
  </si>
  <si>
    <t>WINNABLE ENTERPRISE CO LTD</t>
  </si>
  <si>
    <t>ATL INDUSTRIES (PARTNERSHIP)</t>
  </si>
  <si>
    <t>WILSON AGRITECH INC</t>
  </si>
  <si>
    <t>LYSANDER BOND FUND</t>
  </si>
  <si>
    <t>CHUNG HING CO. LTD.</t>
  </si>
  <si>
    <t>OTTAWA LOGISTICS LTD</t>
  </si>
  <si>
    <t>CITY OF NANAIMO</t>
  </si>
  <si>
    <t>REYNOLDS FARMS LIMITED</t>
  </si>
  <si>
    <t>CAN-SEED EQUIPMENT LTD.</t>
  </si>
  <si>
    <t>1118741 ONTARIO LIMITED O/A IRPINIA KITCHENS</t>
  </si>
  <si>
    <t>Wilmar Greenfarm Food Industries Sdn Bhd</t>
  </si>
  <si>
    <t>Wilmar Kuantan Edible Oils Sdn Bhd</t>
  </si>
  <si>
    <t>BTG GLOBAL ASSET MANAGEMENT LTD - BLOCK TRADE</t>
  </si>
  <si>
    <t>GIA FOODS LTD</t>
  </si>
  <si>
    <t>IMD ABANDONED PROPERTY</t>
  </si>
  <si>
    <t>RBC EMERGING MARKETS MULTI-STRATEGY EQUITY FUND</t>
  </si>
  <si>
    <t>ORIZON SA</t>
  </si>
  <si>
    <t>PHILLIPS HAGER NORTH INVESTMENT</t>
  </si>
  <si>
    <t>PACIFIC INVESTMENT MANAGEMENT COMPANY LLC, SOLELY IN ITS CAPACITY AS ADVISOR ON BEHALF OF  GESB FUNDS MANAGEMENT PTY LTD AS RESPONSIBLE ENTITY FOR THE GESB GLOBAL BOND FUND</t>
  </si>
  <si>
    <t>CC&amp;L GROUP INCOME AND GROWTH FUND</t>
  </si>
  <si>
    <t>FIXED INCOME PORTABLE ALPHA POOL CDEA</t>
  </si>
  <si>
    <t>BLEEMAN HOLDINGS LIMITED</t>
  </si>
  <si>
    <t>STRATEGIC GLOBAL ADVISORS LLC</t>
  </si>
  <si>
    <t>AD VALUE ASESORIA DE INVERSIONES SC</t>
  </si>
  <si>
    <t>AIDA MARGARITA VERDIN ANCHEYTA</t>
  </si>
  <si>
    <t>ALMA VIRGINIA JIMENEZ MORFIN</t>
  </si>
  <si>
    <t>EXIO SC</t>
  </si>
  <si>
    <t>EXPLORACIONES MARGARITA SA DE CV</t>
  </si>
  <si>
    <t>EXPLORADORA SAN PEDRO SA DE CV</t>
  </si>
  <si>
    <t>GENA AGROPECUARIA SA DE CV</t>
  </si>
  <si>
    <t>JOSE CARLOS FIMBRES HERNANDEZ</t>
  </si>
  <si>
    <t>JUAN MIGUEL GALVAN BARBA</t>
  </si>
  <si>
    <t>LUCY MICHAN NAHMAD</t>
  </si>
  <si>
    <t>LUIS ALFONSO CAMACHO CASTILLO</t>
  </si>
  <si>
    <t>MARIA CRISTINA DIAZ DIBILDOX</t>
  </si>
  <si>
    <t>MARIA DE JESUS MARTA MICAELA OTAOLAURRUCHI JIMENEZ</t>
  </si>
  <si>
    <t>PABLO SANCHE DEL HOYO</t>
  </si>
  <si>
    <t>PLASTI ENVASES SA DE CV</t>
  </si>
  <si>
    <t>PLOMECO SA DE CV</t>
  </si>
  <si>
    <t>SCHWEITZER CANADA INC.</t>
  </si>
  <si>
    <t>SI VALE FINTECH SA DE CV INSTITUCION DE FONDOS DE PAGO ELECTRONICO</t>
  </si>
  <si>
    <t>TECNO DRILLING OIL AND GAS SA DE CV</t>
  </si>
  <si>
    <t>THINK RESEARCH CORPORATION</t>
  </si>
  <si>
    <t>TIMMINS GOLDCORP MEXICO SA DE CV</t>
  </si>
  <si>
    <t>VERONICA DEL CARMEN MUNOZ CORRAL</t>
  </si>
  <si>
    <t>WISE RESOURCE GROUP OF MEXICO S DE RL DE CV</t>
  </si>
  <si>
    <t>LUSTRE ARTCRAFT OF MONTREAL LTD</t>
  </si>
  <si>
    <t>FOGH MARINE LIMITED</t>
  </si>
  <si>
    <t>JAGRAMSTEF CANADA LTD</t>
  </si>
  <si>
    <t>FRASER VALLEY BUILDING SUPPLIES INC.</t>
  </si>
  <si>
    <t>TAGGART EAGLESON CORPORATION</t>
  </si>
  <si>
    <t>ALTA HOLDINGS LTD</t>
  </si>
  <si>
    <t>BERTHA ROSA GARZA SERNA</t>
  </si>
  <si>
    <t>BRITISH HYDRAULICS LTD</t>
  </si>
  <si>
    <t>CONCEPCION DEL SAGRADO CORAZON ESCOBEDO MACEDO</t>
  </si>
  <si>
    <t>DANIELA LOIZAGA CORCUERA RAMIREZ DE ARELLANO</t>
  </si>
  <si>
    <t>EAUTEK SA DE CV</t>
  </si>
  <si>
    <t>ENKON INFORMATION SYSTEMS INC</t>
  </si>
  <si>
    <t>FONDO IC GC CERO S DE RL DE CV</t>
  </si>
  <si>
    <t>HERIBERTO FRANCISCO ROMERO GARCIA</t>
  </si>
  <si>
    <t>MARIA LUISA ELENA FERNANDEZ PRIETO</t>
  </si>
  <si>
    <t>MARIA MARCELA RAMOS CARDENAS Y GONZALEZ DE COSIO</t>
  </si>
  <si>
    <t>OMAR SOTO ZALIV</t>
  </si>
  <si>
    <t>PROVEEDORA RVB DE PIEDRAS NEGRAS SA DE CV</t>
  </si>
  <si>
    <t>TMA SYSTEMS S DE RL DE CV</t>
  </si>
  <si>
    <t>INVESTORS GROWTH PLUS PORTFOLIO ACTIVELY MANAGED</t>
  </si>
  <si>
    <t>COMERFABRI SA DE CV</t>
  </si>
  <si>
    <t>CORDOBA AGROMAQUILAS SA DE CV</t>
  </si>
  <si>
    <t>CUMONT ABOGADOS SC</t>
  </si>
  <si>
    <t>HORTENCIA SUSANA QUEVEDO GALINDO</t>
  </si>
  <si>
    <t>RETHINK COMMUNICATIONS LLP</t>
  </si>
  <si>
    <t>SERVICIOS INTEGRALES MAGMA SA DE CV</t>
  </si>
  <si>
    <t>SUBODH LAKSHMINARAYANA</t>
  </si>
  <si>
    <t>RUSSELL SHORT TERM INCOME POOL</t>
  </si>
  <si>
    <t>WEST FACE CAPITAL INC MANAGED FUNDS</t>
  </si>
  <si>
    <t>NEWGEN ASSET MANAGEMENT LIMITED GRP</t>
  </si>
  <si>
    <t>RBC ASSET MANAGEMENT INC AND MANAGED FUNDS</t>
  </si>
  <si>
    <t>FONDO DE PENSIONES OP MOD GRP</t>
  </si>
  <si>
    <t>SUN LIFE INVESTMENT GROUP</t>
  </si>
  <si>
    <t>JOHN HANCOCK FAMILY OF FUNDS GROUP</t>
  </si>
  <si>
    <t>JOHN HANCOCK FAMILY OF FUNDS(AS AGE</t>
  </si>
  <si>
    <t>1310524 BC LTD</t>
  </si>
  <si>
    <t>JOSE LUIS BALLESTEROS GUTIERREZ</t>
  </si>
  <si>
    <t>MARIA ANTONIETA VERA MAYA</t>
  </si>
  <si>
    <t>MARIA TERESA ITUARTE SALVA TIERRA</t>
  </si>
  <si>
    <t>ALLFOUR HOLDINGS INC</t>
  </si>
  <si>
    <t>ITAU GLOBAL INVESTMENT FUND SPC - ITAU GLOBAL DYNAMIC ULTRA FUND SEGREGATED PORTFOLIO</t>
  </si>
  <si>
    <t>LEGGAT COLLINGWOOD MOTORS INC</t>
  </si>
  <si>
    <t>Itau Allocation Fund SPC - Itau Global Absolute Return II Fund Segregated Portfolio</t>
  </si>
  <si>
    <t>CIBC QI GLOBAL LOW VOLATILITY DIVIDEND POOL</t>
  </si>
  <si>
    <t>ITAU GLOBAL INVESTMENT FUND SPC - ITAU FLEXPREV GLOBAL DYNAMIC FUND SEGREGATED PORTFOLIO</t>
  </si>
  <si>
    <t>ITAU GLOBAL INVESTMENT FUND SPC - ITAU FLEXPREV GLOBAL DYNAMIC FIXED INCOME FUND SEGREGATED PORTFOLIO</t>
  </si>
  <si>
    <t>LEGGAT REALTY COMPANY INC</t>
  </si>
  <si>
    <t>NISA INVESTMENT ADVISORS LLC</t>
  </si>
  <si>
    <t>BAYERISCHE LANDESBANK</t>
  </si>
  <si>
    <t>CANTOR FITZGERALD GROUP</t>
  </si>
  <si>
    <t>Itau Allocation Fund SPC - Itau Hunter Fund Segregated Portfolio</t>
  </si>
  <si>
    <t>ITAU GLOBAL INVESTMENT FUND SPC -ITAU INVESTMENT PORTFOLIO ALL SEASONS FUND SEGREGATED PORTFOLIO</t>
  </si>
  <si>
    <t>NANYANG COMMERCIAL BANK, LIMITED</t>
  </si>
  <si>
    <t>NANYANG COMMERCIAL BANK</t>
  </si>
  <si>
    <t>TD ASSET MANAGEMENT T1115</t>
  </si>
  <si>
    <t>SELECT US EQUITY</t>
  </si>
  <si>
    <t>GENWORTH NORTH AMERICA CORPORATION</t>
  </si>
  <si>
    <t>PIASA INGENIO PLAN DE SAN LUIS SA DE CV</t>
  </si>
  <si>
    <t>NORTHERN TRADING INC</t>
  </si>
  <si>
    <t>Itau Allocation Funds SPC - Itau Flexprev Hunter Fund Segregated Portfolio</t>
  </si>
  <si>
    <t>FRANKLIN TEMPLETON INVESTMENT CORP AS AGENT</t>
  </si>
  <si>
    <t>ALLY FINANCIAL INC</t>
  </si>
  <si>
    <t>ALASKA PERMANENT FUND CORP</t>
  </si>
  <si>
    <t>EASTCOAST OFFSHORE SUPPLY LTD</t>
  </si>
  <si>
    <t>PINEBRIDGE INVESTMENTS LLC</t>
  </si>
  <si>
    <t>INTACT INVESTMENT MANAGEMENT INC AS AGENT</t>
  </si>
  <si>
    <t>TD AMERITRADE INC</t>
  </si>
  <si>
    <t>FIRST TRUST PORTFOLIOS CANADA CO (FKA FIRST DEFINED PORTFOLIO MANAGEMENT CO) AS AGENT</t>
  </si>
  <si>
    <t>CAPITAL ONE FINANCIAL CORP</t>
  </si>
  <si>
    <t>STORNOWAY DIAMONDS CANADA INC</t>
  </si>
  <si>
    <t>REPUBLIC OF COLOMBIA</t>
  </si>
  <si>
    <t>NYNEX LLC (HIGH CSA THRESHOLD)</t>
  </si>
  <si>
    <t>NYNEX LLC (LOW CSA THRESHOLD)</t>
  </si>
  <si>
    <t>MICROSOFT CORPORATION</t>
  </si>
  <si>
    <t>AFP CAPITAL SA</t>
  </si>
  <si>
    <t>CDA INTL MGMT LTD</t>
  </si>
  <si>
    <t>DE SHAW CDEA BLOCK</t>
  </si>
  <si>
    <t>VITA HEALTH COMPANY 1985 LTD</t>
  </si>
  <si>
    <t>MACKENZIE GREENCHIP GLOBAL ENVIRONMENTAL EQUITY FUND</t>
  </si>
  <si>
    <t>KLA TENCOR ASIA PAC DISTRIBUTION CORPORATION</t>
  </si>
  <si>
    <t>MACKENZIE GLOBAL GREEN BOND FUND</t>
  </si>
  <si>
    <t>China Development Industrial Bank</t>
  </si>
  <si>
    <t>ACCIONES Y VALORES DEL NORTE SA DE CV</t>
  </si>
  <si>
    <t>AMK HEALTHCARE MEXICO SA DE CV</t>
  </si>
  <si>
    <t>BLANCA NYSSEN OCARANZA</t>
  </si>
  <si>
    <t>CARLOS AGUSTIN CASTRO NERI</t>
  </si>
  <si>
    <t>CARLOS ANDRES TORRES VALDIVIESO</t>
  </si>
  <si>
    <t>IMPULSORA DISERTA SA DE CV</t>
  </si>
  <si>
    <t>IRMA GRACIELA DOPORTO RAMIREZ</t>
  </si>
  <si>
    <t>MARTE AUGUSTO CANO TOVAR</t>
  </si>
  <si>
    <t>MERINO LAMINATES DE MEXICO SA DE CV</t>
  </si>
  <si>
    <t>PABLO OCTAVIANO MENDOZA GARCIA</t>
  </si>
  <si>
    <t>SALVADOR JAQUEZ GALAVIZ</t>
  </si>
  <si>
    <t>SAMUEL RIVAS SUCARRATS</t>
  </si>
  <si>
    <t>SIMON HERNANDEZ PEREZ</t>
  </si>
  <si>
    <t>VIRGINIA LUZ LEAL ISLA CHARLES</t>
  </si>
  <si>
    <t>HSBC BANK AUSTRALIA LIMITED</t>
  </si>
  <si>
    <t>1230381 ONTARIO INC</t>
  </si>
  <si>
    <t>HOT SHOT BRANDS S DE RL DE CV</t>
  </si>
  <si>
    <t>INFOSELECTIVE SA DE CV</t>
  </si>
  <si>
    <t>INMRAF SA DE CV</t>
  </si>
  <si>
    <t>IVONNE DELGADO VARELA</t>
  </si>
  <si>
    <t>JORGE GARZA REYNA</t>
  </si>
  <si>
    <t>LUZ MARIA ALDRETE BUJAIDAR</t>
  </si>
  <si>
    <t>MANUEL LOIZAGA CORCUERA RAMIREZ DE ARELLANO</t>
  </si>
  <si>
    <t>MARIA DE LOURDES FERNANDEZ CASTRO</t>
  </si>
  <si>
    <t>MARIA TERESA ARRATE GUIJARRO ARRILLAGA</t>
  </si>
  <si>
    <t>PATRIMONIO MARLEP SA DE CV</t>
  </si>
  <si>
    <t>MACKENZIE CANADIAN SUSTAINABLE BOND FUND</t>
  </si>
  <si>
    <t>PACIFIC INVESTMENT MANAGEMENT COMPANY LLC, SOLELY IN ITS CAPACITY AS ADVISOR ON BEHALF OF FRANK RUSSELL UNIT TRUST - THE INTERNATIONAL BOND FUND</t>
  </si>
  <si>
    <t>SUMAS ORGANIC FEEDS INC.</t>
  </si>
  <si>
    <t>FORESTERS CANADIAN BRANCH SURPLUS FUND - A431FH</t>
  </si>
  <si>
    <t>TD ASSET MANAGEMENT 2237</t>
  </si>
  <si>
    <t>MARRET ASSET MANAGEMENT INC</t>
  </si>
  <si>
    <t>ARROW HEDGE PARTNERS INC</t>
  </si>
  <si>
    <t>Brevan Howard Asset Management</t>
  </si>
  <si>
    <t>BREVAN HOWARD ASSET MANAGEMENT LLP</t>
  </si>
  <si>
    <t>BREVAN HOWARD ASSET MANAGEMENT</t>
  </si>
  <si>
    <t>PIEDMONT NATURAL GAS COMPANY INC</t>
  </si>
  <si>
    <t>DRW HOLDINGS LLC - VCON BLOCK ETRADING</t>
  </si>
  <si>
    <t>BANK OF BEIJING CO LIMITED</t>
  </si>
  <si>
    <t>BANK OF BEIJING CO. LIMITED</t>
  </si>
  <si>
    <t>MORRISON HERSHFIELD CORPORATION</t>
  </si>
  <si>
    <t>FIRST TRUST EXCHANGE TRADED FUND II FIRST TRUST NASDAQ CEA CYBERSECURITY ETF</t>
  </si>
  <si>
    <t>BOWATER CANADA INC - SB</t>
  </si>
  <si>
    <t>IG CLIMATE ACTION PORTFOLIO - GLOBAL EQUITY</t>
  </si>
  <si>
    <t>IG CLIMATE ACTION PORTFOLIO - GLOBAL EQUITY BALANCED</t>
  </si>
  <si>
    <t>IG CLIMATE ACTION PORTFOLIO - GLOBAL FIXED INCOME BALANCED</t>
  </si>
  <si>
    <t>IG CLIMATE ACTION PORTFOLIO - GLOBAL NEUTRAL BALANCED</t>
  </si>
  <si>
    <t>JORGE SOCRATES SARJANOVICH</t>
  </si>
  <si>
    <t>ALFONSO AGUSTIN OSEGUERA ITURBIDE</t>
  </si>
  <si>
    <t>TURBOMAQUINAS SA DE CV</t>
  </si>
  <si>
    <t>OVER THE HILLS LOGISTICS LTD</t>
  </si>
  <si>
    <t>DARXET SA DE CV</t>
  </si>
  <si>
    <t>ENERFLEX RECURSOS MEXICO S DE RL DE CV</t>
  </si>
  <si>
    <t>PONTONES Y PONTONES SC</t>
  </si>
  <si>
    <t>BEHLEN INDUSTRIES INC</t>
  </si>
  <si>
    <t>OPB CANADIAN FIXED INCOME</t>
  </si>
  <si>
    <t>PACIFIC INVESTMENT MANAGEMENT COMPANY LLC, SOLELY IN ITS CAPACITY AS ADVISOR ON BEHALF OF BROWN BROTHERS HARRIMAN TRUST COMPANY (CAYMAN) LIMITED AS TRUSTEE ON BEHALF OF THE PIMCO CAYMAN TRUST - PIMCO CAYMAN GLOBAL MULTIPLE REAL RETURN FUND</t>
  </si>
  <si>
    <t>MTF_DANSKE BANK A/S LONDON BRANCH</t>
  </si>
  <si>
    <t>LYSANDER U.S. CREDIT FUND</t>
  </si>
  <si>
    <t>FEDERAL OCEANS LTD.</t>
  </si>
  <si>
    <t>FIELD STREET CAPITAL MANAGEMENT BLOCK</t>
  </si>
  <si>
    <t>FUSION PROJECT MANAGEMENT LTD</t>
  </si>
  <si>
    <t>CIBC GLOBAL EQUITY POOL</t>
  </si>
  <si>
    <t>CIBC CANADIAN EQUITY GROWTH POOL</t>
  </si>
  <si>
    <t>BEATRIZ LUCIA MEZA VILLARREAL</t>
  </si>
  <si>
    <t>UXMAL TECHNOLOGIES SA DE CV</t>
  </si>
  <si>
    <t>TIMEMATTERS INC</t>
  </si>
  <si>
    <t>PANGBORN LATAM S DE RL DE CV</t>
  </si>
  <si>
    <t>ASTRA PROPERTY GROUP 149 LP</t>
  </si>
  <si>
    <t>ASTRA PROPERTY GROUP 145 LP</t>
  </si>
  <si>
    <t>OSWALDO ARANA BARRERA</t>
  </si>
  <si>
    <t>MAURICIO MARIO PATINO QUIROGA</t>
  </si>
  <si>
    <t>JORGE CARLOS MARTINEZ ACOSTA</t>
  </si>
  <si>
    <t>BIEN PARA BIEN SAPI DE CV SOFOM ENR</t>
  </si>
  <si>
    <t>IMMEUBLE 800 CH S.E.C</t>
  </si>
  <si>
    <t>CARBON60 OPERATING CO. LTD</t>
  </si>
  <si>
    <t>MARTINA GERMAINE GANDOULF VACHEZ</t>
  </si>
  <si>
    <t>SURTIDORA DE ALTA TECNOLOGIA SA DE CV</t>
  </si>
  <si>
    <t>CHORUS AVIATION INC</t>
  </si>
  <si>
    <t>KITE REALTY GROUP LP</t>
  </si>
  <si>
    <t>243 KING VENTURE INC</t>
  </si>
  <si>
    <t>WESTROCK COMPANY OF CANADA INC</t>
  </si>
  <si>
    <t>SERVICIOS GLOBALES EN HOTELERIA DEL ESTADO DE MEXICO SA DE CV</t>
  </si>
  <si>
    <t>FELVI SA DE CV</t>
  </si>
  <si>
    <t>FUSION CONSTRUCTION WALL WORK SA DE CV</t>
  </si>
  <si>
    <t>COMERCIALIZADORA Y RECICLADORA MOL SAS DE CV</t>
  </si>
  <si>
    <t>NEMESIS EXCELLENCE SA DE CV</t>
  </si>
  <si>
    <t>SALVADOR QUINTANAL SASIAN</t>
  </si>
  <si>
    <t>RODRIGO URRUTIA NUNEZ</t>
  </si>
  <si>
    <t>RENE HUBARD DEFFIS</t>
  </si>
  <si>
    <t>NEURIKA CONSULTING GROUP SA DE CV</t>
  </si>
  <si>
    <t>BLANCA ESTELA MORENO MAYA</t>
  </si>
  <si>
    <t>SYLVIE TERNOIR CHAZEAU DE JAVELLY</t>
  </si>
  <si>
    <t>JEIKA TEXTILES S DE RL DE CV</t>
  </si>
  <si>
    <t>JOSE MICHAN LEVY</t>
  </si>
  <si>
    <t>RICARDO COLOME SOLIS</t>
  </si>
  <si>
    <t>JOSE CARLOS AZCARRAGA ANDRADE</t>
  </si>
  <si>
    <t>GUILLERMO EUGENIO NUNEZ SANCHEZ DE LA BARQUERA</t>
  </si>
  <si>
    <t>MULTIVER DE COATZACOALCOS SA DE CV</t>
  </si>
  <si>
    <t>J JESUS GAMEZ ARAUJO</t>
  </si>
  <si>
    <t>MAURO ROBERTO ARCEGA JIMENEZ</t>
  </si>
  <si>
    <t>JOHN STUART BAUDOUIN KENNEDY</t>
  </si>
  <si>
    <t>ITER SENSIBUS SAPI DE CV</t>
  </si>
  <si>
    <t>LORENA NUNEZ SANCHEZ DE LA BARQUERA</t>
  </si>
  <si>
    <t>PACVER SA DE CV</t>
  </si>
  <si>
    <t>LUCIA MORA JARDON</t>
  </si>
  <si>
    <t>SHELL CANADA PENSION TRUST - MASTER FOREX</t>
  </si>
  <si>
    <t>SHELL CANADA PENSION TRUST</t>
  </si>
  <si>
    <t>SHELL CANADA PENSION TRUST - DB BOND ACCOUNT</t>
  </si>
  <si>
    <t>SHELL CANADA PENSION TRUST - CALEDON HEDGE</t>
  </si>
  <si>
    <t>SHELL CANADA PENSION TRUST - FOREX CAD</t>
  </si>
  <si>
    <t>SHELL CANADA PENSION TRUST - JAPANESE YEN</t>
  </si>
  <si>
    <t>SHELL CANADA PENSION TRUST - LEXINGTON CAD</t>
  </si>
  <si>
    <t>SHELL CANADA PENSION TRUST - PANTHEON</t>
  </si>
  <si>
    <t>SHELL CANADA PENSION TRUST - REAL ESTATE HEDGE CAD</t>
  </si>
  <si>
    <t>SHELL CANADA PENSION TRUST - AURION CASH AND OVERLAY ACCOUNT</t>
  </si>
  <si>
    <t>SHELL CANADA PENSION TRUST SHEMD</t>
  </si>
  <si>
    <t>SHELL CANADA PENSION TRUST SHHYB</t>
  </si>
  <si>
    <t>SHELL CANADA PENSION TRUST MFOREX</t>
  </si>
  <si>
    <t>SHELL CANADA PENSION TRUST SHPE</t>
  </si>
  <si>
    <t>SHELL CANADA PENSION TRUST SHREFX</t>
  </si>
  <si>
    <t>SHELL CANADA PENSION TRUST - CALEDON TRUST</t>
  </si>
  <si>
    <t>SHELL CANADA PENSION TRUST - AUSTRALIAN DOLLAR</t>
  </si>
  <si>
    <t>SHELL CANADA PENSION TRUST - SWISS FRANC</t>
  </si>
  <si>
    <t>SHELL CANADA PENSION TRUST - EURO</t>
  </si>
  <si>
    <t>SHELL CANADA PENSION TRUST - FOREX USD</t>
  </si>
  <si>
    <t>SHELL CANADA PENSION TRUST - BRITISH POUND</t>
  </si>
  <si>
    <t>SHELL CANADA PENSION TRUST - HONG KONG DOLLAR</t>
  </si>
  <si>
    <t>SHELL CANADA PENSION TRUST - LEXINGTION USD</t>
  </si>
  <si>
    <t>SHELL CANADA PENSION TRUST - LEXINGTON USD</t>
  </si>
  <si>
    <t>SHELL CANADA PENSION TRUST - REAL ESTATE HEDGE USD</t>
  </si>
  <si>
    <t>KS 100 YONGE LIMITED PARTNERSHIP</t>
  </si>
  <si>
    <t>MARIA LUISA WALTHER CUEVAS</t>
  </si>
  <si>
    <t>SUSANA DE MURGA ZUNZUNEGUI</t>
  </si>
  <si>
    <t>THE BUNKER FIRM INC</t>
  </si>
  <si>
    <t>ANA PATRICIA AMELIA ZAPATA OSCOZ</t>
  </si>
  <si>
    <t>ALEJANDRO EMILIO OROZCO CARRERA</t>
  </si>
  <si>
    <t>JESUS MANUEL MUNOZ DELGADO</t>
  </si>
  <si>
    <t>SERGIO ARMANDO JESUS AVILA GARCIA</t>
  </si>
  <si>
    <t>ALBERTO BENUZILLO MEDINA</t>
  </si>
  <si>
    <t>RUBEN FERNANDO COHEN TIETZSCH</t>
  </si>
  <si>
    <t>MARIE FELDHAUS BOLBRUGGE</t>
  </si>
  <si>
    <t>MARIA DE LOS ANGELES CORO ALVAREZ</t>
  </si>
  <si>
    <t>ERNESTO CORDERA PERDOMO</t>
  </si>
  <si>
    <t>ALEJANDRO XAVIER WIECHERS FERNANDEZ</t>
  </si>
  <si>
    <t>ELSA MARINA RODRIGUEZ GARCIA</t>
  </si>
  <si>
    <t>EDUARDO ZABALEGUI PARAMO</t>
  </si>
  <si>
    <t>CUSTOM LONG TERM FIXED INCOME FUND</t>
  </si>
  <si>
    <t>PUROLATOR HOLDINGS LTD</t>
  </si>
  <si>
    <t>PUROLATOR HOLDINGS LTD.</t>
  </si>
  <si>
    <t>GIP AQUARIUS LUXCO S.A.R.L.</t>
  </si>
  <si>
    <t>M &amp; M EQUIPMENT INC</t>
  </si>
  <si>
    <t>JOSE ADAN NAVARRO REYES</t>
  </si>
  <si>
    <t>FERNANDO FRANCO BUSTILLOS</t>
  </si>
  <si>
    <t>VICTOR JOSE GAVITO Y MARCO</t>
  </si>
  <si>
    <t>EDUARDO ALBERTO GARCIA CEPEDA LACAYO</t>
  </si>
  <si>
    <t>MCKAY CEO NETWORKS LIMITED PARTNERSHIP</t>
  </si>
  <si>
    <t>SMARTREND MANUFACTURING GROUP SMG INC</t>
  </si>
  <si>
    <t>WILTON REASSURANCE COMPANY</t>
  </si>
  <si>
    <t>HAP SENG CREDIT SDN BHD</t>
  </si>
  <si>
    <t>AGWAY METALS INC</t>
  </si>
  <si>
    <t>G RAYMOND CHANG LTD</t>
  </si>
  <si>
    <t>GUIAR COMERCIALIZADORA DE PRODUCTOS Y SERVICIOS SA DE CV</t>
  </si>
  <si>
    <t>JOAQUIN RAFAEL AVILA GARCIA</t>
  </si>
  <si>
    <t>OSCAR JAVIER VELASCO MARTINEZ</t>
  </si>
  <si>
    <t>MX CCS  LLC S DE RL DE CV</t>
  </si>
  <si>
    <t>SALVADOR GARCIA PEREZ</t>
  </si>
  <si>
    <t>PABLO ARIZTEGUI ANDREVE</t>
  </si>
  <si>
    <t>FRANCISCO JAVIER HERNANDEZ PENA</t>
  </si>
  <si>
    <t>BGC INTERNATIONAL L P</t>
  </si>
  <si>
    <t>ROBERTO ARTURO JIMENEZ Y CERVANTES</t>
  </si>
  <si>
    <t>GRANELERA MANZANILLO SA DE CV</t>
  </si>
  <si>
    <t>CONEXION 360 SA DE CV</t>
  </si>
  <si>
    <t>LEONOR DE LA INMACULADA VIRGEN MARIA DE GUADALUPE PLANCARTE Y GARCIA NARANJO</t>
  </si>
  <si>
    <t>THERAPEUTICS NORTHERN INC</t>
  </si>
  <si>
    <t>FIDUCIE GLOBALE DES REGIMES DE RETRAITE DE LA SOCIETE DE TRANSPORT DE MONTREAL</t>
  </si>
  <si>
    <t>BG Master Fund ICAV</t>
  </si>
  <si>
    <t>BTRDTRADER8</t>
  </si>
  <si>
    <t>AKUNA HEALTH PRODUCTS INC</t>
  </si>
  <si>
    <t>OPERADORA MARITIMA CERRALVO SA DE CV</t>
  </si>
  <si>
    <t>COMITIN SAPI DE CV</t>
  </si>
  <si>
    <t>IND SUPPLY SA DE CV</t>
  </si>
  <si>
    <t>ALBERTO CONRADO ZINSER CIESLIK</t>
  </si>
  <si>
    <t>PETER ERNST OTTO KRAMER NEITZKE</t>
  </si>
  <si>
    <t>MARCELA TOP MAKE UP SA DE CV</t>
  </si>
  <si>
    <t>RAMON AGUILAR GUTIERREZ</t>
  </si>
  <si>
    <t>SERVICIOS INTEGRADOS DE MANZANILLO SA</t>
  </si>
  <si>
    <t>FRANCISCO JAVIER HERNANDEZ DAVILA</t>
  </si>
  <si>
    <t>100 VANDORF DEVELOPMENT CORPORATION</t>
  </si>
  <si>
    <t>DEVELOPPEMENT VUE PHASE VII SENC</t>
  </si>
  <si>
    <t>DEVELOPPEMENT LACHINE EST INC</t>
  </si>
  <si>
    <t>DELCOR ENTERPRISES LTD</t>
  </si>
  <si>
    <t>INTERNATIONAL AUTOMOTIVE COMPONENTS CANADA ULC</t>
  </si>
  <si>
    <t>VALERIA PAULON FUENTES</t>
  </si>
  <si>
    <t>COREX GLOBAL S DE RL DE CV</t>
  </si>
  <si>
    <t>VICTORIA GOMEZ PEREZ</t>
  </si>
  <si>
    <t>GABRIELA ALICIA RIOS GARCIA</t>
  </si>
  <si>
    <t>INTEGRADORA DE SERVICIOS PUNCH SA DE CV</t>
  </si>
  <si>
    <t>DISPEL AE SA DE CV</t>
  </si>
  <si>
    <t>MARIA EUGENIA JENNY SARQUIS DEGUER</t>
  </si>
  <si>
    <t>ANTONIO YTURBE BERNAL</t>
  </si>
  <si>
    <t>WOLFCAT S DE RL DE CV</t>
  </si>
  <si>
    <t>DANIEL ZAJARIAS KURCHANSKY</t>
  </si>
  <si>
    <t>PACNAV DE MEXICO SA DE CV</t>
  </si>
  <si>
    <t>MARIA TERESA MESTRE RIVERA</t>
  </si>
  <si>
    <t>PIA LORENA CASTANEDA CARAVEO</t>
  </si>
  <si>
    <t>MARIA GUADALUPE PARDO ESCANDON</t>
  </si>
  <si>
    <t>ARTURO ENRIQUE GARCIA VALDES</t>
  </si>
  <si>
    <t>DESARROLLADORA DE OFICINAS GP SA DE CV</t>
  </si>
  <si>
    <t>GONZALO MARTINEZ POUS</t>
  </si>
  <si>
    <t>MINDBEACON HEALTH INC</t>
  </si>
  <si>
    <t>ROSE MORGAN HOLDINGS INC</t>
  </si>
  <si>
    <t>INTEGRACARE INC</t>
  </si>
  <si>
    <t>1933387 ONTARIO INC</t>
  </si>
  <si>
    <t>CAPITAL PAVING INC</t>
  </si>
  <si>
    <t>SERVICIOS MARITIMOS PACNAV SA DE CV</t>
  </si>
  <si>
    <t>MEDAVIE INC</t>
  </si>
  <si>
    <t>CLAUDIO FERNANDO NUNEZ SANCHEZ DE LA BARQUERA</t>
  </si>
  <si>
    <t>NFINITE NANOTECHNOLOGY INC</t>
  </si>
  <si>
    <t>EXXONMOBIL COMMERCIAL, S.A. DE C.V.</t>
  </si>
  <si>
    <t>BRUNO WIRZ LUCHSINGER</t>
  </si>
  <si>
    <t>CARLOS SANTOS GALINDO DE LA VEGA</t>
  </si>
  <si>
    <t>GUILLERMO PATRON GONZALEZ</t>
  </si>
  <si>
    <t>BROOKFIELD RENEWABLE UK HYDRO LIMITED</t>
  </si>
  <si>
    <t>BROOKFIELD RENEWABLE UK HYDRO LIMITED II</t>
  </si>
  <si>
    <t>9389 8823 QUEBEC INC</t>
  </si>
  <si>
    <t>AVESTIN INC</t>
  </si>
  <si>
    <t>CARACO WELLINGTON CORP</t>
  </si>
  <si>
    <t>SERGIO PENA SAHAGUN</t>
  </si>
  <si>
    <t>MARIA DEL SOCORRO GARCIA PEREZ</t>
  </si>
  <si>
    <t>FUNDACION PRODUCE JALISCO AC</t>
  </si>
  <si>
    <t>CD DOERKSEN FARMS LTD</t>
  </si>
  <si>
    <t>GRADIENT MSP INC</t>
  </si>
  <si>
    <t>ICONIC POWER SYSTEMS INC.</t>
  </si>
  <si>
    <t>ROBERTO EDUARDO SANCHEZ WOODWORTH ALVAREZ MORPHY</t>
  </si>
  <si>
    <t>GEORGINA BANDALA CABO</t>
  </si>
  <si>
    <t>NSC OBJETIVOS SAPI DE CV</t>
  </si>
  <si>
    <t>SILVIA MARIA DE LA PAZ LEMUS COVARRUBIAS</t>
  </si>
  <si>
    <t>SAYER LACK MEXICANA SA DE CV</t>
  </si>
  <si>
    <t>FANNY LEVY GABAY</t>
  </si>
  <si>
    <t>MANUEL DE LA FUENTE MORALES</t>
  </si>
  <si>
    <t>PEDRO ALFONSO ESCALANTE RANGEL CASTELAZO</t>
  </si>
  <si>
    <t>1561660 ONTARIO LTD O A SURGENOR TRUCK</t>
  </si>
  <si>
    <t>FIRST TRUST EXCHANGE-TRADED FUND II-FIRST TRUST INDXX GLOBAL NATURAL RESOURCES INCOME ETF</t>
  </si>
  <si>
    <t>FIRST TRUST EXCHANGE TRADED FUND II FIRST TRUST INDXX GLOBAL AGRICULTURE ETF</t>
  </si>
  <si>
    <t>JOSE EDUARDO DIAZ MARTINEZ</t>
  </si>
  <si>
    <t>MARGARITA ROSA BLANDO MENDIOLA</t>
  </si>
  <si>
    <t>ALEJANDRO COLINAS SANCHEZ</t>
  </si>
  <si>
    <t>THURSTON RENNOW HAMER</t>
  </si>
  <si>
    <t>REECYCLE INC</t>
  </si>
  <si>
    <t>NUEVA YORK 57 SAPI DE CV</t>
  </si>
  <si>
    <t>CONSTRUCTORA E INMOBILIARIA VANDICO SAPI DE CV</t>
  </si>
  <si>
    <t>SANTIAGO SEPULVEDA YTURBE</t>
  </si>
  <si>
    <t>ALEJANDRO GONZALEZ MURILLO</t>
  </si>
  <si>
    <t>JUAN GABINO GOMEZ MONT LANDERRECHE</t>
  </si>
  <si>
    <t>BIOELEMENTOS DE MEXICO SA DE CV</t>
  </si>
  <si>
    <t>CAPELA BARROS ANDAPIA</t>
  </si>
  <si>
    <t>DIEGO MIGUEL PISINGER ALTER</t>
  </si>
  <si>
    <t>EDUARDO CARLOS MUNIAIN ALCALDE</t>
  </si>
  <si>
    <t>EDUARDO LIRA SERHAN</t>
  </si>
  <si>
    <t>FERNANDO TORRES SUAREZ</t>
  </si>
  <si>
    <t>HINROY SA DE CV</t>
  </si>
  <si>
    <t>JAIME GALVAN BARBA</t>
  </si>
  <si>
    <t>JUAN FELIPE LOPEZ RODRIGUEZ</t>
  </si>
  <si>
    <t>KORMEX SUPPLY DE MEXICO S DE RL DE CV</t>
  </si>
  <si>
    <t>LETICIA TORNEL JAUREGUI</t>
  </si>
  <si>
    <t>MANUEL FLISSER STEINBRUCH</t>
  </si>
  <si>
    <t>MARIA DE GUADALUPE MESTRE RIVERA</t>
  </si>
  <si>
    <t>MARIA ISABEL MESTRE RIVERA</t>
  </si>
  <si>
    <t>MARIA LUISA NIETO ORTEGA</t>
  </si>
  <si>
    <t>MAURICIO URDANETA ORTIZ</t>
  </si>
  <si>
    <t>MONICA SANCHEZ SOLA</t>
  </si>
  <si>
    <t>OPCO TC MEXICO S DE RL DE CV</t>
  </si>
  <si>
    <t>SERVICIO ZARAGOZA SA</t>
  </si>
  <si>
    <t>VIRGINIA ESPINO BARR</t>
  </si>
  <si>
    <t>W K CHAN MANUFACTURING LTD</t>
  </si>
  <si>
    <t>XAVIER ORMAECHEA JAUREGUI</t>
  </si>
  <si>
    <t>ARRENDADORA UBEDA SA DE CV</t>
  </si>
  <si>
    <t>GONZALO LUIS MORALES TORRES</t>
  </si>
  <si>
    <t>EMILIO PAULON FUENTES</t>
  </si>
  <si>
    <t>AGUSTIN CHOUZA AZCARRAGA</t>
  </si>
  <si>
    <t>HECTOR XAVIER HERMOSILLO VAZQUEZ</t>
  </si>
  <si>
    <t>FELIPE DE TERESA Y POLIGNAC</t>
  </si>
  <si>
    <t>MARIA AURORA SANCHEZ LORENZO</t>
  </si>
  <si>
    <t>LICIO LAZARO LAGOS CARRILLO</t>
  </si>
  <si>
    <t>COMERCIALIZADORA NINE SA DE CV</t>
  </si>
  <si>
    <t>CANALTA CONTROLS LTD</t>
  </si>
  <si>
    <t>MURPHY'S PHARMACIES NEWFOUNDLAND INC</t>
  </si>
  <si>
    <t>STEFAN ALEXANDER CARRERA MAUL</t>
  </si>
  <si>
    <t>JESUS ENRIQUE MONTEMAYOR GONZALEZ</t>
  </si>
  <si>
    <t>HARALD FELDHAUS HERRMANN</t>
  </si>
  <si>
    <t>PINNACLE FIBRES INC</t>
  </si>
  <si>
    <t>MURPHYS NL HOLDINGS LTD</t>
  </si>
  <si>
    <t>GLORIA ESTELA FLORES SANCHEZ</t>
  </si>
  <si>
    <t>ELIAS GABRIEL PANDO ZAYAS</t>
  </si>
  <si>
    <t>LAURA GABRIELA ROJAS PEREZ</t>
  </si>
  <si>
    <t>SERVICIOS INTEGRALES ROBOTICA Y MANUFACTURA SA DE CV</t>
  </si>
  <si>
    <t>DWIGHT ERICK DELGADO HERMOSILLO</t>
  </si>
  <si>
    <t>REGINA LEHMANN SCHERER</t>
  </si>
  <si>
    <t>JOSE ANTONIO SANCHEZ PEREZ</t>
  </si>
  <si>
    <t>LUZ MARIA MUNOZ CORRAL</t>
  </si>
  <si>
    <t>MARIA DEL CARMEN ONATE OLIVARI</t>
  </si>
  <si>
    <t>LUIS FELIPE ALVAREZ PULIDO</t>
  </si>
  <si>
    <t>VICTORIA SERRANO GOMEZ</t>
  </si>
  <si>
    <t>LUIS FELIPE MANCERA DE ARRIGUNAGA</t>
  </si>
  <si>
    <t>PABLO AZCARRAGA ANDRADE</t>
  </si>
  <si>
    <t>OLIVIA GONZALEZ TORRES</t>
  </si>
  <si>
    <t>JAIME CHOW CANO DE LOS RIOS</t>
  </si>
  <si>
    <t>MANUEL TOMAS MIER FERNANDEZ</t>
  </si>
  <si>
    <t>CORPORATIVO CONTROLADOR VOLVI SA DE CV</t>
  </si>
  <si>
    <t>ALPHA PATRIMONIAL ASESORES EN INVERSIONES INDEPENDIENTES SA DE CV</t>
  </si>
  <si>
    <t>BANCO ACTINVER SA INSTITUCION DE BANCA MULTIPLE GRUPO FINANCIERO ACTINVER COMO FIDUCIARIO</t>
  </si>
  <si>
    <t>JAIME SALVIDEA RELLO</t>
  </si>
  <si>
    <t>NAHUM GORODZINSKY FREIMAN</t>
  </si>
  <si>
    <t>ELECTRO FRONTIER JRZ SAS DE CV</t>
  </si>
  <si>
    <t>RIVER VALLEY SCHOOL SOCIETY</t>
  </si>
  <si>
    <t>AIE 777 Cook Holdings Inc AIE 20 Olympia Holdings Inc AIE (909 Pendergast) Holdings Inc</t>
  </si>
  <si>
    <t>IMCO PUBLIC MARKET ALTERNATIVES LP</t>
  </si>
  <si>
    <t>HI MAMA INC</t>
  </si>
  <si>
    <t>LUIS ANTONIO GOMEZ CERVANTES</t>
  </si>
  <si>
    <t>BERNARDO GOMEZ MARTINEZ</t>
  </si>
  <si>
    <t>JORGE EDUARDO PASARET ROBLES</t>
  </si>
  <si>
    <t>YOLANDA ARAIZA DUENAS</t>
  </si>
  <si>
    <t>MANUEL ROSEMBERG STILLMAN</t>
  </si>
  <si>
    <t>DAJCOR ALUMINUM INC</t>
  </si>
  <si>
    <t>DECP HOLDINGS INC</t>
  </si>
  <si>
    <t>LIMA AIRPORT PARTNERS S R L</t>
  </si>
  <si>
    <t>JORGE RODRIGUEZ ELORDUY</t>
  </si>
  <si>
    <t>SONEIL VAUGHAN INC</t>
  </si>
  <si>
    <t>GRANOS Y FORRAJES MURO SA DE CV</t>
  </si>
  <si>
    <t>INMOBILIARIA PLAYA 42 SA DE CV</t>
  </si>
  <si>
    <t>GENG XIN SA DE CV</t>
  </si>
  <si>
    <t>MINERA BESTEP SA DE CV</t>
  </si>
  <si>
    <t>SIMPLIFICAMOS TU MUNDO SA DE CV</t>
  </si>
  <si>
    <t>CAROLINA LOGISTICS MEXICO S DE RL DE CV</t>
  </si>
  <si>
    <t>HUERTAS HESEN SPR DE RL DE CV</t>
  </si>
  <si>
    <t>INSTRUMENTOS DE MEDICION Y CONTROL SA DE CV</t>
  </si>
  <si>
    <t>DOMINION AND ANGLO INVESTMENT CORP LTD</t>
  </si>
  <si>
    <t>SOLUCIONES ELECTRONICAS DE LA FRONTERA SAS DE CV</t>
  </si>
  <si>
    <t>ALBERTO EDMUNDO MANZOTTI MAGANA</t>
  </si>
  <si>
    <t>Crossing Jordan Holdings Inc.</t>
  </si>
  <si>
    <t>CROSSING JORDAN HOLDINGS INC</t>
  </si>
  <si>
    <t>CROSSING JORDAN HOLDINGS INC.</t>
  </si>
  <si>
    <t>SAIANAR INC</t>
  </si>
  <si>
    <t>LA TOUR DU MARCHE INC</t>
  </si>
  <si>
    <t>CANADIAN AND FOREIGN SECURITIES CO LIMITED</t>
  </si>
  <si>
    <t>DELUXE CORPORATION</t>
  </si>
  <si>
    <t>DP WORLD FRASER SURREY</t>
  </si>
  <si>
    <t>DP WORLD SAINT JOHN</t>
  </si>
  <si>
    <t>HEATMASTER FURNACES INC</t>
  </si>
  <si>
    <t>ALEJANDRO DAMY MONRAZ</t>
  </si>
  <si>
    <t>HRC SUMINISTROS SA DE CV</t>
  </si>
  <si>
    <t>JUAN WOLFGANG ZINSER SIERRA</t>
  </si>
  <si>
    <t>ADDVOX ESTRATEGIA Y COMUNICACION SC</t>
  </si>
  <si>
    <t>ALEJANDRO CORTINA GALLARDO</t>
  </si>
  <si>
    <t>PROMOTORA ELEMENTA S DE RL DE CV</t>
  </si>
  <si>
    <t>MARTA BRISENO GOMEZ ESPANA</t>
  </si>
  <si>
    <t>ORTAI INC</t>
  </si>
  <si>
    <t>MINERA LA VICTORIA EXPLORACION S DE RL DE CV</t>
  </si>
  <si>
    <t>MINERA RINCON EXPLORACION S DE RL DE CV</t>
  </si>
  <si>
    <t>XIMENA REGINA LOBO LICEAGA</t>
  </si>
  <si>
    <t>MARCO ANTONIO CARDENAS BARQUET</t>
  </si>
  <si>
    <t>ANA MARIA GUADALUPE ELIZONDO LOPEZ</t>
  </si>
  <si>
    <t>CYNTHIA GARZA DE YTA</t>
  </si>
  <si>
    <t>JAVIER ALEJANDRO SUAREZ GONZALEZ</t>
  </si>
  <si>
    <t>MINERA ARGENTITA EXPLORACION S DE RL DE CV</t>
  </si>
  <si>
    <t>MINERA ADULARIA EXPLORACION S DE RL DE CV</t>
  </si>
  <si>
    <t>J &amp; F UNIVERSAL TRADE &amp; SUPPLIERS INC</t>
  </si>
  <si>
    <t>AUTOMOTRIZ APEX SAPI DE CV</t>
  </si>
  <si>
    <t>CLAYTON WOLFE O/A WOLFE FARMS</t>
  </si>
  <si>
    <t>SERVICIOS DE JUAREZ WALK SA DE CV</t>
  </si>
  <si>
    <t>ISIDRO LOPEZ ANCONA</t>
  </si>
  <si>
    <t>JOSE LUIS MERCADO BERRONES</t>
  </si>
  <si>
    <t>MIGUEL DE LASCURAIN CORTINA</t>
  </si>
  <si>
    <t>MAURICIO MANUEL ZABALA RIVERA</t>
  </si>
  <si>
    <t>JACQUELINE ELIZABETH MISCHNER NALDA</t>
  </si>
  <si>
    <t>MINERA POTOSI EXPLORACION S DE RL DE CV</t>
  </si>
  <si>
    <t>PACNAV DE VERACRUZ SA DE CV</t>
  </si>
  <si>
    <t>SYLVIA HOUSE INC.</t>
  </si>
  <si>
    <t>JEAN CLAUDE ENRIQUEZ</t>
  </si>
  <si>
    <t>JAIME DAVID NAVARRO GRANILLO</t>
  </si>
  <si>
    <t>BAUDELIO AND CIA S C</t>
  </si>
  <si>
    <t>ALFONSO ANTONIO FARIAS ARAGON</t>
  </si>
  <si>
    <t>EBI OPERATIONS INC</t>
  </si>
  <si>
    <t>THE TELECOMMUNICATION WORKERS PENSION PLAN</t>
  </si>
  <si>
    <t>ROMAIN INDUSTRIAL SA DE CV</t>
  </si>
  <si>
    <t>THIERRY PAUL ALBERIC D ORCASBERRO DE PAZANAN</t>
  </si>
  <si>
    <t>MARGARITA ZEPEDA PORRAZ</t>
  </si>
  <si>
    <t>ALEXANDRA DORA SILVA MONTES</t>
  </si>
  <si>
    <t>GABRIEL KONIK DERECHIN</t>
  </si>
  <si>
    <t>GRUPO QUIMA SA DE CV</t>
  </si>
  <si>
    <t>MAPLE TRANSFER AND RECYCLING INC</t>
  </si>
  <si>
    <t>2573486 ONTARIO INC. (OA DELMAR FOODS)</t>
  </si>
  <si>
    <t>OMNI SPC 1 LTD</t>
  </si>
  <si>
    <t>SATURN OIL AND GAS INC</t>
  </si>
  <si>
    <t>JOSE ALONSO VALDEZ LOPEZ</t>
  </si>
  <si>
    <t>COMUNICACION TOTAL ZIMAT SC</t>
  </si>
  <si>
    <t>M TRANSCARGA SA DE CV</t>
  </si>
  <si>
    <t>AMADA CASPI COHEN</t>
  </si>
  <si>
    <t>JORGE EUGENIO DE MURGA Y ALVAREZ</t>
  </si>
  <si>
    <t>AUTO GRAN GG SA DE CV</t>
  </si>
  <si>
    <t>GLORIA GARCIA GAMBOA</t>
  </si>
  <si>
    <t>OSCAR GORODZINSKY FREIMAN</t>
  </si>
  <si>
    <t>ELIA AIDA ORDONEZ ALANIS</t>
  </si>
  <si>
    <t>DANIEL BRISENO VALDES</t>
  </si>
  <si>
    <t>SILGAN HOLDINGS INCORPORATED</t>
  </si>
  <si>
    <t>THE ROYAL INSTITUTION FOR THE ADV OF LEARNING MCGILL UNI END</t>
  </si>
  <si>
    <t>THE ROYAL INSTITUTION FOR THE ADVANCEMENT OF LEARNING MCGILL UNIVERSITY</t>
  </si>
  <si>
    <t>THE ROYAL INSTITUTION FOR THE ADV OF LEARNING MCGILL UNI 2</t>
  </si>
  <si>
    <t>THE ROYAL INSTITUTION FOR THE ADVANCEMENT OF LEARNING MCGILL UNIVERSITY ENDOWMENT FUND</t>
  </si>
  <si>
    <t>COLUMBIAN CHEMICALS CANADA LTD</t>
  </si>
  <si>
    <t>ADMINISTRADORA DE VEHICULOS EJECUTIVOS DCNG SA DE CV</t>
  </si>
  <si>
    <t>LGN ADVERTISING GROUP SA DE CV</t>
  </si>
  <si>
    <t>MARIA DEL ROCIO FRANCO HERNANDEZ</t>
  </si>
  <si>
    <t>SERGIO ZERMENO OCHOA</t>
  </si>
  <si>
    <t>JOSE ANTONIO LAMBERTA MONTALBAN</t>
  </si>
  <si>
    <t>ROSA ANNA ZANCO GIULIANI</t>
  </si>
  <si>
    <t>MAXCOM DEL PACIFICO SA DE CV</t>
  </si>
  <si>
    <t>SCOUGALL MANAGEMENT 1987 LIMITED</t>
  </si>
  <si>
    <t>ANGELINA DEL CARMEN CAMIL GARZA</t>
  </si>
  <si>
    <t>GABRIELA SANCHEZ GALLARDO</t>
  </si>
  <si>
    <t>J AND J SMART SA DE CV</t>
  </si>
  <si>
    <t>GABRIELA PANDO SANCHEZ</t>
  </si>
  <si>
    <t>MARIA DEL CARMEN MATOUK MATUK</t>
  </si>
  <si>
    <t>GERARDO JOSE JACINTO DEL CORAZON DE MARIA PANDAL Y RUIZ</t>
  </si>
  <si>
    <t>ESTEBAN FERNANDEZ LABASTIDA</t>
  </si>
  <si>
    <t>SUMMERHILL RESORTS LTD</t>
  </si>
  <si>
    <t>SUMMERHILL RESORTS LTD.</t>
  </si>
  <si>
    <t>BANCO VE POR MAS SA IBM FIDEICOMISO 303</t>
  </si>
  <si>
    <t>PABLO ENRIQUE ROMERO TORRES TORIJA</t>
  </si>
  <si>
    <t>GRUPO CONSTRUCTOR ALSEN SA DE CV</t>
  </si>
  <si>
    <t>GANADERA MAVIL BUENAVISTA S DE RL DE CV</t>
  </si>
  <si>
    <t>GUSTAVO FLORENTINO VEGA CANOVAS</t>
  </si>
  <si>
    <t>VELOCITY MACHINING AND WELDING INC.</t>
  </si>
  <si>
    <t>S D INVESTMENTS INC</t>
  </si>
  <si>
    <t>SATURNINO ARRIETA GONZALEZ</t>
  </si>
  <si>
    <t>JUAN RODRIGUEZ CASTANEDA</t>
  </si>
  <si>
    <t>AMALIA LANGENSCHEIDT SALCEDO</t>
  </si>
  <si>
    <t>GRUPO PENINSULA SA DE CV</t>
  </si>
  <si>
    <t>FERNANDA CANALE SEGOVIA</t>
  </si>
  <si>
    <t>RALPH AND SHARON TURFUS JOINT SPOUSAL TRUST</t>
  </si>
  <si>
    <t>GOLDEN GATE CREDIT VIEW PLAZA LIMITED</t>
  </si>
  <si>
    <t>GOLDEN GATE DIXIE PLAZA LIMITED</t>
  </si>
  <si>
    <t>PORTS AMERICA HOLDINGS LLC.</t>
  </si>
  <si>
    <t>GROUNDBREAK VENTURES LP</t>
  </si>
  <si>
    <t>CUBO CAPITAL SA DE CV</t>
  </si>
  <si>
    <t>JAIME IGNACIO ARRANGOIZ ORVANANOS</t>
  </si>
  <si>
    <t>GIT DE OCCIDENTE SA DE CV</t>
  </si>
  <si>
    <t>WESTHILL SUPPLIES SA DE CV</t>
  </si>
  <si>
    <t>JAIME MUNOZ CASTILLO MENDOZA</t>
  </si>
  <si>
    <t>ALAN KONIK DERECHIN</t>
  </si>
  <si>
    <t>LUIS JORGE CHOW CANO DE LOS RIOS</t>
  </si>
  <si>
    <t>AD HOC LAS IDEAS DONDE DEBEN ESTAR SA DE CV</t>
  </si>
  <si>
    <t>GRUPO ARDESEC SA DE CV</t>
  </si>
  <si>
    <t>NACIONAL DE SERVICIOS FUNERARIOS A FUTURO SA DE CV</t>
  </si>
  <si>
    <t>ANA ROSA LOZANO MEDINA</t>
  </si>
  <si>
    <t>MARIA TERESA IVETTE DAMY MONRAZ</t>
  </si>
  <si>
    <t>GRUPO DDI S DE RL DE CV</t>
  </si>
  <si>
    <t>INGRID ELISABETA KNIZEK SZEKELY</t>
  </si>
  <si>
    <t>COMISION FEDERAL DE ELECTRICIDAD</t>
  </si>
  <si>
    <t>FORUM REAL ESTATE INCOME AND IMPACT LP</t>
  </si>
  <si>
    <t>EXXONMOBIL MEXICO, S.A. DE C.V.</t>
  </si>
  <si>
    <t>HOPETECH LP</t>
  </si>
  <si>
    <t>HERVEY LOISEAU AVIN</t>
  </si>
  <si>
    <t>MARIA CATALINA GARZA FALCON RAMIREZ WIELLA</t>
  </si>
  <si>
    <t>TOP DOWN ENTERPRISES INC</t>
  </si>
  <si>
    <t>VERB INTEGRATIONS INC</t>
  </si>
  <si>
    <t>EL CARACOL PUNTA PIEDRA SA DE CV</t>
  </si>
  <si>
    <t>FEDERICO ARTURO PADILLA MARISCAL</t>
  </si>
  <si>
    <t>GRUPO PIXAN MC SA DE CV</t>
  </si>
  <si>
    <t>MAREA CAPITAL SAPI DE CV</t>
  </si>
  <si>
    <t>ONEX PARALLEL ONCAP IV LP</t>
  </si>
  <si>
    <t>ACLARA RESOURCES INC.</t>
  </si>
  <si>
    <t>EXXONMOBIL SERVICIOS PETROLEROS MEXICO, S.A. DE C.V.</t>
  </si>
  <si>
    <t>JULIO DAVID GONZALEZ MACHORRO</t>
  </si>
  <si>
    <t>BEATRIZ ELVIRA VILLARREAL GONZALEZ</t>
  </si>
  <si>
    <t>DAIMLER COMPRA Y MANUFACTURA MEXICO S DE RL DE CV</t>
  </si>
  <si>
    <t>MARCO ANTONIO RAMIREZ GALVAN</t>
  </si>
  <si>
    <t>MARCO ANTONIO SOTOMAYOR MELO</t>
  </si>
  <si>
    <t>BWC INDEPENDIENTE SA DE CV</t>
  </si>
  <si>
    <t>ELMWOOD HARDWARE LTD</t>
  </si>
  <si>
    <t>NBMX SA DE CV</t>
  </si>
  <si>
    <t>ROGER PATRON GONZALEZ</t>
  </si>
  <si>
    <t>BEATRIZ JIMENEZ SABORIT</t>
  </si>
  <si>
    <t>ABERHART FARMS INC</t>
  </si>
  <si>
    <t>ERB INDUSTRIAL FACILITY SOLUTIONS SA DE CV</t>
  </si>
  <si>
    <t>GRANELERA INTERNACIONAL DE TUXPAM SA DE CV</t>
  </si>
  <si>
    <t>JOSE ENRIQUE ORTIZ MESTRE</t>
  </si>
  <si>
    <t>JUAN ANTONIO SERVITJE CURZIO</t>
  </si>
  <si>
    <t>FIRSTSERVICE CORPORATION</t>
  </si>
  <si>
    <t>CORPORACION MEXICANA DE INVESTIGACION EN MATERIALES SA DE CV</t>
  </si>
  <si>
    <t>JUAN ANTONIO CARRANCEDO MIRANDA</t>
  </si>
  <si>
    <t>THE BORDER GROUP OF COMPANIES INC.</t>
  </si>
  <si>
    <t>INMOBILIARIA CASALUMI SA DE CV</t>
  </si>
  <si>
    <t>ELEMENTO MOB AND DECO SA DE CV</t>
  </si>
  <si>
    <t>AEROCOMERCIALIZADORA DEL PACIFICO SA DE CV</t>
  </si>
  <si>
    <t>STANDARD ATLANTIC MACHINE TOOLS INC</t>
  </si>
  <si>
    <t>SISTEMAS AUTOMOTRICES DE MEXICO SA DE CV</t>
  </si>
  <si>
    <t>SISTEMAS AUTOMOTRICES DE MEXICO, S.A. DE C.V.</t>
  </si>
  <si>
    <t>TD ASSET MANAGEMENT T1107</t>
  </si>
  <si>
    <t>ARROW CANADIAN ADVANTAGE ALTERNATIVE CLASS</t>
  </si>
  <si>
    <t>Blackstar 120-130 Raglan Ltd</t>
  </si>
  <si>
    <t>BLACKSTAR 222 WOODSTOCK LTD</t>
  </si>
  <si>
    <t>ROBERT GORDON ALLEN PAYNE MCDERMENT</t>
  </si>
  <si>
    <t>IRMA PATRICIA CABALLERO HERNANDEZ</t>
  </si>
  <si>
    <t>PENSION BENEFIT GUARANTY COR6762</t>
  </si>
  <si>
    <t>*DO NOT USE*</t>
  </si>
  <si>
    <t>ESTAFETA CARGA AEREA SA DE CV</t>
  </si>
  <si>
    <t>UNITED PARCEL SERVICE CANADA LTD RETIREMENT PLAN</t>
  </si>
  <si>
    <t>UNITED PARCEL SERVICE CANADA LTD. RETIREMENT PLAN</t>
  </si>
  <si>
    <t>BLACKSTAR 1862 BATHURST LTD</t>
  </si>
  <si>
    <t>CREDIT AGRICOLE CORPORATE AND INVESTMENT BANK BANGKOK</t>
  </si>
  <si>
    <t>CREDIT AGRICOLE CORPORATE AND INVESTMENT BANK  BANGKOK</t>
  </si>
  <si>
    <t>HONG KONG &amp; SHANGHAI BANKING CORP (INDIA BRANCH)</t>
  </si>
  <si>
    <t>BLACKSTAR 3000 3015 3017 QUEEN LTD</t>
  </si>
  <si>
    <t>Blackstar 2402-2404-2406 Queen Ltd.</t>
  </si>
  <si>
    <t>GENERADORA DE GATUN SA</t>
  </si>
  <si>
    <t>IVERDE SPR DE RL</t>
  </si>
  <si>
    <t>GUILLERMO ENRIQUE ARANA GIL</t>
  </si>
  <si>
    <t>LEX UNIVERSIDAD SA DE CV</t>
  </si>
  <si>
    <t>MARIA DEL ROSARIO GOMEZ ZUBIKARAI</t>
  </si>
  <si>
    <t>JOSE IGNACIO ARMENDARIZ MORALES</t>
  </si>
  <si>
    <t>MARIA MOLINA ORTIZ MONASTERIO</t>
  </si>
  <si>
    <t>CORPORATIVO PMO SA DE CV</t>
  </si>
  <si>
    <t>PENSION BENEFIT GUARANTY COR462</t>
  </si>
  <si>
    <t>IMPORTADORA Y COMERCIALIZADORA FLOWISH SA DE CV</t>
  </si>
  <si>
    <t>BLACKSTAR 4190 BATHURST LTD</t>
  </si>
  <si>
    <t>MSTAR TREASURY COMPANY PTE LTD</t>
  </si>
  <si>
    <t>SANCHEZ Y MARTIN S.A. DE C.V.</t>
  </si>
  <si>
    <t>SANCHEZ Y MARTIN SA DE CV</t>
  </si>
  <si>
    <t>LC INVESTMENTS FUND SPC - LC IV SEGREGATED PORTFOLIO</t>
  </si>
  <si>
    <t>THE SHORES OF PORT CREDIT INC</t>
  </si>
  <si>
    <t>DO BYND OVERSEAS SOLUTIONS SAS DE CV</t>
  </si>
  <si>
    <t>MISIONES DE BAJA CALIFORNIA SA DE C</t>
  </si>
  <si>
    <t>CARLOS ANTONIO LOPEZ ARGUIJO</t>
  </si>
  <si>
    <t>OLAM GLOBAL AGRI MEXICO SA DE CV</t>
  </si>
  <si>
    <t>BAJAESCROW S DE RL DE CV</t>
  </si>
  <si>
    <t>RECAL ESTRUCTURAS SA DE CV</t>
  </si>
  <si>
    <t>PENSION BENEFIT GUARANTY COR7162</t>
  </si>
  <si>
    <t>CANACCORD GENUITY CORP.</t>
  </si>
  <si>
    <t>NEWMANCORP (2010) LTD</t>
  </si>
  <si>
    <t>PENFUND CAPITAL FUND VII LIMITED PARTNERSHIP</t>
  </si>
  <si>
    <t>TELESFORO CARLOS MONTANO RODRIGUEZ</t>
  </si>
  <si>
    <t>PENSION BENEFIT GUARANTY COR2162</t>
  </si>
  <si>
    <t>MANUEL CONTRERAS CADENA</t>
  </si>
  <si>
    <t>ALBERTO EMILIO SALOME BATARSE</t>
  </si>
  <si>
    <t>RECAL ACEROS SAPI DE CV</t>
  </si>
  <si>
    <t>1670123 ONTARIO INC</t>
  </si>
  <si>
    <t>PROFUTURO AFP SA</t>
  </si>
  <si>
    <t>CRYSTAL PORT HOLDING L.P.</t>
  </si>
  <si>
    <t>ENBRIDGE GAS INC</t>
  </si>
  <si>
    <t>ATCO ENERGY SOLUTIONS LTD</t>
  </si>
  <si>
    <t>Tuttle Capital Short Innovation ETF</t>
  </si>
  <si>
    <t>A1 FUND SPC CDEA</t>
  </si>
  <si>
    <t>A1 Fund SPC - A1 Hedge Segregated Portfolio</t>
  </si>
  <si>
    <t>BECKMAN COULTER, INC.</t>
  </si>
  <si>
    <t>ESR FINANCE 1 AUSTRALIA PTY LTD</t>
  </si>
  <si>
    <t>ALEJANDRO GUAJARDO ARAIZA</t>
  </si>
  <si>
    <t>PENSION BENEFIT GUARANTY COR7062</t>
  </si>
  <si>
    <t>MERCEDES BENZ MEXICO S DE RL DE CV</t>
  </si>
  <si>
    <t>LF STEEL SA DE CV</t>
  </si>
  <si>
    <t>GARCUE S C</t>
  </si>
  <si>
    <t>GUILLERMO GUTIERREZ DEL MURO</t>
  </si>
  <si>
    <t>SAMGAR S C</t>
  </si>
  <si>
    <t>DEDUCE DESIGN SAS DE CV</t>
  </si>
  <si>
    <t>RETABY SA DE CV</t>
  </si>
  <si>
    <t>RELEGUA SA DE CV</t>
  </si>
  <si>
    <t>FRANCISCO XAVIER BRENA MALAGAMBA</t>
  </si>
  <si>
    <t>CAHDEZ DRILLING SA DE CV</t>
  </si>
  <si>
    <t>ESPECTACULOS Y PROMOCIONES BOL ARR SA DE CV</t>
  </si>
  <si>
    <t>ESPECTACULOS Y PROMOCIONES BOLARR SA DE CV</t>
  </si>
  <si>
    <t>ARMIDA FREGOSO BALTAZAR</t>
  </si>
  <si>
    <t>EVA ANNA EMILIE ALT GROSS DE CHENG</t>
  </si>
  <si>
    <t>ANDRES ARENA ELIZONDO</t>
  </si>
  <si>
    <t>SERVICIOS PERSONALES SPECTER SA DE CV</t>
  </si>
  <si>
    <t>MARIA TERESA GARZA BUENTELLO</t>
  </si>
  <si>
    <t>CAHDEZ SA DE CV</t>
  </si>
  <si>
    <t>DELDOSA SA DE CV</t>
  </si>
  <si>
    <t>ALEJANDRO ROBERTO SCHIAVON DELGADO</t>
  </si>
  <si>
    <t>INTER-VARSITY CHRISTIAN FELLOWSHIP OF CANADA</t>
  </si>
  <si>
    <t>PHARMAFILTRA SAS DE CV</t>
  </si>
  <si>
    <t>KAHA REAL ESTATE S DE RL DE CV</t>
  </si>
  <si>
    <t>ZOILA ANTOLINA MUNTANE JUAREZ</t>
  </si>
  <si>
    <t>RENTAL SERVICES PLAYA SA DE CV</t>
  </si>
  <si>
    <t>RODESTA DESIGN HVAC S DE RL DE CV</t>
  </si>
  <si>
    <t>INTERKRIM GROUP SA DE CV</t>
  </si>
  <si>
    <t>MECHANISMS IN MEDICINE INC</t>
  </si>
  <si>
    <t>PENFUND CAPITAL FUND VII MANAGEMENT LP</t>
  </si>
  <si>
    <t>PENFUND CAPITAL FUND VII US LP</t>
  </si>
  <si>
    <t>BPL MANAGEMENT LTD</t>
  </si>
  <si>
    <t>1000032258 ONTARIO INC</t>
  </si>
  <si>
    <t>ASSWANI VENTURES SA DE CV</t>
  </si>
  <si>
    <t>LUIS ANTONIO OLIVA CISNEROS</t>
  </si>
  <si>
    <t>ANDREA MILLAN BLANDO</t>
  </si>
  <si>
    <t>FERNANDO GONZALEZ  LASSO DE LA VEGA</t>
  </si>
  <si>
    <t>GUZVEDA SA DE CV</t>
  </si>
  <si>
    <t>JOSE ARMANDO GARCIA FRANCO</t>
  </si>
  <si>
    <t>HECTOR IGNACIO HERNANDEZ PONS TORRES</t>
  </si>
  <si>
    <t>SILVERPLAN INVEST SAPI DE CV</t>
  </si>
  <si>
    <t>MANUEL ALBERTO ESCOBAR AUZA</t>
  </si>
  <si>
    <t>ONEX PARTNERS V LP</t>
  </si>
  <si>
    <t>NORTHWEST HEALTHCARE PROPERTIES REI</t>
  </si>
  <si>
    <t>RHB BANK</t>
  </si>
  <si>
    <t>PACIFIC INT LINES</t>
  </si>
  <si>
    <t>KEPPEL CORPORATION LTD</t>
  </si>
  <si>
    <t>KBC BANK N.V.,</t>
  </si>
  <si>
    <t>JUAN MANUEL HERNANDEZ VILLARRUEL</t>
  </si>
  <si>
    <t>JULIO CESAR SALCIDO SALCIDO</t>
  </si>
  <si>
    <t>ICAL ADMINISTRACION SA DE CV</t>
  </si>
  <si>
    <t>MAYEL BIENES RAICES SA DE CV</t>
  </si>
  <si>
    <t>MIGFRA SA DE CV</t>
  </si>
  <si>
    <t>DESARROLLOS TURISTICOS PETEMPICH SA DE CV</t>
  </si>
  <si>
    <t>ARTURO CADENA HERNANDEZ</t>
  </si>
  <si>
    <t>MARPEL REAL STATE SA DE CV</t>
  </si>
  <si>
    <t>GRACEKENNEDY TRINIDAD AND TOBAGO LTD</t>
  </si>
  <si>
    <t>GUADALUPE ELISA ROJAS ELIAS</t>
  </si>
  <si>
    <t>ARTURO SANCHEZ CASTRO</t>
  </si>
  <si>
    <t>FERNANDO ALEJANDRO VAZQUEZ ORTIZ</t>
  </si>
  <si>
    <t>BERNARDO CALVO DIAZ</t>
  </si>
  <si>
    <t>MAURICIO MATA ALVAREZ</t>
  </si>
  <si>
    <t>SILVER ROCK SAGA FUND LLC - SERIES B</t>
  </si>
  <si>
    <t>SERGIO MARTIN GARCIA CHAVEZ HITA</t>
  </si>
  <si>
    <t>VISA PAYMENTS LIMITED</t>
  </si>
  <si>
    <t>2031899 ALBERTA LTD</t>
  </si>
  <si>
    <t>DEXTRA DE OCCIDENTE SA DE CV SOFOM ENR</t>
  </si>
  <si>
    <t>VENANPRI TOOLS MONTERREY S DE RL DE CV</t>
  </si>
  <si>
    <t>SCOTT REICHARD</t>
  </si>
  <si>
    <t>CHRIS REICHARD FID 235935 SCOTT REICHARD FID 236003</t>
  </si>
  <si>
    <t>CARDSTON SPRING COULEE SOLAR LIMITED PARTNERSHIP</t>
  </si>
  <si>
    <t>1868954 ONTARIO INC</t>
  </si>
  <si>
    <t>HALCROW GROUP LTD</t>
  </si>
  <si>
    <t>MOUNTAIN PROVINCE DIAMONDS INC</t>
  </si>
  <si>
    <t>MOUNTAIN PROVINCE DIAMONDS, INC.</t>
  </si>
  <si>
    <t>9595988 CANADA INC</t>
  </si>
  <si>
    <t>2921693 CANADA INC.</t>
  </si>
  <si>
    <t>8819432 CANADA INC.</t>
  </si>
  <si>
    <t>9093281 CANADA INC.</t>
  </si>
  <si>
    <t>9558993 CANADA INC.</t>
  </si>
  <si>
    <t>HYPERTEC HOLDINGS INC.</t>
  </si>
  <si>
    <t>NUTRIESENCE SA DE CV</t>
  </si>
  <si>
    <t>MARIA ELENA CURZIO GONZALEZ</t>
  </si>
  <si>
    <t>MOBILI PROYECTOS SC</t>
  </si>
  <si>
    <t>PHILIP DOYLE MANUFACTURING INC</t>
  </si>
  <si>
    <t>2856136 ONTARIO CORPORATION</t>
  </si>
  <si>
    <t>SHURE ELECTRONICA SA DE CV</t>
  </si>
  <si>
    <t>LUISA IRAIDA LEYBA MEDIAVILLA</t>
  </si>
  <si>
    <t>BEN HOKUM AND SON LIMITED</t>
  </si>
  <si>
    <t>APPLETON &amp; ASSOCIATES</t>
  </si>
  <si>
    <t>OSWALDO ARANA MUNOZ</t>
  </si>
  <si>
    <t>MONICA SATO HIRATA</t>
  </si>
  <si>
    <t>ALONSO NUNGARAY LOZANO</t>
  </si>
  <si>
    <t>MAGRIS PERFORMANCE MATERIALS INC</t>
  </si>
  <si>
    <t>1198729 BC LTD</t>
  </si>
  <si>
    <t>ADOLFO HEGEWISCH RIBA</t>
  </si>
  <si>
    <t>EMBOTELLADORAS BEPENSA SA DE CV</t>
  </si>
  <si>
    <t>TILLFUL INC</t>
  </si>
  <si>
    <t>BNP PARIBAS SINGAPORE</t>
  </si>
  <si>
    <t>L ARKI SA DE CV</t>
  </si>
  <si>
    <t>MARIA ELENA TORRES MALDONADO</t>
  </si>
  <si>
    <t>FRUIT PATCH PRODUCE INC</t>
  </si>
  <si>
    <t>HREIT HOLDINGS 5 CORPORATION</t>
  </si>
  <si>
    <t>WATKINS SAWMILLS LIMITED</t>
  </si>
  <si>
    <t>VOLTERRA ENERGY MARKETPLACE INC</t>
  </si>
  <si>
    <t>ONTARIO POWER GENERATION INC PENSION PLAN  GLOBAL CREDIT INVESTMENT MANDATE</t>
  </si>
  <si>
    <t>EDUARDO FERNANDEZ GARCIA TRAVESI</t>
  </si>
  <si>
    <t>GOLDMAN SACHS MEXICO CASA DE BOLSA SA DE CV</t>
  </si>
  <si>
    <t>GOLDMAN SACHS MEXICO CASA DE BOLSA SA  DE CV</t>
  </si>
  <si>
    <t>MARIA DEL CARMEN ALISEDA SOTO</t>
  </si>
  <si>
    <t>ADAM STONE PRODUCTS LTD</t>
  </si>
  <si>
    <t>BENITO VILLARREAL ROMO DE VIVAR</t>
  </si>
  <si>
    <t>PATRICIA IVONNE MARTINEZ HINOJOSA</t>
  </si>
  <si>
    <t>GOLDFARB CONSULTANTS MEXICO SA DE CV</t>
  </si>
  <si>
    <t>IK ATL SA DE CV</t>
  </si>
  <si>
    <t>MEXMOLDE PCZ SA DE CV</t>
  </si>
  <si>
    <t>PATRICIA ROSAS MARQUEZ</t>
  </si>
  <si>
    <t>RODRIGO ROMAN PASTOR</t>
  </si>
  <si>
    <t>METFORJA SAPI DE CV</t>
  </si>
  <si>
    <t>PATRICIA VIOLETA STILLMANN WEISS</t>
  </si>
  <si>
    <t>JOSE HUMBERTO TREVINO ELIZONDO</t>
  </si>
  <si>
    <t>INMOBILIARIA CAMPESTRE DE JUAREZ SA DE CV</t>
  </si>
  <si>
    <t>MARIA CANDELARIA LOBATO REYES</t>
  </si>
  <si>
    <t>CENMEX EXPORT SA DE CV</t>
  </si>
  <si>
    <t>DISTRIBUIDORA DE MAQUINARIA DE PUEBLA SA</t>
  </si>
  <si>
    <t>OPERADORA DE PLAZAS Y ESTACIONAMIENTOS COMERCIALES SA DE CV</t>
  </si>
  <si>
    <t>MUNDO DIVERTIDO DE MEXICALI S DE RL DE CV</t>
  </si>
  <si>
    <t>CONSTRUCTORA BEHAR INGENIERIA Y ARQUITECTURA SA DE CV</t>
  </si>
  <si>
    <t>INMOBILIARIA Y PROMOTORA DE DIVERSION S DE RL DE CV</t>
  </si>
  <si>
    <t>ESTHER ALICIA MIRASSOU NUNEZ</t>
  </si>
  <si>
    <t>MORRIS INGENIERIA Y PROYECTOS EN ROBOTICA SA DE CV</t>
  </si>
  <si>
    <t>OPERADORA PLAZA MUNDO DIVERTIDO SA DE CV</t>
  </si>
  <si>
    <t>OBRAS MARCELINAS DE MEXICO AC</t>
  </si>
  <si>
    <t>GIORGIO ARDUINO GUIDO CANTELE BERGAMI</t>
  </si>
  <si>
    <t>ARRENDADORA FAMBE S DE RL DE CV</t>
  </si>
  <si>
    <t>SALJAMEX SERVICIOS SA DE CV</t>
  </si>
  <si>
    <t>RELIANCE BARKER DAVIES INC</t>
  </si>
  <si>
    <t>CIBANCO SA INSTITUCION DE BANCA MULTIPLE EN SU CARACTER DE FIDUCIARIO DEL CONTRATO DE FIDEICOMISO IRREVOCABLE DE ADMINISTRACION Y FUENTE DE PAGO NO CIB 3729</t>
  </si>
  <si>
    <t>MGR GROUP INC</t>
  </si>
  <si>
    <t>VICTOR MANUEL CARRASCO LOPEZ</t>
  </si>
  <si>
    <t>CARLA GUADALUPE ALVERDE MONTEMAYOR</t>
  </si>
  <si>
    <t>LUZ PERLA YANEZ FLORES</t>
  </si>
  <si>
    <t>LES PAPIERS WINNIE INC</t>
  </si>
  <si>
    <t>SILVIA GEORGINA ROBLES AHUMADA</t>
  </si>
  <si>
    <t>MR ANDREW KING</t>
  </si>
  <si>
    <t>MACKENZIE NORTH AMERICAN EQUITY FUND</t>
  </si>
  <si>
    <t>CANADA LIFE GLOBAL GROWTH OPPORTUNITIES FUND</t>
  </si>
  <si>
    <t>FIDENCIO OCHOA QUINTANA</t>
  </si>
  <si>
    <t>MIGUEL ANGEL GONZALEZ SOLANA</t>
  </si>
  <si>
    <t>UP INN DE MEXICO SA DE CV</t>
  </si>
  <si>
    <t>RODRIGO RAFAEL LOPEZ ARGUIJO</t>
  </si>
  <si>
    <t>6120 MAVIS LTD</t>
  </si>
  <si>
    <t>765 BOYER LTD</t>
  </si>
  <si>
    <t>1631 THE QUEENSWAY LTD</t>
  </si>
  <si>
    <t>9300 JANE LTD</t>
  </si>
  <si>
    <t>GZ AUTOMOTIVE HOLDINGS INC</t>
  </si>
  <si>
    <t>WEALTHSIMPLE NORTH AMERICAN GREEN BOND INDEX ETF (CAD-HEDGED)</t>
  </si>
  <si>
    <t>IG CLIMATE ACTION PORTFOLIOS BETTERWORLD CANADA I</t>
  </si>
  <si>
    <t>RESTORATION LANDS INC</t>
  </si>
  <si>
    <t>IG CLIMATE ACTION PORTFOLIOS BETTERWORLD CANADA II</t>
  </si>
  <si>
    <t>IG CLIMATE ACTION PORTFOLIOS BETTERWORLD CANADA III</t>
  </si>
  <si>
    <t>AMELIA GUADALUPE GONZALEZ GALVAN</t>
  </si>
  <si>
    <t>MAYAN INVESTORS S DE RL DE CV</t>
  </si>
  <si>
    <t>GRUPO INMOBILIARIO G4TRO SA DE CV</t>
  </si>
  <si>
    <t>OCTAVIO MUNOZ CORRAL</t>
  </si>
  <si>
    <t>INDUSTRIALIZADORA OLEFINOS SA DE CV</t>
  </si>
  <si>
    <t>Sprout Fund</t>
  </si>
  <si>
    <t>IG CLIMATE ACTION PORTFOLIOS BETTERWORLD CANADA IV</t>
  </si>
  <si>
    <t>1578526 AB LTD</t>
  </si>
  <si>
    <t>1578526 ALBERTA LTD</t>
  </si>
  <si>
    <t>SUSTAINABLE BALANCED 40/60 FUND</t>
  </si>
  <si>
    <t>SUSTAINABLE BALANCED 60/40 FUND</t>
  </si>
  <si>
    <t>SUSTAINABLE GROWTH 80/20 FUND</t>
  </si>
  <si>
    <t>SUSTAINABLE GROWTH 100 FUND</t>
  </si>
  <si>
    <t>SUSTAINABLE INCOME 100 FUND</t>
  </si>
  <si>
    <t>SUSTAINABLE INCOME 20/80 FUND</t>
  </si>
  <si>
    <t>BNYM Brazil International Fund SPC, for and on behalf of its JGP Offshore Segregated Portfolio</t>
  </si>
  <si>
    <t>BRAZIL INTERNATIONAL FUND SPC  JGP OFFSHORE SEGREGATED PORTFOLIO CDEA</t>
  </si>
  <si>
    <t>Starvik Fund</t>
  </si>
  <si>
    <t>11871960 CANADA INC</t>
  </si>
  <si>
    <t>JGP PEGASUS FUND</t>
  </si>
  <si>
    <t>La Chapelle Fund</t>
  </si>
  <si>
    <t>CARLYLE GLOBAL PARTNERS II, L.P.</t>
  </si>
  <si>
    <t>CARLYLE GLOBAL PARTNERS II LP</t>
  </si>
  <si>
    <t>GENTILMEX S DE RL DE CV</t>
  </si>
  <si>
    <t>RUCSA HORNOS CREMATORIOS SA DE CV</t>
  </si>
  <si>
    <t>VIVIANA LETICIA CASTELLANOS GALLEGO</t>
  </si>
  <si>
    <t>CARRASCO GARCIA ABOGADOS SC</t>
  </si>
  <si>
    <t>SANYI COMERCIAL CNMX SA DE CV</t>
  </si>
  <si>
    <t>ERIK MICHAEL RISH LERNER</t>
  </si>
  <si>
    <t>POWERPLAY EQUITY CAPITAL INC</t>
  </si>
  <si>
    <t>TOHOKU 8081 SA DE CV</t>
  </si>
  <si>
    <t>ROBERT ALEXANDER BAUDOUIN KENNEDY</t>
  </si>
  <si>
    <t>COMMERCE AND BUSINESS LATIN AMERICA AND EUROPE S DE RL DE CV</t>
  </si>
  <si>
    <t>INMOBILIARIA ZIG SA DE CV</t>
  </si>
  <si>
    <t>ELEMENT MIND DIGITAL TECHNOLOGIES &amp; SERVICES SAPI DE CV</t>
  </si>
  <si>
    <t>YOJI OGAWA</t>
  </si>
  <si>
    <t>TEXTILERA LAMICH S DE RL DE CV</t>
  </si>
  <si>
    <t>CONSULTA LIGHT SA DE CV</t>
  </si>
  <si>
    <t>PURE FOODS MEAT SOLUTIONS INC</t>
  </si>
  <si>
    <t>CAMIONES REPUESTOS Y ACCESORIOS SA DE CV</t>
  </si>
  <si>
    <t>ALEJANDRO SADA BARRERA</t>
  </si>
  <si>
    <t>SERGIO ARTURO RAMIREZ MEJIA</t>
  </si>
  <si>
    <t>VALLARTA SHOREX TOURS S DE RL DE CV</t>
  </si>
  <si>
    <t>ARMANDO GOMEZ FLORES</t>
  </si>
  <si>
    <t>KIMBERLY CLARK DE MEXICO SAB DE CV</t>
  </si>
  <si>
    <t>CARLOS HURTADO LOPEZ</t>
  </si>
  <si>
    <t>WAYPOINT PROPERTIES INC</t>
  </si>
  <si>
    <t>SKY AG SERVICES LIMITED</t>
  </si>
  <si>
    <t>2813685 ONTARIO INC</t>
  </si>
  <si>
    <t>KALPATARU POWER TRANSMISSION LTD</t>
  </si>
  <si>
    <t>GODFREY PHILLIPS INDIA LTD</t>
  </si>
  <si>
    <t>EID PARRY (INDIA) LIMITED</t>
  </si>
  <si>
    <t>GUJARAT STATE FERTILIZERS &amp;CHEM LTD</t>
  </si>
  <si>
    <t>CENTURY ENKA LTD</t>
  </si>
  <si>
    <t>FINOLEX CABLES LTD</t>
  </si>
  <si>
    <t>THE ROYAL BANK OF SCOTLAND N.V.</t>
  </si>
  <si>
    <t>NILKAMAL LIMITED</t>
  </si>
  <si>
    <t>TORRENT PHARMACEUTICALS LTD</t>
  </si>
  <si>
    <t>IOT INFRASTRUCTURE &amp; ENERGY SERVLTD</t>
  </si>
  <si>
    <t>FIRST RAND BANK LIMITED</t>
  </si>
  <si>
    <t>CHINA MERCHANTS BANK CO LTD</t>
  </si>
  <si>
    <t>IPCA LABORATORIES LIMITED</t>
  </si>
  <si>
    <t>CASSANDRA RODRIGUEZ MICHAUD</t>
  </si>
  <si>
    <t>MARGARITA BELTRAN WIRZ</t>
  </si>
  <si>
    <t>1793938 ALBERTA INC</t>
  </si>
  <si>
    <t>SUPOLLO SA DE CV</t>
  </si>
  <si>
    <t>PROCESADORA Y COMERCIALIZADORA CAMPEROS SA DE CV</t>
  </si>
  <si>
    <t>ALFONSO DEL SAGRADO CORAZON DE LARA HARO</t>
  </si>
  <si>
    <t>MCM MAQUINARIA INDUSTRIAL S DE RL DE CV</t>
  </si>
  <si>
    <t>SONEIL MISSISSAUGA INC AND SONEIL MARKHAM INC</t>
  </si>
  <si>
    <t>SONEIL MISSISSAUGA INC</t>
  </si>
  <si>
    <t>ST CLEMENTS SCHOOL</t>
  </si>
  <si>
    <t>SONEIL OAKVILLE INC</t>
  </si>
  <si>
    <t>SONEIL MARKHAM INC</t>
  </si>
  <si>
    <t>BALANCE URBANO CONTROL DE PLAGAS SA DE CV</t>
  </si>
  <si>
    <t>CARLOS ALFONSO ZAFRA ESCALANTE</t>
  </si>
  <si>
    <t>ROCIO RUIZ GUERRERO</t>
  </si>
  <si>
    <t>ARRUBA PARK SA DE CV</t>
  </si>
  <si>
    <t>JOSE MARIA BLANCO MORAN</t>
  </si>
  <si>
    <t>BOC Pensions Limited on behalf of BOC Pension Investment Fund: Specialist Bond Portfolio</t>
  </si>
  <si>
    <t>THE DUKE LIMITED PARTNERSHIP</t>
  </si>
  <si>
    <t>COPTIC ORTHODOX PATRIARCHATE OF ALEXANDRIA THE CHURCH OF ARCHANGEL MICHAEL AND SAINT TEKLA</t>
  </si>
  <si>
    <t>CONGELADOS PENINSULARES DEL MAYAB SA DE CV</t>
  </si>
  <si>
    <t>ULTIMATE VIEWPOINT S DE RL DE CV</t>
  </si>
  <si>
    <t>AGUSTIN MUSI LETAYF</t>
  </si>
  <si>
    <t>GABRIELA LOIZAGA CUEVAS</t>
  </si>
  <si>
    <t>GIOVANNA SIDAOUI HADDAD</t>
  </si>
  <si>
    <t>SERVICIOS ESPECIALIZADOS AGROPECUARIOS FST SA DE CV</t>
  </si>
  <si>
    <t>COLUMBIA BY THE BEACH S DE RL DE CV</t>
  </si>
  <si>
    <t>ADELAIDA MARIA DEL CARMEN CUETO SCHEEL</t>
  </si>
  <si>
    <t>EP 390 ORENDA INC</t>
  </si>
  <si>
    <t>ACL STEEL LTD</t>
  </si>
  <si>
    <t>CANADIAN VIEWPOINT INC.</t>
  </si>
  <si>
    <t>GANADO COMERCIAL LA BABIA S DE RL DE CV</t>
  </si>
  <si>
    <t>CEDAR VALLEY HOLDINGS LTD</t>
  </si>
  <si>
    <t>JOSE MARIA BARBA DEL COJO</t>
  </si>
  <si>
    <t>ENRIQUE GUADALUPE DOMINGO STERLING BOURS</t>
  </si>
  <si>
    <t>GUILLERMO LEAL CHAVEZ</t>
  </si>
  <si>
    <t>ELIAS ACHAR LEVY</t>
  </si>
  <si>
    <t>JESSICA MOLINA VALENZUELA</t>
  </si>
  <si>
    <t>JOSE ANTONIO RODRIGUEZ ACHEM</t>
  </si>
  <si>
    <t>OSBORNE PROPELLERS LTD</t>
  </si>
  <si>
    <t>BANCO DE MEXICO EN SU CARACTER DE FIDUCIARIO EN EL FIDEICOMISO FONDO ESPECIAL PARA FINANCIAMIENTOS AGROPECUARIOS</t>
  </si>
  <si>
    <t>VEIKLE AGRO INC</t>
  </si>
  <si>
    <t>GADGET SOFTWARE INC</t>
  </si>
  <si>
    <t>GRUPO AMP SOLUTIONS S DE RL DE CV</t>
  </si>
  <si>
    <t>MAR DE STEPHENSON SC DE RL DE CV</t>
  </si>
  <si>
    <t>EHP GLOBAL ESG LEADERS ALTERNATIVE FUND</t>
  </si>
  <si>
    <t>THE SOAR FUND</t>
  </si>
  <si>
    <t>VEIKLE GRAIN LTD</t>
  </si>
  <si>
    <t>H. E. RIECKELMAN (CANADA) INC</t>
  </si>
  <si>
    <t>H E RIECKELMAN CANADA INC</t>
  </si>
  <si>
    <t>LUISA ITZKOWICH SOD</t>
  </si>
  <si>
    <t>OLGA FUCHS BOBADILLA</t>
  </si>
  <si>
    <t>FEDERICO ERNESTO RICARDO TAMM BREDEE</t>
  </si>
  <si>
    <t>MARIA CECILIA ALARCON GARZA</t>
  </si>
  <si>
    <t>2525 HDI INC</t>
  </si>
  <si>
    <t>2525 HDI INC.</t>
  </si>
  <si>
    <t>WILLIAM NEELS AND WILMA NEELS</t>
  </si>
  <si>
    <t>SYGNUS DEVELOPMENT GROUP S DE RL DE CV</t>
  </si>
  <si>
    <t>JOSE TABACHNIK ITZKOWICH</t>
  </si>
  <si>
    <t>ELITE MANUFACTURING S DE RL DE CV</t>
  </si>
  <si>
    <t>JORGE RAUL GONZALEZ DELGADO</t>
  </si>
  <si>
    <t>PAUL RODOLFO BELLER</t>
  </si>
  <si>
    <t>JUAN MANUEL RUBIO UNIBE</t>
  </si>
  <si>
    <t>CESAR ARAIZA GUERRA</t>
  </si>
  <si>
    <t>MARIA DEL CARMEN CORRAL  BADIA</t>
  </si>
  <si>
    <t>MARIA ELODIA FONTES ACUNA</t>
  </si>
  <si>
    <t>BALESIA TECHNOLOGIES SA DE CV</t>
  </si>
  <si>
    <t>SANCTUARY COGNITIVE SYSTEMS CORPORATION</t>
  </si>
  <si>
    <t>FIRST TRUST S NETWORK HEALTHCARE TE</t>
  </si>
  <si>
    <t>FIRST TRUST S- NETWORK STREAMING AND GAMING ETF</t>
  </si>
  <si>
    <t>ISBERG FARMS</t>
  </si>
  <si>
    <t>BROOK CONSTRUCTION (2007) INC</t>
  </si>
  <si>
    <t>ENRIQUE JOEL GUZMAN VILLARREAL</t>
  </si>
  <si>
    <t>CANADA LIFE US SMALL-MID CAP GROWTH FUND</t>
  </si>
  <si>
    <t>GRUPO INMOBILIARIO EMG SAPI DE CV</t>
  </si>
  <si>
    <t>PROTESA SISTEMAS CONTRA INCENDIO SA DE CV</t>
  </si>
  <si>
    <t>FELIPE REYNOSO FEMAT</t>
  </si>
  <si>
    <t>PAA CONSULTING SC</t>
  </si>
  <si>
    <t>GERARDO MARCOS CAMPOS</t>
  </si>
  <si>
    <t>JOSE ANTONIO SAFA SERRATO</t>
  </si>
  <si>
    <t>ROSA LUISA MATEOS VIZCAYNO</t>
  </si>
  <si>
    <t>GENCAP MINING ADVISORY LTD</t>
  </si>
  <si>
    <t>ERIKA DENISSE SNYDER CASILLAS</t>
  </si>
  <si>
    <t>MAGALY TERESITA GARZA LOZANO</t>
  </si>
  <si>
    <t>KEVIN BAKER</t>
  </si>
  <si>
    <t>527 RENEWABLES LLC</t>
  </si>
  <si>
    <t>STICKNEY RESOURCES LTD.</t>
  </si>
  <si>
    <t>104 BEECH HOLDINGS INC</t>
  </si>
  <si>
    <t>CAN AM PROPERTIES LTD</t>
  </si>
  <si>
    <t>RANCHO EL CANAMO SPR DE RL DE CV</t>
  </si>
  <si>
    <t>MANUEL ENRIQUE ROMERO DE TERREROS ESCALANTE</t>
  </si>
  <si>
    <t>OSCAR ERNESTO ARRUNADA BARRAZA</t>
  </si>
  <si>
    <t>ALEJANDRA EUGENIA BLANCO MORAN</t>
  </si>
  <si>
    <t>QUALITY ONE S DE RL DE CV</t>
  </si>
  <si>
    <t>ECOFLUID SYSTEMS INC.</t>
  </si>
  <si>
    <t>MACKENZIE NORTHLEAF PRIVATE CREDIT INTERVAL FUND</t>
  </si>
  <si>
    <t>INTERLAKEN TRADING INC</t>
  </si>
  <si>
    <t>ADELIA RUVALCABA CHAPA</t>
  </si>
  <si>
    <t>MARIA DEL PILAR SERVITJE MONTULL</t>
  </si>
  <si>
    <t>ROGELIO GENARO BARRIOS CAZARES</t>
  </si>
  <si>
    <t>HERD NORTH AMERICA INC.</t>
  </si>
  <si>
    <t>657723 ONTARIO INC</t>
  </si>
  <si>
    <t>GILBERT YVAN SONNERY GARREAU DOMBASLE</t>
  </si>
  <si>
    <t>GUSTAVO ANTONIO PEREZ RIOS</t>
  </si>
  <si>
    <t>MACKENZIE MULTI-STRATEGY ABSOLUTE RETURN FUN- ALL WORLD LONG SHORT</t>
  </si>
  <si>
    <t>1983832 ONTARIO INC</t>
  </si>
  <si>
    <t>CARLOS MANUEL FERNANDEZ CASTELLO Y MARTINEZ DEL CAMPO</t>
  </si>
  <si>
    <t>LITHIUM ROYALTY CORPORATION</t>
  </si>
  <si>
    <t>FONDO DE CESANTIAS PROTECCION</t>
  </si>
  <si>
    <t>FONDO DE PENSIONES OBLIGATORIAS PROTECCION MODERADO</t>
  </si>
  <si>
    <t>FONDO DE PENSIONES OBLIGATORIAS PROTECCION RETIRO PROGRAMADO</t>
  </si>
  <si>
    <t>FONDO DE PENSIONES OBLIGATORIAS PROTECCION MAYOR RIESGO</t>
  </si>
  <si>
    <t>INSUMOS CEGA SA DE CV</t>
  </si>
  <si>
    <t>CAVAKIO NEGOCIOS SA DE CV</t>
  </si>
  <si>
    <t>VIVIGRO SUSTAINABLE SOLUTIONS LTD.</t>
  </si>
  <si>
    <t>VMWARE, INC.</t>
  </si>
  <si>
    <t>ONNET FIBRA COLOMBIA S A S</t>
  </si>
  <si>
    <t>410 AT STEELES INC</t>
  </si>
  <si>
    <t>FUNDY TEXTILE AND DESIGN LIMITED</t>
  </si>
  <si>
    <t>VERUM CALIFICADORA DE VALORES SAPI DE CV</t>
  </si>
  <si>
    <t>BRUNSWICK ENTERPRISES LIMITED</t>
  </si>
  <si>
    <t>1341519 BC LTD</t>
  </si>
  <si>
    <t>SEAN AND JEANNELLE ISBERG</t>
  </si>
  <si>
    <t>JESUS ARMANDO HERRERA FIGUEROA</t>
  </si>
  <si>
    <t>GREEN SEEK SA DE CV</t>
  </si>
  <si>
    <t>BANCO CENTRAL DE VENEZUELA</t>
  </si>
  <si>
    <t>DSELCO Y ASOCIADOS SA DE CV</t>
  </si>
  <si>
    <t>AGRIGA DE MEXICO SA DE CV</t>
  </si>
  <si>
    <t>OC GRUPO CONSTRUCTOR SA DE CV</t>
  </si>
  <si>
    <t>VERONICA SALIM PONCE</t>
  </si>
  <si>
    <t>VMWARE INTERNATIONAL UNLIMITED COMPANY</t>
  </si>
  <si>
    <t>CARMEN MARTIN DEL CAMPO KINDLER VON KNOBLOCH</t>
  </si>
  <si>
    <t>MARIA CRISTINA PALMA RUIZ</t>
  </si>
  <si>
    <t>RBC GLOBAL CHOICES ALL EQUITY PORTFOLIO</t>
  </si>
  <si>
    <t>RBC GLOBAL CHOICES GROWTH PORTFOLIO</t>
  </si>
  <si>
    <t>RBC GLOBAL CHOICES CONSERVATIVE PORTFOLIO</t>
  </si>
  <si>
    <t>RBC GLOBAL CHOICES VERY CONSERVATIVE PORTFOLIO</t>
  </si>
  <si>
    <t>RBC U S EQUITY INDEX ETF FUND</t>
  </si>
  <si>
    <t>RBC GLOBAL EQUITY INDEX ETF FUND</t>
  </si>
  <si>
    <t>RBC GLOBAL BOND INDEX ETF FUND</t>
  </si>
  <si>
    <t>RBC EMERGING MARKETS EQUITY INDEX ETF FUND</t>
  </si>
  <si>
    <t>RBC EMERGING MARKETS CHINA EQUITY FUND (INCUBATOR)</t>
  </si>
  <si>
    <t>RBC VFS INTERNATIONAL EQUITY FUND</t>
  </si>
  <si>
    <t>PLACEMENTS YVAN LEBEL INC</t>
  </si>
  <si>
    <t>10322717 CANADA INC</t>
  </si>
  <si>
    <t>9056-1366 QUEBEC INC</t>
  </si>
  <si>
    <t>MOWEN HOLDINGS INC</t>
  </si>
  <si>
    <t>TWENTY VIEW GRAINS INC.</t>
  </si>
  <si>
    <t>POIRIER AND BROTHERS INC SA DE CV</t>
  </si>
  <si>
    <t>GIOMAR MARTIN DEL CAMPOKINDLER VON KNOBLOCH</t>
  </si>
  <si>
    <t>FROST FIGHTER INC.</t>
  </si>
  <si>
    <t>FROST FIGHTER INC</t>
  </si>
  <si>
    <t>1000008402 ONTARIO INC</t>
  </si>
  <si>
    <t>9211-2341 QUEBEC INC</t>
  </si>
  <si>
    <t>RODOLFO TINAJERO JIMENEZ</t>
  </si>
  <si>
    <t>RAUL TORRES GUZMAN</t>
  </si>
  <si>
    <t>SENIOR CLIMATE SA DE CV</t>
  </si>
  <si>
    <t>OWENS AMERICA, S. DE R.L. DE C.V.</t>
  </si>
  <si>
    <t>CHAMPION IRON LTD</t>
  </si>
  <si>
    <t>B C RESEARCH INC.</t>
  </si>
  <si>
    <t>ELECTRIFICATION AND DECARBONIZATION AIE LP</t>
  </si>
  <si>
    <t>M&amp; L MANAGEMENT INC.</t>
  </si>
  <si>
    <t>FRUITS GIDDINGS SA DE CV</t>
  </si>
  <si>
    <t>BANCO NACIONAL DE COSTA RICA</t>
  </si>
  <si>
    <t>DISTRITO MUSIC SA DE CV</t>
  </si>
  <si>
    <t>TUIO SAPI DE CV</t>
  </si>
  <si>
    <t>ROCKFORD ENGINEERING WORKS LTD</t>
  </si>
  <si>
    <t>MEXICO DEVELOPMENT I LP</t>
  </si>
  <si>
    <t>OPERADORA MEOR SA DE CV</t>
  </si>
  <si>
    <t>SAM M (SAW 180) INC</t>
  </si>
  <si>
    <t>IA CLARINGTON GLOBAL RISK MANAGED INCOME PORTFOLIO</t>
  </si>
  <si>
    <t>CARLYLE PRINCIPAL ALTERNATIVE OPPORTUNITIES FUND, L.P.</t>
  </si>
  <si>
    <t>BLACKLAKE INCORPORATED</t>
  </si>
  <si>
    <t>GC MARKETING INC</t>
  </si>
  <si>
    <t>INDUSTRIAL GATE TIJUANA 1 SA DE CV</t>
  </si>
  <si>
    <t>JULIETA TOVAR LUGO</t>
  </si>
  <si>
    <t>SERVICIOS MONETARIOS CONTROL SA DE CV</t>
  </si>
  <si>
    <t>JULIA MARCIA GIOVANINI GARCIA</t>
  </si>
  <si>
    <t>INDORAMA VENTURES POLYMERS MEXICO S DE RL DE CV</t>
  </si>
  <si>
    <t>TELEFONICA DE COSTA RICA TC S.A.</t>
  </si>
  <si>
    <t>COPPEREX RESOURCES CORPORATION</t>
  </si>
  <si>
    <t>SILVA CONSULTORES Y REFACCIONAMIENTO S DE RL DE CV</t>
  </si>
  <si>
    <t>CAN ART ALUMINUM EXTRUSION CANADA INC.</t>
  </si>
  <si>
    <t>ANA TERESA GALLEGO IBARRA</t>
  </si>
  <si>
    <t>NEILSON FINANCIAL SERVICES INC</t>
  </si>
  <si>
    <t>IA WEALTH CORE BOND POOL</t>
  </si>
  <si>
    <t>MAC ACRES LTD</t>
  </si>
  <si>
    <t>CH4 ENERGIA SA DE CV</t>
  </si>
  <si>
    <t>ANA WONCHEE PENA</t>
  </si>
  <si>
    <t>GRUPO OLGOM S DE RL DE CV</t>
  </si>
  <si>
    <t>PRO-CAD SOFTWARE LTD</t>
  </si>
  <si>
    <t>0904250 B.C LTD DBA EZ LOG STRUCTURES</t>
  </si>
  <si>
    <t>AGROBERRY SAN AMADO SPR DE RL DE CV</t>
  </si>
  <si>
    <t>LDCELLULAR LTD</t>
  </si>
  <si>
    <t>SNS INDUSTRIES INC</t>
  </si>
  <si>
    <t>KENNEDY TOWERS DEVELOPMENT INC</t>
  </si>
  <si>
    <t>IMMEUBLES LYNX INC</t>
  </si>
  <si>
    <t>FEALEVILLE JOINT VENTURE</t>
  </si>
  <si>
    <t>IMPEXXUS MEDICAL IMAGING INC</t>
  </si>
  <si>
    <t>FELIX SANTIAGO COLINAS SANCHEZ</t>
  </si>
  <si>
    <t>OPLAY DIGITAL SERVICES SA DE CV SOFOM ENR</t>
  </si>
  <si>
    <t>MARIA LUISA AZCARRAGA ANDRADE</t>
  </si>
  <si>
    <t>VENTATELCO S DE RL DE CV</t>
  </si>
  <si>
    <t>PUBLIO MIGUEL ADRIANZA SALAVERRIA</t>
  </si>
  <si>
    <t>COMERCIALIZADORA FICUTRE SA DE CV</t>
  </si>
  <si>
    <t>RAMILU S DE RL DE CV</t>
  </si>
  <si>
    <t>13702065 CANADA INC.</t>
  </si>
  <si>
    <t>LUIS MIGUEL ANDREA ROMERO</t>
  </si>
  <si>
    <t>GRUPO INDUSTRIAL MAGANA SA DE CV</t>
  </si>
  <si>
    <t>PERSONAL ESPECIALIZADO Y TECNOLOGIA EN ENERGIA S DE RL DE CV</t>
  </si>
  <si>
    <t>MIGUEL MARENGO CANALES</t>
  </si>
  <si>
    <t>ALFREDO ARAIZA GUERRA</t>
  </si>
  <si>
    <t>STORMTEC FILTRATION INC</t>
  </si>
  <si>
    <t>REXFORD INDUSTRIAL REALTY INC</t>
  </si>
  <si>
    <t>ACDC FARMS LTD</t>
  </si>
  <si>
    <t>8711453 CANADA INC</t>
  </si>
  <si>
    <t>MARIA DE ITURBE VEREA</t>
  </si>
  <si>
    <t>ANA ISABEL CORONADO PAZOS</t>
  </si>
  <si>
    <t>DANIEL AJZEN WAJSFELD</t>
  </si>
  <si>
    <t>ARTURO GABRIEL MILHE SALDIERNA Y DEAL</t>
  </si>
  <si>
    <t>VICTOR NAHMAD ACHAR</t>
  </si>
  <si>
    <t>MARIA DEL ROCIO HILL CORTAZAR</t>
  </si>
  <si>
    <t>IRMA ACEVES</t>
  </si>
  <si>
    <t>BARTEN FARMS LTD.</t>
  </si>
  <si>
    <t>GOBIERNO DEL ESTADO DE CHIHUAHUA</t>
  </si>
  <si>
    <t>CAREBOOK TECHNOLOGIES INC</t>
  </si>
  <si>
    <t>INDUSTRIAS MEXICANAS ZERO SA DE CV</t>
  </si>
  <si>
    <t>MYSTERY SHOPPER MEXICO SA DE CV</t>
  </si>
  <si>
    <t>MMS ASESORES SC</t>
  </si>
  <si>
    <t>RINSUR SA DE CV</t>
  </si>
  <si>
    <t>MARIA FERNANDA VEGA GIREUD</t>
  </si>
  <si>
    <t>2NDPRO SAPI DE CV</t>
  </si>
  <si>
    <t>RE BANUC SAPI DE CV</t>
  </si>
  <si>
    <t>RANCHO THOMAS S DE P R DE R L</t>
  </si>
  <si>
    <t>STUDIO CITY TORONTO INC</t>
  </si>
  <si>
    <t>FIRE BRICK SA DE CV</t>
  </si>
  <si>
    <t>COZUMEL COUNTRY CLUB SA DE CV</t>
  </si>
  <si>
    <t>GRUPO EMPO SA DE CV</t>
  </si>
  <si>
    <t>LEONILO MIGUEL NIETO RAMOS</t>
  </si>
  <si>
    <t>LAURA ELENA MARIN CORONA</t>
  </si>
  <si>
    <t>XIMENA PEREZ GROBET</t>
  </si>
  <si>
    <t>AUTRONIC SA DE CV</t>
  </si>
  <si>
    <t>ADELINA TERESA LOPEZ CANO</t>
  </si>
  <si>
    <t>ALFONSO FERNANDEZ DELGADO</t>
  </si>
  <si>
    <t>OLAM GLOBAL AGRI PTE LTD.</t>
  </si>
  <si>
    <t>FRUTICOLA DON EPITACIO SA DE CV</t>
  </si>
  <si>
    <t>OC CONSTRUCCIONES SA DE CV</t>
  </si>
  <si>
    <t>ENSIGN UNITED STATES DRILLING INC.</t>
  </si>
  <si>
    <t>GOLDRIDGE INDUSTRIES INC</t>
  </si>
  <si>
    <t>LAURA LUCIA ACOSTA JASSO</t>
  </si>
  <si>
    <t>PRODUCTORA DE UVA NAYARIT SA DE CV</t>
  </si>
  <si>
    <t>EFREN CADENA PAYAN</t>
  </si>
  <si>
    <t>TETRA TECH CANADA HOLDING CORPORATION</t>
  </si>
  <si>
    <t>ELLISDON INFRASTRUCTURE LSW RER INC</t>
  </si>
  <si>
    <t>UNITED PULSE TRADING INC</t>
  </si>
  <si>
    <t>9143 1528 QUEBEC INC</t>
  </si>
  <si>
    <t>SAND SKI HOLDINGS LTD</t>
  </si>
  <si>
    <t>GNO SYS TECHNOLOGY LTD</t>
  </si>
  <si>
    <t>CAPIX MX SAPI DE CV SOFOM ENR</t>
  </si>
  <si>
    <t>MERAKI PACIFICA JOINT VENTURE COMPANY LTD</t>
  </si>
  <si>
    <t>GESTION RENEGADE INC</t>
  </si>
  <si>
    <t>BESCO GRAIN LTD</t>
  </si>
  <si>
    <t>FERTILIZANTES Y NUTRIENTES DE OCCIDENTE SA DE CV</t>
  </si>
  <si>
    <t>PAMELA AIDEE MUNOZ CORRAL</t>
  </si>
  <si>
    <t>CIBANCO S A IBM FIDEICOMISO F 00939</t>
  </si>
  <si>
    <t>ASESORES DE TELEMERCADEO QSMX SA DE CV</t>
  </si>
  <si>
    <t>MARCO ANTONIO HIGUERA GOMEZ</t>
  </si>
  <si>
    <t>SOLUCIONES EN NUTRIENTES DE VALOR AGREGADO SA DE CV</t>
  </si>
  <si>
    <t>SASKARC INDUSTRIES INC</t>
  </si>
  <si>
    <t>AXIOM EQUIPMENT INC</t>
  </si>
  <si>
    <t>CANADA LIFE PRECIOUS METALS FUND</t>
  </si>
  <si>
    <t>CANADA LIFE EUROPEAN EQUITY FUND</t>
  </si>
  <si>
    <t>SEDIMAR DEVELOPMENTS LTD</t>
  </si>
  <si>
    <t>ARCOSA INDUSTRIES DE MEXICO S DE RL DE CV</t>
  </si>
  <si>
    <t>ANA HOLSCHNEIDER GOMEZ</t>
  </si>
  <si>
    <t>SENDERO ANTA SA DE CV</t>
  </si>
  <si>
    <t>WEF GP INTERNATIONAL LTD</t>
  </si>
  <si>
    <t>BERENICE COOPER SENOSIAIN</t>
  </si>
  <si>
    <t>BANCA MIFEL SA IBM GFM FIDEICOMISO 4594 2021 GFM</t>
  </si>
  <si>
    <t>LUZ DEL CARMEN LEDESMA URIBE</t>
  </si>
  <si>
    <t>MARIANA DELGADO ORTIZ MENA</t>
  </si>
  <si>
    <t>RESET FUND INC</t>
  </si>
  <si>
    <t>III Offshore Advisors-BLOCK TRADE</t>
  </si>
  <si>
    <t>INNOTECH HOLDINGS LIMITED</t>
  </si>
  <si>
    <t>INNOTECH HOLDINGS INC</t>
  </si>
  <si>
    <t>SASKARC INC</t>
  </si>
  <si>
    <t>FELIX DE LEON RAMIREZ</t>
  </si>
  <si>
    <t>PM INGENIERIA Y CONSTRUCCION SA DE CV</t>
  </si>
  <si>
    <t>ALEJANDRO ORTIZ LOPEZ</t>
  </si>
  <si>
    <t>BMG TRADING INC.</t>
  </si>
  <si>
    <t>INMOBILIARIA HOTELERA CITY EXPRESS SA DE CV</t>
  </si>
  <si>
    <t>VICTOR MANUEL ALMIRAY JARAMILLO</t>
  </si>
  <si>
    <t>MARIA FERNANDA SANCHEZ WOODWORTH ALVAREZ MORPHY</t>
  </si>
  <si>
    <t>ULRICH RICHTER MORALES</t>
  </si>
  <si>
    <t>HUNABKU TECNOLOGIAS S DE RL DE CV</t>
  </si>
  <si>
    <t>LIFESPEAK INC.</t>
  </si>
  <si>
    <t>V.K. INVESTMENTS INC.</t>
  </si>
  <si>
    <t>CANADIAN NATIONAL CHRISTIAN FOUNDATION</t>
  </si>
  <si>
    <t>GUSTAVO ADOLFO ALE GONZALEZ</t>
  </si>
  <si>
    <t>CONSTRUCCIONES CALVEC SA DE CV</t>
  </si>
  <si>
    <t>PABLO DE ABIEGA FORCEN</t>
  </si>
  <si>
    <t>ALAN DENNIS GRACIA</t>
  </si>
  <si>
    <t>AMERICAN LITHIUM CORP.</t>
  </si>
  <si>
    <t>ADER AGENTE DE SEGUROS Y DE FIANZAS SA DE CV</t>
  </si>
  <si>
    <t>MARIA CONSUELO GONZALEZ DIAZ DE LEON</t>
  </si>
  <si>
    <t>FELIPE OLLINCOATL RISH Y LOPEZ</t>
  </si>
  <si>
    <t>ROBOSON HOLDINGS LTD</t>
  </si>
  <si>
    <t>FLASHBOX INC</t>
  </si>
  <si>
    <t>MARIA TERESA MANCERA VIVAR BALDERRAMA</t>
  </si>
  <si>
    <t>CLOUD PHARMACY INC</t>
  </si>
  <si>
    <t>HASHCAP INC</t>
  </si>
  <si>
    <t>TESSY ORTIZ TEYSSIER</t>
  </si>
  <si>
    <t>JAVIER FRANCISCO SALDANA GONZALEZ</t>
  </si>
  <si>
    <t>GXO LOGISTICS INC</t>
  </si>
  <si>
    <t>KINICH TOURS S DE RL DE CV</t>
  </si>
  <si>
    <t>ELVA GUADALUPE GARCIA CASTELLANOS</t>
  </si>
  <si>
    <t>CASA ENTRE ROCAS S DE RL DE CV</t>
  </si>
  <si>
    <t>GRUPO INDUSTRIAL LOZANO SA DE CV</t>
  </si>
  <si>
    <t>RAFAEL VARGAS RUIZ</t>
  </si>
  <si>
    <t>MTK AUTO WEST LTD</t>
  </si>
  <si>
    <t>SORCAV ASESORES SA DE CV</t>
  </si>
  <si>
    <t>CARLOS ERNESTO ARELLANO SOTA</t>
  </si>
  <si>
    <t>ROBERTO OLIVA MIRANDA</t>
  </si>
  <si>
    <t>JUDITH CHAPARRO ALVARADO</t>
  </si>
  <si>
    <t>JPSHOT SA DE CV</t>
  </si>
  <si>
    <t>RECKITT BENCKISER CENTROAMERICA S.A.</t>
  </si>
  <si>
    <t>377 O'CONNOR STREET PROPERTIES LIMITED PARTNERSHIP</t>
  </si>
  <si>
    <t>PORTEFEUILLE FDP ACTIONS CANADIENNES  (FDP CANADIAN EQUITY PORTFOLIO )</t>
  </si>
  <si>
    <t>EGGPLANT PICTURES INC</t>
  </si>
  <si>
    <t>JOSE HUMBERTO TREVINO YANEZ</t>
  </si>
  <si>
    <t>KROY ABOGADOS SC</t>
  </si>
  <si>
    <t>MATRIX HOSPITALITY FURNITURE INC</t>
  </si>
  <si>
    <t>GE PROLEC TRANSFORMERS INC</t>
  </si>
  <si>
    <t>MANULIFE REAL ASSET INVESTMENT FUND</t>
  </si>
  <si>
    <t>MANULIFE INVESTMENT EXCHANGE FUNDS CORP - MANULIFE CANADIAN EQUITY CLASS</t>
  </si>
  <si>
    <t>MANULIFE INVESTMENT EXCHANGE FUNDS CORP  MANULIFE CANADIAN EQUITY CLASS</t>
  </si>
  <si>
    <t>AGROALIMENTOS TARAHUMARA S DE PR DE RL DE CV</t>
  </si>
  <si>
    <t>RIOBOO SA DE CV</t>
  </si>
  <si>
    <t>MAURICIO MIRANDA ALVAREZ</t>
  </si>
  <si>
    <t>GASODUCTO DE AGUAPRIETA S DE RL DE CV</t>
  </si>
  <si>
    <t>STEFANIA MARIA GARLATT WEISS</t>
  </si>
  <si>
    <t>ELBA MARIA RAMOS CARDENAS DE RODRIGUEZ</t>
  </si>
  <si>
    <t>192 BRONSON PROPERTY INC</t>
  </si>
  <si>
    <t>VALERIA SOUZA SALDIVAR</t>
  </si>
  <si>
    <t>PROYECTOS Y DESARROLLOS GONZA SA DE CV</t>
  </si>
  <si>
    <t>PORTEFEUILLE FDP ACTIONS CANADIENNES DIVIDENDE(FDP CANADIAN DIVIDEND EQUITY PORTFOLIO)</t>
  </si>
  <si>
    <t>FERNANDO CASTANEDO MALAGON</t>
  </si>
  <si>
    <t>ALBERTO MIRANDA MIJARES</t>
  </si>
  <si>
    <t>MARIA DEL CARMEN CASTILLO OLEA</t>
  </si>
  <si>
    <t>SONTRUD HOLDINGS 2010 INC.</t>
  </si>
  <si>
    <t>COMMODITIES- INVEST</t>
  </si>
  <si>
    <t>GABRIELA USABIAGA GONZALEZ</t>
  </si>
  <si>
    <t>UNIABSOLUTERERTRAG</t>
  </si>
  <si>
    <t>MARIA TERESA GONZALEZ MARTINEZ</t>
  </si>
  <si>
    <t>MCK MARQUIS COMMERCIAL KITCHENS INC</t>
  </si>
  <si>
    <t>SENER SES CANADA INC</t>
  </si>
  <si>
    <t>CEDAR LNG PARTNERS LP</t>
  </si>
  <si>
    <t>UPTON INVESTMENTS LTD</t>
  </si>
  <si>
    <t>ADOLFO FRANCISCO JAVIER CLOUTHIER  MONTOYA</t>
  </si>
  <si>
    <t>SERGIO CRUZ FERNANDEZ</t>
  </si>
  <si>
    <t>MIGUEL CASTANEDO MALAGON</t>
  </si>
  <si>
    <t>JOSE CASTANEDO MALAGON</t>
  </si>
  <si>
    <t>ROCIO KARINA GUTIERREZ DE HOYOS</t>
  </si>
  <si>
    <t>ALAN GERARDO DE LA TORRE LOBERA</t>
  </si>
  <si>
    <t>10K RENTALS LTD</t>
  </si>
  <si>
    <t>NFL MEXICO S DE RL DE CV</t>
  </si>
  <si>
    <t>WALBRIDGE DE MEXICO SA DE CV</t>
  </si>
  <si>
    <t>PANTHER HEALTHCARE MEXICO S DE RL DE CV</t>
  </si>
  <si>
    <t>LUIS JAVIER USABIAGA GONZALEZ</t>
  </si>
  <si>
    <t>MARSHS WAUBAUSHENE MARINA INC</t>
  </si>
  <si>
    <t>PATHFINDER INTERNATIONAL FUND</t>
  </si>
  <si>
    <t>SEASPAN CORPORATION</t>
  </si>
  <si>
    <t>TIERCON CORP</t>
  </si>
  <si>
    <t>JUAN MANUEL ARMENDARIZ GARCIA</t>
  </si>
  <si>
    <t>TECNO SUBSUELOS SA DE CV</t>
  </si>
  <si>
    <t>WOODSIDE ENERGY LTD</t>
  </si>
  <si>
    <t>RICARDO DAVILA GUZMAN</t>
  </si>
  <si>
    <t>OSCAR NERI LOZANO</t>
  </si>
  <si>
    <t>CESAR VICENTE CORTES TORRES</t>
  </si>
  <si>
    <t>SULETTE NERI LOZANO</t>
  </si>
  <si>
    <t>MODESTO ALVAREZ CERVANTES</t>
  </si>
  <si>
    <t>CNN MANUFACTURING SA DE CV</t>
  </si>
  <si>
    <t>RECKON SA DE CV</t>
  </si>
  <si>
    <t>LUIS RAUL DODDOLI VILLASENOR</t>
  </si>
  <si>
    <t>MD BOND FUND 240</t>
  </si>
  <si>
    <t>MD BOND FUND - OPPURTUNISTIC SLEEVE</t>
  </si>
  <si>
    <t>NORDICA 80 SCARSDALE INC</t>
  </si>
  <si>
    <t>GILLIGANS BOAT SALES 2021 LTD</t>
  </si>
  <si>
    <t>LYSANDER-TRIASIMA ALL COUNTRY LONG/SHORT EQUITY FUND</t>
  </si>
  <si>
    <t>RIPCO INC.</t>
  </si>
  <si>
    <t>FERNANDO DE LA TORRE MARTINEZ</t>
  </si>
  <si>
    <t>ALGODONERA LOS PIONEROS SA DE CV</t>
  </si>
  <si>
    <t>JOSE CARLOS AULD GUEVARA</t>
  </si>
  <si>
    <t>STEVEN WISE (MARJANLEE HOLDINGS LIMITED)</t>
  </si>
  <si>
    <t>MDPIM BOND POOL - OPPORTUNISTIC SLEEVE</t>
  </si>
  <si>
    <t>MURRAY J WILKEN AND JONATHAN WILKEN</t>
  </si>
  <si>
    <t>ACASTA ENERGY EVOLUTION MASTER FUND</t>
  </si>
  <si>
    <t>Acasta Energy Evolution Master Fund</t>
  </si>
  <si>
    <t>GESTION IMMOBILIERE FRANCOIS BELANGER INC</t>
  </si>
  <si>
    <t>ESTLIN HOLDINGS LTD</t>
  </si>
  <si>
    <t>OMAR SAAVEDRA SANCHEZ</t>
  </si>
  <si>
    <t>MARIA TERESA MARISCAL TORROELLA</t>
  </si>
  <si>
    <t>LAURA OLIVIA REYNOSO FEMAT</t>
  </si>
  <si>
    <t>ISMAEL DIAZ GALVEZ</t>
  </si>
  <si>
    <t>DESARROLLOS GOPCA S A P I  DE C V</t>
  </si>
  <si>
    <t>RAINFINE NORTH AMERICA IRRIGATION LTD.</t>
  </si>
  <si>
    <t>TOWN OF WHITE CITY</t>
  </si>
  <si>
    <t>IPROFILE CANADIAN EQUITY POOL</t>
  </si>
  <si>
    <t>IPROFILE CANADIAN EQUITY PRIVATE POOL</t>
  </si>
  <si>
    <t>FERME AGRINAT INC</t>
  </si>
  <si>
    <t>JAFRAFIN SA DE CV</t>
  </si>
  <si>
    <t>ARFACOM SAS DE CV</t>
  </si>
  <si>
    <t>CARLOS ALBERTO GARZA CUELLAR</t>
  </si>
  <si>
    <t>CONSTRUCCIONES MAQUINARIA Y TRASLADO SA DE CV</t>
  </si>
  <si>
    <t>ALUBIN DE MEXICO SA DE CV</t>
  </si>
  <si>
    <t>ORANGE DEVELOPMENTS SAPI DE CV</t>
  </si>
  <si>
    <t>TORRE B 3 MARES AC</t>
  </si>
  <si>
    <t>JOSE IGNACIO ORTIZ CUE</t>
  </si>
  <si>
    <t>GETAHE FARMS SPR DE RL</t>
  </si>
  <si>
    <t>TECNICA AGRICOLA CHIAPAS SA DE CV</t>
  </si>
  <si>
    <t>DCMS REALTY (DON MILLS) INC.</t>
  </si>
  <si>
    <t>SNOWBUSH MEXICO SAPI DE CV</t>
  </si>
  <si>
    <t>RAFAEL GARCIA CUESTA</t>
  </si>
  <si>
    <t>EL CIPRESS PRODUCE SPR DE RL</t>
  </si>
  <si>
    <t>ALPHA CHANNEL INC</t>
  </si>
  <si>
    <t>INMOBILIARIA PROYECTO 2030 SAPI DE CV</t>
  </si>
  <si>
    <t>AUGONE SAPI DE CV</t>
  </si>
  <si>
    <t>ANA GABRIELA RODRIGUEZ NAVARRO</t>
  </si>
  <si>
    <t>JOSE FERNANDO AHUMADA CHAVEZ</t>
  </si>
  <si>
    <t>HORACIO JAIME LOBO Y ZERTUCHE</t>
  </si>
  <si>
    <t>DYNAMIC ACTIVE PREFERRED SHARES ETF</t>
  </si>
  <si>
    <t>DYNAMIC ACTIVE CANADIAN DIVIDEND ETF</t>
  </si>
  <si>
    <t>DICKLANDS FARMS (A PARTNERSHIP)</t>
  </si>
  <si>
    <t>MARIANA ALVARADO PELLICER</t>
  </si>
  <si>
    <t>DYNAMIC ACTIVE U.S. DIVIDEND ETF</t>
  </si>
  <si>
    <t>AMERICAN PROCESS GROUP (CANADA) LTD</t>
  </si>
  <si>
    <t>DE TODO EN ALAMBRE DE AGUASCALIENTES S DE RL DE CV</t>
  </si>
  <si>
    <t>HS FARMOQUIMICA SA</t>
  </si>
  <si>
    <t>ADRIAN OTERO ROSILES</t>
  </si>
  <si>
    <t>OMX COMERCIALIZADORA MEDICA SA DE CV</t>
  </si>
  <si>
    <t>DYNAMIC ACTIVE GLOBAL DIVIDEND ETF</t>
  </si>
  <si>
    <t>DYNAMIC ACTIVE TACTICAL BOND ETF</t>
  </si>
  <si>
    <t>DYNAMIC ACTIVE GLOBAL FINANCIAL SERVICES ETF</t>
  </si>
  <si>
    <t>DYNAMIC ACTIVE U.S. MID-CAP ETF</t>
  </si>
  <si>
    <t>DYNAMIC ACTIVE INVESTMENT GRADE FLOATING RATE ETF</t>
  </si>
  <si>
    <t>TRUAQ WELNESS LTD</t>
  </si>
  <si>
    <t>EQUINIX INC</t>
  </si>
  <si>
    <t>13623220 CANADA INC</t>
  </si>
  <si>
    <t>AGUSTIN MARIA FRANCO MACIAS</t>
  </si>
  <si>
    <t>METRO BULLION INC</t>
  </si>
  <si>
    <t>SMS MACHINE TOOLS LIMITED SMS MACHINE OUTILS LTEE</t>
  </si>
  <si>
    <t>N. TEPPERMAN LIMITED</t>
  </si>
  <si>
    <t>N TEPPERMAN LIMITED</t>
  </si>
  <si>
    <t>MARIA DEL ROCIO LOPEZ DE SILANES PEREZ</t>
  </si>
  <si>
    <t>EVA BERENSTEIN NANKIN</t>
  </si>
  <si>
    <t>SCOTIA PRIVATE CREDIT POOL</t>
  </si>
  <si>
    <t>ALDULI S DE RL DE CV</t>
  </si>
  <si>
    <t>FRANCISCO JAVIER COLAS MONCO</t>
  </si>
  <si>
    <t>GREENTREE CATTLE CORP</t>
  </si>
  <si>
    <t>GREENTREE CATTLE CORP.</t>
  </si>
  <si>
    <t>9355 2438 QUEBEC INC</t>
  </si>
  <si>
    <t>SINFORD INVESTMENTS LTD</t>
  </si>
  <si>
    <t>PARADOR TURISTICO LA PARRA SA DE CV</t>
  </si>
  <si>
    <t>JOSE ANTONIO MORENO BUENROSTRO</t>
  </si>
  <si>
    <t>TULUM TIERRAS DEL PARAISO MAYA SA DE CV</t>
  </si>
  <si>
    <t>BERNARDO GARZA TREVINO</t>
  </si>
  <si>
    <t>PROSCIENCE INC.</t>
  </si>
  <si>
    <t>WB FROZEN US, LLC</t>
  </si>
  <si>
    <t>EDGAR ANTONIO RUIZ GONZALEZ</t>
  </si>
  <si>
    <t>JESUS RAUL MONTANO DEL BOSQUE</t>
  </si>
  <si>
    <t>RICARDO MARTIN VERGARA</t>
  </si>
  <si>
    <t>OTTAWA HOSPITAL FOUNDATION / FONDATION HOPITAL D'OTTAWA</t>
  </si>
  <si>
    <t>CAVALRY PARENT LP</t>
  </si>
  <si>
    <t>DYNAMIC ACTIVE CROSSOVER BOND ETF</t>
  </si>
  <si>
    <t>SMARTONE SOLUTIONS INC</t>
  </si>
  <si>
    <t>PAPALOTL ASESORIA MEDIATICA DEPORTIVA SA DE CV</t>
  </si>
  <si>
    <t>LAGUNA GAGES AND TOOLING SA DE CV</t>
  </si>
  <si>
    <t>YOLANDA DEL CARMEN SEPULVEDA RODRIGUEZ</t>
  </si>
  <si>
    <t>GERARDO ARMANDO VIDRIO CHAVEZ</t>
  </si>
  <si>
    <t>DESERT MACHINERY SA DE CV</t>
  </si>
  <si>
    <t>NEUERA PHARMACEUTICALS INC</t>
  </si>
  <si>
    <t>PRIMERICA FINANCIAL SERVICES (CANADA) LTD.</t>
  </si>
  <si>
    <t>PICTON PROPERTIES INC</t>
  </si>
  <si>
    <t>ENRIQUE DE JESUS MEDINA ESPADA</t>
  </si>
  <si>
    <t>ROSALIA LILIA VASQUEZ CELIS</t>
  </si>
  <si>
    <t>SERGIO FIGUEROLA CERVANTES</t>
  </si>
  <si>
    <t>JOSE LUIS MEZA VILLARREAL</t>
  </si>
  <si>
    <t>AARON BEHAR GOLDSTEIN</t>
  </si>
  <si>
    <t>MAVAL STEERING SYSTEMS DE MEXICO S DE RL DE CV</t>
  </si>
  <si>
    <t>DANIEL MANUEL GONZALEZ AMARANTE</t>
  </si>
  <si>
    <t>ANDRES DAVID BELTRAN STOKES</t>
  </si>
  <si>
    <t>HUMBERTO CORONA VAZQUEZ</t>
  </si>
  <si>
    <t>DISENO CARALARGA SA DE CV</t>
  </si>
  <si>
    <t>MARIA FERNANDA SALGADO NAIME</t>
  </si>
  <si>
    <t>PATLON AIRCRAFT &amp; INDUSTRIES LTD</t>
  </si>
  <si>
    <t>PATLON AIRCRAFT &amp; INDUSTRIES LIMITED</t>
  </si>
  <si>
    <t>JORGE EDUARDO VAN HOORDE BARRAGAN</t>
  </si>
  <si>
    <t>JAVIER DOMENECH MACIAS</t>
  </si>
  <si>
    <t>BEATRIZ RAMIREZ PINEDA</t>
  </si>
  <si>
    <t>BEAR TRAP SAPI DE CV</t>
  </si>
  <si>
    <t>NAUTICAL COMMERCE CANADA INC</t>
  </si>
  <si>
    <t>LAURENTIS ENERGY PARTNERS INC.</t>
  </si>
  <si>
    <t>MAYRA EDITH GARZA OLVERA</t>
  </si>
  <si>
    <t>EUGENIO DE JESUS GOMEZ SAINZ VEGA</t>
  </si>
  <si>
    <t>GUADALUPE REYES SALAS</t>
  </si>
  <si>
    <t>ATS SERVICES LTD</t>
  </si>
  <si>
    <t>MISTY GLEN FARMS LTD</t>
  </si>
  <si>
    <t>MISTYGLEN CREAMERY LTD</t>
  </si>
  <si>
    <t>JD DEVELOPMENT 254 PHILLIP STREET LTD</t>
  </si>
  <si>
    <t>JD DEVELOPMENT 254 PHILLIP STREET LIMITED PARTNERSHIP</t>
  </si>
  <si>
    <t>WILLS WINGS MEXICO SA DE CV</t>
  </si>
  <si>
    <t>GROBOTICS AND CONTROL SYSTEM SAPI DE CV</t>
  </si>
  <si>
    <t>JUANA MARIA HERNANDEZ URIBE</t>
  </si>
  <si>
    <t>GREENHOUSE WERITA SPR DE RL</t>
  </si>
  <si>
    <t>JAIME DAVID BEHAR MAYA</t>
  </si>
  <si>
    <t>GRUPO GOYALI S DE RL DE CV</t>
  </si>
  <si>
    <t>MAPLEROSE HOLDINGS CANADA INC</t>
  </si>
  <si>
    <t>BERNARDO CARLOS LEDESMA URIBE</t>
  </si>
  <si>
    <t>MPS FOODS SA DE CV</t>
  </si>
  <si>
    <t>JEAN MICHEL ENRIQUEZ DAHLHAUS</t>
  </si>
  <si>
    <t>CENTRAL 33 LTD</t>
  </si>
  <si>
    <t>HAUSAMMANN AND SONS DAIRY FARMS LTD</t>
  </si>
  <si>
    <t>SOLUCIONES ELECTROMECANICAS DE POTENCIA SA DE CV</t>
  </si>
  <si>
    <t>OSCAR ALEJANDRO VARGAS FONSECA</t>
  </si>
  <si>
    <t>COMPANIA FERNANDEZ DE MERIDA SA DE CV</t>
  </si>
  <si>
    <t>5050791 ONTARIO INC</t>
  </si>
  <si>
    <t>CLIMATE INNOVATION CAPITAL INC</t>
  </si>
  <si>
    <t>GLOBAL SEMI SC</t>
  </si>
  <si>
    <t>TRANSCUN SAVI SA DE CV</t>
  </si>
  <si>
    <t>SOFIA REYNOSO JOKISCH</t>
  </si>
  <si>
    <t>V3A DUABA TRADE DE MEXICO SA DE CV</t>
  </si>
  <si>
    <t>GERARDO JOSE ROMERO GARCIA</t>
  </si>
  <si>
    <t>MARCELA ORDORICA HERNANDEZ</t>
  </si>
  <si>
    <t>PRIME TIME MESSENGER INC</t>
  </si>
  <si>
    <t>MXC DOMINICANA S.R.L.</t>
  </si>
  <si>
    <t>RIVE SUD N DE BROSSARD INC</t>
  </si>
  <si>
    <t>EDIFICE CITTA I  INC</t>
  </si>
  <si>
    <t>101237010 SASKATCHEWAN LTD</t>
  </si>
  <si>
    <t>EULALIA RODRIGUEZ PEREZ</t>
  </si>
  <si>
    <t>LUIS FERNANDO GOMEZ ALVAREZ GALVEZ</t>
  </si>
  <si>
    <t>MARIA COUTTOLENC BUENTELLO</t>
  </si>
  <si>
    <t>ANA MARIA CORONEL PINA</t>
  </si>
  <si>
    <t>ANGELSTONE FARMS INC</t>
  </si>
  <si>
    <t>AXIUM US WIND HOLDCO LLC</t>
  </si>
  <si>
    <t>BCAA INSURANCE CORPORATION</t>
  </si>
  <si>
    <t>INMOBILIARIA ABROCOR SA DE CV</t>
  </si>
  <si>
    <t>NISEN WEISS SCHIFMAN</t>
  </si>
  <si>
    <t>J&amp;B TRAILER SALES INC</t>
  </si>
  <si>
    <t>AMADA VICTORINA DEL PERPETUO SOCORRO UBIERNA MARTINEZ</t>
  </si>
  <si>
    <t>DISCOVERY AMERICAS CAPITAL S DE RL DE CV</t>
  </si>
  <si>
    <t>ACTIVOS ALTERNATIVOS S DE RL DE CV</t>
  </si>
  <si>
    <t>ADELA CESPEDES CREIXELL</t>
  </si>
  <si>
    <t>FERNANDO ELIAS MURRA MARCOS</t>
  </si>
  <si>
    <t>ANTHONY GRAEME RENNIE TURNER MCLEAN</t>
  </si>
  <si>
    <t>DESARROLLO INDUSTRIAL Y DUCTOS DE GAS SA DE CV</t>
  </si>
  <si>
    <t>SALVADOR GUILLERMO GUTIERREZ VILLEGAS</t>
  </si>
  <si>
    <t>CARLOS MIGUEL MARIA DE LABORDE NOGUEZ DE YTURBE</t>
  </si>
  <si>
    <t>80 MORTON AVENUE EAST BRANTFORD LIMITED</t>
  </si>
  <si>
    <t>FIRST TRUST ALERIAN DISRUPTIVE TECHNOLOGY REAL ESTATE UCITS ETF</t>
  </si>
  <si>
    <t>GLOBAL WEALTH TRADE CORPORATION</t>
  </si>
  <si>
    <t>CONSTRUCTORA Y ARQUITECTURA COAR SA DE CV</t>
  </si>
  <si>
    <t>POWDER SPECIAL FINISH SA DE CV</t>
  </si>
  <si>
    <t>DANTE DECRESCENZO GUADALAJARA</t>
  </si>
  <si>
    <t>FRANCISCO JESUS MORA JARDON</t>
  </si>
  <si>
    <t>TRANSMISSION BELTS MEXICO S DE RL DE CV</t>
  </si>
  <si>
    <t>MASCORE INC</t>
  </si>
  <si>
    <t>OLIVIERS CANDIES LTD</t>
  </si>
  <si>
    <t>WESTROW FOOD BROKERS INC</t>
  </si>
  <si>
    <t>GREY MATTER INVESTMENTS INC</t>
  </si>
  <si>
    <t>CORNERSTONE WALL SOLUTIONS INC</t>
  </si>
  <si>
    <t>RICARDO HOWARD PHILLIPS GREENE</t>
  </si>
  <si>
    <t>Elequin Securities LLC</t>
  </si>
  <si>
    <t>ELEQUIN SECURITIES, LLC</t>
  </si>
  <si>
    <t>AJNJ HOLDINGS LIMITED</t>
  </si>
  <si>
    <t>DESARROLLOS TOTOLOAPA SA DE CV</t>
  </si>
  <si>
    <t>AGROCOMERCIAL CAMPO NUEVO SPR DE RL DE CV</t>
  </si>
  <si>
    <t>LBC SUPPLIERS AND SERVICES SA DE CV</t>
  </si>
  <si>
    <t>OPTIMIST MASTER FUND LP</t>
  </si>
  <si>
    <t>HYUNDAI MOBIS MEXICO S DE RL DE CV</t>
  </si>
  <si>
    <t>APARTMENT INCOME REIT LP</t>
  </si>
  <si>
    <t>STEPHEN WILLIAM RILEY BELL</t>
  </si>
  <si>
    <t>YPO BAJIO MEXICO AC</t>
  </si>
  <si>
    <t>BANK OF CHINA LIMITED MACAU BRANCH</t>
  </si>
  <si>
    <t>KYNDRYL TREASURY SERVICES DAC</t>
  </si>
  <si>
    <t>DUFFINS POINT INC</t>
  </si>
  <si>
    <t>CRIXA SOLUCIONES GLOBALES SA DE CV</t>
  </si>
  <si>
    <t>PEDRO ZAMORA ACOSTA</t>
  </si>
  <si>
    <t>PLANTAS Y FLORES CARDENAS JERONIMO S P R  DE R L</t>
  </si>
  <si>
    <t>MF COSMETICS S DE RL DE CV</t>
  </si>
  <si>
    <t>BRAVADA S DE RL DE CV</t>
  </si>
  <si>
    <t>ULISES PAUL MERCADO ALVAREZ</t>
  </si>
  <si>
    <t>SARDA CUE ROSA</t>
  </si>
  <si>
    <t>YAKULT DE PUEBLA SA DE CV</t>
  </si>
  <si>
    <t>EDIFICANDO SOLUCIONES MEX MAX SA DE CV</t>
  </si>
  <si>
    <t>XEROX CANADA I LIMITED PARTNERSHIP</t>
  </si>
  <si>
    <t>MACKENZIE NORTHLEAF GLOBAL PRIVATE EQUITY FUND</t>
  </si>
  <si>
    <t>TRANSAMERICA INTERNATIONAL GROWTH DASH</t>
  </si>
  <si>
    <t>MILLENNIUM PROPERTIES LTD.</t>
  </si>
  <si>
    <t>1035617 B.C. LTD.</t>
  </si>
  <si>
    <t>1035617 B.C. LTD</t>
  </si>
  <si>
    <t>JOSE MARIA AYENSA AMBROSI</t>
  </si>
  <si>
    <t>JOSE ALBERTO HUACUJA FLORES</t>
  </si>
  <si>
    <t>YULIA ABREGO SALOMON</t>
  </si>
  <si>
    <t>ABBUD Y ASOCIADOS CONSTRUCCIONES SA DE CV</t>
  </si>
  <si>
    <t>CUAUHTEMOC VILLALOBOS LLAMAS</t>
  </si>
  <si>
    <t>JASON QUANN AND RALEEN MURPHY</t>
  </si>
  <si>
    <t>ENERLUMY ENERGIA CONSTRUCCION Y CONSULTORIA SA DE CV</t>
  </si>
  <si>
    <t>INMOBILIARIA INTERNACIONAL DE MATAMOROS SA DE CV</t>
  </si>
  <si>
    <t>2219287 ONTARIO INC</t>
  </si>
  <si>
    <t>ELLISDON INFRASTRUCTURE WLMH INC</t>
  </si>
  <si>
    <t>TRADITION CHILE SA</t>
  </si>
  <si>
    <t>TRADITION FINANCIAL SERVICES LTD</t>
  </si>
  <si>
    <t>IG MACKENZIE U.S. DOLLAR FUND - GLOBAL EQUITY</t>
  </si>
  <si>
    <t>IG MACKENZIE U.S. DOLLAR FUND - GLOBAL EQUITY - CAD EQUITY</t>
  </si>
  <si>
    <t>IG MACKENZIE U.S. DOLLAR FUND - GLOBAL EQUITY - GLOBAL EQUITY</t>
  </si>
  <si>
    <t>IG MACKENZIE U.S. DOLLAR FUND - GLOBAL EQUITY - HEDGE</t>
  </si>
  <si>
    <t>JUAN MANUEL NEUMANN MAGANA</t>
  </si>
  <si>
    <t>IG MACKENZIE U.S. DOLLAR FUND - GLOBAL EQUITY BALANCED - HEDGE</t>
  </si>
  <si>
    <t>IG MACKENZIE U.S. DOLLAR FUND - GLOBAL EQUITY BALANCED - ETF</t>
  </si>
  <si>
    <t>IG MACKENZIE U.S. DOLLAR FUND - GLOBAL EQUITY BALANCED - GLOBAL FIXED INCOME</t>
  </si>
  <si>
    <t>IG MACKENZIE U.S. DOLLAR FUND - GLOBAL EQUITY BALANCED - CAD FIXED INCOME</t>
  </si>
  <si>
    <t>IG MACKENZIE U.S. DOLLAR FUND - GLOBAL EQUITY BALANCED - GLOBAL EQUITY</t>
  </si>
  <si>
    <t>IG MACKENZIE U.S. DOLLAR FUND - GLOBAL EQUITY BALANCED</t>
  </si>
  <si>
    <t>IG MACKENZIE U.S. DOLLAR FUND - GLOBAL EQUITY BALANCED - CAD EQUITY</t>
  </si>
  <si>
    <t>IG MACKENZIE U.S. DOLLAR FUND - GLOBAL FIXED INCOME BALANCED</t>
  </si>
  <si>
    <t>IG MACKENZIE U.S. DOLLAR FUND - GLOBAL FIXED INCOME BALANCED - CAD EQUITY</t>
  </si>
  <si>
    <t>IG MACKENZIE U.S. DOLLAR FUND - GLOBAL FIXED INCOME BALANCED - GLOBAL EQUITY</t>
  </si>
  <si>
    <t>IG MACKENZIE U.S. DOLLAR FUND - GLOBAL FIXED INCOME BALANCED - CAD FIXED INCOME</t>
  </si>
  <si>
    <t>IG MACKENZIE U.S. DOLLAR FUND - GLOBAL FIXED INCOME BALANCED - GLOBAL FIXED INCOME</t>
  </si>
  <si>
    <t>IG MACKENZIE U.S. DOLLAR FUND - GLOBAL FIXED INCOME BALANCED - ETF</t>
  </si>
  <si>
    <t>G MACKENZIE U.S. DOLLAR FUND - GLOBAL FIXED INCOME BALANCED - HEDGE</t>
  </si>
  <si>
    <t>IG MACKENZIE U.S. DOLLAR FUND - GLOBAL NEUTRAL BALANCED - GLOBAL FIXED INCOME</t>
  </si>
  <si>
    <t>IG MACKENZIE U.S. DOLLAR FUND - GLOBAL NEUTRAL BALANCED - CAD FIXED INCOME</t>
  </si>
  <si>
    <t>IG MACKENZIE U.S. DOLLAR FUND - GLOBAL NEUTRAL BALANCED</t>
  </si>
  <si>
    <t>IG MACKENZIE U.S. DOLLAR FUND - GLOBAL NEUTRAL BALANCED - GLOBAL EQUITY</t>
  </si>
  <si>
    <t>IG MACKENZIE U.S. DOLLAR FUND - GLOBAL NEUTRAL BALANCED - HEDGE</t>
  </si>
  <si>
    <t>IG MACKENZIE US DOLLAR FUND - GLOBAL NEUTRAL BALANCED - ETF</t>
  </si>
  <si>
    <t>IG MACKENZIE US DOLLAR FUND GLOBAL NEUTRAL BALANCED CAD EQUITY</t>
  </si>
  <si>
    <t>22-24 VANLEY CRES INC</t>
  </si>
  <si>
    <t>ANTONIO HERNANDO DIAZ</t>
  </si>
  <si>
    <t>QUANTUM INTEGRITY SOFTWARE INC.</t>
  </si>
  <si>
    <t>EZ CORE LTD</t>
  </si>
  <si>
    <t>RUBEN ARMANDO TORRES CRAVIOTO</t>
  </si>
  <si>
    <t>TRANSAMERICA INTERNATIONAL GROWTH CIT</t>
  </si>
  <si>
    <t>5025019 ONTARIO INC</t>
  </si>
  <si>
    <t>1146476 BC LTD</t>
  </si>
  <si>
    <t>AUTOPOINT LANDHOLDINGS INC</t>
  </si>
  <si>
    <t>CIBC GLOBAL MULTI ASSET ABSOLUTE RETURN POOL (80204)</t>
  </si>
  <si>
    <t>CIBC GLOBAL MULTI ASSET ABSOLUTE RETURN POOL</t>
  </si>
  <si>
    <t>CIBC GLOBAL MULTI ASSET ABSOLUTE RETURN POOL 80201</t>
  </si>
  <si>
    <t>CIBC GLOBAL MULTI ASSET ABSOLUTE RETURN POOL 80202</t>
  </si>
  <si>
    <t>CIBC GLOBAL MULTI ASSET ABSOLUTE RETURN POOL 80203</t>
  </si>
  <si>
    <t>CIBC GLOBAL MULTI ASSET ABSOLUTE RETURN POOL 80204</t>
  </si>
  <si>
    <t>CIBC GLOBAL MULTI ASSET ABSOLUTE RETURN POOL 80205</t>
  </si>
  <si>
    <t>CIBC GLOBAL MULTI ASSET ABSOLUTE RETURN POOL 80206</t>
  </si>
  <si>
    <t>CIBC GLOBAL MULTI ASSET ABSOLUTE RETURN POOL (80206)</t>
  </si>
  <si>
    <t>CIBC GLOBAL MULTI ASSET ABSOLUTE RETURN POOL (80205)</t>
  </si>
  <si>
    <t>CIBC GLOBAL MULTI ASSET ABSOLUTE RETURN POOL (80203)</t>
  </si>
  <si>
    <t>CIBC GLOBAL MULTI ASSET ABSOLUTE RETURN POOL (80202)</t>
  </si>
  <si>
    <t>CIBC GLOBAL MULTI ASSET ABSOLUTE RETURN POOL (80201)</t>
  </si>
  <si>
    <t>CIBC GLOBAL MULTI-ASSET ABSOLUTE RETURN POOL</t>
  </si>
  <si>
    <t>BEAR DRILLING CORP.</t>
  </si>
  <si>
    <t>JOAQUIN GONZALEZ FRIAS</t>
  </si>
  <si>
    <t>MARIA FERNANDA PORTILLA BALMORI</t>
  </si>
  <si>
    <t>FRANCISCO DE JESUS BETANCOURT BLAKE</t>
  </si>
  <si>
    <t>JOSE SALVADOR RAMOS SANTOS</t>
  </si>
  <si>
    <t>MEDSPA PARTNERS INC.</t>
  </si>
  <si>
    <t>T &amp; R GLASS LTD</t>
  </si>
  <si>
    <t>CLARIDGE HOMES (GLADSTONE) LP</t>
  </si>
  <si>
    <t>CONTOURGLOBAL BONAIRE BV</t>
  </si>
  <si>
    <t>CROWN POINTE CO TENANCY</t>
  </si>
  <si>
    <t>RURAL MUNICIPALITY OF EDENWOLD NO 158</t>
  </si>
  <si>
    <t>OAKLANE HUTTERIAN BRETHREN</t>
  </si>
  <si>
    <t>MAYELA GUADALUPE HASBUN HASBUN</t>
  </si>
  <si>
    <t>OMAR ABAID KURI</t>
  </si>
  <si>
    <t>TEXTILERA IN KANTO S DE RL DE CV</t>
  </si>
  <si>
    <t>SERVICIOS DE PERFORACION AVANZADA BX SA DE CV</t>
  </si>
  <si>
    <t>CHRISTIAN ALEJANDRO PEDEMONTE DEL CASTILLO</t>
  </si>
  <si>
    <t>AOF SENIOR SECURED LIQUID CREDIT FUND LP</t>
  </si>
  <si>
    <t>V AND M CORPORATION</t>
  </si>
  <si>
    <t>FAIRFIELD HUTTERIAN BRETHREN</t>
  </si>
  <si>
    <t>CORPORATIVO INMOBILIARIO REGIO SA DE CV</t>
  </si>
  <si>
    <t>KIND CHEMICAL S DE RL DE CV</t>
  </si>
  <si>
    <t>INTERVIVO SOLUTIONS INC</t>
  </si>
  <si>
    <t>The Trustee for CHARTER HALL DIRECT INDUSTRIAL FUND NO.4</t>
  </si>
  <si>
    <t>GUARDIAN CANADIAN TARGETED EXPOSURE EQUITY FUND</t>
  </si>
  <si>
    <t>FIRST TRUST NASDAQ CLEAN EDGE SMART GRID INFRASTRUCTURE INDEX FUND</t>
  </si>
  <si>
    <t>VITALMEX INTERNACIONAL SA DE CV</t>
  </si>
  <si>
    <t>VITALHUB CORP</t>
  </si>
  <si>
    <t>RAFAEL AGUIRRE MORGADO</t>
  </si>
  <si>
    <t>VITAL MANUFACTURING INC</t>
  </si>
  <si>
    <t>1000009801 ONTARIO INC</t>
  </si>
  <si>
    <t>HUTTERIAN BRETHREN OF MILDEN INC</t>
  </si>
  <si>
    <t>VAR AND HER SOLUCIONES S DE RL DE CV</t>
  </si>
  <si>
    <t>ERIKA YOLANDA CLARKE MAGANA</t>
  </si>
  <si>
    <t>JOSE ARMANDO CLARKE MAGANA</t>
  </si>
  <si>
    <t>MONICA PASTRANA OLIVER</t>
  </si>
  <si>
    <t>REBEL &amp; THORN INC</t>
  </si>
  <si>
    <t>BAI COMMUNICATIONS US HOLDINGS III LLC</t>
  </si>
  <si>
    <t>ROBERTO MANUEL LYLE FRITCH</t>
  </si>
  <si>
    <t>BERTA ELENA ROMO DIEZ</t>
  </si>
  <si>
    <t>MARIA LUISA URREA HERNANDEZ DAVILA</t>
  </si>
  <si>
    <t>DESARROLLADORA DEFENSORES 1001 SAPI DE CV</t>
  </si>
  <si>
    <t>PARKIT ENTERPRISE INC</t>
  </si>
  <si>
    <t>WESTLAND GREENHOUSE SOLUTIONS INC.</t>
  </si>
  <si>
    <t>LUIS MARIO SALAZAR ASTRAIN</t>
  </si>
  <si>
    <t>TACOS Y CARNITAS TARASCO SAS DE CV</t>
  </si>
  <si>
    <t>161 LAURIER PROPERTIES LIMITED PARTNERSHIP</t>
  </si>
  <si>
    <t>AJPD HOLDINGS INC</t>
  </si>
  <si>
    <t>COMPACT INNOVATIONS INC</t>
  </si>
  <si>
    <t>WINTRAX LOGISTICS INC</t>
  </si>
  <si>
    <t>DH CORPORATION</t>
  </si>
  <si>
    <t>SOLUCIONES CONCRETAS AVCER SAS DE CV</t>
  </si>
  <si>
    <t>CHARLES WESTFALL</t>
  </si>
  <si>
    <t>MISSION SENIORS LIVING LTD</t>
  </si>
  <si>
    <t>2871502 ONTARIO INC O/A BRAND ENERGY</t>
  </si>
  <si>
    <t>HANMER HOLDINGS LTD</t>
  </si>
  <si>
    <t>ARRENDAMIENTOS Y TRABAJOS DE CALIDAD SA DE CV</t>
  </si>
  <si>
    <t>OLA AE S DE RL DE CV</t>
  </si>
  <si>
    <t>ELVIA PALAZUELOS DOMINGUEZ</t>
  </si>
  <si>
    <t>JORGE EDUARDO ROMERO GARCIA</t>
  </si>
  <si>
    <t>YORK GROUP HOLDINGS LP</t>
  </si>
  <si>
    <t>UBALDO FRANCISCO AGUILERA GONZALEZ</t>
  </si>
  <si>
    <t>BELLEZA ESTETICA ACOSTA SAS DE CV</t>
  </si>
  <si>
    <t>RESTAURANTES INTERNACIONALES PR SA DE CV</t>
  </si>
  <si>
    <t>ACCOUNT IAM GLOBAL SA DE CV</t>
  </si>
  <si>
    <t>NUTRICIONALES DE LA FRONTERA SA DE CV</t>
  </si>
  <si>
    <t>TRAPPER GORD INC</t>
  </si>
  <si>
    <t>AUSTRALIA TOWER NETWORK PTY LIMITED</t>
  </si>
  <si>
    <t>CASA PLARRE SA DE CV</t>
  </si>
  <si>
    <t>CARLOS MAURICIO BALLESTEROS FRANCO</t>
  </si>
  <si>
    <t>THE ONE TECHNOLOGY AND ASSEMBLY DE MEXICO SA DE CV</t>
  </si>
  <si>
    <t>SERI ENERGY S DE RL DE CV</t>
  </si>
  <si>
    <t>SEMILLAS FEHR SA DE CV</t>
  </si>
  <si>
    <t>MABEL MUNOZ CARRASCO</t>
  </si>
  <si>
    <t>WELCOME CENTER COZUMEL TOURS SA DE CV</t>
  </si>
  <si>
    <t>UNIVERSAL PRODUCTS AND SERVICES SA DE CV</t>
  </si>
  <si>
    <t>NRI MARRIAGE BUREAU CORPORATION</t>
  </si>
  <si>
    <t>COMMERCE M.E.S.C INC</t>
  </si>
  <si>
    <t>PEDRO CEVALLOS ALCOCER</t>
  </si>
  <si>
    <t>BOLSA INSTITUCIONAL DE VALORES SA DE CV</t>
  </si>
  <si>
    <t>MARIA ISABEL MATA TORRALLARDONA</t>
  </si>
  <si>
    <t>UNIVERSAL MOTOR GERATE DE MEXICO SA DE CV</t>
  </si>
  <si>
    <t>MARTHA GARZA FALCON RAMIREZ WIELLA</t>
  </si>
  <si>
    <t>AGRICULTURE SOLUTIONS INC</t>
  </si>
  <si>
    <t>FRASER SCATES LTD</t>
  </si>
  <si>
    <t>JUAN JOSE LUDLOW SALDIVAR</t>
  </si>
  <si>
    <t>MARIA DEL PILAR POLANCO PONCE</t>
  </si>
  <si>
    <t>CSQB RANCH S DE RL DE CV</t>
  </si>
  <si>
    <t>IMPORTADORA DE MOTO REFACCIONES Y ACCESORIO SA DE CV</t>
  </si>
  <si>
    <t>HUMBERTO OSUNA CASTRO</t>
  </si>
  <si>
    <t>SERGIO JARA RULLAN</t>
  </si>
  <si>
    <t>SEKURA CONTROLADORA SAPI DE CV</t>
  </si>
  <si>
    <t>STEFANIA ITZEL OLIVA MALAGON</t>
  </si>
  <si>
    <t>MARIA LUISA CASALE GUERRA</t>
  </si>
  <si>
    <t>LAURA MARCELA LOPEZ SUAREZ</t>
  </si>
  <si>
    <t>ALEJANDRA LETICIA LOPEZ SUAREZ</t>
  </si>
  <si>
    <t>LES EMBALLAGES MONTCORR LTEE</t>
  </si>
  <si>
    <t>2086424 ONTARIO INC</t>
  </si>
  <si>
    <t>MACKENZIE FUTUREPATH CANADIAN MONEY MARKET FUND</t>
  </si>
  <si>
    <t>PVD GLOBAL DISTRIBUCION SA DE CV</t>
  </si>
  <si>
    <t>COMUNICACION SPREAD SC</t>
  </si>
  <si>
    <t>GATOR MINING INC</t>
  </si>
  <si>
    <t>MIGUEL DE LA MADRID CORDERO</t>
  </si>
  <si>
    <t>TARIMERA LOS OLIVOS SA DE CV</t>
  </si>
  <si>
    <t>PEACE PUNTA DE MITA AC</t>
  </si>
  <si>
    <t>MACKENZIE FUTUREPATH GLOBAL FIXED INCOME BALANCED PORTFOLIO - ETF</t>
  </si>
  <si>
    <t>MACKENZIE FUTUREPATH GLOBAL FIXED INCOME BALANCED PORTFOLIO - DERIVATIVE</t>
  </si>
  <si>
    <t>MACKENZIE FUTUREPATH GLOBAL FIXED INCOME BALANCED PORTFOLIO</t>
  </si>
  <si>
    <t>MACKENZIE FUTUREPATH MONTHLY INCOME GROWTH PORTFOLIO - DERIVATIVE</t>
  </si>
  <si>
    <t>MACKENZIE FUTUREPATH MONTHLY INCOME GROWTH PORTFOLIO</t>
  </si>
  <si>
    <t>MACKENZIE FUTUREPATH GLOBAL EQUITY BALANCED PORTFOLIO - DERIVATIVE</t>
  </si>
  <si>
    <t>MACKENZIE FUTUREPATH GLOBAL EQUITY BALANCED PORTFOLIO</t>
  </si>
  <si>
    <t>MACKENZIE FUTUREPATH GLOBAL EQUITY BALANCED PORTFOLIO - ETF</t>
  </si>
  <si>
    <t>MACKENZIE FUTUREPATH MONTHLY INCOME CONSERVATIVE PORTFOLIO</t>
  </si>
  <si>
    <t>MACKENZIE FUTUREPATH MONTHLY INCOME CONSERVATIVE PORTFOLIO - DERIVATIVE</t>
  </si>
  <si>
    <t>TOPAZ ENERGIA SAPI DE CV</t>
  </si>
  <si>
    <t>DANIEL BURGUETE ROMO</t>
  </si>
  <si>
    <t>MACKENZIE FUTUREPATH GLOBAL NEUTRAL BALANCED PORTFOLIO - ETF</t>
  </si>
  <si>
    <t>MACKENZIE FUTUREPATH GLOBAL NEUTRAL BALANCED PORTFOLIO</t>
  </si>
  <si>
    <t>MACKENZIE FUTUREPATH GLOBAL NEUTRAL BALANCED PORTFOLIO - DERIVATIVE</t>
  </si>
  <si>
    <t>MACKENZIE FUTUREPATH MONTHLY INCOME BALANCED PORTFOLIO - DERIVATIVE</t>
  </si>
  <si>
    <t>MACKENZIE FUTUREPATH MONTHLY INCOME BALANCED PORTFOLIO</t>
  </si>
  <si>
    <t>KARLA MARITZA LARROMANA RODRIGUEZ</t>
  </si>
  <si>
    <t>ONECEL SA DE CV</t>
  </si>
  <si>
    <t>MACKENZIE FUTUREPATH CANADIAN FIXED INCOME PORTFOLIO</t>
  </si>
  <si>
    <t>MACKENZIE FUTUREPATH CANADIAN FIXED INCOME PORFOLIO - DERIVATIVE</t>
  </si>
  <si>
    <t>MACKENZIE FUTUREPATH CANADIAN FIXED INCOME PORFOLIO - ETF</t>
  </si>
  <si>
    <t>MACKENZIE FUTUREPATH GLOBAL EQUITY PORTFOLIO -DERIVATIVE</t>
  </si>
  <si>
    <t>MACKENZIE FUTUREPATH GLOBAL EQUITY PORTFOLIO - ETF</t>
  </si>
  <si>
    <t>MACKENZIE FUTUREPATH GLOBAL EQUITY PORTFOLIO</t>
  </si>
  <si>
    <t>JOSE IGNACIO ENRIQUEZ ROSAS</t>
  </si>
  <si>
    <t>GISELA MARGARITA DE LEON ORTEGA</t>
  </si>
  <si>
    <t>VIVIANA DAMY MONRAZ</t>
  </si>
  <si>
    <t>SPARTAN SOFTWARE DEVELOPMENT SA DE CV</t>
  </si>
  <si>
    <t>CIRCA LAM SA DE CV</t>
  </si>
  <si>
    <t>PLAZA 23 INC</t>
  </si>
  <si>
    <t>MARIA FERNANDA CASTILLO OLEA</t>
  </si>
  <si>
    <t>FACTORY 4 0 MX SA DE CV</t>
  </si>
  <si>
    <t>COMSER EP SA DE CV</t>
  </si>
  <si>
    <t>SANDRA GUTIERREZ MONTOYA</t>
  </si>
  <si>
    <t>MARIA DEL PILAR GONZALEZ SOLANA</t>
  </si>
  <si>
    <t>JOSE LUIS GERARDO DE LA MACORRA RODRIGUEZ</t>
  </si>
  <si>
    <t>EZEQUIEL MONTIEL BARAJAS</t>
  </si>
  <si>
    <t>SUNTUART PRODUCTOS SELECTOS SA</t>
  </si>
  <si>
    <t>ROMAIC BUILDING GROUP SA DE CV</t>
  </si>
  <si>
    <t>PROMOTORA JARDINES DEL EDEN SA DE CV</t>
  </si>
  <si>
    <t>CONSULTORIA DE NEGOCIOS FEROL SA DE CV</t>
  </si>
  <si>
    <t>GOLDENTOWN CONSULTING SA DE CV</t>
  </si>
  <si>
    <t>AMETEK CANADA LIMITED PARTNERSHIP</t>
  </si>
  <si>
    <t>169 SAINT ADELE INVESTMENTS LP</t>
  </si>
  <si>
    <t>ADOORS DE CHIHUAHUA S DE RL DE CV</t>
  </si>
  <si>
    <t>LUIS ARMANDO MARTIN DEL CAMPO BRINGAS</t>
  </si>
  <si>
    <t>STELLUS MEDEVICES SA DE CV</t>
  </si>
  <si>
    <t>SGL TRANSGROUP DE MEXICO SA DE CV</t>
  </si>
  <si>
    <t>VAL PURUSHOTHAMAN CPA FORENSIC PROFESSIONAL CORPORATION</t>
  </si>
  <si>
    <t>WE ARE ONE COMPOSITES INC</t>
  </si>
  <si>
    <t>SOFIA ENRIQUETA GANDOULF VACHEZ</t>
  </si>
  <si>
    <t>INMOBILIARIA MIRMAR SAS DE CV</t>
  </si>
  <si>
    <t>AGECG8806 SA DE CV</t>
  </si>
  <si>
    <t>SOFIA BRAUER KROUHAM</t>
  </si>
  <si>
    <t>HUMAXMEXICO SA DE CV</t>
  </si>
  <si>
    <t>FALCON LUBRICANTES SA DE CV</t>
  </si>
  <si>
    <t>AUTRONIC POWER SA DE CV</t>
  </si>
  <si>
    <t>MAURICIO RAMIREZ ESTEBAN</t>
  </si>
  <si>
    <t>EMBAJADA DE LA REPUBLICA DEL ECUADOR</t>
  </si>
  <si>
    <t>GIP II MP LUXCO SARL</t>
  </si>
  <si>
    <t>LANTERRA DEVELOPMENTS (BAY WELLESLEY) LIMITED</t>
  </si>
  <si>
    <t>KOCH FARMS/AGRI SALES INC</t>
  </si>
  <si>
    <t>ARROW ONE FUND</t>
  </si>
  <si>
    <t>GRUPO NOGALERO PROGRESO SPR DE RL DE CV</t>
  </si>
  <si>
    <t>IMPORMEX PRODUCTOS AND SERVICIOS SC</t>
  </si>
  <si>
    <t>BORDER GF INNOVATION SOLUTIONS S DE RL DE CV</t>
  </si>
  <si>
    <t>PLAYMAKER CAPITAL INC</t>
  </si>
  <si>
    <t>PROTEOFORM SCIENTIFIC INC</t>
  </si>
  <si>
    <t>BORALEX INC</t>
  </si>
  <si>
    <t>MACKENZIE FUTUREPATH US CORE FUND</t>
  </si>
  <si>
    <t>MACKENZIE FUTUREPATH GLOBAL CORE FUND</t>
  </si>
  <si>
    <t>HUTTERIAN BRETHREN CHURCH OF EWELME</t>
  </si>
  <si>
    <t>QR BIENES RAICES SAPI DE CV</t>
  </si>
  <si>
    <t>TEC LOGI SA DE CV</t>
  </si>
  <si>
    <t>KOBE CONSTRUCCIONES AZTECA SA DE CV</t>
  </si>
  <si>
    <t>ANDREWS TECHNOLOGIES DE MEXICO SA DE CV</t>
  </si>
  <si>
    <t>OFICINA COMERCIAL DE LA REPUBLICA DEL ECUADOR</t>
  </si>
  <si>
    <t>MARIANA NUNEZ IZCOA</t>
  </si>
  <si>
    <t>CONSULTORA E INTEGRADORA DE PROYECTOS SA DE CV</t>
  </si>
  <si>
    <t>BIOGRIP TECHNOLOGIES SAPI DE CV</t>
  </si>
  <si>
    <t>TRISAMITRA MEXCORP S DE RL DE CV</t>
  </si>
  <si>
    <t>IOANIS STABROPOULOS ESCOBOSA</t>
  </si>
  <si>
    <t>ALFREDO ACHAR TUSSIE</t>
  </si>
  <si>
    <t>MARIO BODEK STAVENHAGEN</t>
  </si>
  <si>
    <t>GIP II MP LUXCO B SARL</t>
  </si>
  <si>
    <t>RM ABOGADOS SC</t>
  </si>
  <si>
    <t>JOSE DE AGUINAGA GIRAULT</t>
  </si>
  <si>
    <t>MA TERESA CONCEPCION MURRIETA CAMPA</t>
  </si>
  <si>
    <t>J AND E FACTORY INTEGRACION COMERCIAL SA DE CV</t>
  </si>
  <si>
    <t>PAULINA DOLORES PEREZ MARTINEZ</t>
  </si>
  <si>
    <t>DMC AUDIO ILUMINACION Y VIDEO SA DE CV</t>
  </si>
  <si>
    <t>FAMILIA KAHLO SA DE CV</t>
  </si>
  <si>
    <t>LETICIA VELAZQUEZ VALENZUELA</t>
  </si>
  <si>
    <t>PRIMEWIRELESS HOLDING S DE RL DE CV</t>
  </si>
  <si>
    <t>ARTURO GONZALEZ ALCOCER</t>
  </si>
  <si>
    <t>SOLAR GALAX CORP S DE RL DE CV</t>
  </si>
  <si>
    <t>PLM PREMIER SAPI DE CV</t>
  </si>
  <si>
    <t>VINEDOS SANTA MONICA S DE RL DE CV</t>
  </si>
  <si>
    <t>CHARLES W JACK</t>
  </si>
  <si>
    <t>REDIASA SA DE CV</t>
  </si>
  <si>
    <t>ZIZE ENERGY SOLUTIONS SAPI DE CV</t>
  </si>
  <si>
    <t>DANIEL PINEDA CORREA</t>
  </si>
  <si>
    <t>PROINFRA SISTEMAS E INGENIERIA SA DE CV</t>
  </si>
  <si>
    <t>SERVICIOS E INSUMOS DEL BAJIO SA DE CV</t>
  </si>
  <si>
    <t>NFORMAL INC</t>
  </si>
  <si>
    <t>OAK GLOBAL INC</t>
  </si>
  <si>
    <t>GALLERY SQUARE INC</t>
  </si>
  <si>
    <t>FERNSTAFF HOLDING INC</t>
  </si>
  <si>
    <t>COSMIC HOLDINGS INC.</t>
  </si>
  <si>
    <t>ILDEFONSO OCHOA MARTINEZ</t>
  </si>
  <si>
    <t>PREMIER PIELES Y CURTIEMBRES SA DE CV</t>
  </si>
  <si>
    <t>LARRY THOMAS MIRICK</t>
  </si>
  <si>
    <t>ROBERTO GARRIDO PATRON</t>
  </si>
  <si>
    <t>JUST AVOCADO PRODUCE MICHOACAN SA DE CV</t>
  </si>
  <si>
    <t>EMBAJADA DE LA REPUBLICA DE COTE D IVOIR</t>
  </si>
  <si>
    <t>ROELSALA MEXICO SA DE CV</t>
  </si>
  <si>
    <t>Z-LITE INC</t>
  </si>
  <si>
    <t>FLASH HOLDINGS LTD</t>
  </si>
  <si>
    <t>SAINI ENTERPRISES INC</t>
  </si>
  <si>
    <t>LILLIVILLE FARMS LTD</t>
  </si>
  <si>
    <t>CLAFE TOOLS SA DE CV</t>
  </si>
  <si>
    <t>ZEMER TRANSPORTISTA SA DE CV</t>
  </si>
  <si>
    <t>VERONICA KARINA DE LA MORA RAMIREZ</t>
  </si>
  <si>
    <t>EMBAJADA DE LA REPUBLICA ARGENTINA</t>
  </si>
  <si>
    <t>FERIQUE CANADIAN EQUITY FUND (FKA FERIQUE EQUITY FUND)</t>
  </si>
  <si>
    <t>SOPHIALIS SA DE CV</t>
  </si>
  <si>
    <t>PRISMA TECNOLOGIA COMPUTACIONAL SA DE CV</t>
  </si>
  <si>
    <t>OCORVA SA DE CV</t>
  </si>
  <si>
    <t>UC AND CS AMERICA SC</t>
  </si>
  <si>
    <t>LAURA CAROLINA GARCIA SMIT</t>
  </si>
  <si>
    <t>GRUPO OROPEZA INC SA DE CV</t>
  </si>
  <si>
    <t>ALIMENTS LHG INC</t>
  </si>
  <si>
    <t>US LARGE CAP EQUITY INDEX ETF FUND 1.84MI</t>
  </si>
  <si>
    <t>CANADIAN LARGE CAP EQUITY INDEX ETF FUND 1.88MI</t>
  </si>
  <si>
    <t>GWL BALANCED FUND 9.11MX</t>
  </si>
  <si>
    <t>GWL BALANCED FUND 9.11MX - FIXED INCOME</t>
  </si>
  <si>
    <t>GWL BALANCED FUND 9.11MX - NORTH AMERICAN EQUITY</t>
  </si>
  <si>
    <t>GWL BALANCED FUND 9.11MX - GLOBAL EQUITY</t>
  </si>
  <si>
    <t>CANADIAN LARGE CAP EQUITY INDEX ETF FUND 1.83MI</t>
  </si>
  <si>
    <t>CANADIAN AGGREGATE BOND INDEX ETF FUND 1.86MI</t>
  </si>
  <si>
    <t>US LARGE CAP EQUITY INDEX ETF FUND 1.89MI</t>
  </si>
  <si>
    <t>INTERNATIONAL EQUITY INDEX ETF FUND 1.82.MI</t>
  </si>
  <si>
    <t>INTERNATIONAL EQUITY INDEX ETF FUND 1.87MI</t>
  </si>
  <si>
    <t>GOTTICS INDUSTRIES INC</t>
  </si>
  <si>
    <t>ROCA SOLUCIONES EMPRESARIALES S DE RL DE CV</t>
  </si>
  <si>
    <t>PET FOOD SUPPLIER S DE RL DE CV</t>
  </si>
  <si>
    <t>SAMPI WATER SOLUTIONS SA DE CV</t>
  </si>
  <si>
    <t>ANA PAULINA GARCIA NAVA</t>
  </si>
  <si>
    <t>SYLPACK ALIMENTOS SA DE CV</t>
  </si>
  <si>
    <t>LINEAGE LOGISTICS HOLDINGS LLC</t>
  </si>
  <si>
    <t>SMILING SIMBA LEARNING ACADEMY INC</t>
  </si>
  <si>
    <t>FREYMOND LUMBER LTD</t>
  </si>
  <si>
    <t>COMERCIALIZADORA DE INSUMOS PARA LA INDUSTRIA RH S DE RL DE CV</t>
  </si>
  <si>
    <t>EDUARDO VALLE RAMIREZ</t>
  </si>
  <si>
    <t>RICARDO DANIEL LIZAMA SOBERANIS</t>
  </si>
  <si>
    <t>GUALBERTO FRAGOSO RODRIGUEZ</t>
  </si>
  <si>
    <t>SUPRESION SAS</t>
  </si>
  <si>
    <t>MARICRUZ ARRUBARRENA OCEJO</t>
  </si>
  <si>
    <t>ANA GABRIELA OCEJO ORTIZ</t>
  </si>
  <si>
    <t>GRUPO LANDAKI S DE RL DE CV</t>
  </si>
  <si>
    <t>INVERSIONES SR ENERGIA SOLAR MX SA DE CV</t>
  </si>
  <si>
    <t>JORGE LUIS SUAREZ GONZALEZ</t>
  </si>
  <si>
    <t>IMEM HEALTHCARE SOFTWARE SA DE CV</t>
  </si>
  <si>
    <t>THE ANDREW KING FAMILY TRUST( 2022)#1</t>
  </si>
  <si>
    <t>MILTON FORD LINCOLN INC</t>
  </si>
  <si>
    <t>TURBO SERVICE INTERNATIONAL S DE RL DE CV</t>
  </si>
  <si>
    <t>CORPORACION TECNOLOGICA DEL NORTE SA DE CV</t>
  </si>
  <si>
    <t>CAJOSY SC</t>
  </si>
  <si>
    <t>INMOBILIARIA SATURNO DE GUADALAJARA S A</t>
  </si>
  <si>
    <t>HECATOMBE FILMS SA DE CV</t>
  </si>
  <si>
    <t>VINEDOS LA CASITA SAPI DE CV</t>
  </si>
  <si>
    <t>COMERCIALIZADORA STRONG TRADE SA DE CV</t>
  </si>
  <si>
    <t>DMS GUARDIAN MEXICO S DE RL DE CV</t>
  </si>
  <si>
    <t>SANDPIPER VENTURES FUND LIMITED PARTNERSHIP</t>
  </si>
  <si>
    <t>ESTATE OF MARIA FELIX SA DE CV</t>
  </si>
  <si>
    <t>LEYVI DIANA MARTINEZ RENTERIA</t>
  </si>
  <si>
    <t>BAICOMP SA DE CV</t>
  </si>
  <si>
    <t>MANTENIMIENTO E INSTALACIONES ELECTROMECANICAS SA DE CV</t>
  </si>
  <si>
    <t>GERARDO ANDRES GANDOULF VACHEZ</t>
  </si>
  <si>
    <t>PROYECTOS INMOBILIARIOS CHIPINQUE SA DE CV</t>
  </si>
  <si>
    <t>KANE CONSULTANT SA DE CV</t>
  </si>
  <si>
    <t>DESPERTANDO SALUD S DE RL DE CV</t>
  </si>
  <si>
    <t>JOSE ANTONIO LOZANO CORDOVA</t>
  </si>
  <si>
    <t>ADIC ARQUITECTOS SAS DE CV</t>
  </si>
  <si>
    <t>LUIS MIGUEL ALONSO SANTOVENA</t>
  </si>
  <si>
    <t>NG LORA BAY LIMITED AND LORA BAY GOLF LIMITED PARTNERSHIP</t>
  </si>
  <si>
    <t>SEVEN STAR EXPRESS LINE LTD</t>
  </si>
  <si>
    <t>PROVEEDURIA DE MATERIALES E INGENIERIA PMISA SA DE CV</t>
  </si>
  <si>
    <t>RUBIO ARISMENDES INC S DE PR DE RL</t>
  </si>
  <si>
    <t>DESARROLLO EMPRESARIAL LAUREN SA DE CV</t>
  </si>
  <si>
    <t>FELIPE CASTRO ORVANANOS</t>
  </si>
  <si>
    <t>GVS MULTISERVICIOS SA DE CV</t>
  </si>
  <si>
    <t>SANDOVAL HIDALGO Y COMPANIA SC</t>
  </si>
  <si>
    <t>EBS CONSULTORES ASOCIADOS SA DE CV</t>
  </si>
  <si>
    <t>OMNIA ENTERTAINMENT CORP</t>
  </si>
  <si>
    <t>LYDIA MORALES CERVANTES</t>
  </si>
  <si>
    <t>LUIS ALONSO AVILA MADRID</t>
  </si>
  <si>
    <t>QUEST CHILEMEX S DE RL DE CV</t>
  </si>
  <si>
    <t>JAIME BRAMBILA MARTINEZ</t>
  </si>
  <si>
    <t>BORSA INMUEBLES Y BIENES RAICES SA DE CV</t>
  </si>
  <si>
    <t>PAULINA GARCIA HERNANDEZ</t>
  </si>
  <si>
    <t>MARTHA LORENZA FERNANDEZ CASTELLO MARTINEZ DEL CAMPO</t>
  </si>
  <si>
    <t>INNOVA DESING SA DE CV</t>
  </si>
  <si>
    <t>JORGE ARENA HERRERO</t>
  </si>
  <si>
    <t>HYPERINFO SA DE CV</t>
  </si>
  <si>
    <t>GERARDO DUNAND SPITALIER</t>
  </si>
  <si>
    <t>CONSTRUCTORA TEOTIH SA DE CV</t>
  </si>
  <si>
    <t>SUSTAINABLE FOOD STRATEGIES LATAM SC</t>
  </si>
  <si>
    <t>AARK NOMINEE INC</t>
  </si>
  <si>
    <t>EBRAHIM PROPERTIES INCORPORATED</t>
  </si>
  <si>
    <t>LARK HOLDINGS NO 2 INC</t>
  </si>
  <si>
    <t>LA RAZA MEX DISTRIBUTION S DE RL DE CV</t>
  </si>
  <si>
    <t>FRANCISCO JAVIER ORVANANOS MARQUEZ</t>
  </si>
  <si>
    <t>ANTONIO DEL PASO ESCOBEDO</t>
  </si>
  <si>
    <t>ANTONIO FEDERICO MARISCAL SAENZ</t>
  </si>
  <si>
    <t>TELETASK SA DE CV</t>
  </si>
  <si>
    <t>JOHN AND JOHN HOLDINGS INC</t>
  </si>
  <si>
    <t>VICTOR ISMAEL LLAMAS GALVAN</t>
  </si>
  <si>
    <t>ZEMER CONSTRUCTORA SA DE CV</t>
  </si>
  <si>
    <t>LEOPOLDO AMAYA GONZALEZ</t>
  </si>
  <si>
    <t>CARLOS PENA RAMOS</t>
  </si>
  <si>
    <t>BNP PARIBAS MEXICO SA INSTITUCION DE BANCA MULTIPLE</t>
  </si>
  <si>
    <t>CARLOTA JOSEFINA DE LA TRINIDAD AVELAR GARNICA</t>
  </si>
  <si>
    <t>ASESORIA VENTAS Y SERVICIOS INTEGRALES SA DE CV</t>
  </si>
  <si>
    <t>BIZRUPT MEXICO SAPI DE CV</t>
  </si>
  <si>
    <t>BANCO ACTINVER FIDEICOMISO 4742</t>
  </si>
  <si>
    <t>ZEMER EOLICA SA DE CV</t>
  </si>
  <si>
    <t>SERVICIOS EMPRESARIALES YASSAN SA DE CV</t>
  </si>
  <si>
    <t>BERNABE GON MARTINEZ</t>
  </si>
  <si>
    <t>2706161 ONTARIO LTD</t>
  </si>
  <si>
    <t>CIBC DIVERSIFIED FIXED INCOME FUND</t>
  </si>
  <si>
    <t>ALLIANCE FABRICATING LIMITED</t>
  </si>
  <si>
    <t>BREVISREFERO CORPORATION</t>
  </si>
  <si>
    <t>EWEB DEVELOPMENT INC</t>
  </si>
  <si>
    <t>ANTONINO MARTINEZ VALERIO</t>
  </si>
  <si>
    <t>DUSO EXPER SA DE CV</t>
  </si>
  <si>
    <t>HEMACHISA HERRAMIENTAS S DE RL DE CV</t>
  </si>
  <si>
    <t>DISTRIBUIDORA DE REFACCIONES MUNOZ S DE RL MI</t>
  </si>
  <si>
    <t>FRANCISCO BAUTISTA CALLEJA</t>
  </si>
  <si>
    <t>ACCION GLOBAL SIETE UNO SA DE CV</t>
  </si>
  <si>
    <t>GUIRNALDA FILMS S DE RL DE CV</t>
  </si>
  <si>
    <t>OROPEZA SOLORZANO ABOGADOS SC</t>
  </si>
  <si>
    <t>JEMACO CONSTRUCCIONES SA DE CV</t>
  </si>
  <si>
    <t>OXICORTE Y PLASMA SA DE CV</t>
  </si>
  <si>
    <t>NOVA DIAMONDS INC</t>
  </si>
  <si>
    <t>TERRANATA CORP</t>
  </si>
  <si>
    <t>MERNEX SA DE CV</t>
  </si>
  <si>
    <t>COMPOSITION METAL S DE RL DE CV</t>
  </si>
  <si>
    <t>OROPEZA SERVICIOS JURIDICOS SC</t>
  </si>
  <si>
    <t>GUSTAVO DAVALOS PADILLA</t>
  </si>
  <si>
    <t>DIGITAL COMPANY CORPORATION SA DE CV</t>
  </si>
  <si>
    <t>COSOLBAR SA DE CV</t>
  </si>
  <si>
    <t>VOYAMEX SA DE CV</t>
  </si>
  <si>
    <t>EMIR MONDRAGON MUNOZ</t>
  </si>
  <si>
    <t>REYNOSO VIAJES SA DE CV</t>
  </si>
  <si>
    <t>HEALTHCARE ACCESS PRODUCTS SA DE CV</t>
  </si>
  <si>
    <t>GRUPO COMERCIAL ALBO 15 SA DE CV</t>
  </si>
  <si>
    <t>INFORMATICA MEDICA PARA LA SALUD MEXICO SA DE CV</t>
  </si>
  <si>
    <t>IMPERIAL EQUITY HIGH INCOME POOL</t>
  </si>
  <si>
    <t>1000208549 ONTARIO INC</t>
  </si>
  <si>
    <t>CI BANCO IBM CIB 3074</t>
  </si>
  <si>
    <t>ALUULA COMPOSITES INC</t>
  </si>
  <si>
    <t>HAVEL DISTRIBUTION INC</t>
  </si>
  <si>
    <t>FLORIADE SAN MIGUEL DE ALLENDE SA DE CV</t>
  </si>
  <si>
    <t>UNIDAD DE RESONANCIA MAGNETICA DE HIDALGO SA DE CV</t>
  </si>
  <si>
    <t>METROLOGIA E INGENIERIA AVANZADA SA DE CV</t>
  </si>
  <si>
    <t>GRUPO INDUSTRIAL RYV SA DE CV</t>
  </si>
  <si>
    <t>HERDEZ SA DE CV</t>
  </si>
  <si>
    <t>INDUSTRIAS LUHER SA DE CV</t>
  </si>
  <si>
    <t>RUBEN PAULO GUTIERREZ SALAZAR</t>
  </si>
  <si>
    <t>JOSE SANTOS MARTIN ZANELLA BRETON</t>
  </si>
  <si>
    <t>MARIA DEL CARMEN LAMUNO OTAOLAURRUCHI</t>
  </si>
  <si>
    <t>JESUS URIBE SEDANO</t>
  </si>
  <si>
    <t>SENDAS AC</t>
  </si>
  <si>
    <t>OILCARIBB SA DE CV</t>
  </si>
  <si>
    <t>INIMTEC ELECTRICIDAD Y CONTROL S DE RL DE CV</t>
  </si>
  <si>
    <t>SUTERLANE DAIRY INC</t>
  </si>
  <si>
    <t>TRANSPORTES DE MAQUILAS DE CD JUAREZ SA DE CV</t>
  </si>
  <si>
    <t>FERNANDO SAUL VALERO ARIAS</t>
  </si>
  <si>
    <t>INGENIERIA ELECTROMECANICA INDUSTRIAL CAFRA SA DE CV</t>
  </si>
  <si>
    <t>CORGRATE FIBERGLASS SYSTEMS SA DE CV</t>
  </si>
  <si>
    <t>LUIS ANTONIO DE AVILA VELA</t>
  </si>
  <si>
    <t>SERYSE MEXICO SA DE CV</t>
  </si>
  <si>
    <t>OCEAN RODEO SPORTS INC</t>
  </si>
  <si>
    <t>REEMS TECHNOLOGY LIMITED</t>
  </si>
  <si>
    <t>SINEK GESTION SUSTENTABLE Y TECNOLOGICA SA DE CV</t>
  </si>
  <si>
    <t>HOSPITAL PEDIATRICO SATELITE S DE RL DE CV</t>
  </si>
  <si>
    <t>RGP ADMINISTRADORA DE RECURSOS SA DE CV</t>
  </si>
  <si>
    <t>CORPORATIVO LUCDA SA DE CV</t>
  </si>
  <si>
    <t>TRANSMETRO LIMITED</t>
  </si>
  <si>
    <t>RIVERDOWN HOLSTEINS INC</t>
  </si>
  <si>
    <t>COMERCIALIZADORA SONORA CACTUS S DE RL DE CV</t>
  </si>
  <si>
    <t>JUAN DE DIOS FERNANDEZ ARAUJO</t>
  </si>
  <si>
    <t>QUIMICA ESPECIALIZADA DARR SA DE CV</t>
  </si>
  <si>
    <t>AEROMETAL SA DE CV</t>
  </si>
  <si>
    <t>CENTRO QUIRURGICO SATELITE SA DE CV</t>
  </si>
  <si>
    <t>NEUTRONPAY INC</t>
  </si>
  <si>
    <t>REALTERM CANADA COMPANY</t>
  </si>
  <si>
    <t>BANK OF CHINA (HK) LTD</t>
  </si>
  <si>
    <t>GAP Brazil Fund SPC Segregated Portfolio GAP ABSOLUTE FUND</t>
  </si>
  <si>
    <t>FELDICIE SA DE CV</t>
  </si>
  <si>
    <t>SERVICIOS Y FERTILIZANTES DEL NOROESTE SA DE CV</t>
  </si>
  <si>
    <t>WHEATON PRECIOUS METALS (CAYMAN) CO.</t>
  </si>
  <si>
    <t>ADRIEL ORTINO CORP</t>
  </si>
  <si>
    <t>CONSULTAS NACIONALES DE INFORMACION Y ASESORIAS SA DE CV</t>
  </si>
  <si>
    <t>CARLOS GARCIA AYMERICH</t>
  </si>
  <si>
    <t>DENISON MINES CORP</t>
  </si>
  <si>
    <t>2687093 ONTARIO INC</t>
  </si>
  <si>
    <t>CANADA COUTURE POP UPS INC</t>
  </si>
  <si>
    <t>JOSE ELOY LOYA HERRERA</t>
  </si>
  <si>
    <t>ARMANDO FRANCISCO DE LA TRINIDAD LANZ OLIVER</t>
  </si>
  <si>
    <t>RODRIGO ALVAREZ CORDERO</t>
  </si>
  <si>
    <t>JESUS MANUEL AMBRIZ NITO</t>
  </si>
  <si>
    <t>ALEJANDRO ARGUELLES ALMONTES</t>
  </si>
  <si>
    <t>FLUORITA DE GRADO ACIDO SA DE CV</t>
  </si>
  <si>
    <t>OSCAR MORIEL VILLALOBOS</t>
  </si>
  <si>
    <t>ANTONIO D AMIANO ATRISTAIN</t>
  </si>
  <si>
    <t>RDCAL CONSULTING MEXICO SA DE CV</t>
  </si>
  <si>
    <t>IBRO ENGINEERS S DE RL DE CV</t>
  </si>
  <si>
    <t>CUAUHTEMOC DOMINGUEZ CISNEROS</t>
  </si>
  <si>
    <t>VINEDOS ALDO CESAR PALAFOX SPR DE RL</t>
  </si>
  <si>
    <t>WERNER CONSULTING SA DE CV</t>
  </si>
  <si>
    <t>JOSE MANUEL CANUT SIMON</t>
  </si>
  <si>
    <t>JORGE ALBERTO PALOMINO GUERRERO</t>
  </si>
  <si>
    <t>1479151 ONTARIO INC</t>
  </si>
  <si>
    <t>MAVIS ROAD HOLDINGS INC</t>
  </si>
  <si>
    <t>FRUVAC LTD</t>
  </si>
  <si>
    <t>JOSE CABALAN MACARI ALVARO</t>
  </si>
  <si>
    <t>VANESSA TORRES LAUTENBACH</t>
  </si>
  <si>
    <t>ISMAEL HERRERA MORENO</t>
  </si>
  <si>
    <t>INDUSTRIAS MONTILLA SA DE CV</t>
  </si>
  <si>
    <t>MINERALES Y PRODUCTOS DE FLOURITA SA DE CV</t>
  </si>
  <si>
    <t>RICARDO SANCHEZ GARZA</t>
  </si>
  <si>
    <t>MARIA ROSA ELVIRA CASILLAS GONZ</t>
  </si>
  <si>
    <t>CLAUDIA NOVELO STUBBE</t>
  </si>
  <si>
    <t>CONSTRUCASA EXPRES SA DE CV</t>
  </si>
  <si>
    <t>MOROCCANOIL CANADA INC.</t>
  </si>
  <si>
    <t>CANSO FLOATING RATE INCOME FUND</t>
  </si>
  <si>
    <t>DEKO SYSTEM GROUP S DE RL DE CV</t>
  </si>
  <si>
    <t>RITA DELIA ARIZTEGUI ANDREVE</t>
  </si>
  <si>
    <t>INMOBILIARIA ALMAJICO S DE RL DE CV</t>
  </si>
  <si>
    <t>CENTRO HIDRO MECANICO SA DE CV</t>
  </si>
  <si>
    <t>INMOBILIARIA PENA NORTE SA DE CV</t>
  </si>
  <si>
    <t>KISIN REALTY TULUM SA DE CV</t>
  </si>
  <si>
    <t>WALTER EMILIO GARLATTI WEISS</t>
  </si>
  <si>
    <t>DIGITAL JUNGLE SA DE CV</t>
  </si>
  <si>
    <t>MARIE DANIELLE ISABELLE THIBAULT</t>
  </si>
  <si>
    <t>DEMCO DESARROLLADORA DE MULTISERVICIOS CONSTRUCTORES SA DE CV</t>
  </si>
  <si>
    <t>ELEMENTIA SAB DE CV</t>
  </si>
  <si>
    <t>COMBUSTIBLES JAGUER SA DE CV</t>
  </si>
  <si>
    <t>OPERADORA SAN JOSE ALIMENTOS Y BEBIDAS S DE RL DE CV</t>
  </si>
  <si>
    <t>HERRAMIENTAS DE PRECISION MC S DE RL DE CV</t>
  </si>
  <si>
    <t>PATHFINDER RESOURCE FUND</t>
  </si>
  <si>
    <t>PATHFINDER REAL FUND</t>
  </si>
  <si>
    <t>PATHFINDER PARTNERS FUND</t>
  </si>
  <si>
    <t>SERVICIOS PROFESIONALES CREALED SA DE CV</t>
  </si>
  <si>
    <t>LMC SERVICIOS AMBIENTALES SA DE CV</t>
  </si>
  <si>
    <t>GRUPO ESCUTIRLAF SAPI DE CV</t>
  </si>
  <si>
    <t>DICAMPA SERVICIOS INTEGRALES S DE RL DE CV</t>
  </si>
  <si>
    <t>ACEITES Y COMBUSTIBLES DE QUERETARO SA DE CV</t>
  </si>
  <si>
    <t>LOS SUCESORES DEL PATO PENA SC</t>
  </si>
  <si>
    <t>EMBAJADA DEL ESTADO PLURINACIONAL DE BOLIVIA</t>
  </si>
  <si>
    <t>PREGO CAPITAL SA DE CV</t>
  </si>
  <si>
    <t>JORGE ALBERTO CALDERON MUNOZ</t>
  </si>
  <si>
    <t>NUUKTAL CAPITAL SAPI DE CV</t>
  </si>
  <si>
    <t>JORGE MECKELEIN DE LA FUENTE</t>
  </si>
  <si>
    <t>ALCO DRILLING SERVICES SA DE CV</t>
  </si>
  <si>
    <t>INGENIERIAS TERRESTRES SA DE CV</t>
  </si>
  <si>
    <t>CANADA LIFE MANAGED FUND (LAKETON) SF035 - GLOBAL VALUE</t>
  </si>
  <si>
    <t>LONDON LIFE BALANCED FUND S014 401LAK INTERNATIONAL</t>
  </si>
  <si>
    <t>DAVID BROMLEY ENGINEERING LTD</t>
  </si>
  <si>
    <t>FELIPE ROMAGNOLI CAPITAINE</t>
  </si>
  <si>
    <t>MARIA ELENA YRURETAGOYENA GARCIA</t>
  </si>
  <si>
    <t>SUSAN STRYGLER CHMILEVSKY</t>
  </si>
  <si>
    <t>MANTENIMIENTO Y CONSTRUCCIONES GMOAL S DE RL DE CV</t>
  </si>
  <si>
    <t>SANATORIO SAN CARLOS SC</t>
  </si>
  <si>
    <t>LAS TRES YEGUAS SPR DE RL DE CV</t>
  </si>
  <si>
    <t>MIGUEL AVILA CAMPOY</t>
  </si>
  <si>
    <t>HUMANIDARTES ESTUDIOS SUPERIORES AC</t>
  </si>
  <si>
    <t>VIRGINIA ASPE ARMELLA</t>
  </si>
  <si>
    <t>FLEX BOX SA DE CV</t>
  </si>
  <si>
    <t>BEATRIZ CAMARENA BONILLA</t>
  </si>
  <si>
    <t>IAAMSA SISTEM SA DE CV</t>
  </si>
  <si>
    <t>ELAJ CORPORATIVO GRUPO COMERCIAL Y DE SERVICIOS SA DE CV</t>
  </si>
  <si>
    <t>CANADIAN EQUITY/BOND FUND 1 - US EQUITIES</t>
  </si>
  <si>
    <t>LONDON LIFE-EQUITY/BOND FUND 2.15G - US EQUITIES</t>
  </si>
  <si>
    <t>GRUPO MAJ COMERCIALIZADORA INTEGRAL E INNOVACION SA DE CV</t>
  </si>
  <si>
    <t>TEXTILERA QUILAVA S DE RL DE CV</t>
  </si>
  <si>
    <t>GLOBAL REAL ESTATE S DE RL DE CV</t>
  </si>
  <si>
    <t>CONCRETA EDIFICACIONES Y DESARROLLOS INMOBILIARIOS SA DE CV</t>
  </si>
  <si>
    <t>SALTILLO MACHINERY  SA DE CV</t>
  </si>
  <si>
    <t>LONDON LIFE-BALANCED GROWTH FUND 2.02L - US EQUITIES</t>
  </si>
  <si>
    <t>INMOBILIARIA CACHANILLA MEXICALI SA DE CV</t>
  </si>
  <si>
    <t>GLOBAL BUSINESS INNOVATION S DE RL DE CV</t>
  </si>
  <si>
    <t>ZAMORA FILMS SA DE CV</t>
  </si>
  <si>
    <t>BACALIZA SA DE CV</t>
  </si>
  <si>
    <t>EMM PARTS DEL SURESTE S DE RL DE CV</t>
  </si>
  <si>
    <t>AURORA PALOMAR PINA</t>
  </si>
  <si>
    <t>MAYA QUETZAL COMUNICACIONES SA DE CV</t>
  </si>
  <si>
    <t>MARIA DOLORES INZUNZA MENDOZA</t>
  </si>
  <si>
    <t>YANIRA ISABEL CHACON RAMIREZ</t>
  </si>
  <si>
    <t>SWARTHMORE INVESTMENTS LTD</t>
  </si>
  <si>
    <t>VEIKLE SEEDS LTD.</t>
  </si>
  <si>
    <t>MACPHERSON BUILDERS STAYNER LIMITED</t>
  </si>
  <si>
    <t>NOGALERA LOS 7 DIAMANTES SPR DE RL DE CV</t>
  </si>
  <si>
    <t>KARLA HERRERA ZARATE</t>
  </si>
  <si>
    <t>BEATRIZ EUGENIA CAMPOY JORDAN</t>
  </si>
  <si>
    <t>ALFONSO ALVAREZ CORONA</t>
  </si>
  <si>
    <t>JASEN KUIPERS DOREEN KUIPERS</t>
  </si>
  <si>
    <t>ALEJANDRA BAUTISTA PLANCARTE</t>
  </si>
  <si>
    <t>SERGIO ANTONIO SARMIENTO FERNANDEZ DE LARA</t>
  </si>
  <si>
    <t>ELECTRONICA EN DISPLAYS Y ESPECIALIDADES SA DE CV</t>
  </si>
  <si>
    <t>ITC PARTNERS SAS</t>
  </si>
  <si>
    <t>HHS DRILLING AND BLASTING LTD</t>
  </si>
  <si>
    <t>SILVESTRE SAUCEDO MORALES</t>
  </si>
  <si>
    <t>MIRNA MIREYA GARZA GONZALEZ</t>
  </si>
  <si>
    <t>DELOITTE GFS HOLDINGS LIMITED</t>
  </si>
  <si>
    <t>INDUSTRIES HYPERSHELL INC.</t>
  </si>
  <si>
    <t>SUNNYHOLME REAL ESTATE INC</t>
  </si>
  <si>
    <t>ALURE COMUNICACIONES Y REPRESENTACION SAS DE CV</t>
  </si>
  <si>
    <t>HELIX RENTING SA DE CV</t>
  </si>
  <si>
    <t>VITOLAS DEL MUNDO SA DE CV</t>
  </si>
  <si>
    <t>ALFONSO FERRETE SUAREZ</t>
  </si>
  <si>
    <t>IGNI SA DE CV</t>
  </si>
  <si>
    <t>JUAN LEONARDO FIORENTINI CANEDO</t>
  </si>
  <si>
    <t>DELOITTE GFS LIMITED</t>
  </si>
  <si>
    <t>SCHONFELD DMFI MASTER FUND L.P CDEA</t>
  </si>
  <si>
    <t>PATRICIA ASUNCION HERNANDEZ CORDOBA</t>
  </si>
  <si>
    <t>FRH COMERCIALIZADORA SA DE CV</t>
  </si>
  <si>
    <t>GUILLERMO GURAIEB RUEDA</t>
  </si>
  <si>
    <t>PAUL AND PEGGY VANDERWIELEN</t>
  </si>
  <si>
    <t>TWIN MARINE DE MEXICO SA DE CV</t>
  </si>
  <si>
    <t>MARIA MAGDALENA FARAH Y GORTAZAR</t>
  </si>
  <si>
    <t>ZIPPYTTECH MEXICO SA DE CV</t>
  </si>
  <si>
    <t>MIRNA LIZA HERNANDEZ FIMBRES</t>
  </si>
  <si>
    <t>D GARCIA GROUP LOS CABOS SA DE CV</t>
  </si>
  <si>
    <t>DCF ACCESORIOS Y DECKS S DE RL DE CV</t>
  </si>
  <si>
    <t>KAMIK CANADA INC.</t>
  </si>
  <si>
    <t>CITYWIDE AUTOMATION INC.</t>
  </si>
  <si>
    <t>OSCAR GUADALUPE LOPEZ LOPEZ</t>
  </si>
  <si>
    <t>DELOITTE GLOBAL SERVICES LIMITED</t>
  </si>
  <si>
    <t>DELOITTE GLOBAL SERVICES HOLDINGS LIMITED</t>
  </si>
  <si>
    <t>METERGY SOLUTIONS INC</t>
  </si>
  <si>
    <t>ONTARIO DRIVE &amp; GEAR LIMITED</t>
  </si>
  <si>
    <t>ONTARIO DRIVE AND GEAR LIMITED</t>
  </si>
  <si>
    <t>ISMAEL PADILLA REYES</t>
  </si>
  <si>
    <t>XIAOLI CHEN</t>
  </si>
  <si>
    <t>TRANSPORTES TBR ESPECIALIZADOS SA DE CV</t>
  </si>
  <si>
    <t>R MANN FARMS LTD</t>
  </si>
  <si>
    <t>BANCO ACTINVER SA IBM FIDEICOMISO 2224 FIDEICOMISO LEON ESTADIO</t>
  </si>
  <si>
    <t>BLACKJACK CHEMICALS LTD</t>
  </si>
  <si>
    <t>HENLEY AND PARTNERS CANADA LTD</t>
  </si>
  <si>
    <t>MARCELA MARIA DEL CARMEN SCHEFFLER BUSTOS</t>
  </si>
  <si>
    <t>CUELLAR ALLIANCE GROUP SA DE CV</t>
  </si>
  <si>
    <t>JAMES BERNHART BOURQUE</t>
  </si>
  <si>
    <t>SPACEVENT MANUFACTURING INC</t>
  </si>
  <si>
    <t>GMF PRIME AUTOMOBILE TRUST 2022 PP3</t>
  </si>
  <si>
    <t>2295246 ONTARIO LIMITED</t>
  </si>
  <si>
    <t>DAZA TRUCKING LOGISTICS SAS DE CV</t>
  </si>
  <si>
    <t>BEATRIZ OLIVIA AVILA CAMPOY</t>
  </si>
  <si>
    <t>ARQUI LUXURY SA DE CV</t>
  </si>
  <si>
    <t>ZORRATA INC</t>
  </si>
  <si>
    <t>MARINE ELECTRONICS MEXICO SA DE CV</t>
  </si>
  <si>
    <t>MD ADMINISTRACION EMPRESARIAL SA DE CV</t>
  </si>
  <si>
    <t>GRUPO MEDICO SEGA SC</t>
  </si>
  <si>
    <t>EXPO TILE SA DE CV</t>
  </si>
  <si>
    <t>S2 INGENIEROS SA DE CV</t>
  </si>
  <si>
    <t>COZUMEL SCUBA REPAIR SA DE CV</t>
  </si>
  <si>
    <t>ROBERTA ZUBIRAN BAZ</t>
  </si>
  <si>
    <t>ACEROS INSA SA DE CV</t>
  </si>
  <si>
    <t>RELAY VENTURES FUND V L.P</t>
  </si>
  <si>
    <t>RODRIGO MESTRE RIVERA</t>
  </si>
  <si>
    <t>YUNUEN GARZA DE LA ROSA</t>
  </si>
  <si>
    <t>DYNAMIC SUSTAINABLE EQUITY FUND</t>
  </si>
  <si>
    <t>R AND R ENTERPRISES HOLDINGS LTD</t>
  </si>
  <si>
    <t>MINERA LA ENCANTA S.A. DE C.V.</t>
  </si>
  <si>
    <t>ARCENIO GARATE OSUNA</t>
  </si>
  <si>
    <t>JAIME ALFONSO LOZANO ROMO</t>
  </si>
  <si>
    <t>CARLOS AMIEVA ALONSO</t>
  </si>
  <si>
    <t>HOLOGIC US FINANCE CO LLC</t>
  </si>
  <si>
    <t>PROSOILS INC</t>
  </si>
  <si>
    <t>MARIO GANON LUGARDO</t>
  </si>
  <si>
    <t>EMMA ADRIANA ESQUER DIAZ</t>
  </si>
  <si>
    <t>ALCOR DE OCCIDENTE SA DE CV</t>
  </si>
  <si>
    <t>MX GCM DCC</t>
  </si>
  <si>
    <t>COMERCIALIZADORA METROGAS SA DE CV</t>
  </si>
  <si>
    <t>VALVULAS DE SEGURIDAD SA DE CV</t>
  </si>
  <si>
    <t>NEWAL PROPERTY INVESTMENTS LIMITED</t>
  </si>
  <si>
    <t>133494 CANADA INC</t>
  </si>
  <si>
    <t>ABC EXHIBITS INTERNACIONAL SA DE CV</t>
  </si>
  <si>
    <t>TORQUEMICH SA DE CV</t>
  </si>
  <si>
    <t>UNION FENOSA MEXICO SA DE CV</t>
  </si>
  <si>
    <t>AGUAS LATINAS MEXICO S DE RL DE CV</t>
  </si>
  <si>
    <t>PACUARE INMOBILIARIA SA DE CV</t>
  </si>
  <si>
    <t>FUERZA Y ENERGIA DE HERMOSILLO SA DE CV</t>
  </si>
  <si>
    <t>PRODUCTOS Y SERVICIOS ESPECIALIZADOS BAM SA DE CV</t>
  </si>
  <si>
    <t>NUEVO VALLARTA PROPERTIES SA DE CV</t>
  </si>
  <si>
    <t>SUMINISTROS INDUSTRIALES Y MINERALES SA DE CV</t>
  </si>
  <si>
    <t>2 L BEISBOL SA DE CV</t>
  </si>
  <si>
    <t>FUERZA Y ENERGIA DE NORTE DURANGO SA DE CV</t>
  </si>
  <si>
    <t>FUERZA Y ENERGIA DE TUXPAN SA DE CV</t>
  </si>
  <si>
    <t>NATURGY MEXICO SA DE CV</t>
  </si>
  <si>
    <t>TRANSIMPLANTS SA DE CV</t>
  </si>
  <si>
    <t>PERFORMANCE CONSTRUCCION SVC SA DE CV</t>
  </si>
  <si>
    <t>GPG ENERGIA MEXICO SA DE CV</t>
  </si>
  <si>
    <t>LOGIXX SECURITY INC</t>
  </si>
  <si>
    <t>ROHL ENTERPRISES LTD</t>
  </si>
  <si>
    <t>ROHL GLOBAL NETWORKS INC</t>
  </si>
  <si>
    <t>8 SR PROMOTION S DE RL DE CV</t>
  </si>
  <si>
    <t>JANETH ESMERALDA MARTINEZ ARRIAGA</t>
  </si>
  <si>
    <t>TECNOLOGIA Y MECANICA DIESEL SA DE CV</t>
  </si>
  <si>
    <t>GRUPO GRAFICO MIRAS SA DE CV</t>
  </si>
  <si>
    <t>ANTONIO ABAD FLORES LICEA</t>
  </si>
  <si>
    <t>SASKATCHEWAN TEACHERS' FEDERATION</t>
  </si>
  <si>
    <t>1000129002 ONTARIO LIMITED</t>
  </si>
  <si>
    <t>QUIKS FARM LIMITED</t>
  </si>
  <si>
    <t>J &amp; E PROSKO FARMS INC</t>
  </si>
  <si>
    <t>NEGOCIOS ESPELNAD S DE RL DE CV</t>
  </si>
  <si>
    <t>COMERCIALIZADORA STREGER SA DE CV</t>
  </si>
  <si>
    <t>JESUS LUIS BARRERA LOZANO</t>
  </si>
  <si>
    <t>CRAWLEY MACKEWN BRUSH LLP</t>
  </si>
  <si>
    <t>FRANCOBELLA HOLDINGS INC</t>
  </si>
  <si>
    <t>JOSE LUIS PRADO MEZA</t>
  </si>
  <si>
    <t>POMMEROYS INC</t>
  </si>
  <si>
    <t>9436 7638 QUEBEC INC</t>
  </si>
  <si>
    <t>PURELY CANADA FOODS CORP</t>
  </si>
  <si>
    <t>DCMS REALTY (WEST KELOWNA) LIMITED PARTNERSHIP</t>
  </si>
  <si>
    <t>ZUMA CONTROL Y AUTOMATIZACION SA DE CV</t>
  </si>
  <si>
    <t>G AND W DE MEXICO S DE RL DE CV</t>
  </si>
  <si>
    <t>NON DISCLOSED LEGAL ENTITY - BLOCK</t>
  </si>
  <si>
    <t>TURNKEY SITE SOLUTIONS LTD.</t>
  </si>
  <si>
    <t>FDF RACE SHOP INC</t>
  </si>
  <si>
    <t>GERARDO ALFONSO HERNANDEZ FIMBRES</t>
  </si>
  <si>
    <t>ELDA MARIA CONDE LOPEZ</t>
  </si>
  <si>
    <t>LINAMAR DRIVELINE SYSTEMS MEXICO S DE RL DE CV</t>
  </si>
  <si>
    <t>MARIA FRANCISCA ATLANTIDA COLL OLIVA</t>
  </si>
  <si>
    <t>JESUS ANTONIO AVILA AGUILAR</t>
  </si>
  <si>
    <t>GRUPO USAGON SA DE CV</t>
  </si>
  <si>
    <t>CECILIA MONICA SUMIKO ITO SUGIYAMA</t>
  </si>
  <si>
    <t>MARGARITA CLEOFAS GONZALEZ GAMIO</t>
  </si>
  <si>
    <t>ADRIANA LIZETH LUCERO DIAZ</t>
  </si>
  <si>
    <t>NORTH VITAL DISTRIBUTION INC</t>
  </si>
  <si>
    <t>AGENCIA JR MEXICO SA DE CV</t>
  </si>
  <si>
    <t>SERVICIOS INMOBILIARIOS LA CANTERA SA DE CV</t>
  </si>
  <si>
    <t>CORPORACION INTEGRAL DE COMERCIO EXTERIOR SA DE CV</t>
  </si>
  <si>
    <t>SERVICIOS ESPECIALIZADOS DE MONTACARGAS S DE RL DE CV</t>
  </si>
  <si>
    <t>ROSALIA BERENICE MENA FARFAN</t>
  </si>
  <si>
    <t>GRUPO INDUSTRIAL CORTES RIVERA S DE RL DE CV</t>
  </si>
  <si>
    <t>2077117 ONTARIO INC</t>
  </si>
  <si>
    <t>SCOTTSDALE MEDICAL CENTRE CORPORATION</t>
  </si>
  <si>
    <t>BANCO ACTINVER SA INSTITUCION DE BANCA MULTIPLE GRUPO FINANCIERO ACTINVER COMO FIDUCIARIO DEL FIDEICOMISO IRREVOCABLE DE EMISION ADMINISTRACION Y PAGO NO 5248</t>
  </si>
  <si>
    <t>IMPORTADORES ORIENTALES AZSA SA DE CV</t>
  </si>
  <si>
    <t>GREEN COVER SA DE CV</t>
  </si>
  <si>
    <t>HL INTERNATIONAL BUSINESS COMMERCIALIZATION AND SUPPLIES SA DE CV</t>
  </si>
  <si>
    <t>SALVADOR IBARRA ALVAREZ DEL CASTILLO</t>
  </si>
  <si>
    <t>MA LUISA FERNANDEZ DIAZ</t>
  </si>
  <si>
    <t>ZULAICA</t>
  </si>
  <si>
    <t>LNDN P AUTO LP O/A PORSCHE OF LONDON</t>
  </si>
  <si>
    <t>DISCOVERY COMMUNICATIONS LLC</t>
  </si>
  <si>
    <t>DISCOVERY NETWORKS ASIA-PACIFIC PTE</t>
  </si>
  <si>
    <t>FSVILLA2048 HORIZONTE SINFIN S DE RL DE CV</t>
  </si>
  <si>
    <t>BLUE EVENT AGENCY PREMIUM SA DE CV</t>
  </si>
  <si>
    <t>CHRISTIAN UPPER</t>
  </si>
  <si>
    <t>HECTOR CRISTIAN PEREZ OSORIO</t>
  </si>
  <si>
    <t>TERRA MAYA PROPERTIES SA DE CV</t>
  </si>
  <si>
    <t>INMOBILIARIA EDROMEX SA DE CV</t>
  </si>
  <si>
    <t>ARKAB LAVANDERIAS Y TINTORERIAS SAS DE CV</t>
  </si>
  <si>
    <t>1000183871 ONTARIO INC</t>
  </si>
  <si>
    <t>9318-7367 QUEBEC INC</t>
  </si>
  <si>
    <t>JAIME CAMARILLO NOEMI</t>
  </si>
  <si>
    <t>AGROPRODUCTOS Y COMERCIALIZADORA ROSALES S DE RL DE CV</t>
  </si>
  <si>
    <t>EMMA ISABEL DIAZ GALLEGO</t>
  </si>
  <si>
    <t>OMAR AMADOR MEDIANO</t>
  </si>
  <si>
    <t>RO CAMS S DE RL DE CV</t>
  </si>
  <si>
    <t>PRODUCTORA PECUARIA ALPERA SAPI DE CV</t>
  </si>
  <si>
    <t>VACACIONES EL CARACOL TULUM SA DE CV</t>
  </si>
  <si>
    <t>ERNESTO GUZMAN Y NU¿EZ</t>
  </si>
  <si>
    <t>ERNESTO GUZMAN Y NUNEZ</t>
  </si>
  <si>
    <t>TWENTIETH CENTURY FOX FILM DE MEXICO S DE RL DE CV</t>
  </si>
  <si>
    <t>JONATHAN HERNANDEZ PENA</t>
  </si>
  <si>
    <t>GERALDINA CASTELLANOS GALLEGO</t>
  </si>
  <si>
    <t>RUBICON TRUST SA DE CV</t>
  </si>
  <si>
    <t>GRUPO TLA TRANSITARIA MEXICO SA DE CV</t>
  </si>
  <si>
    <t>MONICA ISABEL FRENCH</t>
  </si>
  <si>
    <t>LUIS EDUARDO RODRIGUEZ CAMPOS</t>
  </si>
  <si>
    <t>CONSUELO TERESA MADERO MUNOZ</t>
  </si>
  <si>
    <t>ADMINISTRADORA JOSCON SA DE CV</t>
  </si>
  <si>
    <t>DANIEL GERARDO CORDOVA CHAVEZ</t>
  </si>
  <si>
    <t>BUGSY DEVELOPMENT CORP</t>
  </si>
  <si>
    <t>MOMENTUM GRAIN FARMS INC</t>
  </si>
  <si>
    <t>HI- WAY 13 TRANSPORT LTD.</t>
  </si>
  <si>
    <t>ARN SOLUTIONS SA DE CV</t>
  </si>
  <si>
    <t>DESPACHO CONTABLE FISCAL GARCIA GONZALEZ Y ASOCIADOS SC</t>
  </si>
  <si>
    <t>CELLREX SA DE CV</t>
  </si>
  <si>
    <t>ANA MARIA BEATRIZ CANALES POMBO</t>
  </si>
  <si>
    <t>KILANI JEWELLERY INC</t>
  </si>
  <si>
    <t>ANDREW K MCCAIN</t>
  </si>
  <si>
    <t>MR ANDREW K MCCAIN</t>
  </si>
  <si>
    <t>JOSE ANGEL SANTOS DE LA GARZA</t>
  </si>
  <si>
    <t>GLS FORWARDING GROUP SA DE CV</t>
  </si>
  <si>
    <t>DESARROLLO INDUSTRIAL CYH SA DE CV</t>
  </si>
  <si>
    <t>FARIGAM SA DE CV</t>
  </si>
  <si>
    <t>GUILLERMO ALMERICO RODRIGUEZ MACOUZET</t>
  </si>
  <si>
    <t>ANMO TEST</t>
  </si>
  <si>
    <t>CA CROPS SA DE CV</t>
  </si>
  <si>
    <t>RODOLFO VELASCO GUEVARA</t>
  </si>
  <si>
    <t>WETWENDYS COZUMEL SAS DE CV</t>
  </si>
  <si>
    <t>COVER DESARROLLADORES SA DE CV</t>
  </si>
  <si>
    <t>CBI SYSTEMS SC</t>
  </si>
  <si>
    <t>SAMUEL CAID MEXICO SA DE CV</t>
  </si>
  <si>
    <t>GABINO MORALES ZERMENO</t>
  </si>
  <si>
    <t>BANK OF NOVA SCOTIA 10645</t>
  </si>
  <si>
    <t>Special Entity</t>
  </si>
  <si>
    <t>Sep 1 2021 - Aug 31 2022</t>
  </si>
  <si>
    <t>Oct 1 2021 - Sep 30 2022</t>
  </si>
  <si>
    <t>Nov 1 2021 - Oct 31 2022</t>
  </si>
  <si>
    <t>Dec 1 2021 - Nov 30 2022</t>
  </si>
  <si>
    <t>Jan 1 2022 - Dec 31 2022</t>
  </si>
  <si>
    <t>Feb 1 2022 - Jan 31 2023</t>
  </si>
  <si>
    <t>Mar 1 2022 - Feb 28 2023</t>
  </si>
  <si>
    <t>Apr 1 2022 - Mar 31 2023</t>
  </si>
  <si>
    <t>May 1 2022 - Apr 30 2023</t>
  </si>
  <si>
    <t>June 1 2022 - May 31 2023</t>
  </si>
  <si>
    <t>July 1 2022 - June 30 2023</t>
  </si>
  <si>
    <t>Aug 1 2022 - Jul 31 2023</t>
  </si>
  <si>
    <t>Sept 1 2022 - Aug 31 2023</t>
  </si>
  <si>
    <t>Oct 1 2022 - Sept 30 2023</t>
  </si>
  <si>
    <t>Nov 1 2022 - Oct 31 2023</t>
  </si>
  <si>
    <t>Dec 1 2022 - Nov 30 2023</t>
  </si>
  <si>
    <t>FxOptionsDeals_Id</t>
  </si>
  <si>
    <t>Jan 1 2023 - Dec 31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</si>
</sst>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43" formatCode="_ * #,##0.00_ ;_ * \-#,##0.00_ ;_ * &quot;-&quot;??_ ;_ @_ "/>
    <numFmt numFmtId="164" formatCode="_-* #,##0.00_-;\-* #,##0.00_-;_-* &quot;-&quot;??_-;_-@_-"/>
    <numFmt numFmtId="165" formatCode="_(&quot;$&quot;* #,##0.00_);_(&quot;$&quot;* \(#,##0.00\);_(&quot;$&quot;* &quot;-&quot;??_);_(@_)"/>
    <numFmt numFmtId="166" formatCode="_(* #,##0.00_);_(* \(#,##0.00\);_(* &quot;-&quot;??_);_(@_)"/>
    <numFmt numFmtId="167" formatCode="_([$€-2]\ * #,##0.00_);_([$€-2]\ * \(#,##0.00\);_([$€-2]\ * &quot;-&quot;??_)"/>
    <numFmt numFmtId="168" formatCode="dd\-mm\-yyyy;@"/>
    <numFmt numFmtId="169" formatCode="_-* #,##0_-;\-* #,##0_-;_-* &quot;-&quot;??_-;_-@_-"/>
    <numFmt numFmtId="170" formatCode="[$-409]dd\-mmm\-yy;@"/>
    <numFmt numFmtId="171" formatCode="0.0%"/>
    <numFmt numFmtId="172" formatCode="&quot;Hist. Max. Value: &quot;0.0%"/>
    <numFmt numFmtId="173" formatCode="&quot;Hist. Min. Value: &quot;0.0%"/>
    <numFmt numFmtId="174" formatCode="_-* #,##0.00\ _$_-;\-* #,##0.00\ _$_-;_-* &quot;-&quot;??\ _$_-;_-@_-"/>
    <numFmt numFmtId="175" formatCode="_-* #,##0.00\ [$€]_-;\-* #,##0.00\ [$€]_-;_-* &quot;-&quot;??\ [$€]_-;_-@_-"/>
    <numFmt numFmtId="176" formatCode="_-* #,##0.00\ [$€-1]_-;\-* #,##0.00\ [$€-1]_-;_-* &quot;-&quot;??\ [$€-1]_-"/>
    <numFmt numFmtId="177" formatCode="_-* #,##0.00\ _p_t_a_-;\-* #,##0.00\ _p_t_a_-;_-* &quot;-&quot;??\ _p_t_a_-;_-@_-"/>
    <numFmt numFmtId="178" formatCode="_ * #,##0_ ;_ * \-#,##0_ ;_ * &quot;-&quot;??_ ;_ @_ "/>
    <numFmt numFmtId="179" formatCode="_-* #,##0.0000_-;\-* #,##0.0000_-;_-* &quot;-&quot;??_-;_-@_-"/>
    <numFmt numFmtId="180" formatCode="0.0000"/>
  </numFmts>
  <fonts count="51" x14ac:knownFonts="1">
    <font>
      <sz val="11"/>
      <color theme="1"/>
      <name val="Calibri"/>
      <family val="2"/>
      <scheme val="minor"/>
    </font>
    <font>
      <sz val="11"/>
      <color theme="1"/>
      <name val="Calibri"/>
      <family val="2"/>
      <scheme val="minor"/>
    </font>
    <font>
      <sz val="10"/>
      <color indexed="8"/>
      <name val="Arial"/>
      <family val="2"/>
    </font>
    <font>
      <b/>
      <sz val="11"/>
      <color indexed="8"/>
      <name val="Calibri"/>
      <family val="2"/>
    </font>
    <font>
      <sz val="11"/>
      <color indexed="8"/>
      <name val="Calibri"/>
      <family val="2"/>
    </font>
    <font>
      <sz val="10"/>
      <color indexed="8"/>
      <name val="Arial"/>
      <family val="2"/>
    </font>
    <font>
      <sz val="10"/>
      <name val="Arial"/>
      <family val="2"/>
    </font>
    <font>
      <b/>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9"/>
      <color indexed="8"/>
      <name val="Calibri"/>
      <family val="2"/>
    </font>
    <font>
      <b/>
      <sz val="9"/>
      <color indexed="8"/>
      <name val="Calibri"/>
      <family val="2"/>
    </font>
    <font>
      <sz val="11"/>
      <color rgb="FF000000"/>
      <name val="Calibri"/>
      <family val="2"/>
      <scheme val="minor"/>
    </font>
    <font>
      <sz val="9"/>
      <color theme="1"/>
      <name val="Calibri"/>
      <family val="2"/>
      <scheme val="minor"/>
    </font>
    <font>
      <b/>
      <sz val="10"/>
      <color indexed="8"/>
      <name val="Calibri"/>
      <family val="2"/>
    </font>
    <font>
      <u/>
      <sz val="7.5"/>
      <color indexed="12"/>
      <name val="Arial"/>
      <family val="2"/>
    </font>
    <font>
      <sz val="11"/>
      <color indexed="9"/>
      <name val="Calibri"/>
      <family val="2"/>
    </font>
    <font>
      <sz val="11"/>
      <color indexed="17"/>
      <name val="Calibri"/>
      <family val="2"/>
    </font>
    <font>
      <b/>
      <sz val="11"/>
      <color indexed="10"/>
      <name val="Calibri"/>
      <family val="2"/>
    </font>
    <font>
      <b/>
      <sz val="11"/>
      <color indexed="9"/>
      <name val="Calibri"/>
      <family val="2"/>
    </font>
    <font>
      <sz val="11"/>
      <color indexed="10"/>
      <name val="Calibri"/>
      <family val="2"/>
    </font>
    <font>
      <b/>
      <sz val="11"/>
      <color indexed="62"/>
      <name val="Calibri"/>
      <family val="2"/>
    </font>
    <font>
      <sz val="11"/>
      <color indexed="62"/>
      <name val="Calibri"/>
      <family val="2"/>
    </font>
    <font>
      <sz val="11"/>
      <color indexed="20"/>
      <name val="Calibri"/>
      <family val="2"/>
    </font>
    <font>
      <sz val="11"/>
      <color indexed="19"/>
      <name val="Calibri"/>
      <family val="2"/>
    </font>
    <font>
      <b/>
      <sz val="11"/>
      <color indexed="63"/>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sz val="10"/>
      <name val="Calibri"/>
      <family val="2"/>
      <scheme val="minor"/>
    </font>
    <font>
      <b/>
      <sz val="10"/>
      <name val="Calibri"/>
      <family val="2"/>
      <scheme val="minor"/>
    </font>
    <font>
      <sz val="10"/>
      <color theme="1"/>
      <name val="Calibri"/>
      <family val="2"/>
      <scheme val="minor"/>
    </font>
    <font>
      <sz val="11"/>
      <color indexed="8"/>
      <name val="Calibri"/>
      <family val="2"/>
      <scheme val="minor"/>
    </font>
    <font>
      <b/>
      <sz val="11"/>
      <color indexed="8"/>
      <name val="Calibri"/>
      <family val="2"/>
      <scheme val="minor"/>
    </font>
    <font>
      <b/>
      <sz val="11"/>
      <color theme="0"/>
      <name val="Calibri"/>
      <family val="2"/>
    </font>
    <font>
      <b/>
      <i/>
      <sz val="10"/>
      <name val="Arial"/>
      <family val="2"/>
    </font>
    <font>
      <sz val="12"/>
      <color indexed="8"/>
      <name val="Calibri"/>
      <family val="2"/>
    </font>
  </fonts>
  <fills count="62">
    <fill>
      <patternFill patternType="none"/>
    </fill>
    <fill>
      <patternFill patternType="gray125"/>
    </fill>
    <fill>
      <patternFill patternType="solid">
        <fgColor indexed="22"/>
        <bgColor indexed="0"/>
      </patternFill>
    </fill>
    <fill>
      <patternFill patternType="solid">
        <fgColor theme="0"/>
        <bgColor indexed="64"/>
      </patternFill>
    </fill>
    <fill>
      <patternFill patternType="solid">
        <fgColor theme="0" tint="-0.14999847407452621"/>
        <bgColor indexed="0"/>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indexed="64"/>
      </patternFill>
    </fill>
    <fill>
      <patternFill patternType="solid">
        <fgColor rgb="FFD9D9D9"/>
        <bgColor indexed="64"/>
      </patternFill>
    </fill>
    <fill>
      <patternFill patternType="solid">
        <fgColor rgb="FFC0C0C0"/>
        <bgColor indexed="64"/>
      </patternFill>
    </fill>
    <fill>
      <patternFill patternType="solid">
        <fgColor theme="0"/>
        <bgColor indexed="0"/>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9"/>
      </patternFill>
    </fill>
    <fill>
      <patternFill patternType="solid">
        <fgColor indexed="55"/>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theme="0" tint="-0.249977111117893"/>
        <bgColor indexed="64"/>
      </patternFill>
    </fill>
    <fill>
      <patternFill patternType="solid">
        <fgColor theme="0" tint="-0.249977111117893"/>
        <bgColor indexed="0"/>
      </patternFill>
    </fill>
    <fill>
      <patternFill patternType="solid">
        <fgColor theme="5"/>
        <bgColor indexed="0"/>
      </patternFill>
    </fill>
    <fill>
      <patternFill patternType="solid">
        <fgColor rgb="FFFFFF00"/>
        <bgColor indexed="0"/>
      </patternFill>
    </fill>
    <fill>
      <patternFill patternType="solid">
        <fgColor theme="0" tint="-0.14999847407452621"/>
        <bgColor theme="0" tint="-0.14999847407452621"/>
      </patternFill>
    </fill>
  </fills>
  <borders count="50">
    <border>
      <left/>
      <right/>
      <top/>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8"/>
      </left>
      <right/>
      <top/>
      <bottom/>
      <diagonal/>
    </border>
    <border>
      <left style="thin">
        <color indexed="8"/>
      </left>
      <right style="thin">
        <color indexed="8"/>
      </right>
      <top/>
      <bottom/>
      <diagonal/>
    </border>
    <border>
      <left style="thin">
        <color auto="1"/>
      </left>
      <right style="thin">
        <color auto="1"/>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style="thin">
        <color rgb="FFC0C0C0"/>
      </left>
      <right style="thin">
        <color rgb="FFC0C0C0"/>
      </right>
      <top style="thin">
        <color rgb="FFC0C0C0"/>
      </top>
      <bottom style="thin">
        <color rgb="FFC0C0C0"/>
      </bottom>
      <diagonal/>
    </border>
    <border>
      <left style="thin">
        <color indexed="22"/>
      </left>
      <right style="thin">
        <color indexed="22"/>
      </right>
      <top style="thin">
        <color indexed="22"/>
      </top>
      <bottom style="thin">
        <color indexed="22"/>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style="hair">
        <color indexed="64"/>
      </left>
      <right style="hair">
        <color indexed="64"/>
      </right>
      <top style="hair">
        <color indexed="64"/>
      </top>
      <bottom style="hair">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10"/>
      </bottom>
      <diagonal/>
    </border>
    <border>
      <left style="thin">
        <color indexed="63"/>
      </left>
      <right style="thin">
        <color indexed="63"/>
      </right>
      <top style="thin">
        <color indexed="63"/>
      </top>
      <bottom style="thin">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hair">
        <color indexed="64"/>
      </bottom>
      <diagonal/>
    </border>
    <border>
      <left style="thin">
        <color indexed="22"/>
      </left>
      <right style="thin">
        <color indexed="22"/>
      </right>
      <top/>
      <bottom style="thin">
        <color indexed="22"/>
      </bottom>
      <diagonal/>
    </border>
    <border>
      <left style="thin">
        <color theme="0" tint="-0.499984740745262"/>
      </left>
      <right style="hair">
        <color theme="0" tint="-0.499984740745262"/>
      </right>
      <top style="thin">
        <color theme="0" tint="-0.499984740745262"/>
      </top>
      <bottom style="hair">
        <color theme="0" tint="-0.499984740745262"/>
      </bottom>
      <diagonal/>
    </border>
    <border>
      <left style="hair">
        <color theme="0" tint="-0.499984740745262"/>
      </left>
      <right style="hair">
        <color theme="0" tint="-0.499984740745262"/>
      </right>
      <top style="thin">
        <color theme="0" tint="-0.499984740745262"/>
      </top>
      <bottom style="hair">
        <color theme="0" tint="-0.499984740745262"/>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style="hair">
        <color theme="0" tint="-0.499984740745262"/>
      </top>
      <bottom style="thin">
        <color theme="0" tint="-0.499984740745262"/>
      </bottom>
      <diagonal/>
    </border>
    <border>
      <left style="medium">
        <color indexed="64"/>
      </left>
      <right style="thin">
        <color indexed="8"/>
      </right>
      <top style="thin">
        <color indexed="8"/>
      </top>
      <bottom/>
      <diagonal/>
    </border>
    <border>
      <left style="thin">
        <color indexed="8"/>
      </left>
      <right style="thin">
        <color indexed="8"/>
      </right>
      <top style="thin">
        <color indexed="8"/>
      </top>
      <bottom/>
      <diagonal/>
    </border>
    <border>
      <left style="hair">
        <color theme="0" tint="-0.499984740745262"/>
      </left>
      <right style="thin">
        <color theme="0" tint="-0.499984740745262"/>
      </right>
      <top style="hair">
        <color theme="0" tint="-0.499984740745262"/>
      </top>
      <bottom style="hair">
        <color theme="0" tint="-0.499984740745262"/>
      </bottom>
      <diagonal/>
    </border>
    <border>
      <left style="medium">
        <color indexed="64"/>
      </left>
      <right/>
      <top style="medium">
        <color indexed="64"/>
      </top>
      <bottom style="thin">
        <color indexed="64"/>
      </bottom>
      <diagonal/>
    </border>
    <border>
      <left/>
      <right/>
      <top style="thin">
        <color rgb="FF70AD47"/>
      </top>
      <bottom/>
      <diagonal/>
    </border>
    <border>
      <left style="medium">
        <color indexed="64"/>
      </left>
      <right/>
      <top/>
      <bottom/>
      <diagonal/>
    </border>
    <border>
      <left style="medium">
        <color indexed="64"/>
      </left>
      <right/>
      <top/>
      <bottom style="medium">
        <color indexed="64"/>
      </bottom>
      <diagonal/>
    </border>
  </borders>
  <cellStyleXfs count="255">
    <xf numFmtId="0" fontId="0" fillId="0" borderId="0"/>
    <xf numFmtId="0" fontId="2" fillId="0" borderId="0"/>
    <xf numFmtId="0" fontId="2" fillId="0" borderId="0"/>
    <xf numFmtId="0" fontId="5" fillId="0" borderId="0">
      <alignment vertical="top"/>
    </xf>
    <xf numFmtId="166" fontId="1" fillId="0" borderId="0" applyFont="0" applyFill="0" applyBorder="0" applyAlignment="0" applyProtection="0"/>
    <xf numFmtId="0" fontId="6" fillId="0" borderId="0"/>
    <xf numFmtId="164" fontId="6" fillId="0" borderId="0" applyFont="0" applyFill="0" applyBorder="0" applyAlignment="0" applyProtection="0"/>
    <xf numFmtId="0" fontId="1" fillId="0" borderId="0"/>
    <xf numFmtId="166" fontId="6" fillId="0" borderId="0" applyFont="0" applyFill="0" applyBorder="0" applyAlignment="0" applyProtection="0"/>
    <xf numFmtId="9" fontId="6" fillId="0" borderId="0" applyFont="0" applyFill="0" applyBorder="0" applyAlignment="0" applyProtection="0"/>
    <xf numFmtId="167" fontId="6" fillId="0" borderId="0" applyFont="0" applyFill="0" applyBorder="0" applyAlignment="0" applyProtection="0"/>
    <xf numFmtId="166" fontId="1" fillId="0" borderId="0" applyFont="0" applyFill="0" applyBorder="0" applyAlignment="0" applyProtection="0"/>
    <xf numFmtId="0" fontId="4" fillId="0" borderId="0"/>
    <xf numFmtId="0" fontId="2" fillId="0" borderId="0">
      <alignment vertical="top"/>
    </xf>
    <xf numFmtId="0" fontId="11" fillId="0" borderId="0" applyNumberFormat="0" applyFill="0" applyBorder="0" applyAlignment="0" applyProtection="0"/>
    <xf numFmtId="0" fontId="12" fillId="6" borderId="0" applyNumberFormat="0" applyBorder="0" applyAlignment="0" applyProtection="0"/>
    <xf numFmtId="0" fontId="14" fillId="8" borderId="0" applyNumberFormat="0" applyBorder="0" applyAlignment="0" applyProtection="0"/>
    <xf numFmtId="0" fontId="15" fillId="9" borderId="9" applyNumberFormat="0" applyAlignment="0" applyProtection="0"/>
    <xf numFmtId="0" fontId="18" fillId="0" borderId="11" applyNumberFormat="0" applyFill="0" applyAlignment="0" applyProtection="0"/>
    <xf numFmtId="0" fontId="19" fillId="11" borderId="12" applyNumberFormat="0" applyAlignment="0" applyProtection="0"/>
    <xf numFmtId="0" fontId="20" fillId="0" borderId="0" applyNumberFormat="0" applyFill="0" applyBorder="0" applyAlignment="0" applyProtection="0"/>
    <xf numFmtId="0" fontId="1" fillId="12" borderId="13" applyNumberFormat="0" applyFont="0" applyAlignment="0" applyProtection="0"/>
    <xf numFmtId="0" fontId="7" fillId="0" borderId="14" applyNumberFormat="0" applyFill="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22" fillId="16" borderId="0" applyNumberFormat="0" applyBorder="0" applyAlignment="0" applyProtection="0"/>
    <xf numFmtId="0" fontId="22" fillId="20" borderId="0" applyNumberFormat="0" applyBorder="0" applyAlignment="0" applyProtection="0"/>
    <xf numFmtId="0" fontId="22" fillId="24" borderId="0" applyNumberFormat="0" applyBorder="0" applyAlignment="0" applyProtection="0"/>
    <xf numFmtId="0" fontId="22" fillId="28" borderId="0" applyNumberFormat="0" applyBorder="0" applyAlignment="0" applyProtection="0"/>
    <xf numFmtId="0" fontId="22" fillId="32" borderId="0" applyNumberFormat="0" applyBorder="0" applyAlignment="0" applyProtection="0"/>
    <xf numFmtId="0" fontId="22" fillId="36" borderId="0" applyNumberFormat="0" applyBorder="0" applyAlignment="0" applyProtection="0"/>
    <xf numFmtId="0" fontId="22" fillId="13" borderId="0" applyNumberFormat="0" applyBorder="0" applyAlignment="0" applyProtection="0"/>
    <xf numFmtId="0" fontId="22" fillId="17" borderId="0" applyNumberFormat="0" applyBorder="0" applyAlignment="0" applyProtection="0"/>
    <xf numFmtId="0" fontId="22" fillId="21" borderId="0" applyNumberFormat="0" applyBorder="0" applyAlignment="0" applyProtection="0"/>
    <xf numFmtId="0" fontId="22" fillId="25" borderId="0" applyNumberFormat="0" applyBorder="0" applyAlignment="0" applyProtection="0"/>
    <xf numFmtId="0" fontId="22" fillId="29" borderId="0" applyNumberFormat="0" applyBorder="0" applyAlignment="0" applyProtection="0"/>
    <xf numFmtId="0" fontId="22" fillId="33" borderId="0" applyNumberFormat="0" applyBorder="0" applyAlignment="0" applyProtection="0"/>
    <xf numFmtId="0" fontId="13" fillId="7" borderId="0" applyNumberFormat="0" applyBorder="0" applyAlignment="0" applyProtection="0"/>
    <xf numFmtId="0" fontId="17" fillId="10" borderId="9" applyNumberFormat="0" applyAlignment="0" applyProtection="0"/>
    <xf numFmtId="0" fontId="21" fillId="0" borderId="0" applyNumberFormat="0" applyFill="0" applyBorder="0" applyAlignment="0" applyProtection="0"/>
    <xf numFmtId="0" fontId="9" fillId="0" borderId="6" applyNumberFormat="0" applyFill="0" applyAlignment="0" applyProtection="0"/>
    <xf numFmtId="0" fontId="10" fillId="0" borderId="7" applyNumberFormat="0" applyFill="0" applyAlignment="0" applyProtection="0"/>
    <xf numFmtId="0" fontId="11" fillId="0" borderId="8" applyNumberFormat="0" applyFill="0" applyAlignment="0" applyProtection="0"/>
    <xf numFmtId="0" fontId="16" fillId="10" borderId="10" applyNumberFormat="0" applyAlignment="0" applyProtection="0"/>
    <xf numFmtId="0" fontId="8" fillId="0" borderId="0" applyNumberFormat="0" applyFill="0" applyBorder="0" applyAlignment="0" applyProtection="0"/>
    <xf numFmtId="164" fontId="1" fillId="0" borderId="0" applyFont="0" applyFill="0" applyBorder="0" applyAlignment="0" applyProtection="0"/>
    <xf numFmtId="0" fontId="2" fillId="0" borderId="0"/>
    <xf numFmtId="9" fontId="1" fillId="0" borderId="0" applyFont="0" applyFill="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22" fillId="16" borderId="0" applyNumberFormat="0" applyBorder="0" applyAlignment="0" applyProtection="0"/>
    <xf numFmtId="0" fontId="22" fillId="20" borderId="0" applyNumberFormat="0" applyBorder="0" applyAlignment="0" applyProtection="0"/>
    <xf numFmtId="0" fontId="22" fillId="24" borderId="0" applyNumberFormat="0" applyBorder="0" applyAlignment="0" applyProtection="0"/>
    <xf numFmtId="0" fontId="22" fillId="28" borderId="0" applyNumberFormat="0" applyBorder="0" applyAlignment="0" applyProtection="0"/>
    <xf numFmtId="0" fontId="22" fillId="32" borderId="0" applyNumberFormat="0" applyBorder="0" applyAlignment="0" applyProtection="0"/>
    <xf numFmtId="0" fontId="22" fillId="36" borderId="0" applyNumberFormat="0" applyBorder="0" applyAlignment="0" applyProtection="0"/>
    <xf numFmtId="0" fontId="17" fillId="10" borderId="9" applyNumberFormat="0" applyAlignment="0" applyProtection="0"/>
    <xf numFmtId="0" fontId="19" fillId="11" borderId="12" applyNumberFormat="0" applyAlignment="0" applyProtection="0"/>
    <xf numFmtId="0" fontId="22" fillId="13" borderId="0" applyNumberFormat="0" applyBorder="0" applyAlignment="0" applyProtection="0"/>
    <xf numFmtId="0" fontId="22" fillId="17" borderId="0" applyNumberFormat="0" applyBorder="0" applyAlignment="0" applyProtection="0"/>
    <xf numFmtId="0" fontId="22" fillId="21" borderId="0" applyNumberFormat="0" applyBorder="0" applyAlignment="0" applyProtection="0"/>
    <xf numFmtId="0" fontId="22" fillId="25" borderId="0" applyNumberFormat="0" applyBorder="0" applyAlignment="0" applyProtection="0"/>
    <xf numFmtId="0" fontId="22" fillId="29" borderId="0" applyNumberFormat="0" applyBorder="0" applyAlignment="0" applyProtection="0"/>
    <xf numFmtId="0" fontId="22" fillId="33" borderId="0" applyNumberFormat="0" applyBorder="0" applyAlignment="0" applyProtection="0"/>
    <xf numFmtId="0" fontId="12" fillId="6" borderId="0" applyNumberFormat="0" applyBorder="0" applyAlignment="0" applyProtection="0"/>
    <xf numFmtId="0" fontId="11" fillId="0" borderId="0" applyNumberFormat="0" applyFill="0" applyBorder="0" applyAlignment="0" applyProtection="0"/>
    <xf numFmtId="0" fontId="13" fillId="7" borderId="0" applyNumberFormat="0" applyBorder="0" applyAlignment="0" applyProtection="0"/>
    <xf numFmtId="0" fontId="15" fillId="9" borderId="9" applyNumberFormat="0" applyAlignment="0" applyProtection="0"/>
    <xf numFmtId="0" fontId="18" fillId="0" borderId="11" applyNumberFormat="0" applyFill="0" applyAlignment="0" applyProtection="0"/>
    <xf numFmtId="43" fontId="1" fillId="0" borderId="0" applyFont="0" applyFill="0" applyBorder="0" applyAlignment="0" applyProtection="0"/>
    <xf numFmtId="164" fontId="1" fillId="0" borderId="0" applyFont="0" applyFill="0" applyBorder="0" applyAlignment="0" applyProtection="0"/>
    <xf numFmtId="0" fontId="4" fillId="0" borderId="0"/>
    <xf numFmtId="0" fontId="1" fillId="12" borderId="13" applyNumberFormat="0" applyFont="0" applyAlignment="0" applyProtection="0"/>
    <xf numFmtId="0" fontId="16" fillId="10" borderId="10" applyNumberFormat="0" applyAlignment="0" applyProtection="0"/>
    <xf numFmtId="0" fontId="21" fillId="0" borderId="0" applyNumberFormat="0" applyFill="0" applyBorder="0" applyAlignment="0" applyProtection="0"/>
    <xf numFmtId="0" fontId="8" fillId="0" borderId="0" applyNumberFormat="0" applyFill="0" applyBorder="0" applyAlignment="0" applyProtection="0"/>
    <xf numFmtId="0" fontId="9" fillId="0" borderId="6" applyNumberFormat="0" applyFill="0" applyAlignment="0" applyProtection="0"/>
    <xf numFmtId="0" fontId="10" fillId="0" borderId="7" applyNumberFormat="0" applyFill="0" applyAlignment="0" applyProtection="0"/>
    <xf numFmtId="0" fontId="11" fillId="0" borderId="8" applyNumberFormat="0" applyFill="0" applyAlignment="0" applyProtection="0"/>
    <xf numFmtId="0" fontId="20" fillId="0" borderId="0" applyNumberFormat="0" applyFill="0" applyBorder="0" applyAlignment="0" applyProtection="0"/>
    <xf numFmtId="0" fontId="8" fillId="0" borderId="0" applyNumberFormat="0" applyFill="0" applyBorder="0" applyAlignment="0" applyProtection="0"/>
    <xf numFmtId="0" fontId="9" fillId="0" borderId="6" applyNumberFormat="0" applyFill="0" applyAlignment="0" applyProtection="0"/>
    <xf numFmtId="0" fontId="10" fillId="0" borderId="7" applyNumberFormat="0" applyFill="0" applyAlignment="0" applyProtection="0"/>
    <xf numFmtId="0" fontId="11" fillId="0" borderId="8" applyNumberFormat="0" applyFill="0" applyAlignment="0" applyProtection="0"/>
    <xf numFmtId="0" fontId="13" fillId="7" borderId="0" applyNumberFormat="0" applyBorder="0" applyAlignment="0" applyProtection="0"/>
    <xf numFmtId="0" fontId="16" fillId="10" borderId="10" applyNumberFormat="0" applyAlignment="0" applyProtection="0"/>
    <xf numFmtId="0" fontId="17" fillId="10" borderId="9" applyNumberFormat="0" applyAlignment="0" applyProtection="0"/>
    <xf numFmtId="0" fontId="21" fillId="0" borderId="0" applyNumberFormat="0" applyFill="0" applyBorder="0" applyAlignment="0" applyProtection="0"/>
    <xf numFmtId="0" fontId="22"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2" fillId="20" borderId="0" applyNumberFormat="0" applyBorder="0" applyAlignment="0" applyProtection="0"/>
    <xf numFmtId="0" fontId="22"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2" fillId="24" borderId="0" applyNumberFormat="0" applyBorder="0" applyAlignment="0" applyProtection="0"/>
    <xf numFmtId="0" fontId="22"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2" fillId="28" borderId="0" applyNumberFormat="0" applyBorder="0" applyAlignment="0" applyProtection="0"/>
    <xf numFmtId="0" fontId="22"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2" fillId="32" borderId="0" applyNumberFormat="0" applyBorder="0" applyAlignment="0" applyProtection="0"/>
    <xf numFmtId="0" fontId="22"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2" fillId="36" borderId="0" applyNumberFormat="0" applyBorder="0" applyAlignment="0" applyProtection="0"/>
    <xf numFmtId="0" fontId="6" fillId="0" borderId="0"/>
    <xf numFmtId="0" fontId="4" fillId="41"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3" borderId="0" applyNumberFormat="0" applyBorder="0" applyAlignment="0" applyProtection="0"/>
    <xf numFmtId="0" fontId="4" fillId="45" borderId="0" applyNumberFormat="0" applyBorder="0" applyAlignment="0" applyProtection="0"/>
    <xf numFmtId="0" fontId="4" fillId="42"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45" borderId="0" applyNumberFormat="0" applyBorder="0" applyAlignment="0" applyProtection="0"/>
    <xf numFmtId="0" fontId="4" fillId="43" borderId="0" applyNumberFormat="0" applyBorder="0" applyAlignment="0" applyProtection="0"/>
    <xf numFmtId="0" fontId="29" fillId="45" borderId="0" applyNumberFormat="0" applyBorder="0" applyAlignment="0" applyProtection="0"/>
    <xf numFmtId="0" fontId="29" fillId="48" borderId="0" applyNumberFormat="0" applyBorder="0" applyAlignment="0" applyProtection="0"/>
    <xf numFmtId="0" fontId="29" fillId="49" borderId="0" applyNumberFormat="0" applyBorder="0" applyAlignment="0" applyProtection="0"/>
    <xf numFmtId="0" fontId="29" fillId="47" borderId="0" applyNumberFormat="0" applyBorder="0" applyAlignment="0" applyProtection="0"/>
    <xf numFmtId="0" fontId="29" fillId="45" borderId="0" applyNumberFormat="0" applyBorder="0" applyAlignment="0" applyProtection="0"/>
    <xf numFmtId="0" fontId="29" fillId="42" borderId="0" applyNumberFormat="0" applyBorder="0" applyAlignment="0" applyProtection="0"/>
    <xf numFmtId="0" fontId="30" fillId="45" borderId="0" applyNumberFormat="0" applyBorder="0" applyAlignment="0" applyProtection="0"/>
    <xf numFmtId="0" fontId="31" fillId="50" borderId="27" applyNumberFormat="0" applyAlignment="0" applyProtection="0"/>
    <xf numFmtId="0" fontId="32" fillId="51" borderId="28" applyNumberFormat="0" applyAlignment="0" applyProtection="0"/>
    <xf numFmtId="0" fontId="33" fillId="0" borderId="29" applyNumberFormat="0" applyFill="0" applyAlignment="0" applyProtection="0"/>
    <xf numFmtId="0" fontId="34" fillId="0" borderId="0" applyNumberFormat="0" applyFill="0" applyBorder="0" applyAlignment="0" applyProtection="0"/>
    <xf numFmtId="0" fontId="29" fillId="52" borderId="0" applyNumberFormat="0" applyBorder="0" applyAlignment="0" applyProtection="0"/>
    <xf numFmtId="0" fontId="29" fillId="48" borderId="0" applyNumberFormat="0" applyBorder="0" applyAlignment="0" applyProtection="0"/>
    <xf numFmtId="0" fontId="29" fillId="49" borderId="0" applyNumberFormat="0" applyBorder="0" applyAlignment="0" applyProtection="0"/>
    <xf numFmtId="0" fontId="29" fillId="53" borderId="0" applyNumberFormat="0" applyBorder="0" applyAlignment="0" applyProtection="0"/>
    <xf numFmtId="0" fontId="29" fillId="54" borderId="0" applyNumberFormat="0" applyBorder="0" applyAlignment="0" applyProtection="0"/>
    <xf numFmtId="0" fontId="29" fillId="55" borderId="0" applyNumberFormat="0" applyBorder="0" applyAlignment="0" applyProtection="0"/>
    <xf numFmtId="0" fontId="35" fillId="46" borderId="27" applyNumberFormat="0" applyAlignment="0" applyProtection="0"/>
    <xf numFmtId="0" fontId="2" fillId="0" borderId="0">
      <alignment vertical="top"/>
    </xf>
    <xf numFmtId="0" fontId="2" fillId="0" borderId="0">
      <alignment vertical="top"/>
    </xf>
    <xf numFmtId="0" fontId="2" fillId="0" borderId="0">
      <alignment vertical="top"/>
    </xf>
    <xf numFmtId="0"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0" fontId="6" fillId="0" borderId="0" applyFont="0" applyFill="0" applyBorder="0" applyAlignment="0" applyProtection="0"/>
    <xf numFmtId="0" fontId="6" fillId="0" borderId="0" applyFont="0" applyFill="0" applyBorder="0" applyAlignment="0" applyProtection="0"/>
    <xf numFmtId="0" fontId="6" fillId="0" borderId="0" applyFont="0" applyFill="0" applyBorder="0" applyAlignment="0" applyProtection="0"/>
    <xf numFmtId="0" fontId="6" fillId="0" borderId="0" applyFont="0" applyFill="0" applyBorder="0" applyAlignment="0" applyProtection="0"/>
    <xf numFmtId="0" fontId="6" fillId="0" borderId="0" applyFont="0" applyFill="0" applyBorder="0" applyAlignment="0" applyProtection="0"/>
    <xf numFmtId="0" fontId="6" fillId="0" borderId="0" applyFont="0" applyFill="0" applyBorder="0" applyAlignment="0" applyProtection="0"/>
    <xf numFmtId="0" fontId="6" fillId="0" borderId="0" applyFont="0" applyFill="0" applyBorder="0" applyAlignment="0" applyProtection="0"/>
    <xf numFmtId="0" fontId="6" fillId="0" borderId="0" applyFont="0" applyFill="0" applyBorder="0" applyAlignment="0" applyProtection="0"/>
    <xf numFmtId="0" fontId="6" fillId="0" borderId="0" applyFont="0" applyFill="0" applyBorder="0" applyAlignment="0" applyProtection="0"/>
    <xf numFmtId="176" fontId="6" fillId="0" borderId="0" applyFont="0" applyFill="0" applyBorder="0" applyAlignment="0" applyProtection="0"/>
    <xf numFmtId="0" fontId="28" fillId="0" borderId="0" applyNumberFormat="0" applyFill="0" applyBorder="0" applyAlignment="0" applyProtection="0">
      <alignment vertical="top"/>
      <protection locked="0"/>
    </xf>
    <xf numFmtId="0" fontId="36" fillId="56"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6" fillId="0" borderId="0" applyFont="0" applyFill="0" applyBorder="0" applyAlignment="0" applyProtection="0"/>
    <xf numFmtId="177" fontId="6" fillId="0" borderId="0" applyFont="0" applyFill="0" applyBorder="0" applyAlignment="0" applyProtection="0"/>
    <xf numFmtId="177" fontId="6" fillId="0" borderId="0" applyFont="0" applyFill="0" applyBorder="0" applyAlignment="0" applyProtection="0"/>
    <xf numFmtId="177" fontId="6" fillId="0" borderId="0" applyFont="0" applyFill="0" applyBorder="0" applyAlignment="0" applyProtection="0"/>
    <xf numFmtId="177" fontId="6" fillId="0" borderId="0" applyFont="0" applyFill="0" applyBorder="0" applyAlignment="0" applyProtection="0"/>
    <xf numFmtId="177" fontId="6" fillId="0" borderId="0" applyFont="0" applyFill="0" applyBorder="0" applyAlignment="0" applyProtection="0"/>
    <xf numFmtId="177" fontId="6" fillId="0" borderId="0" applyFont="0" applyFill="0" applyBorder="0" applyAlignment="0" applyProtection="0"/>
    <xf numFmtId="177" fontId="6" fillId="0" borderId="0" applyFont="0" applyFill="0" applyBorder="0" applyAlignment="0" applyProtection="0"/>
    <xf numFmtId="177" fontId="6" fillId="0" borderId="0" applyFont="0" applyFill="0" applyBorder="0" applyAlignment="0" applyProtection="0"/>
    <xf numFmtId="177" fontId="6" fillId="0" borderId="0" applyFont="0" applyFill="0" applyBorder="0" applyAlignment="0" applyProtection="0"/>
    <xf numFmtId="177" fontId="6" fillId="0" borderId="0" applyFont="0" applyFill="0" applyBorder="0" applyAlignment="0" applyProtection="0"/>
    <xf numFmtId="177" fontId="6" fillId="0" borderId="0" applyFont="0" applyFill="0" applyBorder="0" applyAlignment="0" applyProtection="0"/>
    <xf numFmtId="177"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0" fontId="37" fillId="46" borderId="0" applyNumberFormat="0" applyBorder="0" applyAlignment="0" applyProtection="0"/>
    <xf numFmtId="0" fontId="6" fillId="0" borderId="0"/>
    <xf numFmtId="0" fontId="6" fillId="43" borderId="20" applyNumberFormat="0" applyFont="0" applyAlignment="0" applyProtection="0"/>
    <xf numFmtId="0" fontId="6" fillId="43" borderId="20" applyNumberFormat="0" applyFont="0" applyAlignment="0" applyProtection="0"/>
    <xf numFmtId="0" fontId="6" fillId="43" borderId="20" applyNumberFormat="0" applyFont="0" applyAlignment="0" applyProtection="0"/>
    <xf numFmtId="0" fontId="6" fillId="43" borderId="20" applyNumberFormat="0" applyFont="0" applyAlignment="0" applyProtection="0"/>
    <xf numFmtId="0" fontId="6" fillId="43" borderId="20" applyNumberFormat="0" applyFont="0" applyAlignment="0" applyProtection="0"/>
    <xf numFmtId="0" fontId="6" fillId="43" borderId="20" applyNumberFormat="0" applyFont="0" applyAlignment="0" applyProtection="0"/>
    <xf numFmtId="0" fontId="6" fillId="43" borderId="20" applyNumberFormat="0" applyFont="0" applyAlignment="0" applyProtection="0"/>
    <xf numFmtId="0" fontId="6" fillId="43" borderId="20" applyNumberFormat="0" applyFont="0" applyAlignment="0" applyProtection="0"/>
    <xf numFmtId="0" fontId="6" fillId="43" borderId="20" applyNumberFormat="0" applyFont="0" applyAlignment="0" applyProtection="0"/>
    <xf numFmtId="0" fontId="6" fillId="43" borderId="20" applyNumberFormat="0" applyFont="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38" fillId="50" borderId="30" applyNumberFormat="0" applyAlignment="0" applyProtection="0"/>
    <xf numFmtId="0" fontId="33"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41" fillId="0" borderId="31" applyNumberFormat="0" applyFill="0" applyAlignment="0" applyProtection="0"/>
    <xf numFmtId="0" fontId="42" fillId="0" borderId="32" applyNumberFormat="0" applyFill="0" applyAlignment="0" applyProtection="0"/>
    <xf numFmtId="0" fontId="34" fillId="0" borderId="33" applyNumberFormat="0" applyFill="0" applyAlignment="0" applyProtection="0"/>
    <xf numFmtId="0" fontId="3" fillId="0" borderId="34" applyNumberFormat="0" applyFill="0" applyAlignment="0" applyProtection="0"/>
    <xf numFmtId="0" fontId="2" fillId="0" borderId="0">
      <alignment vertical="top"/>
    </xf>
    <xf numFmtId="164" fontId="4" fillId="0" borderId="0" applyFont="0" applyFill="0" applyBorder="0" applyAlignment="0" applyProtection="0"/>
    <xf numFmtId="165" fontId="1" fillId="0" borderId="0" applyFont="0" applyFill="0" applyBorder="0" applyAlignment="0" applyProtection="0"/>
    <xf numFmtId="0" fontId="2" fillId="0" borderId="0"/>
  </cellStyleXfs>
  <cellXfs count="174">
    <xf numFmtId="0" fontId="0" fillId="0" borderId="0" xfId="0"/>
    <xf numFmtId="4" fontId="4" fillId="0" borderId="2" xfId="2" applyNumberFormat="1" applyFont="1" applyBorder="1" applyAlignment="1">
      <alignment horizontal="right"/>
    </xf>
    <xf numFmtId="4" fontId="0" fillId="0" borderId="0" xfId="0" applyNumberFormat="1"/>
    <xf numFmtId="0" fontId="3" fillId="4" borderId="15" xfId="1" applyFont="1" applyFill="1" applyBorder="1" applyAlignment="1">
      <alignment horizontal="left"/>
    </xf>
    <xf numFmtId="0" fontId="3" fillId="2" borderId="16" xfId="1" applyFont="1" applyFill="1" applyBorder="1" applyAlignment="1">
      <alignment horizontal="center" vertical="center" wrapText="1"/>
    </xf>
    <xf numFmtId="164" fontId="0" fillId="0" borderId="0" xfId="55" applyFont="1"/>
    <xf numFmtId="0" fontId="3" fillId="2" borderId="1" xfId="1" applyFont="1" applyFill="1" applyBorder="1" applyAlignment="1">
      <alignment horizontal="center" wrapText="1"/>
    </xf>
    <xf numFmtId="164" fontId="3" fillId="2" borderId="1" xfId="55" applyFont="1" applyFill="1" applyBorder="1" applyAlignment="1">
      <alignment horizontal="center" wrapText="1"/>
    </xf>
    <xf numFmtId="0" fontId="0" fillId="3" borderId="0" xfId="0" applyFill="1"/>
    <xf numFmtId="0" fontId="24" fillId="39" borderId="18" xfId="1" applyFont="1" applyFill="1" applyBorder="1" applyAlignment="1">
      <alignment horizontal="center" wrapText="1"/>
    </xf>
    <xf numFmtId="0" fontId="23" fillId="0" borderId="0" xfId="12" applyFont="1"/>
    <xf numFmtId="168" fontId="23" fillId="0" borderId="0" xfId="12" applyNumberFormat="1" applyFont="1"/>
    <xf numFmtId="0" fontId="23" fillId="0" borderId="19" xfId="2" applyFont="1" applyBorder="1" applyAlignment="1">
      <alignment horizontal="right"/>
    </xf>
    <xf numFmtId="0" fontId="23" fillId="0" borderId="19" xfId="2" applyFont="1" applyBorder="1"/>
    <xf numFmtId="4" fontId="23" fillId="0" borderId="19" xfId="2" applyNumberFormat="1" applyFont="1" applyBorder="1" applyAlignment="1">
      <alignment horizontal="right"/>
    </xf>
    <xf numFmtId="14" fontId="23" fillId="0" borderId="19" xfId="2" applyNumberFormat="1" applyFont="1" applyBorder="1" applyAlignment="1">
      <alignment horizontal="right"/>
    </xf>
    <xf numFmtId="14" fontId="23" fillId="0" borderId="19" xfId="2" applyNumberFormat="1" applyFont="1" applyBorder="1" applyAlignment="1">
      <alignment horizontal="center"/>
    </xf>
    <xf numFmtId="0" fontId="4" fillId="0" borderId="0" xfId="12"/>
    <xf numFmtId="0" fontId="3" fillId="2" borderId="16" xfId="1" applyFont="1" applyFill="1" applyBorder="1" applyAlignment="1">
      <alignment horizontal="center"/>
    </xf>
    <xf numFmtId="164" fontId="23" fillId="0" borderId="0" xfId="55" applyFont="1"/>
    <xf numFmtId="0" fontId="3" fillId="2" borderId="25" xfId="1" applyFont="1" applyFill="1" applyBorder="1" applyAlignment="1">
      <alignment horizontal="center" vertical="center" wrapText="1"/>
    </xf>
    <xf numFmtId="164" fontId="3" fillId="2" borderId="25" xfId="55" applyFont="1" applyFill="1" applyBorder="1" applyAlignment="1">
      <alignment horizontal="center" vertical="center" wrapText="1"/>
    </xf>
    <xf numFmtId="0" fontId="3" fillId="2" borderId="25" xfId="1" applyFont="1" applyFill="1" applyBorder="1" applyAlignment="1">
      <alignment horizontal="center" wrapText="1"/>
    </xf>
    <xf numFmtId="0" fontId="3" fillId="40" borderId="15" xfId="1" applyFont="1" applyFill="1" applyBorder="1" applyAlignment="1">
      <alignment horizontal="left"/>
    </xf>
    <xf numFmtId="0" fontId="3" fillId="40" borderId="0" xfId="1" applyFont="1" applyFill="1" applyAlignment="1">
      <alignment horizontal="left"/>
    </xf>
    <xf numFmtId="164" fontId="0" fillId="0" borderId="0" xfId="0" applyNumberFormat="1"/>
    <xf numFmtId="4" fontId="25" fillId="0" borderId="0" xfId="0" applyNumberFormat="1" applyFont="1"/>
    <xf numFmtId="169" fontId="1" fillId="0" borderId="0" xfId="55" applyNumberFormat="1" applyFont="1" applyFill="1" applyAlignment="1">
      <alignment horizontal="center"/>
    </xf>
    <xf numFmtId="164" fontId="1" fillId="0" borderId="0" xfId="55" applyFont="1" applyFill="1"/>
    <xf numFmtId="170" fontId="0" fillId="0" borderId="0" xfId="0" applyNumberFormat="1" applyAlignment="1">
      <alignment horizontal="center"/>
    </xf>
    <xf numFmtId="164" fontId="1" fillId="0" borderId="0" xfId="55" applyFont="1"/>
    <xf numFmtId="0" fontId="26" fillId="0" borderId="0" xfId="0" applyFont="1"/>
    <xf numFmtId="0" fontId="3" fillId="2" borderId="16" xfId="1" applyFont="1" applyFill="1" applyBorder="1" applyAlignment="1">
      <alignment horizontal="center" wrapText="1"/>
    </xf>
    <xf numFmtId="14" fontId="4" fillId="0" borderId="20" xfId="2" applyNumberFormat="1" applyFont="1" applyBorder="1" applyAlignment="1">
      <alignment horizontal="right"/>
    </xf>
    <xf numFmtId="0" fontId="4" fillId="0" borderId="20" xfId="2" applyFont="1" applyBorder="1" applyAlignment="1">
      <alignment horizontal="center"/>
    </xf>
    <xf numFmtId="0" fontId="4" fillId="0" borderId="20" xfId="2" applyFont="1" applyBorder="1" applyAlignment="1">
      <alignment horizontal="right"/>
    </xf>
    <xf numFmtId="0" fontId="4" fillId="0" borderId="20" xfId="2" applyFont="1" applyBorder="1"/>
    <xf numFmtId="4" fontId="4" fillId="0" borderId="20" xfId="2" applyNumberFormat="1" applyFont="1" applyBorder="1" applyAlignment="1">
      <alignment horizontal="right"/>
    </xf>
    <xf numFmtId="0" fontId="27" fillId="2" borderId="25" xfId="1" applyFont="1" applyFill="1" applyBorder="1" applyAlignment="1">
      <alignment horizontal="center" wrapText="1"/>
    </xf>
    <xf numFmtId="0" fontId="27" fillId="2" borderId="16" xfId="1" applyFont="1" applyFill="1" applyBorder="1" applyAlignment="1">
      <alignment horizontal="center" wrapText="1"/>
    </xf>
    <xf numFmtId="0" fontId="23" fillId="0" borderId="0" xfId="0" applyFont="1"/>
    <xf numFmtId="4" fontId="4" fillId="0" borderId="26" xfId="2" applyNumberFormat="1" applyFont="1" applyBorder="1" applyAlignment="1">
      <alignment horizontal="right"/>
    </xf>
    <xf numFmtId="0" fontId="4" fillId="0" borderId="26" xfId="2" applyFont="1" applyBorder="1"/>
    <xf numFmtId="2" fontId="23" fillId="0" borderId="0" xfId="12" applyNumberFormat="1" applyFont="1"/>
    <xf numFmtId="0" fontId="0" fillId="0" borderId="0" xfId="0" applyAlignment="1">
      <alignment horizontal="center"/>
    </xf>
    <xf numFmtId="0" fontId="43" fillId="0" borderId="0" xfId="5" applyFont="1"/>
    <xf numFmtId="0" fontId="43" fillId="0" borderId="0" xfId="5" applyFont="1" applyAlignment="1">
      <alignment horizontal="left"/>
    </xf>
    <xf numFmtId="0" fontId="44" fillId="0" borderId="0" xfId="5" applyFont="1"/>
    <xf numFmtId="0" fontId="43" fillId="0" borderId="22" xfId="5" applyFont="1" applyBorder="1"/>
    <xf numFmtId="0" fontId="44" fillId="0" borderId="0" xfId="5" applyFont="1" applyAlignment="1">
      <alignment horizontal="left"/>
    </xf>
    <xf numFmtId="0" fontId="43" fillId="0" borderId="0" xfId="5" applyFont="1" applyAlignment="1">
      <alignment wrapText="1"/>
    </xf>
    <xf numFmtId="164" fontId="43" fillId="0" borderId="0" xfId="6" applyFont="1" applyFill="1"/>
    <xf numFmtId="4" fontId="43" fillId="0" borderId="0" xfId="6" applyNumberFormat="1" applyFont="1" applyFill="1"/>
    <xf numFmtId="0" fontId="43" fillId="0" borderId="4" xfId="5" applyFont="1" applyBorder="1"/>
    <xf numFmtId="164" fontId="43" fillId="0" borderId="4" xfId="6" applyFont="1" applyFill="1" applyBorder="1"/>
    <xf numFmtId="0" fontId="44" fillId="0" borderId="0" xfId="5" applyFont="1" applyAlignment="1">
      <alignment horizontal="right"/>
    </xf>
    <xf numFmtId="164" fontId="44" fillId="0" borderId="0" xfId="5" applyNumberFormat="1" applyFont="1"/>
    <xf numFmtId="164" fontId="44" fillId="0" borderId="22" xfId="5" applyNumberFormat="1" applyFont="1" applyBorder="1"/>
    <xf numFmtId="0" fontId="43" fillId="0" borderId="22" xfId="5" applyFont="1" applyBorder="1" applyAlignment="1">
      <alignment wrapText="1"/>
    </xf>
    <xf numFmtId="164" fontId="43" fillId="0" borderId="22" xfId="6" applyFont="1" applyFill="1" applyBorder="1"/>
    <xf numFmtId="4" fontId="43" fillId="0" borderId="4" xfId="5" applyNumberFormat="1" applyFont="1" applyBorder="1"/>
    <xf numFmtId="164" fontId="43" fillId="0" borderId="0" xfId="6" applyFont="1" applyFill="1" applyBorder="1"/>
    <xf numFmtId="164" fontId="43" fillId="0" borderId="23" xfId="6" applyFont="1" applyFill="1" applyBorder="1"/>
    <xf numFmtId="164" fontId="44" fillId="5" borderId="24" xfId="5" applyNumberFormat="1" applyFont="1" applyFill="1" applyBorder="1"/>
    <xf numFmtId="171" fontId="43" fillId="0" borderId="0" xfId="57" applyNumberFormat="1" applyFont="1" applyFill="1" applyBorder="1"/>
    <xf numFmtId="169" fontId="44" fillId="0" borderId="0" xfId="5" applyNumberFormat="1" applyFont="1"/>
    <xf numFmtId="173" fontId="43" fillId="0" borderId="0" xfId="5" applyNumberFormat="1" applyFont="1"/>
    <xf numFmtId="172" fontId="43" fillId="0" borderId="0" xfId="5" applyNumberFormat="1" applyFont="1" applyAlignment="1">
      <alignment wrapText="1"/>
    </xf>
    <xf numFmtId="172" fontId="43" fillId="0" borderId="0" xfId="5" applyNumberFormat="1" applyFont="1"/>
    <xf numFmtId="0" fontId="44" fillId="0" borderId="5" xfId="5" applyFont="1" applyBorder="1" applyAlignment="1">
      <alignment horizontal="right"/>
    </xf>
    <xf numFmtId="164" fontId="44" fillId="0" borderId="5" xfId="5" applyNumberFormat="1" applyFont="1" applyBorder="1"/>
    <xf numFmtId="164" fontId="44" fillId="0" borderId="35" xfId="5" applyNumberFormat="1" applyFont="1" applyBorder="1"/>
    <xf numFmtId="164" fontId="44" fillId="0" borderId="36" xfId="5" applyNumberFormat="1" applyFont="1" applyBorder="1"/>
    <xf numFmtId="164" fontId="44" fillId="5" borderId="3" xfId="5" applyNumberFormat="1" applyFont="1" applyFill="1" applyBorder="1"/>
    <xf numFmtId="0" fontId="43" fillId="0" borderId="0" xfId="55" applyNumberFormat="1" applyFont="1"/>
    <xf numFmtId="0" fontId="45" fillId="0" borderId="0" xfId="0" applyFont="1"/>
    <xf numFmtId="0" fontId="45" fillId="0" borderId="0" xfId="12" applyFont="1"/>
    <xf numFmtId="165" fontId="0" fillId="0" borderId="0" xfId="253" applyFont="1"/>
    <xf numFmtId="4" fontId="43" fillId="0" borderId="23" xfId="5" applyNumberFormat="1" applyFont="1" applyBorder="1"/>
    <xf numFmtId="0" fontId="23" fillId="0" borderId="36" xfId="2" applyFont="1" applyBorder="1" applyAlignment="1">
      <alignment horizontal="center"/>
    </xf>
    <xf numFmtId="4" fontId="23" fillId="0" borderId="36" xfId="2" applyNumberFormat="1" applyFont="1" applyBorder="1" applyAlignment="1">
      <alignment horizontal="center"/>
    </xf>
    <xf numFmtId="14" fontId="23" fillId="0" borderId="36" xfId="2" applyNumberFormat="1" applyFont="1" applyBorder="1" applyAlignment="1">
      <alignment horizontal="center"/>
    </xf>
    <xf numFmtId="0" fontId="23" fillId="5" borderId="36" xfId="2" applyFont="1" applyFill="1" applyBorder="1" applyAlignment="1">
      <alignment horizontal="center"/>
    </xf>
    <xf numFmtId="0" fontId="0" fillId="0" borderId="37" xfId="0" applyBorder="1" applyAlignment="1">
      <alignment horizontal="left"/>
    </xf>
    <xf numFmtId="0" fontId="0" fillId="0" borderId="26" xfId="0" applyBorder="1"/>
    <xf numFmtId="3" fontId="0" fillId="0" borderId="0" xfId="0" applyNumberFormat="1"/>
    <xf numFmtId="14" fontId="0" fillId="0" borderId="0" xfId="0" applyNumberFormat="1"/>
    <xf numFmtId="165" fontId="43" fillId="0" borderId="0" xfId="253" applyFont="1"/>
    <xf numFmtId="0" fontId="44" fillId="0" borderId="21" xfId="5" applyFont="1" applyBorder="1" applyAlignment="1">
      <alignment horizontal="center"/>
    </xf>
    <xf numFmtId="0" fontId="0" fillId="0" borderId="0" xfId="0" pivotButton="1"/>
    <xf numFmtId="165" fontId="0" fillId="0" borderId="0" xfId="0" applyNumberFormat="1"/>
    <xf numFmtId="0" fontId="7" fillId="57" borderId="0" xfId="0" applyFont="1" applyFill="1"/>
    <xf numFmtId="164" fontId="44" fillId="5" borderId="22" xfId="5" applyNumberFormat="1" applyFont="1" applyFill="1" applyBorder="1"/>
    <xf numFmtId="2" fontId="46" fillId="37" borderId="0" xfId="0" applyNumberFormat="1" applyFont="1" applyFill="1"/>
    <xf numFmtId="0" fontId="1" fillId="0" borderId="0" xfId="0" applyFont="1" applyAlignment="1">
      <alignment shrinkToFit="1"/>
    </xf>
    <xf numFmtId="0" fontId="1" fillId="0" borderId="0" xfId="0" applyFont="1"/>
    <xf numFmtId="4" fontId="1" fillId="0" borderId="0" xfId="0" applyNumberFormat="1" applyFont="1"/>
    <xf numFmtId="0" fontId="47" fillId="38" borderId="17" xfId="1" applyFont="1" applyFill="1" applyBorder="1" applyAlignment="1">
      <alignment horizontal="center" wrapText="1"/>
    </xf>
    <xf numFmtId="169" fontId="46" fillId="37" borderId="0" xfId="55" applyNumberFormat="1" applyFont="1" applyFill="1"/>
    <xf numFmtId="0" fontId="46" fillId="37" borderId="0" xfId="0" applyFont="1" applyFill="1"/>
    <xf numFmtId="0" fontId="46" fillId="37" borderId="0" xfId="12" applyFont="1" applyFill="1"/>
    <xf numFmtId="0" fontId="46" fillId="37" borderId="0" xfId="12" applyFont="1" applyFill="1" applyAlignment="1">
      <alignment horizontal="center"/>
    </xf>
    <xf numFmtId="169" fontId="1" fillId="0" borderId="0" xfId="89" applyNumberFormat="1" applyFont="1" applyFill="1" applyAlignment="1">
      <alignment horizontal="center"/>
    </xf>
    <xf numFmtId="43" fontId="1" fillId="0" borderId="0" xfId="89" applyFont="1"/>
    <xf numFmtId="1" fontId="0" fillId="0" borderId="0" xfId="0" applyNumberFormat="1"/>
    <xf numFmtId="0" fontId="0" fillId="0" borderId="0" xfId="0" applyAlignment="1">
      <alignment horizontal="left"/>
    </xf>
    <xf numFmtId="0" fontId="47" fillId="58" borderId="25" xfId="1" applyFont="1" applyFill="1" applyBorder="1" applyAlignment="1">
      <alignment horizontal="center" wrapText="1"/>
    </xf>
    <xf numFmtId="178" fontId="1" fillId="0" borderId="0" xfId="89" applyNumberFormat="1"/>
    <xf numFmtId="0" fontId="0" fillId="0" borderId="0" xfId="0" applyAlignment="1">
      <alignment shrinkToFit="1"/>
    </xf>
    <xf numFmtId="2" fontId="4" fillId="0" borderId="0" xfId="12" applyNumberFormat="1"/>
    <xf numFmtId="4" fontId="4" fillId="0" borderId="38" xfId="2" applyNumberFormat="1" applyFont="1" applyBorder="1" applyAlignment="1">
      <alignment horizontal="right"/>
    </xf>
    <xf numFmtId="0" fontId="48" fillId="59" borderId="40" xfId="1" applyFont="1" applyFill="1" applyBorder="1" applyAlignment="1">
      <alignment horizontal="center" vertical="center" wrapText="1"/>
    </xf>
    <xf numFmtId="2" fontId="48" fillId="59" borderId="40" xfId="1" applyNumberFormat="1" applyFont="1" applyFill="1" applyBorder="1" applyAlignment="1">
      <alignment horizontal="center" vertical="center" wrapText="1"/>
    </xf>
    <xf numFmtId="0" fontId="4" fillId="0" borderId="41" xfId="12" applyBorder="1"/>
    <xf numFmtId="2" fontId="4" fillId="0" borderId="41" xfId="12" applyNumberFormat="1" applyBorder="1"/>
    <xf numFmtId="0" fontId="0" fillId="0" borderId="41" xfId="0" applyBorder="1"/>
    <xf numFmtId="0" fontId="0" fillId="3" borderId="41" xfId="0" applyFill="1" applyBorder="1"/>
    <xf numFmtId="4" fontId="4" fillId="0" borderId="41" xfId="2" applyNumberFormat="1" applyFont="1" applyBorder="1" applyAlignment="1">
      <alignment horizontal="right"/>
    </xf>
    <xf numFmtId="2" fontId="0" fillId="0" borderId="41" xfId="0" applyNumberFormat="1" applyBorder="1"/>
    <xf numFmtId="4" fontId="4" fillId="0" borderId="42" xfId="2" applyNumberFormat="1" applyFont="1" applyBorder="1" applyAlignment="1">
      <alignment horizontal="right"/>
    </xf>
    <xf numFmtId="0" fontId="4" fillId="0" borderId="42" xfId="12" applyBorder="1"/>
    <xf numFmtId="2" fontId="4" fillId="0" borderId="42" xfId="12" applyNumberFormat="1" applyBorder="1"/>
    <xf numFmtId="165" fontId="4" fillId="0" borderId="41" xfId="253" applyFont="1" applyBorder="1"/>
    <xf numFmtId="4" fontId="46" fillId="37" borderId="0" xfId="12" applyNumberFormat="1" applyFont="1" applyFill="1"/>
    <xf numFmtId="0" fontId="49" fillId="39" borderId="0" xfId="0" applyFont="1" applyFill="1" applyAlignment="1">
      <alignment horizontal="center"/>
    </xf>
    <xf numFmtId="43" fontId="1" fillId="0" borderId="0" xfId="89"/>
    <xf numFmtId="164" fontId="46" fillId="37" borderId="0" xfId="55" applyFont="1" applyFill="1"/>
    <xf numFmtId="0" fontId="3" fillId="2" borderId="44" xfId="1" applyFont="1" applyFill="1" applyBorder="1" applyAlignment="1">
      <alignment horizontal="center" wrapText="1"/>
    </xf>
    <xf numFmtId="14" fontId="48" fillId="59" borderId="39" xfId="1" applyNumberFormat="1" applyFont="1" applyFill="1" applyBorder="1" applyAlignment="1">
      <alignment horizontal="center" vertical="center" wrapText="1"/>
    </xf>
    <xf numFmtId="14" fontId="3" fillId="2" borderId="43" xfId="1" applyNumberFormat="1" applyFont="1" applyFill="1" applyBorder="1" applyAlignment="1">
      <alignment horizontal="center" wrapText="1"/>
    </xf>
    <xf numFmtId="14" fontId="4" fillId="0" borderId="0" xfId="12" applyNumberFormat="1"/>
    <xf numFmtId="14" fontId="48" fillId="59" borderId="40" xfId="1" applyNumberFormat="1" applyFont="1" applyFill="1" applyBorder="1" applyAlignment="1">
      <alignment horizontal="center" vertical="center" wrapText="1"/>
    </xf>
    <xf numFmtId="14" fontId="3" fillId="2" borderId="44" xfId="1" applyNumberFormat="1" applyFont="1" applyFill="1" applyBorder="1" applyAlignment="1">
      <alignment horizontal="center" wrapText="1"/>
    </xf>
    <xf numFmtId="2" fontId="3" fillId="2" borderId="44" xfId="1" applyNumberFormat="1" applyFont="1" applyFill="1" applyBorder="1" applyAlignment="1">
      <alignment horizontal="center" wrapText="1"/>
    </xf>
    <xf numFmtId="2" fontId="4" fillId="0" borderId="20" xfId="2" applyNumberFormat="1" applyFont="1" applyBorder="1" applyAlignment="1">
      <alignment horizontal="center"/>
    </xf>
    <xf numFmtId="4" fontId="4" fillId="0" borderId="0" xfId="56" applyNumberFormat="1" applyFont="1" applyAlignment="1">
      <alignment horizontal="right"/>
    </xf>
    <xf numFmtId="0" fontId="50" fillId="2" borderId="0" xfId="56" applyFont="1" applyFill="1" applyAlignment="1">
      <alignment horizontal="center" vertical="center"/>
    </xf>
    <xf numFmtId="0" fontId="50" fillId="2" borderId="0" xfId="254" applyFont="1" applyFill="1" applyAlignment="1">
      <alignment horizontal="center" vertical="center"/>
    </xf>
    <xf numFmtId="4" fontId="0" fillId="5" borderId="0" xfId="0" applyNumberFormat="1" applyFill="1"/>
    <xf numFmtId="0" fontId="4" fillId="0" borderId="0" xfId="56" applyFont="1"/>
    <xf numFmtId="0" fontId="50" fillId="2" borderId="0" xfId="56" applyFont="1" applyFill="1" applyAlignment="1">
      <alignment horizontal="center" vertical="center" wrapText="1"/>
    </xf>
    <xf numFmtId="0" fontId="50" fillId="60" borderId="0" xfId="56" applyFont="1" applyFill="1" applyAlignment="1">
      <alignment horizontal="center" vertical="center"/>
    </xf>
    <xf numFmtId="14" fontId="3" fillId="2" borderId="25" xfId="1" applyNumberFormat="1" applyFont="1" applyFill="1" applyBorder="1" applyAlignment="1">
      <alignment horizontal="center" wrapText="1"/>
    </xf>
    <xf numFmtId="0" fontId="0" fillId="0" borderId="0" xfId="0" applyAlignment="1">
      <alignment horizontal="left" indent="1"/>
    </xf>
    <xf numFmtId="4" fontId="4" fillId="0" borderId="0" xfId="2" applyNumberFormat="1" applyFont="1" applyAlignment="1">
      <alignment horizontal="right"/>
    </xf>
    <xf numFmtId="0" fontId="4" fillId="0" borderId="26" xfId="12" applyBorder="1"/>
    <xf numFmtId="0" fontId="0" fillId="0" borderId="42" xfId="0" applyBorder="1"/>
    <xf numFmtId="0" fontId="0" fillId="0" borderId="45" xfId="0" applyBorder="1"/>
    <xf numFmtId="14" fontId="4" fillId="0" borderId="0" xfId="56" applyNumberFormat="1" applyFont="1" applyAlignment="1">
      <alignment horizontal="right"/>
    </xf>
    <xf numFmtId="0" fontId="4" fillId="0" borderId="0" xfId="56" applyFont="1" applyAlignment="1">
      <alignment horizontal="right"/>
    </xf>
    <xf numFmtId="0" fontId="4" fillId="0" borderId="0" xfId="56" applyFont="1" applyAlignment="1">
      <alignment horizontal="center"/>
    </xf>
    <xf numFmtId="2" fontId="4" fillId="0" borderId="0" xfId="56" applyNumberFormat="1" applyFont="1" applyAlignment="1">
      <alignment horizontal="right"/>
    </xf>
    <xf numFmtId="14" fontId="0" fillId="61" borderId="0" xfId="0" applyNumberFormat="1" applyFill="1" applyAlignment="1">
      <alignment vertical="center"/>
    </xf>
    <xf numFmtId="0" fontId="0" fillId="61" borderId="0" xfId="0" applyFill="1"/>
    <xf numFmtId="14" fontId="0" fillId="0" borderId="0" xfId="0" applyNumberFormat="1" applyAlignment="1">
      <alignment vertical="center"/>
    </xf>
    <xf numFmtId="11" fontId="0" fillId="0" borderId="0" xfId="0" applyNumberFormat="1"/>
    <xf numFmtId="2" fontId="47" fillId="58" borderId="25" xfId="55" applyNumberFormat="1" applyFont="1" applyFill="1" applyBorder="1" applyAlignment="1">
      <alignment horizontal="center" wrapText="1"/>
    </xf>
    <xf numFmtId="2" fontId="0" fillId="0" borderId="0" xfId="55" applyNumberFormat="1" applyFont="1"/>
    <xf numFmtId="2" fontId="3" fillId="2" borderId="25" xfId="253" applyNumberFormat="1" applyFont="1" applyFill="1" applyBorder="1" applyAlignment="1">
      <alignment horizontal="center" wrapText="1"/>
    </xf>
    <xf numFmtId="2" fontId="4" fillId="0" borderId="0" xfId="253" applyNumberFormat="1" applyFont="1"/>
    <xf numFmtId="165" fontId="0" fillId="5" borderId="0" xfId="253" applyFont="1" applyFill="1"/>
    <xf numFmtId="171" fontId="43" fillId="0" borderId="0" xfId="5" applyNumberFormat="1" applyFont="1"/>
    <xf numFmtId="43" fontId="1" fillId="0" borderId="0" xfId="89" applyFont="1" applyFill="1"/>
    <xf numFmtId="179" fontId="0" fillId="0" borderId="0" xfId="0" applyNumberFormat="1"/>
    <xf numFmtId="43" fontId="0" fillId="0" borderId="0" xfId="0" applyNumberFormat="1"/>
    <xf numFmtId="0" fontId="44" fillId="0" borderId="46" xfId="5" applyFont="1" applyBorder="1" applyAlignment="1">
      <alignment horizontal="center"/>
    </xf>
    <xf numFmtId="4" fontId="43" fillId="0" borderId="22" xfId="6" applyNumberFormat="1" applyFont="1" applyFill="1" applyBorder="1"/>
    <xf numFmtId="0" fontId="0" fillId="0" borderId="47" xfId="0" applyBorder="1"/>
    <xf numFmtId="0" fontId="0" fillId="0" borderId="48" xfId="0" applyBorder="1"/>
    <xf numFmtId="0" fontId="0" fillId="0" borderId="49" xfId="0" applyBorder="1"/>
    <xf numFmtId="0" fontId="4" fillId="0" borderId="20" xfId="56" applyFont="1" applyBorder="1"/>
    <xf numFmtId="180" fontId="0" fillId="0" borderId="0" xfId="0" applyNumberFormat="1"/>
    <xf numFmtId="0" fontId="20" fillId="0" borderId="0" xfId="0" applyFont="1"/>
    <xf numFmtId="14" fontId="0" fillId="0" borderId="26" xfId="0" applyNumberFormat="1" applyBorder="1" applyAlignment="1">
      <alignment vertical="center"/>
    </xf>
  </cellXfs>
  <cellStyles count="255">
    <cellStyle name="20% - Accent1" xfId="109" builtinId="30" customBuiltin="1"/>
    <cellStyle name="20% - Accent1 2" xfId="23" xr:uid="{00000000-0005-0000-0000-000001000000}"/>
    <cellStyle name="20% - Accent2" xfId="113" builtinId="34" customBuiltin="1"/>
    <cellStyle name="20% - Accent2 2" xfId="24" xr:uid="{00000000-0005-0000-0000-000003000000}"/>
    <cellStyle name="20% - Accent3" xfId="117" builtinId="38" customBuiltin="1"/>
    <cellStyle name="20% - Accent3 2" xfId="25" xr:uid="{00000000-0005-0000-0000-000005000000}"/>
    <cellStyle name="20% - Accent4" xfId="121" builtinId="42" customBuiltin="1"/>
    <cellStyle name="20% - Accent4 2" xfId="26" xr:uid="{00000000-0005-0000-0000-000007000000}"/>
    <cellStyle name="20% - Accent5" xfId="125" builtinId="46" customBuiltin="1"/>
    <cellStyle name="20% - Accent5 2" xfId="27" xr:uid="{00000000-0005-0000-0000-000009000000}"/>
    <cellStyle name="20% - Accent6" xfId="129" builtinId="50" customBuiltin="1"/>
    <cellStyle name="20% - Accent6 2" xfId="28" xr:uid="{00000000-0005-0000-0000-00000B000000}"/>
    <cellStyle name="20% - Énfasis1" xfId="58" xr:uid="{00000000-0005-0000-0000-00000C000000}"/>
    <cellStyle name="20% - Énfasis1 2" xfId="133" xr:uid="{00000000-0005-0000-0000-00000D000000}"/>
    <cellStyle name="20% - Énfasis2" xfId="59" xr:uid="{00000000-0005-0000-0000-00000E000000}"/>
    <cellStyle name="20% - Énfasis2 2" xfId="134" xr:uid="{00000000-0005-0000-0000-00000F000000}"/>
    <cellStyle name="20% - Énfasis3" xfId="60" xr:uid="{00000000-0005-0000-0000-000010000000}"/>
    <cellStyle name="20% - Énfasis3 2" xfId="135" xr:uid="{00000000-0005-0000-0000-000011000000}"/>
    <cellStyle name="20% - Énfasis4" xfId="61" xr:uid="{00000000-0005-0000-0000-000012000000}"/>
    <cellStyle name="20% - Énfasis4 2" xfId="136" xr:uid="{00000000-0005-0000-0000-000013000000}"/>
    <cellStyle name="20% - Énfasis5" xfId="62" xr:uid="{00000000-0005-0000-0000-000014000000}"/>
    <cellStyle name="20% - Énfasis5 2" xfId="137" xr:uid="{00000000-0005-0000-0000-000015000000}"/>
    <cellStyle name="20% - Énfasis6" xfId="63" xr:uid="{00000000-0005-0000-0000-000016000000}"/>
    <cellStyle name="20% - Énfasis6 2" xfId="138" xr:uid="{00000000-0005-0000-0000-000017000000}"/>
    <cellStyle name="40% - Accent1" xfId="110" builtinId="31" customBuiltin="1"/>
    <cellStyle name="40% - Accent1 2" xfId="29" xr:uid="{00000000-0005-0000-0000-000019000000}"/>
    <cellStyle name="40% - Accent2" xfId="114" builtinId="35" customBuiltin="1"/>
    <cellStyle name="40% - Accent2 2" xfId="30" xr:uid="{00000000-0005-0000-0000-00001B000000}"/>
    <cellStyle name="40% - Accent3" xfId="118" builtinId="39" customBuiltin="1"/>
    <cellStyle name="40% - Accent3 2" xfId="31" xr:uid="{00000000-0005-0000-0000-00001D000000}"/>
    <cellStyle name="40% - Accent4" xfId="122" builtinId="43" customBuiltin="1"/>
    <cellStyle name="40% - Accent4 2" xfId="32" xr:uid="{00000000-0005-0000-0000-00001F000000}"/>
    <cellStyle name="40% - Accent5" xfId="126" builtinId="47" customBuiltin="1"/>
    <cellStyle name="40% - Accent5 2" xfId="33" xr:uid="{00000000-0005-0000-0000-000021000000}"/>
    <cellStyle name="40% - Accent6" xfId="130" builtinId="51" customBuiltin="1"/>
    <cellStyle name="40% - Accent6 2" xfId="34" xr:uid="{00000000-0005-0000-0000-000023000000}"/>
    <cellStyle name="40% - Énfasis1" xfId="64" xr:uid="{00000000-0005-0000-0000-000024000000}"/>
    <cellStyle name="40% - Énfasis1 2" xfId="139" xr:uid="{00000000-0005-0000-0000-000025000000}"/>
    <cellStyle name="40% - Énfasis2" xfId="65" xr:uid="{00000000-0005-0000-0000-000026000000}"/>
    <cellStyle name="40% - Énfasis2 2" xfId="140" xr:uid="{00000000-0005-0000-0000-000027000000}"/>
    <cellStyle name="40% - Énfasis3" xfId="66" xr:uid="{00000000-0005-0000-0000-000028000000}"/>
    <cellStyle name="40% - Énfasis3 2" xfId="141" xr:uid="{00000000-0005-0000-0000-000029000000}"/>
    <cellStyle name="40% - Énfasis4" xfId="67" xr:uid="{00000000-0005-0000-0000-00002A000000}"/>
    <cellStyle name="40% - Énfasis4 2" xfId="142" xr:uid="{00000000-0005-0000-0000-00002B000000}"/>
    <cellStyle name="40% - Énfasis5" xfId="68" xr:uid="{00000000-0005-0000-0000-00002C000000}"/>
    <cellStyle name="40% - Énfasis5 2" xfId="143" xr:uid="{00000000-0005-0000-0000-00002D000000}"/>
    <cellStyle name="40% - Énfasis6" xfId="69" xr:uid="{00000000-0005-0000-0000-00002E000000}"/>
    <cellStyle name="40% - Énfasis6 2" xfId="144" xr:uid="{00000000-0005-0000-0000-00002F000000}"/>
    <cellStyle name="60% - Accent1" xfId="111" builtinId="32" customBuiltin="1"/>
    <cellStyle name="60% - Accent1 2" xfId="35" xr:uid="{00000000-0005-0000-0000-000031000000}"/>
    <cellStyle name="60% - Accent2" xfId="115" builtinId="36" customBuiltin="1"/>
    <cellStyle name="60% - Accent2 2" xfId="36" xr:uid="{00000000-0005-0000-0000-000033000000}"/>
    <cellStyle name="60% - Accent3" xfId="119" builtinId="40" customBuiltin="1"/>
    <cellStyle name="60% - Accent3 2" xfId="37" xr:uid="{00000000-0005-0000-0000-000035000000}"/>
    <cellStyle name="60% - Accent4" xfId="123" builtinId="44" customBuiltin="1"/>
    <cellStyle name="60% - Accent4 2" xfId="38" xr:uid="{00000000-0005-0000-0000-000037000000}"/>
    <cellStyle name="60% - Accent5" xfId="127" builtinId="48" customBuiltin="1"/>
    <cellStyle name="60% - Accent5 2" xfId="39" xr:uid="{00000000-0005-0000-0000-000039000000}"/>
    <cellStyle name="60% - Accent6" xfId="131" builtinId="52" customBuiltin="1"/>
    <cellStyle name="60% - Accent6 2" xfId="40" xr:uid="{00000000-0005-0000-0000-00003B000000}"/>
    <cellStyle name="60% - Énfasis1" xfId="70" xr:uid="{00000000-0005-0000-0000-00003C000000}"/>
    <cellStyle name="60% - Énfasis1 2" xfId="145" xr:uid="{00000000-0005-0000-0000-00003D000000}"/>
    <cellStyle name="60% - Énfasis2" xfId="71" xr:uid="{00000000-0005-0000-0000-00003E000000}"/>
    <cellStyle name="60% - Énfasis2 2" xfId="146" xr:uid="{00000000-0005-0000-0000-00003F000000}"/>
    <cellStyle name="60% - Énfasis3" xfId="72" xr:uid="{00000000-0005-0000-0000-000040000000}"/>
    <cellStyle name="60% - Énfasis3 2" xfId="147" xr:uid="{00000000-0005-0000-0000-000041000000}"/>
    <cellStyle name="60% - Énfasis4" xfId="73" xr:uid="{00000000-0005-0000-0000-000042000000}"/>
    <cellStyle name="60% - Énfasis4 2" xfId="148" xr:uid="{00000000-0005-0000-0000-000043000000}"/>
    <cellStyle name="60% - Énfasis5" xfId="74" xr:uid="{00000000-0005-0000-0000-000044000000}"/>
    <cellStyle name="60% - Énfasis5 2" xfId="149" xr:uid="{00000000-0005-0000-0000-000045000000}"/>
    <cellStyle name="60% - Énfasis6" xfId="75" xr:uid="{00000000-0005-0000-0000-000046000000}"/>
    <cellStyle name="60% - Énfasis6 2" xfId="150" xr:uid="{00000000-0005-0000-0000-000047000000}"/>
    <cellStyle name="Accent1" xfId="108" builtinId="29" customBuiltin="1"/>
    <cellStyle name="Accent1 2" xfId="41" xr:uid="{00000000-0005-0000-0000-000049000000}"/>
    <cellStyle name="Accent2" xfId="112" builtinId="33" customBuiltin="1"/>
    <cellStyle name="Accent2 2" xfId="42" xr:uid="{00000000-0005-0000-0000-00004B000000}"/>
    <cellStyle name="Accent3" xfId="116" builtinId="37" customBuiltin="1"/>
    <cellStyle name="Accent3 2" xfId="43" xr:uid="{00000000-0005-0000-0000-00004D000000}"/>
    <cellStyle name="Accent4" xfId="120" builtinId="41" customBuiltin="1"/>
    <cellStyle name="Accent4 2" xfId="44" xr:uid="{00000000-0005-0000-0000-00004F000000}"/>
    <cellStyle name="Accent5" xfId="124" builtinId="45" customBuiltin="1"/>
    <cellStyle name="Accent5 2" xfId="45" xr:uid="{00000000-0005-0000-0000-000051000000}"/>
    <cellStyle name="Accent6" xfId="128" builtinId="49" customBuiltin="1"/>
    <cellStyle name="Accent6 2" xfId="46" xr:uid="{00000000-0005-0000-0000-000053000000}"/>
    <cellStyle name="Bad" xfId="104" builtinId="27" customBuiltin="1"/>
    <cellStyle name="Bad 2" xfId="47" xr:uid="{00000000-0005-0000-0000-000055000000}"/>
    <cellStyle name="Buena 2" xfId="151" xr:uid="{00000000-0005-0000-0000-000056000000}"/>
    <cellStyle name="Calculation" xfId="106" builtinId="22" customBuiltin="1"/>
    <cellStyle name="Calculation 2" xfId="48" xr:uid="{00000000-0005-0000-0000-000058000000}"/>
    <cellStyle name="Cálculo" xfId="76" xr:uid="{00000000-0005-0000-0000-000059000000}"/>
    <cellStyle name="Cálculo 2" xfId="152" xr:uid="{00000000-0005-0000-0000-00005A000000}"/>
    <cellStyle name="Celda de comprobación 2" xfId="153" xr:uid="{00000000-0005-0000-0000-00005B000000}"/>
    <cellStyle name="Celda vinculada 2" xfId="154" xr:uid="{00000000-0005-0000-0000-00005C000000}"/>
    <cellStyle name="Check Cell" xfId="19" builtinId="23" customBuiltin="1"/>
    <cellStyle name="Check Cell 2" xfId="77" xr:uid="{00000000-0005-0000-0000-00005E000000}"/>
    <cellStyle name="Comma" xfId="55" builtinId="3"/>
    <cellStyle name="Comma 2" xfId="6" xr:uid="{00000000-0005-0000-0000-000060000000}"/>
    <cellStyle name="Comma 3" xfId="8" xr:uid="{00000000-0005-0000-0000-000061000000}"/>
    <cellStyle name="Comma 4" xfId="89" xr:uid="{00000000-0005-0000-0000-000062000000}"/>
    <cellStyle name="Comma 5" xfId="252" xr:uid="{00000000-0005-0000-0000-000063000000}"/>
    <cellStyle name="Currency" xfId="253" builtinId="4"/>
    <cellStyle name="Encabezado 4 2" xfId="155" xr:uid="{00000000-0005-0000-0000-000065000000}"/>
    <cellStyle name="Énfasis1" xfId="78" xr:uid="{00000000-0005-0000-0000-000066000000}"/>
    <cellStyle name="Énfasis1 2" xfId="156" xr:uid="{00000000-0005-0000-0000-000067000000}"/>
    <cellStyle name="Énfasis2" xfId="79" xr:uid="{00000000-0005-0000-0000-000068000000}"/>
    <cellStyle name="Énfasis2 2" xfId="157" xr:uid="{00000000-0005-0000-0000-000069000000}"/>
    <cellStyle name="Énfasis3" xfId="80" xr:uid="{00000000-0005-0000-0000-00006A000000}"/>
    <cellStyle name="Énfasis3 2" xfId="158" xr:uid="{00000000-0005-0000-0000-00006B000000}"/>
    <cellStyle name="Énfasis4" xfId="81" xr:uid="{00000000-0005-0000-0000-00006C000000}"/>
    <cellStyle name="Énfasis4 2" xfId="159" xr:uid="{00000000-0005-0000-0000-00006D000000}"/>
    <cellStyle name="Énfasis5" xfId="82" xr:uid="{00000000-0005-0000-0000-00006E000000}"/>
    <cellStyle name="Énfasis5 2" xfId="160" xr:uid="{00000000-0005-0000-0000-00006F000000}"/>
    <cellStyle name="Énfasis6" xfId="83" xr:uid="{00000000-0005-0000-0000-000070000000}"/>
    <cellStyle name="Énfasis6 2" xfId="161" xr:uid="{00000000-0005-0000-0000-000071000000}"/>
    <cellStyle name="Entrada 2" xfId="162" xr:uid="{00000000-0005-0000-0000-000072000000}"/>
    <cellStyle name="Estilo 1" xfId="163" xr:uid="{00000000-0005-0000-0000-000073000000}"/>
    <cellStyle name="Estilo 1 2" xfId="164" xr:uid="{00000000-0005-0000-0000-000074000000}"/>
    <cellStyle name="Estilo 1 3" xfId="165" xr:uid="{00000000-0005-0000-0000-000075000000}"/>
    <cellStyle name="Euro" xfId="10" xr:uid="{00000000-0005-0000-0000-000076000000}"/>
    <cellStyle name="Euro 2" xfId="167" xr:uid="{00000000-0005-0000-0000-000077000000}"/>
    <cellStyle name="Euro 2 2" xfId="168" xr:uid="{00000000-0005-0000-0000-000078000000}"/>
    <cellStyle name="Euro 2 2 2" xfId="169" xr:uid="{00000000-0005-0000-0000-000079000000}"/>
    <cellStyle name="Euro 2 3" xfId="170" xr:uid="{00000000-0005-0000-0000-00007A000000}"/>
    <cellStyle name="Euro 2 4" xfId="171" xr:uid="{00000000-0005-0000-0000-00007B000000}"/>
    <cellStyle name="Euro 2 4 2" xfId="172" xr:uid="{00000000-0005-0000-0000-00007C000000}"/>
    <cellStyle name="Euro 2 5" xfId="173" xr:uid="{00000000-0005-0000-0000-00007D000000}"/>
    <cellStyle name="Euro 2 5 2" xfId="174" xr:uid="{00000000-0005-0000-0000-00007E000000}"/>
    <cellStyle name="Euro 2 6" xfId="175" xr:uid="{00000000-0005-0000-0000-00007F000000}"/>
    <cellStyle name="Euro 2 6 2" xfId="176" xr:uid="{00000000-0005-0000-0000-000080000000}"/>
    <cellStyle name="Euro 3" xfId="177" xr:uid="{00000000-0005-0000-0000-000081000000}"/>
    <cellStyle name="Euro 3 2" xfId="178" xr:uid="{00000000-0005-0000-0000-000082000000}"/>
    <cellStyle name="Euro 4" xfId="179" xr:uid="{00000000-0005-0000-0000-000083000000}"/>
    <cellStyle name="Euro 5" xfId="180" xr:uid="{00000000-0005-0000-0000-000084000000}"/>
    <cellStyle name="Euro 5 2" xfId="181" xr:uid="{00000000-0005-0000-0000-000085000000}"/>
    <cellStyle name="Euro 6" xfId="182" xr:uid="{00000000-0005-0000-0000-000086000000}"/>
    <cellStyle name="Euro 6 2" xfId="183" xr:uid="{00000000-0005-0000-0000-000087000000}"/>
    <cellStyle name="Euro 7" xfId="184" xr:uid="{00000000-0005-0000-0000-000088000000}"/>
    <cellStyle name="Euro 7 2" xfId="185" xr:uid="{00000000-0005-0000-0000-000089000000}"/>
    <cellStyle name="Euro 8" xfId="166" xr:uid="{00000000-0005-0000-0000-00008A000000}"/>
    <cellStyle name="Euro_P&amp;LOpdelDia" xfId="186" xr:uid="{00000000-0005-0000-0000-00008B000000}"/>
    <cellStyle name="Explanatory Text" xfId="107" builtinId="53" customBuiltin="1"/>
    <cellStyle name="Explanatory Text 2" xfId="49" xr:uid="{00000000-0005-0000-0000-00008D000000}"/>
    <cellStyle name="Good" xfId="15" builtinId="26" customBuiltin="1"/>
    <cellStyle name="Good 2" xfId="84" xr:uid="{00000000-0005-0000-0000-00008F000000}"/>
    <cellStyle name="Heading 1" xfId="101" builtinId="16" customBuiltin="1"/>
    <cellStyle name="Heading 1 2" xfId="50" xr:uid="{00000000-0005-0000-0000-000091000000}"/>
    <cellStyle name="Heading 2" xfId="102" builtinId="17" customBuiltin="1"/>
    <cellStyle name="Heading 2 2" xfId="51" xr:uid="{00000000-0005-0000-0000-000093000000}"/>
    <cellStyle name="Heading 3" xfId="103" builtinId="18" customBuiltin="1"/>
    <cellStyle name="Heading 3 2" xfId="52" xr:uid="{00000000-0005-0000-0000-000095000000}"/>
    <cellStyle name="Heading 4" xfId="14" builtinId="19" customBuiltin="1"/>
    <cellStyle name="Heading 4 2" xfId="85" xr:uid="{00000000-0005-0000-0000-000097000000}"/>
    <cellStyle name="Hyperlink" xfId="187" xr:uid="{00000000-0005-0000-0000-000098000000}"/>
    <cellStyle name="Incorrecto" xfId="86" xr:uid="{00000000-0005-0000-0000-000099000000}"/>
    <cellStyle name="Incorrecto 2" xfId="188" xr:uid="{00000000-0005-0000-0000-00009A000000}"/>
    <cellStyle name="Input" xfId="17" builtinId="20" customBuiltin="1"/>
    <cellStyle name="Input 2" xfId="87" xr:uid="{00000000-0005-0000-0000-00009C000000}"/>
    <cellStyle name="l]_x000d__x000a_Path=M:\RIOCEN01_x000d__x000a_Name=Carlos Emilio Brousse_x000d__x000a_DDAApps=nsf,nsg,nsh,jtf,ns2,ors,org_x000d__x000a_SmartIcons=Todos_x000d__x000a_" xfId="189" xr:uid="{00000000-0005-0000-0000-00009D000000}"/>
    <cellStyle name="l]_x000d__x000a_Path=M:\RIOCEN01_x000d__x000a_Name=Carlos Emilio Brousse_x000d__x000a_DDAApps=nsf,nsg,nsh,jtf,ns2,ors,org_x000d__x000a_SmartIcons=Todos_x000d__x000a_ 2" xfId="190" xr:uid="{00000000-0005-0000-0000-00009E000000}"/>
    <cellStyle name="l]_x000d__x000a_Path=M:\RIOCEN01_x000d__x000a_Name=Carlos Emilio Brousse_x000d__x000a_DDAApps=nsf,nsg,nsh,jtf,ns2,ors,org_x000d__x000a_SmartIcons=Todos_x000d__x000a_ 2 2" xfId="191" xr:uid="{00000000-0005-0000-0000-00009F000000}"/>
    <cellStyle name="l]_x000d__x000a_Path=M:\RIOCEN01_x000d__x000a_Name=Carlos Emilio Brousse_x000d__x000a_DDAApps=nsf,nsg,nsh,jtf,ns2,ors,org_x000d__x000a_SmartIcons=Todos_x000d__x000a_ 3" xfId="192" xr:uid="{00000000-0005-0000-0000-0000A0000000}"/>
    <cellStyle name="l]_x000d__x000a_Path=M:\RIOCEN01_x000d__x000a_Name=Carlos Emilio Brousse_x000d__x000a_DDAApps=nsf,nsg,nsh,jtf,ns2,ors,org_x000d__x000a_SmartIcons=Todos_x000d__x000a_ 4" xfId="193" xr:uid="{00000000-0005-0000-0000-0000A1000000}"/>
    <cellStyle name="l]_x000d__x000a_Path=M:\RIOCEN01_x000d__x000a_Name=Carlos Emilio Brousse_x000d__x000a_DDAApps=nsf,nsg,nsh,jtf,ns2,ors,org_x000d__x000a_SmartIcons=Todos_x000d__x000a_ 4 2" xfId="194" xr:uid="{00000000-0005-0000-0000-0000A2000000}"/>
    <cellStyle name="l]_x000d__x000a_Path=M:\RIOCEN01_x000d__x000a_Name=Carlos Emilio Brousse_x000d__x000a_DDAApps=nsf,nsg,nsh,jtf,ns2,ors,org_x000d__x000a_SmartIcons=Todos_x000d__x000a_ 5" xfId="195" xr:uid="{00000000-0005-0000-0000-0000A3000000}"/>
    <cellStyle name="l]_x000d__x000a_Path=M:\RIOCEN01_x000d__x000a_Name=Carlos Emilio Brousse_x000d__x000a_DDAApps=nsf,nsg,nsh,jtf,ns2,ors,org_x000d__x000a_SmartIcons=Todos_x000d__x000a_ 5 2" xfId="196" xr:uid="{00000000-0005-0000-0000-0000A4000000}"/>
    <cellStyle name="l]_x000d__x000a_Path=M:\RIOCEN01_x000d__x000a_Name=Carlos Emilio Brousse_x000d__x000a_DDAApps=nsf,nsg,nsh,jtf,ns2,ors,org_x000d__x000a_SmartIcons=Todos_x000d__x000a_ 6" xfId="197" xr:uid="{00000000-0005-0000-0000-0000A5000000}"/>
    <cellStyle name="l]_x000d__x000a_Path=M:\RIOCEN01_x000d__x000a_Name=Carlos Emilio Brousse_x000d__x000a_DDAApps=nsf,nsg,nsh,jtf,ns2,ors,org_x000d__x000a_SmartIcons=Todos_x000d__x000a_ 6 2" xfId="198" xr:uid="{00000000-0005-0000-0000-0000A6000000}"/>
    <cellStyle name="Linked Cell" xfId="18" builtinId="24" customBuiltin="1"/>
    <cellStyle name="Linked Cell 2" xfId="88" xr:uid="{00000000-0005-0000-0000-0000A8000000}"/>
    <cellStyle name="Millares 2" xfId="4" xr:uid="{00000000-0005-0000-0000-0000A9000000}"/>
    <cellStyle name="Millares 2 2" xfId="90" xr:uid="{00000000-0005-0000-0000-0000AA000000}"/>
    <cellStyle name="Millares 2 2 2" xfId="202" xr:uid="{00000000-0005-0000-0000-0000AB000000}"/>
    <cellStyle name="Millares 2 2 3" xfId="201" xr:uid="{00000000-0005-0000-0000-0000AC000000}"/>
    <cellStyle name="Millares 2 3" xfId="203" xr:uid="{00000000-0005-0000-0000-0000AD000000}"/>
    <cellStyle name="Millares 2 4" xfId="204" xr:uid="{00000000-0005-0000-0000-0000AE000000}"/>
    <cellStyle name="Millares 2 4 2" xfId="205" xr:uid="{00000000-0005-0000-0000-0000AF000000}"/>
    <cellStyle name="Millares 2 5" xfId="206" xr:uid="{00000000-0005-0000-0000-0000B0000000}"/>
    <cellStyle name="Millares 2 5 2" xfId="207" xr:uid="{00000000-0005-0000-0000-0000B1000000}"/>
    <cellStyle name="Millares 2 6" xfId="208" xr:uid="{00000000-0005-0000-0000-0000B2000000}"/>
    <cellStyle name="Millares 2 6 2" xfId="209" xr:uid="{00000000-0005-0000-0000-0000B3000000}"/>
    <cellStyle name="Millares 2 7" xfId="200" xr:uid="{00000000-0005-0000-0000-0000B4000000}"/>
    <cellStyle name="Millares 3" xfId="11" xr:uid="{00000000-0005-0000-0000-0000B5000000}"/>
    <cellStyle name="Millares 3 2" xfId="211" xr:uid="{00000000-0005-0000-0000-0000B6000000}"/>
    <cellStyle name="Millares 3 3" xfId="210" xr:uid="{00000000-0005-0000-0000-0000B7000000}"/>
    <cellStyle name="Millares 4" xfId="212" xr:uid="{00000000-0005-0000-0000-0000B8000000}"/>
    <cellStyle name="Millares 4 2" xfId="213" xr:uid="{00000000-0005-0000-0000-0000B9000000}"/>
    <cellStyle name="Millares 5" xfId="214" xr:uid="{00000000-0005-0000-0000-0000BA000000}"/>
    <cellStyle name="Millares 6" xfId="215" xr:uid="{00000000-0005-0000-0000-0000BB000000}"/>
    <cellStyle name="Millares 6 2" xfId="216" xr:uid="{00000000-0005-0000-0000-0000BC000000}"/>
    <cellStyle name="Millares 7" xfId="217" xr:uid="{00000000-0005-0000-0000-0000BD000000}"/>
    <cellStyle name="Millares 7 2" xfId="218" xr:uid="{00000000-0005-0000-0000-0000BE000000}"/>
    <cellStyle name="Millares 8" xfId="219" xr:uid="{00000000-0005-0000-0000-0000BF000000}"/>
    <cellStyle name="Millares 8 2" xfId="220" xr:uid="{00000000-0005-0000-0000-0000C0000000}"/>
    <cellStyle name="Millares 9" xfId="199" xr:uid="{00000000-0005-0000-0000-0000C1000000}"/>
    <cellStyle name="Neutral" xfId="16" builtinId="28" customBuiltin="1"/>
    <cellStyle name="Neutral 2" xfId="221" xr:uid="{00000000-0005-0000-0000-0000C3000000}"/>
    <cellStyle name="Normal" xfId="0" builtinId="0"/>
    <cellStyle name="Normal 2" xfId="3" xr:uid="{00000000-0005-0000-0000-0000C5000000}"/>
    <cellStyle name="Normal 2 2" xfId="7" xr:uid="{00000000-0005-0000-0000-0000C6000000}"/>
    <cellStyle name="Normal 2 3" xfId="91" xr:uid="{00000000-0005-0000-0000-0000C7000000}"/>
    <cellStyle name="Normal 2 4" xfId="222" xr:uid="{00000000-0005-0000-0000-0000C8000000}"/>
    <cellStyle name="Normal 2 5" xfId="251" xr:uid="{00000000-0005-0000-0000-0000C9000000}"/>
    <cellStyle name="Normal 3" xfId="5" xr:uid="{00000000-0005-0000-0000-0000CA000000}"/>
    <cellStyle name="Normal 3 2" xfId="13" xr:uid="{00000000-0005-0000-0000-0000CB000000}"/>
    <cellStyle name="Normal 3 3" xfId="12" xr:uid="{00000000-0005-0000-0000-0000CC000000}"/>
    <cellStyle name="Normal 4" xfId="132" xr:uid="{00000000-0005-0000-0000-0000CD000000}"/>
    <cellStyle name="Normal_Hoja1" xfId="56" xr:uid="{00000000-0005-0000-0000-0000CE000000}"/>
    <cellStyle name="Normal_Hoja1 2" xfId="254" xr:uid="{7C29753E-CA52-4DC2-BA15-52794CED656D}"/>
    <cellStyle name="Normal_Hoja4" xfId="2" xr:uid="{00000000-0005-0000-0000-0000D1000000}"/>
    <cellStyle name="Normal_Hoja5" xfId="1" xr:uid="{00000000-0005-0000-0000-0000D2000000}"/>
    <cellStyle name="Notas 2" xfId="224" xr:uid="{00000000-0005-0000-0000-0000D3000000}"/>
    <cellStyle name="Notas 2 2" xfId="225" xr:uid="{00000000-0005-0000-0000-0000D4000000}"/>
    <cellStyle name="Notas 3" xfId="226" xr:uid="{00000000-0005-0000-0000-0000D5000000}"/>
    <cellStyle name="Notas 4" xfId="227" xr:uid="{00000000-0005-0000-0000-0000D6000000}"/>
    <cellStyle name="Notas 4 2" xfId="228" xr:uid="{00000000-0005-0000-0000-0000D7000000}"/>
    <cellStyle name="Notas 5" xfId="229" xr:uid="{00000000-0005-0000-0000-0000D8000000}"/>
    <cellStyle name="Notas 5 2" xfId="230" xr:uid="{00000000-0005-0000-0000-0000D9000000}"/>
    <cellStyle name="Notas 6" xfId="231" xr:uid="{00000000-0005-0000-0000-0000DA000000}"/>
    <cellStyle name="Notas 6 2" xfId="232" xr:uid="{00000000-0005-0000-0000-0000DB000000}"/>
    <cellStyle name="Notas 7" xfId="223" xr:uid="{00000000-0005-0000-0000-0000DC000000}"/>
    <cellStyle name="Note" xfId="21" builtinId="10" customBuiltin="1"/>
    <cellStyle name="Note 2" xfId="92" xr:uid="{00000000-0005-0000-0000-0000DE000000}"/>
    <cellStyle name="Output" xfId="105" builtinId="21" customBuiltin="1"/>
    <cellStyle name="Output 2" xfId="53" xr:uid="{00000000-0005-0000-0000-0000E0000000}"/>
    <cellStyle name="Percent" xfId="57" builtinId="5"/>
    <cellStyle name="Percent 2" xfId="9" xr:uid="{00000000-0005-0000-0000-0000E2000000}"/>
    <cellStyle name="Porcentaje 2" xfId="233" xr:uid="{00000000-0005-0000-0000-0000E3000000}"/>
    <cellStyle name="Porcentaje 2 2" xfId="234" xr:uid="{00000000-0005-0000-0000-0000E4000000}"/>
    <cellStyle name="Porcentaje 2 2 2" xfId="235" xr:uid="{00000000-0005-0000-0000-0000E5000000}"/>
    <cellStyle name="Porcentaje 2 3" xfId="236" xr:uid="{00000000-0005-0000-0000-0000E6000000}"/>
    <cellStyle name="Porcentaje 2 4" xfId="237" xr:uid="{00000000-0005-0000-0000-0000E7000000}"/>
    <cellStyle name="Porcentaje 2 4 2" xfId="238" xr:uid="{00000000-0005-0000-0000-0000E8000000}"/>
    <cellStyle name="Porcentaje 2 5" xfId="239" xr:uid="{00000000-0005-0000-0000-0000E9000000}"/>
    <cellStyle name="Porcentaje 2 5 2" xfId="240" xr:uid="{00000000-0005-0000-0000-0000EA000000}"/>
    <cellStyle name="Porcentaje 2 6" xfId="241" xr:uid="{00000000-0005-0000-0000-0000EB000000}"/>
    <cellStyle name="Porcentaje 2 6 2" xfId="242" xr:uid="{00000000-0005-0000-0000-0000EC000000}"/>
    <cellStyle name="Salida" xfId="93" xr:uid="{00000000-0005-0000-0000-0000ED000000}"/>
    <cellStyle name="Salida 2" xfId="243" xr:uid="{00000000-0005-0000-0000-0000EE000000}"/>
    <cellStyle name="Texto de advertencia 2" xfId="244" xr:uid="{00000000-0005-0000-0000-0000EF000000}"/>
    <cellStyle name="Texto explicativo" xfId="94" xr:uid="{00000000-0005-0000-0000-0000F0000000}"/>
    <cellStyle name="Texto explicativo 2" xfId="245" xr:uid="{00000000-0005-0000-0000-0000F1000000}"/>
    <cellStyle name="Title" xfId="100" builtinId="15" customBuiltin="1"/>
    <cellStyle name="Title 2" xfId="54" xr:uid="{00000000-0005-0000-0000-0000F3000000}"/>
    <cellStyle name="Título" xfId="95" xr:uid="{00000000-0005-0000-0000-0000F4000000}"/>
    <cellStyle name="Título 1" xfId="96" xr:uid="{00000000-0005-0000-0000-0000F5000000}"/>
    <cellStyle name="Título 1 2" xfId="247" xr:uid="{00000000-0005-0000-0000-0000F6000000}"/>
    <cellStyle name="Título 2" xfId="97" xr:uid="{00000000-0005-0000-0000-0000F7000000}"/>
    <cellStyle name="Título 2 2" xfId="248" xr:uid="{00000000-0005-0000-0000-0000F8000000}"/>
    <cellStyle name="Título 3" xfId="98" xr:uid="{00000000-0005-0000-0000-0000F9000000}"/>
    <cellStyle name="Título 3 2" xfId="249" xr:uid="{00000000-0005-0000-0000-0000FA000000}"/>
    <cellStyle name="Título 4" xfId="246" xr:uid="{00000000-0005-0000-0000-0000FB000000}"/>
    <cellStyle name="Total" xfId="22" builtinId="25" customBuiltin="1"/>
    <cellStyle name="Total 2" xfId="250" xr:uid="{00000000-0005-0000-0000-0000FD000000}"/>
    <cellStyle name="Warning Text" xfId="20" builtinId="11" customBuiltin="1"/>
    <cellStyle name="Warning Text 2" xfId="99" xr:uid="{00000000-0005-0000-0000-0000FF000000}"/>
  </cellStyles>
  <dxfs count="4">
    <dxf>
      <font>
        <color rgb="FFFF0000"/>
      </font>
    </dxf>
    <dxf>
      <numFmt numFmtId="165" formatCode="_(&quot;$&quot;* #,##0.00_);_(&quot;$&quot;* \(#,##0.00\);_(&quot;$&quot;* &quot;-&quot;??_);_(@_)"/>
    </dxf>
    <dxf>
      <font>
        <color auto="1"/>
      </font>
      <fill>
        <patternFill>
          <bgColor theme="6" tint="0.39994506668294322"/>
        </patternFill>
      </fill>
    </dxf>
    <dxf>
      <font>
        <color rgb="FF9C0006"/>
      </font>
      <fill>
        <patternFill>
          <bgColor rgb="FFFFC7CE"/>
        </patternFill>
      </fill>
    </dxf>
  </dxfs>
  <tableStyles count="1" defaultTableStyle="TableStyleMedium2" defaultPivotStyle="PivotStyleLight16">
    <tableStyle name="Invisible" pivot="0" table="0" count="0" xr9:uid="{5A1FF9A8-05BC-4AE6-891D-E46CBE86AE49}"/>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kadia, Wasim" refreshedDate="45301.823716087965" createdVersion="6" refreshedVersion="8" minRefreshableVersion="3" recordCount="1590" xr:uid="{0E959858-D83C-4080-A7DD-C4D1E0691768}">
  <cacheSource type="worksheet">
    <worksheetSource ref="A1:D1048576" sheet="Clients"/>
  </cacheSource>
  <cacheFields count="4">
    <cacheField name="Country" numFmtId="0">
      <sharedItems containsBlank="1" count="5">
        <s v="Chile "/>
        <s v="Colombia"/>
        <s v="Mexico"/>
        <s v="Peru"/>
        <m/>
      </sharedItems>
    </cacheField>
    <cacheField name="Product" numFmtId="0">
      <sharedItems containsBlank="1" count="5">
        <s v="Forwards"/>
        <s v="Swaps"/>
        <s v="Options"/>
        <m/>
        <s v="Swap" u="1"/>
      </sharedItems>
    </cacheField>
    <cacheField name="Counterparty" numFmtId="0">
      <sharedItems containsNonDate="0" containsString="0" containsBlank="1"/>
    </cacheField>
    <cacheField name="Notional amount in USD" numFmtId="0">
      <sharedItems containsString="0" containsBlank="1"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kadia, Wasim" refreshedDate="45301.823716319443" createdVersion="6" refreshedVersion="8" minRefreshableVersion="3" recordCount="1590" xr:uid="{FA64D83B-7B3E-46DE-9ACD-8F7DCAF48297}">
  <cacheSource type="worksheet">
    <worksheetSource ref="A1:C1048576" sheet="Clients"/>
  </cacheSource>
  <cacheFields count="3">
    <cacheField name="Country" numFmtId="0">
      <sharedItems containsBlank="1" count="5">
        <s v="Chile "/>
        <s v="Colombia"/>
        <s v="Mexico"/>
        <s v="Peru"/>
        <m/>
      </sharedItems>
    </cacheField>
    <cacheField name="Product" numFmtId="0">
      <sharedItems containsBlank="1"/>
    </cacheField>
    <cacheField name="Counterparty" numFmtId="0">
      <sharedItems containsNonDate="0" containsBlank="1" count="23">
        <m/>
        <s v="J ARON Y COMPANY GS" u="1"/>
        <s v="INVERSIONES Y RENTAS BERMEO SPA" u="1"/>
        <s v="MORGAN STANLEY CAPITAL SERVICES" u="1"/>
        <s v="BANK OF AMERICA, N.A" u="1"/>
        <s v="VANECK EMERGING MARKETS DEBT OPPORTUNITIES FUND LP" u="1"/>
        <s v="CARGILL AMERICAS PERU S.R.L." u="1"/>
        <s v="BANCA MIFEL IBM FID 5678 2022" u="1"/>
        <s v="TD ADVANCED TECHNOLOGY SOLUTIO" u="1"/>
        <s v="HASBRO CHILE LTDA" u="1"/>
        <s v="AIR PRODUCTS AND CHEMICALS INC." u="1"/>
        <s v="TIAA CREF INTERNATIONAL BOND FUND" u="1"/>
        <s v="FRUTICOLA Y EXPORTADORA ATACAMA LTDA" u="1"/>
        <s v="HARBORSTONE" u="1"/>
        <s v="JP MORGAN CHASE BANK NA   CHILE" u="1"/>
        <s v="MFS DEVELOPMENT FUNDS LLC" u="1"/>
        <s v="CITIBANK NA" u="1"/>
        <s v="JPMORGAN CHASE BANK NA" u="1"/>
        <s v="AGRIBRANDS PURINA PERU SA" u="1"/>
        <s v="ARTHUR J GALLAGHER CHILE CORREDORES DE REASEGUROS SA" u="1"/>
        <s v="JP MORGAN CHASE Y CO" u="1"/>
        <s v="AES ANDES S.A." u="1"/>
        <s v="MORGAN STANLEY CAPITAL SERVICE"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90">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m/>
  </r>
  <r>
    <x v="0"/>
    <x v="0"/>
    <m/>
    <m/>
  </r>
  <r>
    <x v="0"/>
    <x v="0"/>
    <m/>
    <m/>
  </r>
  <r>
    <x v="0"/>
    <x v="0"/>
    <m/>
    <m/>
  </r>
  <r>
    <x v="0"/>
    <x v="0"/>
    <m/>
    <m/>
  </r>
  <r>
    <x v="0"/>
    <x v="0"/>
    <m/>
    <m/>
  </r>
  <r>
    <x v="0"/>
    <x v="0"/>
    <m/>
    <m/>
  </r>
  <r>
    <x v="0"/>
    <x v="0"/>
    <m/>
    <m/>
  </r>
  <r>
    <x v="0"/>
    <x v="0"/>
    <m/>
    <m/>
  </r>
  <r>
    <x v="0"/>
    <x v="0"/>
    <m/>
    <m/>
  </r>
  <r>
    <x v="0"/>
    <x v="0"/>
    <m/>
    <m/>
  </r>
  <r>
    <x v="0"/>
    <x v="0"/>
    <m/>
    <m/>
  </r>
  <r>
    <x v="0"/>
    <x v="0"/>
    <m/>
    <m/>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n v="0"/>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0"/>
    <m/>
    <m/>
  </r>
  <r>
    <x v="0"/>
    <x v="1"/>
    <m/>
    <m/>
  </r>
  <r>
    <x v="0"/>
    <x v="1"/>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2"/>
    <m/>
    <m/>
  </r>
  <r>
    <x v="1"/>
    <x v="2"/>
    <m/>
    <m/>
  </r>
  <r>
    <x v="1"/>
    <x v="2"/>
    <m/>
    <m/>
  </r>
  <r>
    <x v="1"/>
    <x v="2"/>
    <m/>
    <m/>
  </r>
  <r>
    <x v="1"/>
    <x v="2"/>
    <m/>
    <m/>
  </r>
  <r>
    <x v="1"/>
    <x v="2"/>
    <m/>
    <m/>
  </r>
  <r>
    <x v="1"/>
    <x v="2"/>
    <m/>
    <m/>
  </r>
  <r>
    <x v="1"/>
    <x v="2"/>
    <m/>
    <m/>
  </r>
  <r>
    <x v="1"/>
    <x v="2"/>
    <m/>
    <m/>
  </r>
  <r>
    <x v="1"/>
    <x v="2"/>
    <m/>
    <m/>
  </r>
  <r>
    <x v="1"/>
    <x v="2"/>
    <m/>
    <m/>
  </r>
  <r>
    <x v="1"/>
    <x v="2"/>
    <m/>
    <m/>
  </r>
  <r>
    <x v="1"/>
    <x v="2"/>
    <m/>
    <m/>
  </r>
  <r>
    <x v="1"/>
    <x v="2"/>
    <m/>
    <m/>
  </r>
  <r>
    <x v="1"/>
    <x v="2"/>
    <m/>
    <m/>
  </r>
  <r>
    <x v="1"/>
    <x v="2"/>
    <m/>
    <m/>
  </r>
  <r>
    <x v="1"/>
    <x v="2"/>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2"/>
    <x v="0"/>
    <m/>
    <m/>
  </r>
  <r>
    <x v="2"/>
    <x v="0"/>
    <m/>
    <m/>
  </r>
  <r>
    <x v="2"/>
    <x v="0"/>
    <m/>
    <m/>
  </r>
  <r>
    <x v="2"/>
    <x v="0"/>
    <m/>
    <m/>
  </r>
  <r>
    <x v="2"/>
    <x v="0"/>
    <m/>
    <m/>
  </r>
  <r>
    <x v="2"/>
    <x v="0"/>
    <m/>
    <m/>
  </r>
  <r>
    <x v="2"/>
    <x v="0"/>
    <m/>
    <m/>
  </r>
  <r>
    <x v="2"/>
    <x v="0"/>
    <m/>
    <m/>
  </r>
  <r>
    <x v="2"/>
    <x v="0"/>
    <m/>
    <m/>
  </r>
  <r>
    <x v="2"/>
    <x v="0"/>
    <m/>
    <m/>
  </r>
  <r>
    <x v="2"/>
    <x v="0"/>
    <m/>
    <m/>
  </r>
  <r>
    <x v="2"/>
    <x v="0"/>
    <m/>
    <m/>
  </r>
  <r>
    <x v="2"/>
    <x v="0"/>
    <m/>
    <m/>
  </r>
  <r>
    <x v="2"/>
    <x v="0"/>
    <m/>
    <m/>
  </r>
  <r>
    <x v="2"/>
    <x v="0"/>
    <m/>
    <m/>
  </r>
  <r>
    <x v="2"/>
    <x v="0"/>
    <m/>
    <m/>
  </r>
  <r>
    <x v="2"/>
    <x v="0"/>
    <m/>
    <m/>
  </r>
  <r>
    <x v="2"/>
    <x v="0"/>
    <m/>
    <m/>
  </r>
  <r>
    <x v="2"/>
    <x v="0"/>
    <m/>
    <m/>
  </r>
  <r>
    <x v="2"/>
    <x v="0"/>
    <m/>
    <m/>
  </r>
  <r>
    <x v="2"/>
    <x v="0"/>
    <m/>
    <m/>
  </r>
  <r>
    <x v="2"/>
    <x v="0"/>
    <m/>
    <m/>
  </r>
  <r>
    <x v="2"/>
    <x v="0"/>
    <m/>
    <m/>
  </r>
  <r>
    <x v="2"/>
    <x v="0"/>
    <m/>
    <m/>
  </r>
  <r>
    <x v="2"/>
    <x v="0"/>
    <m/>
    <m/>
  </r>
  <r>
    <x v="2"/>
    <x v="0"/>
    <m/>
    <m/>
  </r>
  <r>
    <x v="2"/>
    <x v="0"/>
    <m/>
    <m/>
  </r>
  <r>
    <x v="2"/>
    <x v="0"/>
    <m/>
    <m/>
  </r>
  <r>
    <x v="2"/>
    <x v="0"/>
    <m/>
    <m/>
  </r>
  <r>
    <x v="2"/>
    <x v="0"/>
    <m/>
    <m/>
  </r>
  <r>
    <x v="2"/>
    <x v="0"/>
    <m/>
    <m/>
  </r>
  <r>
    <x v="2"/>
    <x v="0"/>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2"/>
    <m/>
    <m/>
  </r>
  <r>
    <x v="2"/>
    <x v="1"/>
    <m/>
    <m/>
  </r>
  <r>
    <x v="2"/>
    <x v="1"/>
    <m/>
    <m/>
  </r>
  <r>
    <x v="2"/>
    <x v="1"/>
    <m/>
    <m/>
  </r>
  <r>
    <x v="2"/>
    <x v="1"/>
    <m/>
    <m/>
  </r>
  <r>
    <x v="2"/>
    <x v="1"/>
    <m/>
    <m/>
  </r>
  <r>
    <x v="2"/>
    <x v="1"/>
    <m/>
    <m/>
  </r>
  <r>
    <x v="2"/>
    <x v="1"/>
    <m/>
    <m/>
  </r>
  <r>
    <x v="2"/>
    <x v="1"/>
    <m/>
    <m/>
  </r>
  <r>
    <x v="2"/>
    <x v="1"/>
    <m/>
    <m/>
  </r>
  <r>
    <x v="2"/>
    <x v="1"/>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3"/>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0"/>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1"/>
    <x v="1"/>
    <m/>
    <m/>
  </r>
  <r>
    <x v="4"/>
    <x v="3"/>
    <m/>
    <m/>
  </r>
  <r>
    <x v="4"/>
    <x v="3"/>
    <m/>
    <m/>
  </r>
  <r>
    <x v="4"/>
    <x v="3"/>
    <m/>
    <m/>
  </r>
  <r>
    <x v="4"/>
    <x v="3"/>
    <m/>
    <m/>
  </r>
  <r>
    <x v="4"/>
    <x v="3"/>
    <m/>
    <m/>
  </r>
  <r>
    <x v="4"/>
    <x v="3"/>
    <m/>
    <m/>
  </r>
  <r>
    <x v="0"/>
    <x v="1"/>
    <m/>
    <m/>
  </r>
  <r>
    <x v="0"/>
    <x v="1"/>
    <m/>
    <m/>
  </r>
  <r>
    <x v="0"/>
    <x v="1"/>
    <m/>
    <m/>
  </r>
  <r>
    <x v="0"/>
    <x v="1"/>
    <m/>
    <m/>
  </r>
  <r>
    <x v="0"/>
    <x v="1"/>
    <m/>
    <m/>
  </r>
  <r>
    <x v="0"/>
    <x v="1"/>
    <m/>
    <m/>
  </r>
  <r>
    <x v="0"/>
    <x v="1"/>
    <m/>
    <m/>
  </r>
  <r>
    <x v="0"/>
    <x v="1"/>
    <m/>
    <m/>
  </r>
  <r>
    <x v="0"/>
    <x v="1"/>
    <m/>
    <m/>
  </r>
  <r>
    <x v="4"/>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90">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Forwards"/>
    <x v="0"/>
  </r>
  <r>
    <x v="0"/>
    <s v="Swaps"/>
    <x v="0"/>
  </r>
  <r>
    <x v="0"/>
    <s v="Swap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Options"/>
    <x v="0"/>
  </r>
  <r>
    <x v="1"/>
    <s v="Options"/>
    <x v="0"/>
  </r>
  <r>
    <x v="1"/>
    <s v="Options"/>
    <x v="0"/>
  </r>
  <r>
    <x v="1"/>
    <s v="Options"/>
    <x v="0"/>
  </r>
  <r>
    <x v="1"/>
    <s v="Options"/>
    <x v="0"/>
  </r>
  <r>
    <x v="1"/>
    <s v="Options"/>
    <x v="0"/>
  </r>
  <r>
    <x v="1"/>
    <s v="Options"/>
    <x v="0"/>
  </r>
  <r>
    <x v="1"/>
    <s v="Options"/>
    <x v="0"/>
  </r>
  <r>
    <x v="1"/>
    <s v="Options"/>
    <x v="0"/>
  </r>
  <r>
    <x v="1"/>
    <s v="Options"/>
    <x v="0"/>
  </r>
  <r>
    <x v="1"/>
    <s v="Options"/>
    <x v="0"/>
  </r>
  <r>
    <x v="1"/>
    <s v="Options"/>
    <x v="0"/>
  </r>
  <r>
    <x v="1"/>
    <s v="Options"/>
    <x v="0"/>
  </r>
  <r>
    <x v="1"/>
    <s v="Options"/>
    <x v="0"/>
  </r>
  <r>
    <x v="1"/>
    <s v="Options"/>
    <x v="0"/>
  </r>
  <r>
    <x v="1"/>
    <s v="Options"/>
    <x v="0"/>
  </r>
  <r>
    <x v="1"/>
    <s v="Option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Forward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Options"/>
    <x v="0"/>
  </r>
  <r>
    <x v="2"/>
    <s v="Swaps"/>
    <x v="0"/>
  </r>
  <r>
    <x v="2"/>
    <s v="Swaps"/>
    <x v="0"/>
  </r>
  <r>
    <x v="2"/>
    <s v="Swaps"/>
    <x v="0"/>
  </r>
  <r>
    <x v="2"/>
    <s v="Swaps"/>
    <x v="0"/>
  </r>
  <r>
    <x v="2"/>
    <s v="Swaps"/>
    <x v="0"/>
  </r>
  <r>
    <x v="2"/>
    <s v="Swaps"/>
    <x v="0"/>
  </r>
  <r>
    <x v="2"/>
    <s v="Swaps"/>
    <x v="0"/>
  </r>
  <r>
    <x v="2"/>
    <s v="Swaps"/>
    <x v="0"/>
  </r>
  <r>
    <x v="2"/>
    <s v="Swaps"/>
    <x v="0"/>
  </r>
  <r>
    <x v="2"/>
    <s v="Swap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3"/>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Forward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1"/>
    <s v="Swaps"/>
    <x v="0"/>
  </r>
  <r>
    <x v="4"/>
    <m/>
    <x v="0"/>
  </r>
  <r>
    <x v="4"/>
    <m/>
    <x v="0"/>
  </r>
  <r>
    <x v="4"/>
    <m/>
    <x v="0"/>
  </r>
  <r>
    <x v="4"/>
    <m/>
    <x v="0"/>
  </r>
  <r>
    <x v="4"/>
    <m/>
    <x v="0"/>
  </r>
  <r>
    <x v="4"/>
    <m/>
    <x v="0"/>
  </r>
  <r>
    <x v="0"/>
    <s v="Swaps"/>
    <x v="0"/>
  </r>
  <r>
    <x v="0"/>
    <s v="Swaps"/>
    <x v="0"/>
  </r>
  <r>
    <x v="0"/>
    <s v="Swaps"/>
    <x v="0"/>
  </r>
  <r>
    <x v="0"/>
    <s v="Swaps"/>
    <x v="0"/>
  </r>
  <r>
    <x v="0"/>
    <s v="Swaps"/>
    <x v="0"/>
  </r>
  <r>
    <x v="0"/>
    <s v="Swaps"/>
    <x v="0"/>
  </r>
  <r>
    <x v="0"/>
    <s v="Swaps"/>
    <x v="0"/>
  </r>
  <r>
    <x v="0"/>
    <s v="Swaps"/>
    <x v="0"/>
  </r>
  <r>
    <x v="0"/>
    <s v="Swaps"/>
    <x v="0"/>
  </r>
  <r>
    <x v="4"/>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CDC4EAC-F5CD-4CC3-B99A-D2D68D11AFE8}" name="PivotTable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K9" firstHeaderRow="1" firstDataRow="3" firstDataCol="1"/>
  <pivotFields count="4">
    <pivotField axis="axisRow" showAll="0">
      <items count="6">
        <item x="0"/>
        <item x="1"/>
        <item x="2"/>
        <item x="3"/>
        <item x="4"/>
        <item t="default"/>
      </items>
    </pivotField>
    <pivotField axis="axisCol" showAll="0">
      <items count="6">
        <item x="0"/>
        <item x="2"/>
        <item m="1" x="4"/>
        <item x="1"/>
        <item x="3"/>
        <item t="default"/>
      </items>
    </pivotField>
    <pivotField dataField="1" showAll="0"/>
    <pivotField dataField="1" showAll="0"/>
  </pivotFields>
  <rowFields count="1">
    <field x="0"/>
  </rowFields>
  <rowItems count="6">
    <i>
      <x/>
    </i>
    <i>
      <x v="1"/>
    </i>
    <i>
      <x v="2"/>
    </i>
    <i>
      <x v="3"/>
    </i>
    <i>
      <x v="4"/>
    </i>
    <i t="grand">
      <x/>
    </i>
  </rowItems>
  <colFields count="2">
    <field x="1"/>
    <field x="-2"/>
  </colFields>
  <colItems count="10">
    <i>
      <x/>
      <x/>
    </i>
    <i r="1" i="1">
      <x v="1"/>
    </i>
    <i>
      <x v="1"/>
      <x/>
    </i>
    <i r="1" i="1">
      <x v="1"/>
    </i>
    <i>
      <x v="3"/>
      <x/>
    </i>
    <i r="1" i="1">
      <x v="1"/>
    </i>
    <i>
      <x v="4"/>
      <x/>
    </i>
    <i r="1" i="1">
      <x v="1"/>
    </i>
    <i t="grand">
      <x/>
    </i>
    <i t="grand" i="1">
      <x/>
    </i>
  </colItems>
  <dataFields count="2">
    <dataField name="Count of Counterparty" fld="2" subtotal="count" baseField="0" baseItem="0"/>
    <dataField name="Sum of Notional amount in USD" fld="3" baseField="0" baseItem="0"/>
  </dataFields>
  <formats count="2">
    <format dxfId="1">
      <pivotArea field="1" grandCol="1" outline="0" collapsedLevelsAreSubtotals="1" axis="axisCol" fieldPosition="0">
        <references count="1">
          <reference field="4294967294" count="1" selected="0">
            <x v="1"/>
          </reference>
        </references>
      </pivotArea>
    </format>
    <format dxfId="0">
      <pivotArea collapsedLevelsAreSubtotals="1" fieldPosition="0">
        <references count="3">
          <reference field="4294967294" count="1" selected="0">
            <x v="0"/>
          </reference>
          <reference field="0" count="1">
            <x v="2"/>
          </reference>
          <reference field="1"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3506264-352F-433D-B3A9-5C7CDCC7ABA4}" name="PivotTable3"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21:B30" firstHeaderRow="1" firstDataRow="1" firstDataCol="1"/>
  <pivotFields count="3">
    <pivotField axis="axisRow" showAll="0">
      <items count="6">
        <item x="0"/>
        <item x="1"/>
        <item x="2"/>
        <item x="3"/>
        <item h="1" x="4"/>
        <item t="default"/>
      </items>
    </pivotField>
    <pivotField showAll="0"/>
    <pivotField axis="axisRow" dataField="1" showAll="0">
      <items count="24">
        <item m="1" x="18"/>
        <item m="1" x="10"/>
        <item m="1" x="6"/>
        <item m="1" x="9"/>
        <item m="1" x="1"/>
        <item m="1" x="20"/>
        <item m="1" x="22"/>
        <item m="1" x="3"/>
        <item m="1" x="8"/>
        <item x="0"/>
        <item m="1" x="14"/>
        <item m="1" x="19"/>
        <item m="1" x="17"/>
        <item m="1" x="16"/>
        <item m="1" x="7"/>
        <item m="1" x="21"/>
        <item m="1" x="2"/>
        <item m="1" x="11"/>
        <item m="1" x="5"/>
        <item m="1" x="15"/>
        <item m="1" x="13"/>
        <item m="1" x="12"/>
        <item m="1" x="4"/>
        <item t="default"/>
      </items>
    </pivotField>
  </pivotFields>
  <rowFields count="2">
    <field x="0"/>
    <field x="2"/>
  </rowFields>
  <rowItems count="9">
    <i>
      <x/>
    </i>
    <i r="1">
      <x v="9"/>
    </i>
    <i>
      <x v="1"/>
    </i>
    <i r="1">
      <x v="9"/>
    </i>
    <i>
      <x v="2"/>
    </i>
    <i r="1">
      <x v="9"/>
    </i>
    <i>
      <x v="3"/>
    </i>
    <i r="1">
      <x v="9"/>
    </i>
    <i t="grand">
      <x/>
    </i>
  </rowItems>
  <colItems count="1">
    <i/>
  </colItems>
  <dataFields count="1">
    <dataField name="Count of Counterparty"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709FD45-EDDB-40A8-B5B1-EEED9F0B4CC8}" name="Table1" displayName="Table1" ref="A1:L909">
  <autoFilter ref="A1:L909" xr:uid="{4709FD45-EDDB-40A8-B5B1-EEED9F0B4CC8}"/>
  <tableColumns count="12">
    <tableColumn id="1" xr3:uid="{9D9145D0-B8F5-4B47-9C43-2DA4E358A3DB}" name="FenergoID"/>
    <tableColumn id="2" xr3:uid="{05DDF99C-9B01-4A0F-813E-D037D989FA3A}" name="LegalName"/>
    <tableColumn id="3" xr3:uid="{18167097-9B51-4784-A090-A7FB7FE4DD38}" name="GMEI/LEINumber"/>
    <tableColumn id="4" xr3:uid="{161859AD-F67E-4525-AE3B-4268CA6B0B1C}" name="AssociatedAssetManager"/>
    <tableColumn id="5" xr3:uid="{119B68F3-0E56-4052-B868-F9116627E533}" name="DoddFrankCompliance"/>
    <tableColumn id="6" xr3:uid="{96172AD2-1EBF-473E-82BA-073DE1ED4D30}" name="CrossBorderStatus"/>
    <tableColumn id="7" xr3:uid="{8F57D9EB-9006-4526-B197-9A39E55C5AA7}" name="Pre-TradeMid-MarketMarksDisclosures"/>
    <tableColumn id="8" xr3:uid="{C5A1FE0C-C3A9-4BCC-9F41-65A54A6C98F6}" name="WaiversforPre-TradeMid-MarketMarksDisclosures"/>
    <tableColumn id="9" xr3:uid="{F05B7CE8-28CE-4702-95F8-A0E30D4EE0CD}" name="EndUserMandatoryClearingExemption"/>
    <tableColumn id="10" xr3:uid="{DD6F9B92-D756-4240-BDA0-CB3D88ACC728}" name="CounterpartyTradingDesignation"/>
    <tableColumn id="11" xr3:uid="{9783873B-9057-476F-A60E-704AD2E5F902}" name="IndependentAmount"/>
    <tableColumn id="12" xr3:uid="{FBA04B08-9987-4909-B20A-E078601AF950}" name="OnboardedSwapProducts"/>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U42"/>
  <sheetViews>
    <sheetView zoomScaleNormal="100" workbookViewId="0">
      <pane xSplit="2" ySplit="2" topLeftCell="S6" activePane="bottomRight" state="frozen"/>
      <selection activeCell="BS23" sqref="BS23"/>
      <selection pane="topRight" activeCell="BS23" sqref="BS23"/>
      <selection pane="bottomLeft" activeCell="BS23" sqref="BS23"/>
      <selection pane="bottomRight" activeCell="S17" sqref="S17"/>
    </sheetView>
  </sheetViews>
  <sheetFormatPr defaultColWidth="9.109375" defaultRowHeight="13.8" x14ac:dyDescent="0.3"/>
  <cols>
    <col min="1" max="1" width="5.5546875" style="45" customWidth="1"/>
    <col min="2" max="2" width="32.109375" style="45" customWidth="1"/>
    <col min="3" max="18" width="21.5546875" style="45" customWidth="1"/>
    <col min="19" max="19" width="21.5546875" style="45" bestFit="1" customWidth="1"/>
    <col min="20" max="20" width="9.109375" style="45"/>
    <col min="21" max="21" width="17" style="45" bestFit="1" customWidth="1"/>
    <col min="22" max="256" width="9.109375" style="45"/>
    <col min="257" max="257" width="5.5546875" style="45" customWidth="1"/>
    <col min="258" max="258" width="44.88671875" style="45" customWidth="1"/>
    <col min="259" max="260" width="19.5546875" style="45" bestFit="1" customWidth="1"/>
    <col min="261" max="261" width="9.5546875" style="45" customWidth="1"/>
    <col min="262" max="262" width="10" style="45" bestFit="1" customWidth="1"/>
    <col min="263" max="512" width="9.109375" style="45"/>
    <col min="513" max="513" width="5.5546875" style="45" customWidth="1"/>
    <col min="514" max="514" width="44.88671875" style="45" customWidth="1"/>
    <col min="515" max="516" width="19.5546875" style="45" bestFit="1" customWidth="1"/>
    <col min="517" max="517" width="9.5546875" style="45" customWidth="1"/>
    <col min="518" max="518" width="10" style="45" bestFit="1" customWidth="1"/>
    <col min="519" max="768" width="9.109375" style="45"/>
    <col min="769" max="769" width="5.5546875" style="45" customWidth="1"/>
    <col min="770" max="770" width="44.88671875" style="45" customWidth="1"/>
    <col min="771" max="772" width="19.5546875" style="45" bestFit="1" customWidth="1"/>
    <col min="773" max="773" width="9.5546875" style="45" customWidth="1"/>
    <col min="774" max="774" width="10" style="45" bestFit="1" customWidth="1"/>
    <col min="775" max="1024" width="9.109375" style="45"/>
    <col min="1025" max="1025" width="5.5546875" style="45" customWidth="1"/>
    <col min="1026" max="1026" width="44.88671875" style="45" customWidth="1"/>
    <col min="1027" max="1028" width="19.5546875" style="45" bestFit="1" customWidth="1"/>
    <col min="1029" max="1029" width="9.5546875" style="45" customWidth="1"/>
    <col min="1030" max="1030" width="10" style="45" bestFit="1" customWidth="1"/>
    <col min="1031" max="1280" width="9.109375" style="45"/>
    <col min="1281" max="1281" width="5.5546875" style="45" customWidth="1"/>
    <col min="1282" max="1282" width="44.88671875" style="45" customWidth="1"/>
    <col min="1283" max="1284" width="19.5546875" style="45" bestFit="1" customWidth="1"/>
    <col min="1285" max="1285" width="9.5546875" style="45" customWidth="1"/>
    <col min="1286" max="1286" width="10" style="45" bestFit="1" customWidth="1"/>
    <col min="1287" max="1536" width="9.109375" style="45"/>
    <col min="1537" max="1537" width="5.5546875" style="45" customWidth="1"/>
    <col min="1538" max="1538" width="44.88671875" style="45" customWidth="1"/>
    <col min="1539" max="1540" width="19.5546875" style="45" bestFit="1" customWidth="1"/>
    <col min="1541" max="1541" width="9.5546875" style="45" customWidth="1"/>
    <col min="1542" max="1542" width="10" style="45" bestFit="1" customWidth="1"/>
    <col min="1543" max="1792" width="9.109375" style="45"/>
    <col min="1793" max="1793" width="5.5546875" style="45" customWidth="1"/>
    <col min="1794" max="1794" width="44.88671875" style="45" customWidth="1"/>
    <col min="1795" max="1796" width="19.5546875" style="45" bestFit="1" customWidth="1"/>
    <col min="1797" max="1797" width="9.5546875" style="45" customWidth="1"/>
    <col min="1798" max="1798" width="10" style="45" bestFit="1" customWidth="1"/>
    <col min="1799" max="2048" width="9.109375" style="45"/>
    <col min="2049" max="2049" width="5.5546875" style="45" customWidth="1"/>
    <col min="2050" max="2050" width="44.88671875" style="45" customWidth="1"/>
    <col min="2051" max="2052" width="19.5546875" style="45" bestFit="1" customWidth="1"/>
    <col min="2053" max="2053" width="9.5546875" style="45" customWidth="1"/>
    <col min="2054" max="2054" width="10" style="45" bestFit="1" customWidth="1"/>
    <col min="2055" max="2304" width="9.109375" style="45"/>
    <col min="2305" max="2305" width="5.5546875" style="45" customWidth="1"/>
    <col min="2306" max="2306" width="44.88671875" style="45" customWidth="1"/>
    <col min="2307" max="2308" width="19.5546875" style="45" bestFit="1" customWidth="1"/>
    <col min="2309" max="2309" width="9.5546875" style="45" customWidth="1"/>
    <col min="2310" max="2310" width="10" style="45" bestFit="1" customWidth="1"/>
    <col min="2311" max="2560" width="9.109375" style="45"/>
    <col min="2561" max="2561" width="5.5546875" style="45" customWidth="1"/>
    <col min="2562" max="2562" width="44.88671875" style="45" customWidth="1"/>
    <col min="2563" max="2564" width="19.5546875" style="45" bestFit="1" customWidth="1"/>
    <col min="2565" max="2565" width="9.5546875" style="45" customWidth="1"/>
    <col min="2566" max="2566" width="10" style="45" bestFit="1" customWidth="1"/>
    <col min="2567" max="2816" width="9.109375" style="45"/>
    <col min="2817" max="2817" width="5.5546875" style="45" customWidth="1"/>
    <col min="2818" max="2818" width="44.88671875" style="45" customWidth="1"/>
    <col min="2819" max="2820" width="19.5546875" style="45" bestFit="1" customWidth="1"/>
    <col min="2821" max="2821" width="9.5546875" style="45" customWidth="1"/>
    <col min="2822" max="2822" width="10" style="45" bestFit="1" customWidth="1"/>
    <col min="2823" max="3072" width="9.109375" style="45"/>
    <col min="3073" max="3073" width="5.5546875" style="45" customWidth="1"/>
    <col min="3074" max="3074" width="44.88671875" style="45" customWidth="1"/>
    <col min="3075" max="3076" width="19.5546875" style="45" bestFit="1" customWidth="1"/>
    <col min="3077" max="3077" width="9.5546875" style="45" customWidth="1"/>
    <col min="3078" max="3078" width="10" style="45" bestFit="1" customWidth="1"/>
    <col min="3079" max="3328" width="9.109375" style="45"/>
    <col min="3329" max="3329" width="5.5546875" style="45" customWidth="1"/>
    <col min="3330" max="3330" width="44.88671875" style="45" customWidth="1"/>
    <col min="3331" max="3332" width="19.5546875" style="45" bestFit="1" customWidth="1"/>
    <col min="3333" max="3333" width="9.5546875" style="45" customWidth="1"/>
    <col min="3334" max="3334" width="10" style="45" bestFit="1" customWidth="1"/>
    <col min="3335" max="3584" width="9.109375" style="45"/>
    <col min="3585" max="3585" width="5.5546875" style="45" customWidth="1"/>
    <col min="3586" max="3586" width="44.88671875" style="45" customWidth="1"/>
    <col min="3587" max="3588" width="19.5546875" style="45" bestFit="1" customWidth="1"/>
    <col min="3589" max="3589" width="9.5546875" style="45" customWidth="1"/>
    <col min="3590" max="3590" width="10" style="45" bestFit="1" customWidth="1"/>
    <col min="3591" max="3840" width="9.109375" style="45"/>
    <col min="3841" max="3841" width="5.5546875" style="45" customWidth="1"/>
    <col min="3842" max="3842" width="44.88671875" style="45" customWidth="1"/>
    <col min="3843" max="3844" width="19.5546875" style="45" bestFit="1" customWidth="1"/>
    <col min="3845" max="3845" width="9.5546875" style="45" customWidth="1"/>
    <col min="3846" max="3846" width="10" style="45" bestFit="1" customWidth="1"/>
    <col min="3847" max="4096" width="9.109375" style="45"/>
    <col min="4097" max="4097" width="5.5546875" style="45" customWidth="1"/>
    <col min="4098" max="4098" width="44.88671875" style="45" customWidth="1"/>
    <col min="4099" max="4100" width="19.5546875" style="45" bestFit="1" customWidth="1"/>
    <col min="4101" max="4101" width="9.5546875" style="45" customWidth="1"/>
    <col min="4102" max="4102" width="10" style="45" bestFit="1" customWidth="1"/>
    <col min="4103" max="4352" width="9.109375" style="45"/>
    <col min="4353" max="4353" width="5.5546875" style="45" customWidth="1"/>
    <col min="4354" max="4354" width="44.88671875" style="45" customWidth="1"/>
    <col min="4355" max="4356" width="19.5546875" style="45" bestFit="1" customWidth="1"/>
    <col min="4357" max="4357" width="9.5546875" style="45" customWidth="1"/>
    <col min="4358" max="4358" width="10" style="45" bestFit="1" customWidth="1"/>
    <col min="4359" max="4608" width="9.109375" style="45"/>
    <col min="4609" max="4609" width="5.5546875" style="45" customWidth="1"/>
    <col min="4610" max="4610" width="44.88671875" style="45" customWidth="1"/>
    <col min="4611" max="4612" width="19.5546875" style="45" bestFit="1" customWidth="1"/>
    <col min="4613" max="4613" width="9.5546875" style="45" customWidth="1"/>
    <col min="4614" max="4614" width="10" style="45" bestFit="1" customWidth="1"/>
    <col min="4615" max="4864" width="9.109375" style="45"/>
    <col min="4865" max="4865" width="5.5546875" style="45" customWidth="1"/>
    <col min="4866" max="4866" width="44.88671875" style="45" customWidth="1"/>
    <col min="4867" max="4868" width="19.5546875" style="45" bestFit="1" customWidth="1"/>
    <col min="4869" max="4869" width="9.5546875" style="45" customWidth="1"/>
    <col min="4870" max="4870" width="10" style="45" bestFit="1" customWidth="1"/>
    <col min="4871" max="5120" width="9.109375" style="45"/>
    <col min="5121" max="5121" width="5.5546875" style="45" customWidth="1"/>
    <col min="5122" max="5122" width="44.88671875" style="45" customWidth="1"/>
    <col min="5123" max="5124" width="19.5546875" style="45" bestFit="1" customWidth="1"/>
    <col min="5125" max="5125" width="9.5546875" style="45" customWidth="1"/>
    <col min="5126" max="5126" width="10" style="45" bestFit="1" customWidth="1"/>
    <col min="5127" max="5376" width="9.109375" style="45"/>
    <col min="5377" max="5377" width="5.5546875" style="45" customWidth="1"/>
    <col min="5378" max="5378" width="44.88671875" style="45" customWidth="1"/>
    <col min="5379" max="5380" width="19.5546875" style="45" bestFit="1" customWidth="1"/>
    <col min="5381" max="5381" width="9.5546875" style="45" customWidth="1"/>
    <col min="5382" max="5382" width="10" style="45" bestFit="1" customWidth="1"/>
    <col min="5383" max="5632" width="9.109375" style="45"/>
    <col min="5633" max="5633" width="5.5546875" style="45" customWidth="1"/>
    <col min="5634" max="5634" width="44.88671875" style="45" customWidth="1"/>
    <col min="5635" max="5636" width="19.5546875" style="45" bestFit="1" customWidth="1"/>
    <col min="5637" max="5637" width="9.5546875" style="45" customWidth="1"/>
    <col min="5638" max="5638" width="10" style="45" bestFit="1" customWidth="1"/>
    <col min="5639" max="5888" width="9.109375" style="45"/>
    <col min="5889" max="5889" width="5.5546875" style="45" customWidth="1"/>
    <col min="5890" max="5890" width="44.88671875" style="45" customWidth="1"/>
    <col min="5891" max="5892" width="19.5546875" style="45" bestFit="1" customWidth="1"/>
    <col min="5893" max="5893" width="9.5546875" style="45" customWidth="1"/>
    <col min="5894" max="5894" width="10" style="45" bestFit="1" customWidth="1"/>
    <col min="5895" max="6144" width="9.109375" style="45"/>
    <col min="6145" max="6145" width="5.5546875" style="45" customWidth="1"/>
    <col min="6146" max="6146" width="44.88671875" style="45" customWidth="1"/>
    <col min="6147" max="6148" width="19.5546875" style="45" bestFit="1" customWidth="1"/>
    <col min="6149" max="6149" width="9.5546875" style="45" customWidth="1"/>
    <col min="6150" max="6150" width="10" style="45" bestFit="1" customWidth="1"/>
    <col min="6151" max="6400" width="9.109375" style="45"/>
    <col min="6401" max="6401" width="5.5546875" style="45" customWidth="1"/>
    <col min="6402" max="6402" width="44.88671875" style="45" customWidth="1"/>
    <col min="6403" max="6404" width="19.5546875" style="45" bestFit="1" customWidth="1"/>
    <col min="6405" max="6405" width="9.5546875" style="45" customWidth="1"/>
    <col min="6406" max="6406" width="10" style="45" bestFit="1" customWidth="1"/>
    <col min="6407" max="6656" width="9.109375" style="45"/>
    <col min="6657" max="6657" width="5.5546875" style="45" customWidth="1"/>
    <col min="6658" max="6658" width="44.88671875" style="45" customWidth="1"/>
    <col min="6659" max="6660" width="19.5546875" style="45" bestFit="1" customWidth="1"/>
    <col min="6661" max="6661" width="9.5546875" style="45" customWidth="1"/>
    <col min="6662" max="6662" width="10" style="45" bestFit="1" customWidth="1"/>
    <col min="6663" max="6912" width="9.109375" style="45"/>
    <col min="6913" max="6913" width="5.5546875" style="45" customWidth="1"/>
    <col min="6914" max="6914" width="44.88671875" style="45" customWidth="1"/>
    <col min="6915" max="6916" width="19.5546875" style="45" bestFit="1" customWidth="1"/>
    <col min="6917" max="6917" width="9.5546875" style="45" customWidth="1"/>
    <col min="6918" max="6918" width="10" style="45" bestFit="1" customWidth="1"/>
    <col min="6919" max="7168" width="9.109375" style="45"/>
    <col min="7169" max="7169" width="5.5546875" style="45" customWidth="1"/>
    <col min="7170" max="7170" width="44.88671875" style="45" customWidth="1"/>
    <col min="7171" max="7172" width="19.5546875" style="45" bestFit="1" customWidth="1"/>
    <col min="7173" max="7173" width="9.5546875" style="45" customWidth="1"/>
    <col min="7174" max="7174" width="10" style="45" bestFit="1" customWidth="1"/>
    <col min="7175" max="7424" width="9.109375" style="45"/>
    <col min="7425" max="7425" width="5.5546875" style="45" customWidth="1"/>
    <col min="7426" max="7426" width="44.88671875" style="45" customWidth="1"/>
    <col min="7427" max="7428" width="19.5546875" style="45" bestFit="1" customWidth="1"/>
    <col min="7429" max="7429" width="9.5546875" style="45" customWidth="1"/>
    <col min="7430" max="7430" width="10" style="45" bestFit="1" customWidth="1"/>
    <col min="7431" max="7680" width="9.109375" style="45"/>
    <col min="7681" max="7681" width="5.5546875" style="45" customWidth="1"/>
    <col min="7682" max="7682" width="44.88671875" style="45" customWidth="1"/>
    <col min="7683" max="7684" width="19.5546875" style="45" bestFit="1" customWidth="1"/>
    <col min="7685" max="7685" width="9.5546875" style="45" customWidth="1"/>
    <col min="7686" max="7686" width="10" style="45" bestFit="1" customWidth="1"/>
    <col min="7687" max="7936" width="9.109375" style="45"/>
    <col min="7937" max="7937" width="5.5546875" style="45" customWidth="1"/>
    <col min="7938" max="7938" width="44.88671875" style="45" customWidth="1"/>
    <col min="7939" max="7940" width="19.5546875" style="45" bestFit="1" customWidth="1"/>
    <col min="7941" max="7941" width="9.5546875" style="45" customWidth="1"/>
    <col min="7942" max="7942" width="10" style="45" bestFit="1" customWidth="1"/>
    <col min="7943" max="8192" width="9.109375" style="45"/>
    <col min="8193" max="8193" width="5.5546875" style="45" customWidth="1"/>
    <col min="8194" max="8194" width="44.88671875" style="45" customWidth="1"/>
    <col min="8195" max="8196" width="19.5546875" style="45" bestFit="1" customWidth="1"/>
    <col min="8197" max="8197" width="9.5546875" style="45" customWidth="1"/>
    <col min="8198" max="8198" width="10" style="45" bestFit="1" customWidth="1"/>
    <col min="8199" max="8448" width="9.109375" style="45"/>
    <col min="8449" max="8449" width="5.5546875" style="45" customWidth="1"/>
    <col min="8450" max="8450" width="44.88671875" style="45" customWidth="1"/>
    <col min="8451" max="8452" width="19.5546875" style="45" bestFit="1" customWidth="1"/>
    <col min="8453" max="8453" width="9.5546875" style="45" customWidth="1"/>
    <col min="8454" max="8454" width="10" style="45" bestFit="1" customWidth="1"/>
    <col min="8455" max="8704" width="9.109375" style="45"/>
    <col min="8705" max="8705" width="5.5546875" style="45" customWidth="1"/>
    <col min="8706" max="8706" width="44.88671875" style="45" customWidth="1"/>
    <col min="8707" max="8708" width="19.5546875" style="45" bestFit="1" customWidth="1"/>
    <col min="8709" max="8709" width="9.5546875" style="45" customWidth="1"/>
    <col min="8710" max="8710" width="10" style="45" bestFit="1" customWidth="1"/>
    <col min="8711" max="8960" width="9.109375" style="45"/>
    <col min="8961" max="8961" width="5.5546875" style="45" customWidth="1"/>
    <col min="8962" max="8962" width="44.88671875" style="45" customWidth="1"/>
    <col min="8963" max="8964" width="19.5546875" style="45" bestFit="1" customWidth="1"/>
    <col min="8965" max="8965" width="9.5546875" style="45" customWidth="1"/>
    <col min="8966" max="8966" width="10" style="45" bestFit="1" customWidth="1"/>
    <col min="8967" max="9216" width="9.109375" style="45"/>
    <col min="9217" max="9217" width="5.5546875" style="45" customWidth="1"/>
    <col min="9218" max="9218" width="44.88671875" style="45" customWidth="1"/>
    <col min="9219" max="9220" width="19.5546875" style="45" bestFit="1" customWidth="1"/>
    <col min="9221" max="9221" width="9.5546875" style="45" customWidth="1"/>
    <col min="9222" max="9222" width="10" style="45" bestFit="1" customWidth="1"/>
    <col min="9223" max="9472" width="9.109375" style="45"/>
    <col min="9473" max="9473" width="5.5546875" style="45" customWidth="1"/>
    <col min="9474" max="9474" width="44.88671875" style="45" customWidth="1"/>
    <col min="9475" max="9476" width="19.5546875" style="45" bestFit="1" customWidth="1"/>
    <col min="9477" max="9477" width="9.5546875" style="45" customWidth="1"/>
    <col min="9478" max="9478" width="10" style="45" bestFit="1" customWidth="1"/>
    <col min="9479" max="9728" width="9.109375" style="45"/>
    <col min="9729" max="9729" width="5.5546875" style="45" customWidth="1"/>
    <col min="9730" max="9730" width="44.88671875" style="45" customWidth="1"/>
    <col min="9731" max="9732" width="19.5546875" style="45" bestFit="1" customWidth="1"/>
    <col min="9733" max="9733" width="9.5546875" style="45" customWidth="1"/>
    <col min="9734" max="9734" width="10" style="45" bestFit="1" customWidth="1"/>
    <col min="9735" max="9984" width="9.109375" style="45"/>
    <col min="9985" max="9985" width="5.5546875" style="45" customWidth="1"/>
    <col min="9986" max="9986" width="44.88671875" style="45" customWidth="1"/>
    <col min="9987" max="9988" width="19.5546875" style="45" bestFit="1" customWidth="1"/>
    <col min="9989" max="9989" width="9.5546875" style="45" customWidth="1"/>
    <col min="9990" max="9990" width="10" style="45" bestFit="1" customWidth="1"/>
    <col min="9991" max="10240" width="9.109375" style="45"/>
    <col min="10241" max="10241" width="5.5546875" style="45" customWidth="1"/>
    <col min="10242" max="10242" width="44.88671875" style="45" customWidth="1"/>
    <col min="10243" max="10244" width="19.5546875" style="45" bestFit="1" customWidth="1"/>
    <col min="10245" max="10245" width="9.5546875" style="45" customWidth="1"/>
    <col min="10246" max="10246" width="10" style="45" bestFit="1" customWidth="1"/>
    <col min="10247" max="10496" width="9.109375" style="45"/>
    <col min="10497" max="10497" width="5.5546875" style="45" customWidth="1"/>
    <col min="10498" max="10498" width="44.88671875" style="45" customWidth="1"/>
    <col min="10499" max="10500" width="19.5546875" style="45" bestFit="1" customWidth="1"/>
    <col min="10501" max="10501" width="9.5546875" style="45" customWidth="1"/>
    <col min="10502" max="10502" width="10" style="45" bestFit="1" customWidth="1"/>
    <col min="10503" max="10752" width="9.109375" style="45"/>
    <col min="10753" max="10753" width="5.5546875" style="45" customWidth="1"/>
    <col min="10754" max="10754" width="44.88671875" style="45" customWidth="1"/>
    <col min="10755" max="10756" width="19.5546875" style="45" bestFit="1" customWidth="1"/>
    <col min="10757" max="10757" width="9.5546875" style="45" customWidth="1"/>
    <col min="10758" max="10758" width="10" style="45" bestFit="1" customWidth="1"/>
    <col min="10759" max="11008" width="9.109375" style="45"/>
    <col min="11009" max="11009" width="5.5546875" style="45" customWidth="1"/>
    <col min="11010" max="11010" width="44.88671875" style="45" customWidth="1"/>
    <col min="11011" max="11012" width="19.5546875" style="45" bestFit="1" customWidth="1"/>
    <col min="11013" max="11013" width="9.5546875" style="45" customWidth="1"/>
    <col min="11014" max="11014" width="10" style="45" bestFit="1" customWidth="1"/>
    <col min="11015" max="11264" width="9.109375" style="45"/>
    <col min="11265" max="11265" width="5.5546875" style="45" customWidth="1"/>
    <col min="11266" max="11266" width="44.88671875" style="45" customWidth="1"/>
    <col min="11267" max="11268" width="19.5546875" style="45" bestFit="1" customWidth="1"/>
    <col min="11269" max="11269" width="9.5546875" style="45" customWidth="1"/>
    <col min="11270" max="11270" width="10" style="45" bestFit="1" customWidth="1"/>
    <col min="11271" max="11520" width="9.109375" style="45"/>
    <col min="11521" max="11521" width="5.5546875" style="45" customWidth="1"/>
    <col min="11522" max="11522" width="44.88671875" style="45" customWidth="1"/>
    <col min="11523" max="11524" width="19.5546875" style="45" bestFit="1" customWidth="1"/>
    <col min="11525" max="11525" width="9.5546875" style="45" customWidth="1"/>
    <col min="11526" max="11526" width="10" style="45" bestFit="1" customWidth="1"/>
    <col min="11527" max="11776" width="9.109375" style="45"/>
    <col min="11777" max="11777" width="5.5546875" style="45" customWidth="1"/>
    <col min="11778" max="11778" width="44.88671875" style="45" customWidth="1"/>
    <col min="11779" max="11780" width="19.5546875" style="45" bestFit="1" customWidth="1"/>
    <col min="11781" max="11781" width="9.5546875" style="45" customWidth="1"/>
    <col min="11782" max="11782" width="10" style="45" bestFit="1" customWidth="1"/>
    <col min="11783" max="12032" width="9.109375" style="45"/>
    <col min="12033" max="12033" width="5.5546875" style="45" customWidth="1"/>
    <col min="12034" max="12034" width="44.88671875" style="45" customWidth="1"/>
    <col min="12035" max="12036" width="19.5546875" style="45" bestFit="1" customWidth="1"/>
    <col min="12037" max="12037" width="9.5546875" style="45" customWidth="1"/>
    <col min="12038" max="12038" width="10" style="45" bestFit="1" customWidth="1"/>
    <col min="12039" max="12288" width="9.109375" style="45"/>
    <col min="12289" max="12289" width="5.5546875" style="45" customWidth="1"/>
    <col min="12290" max="12290" width="44.88671875" style="45" customWidth="1"/>
    <col min="12291" max="12292" width="19.5546875" style="45" bestFit="1" customWidth="1"/>
    <col min="12293" max="12293" width="9.5546875" style="45" customWidth="1"/>
    <col min="12294" max="12294" width="10" style="45" bestFit="1" customWidth="1"/>
    <col min="12295" max="12544" width="9.109375" style="45"/>
    <col min="12545" max="12545" width="5.5546875" style="45" customWidth="1"/>
    <col min="12546" max="12546" width="44.88671875" style="45" customWidth="1"/>
    <col min="12547" max="12548" width="19.5546875" style="45" bestFit="1" customWidth="1"/>
    <col min="12549" max="12549" width="9.5546875" style="45" customWidth="1"/>
    <col min="12550" max="12550" width="10" style="45" bestFit="1" customWidth="1"/>
    <col min="12551" max="12800" width="9.109375" style="45"/>
    <col min="12801" max="12801" width="5.5546875" style="45" customWidth="1"/>
    <col min="12802" max="12802" width="44.88671875" style="45" customWidth="1"/>
    <col min="12803" max="12804" width="19.5546875" style="45" bestFit="1" customWidth="1"/>
    <col min="12805" max="12805" width="9.5546875" style="45" customWidth="1"/>
    <col min="12806" max="12806" width="10" style="45" bestFit="1" customWidth="1"/>
    <col min="12807" max="13056" width="9.109375" style="45"/>
    <col min="13057" max="13057" width="5.5546875" style="45" customWidth="1"/>
    <col min="13058" max="13058" width="44.88671875" style="45" customWidth="1"/>
    <col min="13059" max="13060" width="19.5546875" style="45" bestFit="1" customWidth="1"/>
    <col min="13061" max="13061" width="9.5546875" style="45" customWidth="1"/>
    <col min="13062" max="13062" width="10" style="45" bestFit="1" customWidth="1"/>
    <col min="13063" max="13312" width="9.109375" style="45"/>
    <col min="13313" max="13313" width="5.5546875" style="45" customWidth="1"/>
    <col min="13314" max="13314" width="44.88671875" style="45" customWidth="1"/>
    <col min="13315" max="13316" width="19.5546875" style="45" bestFit="1" customWidth="1"/>
    <col min="13317" max="13317" width="9.5546875" style="45" customWidth="1"/>
    <col min="13318" max="13318" width="10" style="45" bestFit="1" customWidth="1"/>
    <col min="13319" max="13568" width="9.109375" style="45"/>
    <col min="13569" max="13569" width="5.5546875" style="45" customWidth="1"/>
    <col min="13570" max="13570" width="44.88671875" style="45" customWidth="1"/>
    <col min="13571" max="13572" width="19.5546875" style="45" bestFit="1" customWidth="1"/>
    <col min="13573" max="13573" width="9.5546875" style="45" customWidth="1"/>
    <col min="13574" max="13574" width="10" style="45" bestFit="1" customWidth="1"/>
    <col min="13575" max="13824" width="9.109375" style="45"/>
    <col min="13825" max="13825" width="5.5546875" style="45" customWidth="1"/>
    <col min="13826" max="13826" width="44.88671875" style="45" customWidth="1"/>
    <col min="13827" max="13828" width="19.5546875" style="45" bestFit="1" customWidth="1"/>
    <col min="13829" max="13829" width="9.5546875" style="45" customWidth="1"/>
    <col min="13830" max="13830" width="10" style="45" bestFit="1" customWidth="1"/>
    <col min="13831" max="14080" width="9.109375" style="45"/>
    <col min="14081" max="14081" width="5.5546875" style="45" customWidth="1"/>
    <col min="14082" max="14082" width="44.88671875" style="45" customWidth="1"/>
    <col min="14083" max="14084" width="19.5546875" style="45" bestFit="1" customWidth="1"/>
    <col min="14085" max="14085" width="9.5546875" style="45" customWidth="1"/>
    <col min="14086" max="14086" width="10" style="45" bestFit="1" customWidth="1"/>
    <col min="14087" max="14336" width="9.109375" style="45"/>
    <col min="14337" max="14337" width="5.5546875" style="45" customWidth="1"/>
    <col min="14338" max="14338" width="44.88671875" style="45" customWidth="1"/>
    <col min="14339" max="14340" width="19.5546875" style="45" bestFit="1" customWidth="1"/>
    <col min="14341" max="14341" width="9.5546875" style="45" customWidth="1"/>
    <col min="14342" max="14342" width="10" style="45" bestFit="1" customWidth="1"/>
    <col min="14343" max="14592" width="9.109375" style="45"/>
    <col min="14593" max="14593" width="5.5546875" style="45" customWidth="1"/>
    <col min="14594" max="14594" width="44.88671875" style="45" customWidth="1"/>
    <col min="14595" max="14596" width="19.5546875" style="45" bestFit="1" customWidth="1"/>
    <col min="14597" max="14597" width="9.5546875" style="45" customWidth="1"/>
    <col min="14598" max="14598" width="10" style="45" bestFit="1" customWidth="1"/>
    <col min="14599" max="14848" width="9.109375" style="45"/>
    <col min="14849" max="14849" width="5.5546875" style="45" customWidth="1"/>
    <col min="14850" max="14850" width="44.88671875" style="45" customWidth="1"/>
    <col min="14851" max="14852" width="19.5546875" style="45" bestFit="1" customWidth="1"/>
    <col min="14853" max="14853" width="9.5546875" style="45" customWidth="1"/>
    <col min="14854" max="14854" width="10" style="45" bestFit="1" customWidth="1"/>
    <col min="14855" max="15104" width="9.109375" style="45"/>
    <col min="15105" max="15105" width="5.5546875" style="45" customWidth="1"/>
    <col min="15106" max="15106" width="44.88671875" style="45" customWidth="1"/>
    <col min="15107" max="15108" width="19.5546875" style="45" bestFit="1" customWidth="1"/>
    <col min="15109" max="15109" width="9.5546875" style="45" customWidth="1"/>
    <col min="15110" max="15110" width="10" style="45" bestFit="1" customWidth="1"/>
    <col min="15111" max="15360" width="9.109375" style="45"/>
    <col min="15361" max="15361" width="5.5546875" style="45" customWidth="1"/>
    <col min="15362" max="15362" width="44.88671875" style="45" customWidth="1"/>
    <col min="15363" max="15364" width="19.5546875" style="45" bestFit="1" customWidth="1"/>
    <col min="15365" max="15365" width="9.5546875" style="45" customWidth="1"/>
    <col min="15366" max="15366" width="10" style="45" bestFit="1" customWidth="1"/>
    <col min="15367" max="15616" width="9.109375" style="45"/>
    <col min="15617" max="15617" width="5.5546875" style="45" customWidth="1"/>
    <col min="15618" max="15618" width="44.88671875" style="45" customWidth="1"/>
    <col min="15619" max="15620" width="19.5546875" style="45" bestFit="1" customWidth="1"/>
    <col min="15621" max="15621" width="9.5546875" style="45" customWidth="1"/>
    <col min="15622" max="15622" width="10" style="45" bestFit="1" customWidth="1"/>
    <col min="15623" max="15872" width="9.109375" style="45"/>
    <col min="15873" max="15873" width="5.5546875" style="45" customWidth="1"/>
    <col min="15874" max="15874" width="44.88671875" style="45" customWidth="1"/>
    <col min="15875" max="15876" width="19.5546875" style="45" bestFit="1" customWidth="1"/>
    <col min="15877" max="15877" width="9.5546875" style="45" customWidth="1"/>
    <col min="15878" max="15878" width="10" style="45" bestFit="1" customWidth="1"/>
    <col min="15879" max="16128" width="9.109375" style="45"/>
    <col min="16129" max="16129" width="5.5546875" style="45" customWidth="1"/>
    <col min="16130" max="16130" width="44.88671875" style="45" customWidth="1"/>
    <col min="16131" max="16132" width="19.5546875" style="45" bestFit="1" customWidth="1"/>
    <col min="16133" max="16133" width="9.5546875" style="45" customWidth="1"/>
    <col min="16134" max="16134" width="10" style="45" bestFit="1" customWidth="1"/>
    <col min="16135" max="16384" width="9.109375" style="45"/>
  </cols>
  <sheetData>
    <row r="1" spans="2:19" ht="14.4" thickBot="1" x14ac:dyDescent="0.35"/>
    <row r="2" spans="2:19" x14ac:dyDescent="0.3">
      <c r="B2" s="46" t="s">
        <v>11</v>
      </c>
      <c r="C2" s="88" t="s">
        <v>36386</v>
      </c>
      <c r="D2" s="88" t="s">
        <v>36387</v>
      </c>
      <c r="E2" s="88" t="s">
        <v>36388</v>
      </c>
      <c r="F2" s="88" t="s">
        <v>36389</v>
      </c>
      <c r="G2" s="88" t="s">
        <v>36390</v>
      </c>
      <c r="H2" s="88" t="s">
        <v>36391</v>
      </c>
      <c r="I2" s="88" t="s">
        <v>36392</v>
      </c>
      <c r="J2" s="88" t="s">
        <v>36393</v>
      </c>
      <c r="K2" s="88" t="s">
        <v>36394</v>
      </c>
      <c r="L2" s="88" t="s">
        <v>36395</v>
      </c>
      <c r="M2" s="165" t="s">
        <v>36396</v>
      </c>
      <c r="N2" s="165" t="s">
        <v>36397</v>
      </c>
      <c r="O2" s="165" t="s">
        <v>36398</v>
      </c>
      <c r="P2" s="165" t="s">
        <v>36399</v>
      </c>
      <c r="Q2" s="165" t="s">
        <v>36400</v>
      </c>
      <c r="R2" s="165" t="s">
        <v>36401</v>
      </c>
      <c r="S2" s="88" t="s">
        <v>36403</v>
      </c>
    </row>
    <row r="3" spans="2:19" x14ac:dyDescent="0.3">
      <c r="B3" s="47"/>
      <c r="S3" s="48"/>
    </row>
    <row r="4" spans="2:19" x14ac:dyDescent="0.3">
      <c r="B4" s="49" t="s">
        <v>55</v>
      </c>
      <c r="S4" s="48"/>
    </row>
    <row r="5" spans="2:19" x14ac:dyDescent="0.3">
      <c r="S5" s="48"/>
    </row>
    <row r="6" spans="2:19" x14ac:dyDescent="0.3">
      <c r="B6" s="45" t="s">
        <v>15</v>
      </c>
      <c r="C6" s="52"/>
      <c r="D6" s="52"/>
      <c r="E6" s="52"/>
      <c r="F6" s="52"/>
      <c r="G6" s="52"/>
      <c r="H6" s="52"/>
      <c r="I6" s="52"/>
      <c r="J6" s="52"/>
      <c r="K6" s="52"/>
      <c r="L6" s="52"/>
      <c r="M6" s="52"/>
      <c r="N6" s="52"/>
      <c r="O6" s="52"/>
      <c r="P6" s="52"/>
      <c r="Q6" s="52"/>
      <c r="R6" s="52"/>
      <c r="S6" s="166">
        <f>'Swaps Mexico'!U6</f>
        <v>0</v>
      </c>
    </row>
    <row r="7" spans="2:19" x14ac:dyDescent="0.3">
      <c r="B7" s="45" t="s">
        <v>92</v>
      </c>
      <c r="C7" s="52"/>
      <c r="D7" s="52"/>
      <c r="E7" s="52"/>
      <c r="F7" s="52"/>
      <c r="G7" s="52"/>
      <c r="H7" s="52"/>
      <c r="I7" s="52"/>
      <c r="J7" s="52"/>
      <c r="K7" s="52"/>
      <c r="L7" s="52"/>
      <c r="M7" s="52"/>
      <c r="N7" s="52"/>
      <c r="O7" s="52"/>
      <c r="P7" s="52"/>
      <c r="Q7" s="52"/>
      <c r="R7" s="52"/>
      <c r="S7" s="166">
        <f>'NDFs Mexico'!N36</f>
        <v>0</v>
      </c>
    </row>
    <row r="8" spans="2:19" x14ac:dyDescent="0.3">
      <c r="B8" s="53" t="s">
        <v>69</v>
      </c>
      <c r="C8" s="54"/>
      <c r="D8" s="54"/>
      <c r="E8" s="54"/>
      <c r="F8" s="54"/>
      <c r="G8" s="54"/>
      <c r="H8" s="54"/>
      <c r="I8" s="54"/>
      <c r="J8" s="54"/>
      <c r="K8" s="54"/>
      <c r="L8" s="54"/>
      <c r="M8" s="54"/>
      <c r="N8" s="54"/>
      <c r="O8" s="54"/>
      <c r="P8" s="54"/>
      <c r="Q8" s="54"/>
      <c r="R8" s="54"/>
      <c r="S8" s="62">
        <f>'Options Mexico'!I206</f>
        <v>0</v>
      </c>
    </row>
    <row r="9" spans="2:19" x14ac:dyDescent="0.3">
      <c r="B9" s="55" t="s">
        <v>16</v>
      </c>
      <c r="C9" s="56"/>
      <c r="D9" s="56"/>
      <c r="E9" s="56"/>
      <c r="F9" s="56"/>
      <c r="G9" s="56"/>
      <c r="H9" s="56"/>
      <c r="I9" s="56"/>
      <c r="J9" s="56"/>
      <c r="K9" s="56"/>
      <c r="L9" s="56"/>
      <c r="M9" s="56"/>
      <c r="N9" s="56"/>
      <c r="O9" s="56"/>
      <c r="P9" s="56"/>
      <c r="Q9" s="56"/>
      <c r="R9" s="56"/>
      <c r="S9" s="92">
        <f>+S8+S7+S6</f>
        <v>0</v>
      </c>
    </row>
    <row r="10" spans="2:19" x14ac:dyDescent="0.3">
      <c r="B10" s="55"/>
      <c r="C10" s="50"/>
      <c r="D10" s="50"/>
      <c r="E10" s="50"/>
      <c r="F10" s="50"/>
      <c r="G10" s="50"/>
      <c r="H10" s="50"/>
      <c r="I10" s="50"/>
      <c r="J10" s="50"/>
      <c r="K10" s="50"/>
      <c r="L10" s="50"/>
      <c r="M10" s="50"/>
      <c r="N10" s="50"/>
      <c r="O10" s="50"/>
      <c r="P10" s="50"/>
      <c r="Q10" s="50"/>
      <c r="R10" s="50"/>
      <c r="S10" s="58"/>
    </row>
    <row r="11" spans="2:19" x14ac:dyDescent="0.3">
      <c r="B11" s="45" t="s">
        <v>17</v>
      </c>
      <c r="C11" s="51"/>
      <c r="D11" s="51"/>
      <c r="E11" s="51"/>
      <c r="F11" s="51"/>
      <c r="G11" s="51"/>
      <c r="H11" s="51"/>
      <c r="I11" s="51"/>
      <c r="J11" s="51"/>
      <c r="K11" s="51"/>
      <c r="L11" s="51"/>
      <c r="M11" s="51"/>
      <c r="N11" s="51"/>
      <c r="O11" s="51"/>
      <c r="P11" s="51"/>
      <c r="Q11" s="51"/>
      <c r="R11" s="51"/>
      <c r="S11" s="59"/>
    </row>
    <row r="12" spans="2:19" x14ac:dyDescent="0.3">
      <c r="B12" s="53" t="s">
        <v>18</v>
      </c>
      <c r="C12" s="60"/>
      <c r="D12" s="60"/>
      <c r="E12" s="60"/>
      <c r="F12" s="60"/>
      <c r="G12" s="60"/>
      <c r="H12" s="60"/>
      <c r="I12" s="60"/>
      <c r="J12" s="60"/>
      <c r="K12" s="60"/>
      <c r="L12" s="60"/>
      <c r="M12" s="60"/>
      <c r="N12" s="60"/>
      <c r="O12" s="60"/>
      <c r="P12" s="60"/>
      <c r="Q12" s="60"/>
      <c r="R12" s="60"/>
      <c r="S12" s="78">
        <f>'NDFs Peru'!P92</f>
        <v>0</v>
      </c>
    </row>
    <row r="13" spans="2:19" x14ac:dyDescent="0.3">
      <c r="B13" s="55" t="s">
        <v>19</v>
      </c>
      <c r="C13" s="56"/>
      <c r="D13" s="56"/>
      <c r="E13" s="56"/>
      <c r="F13" s="56"/>
      <c r="G13" s="56"/>
      <c r="H13" s="56"/>
      <c r="I13" s="56"/>
      <c r="J13" s="56"/>
      <c r="K13" s="56"/>
      <c r="L13" s="56"/>
      <c r="M13" s="56"/>
      <c r="N13" s="56"/>
      <c r="O13" s="56"/>
      <c r="P13" s="56"/>
      <c r="Q13" s="56"/>
      <c r="R13" s="56"/>
      <c r="S13" s="57">
        <f>+S11+S12</f>
        <v>0</v>
      </c>
    </row>
    <row r="14" spans="2:19" x14ac:dyDescent="0.3">
      <c r="S14" s="48"/>
    </row>
    <row r="15" spans="2:19" x14ac:dyDescent="0.3">
      <c r="C15" s="50"/>
      <c r="D15" s="50"/>
      <c r="E15" s="50"/>
      <c r="F15" s="50"/>
      <c r="G15" s="50"/>
      <c r="H15" s="50"/>
      <c r="I15" s="50"/>
      <c r="J15" s="50"/>
      <c r="K15" s="50"/>
      <c r="L15" s="50"/>
      <c r="M15" s="50"/>
      <c r="N15" s="50"/>
      <c r="O15" s="50"/>
      <c r="P15" s="50"/>
      <c r="Q15" s="50"/>
      <c r="R15" s="50"/>
      <c r="S15" s="58"/>
    </row>
    <row r="16" spans="2:19" x14ac:dyDescent="0.3">
      <c r="B16" s="45" t="s">
        <v>20</v>
      </c>
      <c r="C16" s="52"/>
      <c r="D16" s="52"/>
      <c r="E16" s="52"/>
      <c r="F16" s="52"/>
      <c r="G16" s="52"/>
      <c r="H16" s="52"/>
      <c r="I16" s="52"/>
      <c r="J16" s="52"/>
      <c r="K16" s="52"/>
      <c r="L16" s="52"/>
      <c r="M16" s="52"/>
      <c r="N16" s="52"/>
      <c r="O16" s="52"/>
      <c r="P16" s="52"/>
      <c r="Q16" s="52"/>
      <c r="R16" s="52"/>
      <c r="S16" s="59">
        <f>'Swaps-Chile'!O14</f>
        <v>0</v>
      </c>
    </row>
    <row r="17" spans="2:20" x14ac:dyDescent="0.3">
      <c r="B17" s="53" t="s">
        <v>21</v>
      </c>
      <c r="C17" s="54"/>
      <c r="D17" s="54"/>
      <c r="E17" s="54"/>
      <c r="F17" s="54"/>
      <c r="G17" s="54"/>
      <c r="H17" s="54"/>
      <c r="I17" s="54"/>
      <c r="J17" s="54"/>
      <c r="K17" s="54"/>
      <c r="L17" s="54"/>
      <c r="M17" s="54"/>
      <c r="N17" s="54"/>
      <c r="O17" s="54"/>
      <c r="P17" s="54"/>
      <c r="Q17" s="54"/>
      <c r="R17" s="54"/>
      <c r="S17" s="62">
        <f>'NDFs-Chile'!J360</f>
        <v>0</v>
      </c>
    </row>
    <row r="18" spans="2:20" x14ac:dyDescent="0.3">
      <c r="B18" s="55" t="s">
        <v>22</v>
      </c>
      <c r="C18" s="56"/>
      <c r="D18" s="56"/>
      <c r="E18" s="56"/>
      <c r="F18" s="56"/>
      <c r="G18" s="56"/>
      <c r="H18" s="56"/>
      <c r="I18" s="56"/>
      <c r="J18" s="56"/>
      <c r="K18" s="56"/>
      <c r="L18" s="56"/>
      <c r="M18" s="56"/>
      <c r="N18" s="56"/>
      <c r="O18" s="56"/>
      <c r="P18" s="56"/>
      <c r="Q18" s="56"/>
      <c r="R18" s="56"/>
      <c r="S18" s="92">
        <f>+S17+S16</f>
        <v>0</v>
      </c>
    </row>
    <row r="19" spans="2:20" x14ac:dyDescent="0.3">
      <c r="B19" s="55"/>
      <c r="C19" s="56"/>
      <c r="D19" s="56"/>
      <c r="E19" s="56"/>
      <c r="F19" s="56"/>
      <c r="G19" s="56"/>
      <c r="H19" s="56"/>
      <c r="I19" s="56"/>
      <c r="J19" s="56"/>
      <c r="K19" s="56"/>
      <c r="L19" s="56"/>
      <c r="M19" s="56"/>
      <c r="N19" s="56"/>
      <c r="O19" s="56"/>
      <c r="P19" s="56"/>
      <c r="Q19" s="56"/>
      <c r="R19" s="56"/>
      <c r="S19" s="57"/>
    </row>
    <row r="20" spans="2:20" x14ac:dyDescent="0.3">
      <c r="B20" s="45" t="s">
        <v>75</v>
      </c>
      <c r="C20" s="51"/>
      <c r="D20" s="51"/>
      <c r="E20" s="51"/>
      <c r="F20" s="51"/>
      <c r="G20" s="51"/>
      <c r="H20" s="51"/>
      <c r="I20" s="51"/>
      <c r="J20" s="51"/>
      <c r="K20" s="51"/>
      <c r="L20" s="51"/>
      <c r="M20" s="51"/>
      <c r="N20" s="51"/>
      <c r="O20" s="51"/>
      <c r="P20" s="51"/>
      <c r="Q20" s="51"/>
      <c r="R20" s="51"/>
      <c r="S20" s="59">
        <f>'Swaps Colombia'!N247</f>
        <v>0</v>
      </c>
    </row>
    <row r="21" spans="2:20" x14ac:dyDescent="0.3">
      <c r="B21" s="45" t="s">
        <v>76</v>
      </c>
      <c r="C21" s="61"/>
      <c r="D21" s="61"/>
      <c r="E21" s="61"/>
      <c r="F21" s="61"/>
      <c r="G21" s="61"/>
      <c r="H21" s="61"/>
      <c r="I21" s="61"/>
      <c r="J21" s="61"/>
      <c r="K21" s="61"/>
      <c r="L21" s="61"/>
      <c r="M21" s="61"/>
      <c r="N21" s="61"/>
      <c r="O21" s="61"/>
      <c r="P21" s="61"/>
      <c r="Q21" s="61"/>
      <c r="R21" s="61"/>
      <c r="S21" s="59">
        <f>'NDFs Colombia'!O13</f>
        <v>0</v>
      </c>
    </row>
    <row r="22" spans="2:20" x14ac:dyDescent="0.3">
      <c r="B22" s="53" t="s">
        <v>77</v>
      </c>
      <c r="C22" s="54"/>
      <c r="D22" s="54"/>
      <c r="E22" s="54"/>
      <c r="F22" s="54"/>
      <c r="G22" s="54"/>
      <c r="H22" s="54"/>
      <c r="I22" s="54"/>
      <c r="J22" s="54"/>
      <c r="K22" s="54"/>
      <c r="L22" s="54"/>
      <c r="M22" s="54"/>
      <c r="N22" s="54"/>
      <c r="O22" s="54"/>
      <c r="P22" s="54"/>
      <c r="Q22" s="54"/>
      <c r="R22" s="54"/>
      <c r="S22" s="62">
        <f>'Options Colombia'!H70</f>
        <v>0</v>
      </c>
    </row>
    <row r="23" spans="2:20" x14ac:dyDescent="0.3">
      <c r="B23" s="55" t="s">
        <v>26</v>
      </c>
      <c r="C23" s="56"/>
      <c r="D23" s="56"/>
      <c r="E23" s="56"/>
      <c r="F23" s="56"/>
      <c r="G23" s="56"/>
      <c r="H23" s="56"/>
      <c r="I23" s="56"/>
      <c r="J23" s="56"/>
      <c r="K23" s="56"/>
      <c r="L23" s="56"/>
      <c r="M23" s="56"/>
      <c r="N23" s="56"/>
      <c r="O23" s="56"/>
      <c r="P23" s="56"/>
      <c r="Q23" s="56"/>
      <c r="R23" s="56"/>
      <c r="S23" s="92">
        <f>+SUM(S20:S22)</f>
        <v>0</v>
      </c>
    </row>
    <row r="24" spans="2:20" x14ac:dyDescent="0.3">
      <c r="B24" s="55"/>
      <c r="C24" s="56"/>
      <c r="D24" s="56"/>
      <c r="E24" s="56"/>
      <c r="F24" s="56"/>
      <c r="G24" s="56"/>
      <c r="H24" s="56"/>
      <c r="I24" s="56"/>
      <c r="J24" s="56"/>
      <c r="K24" s="56"/>
      <c r="L24" s="56"/>
      <c r="M24" s="56"/>
      <c r="N24" s="56"/>
      <c r="O24" s="56"/>
      <c r="P24" s="56"/>
      <c r="Q24" s="56"/>
      <c r="R24" s="56"/>
      <c r="S24" s="57"/>
    </row>
    <row r="25" spans="2:20" x14ac:dyDescent="0.3">
      <c r="B25" s="47" t="s">
        <v>78</v>
      </c>
      <c r="C25" s="50"/>
      <c r="D25" s="50"/>
      <c r="E25" s="50"/>
      <c r="F25" s="50"/>
      <c r="G25" s="50"/>
      <c r="H25" s="50"/>
      <c r="I25" s="50"/>
      <c r="J25" s="50"/>
      <c r="K25" s="50"/>
      <c r="L25" s="50"/>
      <c r="M25" s="50"/>
      <c r="N25" s="50"/>
      <c r="O25" s="50"/>
      <c r="P25" s="50"/>
      <c r="Q25" s="50"/>
      <c r="R25" s="50"/>
      <c r="S25" s="58"/>
    </row>
    <row r="26" spans="2:20" x14ac:dyDescent="0.3">
      <c r="B26" s="45" t="s">
        <v>23</v>
      </c>
      <c r="C26" s="51"/>
      <c r="D26" s="51"/>
      <c r="E26" s="51"/>
      <c r="F26" s="51"/>
      <c r="G26" s="51"/>
      <c r="H26" s="51"/>
      <c r="I26" s="51"/>
      <c r="J26" s="51"/>
      <c r="K26" s="51"/>
      <c r="L26" s="51"/>
      <c r="M26" s="51"/>
      <c r="N26" s="51"/>
      <c r="O26" s="51"/>
      <c r="P26" s="51"/>
      <c r="Q26" s="51"/>
      <c r="R26" s="51"/>
      <c r="S26" s="59">
        <f>SUM(S6,S11,S16,S20)</f>
        <v>0</v>
      </c>
    </row>
    <row r="27" spans="2:20" x14ac:dyDescent="0.3">
      <c r="B27" s="45" t="s">
        <v>24</v>
      </c>
      <c r="C27" s="51"/>
      <c r="D27" s="51"/>
      <c r="E27" s="51"/>
      <c r="F27" s="51"/>
      <c r="G27" s="51"/>
      <c r="H27" s="51"/>
      <c r="I27" s="51"/>
      <c r="J27" s="51"/>
      <c r="K27" s="51"/>
      <c r="L27" s="51"/>
      <c r="M27" s="51"/>
      <c r="N27" s="51"/>
      <c r="O27" s="51"/>
      <c r="P27" s="51"/>
      <c r="Q27" s="51"/>
      <c r="R27" s="51"/>
      <c r="S27" s="59">
        <f>SUM(S7,S12,S17,S21)</f>
        <v>0</v>
      </c>
    </row>
    <row r="28" spans="2:20" x14ac:dyDescent="0.3">
      <c r="B28" s="53" t="s">
        <v>27</v>
      </c>
      <c r="C28" s="54"/>
      <c r="D28" s="54"/>
      <c r="E28" s="54"/>
      <c r="F28" s="54"/>
      <c r="G28" s="54"/>
      <c r="H28" s="54"/>
      <c r="I28" s="54"/>
      <c r="J28" s="54"/>
      <c r="K28" s="54"/>
      <c r="L28" s="54"/>
      <c r="M28" s="54"/>
      <c r="N28" s="54"/>
      <c r="O28" s="54"/>
      <c r="P28" s="54"/>
      <c r="Q28" s="54"/>
      <c r="R28" s="54"/>
      <c r="S28" s="62">
        <f>SUM(S8+S22)</f>
        <v>0</v>
      </c>
    </row>
    <row r="29" spans="2:20" ht="14.4" thickBot="1" x14ac:dyDescent="0.35">
      <c r="B29" s="55" t="s">
        <v>57</v>
      </c>
      <c r="C29" s="56"/>
      <c r="D29" s="56"/>
      <c r="E29" s="56"/>
      <c r="F29" s="56"/>
      <c r="G29" s="56"/>
      <c r="H29" s="56"/>
      <c r="I29" s="56"/>
      <c r="J29" s="56"/>
      <c r="K29" s="56"/>
      <c r="L29" s="56"/>
      <c r="M29" s="56"/>
      <c r="N29" s="56"/>
      <c r="O29" s="56"/>
      <c r="P29" s="56"/>
      <c r="Q29" s="56"/>
      <c r="R29" s="56"/>
      <c r="S29" s="63">
        <f>+SUM(S26:S28)</f>
        <v>0</v>
      </c>
    </row>
    <row r="30" spans="2:20" x14ac:dyDescent="0.3">
      <c r="C30" s="64">
        <v>0.1841453398810185</v>
      </c>
      <c r="D30" s="64">
        <v>0.18106298124324999</v>
      </c>
      <c r="E30" s="64">
        <v>0.18722351775352883</v>
      </c>
      <c r="F30" s="64">
        <v>0.22056125628654585</v>
      </c>
      <c r="G30" s="64">
        <v>0.22364157203591054</v>
      </c>
      <c r="H30" s="64">
        <v>0.26278783844682274</v>
      </c>
      <c r="I30" s="64">
        <v>0.45484904971247636</v>
      </c>
      <c r="J30" s="64">
        <v>0.1919167770570856</v>
      </c>
      <c r="K30" s="64">
        <v>0.18899150876279161</v>
      </c>
      <c r="L30" s="64">
        <v>0.17672246637876751</v>
      </c>
      <c r="M30" s="64">
        <v>0.18709058142059615</v>
      </c>
      <c r="N30" s="64">
        <v>0.19567251159886195</v>
      </c>
      <c r="O30" s="64">
        <v>0.22301452125407531</v>
      </c>
      <c r="P30" s="64">
        <v>0.23480831250484285</v>
      </c>
      <c r="Q30" s="64">
        <v>0.23629879841288301</v>
      </c>
      <c r="R30" s="64">
        <v>0.23621055173640054</v>
      </c>
      <c r="S30" s="64">
        <f>S29/$B$31</f>
        <v>0</v>
      </c>
      <c r="T30" s="161"/>
    </row>
    <row r="31" spans="2:20" x14ac:dyDescent="0.3">
      <c r="B31" s="65">
        <v>8000000000</v>
      </c>
      <c r="C31" s="66"/>
      <c r="D31" s="66"/>
      <c r="E31" s="66"/>
      <c r="F31" s="66"/>
      <c r="G31" s="66"/>
      <c r="H31" s="66"/>
      <c r="I31" s="66"/>
      <c r="J31" s="66"/>
      <c r="K31" s="66"/>
      <c r="L31" s="66"/>
      <c r="M31" s="66"/>
      <c r="N31" s="66"/>
      <c r="O31" s="66"/>
      <c r="P31" s="66"/>
      <c r="Q31" s="66"/>
      <c r="R31" s="66">
        <v>0.17672246637876751</v>
      </c>
      <c r="S31" s="66">
        <f>MIN($C30:S30)</f>
        <v>0</v>
      </c>
    </row>
    <row r="32" spans="2:20" x14ac:dyDescent="0.3">
      <c r="B32" s="49" t="s">
        <v>56</v>
      </c>
      <c r="C32" s="67"/>
      <c r="D32" s="67"/>
      <c r="E32" s="67"/>
      <c r="F32" s="67"/>
      <c r="G32" s="67"/>
      <c r="H32" s="67"/>
      <c r="I32" s="67"/>
      <c r="J32" s="67"/>
      <c r="K32" s="67"/>
      <c r="L32" s="67"/>
      <c r="M32" s="67"/>
      <c r="N32" s="67"/>
      <c r="O32" s="67"/>
      <c r="P32" s="67"/>
      <c r="Q32" s="67"/>
      <c r="R32" s="67">
        <v>0.45484904971247636</v>
      </c>
      <c r="S32" s="68">
        <f>MAX($C30:S30)</f>
        <v>0.45484904971247636</v>
      </c>
    </row>
    <row r="33" spans="2:21" ht="14.4" x14ac:dyDescent="0.3">
      <c r="C33" s="52"/>
      <c r="D33" s="52"/>
      <c r="E33" s="52"/>
      <c r="F33" s="52"/>
      <c r="G33" s="52"/>
      <c r="H33" s="52"/>
      <c r="I33" s="52"/>
      <c r="J33" s="52"/>
      <c r="K33" s="52"/>
      <c r="L33" s="52"/>
      <c r="M33" s="52"/>
      <c r="N33" s="52"/>
      <c r="O33" s="52"/>
      <c r="P33" s="52"/>
      <c r="Q33" s="52"/>
      <c r="R33" s="52"/>
      <c r="S33" s="26"/>
    </row>
    <row r="34" spans="2:21" x14ac:dyDescent="0.3">
      <c r="C34" s="51"/>
      <c r="D34" s="51"/>
      <c r="E34" s="51"/>
      <c r="F34" s="51"/>
      <c r="G34" s="51"/>
      <c r="H34" s="51"/>
      <c r="I34" s="51"/>
      <c r="J34" s="51"/>
      <c r="K34" s="51"/>
      <c r="L34" s="51"/>
      <c r="M34" s="51"/>
      <c r="N34" s="51"/>
      <c r="O34" s="51"/>
      <c r="P34" s="51"/>
      <c r="Q34" s="51"/>
      <c r="R34" s="51"/>
      <c r="S34" s="51"/>
    </row>
    <row r="35" spans="2:21" x14ac:dyDescent="0.3">
      <c r="B35" s="69" t="s">
        <v>58</v>
      </c>
      <c r="C35" s="71">
        <v>0</v>
      </c>
      <c r="D35" s="71">
        <v>0</v>
      </c>
      <c r="E35" s="71">
        <v>0</v>
      </c>
      <c r="F35" s="71">
        <v>0</v>
      </c>
      <c r="G35" s="71">
        <v>0</v>
      </c>
      <c r="H35" s="71">
        <v>0</v>
      </c>
      <c r="I35" s="71">
        <v>0</v>
      </c>
      <c r="J35" s="71">
        <v>0</v>
      </c>
      <c r="K35" s="71">
        <v>0</v>
      </c>
      <c r="L35" s="71">
        <v>0</v>
      </c>
      <c r="M35" s="71">
        <v>0</v>
      </c>
      <c r="N35" s="71">
        <v>0</v>
      </c>
      <c r="O35" s="71">
        <v>0</v>
      </c>
      <c r="P35" s="71">
        <v>0</v>
      </c>
      <c r="Q35" s="71">
        <v>0</v>
      </c>
      <c r="R35" s="71">
        <v>0</v>
      </c>
      <c r="S35" s="70">
        <f>+SUM(S33:S34)</f>
        <v>0</v>
      </c>
    </row>
    <row r="37" spans="2:21" x14ac:dyDescent="0.3">
      <c r="B37" s="55" t="s">
        <v>54</v>
      </c>
      <c r="C37" s="72">
        <v>1473162719.0481479</v>
      </c>
      <c r="D37" s="72">
        <v>1448503849.9459999</v>
      </c>
      <c r="E37" s="72">
        <v>1497788142.0282307</v>
      </c>
      <c r="F37" s="72">
        <v>1764490050.2923667</v>
      </c>
      <c r="G37" s="72">
        <v>1789132576.2872844</v>
      </c>
      <c r="H37" s="72">
        <v>2102302707.5745819</v>
      </c>
      <c r="I37" s="72">
        <v>3638792397.699811</v>
      </c>
      <c r="J37" s="72">
        <v>1535334216.4566848</v>
      </c>
      <c r="K37" s="72">
        <v>1511932070.1023328</v>
      </c>
      <c r="L37" s="72">
        <v>1413779731.0301402</v>
      </c>
      <c r="M37" s="72">
        <v>1496724651.3647692</v>
      </c>
      <c r="N37" s="72">
        <v>1565380092.7908957</v>
      </c>
      <c r="O37" s="72">
        <v>1784116170.0326025</v>
      </c>
      <c r="P37" s="72">
        <v>1878466500.0387428</v>
      </c>
      <c r="Q37" s="72">
        <v>1890390387.3030682</v>
      </c>
      <c r="R37" s="72">
        <v>1889684413.8912044</v>
      </c>
      <c r="S37" s="73">
        <f>+S29+S35</f>
        <v>0</v>
      </c>
    </row>
    <row r="39" spans="2:21" x14ac:dyDescent="0.3">
      <c r="B39" s="45" t="s">
        <v>28</v>
      </c>
    </row>
    <row r="42" spans="2:21" x14ac:dyDescent="0.3">
      <c r="C42" s="74"/>
      <c r="D42" s="74"/>
      <c r="E42" s="74"/>
      <c r="F42" s="74"/>
      <c r="G42" s="74"/>
      <c r="H42" s="74"/>
      <c r="I42" s="74"/>
      <c r="J42" s="74"/>
      <c r="K42" s="74"/>
      <c r="L42" s="74"/>
      <c r="M42" s="74"/>
      <c r="N42" s="74"/>
      <c r="O42" s="74"/>
      <c r="P42" s="74"/>
      <c r="Q42" s="74"/>
      <c r="R42" s="74"/>
      <c r="U42" s="87"/>
    </row>
  </sheetData>
  <pageMargins left="0.25" right="0.25" top="0.75" bottom="0.75" header="0.3" footer="0.3"/>
  <pageSetup paperSize="5" scale="68"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U88"/>
  <sheetViews>
    <sheetView zoomScaleNormal="100" workbookViewId="0">
      <selection activeCell="A3" sqref="A3:O9"/>
    </sheetView>
  </sheetViews>
  <sheetFormatPr defaultColWidth="11.44140625" defaultRowHeight="14.4" x14ac:dyDescent="0.3"/>
  <cols>
    <col min="1" max="1" width="19.44140625" customWidth="1"/>
    <col min="2" max="2" width="11.88671875" bestFit="1" customWidth="1"/>
    <col min="5" max="5" width="16.44140625" bestFit="1" customWidth="1"/>
    <col min="7" max="7" width="6.88671875" customWidth="1"/>
    <col min="8" max="8" width="16.5546875" style="5" bestFit="1" customWidth="1"/>
    <col min="9" max="9" width="12.5546875" customWidth="1"/>
    <col min="10" max="10" width="6.88671875" customWidth="1"/>
    <col min="12" max="12" width="28" bestFit="1" customWidth="1"/>
    <col min="14" max="14" width="16.88671875" style="5" customWidth="1"/>
    <col min="15" max="15" width="12.109375" bestFit="1" customWidth="1"/>
    <col min="21" max="21" width="19.44140625" customWidth="1"/>
  </cols>
  <sheetData>
    <row r="1" spans="1:21" ht="28.8" x14ac:dyDescent="0.3">
      <c r="A1" s="6" t="s">
        <v>0</v>
      </c>
      <c r="B1" s="6" t="s">
        <v>1</v>
      </c>
      <c r="C1" s="6" t="s">
        <v>41</v>
      </c>
      <c r="D1" s="6" t="s">
        <v>34</v>
      </c>
      <c r="E1" s="6" t="s">
        <v>42</v>
      </c>
      <c r="F1" s="6" t="s">
        <v>43</v>
      </c>
      <c r="G1" s="6" t="s">
        <v>44</v>
      </c>
      <c r="H1" s="7" t="s">
        <v>45</v>
      </c>
      <c r="I1" s="6" t="s">
        <v>46</v>
      </c>
      <c r="J1" s="6" t="s">
        <v>47</v>
      </c>
      <c r="K1" s="6" t="s">
        <v>48</v>
      </c>
      <c r="L1" s="6" t="s">
        <v>2</v>
      </c>
      <c r="M1" s="6" t="s">
        <v>49</v>
      </c>
      <c r="N1" s="7" t="s">
        <v>50</v>
      </c>
      <c r="O1" s="4" t="s">
        <v>73</v>
      </c>
      <c r="P1" s="86"/>
      <c r="Q1" s="86"/>
      <c r="R1" s="86"/>
    </row>
    <row r="2" spans="1:21" ht="43.2" x14ac:dyDescent="0.3">
      <c r="A2" s="6" t="s">
        <v>30</v>
      </c>
      <c r="B2" s="6" t="s">
        <v>31</v>
      </c>
      <c r="C2" s="6" t="s">
        <v>51</v>
      </c>
      <c r="D2" s="6" t="s">
        <v>52</v>
      </c>
      <c r="E2" s="6" t="s">
        <v>35</v>
      </c>
      <c r="F2" s="6" t="s">
        <v>36</v>
      </c>
      <c r="G2" s="6" t="s">
        <v>37</v>
      </c>
      <c r="H2" s="7" t="s">
        <v>38</v>
      </c>
      <c r="I2" s="6" t="s">
        <v>39</v>
      </c>
      <c r="J2" s="6" t="s">
        <v>40</v>
      </c>
      <c r="K2" s="6" t="s">
        <v>53</v>
      </c>
      <c r="L2" s="6" t="s">
        <v>3</v>
      </c>
      <c r="M2" s="6" t="s">
        <v>49</v>
      </c>
      <c r="N2" s="7" t="s">
        <v>33</v>
      </c>
      <c r="O2" s="4" t="s">
        <v>72</v>
      </c>
      <c r="P2" s="86"/>
      <c r="Q2" s="86"/>
      <c r="R2" s="86"/>
    </row>
    <row r="3" spans="1:21" x14ac:dyDescent="0.3">
      <c r="A3" s="86"/>
      <c r="B3" s="86"/>
      <c r="C3" s="102"/>
      <c r="E3" s="162"/>
      <c r="H3" s="162"/>
      <c r="N3" s="162"/>
      <c r="O3" s="163"/>
      <c r="P3" s="86"/>
      <c r="Q3" s="86"/>
      <c r="R3" s="86"/>
    </row>
    <row r="4" spans="1:21" x14ac:dyDescent="0.3">
      <c r="A4" s="86"/>
      <c r="B4" s="86"/>
      <c r="C4" s="102"/>
      <c r="E4" s="162"/>
      <c r="H4" s="162"/>
      <c r="N4" s="162"/>
      <c r="O4" s="163"/>
      <c r="P4" s="86"/>
      <c r="Q4" s="86"/>
      <c r="R4" s="86"/>
    </row>
    <row r="5" spans="1:21" x14ac:dyDescent="0.3">
      <c r="A5" s="86"/>
      <c r="B5" s="86"/>
      <c r="C5" s="102"/>
      <c r="E5" s="103"/>
      <c r="H5" s="103"/>
      <c r="N5" s="162"/>
      <c r="O5" s="163"/>
      <c r="P5" s="86"/>
      <c r="Q5" s="86"/>
      <c r="R5" s="86"/>
    </row>
    <row r="6" spans="1:21" x14ac:dyDescent="0.3">
      <c r="A6" s="86"/>
      <c r="B6" s="86"/>
      <c r="C6" s="102"/>
      <c r="E6" s="103"/>
      <c r="H6" s="103"/>
      <c r="N6" s="162"/>
      <c r="O6" s="163"/>
      <c r="P6" s="86"/>
      <c r="Q6" s="86"/>
      <c r="R6" s="86"/>
      <c r="U6" s="164">
        <f>SUM(N3:N9)</f>
        <v>0</v>
      </c>
    </row>
    <row r="7" spans="1:21" x14ac:dyDescent="0.3">
      <c r="A7" s="86"/>
      <c r="B7" s="86"/>
      <c r="C7" s="102"/>
      <c r="E7" s="103"/>
      <c r="H7" s="103"/>
      <c r="N7" s="162"/>
      <c r="O7" s="163"/>
      <c r="P7" s="86"/>
      <c r="Q7" s="86"/>
      <c r="R7" s="86"/>
    </row>
    <row r="8" spans="1:21" x14ac:dyDescent="0.3">
      <c r="A8" s="86"/>
      <c r="B8" s="86"/>
      <c r="C8" s="102"/>
      <c r="E8" s="103"/>
      <c r="H8" s="103"/>
      <c r="N8" s="162"/>
      <c r="O8" s="163"/>
      <c r="P8" s="86"/>
      <c r="Q8" s="86"/>
      <c r="R8" s="86"/>
    </row>
    <row r="9" spans="1:21" x14ac:dyDescent="0.3">
      <c r="A9" s="86"/>
      <c r="B9" s="86"/>
      <c r="C9" s="102"/>
      <c r="E9" s="103"/>
      <c r="H9" s="103"/>
      <c r="N9" s="103"/>
      <c r="O9" s="163"/>
      <c r="P9" s="86"/>
      <c r="Q9" s="86"/>
      <c r="R9" s="86"/>
    </row>
    <row r="10" spans="1:21" x14ac:dyDescent="0.3">
      <c r="A10" s="86"/>
      <c r="B10" s="86"/>
      <c r="C10" s="86"/>
      <c r="D10" s="86"/>
      <c r="E10" s="86"/>
      <c r="F10" s="86"/>
      <c r="G10" s="86"/>
      <c r="H10" s="86"/>
      <c r="I10" s="86"/>
      <c r="J10" s="86"/>
      <c r="K10" s="86"/>
      <c r="L10" s="86"/>
      <c r="M10" s="86"/>
      <c r="N10" s="86"/>
      <c r="O10" s="86"/>
      <c r="P10" s="86"/>
      <c r="Q10" s="86"/>
      <c r="R10" s="86"/>
    </row>
    <row r="11" spans="1:21" x14ac:dyDescent="0.3">
      <c r="A11" s="86"/>
      <c r="B11" s="86"/>
      <c r="C11" s="86"/>
      <c r="D11" s="86"/>
      <c r="E11" s="86"/>
      <c r="F11" s="86"/>
      <c r="G11" s="86"/>
      <c r="H11" s="86"/>
      <c r="I11" s="86"/>
      <c r="J11" s="86"/>
      <c r="K11" s="86"/>
      <c r="L11" s="86"/>
      <c r="M11" s="86"/>
      <c r="N11" s="86"/>
      <c r="O11" s="86"/>
      <c r="P11" s="86"/>
      <c r="Q11" s="86"/>
      <c r="R11" s="86"/>
    </row>
    <row r="12" spans="1:21" x14ac:dyDescent="0.3">
      <c r="A12" s="86"/>
      <c r="B12" s="86"/>
      <c r="C12" s="86"/>
      <c r="D12" s="86"/>
      <c r="E12" s="86"/>
      <c r="F12" s="86"/>
      <c r="G12" s="86"/>
      <c r="H12" s="86"/>
      <c r="I12" s="86"/>
      <c r="J12" s="86"/>
      <c r="K12" s="86"/>
      <c r="L12" s="86"/>
      <c r="M12" s="86"/>
      <c r="N12" s="86"/>
      <c r="O12" s="86"/>
      <c r="P12" s="86"/>
      <c r="Q12" s="86"/>
      <c r="R12" s="86"/>
    </row>
    <row r="13" spans="1:21" x14ac:dyDescent="0.3">
      <c r="A13" s="86"/>
      <c r="B13" s="86"/>
      <c r="C13" s="86"/>
      <c r="D13" s="86"/>
      <c r="E13" s="86"/>
      <c r="F13" s="86"/>
      <c r="G13" s="86"/>
      <c r="H13" s="86"/>
      <c r="I13" s="86"/>
      <c r="J13" s="86"/>
      <c r="K13" s="86"/>
      <c r="L13" s="86"/>
      <c r="M13" s="86"/>
      <c r="N13" s="86"/>
      <c r="O13" s="86"/>
      <c r="P13" s="86"/>
      <c r="Q13" s="86"/>
      <c r="R13" s="86"/>
    </row>
    <row r="14" spans="1:21" x14ac:dyDescent="0.3">
      <c r="A14" s="86"/>
      <c r="B14" s="86"/>
      <c r="C14" s="86"/>
      <c r="D14" s="86"/>
      <c r="E14" s="86"/>
      <c r="F14" s="86"/>
      <c r="G14" s="86"/>
      <c r="H14" s="86"/>
      <c r="I14" s="86"/>
      <c r="J14" s="86"/>
      <c r="K14" s="86"/>
      <c r="L14" s="86"/>
      <c r="M14" s="86"/>
      <c r="N14" s="86"/>
      <c r="O14" s="86"/>
      <c r="P14" s="86"/>
      <c r="Q14" s="86"/>
      <c r="R14" s="86"/>
    </row>
    <row r="15" spans="1:21" x14ac:dyDescent="0.3">
      <c r="A15" s="86"/>
      <c r="B15" s="86"/>
      <c r="C15" s="86"/>
      <c r="D15" s="86"/>
      <c r="E15" s="86"/>
      <c r="F15" s="86"/>
      <c r="G15" s="86"/>
      <c r="H15" s="86"/>
      <c r="I15" s="86"/>
      <c r="J15" s="86"/>
      <c r="K15" s="86"/>
      <c r="L15" s="86"/>
      <c r="M15" s="86"/>
      <c r="N15" s="86"/>
      <c r="O15" s="86"/>
      <c r="P15" s="86"/>
      <c r="Q15" s="86"/>
      <c r="R15" s="86"/>
    </row>
    <row r="16" spans="1:21" x14ac:dyDescent="0.3">
      <c r="A16" s="86"/>
      <c r="B16" s="86"/>
      <c r="C16" s="86"/>
      <c r="D16" s="86"/>
      <c r="E16" s="86"/>
      <c r="F16" s="86"/>
      <c r="G16" s="86"/>
      <c r="H16" s="86"/>
      <c r="I16" s="86"/>
      <c r="J16" s="86"/>
      <c r="K16" s="86"/>
      <c r="L16" s="86"/>
      <c r="M16" s="86"/>
      <c r="N16" s="86"/>
      <c r="O16" s="86"/>
      <c r="P16" s="86"/>
      <c r="Q16" s="86"/>
      <c r="R16" s="86"/>
    </row>
    <row r="17" spans="1:18" x14ac:dyDescent="0.3">
      <c r="A17" s="86"/>
      <c r="B17" s="86"/>
      <c r="C17" s="86"/>
      <c r="D17" s="86"/>
      <c r="E17" s="86"/>
      <c r="F17" s="86"/>
      <c r="G17" s="86"/>
      <c r="H17" s="86"/>
      <c r="I17" s="86"/>
      <c r="J17" s="86"/>
      <c r="K17" s="86"/>
      <c r="L17" s="86"/>
      <c r="M17" s="86"/>
      <c r="N17" s="86"/>
      <c r="O17" s="86"/>
      <c r="P17" s="86"/>
      <c r="Q17" s="86"/>
      <c r="R17" s="86"/>
    </row>
    <row r="18" spans="1:18" x14ac:dyDescent="0.3">
      <c r="A18" s="86"/>
      <c r="B18" s="86"/>
      <c r="C18" s="86"/>
      <c r="D18" s="86"/>
      <c r="E18" s="86"/>
      <c r="F18" s="86"/>
      <c r="G18" s="86"/>
      <c r="H18" s="86"/>
      <c r="I18" s="86"/>
      <c r="J18" s="86"/>
      <c r="K18" s="86"/>
      <c r="L18" s="86"/>
      <c r="M18" s="86"/>
      <c r="N18" s="86"/>
      <c r="O18" s="86"/>
      <c r="P18" s="86"/>
      <c r="Q18" s="86"/>
      <c r="R18" s="86"/>
    </row>
    <row r="19" spans="1:18" x14ac:dyDescent="0.3">
      <c r="A19" s="86"/>
      <c r="B19" s="86"/>
      <c r="C19" s="86"/>
      <c r="D19" s="86"/>
      <c r="E19" s="86"/>
      <c r="F19" s="86"/>
      <c r="G19" s="86"/>
      <c r="H19" s="86"/>
      <c r="I19" s="86"/>
      <c r="J19" s="86"/>
      <c r="K19" s="86"/>
      <c r="L19" s="86"/>
      <c r="M19" s="86"/>
      <c r="N19" s="86"/>
      <c r="O19" s="86"/>
      <c r="P19" s="86"/>
      <c r="Q19" s="86"/>
      <c r="R19" s="86"/>
    </row>
    <row r="20" spans="1:18" x14ac:dyDescent="0.3">
      <c r="A20" s="86"/>
      <c r="B20" s="86"/>
      <c r="C20" s="86"/>
      <c r="D20" s="86"/>
      <c r="E20" s="86"/>
      <c r="F20" s="86"/>
      <c r="G20" s="86"/>
      <c r="H20" s="86"/>
      <c r="I20" s="86"/>
      <c r="J20" s="86"/>
      <c r="K20" s="86"/>
      <c r="L20" s="86"/>
      <c r="M20" s="86"/>
      <c r="N20" s="86"/>
      <c r="O20" s="86"/>
      <c r="P20" s="86"/>
      <c r="Q20" s="86"/>
      <c r="R20" s="86"/>
    </row>
    <row r="21" spans="1:18" x14ac:dyDescent="0.3">
      <c r="A21" s="86"/>
      <c r="B21" s="86"/>
      <c r="C21" s="86"/>
      <c r="D21" s="86"/>
      <c r="E21" s="86"/>
      <c r="F21" s="86"/>
      <c r="G21" s="86"/>
      <c r="H21" s="86"/>
      <c r="I21" s="86"/>
      <c r="J21" s="86"/>
      <c r="K21" s="86"/>
      <c r="L21" s="86"/>
      <c r="M21" s="86"/>
      <c r="N21" s="86"/>
      <c r="O21" s="86"/>
      <c r="P21" s="86"/>
      <c r="Q21" s="86"/>
      <c r="R21" s="86"/>
    </row>
    <row r="22" spans="1:18" x14ac:dyDescent="0.3">
      <c r="A22" s="86"/>
      <c r="B22" s="86"/>
      <c r="C22" s="86"/>
      <c r="D22" s="86"/>
      <c r="E22" s="86"/>
      <c r="F22" s="86"/>
      <c r="G22" s="86"/>
      <c r="H22" s="86"/>
      <c r="I22" s="86"/>
      <c r="J22" s="86"/>
      <c r="K22" s="86"/>
      <c r="L22" s="86"/>
      <c r="M22" s="86"/>
      <c r="N22" s="86"/>
      <c r="O22" s="86"/>
      <c r="P22" s="86"/>
      <c r="Q22" s="86"/>
      <c r="R22" s="86"/>
    </row>
    <row r="23" spans="1:18" x14ac:dyDescent="0.3">
      <c r="A23" s="86"/>
      <c r="B23" s="86"/>
      <c r="C23" s="86"/>
      <c r="D23" s="86"/>
      <c r="E23" s="86"/>
      <c r="F23" s="86"/>
      <c r="G23" s="86"/>
      <c r="H23" s="86"/>
      <c r="I23" s="86"/>
      <c r="J23" s="86"/>
      <c r="K23" s="86"/>
      <c r="L23" s="86"/>
      <c r="M23" s="86"/>
      <c r="N23" s="86"/>
      <c r="O23" s="86"/>
      <c r="P23" s="86"/>
      <c r="Q23" s="86"/>
      <c r="R23" s="86"/>
    </row>
    <row r="24" spans="1:18" x14ac:dyDescent="0.3">
      <c r="A24" s="86"/>
      <c r="B24" s="86"/>
      <c r="C24" s="86"/>
      <c r="D24" s="86"/>
      <c r="E24" s="86"/>
      <c r="F24" s="86"/>
      <c r="G24" s="86"/>
      <c r="H24" s="86"/>
      <c r="I24" s="86"/>
      <c r="J24" s="86"/>
      <c r="K24" s="86"/>
      <c r="L24" s="86"/>
      <c r="M24" s="86"/>
      <c r="N24" s="86"/>
      <c r="O24" s="86"/>
      <c r="P24" s="86"/>
      <c r="Q24" s="86"/>
      <c r="R24" s="86"/>
    </row>
    <row r="25" spans="1:18" x14ac:dyDescent="0.3">
      <c r="A25" s="86"/>
      <c r="B25" s="86"/>
      <c r="C25" s="86"/>
      <c r="D25" s="86"/>
      <c r="E25" s="86"/>
      <c r="F25" s="86"/>
      <c r="G25" s="86"/>
      <c r="H25" s="86"/>
      <c r="I25" s="86"/>
      <c r="J25" s="86"/>
      <c r="K25" s="86"/>
      <c r="L25" s="86"/>
      <c r="M25" s="86"/>
      <c r="N25" s="86"/>
      <c r="O25" s="86"/>
      <c r="P25" s="86"/>
      <c r="Q25" s="86"/>
      <c r="R25" s="86"/>
    </row>
    <row r="26" spans="1:18" x14ac:dyDescent="0.3">
      <c r="A26" s="86"/>
      <c r="B26" s="86"/>
      <c r="C26" s="86"/>
      <c r="D26" s="86"/>
      <c r="E26" s="86"/>
      <c r="F26" s="86"/>
      <c r="G26" s="86"/>
      <c r="H26" s="86"/>
      <c r="I26" s="86"/>
      <c r="J26" s="86"/>
      <c r="K26" s="86"/>
      <c r="L26" s="86"/>
      <c r="M26" s="86"/>
      <c r="N26" s="86"/>
      <c r="O26" s="86"/>
      <c r="P26" s="86"/>
      <c r="Q26" s="86"/>
      <c r="R26" s="86"/>
    </row>
    <row r="27" spans="1:18" x14ac:dyDescent="0.3">
      <c r="A27" s="86"/>
      <c r="B27" s="86"/>
      <c r="C27" s="86"/>
      <c r="D27" s="86"/>
      <c r="E27" s="86"/>
      <c r="F27" s="86"/>
      <c r="G27" s="86"/>
      <c r="H27" s="86"/>
      <c r="I27" s="86"/>
      <c r="J27" s="86"/>
      <c r="K27" s="86"/>
      <c r="L27" s="86"/>
      <c r="M27" s="86"/>
      <c r="N27" s="86"/>
      <c r="O27" s="86"/>
      <c r="P27" s="86"/>
      <c r="Q27" s="86"/>
      <c r="R27" s="86"/>
    </row>
    <row r="28" spans="1:18" x14ac:dyDescent="0.3">
      <c r="A28" s="86"/>
      <c r="B28" s="86"/>
      <c r="C28" s="86"/>
      <c r="D28" s="86"/>
      <c r="E28" s="86"/>
      <c r="F28" s="86"/>
      <c r="G28" s="86"/>
      <c r="H28" s="86"/>
      <c r="I28" s="86"/>
      <c r="J28" s="86"/>
      <c r="K28" s="86"/>
      <c r="L28" s="86"/>
      <c r="M28" s="86"/>
      <c r="N28" s="86"/>
      <c r="O28" s="86"/>
      <c r="P28" s="86"/>
      <c r="Q28" s="86"/>
      <c r="R28" s="86"/>
    </row>
    <row r="29" spans="1:18" x14ac:dyDescent="0.3">
      <c r="A29" s="86"/>
      <c r="B29" s="86"/>
      <c r="C29" s="86"/>
      <c r="D29" s="86"/>
      <c r="E29" s="86"/>
      <c r="F29" s="86"/>
      <c r="G29" s="86"/>
      <c r="H29" s="86"/>
      <c r="I29" s="86"/>
      <c r="J29" s="86"/>
      <c r="K29" s="86"/>
      <c r="L29" s="86"/>
      <c r="M29" s="86"/>
      <c r="N29" s="86"/>
      <c r="O29" s="86"/>
      <c r="P29" s="86"/>
      <c r="Q29" s="86"/>
      <c r="R29" s="86"/>
    </row>
    <row r="30" spans="1:18" x14ac:dyDescent="0.3">
      <c r="A30" s="86"/>
      <c r="B30" s="86"/>
      <c r="C30" s="86"/>
      <c r="D30" s="86"/>
      <c r="E30" s="86"/>
      <c r="F30" s="86"/>
      <c r="G30" s="86"/>
      <c r="H30" s="86"/>
      <c r="I30" s="86"/>
      <c r="J30" s="86"/>
      <c r="K30" s="86"/>
      <c r="L30" s="86"/>
      <c r="M30" s="86"/>
      <c r="N30" s="86"/>
      <c r="O30" s="86"/>
      <c r="P30" s="86"/>
      <c r="Q30" s="86"/>
      <c r="R30" s="86"/>
    </row>
    <row r="31" spans="1:18" x14ac:dyDescent="0.3">
      <c r="A31" s="86"/>
      <c r="B31" s="86"/>
      <c r="C31" s="86"/>
      <c r="D31" s="86"/>
      <c r="E31" s="86"/>
      <c r="F31" s="86"/>
      <c r="G31" s="86"/>
      <c r="H31" s="86"/>
      <c r="I31" s="86"/>
      <c r="J31" s="86"/>
      <c r="K31" s="86"/>
      <c r="L31" s="86"/>
      <c r="M31" s="86"/>
      <c r="N31" s="86"/>
      <c r="O31" s="86"/>
      <c r="P31" s="86"/>
      <c r="Q31" s="86"/>
      <c r="R31" s="86"/>
    </row>
    <row r="32" spans="1:18" x14ac:dyDescent="0.3">
      <c r="A32" s="86"/>
      <c r="B32" s="86"/>
      <c r="C32" s="86"/>
      <c r="D32" s="86"/>
      <c r="E32" s="86"/>
      <c r="F32" s="86"/>
      <c r="G32" s="86"/>
      <c r="H32" s="86"/>
      <c r="I32" s="86"/>
      <c r="J32" s="86"/>
      <c r="K32" s="86"/>
      <c r="L32" s="86"/>
      <c r="M32" s="86"/>
      <c r="N32" s="86"/>
      <c r="O32" s="86"/>
      <c r="P32" s="86"/>
      <c r="Q32" s="86"/>
      <c r="R32" s="86"/>
    </row>
    <row r="33" spans="1:18" x14ac:dyDescent="0.3">
      <c r="A33" s="86"/>
      <c r="B33" s="86"/>
      <c r="C33" s="86"/>
      <c r="D33" s="86"/>
      <c r="E33" s="86"/>
      <c r="F33" s="86"/>
      <c r="G33" s="86"/>
      <c r="H33" s="86"/>
      <c r="I33" s="86"/>
      <c r="J33" s="86"/>
      <c r="K33" s="86"/>
      <c r="L33" s="86"/>
      <c r="M33" s="86"/>
      <c r="N33" s="86"/>
      <c r="O33" s="86"/>
      <c r="P33" s="86"/>
      <c r="Q33" s="86"/>
      <c r="R33" s="86"/>
    </row>
    <row r="34" spans="1:18" x14ac:dyDescent="0.3">
      <c r="A34" s="86"/>
      <c r="B34" s="86"/>
      <c r="C34" s="86"/>
      <c r="D34" s="86"/>
      <c r="E34" s="86"/>
      <c r="F34" s="86"/>
      <c r="G34" s="86"/>
      <c r="H34" s="86"/>
      <c r="I34" s="86"/>
      <c r="J34" s="86"/>
      <c r="K34" s="86"/>
      <c r="L34" s="86"/>
      <c r="M34" s="86"/>
      <c r="N34" s="86"/>
      <c r="O34" s="86"/>
      <c r="P34" s="86"/>
      <c r="Q34" s="86"/>
      <c r="R34" s="86"/>
    </row>
    <row r="35" spans="1:18" x14ac:dyDescent="0.3">
      <c r="A35" s="86"/>
      <c r="B35" s="86"/>
      <c r="C35" s="86"/>
      <c r="D35" s="86"/>
      <c r="E35" s="86"/>
      <c r="F35" s="86"/>
      <c r="G35" s="86"/>
      <c r="H35" s="86"/>
      <c r="I35" s="86"/>
      <c r="J35" s="86"/>
      <c r="K35" s="86"/>
      <c r="L35" s="86"/>
      <c r="M35" s="86"/>
      <c r="N35" s="86"/>
      <c r="O35" s="86"/>
      <c r="P35" s="86"/>
      <c r="Q35" s="86"/>
      <c r="R35" s="86"/>
    </row>
    <row r="36" spans="1:18" x14ac:dyDescent="0.3">
      <c r="A36" s="86"/>
      <c r="B36" s="86"/>
      <c r="C36" s="86"/>
      <c r="D36" s="86"/>
      <c r="E36" s="86"/>
      <c r="F36" s="86"/>
      <c r="G36" s="86"/>
      <c r="H36" s="86"/>
      <c r="I36" s="86"/>
      <c r="J36" s="86"/>
      <c r="K36" s="86"/>
      <c r="L36" s="86"/>
      <c r="M36" s="86"/>
      <c r="N36" s="86"/>
      <c r="O36" s="86"/>
      <c r="P36" s="86"/>
      <c r="Q36" s="86"/>
      <c r="R36" s="86"/>
    </row>
    <row r="37" spans="1:18" x14ac:dyDescent="0.3">
      <c r="A37" s="86"/>
      <c r="B37" s="86"/>
      <c r="C37" s="86"/>
      <c r="D37" s="86"/>
      <c r="E37" s="86"/>
      <c r="F37" s="86"/>
      <c r="G37" s="86"/>
      <c r="H37" s="86"/>
      <c r="I37" s="86"/>
      <c r="J37" s="86"/>
      <c r="K37" s="86"/>
      <c r="L37" s="86"/>
      <c r="M37" s="86"/>
      <c r="N37" s="86"/>
      <c r="O37" s="86"/>
      <c r="P37" s="86"/>
      <c r="Q37" s="86"/>
      <c r="R37" s="86"/>
    </row>
    <row r="38" spans="1:18" x14ac:dyDescent="0.3">
      <c r="A38" s="86"/>
      <c r="B38" s="86"/>
      <c r="C38" s="86"/>
      <c r="D38" s="86"/>
      <c r="E38" s="86"/>
      <c r="F38" s="86"/>
      <c r="G38" s="86"/>
      <c r="H38" s="86"/>
      <c r="I38" s="86"/>
      <c r="J38" s="86"/>
      <c r="K38" s="86"/>
      <c r="L38" s="86"/>
      <c r="M38" s="86"/>
      <c r="N38" s="86"/>
      <c r="O38" s="86"/>
      <c r="P38" s="86"/>
      <c r="Q38" s="86"/>
      <c r="R38" s="86"/>
    </row>
    <row r="39" spans="1:18" x14ac:dyDescent="0.3">
      <c r="A39" s="86"/>
      <c r="B39" s="86"/>
      <c r="C39" s="86"/>
      <c r="D39" s="86"/>
      <c r="E39" s="86"/>
      <c r="F39" s="86"/>
      <c r="G39" s="86"/>
      <c r="H39" s="86"/>
      <c r="I39" s="86"/>
      <c r="J39" s="86"/>
      <c r="K39" s="86"/>
      <c r="L39" s="86"/>
      <c r="M39" s="86"/>
      <c r="N39" s="86"/>
      <c r="O39" s="86"/>
      <c r="P39" s="86"/>
      <c r="Q39" s="86"/>
      <c r="R39" s="86"/>
    </row>
    <row r="40" spans="1:18" x14ac:dyDescent="0.3">
      <c r="A40" s="86"/>
      <c r="B40" s="86"/>
      <c r="C40" s="86"/>
      <c r="D40" s="86"/>
      <c r="E40" s="86"/>
      <c r="F40" s="86"/>
      <c r="G40" s="86"/>
      <c r="H40" s="86"/>
      <c r="I40" s="86"/>
      <c r="J40" s="86"/>
      <c r="K40" s="86"/>
      <c r="L40" s="86"/>
      <c r="M40" s="86"/>
      <c r="N40" s="86"/>
      <c r="O40" s="86"/>
      <c r="P40" s="86"/>
      <c r="Q40" s="86"/>
      <c r="R40" s="86"/>
    </row>
    <row r="41" spans="1:18" x14ac:dyDescent="0.3">
      <c r="A41" s="86"/>
      <c r="B41" s="86"/>
      <c r="C41" s="86"/>
      <c r="D41" s="86"/>
      <c r="E41" s="86"/>
      <c r="F41" s="86"/>
      <c r="G41" s="86"/>
      <c r="H41" s="86"/>
      <c r="I41" s="86"/>
      <c r="J41" s="86"/>
      <c r="K41" s="86"/>
      <c r="L41" s="86"/>
      <c r="M41" s="86"/>
      <c r="N41" s="86"/>
      <c r="O41" s="86"/>
      <c r="P41" s="86"/>
      <c r="Q41" s="86"/>
      <c r="R41" s="86"/>
    </row>
    <row r="42" spans="1:18" x14ac:dyDescent="0.3">
      <c r="A42" s="86"/>
      <c r="B42" s="86"/>
      <c r="C42" s="86"/>
      <c r="D42" s="86"/>
      <c r="E42" s="86"/>
      <c r="F42" s="86"/>
      <c r="G42" s="86"/>
      <c r="H42" s="86"/>
      <c r="I42" s="86"/>
      <c r="J42" s="86"/>
      <c r="K42" s="86"/>
      <c r="L42" s="86"/>
      <c r="M42" s="86"/>
      <c r="N42" s="86"/>
      <c r="O42" s="86"/>
      <c r="P42" s="86"/>
      <c r="Q42" s="86"/>
      <c r="R42" s="86"/>
    </row>
    <row r="43" spans="1:18" x14ac:dyDescent="0.3">
      <c r="A43" s="86"/>
      <c r="B43" s="86"/>
      <c r="C43" s="86"/>
      <c r="D43" s="86"/>
      <c r="E43" s="86"/>
      <c r="F43" s="86"/>
      <c r="G43" s="86"/>
      <c r="H43" s="86"/>
      <c r="I43" s="86"/>
      <c r="J43" s="86"/>
      <c r="K43" s="86"/>
      <c r="L43" s="86"/>
      <c r="M43" s="86"/>
      <c r="N43" s="86"/>
      <c r="O43" s="86"/>
      <c r="P43" s="86"/>
      <c r="Q43" s="86"/>
      <c r="R43" s="86"/>
    </row>
    <row r="44" spans="1:18" x14ac:dyDescent="0.3">
      <c r="A44" s="86"/>
      <c r="B44" s="86"/>
      <c r="C44" s="86"/>
      <c r="D44" s="86"/>
      <c r="E44" s="86"/>
      <c r="F44" s="86"/>
      <c r="G44" s="86"/>
      <c r="H44" s="86"/>
      <c r="I44" s="86"/>
      <c r="J44" s="86"/>
      <c r="K44" s="86"/>
      <c r="L44" s="86"/>
      <c r="M44" s="86"/>
      <c r="N44" s="86"/>
      <c r="O44" s="86"/>
      <c r="P44" s="86"/>
      <c r="Q44" s="86"/>
      <c r="R44" s="86"/>
    </row>
    <row r="45" spans="1:18" x14ac:dyDescent="0.3">
      <c r="A45" s="86"/>
      <c r="B45" s="86"/>
      <c r="C45" s="86"/>
      <c r="D45" s="86"/>
      <c r="E45" s="86"/>
      <c r="F45" s="86"/>
      <c r="G45" s="86"/>
      <c r="H45" s="86"/>
      <c r="I45" s="86"/>
      <c r="J45" s="86"/>
      <c r="K45" s="86"/>
      <c r="L45" s="86"/>
      <c r="M45" s="86"/>
      <c r="N45" s="86"/>
      <c r="O45" s="86"/>
      <c r="P45" s="86"/>
      <c r="Q45" s="86"/>
      <c r="R45" s="86"/>
    </row>
    <row r="46" spans="1:18" x14ac:dyDescent="0.3">
      <c r="A46" s="86"/>
      <c r="B46" s="86"/>
      <c r="C46" s="86"/>
      <c r="D46" s="86"/>
      <c r="E46" s="86"/>
      <c r="F46" s="86"/>
      <c r="G46" s="86"/>
      <c r="H46" s="86"/>
      <c r="I46" s="86"/>
      <c r="J46" s="86"/>
      <c r="K46" s="86"/>
      <c r="L46" s="86"/>
      <c r="M46" s="86"/>
      <c r="N46" s="86"/>
      <c r="O46" s="86"/>
      <c r="P46" s="86"/>
      <c r="Q46" s="86"/>
      <c r="R46" s="86"/>
    </row>
    <row r="47" spans="1:18" x14ac:dyDescent="0.3">
      <c r="A47" s="86"/>
      <c r="B47" s="86"/>
      <c r="C47" s="86"/>
      <c r="D47" s="86"/>
      <c r="E47" s="86"/>
      <c r="F47" s="86"/>
      <c r="G47" s="86"/>
      <c r="H47" s="86"/>
      <c r="I47" s="86"/>
      <c r="J47" s="86"/>
      <c r="K47" s="86"/>
      <c r="L47" s="86"/>
      <c r="M47" s="86"/>
      <c r="N47" s="86"/>
      <c r="O47" s="86"/>
      <c r="P47" s="86"/>
      <c r="Q47" s="86"/>
      <c r="R47" s="86"/>
    </row>
    <row r="48" spans="1:18" x14ac:dyDescent="0.3">
      <c r="A48" s="86"/>
      <c r="B48" s="86"/>
      <c r="C48" s="86"/>
      <c r="D48" s="86"/>
      <c r="E48" s="86"/>
      <c r="F48" s="86"/>
      <c r="G48" s="86"/>
      <c r="H48" s="86"/>
      <c r="I48" s="86"/>
      <c r="J48" s="86"/>
      <c r="K48" s="86"/>
      <c r="L48" s="86"/>
      <c r="M48" s="86"/>
      <c r="N48" s="86"/>
      <c r="O48" s="86"/>
      <c r="P48" s="86"/>
      <c r="Q48" s="86"/>
      <c r="R48" s="86"/>
    </row>
    <row r="49" spans="1:18" x14ac:dyDescent="0.3">
      <c r="A49" s="86"/>
      <c r="B49" s="86"/>
      <c r="C49" s="86"/>
      <c r="D49" s="86"/>
      <c r="E49" s="86"/>
      <c r="F49" s="86"/>
      <c r="G49" s="86"/>
      <c r="H49" s="86"/>
      <c r="I49" s="86"/>
      <c r="J49" s="86"/>
      <c r="K49" s="86"/>
      <c r="L49" s="86"/>
      <c r="M49" s="86"/>
      <c r="N49" s="86"/>
      <c r="O49" s="86"/>
      <c r="P49" s="86"/>
      <c r="Q49" s="86"/>
      <c r="R49" s="86"/>
    </row>
    <row r="50" spans="1:18" x14ac:dyDescent="0.3">
      <c r="A50" s="86"/>
      <c r="B50" s="86"/>
      <c r="C50" s="86"/>
      <c r="D50" s="86"/>
      <c r="E50" s="86"/>
      <c r="F50" s="86"/>
      <c r="G50" s="86"/>
      <c r="H50" s="86"/>
      <c r="I50" s="86"/>
      <c r="J50" s="86"/>
      <c r="K50" s="86"/>
      <c r="L50" s="86"/>
      <c r="M50" s="86"/>
      <c r="N50" s="86"/>
      <c r="O50" s="86"/>
      <c r="P50" s="86"/>
      <c r="Q50" s="86"/>
      <c r="R50" s="86"/>
    </row>
    <row r="51" spans="1:18" x14ac:dyDescent="0.3">
      <c r="A51" s="86"/>
      <c r="B51" s="86"/>
      <c r="C51" s="86"/>
      <c r="D51" s="86"/>
      <c r="E51" s="86"/>
      <c r="F51" s="86"/>
      <c r="G51" s="86"/>
      <c r="H51" s="86"/>
      <c r="I51" s="86"/>
      <c r="J51" s="86"/>
      <c r="K51" s="86"/>
      <c r="L51" s="86"/>
      <c r="M51" s="86"/>
      <c r="N51" s="86"/>
      <c r="O51" s="86"/>
      <c r="P51" s="86"/>
      <c r="Q51" s="86"/>
      <c r="R51" s="86"/>
    </row>
    <row r="52" spans="1:18" x14ac:dyDescent="0.3">
      <c r="A52" s="86"/>
      <c r="B52" s="86"/>
      <c r="C52" s="86"/>
      <c r="D52" s="86"/>
      <c r="E52" s="86"/>
      <c r="F52" s="86"/>
      <c r="G52" s="86"/>
      <c r="H52" s="86"/>
      <c r="I52" s="86"/>
      <c r="J52" s="86"/>
      <c r="K52" s="86"/>
      <c r="L52" s="86"/>
      <c r="M52" s="86"/>
      <c r="N52" s="86"/>
      <c r="O52" s="86"/>
      <c r="P52" s="86"/>
      <c r="Q52" s="86"/>
      <c r="R52" s="86"/>
    </row>
    <row r="53" spans="1:18" x14ac:dyDescent="0.3">
      <c r="A53" s="86"/>
      <c r="B53" s="86"/>
      <c r="C53" s="86"/>
      <c r="D53" s="86"/>
      <c r="E53" s="86"/>
      <c r="F53" s="86"/>
      <c r="G53" s="86"/>
      <c r="H53" s="86"/>
      <c r="I53" s="86"/>
      <c r="J53" s="86"/>
      <c r="K53" s="86"/>
      <c r="L53" s="86"/>
      <c r="M53" s="86"/>
      <c r="N53" s="86"/>
      <c r="O53" s="86"/>
      <c r="P53" s="86"/>
      <c r="Q53" s="86"/>
      <c r="R53" s="86"/>
    </row>
    <row r="54" spans="1:18" x14ac:dyDescent="0.3">
      <c r="A54" s="86"/>
      <c r="B54" s="86"/>
      <c r="C54" s="86"/>
      <c r="D54" s="86"/>
      <c r="E54" s="86"/>
      <c r="F54" s="86"/>
      <c r="G54" s="86"/>
      <c r="H54" s="86"/>
      <c r="I54" s="86"/>
      <c r="J54" s="86"/>
      <c r="K54" s="86"/>
      <c r="L54" s="86"/>
      <c r="M54" s="86"/>
      <c r="N54" s="86"/>
      <c r="O54" s="86"/>
      <c r="P54" s="86"/>
      <c r="Q54" s="86"/>
      <c r="R54" s="86"/>
    </row>
    <row r="55" spans="1:18" x14ac:dyDescent="0.3">
      <c r="A55" s="86"/>
      <c r="B55" s="86"/>
      <c r="C55" s="86"/>
      <c r="D55" s="86"/>
      <c r="E55" s="86"/>
      <c r="F55" s="86"/>
      <c r="G55" s="86"/>
      <c r="H55" s="86"/>
      <c r="I55" s="86"/>
      <c r="J55" s="86"/>
      <c r="K55" s="86"/>
      <c r="L55" s="86"/>
      <c r="M55" s="86"/>
      <c r="N55" s="86"/>
      <c r="O55" s="86"/>
      <c r="P55" s="86"/>
      <c r="Q55" s="86"/>
      <c r="R55" s="86"/>
    </row>
    <row r="56" spans="1:18" x14ac:dyDescent="0.3">
      <c r="A56" s="86"/>
      <c r="B56" s="86"/>
      <c r="C56" s="86"/>
      <c r="D56" s="86"/>
      <c r="E56" s="86"/>
      <c r="F56" s="86"/>
      <c r="G56" s="86"/>
      <c r="H56" s="86"/>
      <c r="I56" s="86"/>
      <c r="J56" s="86"/>
      <c r="K56" s="86"/>
      <c r="L56" s="86"/>
      <c r="M56" s="86"/>
      <c r="N56" s="86"/>
      <c r="O56" s="86"/>
      <c r="P56" s="86"/>
      <c r="Q56" s="86"/>
      <c r="R56" s="86"/>
    </row>
    <row r="57" spans="1:18" x14ac:dyDescent="0.3">
      <c r="A57" s="86"/>
      <c r="B57" s="86"/>
      <c r="C57" s="86"/>
      <c r="D57" s="86"/>
      <c r="E57" s="86"/>
      <c r="F57" s="86"/>
      <c r="G57" s="86"/>
      <c r="H57" s="86"/>
      <c r="I57" s="86"/>
      <c r="J57" s="86"/>
      <c r="K57" s="86"/>
      <c r="L57" s="86"/>
      <c r="M57" s="86"/>
      <c r="N57" s="86"/>
      <c r="O57" s="86"/>
      <c r="P57" s="86"/>
      <c r="Q57" s="86"/>
      <c r="R57" s="86"/>
    </row>
    <row r="58" spans="1:18" x14ac:dyDescent="0.3">
      <c r="A58" s="86"/>
      <c r="B58" s="86"/>
      <c r="C58" s="86"/>
      <c r="D58" s="86"/>
      <c r="E58" s="86"/>
      <c r="F58" s="86"/>
      <c r="G58" s="86"/>
      <c r="H58" s="86"/>
      <c r="I58" s="86"/>
      <c r="J58" s="86"/>
      <c r="K58" s="86"/>
      <c r="L58" s="86"/>
      <c r="M58" s="86"/>
      <c r="N58" s="86"/>
      <c r="O58" s="86"/>
      <c r="P58" s="86"/>
      <c r="Q58" s="86"/>
      <c r="R58" s="86"/>
    </row>
    <row r="59" spans="1:18" x14ac:dyDescent="0.3">
      <c r="A59" s="86"/>
      <c r="B59" s="86"/>
      <c r="C59" s="86"/>
      <c r="D59" s="86"/>
      <c r="E59" s="86"/>
      <c r="F59" s="86"/>
      <c r="G59" s="86"/>
      <c r="H59" s="86"/>
      <c r="I59" s="86"/>
      <c r="J59" s="86"/>
      <c r="K59" s="86"/>
      <c r="L59" s="86"/>
      <c r="M59" s="86"/>
      <c r="N59" s="86"/>
      <c r="O59" s="86"/>
      <c r="P59" s="86"/>
      <c r="Q59" s="86"/>
      <c r="R59" s="86"/>
    </row>
    <row r="60" spans="1:18" x14ac:dyDescent="0.3">
      <c r="A60" s="86"/>
      <c r="B60" s="86"/>
      <c r="C60" s="86"/>
      <c r="D60" s="86"/>
      <c r="E60" s="86"/>
      <c r="F60" s="86"/>
      <c r="G60" s="86"/>
      <c r="H60" s="86"/>
      <c r="I60" s="86"/>
      <c r="J60" s="86"/>
      <c r="K60" s="86"/>
      <c r="L60" s="86"/>
      <c r="M60" s="86"/>
      <c r="N60" s="86"/>
      <c r="O60" s="86"/>
      <c r="P60" s="86"/>
      <c r="Q60" s="86"/>
      <c r="R60" s="86"/>
    </row>
    <row r="61" spans="1:18" x14ac:dyDescent="0.3">
      <c r="A61" s="86"/>
      <c r="B61" s="86"/>
      <c r="C61" s="86"/>
      <c r="D61" s="86"/>
      <c r="E61" s="86"/>
      <c r="F61" s="86"/>
      <c r="G61" s="86"/>
      <c r="H61" s="86"/>
      <c r="I61" s="86"/>
      <c r="J61" s="86"/>
      <c r="K61" s="86"/>
      <c r="L61" s="86"/>
      <c r="M61" s="86"/>
      <c r="N61" s="86"/>
      <c r="O61" s="86"/>
      <c r="P61" s="86"/>
      <c r="Q61" s="86"/>
      <c r="R61" s="86"/>
    </row>
    <row r="62" spans="1:18" x14ac:dyDescent="0.3">
      <c r="A62" s="86"/>
      <c r="B62" s="86"/>
      <c r="C62" s="86"/>
      <c r="D62" s="86"/>
      <c r="E62" s="86"/>
      <c r="F62" s="86"/>
      <c r="G62" s="86"/>
      <c r="H62" s="86"/>
      <c r="I62" s="86"/>
      <c r="J62" s="86"/>
      <c r="K62" s="86"/>
      <c r="L62" s="86"/>
      <c r="M62" s="86"/>
      <c r="N62" s="86"/>
      <c r="O62" s="86"/>
      <c r="P62" s="86"/>
      <c r="Q62" s="86"/>
      <c r="R62" s="86"/>
    </row>
    <row r="63" spans="1:18" x14ac:dyDescent="0.3">
      <c r="A63" s="86"/>
      <c r="B63" s="86"/>
      <c r="C63" s="86"/>
      <c r="D63" s="86"/>
      <c r="E63" s="86"/>
      <c r="F63" s="86"/>
      <c r="G63" s="86"/>
      <c r="H63" s="86"/>
      <c r="I63" s="86"/>
      <c r="J63" s="86"/>
      <c r="K63" s="86"/>
      <c r="L63" s="86"/>
      <c r="M63" s="86"/>
      <c r="N63" s="86"/>
      <c r="O63" s="86"/>
      <c r="P63" s="86"/>
      <c r="Q63" s="86"/>
      <c r="R63" s="86"/>
    </row>
    <row r="64" spans="1:18" x14ac:dyDescent="0.3">
      <c r="A64" s="86"/>
      <c r="B64" s="86"/>
      <c r="C64" s="86"/>
      <c r="D64" s="86"/>
      <c r="E64" s="86"/>
      <c r="F64" s="86"/>
      <c r="G64" s="86"/>
      <c r="H64" s="86"/>
      <c r="I64" s="86"/>
      <c r="J64" s="86"/>
      <c r="K64" s="86"/>
      <c r="L64" s="86"/>
      <c r="M64" s="86"/>
      <c r="N64" s="86"/>
      <c r="O64" s="86"/>
      <c r="P64" s="86"/>
      <c r="Q64" s="86"/>
      <c r="R64" s="86"/>
    </row>
    <row r="65" spans="1:18" x14ac:dyDescent="0.3">
      <c r="A65" s="86"/>
      <c r="B65" s="86"/>
      <c r="C65" s="86"/>
      <c r="D65" s="86"/>
      <c r="E65" s="86"/>
      <c r="F65" s="86"/>
      <c r="G65" s="86"/>
      <c r="H65" s="86"/>
      <c r="I65" s="86"/>
      <c r="J65" s="86"/>
      <c r="K65" s="86"/>
      <c r="L65" s="86"/>
      <c r="M65" s="86"/>
      <c r="N65" s="86"/>
      <c r="O65" s="86"/>
      <c r="P65" s="86"/>
      <c r="Q65" s="86"/>
      <c r="R65" s="86"/>
    </row>
    <row r="66" spans="1:18" x14ac:dyDescent="0.3">
      <c r="A66" s="86"/>
      <c r="B66" s="86"/>
      <c r="C66" s="86"/>
      <c r="D66" s="86"/>
      <c r="E66" s="86"/>
      <c r="F66" s="86"/>
      <c r="G66" s="86"/>
      <c r="H66" s="86"/>
      <c r="I66" s="86"/>
      <c r="J66" s="86"/>
      <c r="K66" s="86"/>
      <c r="L66" s="86"/>
      <c r="M66" s="86"/>
      <c r="N66" s="86"/>
      <c r="O66" s="86"/>
      <c r="P66" s="86"/>
      <c r="Q66" s="86"/>
      <c r="R66" s="86"/>
    </row>
    <row r="67" spans="1:18" x14ac:dyDescent="0.3">
      <c r="A67" s="86"/>
      <c r="B67" s="86"/>
      <c r="C67" s="86"/>
      <c r="D67" s="86"/>
      <c r="E67" s="86"/>
      <c r="F67" s="86"/>
      <c r="G67" s="86"/>
      <c r="H67" s="86"/>
      <c r="I67" s="86"/>
      <c r="J67" s="86"/>
      <c r="K67" s="86"/>
      <c r="L67" s="86"/>
      <c r="M67" s="86"/>
      <c r="N67" s="86"/>
      <c r="O67" s="86"/>
      <c r="P67" s="86"/>
      <c r="Q67" s="86"/>
      <c r="R67" s="86"/>
    </row>
    <row r="68" spans="1:18" x14ac:dyDescent="0.3">
      <c r="A68" s="86"/>
      <c r="B68" s="86"/>
      <c r="C68" s="86"/>
      <c r="D68" s="86"/>
      <c r="E68" s="86"/>
      <c r="F68" s="86"/>
      <c r="G68" s="86"/>
      <c r="H68" s="86"/>
      <c r="I68" s="86"/>
      <c r="J68" s="86"/>
      <c r="K68" s="86"/>
      <c r="L68" s="86"/>
      <c r="M68" s="86"/>
      <c r="N68" s="86"/>
      <c r="O68" s="86"/>
      <c r="P68" s="86"/>
      <c r="Q68" s="86"/>
      <c r="R68" s="86"/>
    </row>
    <row r="69" spans="1:18" x14ac:dyDescent="0.3">
      <c r="A69" s="86"/>
      <c r="B69" s="86"/>
      <c r="C69" s="86"/>
      <c r="D69" s="86"/>
      <c r="E69" s="86"/>
      <c r="F69" s="86"/>
      <c r="G69" s="86"/>
      <c r="H69" s="86"/>
      <c r="I69" s="86"/>
      <c r="J69" s="86"/>
      <c r="K69" s="86"/>
      <c r="L69" s="86"/>
      <c r="M69" s="86"/>
      <c r="N69" s="86"/>
      <c r="O69" s="86"/>
      <c r="P69" s="86"/>
      <c r="Q69" s="86"/>
      <c r="R69" s="86"/>
    </row>
    <row r="70" spans="1:18" x14ac:dyDescent="0.3">
      <c r="A70" s="86"/>
      <c r="B70" s="86"/>
      <c r="C70" s="86"/>
      <c r="D70" s="86"/>
      <c r="E70" s="86"/>
      <c r="F70" s="86"/>
      <c r="G70" s="86"/>
      <c r="H70" s="86"/>
      <c r="I70" s="86"/>
      <c r="J70" s="86"/>
      <c r="K70" s="86"/>
      <c r="L70" s="86"/>
      <c r="M70" s="86"/>
      <c r="N70" s="86"/>
      <c r="O70" s="86"/>
      <c r="P70" s="86"/>
      <c r="Q70" s="86"/>
      <c r="R70" s="86"/>
    </row>
    <row r="71" spans="1:18" x14ac:dyDescent="0.3">
      <c r="A71" s="86"/>
      <c r="B71" s="86"/>
      <c r="C71" s="86"/>
      <c r="D71" s="86"/>
      <c r="E71" s="86"/>
      <c r="F71" s="86"/>
      <c r="G71" s="86"/>
      <c r="H71" s="86"/>
      <c r="I71" s="86"/>
      <c r="J71" s="86"/>
      <c r="K71" s="86"/>
      <c r="L71" s="86"/>
      <c r="M71" s="86"/>
      <c r="N71" s="86"/>
      <c r="O71" s="86"/>
      <c r="P71" s="86"/>
      <c r="Q71" s="86"/>
      <c r="R71" s="86"/>
    </row>
    <row r="72" spans="1:18" x14ac:dyDescent="0.3">
      <c r="A72" s="86"/>
      <c r="B72" s="86"/>
      <c r="C72" s="86"/>
      <c r="D72" s="86"/>
      <c r="E72" s="86"/>
      <c r="F72" s="86"/>
      <c r="G72" s="86"/>
      <c r="H72" s="86"/>
      <c r="I72" s="86"/>
      <c r="J72" s="86"/>
      <c r="K72" s="86"/>
      <c r="L72" s="86"/>
      <c r="M72" s="86"/>
      <c r="N72" s="86"/>
      <c r="O72" s="86"/>
      <c r="P72" s="86"/>
      <c r="Q72" s="86"/>
      <c r="R72" s="86"/>
    </row>
    <row r="73" spans="1:18" x14ac:dyDescent="0.3">
      <c r="A73" s="86"/>
      <c r="B73" s="86"/>
      <c r="C73" s="86"/>
      <c r="D73" s="86"/>
      <c r="E73" s="86"/>
      <c r="F73" s="86"/>
      <c r="G73" s="86"/>
      <c r="H73" s="86"/>
      <c r="I73" s="86"/>
      <c r="J73" s="86"/>
      <c r="K73" s="86"/>
      <c r="L73" s="86"/>
      <c r="M73" s="86"/>
      <c r="N73" s="86"/>
      <c r="O73" s="86"/>
      <c r="P73" s="86"/>
      <c r="Q73" s="86"/>
      <c r="R73" s="86"/>
    </row>
    <row r="74" spans="1:18" x14ac:dyDescent="0.3">
      <c r="A74" s="86"/>
      <c r="B74" s="86"/>
      <c r="C74" s="86"/>
      <c r="D74" s="86"/>
      <c r="E74" s="86"/>
      <c r="F74" s="86"/>
      <c r="G74" s="86"/>
      <c r="H74" s="86"/>
      <c r="I74" s="86"/>
      <c r="J74" s="86"/>
      <c r="K74" s="86"/>
      <c r="L74" s="86"/>
      <c r="M74" s="86"/>
      <c r="N74" s="86"/>
      <c r="O74" s="86"/>
      <c r="P74" s="86"/>
      <c r="Q74" s="86"/>
      <c r="R74" s="86"/>
    </row>
    <row r="75" spans="1:18" x14ac:dyDescent="0.3">
      <c r="A75" s="86"/>
      <c r="B75" s="86"/>
      <c r="C75" s="86"/>
      <c r="D75" s="86"/>
      <c r="E75" s="86"/>
      <c r="F75" s="86"/>
      <c r="G75" s="86"/>
      <c r="H75" s="86"/>
      <c r="I75" s="86"/>
      <c r="J75" s="86"/>
      <c r="K75" s="86"/>
      <c r="L75" s="86"/>
      <c r="M75" s="86"/>
      <c r="N75" s="86"/>
      <c r="O75" s="86"/>
      <c r="P75" s="86"/>
      <c r="Q75" s="86"/>
      <c r="R75" s="86"/>
    </row>
    <row r="76" spans="1:18" x14ac:dyDescent="0.3">
      <c r="A76" s="86"/>
      <c r="B76" s="86"/>
      <c r="C76" s="86"/>
      <c r="D76" s="86"/>
      <c r="E76" s="86"/>
      <c r="F76" s="86"/>
      <c r="G76" s="86"/>
      <c r="H76" s="86"/>
      <c r="I76" s="86"/>
      <c r="J76" s="86"/>
      <c r="K76" s="86"/>
      <c r="L76" s="86"/>
      <c r="M76" s="86"/>
      <c r="N76" s="86"/>
      <c r="O76" s="86"/>
      <c r="P76" s="86"/>
      <c r="Q76" s="86"/>
      <c r="R76" s="86"/>
    </row>
    <row r="77" spans="1:18" x14ac:dyDescent="0.3">
      <c r="A77" s="86"/>
      <c r="B77" s="86"/>
      <c r="C77" s="86"/>
      <c r="D77" s="86"/>
      <c r="E77" s="86"/>
      <c r="F77" s="86"/>
      <c r="G77" s="86"/>
      <c r="H77" s="86"/>
      <c r="I77" s="86"/>
      <c r="J77" s="86"/>
      <c r="K77" s="86"/>
      <c r="L77" s="86"/>
      <c r="M77" s="86"/>
      <c r="N77" s="86"/>
      <c r="O77" s="86"/>
      <c r="P77" s="86"/>
      <c r="Q77" s="86"/>
      <c r="R77" s="86"/>
    </row>
    <row r="78" spans="1:18" x14ac:dyDescent="0.3">
      <c r="A78" s="86"/>
      <c r="B78" s="86"/>
      <c r="C78" s="86"/>
      <c r="D78" s="86"/>
      <c r="E78" s="86"/>
      <c r="F78" s="86"/>
      <c r="G78" s="86"/>
      <c r="H78" s="86"/>
      <c r="I78" s="86"/>
      <c r="J78" s="86"/>
      <c r="K78" s="86"/>
      <c r="L78" s="86"/>
      <c r="M78" s="86"/>
      <c r="N78" s="86"/>
      <c r="O78" s="86"/>
      <c r="P78" s="86"/>
      <c r="Q78" s="86"/>
      <c r="R78" s="86"/>
    </row>
    <row r="79" spans="1:18" x14ac:dyDescent="0.3">
      <c r="A79" s="86"/>
      <c r="B79" s="86"/>
      <c r="C79" s="86"/>
      <c r="D79" s="86"/>
      <c r="E79" s="86"/>
      <c r="F79" s="86"/>
      <c r="G79" s="86"/>
      <c r="H79" s="86"/>
      <c r="I79" s="86"/>
      <c r="J79" s="86"/>
      <c r="K79" s="86"/>
      <c r="L79" s="86"/>
      <c r="M79" s="86"/>
      <c r="N79" s="86"/>
      <c r="O79" s="86"/>
      <c r="P79" s="86"/>
      <c r="Q79" s="86"/>
      <c r="R79" s="86"/>
    </row>
    <row r="80" spans="1:18" x14ac:dyDescent="0.3">
      <c r="A80" s="86"/>
      <c r="B80" s="86"/>
      <c r="C80" s="86"/>
      <c r="D80" s="86"/>
      <c r="E80" s="86"/>
      <c r="F80" s="86"/>
      <c r="G80" s="86"/>
      <c r="H80" s="86"/>
      <c r="I80" s="86"/>
      <c r="J80" s="86"/>
      <c r="K80" s="86"/>
      <c r="L80" s="86"/>
      <c r="M80" s="86"/>
      <c r="N80" s="86"/>
      <c r="O80" s="86"/>
      <c r="P80" s="86"/>
      <c r="Q80" s="86"/>
      <c r="R80" s="86"/>
    </row>
    <row r="81" spans="1:18" x14ac:dyDescent="0.3">
      <c r="A81" s="86"/>
      <c r="B81" s="86"/>
      <c r="C81" s="86"/>
      <c r="D81" s="86"/>
      <c r="E81" s="86"/>
      <c r="F81" s="86"/>
      <c r="G81" s="86"/>
      <c r="H81" s="86"/>
      <c r="I81" s="86"/>
      <c r="J81" s="86"/>
      <c r="K81" s="86"/>
      <c r="L81" s="86"/>
      <c r="M81" s="86"/>
      <c r="N81" s="86"/>
      <c r="O81" s="86"/>
      <c r="P81" s="86"/>
      <c r="Q81" s="86"/>
      <c r="R81" s="86"/>
    </row>
    <row r="82" spans="1:18" x14ac:dyDescent="0.3">
      <c r="A82" s="86"/>
      <c r="B82" s="86"/>
      <c r="C82" s="86"/>
      <c r="D82" s="86"/>
      <c r="E82" s="86"/>
      <c r="F82" s="86"/>
      <c r="G82" s="86"/>
      <c r="H82" s="86"/>
      <c r="I82" s="86"/>
      <c r="J82" s="86"/>
      <c r="K82" s="86"/>
      <c r="L82" s="86"/>
      <c r="M82" s="86"/>
      <c r="N82" s="86"/>
      <c r="O82" s="86"/>
      <c r="P82" s="86"/>
      <c r="Q82" s="86"/>
      <c r="R82" s="86"/>
    </row>
    <row r="83" spans="1:18" x14ac:dyDescent="0.3">
      <c r="A83" s="86"/>
      <c r="B83" s="86"/>
      <c r="C83" s="86"/>
      <c r="D83" s="86"/>
      <c r="E83" s="86"/>
      <c r="F83" s="86"/>
      <c r="G83" s="86"/>
      <c r="H83" s="86"/>
      <c r="I83" s="86"/>
      <c r="J83" s="86"/>
      <c r="K83" s="86"/>
      <c r="L83" s="86"/>
      <c r="M83" s="86"/>
      <c r="N83" s="86"/>
      <c r="O83" s="86"/>
      <c r="P83" s="86"/>
      <c r="Q83" s="86"/>
      <c r="R83" s="86"/>
    </row>
    <row r="84" spans="1:18" x14ac:dyDescent="0.3">
      <c r="A84" s="86"/>
      <c r="B84" s="86"/>
      <c r="C84" s="86"/>
      <c r="D84" s="86"/>
      <c r="E84" s="86"/>
      <c r="F84" s="86"/>
      <c r="G84" s="86"/>
      <c r="H84" s="86"/>
      <c r="I84" s="86"/>
      <c r="J84" s="86"/>
      <c r="K84" s="86"/>
      <c r="L84" s="86"/>
      <c r="M84" s="86"/>
      <c r="N84" s="86"/>
      <c r="O84" s="86"/>
      <c r="P84" s="86"/>
      <c r="Q84" s="86"/>
      <c r="R84" s="86"/>
    </row>
    <row r="85" spans="1:18" x14ac:dyDescent="0.3">
      <c r="A85" s="86"/>
      <c r="B85" s="86"/>
      <c r="C85" s="86"/>
      <c r="D85" s="86"/>
      <c r="E85" s="86"/>
      <c r="F85" s="86"/>
      <c r="G85" s="86"/>
      <c r="H85" s="86"/>
      <c r="I85" s="86"/>
      <c r="J85" s="86"/>
      <c r="K85" s="86"/>
      <c r="L85" s="86"/>
      <c r="M85" s="86"/>
      <c r="N85" s="86"/>
      <c r="O85" s="86"/>
      <c r="P85" s="86"/>
      <c r="Q85" s="86"/>
      <c r="R85" s="86"/>
    </row>
    <row r="86" spans="1:18" x14ac:dyDescent="0.3">
      <c r="A86" s="86"/>
      <c r="B86" s="86"/>
      <c r="C86" s="86"/>
      <c r="D86" s="86"/>
      <c r="E86" s="86"/>
      <c r="F86" s="86"/>
      <c r="G86" s="86"/>
      <c r="H86" s="86"/>
      <c r="I86" s="86"/>
      <c r="J86" s="86"/>
      <c r="K86" s="86"/>
      <c r="L86" s="86"/>
      <c r="M86" s="86"/>
      <c r="N86" s="86"/>
      <c r="O86" s="86"/>
      <c r="P86" s="86"/>
      <c r="Q86" s="86"/>
      <c r="R86" s="86"/>
    </row>
    <row r="87" spans="1:18" x14ac:dyDescent="0.3">
      <c r="A87" s="86"/>
      <c r="B87" s="86"/>
      <c r="C87" s="86"/>
      <c r="D87" s="86"/>
      <c r="E87" s="86"/>
      <c r="F87" s="86"/>
      <c r="G87" s="86"/>
      <c r="H87" s="86"/>
      <c r="I87" s="86"/>
      <c r="J87" s="86"/>
      <c r="K87" s="86"/>
      <c r="L87" s="86"/>
      <c r="M87" s="86"/>
      <c r="N87" s="86"/>
      <c r="O87" s="86"/>
      <c r="P87" s="86"/>
      <c r="Q87" s="86"/>
      <c r="R87" s="86"/>
    </row>
    <row r="88" spans="1:18" x14ac:dyDescent="0.3">
      <c r="A88" s="86"/>
      <c r="B88" s="86"/>
      <c r="C88" s="86"/>
      <c r="D88" s="86"/>
      <c r="E88" s="86"/>
      <c r="F88" s="86"/>
      <c r="G88" s="86"/>
      <c r="H88" s="86"/>
      <c r="I88" s="86"/>
      <c r="J88" s="86"/>
      <c r="K88" s="86"/>
      <c r="L88" s="86"/>
      <c r="M88" s="86"/>
      <c r="N88" s="86"/>
      <c r="O88" s="86"/>
      <c r="P88" s="86"/>
      <c r="Q88" s="86"/>
      <c r="R88" s="86"/>
    </row>
  </sheetData>
  <pageMargins left="0.7" right="0.7" top="0.75" bottom="0.75" header="0.3" footer="0.3"/>
  <pageSetup orientation="portrait" horizontalDpi="4294967292" verticalDpi="4294967292"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Q6"/>
  <sheetViews>
    <sheetView workbookViewId="0">
      <selection activeCell="G29" sqref="G29"/>
    </sheetView>
  </sheetViews>
  <sheetFormatPr defaultColWidth="11.44140625" defaultRowHeight="14.4" x14ac:dyDescent="0.3"/>
  <cols>
    <col min="2" max="2" width="11" bestFit="1" customWidth="1"/>
    <col min="3" max="3" width="10.88671875" bestFit="1" customWidth="1"/>
    <col min="4" max="4" width="9" bestFit="1" customWidth="1"/>
    <col min="5" max="5" width="15.109375" bestFit="1" customWidth="1"/>
    <col min="6" max="7" width="11.44140625" bestFit="1" customWidth="1"/>
    <col min="8" max="8" width="15.109375" bestFit="1" customWidth="1"/>
    <col min="9" max="9" width="11.109375" bestFit="1" customWidth="1"/>
    <col min="10" max="10" width="9.5546875" bestFit="1" customWidth="1"/>
    <col min="11" max="11" width="10.109375" bestFit="1" customWidth="1"/>
    <col min="12" max="12" width="13.5546875" bestFit="1" customWidth="1"/>
    <col min="13" max="13" width="10" bestFit="1" customWidth="1"/>
    <col min="14" max="14" width="14.109375" bestFit="1" customWidth="1"/>
    <col min="15" max="15" width="8.88671875" bestFit="1" customWidth="1"/>
  </cols>
  <sheetData>
    <row r="1" spans="1:17" ht="43.2" x14ac:dyDescent="0.3">
      <c r="A1" s="20" t="s">
        <v>0</v>
      </c>
      <c r="B1" s="20" t="s">
        <v>1</v>
      </c>
      <c r="C1" s="20" t="s">
        <v>41</v>
      </c>
      <c r="D1" s="20" t="s">
        <v>34</v>
      </c>
      <c r="E1" s="20" t="s">
        <v>42</v>
      </c>
      <c r="F1" s="20" t="s">
        <v>43</v>
      </c>
      <c r="G1" s="20" t="s">
        <v>44</v>
      </c>
      <c r="H1" s="21" t="s">
        <v>45</v>
      </c>
      <c r="I1" s="20" t="s">
        <v>46</v>
      </c>
      <c r="J1" s="20" t="s">
        <v>47</v>
      </c>
      <c r="K1" s="20" t="s">
        <v>48</v>
      </c>
      <c r="L1" s="20" t="s">
        <v>2</v>
      </c>
      <c r="M1" s="20" t="s">
        <v>49</v>
      </c>
      <c r="N1" s="21" t="s">
        <v>50</v>
      </c>
      <c r="O1" s="4" t="s">
        <v>70</v>
      </c>
    </row>
    <row r="2" spans="1:17" ht="28.8" x14ac:dyDescent="0.3">
      <c r="A2" s="20" t="s">
        <v>30</v>
      </c>
      <c r="B2" s="20" t="s">
        <v>31</v>
      </c>
      <c r="C2" s="20" t="s">
        <v>51</v>
      </c>
      <c r="D2" s="20" t="s">
        <v>52</v>
      </c>
      <c r="E2" s="20" t="s">
        <v>35</v>
      </c>
      <c r="F2" s="20" t="s">
        <v>36</v>
      </c>
      <c r="G2" s="20" t="s">
        <v>37</v>
      </c>
      <c r="H2" s="21" t="s">
        <v>38</v>
      </c>
      <c r="I2" s="20" t="s">
        <v>39</v>
      </c>
      <c r="J2" s="20" t="s">
        <v>40</v>
      </c>
      <c r="K2" s="20" t="s">
        <v>53</v>
      </c>
      <c r="L2" s="20" t="s">
        <v>3</v>
      </c>
      <c r="M2" s="20" t="s">
        <v>49</v>
      </c>
      <c r="N2" s="21" t="s">
        <v>33</v>
      </c>
      <c r="O2" s="4"/>
    </row>
    <row r="3" spans="1:17" x14ac:dyDescent="0.3">
      <c r="A3" s="29"/>
      <c r="B3" s="29"/>
      <c r="C3" s="27"/>
      <c r="E3" s="30"/>
      <c r="H3" s="30"/>
      <c r="N3" s="28"/>
    </row>
    <row r="5" spans="1:17" x14ac:dyDescent="0.3">
      <c r="Q5" s="75"/>
    </row>
    <row r="6" spans="1:17" x14ac:dyDescent="0.3">
      <c r="Q6" s="75"/>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206"/>
  <sheetViews>
    <sheetView showGridLines="0" workbookViewId="0">
      <selection activeCell="F27" sqref="F27"/>
    </sheetView>
  </sheetViews>
  <sheetFormatPr defaultColWidth="11.44140625" defaultRowHeight="14.4" x14ac:dyDescent="0.3"/>
  <cols>
    <col min="2" max="2" width="14.44140625" customWidth="1"/>
    <col min="4" max="4" width="15.88671875" customWidth="1"/>
    <col min="5" max="5" width="27.5546875" customWidth="1"/>
    <col min="6" max="6" width="13" customWidth="1"/>
    <col min="7" max="7" width="30.5546875" bestFit="1" customWidth="1"/>
    <col min="9" max="9" width="15.44140625" bestFit="1" customWidth="1"/>
  </cols>
  <sheetData>
    <row r="1" spans="1:12" ht="43.2" x14ac:dyDescent="0.3">
      <c r="A1" s="22" t="s">
        <v>0</v>
      </c>
      <c r="B1" s="22" t="s">
        <v>1</v>
      </c>
      <c r="C1" s="22" t="s">
        <v>4</v>
      </c>
      <c r="D1" s="22" t="s">
        <v>5</v>
      </c>
      <c r="E1" s="20" t="s">
        <v>96</v>
      </c>
      <c r="F1" s="22" t="s">
        <v>9</v>
      </c>
      <c r="G1" s="22" t="s">
        <v>2</v>
      </c>
      <c r="H1" s="22" t="s">
        <v>49</v>
      </c>
      <c r="I1" s="22" t="s">
        <v>50</v>
      </c>
      <c r="J1" s="4" t="s">
        <v>74</v>
      </c>
      <c r="K1" s="23"/>
      <c r="L1" s="8"/>
    </row>
    <row r="2" spans="1:12" ht="28.8" x14ac:dyDescent="0.3">
      <c r="A2" s="22" t="s">
        <v>30</v>
      </c>
      <c r="B2" s="22" t="s">
        <v>31</v>
      </c>
      <c r="C2" s="22" t="s">
        <v>32</v>
      </c>
      <c r="D2" s="22" t="s">
        <v>60</v>
      </c>
      <c r="E2" s="20" t="s">
        <v>97</v>
      </c>
      <c r="F2" s="22" t="s">
        <v>53</v>
      </c>
      <c r="G2" s="22" t="s">
        <v>3</v>
      </c>
      <c r="H2" s="22" t="s">
        <v>49</v>
      </c>
      <c r="I2" s="22" t="s">
        <v>33</v>
      </c>
      <c r="J2" s="4" t="s">
        <v>72</v>
      </c>
      <c r="K2" s="24"/>
      <c r="L2" s="8"/>
    </row>
    <row r="3" spans="1:12" x14ac:dyDescent="0.3">
      <c r="A3" s="86"/>
      <c r="B3" s="86"/>
      <c r="C3" s="107"/>
      <c r="E3" s="125"/>
      <c r="F3" s="44"/>
      <c r="H3" s="44"/>
      <c r="I3" s="25"/>
    </row>
    <row r="4" spans="1:12" x14ac:dyDescent="0.3">
      <c r="A4" s="86"/>
      <c r="B4" s="86"/>
      <c r="C4" s="107"/>
      <c r="E4" s="125"/>
      <c r="F4" s="44"/>
      <c r="H4" s="44"/>
      <c r="I4" s="25"/>
    </row>
    <row r="5" spans="1:12" x14ac:dyDescent="0.3">
      <c r="A5" s="86"/>
      <c r="B5" s="86"/>
      <c r="C5" s="107"/>
      <c r="E5" s="125"/>
      <c r="F5" s="44"/>
      <c r="H5" s="44"/>
      <c r="I5" s="25"/>
    </row>
    <row r="6" spans="1:12" x14ac:dyDescent="0.3">
      <c r="A6" s="86"/>
      <c r="B6" s="86"/>
      <c r="C6" s="107"/>
      <c r="E6" s="125"/>
      <c r="F6" s="44"/>
      <c r="H6" s="44"/>
      <c r="I6" s="25"/>
    </row>
    <row r="7" spans="1:12" x14ac:dyDescent="0.3">
      <c r="A7" s="86"/>
      <c r="B7" s="86"/>
      <c r="C7" s="85"/>
      <c r="H7" s="2"/>
    </row>
    <row r="8" spans="1:12" x14ac:dyDescent="0.3">
      <c r="A8" s="86"/>
      <c r="B8" s="86"/>
      <c r="C8" s="85"/>
      <c r="I8" s="2"/>
    </row>
    <row r="9" spans="1:12" x14ac:dyDescent="0.3">
      <c r="A9" s="86"/>
      <c r="B9" s="86"/>
      <c r="C9" s="85"/>
      <c r="I9" s="25"/>
    </row>
    <row r="10" spans="1:12" x14ac:dyDescent="0.3">
      <c r="A10" s="86"/>
      <c r="B10" s="86"/>
      <c r="C10" s="85"/>
      <c r="I10" s="2"/>
    </row>
    <row r="11" spans="1:12" x14ac:dyDescent="0.3">
      <c r="A11" s="86"/>
      <c r="B11" s="86"/>
      <c r="C11" s="85"/>
      <c r="I11" s="2"/>
    </row>
    <row r="12" spans="1:12" x14ac:dyDescent="0.3">
      <c r="A12" s="86"/>
      <c r="B12" s="86"/>
      <c r="C12" s="85"/>
      <c r="I12" s="2"/>
    </row>
    <row r="13" spans="1:12" x14ac:dyDescent="0.3">
      <c r="A13" s="86"/>
      <c r="B13" s="86"/>
      <c r="C13" s="85"/>
      <c r="I13" s="2"/>
    </row>
    <row r="14" spans="1:12" x14ac:dyDescent="0.3">
      <c r="A14" s="86"/>
      <c r="B14" s="86"/>
      <c r="C14" s="85"/>
      <c r="I14" s="2"/>
    </row>
    <row r="15" spans="1:12" x14ac:dyDescent="0.3">
      <c r="A15" s="86"/>
      <c r="B15" s="86"/>
      <c r="C15" s="85"/>
      <c r="I15" s="2"/>
    </row>
    <row r="16" spans="1:12" x14ac:dyDescent="0.3">
      <c r="A16" s="86"/>
      <c r="B16" s="86"/>
      <c r="C16" s="85"/>
      <c r="I16" s="2"/>
    </row>
    <row r="17" spans="1:9" x14ac:dyDescent="0.3">
      <c r="A17" s="86"/>
      <c r="B17" s="86"/>
      <c r="C17" s="85"/>
      <c r="I17" s="2"/>
    </row>
    <row r="18" spans="1:9" x14ac:dyDescent="0.3">
      <c r="A18" s="86"/>
      <c r="B18" s="86"/>
      <c r="C18" s="85"/>
      <c r="I18" s="2"/>
    </row>
    <row r="19" spans="1:9" x14ac:dyDescent="0.3">
      <c r="A19" s="86"/>
      <c r="B19" s="86"/>
      <c r="C19" s="85"/>
      <c r="I19" s="2"/>
    </row>
    <row r="20" spans="1:9" x14ac:dyDescent="0.3">
      <c r="A20" s="86"/>
      <c r="B20" s="86"/>
      <c r="C20" s="85"/>
      <c r="I20" s="2"/>
    </row>
    <row r="21" spans="1:9" x14ac:dyDescent="0.3">
      <c r="A21" s="86"/>
      <c r="B21" s="86"/>
      <c r="C21" s="85"/>
      <c r="I21" s="2"/>
    </row>
    <row r="22" spans="1:9" x14ac:dyDescent="0.3">
      <c r="A22" s="86"/>
      <c r="B22" s="86"/>
      <c r="C22" s="85"/>
      <c r="I22" s="2"/>
    </row>
    <row r="23" spans="1:9" x14ac:dyDescent="0.3">
      <c r="A23" s="86"/>
      <c r="B23" s="86"/>
      <c r="C23" s="85"/>
      <c r="I23" s="2"/>
    </row>
    <row r="24" spans="1:9" x14ac:dyDescent="0.3">
      <c r="A24" s="86"/>
      <c r="B24" s="86"/>
      <c r="C24" s="85"/>
      <c r="I24" s="2"/>
    </row>
    <row r="25" spans="1:9" x14ac:dyDescent="0.3">
      <c r="A25" s="86"/>
      <c r="B25" s="86"/>
      <c r="C25" s="85"/>
      <c r="I25" s="2"/>
    </row>
    <row r="26" spans="1:9" x14ac:dyDescent="0.3">
      <c r="A26" s="86"/>
      <c r="B26" s="86"/>
      <c r="C26" s="85"/>
      <c r="I26" s="2"/>
    </row>
    <row r="27" spans="1:9" x14ac:dyDescent="0.3">
      <c r="A27" s="86"/>
      <c r="B27" s="86"/>
      <c r="C27" s="85"/>
      <c r="I27" s="2"/>
    </row>
    <row r="28" spans="1:9" x14ac:dyDescent="0.3">
      <c r="A28" s="86"/>
      <c r="B28" s="86"/>
      <c r="C28" s="85"/>
      <c r="I28" s="2"/>
    </row>
    <row r="29" spans="1:9" x14ac:dyDescent="0.3">
      <c r="A29" s="86"/>
      <c r="B29" s="86"/>
      <c r="C29" s="85"/>
      <c r="I29" s="2"/>
    </row>
    <row r="30" spans="1:9" x14ac:dyDescent="0.3">
      <c r="A30" s="86"/>
      <c r="B30" s="86"/>
      <c r="C30" s="85"/>
      <c r="I30" s="2"/>
    </row>
    <row r="31" spans="1:9" x14ac:dyDescent="0.3">
      <c r="A31" s="86"/>
      <c r="B31" s="86"/>
      <c r="C31" s="85"/>
      <c r="I31" s="2"/>
    </row>
    <row r="32" spans="1:9" x14ac:dyDescent="0.3">
      <c r="A32" s="86"/>
      <c r="B32" s="86"/>
      <c r="C32" s="85"/>
      <c r="I32" s="2"/>
    </row>
    <row r="33" spans="1:9" x14ac:dyDescent="0.3">
      <c r="A33" s="86"/>
      <c r="B33" s="86"/>
      <c r="C33" s="85"/>
      <c r="I33" s="2"/>
    </row>
    <row r="34" spans="1:9" x14ac:dyDescent="0.3">
      <c r="A34" s="86"/>
      <c r="B34" s="86"/>
      <c r="C34" s="85"/>
      <c r="I34" s="2"/>
    </row>
    <row r="35" spans="1:9" x14ac:dyDescent="0.3">
      <c r="A35" s="86"/>
      <c r="B35" s="86"/>
      <c r="C35" s="85"/>
      <c r="I35" s="2"/>
    </row>
    <row r="36" spans="1:9" x14ac:dyDescent="0.3">
      <c r="A36" s="86"/>
      <c r="B36" s="86"/>
      <c r="C36" s="85"/>
      <c r="I36" s="2"/>
    </row>
    <row r="37" spans="1:9" x14ac:dyDescent="0.3">
      <c r="A37" s="86"/>
      <c r="B37" s="86"/>
      <c r="C37" s="85"/>
      <c r="I37" s="2"/>
    </row>
    <row r="38" spans="1:9" x14ac:dyDescent="0.3">
      <c r="A38" s="86"/>
      <c r="B38" s="86"/>
      <c r="C38" s="85"/>
      <c r="I38" s="2"/>
    </row>
    <row r="39" spans="1:9" x14ac:dyDescent="0.3">
      <c r="A39" s="86"/>
      <c r="B39" s="86"/>
      <c r="C39" s="85"/>
      <c r="I39" s="2"/>
    </row>
    <row r="40" spans="1:9" x14ac:dyDescent="0.3">
      <c r="A40" s="86"/>
      <c r="B40" s="86"/>
      <c r="C40" s="85"/>
      <c r="I40" s="2"/>
    </row>
    <row r="41" spans="1:9" x14ac:dyDescent="0.3">
      <c r="A41" s="86"/>
      <c r="B41" s="86"/>
      <c r="C41" s="85"/>
      <c r="I41" s="2"/>
    </row>
    <row r="42" spans="1:9" x14ac:dyDescent="0.3">
      <c r="A42" s="86"/>
      <c r="B42" s="86"/>
      <c r="C42" s="85"/>
      <c r="I42" s="2"/>
    </row>
    <row r="43" spans="1:9" x14ac:dyDescent="0.3">
      <c r="A43" s="86"/>
      <c r="B43" s="86"/>
      <c r="C43" s="85"/>
      <c r="I43" s="2"/>
    </row>
    <row r="44" spans="1:9" x14ac:dyDescent="0.3">
      <c r="A44" s="86"/>
      <c r="B44" s="86"/>
      <c r="C44" s="85"/>
      <c r="I44" s="2"/>
    </row>
    <row r="45" spans="1:9" x14ac:dyDescent="0.3">
      <c r="A45" s="86"/>
      <c r="B45" s="86"/>
      <c r="C45" s="85"/>
      <c r="I45" s="2"/>
    </row>
    <row r="46" spans="1:9" x14ac:dyDescent="0.3">
      <c r="A46" s="86"/>
      <c r="B46" s="86"/>
      <c r="C46" s="85"/>
      <c r="I46" s="2"/>
    </row>
    <row r="47" spans="1:9" x14ac:dyDescent="0.3">
      <c r="A47" s="86"/>
      <c r="B47" s="86"/>
      <c r="C47" s="85"/>
      <c r="I47" s="2"/>
    </row>
    <row r="48" spans="1:9" x14ac:dyDescent="0.3">
      <c r="A48" s="86"/>
      <c r="B48" s="86"/>
      <c r="C48" s="85"/>
      <c r="I48" s="2"/>
    </row>
    <row r="49" spans="1:9" x14ac:dyDescent="0.3">
      <c r="A49" s="86"/>
      <c r="B49" s="86"/>
      <c r="C49" s="85"/>
      <c r="I49" s="2"/>
    </row>
    <row r="50" spans="1:9" x14ac:dyDescent="0.3">
      <c r="A50" s="86"/>
      <c r="B50" s="86"/>
      <c r="C50" s="85"/>
      <c r="I50" s="2"/>
    </row>
    <row r="51" spans="1:9" x14ac:dyDescent="0.3">
      <c r="A51" s="86"/>
      <c r="B51" s="86"/>
      <c r="C51" s="85"/>
      <c r="I51" s="2"/>
    </row>
    <row r="52" spans="1:9" x14ac:dyDescent="0.3">
      <c r="A52" s="86"/>
      <c r="B52" s="86"/>
      <c r="C52" s="85"/>
      <c r="I52" s="2"/>
    </row>
    <row r="53" spans="1:9" x14ac:dyDescent="0.3">
      <c r="A53" s="86"/>
      <c r="B53" s="86"/>
      <c r="C53" s="85"/>
      <c r="I53" s="2"/>
    </row>
    <row r="54" spans="1:9" x14ac:dyDescent="0.3">
      <c r="A54" s="86"/>
      <c r="B54" s="86"/>
      <c r="C54" s="85"/>
      <c r="I54" s="2"/>
    </row>
    <row r="55" spans="1:9" x14ac:dyDescent="0.3">
      <c r="A55" s="86"/>
      <c r="B55" s="86"/>
      <c r="C55" s="85"/>
      <c r="I55" s="2"/>
    </row>
    <row r="56" spans="1:9" x14ac:dyDescent="0.3">
      <c r="A56" s="86"/>
      <c r="B56" s="86"/>
      <c r="C56" s="85"/>
      <c r="I56" s="2"/>
    </row>
    <row r="57" spans="1:9" x14ac:dyDescent="0.3">
      <c r="A57" s="86"/>
      <c r="B57" s="86"/>
      <c r="C57" s="85"/>
      <c r="I57" s="2"/>
    </row>
    <row r="58" spans="1:9" x14ac:dyDescent="0.3">
      <c r="A58" s="86"/>
      <c r="B58" s="86"/>
      <c r="C58" s="85"/>
      <c r="I58" s="2"/>
    </row>
    <row r="59" spans="1:9" x14ac:dyDescent="0.3">
      <c r="A59" s="86"/>
      <c r="B59" s="86"/>
      <c r="C59" s="85"/>
      <c r="I59" s="2"/>
    </row>
    <row r="60" spans="1:9" x14ac:dyDescent="0.3">
      <c r="A60" s="86"/>
      <c r="B60" s="86"/>
      <c r="C60" s="85"/>
      <c r="I60" s="2"/>
    </row>
    <row r="61" spans="1:9" x14ac:dyDescent="0.3">
      <c r="A61" s="86"/>
      <c r="B61" s="86"/>
      <c r="C61" s="85"/>
      <c r="I61" s="2"/>
    </row>
    <row r="62" spans="1:9" x14ac:dyDescent="0.3">
      <c r="A62" s="86"/>
      <c r="B62" s="86"/>
      <c r="C62" s="85"/>
      <c r="I62" s="2"/>
    </row>
    <row r="63" spans="1:9" x14ac:dyDescent="0.3">
      <c r="A63" s="86"/>
      <c r="B63" s="86"/>
      <c r="C63" s="85"/>
      <c r="I63" s="2"/>
    </row>
    <row r="64" spans="1:9" x14ac:dyDescent="0.3">
      <c r="A64" s="86"/>
      <c r="B64" s="86"/>
      <c r="C64" s="85"/>
      <c r="I64" s="2"/>
    </row>
    <row r="65" spans="1:9" x14ac:dyDescent="0.3">
      <c r="A65" s="86"/>
      <c r="B65" s="86"/>
      <c r="C65" s="85"/>
      <c r="I65" s="2"/>
    </row>
    <row r="66" spans="1:9" x14ac:dyDescent="0.3">
      <c r="A66" s="86"/>
      <c r="B66" s="86"/>
      <c r="C66" s="85"/>
      <c r="I66" s="2"/>
    </row>
    <row r="67" spans="1:9" x14ac:dyDescent="0.3">
      <c r="A67" s="86"/>
      <c r="B67" s="86"/>
      <c r="C67" s="85"/>
      <c r="I67" s="2"/>
    </row>
    <row r="68" spans="1:9" x14ac:dyDescent="0.3">
      <c r="A68" s="86"/>
      <c r="B68" s="86"/>
      <c r="C68" s="85"/>
      <c r="I68" s="2"/>
    </row>
    <row r="69" spans="1:9" x14ac:dyDescent="0.3">
      <c r="A69" s="86"/>
      <c r="B69" s="86"/>
      <c r="C69" s="85"/>
      <c r="I69" s="2"/>
    </row>
    <row r="70" spans="1:9" x14ac:dyDescent="0.3">
      <c r="A70" s="86"/>
      <c r="B70" s="86"/>
      <c r="C70" s="85"/>
      <c r="I70" s="2"/>
    </row>
    <row r="71" spans="1:9" x14ac:dyDescent="0.3">
      <c r="A71" s="86"/>
      <c r="B71" s="86"/>
      <c r="C71" s="85"/>
      <c r="I71" s="2"/>
    </row>
    <row r="72" spans="1:9" x14ac:dyDescent="0.3">
      <c r="A72" s="86"/>
      <c r="B72" s="86"/>
      <c r="C72" s="85"/>
      <c r="I72" s="2"/>
    </row>
    <row r="73" spans="1:9" x14ac:dyDescent="0.3">
      <c r="A73" s="86"/>
      <c r="B73" s="86"/>
      <c r="C73" s="85"/>
      <c r="I73" s="2"/>
    </row>
    <row r="74" spans="1:9" x14ac:dyDescent="0.3">
      <c r="A74" s="86"/>
      <c r="B74" s="86"/>
      <c r="C74" s="85"/>
      <c r="I74" s="2"/>
    </row>
    <row r="75" spans="1:9" x14ac:dyDescent="0.3">
      <c r="A75" s="86"/>
      <c r="B75" s="86"/>
      <c r="C75" s="85"/>
      <c r="I75" s="2"/>
    </row>
    <row r="76" spans="1:9" x14ac:dyDescent="0.3">
      <c r="A76" s="86"/>
      <c r="B76" s="86"/>
      <c r="C76" s="85"/>
      <c r="I76" s="2"/>
    </row>
    <row r="77" spans="1:9" x14ac:dyDescent="0.3">
      <c r="A77" s="86"/>
      <c r="B77" s="86"/>
      <c r="C77" s="85"/>
      <c r="I77" s="2"/>
    </row>
    <row r="78" spans="1:9" x14ac:dyDescent="0.3">
      <c r="A78" s="86"/>
      <c r="B78" s="86"/>
      <c r="C78" s="85"/>
      <c r="I78" s="2"/>
    </row>
    <row r="79" spans="1:9" x14ac:dyDescent="0.3">
      <c r="A79" s="86"/>
      <c r="B79" s="86"/>
      <c r="C79" s="85"/>
      <c r="I79" s="2"/>
    </row>
    <row r="80" spans="1:9" x14ac:dyDescent="0.3">
      <c r="A80" s="86"/>
      <c r="B80" s="86"/>
      <c r="C80" s="85"/>
      <c r="I80" s="2"/>
    </row>
    <row r="81" spans="1:9" x14ac:dyDescent="0.3">
      <c r="A81" s="86"/>
      <c r="B81" s="86"/>
      <c r="C81" s="85"/>
      <c r="I81" s="2"/>
    </row>
    <row r="82" spans="1:9" x14ac:dyDescent="0.3">
      <c r="A82" s="86"/>
      <c r="B82" s="86"/>
      <c r="C82" s="85"/>
      <c r="I82" s="2"/>
    </row>
    <row r="83" spans="1:9" x14ac:dyDescent="0.3">
      <c r="A83" s="86"/>
      <c r="B83" s="86"/>
      <c r="C83" s="85"/>
      <c r="I83" s="2"/>
    </row>
    <row r="84" spans="1:9" x14ac:dyDescent="0.3">
      <c r="A84" s="86"/>
      <c r="B84" s="86"/>
      <c r="C84" s="85"/>
      <c r="I84" s="2"/>
    </row>
    <row r="85" spans="1:9" x14ac:dyDescent="0.3">
      <c r="A85" s="86"/>
      <c r="B85" s="86"/>
      <c r="C85" s="85"/>
      <c r="I85" s="2"/>
    </row>
    <row r="86" spans="1:9" x14ac:dyDescent="0.3">
      <c r="A86" s="86"/>
      <c r="B86" s="86"/>
      <c r="C86" s="85"/>
      <c r="I86" s="2"/>
    </row>
    <row r="87" spans="1:9" x14ac:dyDescent="0.3">
      <c r="A87" s="86"/>
      <c r="B87" s="86"/>
      <c r="C87" s="85"/>
      <c r="I87" s="2"/>
    </row>
    <row r="88" spans="1:9" x14ac:dyDescent="0.3">
      <c r="A88" s="86"/>
      <c r="B88" s="86"/>
      <c r="C88" s="85"/>
      <c r="I88" s="2"/>
    </row>
    <row r="89" spans="1:9" x14ac:dyDescent="0.3">
      <c r="A89" s="86"/>
      <c r="B89" s="86"/>
      <c r="C89" s="85"/>
      <c r="I89" s="2"/>
    </row>
    <row r="90" spans="1:9" x14ac:dyDescent="0.3">
      <c r="A90" s="86"/>
      <c r="B90" s="86"/>
      <c r="C90" s="85"/>
      <c r="I90" s="2"/>
    </row>
    <row r="91" spans="1:9" x14ac:dyDescent="0.3">
      <c r="A91" s="86"/>
      <c r="B91" s="86"/>
      <c r="C91" s="85"/>
      <c r="I91" s="2"/>
    </row>
    <row r="92" spans="1:9" x14ac:dyDescent="0.3">
      <c r="A92" s="86"/>
      <c r="B92" s="86"/>
      <c r="C92" s="85"/>
      <c r="I92" s="2"/>
    </row>
    <row r="93" spans="1:9" x14ac:dyDescent="0.3">
      <c r="A93" s="86"/>
      <c r="B93" s="86"/>
      <c r="C93" s="85"/>
      <c r="I93" s="2"/>
    </row>
    <row r="94" spans="1:9" x14ac:dyDescent="0.3">
      <c r="A94" s="86"/>
      <c r="B94" s="86"/>
      <c r="C94" s="85"/>
      <c r="I94" s="2"/>
    </row>
    <row r="95" spans="1:9" x14ac:dyDescent="0.3">
      <c r="A95" s="86"/>
      <c r="B95" s="86"/>
      <c r="C95" s="85"/>
      <c r="I95" s="2"/>
    </row>
    <row r="96" spans="1:9" x14ac:dyDescent="0.3">
      <c r="A96" s="86"/>
      <c r="B96" s="86"/>
      <c r="C96" s="85"/>
      <c r="I96" s="2"/>
    </row>
    <row r="97" spans="1:9" x14ac:dyDescent="0.3">
      <c r="A97" s="86"/>
      <c r="B97" s="86"/>
      <c r="C97" s="85"/>
      <c r="I97" s="2"/>
    </row>
    <row r="98" spans="1:9" x14ac:dyDescent="0.3">
      <c r="A98" s="86"/>
      <c r="B98" s="86"/>
      <c r="C98" s="85"/>
      <c r="I98" s="2"/>
    </row>
    <row r="99" spans="1:9" x14ac:dyDescent="0.3">
      <c r="A99" s="86"/>
      <c r="B99" s="86"/>
      <c r="C99" s="85"/>
      <c r="I99" s="2"/>
    </row>
    <row r="100" spans="1:9" x14ac:dyDescent="0.3">
      <c r="A100" s="86"/>
      <c r="B100" s="86"/>
      <c r="C100" s="85"/>
      <c r="I100" s="2"/>
    </row>
    <row r="101" spans="1:9" x14ac:dyDescent="0.3">
      <c r="A101" s="86"/>
      <c r="B101" s="86"/>
      <c r="C101" s="85"/>
      <c r="I101" s="2"/>
    </row>
    <row r="102" spans="1:9" x14ac:dyDescent="0.3">
      <c r="A102" s="86"/>
      <c r="B102" s="86"/>
      <c r="C102" s="85"/>
      <c r="I102" s="2"/>
    </row>
    <row r="103" spans="1:9" x14ac:dyDescent="0.3">
      <c r="A103" s="86"/>
      <c r="B103" s="86"/>
      <c r="C103" s="85"/>
      <c r="I103" s="2"/>
    </row>
    <row r="104" spans="1:9" x14ac:dyDescent="0.3">
      <c r="A104" s="86"/>
      <c r="B104" s="86"/>
      <c r="C104" s="85"/>
      <c r="I104" s="2"/>
    </row>
    <row r="105" spans="1:9" x14ac:dyDescent="0.3">
      <c r="A105" s="86"/>
      <c r="B105" s="86"/>
      <c r="C105" s="85"/>
      <c r="I105" s="2"/>
    </row>
    <row r="106" spans="1:9" x14ac:dyDescent="0.3">
      <c r="A106" s="86"/>
      <c r="B106" s="86"/>
      <c r="C106" s="85"/>
      <c r="I106" s="2"/>
    </row>
    <row r="107" spans="1:9" x14ac:dyDescent="0.3">
      <c r="A107" s="86"/>
      <c r="B107" s="86"/>
      <c r="C107" s="85"/>
      <c r="I107" s="2"/>
    </row>
    <row r="108" spans="1:9" x14ac:dyDescent="0.3">
      <c r="A108" s="86"/>
      <c r="B108" s="86"/>
      <c r="C108" s="85"/>
      <c r="I108" s="2"/>
    </row>
    <row r="109" spans="1:9" x14ac:dyDescent="0.3">
      <c r="A109" s="86"/>
      <c r="B109" s="86"/>
      <c r="C109" s="85"/>
      <c r="I109" s="2"/>
    </row>
    <row r="110" spans="1:9" x14ac:dyDescent="0.3">
      <c r="A110" s="86"/>
      <c r="B110" s="86"/>
      <c r="C110" s="85"/>
      <c r="I110" s="2"/>
    </row>
    <row r="111" spans="1:9" x14ac:dyDescent="0.3">
      <c r="A111" s="86"/>
      <c r="B111" s="86"/>
      <c r="C111" s="85"/>
      <c r="I111" s="2"/>
    </row>
    <row r="112" spans="1:9" x14ac:dyDescent="0.3">
      <c r="A112" s="86"/>
      <c r="B112" s="86"/>
      <c r="C112" s="85"/>
      <c r="I112" s="2"/>
    </row>
    <row r="113" spans="1:9" x14ac:dyDescent="0.3">
      <c r="A113" s="86"/>
      <c r="B113" s="86"/>
      <c r="C113" s="85"/>
      <c r="I113" s="2"/>
    </row>
    <row r="114" spans="1:9" x14ac:dyDescent="0.3">
      <c r="A114" s="86"/>
      <c r="B114" s="86"/>
      <c r="C114" s="85"/>
      <c r="I114" s="2"/>
    </row>
    <row r="115" spans="1:9" x14ac:dyDescent="0.3">
      <c r="A115" s="86"/>
      <c r="B115" s="86"/>
      <c r="C115" s="85"/>
      <c r="I115" s="2"/>
    </row>
    <row r="116" spans="1:9" x14ac:dyDescent="0.3">
      <c r="A116" s="86"/>
      <c r="B116" s="86"/>
      <c r="C116" s="85"/>
      <c r="I116" s="2"/>
    </row>
    <row r="117" spans="1:9" x14ac:dyDescent="0.3">
      <c r="A117" s="86"/>
      <c r="B117" s="86"/>
      <c r="C117" s="85"/>
      <c r="I117" s="2"/>
    </row>
    <row r="118" spans="1:9" x14ac:dyDescent="0.3">
      <c r="A118" s="86"/>
      <c r="B118" s="86"/>
      <c r="C118" s="85"/>
      <c r="I118" s="2"/>
    </row>
    <row r="119" spans="1:9" x14ac:dyDescent="0.3">
      <c r="A119" s="86"/>
      <c r="B119" s="86"/>
      <c r="C119" s="85"/>
      <c r="I119" s="2"/>
    </row>
    <row r="120" spans="1:9" x14ac:dyDescent="0.3">
      <c r="A120" s="86"/>
      <c r="B120" s="86"/>
      <c r="C120" s="85"/>
      <c r="I120" s="2"/>
    </row>
    <row r="121" spans="1:9" x14ac:dyDescent="0.3">
      <c r="A121" s="86"/>
      <c r="B121" s="86"/>
      <c r="C121" s="85"/>
      <c r="I121" s="2"/>
    </row>
    <row r="122" spans="1:9" x14ac:dyDescent="0.3">
      <c r="A122" s="86"/>
      <c r="B122" s="86"/>
      <c r="C122" s="85"/>
      <c r="I122" s="2"/>
    </row>
    <row r="123" spans="1:9" x14ac:dyDescent="0.3">
      <c r="A123" s="86"/>
      <c r="B123" s="86"/>
      <c r="C123" s="85"/>
      <c r="I123" s="2"/>
    </row>
    <row r="124" spans="1:9" x14ac:dyDescent="0.3">
      <c r="A124" s="86"/>
      <c r="B124" s="86"/>
      <c r="C124" s="85"/>
      <c r="I124" s="2"/>
    </row>
    <row r="125" spans="1:9" x14ac:dyDescent="0.3">
      <c r="A125" s="86"/>
      <c r="B125" s="86"/>
      <c r="C125" s="85"/>
      <c r="I125" s="2"/>
    </row>
    <row r="126" spans="1:9" x14ac:dyDescent="0.3">
      <c r="A126" s="86"/>
      <c r="B126" s="86"/>
      <c r="C126" s="85"/>
      <c r="I126" s="2"/>
    </row>
    <row r="127" spans="1:9" x14ac:dyDescent="0.3">
      <c r="A127" s="86"/>
      <c r="B127" s="86"/>
      <c r="C127" s="85"/>
      <c r="I127" s="2"/>
    </row>
    <row r="128" spans="1:9" x14ac:dyDescent="0.3">
      <c r="A128" s="86"/>
      <c r="B128" s="86"/>
      <c r="C128" s="85"/>
      <c r="I128" s="2"/>
    </row>
    <row r="129" spans="1:9" x14ac:dyDescent="0.3">
      <c r="A129" s="86"/>
      <c r="B129" s="86"/>
      <c r="C129" s="85"/>
      <c r="I129" s="2"/>
    </row>
    <row r="130" spans="1:9" x14ac:dyDescent="0.3">
      <c r="A130" s="86"/>
      <c r="B130" s="86"/>
      <c r="C130" s="85"/>
      <c r="I130" s="2"/>
    </row>
    <row r="131" spans="1:9" x14ac:dyDescent="0.3">
      <c r="A131" s="86"/>
      <c r="B131" s="86"/>
      <c r="C131" s="85"/>
      <c r="I131" s="2"/>
    </row>
    <row r="132" spans="1:9" x14ac:dyDescent="0.3">
      <c r="A132" s="86"/>
      <c r="B132" s="86"/>
      <c r="C132" s="85"/>
      <c r="I132" s="2"/>
    </row>
    <row r="133" spans="1:9" x14ac:dyDescent="0.3">
      <c r="A133" s="86"/>
      <c r="B133" s="86"/>
      <c r="C133" s="85"/>
      <c r="I133" s="2"/>
    </row>
    <row r="134" spans="1:9" x14ac:dyDescent="0.3">
      <c r="A134" s="86"/>
      <c r="B134" s="86"/>
      <c r="C134" s="85"/>
      <c r="I134" s="2"/>
    </row>
    <row r="135" spans="1:9" x14ac:dyDescent="0.3">
      <c r="A135" s="86"/>
      <c r="B135" s="86"/>
      <c r="C135" s="85"/>
      <c r="I135" s="2"/>
    </row>
    <row r="136" spans="1:9" x14ac:dyDescent="0.3">
      <c r="A136" s="86"/>
      <c r="B136" s="86"/>
      <c r="C136" s="85"/>
      <c r="I136" s="2"/>
    </row>
    <row r="137" spans="1:9" x14ac:dyDescent="0.3">
      <c r="A137" s="86"/>
      <c r="B137" s="86"/>
      <c r="C137" s="85"/>
      <c r="I137" s="2"/>
    </row>
    <row r="138" spans="1:9" x14ac:dyDescent="0.3">
      <c r="A138" s="86"/>
      <c r="B138" s="86"/>
      <c r="C138" s="85"/>
      <c r="I138" s="2"/>
    </row>
    <row r="139" spans="1:9" x14ac:dyDescent="0.3">
      <c r="A139" s="86"/>
      <c r="B139" s="86"/>
      <c r="C139" s="85"/>
      <c r="I139" s="2"/>
    </row>
    <row r="140" spans="1:9" x14ac:dyDescent="0.3">
      <c r="A140" s="86"/>
      <c r="B140" s="86"/>
      <c r="C140" s="85"/>
      <c r="I140" s="2"/>
    </row>
    <row r="141" spans="1:9" x14ac:dyDescent="0.3">
      <c r="A141" s="86"/>
      <c r="B141" s="86"/>
      <c r="C141" s="85"/>
      <c r="I141" s="2"/>
    </row>
    <row r="142" spans="1:9" x14ac:dyDescent="0.3">
      <c r="A142" s="86"/>
      <c r="B142" s="86"/>
      <c r="C142" s="85"/>
      <c r="I142" s="2"/>
    </row>
    <row r="143" spans="1:9" x14ac:dyDescent="0.3">
      <c r="A143" s="86"/>
      <c r="B143" s="86"/>
      <c r="C143" s="85"/>
      <c r="I143" s="2"/>
    </row>
    <row r="144" spans="1:9" x14ac:dyDescent="0.3">
      <c r="A144" s="86"/>
      <c r="B144" s="86"/>
      <c r="C144" s="85"/>
      <c r="I144" s="2"/>
    </row>
    <row r="145" spans="1:9" x14ac:dyDescent="0.3">
      <c r="A145" s="86"/>
      <c r="B145" s="86"/>
      <c r="C145" s="85"/>
      <c r="I145" s="2"/>
    </row>
    <row r="146" spans="1:9" x14ac:dyDescent="0.3">
      <c r="A146" s="86"/>
      <c r="B146" s="86"/>
      <c r="C146" s="85"/>
      <c r="I146" s="2"/>
    </row>
    <row r="147" spans="1:9" x14ac:dyDescent="0.3">
      <c r="A147" s="86"/>
      <c r="B147" s="86"/>
      <c r="C147" s="85"/>
      <c r="I147" s="2"/>
    </row>
    <row r="148" spans="1:9" x14ac:dyDescent="0.3">
      <c r="A148" s="86"/>
      <c r="B148" s="86"/>
      <c r="C148" s="85"/>
      <c r="I148" s="2"/>
    </row>
    <row r="149" spans="1:9" x14ac:dyDescent="0.3">
      <c r="A149" s="86"/>
      <c r="B149" s="86"/>
      <c r="C149" s="85"/>
      <c r="I149" s="2"/>
    </row>
    <row r="150" spans="1:9" x14ac:dyDescent="0.3">
      <c r="A150" s="86"/>
      <c r="B150" s="86"/>
      <c r="C150" s="85"/>
      <c r="I150" s="2"/>
    </row>
    <row r="151" spans="1:9" x14ac:dyDescent="0.3">
      <c r="A151" s="86"/>
      <c r="B151" s="86"/>
      <c r="C151" s="85"/>
      <c r="I151" s="2"/>
    </row>
    <row r="152" spans="1:9" x14ac:dyDescent="0.3">
      <c r="A152" s="86"/>
      <c r="B152" s="86"/>
      <c r="C152" s="85"/>
      <c r="I152" s="2"/>
    </row>
    <row r="153" spans="1:9" x14ac:dyDescent="0.3">
      <c r="A153" s="86"/>
      <c r="B153" s="86"/>
      <c r="C153" s="85"/>
      <c r="I153" s="2"/>
    </row>
    <row r="154" spans="1:9" x14ac:dyDescent="0.3">
      <c r="A154" s="86"/>
      <c r="B154" s="86"/>
      <c r="C154" s="85"/>
      <c r="I154" s="2"/>
    </row>
    <row r="155" spans="1:9" x14ac:dyDescent="0.3">
      <c r="A155" s="86"/>
      <c r="B155" s="86"/>
      <c r="C155" s="85"/>
      <c r="I155" s="2"/>
    </row>
    <row r="156" spans="1:9" x14ac:dyDescent="0.3">
      <c r="A156" s="86"/>
      <c r="B156" s="86"/>
      <c r="C156" s="85"/>
      <c r="I156" s="2"/>
    </row>
    <row r="157" spans="1:9" x14ac:dyDescent="0.3">
      <c r="A157" s="86"/>
      <c r="B157" s="86"/>
      <c r="C157" s="85"/>
      <c r="I157" s="2"/>
    </row>
    <row r="158" spans="1:9" x14ac:dyDescent="0.3">
      <c r="A158" s="86"/>
      <c r="B158" s="86"/>
      <c r="C158" s="85"/>
      <c r="I158" s="2"/>
    </row>
    <row r="159" spans="1:9" x14ac:dyDescent="0.3">
      <c r="A159" s="86"/>
      <c r="B159" s="86"/>
      <c r="C159" s="85"/>
      <c r="I159" s="2"/>
    </row>
    <row r="160" spans="1:9" x14ac:dyDescent="0.3">
      <c r="A160" s="86"/>
      <c r="B160" s="86"/>
      <c r="C160" s="85"/>
      <c r="I160" s="2"/>
    </row>
    <row r="161" spans="1:9" x14ac:dyDescent="0.3">
      <c r="A161" s="86"/>
      <c r="B161" s="86"/>
      <c r="C161" s="85"/>
      <c r="I161" s="2"/>
    </row>
    <row r="162" spans="1:9" x14ac:dyDescent="0.3">
      <c r="A162" s="86"/>
      <c r="B162" s="86"/>
      <c r="C162" s="85"/>
      <c r="I162" s="2"/>
    </row>
    <row r="163" spans="1:9" x14ac:dyDescent="0.3">
      <c r="A163" s="86"/>
      <c r="B163" s="86"/>
      <c r="C163" s="85"/>
      <c r="I163" s="2"/>
    </row>
    <row r="164" spans="1:9" x14ac:dyDescent="0.3">
      <c r="A164" s="86"/>
      <c r="B164" s="86"/>
      <c r="C164" s="85"/>
      <c r="I164" s="2"/>
    </row>
    <row r="165" spans="1:9" x14ac:dyDescent="0.3">
      <c r="A165" s="86"/>
      <c r="B165" s="86"/>
      <c r="C165" s="85"/>
      <c r="I165" s="2"/>
    </row>
    <row r="166" spans="1:9" x14ac:dyDescent="0.3">
      <c r="A166" s="86"/>
      <c r="B166" s="86"/>
      <c r="C166" s="85"/>
      <c r="I166" s="2"/>
    </row>
    <row r="167" spans="1:9" x14ac:dyDescent="0.3">
      <c r="A167" s="86"/>
      <c r="B167" s="86"/>
      <c r="C167" s="85"/>
      <c r="I167" s="2"/>
    </row>
    <row r="168" spans="1:9" x14ac:dyDescent="0.3">
      <c r="A168" s="86"/>
      <c r="B168" s="86"/>
      <c r="C168" s="85"/>
      <c r="I168" s="2"/>
    </row>
    <row r="169" spans="1:9" x14ac:dyDescent="0.3">
      <c r="A169" s="86"/>
      <c r="B169" s="86"/>
      <c r="C169" s="85"/>
      <c r="I169" s="2"/>
    </row>
    <row r="170" spans="1:9" x14ac:dyDescent="0.3">
      <c r="A170" s="86"/>
      <c r="B170" s="86"/>
      <c r="C170" s="85"/>
      <c r="I170" s="2"/>
    </row>
    <row r="171" spans="1:9" x14ac:dyDescent="0.3">
      <c r="A171" s="86"/>
      <c r="B171" s="86"/>
      <c r="C171" s="85"/>
      <c r="I171" s="2"/>
    </row>
    <row r="172" spans="1:9" x14ac:dyDescent="0.3">
      <c r="A172" s="86"/>
      <c r="B172" s="86"/>
      <c r="C172" s="85"/>
      <c r="I172" s="2"/>
    </row>
    <row r="173" spans="1:9" x14ac:dyDescent="0.3">
      <c r="A173" s="86"/>
      <c r="B173" s="86"/>
      <c r="C173" s="85"/>
      <c r="I173" s="2"/>
    </row>
    <row r="174" spans="1:9" x14ac:dyDescent="0.3">
      <c r="A174" s="86"/>
      <c r="B174" s="86"/>
      <c r="C174" s="85"/>
      <c r="I174" s="2"/>
    </row>
    <row r="175" spans="1:9" x14ac:dyDescent="0.3">
      <c r="A175" s="86"/>
      <c r="B175" s="86"/>
      <c r="C175" s="85"/>
      <c r="I175" s="2"/>
    </row>
    <row r="176" spans="1:9" x14ac:dyDescent="0.3">
      <c r="A176" s="86"/>
      <c r="B176" s="86"/>
      <c r="C176" s="85"/>
      <c r="I176" s="2"/>
    </row>
    <row r="177" spans="1:9" x14ac:dyDescent="0.3">
      <c r="A177" s="86"/>
      <c r="B177" s="86"/>
      <c r="C177" s="85"/>
      <c r="I177" s="2"/>
    </row>
    <row r="178" spans="1:9" x14ac:dyDescent="0.3">
      <c r="A178" s="86"/>
      <c r="B178" s="86"/>
      <c r="C178" s="85"/>
      <c r="I178" s="2"/>
    </row>
    <row r="179" spans="1:9" x14ac:dyDescent="0.3">
      <c r="A179" s="86"/>
      <c r="B179" s="86"/>
      <c r="C179" s="85"/>
      <c r="I179" s="2"/>
    </row>
    <row r="180" spans="1:9" x14ac:dyDescent="0.3">
      <c r="A180" s="86"/>
      <c r="B180" s="86"/>
      <c r="C180" s="85"/>
      <c r="I180" s="2"/>
    </row>
    <row r="181" spans="1:9" x14ac:dyDescent="0.3">
      <c r="A181" s="86"/>
      <c r="B181" s="86"/>
      <c r="C181" s="85"/>
      <c r="I181" s="2"/>
    </row>
    <row r="182" spans="1:9" x14ac:dyDescent="0.3">
      <c r="A182" s="86"/>
      <c r="B182" s="86"/>
      <c r="C182" s="85"/>
      <c r="I182" s="2"/>
    </row>
    <row r="183" spans="1:9" x14ac:dyDescent="0.3">
      <c r="A183" s="86"/>
      <c r="B183" s="86"/>
      <c r="C183" s="85"/>
      <c r="I183" s="2"/>
    </row>
    <row r="184" spans="1:9" x14ac:dyDescent="0.3">
      <c r="A184" s="86"/>
      <c r="B184" s="86"/>
      <c r="C184" s="85"/>
      <c r="I184" s="2"/>
    </row>
    <row r="185" spans="1:9" x14ac:dyDescent="0.3">
      <c r="A185" s="86"/>
      <c r="B185" s="86"/>
      <c r="C185" s="85"/>
      <c r="I185" s="2"/>
    </row>
    <row r="186" spans="1:9" x14ac:dyDescent="0.3">
      <c r="A186" s="86"/>
      <c r="B186" s="86"/>
      <c r="C186" s="85"/>
      <c r="I186" s="2"/>
    </row>
    <row r="187" spans="1:9" x14ac:dyDescent="0.3">
      <c r="A187" s="86"/>
      <c r="B187" s="86"/>
      <c r="C187" s="85"/>
      <c r="I187" s="2"/>
    </row>
    <row r="188" spans="1:9" x14ac:dyDescent="0.3">
      <c r="A188" s="86"/>
      <c r="B188" s="86"/>
      <c r="C188" s="85"/>
      <c r="I188" s="2"/>
    </row>
    <row r="189" spans="1:9" x14ac:dyDescent="0.3">
      <c r="A189" s="86"/>
      <c r="B189" s="86"/>
      <c r="C189" s="85"/>
      <c r="I189" s="2"/>
    </row>
    <row r="190" spans="1:9" x14ac:dyDescent="0.3">
      <c r="A190" s="86"/>
      <c r="B190" s="86"/>
      <c r="C190" s="85"/>
      <c r="I190" s="2"/>
    </row>
    <row r="191" spans="1:9" x14ac:dyDescent="0.3">
      <c r="A191" s="86"/>
      <c r="B191" s="86"/>
      <c r="C191" s="85"/>
    </row>
    <row r="192" spans="1:9" x14ac:dyDescent="0.3">
      <c r="A192" s="86"/>
      <c r="B192" s="86"/>
      <c r="C192" s="85"/>
    </row>
    <row r="193" spans="1:10" x14ac:dyDescent="0.3">
      <c r="A193" s="86"/>
      <c r="B193" s="86"/>
      <c r="C193" s="85"/>
    </row>
    <row r="194" spans="1:10" x14ac:dyDescent="0.3">
      <c r="A194" s="86"/>
      <c r="B194" s="86"/>
      <c r="C194" s="85"/>
    </row>
    <row r="206" spans="1:10" x14ac:dyDescent="0.3">
      <c r="I206" s="25">
        <f>+SUM(I2:I190)</f>
        <v>0</v>
      </c>
      <c r="J206" t="s">
        <v>25</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O36"/>
  <sheetViews>
    <sheetView workbookViewId="0">
      <selection activeCell="J35" sqref="J35"/>
    </sheetView>
  </sheetViews>
  <sheetFormatPr defaultRowHeight="14.4" x14ac:dyDescent="0.3"/>
  <cols>
    <col min="1" max="2" width="10.5546875" bestFit="1" customWidth="1"/>
    <col min="3" max="4" width="9" bestFit="1" customWidth="1"/>
    <col min="5" max="5" width="14.5546875" bestFit="1" customWidth="1"/>
    <col min="6" max="7" width="9" bestFit="1" customWidth="1"/>
    <col min="8" max="8" width="14.5546875" bestFit="1" customWidth="1"/>
    <col min="9" max="9" width="8.88671875" bestFit="1" customWidth="1"/>
    <col min="10" max="10" width="8.5546875" bestFit="1" customWidth="1"/>
    <col min="11" max="11" width="14.109375" bestFit="1" customWidth="1"/>
    <col min="12" max="12" width="27.109375" bestFit="1" customWidth="1"/>
    <col min="13" max="13" width="35.5546875" customWidth="1"/>
    <col min="14" max="14" width="18.44140625" bestFit="1" customWidth="1"/>
    <col min="15" max="15" width="8" bestFit="1" customWidth="1"/>
  </cols>
  <sheetData>
    <row r="1" spans="1:15" ht="43.2" x14ac:dyDescent="0.3">
      <c r="A1" s="20" t="s">
        <v>0</v>
      </c>
      <c r="B1" s="20" t="s">
        <v>1</v>
      </c>
      <c r="C1" s="20" t="s">
        <v>41</v>
      </c>
      <c r="D1" s="20" t="s">
        <v>34</v>
      </c>
      <c r="E1" s="20" t="s">
        <v>42</v>
      </c>
      <c r="F1" s="20" t="s">
        <v>43</v>
      </c>
      <c r="G1" s="20" t="s">
        <v>44</v>
      </c>
      <c r="H1" s="20" t="s">
        <v>45</v>
      </c>
      <c r="I1" s="20" t="s">
        <v>46</v>
      </c>
      <c r="J1" s="20" t="s">
        <v>47</v>
      </c>
      <c r="K1" s="20" t="s">
        <v>48</v>
      </c>
      <c r="L1" s="20" t="s">
        <v>2</v>
      </c>
      <c r="M1" s="20" t="s">
        <v>49</v>
      </c>
      <c r="N1" s="20" t="s">
        <v>50</v>
      </c>
      <c r="O1" s="4" t="s">
        <v>71</v>
      </c>
    </row>
    <row r="2" spans="1:15" ht="28.8" x14ac:dyDescent="0.3">
      <c r="A2" s="20" t="s">
        <v>30</v>
      </c>
      <c r="B2" s="20" t="s">
        <v>31</v>
      </c>
      <c r="C2" s="20" t="s">
        <v>51</v>
      </c>
      <c r="D2" s="20" t="s">
        <v>52</v>
      </c>
      <c r="E2" s="20" t="s">
        <v>35</v>
      </c>
      <c r="F2" s="20" t="s">
        <v>36</v>
      </c>
      <c r="G2" s="20" t="s">
        <v>37</v>
      </c>
      <c r="H2" s="20" t="s">
        <v>38</v>
      </c>
      <c r="I2" s="20" t="s">
        <v>39</v>
      </c>
      <c r="J2" s="20" t="s">
        <v>40</v>
      </c>
      <c r="K2" s="20" t="s">
        <v>53</v>
      </c>
      <c r="L2" s="20" t="s">
        <v>3</v>
      </c>
      <c r="M2" s="20" t="s">
        <v>49</v>
      </c>
      <c r="N2" s="20" t="s">
        <v>33</v>
      </c>
      <c r="O2" s="4" t="s">
        <v>72</v>
      </c>
    </row>
    <row r="3" spans="1:15" x14ac:dyDescent="0.3">
      <c r="A3" s="86"/>
      <c r="B3" s="86"/>
      <c r="C3" s="102"/>
      <c r="E3" s="103"/>
      <c r="H3" s="103"/>
      <c r="K3" s="104"/>
      <c r="N3" s="2"/>
    </row>
    <row r="4" spans="1:15" x14ac:dyDescent="0.3">
      <c r="A4" s="86"/>
      <c r="B4" s="86"/>
      <c r="C4" s="102"/>
      <c r="E4" s="103"/>
      <c r="H4" s="103"/>
      <c r="K4" s="104"/>
      <c r="N4" s="103"/>
    </row>
    <row r="5" spans="1:15" x14ac:dyDescent="0.3">
      <c r="A5" s="86"/>
      <c r="B5" s="86"/>
      <c r="C5" s="102"/>
      <c r="E5" s="103"/>
      <c r="H5" s="103"/>
      <c r="K5" s="104"/>
      <c r="N5" s="103"/>
    </row>
    <row r="6" spans="1:15" x14ac:dyDescent="0.3">
      <c r="A6" s="86"/>
      <c r="B6" s="86"/>
      <c r="C6" s="102"/>
      <c r="E6" s="103"/>
      <c r="H6" s="103"/>
      <c r="K6" s="104"/>
      <c r="N6" s="103"/>
    </row>
    <row r="7" spans="1:15" x14ac:dyDescent="0.3">
      <c r="A7" s="86"/>
      <c r="B7" s="86"/>
      <c r="C7" s="102"/>
      <c r="E7" s="103"/>
      <c r="H7" s="103"/>
      <c r="K7" s="104"/>
      <c r="N7" s="2"/>
    </row>
    <row r="8" spans="1:15" x14ac:dyDescent="0.3">
      <c r="A8" s="86"/>
      <c r="B8" s="86"/>
      <c r="C8" s="102"/>
      <c r="E8" s="103"/>
      <c r="H8" s="103"/>
      <c r="K8" s="104"/>
      <c r="N8" s="103"/>
    </row>
    <row r="9" spans="1:15" x14ac:dyDescent="0.3">
      <c r="A9" s="86"/>
      <c r="B9" s="86"/>
      <c r="C9" s="102"/>
      <c r="E9" s="103"/>
      <c r="H9" s="103"/>
      <c r="K9" s="104"/>
      <c r="N9" s="2"/>
    </row>
    <row r="10" spans="1:15" x14ac:dyDescent="0.3">
      <c r="A10" s="86"/>
      <c r="B10" s="86"/>
      <c r="C10" s="102"/>
      <c r="E10" s="103"/>
      <c r="H10" s="103"/>
      <c r="K10" s="104"/>
      <c r="N10" s="2"/>
    </row>
    <row r="11" spans="1:15" x14ac:dyDescent="0.3">
      <c r="A11" s="86"/>
      <c r="B11" s="86"/>
      <c r="C11" s="102"/>
      <c r="E11" s="103"/>
      <c r="H11" s="103"/>
      <c r="K11" s="104"/>
      <c r="N11" s="2"/>
    </row>
    <row r="12" spans="1:15" x14ac:dyDescent="0.3">
      <c r="A12" s="86"/>
      <c r="B12" s="86"/>
      <c r="C12" s="102"/>
      <c r="E12" s="103"/>
      <c r="H12" s="2"/>
      <c r="K12" s="104"/>
      <c r="N12" s="103"/>
    </row>
    <row r="13" spans="1:15" x14ac:dyDescent="0.3">
      <c r="A13" s="86"/>
      <c r="B13" s="86"/>
      <c r="C13" s="102"/>
      <c r="E13" s="103"/>
      <c r="H13" s="2"/>
      <c r="K13" s="104"/>
      <c r="N13" s="2"/>
    </row>
    <row r="14" spans="1:15" x14ac:dyDescent="0.3">
      <c r="A14" s="86"/>
      <c r="B14" s="86"/>
      <c r="C14" s="102"/>
      <c r="E14" s="103"/>
      <c r="H14" s="103"/>
      <c r="K14" s="104"/>
      <c r="N14" s="2"/>
    </row>
    <row r="15" spans="1:15" x14ac:dyDescent="0.3">
      <c r="A15" s="86"/>
      <c r="B15" s="86"/>
      <c r="C15" s="102"/>
      <c r="E15" s="103"/>
      <c r="H15" s="103"/>
      <c r="K15" s="104"/>
      <c r="N15" s="2"/>
    </row>
    <row r="16" spans="1:15" x14ac:dyDescent="0.3">
      <c r="A16" s="86"/>
      <c r="B16" s="86"/>
      <c r="C16" s="102"/>
      <c r="E16" s="103"/>
      <c r="H16" s="103"/>
      <c r="K16" s="104"/>
      <c r="N16" s="2"/>
    </row>
    <row r="17" spans="1:14" x14ac:dyDescent="0.3">
      <c r="A17" s="86"/>
      <c r="B17" s="86"/>
      <c r="E17" s="2"/>
      <c r="H17" s="2"/>
      <c r="K17" s="104"/>
      <c r="N17" s="2"/>
    </row>
    <row r="18" spans="1:14" x14ac:dyDescent="0.3">
      <c r="A18" s="86"/>
      <c r="B18" s="86"/>
      <c r="E18" s="2"/>
      <c r="H18" s="2"/>
      <c r="K18" s="104"/>
      <c r="N18" s="103"/>
    </row>
    <row r="19" spans="1:14" x14ac:dyDescent="0.3">
      <c r="A19" s="86"/>
      <c r="B19" s="86"/>
      <c r="E19" s="2"/>
      <c r="H19" s="2"/>
      <c r="K19" s="104"/>
      <c r="N19" s="103"/>
    </row>
    <row r="20" spans="1:14" x14ac:dyDescent="0.3">
      <c r="A20" s="86"/>
      <c r="B20" s="86"/>
      <c r="E20" s="2"/>
      <c r="H20" s="2"/>
      <c r="K20" s="104"/>
      <c r="N20" s="2"/>
    </row>
    <row r="21" spans="1:14" x14ac:dyDescent="0.3">
      <c r="A21" s="86"/>
      <c r="B21" s="86"/>
      <c r="E21" s="2"/>
      <c r="H21" s="2"/>
      <c r="K21" s="104"/>
      <c r="N21" s="103"/>
    </row>
    <row r="22" spans="1:14" x14ac:dyDescent="0.3">
      <c r="A22" s="86"/>
      <c r="B22" s="86"/>
      <c r="E22" s="2"/>
      <c r="H22" s="2"/>
      <c r="K22" s="104"/>
      <c r="N22" s="2"/>
    </row>
    <row r="23" spans="1:14" x14ac:dyDescent="0.3">
      <c r="A23" s="86"/>
      <c r="B23" s="86"/>
      <c r="E23" s="2"/>
      <c r="H23" s="2"/>
      <c r="K23" s="104"/>
      <c r="N23" s="2"/>
    </row>
    <row r="24" spans="1:14" x14ac:dyDescent="0.3">
      <c r="A24" s="86"/>
      <c r="B24" s="86"/>
      <c r="E24" s="2"/>
      <c r="H24" s="2"/>
      <c r="K24" s="104"/>
      <c r="N24" s="2"/>
    </row>
    <row r="25" spans="1:14" x14ac:dyDescent="0.3">
      <c r="A25" s="86"/>
      <c r="B25" s="86"/>
      <c r="E25" s="2"/>
      <c r="H25" s="2"/>
      <c r="K25" s="104"/>
      <c r="N25" s="2"/>
    </row>
    <row r="26" spans="1:14" x14ac:dyDescent="0.3">
      <c r="A26" s="86"/>
      <c r="B26" s="86"/>
      <c r="E26" s="2"/>
      <c r="H26" s="2"/>
      <c r="K26" s="104"/>
      <c r="N26" s="2"/>
    </row>
    <row r="27" spans="1:14" x14ac:dyDescent="0.3">
      <c r="A27" s="86"/>
      <c r="B27" s="86"/>
      <c r="E27" s="2"/>
      <c r="H27" s="2"/>
      <c r="K27" s="104"/>
      <c r="N27" s="103"/>
    </row>
    <row r="28" spans="1:14" x14ac:dyDescent="0.3">
      <c r="A28" s="86"/>
      <c r="B28" s="86"/>
      <c r="E28" s="2"/>
      <c r="H28" s="2"/>
      <c r="K28" s="104"/>
      <c r="N28" s="2"/>
    </row>
    <row r="29" spans="1:14" x14ac:dyDescent="0.3">
      <c r="A29" s="86"/>
      <c r="B29" s="86"/>
      <c r="K29" s="104"/>
    </row>
    <row r="30" spans="1:14" x14ac:dyDescent="0.3">
      <c r="A30" s="86"/>
      <c r="B30" s="86"/>
      <c r="K30" s="104"/>
    </row>
    <row r="31" spans="1:14" x14ac:dyDescent="0.3">
      <c r="A31" s="86"/>
      <c r="B31" s="86"/>
      <c r="K31" s="104"/>
    </row>
    <row r="32" spans="1:14" x14ac:dyDescent="0.3">
      <c r="A32" s="86"/>
      <c r="B32" s="86"/>
      <c r="K32" s="104"/>
    </row>
    <row r="33" spans="1:14" x14ac:dyDescent="0.3">
      <c r="A33" s="86"/>
      <c r="B33" s="86"/>
      <c r="K33" s="104"/>
    </row>
    <row r="34" spans="1:14" x14ac:dyDescent="0.3">
      <c r="A34" s="86"/>
      <c r="B34" s="86"/>
      <c r="K34" s="104"/>
    </row>
    <row r="35" spans="1:14" x14ac:dyDescent="0.3">
      <c r="A35" s="86"/>
      <c r="B35" s="86"/>
    </row>
    <row r="36" spans="1:14" x14ac:dyDescent="0.3">
      <c r="N36" s="2">
        <f>SUM(N3:N34)</f>
        <v>0</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R92"/>
  <sheetViews>
    <sheetView zoomScale="85" zoomScaleNormal="85" workbookViewId="0">
      <selection activeCell="J53" sqref="J53"/>
    </sheetView>
  </sheetViews>
  <sheetFormatPr defaultColWidth="9.109375" defaultRowHeight="14.4" x14ac:dyDescent="0.3"/>
  <cols>
    <col min="2" max="3" width="11.44140625" customWidth="1"/>
    <col min="4" max="4" width="14.109375" bestFit="1" customWidth="1"/>
    <col min="5" max="5" width="11.44140625" customWidth="1"/>
    <col min="6" max="6" width="15.109375" bestFit="1" customWidth="1"/>
    <col min="7" max="7" width="8.88671875" bestFit="1" customWidth="1"/>
    <col min="8" max="9" width="6.109375" bestFit="1" customWidth="1"/>
    <col min="10" max="10" width="28.109375" bestFit="1" customWidth="1"/>
    <col min="11" max="11" width="33.44140625" bestFit="1" customWidth="1"/>
    <col min="12" max="12" width="15.44140625" bestFit="1" customWidth="1"/>
    <col min="13" max="13" width="13.5546875" bestFit="1" customWidth="1"/>
    <col min="14" max="14" width="12.5546875" bestFit="1" customWidth="1"/>
    <col min="15" max="15" width="28.88671875" bestFit="1" customWidth="1"/>
    <col min="16" max="16" width="15" customWidth="1"/>
    <col min="17" max="17" width="33.109375" bestFit="1" customWidth="1"/>
    <col min="18" max="259" width="11.44140625" customWidth="1"/>
    <col min="260" max="260" width="10.88671875" bestFit="1" customWidth="1"/>
    <col min="261" max="261" width="5.5546875" bestFit="1" customWidth="1"/>
    <col min="262" max="262" width="15.109375" bestFit="1" customWidth="1"/>
    <col min="263" max="263" width="8.88671875" bestFit="1" customWidth="1"/>
    <col min="264" max="265" width="6.109375" bestFit="1" customWidth="1"/>
    <col min="266" max="266" width="14.109375" bestFit="1" customWidth="1"/>
    <col min="267" max="267" width="33.44140625" bestFit="1" customWidth="1"/>
    <col min="268" max="268" width="15.44140625" bestFit="1" customWidth="1"/>
    <col min="269" max="269" width="13.5546875" bestFit="1" customWidth="1"/>
    <col min="270" max="270" width="7.44140625" bestFit="1" customWidth="1"/>
    <col min="271" max="271" width="10.88671875" bestFit="1" customWidth="1"/>
    <col min="272" max="272" width="15" customWidth="1"/>
    <col min="273" max="273" width="33.109375" bestFit="1" customWidth="1"/>
    <col min="274" max="515" width="11.44140625" customWidth="1"/>
    <col min="516" max="516" width="10.88671875" bestFit="1" customWidth="1"/>
    <col min="517" max="517" width="5.5546875" bestFit="1" customWidth="1"/>
    <col min="518" max="518" width="15.109375" bestFit="1" customWidth="1"/>
    <col min="519" max="519" width="8.88671875" bestFit="1" customWidth="1"/>
    <col min="520" max="521" width="6.109375" bestFit="1" customWidth="1"/>
    <col min="522" max="522" width="14.109375" bestFit="1" customWidth="1"/>
    <col min="523" max="523" width="33.44140625" bestFit="1" customWidth="1"/>
    <col min="524" max="524" width="15.44140625" bestFit="1" customWidth="1"/>
    <col min="525" max="525" width="13.5546875" bestFit="1" customWidth="1"/>
    <col min="526" max="526" width="7.44140625" bestFit="1" customWidth="1"/>
    <col min="527" max="527" width="10.88671875" bestFit="1" customWidth="1"/>
    <col min="528" max="528" width="15" customWidth="1"/>
    <col min="529" max="529" width="33.109375" bestFit="1" customWidth="1"/>
    <col min="530" max="771" width="11.44140625" customWidth="1"/>
    <col min="772" max="772" width="10.88671875" bestFit="1" customWidth="1"/>
    <col min="773" max="773" width="5.5546875" bestFit="1" customWidth="1"/>
    <col min="774" max="774" width="15.109375" bestFit="1" customWidth="1"/>
    <col min="775" max="775" width="8.88671875" bestFit="1" customWidth="1"/>
    <col min="776" max="777" width="6.109375" bestFit="1" customWidth="1"/>
    <col min="778" max="778" width="14.109375" bestFit="1" customWidth="1"/>
    <col min="779" max="779" width="33.44140625" bestFit="1" customWidth="1"/>
    <col min="780" max="780" width="15.44140625" bestFit="1" customWidth="1"/>
    <col min="781" max="781" width="13.5546875" bestFit="1" customWidth="1"/>
    <col min="782" max="782" width="7.44140625" bestFit="1" customWidth="1"/>
    <col min="783" max="783" width="10.88671875" bestFit="1" customWidth="1"/>
    <col min="784" max="784" width="15" customWidth="1"/>
    <col min="785" max="785" width="33.109375" bestFit="1" customWidth="1"/>
    <col min="786" max="1027" width="11.44140625" customWidth="1"/>
    <col min="1028" max="1028" width="10.88671875" bestFit="1" customWidth="1"/>
    <col min="1029" max="1029" width="5.5546875" bestFit="1" customWidth="1"/>
    <col min="1030" max="1030" width="15.109375" bestFit="1" customWidth="1"/>
    <col min="1031" max="1031" width="8.88671875" bestFit="1" customWidth="1"/>
    <col min="1032" max="1033" width="6.109375" bestFit="1" customWidth="1"/>
    <col min="1034" max="1034" width="14.109375" bestFit="1" customWidth="1"/>
    <col min="1035" max="1035" width="33.44140625" bestFit="1" customWidth="1"/>
    <col min="1036" max="1036" width="15.44140625" bestFit="1" customWidth="1"/>
    <col min="1037" max="1037" width="13.5546875" bestFit="1" customWidth="1"/>
    <col min="1038" max="1038" width="7.44140625" bestFit="1" customWidth="1"/>
    <col min="1039" max="1039" width="10.88671875" bestFit="1" customWidth="1"/>
    <col min="1040" max="1040" width="15" customWidth="1"/>
    <col min="1041" max="1041" width="33.109375" bestFit="1" customWidth="1"/>
    <col min="1042" max="1283" width="11.44140625" customWidth="1"/>
    <col min="1284" max="1284" width="10.88671875" bestFit="1" customWidth="1"/>
    <col min="1285" max="1285" width="5.5546875" bestFit="1" customWidth="1"/>
    <col min="1286" max="1286" width="15.109375" bestFit="1" customWidth="1"/>
    <col min="1287" max="1287" width="8.88671875" bestFit="1" customWidth="1"/>
    <col min="1288" max="1289" width="6.109375" bestFit="1" customWidth="1"/>
    <col min="1290" max="1290" width="14.109375" bestFit="1" customWidth="1"/>
    <col min="1291" max="1291" width="33.44140625" bestFit="1" customWidth="1"/>
    <col min="1292" max="1292" width="15.44140625" bestFit="1" customWidth="1"/>
    <col min="1293" max="1293" width="13.5546875" bestFit="1" customWidth="1"/>
    <col min="1294" max="1294" width="7.44140625" bestFit="1" customWidth="1"/>
    <col min="1295" max="1295" width="10.88671875" bestFit="1" customWidth="1"/>
    <col min="1296" max="1296" width="15" customWidth="1"/>
    <col min="1297" max="1297" width="33.109375" bestFit="1" customWidth="1"/>
    <col min="1298" max="1539" width="11.44140625" customWidth="1"/>
    <col min="1540" max="1540" width="10.88671875" bestFit="1" customWidth="1"/>
    <col min="1541" max="1541" width="5.5546875" bestFit="1" customWidth="1"/>
    <col min="1542" max="1542" width="15.109375" bestFit="1" customWidth="1"/>
    <col min="1543" max="1543" width="8.88671875" bestFit="1" customWidth="1"/>
    <col min="1544" max="1545" width="6.109375" bestFit="1" customWidth="1"/>
    <col min="1546" max="1546" width="14.109375" bestFit="1" customWidth="1"/>
    <col min="1547" max="1547" width="33.44140625" bestFit="1" customWidth="1"/>
    <col min="1548" max="1548" width="15.44140625" bestFit="1" customWidth="1"/>
    <col min="1549" max="1549" width="13.5546875" bestFit="1" customWidth="1"/>
    <col min="1550" max="1550" width="7.44140625" bestFit="1" customWidth="1"/>
    <col min="1551" max="1551" width="10.88671875" bestFit="1" customWidth="1"/>
    <col min="1552" max="1552" width="15" customWidth="1"/>
    <col min="1553" max="1553" width="33.109375" bestFit="1" customWidth="1"/>
    <col min="1554" max="1795" width="11.44140625" customWidth="1"/>
    <col min="1796" max="1796" width="10.88671875" bestFit="1" customWidth="1"/>
    <col min="1797" max="1797" width="5.5546875" bestFit="1" customWidth="1"/>
    <col min="1798" max="1798" width="15.109375" bestFit="1" customWidth="1"/>
    <col min="1799" max="1799" width="8.88671875" bestFit="1" customWidth="1"/>
    <col min="1800" max="1801" width="6.109375" bestFit="1" customWidth="1"/>
    <col min="1802" max="1802" width="14.109375" bestFit="1" customWidth="1"/>
    <col min="1803" max="1803" width="33.44140625" bestFit="1" customWidth="1"/>
    <col min="1804" max="1804" width="15.44140625" bestFit="1" customWidth="1"/>
    <col min="1805" max="1805" width="13.5546875" bestFit="1" customWidth="1"/>
    <col min="1806" max="1806" width="7.44140625" bestFit="1" customWidth="1"/>
    <col min="1807" max="1807" width="10.88671875" bestFit="1" customWidth="1"/>
    <col min="1808" max="1808" width="15" customWidth="1"/>
    <col min="1809" max="1809" width="33.109375" bestFit="1" customWidth="1"/>
    <col min="1810" max="2051" width="11.44140625" customWidth="1"/>
    <col min="2052" max="2052" width="10.88671875" bestFit="1" customWidth="1"/>
    <col min="2053" max="2053" width="5.5546875" bestFit="1" customWidth="1"/>
    <col min="2054" max="2054" width="15.109375" bestFit="1" customWidth="1"/>
    <col min="2055" max="2055" width="8.88671875" bestFit="1" customWidth="1"/>
    <col min="2056" max="2057" width="6.109375" bestFit="1" customWidth="1"/>
    <col min="2058" max="2058" width="14.109375" bestFit="1" customWidth="1"/>
    <col min="2059" max="2059" width="33.44140625" bestFit="1" customWidth="1"/>
    <col min="2060" max="2060" width="15.44140625" bestFit="1" customWidth="1"/>
    <col min="2061" max="2061" width="13.5546875" bestFit="1" customWidth="1"/>
    <col min="2062" max="2062" width="7.44140625" bestFit="1" customWidth="1"/>
    <col min="2063" max="2063" width="10.88671875" bestFit="1" customWidth="1"/>
    <col min="2064" max="2064" width="15" customWidth="1"/>
    <col min="2065" max="2065" width="33.109375" bestFit="1" customWidth="1"/>
    <col min="2066" max="2307" width="11.44140625" customWidth="1"/>
    <col min="2308" max="2308" width="10.88671875" bestFit="1" customWidth="1"/>
    <col min="2309" max="2309" width="5.5546875" bestFit="1" customWidth="1"/>
    <col min="2310" max="2310" width="15.109375" bestFit="1" customWidth="1"/>
    <col min="2311" max="2311" width="8.88671875" bestFit="1" customWidth="1"/>
    <col min="2312" max="2313" width="6.109375" bestFit="1" customWidth="1"/>
    <col min="2314" max="2314" width="14.109375" bestFit="1" customWidth="1"/>
    <col min="2315" max="2315" width="33.44140625" bestFit="1" customWidth="1"/>
    <col min="2316" max="2316" width="15.44140625" bestFit="1" customWidth="1"/>
    <col min="2317" max="2317" width="13.5546875" bestFit="1" customWidth="1"/>
    <col min="2318" max="2318" width="7.44140625" bestFit="1" customWidth="1"/>
    <col min="2319" max="2319" width="10.88671875" bestFit="1" customWidth="1"/>
    <col min="2320" max="2320" width="15" customWidth="1"/>
    <col min="2321" max="2321" width="33.109375" bestFit="1" customWidth="1"/>
    <col min="2322" max="2563" width="11.44140625" customWidth="1"/>
    <col min="2564" max="2564" width="10.88671875" bestFit="1" customWidth="1"/>
    <col min="2565" max="2565" width="5.5546875" bestFit="1" customWidth="1"/>
    <col min="2566" max="2566" width="15.109375" bestFit="1" customWidth="1"/>
    <col min="2567" max="2567" width="8.88671875" bestFit="1" customWidth="1"/>
    <col min="2568" max="2569" width="6.109375" bestFit="1" customWidth="1"/>
    <col min="2570" max="2570" width="14.109375" bestFit="1" customWidth="1"/>
    <col min="2571" max="2571" width="33.44140625" bestFit="1" customWidth="1"/>
    <col min="2572" max="2572" width="15.44140625" bestFit="1" customWidth="1"/>
    <col min="2573" max="2573" width="13.5546875" bestFit="1" customWidth="1"/>
    <col min="2574" max="2574" width="7.44140625" bestFit="1" customWidth="1"/>
    <col min="2575" max="2575" width="10.88671875" bestFit="1" customWidth="1"/>
    <col min="2576" max="2576" width="15" customWidth="1"/>
    <col min="2577" max="2577" width="33.109375" bestFit="1" customWidth="1"/>
    <col min="2578" max="2819" width="11.44140625" customWidth="1"/>
    <col min="2820" max="2820" width="10.88671875" bestFit="1" customWidth="1"/>
    <col min="2821" max="2821" width="5.5546875" bestFit="1" customWidth="1"/>
    <col min="2822" max="2822" width="15.109375" bestFit="1" customWidth="1"/>
    <col min="2823" max="2823" width="8.88671875" bestFit="1" customWidth="1"/>
    <col min="2824" max="2825" width="6.109375" bestFit="1" customWidth="1"/>
    <col min="2826" max="2826" width="14.109375" bestFit="1" customWidth="1"/>
    <col min="2827" max="2827" width="33.44140625" bestFit="1" customWidth="1"/>
    <col min="2828" max="2828" width="15.44140625" bestFit="1" customWidth="1"/>
    <col min="2829" max="2829" width="13.5546875" bestFit="1" customWidth="1"/>
    <col min="2830" max="2830" width="7.44140625" bestFit="1" customWidth="1"/>
    <col min="2831" max="2831" width="10.88671875" bestFit="1" customWidth="1"/>
    <col min="2832" max="2832" width="15" customWidth="1"/>
    <col min="2833" max="2833" width="33.109375" bestFit="1" customWidth="1"/>
    <col min="2834" max="3075" width="11.44140625" customWidth="1"/>
    <col min="3076" max="3076" width="10.88671875" bestFit="1" customWidth="1"/>
    <col min="3077" max="3077" width="5.5546875" bestFit="1" customWidth="1"/>
    <col min="3078" max="3078" width="15.109375" bestFit="1" customWidth="1"/>
    <col min="3079" max="3079" width="8.88671875" bestFit="1" customWidth="1"/>
    <col min="3080" max="3081" width="6.109375" bestFit="1" customWidth="1"/>
    <col min="3082" max="3082" width="14.109375" bestFit="1" customWidth="1"/>
    <col min="3083" max="3083" width="33.44140625" bestFit="1" customWidth="1"/>
    <col min="3084" max="3084" width="15.44140625" bestFit="1" customWidth="1"/>
    <col min="3085" max="3085" width="13.5546875" bestFit="1" customWidth="1"/>
    <col min="3086" max="3086" width="7.44140625" bestFit="1" customWidth="1"/>
    <col min="3087" max="3087" width="10.88671875" bestFit="1" customWidth="1"/>
    <col min="3088" max="3088" width="15" customWidth="1"/>
    <col min="3089" max="3089" width="33.109375" bestFit="1" customWidth="1"/>
    <col min="3090" max="3331" width="11.44140625" customWidth="1"/>
    <col min="3332" max="3332" width="10.88671875" bestFit="1" customWidth="1"/>
    <col min="3333" max="3333" width="5.5546875" bestFit="1" customWidth="1"/>
    <col min="3334" max="3334" width="15.109375" bestFit="1" customWidth="1"/>
    <col min="3335" max="3335" width="8.88671875" bestFit="1" customWidth="1"/>
    <col min="3336" max="3337" width="6.109375" bestFit="1" customWidth="1"/>
    <col min="3338" max="3338" width="14.109375" bestFit="1" customWidth="1"/>
    <col min="3339" max="3339" width="33.44140625" bestFit="1" customWidth="1"/>
    <col min="3340" max="3340" width="15.44140625" bestFit="1" customWidth="1"/>
    <col min="3341" max="3341" width="13.5546875" bestFit="1" customWidth="1"/>
    <col min="3342" max="3342" width="7.44140625" bestFit="1" customWidth="1"/>
    <col min="3343" max="3343" width="10.88671875" bestFit="1" customWidth="1"/>
    <col min="3344" max="3344" width="15" customWidth="1"/>
    <col min="3345" max="3345" width="33.109375" bestFit="1" customWidth="1"/>
    <col min="3346" max="3587" width="11.44140625" customWidth="1"/>
    <col min="3588" max="3588" width="10.88671875" bestFit="1" customWidth="1"/>
    <col min="3589" max="3589" width="5.5546875" bestFit="1" customWidth="1"/>
    <col min="3590" max="3590" width="15.109375" bestFit="1" customWidth="1"/>
    <col min="3591" max="3591" width="8.88671875" bestFit="1" customWidth="1"/>
    <col min="3592" max="3593" width="6.109375" bestFit="1" customWidth="1"/>
    <col min="3594" max="3594" width="14.109375" bestFit="1" customWidth="1"/>
    <col min="3595" max="3595" width="33.44140625" bestFit="1" customWidth="1"/>
    <col min="3596" max="3596" width="15.44140625" bestFit="1" customWidth="1"/>
    <col min="3597" max="3597" width="13.5546875" bestFit="1" customWidth="1"/>
    <col min="3598" max="3598" width="7.44140625" bestFit="1" customWidth="1"/>
    <col min="3599" max="3599" width="10.88671875" bestFit="1" customWidth="1"/>
    <col min="3600" max="3600" width="15" customWidth="1"/>
    <col min="3601" max="3601" width="33.109375" bestFit="1" customWidth="1"/>
    <col min="3602" max="3843" width="11.44140625" customWidth="1"/>
    <col min="3844" max="3844" width="10.88671875" bestFit="1" customWidth="1"/>
    <col min="3845" max="3845" width="5.5546875" bestFit="1" customWidth="1"/>
    <col min="3846" max="3846" width="15.109375" bestFit="1" customWidth="1"/>
    <col min="3847" max="3847" width="8.88671875" bestFit="1" customWidth="1"/>
    <col min="3848" max="3849" width="6.109375" bestFit="1" customWidth="1"/>
    <col min="3850" max="3850" width="14.109375" bestFit="1" customWidth="1"/>
    <col min="3851" max="3851" width="33.44140625" bestFit="1" customWidth="1"/>
    <col min="3852" max="3852" width="15.44140625" bestFit="1" customWidth="1"/>
    <col min="3853" max="3853" width="13.5546875" bestFit="1" customWidth="1"/>
    <col min="3854" max="3854" width="7.44140625" bestFit="1" customWidth="1"/>
    <col min="3855" max="3855" width="10.88671875" bestFit="1" customWidth="1"/>
    <col min="3856" max="3856" width="15" customWidth="1"/>
    <col min="3857" max="3857" width="33.109375" bestFit="1" customWidth="1"/>
    <col min="3858" max="4099" width="11.44140625" customWidth="1"/>
    <col min="4100" max="4100" width="10.88671875" bestFit="1" customWidth="1"/>
    <col min="4101" max="4101" width="5.5546875" bestFit="1" customWidth="1"/>
    <col min="4102" max="4102" width="15.109375" bestFit="1" customWidth="1"/>
    <col min="4103" max="4103" width="8.88671875" bestFit="1" customWidth="1"/>
    <col min="4104" max="4105" width="6.109375" bestFit="1" customWidth="1"/>
    <col min="4106" max="4106" width="14.109375" bestFit="1" customWidth="1"/>
    <col min="4107" max="4107" width="33.44140625" bestFit="1" customWidth="1"/>
    <col min="4108" max="4108" width="15.44140625" bestFit="1" customWidth="1"/>
    <col min="4109" max="4109" width="13.5546875" bestFit="1" customWidth="1"/>
    <col min="4110" max="4110" width="7.44140625" bestFit="1" customWidth="1"/>
    <col min="4111" max="4111" width="10.88671875" bestFit="1" customWidth="1"/>
    <col min="4112" max="4112" width="15" customWidth="1"/>
    <col min="4113" max="4113" width="33.109375" bestFit="1" customWidth="1"/>
    <col min="4114" max="4355" width="11.44140625" customWidth="1"/>
    <col min="4356" max="4356" width="10.88671875" bestFit="1" customWidth="1"/>
    <col min="4357" max="4357" width="5.5546875" bestFit="1" customWidth="1"/>
    <col min="4358" max="4358" width="15.109375" bestFit="1" customWidth="1"/>
    <col min="4359" max="4359" width="8.88671875" bestFit="1" customWidth="1"/>
    <col min="4360" max="4361" width="6.109375" bestFit="1" customWidth="1"/>
    <col min="4362" max="4362" width="14.109375" bestFit="1" customWidth="1"/>
    <col min="4363" max="4363" width="33.44140625" bestFit="1" customWidth="1"/>
    <col min="4364" max="4364" width="15.44140625" bestFit="1" customWidth="1"/>
    <col min="4365" max="4365" width="13.5546875" bestFit="1" customWidth="1"/>
    <col min="4366" max="4366" width="7.44140625" bestFit="1" customWidth="1"/>
    <col min="4367" max="4367" width="10.88671875" bestFit="1" customWidth="1"/>
    <col min="4368" max="4368" width="15" customWidth="1"/>
    <col min="4369" max="4369" width="33.109375" bestFit="1" customWidth="1"/>
    <col min="4370" max="4611" width="11.44140625" customWidth="1"/>
    <col min="4612" max="4612" width="10.88671875" bestFit="1" customWidth="1"/>
    <col min="4613" max="4613" width="5.5546875" bestFit="1" customWidth="1"/>
    <col min="4614" max="4614" width="15.109375" bestFit="1" customWidth="1"/>
    <col min="4615" max="4615" width="8.88671875" bestFit="1" customWidth="1"/>
    <col min="4616" max="4617" width="6.109375" bestFit="1" customWidth="1"/>
    <col min="4618" max="4618" width="14.109375" bestFit="1" customWidth="1"/>
    <col min="4619" max="4619" width="33.44140625" bestFit="1" customWidth="1"/>
    <col min="4620" max="4620" width="15.44140625" bestFit="1" customWidth="1"/>
    <col min="4621" max="4621" width="13.5546875" bestFit="1" customWidth="1"/>
    <col min="4622" max="4622" width="7.44140625" bestFit="1" customWidth="1"/>
    <col min="4623" max="4623" width="10.88671875" bestFit="1" customWidth="1"/>
    <col min="4624" max="4624" width="15" customWidth="1"/>
    <col min="4625" max="4625" width="33.109375" bestFit="1" customWidth="1"/>
    <col min="4626" max="4867" width="11.44140625" customWidth="1"/>
    <col min="4868" max="4868" width="10.88671875" bestFit="1" customWidth="1"/>
    <col min="4869" max="4869" width="5.5546875" bestFit="1" customWidth="1"/>
    <col min="4870" max="4870" width="15.109375" bestFit="1" customWidth="1"/>
    <col min="4871" max="4871" width="8.88671875" bestFit="1" customWidth="1"/>
    <col min="4872" max="4873" width="6.109375" bestFit="1" customWidth="1"/>
    <col min="4874" max="4874" width="14.109375" bestFit="1" customWidth="1"/>
    <col min="4875" max="4875" width="33.44140625" bestFit="1" customWidth="1"/>
    <col min="4876" max="4876" width="15.44140625" bestFit="1" customWidth="1"/>
    <col min="4877" max="4877" width="13.5546875" bestFit="1" customWidth="1"/>
    <col min="4878" max="4878" width="7.44140625" bestFit="1" customWidth="1"/>
    <col min="4879" max="4879" width="10.88671875" bestFit="1" customWidth="1"/>
    <col min="4880" max="4880" width="15" customWidth="1"/>
    <col min="4881" max="4881" width="33.109375" bestFit="1" customWidth="1"/>
    <col min="4882" max="5123" width="11.44140625" customWidth="1"/>
    <col min="5124" max="5124" width="10.88671875" bestFit="1" customWidth="1"/>
    <col min="5125" max="5125" width="5.5546875" bestFit="1" customWidth="1"/>
    <col min="5126" max="5126" width="15.109375" bestFit="1" customWidth="1"/>
    <col min="5127" max="5127" width="8.88671875" bestFit="1" customWidth="1"/>
    <col min="5128" max="5129" width="6.109375" bestFit="1" customWidth="1"/>
    <col min="5130" max="5130" width="14.109375" bestFit="1" customWidth="1"/>
    <col min="5131" max="5131" width="33.44140625" bestFit="1" customWidth="1"/>
    <col min="5132" max="5132" width="15.44140625" bestFit="1" customWidth="1"/>
    <col min="5133" max="5133" width="13.5546875" bestFit="1" customWidth="1"/>
    <col min="5134" max="5134" width="7.44140625" bestFit="1" customWidth="1"/>
    <col min="5135" max="5135" width="10.88671875" bestFit="1" customWidth="1"/>
    <col min="5136" max="5136" width="15" customWidth="1"/>
    <col min="5137" max="5137" width="33.109375" bestFit="1" customWidth="1"/>
    <col min="5138" max="5379" width="11.44140625" customWidth="1"/>
    <col min="5380" max="5380" width="10.88671875" bestFit="1" customWidth="1"/>
    <col min="5381" max="5381" width="5.5546875" bestFit="1" customWidth="1"/>
    <col min="5382" max="5382" width="15.109375" bestFit="1" customWidth="1"/>
    <col min="5383" max="5383" width="8.88671875" bestFit="1" customWidth="1"/>
    <col min="5384" max="5385" width="6.109375" bestFit="1" customWidth="1"/>
    <col min="5386" max="5386" width="14.109375" bestFit="1" customWidth="1"/>
    <col min="5387" max="5387" width="33.44140625" bestFit="1" customWidth="1"/>
    <col min="5388" max="5388" width="15.44140625" bestFit="1" customWidth="1"/>
    <col min="5389" max="5389" width="13.5546875" bestFit="1" customWidth="1"/>
    <col min="5390" max="5390" width="7.44140625" bestFit="1" customWidth="1"/>
    <col min="5391" max="5391" width="10.88671875" bestFit="1" customWidth="1"/>
    <col min="5392" max="5392" width="15" customWidth="1"/>
    <col min="5393" max="5393" width="33.109375" bestFit="1" customWidth="1"/>
    <col min="5394" max="5635" width="11.44140625" customWidth="1"/>
    <col min="5636" max="5636" width="10.88671875" bestFit="1" customWidth="1"/>
    <col min="5637" max="5637" width="5.5546875" bestFit="1" customWidth="1"/>
    <col min="5638" max="5638" width="15.109375" bestFit="1" customWidth="1"/>
    <col min="5639" max="5639" width="8.88671875" bestFit="1" customWidth="1"/>
    <col min="5640" max="5641" width="6.109375" bestFit="1" customWidth="1"/>
    <col min="5642" max="5642" width="14.109375" bestFit="1" customWidth="1"/>
    <col min="5643" max="5643" width="33.44140625" bestFit="1" customWidth="1"/>
    <col min="5644" max="5644" width="15.44140625" bestFit="1" customWidth="1"/>
    <col min="5645" max="5645" width="13.5546875" bestFit="1" customWidth="1"/>
    <col min="5646" max="5646" width="7.44140625" bestFit="1" customWidth="1"/>
    <col min="5647" max="5647" width="10.88671875" bestFit="1" customWidth="1"/>
    <col min="5648" max="5648" width="15" customWidth="1"/>
    <col min="5649" max="5649" width="33.109375" bestFit="1" customWidth="1"/>
    <col min="5650" max="5891" width="11.44140625" customWidth="1"/>
    <col min="5892" max="5892" width="10.88671875" bestFit="1" customWidth="1"/>
    <col min="5893" max="5893" width="5.5546875" bestFit="1" customWidth="1"/>
    <col min="5894" max="5894" width="15.109375" bestFit="1" customWidth="1"/>
    <col min="5895" max="5895" width="8.88671875" bestFit="1" customWidth="1"/>
    <col min="5896" max="5897" width="6.109375" bestFit="1" customWidth="1"/>
    <col min="5898" max="5898" width="14.109375" bestFit="1" customWidth="1"/>
    <col min="5899" max="5899" width="33.44140625" bestFit="1" customWidth="1"/>
    <col min="5900" max="5900" width="15.44140625" bestFit="1" customWidth="1"/>
    <col min="5901" max="5901" width="13.5546875" bestFit="1" customWidth="1"/>
    <col min="5902" max="5902" width="7.44140625" bestFit="1" customWidth="1"/>
    <col min="5903" max="5903" width="10.88671875" bestFit="1" customWidth="1"/>
    <col min="5904" max="5904" width="15" customWidth="1"/>
    <col min="5905" max="5905" width="33.109375" bestFit="1" customWidth="1"/>
    <col min="5906" max="6147" width="11.44140625" customWidth="1"/>
    <col min="6148" max="6148" width="10.88671875" bestFit="1" customWidth="1"/>
    <col min="6149" max="6149" width="5.5546875" bestFit="1" customWidth="1"/>
    <col min="6150" max="6150" width="15.109375" bestFit="1" customWidth="1"/>
    <col min="6151" max="6151" width="8.88671875" bestFit="1" customWidth="1"/>
    <col min="6152" max="6153" width="6.109375" bestFit="1" customWidth="1"/>
    <col min="6154" max="6154" width="14.109375" bestFit="1" customWidth="1"/>
    <col min="6155" max="6155" width="33.44140625" bestFit="1" customWidth="1"/>
    <col min="6156" max="6156" width="15.44140625" bestFit="1" customWidth="1"/>
    <col min="6157" max="6157" width="13.5546875" bestFit="1" customWidth="1"/>
    <col min="6158" max="6158" width="7.44140625" bestFit="1" customWidth="1"/>
    <col min="6159" max="6159" width="10.88671875" bestFit="1" customWidth="1"/>
    <col min="6160" max="6160" width="15" customWidth="1"/>
    <col min="6161" max="6161" width="33.109375" bestFit="1" customWidth="1"/>
    <col min="6162" max="6403" width="11.44140625" customWidth="1"/>
    <col min="6404" max="6404" width="10.88671875" bestFit="1" customWidth="1"/>
    <col min="6405" max="6405" width="5.5546875" bestFit="1" customWidth="1"/>
    <col min="6406" max="6406" width="15.109375" bestFit="1" customWidth="1"/>
    <col min="6407" max="6407" width="8.88671875" bestFit="1" customWidth="1"/>
    <col min="6408" max="6409" width="6.109375" bestFit="1" customWidth="1"/>
    <col min="6410" max="6410" width="14.109375" bestFit="1" customWidth="1"/>
    <col min="6411" max="6411" width="33.44140625" bestFit="1" customWidth="1"/>
    <col min="6412" max="6412" width="15.44140625" bestFit="1" customWidth="1"/>
    <col min="6413" max="6413" width="13.5546875" bestFit="1" customWidth="1"/>
    <col min="6414" max="6414" width="7.44140625" bestFit="1" customWidth="1"/>
    <col min="6415" max="6415" width="10.88671875" bestFit="1" customWidth="1"/>
    <col min="6416" max="6416" width="15" customWidth="1"/>
    <col min="6417" max="6417" width="33.109375" bestFit="1" customWidth="1"/>
    <col min="6418" max="6659" width="11.44140625" customWidth="1"/>
    <col min="6660" max="6660" width="10.88671875" bestFit="1" customWidth="1"/>
    <col min="6661" max="6661" width="5.5546875" bestFit="1" customWidth="1"/>
    <col min="6662" max="6662" width="15.109375" bestFit="1" customWidth="1"/>
    <col min="6663" max="6663" width="8.88671875" bestFit="1" customWidth="1"/>
    <col min="6664" max="6665" width="6.109375" bestFit="1" customWidth="1"/>
    <col min="6666" max="6666" width="14.109375" bestFit="1" customWidth="1"/>
    <col min="6667" max="6667" width="33.44140625" bestFit="1" customWidth="1"/>
    <col min="6668" max="6668" width="15.44140625" bestFit="1" customWidth="1"/>
    <col min="6669" max="6669" width="13.5546875" bestFit="1" customWidth="1"/>
    <col min="6670" max="6670" width="7.44140625" bestFit="1" customWidth="1"/>
    <col min="6671" max="6671" width="10.88671875" bestFit="1" customWidth="1"/>
    <col min="6672" max="6672" width="15" customWidth="1"/>
    <col min="6673" max="6673" width="33.109375" bestFit="1" customWidth="1"/>
    <col min="6674" max="6915" width="11.44140625" customWidth="1"/>
    <col min="6916" max="6916" width="10.88671875" bestFit="1" customWidth="1"/>
    <col min="6917" max="6917" width="5.5546875" bestFit="1" customWidth="1"/>
    <col min="6918" max="6918" width="15.109375" bestFit="1" customWidth="1"/>
    <col min="6919" max="6919" width="8.88671875" bestFit="1" customWidth="1"/>
    <col min="6920" max="6921" width="6.109375" bestFit="1" customWidth="1"/>
    <col min="6922" max="6922" width="14.109375" bestFit="1" customWidth="1"/>
    <col min="6923" max="6923" width="33.44140625" bestFit="1" customWidth="1"/>
    <col min="6924" max="6924" width="15.44140625" bestFit="1" customWidth="1"/>
    <col min="6925" max="6925" width="13.5546875" bestFit="1" customWidth="1"/>
    <col min="6926" max="6926" width="7.44140625" bestFit="1" customWidth="1"/>
    <col min="6927" max="6927" width="10.88671875" bestFit="1" customWidth="1"/>
    <col min="6928" max="6928" width="15" customWidth="1"/>
    <col min="6929" max="6929" width="33.109375" bestFit="1" customWidth="1"/>
    <col min="6930" max="7171" width="11.44140625" customWidth="1"/>
    <col min="7172" max="7172" width="10.88671875" bestFit="1" customWidth="1"/>
    <col min="7173" max="7173" width="5.5546875" bestFit="1" customWidth="1"/>
    <col min="7174" max="7174" width="15.109375" bestFit="1" customWidth="1"/>
    <col min="7175" max="7175" width="8.88671875" bestFit="1" customWidth="1"/>
    <col min="7176" max="7177" width="6.109375" bestFit="1" customWidth="1"/>
    <col min="7178" max="7178" width="14.109375" bestFit="1" customWidth="1"/>
    <col min="7179" max="7179" width="33.44140625" bestFit="1" customWidth="1"/>
    <col min="7180" max="7180" width="15.44140625" bestFit="1" customWidth="1"/>
    <col min="7181" max="7181" width="13.5546875" bestFit="1" customWidth="1"/>
    <col min="7182" max="7182" width="7.44140625" bestFit="1" customWidth="1"/>
    <col min="7183" max="7183" width="10.88671875" bestFit="1" customWidth="1"/>
    <col min="7184" max="7184" width="15" customWidth="1"/>
    <col min="7185" max="7185" width="33.109375" bestFit="1" customWidth="1"/>
    <col min="7186" max="7427" width="11.44140625" customWidth="1"/>
    <col min="7428" max="7428" width="10.88671875" bestFit="1" customWidth="1"/>
    <col min="7429" max="7429" width="5.5546875" bestFit="1" customWidth="1"/>
    <col min="7430" max="7430" width="15.109375" bestFit="1" customWidth="1"/>
    <col min="7431" max="7431" width="8.88671875" bestFit="1" customWidth="1"/>
    <col min="7432" max="7433" width="6.109375" bestFit="1" customWidth="1"/>
    <col min="7434" max="7434" width="14.109375" bestFit="1" customWidth="1"/>
    <col min="7435" max="7435" width="33.44140625" bestFit="1" customWidth="1"/>
    <col min="7436" max="7436" width="15.44140625" bestFit="1" customWidth="1"/>
    <col min="7437" max="7437" width="13.5546875" bestFit="1" customWidth="1"/>
    <col min="7438" max="7438" width="7.44140625" bestFit="1" customWidth="1"/>
    <col min="7439" max="7439" width="10.88671875" bestFit="1" customWidth="1"/>
    <col min="7440" max="7440" width="15" customWidth="1"/>
    <col min="7441" max="7441" width="33.109375" bestFit="1" customWidth="1"/>
    <col min="7442" max="7683" width="11.44140625" customWidth="1"/>
    <col min="7684" max="7684" width="10.88671875" bestFit="1" customWidth="1"/>
    <col min="7685" max="7685" width="5.5546875" bestFit="1" customWidth="1"/>
    <col min="7686" max="7686" width="15.109375" bestFit="1" customWidth="1"/>
    <col min="7687" max="7687" width="8.88671875" bestFit="1" customWidth="1"/>
    <col min="7688" max="7689" width="6.109375" bestFit="1" customWidth="1"/>
    <col min="7690" max="7690" width="14.109375" bestFit="1" customWidth="1"/>
    <col min="7691" max="7691" width="33.44140625" bestFit="1" customWidth="1"/>
    <col min="7692" max="7692" width="15.44140625" bestFit="1" customWidth="1"/>
    <col min="7693" max="7693" width="13.5546875" bestFit="1" customWidth="1"/>
    <col min="7694" max="7694" width="7.44140625" bestFit="1" customWidth="1"/>
    <col min="7695" max="7695" width="10.88671875" bestFit="1" customWidth="1"/>
    <col min="7696" max="7696" width="15" customWidth="1"/>
    <col min="7697" max="7697" width="33.109375" bestFit="1" customWidth="1"/>
    <col min="7698" max="7939" width="11.44140625" customWidth="1"/>
    <col min="7940" max="7940" width="10.88671875" bestFit="1" customWidth="1"/>
    <col min="7941" max="7941" width="5.5546875" bestFit="1" customWidth="1"/>
    <col min="7942" max="7942" width="15.109375" bestFit="1" customWidth="1"/>
    <col min="7943" max="7943" width="8.88671875" bestFit="1" customWidth="1"/>
    <col min="7944" max="7945" width="6.109375" bestFit="1" customWidth="1"/>
    <col min="7946" max="7946" width="14.109375" bestFit="1" customWidth="1"/>
    <col min="7947" max="7947" width="33.44140625" bestFit="1" customWidth="1"/>
    <col min="7948" max="7948" width="15.44140625" bestFit="1" customWidth="1"/>
    <col min="7949" max="7949" width="13.5546875" bestFit="1" customWidth="1"/>
    <col min="7950" max="7950" width="7.44140625" bestFit="1" customWidth="1"/>
    <col min="7951" max="7951" width="10.88671875" bestFit="1" customWidth="1"/>
    <col min="7952" max="7952" width="15" customWidth="1"/>
    <col min="7953" max="7953" width="33.109375" bestFit="1" customWidth="1"/>
    <col min="7954" max="8195" width="11.44140625" customWidth="1"/>
    <col min="8196" max="8196" width="10.88671875" bestFit="1" customWidth="1"/>
    <col min="8197" max="8197" width="5.5546875" bestFit="1" customWidth="1"/>
    <col min="8198" max="8198" width="15.109375" bestFit="1" customWidth="1"/>
    <col min="8199" max="8199" width="8.88671875" bestFit="1" customWidth="1"/>
    <col min="8200" max="8201" width="6.109375" bestFit="1" customWidth="1"/>
    <col min="8202" max="8202" width="14.109375" bestFit="1" customWidth="1"/>
    <col min="8203" max="8203" width="33.44140625" bestFit="1" customWidth="1"/>
    <col min="8204" max="8204" width="15.44140625" bestFit="1" customWidth="1"/>
    <col min="8205" max="8205" width="13.5546875" bestFit="1" customWidth="1"/>
    <col min="8206" max="8206" width="7.44140625" bestFit="1" customWidth="1"/>
    <col min="8207" max="8207" width="10.88671875" bestFit="1" customWidth="1"/>
    <col min="8208" max="8208" width="15" customWidth="1"/>
    <col min="8209" max="8209" width="33.109375" bestFit="1" customWidth="1"/>
    <col min="8210" max="8451" width="11.44140625" customWidth="1"/>
    <col min="8452" max="8452" width="10.88671875" bestFit="1" customWidth="1"/>
    <col min="8453" max="8453" width="5.5546875" bestFit="1" customWidth="1"/>
    <col min="8454" max="8454" width="15.109375" bestFit="1" customWidth="1"/>
    <col min="8455" max="8455" width="8.88671875" bestFit="1" customWidth="1"/>
    <col min="8456" max="8457" width="6.109375" bestFit="1" customWidth="1"/>
    <col min="8458" max="8458" width="14.109375" bestFit="1" customWidth="1"/>
    <col min="8459" max="8459" width="33.44140625" bestFit="1" customWidth="1"/>
    <col min="8460" max="8460" width="15.44140625" bestFit="1" customWidth="1"/>
    <col min="8461" max="8461" width="13.5546875" bestFit="1" customWidth="1"/>
    <col min="8462" max="8462" width="7.44140625" bestFit="1" customWidth="1"/>
    <col min="8463" max="8463" width="10.88671875" bestFit="1" customWidth="1"/>
    <col min="8464" max="8464" width="15" customWidth="1"/>
    <col min="8465" max="8465" width="33.109375" bestFit="1" customWidth="1"/>
    <col min="8466" max="8707" width="11.44140625" customWidth="1"/>
    <col min="8708" max="8708" width="10.88671875" bestFit="1" customWidth="1"/>
    <col min="8709" max="8709" width="5.5546875" bestFit="1" customWidth="1"/>
    <col min="8710" max="8710" width="15.109375" bestFit="1" customWidth="1"/>
    <col min="8711" max="8711" width="8.88671875" bestFit="1" customWidth="1"/>
    <col min="8712" max="8713" width="6.109375" bestFit="1" customWidth="1"/>
    <col min="8714" max="8714" width="14.109375" bestFit="1" customWidth="1"/>
    <col min="8715" max="8715" width="33.44140625" bestFit="1" customWidth="1"/>
    <col min="8716" max="8716" width="15.44140625" bestFit="1" customWidth="1"/>
    <col min="8717" max="8717" width="13.5546875" bestFit="1" customWidth="1"/>
    <col min="8718" max="8718" width="7.44140625" bestFit="1" customWidth="1"/>
    <col min="8719" max="8719" width="10.88671875" bestFit="1" customWidth="1"/>
    <col min="8720" max="8720" width="15" customWidth="1"/>
    <col min="8721" max="8721" width="33.109375" bestFit="1" customWidth="1"/>
    <col min="8722" max="8963" width="11.44140625" customWidth="1"/>
    <col min="8964" max="8964" width="10.88671875" bestFit="1" customWidth="1"/>
    <col min="8965" max="8965" width="5.5546875" bestFit="1" customWidth="1"/>
    <col min="8966" max="8966" width="15.109375" bestFit="1" customWidth="1"/>
    <col min="8967" max="8967" width="8.88671875" bestFit="1" customWidth="1"/>
    <col min="8968" max="8969" width="6.109375" bestFit="1" customWidth="1"/>
    <col min="8970" max="8970" width="14.109375" bestFit="1" customWidth="1"/>
    <col min="8971" max="8971" width="33.44140625" bestFit="1" customWidth="1"/>
    <col min="8972" max="8972" width="15.44140625" bestFit="1" customWidth="1"/>
    <col min="8973" max="8973" width="13.5546875" bestFit="1" customWidth="1"/>
    <col min="8974" max="8974" width="7.44140625" bestFit="1" customWidth="1"/>
    <col min="8975" max="8975" width="10.88671875" bestFit="1" customWidth="1"/>
    <col min="8976" max="8976" width="15" customWidth="1"/>
    <col min="8977" max="8977" width="33.109375" bestFit="1" customWidth="1"/>
    <col min="8978" max="9219" width="11.44140625" customWidth="1"/>
    <col min="9220" max="9220" width="10.88671875" bestFit="1" customWidth="1"/>
    <col min="9221" max="9221" width="5.5546875" bestFit="1" customWidth="1"/>
    <col min="9222" max="9222" width="15.109375" bestFit="1" customWidth="1"/>
    <col min="9223" max="9223" width="8.88671875" bestFit="1" customWidth="1"/>
    <col min="9224" max="9225" width="6.109375" bestFit="1" customWidth="1"/>
    <col min="9226" max="9226" width="14.109375" bestFit="1" customWidth="1"/>
    <col min="9227" max="9227" width="33.44140625" bestFit="1" customWidth="1"/>
    <col min="9228" max="9228" width="15.44140625" bestFit="1" customWidth="1"/>
    <col min="9229" max="9229" width="13.5546875" bestFit="1" customWidth="1"/>
    <col min="9230" max="9230" width="7.44140625" bestFit="1" customWidth="1"/>
    <col min="9231" max="9231" width="10.88671875" bestFit="1" customWidth="1"/>
    <col min="9232" max="9232" width="15" customWidth="1"/>
    <col min="9233" max="9233" width="33.109375" bestFit="1" customWidth="1"/>
    <col min="9234" max="9475" width="11.44140625" customWidth="1"/>
    <col min="9476" max="9476" width="10.88671875" bestFit="1" customWidth="1"/>
    <col min="9477" max="9477" width="5.5546875" bestFit="1" customWidth="1"/>
    <col min="9478" max="9478" width="15.109375" bestFit="1" customWidth="1"/>
    <col min="9479" max="9479" width="8.88671875" bestFit="1" customWidth="1"/>
    <col min="9480" max="9481" width="6.109375" bestFit="1" customWidth="1"/>
    <col min="9482" max="9482" width="14.109375" bestFit="1" customWidth="1"/>
    <col min="9483" max="9483" width="33.44140625" bestFit="1" customWidth="1"/>
    <col min="9484" max="9484" width="15.44140625" bestFit="1" customWidth="1"/>
    <col min="9485" max="9485" width="13.5546875" bestFit="1" customWidth="1"/>
    <col min="9486" max="9486" width="7.44140625" bestFit="1" customWidth="1"/>
    <col min="9487" max="9487" width="10.88671875" bestFit="1" customWidth="1"/>
    <col min="9488" max="9488" width="15" customWidth="1"/>
    <col min="9489" max="9489" width="33.109375" bestFit="1" customWidth="1"/>
    <col min="9490" max="9731" width="11.44140625" customWidth="1"/>
    <col min="9732" max="9732" width="10.88671875" bestFit="1" customWidth="1"/>
    <col min="9733" max="9733" width="5.5546875" bestFit="1" customWidth="1"/>
    <col min="9734" max="9734" width="15.109375" bestFit="1" customWidth="1"/>
    <col min="9735" max="9735" width="8.88671875" bestFit="1" customWidth="1"/>
    <col min="9736" max="9737" width="6.109375" bestFit="1" customWidth="1"/>
    <col min="9738" max="9738" width="14.109375" bestFit="1" customWidth="1"/>
    <col min="9739" max="9739" width="33.44140625" bestFit="1" customWidth="1"/>
    <col min="9740" max="9740" width="15.44140625" bestFit="1" customWidth="1"/>
    <col min="9741" max="9741" width="13.5546875" bestFit="1" customWidth="1"/>
    <col min="9742" max="9742" width="7.44140625" bestFit="1" customWidth="1"/>
    <col min="9743" max="9743" width="10.88671875" bestFit="1" customWidth="1"/>
    <col min="9744" max="9744" width="15" customWidth="1"/>
    <col min="9745" max="9745" width="33.109375" bestFit="1" customWidth="1"/>
    <col min="9746" max="9987" width="11.44140625" customWidth="1"/>
    <col min="9988" max="9988" width="10.88671875" bestFit="1" customWidth="1"/>
    <col min="9989" max="9989" width="5.5546875" bestFit="1" customWidth="1"/>
    <col min="9990" max="9990" width="15.109375" bestFit="1" customWidth="1"/>
    <col min="9991" max="9991" width="8.88671875" bestFit="1" customWidth="1"/>
    <col min="9992" max="9993" width="6.109375" bestFit="1" customWidth="1"/>
    <col min="9994" max="9994" width="14.109375" bestFit="1" customWidth="1"/>
    <col min="9995" max="9995" width="33.44140625" bestFit="1" customWidth="1"/>
    <col min="9996" max="9996" width="15.44140625" bestFit="1" customWidth="1"/>
    <col min="9997" max="9997" width="13.5546875" bestFit="1" customWidth="1"/>
    <col min="9998" max="9998" width="7.44140625" bestFit="1" customWidth="1"/>
    <col min="9999" max="9999" width="10.88671875" bestFit="1" customWidth="1"/>
    <col min="10000" max="10000" width="15" customWidth="1"/>
    <col min="10001" max="10001" width="33.109375" bestFit="1" customWidth="1"/>
    <col min="10002" max="10243" width="11.44140625" customWidth="1"/>
    <col min="10244" max="10244" width="10.88671875" bestFit="1" customWidth="1"/>
    <col min="10245" max="10245" width="5.5546875" bestFit="1" customWidth="1"/>
    <col min="10246" max="10246" width="15.109375" bestFit="1" customWidth="1"/>
    <col min="10247" max="10247" width="8.88671875" bestFit="1" customWidth="1"/>
    <col min="10248" max="10249" width="6.109375" bestFit="1" customWidth="1"/>
    <col min="10250" max="10250" width="14.109375" bestFit="1" customWidth="1"/>
    <col min="10251" max="10251" width="33.44140625" bestFit="1" customWidth="1"/>
    <col min="10252" max="10252" width="15.44140625" bestFit="1" customWidth="1"/>
    <col min="10253" max="10253" width="13.5546875" bestFit="1" customWidth="1"/>
    <col min="10254" max="10254" width="7.44140625" bestFit="1" customWidth="1"/>
    <col min="10255" max="10255" width="10.88671875" bestFit="1" customWidth="1"/>
    <col min="10256" max="10256" width="15" customWidth="1"/>
    <col min="10257" max="10257" width="33.109375" bestFit="1" customWidth="1"/>
    <col min="10258" max="10499" width="11.44140625" customWidth="1"/>
    <col min="10500" max="10500" width="10.88671875" bestFit="1" customWidth="1"/>
    <col min="10501" max="10501" width="5.5546875" bestFit="1" customWidth="1"/>
    <col min="10502" max="10502" width="15.109375" bestFit="1" customWidth="1"/>
    <col min="10503" max="10503" width="8.88671875" bestFit="1" customWidth="1"/>
    <col min="10504" max="10505" width="6.109375" bestFit="1" customWidth="1"/>
    <col min="10506" max="10506" width="14.109375" bestFit="1" customWidth="1"/>
    <col min="10507" max="10507" width="33.44140625" bestFit="1" customWidth="1"/>
    <col min="10508" max="10508" width="15.44140625" bestFit="1" customWidth="1"/>
    <col min="10509" max="10509" width="13.5546875" bestFit="1" customWidth="1"/>
    <col min="10510" max="10510" width="7.44140625" bestFit="1" customWidth="1"/>
    <col min="10511" max="10511" width="10.88671875" bestFit="1" customWidth="1"/>
    <col min="10512" max="10512" width="15" customWidth="1"/>
    <col min="10513" max="10513" width="33.109375" bestFit="1" customWidth="1"/>
    <col min="10514" max="10755" width="11.44140625" customWidth="1"/>
    <col min="10756" max="10756" width="10.88671875" bestFit="1" customWidth="1"/>
    <col min="10757" max="10757" width="5.5546875" bestFit="1" customWidth="1"/>
    <col min="10758" max="10758" width="15.109375" bestFit="1" customWidth="1"/>
    <col min="10759" max="10759" width="8.88671875" bestFit="1" customWidth="1"/>
    <col min="10760" max="10761" width="6.109375" bestFit="1" customWidth="1"/>
    <col min="10762" max="10762" width="14.109375" bestFit="1" customWidth="1"/>
    <col min="10763" max="10763" width="33.44140625" bestFit="1" customWidth="1"/>
    <col min="10764" max="10764" width="15.44140625" bestFit="1" customWidth="1"/>
    <col min="10765" max="10765" width="13.5546875" bestFit="1" customWidth="1"/>
    <col min="10766" max="10766" width="7.44140625" bestFit="1" customWidth="1"/>
    <col min="10767" max="10767" width="10.88671875" bestFit="1" customWidth="1"/>
    <col min="10768" max="10768" width="15" customWidth="1"/>
    <col min="10769" max="10769" width="33.109375" bestFit="1" customWidth="1"/>
    <col min="10770" max="11011" width="11.44140625" customWidth="1"/>
    <col min="11012" max="11012" width="10.88671875" bestFit="1" customWidth="1"/>
    <col min="11013" max="11013" width="5.5546875" bestFit="1" customWidth="1"/>
    <col min="11014" max="11014" width="15.109375" bestFit="1" customWidth="1"/>
    <col min="11015" max="11015" width="8.88671875" bestFit="1" customWidth="1"/>
    <col min="11016" max="11017" width="6.109375" bestFit="1" customWidth="1"/>
    <col min="11018" max="11018" width="14.109375" bestFit="1" customWidth="1"/>
    <col min="11019" max="11019" width="33.44140625" bestFit="1" customWidth="1"/>
    <col min="11020" max="11020" width="15.44140625" bestFit="1" customWidth="1"/>
    <col min="11021" max="11021" width="13.5546875" bestFit="1" customWidth="1"/>
    <col min="11022" max="11022" width="7.44140625" bestFit="1" customWidth="1"/>
    <col min="11023" max="11023" width="10.88671875" bestFit="1" customWidth="1"/>
    <col min="11024" max="11024" width="15" customWidth="1"/>
    <col min="11025" max="11025" width="33.109375" bestFit="1" customWidth="1"/>
    <col min="11026" max="11267" width="11.44140625" customWidth="1"/>
    <col min="11268" max="11268" width="10.88671875" bestFit="1" customWidth="1"/>
    <col min="11269" max="11269" width="5.5546875" bestFit="1" customWidth="1"/>
    <col min="11270" max="11270" width="15.109375" bestFit="1" customWidth="1"/>
    <col min="11271" max="11271" width="8.88671875" bestFit="1" customWidth="1"/>
    <col min="11272" max="11273" width="6.109375" bestFit="1" customWidth="1"/>
    <col min="11274" max="11274" width="14.109375" bestFit="1" customWidth="1"/>
    <col min="11275" max="11275" width="33.44140625" bestFit="1" customWidth="1"/>
    <col min="11276" max="11276" width="15.44140625" bestFit="1" customWidth="1"/>
    <col min="11277" max="11277" width="13.5546875" bestFit="1" customWidth="1"/>
    <col min="11278" max="11278" width="7.44140625" bestFit="1" customWidth="1"/>
    <col min="11279" max="11279" width="10.88671875" bestFit="1" customWidth="1"/>
    <col min="11280" max="11280" width="15" customWidth="1"/>
    <col min="11281" max="11281" width="33.109375" bestFit="1" customWidth="1"/>
    <col min="11282" max="11523" width="11.44140625" customWidth="1"/>
    <col min="11524" max="11524" width="10.88671875" bestFit="1" customWidth="1"/>
    <col min="11525" max="11525" width="5.5546875" bestFit="1" customWidth="1"/>
    <col min="11526" max="11526" width="15.109375" bestFit="1" customWidth="1"/>
    <col min="11527" max="11527" width="8.88671875" bestFit="1" customWidth="1"/>
    <col min="11528" max="11529" width="6.109375" bestFit="1" customWidth="1"/>
    <col min="11530" max="11530" width="14.109375" bestFit="1" customWidth="1"/>
    <col min="11531" max="11531" width="33.44140625" bestFit="1" customWidth="1"/>
    <col min="11532" max="11532" width="15.44140625" bestFit="1" customWidth="1"/>
    <col min="11533" max="11533" width="13.5546875" bestFit="1" customWidth="1"/>
    <col min="11534" max="11534" width="7.44140625" bestFit="1" customWidth="1"/>
    <col min="11535" max="11535" width="10.88671875" bestFit="1" customWidth="1"/>
    <col min="11536" max="11536" width="15" customWidth="1"/>
    <col min="11537" max="11537" width="33.109375" bestFit="1" customWidth="1"/>
    <col min="11538" max="11779" width="11.44140625" customWidth="1"/>
    <col min="11780" max="11780" width="10.88671875" bestFit="1" customWidth="1"/>
    <col min="11781" max="11781" width="5.5546875" bestFit="1" customWidth="1"/>
    <col min="11782" max="11782" width="15.109375" bestFit="1" customWidth="1"/>
    <col min="11783" max="11783" width="8.88671875" bestFit="1" customWidth="1"/>
    <col min="11784" max="11785" width="6.109375" bestFit="1" customWidth="1"/>
    <col min="11786" max="11786" width="14.109375" bestFit="1" customWidth="1"/>
    <col min="11787" max="11787" width="33.44140625" bestFit="1" customWidth="1"/>
    <col min="11788" max="11788" width="15.44140625" bestFit="1" customWidth="1"/>
    <col min="11789" max="11789" width="13.5546875" bestFit="1" customWidth="1"/>
    <col min="11790" max="11790" width="7.44140625" bestFit="1" customWidth="1"/>
    <col min="11791" max="11791" width="10.88671875" bestFit="1" customWidth="1"/>
    <col min="11792" max="11792" width="15" customWidth="1"/>
    <col min="11793" max="11793" width="33.109375" bestFit="1" customWidth="1"/>
    <col min="11794" max="12035" width="11.44140625" customWidth="1"/>
    <col min="12036" max="12036" width="10.88671875" bestFit="1" customWidth="1"/>
    <col min="12037" max="12037" width="5.5546875" bestFit="1" customWidth="1"/>
    <col min="12038" max="12038" width="15.109375" bestFit="1" customWidth="1"/>
    <col min="12039" max="12039" width="8.88671875" bestFit="1" customWidth="1"/>
    <col min="12040" max="12041" width="6.109375" bestFit="1" customWidth="1"/>
    <col min="12042" max="12042" width="14.109375" bestFit="1" customWidth="1"/>
    <col min="12043" max="12043" width="33.44140625" bestFit="1" customWidth="1"/>
    <col min="12044" max="12044" width="15.44140625" bestFit="1" customWidth="1"/>
    <col min="12045" max="12045" width="13.5546875" bestFit="1" customWidth="1"/>
    <col min="12046" max="12046" width="7.44140625" bestFit="1" customWidth="1"/>
    <col min="12047" max="12047" width="10.88671875" bestFit="1" customWidth="1"/>
    <col min="12048" max="12048" width="15" customWidth="1"/>
    <col min="12049" max="12049" width="33.109375" bestFit="1" customWidth="1"/>
    <col min="12050" max="12291" width="11.44140625" customWidth="1"/>
    <col min="12292" max="12292" width="10.88671875" bestFit="1" customWidth="1"/>
    <col min="12293" max="12293" width="5.5546875" bestFit="1" customWidth="1"/>
    <col min="12294" max="12294" width="15.109375" bestFit="1" customWidth="1"/>
    <col min="12295" max="12295" width="8.88671875" bestFit="1" customWidth="1"/>
    <col min="12296" max="12297" width="6.109375" bestFit="1" customWidth="1"/>
    <col min="12298" max="12298" width="14.109375" bestFit="1" customWidth="1"/>
    <col min="12299" max="12299" width="33.44140625" bestFit="1" customWidth="1"/>
    <col min="12300" max="12300" width="15.44140625" bestFit="1" customWidth="1"/>
    <col min="12301" max="12301" width="13.5546875" bestFit="1" customWidth="1"/>
    <col min="12302" max="12302" width="7.44140625" bestFit="1" customWidth="1"/>
    <col min="12303" max="12303" width="10.88671875" bestFit="1" customWidth="1"/>
    <col min="12304" max="12304" width="15" customWidth="1"/>
    <col min="12305" max="12305" width="33.109375" bestFit="1" customWidth="1"/>
    <col min="12306" max="12547" width="11.44140625" customWidth="1"/>
    <col min="12548" max="12548" width="10.88671875" bestFit="1" customWidth="1"/>
    <col min="12549" max="12549" width="5.5546875" bestFit="1" customWidth="1"/>
    <col min="12550" max="12550" width="15.109375" bestFit="1" customWidth="1"/>
    <col min="12551" max="12551" width="8.88671875" bestFit="1" customWidth="1"/>
    <col min="12552" max="12553" width="6.109375" bestFit="1" customWidth="1"/>
    <col min="12554" max="12554" width="14.109375" bestFit="1" customWidth="1"/>
    <col min="12555" max="12555" width="33.44140625" bestFit="1" customWidth="1"/>
    <col min="12556" max="12556" width="15.44140625" bestFit="1" customWidth="1"/>
    <col min="12557" max="12557" width="13.5546875" bestFit="1" customWidth="1"/>
    <col min="12558" max="12558" width="7.44140625" bestFit="1" customWidth="1"/>
    <col min="12559" max="12559" width="10.88671875" bestFit="1" customWidth="1"/>
    <col min="12560" max="12560" width="15" customWidth="1"/>
    <col min="12561" max="12561" width="33.109375" bestFit="1" customWidth="1"/>
    <col min="12562" max="12803" width="11.44140625" customWidth="1"/>
    <col min="12804" max="12804" width="10.88671875" bestFit="1" customWidth="1"/>
    <col min="12805" max="12805" width="5.5546875" bestFit="1" customWidth="1"/>
    <col min="12806" max="12806" width="15.109375" bestFit="1" customWidth="1"/>
    <col min="12807" max="12807" width="8.88671875" bestFit="1" customWidth="1"/>
    <col min="12808" max="12809" width="6.109375" bestFit="1" customWidth="1"/>
    <col min="12810" max="12810" width="14.109375" bestFit="1" customWidth="1"/>
    <col min="12811" max="12811" width="33.44140625" bestFit="1" customWidth="1"/>
    <col min="12812" max="12812" width="15.44140625" bestFit="1" customWidth="1"/>
    <col min="12813" max="12813" width="13.5546875" bestFit="1" customWidth="1"/>
    <col min="12814" max="12814" width="7.44140625" bestFit="1" customWidth="1"/>
    <col min="12815" max="12815" width="10.88671875" bestFit="1" customWidth="1"/>
    <col min="12816" max="12816" width="15" customWidth="1"/>
    <col min="12817" max="12817" width="33.109375" bestFit="1" customWidth="1"/>
    <col min="12818" max="13059" width="11.44140625" customWidth="1"/>
    <col min="13060" max="13060" width="10.88671875" bestFit="1" customWidth="1"/>
    <col min="13061" max="13061" width="5.5546875" bestFit="1" customWidth="1"/>
    <col min="13062" max="13062" width="15.109375" bestFit="1" customWidth="1"/>
    <col min="13063" max="13063" width="8.88671875" bestFit="1" customWidth="1"/>
    <col min="13064" max="13065" width="6.109375" bestFit="1" customWidth="1"/>
    <col min="13066" max="13066" width="14.109375" bestFit="1" customWidth="1"/>
    <col min="13067" max="13067" width="33.44140625" bestFit="1" customWidth="1"/>
    <col min="13068" max="13068" width="15.44140625" bestFit="1" customWidth="1"/>
    <col min="13069" max="13069" width="13.5546875" bestFit="1" customWidth="1"/>
    <col min="13070" max="13070" width="7.44140625" bestFit="1" customWidth="1"/>
    <col min="13071" max="13071" width="10.88671875" bestFit="1" customWidth="1"/>
    <col min="13072" max="13072" width="15" customWidth="1"/>
    <col min="13073" max="13073" width="33.109375" bestFit="1" customWidth="1"/>
    <col min="13074" max="13315" width="11.44140625" customWidth="1"/>
    <col min="13316" max="13316" width="10.88671875" bestFit="1" customWidth="1"/>
    <col min="13317" max="13317" width="5.5546875" bestFit="1" customWidth="1"/>
    <col min="13318" max="13318" width="15.109375" bestFit="1" customWidth="1"/>
    <col min="13319" max="13319" width="8.88671875" bestFit="1" customWidth="1"/>
    <col min="13320" max="13321" width="6.109375" bestFit="1" customWidth="1"/>
    <col min="13322" max="13322" width="14.109375" bestFit="1" customWidth="1"/>
    <col min="13323" max="13323" width="33.44140625" bestFit="1" customWidth="1"/>
    <col min="13324" max="13324" width="15.44140625" bestFit="1" customWidth="1"/>
    <col min="13325" max="13325" width="13.5546875" bestFit="1" customWidth="1"/>
    <col min="13326" max="13326" width="7.44140625" bestFit="1" customWidth="1"/>
    <col min="13327" max="13327" width="10.88671875" bestFit="1" customWidth="1"/>
    <col min="13328" max="13328" width="15" customWidth="1"/>
    <col min="13329" max="13329" width="33.109375" bestFit="1" customWidth="1"/>
    <col min="13330" max="13571" width="11.44140625" customWidth="1"/>
    <col min="13572" max="13572" width="10.88671875" bestFit="1" customWidth="1"/>
    <col min="13573" max="13573" width="5.5546875" bestFit="1" customWidth="1"/>
    <col min="13574" max="13574" width="15.109375" bestFit="1" customWidth="1"/>
    <col min="13575" max="13575" width="8.88671875" bestFit="1" customWidth="1"/>
    <col min="13576" max="13577" width="6.109375" bestFit="1" customWidth="1"/>
    <col min="13578" max="13578" width="14.109375" bestFit="1" customWidth="1"/>
    <col min="13579" max="13579" width="33.44140625" bestFit="1" customWidth="1"/>
    <col min="13580" max="13580" width="15.44140625" bestFit="1" customWidth="1"/>
    <col min="13581" max="13581" width="13.5546875" bestFit="1" customWidth="1"/>
    <col min="13582" max="13582" width="7.44140625" bestFit="1" customWidth="1"/>
    <col min="13583" max="13583" width="10.88671875" bestFit="1" customWidth="1"/>
    <col min="13584" max="13584" width="15" customWidth="1"/>
    <col min="13585" max="13585" width="33.109375" bestFit="1" customWidth="1"/>
    <col min="13586" max="13827" width="11.44140625" customWidth="1"/>
    <col min="13828" max="13828" width="10.88671875" bestFit="1" customWidth="1"/>
    <col min="13829" max="13829" width="5.5546875" bestFit="1" customWidth="1"/>
    <col min="13830" max="13830" width="15.109375" bestFit="1" customWidth="1"/>
    <col min="13831" max="13831" width="8.88671875" bestFit="1" customWidth="1"/>
    <col min="13832" max="13833" width="6.109375" bestFit="1" customWidth="1"/>
    <col min="13834" max="13834" width="14.109375" bestFit="1" customWidth="1"/>
    <col min="13835" max="13835" width="33.44140625" bestFit="1" customWidth="1"/>
    <col min="13836" max="13836" width="15.44140625" bestFit="1" customWidth="1"/>
    <col min="13837" max="13837" width="13.5546875" bestFit="1" customWidth="1"/>
    <col min="13838" max="13838" width="7.44140625" bestFit="1" customWidth="1"/>
    <col min="13839" max="13839" width="10.88671875" bestFit="1" customWidth="1"/>
    <col min="13840" max="13840" width="15" customWidth="1"/>
    <col min="13841" max="13841" width="33.109375" bestFit="1" customWidth="1"/>
    <col min="13842" max="14083" width="11.44140625" customWidth="1"/>
    <col min="14084" max="14084" width="10.88671875" bestFit="1" customWidth="1"/>
    <col min="14085" max="14085" width="5.5546875" bestFit="1" customWidth="1"/>
    <col min="14086" max="14086" width="15.109375" bestFit="1" customWidth="1"/>
    <col min="14087" max="14087" width="8.88671875" bestFit="1" customWidth="1"/>
    <col min="14088" max="14089" width="6.109375" bestFit="1" customWidth="1"/>
    <col min="14090" max="14090" width="14.109375" bestFit="1" customWidth="1"/>
    <col min="14091" max="14091" width="33.44140625" bestFit="1" customWidth="1"/>
    <col min="14092" max="14092" width="15.44140625" bestFit="1" customWidth="1"/>
    <col min="14093" max="14093" width="13.5546875" bestFit="1" customWidth="1"/>
    <col min="14094" max="14094" width="7.44140625" bestFit="1" customWidth="1"/>
    <col min="14095" max="14095" width="10.88671875" bestFit="1" customWidth="1"/>
    <col min="14096" max="14096" width="15" customWidth="1"/>
    <col min="14097" max="14097" width="33.109375" bestFit="1" customWidth="1"/>
    <col min="14098" max="14339" width="11.44140625" customWidth="1"/>
    <col min="14340" max="14340" width="10.88671875" bestFit="1" customWidth="1"/>
    <col min="14341" max="14341" width="5.5546875" bestFit="1" customWidth="1"/>
    <col min="14342" max="14342" width="15.109375" bestFit="1" customWidth="1"/>
    <col min="14343" max="14343" width="8.88671875" bestFit="1" customWidth="1"/>
    <col min="14344" max="14345" width="6.109375" bestFit="1" customWidth="1"/>
    <col min="14346" max="14346" width="14.109375" bestFit="1" customWidth="1"/>
    <col min="14347" max="14347" width="33.44140625" bestFit="1" customWidth="1"/>
    <col min="14348" max="14348" width="15.44140625" bestFit="1" customWidth="1"/>
    <col min="14349" max="14349" width="13.5546875" bestFit="1" customWidth="1"/>
    <col min="14350" max="14350" width="7.44140625" bestFit="1" customWidth="1"/>
    <col min="14351" max="14351" width="10.88671875" bestFit="1" customWidth="1"/>
    <col min="14352" max="14352" width="15" customWidth="1"/>
    <col min="14353" max="14353" width="33.109375" bestFit="1" customWidth="1"/>
    <col min="14354" max="14595" width="11.44140625" customWidth="1"/>
    <col min="14596" max="14596" width="10.88671875" bestFit="1" customWidth="1"/>
    <col min="14597" max="14597" width="5.5546875" bestFit="1" customWidth="1"/>
    <col min="14598" max="14598" width="15.109375" bestFit="1" customWidth="1"/>
    <col min="14599" max="14599" width="8.88671875" bestFit="1" customWidth="1"/>
    <col min="14600" max="14601" width="6.109375" bestFit="1" customWidth="1"/>
    <col min="14602" max="14602" width="14.109375" bestFit="1" customWidth="1"/>
    <col min="14603" max="14603" width="33.44140625" bestFit="1" customWidth="1"/>
    <col min="14604" max="14604" width="15.44140625" bestFit="1" customWidth="1"/>
    <col min="14605" max="14605" width="13.5546875" bestFit="1" customWidth="1"/>
    <col min="14606" max="14606" width="7.44140625" bestFit="1" customWidth="1"/>
    <col min="14607" max="14607" width="10.88671875" bestFit="1" customWidth="1"/>
    <col min="14608" max="14608" width="15" customWidth="1"/>
    <col min="14609" max="14609" width="33.109375" bestFit="1" customWidth="1"/>
    <col min="14610" max="14851" width="11.44140625" customWidth="1"/>
    <col min="14852" max="14852" width="10.88671875" bestFit="1" customWidth="1"/>
    <col min="14853" max="14853" width="5.5546875" bestFit="1" customWidth="1"/>
    <col min="14854" max="14854" width="15.109375" bestFit="1" customWidth="1"/>
    <col min="14855" max="14855" width="8.88671875" bestFit="1" customWidth="1"/>
    <col min="14856" max="14857" width="6.109375" bestFit="1" customWidth="1"/>
    <col min="14858" max="14858" width="14.109375" bestFit="1" customWidth="1"/>
    <col min="14859" max="14859" width="33.44140625" bestFit="1" customWidth="1"/>
    <col min="14860" max="14860" width="15.44140625" bestFit="1" customWidth="1"/>
    <col min="14861" max="14861" width="13.5546875" bestFit="1" customWidth="1"/>
    <col min="14862" max="14862" width="7.44140625" bestFit="1" customWidth="1"/>
    <col min="14863" max="14863" width="10.88671875" bestFit="1" customWidth="1"/>
    <col min="14864" max="14864" width="15" customWidth="1"/>
    <col min="14865" max="14865" width="33.109375" bestFit="1" customWidth="1"/>
    <col min="14866" max="15107" width="11.44140625" customWidth="1"/>
    <col min="15108" max="15108" width="10.88671875" bestFit="1" customWidth="1"/>
    <col min="15109" max="15109" width="5.5546875" bestFit="1" customWidth="1"/>
    <col min="15110" max="15110" width="15.109375" bestFit="1" customWidth="1"/>
    <col min="15111" max="15111" width="8.88671875" bestFit="1" customWidth="1"/>
    <col min="15112" max="15113" width="6.109375" bestFit="1" customWidth="1"/>
    <col min="15114" max="15114" width="14.109375" bestFit="1" customWidth="1"/>
    <col min="15115" max="15115" width="33.44140625" bestFit="1" customWidth="1"/>
    <col min="15116" max="15116" width="15.44140625" bestFit="1" customWidth="1"/>
    <col min="15117" max="15117" width="13.5546875" bestFit="1" customWidth="1"/>
    <col min="15118" max="15118" width="7.44140625" bestFit="1" customWidth="1"/>
    <col min="15119" max="15119" width="10.88671875" bestFit="1" customWidth="1"/>
    <col min="15120" max="15120" width="15" customWidth="1"/>
    <col min="15121" max="15121" width="33.109375" bestFit="1" customWidth="1"/>
    <col min="15122" max="15363" width="11.44140625" customWidth="1"/>
    <col min="15364" max="15364" width="10.88671875" bestFit="1" customWidth="1"/>
    <col min="15365" max="15365" width="5.5546875" bestFit="1" customWidth="1"/>
    <col min="15366" max="15366" width="15.109375" bestFit="1" customWidth="1"/>
    <col min="15367" max="15367" width="8.88671875" bestFit="1" customWidth="1"/>
    <col min="15368" max="15369" width="6.109375" bestFit="1" customWidth="1"/>
    <col min="15370" max="15370" width="14.109375" bestFit="1" customWidth="1"/>
    <col min="15371" max="15371" width="33.44140625" bestFit="1" customWidth="1"/>
    <col min="15372" max="15372" width="15.44140625" bestFit="1" customWidth="1"/>
    <col min="15373" max="15373" width="13.5546875" bestFit="1" customWidth="1"/>
    <col min="15374" max="15374" width="7.44140625" bestFit="1" customWidth="1"/>
    <col min="15375" max="15375" width="10.88671875" bestFit="1" customWidth="1"/>
    <col min="15376" max="15376" width="15" customWidth="1"/>
    <col min="15377" max="15377" width="33.109375" bestFit="1" customWidth="1"/>
    <col min="15378" max="15619" width="11.44140625" customWidth="1"/>
    <col min="15620" max="15620" width="10.88671875" bestFit="1" customWidth="1"/>
    <col min="15621" max="15621" width="5.5546875" bestFit="1" customWidth="1"/>
    <col min="15622" max="15622" width="15.109375" bestFit="1" customWidth="1"/>
    <col min="15623" max="15623" width="8.88671875" bestFit="1" customWidth="1"/>
    <col min="15624" max="15625" width="6.109375" bestFit="1" customWidth="1"/>
    <col min="15626" max="15626" width="14.109375" bestFit="1" customWidth="1"/>
    <col min="15627" max="15627" width="33.44140625" bestFit="1" customWidth="1"/>
    <col min="15628" max="15628" width="15.44140625" bestFit="1" customWidth="1"/>
    <col min="15629" max="15629" width="13.5546875" bestFit="1" customWidth="1"/>
    <col min="15630" max="15630" width="7.44140625" bestFit="1" customWidth="1"/>
    <col min="15631" max="15631" width="10.88671875" bestFit="1" customWidth="1"/>
    <col min="15632" max="15632" width="15" customWidth="1"/>
    <col min="15633" max="15633" width="33.109375" bestFit="1" customWidth="1"/>
    <col min="15634" max="15875" width="11.44140625" customWidth="1"/>
    <col min="15876" max="15876" width="10.88671875" bestFit="1" customWidth="1"/>
    <col min="15877" max="15877" width="5.5546875" bestFit="1" customWidth="1"/>
    <col min="15878" max="15878" width="15.109375" bestFit="1" customWidth="1"/>
    <col min="15879" max="15879" width="8.88671875" bestFit="1" customWidth="1"/>
    <col min="15880" max="15881" width="6.109375" bestFit="1" customWidth="1"/>
    <col min="15882" max="15882" width="14.109375" bestFit="1" customWidth="1"/>
    <col min="15883" max="15883" width="33.44140625" bestFit="1" customWidth="1"/>
    <col min="15884" max="15884" width="15.44140625" bestFit="1" customWidth="1"/>
    <col min="15885" max="15885" width="13.5546875" bestFit="1" customWidth="1"/>
    <col min="15886" max="15886" width="7.44140625" bestFit="1" customWidth="1"/>
    <col min="15887" max="15887" width="10.88671875" bestFit="1" customWidth="1"/>
    <col min="15888" max="15888" width="15" customWidth="1"/>
    <col min="15889" max="15889" width="33.109375" bestFit="1" customWidth="1"/>
    <col min="15890" max="16131" width="11.44140625" customWidth="1"/>
    <col min="16132" max="16132" width="10.88671875" bestFit="1" customWidth="1"/>
    <col min="16133" max="16133" width="5.5546875" bestFit="1" customWidth="1"/>
    <col min="16134" max="16134" width="15.109375" bestFit="1" customWidth="1"/>
    <col min="16135" max="16135" width="8.88671875" bestFit="1" customWidth="1"/>
    <col min="16136" max="16137" width="6.109375" bestFit="1" customWidth="1"/>
    <col min="16138" max="16138" width="14.109375" bestFit="1" customWidth="1"/>
    <col min="16139" max="16139" width="33.44140625" bestFit="1" customWidth="1"/>
    <col min="16140" max="16140" width="15.44140625" bestFit="1" customWidth="1"/>
    <col min="16141" max="16141" width="13.5546875" bestFit="1" customWidth="1"/>
    <col min="16142" max="16142" width="7.44140625" bestFit="1" customWidth="1"/>
    <col min="16143" max="16143" width="10.88671875" bestFit="1" customWidth="1"/>
    <col min="16144" max="16144" width="15" customWidth="1"/>
    <col min="16145" max="16145" width="33.109375" bestFit="1" customWidth="1"/>
    <col min="16146" max="16384" width="11.44140625" customWidth="1"/>
  </cols>
  <sheetData>
    <row r="1" spans="2:18" ht="31.2" x14ac:dyDescent="0.3">
      <c r="B1" s="140" t="s">
        <v>99</v>
      </c>
      <c r="C1" s="140" t="s">
        <v>0</v>
      </c>
      <c r="D1" s="140" t="s">
        <v>1</v>
      </c>
      <c r="E1" s="140" t="s">
        <v>4</v>
      </c>
      <c r="F1" s="140" t="s">
        <v>5</v>
      </c>
      <c r="G1" s="140" t="s">
        <v>6</v>
      </c>
      <c r="H1" s="140" t="s">
        <v>7</v>
      </c>
      <c r="I1" s="140" t="s">
        <v>8</v>
      </c>
      <c r="J1" s="140" t="s">
        <v>2</v>
      </c>
      <c r="K1" s="141" t="s">
        <v>100</v>
      </c>
      <c r="L1" s="136" t="s">
        <v>10</v>
      </c>
      <c r="M1" s="136" t="s">
        <v>12</v>
      </c>
      <c r="N1" s="136" t="s">
        <v>13</v>
      </c>
      <c r="O1" s="137" t="s">
        <v>98</v>
      </c>
      <c r="P1" s="18" t="s">
        <v>11</v>
      </c>
      <c r="R1" s="3" t="s">
        <v>14</v>
      </c>
    </row>
    <row r="2" spans="2:18" x14ac:dyDescent="0.3">
      <c r="B2" s="148"/>
      <c r="C2" s="148"/>
      <c r="D2" s="148"/>
      <c r="E2" s="149"/>
      <c r="F2" s="150"/>
      <c r="G2" s="139"/>
      <c r="H2" s="139"/>
      <c r="I2" s="139"/>
      <c r="J2" s="139"/>
      <c r="K2" s="135"/>
      <c r="L2" s="135"/>
      <c r="M2" s="151"/>
      <c r="N2" s="151"/>
      <c r="O2" s="44"/>
    </row>
    <row r="3" spans="2:18" x14ac:dyDescent="0.3">
      <c r="B3" s="148"/>
      <c r="C3" s="148"/>
      <c r="D3" s="148"/>
      <c r="E3" s="149"/>
      <c r="F3" s="150"/>
      <c r="G3" s="139"/>
      <c r="H3" s="139"/>
      <c r="I3" s="139"/>
      <c r="J3" s="139"/>
      <c r="K3" s="135"/>
      <c r="L3" s="135"/>
      <c r="M3" s="151"/>
      <c r="N3" s="151"/>
      <c r="O3" s="44"/>
    </row>
    <row r="4" spans="2:18" x14ac:dyDescent="0.3">
      <c r="B4" s="148"/>
      <c r="C4" s="148"/>
      <c r="D4" s="148"/>
      <c r="E4" s="149"/>
      <c r="F4" s="150"/>
      <c r="G4" s="139"/>
      <c r="H4" s="139"/>
      <c r="I4" s="139"/>
      <c r="J4" s="139"/>
      <c r="K4" s="135"/>
      <c r="L4" s="135"/>
      <c r="M4" s="151"/>
      <c r="N4" s="151"/>
      <c r="O4" s="44"/>
    </row>
    <row r="5" spans="2:18" x14ac:dyDescent="0.3">
      <c r="B5" s="148"/>
      <c r="C5" s="148"/>
      <c r="D5" s="148"/>
      <c r="E5" s="149"/>
      <c r="F5" s="150"/>
      <c r="G5" s="139"/>
      <c r="H5" s="139"/>
      <c r="I5" s="139"/>
      <c r="J5" s="139"/>
      <c r="K5" s="135"/>
      <c r="L5" s="135"/>
      <c r="M5" s="151"/>
      <c r="N5" s="151"/>
      <c r="O5" s="44"/>
    </row>
    <row r="6" spans="2:18" x14ac:dyDescent="0.3">
      <c r="B6" s="148"/>
      <c r="C6" s="148"/>
      <c r="D6" s="148"/>
      <c r="E6" s="149"/>
      <c r="F6" s="150"/>
      <c r="G6" s="139"/>
      <c r="H6" s="139"/>
      <c r="I6" s="139"/>
      <c r="J6" s="139"/>
      <c r="K6" s="135"/>
      <c r="L6" s="135"/>
      <c r="M6" s="151"/>
      <c r="N6" s="151"/>
      <c r="O6" s="44"/>
    </row>
    <row r="7" spans="2:18" x14ac:dyDescent="0.3">
      <c r="B7" s="148"/>
      <c r="C7" s="148"/>
      <c r="D7" s="148"/>
      <c r="E7" s="149"/>
      <c r="F7" s="150"/>
      <c r="G7" s="139"/>
      <c r="H7" s="139"/>
      <c r="I7" s="139"/>
      <c r="J7" s="139"/>
      <c r="K7" s="135"/>
      <c r="L7" s="135"/>
      <c r="M7" s="151"/>
      <c r="N7" s="151"/>
      <c r="O7" s="44"/>
    </row>
    <row r="8" spans="2:18" x14ac:dyDescent="0.3">
      <c r="B8" s="148"/>
      <c r="C8" s="148"/>
      <c r="D8" s="148"/>
      <c r="E8" s="149"/>
      <c r="F8" s="150"/>
      <c r="G8" s="139"/>
      <c r="H8" s="139"/>
      <c r="I8" s="139"/>
      <c r="J8" s="139"/>
      <c r="K8" s="135"/>
      <c r="L8" s="135"/>
      <c r="M8" s="151"/>
      <c r="N8" s="151"/>
      <c r="O8" s="44"/>
    </row>
    <row r="9" spans="2:18" x14ac:dyDescent="0.3">
      <c r="B9" s="148"/>
      <c r="C9" s="148"/>
      <c r="D9" s="148"/>
      <c r="E9" s="149"/>
      <c r="F9" s="150"/>
      <c r="G9" s="139"/>
      <c r="H9" s="139"/>
      <c r="I9" s="139"/>
      <c r="J9" s="139"/>
      <c r="K9" s="135"/>
      <c r="L9" s="135"/>
      <c r="M9" s="151"/>
      <c r="N9" s="151"/>
      <c r="O9" s="44"/>
    </row>
    <row r="92" spans="16:16" x14ac:dyDescent="0.3">
      <c r="P92" s="138">
        <f>SUM(K2:K91)</f>
        <v>0</v>
      </c>
    </row>
  </sheetData>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360"/>
  <sheetViews>
    <sheetView workbookViewId="0"/>
  </sheetViews>
  <sheetFormatPr defaultColWidth="11.44140625" defaultRowHeight="12" customHeight="1" x14ac:dyDescent="0.3"/>
  <cols>
    <col min="1" max="1" width="20.88671875" style="101" customWidth="1"/>
    <col min="2" max="2" width="11.44140625" style="101"/>
    <col min="3" max="3" width="5.5546875" style="101" bestFit="1" customWidth="1"/>
    <col min="4" max="4" width="18" style="101" bestFit="1" customWidth="1"/>
    <col min="5" max="5" width="17.44140625" style="101" customWidth="1"/>
    <col min="6" max="6" width="12.88671875" style="101" bestFit="1" customWidth="1"/>
    <col min="7" max="7" width="30.109375" style="101" customWidth="1"/>
    <col min="8" max="8" width="23.5546875" style="101" bestFit="1" customWidth="1"/>
    <col min="9" max="9" width="26.44140625" style="100" customWidth="1"/>
    <col min="10" max="10" width="15.44140625" style="98" bestFit="1" customWidth="1"/>
    <col min="11" max="16384" width="11.44140625" style="100"/>
  </cols>
  <sheetData>
    <row r="1" spans="1:10" ht="12" customHeight="1" x14ac:dyDescent="0.3">
      <c r="A1" s="97" t="s">
        <v>30</v>
      </c>
      <c r="B1" s="97" t="s">
        <v>31</v>
      </c>
      <c r="C1" s="97" t="s">
        <v>32</v>
      </c>
      <c r="D1" s="97" t="s">
        <v>60</v>
      </c>
      <c r="E1" s="97" t="s">
        <v>61</v>
      </c>
      <c r="F1" s="97" t="s">
        <v>53</v>
      </c>
      <c r="G1" s="97" t="s">
        <v>3</v>
      </c>
      <c r="H1" s="97" t="s">
        <v>49</v>
      </c>
      <c r="I1" s="97" t="s">
        <v>33</v>
      </c>
    </row>
    <row r="2" spans="1:10" ht="36" customHeight="1" x14ac:dyDescent="0.3">
      <c r="A2" s="124" t="s">
        <v>30</v>
      </c>
      <c r="B2" s="124" t="s">
        <v>31</v>
      </c>
      <c r="C2" s="124" t="s">
        <v>32</v>
      </c>
      <c r="D2" s="124" t="s">
        <v>60</v>
      </c>
      <c r="E2" s="124" t="s">
        <v>61</v>
      </c>
      <c r="F2" s="124" t="s">
        <v>53</v>
      </c>
      <c r="G2" s="124" t="s">
        <v>3</v>
      </c>
      <c r="H2" s="124" t="s">
        <v>49</v>
      </c>
      <c r="I2" s="124" t="s">
        <v>33</v>
      </c>
      <c r="J2" s="100"/>
    </row>
    <row r="3" spans="1:10" s="99" customFormat="1" ht="12" customHeight="1" x14ac:dyDescent="0.3">
      <c r="A3" s="108"/>
      <c r="B3" s="108"/>
      <c r="C3"/>
      <c r="D3" s="108"/>
      <c r="E3" s="108"/>
      <c r="F3" s="108"/>
      <c r="G3" s="108"/>
      <c r="H3" s="108"/>
      <c r="I3" s="2"/>
      <c r="J3" s="93">
        <f t="shared" ref="J3:J65" si="0">ABS(I3)</f>
        <v>0</v>
      </c>
    </row>
    <row r="4" spans="1:10" s="99" customFormat="1" ht="12" customHeight="1" x14ac:dyDescent="0.3">
      <c r="A4" s="108"/>
      <c r="B4" s="108"/>
      <c r="C4"/>
      <c r="D4" s="108"/>
      <c r="E4" s="108"/>
      <c r="F4" s="108"/>
      <c r="G4" s="108"/>
      <c r="H4" s="108"/>
      <c r="I4" s="2"/>
      <c r="J4" s="93">
        <f t="shared" si="0"/>
        <v>0</v>
      </c>
    </row>
    <row r="5" spans="1:10" s="99" customFormat="1" ht="12" customHeight="1" x14ac:dyDescent="0.3">
      <c r="A5" s="108"/>
      <c r="B5" s="108"/>
      <c r="C5"/>
      <c r="D5" s="108"/>
      <c r="E5" s="108"/>
      <c r="F5" s="108"/>
      <c r="G5" s="108"/>
      <c r="H5" s="108"/>
      <c r="I5" s="2"/>
      <c r="J5" s="93">
        <f t="shared" si="0"/>
        <v>0</v>
      </c>
    </row>
    <row r="6" spans="1:10" s="99" customFormat="1" ht="12" customHeight="1" x14ac:dyDescent="0.3">
      <c r="A6" s="108"/>
      <c r="B6" s="108"/>
      <c r="C6"/>
      <c r="D6" s="108"/>
      <c r="E6" s="108"/>
      <c r="F6" s="108"/>
      <c r="G6" s="108"/>
      <c r="H6" s="108"/>
      <c r="I6" s="2"/>
      <c r="J6" s="93">
        <f t="shared" si="0"/>
        <v>0</v>
      </c>
    </row>
    <row r="7" spans="1:10" s="99" customFormat="1" ht="12" customHeight="1" x14ac:dyDescent="0.3">
      <c r="A7" s="108"/>
      <c r="B7" s="108"/>
      <c r="C7"/>
      <c r="D7" s="108"/>
      <c r="E7" s="108"/>
      <c r="F7" s="108"/>
      <c r="G7" s="108"/>
      <c r="H7" s="108"/>
      <c r="I7" s="2"/>
      <c r="J7" s="93">
        <f t="shared" si="0"/>
        <v>0</v>
      </c>
    </row>
    <row r="8" spans="1:10" s="99" customFormat="1" ht="12" customHeight="1" x14ac:dyDescent="0.3">
      <c r="A8" s="108"/>
      <c r="B8" s="108"/>
      <c r="C8"/>
      <c r="D8" s="108"/>
      <c r="E8" s="108"/>
      <c r="F8" s="108"/>
      <c r="G8" s="108"/>
      <c r="H8" s="108"/>
      <c r="I8" s="2"/>
      <c r="J8" s="93">
        <f t="shared" si="0"/>
        <v>0</v>
      </c>
    </row>
    <row r="9" spans="1:10" s="99" customFormat="1" ht="12" customHeight="1" x14ac:dyDescent="0.3">
      <c r="A9" s="108"/>
      <c r="B9" s="108"/>
      <c r="C9"/>
      <c r="D9" s="108"/>
      <c r="E9" s="108"/>
      <c r="F9" s="108"/>
      <c r="G9" s="108"/>
      <c r="H9" s="108"/>
      <c r="I9" s="2"/>
      <c r="J9" s="93">
        <f t="shared" si="0"/>
        <v>0</v>
      </c>
    </row>
    <row r="10" spans="1:10" s="99" customFormat="1" ht="12" customHeight="1" x14ac:dyDescent="0.3">
      <c r="A10" s="108"/>
      <c r="B10" s="108"/>
      <c r="C10"/>
      <c r="D10" s="108"/>
      <c r="E10" s="108"/>
      <c r="F10" s="108"/>
      <c r="G10" s="108"/>
      <c r="H10" s="108"/>
      <c r="I10" s="2"/>
      <c r="J10" s="93">
        <f t="shared" si="0"/>
        <v>0</v>
      </c>
    </row>
    <row r="11" spans="1:10" s="99" customFormat="1" ht="12" customHeight="1" x14ac:dyDescent="0.3">
      <c r="A11" s="108"/>
      <c r="B11" s="108"/>
      <c r="C11"/>
      <c r="D11" s="108"/>
      <c r="E11" s="108"/>
      <c r="F11" s="108"/>
      <c r="G11" s="108"/>
      <c r="H11" s="108"/>
      <c r="I11" s="2"/>
      <c r="J11" s="93">
        <f t="shared" si="0"/>
        <v>0</v>
      </c>
    </row>
    <row r="12" spans="1:10" s="99" customFormat="1" ht="12" customHeight="1" x14ac:dyDescent="0.3">
      <c r="A12" s="108"/>
      <c r="B12" s="108"/>
      <c r="C12"/>
      <c r="D12" s="108"/>
      <c r="E12" s="108"/>
      <c r="F12" s="108"/>
      <c r="G12" s="108"/>
      <c r="H12" s="108"/>
      <c r="I12" s="2"/>
      <c r="J12" s="93">
        <f t="shared" si="0"/>
        <v>0</v>
      </c>
    </row>
    <row r="13" spans="1:10" s="99" customFormat="1" ht="12" customHeight="1" x14ac:dyDescent="0.3">
      <c r="A13" s="108"/>
      <c r="B13" s="108"/>
      <c r="C13"/>
      <c r="D13" s="108"/>
      <c r="E13" s="108"/>
      <c r="F13" s="108"/>
      <c r="G13" s="108"/>
      <c r="H13" s="108"/>
      <c r="I13" s="2"/>
      <c r="J13" s="93">
        <f t="shared" si="0"/>
        <v>0</v>
      </c>
    </row>
    <row r="14" spans="1:10" s="99" customFormat="1" ht="12" customHeight="1" x14ac:dyDescent="0.3">
      <c r="A14" s="108"/>
      <c r="B14" s="108"/>
      <c r="C14"/>
      <c r="D14" s="108"/>
      <c r="E14" s="108"/>
      <c r="F14" s="108"/>
      <c r="G14" s="108"/>
      <c r="H14" s="108"/>
      <c r="I14" s="2"/>
      <c r="J14" s="93">
        <f t="shared" si="0"/>
        <v>0</v>
      </c>
    </row>
    <row r="15" spans="1:10" s="99" customFormat="1" ht="12" customHeight="1" x14ac:dyDescent="0.3">
      <c r="A15" s="108"/>
      <c r="B15" s="108"/>
      <c r="C15"/>
      <c r="D15" s="108"/>
      <c r="E15" s="108"/>
      <c r="F15" s="108"/>
      <c r="G15" s="108"/>
      <c r="H15" s="108"/>
      <c r="I15" s="2"/>
      <c r="J15" s="93">
        <f t="shared" si="0"/>
        <v>0</v>
      </c>
    </row>
    <row r="16" spans="1:10" s="99" customFormat="1" ht="12" customHeight="1" x14ac:dyDescent="0.3">
      <c r="A16" s="108"/>
      <c r="B16" s="108"/>
      <c r="C16"/>
      <c r="D16" s="108"/>
      <c r="E16" s="108"/>
      <c r="F16" s="108"/>
      <c r="G16" s="108"/>
      <c r="H16" s="108"/>
      <c r="I16" s="2"/>
      <c r="J16" s="93">
        <f t="shared" si="0"/>
        <v>0</v>
      </c>
    </row>
    <row r="17" spans="1:10" s="99" customFormat="1" ht="12" customHeight="1" x14ac:dyDescent="0.3">
      <c r="A17" s="108"/>
      <c r="B17" s="108"/>
      <c r="C17"/>
      <c r="D17" s="108"/>
      <c r="E17" s="108"/>
      <c r="F17" s="108"/>
      <c r="G17" s="108"/>
      <c r="H17" s="108"/>
      <c r="I17" s="2"/>
      <c r="J17" s="93">
        <f t="shared" si="0"/>
        <v>0</v>
      </c>
    </row>
    <row r="18" spans="1:10" s="99" customFormat="1" ht="12" customHeight="1" x14ac:dyDescent="0.3">
      <c r="A18" s="108"/>
      <c r="B18" s="108"/>
      <c r="C18"/>
      <c r="D18" s="108"/>
      <c r="E18" s="108"/>
      <c r="F18" s="108"/>
      <c r="G18" s="108"/>
      <c r="H18" s="108"/>
      <c r="I18" s="2"/>
      <c r="J18" s="93">
        <f t="shared" si="0"/>
        <v>0</v>
      </c>
    </row>
    <row r="19" spans="1:10" s="99" customFormat="1" ht="12" customHeight="1" x14ac:dyDescent="0.3">
      <c r="A19" s="108"/>
      <c r="B19" s="108"/>
      <c r="C19"/>
      <c r="D19" s="108"/>
      <c r="E19" s="108"/>
      <c r="F19" s="108"/>
      <c r="G19" s="108"/>
      <c r="H19" s="108"/>
      <c r="I19" s="2"/>
      <c r="J19" s="93">
        <f t="shared" si="0"/>
        <v>0</v>
      </c>
    </row>
    <row r="20" spans="1:10" s="99" customFormat="1" ht="12" customHeight="1" x14ac:dyDescent="0.3">
      <c r="A20" s="108"/>
      <c r="B20" s="108"/>
      <c r="C20"/>
      <c r="D20" s="108"/>
      <c r="E20" s="108"/>
      <c r="F20" s="108"/>
      <c r="G20" s="108"/>
      <c r="H20" s="108"/>
      <c r="I20" s="2"/>
      <c r="J20" s="93">
        <f t="shared" si="0"/>
        <v>0</v>
      </c>
    </row>
    <row r="21" spans="1:10" s="99" customFormat="1" ht="12" customHeight="1" x14ac:dyDescent="0.3">
      <c r="A21" s="108"/>
      <c r="B21" s="108"/>
      <c r="C21"/>
      <c r="D21" s="108"/>
      <c r="E21" s="108"/>
      <c r="F21" s="108"/>
      <c r="G21" s="108"/>
      <c r="H21" s="108"/>
      <c r="I21" s="2"/>
      <c r="J21" s="93">
        <f t="shared" si="0"/>
        <v>0</v>
      </c>
    </row>
    <row r="22" spans="1:10" s="99" customFormat="1" ht="12" customHeight="1" x14ac:dyDescent="0.3">
      <c r="A22" s="108"/>
      <c r="B22" s="108"/>
      <c r="C22"/>
      <c r="D22" s="108"/>
      <c r="E22" s="108"/>
      <c r="F22" s="108"/>
      <c r="G22" s="108"/>
      <c r="H22" s="108"/>
      <c r="I22" s="2"/>
      <c r="J22" s="93">
        <f t="shared" si="0"/>
        <v>0</v>
      </c>
    </row>
    <row r="23" spans="1:10" s="99" customFormat="1" ht="12" customHeight="1" x14ac:dyDescent="0.3">
      <c r="A23" s="108"/>
      <c r="B23" s="108"/>
      <c r="C23"/>
      <c r="D23" s="108"/>
      <c r="E23" s="108"/>
      <c r="F23" s="108"/>
      <c r="G23" s="108"/>
      <c r="H23" s="108"/>
      <c r="I23" s="2"/>
      <c r="J23" s="93">
        <f t="shared" si="0"/>
        <v>0</v>
      </c>
    </row>
    <row r="24" spans="1:10" s="99" customFormat="1" ht="12" customHeight="1" x14ac:dyDescent="0.3">
      <c r="A24" s="108"/>
      <c r="B24" s="108"/>
      <c r="C24"/>
      <c r="D24" s="108"/>
      <c r="E24" s="108"/>
      <c r="F24" s="108"/>
      <c r="G24" s="108"/>
      <c r="H24" s="108"/>
      <c r="I24" s="2"/>
      <c r="J24" s="93">
        <f t="shared" si="0"/>
        <v>0</v>
      </c>
    </row>
    <row r="25" spans="1:10" s="99" customFormat="1" ht="12" customHeight="1" x14ac:dyDescent="0.3">
      <c r="A25" s="108"/>
      <c r="B25" s="108"/>
      <c r="C25"/>
      <c r="D25" s="108"/>
      <c r="E25" s="108"/>
      <c r="F25" s="108"/>
      <c r="G25" s="108"/>
      <c r="H25" s="108"/>
      <c r="I25" s="2"/>
      <c r="J25" s="93">
        <f t="shared" si="0"/>
        <v>0</v>
      </c>
    </row>
    <row r="26" spans="1:10" s="99" customFormat="1" ht="12" customHeight="1" x14ac:dyDescent="0.3">
      <c r="A26" s="108"/>
      <c r="B26" s="108"/>
      <c r="C26"/>
      <c r="D26" s="108"/>
      <c r="E26" s="108"/>
      <c r="F26" s="108"/>
      <c r="G26" s="108"/>
      <c r="H26" s="108"/>
      <c r="I26" s="2"/>
      <c r="J26" s="93">
        <f t="shared" si="0"/>
        <v>0</v>
      </c>
    </row>
    <row r="27" spans="1:10" s="99" customFormat="1" ht="12" customHeight="1" x14ac:dyDescent="0.3">
      <c r="A27" s="108"/>
      <c r="B27" s="108"/>
      <c r="C27"/>
      <c r="D27" s="108"/>
      <c r="E27" s="108"/>
      <c r="F27" s="108"/>
      <c r="G27" s="108"/>
      <c r="H27" s="108"/>
      <c r="I27" s="2"/>
      <c r="J27" s="93">
        <f t="shared" si="0"/>
        <v>0</v>
      </c>
    </row>
    <row r="28" spans="1:10" s="99" customFormat="1" ht="12" customHeight="1" x14ac:dyDescent="0.3">
      <c r="A28" s="108"/>
      <c r="B28" s="108"/>
      <c r="C28"/>
      <c r="D28" s="108"/>
      <c r="E28" s="108"/>
      <c r="F28" s="108"/>
      <c r="G28" s="108"/>
      <c r="H28" s="108"/>
      <c r="I28" s="2"/>
      <c r="J28" s="93">
        <f t="shared" si="0"/>
        <v>0</v>
      </c>
    </row>
    <row r="29" spans="1:10" s="99" customFormat="1" ht="12" customHeight="1" x14ac:dyDescent="0.3">
      <c r="A29" s="108"/>
      <c r="B29" s="108"/>
      <c r="C29"/>
      <c r="D29" s="108"/>
      <c r="E29" s="108"/>
      <c r="F29" s="108"/>
      <c r="G29" s="108"/>
      <c r="H29" s="108"/>
      <c r="I29" s="2"/>
      <c r="J29" s="93">
        <f t="shared" si="0"/>
        <v>0</v>
      </c>
    </row>
    <row r="30" spans="1:10" s="99" customFormat="1" ht="12" customHeight="1" x14ac:dyDescent="0.3">
      <c r="A30" s="108"/>
      <c r="B30" s="108"/>
      <c r="C30"/>
      <c r="D30" s="108"/>
      <c r="E30" s="108"/>
      <c r="F30" s="108"/>
      <c r="G30" s="108"/>
      <c r="H30" s="108"/>
      <c r="I30" s="2"/>
      <c r="J30" s="93">
        <f t="shared" si="0"/>
        <v>0</v>
      </c>
    </row>
    <row r="31" spans="1:10" s="99" customFormat="1" ht="12" customHeight="1" x14ac:dyDescent="0.3">
      <c r="A31" s="108"/>
      <c r="B31" s="108"/>
      <c r="C31"/>
      <c r="D31" s="108"/>
      <c r="E31" s="108"/>
      <c r="F31" s="108"/>
      <c r="G31" s="108"/>
      <c r="H31" s="108"/>
      <c r="I31" s="2"/>
      <c r="J31" s="93">
        <f t="shared" si="0"/>
        <v>0</v>
      </c>
    </row>
    <row r="32" spans="1:10" s="99" customFormat="1" ht="12" customHeight="1" x14ac:dyDescent="0.3">
      <c r="A32" s="108"/>
      <c r="B32" s="108"/>
      <c r="C32"/>
      <c r="D32" s="108"/>
      <c r="E32" s="108"/>
      <c r="F32" s="108"/>
      <c r="G32" s="108"/>
      <c r="H32" s="108"/>
      <c r="I32" s="2"/>
      <c r="J32" s="93">
        <f t="shared" si="0"/>
        <v>0</v>
      </c>
    </row>
    <row r="33" spans="1:10" s="99" customFormat="1" ht="12" customHeight="1" x14ac:dyDescent="0.3">
      <c r="A33" s="108"/>
      <c r="B33" s="108"/>
      <c r="C33"/>
      <c r="D33" s="108"/>
      <c r="E33" s="108"/>
      <c r="F33" s="108"/>
      <c r="G33" s="108"/>
      <c r="H33" s="108"/>
      <c r="I33" s="2"/>
      <c r="J33" s="93">
        <f t="shared" si="0"/>
        <v>0</v>
      </c>
    </row>
    <row r="34" spans="1:10" s="99" customFormat="1" ht="12" customHeight="1" x14ac:dyDescent="0.3">
      <c r="A34" s="108"/>
      <c r="B34" s="108"/>
      <c r="C34"/>
      <c r="D34" s="108"/>
      <c r="E34" s="108"/>
      <c r="F34" s="108"/>
      <c r="G34" s="108"/>
      <c r="H34" s="108"/>
      <c r="I34" s="2"/>
      <c r="J34" s="93">
        <f t="shared" si="0"/>
        <v>0</v>
      </c>
    </row>
    <row r="35" spans="1:10" s="99" customFormat="1" ht="12" customHeight="1" x14ac:dyDescent="0.3">
      <c r="A35" s="108"/>
      <c r="B35" s="108"/>
      <c r="C35"/>
      <c r="D35" s="108"/>
      <c r="E35" s="108"/>
      <c r="F35" s="108"/>
      <c r="G35" s="108"/>
      <c r="H35" s="108"/>
      <c r="I35" s="2"/>
      <c r="J35" s="93">
        <f t="shared" si="0"/>
        <v>0</v>
      </c>
    </row>
    <row r="36" spans="1:10" s="99" customFormat="1" ht="12" customHeight="1" x14ac:dyDescent="0.3">
      <c r="A36" s="108"/>
      <c r="B36" s="108"/>
      <c r="C36"/>
      <c r="D36" s="108"/>
      <c r="E36" s="108"/>
      <c r="F36" s="108"/>
      <c r="G36" s="108"/>
      <c r="H36" s="108"/>
      <c r="I36" s="2"/>
      <c r="J36" s="93">
        <f t="shared" si="0"/>
        <v>0</v>
      </c>
    </row>
    <row r="37" spans="1:10" s="99" customFormat="1" ht="12" customHeight="1" x14ac:dyDescent="0.3">
      <c r="A37" s="108"/>
      <c r="B37" s="108"/>
      <c r="C37"/>
      <c r="D37" s="108"/>
      <c r="E37" s="108"/>
      <c r="F37" s="108"/>
      <c r="G37" s="108"/>
      <c r="H37" s="108"/>
      <c r="I37" s="2"/>
      <c r="J37" s="93">
        <f t="shared" si="0"/>
        <v>0</v>
      </c>
    </row>
    <row r="38" spans="1:10" s="99" customFormat="1" ht="12" customHeight="1" x14ac:dyDescent="0.3">
      <c r="A38" s="108"/>
      <c r="B38" s="108"/>
      <c r="C38"/>
      <c r="D38" s="108"/>
      <c r="E38" s="108"/>
      <c r="F38" s="108"/>
      <c r="G38" s="108"/>
      <c r="H38" s="108"/>
      <c r="I38" s="2"/>
      <c r="J38" s="93">
        <f t="shared" si="0"/>
        <v>0</v>
      </c>
    </row>
    <row r="39" spans="1:10" s="99" customFormat="1" ht="12" customHeight="1" x14ac:dyDescent="0.3">
      <c r="A39" s="108"/>
      <c r="B39" s="108"/>
      <c r="C39"/>
      <c r="D39" s="108"/>
      <c r="E39" s="108"/>
      <c r="F39" s="108"/>
      <c r="G39" s="108"/>
      <c r="H39" s="108"/>
      <c r="I39" s="2"/>
      <c r="J39" s="93">
        <f t="shared" si="0"/>
        <v>0</v>
      </c>
    </row>
    <row r="40" spans="1:10" s="99" customFormat="1" ht="12" customHeight="1" x14ac:dyDescent="0.3">
      <c r="A40" s="108"/>
      <c r="B40" s="108"/>
      <c r="C40"/>
      <c r="D40" s="108"/>
      <c r="E40" s="108"/>
      <c r="F40" s="108"/>
      <c r="G40" s="108"/>
      <c r="H40" s="108"/>
      <c r="I40" s="2"/>
      <c r="J40" s="93">
        <f t="shared" si="0"/>
        <v>0</v>
      </c>
    </row>
    <row r="41" spans="1:10" s="99" customFormat="1" ht="12" customHeight="1" x14ac:dyDescent="0.3">
      <c r="A41" s="108"/>
      <c r="B41" s="108"/>
      <c r="C41"/>
      <c r="D41" s="108"/>
      <c r="E41" s="108"/>
      <c r="F41" s="108"/>
      <c r="G41" s="108"/>
      <c r="H41" s="108"/>
      <c r="I41" s="2"/>
      <c r="J41" s="93">
        <f t="shared" si="0"/>
        <v>0</v>
      </c>
    </row>
    <row r="42" spans="1:10" s="99" customFormat="1" ht="12" customHeight="1" x14ac:dyDescent="0.3">
      <c r="A42" s="108"/>
      <c r="B42" s="108"/>
      <c r="C42"/>
      <c r="D42" s="108"/>
      <c r="E42" s="108"/>
      <c r="F42" s="108"/>
      <c r="G42" s="108"/>
      <c r="H42" s="108"/>
      <c r="I42" s="2"/>
      <c r="J42" s="93">
        <f t="shared" si="0"/>
        <v>0</v>
      </c>
    </row>
    <row r="43" spans="1:10" s="99" customFormat="1" ht="12" customHeight="1" x14ac:dyDescent="0.3">
      <c r="A43" s="108"/>
      <c r="B43" s="108"/>
      <c r="C43"/>
      <c r="D43" s="108"/>
      <c r="E43" s="108"/>
      <c r="F43" s="108"/>
      <c r="G43" s="108"/>
      <c r="H43" s="108"/>
      <c r="I43" s="2"/>
      <c r="J43" s="93">
        <f t="shared" si="0"/>
        <v>0</v>
      </c>
    </row>
    <row r="44" spans="1:10" s="99" customFormat="1" ht="12" customHeight="1" x14ac:dyDescent="0.3">
      <c r="A44" s="108"/>
      <c r="B44" s="108"/>
      <c r="C44"/>
      <c r="D44" s="108"/>
      <c r="E44" s="108"/>
      <c r="F44" s="108"/>
      <c r="G44" s="108"/>
      <c r="H44" s="108"/>
      <c r="I44" s="2"/>
      <c r="J44" s="93">
        <f t="shared" si="0"/>
        <v>0</v>
      </c>
    </row>
    <row r="45" spans="1:10" s="99" customFormat="1" ht="12" customHeight="1" x14ac:dyDescent="0.3">
      <c r="A45" s="108"/>
      <c r="B45" s="108"/>
      <c r="C45"/>
      <c r="D45" s="108"/>
      <c r="E45" s="108"/>
      <c r="F45" s="108"/>
      <c r="G45" s="108"/>
      <c r="H45" s="108"/>
      <c r="I45" s="2"/>
      <c r="J45" s="93">
        <f t="shared" si="0"/>
        <v>0</v>
      </c>
    </row>
    <row r="46" spans="1:10" s="99" customFormat="1" ht="12" customHeight="1" x14ac:dyDescent="0.3">
      <c r="A46" s="108"/>
      <c r="B46" s="108"/>
      <c r="C46"/>
      <c r="D46" s="108"/>
      <c r="E46" s="108"/>
      <c r="F46" s="108"/>
      <c r="G46" s="108"/>
      <c r="H46" s="108"/>
      <c r="I46" s="2"/>
      <c r="J46" s="93">
        <f t="shared" si="0"/>
        <v>0</v>
      </c>
    </row>
    <row r="47" spans="1:10" s="99" customFormat="1" ht="12" customHeight="1" x14ac:dyDescent="0.3">
      <c r="A47" s="108"/>
      <c r="B47" s="108"/>
      <c r="C47"/>
      <c r="D47" s="108"/>
      <c r="E47" s="108"/>
      <c r="F47" s="108"/>
      <c r="G47" s="108"/>
      <c r="H47" s="108"/>
      <c r="I47" s="2"/>
      <c r="J47" s="93">
        <f t="shared" si="0"/>
        <v>0</v>
      </c>
    </row>
    <row r="48" spans="1:10" s="99" customFormat="1" ht="12" customHeight="1" x14ac:dyDescent="0.3">
      <c r="A48" s="108"/>
      <c r="B48" s="108"/>
      <c r="C48"/>
      <c r="D48" s="108"/>
      <c r="E48" s="108"/>
      <c r="F48" s="108"/>
      <c r="G48" s="108"/>
      <c r="H48" s="108"/>
      <c r="I48" s="2"/>
      <c r="J48" s="93">
        <f t="shared" si="0"/>
        <v>0</v>
      </c>
    </row>
    <row r="49" spans="1:10" s="99" customFormat="1" ht="12" customHeight="1" x14ac:dyDescent="0.3">
      <c r="A49" s="108"/>
      <c r="B49" s="108"/>
      <c r="C49"/>
      <c r="D49" s="108"/>
      <c r="E49" s="108"/>
      <c r="F49" s="108"/>
      <c r="G49" s="108"/>
      <c r="H49" s="108"/>
      <c r="I49" s="2"/>
      <c r="J49" s="93">
        <f t="shared" si="0"/>
        <v>0</v>
      </c>
    </row>
    <row r="50" spans="1:10" s="99" customFormat="1" ht="12" customHeight="1" x14ac:dyDescent="0.3">
      <c r="A50" s="108"/>
      <c r="B50" s="108"/>
      <c r="C50"/>
      <c r="D50" s="108"/>
      <c r="E50" s="108"/>
      <c r="F50" s="108"/>
      <c r="G50" s="108"/>
      <c r="H50" s="108"/>
      <c r="I50" s="2"/>
      <c r="J50" s="93">
        <f t="shared" si="0"/>
        <v>0</v>
      </c>
    </row>
    <row r="51" spans="1:10" s="99" customFormat="1" ht="12" customHeight="1" x14ac:dyDescent="0.3">
      <c r="A51" s="108"/>
      <c r="B51" s="108"/>
      <c r="C51"/>
      <c r="D51" s="108"/>
      <c r="E51" s="108"/>
      <c r="F51" s="108"/>
      <c r="G51" s="108"/>
      <c r="H51" s="108"/>
      <c r="I51" s="2"/>
      <c r="J51" s="93">
        <f t="shared" si="0"/>
        <v>0</v>
      </c>
    </row>
    <row r="52" spans="1:10" s="99" customFormat="1" ht="12" customHeight="1" x14ac:dyDescent="0.3">
      <c r="A52" s="108"/>
      <c r="B52" s="108"/>
      <c r="C52"/>
      <c r="D52" s="108"/>
      <c r="E52" s="108"/>
      <c r="F52" s="108"/>
      <c r="G52" s="108"/>
      <c r="H52" s="108"/>
      <c r="I52" s="2"/>
      <c r="J52" s="93">
        <f t="shared" si="0"/>
        <v>0</v>
      </c>
    </row>
    <row r="53" spans="1:10" s="99" customFormat="1" ht="12" customHeight="1" x14ac:dyDescent="0.3">
      <c r="A53" s="108"/>
      <c r="B53" s="108"/>
      <c r="C53"/>
      <c r="D53" s="108"/>
      <c r="E53" s="108"/>
      <c r="F53" s="108"/>
      <c r="G53" s="108"/>
      <c r="H53" s="108"/>
      <c r="I53" s="2"/>
      <c r="J53" s="93">
        <f t="shared" si="0"/>
        <v>0</v>
      </c>
    </row>
    <row r="54" spans="1:10" s="99" customFormat="1" ht="12" customHeight="1" x14ac:dyDescent="0.3">
      <c r="A54" s="108"/>
      <c r="B54" s="108"/>
      <c r="C54"/>
      <c r="D54" s="108"/>
      <c r="E54" s="108"/>
      <c r="F54" s="108"/>
      <c r="G54" s="108"/>
      <c r="H54" s="108"/>
      <c r="I54" s="2"/>
      <c r="J54" s="93">
        <f t="shared" si="0"/>
        <v>0</v>
      </c>
    </row>
    <row r="55" spans="1:10" s="99" customFormat="1" ht="12" customHeight="1" x14ac:dyDescent="0.3">
      <c r="A55" s="108"/>
      <c r="B55" s="108"/>
      <c r="C55"/>
      <c r="D55" s="108"/>
      <c r="E55" s="108"/>
      <c r="F55" s="108"/>
      <c r="G55" s="108"/>
      <c r="H55" s="108"/>
      <c r="I55" s="2"/>
      <c r="J55" s="93">
        <f t="shared" si="0"/>
        <v>0</v>
      </c>
    </row>
    <row r="56" spans="1:10" s="99" customFormat="1" ht="12" customHeight="1" x14ac:dyDescent="0.3">
      <c r="A56" s="108"/>
      <c r="B56" s="108"/>
      <c r="C56"/>
      <c r="D56" s="108"/>
      <c r="E56" s="108"/>
      <c r="F56" s="108"/>
      <c r="G56" s="108"/>
      <c r="H56" s="108"/>
      <c r="I56" s="2"/>
      <c r="J56" s="93">
        <f t="shared" si="0"/>
        <v>0</v>
      </c>
    </row>
    <row r="57" spans="1:10" s="99" customFormat="1" ht="12" customHeight="1" x14ac:dyDescent="0.3">
      <c r="A57" s="108"/>
      <c r="B57" s="108"/>
      <c r="C57"/>
      <c r="D57" s="108"/>
      <c r="E57" s="108"/>
      <c r="F57" s="108"/>
      <c r="G57" s="108"/>
      <c r="H57" s="108"/>
      <c r="I57" s="2"/>
      <c r="J57" s="93">
        <f t="shared" si="0"/>
        <v>0</v>
      </c>
    </row>
    <row r="58" spans="1:10" s="99" customFormat="1" ht="12" customHeight="1" x14ac:dyDescent="0.3">
      <c r="A58" s="108"/>
      <c r="B58" s="108"/>
      <c r="C58"/>
      <c r="D58" s="108"/>
      <c r="E58" s="108"/>
      <c r="F58" s="108"/>
      <c r="G58" s="108"/>
      <c r="H58" s="108"/>
      <c r="I58" s="2"/>
      <c r="J58" s="93">
        <f t="shared" si="0"/>
        <v>0</v>
      </c>
    </row>
    <row r="59" spans="1:10" s="99" customFormat="1" ht="12" customHeight="1" x14ac:dyDescent="0.3">
      <c r="A59" s="108"/>
      <c r="B59" s="108"/>
      <c r="C59"/>
      <c r="D59" s="108"/>
      <c r="E59" s="108"/>
      <c r="F59" s="108"/>
      <c r="G59" s="108"/>
      <c r="H59" s="108"/>
      <c r="I59" s="2"/>
      <c r="J59" s="93">
        <f t="shared" si="0"/>
        <v>0</v>
      </c>
    </row>
    <row r="60" spans="1:10" s="99" customFormat="1" ht="12" customHeight="1" x14ac:dyDescent="0.3">
      <c r="A60" s="108"/>
      <c r="B60" s="108"/>
      <c r="C60"/>
      <c r="D60" s="108"/>
      <c r="E60" s="108"/>
      <c r="F60" s="108"/>
      <c r="G60" s="108"/>
      <c r="H60" s="108"/>
      <c r="I60" s="2"/>
      <c r="J60" s="93">
        <f t="shared" si="0"/>
        <v>0</v>
      </c>
    </row>
    <row r="61" spans="1:10" s="99" customFormat="1" ht="12" customHeight="1" x14ac:dyDescent="0.3">
      <c r="A61" s="108"/>
      <c r="B61" s="108"/>
      <c r="C61"/>
      <c r="D61" s="108"/>
      <c r="E61" s="108"/>
      <c r="F61" s="108"/>
      <c r="G61" s="108"/>
      <c r="H61" s="108"/>
      <c r="I61" s="2"/>
      <c r="J61" s="93">
        <f t="shared" si="0"/>
        <v>0</v>
      </c>
    </row>
    <row r="62" spans="1:10" s="99" customFormat="1" ht="12" customHeight="1" x14ac:dyDescent="0.3">
      <c r="A62" s="108"/>
      <c r="B62" s="108"/>
      <c r="C62"/>
      <c r="D62" s="108"/>
      <c r="E62" s="108"/>
      <c r="F62" s="108"/>
      <c r="G62" s="108"/>
      <c r="H62" s="108"/>
      <c r="I62" s="2"/>
      <c r="J62" s="93">
        <f t="shared" si="0"/>
        <v>0</v>
      </c>
    </row>
    <row r="63" spans="1:10" s="99" customFormat="1" ht="12" customHeight="1" x14ac:dyDescent="0.3">
      <c r="A63" s="108"/>
      <c r="B63" s="108"/>
      <c r="C63"/>
      <c r="D63" s="108"/>
      <c r="E63" s="108"/>
      <c r="F63" s="108"/>
      <c r="G63" s="108"/>
      <c r="H63" s="108"/>
      <c r="I63" s="2"/>
      <c r="J63" s="93">
        <f t="shared" si="0"/>
        <v>0</v>
      </c>
    </row>
    <row r="64" spans="1:10" s="99" customFormat="1" ht="12" customHeight="1" x14ac:dyDescent="0.3">
      <c r="A64" s="108"/>
      <c r="B64" s="108"/>
      <c r="C64"/>
      <c r="D64" s="108"/>
      <c r="E64" s="108"/>
      <c r="F64" s="108"/>
      <c r="G64" s="108"/>
      <c r="H64" s="108"/>
      <c r="I64" s="2"/>
      <c r="J64" s="93">
        <f t="shared" si="0"/>
        <v>0</v>
      </c>
    </row>
    <row r="65" spans="1:10" s="99" customFormat="1" ht="12" customHeight="1" x14ac:dyDescent="0.3">
      <c r="A65" s="108"/>
      <c r="B65" s="108"/>
      <c r="C65"/>
      <c r="D65" s="108"/>
      <c r="E65" s="108"/>
      <c r="F65" s="108"/>
      <c r="G65" s="108"/>
      <c r="H65" s="108"/>
      <c r="I65" s="2"/>
      <c r="J65" s="93">
        <f t="shared" si="0"/>
        <v>0</v>
      </c>
    </row>
    <row r="66" spans="1:10" s="99" customFormat="1" ht="12" customHeight="1" x14ac:dyDescent="0.3">
      <c r="A66" s="108"/>
      <c r="B66" s="108"/>
      <c r="C66"/>
      <c r="D66" s="108"/>
      <c r="E66" s="108"/>
      <c r="F66" s="108"/>
      <c r="G66" s="108"/>
      <c r="H66" s="108"/>
      <c r="I66" s="2"/>
      <c r="J66" s="93">
        <f t="shared" ref="J66:J129" si="1">ABS(I66)</f>
        <v>0</v>
      </c>
    </row>
    <row r="67" spans="1:10" s="99" customFormat="1" ht="12" customHeight="1" x14ac:dyDescent="0.3">
      <c r="A67" s="108"/>
      <c r="B67" s="108"/>
      <c r="C67"/>
      <c r="D67" s="108"/>
      <c r="E67" s="108"/>
      <c r="F67" s="108"/>
      <c r="G67" s="108"/>
      <c r="H67" s="108"/>
      <c r="I67" s="2"/>
      <c r="J67" s="93">
        <f t="shared" si="1"/>
        <v>0</v>
      </c>
    </row>
    <row r="68" spans="1:10" s="99" customFormat="1" ht="12" customHeight="1" x14ac:dyDescent="0.3">
      <c r="A68" s="108"/>
      <c r="B68" s="108"/>
      <c r="C68"/>
      <c r="D68" s="108"/>
      <c r="E68" s="108"/>
      <c r="F68" s="108"/>
      <c r="G68" s="108"/>
      <c r="H68" s="108"/>
      <c r="I68" s="2"/>
      <c r="J68" s="93">
        <f t="shared" si="1"/>
        <v>0</v>
      </c>
    </row>
    <row r="69" spans="1:10" s="99" customFormat="1" ht="12" customHeight="1" x14ac:dyDescent="0.3">
      <c r="A69" s="108"/>
      <c r="B69" s="108"/>
      <c r="C69"/>
      <c r="D69" s="108"/>
      <c r="E69" s="108"/>
      <c r="F69" s="108"/>
      <c r="G69" s="108"/>
      <c r="H69" s="108"/>
      <c r="I69" s="2"/>
      <c r="J69" s="93">
        <f t="shared" si="1"/>
        <v>0</v>
      </c>
    </row>
    <row r="70" spans="1:10" s="99" customFormat="1" ht="12" customHeight="1" x14ac:dyDescent="0.3">
      <c r="A70" s="108"/>
      <c r="B70" s="108"/>
      <c r="C70"/>
      <c r="D70" s="108"/>
      <c r="E70" s="108"/>
      <c r="F70" s="108"/>
      <c r="G70" s="108"/>
      <c r="H70" s="108"/>
      <c r="I70" s="2"/>
      <c r="J70" s="93">
        <f t="shared" si="1"/>
        <v>0</v>
      </c>
    </row>
    <row r="71" spans="1:10" s="99" customFormat="1" ht="12" customHeight="1" x14ac:dyDescent="0.3">
      <c r="A71" s="108"/>
      <c r="B71" s="108"/>
      <c r="C71"/>
      <c r="D71" s="108"/>
      <c r="E71" s="108"/>
      <c r="F71" s="108"/>
      <c r="G71" s="108"/>
      <c r="H71" s="108"/>
      <c r="I71" s="2"/>
      <c r="J71" s="93">
        <f t="shared" si="1"/>
        <v>0</v>
      </c>
    </row>
    <row r="72" spans="1:10" s="99" customFormat="1" ht="12" customHeight="1" x14ac:dyDescent="0.3">
      <c r="A72" s="108"/>
      <c r="B72" s="108"/>
      <c r="C72"/>
      <c r="D72" s="108"/>
      <c r="E72" s="108"/>
      <c r="F72" s="108"/>
      <c r="G72" s="108"/>
      <c r="H72" s="108"/>
      <c r="I72" s="2"/>
      <c r="J72" s="93">
        <f t="shared" si="1"/>
        <v>0</v>
      </c>
    </row>
    <row r="73" spans="1:10" s="99" customFormat="1" ht="12" customHeight="1" x14ac:dyDescent="0.3">
      <c r="A73" s="108"/>
      <c r="B73" s="108"/>
      <c r="C73"/>
      <c r="D73" s="108"/>
      <c r="E73" s="108"/>
      <c r="F73" s="108"/>
      <c r="G73" s="108"/>
      <c r="H73" s="108"/>
      <c r="I73" s="2"/>
      <c r="J73" s="93">
        <f t="shared" si="1"/>
        <v>0</v>
      </c>
    </row>
    <row r="74" spans="1:10" s="99" customFormat="1" ht="12" customHeight="1" x14ac:dyDescent="0.3">
      <c r="A74" s="108"/>
      <c r="B74" s="108"/>
      <c r="C74"/>
      <c r="D74" s="108"/>
      <c r="E74" s="108"/>
      <c r="F74" s="108"/>
      <c r="G74" s="108"/>
      <c r="H74" s="108"/>
      <c r="I74" s="2"/>
      <c r="J74" s="93">
        <f t="shared" si="1"/>
        <v>0</v>
      </c>
    </row>
    <row r="75" spans="1:10" s="99" customFormat="1" ht="12" customHeight="1" x14ac:dyDescent="0.3">
      <c r="A75" s="108"/>
      <c r="B75" s="108"/>
      <c r="C75"/>
      <c r="D75" s="108"/>
      <c r="E75" s="108"/>
      <c r="F75" s="108"/>
      <c r="G75" s="108"/>
      <c r="H75" s="108"/>
      <c r="I75" s="2"/>
      <c r="J75" s="93">
        <f t="shared" si="1"/>
        <v>0</v>
      </c>
    </row>
    <row r="76" spans="1:10" s="99" customFormat="1" ht="12" customHeight="1" x14ac:dyDescent="0.3">
      <c r="A76" s="108"/>
      <c r="B76" s="108"/>
      <c r="C76"/>
      <c r="D76" s="108"/>
      <c r="E76" s="108"/>
      <c r="F76" s="108"/>
      <c r="G76" s="108"/>
      <c r="H76" s="108"/>
      <c r="I76" s="2"/>
      <c r="J76" s="93">
        <f t="shared" si="1"/>
        <v>0</v>
      </c>
    </row>
    <row r="77" spans="1:10" s="99" customFormat="1" ht="12" customHeight="1" x14ac:dyDescent="0.3">
      <c r="A77" s="108"/>
      <c r="B77" s="108"/>
      <c r="C77"/>
      <c r="D77" s="108"/>
      <c r="E77" s="108"/>
      <c r="F77" s="108"/>
      <c r="G77" s="108"/>
      <c r="H77" s="108"/>
      <c r="I77" s="2"/>
      <c r="J77" s="93">
        <f t="shared" si="1"/>
        <v>0</v>
      </c>
    </row>
    <row r="78" spans="1:10" s="99" customFormat="1" ht="12" customHeight="1" x14ac:dyDescent="0.3">
      <c r="A78" s="108"/>
      <c r="B78" s="108"/>
      <c r="C78"/>
      <c r="D78" s="108"/>
      <c r="E78" s="108"/>
      <c r="F78" s="108"/>
      <c r="G78" s="108"/>
      <c r="H78" s="108"/>
      <c r="I78" s="2"/>
      <c r="J78" s="93">
        <f t="shared" si="1"/>
        <v>0</v>
      </c>
    </row>
    <row r="79" spans="1:10" s="99" customFormat="1" ht="12" customHeight="1" x14ac:dyDescent="0.3">
      <c r="A79" s="108"/>
      <c r="B79" s="108"/>
      <c r="C79"/>
      <c r="D79" s="108"/>
      <c r="E79" s="108"/>
      <c r="F79" s="108"/>
      <c r="G79" s="108"/>
      <c r="H79" s="108"/>
      <c r="I79" s="2"/>
      <c r="J79" s="93">
        <f t="shared" si="1"/>
        <v>0</v>
      </c>
    </row>
    <row r="80" spans="1:10" s="99" customFormat="1" ht="12" customHeight="1" x14ac:dyDescent="0.3">
      <c r="A80" s="108"/>
      <c r="B80" s="108"/>
      <c r="C80"/>
      <c r="D80" s="108"/>
      <c r="E80" s="108"/>
      <c r="F80" s="108"/>
      <c r="G80" s="108"/>
      <c r="H80" s="108"/>
      <c r="I80" s="2"/>
      <c r="J80" s="93">
        <f t="shared" si="1"/>
        <v>0</v>
      </c>
    </row>
    <row r="81" spans="1:10" s="99" customFormat="1" ht="12" customHeight="1" x14ac:dyDescent="0.3">
      <c r="A81" s="108"/>
      <c r="B81" s="108"/>
      <c r="C81"/>
      <c r="D81" s="108"/>
      <c r="E81" s="108"/>
      <c r="F81" s="108"/>
      <c r="G81" s="108"/>
      <c r="H81" s="108"/>
      <c r="I81" s="2"/>
      <c r="J81" s="93">
        <f t="shared" si="1"/>
        <v>0</v>
      </c>
    </row>
    <row r="82" spans="1:10" s="99" customFormat="1" ht="12" customHeight="1" x14ac:dyDescent="0.3">
      <c r="A82" s="108"/>
      <c r="B82" s="108"/>
      <c r="C82"/>
      <c r="D82" s="108"/>
      <c r="E82" s="108"/>
      <c r="F82" s="108"/>
      <c r="G82" s="108"/>
      <c r="H82" s="108"/>
      <c r="I82" s="2"/>
      <c r="J82" s="93">
        <f t="shared" si="1"/>
        <v>0</v>
      </c>
    </row>
    <row r="83" spans="1:10" s="99" customFormat="1" ht="12" customHeight="1" x14ac:dyDescent="0.3">
      <c r="A83" s="108"/>
      <c r="B83" s="108"/>
      <c r="C83"/>
      <c r="D83" s="108"/>
      <c r="E83" s="108"/>
      <c r="F83" s="108"/>
      <c r="G83" s="108"/>
      <c r="H83" s="108"/>
      <c r="I83" s="2"/>
      <c r="J83" s="93">
        <f t="shared" si="1"/>
        <v>0</v>
      </c>
    </row>
    <row r="84" spans="1:10" s="99" customFormat="1" ht="12" customHeight="1" x14ac:dyDescent="0.3">
      <c r="A84" s="108"/>
      <c r="B84" s="108"/>
      <c r="C84"/>
      <c r="D84" s="108"/>
      <c r="E84" s="108"/>
      <c r="F84" s="108"/>
      <c r="G84" s="108"/>
      <c r="H84" s="108"/>
      <c r="I84" s="2"/>
      <c r="J84" s="93">
        <f t="shared" si="1"/>
        <v>0</v>
      </c>
    </row>
    <row r="85" spans="1:10" s="99" customFormat="1" ht="12" customHeight="1" x14ac:dyDescent="0.3">
      <c r="A85" s="108"/>
      <c r="B85" s="108"/>
      <c r="C85"/>
      <c r="D85" s="108"/>
      <c r="E85" s="108"/>
      <c r="F85" s="108"/>
      <c r="G85" s="108"/>
      <c r="H85" s="108"/>
      <c r="I85" s="2"/>
      <c r="J85" s="93">
        <f t="shared" si="1"/>
        <v>0</v>
      </c>
    </row>
    <row r="86" spans="1:10" s="99" customFormat="1" ht="12" customHeight="1" x14ac:dyDescent="0.3">
      <c r="A86" s="108"/>
      <c r="B86" s="108"/>
      <c r="C86"/>
      <c r="D86" s="108"/>
      <c r="E86" s="108"/>
      <c r="F86" s="108"/>
      <c r="G86" s="108"/>
      <c r="H86" s="108"/>
      <c r="I86" s="2"/>
      <c r="J86" s="93">
        <f t="shared" si="1"/>
        <v>0</v>
      </c>
    </row>
    <row r="87" spans="1:10" s="99" customFormat="1" ht="12" customHeight="1" x14ac:dyDescent="0.3">
      <c r="A87" s="108"/>
      <c r="B87" s="108"/>
      <c r="C87"/>
      <c r="D87" s="108"/>
      <c r="E87" s="108"/>
      <c r="F87" s="108"/>
      <c r="G87" s="108"/>
      <c r="H87" s="108"/>
      <c r="I87" s="2"/>
      <c r="J87" s="93">
        <f t="shared" si="1"/>
        <v>0</v>
      </c>
    </row>
    <row r="88" spans="1:10" s="99" customFormat="1" ht="12" customHeight="1" x14ac:dyDescent="0.3">
      <c r="A88" s="108"/>
      <c r="B88" s="108"/>
      <c r="C88"/>
      <c r="D88" s="108"/>
      <c r="E88" s="108"/>
      <c r="F88" s="108"/>
      <c r="G88" s="108"/>
      <c r="H88" s="108"/>
      <c r="I88" s="2"/>
      <c r="J88" s="93">
        <f t="shared" si="1"/>
        <v>0</v>
      </c>
    </row>
    <row r="89" spans="1:10" s="99" customFormat="1" ht="12" customHeight="1" x14ac:dyDescent="0.3">
      <c r="A89" s="108"/>
      <c r="B89" s="108"/>
      <c r="C89"/>
      <c r="D89" s="108"/>
      <c r="E89" s="108"/>
      <c r="F89" s="108"/>
      <c r="G89" s="108"/>
      <c r="H89" s="108"/>
      <c r="I89" s="2"/>
      <c r="J89" s="93">
        <f t="shared" si="1"/>
        <v>0</v>
      </c>
    </row>
    <row r="90" spans="1:10" s="99" customFormat="1" ht="12" customHeight="1" x14ac:dyDescent="0.3">
      <c r="A90" s="108"/>
      <c r="B90" s="108"/>
      <c r="C90"/>
      <c r="D90" s="108"/>
      <c r="E90" s="108"/>
      <c r="F90" s="108"/>
      <c r="G90" s="108"/>
      <c r="H90" s="108"/>
      <c r="I90" s="2"/>
      <c r="J90" s="93">
        <f t="shared" si="1"/>
        <v>0</v>
      </c>
    </row>
    <row r="91" spans="1:10" s="99" customFormat="1" ht="12" customHeight="1" x14ac:dyDescent="0.3">
      <c r="A91" s="108"/>
      <c r="B91" s="108"/>
      <c r="C91"/>
      <c r="D91" s="108"/>
      <c r="E91" s="108"/>
      <c r="F91" s="108"/>
      <c r="G91" s="108"/>
      <c r="H91" s="108"/>
      <c r="I91" s="2"/>
      <c r="J91" s="93">
        <f t="shared" si="1"/>
        <v>0</v>
      </c>
    </row>
    <row r="92" spans="1:10" s="99" customFormat="1" ht="12" customHeight="1" x14ac:dyDescent="0.3">
      <c r="A92" s="108"/>
      <c r="B92" s="108"/>
      <c r="C92"/>
      <c r="D92" s="108"/>
      <c r="E92" s="108"/>
      <c r="F92" s="108"/>
      <c r="G92" s="108"/>
      <c r="H92" s="108"/>
      <c r="I92" s="2"/>
      <c r="J92" s="93">
        <f t="shared" si="1"/>
        <v>0</v>
      </c>
    </row>
    <row r="93" spans="1:10" s="99" customFormat="1" ht="12" customHeight="1" x14ac:dyDescent="0.3">
      <c r="A93" s="108"/>
      <c r="B93" s="108"/>
      <c r="C93"/>
      <c r="D93" s="108"/>
      <c r="E93" s="108"/>
      <c r="F93" s="108"/>
      <c r="G93" s="108"/>
      <c r="H93" s="108"/>
      <c r="I93" s="2"/>
      <c r="J93" s="93">
        <f t="shared" si="1"/>
        <v>0</v>
      </c>
    </row>
    <row r="94" spans="1:10" s="99" customFormat="1" ht="12" customHeight="1" x14ac:dyDescent="0.3">
      <c r="A94" s="108"/>
      <c r="B94" s="108"/>
      <c r="C94"/>
      <c r="D94" s="108"/>
      <c r="E94" s="108"/>
      <c r="F94" s="108"/>
      <c r="G94" s="108"/>
      <c r="H94" s="108"/>
      <c r="I94" s="2"/>
      <c r="J94" s="93">
        <f t="shared" si="1"/>
        <v>0</v>
      </c>
    </row>
    <row r="95" spans="1:10" s="99" customFormat="1" ht="12" customHeight="1" x14ac:dyDescent="0.3">
      <c r="A95" s="108"/>
      <c r="B95" s="108"/>
      <c r="C95"/>
      <c r="D95" s="108"/>
      <c r="E95" s="108"/>
      <c r="F95" s="108"/>
      <c r="G95" s="108"/>
      <c r="H95" s="108"/>
      <c r="I95" s="2"/>
      <c r="J95" s="93">
        <f t="shared" si="1"/>
        <v>0</v>
      </c>
    </row>
    <row r="96" spans="1:10" s="99" customFormat="1" ht="12" customHeight="1" x14ac:dyDescent="0.3">
      <c r="A96" s="108"/>
      <c r="B96" s="108"/>
      <c r="C96"/>
      <c r="D96" s="108"/>
      <c r="E96" s="108"/>
      <c r="F96" s="108"/>
      <c r="G96" s="108"/>
      <c r="H96" s="108"/>
      <c r="I96" s="2"/>
      <c r="J96" s="93">
        <f t="shared" si="1"/>
        <v>0</v>
      </c>
    </row>
    <row r="97" spans="1:10" s="99" customFormat="1" ht="12" customHeight="1" x14ac:dyDescent="0.3">
      <c r="A97" s="108"/>
      <c r="B97" s="108"/>
      <c r="C97"/>
      <c r="D97" s="108"/>
      <c r="E97" s="108"/>
      <c r="F97" s="108"/>
      <c r="G97" s="108"/>
      <c r="H97" s="108"/>
      <c r="I97" s="2"/>
      <c r="J97" s="93">
        <f t="shared" si="1"/>
        <v>0</v>
      </c>
    </row>
    <row r="98" spans="1:10" s="99" customFormat="1" ht="12" customHeight="1" x14ac:dyDescent="0.3">
      <c r="A98" s="108"/>
      <c r="B98" s="108"/>
      <c r="C98"/>
      <c r="D98" s="108"/>
      <c r="E98" s="108"/>
      <c r="F98" s="108"/>
      <c r="G98" s="108"/>
      <c r="H98" s="108"/>
      <c r="I98" s="2"/>
      <c r="J98" s="93">
        <f t="shared" si="1"/>
        <v>0</v>
      </c>
    </row>
    <row r="99" spans="1:10" s="99" customFormat="1" ht="12" customHeight="1" x14ac:dyDescent="0.3">
      <c r="A99" s="108"/>
      <c r="B99" s="108"/>
      <c r="C99"/>
      <c r="D99" s="108"/>
      <c r="E99" s="108"/>
      <c r="F99" s="108"/>
      <c r="G99" s="108"/>
      <c r="H99" s="108"/>
      <c r="I99" s="2"/>
      <c r="J99" s="93">
        <f t="shared" si="1"/>
        <v>0</v>
      </c>
    </row>
    <row r="100" spans="1:10" s="99" customFormat="1" ht="12" customHeight="1" x14ac:dyDescent="0.3">
      <c r="A100" s="108"/>
      <c r="B100" s="108"/>
      <c r="C100"/>
      <c r="D100" s="108"/>
      <c r="E100" s="108"/>
      <c r="F100" s="108"/>
      <c r="G100" s="108"/>
      <c r="H100" s="108"/>
      <c r="I100" s="2"/>
      <c r="J100" s="93">
        <f t="shared" si="1"/>
        <v>0</v>
      </c>
    </row>
    <row r="101" spans="1:10" s="99" customFormat="1" ht="12" customHeight="1" x14ac:dyDescent="0.3">
      <c r="A101" s="108"/>
      <c r="B101" s="108"/>
      <c r="C101"/>
      <c r="D101" s="108"/>
      <c r="E101" s="108"/>
      <c r="F101" s="108"/>
      <c r="G101" s="108"/>
      <c r="H101" s="108"/>
      <c r="I101" s="2"/>
      <c r="J101" s="93">
        <f t="shared" si="1"/>
        <v>0</v>
      </c>
    </row>
    <row r="102" spans="1:10" s="99" customFormat="1" ht="12" customHeight="1" x14ac:dyDescent="0.3">
      <c r="A102" s="108"/>
      <c r="B102" s="108"/>
      <c r="C102"/>
      <c r="D102" s="108"/>
      <c r="E102" s="108"/>
      <c r="F102" s="108"/>
      <c r="G102" s="108"/>
      <c r="H102" s="108"/>
      <c r="I102" s="2"/>
      <c r="J102" s="93">
        <f t="shared" si="1"/>
        <v>0</v>
      </c>
    </row>
    <row r="103" spans="1:10" s="99" customFormat="1" ht="12" customHeight="1" x14ac:dyDescent="0.3">
      <c r="A103" s="108"/>
      <c r="B103" s="108"/>
      <c r="C103"/>
      <c r="D103" s="108"/>
      <c r="E103" s="108"/>
      <c r="F103" s="108"/>
      <c r="G103" s="108"/>
      <c r="H103" s="108"/>
      <c r="I103" s="2"/>
      <c r="J103" s="93">
        <f t="shared" si="1"/>
        <v>0</v>
      </c>
    </row>
    <row r="104" spans="1:10" s="99" customFormat="1" ht="12" customHeight="1" x14ac:dyDescent="0.3">
      <c r="A104" s="108"/>
      <c r="B104" s="108"/>
      <c r="C104"/>
      <c r="D104" s="108"/>
      <c r="E104" s="108"/>
      <c r="F104" s="108"/>
      <c r="G104" s="108"/>
      <c r="H104" s="108"/>
      <c r="I104" s="2"/>
      <c r="J104" s="93">
        <f t="shared" si="1"/>
        <v>0</v>
      </c>
    </row>
    <row r="105" spans="1:10" s="99" customFormat="1" ht="12" customHeight="1" x14ac:dyDescent="0.3">
      <c r="A105" s="108"/>
      <c r="B105" s="108"/>
      <c r="C105"/>
      <c r="D105" s="108"/>
      <c r="E105" s="108"/>
      <c r="F105" s="108"/>
      <c r="G105" s="108"/>
      <c r="H105" s="108"/>
      <c r="I105" s="2"/>
      <c r="J105" s="93">
        <f t="shared" si="1"/>
        <v>0</v>
      </c>
    </row>
    <row r="106" spans="1:10" s="99" customFormat="1" ht="12" customHeight="1" x14ac:dyDescent="0.3">
      <c r="A106" s="108"/>
      <c r="B106" s="108"/>
      <c r="C106"/>
      <c r="D106" s="108"/>
      <c r="E106" s="108"/>
      <c r="F106" s="108"/>
      <c r="G106" s="108"/>
      <c r="H106" s="108"/>
      <c r="I106" s="2"/>
      <c r="J106" s="93">
        <f t="shared" si="1"/>
        <v>0</v>
      </c>
    </row>
    <row r="107" spans="1:10" s="99" customFormat="1" ht="12" customHeight="1" x14ac:dyDescent="0.3">
      <c r="A107" s="108"/>
      <c r="B107" s="108"/>
      <c r="C107"/>
      <c r="D107" s="108"/>
      <c r="E107" s="108"/>
      <c r="F107" s="108"/>
      <c r="G107" s="108"/>
      <c r="H107" s="108"/>
      <c r="I107" s="2"/>
      <c r="J107" s="93">
        <f t="shared" si="1"/>
        <v>0</v>
      </c>
    </row>
    <row r="108" spans="1:10" s="99" customFormat="1" ht="12" customHeight="1" x14ac:dyDescent="0.3">
      <c r="A108" s="108"/>
      <c r="B108" s="108"/>
      <c r="C108"/>
      <c r="D108" s="108"/>
      <c r="E108" s="108"/>
      <c r="F108" s="108"/>
      <c r="G108" s="108"/>
      <c r="H108" s="108"/>
      <c r="I108" s="2"/>
      <c r="J108" s="93">
        <f t="shared" si="1"/>
        <v>0</v>
      </c>
    </row>
    <row r="109" spans="1:10" s="99" customFormat="1" ht="12" customHeight="1" x14ac:dyDescent="0.3">
      <c r="A109" s="108"/>
      <c r="B109" s="108"/>
      <c r="C109"/>
      <c r="D109" s="108"/>
      <c r="E109" s="108"/>
      <c r="F109" s="108"/>
      <c r="G109" s="108"/>
      <c r="H109" s="108"/>
      <c r="I109" s="2"/>
      <c r="J109" s="93">
        <f t="shared" si="1"/>
        <v>0</v>
      </c>
    </row>
    <row r="110" spans="1:10" s="99" customFormat="1" ht="12" customHeight="1" x14ac:dyDescent="0.3">
      <c r="A110" s="108"/>
      <c r="B110" s="108"/>
      <c r="C110"/>
      <c r="D110" s="108"/>
      <c r="E110" s="108"/>
      <c r="F110" s="108"/>
      <c r="G110" s="108"/>
      <c r="H110" s="108"/>
      <c r="I110" s="2"/>
      <c r="J110" s="93">
        <f t="shared" si="1"/>
        <v>0</v>
      </c>
    </row>
    <row r="111" spans="1:10" s="99" customFormat="1" ht="12" customHeight="1" x14ac:dyDescent="0.3">
      <c r="A111" s="108"/>
      <c r="B111" s="108"/>
      <c r="C111"/>
      <c r="D111" s="108"/>
      <c r="E111" s="108"/>
      <c r="F111" s="108"/>
      <c r="G111" s="108"/>
      <c r="H111" s="108"/>
      <c r="I111" s="2"/>
      <c r="J111" s="93">
        <f t="shared" si="1"/>
        <v>0</v>
      </c>
    </row>
    <row r="112" spans="1:10" s="99" customFormat="1" ht="12" customHeight="1" x14ac:dyDescent="0.3">
      <c r="A112" s="108"/>
      <c r="B112" s="108"/>
      <c r="C112"/>
      <c r="D112" s="108"/>
      <c r="E112" s="108"/>
      <c r="F112" s="108"/>
      <c r="G112" s="108"/>
      <c r="H112" s="108"/>
      <c r="I112" s="2"/>
      <c r="J112" s="93">
        <f t="shared" si="1"/>
        <v>0</v>
      </c>
    </row>
    <row r="113" spans="1:10" s="99" customFormat="1" ht="12" customHeight="1" x14ac:dyDescent="0.3">
      <c r="A113" s="108"/>
      <c r="B113" s="108"/>
      <c r="C113"/>
      <c r="D113" s="108"/>
      <c r="E113" s="108"/>
      <c r="F113" s="108"/>
      <c r="G113" s="108"/>
      <c r="H113" s="108"/>
      <c r="I113" s="2"/>
      <c r="J113" s="93">
        <f t="shared" si="1"/>
        <v>0</v>
      </c>
    </row>
    <row r="114" spans="1:10" s="99" customFormat="1" ht="12" customHeight="1" x14ac:dyDescent="0.3">
      <c r="A114" s="108"/>
      <c r="B114" s="108"/>
      <c r="C114"/>
      <c r="D114" s="108"/>
      <c r="E114" s="108"/>
      <c r="F114" s="108"/>
      <c r="G114" s="108"/>
      <c r="H114" s="108"/>
      <c r="I114" s="2"/>
      <c r="J114" s="93">
        <f t="shared" si="1"/>
        <v>0</v>
      </c>
    </row>
    <row r="115" spans="1:10" s="99" customFormat="1" ht="12" customHeight="1" x14ac:dyDescent="0.3">
      <c r="A115" s="108"/>
      <c r="B115" s="108"/>
      <c r="C115"/>
      <c r="D115" s="108"/>
      <c r="E115" s="108"/>
      <c r="F115" s="108"/>
      <c r="G115" s="108"/>
      <c r="H115" s="108"/>
      <c r="I115" s="2"/>
      <c r="J115" s="93">
        <f t="shared" si="1"/>
        <v>0</v>
      </c>
    </row>
    <row r="116" spans="1:10" s="99" customFormat="1" ht="12" customHeight="1" x14ac:dyDescent="0.3">
      <c r="A116" s="108"/>
      <c r="B116" s="108"/>
      <c r="C116"/>
      <c r="D116" s="108"/>
      <c r="E116" s="108"/>
      <c r="F116" s="108"/>
      <c r="G116" s="108"/>
      <c r="H116" s="108"/>
      <c r="I116" s="2"/>
      <c r="J116" s="93">
        <f t="shared" si="1"/>
        <v>0</v>
      </c>
    </row>
    <row r="117" spans="1:10" s="99" customFormat="1" ht="12" customHeight="1" x14ac:dyDescent="0.3">
      <c r="A117" s="108"/>
      <c r="B117" s="108"/>
      <c r="C117"/>
      <c r="D117" s="108"/>
      <c r="E117" s="108"/>
      <c r="F117" s="108"/>
      <c r="G117" s="108"/>
      <c r="H117" s="108"/>
      <c r="I117" s="2"/>
      <c r="J117" s="93">
        <f t="shared" si="1"/>
        <v>0</v>
      </c>
    </row>
    <row r="118" spans="1:10" s="99" customFormat="1" ht="12" customHeight="1" x14ac:dyDescent="0.3">
      <c r="A118" s="108"/>
      <c r="B118" s="108"/>
      <c r="C118"/>
      <c r="D118" s="108"/>
      <c r="E118" s="108"/>
      <c r="F118" s="108"/>
      <c r="G118" s="108"/>
      <c r="H118" s="108"/>
      <c r="I118" s="2"/>
      <c r="J118" s="93">
        <f t="shared" si="1"/>
        <v>0</v>
      </c>
    </row>
    <row r="119" spans="1:10" s="99" customFormat="1" ht="12" customHeight="1" x14ac:dyDescent="0.3">
      <c r="A119" s="108"/>
      <c r="B119" s="108"/>
      <c r="C119"/>
      <c r="D119" s="108"/>
      <c r="E119" s="108"/>
      <c r="F119" s="108"/>
      <c r="G119" s="108"/>
      <c r="H119" s="108"/>
      <c r="I119" s="2"/>
      <c r="J119" s="93">
        <f t="shared" si="1"/>
        <v>0</v>
      </c>
    </row>
    <row r="120" spans="1:10" s="99" customFormat="1" ht="12" customHeight="1" x14ac:dyDescent="0.3">
      <c r="A120" s="108"/>
      <c r="B120" s="108"/>
      <c r="C120"/>
      <c r="D120" s="108"/>
      <c r="E120" s="108"/>
      <c r="F120" s="108"/>
      <c r="G120" s="108"/>
      <c r="H120" s="108"/>
      <c r="I120" s="2"/>
      <c r="J120" s="93">
        <f t="shared" si="1"/>
        <v>0</v>
      </c>
    </row>
    <row r="121" spans="1:10" s="99" customFormat="1" ht="12" customHeight="1" x14ac:dyDescent="0.3">
      <c r="A121" s="108"/>
      <c r="B121" s="108"/>
      <c r="C121"/>
      <c r="D121" s="108"/>
      <c r="E121" s="108"/>
      <c r="F121" s="108"/>
      <c r="G121" s="108"/>
      <c r="H121" s="108"/>
      <c r="I121" s="2"/>
      <c r="J121" s="93">
        <f t="shared" si="1"/>
        <v>0</v>
      </c>
    </row>
    <row r="122" spans="1:10" s="99" customFormat="1" ht="12" customHeight="1" x14ac:dyDescent="0.3">
      <c r="A122" s="108"/>
      <c r="B122" s="108"/>
      <c r="C122"/>
      <c r="D122" s="108"/>
      <c r="E122" s="108"/>
      <c r="F122" s="108"/>
      <c r="G122" s="108"/>
      <c r="H122" s="108"/>
      <c r="I122" s="2"/>
      <c r="J122" s="93">
        <f t="shared" si="1"/>
        <v>0</v>
      </c>
    </row>
    <row r="123" spans="1:10" s="99" customFormat="1" ht="12" customHeight="1" x14ac:dyDescent="0.3">
      <c r="A123" s="108"/>
      <c r="B123" s="108"/>
      <c r="C123"/>
      <c r="D123" s="108"/>
      <c r="E123" s="108"/>
      <c r="F123" s="108"/>
      <c r="G123" s="108"/>
      <c r="H123" s="108"/>
      <c r="I123" s="2"/>
      <c r="J123" s="93">
        <f t="shared" si="1"/>
        <v>0</v>
      </c>
    </row>
    <row r="124" spans="1:10" s="99" customFormat="1" ht="12" customHeight="1" x14ac:dyDescent="0.3">
      <c r="A124" s="108"/>
      <c r="B124" s="108"/>
      <c r="C124"/>
      <c r="D124" s="108"/>
      <c r="E124" s="108"/>
      <c r="F124" s="108"/>
      <c r="G124" s="108"/>
      <c r="H124" s="108"/>
      <c r="I124" s="2"/>
      <c r="J124" s="93">
        <f t="shared" si="1"/>
        <v>0</v>
      </c>
    </row>
    <row r="125" spans="1:10" s="99" customFormat="1" ht="12" customHeight="1" x14ac:dyDescent="0.3">
      <c r="A125" s="108"/>
      <c r="B125" s="108"/>
      <c r="C125"/>
      <c r="D125" s="108"/>
      <c r="E125" s="108"/>
      <c r="F125" s="108"/>
      <c r="G125" s="108"/>
      <c r="H125" s="108"/>
      <c r="I125" s="2"/>
      <c r="J125" s="93">
        <f t="shared" si="1"/>
        <v>0</v>
      </c>
    </row>
    <row r="126" spans="1:10" s="99" customFormat="1" ht="12" customHeight="1" x14ac:dyDescent="0.3">
      <c r="A126" s="108"/>
      <c r="B126" s="108"/>
      <c r="C126"/>
      <c r="D126" s="108"/>
      <c r="E126" s="108"/>
      <c r="F126" s="108"/>
      <c r="G126" s="108"/>
      <c r="H126" s="108"/>
      <c r="I126" s="2"/>
      <c r="J126" s="93">
        <f t="shared" si="1"/>
        <v>0</v>
      </c>
    </row>
    <row r="127" spans="1:10" s="99" customFormat="1" ht="12" customHeight="1" x14ac:dyDescent="0.3">
      <c r="A127" s="108"/>
      <c r="B127" s="108"/>
      <c r="C127"/>
      <c r="D127" s="108"/>
      <c r="E127" s="108"/>
      <c r="F127" s="108"/>
      <c r="G127" s="108"/>
      <c r="H127" s="108"/>
      <c r="I127" s="2"/>
      <c r="J127" s="93">
        <f t="shared" si="1"/>
        <v>0</v>
      </c>
    </row>
    <row r="128" spans="1:10" s="99" customFormat="1" ht="12" customHeight="1" x14ac:dyDescent="0.3">
      <c r="A128" s="108"/>
      <c r="B128" s="108"/>
      <c r="C128"/>
      <c r="D128" s="108"/>
      <c r="E128" s="108"/>
      <c r="F128" s="108"/>
      <c r="G128" s="108"/>
      <c r="H128" s="108"/>
      <c r="I128" s="2"/>
      <c r="J128" s="93">
        <f t="shared" si="1"/>
        <v>0</v>
      </c>
    </row>
    <row r="129" spans="1:10" s="99" customFormat="1" ht="12" customHeight="1" x14ac:dyDescent="0.3">
      <c r="A129" s="108"/>
      <c r="B129" s="108"/>
      <c r="C129"/>
      <c r="D129" s="108"/>
      <c r="E129" s="108"/>
      <c r="F129" s="108"/>
      <c r="G129" s="108"/>
      <c r="H129" s="108"/>
      <c r="I129" s="2"/>
      <c r="J129" s="93">
        <f t="shared" si="1"/>
        <v>0</v>
      </c>
    </row>
    <row r="130" spans="1:10" s="99" customFormat="1" ht="12" customHeight="1" x14ac:dyDescent="0.3">
      <c r="A130" s="108"/>
      <c r="B130" s="108"/>
      <c r="C130"/>
      <c r="D130" s="108"/>
      <c r="E130" s="108"/>
      <c r="F130" s="108"/>
      <c r="G130" s="108"/>
      <c r="H130" s="108"/>
      <c r="I130" s="2"/>
      <c r="J130" s="93">
        <f t="shared" ref="J130:J168" si="2">ABS(I130)</f>
        <v>0</v>
      </c>
    </row>
    <row r="131" spans="1:10" s="99" customFormat="1" ht="12" customHeight="1" x14ac:dyDescent="0.3">
      <c r="A131" s="108"/>
      <c r="B131" s="108"/>
      <c r="C131"/>
      <c r="D131" s="108"/>
      <c r="E131" s="108"/>
      <c r="F131" s="108"/>
      <c r="G131" s="108"/>
      <c r="H131" s="108"/>
      <c r="I131" s="2"/>
      <c r="J131" s="93">
        <f t="shared" si="2"/>
        <v>0</v>
      </c>
    </row>
    <row r="132" spans="1:10" s="99" customFormat="1" ht="12" customHeight="1" x14ac:dyDescent="0.3">
      <c r="A132" s="108"/>
      <c r="B132" s="108"/>
      <c r="C132"/>
      <c r="D132" s="108"/>
      <c r="E132" s="108"/>
      <c r="F132" s="108"/>
      <c r="G132" s="108"/>
      <c r="H132" s="108"/>
      <c r="I132" s="2"/>
      <c r="J132" s="93">
        <f t="shared" si="2"/>
        <v>0</v>
      </c>
    </row>
    <row r="133" spans="1:10" s="99" customFormat="1" ht="12" customHeight="1" x14ac:dyDescent="0.3">
      <c r="A133" s="108"/>
      <c r="B133" s="108"/>
      <c r="C133"/>
      <c r="D133" s="108"/>
      <c r="E133" s="108"/>
      <c r="F133" s="108"/>
      <c r="G133" s="108"/>
      <c r="H133" s="108"/>
      <c r="I133" s="2"/>
      <c r="J133" s="93">
        <f t="shared" si="2"/>
        <v>0</v>
      </c>
    </row>
    <row r="134" spans="1:10" s="99" customFormat="1" ht="12" customHeight="1" x14ac:dyDescent="0.3">
      <c r="A134" s="108"/>
      <c r="B134" s="108"/>
      <c r="C134"/>
      <c r="D134" s="108"/>
      <c r="E134" s="108"/>
      <c r="F134" s="108"/>
      <c r="G134" s="108"/>
      <c r="H134" s="108"/>
      <c r="I134" s="2"/>
      <c r="J134" s="93">
        <f t="shared" si="2"/>
        <v>0</v>
      </c>
    </row>
    <row r="135" spans="1:10" s="99" customFormat="1" ht="12" customHeight="1" x14ac:dyDescent="0.3">
      <c r="A135" s="108"/>
      <c r="B135" s="108"/>
      <c r="C135"/>
      <c r="D135" s="108"/>
      <c r="E135" s="108"/>
      <c r="F135" s="108"/>
      <c r="G135" s="108"/>
      <c r="H135" s="108"/>
      <c r="I135" s="2"/>
      <c r="J135" s="93">
        <f t="shared" si="2"/>
        <v>0</v>
      </c>
    </row>
    <row r="136" spans="1:10" s="99" customFormat="1" ht="12" customHeight="1" x14ac:dyDescent="0.3">
      <c r="A136" s="108"/>
      <c r="B136" s="108"/>
      <c r="C136"/>
      <c r="D136" s="108"/>
      <c r="E136" s="108"/>
      <c r="F136" s="108"/>
      <c r="G136" s="108"/>
      <c r="H136" s="108"/>
      <c r="I136" s="2"/>
      <c r="J136" s="93">
        <f t="shared" si="2"/>
        <v>0</v>
      </c>
    </row>
    <row r="137" spans="1:10" s="99" customFormat="1" ht="12" customHeight="1" x14ac:dyDescent="0.3">
      <c r="A137" s="108"/>
      <c r="B137" s="108"/>
      <c r="C137"/>
      <c r="D137" s="108"/>
      <c r="E137" s="108"/>
      <c r="F137" s="108"/>
      <c r="G137" s="108"/>
      <c r="H137" s="108"/>
      <c r="I137" s="2"/>
      <c r="J137" s="93">
        <f t="shared" si="2"/>
        <v>0</v>
      </c>
    </row>
    <row r="138" spans="1:10" s="99" customFormat="1" ht="12" customHeight="1" x14ac:dyDescent="0.3">
      <c r="A138" s="108"/>
      <c r="B138" s="108"/>
      <c r="C138"/>
      <c r="D138" s="108"/>
      <c r="E138" s="108"/>
      <c r="F138" s="108"/>
      <c r="G138" s="108"/>
      <c r="H138" s="108"/>
      <c r="I138" s="2"/>
      <c r="J138" s="93">
        <f t="shared" si="2"/>
        <v>0</v>
      </c>
    </row>
    <row r="139" spans="1:10" s="99" customFormat="1" ht="12" customHeight="1" x14ac:dyDescent="0.3">
      <c r="A139" s="108"/>
      <c r="B139" s="108"/>
      <c r="C139"/>
      <c r="D139" s="108"/>
      <c r="E139" s="108"/>
      <c r="F139" s="108"/>
      <c r="G139" s="108"/>
      <c r="H139" s="108"/>
      <c r="I139" s="2"/>
      <c r="J139" s="93">
        <f t="shared" si="2"/>
        <v>0</v>
      </c>
    </row>
    <row r="140" spans="1:10" s="99" customFormat="1" ht="12" customHeight="1" x14ac:dyDescent="0.3">
      <c r="A140" s="108"/>
      <c r="B140" s="108"/>
      <c r="C140"/>
      <c r="D140" s="108"/>
      <c r="E140" s="108"/>
      <c r="F140" s="108"/>
      <c r="G140" s="108"/>
      <c r="H140" s="108"/>
      <c r="I140" s="2"/>
      <c r="J140" s="93">
        <f t="shared" si="2"/>
        <v>0</v>
      </c>
    </row>
    <row r="141" spans="1:10" s="99" customFormat="1" ht="12" customHeight="1" x14ac:dyDescent="0.3">
      <c r="A141" s="108"/>
      <c r="B141" s="108"/>
      <c r="C141"/>
      <c r="D141" s="108"/>
      <c r="E141" s="108"/>
      <c r="F141" s="108"/>
      <c r="G141" s="108"/>
      <c r="H141" s="108"/>
      <c r="I141" s="2"/>
      <c r="J141" s="93">
        <f t="shared" si="2"/>
        <v>0</v>
      </c>
    </row>
    <row r="142" spans="1:10" s="99" customFormat="1" ht="12" customHeight="1" x14ac:dyDescent="0.3">
      <c r="A142" s="108"/>
      <c r="B142" s="108"/>
      <c r="C142"/>
      <c r="D142" s="108"/>
      <c r="E142" s="108"/>
      <c r="F142" s="108"/>
      <c r="G142" s="108"/>
      <c r="H142" s="108"/>
      <c r="I142" s="2"/>
      <c r="J142" s="93">
        <f t="shared" si="2"/>
        <v>0</v>
      </c>
    </row>
    <row r="143" spans="1:10" s="99" customFormat="1" ht="12" customHeight="1" x14ac:dyDescent="0.3">
      <c r="A143" s="108"/>
      <c r="B143" s="108"/>
      <c r="C143"/>
      <c r="D143" s="108"/>
      <c r="E143" s="108"/>
      <c r="F143" s="108"/>
      <c r="G143" s="108"/>
      <c r="H143" s="108"/>
      <c r="I143" s="2"/>
      <c r="J143" s="93">
        <f t="shared" si="2"/>
        <v>0</v>
      </c>
    </row>
    <row r="144" spans="1:10" s="99" customFormat="1" ht="12" customHeight="1" x14ac:dyDescent="0.3">
      <c r="A144" s="108"/>
      <c r="B144" s="108"/>
      <c r="C144"/>
      <c r="D144" s="108"/>
      <c r="E144" s="108"/>
      <c r="F144" s="108"/>
      <c r="G144" s="108"/>
      <c r="H144" s="108"/>
      <c r="I144" s="2"/>
      <c r="J144" s="93">
        <f t="shared" si="2"/>
        <v>0</v>
      </c>
    </row>
    <row r="145" spans="1:10" s="99" customFormat="1" ht="12" customHeight="1" x14ac:dyDescent="0.3">
      <c r="A145" s="108"/>
      <c r="B145" s="108"/>
      <c r="C145"/>
      <c r="D145" s="108"/>
      <c r="E145" s="108"/>
      <c r="F145" s="108"/>
      <c r="G145" s="108"/>
      <c r="H145" s="108"/>
      <c r="I145" s="2"/>
      <c r="J145" s="93">
        <f t="shared" si="2"/>
        <v>0</v>
      </c>
    </row>
    <row r="146" spans="1:10" s="99" customFormat="1" ht="12" customHeight="1" x14ac:dyDescent="0.3">
      <c r="A146" s="108"/>
      <c r="B146" s="108"/>
      <c r="C146"/>
      <c r="D146" s="108"/>
      <c r="E146" s="108"/>
      <c r="F146" s="108"/>
      <c r="G146" s="108"/>
      <c r="H146" s="108"/>
      <c r="I146" s="2"/>
      <c r="J146" s="93">
        <f t="shared" si="2"/>
        <v>0</v>
      </c>
    </row>
    <row r="147" spans="1:10" s="99" customFormat="1" ht="12" customHeight="1" x14ac:dyDescent="0.3">
      <c r="A147" s="108"/>
      <c r="B147" s="108"/>
      <c r="C147"/>
      <c r="D147" s="108"/>
      <c r="E147" s="108"/>
      <c r="F147" s="108"/>
      <c r="G147" s="108"/>
      <c r="H147" s="108"/>
      <c r="I147" s="2"/>
      <c r="J147" s="93">
        <f t="shared" si="2"/>
        <v>0</v>
      </c>
    </row>
    <row r="148" spans="1:10" s="99" customFormat="1" ht="12" customHeight="1" x14ac:dyDescent="0.3">
      <c r="A148" s="108"/>
      <c r="B148" s="108"/>
      <c r="C148"/>
      <c r="D148" s="108"/>
      <c r="E148" s="108"/>
      <c r="F148" s="108"/>
      <c r="G148" s="108"/>
      <c r="H148" s="108"/>
      <c r="I148" s="2"/>
      <c r="J148" s="93">
        <f t="shared" si="2"/>
        <v>0</v>
      </c>
    </row>
    <row r="149" spans="1:10" s="99" customFormat="1" ht="12" customHeight="1" x14ac:dyDescent="0.3">
      <c r="A149" s="108"/>
      <c r="B149" s="108"/>
      <c r="C149"/>
      <c r="D149" s="108"/>
      <c r="E149" s="108"/>
      <c r="F149" s="108"/>
      <c r="G149" s="108"/>
      <c r="H149" s="108"/>
      <c r="I149" s="2"/>
      <c r="J149" s="93">
        <f t="shared" si="2"/>
        <v>0</v>
      </c>
    </row>
    <row r="150" spans="1:10" s="99" customFormat="1" ht="12" customHeight="1" x14ac:dyDescent="0.3">
      <c r="A150" s="108"/>
      <c r="B150" s="108"/>
      <c r="C150"/>
      <c r="D150" s="108"/>
      <c r="E150" s="108"/>
      <c r="F150" s="108"/>
      <c r="G150" s="108"/>
      <c r="H150" s="108"/>
      <c r="I150" s="2"/>
      <c r="J150" s="93">
        <f t="shared" si="2"/>
        <v>0</v>
      </c>
    </row>
    <row r="151" spans="1:10" s="99" customFormat="1" ht="12" customHeight="1" x14ac:dyDescent="0.3">
      <c r="A151" s="108"/>
      <c r="B151" s="108"/>
      <c r="C151"/>
      <c r="D151" s="108"/>
      <c r="E151" s="108"/>
      <c r="F151" s="108"/>
      <c r="G151" s="108"/>
      <c r="H151" s="108"/>
      <c r="I151" s="2"/>
      <c r="J151" s="93">
        <f t="shared" si="2"/>
        <v>0</v>
      </c>
    </row>
    <row r="152" spans="1:10" s="99" customFormat="1" ht="12" customHeight="1" x14ac:dyDescent="0.3">
      <c r="A152" s="108"/>
      <c r="B152" s="108"/>
      <c r="C152"/>
      <c r="D152" s="108"/>
      <c r="E152" s="108"/>
      <c r="F152" s="108"/>
      <c r="G152" s="108"/>
      <c r="H152" s="108"/>
      <c r="I152" s="2"/>
      <c r="J152" s="93">
        <f t="shared" si="2"/>
        <v>0</v>
      </c>
    </row>
    <row r="153" spans="1:10" s="99" customFormat="1" ht="12" customHeight="1" x14ac:dyDescent="0.3">
      <c r="A153" s="108"/>
      <c r="B153" s="108"/>
      <c r="C153"/>
      <c r="D153" s="108"/>
      <c r="E153" s="108"/>
      <c r="F153" s="108"/>
      <c r="G153" s="108"/>
      <c r="H153" s="108"/>
      <c r="I153" s="2"/>
      <c r="J153" s="93">
        <f t="shared" si="2"/>
        <v>0</v>
      </c>
    </row>
    <row r="154" spans="1:10" s="99" customFormat="1" ht="12" customHeight="1" x14ac:dyDescent="0.3">
      <c r="A154" s="108"/>
      <c r="B154" s="108"/>
      <c r="C154"/>
      <c r="D154" s="108"/>
      <c r="E154" s="108"/>
      <c r="F154" s="108"/>
      <c r="G154" s="108"/>
      <c r="H154" s="108"/>
      <c r="I154" s="2"/>
      <c r="J154" s="93">
        <f t="shared" si="2"/>
        <v>0</v>
      </c>
    </row>
    <row r="155" spans="1:10" s="99" customFormat="1" ht="12" customHeight="1" x14ac:dyDescent="0.3">
      <c r="A155" s="108"/>
      <c r="B155" s="108"/>
      <c r="C155"/>
      <c r="D155" s="108"/>
      <c r="E155" s="108"/>
      <c r="F155" s="108"/>
      <c r="G155" s="108"/>
      <c r="H155" s="108"/>
      <c r="I155" s="2"/>
      <c r="J155" s="93">
        <f t="shared" si="2"/>
        <v>0</v>
      </c>
    </row>
    <row r="156" spans="1:10" s="99" customFormat="1" ht="12" customHeight="1" x14ac:dyDescent="0.3">
      <c r="A156" s="108"/>
      <c r="B156" s="108"/>
      <c r="C156"/>
      <c r="D156" s="108"/>
      <c r="E156" s="108"/>
      <c r="F156" s="108"/>
      <c r="G156" s="108"/>
      <c r="H156" s="108"/>
      <c r="I156" s="2"/>
      <c r="J156" s="93">
        <f t="shared" si="2"/>
        <v>0</v>
      </c>
    </row>
    <row r="157" spans="1:10" s="99" customFormat="1" ht="12" customHeight="1" x14ac:dyDescent="0.3">
      <c r="A157" s="108"/>
      <c r="B157" s="108"/>
      <c r="C157"/>
      <c r="D157" s="108"/>
      <c r="E157" s="108"/>
      <c r="F157" s="108"/>
      <c r="G157" s="108"/>
      <c r="H157" s="108"/>
      <c r="I157" s="2"/>
      <c r="J157" s="93">
        <f t="shared" si="2"/>
        <v>0</v>
      </c>
    </row>
    <row r="158" spans="1:10" s="99" customFormat="1" ht="12" customHeight="1" x14ac:dyDescent="0.3">
      <c r="A158" s="108"/>
      <c r="B158" s="108"/>
      <c r="C158"/>
      <c r="D158" s="108"/>
      <c r="E158" s="108"/>
      <c r="F158" s="108"/>
      <c r="G158" s="108"/>
      <c r="H158" s="108"/>
      <c r="I158" s="2"/>
      <c r="J158" s="93">
        <f t="shared" si="2"/>
        <v>0</v>
      </c>
    </row>
    <row r="159" spans="1:10" s="99" customFormat="1" ht="12" customHeight="1" x14ac:dyDescent="0.3">
      <c r="A159" s="108"/>
      <c r="B159" s="108"/>
      <c r="C159"/>
      <c r="D159" s="108"/>
      <c r="E159" s="108"/>
      <c r="F159" s="108"/>
      <c r="G159" s="108"/>
      <c r="H159" s="108"/>
      <c r="I159" s="2"/>
      <c r="J159" s="93">
        <f t="shared" si="2"/>
        <v>0</v>
      </c>
    </row>
    <row r="160" spans="1:10" s="99" customFormat="1" ht="12" customHeight="1" x14ac:dyDescent="0.3">
      <c r="A160" s="108"/>
      <c r="B160" s="108"/>
      <c r="C160"/>
      <c r="D160" s="108"/>
      <c r="E160" s="108"/>
      <c r="F160" s="108"/>
      <c r="G160" s="108"/>
      <c r="H160" s="108"/>
      <c r="I160" s="2"/>
      <c r="J160" s="93">
        <f t="shared" si="2"/>
        <v>0</v>
      </c>
    </row>
    <row r="161" spans="1:10" s="99" customFormat="1" ht="12" customHeight="1" x14ac:dyDescent="0.3">
      <c r="A161" s="108"/>
      <c r="B161" s="108"/>
      <c r="C161"/>
      <c r="D161" s="108"/>
      <c r="E161" s="108"/>
      <c r="F161" s="108"/>
      <c r="G161" s="108"/>
      <c r="H161" s="108"/>
      <c r="I161" s="2"/>
      <c r="J161" s="93">
        <f t="shared" si="2"/>
        <v>0</v>
      </c>
    </row>
    <row r="162" spans="1:10" s="99" customFormat="1" ht="12" customHeight="1" x14ac:dyDescent="0.3">
      <c r="A162" s="108"/>
      <c r="B162" s="108"/>
      <c r="C162"/>
      <c r="D162" s="108"/>
      <c r="E162" s="108"/>
      <c r="F162" s="108"/>
      <c r="G162" s="108"/>
      <c r="H162" s="108"/>
      <c r="I162" s="2"/>
      <c r="J162" s="93">
        <f t="shared" si="2"/>
        <v>0</v>
      </c>
    </row>
    <row r="163" spans="1:10" s="99" customFormat="1" ht="12" customHeight="1" x14ac:dyDescent="0.3">
      <c r="A163" s="108"/>
      <c r="B163" s="108"/>
      <c r="C163"/>
      <c r="D163" s="108"/>
      <c r="E163" s="108"/>
      <c r="F163" s="108"/>
      <c r="G163" s="108"/>
      <c r="H163" s="108"/>
      <c r="I163" s="2"/>
      <c r="J163" s="93">
        <f t="shared" si="2"/>
        <v>0</v>
      </c>
    </row>
    <row r="164" spans="1:10" s="99" customFormat="1" ht="12" customHeight="1" x14ac:dyDescent="0.3">
      <c r="A164" s="108"/>
      <c r="B164" s="108"/>
      <c r="C164"/>
      <c r="D164" s="108"/>
      <c r="E164" s="108"/>
      <c r="F164" s="108"/>
      <c r="G164" s="108"/>
      <c r="H164" s="108"/>
      <c r="I164" s="2"/>
      <c r="J164" s="93">
        <f t="shared" si="2"/>
        <v>0</v>
      </c>
    </row>
    <row r="165" spans="1:10" s="99" customFormat="1" ht="12" customHeight="1" x14ac:dyDescent="0.3">
      <c r="A165" s="108"/>
      <c r="B165" s="108"/>
      <c r="C165"/>
      <c r="D165" s="108"/>
      <c r="E165" s="108"/>
      <c r="F165" s="108"/>
      <c r="G165" s="108"/>
      <c r="H165" s="108"/>
      <c r="I165" s="2"/>
      <c r="J165" s="93">
        <f t="shared" si="2"/>
        <v>0</v>
      </c>
    </row>
    <row r="166" spans="1:10" s="99" customFormat="1" ht="12" customHeight="1" x14ac:dyDescent="0.3">
      <c r="A166" s="108"/>
      <c r="B166" s="108"/>
      <c r="C166"/>
      <c r="D166" s="108"/>
      <c r="E166" s="108"/>
      <c r="F166" s="108"/>
      <c r="G166" s="108"/>
      <c r="H166" s="108"/>
      <c r="I166" s="2"/>
      <c r="J166" s="93">
        <f t="shared" si="2"/>
        <v>0</v>
      </c>
    </row>
    <row r="167" spans="1:10" s="99" customFormat="1" ht="12" customHeight="1" x14ac:dyDescent="0.3">
      <c r="A167"/>
      <c r="B167"/>
      <c r="C167"/>
      <c r="D167"/>
      <c r="E167"/>
      <c r="F167"/>
      <c r="G167"/>
      <c r="H167"/>
      <c r="I167"/>
      <c r="J167" s="93">
        <f t="shared" si="2"/>
        <v>0</v>
      </c>
    </row>
    <row r="168" spans="1:10" s="99" customFormat="1" ht="12" customHeight="1" x14ac:dyDescent="0.3">
      <c r="A168"/>
      <c r="B168"/>
      <c r="C168"/>
      <c r="D168"/>
      <c r="E168"/>
      <c r="F168"/>
      <c r="G168"/>
      <c r="H168"/>
      <c r="I168"/>
      <c r="J168" s="93">
        <f t="shared" si="2"/>
        <v>0</v>
      </c>
    </row>
    <row r="169" spans="1:10" s="99" customFormat="1" ht="12" customHeight="1" x14ac:dyDescent="0.3">
      <c r="A169"/>
      <c r="B169"/>
      <c r="C169"/>
      <c r="D169"/>
      <c r="E169"/>
      <c r="F169"/>
      <c r="G169"/>
      <c r="H169"/>
      <c r="I169"/>
      <c r="J169" s="93">
        <f t="shared" ref="J169:J193" si="3">ABS(I169)</f>
        <v>0</v>
      </c>
    </row>
    <row r="170" spans="1:10" s="99" customFormat="1" ht="12" customHeight="1" x14ac:dyDescent="0.3">
      <c r="A170"/>
      <c r="B170"/>
      <c r="C170"/>
      <c r="D170"/>
      <c r="E170"/>
      <c r="F170"/>
      <c r="G170"/>
      <c r="H170"/>
      <c r="I170"/>
      <c r="J170" s="93">
        <f t="shared" si="3"/>
        <v>0</v>
      </c>
    </row>
    <row r="171" spans="1:10" s="99" customFormat="1" ht="12" customHeight="1" x14ac:dyDescent="0.3">
      <c r="A171"/>
      <c r="B171"/>
      <c r="C171"/>
      <c r="D171"/>
      <c r="E171"/>
      <c r="F171"/>
      <c r="G171"/>
      <c r="H171"/>
      <c r="I171"/>
      <c r="J171" s="93">
        <f t="shared" si="3"/>
        <v>0</v>
      </c>
    </row>
    <row r="172" spans="1:10" s="99" customFormat="1" ht="12" customHeight="1" x14ac:dyDescent="0.3">
      <c r="A172"/>
      <c r="B172"/>
      <c r="C172"/>
      <c r="D172"/>
      <c r="E172"/>
      <c r="F172"/>
      <c r="G172"/>
      <c r="H172"/>
      <c r="I172"/>
      <c r="J172" s="93">
        <f t="shared" si="3"/>
        <v>0</v>
      </c>
    </row>
    <row r="173" spans="1:10" s="99" customFormat="1" ht="12" customHeight="1" x14ac:dyDescent="0.3">
      <c r="A173"/>
      <c r="B173"/>
      <c r="C173"/>
      <c r="D173"/>
      <c r="E173"/>
      <c r="F173"/>
      <c r="G173"/>
      <c r="H173"/>
      <c r="I173"/>
      <c r="J173" s="93">
        <f t="shared" si="3"/>
        <v>0</v>
      </c>
    </row>
    <row r="174" spans="1:10" s="99" customFormat="1" ht="12" customHeight="1" x14ac:dyDescent="0.3">
      <c r="A174"/>
      <c r="B174"/>
      <c r="C174"/>
      <c r="D174"/>
      <c r="E174"/>
      <c r="F174"/>
      <c r="G174"/>
      <c r="H174"/>
      <c r="I174"/>
      <c r="J174" s="93">
        <f t="shared" si="3"/>
        <v>0</v>
      </c>
    </row>
    <row r="175" spans="1:10" s="99" customFormat="1" ht="12" customHeight="1" x14ac:dyDescent="0.3">
      <c r="A175"/>
      <c r="B175"/>
      <c r="C175"/>
      <c r="D175"/>
      <c r="E175"/>
      <c r="F175"/>
      <c r="G175"/>
      <c r="H175"/>
      <c r="I175"/>
      <c r="J175" s="93">
        <f t="shared" si="3"/>
        <v>0</v>
      </c>
    </row>
    <row r="176" spans="1:10" s="99" customFormat="1" ht="12" customHeight="1" x14ac:dyDescent="0.3">
      <c r="A176"/>
      <c r="B176"/>
      <c r="C176"/>
      <c r="D176"/>
      <c r="E176"/>
      <c r="F176"/>
      <c r="G176"/>
      <c r="H176"/>
      <c r="I176"/>
      <c r="J176" s="93">
        <f t="shared" si="3"/>
        <v>0</v>
      </c>
    </row>
    <row r="177" spans="1:10" s="99" customFormat="1" ht="12" customHeight="1" x14ac:dyDescent="0.3">
      <c r="A177"/>
      <c r="B177"/>
      <c r="C177"/>
      <c r="D177"/>
      <c r="E177"/>
      <c r="F177"/>
      <c r="G177"/>
      <c r="H177"/>
      <c r="I177"/>
      <c r="J177" s="93">
        <f t="shared" si="3"/>
        <v>0</v>
      </c>
    </row>
    <row r="178" spans="1:10" s="99" customFormat="1" ht="12" customHeight="1" x14ac:dyDescent="0.3">
      <c r="A178"/>
      <c r="B178"/>
      <c r="C178"/>
      <c r="D178"/>
      <c r="E178"/>
      <c r="F178"/>
      <c r="G178"/>
      <c r="H178"/>
      <c r="I178"/>
      <c r="J178" s="93">
        <f t="shared" si="3"/>
        <v>0</v>
      </c>
    </row>
    <row r="179" spans="1:10" s="99" customFormat="1" ht="12" customHeight="1" x14ac:dyDescent="0.3">
      <c r="A179"/>
      <c r="B179"/>
      <c r="C179"/>
      <c r="D179"/>
      <c r="E179"/>
      <c r="F179"/>
      <c r="G179"/>
      <c r="H179"/>
      <c r="I179"/>
      <c r="J179" s="93">
        <f t="shared" si="3"/>
        <v>0</v>
      </c>
    </row>
    <row r="180" spans="1:10" s="99" customFormat="1" ht="12" customHeight="1" x14ac:dyDescent="0.3">
      <c r="A180"/>
      <c r="B180"/>
      <c r="C180"/>
      <c r="D180"/>
      <c r="E180"/>
      <c r="F180"/>
      <c r="G180"/>
      <c r="H180"/>
      <c r="I180"/>
      <c r="J180" s="93">
        <f t="shared" si="3"/>
        <v>0</v>
      </c>
    </row>
    <row r="181" spans="1:10" s="99" customFormat="1" ht="12" customHeight="1" x14ac:dyDescent="0.3">
      <c r="A181"/>
      <c r="B181"/>
      <c r="C181"/>
      <c r="D181"/>
      <c r="E181"/>
      <c r="F181"/>
      <c r="G181"/>
      <c r="H181"/>
      <c r="I181"/>
      <c r="J181" s="93">
        <f t="shared" si="3"/>
        <v>0</v>
      </c>
    </row>
    <row r="182" spans="1:10" s="99" customFormat="1" ht="12" customHeight="1" x14ac:dyDescent="0.3">
      <c r="A182"/>
      <c r="B182"/>
      <c r="C182"/>
      <c r="D182"/>
      <c r="E182"/>
      <c r="F182"/>
      <c r="G182"/>
      <c r="H182"/>
      <c r="I182"/>
      <c r="J182" s="93">
        <f t="shared" si="3"/>
        <v>0</v>
      </c>
    </row>
    <row r="183" spans="1:10" s="99" customFormat="1" ht="12" customHeight="1" x14ac:dyDescent="0.3">
      <c r="A183"/>
      <c r="B183"/>
      <c r="C183"/>
      <c r="D183"/>
      <c r="E183"/>
      <c r="F183"/>
      <c r="G183"/>
      <c r="H183"/>
      <c r="I183"/>
      <c r="J183" s="93">
        <f t="shared" si="3"/>
        <v>0</v>
      </c>
    </row>
    <row r="184" spans="1:10" s="99" customFormat="1" ht="12" customHeight="1" x14ac:dyDescent="0.3">
      <c r="A184"/>
      <c r="B184"/>
      <c r="C184"/>
      <c r="D184"/>
      <c r="E184"/>
      <c r="F184"/>
      <c r="G184"/>
      <c r="H184"/>
      <c r="I184"/>
      <c r="J184" s="93">
        <f t="shared" si="3"/>
        <v>0</v>
      </c>
    </row>
    <row r="185" spans="1:10" s="99" customFormat="1" ht="12" customHeight="1" x14ac:dyDescent="0.3">
      <c r="A185"/>
      <c r="B185"/>
      <c r="C185"/>
      <c r="D185"/>
      <c r="E185"/>
      <c r="F185"/>
      <c r="G185"/>
      <c r="H185"/>
      <c r="I185"/>
      <c r="J185" s="93">
        <f t="shared" si="3"/>
        <v>0</v>
      </c>
    </row>
    <row r="186" spans="1:10" s="99" customFormat="1" ht="12" customHeight="1" x14ac:dyDescent="0.3">
      <c r="A186"/>
      <c r="B186"/>
      <c r="C186"/>
      <c r="D186"/>
      <c r="E186"/>
      <c r="F186"/>
      <c r="G186"/>
      <c r="H186"/>
      <c r="I186"/>
      <c r="J186" s="93">
        <f t="shared" si="3"/>
        <v>0</v>
      </c>
    </row>
    <row r="187" spans="1:10" s="99" customFormat="1" ht="12" customHeight="1" x14ac:dyDescent="0.3">
      <c r="A187"/>
      <c r="B187"/>
      <c r="C187"/>
      <c r="D187"/>
      <c r="E187"/>
      <c r="F187"/>
      <c r="G187"/>
      <c r="H187"/>
      <c r="I187"/>
      <c r="J187" s="93">
        <f t="shared" si="3"/>
        <v>0</v>
      </c>
    </row>
    <row r="188" spans="1:10" s="99" customFormat="1" ht="12" customHeight="1" x14ac:dyDescent="0.3">
      <c r="A188"/>
      <c r="B188"/>
      <c r="C188"/>
      <c r="D188"/>
      <c r="E188"/>
      <c r="F188"/>
      <c r="G188"/>
      <c r="H188"/>
      <c r="I188"/>
      <c r="J188" s="93">
        <f t="shared" si="3"/>
        <v>0</v>
      </c>
    </row>
    <row r="189" spans="1:10" s="99" customFormat="1" ht="12" customHeight="1" x14ac:dyDescent="0.3">
      <c r="A189"/>
      <c r="B189"/>
      <c r="C189"/>
      <c r="D189"/>
      <c r="E189"/>
      <c r="F189"/>
      <c r="G189"/>
      <c r="H189"/>
      <c r="I189"/>
      <c r="J189" s="93">
        <f t="shared" si="3"/>
        <v>0</v>
      </c>
    </row>
    <row r="190" spans="1:10" s="99" customFormat="1" ht="12" customHeight="1" x14ac:dyDescent="0.3">
      <c r="A190"/>
      <c r="B190"/>
      <c r="C190"/>
      <c r="D190"/>
      <c r="E190"/>
      <c r="F190"/>
      <c r="G190"/>
      <c r="H190"/>
      <c r="I190"/>
      <c r="J190" s="93">
        <f t="shared" si="3"/>
        <v>0</v>
      </c>
    </row>
    <row r="191" spans="1:10" s="99" customFormat="1" ht="12" customHeight="1" x14ac:dyDescent="0.3">
      <c r="A191"/>
      <c r="B191"/>
      <c r="C191"/>
      <c r="D191"/>
      <c r="E191"/>
      <c r="F191"/>
      <c r="G191"/>
      <c r="H191"/>
      <c r="I191"/>
      <c r="J191" s="93">
        <f t="shared" si="3"/>
        <v>0</v>
      </c>
    </row>
    <row r="192" spans="1:10" s="99" customFormat="1" ht="12" customHeight="1" x14ac:dyDescent="0.3">
      <c r="A192"/>
      <c r="B192"/>
      <c r="C192"/>
      <c r="D192"/>
      <c r="E192"/>
      <c r="F192"/>
      <c r="G192"/>
      <c r="H192"/>
      <c r="I192"/>
      <c r="J192" s="93">
        <f t="shared" si="3"/>
        <v>0</v>
      </c>
    </row>
    <row r="193" spans="1:10" s="99" customFormat="1" ht="12" customHeight="1" x14ac:dyDescent="0.3">
      <c r="A193"/>
      <c r="B193"/>
      <c r="C193"/>
      <c r="D193"/>
      <c r="E193"/>
      <c r="F193"/>
      <c r="G193"/>
      <c r="H193"/>
      <c r="I193"/>
      <c r="J193" s="93">
        <f t="shared" si="3"/>
        <v>0</v>
      </c>
    </row>
    <row r="194" spans="1:10" s="99" customFormat="1" ht="12" customHeight="1" x14ac:dyDescent="0.3">
      <c r="A194"/>
      <c r="B194"/>
      <c r="C194"/>
      <c r="D194"/>
      <c r="E194"/>
      <c r="F194"/>
      <c r="G194"/>
      <c r="H194"/>
      <c r="I194"/>
      <c r="J194" s="93">
        <f t="shared" ref="J194:J257" si="4">ABS(I194)</f>
        <v>0</v>
      </c>
    </row>
    <row r="195" spans="1:10" s="99" customFormat="1" ht="12" customHeight="1" x14ac:dyDescent="0.3">
      <c r="A195"/>
      <c r="B195"/>
      <c r="C195"/>
      <c r="D195"/>
      <c r="E195"/>
      <c r="F195"/>
      <c r="G195"/>
      <c r="H195"/>
      <c r="I195"/>
      <c r="J195" s="93">
        <f t="shared" si="4"/>
        <v>0</v>
      </c>
    </row>
    <row r="196" spans="1:10" s="99" customFormat="1" ht="12" customHeight="1" x14ac:dyDescent="0.3">
      <c r="A196"/>
      <c r="B196"/>
      <c r="C196"/>
      <c r="D196"/>
      <c r="E196"/>
      <c r="F196"/>
      <c r="G196"/>
      <c r="H196"/>
      <c r="I196"/>
      <c r="J196" s="93">
        <f t="shared" si="4"/>
        <v>0</v>
      </c>
    </row>
    <row r="197" spans="1:10" s="99" customFormat="1" ht="12" customHeight="1" x14ac:dyDescent="0.3">
      <c r="A197"/>
      <c r="B197"/>
      <c r="C197"/>
      <c r="D197"/>
      <c r="E197"/>
      <c r="F197"/>
      <c r="G197"/>
      <c r="H197"/>
      <c r="I197"/>
      <c r="J197" s="93">
        <f t="shared" si="4"/>
        <v>0</v>
      </c>
    </row>
    <row r="198" spans="1:10" s="99" customFormat="1" ht="12" customHeight="1" x14ac:dyDescent="0.3">
      <c r="A198"/>
      <c r="B198"/>
      <c r="C198"/>
      <c r="D198"/>
      <c r="E198"/>
      <c r="F198"/>
      <c r="G198"/>
      <c r="H198"/>
      <c r="I198"/>
      <c r="J198" s="93">
        <f t="shared" si="4"/>
        <v>0</v>
      </c>
    </row>
    <row r="199" spans="1:10" s="99" customFormat="1" ht="12" customHeight="1" x14ac:dyDescent="0.3">
      <c r="A199"/>
      <c r="B199"/>
      <c r="C199"/>
      <c r="D199"/>
      <c r="E199"/>
      <c r="F199"/>
      <c r="G199"/>
      <c r="H199"/>
      <c r="I199"/>
      <c r="J199" s="93">
        <f t="shared" si="4"/>
        <v>0</v>
      </c>
    </row>
    <row r="200" spans="1:10" s="99" customFormat="1" ht="12" customHeight="1" x14ac:dyDescent="0.3">
      <c r="A200"/>
      <c r="B200"/>
      <c r="C200"/>
      <c r="D200"/>
      <c r="E200"/>
      <c r="F200"/>
      <c r="G200"/>
      <c r="H200"/>
      <c r="I200"/>
      <c r="J200" s="93">
        <f t="shared" si="4"/>
        <v>0</v>
      </c>
    </row>
    <row r="201" spans="1:10" s="99" customFormat="1" ht="12" customHeight="1" x14ac:dyDescent="0.3">
      <c r="A201"/>
      <c r="B201"/>
      <c r="C201"/>
      <c r="D201"/>
      <c r="E201"/>
      <c r="F201"/>
      <c r="G201"/>
      <c r="H201"/>
      <c r="I201"/>
      <c r="J201" s="93">
        <f t="shared" si="4"/>
        <v>0</v>
      </c>
    </row>
    <row r="202" spans="1:10" s="99" customFormat="1" ht="12" customHeight="1" x14ac:dyDescent="0.3">
      <c r="A202"/>
      <c r="B202"/>
      <c r="C202"/>
      <c r="D202"/>
      <c r="E202"/>
      <c r="F202"/>
      <c r="G202"/>
      <c r="H202"/>
      <c r="I202"/>
      <c r="J202" s="93">
        <f t="shared" si="4"/>
        <v>0</v>
      </c>
    </row>
    <row r="203" spans="1:10" s="99" customFormat="1" ht="12" customHeight="1" x14ac:dyDescent="0.3">
      <c r="A203"/>
      <c r="B203"/>
      <c r="C203"/>
      <c r="D203"/>
      <c r="E203"/>
      <c r="F203"/>
      <c r="G203"/>
      <c r="H203"/>
      <c r="I203"/>
      <c r="J203" s="93">
        <f t="shared" si="4"/>
        <v>0</v>
      </c>
    </row>
    <row r="204" spans="1:10" s="99" customFormat="1" ht="12" customHeight="1" x14ac:dyDescent="0.3">
      <c r="A204"/>
      <c r="B204"/>
      <c r="C204"/>
      <c r="D204"/>
      <c r="E204"/>
      <c r="F204"/>
      <c r="G204"/>
      <c r="H204"/>
      <c r="I204"/>
      <c r="J204" s="93">
        <f t="shared" si="4"/>
        <v>0</v>
      </c>
    </row>
    <row r="205" spans="1:10" s="99" customFormat="1" ht="12" customHeight="1" x14ac:dyDescent="0.3">
      <c r="A205"/>
      <c r="B205"/>
      <c r="C205"/>
      <c r="D205"/>
      <c r="E205"/>
      <c r="F205"/>
      <c r="G205"/>
      <c r="H205"/>
      <c r="I205"/>
      <c r="J205" s="93">
        <f t="shared" si="4"/>
        <v>0</v>
      </c>
    </row>
    <row r="206" spans="1:10" s="99" customFormat="1" ht="12" customHeight="1" x14ac:dyDescent="0.3">
      <c r="A206"/>
      <c r="B206"/>
      <c r="C206"/>
      <c r="D206"/>
      <c r="E206"/>
      <c r="F206"/>
      <c r="G206"/>
      <c r="H206"/>
      <c r="I206"/>
      <c r="J206" s="93">
        <f t="shared" si="4"/>
        <v>0</v>
      </c>
    </row>
    <row r="207" spans="1:10" s="99" customFormat="1" ht="12" customHeight="1" x14ac:dyDescent="0.3">
      <c r="A207"/>
      <c r="B207"/>
      <c r="C207"/>
      <c r="D207"/>
      <c r="E207"/>
      <c r="F207"/>
      <c r="G207"/>
      <c r="H207"/>
      <c r="I207"/>
      <c r="J207" s="93">
        <f t="shared" si="4"/>
        <v>0</v>
      </c>
    </row>
    <row r="208" spans="1:10" s="99" customFormat="1" ht="12" customHeight="1" x14ac:dyDescent="0.3">
      <c r="A208"/>
      <c r="B208"/>
      <c r="C208"/>
      <c r="D208"/>
      <c r="E208"/>
      <c r="F208"/>
      <c r="G208"/>
      <c r="H208"/>
      <c r="I208"/>
      <c r="J208" s="93">
        <f t="shared" si="4"/>
        <v>0</v>
      </c>
    </row>
    <row r="209" spans="1:10" s="99" customFormat="1" ht="12" customHeight="1" x14ac:dyDescent="0.3">
      <c r="A209"/>
      <c r="B209"/>
      <c r="C209"/>
      <c r="D209"/>
      <c r="E209"/>
      <c r="F209"/>
      <c r="G209"/>
      <c r="H209"/>
      <c r="I209"/>
      <c r="J209" s="93">
        <f t="shared" si="4"/>
        <v>0</v>
      </c>
    </row>
    <row r="210" spans="1:10" s="99" customFormat="1" ht="12" customHeight="1" x14ac:dyDescent="0.3">
      <c r="A210"/>
      <c r="B210"/>
      <c r="C210"/>
      <c r="D210"/>
      <c r="E210"/>
      <c r="F210"/>
      <c r="G210"/>
      <c r="H210"/>
      <c r="I210"/>
      <c r="J210" s="93">
        <f t="shared" si="4"/>
        <v>0</v>
      </c>
    </row>
    <row r="211" spans="1:10" s="99" customFormat="1" ht="12" customHeight="1" x14ac:dyDescent="0.3">
      <c r="A211"/>
      <c r="B211"/>
      <c r="C211"/>
      <c r="D211"/>
      <c r="E211"/>
      <c r="F211"/>
      <c r="G211"/>
      <c r="H211"/>
      <c r="I211"/>
      <c r="J211" s="93">
        <f t="shared" si="4"/>
        <v>0</v>
      </c>
    </row>
    <row r="212" spans="1:10" s="99" customFormat="1" ht="12" customHeight="1" x14ac:dyDescent="0.3">
      <c r="A212"/>
      <c r="B212"/>
      <c r="C212"/>
      <c r="D212"/>
      <c r="E212"/>
      <c r="F212"/>
      <c r="G212"/>
      <c r="H212"/>
      <c r="I212"/>
      <c r="J212" s="93">
        <f t="shared" si="4"/>
        <v>0</v>
      </c>
    </row>
    <row r="213" spans="1:10" s="99" customFormat="1" ht="12" customHeight="1" x14ac:dyDescent="0.3">
      <c r="A213"/>
      <c r="B213"/>
      <c r="C213"/>
      <c r="D213"/>
      <c r="E213"/>
      <c r="F213"/>
      <c r="G213"/>
      <c r="H213"/>
      <c r="I213"/>
      <c r="J213" s="93">
        <f t="shared" si="4"/>
        <v>0</v>
      </c>
    </row>
    <row r="214" spans="1:10" s="99" customFormat="1" ht="12" customHeight="1" x14ac:dyDescent="0.3">
      <c r="A214"/>
      <c r="B214"/>
      <c r="C214"/>
      <c r="D214"/>
      <c r="E214"/>
      <c r="F214"/>
      <c r="G214"/>
      <c r="H214"/>
      <c r="I214"/>
      <c r="J214" s="93">
        <f t="shared" si="4"/>
        <v>0</v>
      </c>
    </row>
    <row r="215" spans="1:10" s="99" customFormat="1" ht="12" customHeight="1" x14ac:dyDescent="0.3">
      <c r="A215"/>
      <c r="B215"/>
      <c r="C215"/>
      <c r="D215"/>
      <c r="E215"/>
      <c r="F215"/>
      <c r="G215"/>
      <c r="H215"/>
      <c r="I215"/>
      <c r="J215" s="93">
        <f t="shared" si="4"/>
        <v>0</v>
      </c>
    </row>
    <row r="216" spans="1:10" s="99" customFormat="1" ht="12" customHeight="1" x14ac:dyDescent="0.3">
      <c r="A216"/>
      <c r="B216"/>
      <c r="C216"/>
      <c r="D216"/>
      <c r="E216"/>
      <c r="F216"/>
      <c r="G216"/>
      <c r="H216"/>
      <c r="I216"/>
      <c r="J216" s="93">
        <f t="shared" si="4"/>
        <v>0</v>
      </c>
    </row>
    <row r="217" spans="1:10" s="99" customFormat="1" ht="12" customHeight="1" x14ac:dyDescent="0.3">
      <c r="A217"/>
      <c r="B217"/>
      <c r="C217"/>
      <c r="D217"/>
      <c r="E217"/>
      <c r="F217"/>
      <c r="G217"/>
      <c r="H217"/>
      <c r="I217"/>
      <c r="J217" s="93">
        <f t="shared" si="4"/>
        <v>0</v>
      </c>
    </row>
    <row r="218" spans="1:10" s="99" customFormat="1" ht="12" customHeight="1" x14ac:dyDescent="0.3">
      <c r="A218"/>
      <c r="B218"/>
      <c r="C218"/>
      <c r="D218"/>
      <c r="E218"/>
      <c r="F218"/>
      <c r="G218"/>
      <c r="H218"/>
      <c r="I218"/>
      <c r="J218" s="93">
        <f t="shared" si="4"/>
        <v>0</v>
      </c>
    </row>
    <row r="219" spans="1:10" s="99" customFormat="1" ht="12" customHeight="1" x14ac:dyDescent="0.3">
      <c r="A219"/>
      <c r="B219"/>
      <c r="C219"/>
      <c r="D219"/>
      <c r="E219"/>
      <c r="F219"/>
      <c r="G219"/>
      <c r="H219"/>
      <c r="I219"/>
      <c r="J219" s="93">
        <f t="shared" si="4"/>
        <v>0</v>
      </c>
    </row>
    <row r="220" spans="1:10" s="99" customFormat="1" ht="12" customHeight="1" x14ac:dyDescent="0.3">
      <c r="A220"/>
      <c r="B220"/>
      <c r="C220"/>
      <c r="D220"/>
      <c r="E220"/>
      <c r="F220"/>
      <c r="G220"/>
      <c r="H220"/>
      <c r="I220"/>
      <c r="J220" s="93">
        <f t="shared" si="4"/>
        <v>0</v>
      </c>
    </row>
    <row r="221" spans="1:10" s="99" customFormat="1" ht="12" customHeight="1" x14ac:dyDescent="0.3">
      <c r="A221"/>
      <c r="B221"/>
      <c r="C221"/>
      <c r="D221"/>
      <c r="E221"/>
      <c r="F221"/>
      <c r="G221"/>
      <c r="H221"/>
      <c r="I221"/>
      <c r="J221" s="93">
        <f t="shared" si="4"/>
        <v>0</v>
      </c>
    </row>
    <row r="222" spans="1:10" s="99" customFormat="1" ht="12" customHeight="1" x14ac:dyDescent="0.3">
      <c r="A222"/>
      <c r="B222"/>
      <c r="C222"/>
      <c r="D222"/>
      <c r="E222"/>
      <c r="F222"/>
      <c r="G222"/>
      <c r="H222"/>
      <c r="I222"/>
      <c r="J222" s="93">
        <f t="shared" si="4"/>
        <v>0</v>
      </c>
    </row>
    <row r="223" spans="1:10" s="99" customFormat="1" ht="12" customHeight="1" x14ac:dyDescent="0.3">
      <c r="A223"/>
      <c r="B223"/>
      <c r="C223"/>
      <c r="D223"/>
      <c r="E223"/>
      <c r="F223"/>
      <c r="G223"/>
      <c r="H223"/>
      <c r="I223"/>
      <c r="J223" s="93">
        <f t="shared" si="4"/>
        <v>0</v>
      </c>
    </row>
    <row r="224" spans="1:10" s="99" customFormat="1" ht="12" customHeight="1" x14ac:dyDescent="0.3">
      <c r="A224"/>
      <c r="B224"/>
      <c r="C224"/>
      <c r="D224"/>
      <c r="E224"/>
      <c r="F224"/>
      <c r="G224"/>
      <c r="H224"/>
      <c r="I224"/>
      <c r="J224" s="93">
        <f t="shared" si="4"/>
        <v>0</v>
      </c>
    </row>
    <row r="225" spans="1:10" s="99" customFormat="1" ht="12" customHeight="1" x14ac:dyDescent="0.3">
      <c r="A225"/>
      <c r="B225"/>
      <c r="C225"/>
      <c r="D225"/>
      <c r="E225"/>
      <c r="F225"/>
      <c r="G225"/>
      <c r="H225"/>
      <c r="I225"/>
      <c r="J225" s="93">
        <f t="shared" si="4"/>
        <v>0</v>
      </c>
    </row>
    <row r="226" spans="1:10" s="99" customFormat="1" ht="12" customHeight="1" x14ac:dyDescent="0.3">
      <c r="A226"/>
      <c r="B226"/>
      <c r="C226"/>
      <c r="D226"/>
      <c r="E226"/>
      <c r="F226"/>
      <c r="G226"/>
      <c r="H226"/>
      <c r="I226"/>
      <c r="J226" s="93">
        <f t="shared" si="4"/>
        <v>0</v>
      </c>
    </row>
    <row r="227" spans="1:10" s="99" customFormat="1" ht="12" customHeight="1" x14ac:dyDescent="0.3">
      <c r="A227"/>
      <c r="B227"/>
      <c r="C227"/>
      <c r="D227"/>
      <c r="E227"/>
      <c r="F227"/>
      <c r="G227"/>
      <c r="H227"/>
      <c r="I227"/>
      <c r="J227" s="93">
        <f t="shared" si="4"/>
        <v>0</v>
      </c>
    </row>
    <row r="228" spans="1:10" s="99" customFormat="1" ht="12" customHeight="1" x14ac:dyDescent="0.3">
      <c r="A228"/>
      <c r="B228"/>
      <c r="C228"/>
      <c r="D228"/>
      <c r="E228"/>
      <c r="F228"/>
      <c r="G228"/>
      <c r="H228"/>
      <c r="I228"/>
      <c r="J228" s="93">
        <f t="shared" si="4"/>
        <v>0</v>
      </c>
    </row>
    <row r="229" spans="1:10" s="99" customFormat="1" ht="12" customHeight="1" x14ac:dyDescent="0.3">
      <c r="A229"/>
      <c r="B229"/>
      <c r="C229"/>
      <c r="D229"/>
      <c r="E229"/>
      <c r="F229"/>
      <c r="G229"/>
      <c r="H229"/>
      <c r="I229"/>
      <c r="J229" s="93">
        <f t="shared" si="4"/>
        <v>0</v>
      </c>
    </row>
    <row r="230" spans="1:10" s="99" customFormat="1" ht="12" customHeight="1" x14ac:dyDescent="0.3">
      <c r="A230"/>
      <c r="B230"/>
      <c r="C230"/>
      <c r="D230"/>
      <c r="E230"/>
      <c r="F230"/>
      <c r="G230"/>
      <c r="H230"/>
      <c r="I230"/>
      <c r="J230" s="93">
        <f t="shared" si="4"/>
        <v>0</v>
      </c>
    </row>
    <row r="231" spans="1:10" s="99" customFormat="1" ht="12" customHeight="1" x14ac:dyDescent="0.3">
      <c r="A231"/>
      <c r="B231"/>
      <c r="C231"/>
      <c r="D231"/>
      <c r="E231"/>
      <c r="F231"/>
      <c r="G231"/>
      <c r="H231"/>
      <c r="I231"/>
      <c r="J231" s="93">
        <f t="shared" si="4"/>
        <v>0</v>
      </c>
    </row>
    <row r="232" spans="1:10" s="99" customFormat="1" ht="12" customHeight="1" x14ac:dyDescent="0.3">
      <c r="A232"/>
      <c r="B232"/>
      <c r="C232"/>
      <c r="D232"/>
      <c r="E232"/>
      <c r="F232"/>
      <c r="G232"/>
      <c r="H232"/>
      <c r="I232"/>
      <c r="J232" s="93">
        <f t="shared" si="4"/>
        <v>0</v>
      </c>
    </row>
    <row r="233" spans="1:10" s="99" customFormat="1" ht="12" customHeight="1" x14ac:dyDescent="0.3">
      <c r="A233"/>
      <c r="B233"/>
      <c r="C233"/>
      <c r="D233"/>
      <c r="E233"/>
      <c r="F233"/>
      <c r="G233"/>
      <c r="H233"/>
      <c r="I233"/>
      <c r="J233" s="93">
        <f t="shared" si="4"/>
        <v>0</v>
      </c>
    </row>
    <row r="234" spans="1:10" s="99" customFormat="1" ht="12" customHeight="1" x14ac:dyDescent="0.3">
      <c r="A234"/>
      <c r="B234"/>
      <c r="C234"/>
      <c r="D234"/>
      <c r="E234"/>
      <c r="F234"/>
      <c r="G234"/>
      <c r="H234"/>
      <c r="I234"/>
      <c r="J234" s="93">
        <f t="shared" si="4"/>
        <v>0</v>
      </c>
    </row>
    <row r="235" spans="1:10" s="99" customFormat="1" ht="12" customHeight="1" x14ac:dyDescent="0.3">
      <c r="A235"/>
      <c r="B235"/>
      <c r="C235"/>
      <c r="D235"/>
      <c r="E235"/>
      <c r="F235"/>
      <c r="G235"/>
      <c r="H235"/>
      <c r="I235"/>
      <c r="J235" s="93">
        <f t="shared" si="4"/>
        <v>0</v>
      </c>
    </row>
    <row r="236" spans="1:10" s="99" customFormat="1" ht="12" customHeight="1" x14ac:dyDescent="0.3">
      <c r="A236"/>
      <c r="B236"/>
      <c r="C236"/>
      <c r="D236"/>
      <c r="E236"/>
      <c r="F236"/>
      <c r="G236"/>
      <c r="H236"/>
      <c r="I236"/>
      <c r="J236" s="93">
        <f t="shared" si="4"/>
        <v>0</v>
      </c>
    </row>
    <row r="237" spans="1:10" s="99" customFormat="1" ht="12" customHeight="1" x14ac:dyDescent="0.3">
      <c r="A237"/>
      <c r="B237"/>
      <c r="C237"/>
      <c r="D237"/>
      <c r="E237"/>
      <c r="F237"/>
      <c r="G237"/>
      <c r="H237"/>
      <c r="I237"/>
      <c r="J237" s="93">
        <f t="shared" si="4"/>
        <v>0</v>
      </c>
    </row>
    <row r="238" spans="1:10" s="99" customFormat="1" ht="12" customHeight="1" x14ac:dyDescent="0.3">
      <c r="A238"/>
      <c r="B238"/>
      <c r="C238"/>
      <c r="D238"/>
      <c r="E238"/>
      <c r="F238"/>
      <c r="G238"/>
      <c r="H238"/>
      <c r="I238"/>
      <c r="J238" s="93">
        <f t="shared" si="4"/>
        <v>0</v>
      </c>
    </row>
    <row r="239" spans="1:10" s="99" customFormat="1" ht="12" customHeight="1" x14ac:dyDescent="0.3">
      <c r="A239"/>
      <c r="B239"/>
      <c r="C239"/>
      <c r="D239"/>
      <c r="E239"/>
      <c r="F239"/>
      <c r="G239"/>
      <c r="H239"/>
      <c r="I239"/>
      <c r="J239" s="93">
        <f t="shared" si="4"/>
        <v>0</v>
      </c>
    </row>
    <row r="240" spans="1:10" s="99" customFormat="1" ht="12" customHeight="1" x14ac:dyDescent="0.3">
      <c r="A240"/>
      <c r="B240"/>
      <c r="C240"/>
      <c r="D240"/>
      <c r="E240"/>
      <c r="F240"/>
      <c r="G240"/>
      <c r="H240"/>
      <c r="I240"/>
      <c r="J240" s="93">
        <f t="shared" si="4"/>
        <v>0</v>
      </c>
    </row>
    <row r="241" spans="1:10" s="99" customFormat="1" ht="12" customHeight="1" x14ac:dyDescent="0.3">
      <c r="A241"/>
      <c r="B241"/>
      <c r="C241"/>
      <c r="D241"/>
      <c r="E241"/>
      <c r="F241"/>
      <c r="G241"/>
      <c r="H241"/>
      <c r="I241"/>
      <c r="J241" s="93">
        <f t="shared" si="4"/>
        <v>0</v>
      </c>
    </row>
    <row r="242" spans="1:10" s="99" customFormat="1" ht="12" customHeight="1" x14ac:dyDescent="0.3">
      <c r="A242"/>
      <c r="B242"/>
      <c r="C242"/>
      <c r="D242"/>
      <c r="E242"/>
      <c r="F242"/>
      <c r="G242"/>
      <c r="H242"/>
      <c r="I242"/>
      <c r="J242" s="93">
        <f t="shared" si="4"/>
        <v>0</v>
      </c>
    </row>
    <row r="243" spans="1:10" s="99" customFormat="1" ht="12" customHeight="1" x14ac:dyDescent="0.3">
      <c r="A243"/>
      <c r="B243"/>
      <c r="C243"/>
      <c r="D243"/>
      <c r="E243"/>
      <c r="F243"/>
      <c r="G243"/>
      <c r="H243"/>
      <c r="I243"/>
      <c r="J243" s="93">
        <f t="shared" si="4"/>
        <v>0</v>
      </c>
    </row>
    <row r="244" spans="1:10" s="99" customFormat="1" ht="12" customHeight="1" x14ac:dyDescent="0.3">
      <c r="A244"/>
      <c r="B244"/>
      <c r="C244"/>
      <c r="D244"/>
      <c r="E244"/>
      <c r="F244"/>
      <c r="G244"/>
      <c r="H244"/>
      <c r="I244"/>
      <c r="J244" s="93">
        <f t="shared" si="4"/>
        <v>0</v>
      </c>
    </row>
    <row r="245" spans="1:10" s="99" customFormat="1" ht="12" customHeight="1" x14ac:dyDescent="0.3">
      <c r="A245"/>
      <c r="B245"/>
      <c r="C245"/>
      <c r="D245"/>
      <c r="E245"/>
      <c r="F245"/>
      <c r="G245"/>
      <c r="H245"/>
      <c r="I245"/>
      <c r="J245" s="93">
        <f t="shared" si="4"/>
        <v>0</v>
      </c>
    </row>
    <row r="246" spans="1:10" s="99" customFormat="1" ht="12" customHeight="1" x14ac:dyDescent="0.3">
      <c r="A246"/>
      <c r="B246"/>
      <c r="C246"/>
      <c r="D246"/>
      <c r="E246"/>
      <c r="F246"/>
      <c r="G246"/>
      <c r="H246"/>
      <c r="I246"/>
      <c r="J246" s="93">
        <f t="shared" si="4"/>
        <v>0</v>
      </c>
    </row>
    <row r="247" spans="1:10" s="99" customFormat="1" ht="12" customHeight="1" x14ac:dyDescent="0.3">
      <c r="A247"/>
      <c r="B247"/>
      <c r="C247"/>
      <c r="D247"/>
      <c r="E247"/>
      <c r="F247"/>
      <c r="G247"/>
      <c r="H247"/>
      <c r="I247"/>
      <c r="J247" s="93">
        <f t="shared" si="4"/>
        <v>0</v>
      </c>
    </row>
    <row r="248" spans="1:10" s="99" customFormat="1" ht="12" customHeight="1" x14ac:dyDescent="0.3">
      <c r="A248"/>
      <c r="B248"/>
      <c r="C248"/>
      <c r="D248"/>
      <c r="E248"/>
      <c r="F248"/>
      <c r="G248"/>
      <c r="H248"/>
      <c r="I248"/>
      <c r="J248" s="93">
        <f t="shared" si="4"/>
        <v>0</v>
      </c>
    </row>
    <row r="249" spans="1:10" s="99" customFormat="1" ht="12" customHeight="1" x14ac:dyDescent="0.3">
      <c r="A249"/>
      <c r="B249"/>
      <c r="C249"/>
      <c r="D249"/>
      <c r="E249"/>
      <c r="F249"/>
      <c r="G249"/>
      <c r="H249"/>
      <c r="I249"/>
      <c r="J249" s="93">
        <f t="shared" si="4"/>
        <v>0</v>
      </c>
    </row>
    <row r="250" spans="1:10" s="99" customFormat="1" ht="12" customHeight="1" x14ac:dyDescent="0.3">
      <c r="A250"/>
      <c r="B250"/>
      <c r="C250"/>
      <c r="D250"/>
      <c r="E250"/>
      <c r="F250"/>
      <c r="G250"/>
      <c r="H250"/>
      <c r="I250"/>
      <c r="J250" s="93">
        <f t="shared" si="4"/>
        <v>0</v>
      </c>
    </row>
    <row r="251" spans="1:10" s="99" customFormat="1" ht="12" customHeight="1" x14ac:dyDescent="0.3">
      <c r="A251"/>
      <c r="B251"/>
      <c r="C251"/>
      <c r="D251"/>
      <c r="E251"/>
      <c r="F251"/>
      <c r="G251"/>
      <c r="H251"/>
      <c r="I251"/>
      <c r="J251" s="93">
        <f t="shared" si="4"/>
        <v>0</v>
      </c>
    </row>
    <row r="252" spans="1:10" s="99" customFormat="1" ht="12" customHeight="1" x14ac:dyDescent="0.3">
      <c r="A252"/>
      <c r="B252"/>
      <c r="C252"/>
      <c r="D252"/>
      <c r="E252"/>
      <c r="F252"/>
      <c r="G252"/>
      <c r="H252"/>
      <c r="I252"/>
      <c r="J252" s="93">
        <f t="shared" si="4"/>
        <v>0</v>
      </c>
    </row>
    <row r="253" spans="1:10" s="99" customFormat="1" ht="12" customHeight="1" x14ac:dyDescent="0.3">
      <c r="A253"/>
      <c r="B253"/>
      <c r="C253"/>
      <c r="D253"/>
      <c r="E253"/>
      <c r="F253"/>
      <c r="G253"/>
      <c r="H253"/>
      <c r="I253"/>
      <c r="J253" s="93">
        <f t="shared" si="4"/>
        <v>0</v>
      </c>
    </row>
    <row r="254" spans="1:10" s="99" customFormat="1" ht="12" customHeight="1" x14ac:dyDescent="0.3">
      <c r="A254"/>
      <c r="B254"/>
      <c r="C254"/>
      <c r="D254"/>
      <c r="E254"/>
      <c r="F254"/>
      <c r="G254"/>
      <c r="H254"/>
      <c r="I254"/>
      <c r="J254" s="93">
        <f t="shared" si="4"/>
        <v>0</v>
      </c>
    </row>
    <row r="255" spans="1:10" s="99" customFormat="1" ht="12" customHeight="1" x14ac:dyDescent="0.3">
      <c r="A255"/>
      <c r="B255"/>
      <c r="C255"/>
      <c r="D255"/>
      <c r="E255"/>
      <c r="F255"/>
      <c r="G255"/>
      <c r="H255"/>
      <c r="I255"/>
      <c r="J255" s="93">
        <f t="shared" si="4"/>
        <v>0</v>
      </c>
    </row>
    <row r="256" spans="1:10" s="99" customFormat="1" ht="12" customHeight="1" x14ac:dyDescent="0.3">
      <c r="A256"/>
      <c r="B256"/>
      <c r="C256"/>
      <c r="D256"/>
      <c r="E256"/>
      <c r="F256"/>
      <c r="G256"/>
      <c r="H256"/>
      <c r="I256"/>
      <c r="J256" s="93">
        <f t="shared" si="4"/>
        <v>0</v>
      </c>
    </row>
    <row r="257" spans="1:10" s="99" customFormat="1" ht="12" customHeight="1" x14ac:dyDescent="0.3">
      <c r="A257"/>
      <c r="B257"/>
      <c r="C257"/>
      <c r="D257"/>
      <c r="E257"/>
      <c r="F257"/>
      <c r="G257"/>
      <c r="H257"/>
      <c r="I257"/>
      <c r="J257" s="93">
        <f t="shared" si="4"/>
        <v>0</v>
      </c>
    </row>
    <row r="258" spans="1:10" s="99" customFormat="1" ht="12" customHeight="1" x14ac:dyDescent="0.3">
      <c r="A258"/>
      <c r="B258"/>
      <c r="C258"/>
      <c r="D258"/>
      <c r="E258"/>
      <c r="F258"/>
      <c r="G258"/>
      <c r="H258"/>
      <c r="I258"/>
      <c r="J258" s="93">
        <f t="shared" ref="J258:J321" si="5">ABS(I258)</f>
        <v>0</v>
      </c>
    </row>
    <row r="259" spans="1:10" s="99" customFormat="1" ht="12" customHeight="1" x14ac:dyDescent="0.3">
      <c r="A259"/>
      <c r="B259"/>
      <c r="C259"/>
      <c r="D259"/>
      <c r="E259"/>
      <c r="F259"/>
      <c r="G259"/>
      <c r="H259"/>
      <c r="I259"/>
      <c r="J259" s="93">
        <f t="shared" si="5"/>
        <v>0</v>
      </c>
    </row>
    <row r="260" spans="1:10" s="99" customFormat="1" ht="12" customHeight="1" x14ac:dyDescent="0.3">
      <c r="A260"/>
      <c r="B260"/>
      <c r="C260"/>
      <c r="D260"/>
      <c r="E260"/>
      <c r="F260"/>
      <c r="G260"/>
      <c r="H260"/>
      <c r="I260"/>
      <c r="J260" s="93">
        <f t="shared" si="5"/>
        <v>0</v>
      </c>
    </row>
    <row r="261" spans="1:10" s="99" customFormat="1" ht="12" customHeight="1" x14ac:dyDescent="0.3">
      <c r="A261" s="94"/>
      <c r="B261" s="94"/>
      <c r="C261" s="95"/>
      <c r="D261" s="94"/>
      <c r="E261" s="94"/>
      <c r="F261" s="94"/>
      <c r="G261" s="94"/>
      <c r="H261" s="95"/>
      <c r="I261" s="96"/>
      <c r="J261" s="93">
        <f t="shared" si="5"/>
        <v>0</v>
      </c>
    </row>
    <row r="262" spans="1:10" s="99" customFormat="1" ht="12" customHeight="1" x14ac:dyDescent="0.3">
      <c r="A262" s="94"/>
      <c r="B262" s="94"/>
      <c r="C262" s="95"/>
      <c r="D262" s="94"/>
      <c r="E262" s="94"/>
      <c r="F262" s="94"/>
      <c r="G262" s="94"/>
      <c r="H262" s="95"/>
      <c r="I262" s="96"/>
      <c r="J262" s="93">
        <f t="shared" si="5"/>
        <v>0</v>
      </c>
    </row>
    <row r="263" spans="1:10" s="99" customFormat="1" ht="12" customHeight="1" x14ac:dyDescent="0.3">
      <c r="A263" s="94"/>
      <c r="B263" s="94"/>
      <c r="C263" s="95"/>
      <c r="D263" s="94"/>
      <c r="E263" s="94"/>
      <c r="F263" s="94"/>
      <c r="G263" s="94"/>
      <c r="H263" s="95"/>
      <c r="I263" s="96"/>
      <c r="J263" s="93">
        <f t="shared" si="5"/>
        <v>0</v>
      </c>
    </row>
    <row r="264" spans="1:10" s="99" customFormat="1" ht="12" customHeight="1" x14ac:dyDescent="0.3">
      <c r="A264" s="94"/>
      <c r="B264" s="94"/>
      <c r="C264" s="95"/>
      <c r="D264" s="94"/>
      <c r="E264" s="94"/>
      <c r="F264" s="94"/>
      <c r="G264" s="94"/>
      <c r="H264" s="95"/>
      <c r="I264" s="96"/>
      <c r="J264" s="93">
        <f t="shared" si="5"/>
        <v>0</v>
      </c>
    </row>
    <row r="265" spans="1:10" s="99" customFormat="1" ht="12" customHeight="1" x14ac:dyDescent="0.3">
      <c r="A265" s="94"/>
      <c r="B265" s="94"/>
      <c r="C265" s="95"/>
      <c r="D265" s="94"/>
      <c r="E265" s="94"/>
      <c r="F265" s="94"/>
      <c r="G265" s="94"/>
      <c r="H265" s="95"/>
      <c r="I265" s="96"/>
      <c r="J265" s="93">
        <f t="shared" si="5"/>
        <v>0</v>
      </c>
    </row>
    <row r="266" spans="1:10" s="99" customFormat="1" ht="12" customHeight="1" x14ac:dyDescent="0.3">
      <c r="A266" s="94"/>
      <c r="B266" s="94"/>
      <c r="C266" s="95"/>
      <c r="D266" s="94"/>
      <c r="E266" s="94"/>
      <c r="F266" s="94"/>
      <c r="G266" s="94"/>
      <c r="H266" s="95"/>
      <c r="I266" s="96"/>
      <c r="J266" s="93">
        <f t="shared" si="5"/>
        <v>0</v>
      </c>
    </row>
    <row r="267" spans="1:10" s="99" customFormat="1" ht="12" customHeight="1" x14ac:dyDescent="0.3">
      <c r="A267" s="94"/>
      <c r="B267" s="94"/>
      <c r="C267" s="95"/>
      <c r="D267" s="94"/>
      <c r="E267" s="94"/>
      <c r="F267" s="94"/>
      <c r="G267" s="94"/>
      <c r="H267" s="95"/>
      <c r="I267" s="96"/>
      <c r="J267" s="93">
        <f t="shared" si="5"/>
        <v>0</v>
      </c>
    </row>
    <row r="268" spans="1:10" s="99" customFormat="1" ht="12" customHeight="1" x14ac:dyDescent="0.3">
      <c r="A268" s="94"/>
      <c r="B268" s="94"/>
      <c r="C268" s="95"/>
      <c r="D268" s="94"/>
      <c r="E268" s="94"/>
      <c r="F268" s="94"/>
      <c r="G268" s="94"/>
      <c r="H268" s="95"/>
      <c r="I268" s="96"/>
      <c r="J268" s="93">
        <f t="shared" si="5"/>
        <v>0</v>
      </c>
    </row>
    <row r="269" spans="1:10" s="99" customFormat="1" ht="12" customHeight="1" x14ac:dyDescent="0.3">
      <c r="A269" s="94"/>
      <c r="B269" s="94"/>
      <c r="C269" s="95"/>
      <c r="D269" s="94"/>
      <c r="E269" s="94"/>
      <c r="F269" s="94"/>
      <c r="G269" s="94"/>
      <c r="H269" s="95"/>
      <c r="I269" s="96"/>
      <c r="J269" s="93">
        <f t="shared" si="5"/>
        <v>0</v>
      </c>
    </row>
    <row r="270" spans="1:10" s="99" customFormat="1" ht="12" customHeight="1" x14ac:dyDescent="0.3">
      <c r="A270" s="94"/>
      <c r="B270" s="94"/>
      <c r="C270" s="95"/>
      <c r="D270" s="94"/>
      <c r="E270" s="94"/>
      <c r="F270" s="94"/>
      <c r="G270" s="94"/>
      <c r="H270" s="95"/>
      <c r="I270" s="96"/>
      <c r="J270" s="93">
        <f t="shared" si="5"/>
        <v>0</v>
      </c>
    </row>
    <row r="271" spans="1:10" s="99" customFormat="1" ht="12" customHeight="1" x14ac:dyDescent="0.3">
      <c r="A271" s="94"/>
      <c r="B271" s="94"/>
      <c r="C271" s="95"/>
      <c r="D271" s="94"/>
      <c r="E271" s="94"/>
      <c r="F271" s="94"/>
      <c r="G271" s="94"/>
      <c r="H271" s="95"/>
      <c r="I271" s="96"/>
      <c r="J271" s="93">
        <f t="shared" si="5"/>
        <v>0</v>
      </c>
    </row>
    <row r="272" spans="1:10" s="99" customFormat="1" ht="12" customHeight="1" x14ac:dyDescent="0.3">
      <c r="A272" s="94"/>
      <c r="B272" s="94"/>
      <c r="C272" s="95"/>
      <c r="D272" s="94"/>
      <c r="E272" s="94"/>
      <c r="F272" s="94"/>
      <c r="G272" s="94"/>
      <c r="H272" s="95"/>
      <c r="I272" s="96"/>
      <c r="J272" s="93">
        <f t="shared" si="5"/>
        <v>0</v>
      </c>
    </row>
    <row r="273" spans="1:10" s="99" customFormat="1" ht="12" customHeight="1" x14ac:dyDescent="0.3">
      <c r="A273" s="94"/>
      <c r="B273" s="94"/>
      <c r="C273" s="95"/>
      <c r="D273" s="94"/>
      <c r="E273" s="94"/>
      <c r="F273" s="94"/>
      <c r="G273" s="94"/>
      <c r="H273" s="95"/>
      <c r="I273" s="96"/>
      <c r="J273" s="93">
        <f t="shared" si="5"/>
        <v>0</v>
      </c>
    </row>
    <row r="274" spans="1:10" s="99" customFormat="1" ht="12" customHeight="1" x14ac:dyDescent="0.3">
      <c r="A274" s="94"/>
      <c r="B274" s="94"/>
      <c r="C274" s="95"/>
      <c r="D274" s="94"/>
      <c r="E274" s="94"/>
      <c r="F274" s="94"/>
      <c r="G274" s="94"/>
      <c r="H274" s="95"/>
      <c r="I274" s="96"/>
      <c r="J274" s="93">
        <f t="shared" si="5"/>
        <v>0</v>
      </c>
    </row>
    <row r="275" spans="1:10" s="99" customFormat="1" ht="12" customHeight="1" x14ac:dyDescent="0.3">
      <c r="A275" s="94"/>
      <c r="B275" s="94"/>
      <c r="C275" s="95"/>
      <c r="D275" s="94"/>
      <c r="E275" s="94"/>
      <c r="F275" s="94"/>
      <c r="G275" s="94"/>
      <c r="H275" s="95"/>
      <c r="I275" s="96"/>
      <c r="J275" s="93">
        <f t="shared" si="5"/>
        <v>0</v>
      </c>
    </row>
    <row r="276" spans="1:10" s="99" customFormat="1" ht="12" customHeight="1" x14ac:dyDescent="0.3">
      <c r="A276" s="94"/>
      <c r="B276" s="94"/>
      <c r="C276" s="95"/>
      <c r="D276" s="94"/>
      <c r="E276" s="94"/>
      <c r="F276" s="94"/>
      <c r="G276" s="94"/>
      <c r="H276" s="95"/>
      <c r="I276" s="96"/>
      <c r="J276" s="93">
        <f t="shared" si="5"/>
        <v>0</v>
      </c>
    </row>
    <row r="277" spans="1:10" s="99" customFormat="1" ht="12" customHeight="1" x14ac:dyDescent="0.3">
      <c r="A277" s="94"/>
      <c r="B277" s="94"/>
      <c r="C277" s="95"/>
      <c r="D277" s="94"/>
      <c r="E277" s="94"/>
      <c r="F277" s="94"/>
      <c r="G277" s="94"/>
      <c r="H277" s="95"/>
      <c r="I277" s="96"/>
      <c r="J277" s="93">
        <f t="shared" si="5"/>
        <v>0</v>
      </c>
    </row>
    <row r="278" spans="1:10" s="99" customFormat="1" ht="12" customHeight="1" x14ac:dyDescent="0.3">
      <c r="A278" s="94"/>
      <c r="B278" s="94"/>
      <c r="C278" s="95"/>
      <c r="D278" s="94"/>
      <c r="E278" s="94"/>
      <c r="F278" s="94"/>
      <c r="G278" s="94"/>
      <c r="H278" s="95"/>
      <c r="I278" s="96"/>
      <c r="J278" s="93">
        <f t="shared" si="5"/>
        <v>0</v>
      </c>
    </row>
    <row r="279" spans="1:10" s="99" customFormat="1" ht="12" customHeight="1" x14ac:dyDescent="0.3">
      <c r="A279" s="94"/>
      <c r="B279" s="94"/>
      <c r="C279" s="95"/>
      <c r="D279" s="94"/>
      <c r="E279" s="94"/>
      <c r="F279" s="94"/>
      <c r="G279" s="94"/>
      <c r="H279" s="95"/>
      <c r="I279" s="96"/>
      <c r="J279" s="93">
        <f t="shared" si="5"/>
        <v>0</v>
      </c>
    </row>
    <row r="280" spans="1:10" s="99" customFormat="1" ht="12" customHeight="1" x14ac:dyDescent="0.3">
      <c r="A280" s="94"/>
      <c r="B280" s="94"/>
      <c r="C280" s="95"/>
      <c r="D280" s="94"/>
      <c r="E280" s="94"/>
      <c r="F280" s="94"/>
      <c r="G280" s="94"/>
      <c r="H280" s="95"/>
      <c r="I280" s="96"/>
      <c r="J280" s="93">
        <f t="shared" si="5"/>
        <v>0</v>
      </c>
    </row>
    <row r="281" spans="1:10" s="99" customFormat="1" ht="12" customHeight="1" x14ac:dyDescent="0.3">
      <c r="A281" s="94"/>
      <c r="B281" s="94"/>
      <c r="C281" s="95"/>
      <c r="D281" s="94"/>
      <c r="E281" s="94"/>
      <c r="F281" s="94"/>
      <c r="G281" s="94"/>
      <c r="H281" s="95"/>
      <c r="I281" s="96"/>
      <c r="J281" s="93">
        <f t="shared" si="5"/>
        <v>0</v>
      </c>
    </row>
    <row r="282" spans="1:10" s="99" customFormat="1" ht="12" customHeight="1" x14ac:dyDescent="0.3">
      <c r="A282" s="94"/>
      <c r="B282" s="94"/>
      <c r="C282" s="95"/>
      <c r="D282" s="94"/>
      <c r="E282" s="94"/>
      <c r="F282" s="94"/>
      <c r="G282" s="94"/>
      <c r="H282" s="95"/>
      <c r="I282" s="96"/>
      <c r="J282" s="93">
        <f t="shared" si="5"/>
        <v>0</v>
      </c>
    </row>
    <row r="283" spans="1:10" s="99" customFormat="1" ht="12" customHeight="1" x14ac:dyDescent="0.3">
      <c r="A283" s="94"/>
      <c r="B283" s="94"/>
      <c r="C283" s="95"/>
      <c r="D283" s="94"/>
      <c r="E283" s="94"/>
      <c r="F283" s="94"/>
      <c r="G283" s="94"/>
      <c r="H283" s="95"/>
      <c r="I283" s="96"/>
      <c r="J283" s="93">
        <f t="shared" si="5"/>
        <v>0</v>
      </c>
    </row>
    <row r="284" spans="1:10" s="99" customFormat="1" ht="12" customHeight="1" x14ac:dyDescent="0.3">
      <c r="A284" s="94"/>
      <c r="B284" s="94"/>
      <c r="C284" s="95"/>
      <c r="D284" s="94"/>
      <c r="E284" s="94"/>
      <c r="F284" s="94"/>
      <c r="G284" s="94"/>
      <c r="H284" s="95"/>
      <c r="I284" s="96"/>
      <c r="J284" s="93">
        <f t="shared" si="5"/>
        <v>0</v>
      </c>
    </row>
    <row r="285" spans="1:10" s="99" customFormat="1" ht="12" customHeight="1" x14ac:dyDescent="0.3">
      <c r="A285" s="94"/>
      <c r="B285" s="94"/>
      <c r="C285" s="95"/>
      <c r="D285" s="94"/>
      <c r="E285" s="94"/>
      <c r="F285" s="94"/>
      <c r="G285" s="94"/>
      <c r="H285" s="95"/>
      <c r="I285" s="96"/>
      <c r="J285" s="93">
        <f t="shared" si="5"/>
        <v>0</v>
      </c>
    </row>
    <row r="286" spans="1:10" s="99" customFormat="1" ht="12" customHeight="1" x14ac:dyDescent="0.3">
      <c r="A286" s="94"/>
      <c r="B286" s="94"/>
      <c r="C286" s="95"/>
      <c r="D286" s="94"/>
      <c r="E286" s="94"/>
      <c r="F286" s="94"/>
      <c r="G286" s="94"/>
      <c r="H286" s="95"/>
      <c r="I286" s="96"/>
      <c r="J286" s="93">
        <f t="shared" si="5"/>
        <v>0</v>
      </c>
    </row>
    <row r="287" spans="1:10" s="99" customFormat="1" ht="12" customHeight="1" x14ac:dyDescent="0.3">
      <c r="A287" s="94"/>
      <c r="B287" s="94"/>
      <c r="C287" s="95"/>
      <c r="D287" s="94"/>
      <c r="E287" s="94"/>
      <c r="F287" s="94"/>
      <c r="G287" s="94"/>
      <c r="H287" s="95"/>
      <c r="I287" s="96"/>
      <c r="J287" s="93">
        <f t="shared" si="5"/>
        <v>0</v>
      </c>
    </row>
    <row r="288" spans="1:10" s="99" customFormat="1" ht="12" customHeight="1" x14ac:dyDescent="0.3">
      <c r="A288" s="94"/>
      <c r="B288" s="94"/>
      <c r="C288" s="95"/>
      <c r="D288" s="94"/>
      <c r="E288" s="94"/>
      <c r="F288" s="94"/>
      <c r="G288" s="94"/>
      <c r="H288" s="95"/>
      <c r="I288" s="96"/>
      <c r="J288" s="93">
        <f t="shared" si="5"/>
        <v>0</v>
      </c>
    </row>
    <row r="289" spans="1:10" s="99" customFormat="1" ht="12" customHeight="1" x14ac:dyDescent="0.3">
      <c r="A289" s="94"/>
      <c r="B289" s="94"/>
      <c r="C289" s="95"/>
      <c r="D289" s="94"/>
      <c r="E289" s="94"/>
      <c r="F289" s="94"/>
      <c r="G289" s="94"/>
      <c r="H289" s="95"/>
      <c r="I289" s="96"/>
      <c r="J289" s="93">
        <f t="shared" si="5"/>
        <v>0</v>
      </c>
    </row>
    <row r="290" spans="1:10" s="99" customFormat="1" ht="12" customHeight="1" x14ac:dyDescent="0.3">
      <c r="A290" s="94"/>
      <c r="B290" s="94"/>
      <c r="C290" s="95"/>
      <c r="D290" s="94"/>
      <c r="E290" s="94"/>
      <c r="F290" s="94"/>
      <c r="G290" s="94"/>
      <c r="H290" s="95"/>
      <c r="I290" s="96"/>
      <c r="J290" s="93">
        <f t="shared" si="5"/>
        <v>0</v>
      </c>
    </row>
    <row r="291" spans="1:10" s="99" customFormat="1" ht="12" customHeight="1" x14ac:dyDescent="0.3">
      <c r="A291" s="94"/>
      <c r="B291" s="94"/>
      <c r="C291" s="95"/>
      <c r="D291" s="94"/>
      <c r="E291" s="94"/>
      <c r="F291" s="94"/>
      <c r="G291" s="94"/>
      <c r="H291" s="95"/>
      <c r="I291" s="96"/>
      <c r="J291" s="93">
        <f t="shared" si="5"/>
        <v>0</v>
      </c>
    </row>
    <row r="292" spans="1:10" s="99" customFormat="1" ht="12" customHeight="1" x14ac:dyDescent="0.3">
      <c r="A292" s="94"/>
      <c r="B292" s="94"/>
      <c r="C292" s="95"/>
      <c r="D292" s="94"/>
      <c r="E292" s="94"/>
      <c r="F292" s="94"/>
      <c r="G292" s="94"/>
      <c r="H292" s="95"/>
      <c r="I292" s="96"/>
      <c r="J292" s="93">
        <f t="shared" si="5"/>
        <v>0</v>
      </c>
    </row>
    <row r="293" spans="1:10" s="99" customFormat="1" ht="12" customHeight="1" x14ac:dyDescent="0.3">
      <c r="A293" s="94"/>
      <c r="B293" s="94"/>
      <c r="C293" s="95"/>
      <c r="D293" s="94"/>
      <c r="E293" s="94"/>
      <c r="F293" s="94"/>
      <c r="G293" s="94"/>
      <c r="H293" s="95"/>
      <c r="I293" s="96"/>
      <c r="J293" s="93">
        <f t="shared" si="5"/>
        <v>0</v>
      </c>
    </row>
    <row r="294" spans="1:10" s="99" customFormat="1" ht="12" customHeight="1" x14ac:dyDescent="0.3">
      <c r="A294" s="94"/>
      <c r="B294" s="94"/>
      <c r="C294" s="95"/>
      <c r="D294" s="94"/>
      <c r="E294" s="94"/>
      <c r="F294" s="94"/>
      <c r="G294" s="94"/>
      <c r="H294" s="95"/>
      <c r="I294" s="96"/>
      <c r="J294" s="93">
        <f t="shared" si="5"/>
        <v>0</v>
      </c>
    </row>
    <row r="295" spans="1:10" s="99" customFormat="1" ht="12" customHeight="1" x14ac:dyDescent="0.3">
      <c r="A295" s="94"/>
      <c r="B295" s="94"/>
      <c r="C295" s="95"/>
      <c r="D295" s="94"/>
      <c r="E295" s="94"/>
      <c r="F295" s="94"/>
      <c r="G295" s="94"/>
      <c r="H295" s="95"/>
      <c r="I295" s="96"/>
      <c r="J295" s="93">
        <f t="shared" si="5"/>
        <v>0</v>
      </c>
    </row>
    <row r="296" spans="1:10" s="99" customFormat="1" ht="12" customHeight="1" x14ac:dyDescent="0.3">
      <c r="A296" s="94"/>
      <c r="B296" s="94"/>
      <c r="C296" s="95"/>
      <c r="D296" s="94"/>
      <c r="E296" s="94"/>
      <c r="F296" s="94"/>
      <c r="G296" s="94"/>
      <c r="H296" s="95"/>
      <c r="I296" s="96"/>
      <c r="J296" s="93">
        <f t="shared" si="5"/>
        <v>0</v>
      </c>
    </row>
    <row r="297" spans="1:10" s="99" customFormat="1" ht="12" customHeight="1" x14ac:dyDescent="0.3">
      <c r="A297" s="94"/>
      <c r="B297" s="94"/>
      <c r="C297" s="95"/>
      <c r="D297" s="94"/>
      <c r="E297" s="94"/>
      <c r="F297" s="94"/>
      <c r="G297" s="94"/>
      <c r="H297" s="95"/>
      <c r="I297" s="96"/>
      <c r="J297" s="93">
        <f t="shared" si="5"/>
        <v>0</v>
      </c>
    </row>
    <row r="298" spans="1:10" s="99" customFormat="1" ht="12" customHeight="1" x14ac:dyDescent="0.3">
      <c r="A298" s="94"/>
      <c r="B298" s="94"/>
      <c r="C298" s="95"/>
      <c r="D298" s="94"/>
      <c r="E298" s="94"/>
      <c r="F298" s="94"/>
      <c r="G298" s="94"/>
      <c r="H298" s="95"/>
      <c r="I298" s="96"/>
      <c r="J298" s="93">
        <f t="shared" si="5"/>
        <v>0</v>
      </c>
    </row>
    <row r="299" spans="1:10" s="99" customFormat="1" ht="12" customHeight="1" x14ac:dyDescent="0.3">
      <c r="A299" s="94"/>
      <c r="B299" s="94"/>
      <c r="C299" s="95"/>
      <c r="D299" s="94"/>
      <c r="E299" s="94"/>
      <c r="F299" s="94"/>
      <c r="G299" s="94"/>
      <c r="H299" s="95"/>
      <c r="I299" s="96"/>
      <c r="J299" s="93">
        <f t="shared" si="5"/>
        <v>0</v>
      </c>
    </row>
    <row r="300" spans="1:10" s="99" customFormat="1" ht="12" customHeight="1" x14ac:dyDescent="0.3">
      <c r="A300" s="94"/>
      <c r="B300" s="94"/>
      <c r="C300" s="95"/>
      <c r="D300" s="94"/>
      <c r="E300" s="94"/>
      <c r="F300" s="94"/>
      <c r="G300" s="94"/>
      <c r="H300" s="95"/>
      <c r="I300" s="96"/>
      <c r="J300" s="93">
        <f t="shared" si="5"/>
        <v>0</v>
      </c>
    </row>
    <row r="301" spans="1:10" s="99" customFormat="1" ht="12" customHeight="1" x14ac:dyDescent="0.3">
      <c r="A301" s="94"/>
      <c r="B301" s="94"/>
      <c r="C301" s="95"/>
      <c r="D301" s="94"/>
      <c r="E301" s="94"/>
      <c r="F301" s="94"/>
      <c r="G301" s="94"/>
      <c r="H301" s="95"/>
      <c r="I301" s="96"/>
      <c r="J301" s="93">
        <f t="shared" si="5"/>
        <v>0</v>
      </c>
    </row>
    <row r="302" spans="1:10" s="99" customFormat="1" ht="12" customHeight="1" x14ac:dyDescent="0.3">
      <c r="A302" s="94"/>
      <c r="B302" s="94"/>
      <c r="C302" s="95"/>
      <c r="D302" s="94"/>
      <c r="E302" s="94"/>
      <c r="F302" s="94"/>
      <c r="G302" s="94"/>
      <c r="H302" s="95"/>
      <c r="I302" s="96"/>
      <c r="J302" s="93">
        <f t="shared" si="5"/>
        <v>0</v>
      </c>
    </row>
    <row r="303" spans="1:10" s="99" customFormat="1" ht="12" customHeight="1" x14ac:dyDescent="0.3">
      <c r="A303" s="94"/>
      <c r="B303" s="94"/>
      <c r="C303" s="95"/>
      <c r="D303" s="94"/>
      <c r="E303" s="94"/>
      <c r="F303" s="94"/>
      <c r="G303" s="94"/>
      <c r="H303" s="95"/>
      <c r="I303" s="96"/>
      <c r="J303" s="93">
        <f t="shared" si="5"/>
        <v>0</v>
      </c>
    </row>
    <row r="304" spans="1:10" s="99" customFormat="1" ht="12" customHeight="1" x14ac:dyDescent="0.3">
      <c r="A304" s="94"/>
      <c r="B304" s="94"/>
      <c r="C304" s="95"/>
      <c r="D304" s="94"/>
      <c r="E304" s="94"/>
      <c r="F304" s="94"/>
      <c r="G304" s="94"/>
      <c r="H304" s="95"/>
      <c r="I304" s="96"/>
      <c r="J304" s="93">
        <f t="shared" si="5"/>
        <v>0</v>
      </c>
    </row>
    <row r="305" spans="1:10" s="99" customFormat="1" ht="12" customHeight="1" x14ac:dyDescent="0.3">
      <c r="A305" s="94"/>
      <c r="B305" s="94"/>
      <c r="C305" s="95"/>
      <c r="D305" s="94"/>
      <c r="E305" s="94"/>
      <c r="F305" s="94"/>
      <c r="G305" s="94"/>
      <c r="H305" s="95"/>
      <c r="I305" s="96"/>
      <c r="J305" s="93">
        <f t="shared" si="5"/>
        <v>0</v>
      </c>
    </row>
    <row r="306" spans="1:10" s="99" customFormat="1" ht="12" customHeight="1" x14ac:dyDescent="0.3">
      <c r="A306" s="94"/>
      <c r="B306" s="94"/>
      <c r="C306" s="95"/>
      <c r="D306" s="94"/>
      <c r="E306" s="94"/>
      <c r="F306" s="94"/>
      <c r="G306" s="94"/>
      <c r="H306" s="95"/>
      <c r="I306" s="96"/>
      <c r="J306" s="93">
        <f t="shared" si="5"/>
        <v>0</v>
      </c>
    </row>
    <row r="307" spans="1:10" s="99" customFormat="1" ht="12" customHeight="1" x14ac:dyDescent="0.3">
      <c r="A307" s="94"/>
      <c r="B307" s="94"/>
      <c r="C307" s="95"/>
      <c r="D307" s="94"/>
      <c r="E307" s="94"/>
      <c r="F307" s="94"/>
      <c r="G307" s="94"/>
      <c r="H307" s="95"/>
      <c r="I307" s="96"/>
      <c r="J307" s="93">
        <f t="shared" si="5"/>
        <v>0</v>
      </c>
    </row>
    <row r="308" spans="1:10" s="99" customFormat="1" ht="12" customHeight="1" x14ac:dyDescent="0.3">
      <c r="A308" s="94"/>
      <c r="B308" s="94"/>
      <c r="C308" s="95"/>
      <c r="D308" s="94"/>
      <c r="E308" s="94"/>
      <c r="F308" s="94"/>
      <c r="G308" s="94"/>
      <c r="H308" s="95"/>
      <c r="I308" s="96"/>
      <c r="J308" s="93">
        <f t="shared" si="5"/>
        <v>0</v>
      </c>
    </row>
    <row r="309" spans="1:10" s="99" customFormat="1" ht="12" customHeight="1" x14ac:dyDescent="0.3">
      <c r="A309" s="94"/>
      <c r="B309" s="94"/>
      <c r="C309" s="95"/>
      <c r="D309" s="94"/>
      <c r="E309" s="94"/>
      <c r="F309" s="94"/>
      <c r="G309" s="94"/>
      <c r="H309" s="95"/>
      <c r="I309" s="96"/>
      <c r="J309" s="93">
        <f t="shared" si="5"/>
        <v>0</v>
      </c>
    </row>
    <row r="310" spans="1:10" s="99" customFormat="1" ht="12" customHeight="1" x14ac:dyDescent="0.3">
      <c r="A310" s="94"/>
      <c r="B310" s="94"/>
      <c r="C310" s="95"/>
      <c r="D310" s="94"/>
      <c r="E310" s="94"/>
      <c r="F310" s="94"/>
      <c r="G310" s="94"/>
      <c r="H310" s="95"/>
      <c r="I310" s="96"/>
      <c r="J310" s="93">
        <f t="shared" si="5"/>
        <v>0</v>
      </c>
    </row>
    <row r="311" spans="1:10" s="99" customFormat="1" ht="12" customHeight="1" x14ac:dyDescent="0.3">
      <c r="A311" s="94"/>
      <c r="B311" s="94"/>
      <c r="C311" s="95"/>
      <c r="D311" s="94"/>
      <c r="E311" s="94"/>
      <c r="F311" s="94"/>
      <c r="G311" s="94"/>
      <c r="H311" s="95"/>
      <c r="I311" s="96"/>
      <c r="J311" s="93">
        <f t="shared" si="5"/>
        <v>0</v>
      </c>
    </row>
    <row r="312" spans="1:10" s="99" customFormat="1" ht="12" customHeight="1" x14ac:dyDescent="0.3">
      <c r="A312" s="94"/>
      <c r="B312" s="94"/>
      <c r="C312" s="95"/>
      <c r="D312" s="94"/>
      <c r="E312" s="94"/>
      <c r="F312" s="94"/>
      <c r="G312" s="94"/>
      <c r="H312" s="95"/>
      <c r="I312" s="96"/>
      <c r="J312" s="93">
        <f t="shared" si="5"/>
        <v>0</v>
      </c>
    </row>
    <row r="313" spans="1:10" s="99" customFormat="1" ht="12" customHeight="1" x14ac:dyDescent="0.3">
      <c r="A313" s="94"/>
      <c r="B313" s="94"/>
      <c r="C313" s="95"/>
      <c r="D313" s="94"/>
      <c r="E313" s="94"/>
      <c r="F313" s="94"/>
      <c r="G313" s="94"/>
      <c r="H313" s="95"/>
      <c r="I313" s="96"/>
      <c r="J313" s="93">
        <f t="shared" si="5"/>
        <v>0</v>
      </c>
    </row>
    <row r="314" spans="1:10" s="99" customFormat="1" ht="12" customHeight="1" x14ac:dyDescent="0.3">
      <c r="A314" s="94"/>
      <c r="B314" s="94"/>
      <c r="C314" s="95"/>
      <c r="D314" s="94"/>
      <c r="E314" s="94"/>
      <c r="F314" s="94"/>
      <c r="G314" s="94"/>
      <c r="H314" s="95"/>
      <c r="I314" s="96"/>
      <c r="J314" s="93">
        <f t="shared" si="5"/>
        <v>0</v>
      </c>
    </row>
    <row r="315" spans="1:10" s="99" customFormat="1" ht="12" customHeight="1" x14ac:dyDescent="0.3">
      <c r="A315" s="94"/>
      <c r="B315" s="94"/>
      <c r="C315" s="95"/>
      <c r="D315" s="94"/>
      <c r="E315" s="94"/>
      <c r="F315" s="94"/>
      <c r="G315" s="94"/>
      <c r="H315" s="95"/>
      <c r="I315" s="96"/>
      <c r="J315" s="93">
        <f t="shared" si="5"/>
        <v>0</v>
      </c>
    </row>
    <row r="316" spans="1:10" s="99" customFormat="1" ht="12" customHeight="1" x14ac:dyDescent="0.3">
      <c r="A316" s="94"/>
      <c r="B316" s="94"/>
      <c r="C316" s="95"/>
      <c r="D316" s="94"/>
      <c r="E316" s="94"/>
      <c r="F316" s="94"/>
      <c r="G316" s="94"/>
      <c r="H316" s="95"/>
      <c r="I316" s="96"/>
      <c r="J316" s="93">
        <f t="shared" si="5"/>
        <v>0</v>
      </c>
    </row>
    <row r="317" spans="1:10" s="99" customFormat="1" ht="12" customHeight="1" x14ac:dyDescent="0.3">
      <c r="A317" s="94"/>
      <c r="B317" s="94"/>
      <c r="C317" s="95"/>
      <c r="D317" s="94"/>
      <c r="E317" s="94"/>
      <c r="F317" s="94"/>
      <c r="G317" s="94"/>
      <c r="H317" s="95"/>
      <c r="I317" s="96"/>
      <c r="J317" s="93">
        <f t="shared" si="5"/>
        <v>0</v>
      </c>
    </row>
    <row r="318" spans="1:10" s="99" customFormat="1" ht="12" customHeight="1" x14ac:dyDescent="0.3">
      <c r="A318" s="94"/>
      <c r="B318" s="94"/>
      <c r="C318" s="95"/>
      <c r="D318" s="94"/>
      <c r="E318" s="94"/>
      <c r="F318" s="94"/>
      <c r="G318" s="94"/>
      <c r="H318" s="95"/>
      <c r="I318" s="96"/>
      <c r="J318" s="93">
        <f t="shared" si="5"/>
        <v>0</v>
      </c>
    </row>
    <row r="319" spans="1:10" s="99" customFormat="1" ht="12" customHeight="1" x14ac:dyDescent="0.3">
      <c r="A319" s="94"/>
      <c r="B319" s="94"/>
      <c r="C319" s="95"/>
      <c r="D319" s="94"/>
      <c r="E319" s="94"/>
      <c r="F319" s="94"/>
      <c r="G319" s="94"/>
      <c r="H319" s="95"/>
      <c r="I319" s="96"/>
      <c r="J319" s="93">
        <f t="shared" si="5"/>
        <v>0</v>
      </c>
    </row>
    <row r="320" spans="1:10" s="99" customFormat="1" ht="12" customHeight="1" x14ac:dyDescent="0.3">
      <c r="A320" s="94"/>
      <c r="B320" s="94"/>
      <c r="C320" s="95"/>
      <c r="D320" s="94"/>
      <c r="E320" s="94"/>
      <c r="F320" s="94"/>
      <c r="G320" s="94"/>
      <c r="H320" s="95"/>
      <c r="I320" s="96"/>
      <c r="J320" s="93">
        <f t="shared" si="5"/>
        <v>0</v>
      </c>
    </row>
    <row r="321" spans="1:10" s="99" customFormat="1" ht="12" customHeight="1" x14ac:dyDescent="0.3">
      <c r="A321" s="94"/>
      <c r="B321" s="94"/>
      <c r="C321" s="95"/>
      <c r="D321" s="94"/>
      <c r="E321" s="94"/>
      <c r="F321" s="94"/>
      <c r="G321" s="94"/>
      <c r="H321" s="95"/>
      <c r="I321" s="96"/>
      <c r="J321" s="93">
        <f t="shared" si="5"/>
        <v>0</v>
      </c>
    </row>
    <row r="322" spans="1:10" s="99" customFormat="1" ht="12" customHeight="1" x14ac:dyDescent="0.3">
      <c r="A322" s="94"/>
      <c r="B322" s="94"/>
      <c r="C322" s="95"/>
      <c r="D322" s="94"/>
      <c r="E322" s="94"/>
      <c r="F322" s="94"/>
      <c r="G322" s="94"/>
      <c r="H322" s="95"/>
      <c r="I322" s="96"/>
      <c r="J322" s="93">
        <f t="shared" ref="J322:J356" si="6">ABS(I322)</f>
        <v>0</v>
      </c>
    </row>
    <row r="323" spans="1:10" s="99" customFormat="1" ht="12" customHeight="1" x14ac:dyDescent="0.3">
      <c r="A323" s="94"/>
      <c r="B323" s="94"/>
      <c r="C323" s="95"/>
      <c r="D323" s="94"/>
      <c r="E323" s="94"/>
      <c r="F323" s="94"/>
      <c r="G323" s="94"/>
      <c r="H323" s="95"/>
      <c r="I323" s="96"/>
      <c r="J323" s="93">
        <f t="shared" si="6"/>
        <v>0</v>
      </c>
    </row>
    <row r="324" spans="1:10" s="99" customFormat="1" ht="12" customHeight="1" x14ac:dyDescent="0.3">
      <c r="A324" s="94"/>
      <c r="B324" s="94"/>
      <c r="C324" s="95"/>
      <c r="D324" s="94"/>
      <c r="E324" s="94"/>
      <c r="F324" s="94"/>
      <c r="G324" s="94"/>
      <c r="H324" s="95"/>
      <c r="I324" s="96"/>
      <c r="J324" s="93">
        <f t="shared" si="6"/>
        <v>0</v>
      </c>
    </row>
    <row r="325" spans="1:10" s="99" customFormat="1" ht="12" customHeight="1" x14ac:dyDescent="0.3">
      <c r="A325" s="94"/>
      <c r="B325" s="94"/>
      <c r="C325" s="95"/>
      <c r="D325" s="94"/>
      <c r="E325" s="94"/>
      <c r="F325" s="94"/>
      <c r="G325" s="94"/>
      <c r="H325" s="95"/>
      <c r="I325" s="96"/>
      <c r="J325" s="93">
        <f t="shared" si="6"/>
        <v>0</v>
      </c>
    </row>
    <row r="326" spans="1:10" s="99" customFormat="1" ht="12" customHeight="1" x14ac:dyDescent="0.3">
      <c r="A326" s="94"/>
      <c r="B326" s="94"/>
      <c r="C326" s="95"/>
      <c r="D326" s="94"/>
      <c r="E326" s="94"/>
      <c r="F326" s="94"/>
      <c r="G326" s="94"/>
      <c r="H326" s="95"/>
      <c r="I326" s="96"/>
      <c r="J326" s="93">
        <f t="shared" si="6"/>
        <v>0</v>
      </c>
    </row>
    <row r="327" spans="1:10" s="99" customFormat="1" ht="12" customHeight="1" x14ac:dyDescent="0.3">
      <c r="A327" s="94"/>
      <c r="B327" s="94"/>
      <c r="C327" s="95"/>
      <c r="D327" s="94"/>
      <c r="E327" s="94"/>
      <c r="F327" s="94"/>
      <c r="G327" s="94"/>
      <c r="H327" s="95"/>
      <c r="I327" s="96"/>
      <c r="J327" s="93">
        <f t="shared" si="6"/>
        <v>0</v>
      </c>
    </row>
    <row r="328" spans="1:10" s="99" customFormat="1" ht="12" customHeight="1" x14ac:dyDescent="0.3">
      <c r="A328" s="94"/>
      <c r="B328" s="94"/>
      <c r="C328" s="95"/>
      <c r="D328" s="94"/>
      <c r="E328" s="94"/>
      <c r="F328" s="94"/>
      <c r="G328" s="94"/>
      <c r="H328" s="95"/>
      <c r="I328" s="96"/>
      <c r="J328" s="93">
        <f t="shared" si="6"/>
        <v>0</v>
      </c>
    </row>
    <row r="329" spans="1:10" s="99" customFormat="1" ht="12" customHeight="1" x14ac:dyDescent="0.3">
      <c r="A329" s="94"/>
      <c r="B329" s="94"/>
      <c r="C329" s="95"/>
      <c r="D329" s="94"/>
      <c r="E329" s="94"/>
      <c r="F329" s="94"/>
      <c r="G329" s="94"/>
      <c r="H329" s="95"/>
      <c r="I329" s="96"/>
      <c r="J329" s="93">
        <f t="shared" si="6"/>
        <v>0</v>
      </c>
    </row>
    <row r="330" spans="1:10" s="99" customFormat="1" ht="12" customHeight="1" x14ac:dyDescent="0.3">
      <c r="A330" s="94"/>
      <c r="B330" s="94"/>
      <c r="C330" s="95"/>
      <c r="D330" s="94"/>
      <c r="E330" s="94"/>
      <c r="F330" s="94"/>
      <c r="G330" s="94"/>
      <c r="H330" s="95"/>
      <c r="I330" s="96"/>
      <c r="J330" s="93">
        <f t="shared" si="6"/>
        <v>0</v>
      </c>
    </row>
    <row r="331" spans="1:10" s="99" customFormat="1" ht="12" customHeight="1" x14ac:dyDescent="0.3">
      <c r="A331" s="94"/>
      <c r="B331" s="94"/>
      <c r="C331" s="95"/>
      <c r="D331" s="94"/>
      <c r="E331" s="94"/>
      <c r="F331" s="94"/>
      <c r="G331" s="94"/>
      <c r="H331" s="95"/>
      <c r="I331" s="96"/>
      <c r="J331" s="93">
        <f t="shared" si="6"/>
        <v>0</v>
      </c>
    </row>
    <row r="332" spans="1:10" s="99" customFormat="1" ht="12" customHeight="1" x14ac:dyDescent="0.3">
      <c r="A332" s="94"/>
      <c r="B332" s="94"/>
      <c r="C332" s="95"/>
      <c r="D332" s="94"/>
      <c r="E332" s="94"/>
      <c r="F332" s="94"/>
      <c r="G332" s="94"/>
      <c r="H332" s="95"/>
      <c r="I332" s="96"/>
      <c r="J332" s="93">
        <f t="shared" si="6"/>
        <v>0</v>
      </c>
    </row>
    <row r="333" spans="1:10" s="99" customFormat="1" ht="12" customHeight="1" x14ac:dyDescent="0.3">
      <c r="A333" s="94"/>
      <c r="B333" s="94"/>
      <c r="C333" s="95"/>
      <c r="D333" s="94"/>
      <c r="E333" s="94"/>
      <c r="F333" s="94"/>
      <c r="G333" s="94"/>
      <c r="H333" s="95"/>
      <c r="I333" s="96"/>
      <c r="J333" s="93">
        <f t="shared" si="6"/>
        <v>0</v>
      </c>
    </row>
    <row r="334" spans="1:10" s="99" customFormat="1" ht="12" customHeight="1" x14ac:dyDescent="0.3">
      <c r="A334" s="94"/>
      <c r="B334" s="94"/>
      <c r="C334" s="95"/>
      <c r="D334" s="94"/>
      <c r="E334" s="94"/>
      <c r="F334" s="94"/>
      <c r="G334" s="94"/>
      <c r="H334" s="95"/>
      <c r="I334" s="96"/>
      <c r="J334" s="93">
        <f t="shared" si="6"/>
        <v>0</v>
      </c>
    </row>
    <row r="335" spans="1:10" s="99" customFormat="1" ht="12" customHeight="1" x14ac:dyDescent="0.3">
      <c r="A335" s="94"/>
      <c r="B335" s="94"/>
      <c r="C335" s="95"/>
      <c r="D335" s="94"/>
      <c r="E335" s="94"/>
      <c r="F335" s="94"/>
      <c r="G335" s="94"/>
      <c r="H335" s="95"/>
      <c r="I335" s="96"/>
      <c r="J335" s="93">
        <f t="shared" si="6"/>
        <v>0</v>
      </c>
    </row>
    <row r="336" spans="1:10" s="99" customFormat="1" ht="12" customHeight="1" x14ac:dyDescent="0.3">
      <c r="A336" s="94"/>
      <c r="B336" s="94"/>
      <c r="C336" s="95"/>
      <c r="D336" s="94"/>
      <c r="E336" s="94"/>
      <c r="F336" s="94"/>
      <c r="G336" s="94"/>
      <c r="H336" s="95"/>
      <c r="I336" s="96"/>
      <c r="J336" s="93">
        <f t="shared" si="6"/>
        <v>0</v>
      </c>
    </row>
    <row r="337" spans="1:10" s="99" customFormat="1" ht="12" customHeight="1" x14ac:dyDescent="0.3">
      <c r="A337" s="94"/>
      <c r="B337" s="94"/>
      <c r="C337" s="95"/>
      <c r="D337" s="94"/>
      <c r="E337" s="94"/>
      <c r="F337" s="94"/>
      <c r="G337" s="94"/>
      <c r="H337" s="95"/>
      <c r="I337" s="96"/>
      <c r="J337" s="93">
        <f t="shared" si="6"/>
        <v>0</v>
      </c>
    </row>
    <row r="338" spans="1:10" s="99" customFormat="1" ht="12" customHeight="1" x14ac:dyDescent="0.3">
      <c r="A338" s="94"/>
      <c r="B338" s="94"/>
      <c r="C338" s="95"/>
      <c r="D338" s="94"/>
      <c r="E338" s="94"/>
      <c r="F338" s="94"/>
      <c r="G338" s="94"/>
      <c r="H338" s="95"/>
      <c r="I338" s="96"/>
      <c r="J338" s="93">
        <f t="shared" si="6"/>
        <v>0</v>
      </c>
    </row>
    <row r="339" spans="1:10" s="99" customFormat="1" ht="12" customHeight="1" x14ac:dyDescent="0.3">
      <c r="A339" s="94"/>
      <c r="B339" s="94"/>
      <c r="C339" s="95"/>
      <c r="D339" s="94"/>
      <c r="E339" s="94"/>
      <c r="F339" s="94"/>
      <c r="G339" s="94"/>
      <c r="H339" s="95"/>
      <c r="I339" s="96"/>
      <c r="J339" s="93">
        <f t="shared" si="6"/>
        <v>0</v>
      </c>
    </row>
    <row r="340" spans="1:10" s="99" customFormat="1" ht="12" customHeight="1" x14ac:dyDescent="0.3">
      <c r="A340" s="94"/>
      <c r="B340" s="94"/>
      <c r="C340" s="95"/>
      <c r="D340" s="94"/>
      <c r="E340" s="94"/>
      <c r="F340" s="94"/>
      <c r="G340" s="94"/>
      <c r="H340" s="95"/>
      <c r="I340" s="96"/>
      <c r="J340" s="93">
        <f t="shared" si="6"/>
        <v>0</v>
      </c>
    </row>
    <row r="341" spans="1:10" s="99" customFormat="1" ht="12" customHeight="1" x14ac:dyDescent="0.3">
      <c r="A341" s="94"/>
      <c r="B341" s="94"/>
      <c r="C341" s="95"/>
      <c r="D341" s="94"/>
      <c r="E341" s="94"/>
      <c r="F341" s="94"/>
      <c r="G341" s="94"/>
      <c r="H341" s="95"/>
      <c r="I341" s="96"/>
      <c r="J341" s="93">
        <f t="shared" si="6"/>
        <v>0</v>
      </c>
    </row>
    <row r="342" spans="1:10" s="99" customFormat="1" ht="12" customHeight="1" x14ac:dyDescent="0.3">
      <c r="A342" s="94"/>
      <c r="B342" s="94"/>
      <c r="C342" s="95"/>
      <c r="D342" s="94"/>
      <c r="E342" s="94"/>
      <c r="F342" s="94"/>
      <c r="G342" s="94"/>
      <c r="H342" s="95"/>
      <c r="I342" s="96"/>
      <c r="J342" s="93">
        <f t="shared" si="6"/>
        <v>0</v>
      </c>
    </row>
    <row r="343" spans="1:10" s="99" customFormat="1" ht="12" customHeight="1" x14ac:dyDescent="0.3">
      <c r="A343" s="94"/>
      <c r="B343" s="94"/>
      <c r="C343" s="95"/>
      <c r="D343" s="94"/>
      <c r="E343" s="94"/>
      <c r="F343" s="94"/>
      <c r="G343" s="94"/>
      <c r="H343" s="95"/>
      <c r="I343" s="96"/>
      <c r="J343" s="93">
        <f t="shared" si="6"/>
        <v>0</v>
      </c>
    </row>
    <row r="344" spans="1:10" s="99" customFormat="1" ht="12" customHeight="1" x14ac:dyDescent="0.3">
      <c r="A344" s="94"/>
      <c r="B344" s="94"/>
      <c r="C344" s="95"/>
      <c r="D344" s="94"/>
      <c r="E344" s="94"/>
      <c r="F344" s="94"/>
      <c r="G344" s="94"/>
      <c r="H344" s="95"/>
      <c r="I344" s="96"/>
      <c r="J344" s="93">
        <f t="shared" si="6"/>
        <v>0</v>
      </c>
    </row>
    <row r="345" spans="1:10" s="99" customFormat="1" ht="12" customHeight="1" x14ac:dyDescent="0.3">
      <c r="A345" s="94"/>
      <c r="B345" s="94"/>
      <c r="C345" s="95"/>
      <c r="D345" s="94"/>
      <c r="E345" s="94"/>
      <c r="F345" s="94"/>
      <c r="G345" s="94"/>
      <c r="H345" s="95"/>
      <c r="I345" s="96"/>
      <c r="J345" s="93">
        <f t="shared" si="6"/>
        <v>0</v>
      </c>
    </row>
    <row r="346" spans="1:10" s="99" customFormat="1" ht="12" customHeight="1" x14ac:dyDescent="0.3">
      <c r="A346" s="94"/>
      <c r="B346" s="94"/>
      <c r="C346" s="95"/>
      <c r="D346" s="94"/>
      <c r="E346" s="94"/>
      <c r="F346" s="94"/>
      <c r="G346" s="94"/>
      <c r="H346" s="95"/>
      <c r="I346" s="96"/>
      <c r="J346" s="93">
        <f t="shared" si="6"/>
        <v>0</v>
      </c>
    </row>
    <row r="347" spans="1:10" s="99" customFormat="1" ht="12" customHeight="1" x14ac:dyDescent="0.3">
      <c r="A347" s="94"/>
      <c r="B347" s="94"/>
      <c r="C347" s="95"/>
      <c r="D347" s="94"/>
      <c r="E347" s="94"/>
      <c r="F347" s="94"/>
      <c r="G347" s="94"/>
      <c r="H347" s="95"/>
      <c r="I347" s="96"/>
      <c r="J347" s="93">
        <f t="shared" si="6"/>
        <v>0</v>
      </c>
    </row>
    <row r="348" spans="1:10" s="99" customFormat="1" ht="12" customHeight="1" x14ac:dyDescent="0.3">
      <c r="A348" s="94"/>
      <c r="B348" s="94"/>
      <c r="C348" s="95"/>
      <c r="D348" s="94"/>
      <c r="E348" s="94"/>
      <c r="F348" s="94"/>
      <c r="G348" s="94"/>
      <c r="H348" s="95"/>
      <c r="I348" s="96"/>
      <c r="J348" s="93">
        <f t="shared" si="6"/>
        <v>0</v>
      </c>
    </row>
    <row r="349" spans="1:10" s="99" customFormat="1" ht="12" customHeight="1" x14ac:dyDescent="0.3">
      <c r="A349" s="94"/>
      <c r="B349" s="94"/>
      <c r="C349" s="95"/>
      <c r="D349" s="94"/>
      <c r="E349" s="94"/>
      <c r="F349" s="94"/>
      <c r="G349" s="94"/>
      <c r="H349" s="95"/>
      <c r="I349" s="96"/>
      <c r="J349" s="93">
        <f t="shared" si="6"/>
        <v>0</v>
      </c>
    </row>
    <row r="350" spans="1:10" s="99" customFormat="1" ht="12" customHeight="1" x14ac:dyDescent="0.3">
      <c r="A350" s="94"/>
      <c r="B350" s="94"/>
      <c r="C350" s="95"/>
      <c r="D350" s="94"/>
      <c r="E350" s="94"/>
      <c r="F350" s="94"/>
      <c r="G350" s="94"/>
      <c r="H350" s="95"/>
      <c r="I350" s="96"/>
      <c r="J350" s="93">
        <f t="shared" si="6"/>
        <v>0</v>
      </c>
    </row>
    <row r="351" spans="1:10" s="99" customFormat="1" ht="12" customHeight="1" x14ac:dyDescent="0.3">
      <c r="A351" s="94"/>
      <c r="B351" s="94"/>
      <c r="C351" s="95"/>
      <c r="D351" s="94"/>
      <c r="E351" s="94"/>
      <c r="F351" s="94"/>
      <c r="G351" s="94"/>
      <c r="H351" s="95"/>
      <c r="I351" s="96"/>
      <c r="J351" s="93">
        <f t="shared" si="6"/>
        <v>0</v>
      </c>
    </row>
    <row r="352" spans="1:10" s="99" customFormat="1" ht="12" customHeight="1" x14ac:dyDescent="0.3">
      <c r="A352" s="94"/>
      <c r="B352" s="94"/>
      <c r="C352" s="95"/>
      <c r="D352" s="94"/>
      <c r="E352" s="94"/>
      <c r="F352" s="94"/>
      <c r="G352" s="94"/>
      <c r="H352" s="95"/>
      <c r="I352" s="96"/>
      <c r="J352" s="93">
        <f t="shared" si="6"/>
        <v>0</v>
      </c>
    </row>
    <row r="353" spans="1:10" s="99" customFormat="1" ht="12" customHeight="1" x14ac:dyDescent="0.3">
      <c r="A353" s="94"/>
      <c r="B353" s="94"/>
      <c r="C353" s="95"/>
      <c r="D353" s="94"/>
      <c r="E353" s="94"/>
      <c r="F353" s="94"/>
      <c r="G353" s="94"/>
      <c r="H353" s="95"/>
      <c r="I353" s="96"/>
      <c r="J353" s="93">
        <f t="shared" si="6"/>
        <v>0</v>
      </c>
    </row>
    <row r="354" spans="1:10" s="99" customFormat="1" ht="12" customHeight="1" x14ac:dyDescent="0.3">
      <c r="A354" s="94"/>
      <c r="B354" s="94"/>
      <c r="C354" s="95"/>
      <c r="D354" s="94"/>
      <c r="E354" s="94"/>
      <c r="F354" s="94"/>
      <c r="G354" s="94"/>
      <c r="H354" s="95"/>
      <c r="I354" s="96"/>
      <c r="J354" s="93">
        <f t="shared" si="6"/>
        <v>0</v>
      </c>
    </row>
    <row r="355" spans="1:10" s="99" customFormat="1" ht="12" customHeight="1" x14ac:dyDescent="0.3">
      <c r="A355" s="94"/>
      <c r="B355" s="94"/>
      <c r="C355" s="95"/>
      <c r="D355" s="94"/>
      <c r="E355" s="94"/>
      <c r="F355" s="94"/>
      <c r="G355" s="94"/>
      <c r="H355" s="95"/>
      <c r="I355" s="96"/>
      <c r="J355" s="93">
        <f t="shared" si="6"/>
        <v>0</v>
      </c>
    </row>
    <row r="356" spans="1:10" s="99" customFormat="1" ht="12" customHeight="1" x14ac:dyDescent="0.3">
      <c r="A356" s="94"/>
      <c r="B356" s="94"/>
      <c r="C356" s="95"/>
      <c r="D356" s="94"/>
      <c r="E356" s="94"/>
      <c r="F356" s="94"/>
      <c r="G356" s="94"/>
      <c r="H356" s="95"/>
      <c r="I356" s="96"/>
      <c r="J356" s="93">
        <f t="shared" si="6"/>
        <v>0</v>
      </c>
    </row>
    <row r="358" spans="1:10" ht="12" customHeight="1" x14ac:dyDescent="0.3">
      <c r="J358" s="100"/>
    </row>
    <row r="359" spans="1:10" ht="12" customHeight="1" x14ac:dyDescent="0.3">
      <c r="J359" s="100"/>
    </row>
    <row r="360" spans="1:10" ht="12" customHeight="1" x14ac:dyDescent="0.3">
      <c r="I360" s="123"/>
      <c r="J360" s="126">
        <f>SUM(J3:J358)</f>
        <v>0</v>
      </c>
    </row>
  </sheetData>
  <autoFilter ref="A2:J356" xr:uid="{463D81E9-35AD-4A84-AE2F-ED9B4FEE3C7E}"/>
  <sortState xmlns:xlrd2="http://schemas.microsoft.com/office/spreadsheetml/2017/richdata2" ref="A3:I189">
    <sortCondition ref="A3:A189"/>
  </sortState>
  <pageMargins left="0.75" right="0.75" top="1" bottom="1" header="0.5" footer="0.5"/>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Q26"/>
  <sheetViews>
    <sheetView topLeftCell="A2" workbookViewId="0">
      <selection activeCell="A2" sqref="A2"/>
    </sheetView>
  </sheetViews>
  <sheetFormatPr defaultColWidth="11.44140625" defaultRowHeight="12" customHeight="1" x14ac:dyDescent="0.25"/>
  <cols>
    <col min="1" max="1" width="11.44140625" style="10"/>
    <col min="2" max="2" width="11.88671875" style="10" bestFit="1" customWidth="1"/>
    <col min="3" max="3" width="27" style="10" bestFit="1" customWidth="1"/>
    <col min="4" max="4" width="17.44140625" style="10" bestFit="1" customWidth="1"/>
    <col min="5" max="5" width="11.44140625" style="10"/>
    <col min="6" max="6" width="17" style="10" bestFit="1" customWidth="1"/>
    <col min="7" max="8" width="11.44140625" style="10"/>
    <col min="9" max="9" width="13.44140625" style="10" bestFit="1" customWidth="1"/>
    <col min="10" max="10" width="14.5546875" style="10" bestFit="1" customWidth="1"/>
    <col min="11" max="12" width="11.44140625" style="10"/>
    <col min="13" max="13" width="56.44140625" style="10" bestFit="1" customWidth="1"/>
    <col min="14" max="14" width="11.44140625" style="10"/>
    <col min="15" max="15" width="22.44140625" style="10" customWidth="1"/>
    <col min="16" max="16384" width="11.44140625" style="10"/>
  </cols>
  <sheetData>
    <row r="1" spans="1:17" ht="24" customHeight="1" x14ac:dyDescent="0.25">
      <c r="B1" s="9" t="s">
        <v>0</v>
      </c>
      <c r="C1" s="9" t="s">
        <v>1</v>
      </c>
      <c r="D1" s="9" t="s">
        <v>41</v>
      </c>
      <c r="E1" s="9" t="s">
        <v>34</v>
      </c>
      <c r="F1" s="9" t="s">
        <v>42</v>
      </c>
      <c r="G1" s="9" t="s">
        <v>43</v>
      </c>
      <c r="H1" s="9" t="s">
        <v>44</v>
      </c>
      <c r="I1" s="9" t="s">
        <v>45</v>
      </c>
      <c r="J1" s="9" t="s">
        <v>46</v>
      </c>
      <c r="K1" s="9" t="s">
        <v>47</v>
      </c>
      <c r="L1" s="9" t="s">
        <v>48</v>
      </c>
      <c r="M1" s="9" t="s">
        <v>2</v>
      </c>
      <c r="N1" s="9" t="s">
        <v>49</v>
      </c>
      <c r="O1" s="9" t="s">
        <v>50</v>
      </c>
    </row>
    <row r="2" spans="1:17" ht="12" customHeight="1" x14ac:dyDescent="0.25">
      <c r="A2" s="124" t="s">
        <v>95</v>
      </c>
      <c r="B2" s="124" t="s">
        <v>30</v>
      </c>
      <c r="C2" s="124" t="s">
        <v>31</v>
      </c>
      <c r="D2" s="124" t="s">
        <v>51</v>
      </c>
      <c r="E2" s="124" t="s">
        <v>52</v>
      </c>
      <c r="F2" s="124" t="s">
        <v>35</v>
      </c>
      <c r="G2" s="124" t="s">
        <v>36</v>
      </c>
      <c r="H2" s="124" t="s">
        <v>37</v>
      </c>
      <c r="I2" s="124" t="s">
        <v>38</v>
      </c>
      <c r="J2" s="124" t="s">
        <v>39</v>
      </c>
      <c r="K2" s="124" t="s">
        <v>40</v>
      </c>
      <c r="L2" s="124" t="s">
        <v>53</v>
      </c>
      <c r="M2" s="124" t="s">
        <v>3</v>
      </c>
      <c r="N2" s="124" t="s">
        <v>49</v>
      </c>
      <c r="O2" s="124" t="s">
        <v>33</v>
      </c>
    </row>
    <row r="3" spans="1:17" s="40" customFormat="1" ht="12" customHeight="1" x14ac:dyDescent="0.3">
      <c r="A3"/>
      <c r="B3" s="108"/>
      <c r="C3" s="108"/>
      <c r="D3"/>
      <c r="E3" s="108"/>
      <c r="F3" s="2"/>
      <c r="G3" s="108"/>
      <c r="H3" s="108"/>
      <c r="I3" s="2"/>
      <c r="J3" s="108"/>
      <c r="K3" s="108"/>
      <c r="L3" s="108"/>
      <c r="M3" s="108"/>
      <c r="N3" s="108"/>
      <c r="O3" s="2"/>
      <c r="P3" s="108"/>
    </row>
    <row r="4" spans="1:17" s="40" customFormat="1" ht="12" customHeight="1" x14ac:dyDescent="0.3">
      <c r="A4"/>
      <c r="B4" s="108"/>
      <c r="C4" s="108"/>
      <c r="D4"/>
      <c r="E4" s="108"/>
      <c r="F4" s="2"/>
      <c r="G4" s="108"/>
      <c r="H4" s="108"/>
      <c r="I4" s="2"/>
      <c r="J4" s="108"/>
      <c r="K4" s="108"/>
      <c r="L4" s="108"/>
      <c r="M4" s="108"/>
      <c r="N4" s="108"/>
      <c r="O4" s="2"/>
      <c r="P4" s="108"/>
    </row>
    <row r="5" spans="1:17" s="40" customFormat="1" ht="12" customHeight="1" x14ac:dyDescent="0.3">
      <c r="A5"/>
      <c r="B5"/>
      <c r="C5"/>
      <c r="D5"/>
      <c r="E5"/>
      <c r="F5"/>
      <c r="G5"/>
      <c r="H5"/>
      <c r="I5"/>
      <c r="J5"/>
      <c r="K5"/>
      <c r="L5"/>
      <c r="M5"/>
      <c r="N5"/>
      <c r="O5"/>
      <c r="P5" s="108"/>
    </row>
    <row r="6" spans="1:17" s="40" customFormat="1" ht="12" customHeight="1" x14ac:dyDescent="0.3">
      <c r="A6"/>
      <c r="B6"/>
      <c r="C6"/>
      <c r="D6"/>
      <c r="E6"/>
      <c r="F6"/>
      <c r="G6"/>
      <c r="H6"/>
      <c r="I6"/>
      <c r="J6"/>
      <c r="K6"/>
      <c r="L6"/>
      <c r="M6"/>
      <c r="N6"/>
      <c r="O6"/>
      <c r="P6" s="108"/>
    </row>
    <row r="7" spans="1:17" s="40" customFormat="1" ht="12" customHeight="1" x14ac:dyDescent="0.3">
      <c r="A7"/>
      <c r="B7"/>
      <c r="C7"/>
      <c r="D7"/>
      <c r="E7"/>
      <c r="F7"/>
      <c r="G7"/>
      <c r="H7"/>
      <c r="I7"/>
      <c r="J7"/>
      <c r="K7"/>
      <c r="L7"/>
      <c r="M7"/>
      <c r="N7"/>
      <c r="O7"/>
      <c r="P7" s="108"/>
    </row>
    <row r="8" spans="1:17" s="40" customFormat="1" ht="12" customHeight="1" x14ac:dyDescent="0.3">
      <c r="A8"/>
      <c r="B8"/>
      <c r="C8"/>
      <c r="D8"/>
      <c r="E8"/>
      <c r="F8"/>
      <c r="G8"/>
      <c r="H8"/>
      <c r="I8"/>
      <c r="J8"/>
      <c r="K8"/>
      <c r="L8"/>
      <c r="M8"/>
      <c r="N8"/>
      <c r="O8"/>
      <c r="P8" s="108"/>
    </row>
    <row r="9" spans="1:17" s="40" customFormat="1" ht="12" customHeight="1" x14ac:dyDescent="0.3">
      <c r="B9" s="108"/>
      <c r="C9" s="108"/>
      <c r="D9"/>
      <c r="E9" s="108"/>
      <c r="F9" s="2"/>
      <c r="G9" s="108"/>
      <c r="H9" s="108"/>
      <c r="I9" s="2"/>
      <c r="J9" s="108"/>
      <c r="K9" s="108"/>
      <c r="L9" s="108"/>
      <c r="M9" s="108"/>
      <c r="N9" s="108"/>
      <c r="O9" s="2"/>
    </row>
    <row r="10" spans="1:17" ht="12" customHeight="1" x14ac:dyDescent="0.3">
      <c r="B10"/>
      <c r="C10"/>
      <c r="D10"/>
      <c r="E10"/>
      <c r="F10"/>
      <c r="G10"/>
      <c r="H10"/>
      <c r="I10"/>
      <c r="J10"/>
      <c r="K10"/>
      <c r="L10"/>
      <c r="M10"/>
      <c r="N10"/>
      <c r="O10"/>
      <c r="Q10" s="76"/>
    </row>
    <row r="11" spans="1:17" ht="12" customHeight="1" x14ac:dyDescent="0.3">
      <c r="B11" s="81"/>
      <c r="C11" s="81"/>
      <c r="D11" s="82"/>
      <c r="E11" s="79"/>
      <c r="F11" s="79"/>
      <c r="G11" s="79"/>
      <c r="H11" s="79"/>
      <c r="I11" s="79"/>
      <c r="J11" s="79"/>
      <c r="K11" s="79"/>
      <c r="L11" s="79"/>
      <c r="M11" s="79"/>
      <c r="N11" s="79"/>
      <c r="O11" s="80"/>
      <c r="Q11" s="76"/>
    </row>
    <row r="12" spans="1:17" ht="12" customHeight="1" x14ac:dyDescent="0.25">
      <c r="B12" s="81"/>
      <c r="C12" s="81"/>
      <c r="D12" s="82"/>
      <c r="E12" s="79"/>
      <c r="F12" s="79"/>
      <c r="G12" s="79"/>
      <c r="H12" s="79"/>
      <c r="I12" s="79"/>
      <c r="J12" s="79"/>
      <c r="K12" s="79"/>
      <c r="L12" s="79"/>
      <c r="M12" s="79"/>
      <c r="N12" s="79"/>
      <c r="O12" s="80"/>
    </row>
    <row r="13" spans="1:17" ht="12" customHeight="1" x14ac:dyDescent="0.25">
      <c r="C13" s="43">
        <f>+C3-B3</f>
        <v>0</v>
      </c>
      <c r="G13" s="11"/>
      <c r="H13" s="11"/>
    </row>
    <row r="14" spans="1:17" ht="12" customHeight="1" x14ac:dyDescent="0.25">
      <c r="C14" s="43">
        <f t="shared" ref="C14:C17" si="0">+C9-B9</f>
        <v>0</v>
      </c>
      <c r="G14" s="11"/>
      <c r="H14" s="11"/>
      <c r="O14" s="19">
        <f>SUM(O1:O13)</f>
        <v>0</v>
      </c>
    </row>
    <row r="15" spans="1:17" ht="12" customHeight="1" x14ac:dyDescent="0.25">
      <c r="C15" s="43">
        <f t="shared" si="0"/>
        <v>0</v>
      </c>
      <c r="G15" s="11"/>
      <c r="H15" s="11"/>
    </row>
    <row r="16" spans="1:17" ht="12" customHeight="1" x14ac:dyDescent="0.25">
      <c r="C16" s="43">
        <f t="shared" si="0"/>
        <v>0</v>
      </c>
    </row>
    <row r="17" spans="2:15" ht="12" customHeight="1" x14ac:dyDescent="0.25">
      <c r="B17" s="15"/>
      <c r="C17" s="43">
        <f t="shared" si="0"/>
        <v>0</v>
      </c>
      <c r="D17" s="12"/>
      <c r="E17" s="12"/>
      <c r="F17" s="12"/>
      <c r="G17" s="12"/>
      <c r="H17" s="12"/>
      <c r="I17" s="12"/>
      <c r="J17" s="12"/>
      <c r="K17" s="12"/>
      <c r="L17" s="12"/>
      <c r="M17" s="13"/>
      <c r="N17" s="13"/>
      <c r="O17" s="14"/>
    </row>
    <row r="18" spans="2:15" ht="12" customHeight="1" x14ac:dyDescent="0.25">
      <c r="B18" s="15"/>
      <c r="C18" s="15"/>
      <c r="D18" s="12"/>
      <c r="E18" s="12"/>
      <c r="F18" s="12"/>
      <c r="G18" s="12"/>
      <c r="H18" s="12"/>
      <c r="I18" s="12"/>
      <c r="J18" s="12"/>
      <c r="K18" s="12"/>
      <c r="L18" s="12"/>
      <c r="M18" s="13"/>
      <c r="N18" s="13"/>
      <c r="O18" s="14"/>
    </row>
    <row r="19" spans="2:15" ht="12" customHeight="1" x14ac:dyDescent="0.25">
      <c r="B19" s="15" t="s">
        <v>62</v>
      </c>
      <c r="C19" s="15"/>
      <c r="D19" s="12"/>
      <c r="E19" s="12"/>
      <c r="F19" s="12"/>
      <c r="G19" s="12"/>
      <c r="H19" s="12"/>
      <c r="I19" s="12"/>
      <c r="J19" s="12"/>
      <c r="K19" s="12"/>
      <c r="L19" s="12"/>
      <c r="M19" s="13"/>
      <c r="N19" s="13"/>
      <c r="O19" s="14"/>
    </row>
    <row r="20" spans="2:15" ht="12" customHeight="1" x14ac:dyDescent="0.25">
      <c r="C20" s="16" t="s">
        <v>63</v>
      </c>
      <c r="D20" s="12"/>
      <c r="E20" s="12"/>
      <c r="F20" s="12"/>
      <c r="G20" s="12"/>
      <c r="H20" s="12"/>
      <c r="I20" s="12"/>
      <c r="J20" s="12"/>
      <c r="K20" s="12"/>
      <c r="L20" s="12"/>
      <c r="M20" s="13"/>
      <c r="N20" s="13"/>
      <c r="O20" s="14"/>
    </row>
    <row r="21" spans="2:15" ht="12" customHeight="1" x14ac:dyDescent="0.25">
      <c r="B21" s="15"/>
      <c r="C21" s="16" t="s">
        <v>64</v>
      </c>
      <c r="D21" s="12"/>
      <c r="E21" s="12"/>
      <c r="F21" s="12"/>
      <c r="G21" s="12"/>
      <c r="H21" s="12"/>
      <c r="I21" s="12"/>
      <c r="J21" s="12"/>
      <c r="K21" s="12"/>
      <c r="L21" s="12"/>
      <c r="M21" s="13"/>
      <c r="N21" s="13"/>
      <c r="O21" s="14"/>
    </row>
    <row r="22" spans="2:15" ht="12" customHeight="1" x14ac:dyDescent="0.25">
      <c r="B22" s="15"/>
      <c r="C22" s="15"/>
      <c r="D22" s="12"/>
      <c r="E22" s="12"/>
      <c r="F22" s="12"/>
      <c r="G22" s="12"/>
      <c r="H22" s="12"/>
      <c r="I22" s="12"/>
      <c r="J22" s="12"/>
      <c r="K22" s="12"/>
      <c r="L22" s="12"/>
      <c r="M22" s="13"/>
      <c r="N22" s="13"/>
      <c r="O22" s="14"/>
    </row>
    <row r="23" spans="2:15" ht="12" customHeight="1" x14ac:dyDescent="0.25">
      <c r="C23" s="16" t="s">
        <v>65</v>
      </c>
      <c r="D23" s="15"/>
      <c r="E23" s="12"/>
      <c r="F23" s="12"/>
      <c r="G23" s="12"/>
      <c r="H23" s="12"/>
      <c r="I23" s="12"/>
      <c r="J23" s="12"/>
      <c r="K23" s="12"/>
      <c r="L23" s="12"/>
      <c r="M23" s="13"/>
      <c r="N23" s="13"/>
      <c r="O23" s="14"/>
    </row>
    <row r="24" spans="2:15" ht="12" customHeight="1" x14ac:dyDescent="0.25">
      <c r="C24" s="15" t="s">
        <v>66</v>
      </c>
      <c r="E24" s="12"/>
      <c r="F24" s="12"/>
      <c r="G24" s="12"/>
      <c r="H24" s="12"/>
      <c r="I24" s="12"/>
      <c r="J24" s="12"/>
      <c r="K24" s="12"/>
      <c r="L24" s="12"/>
      <c r="M24" s="13"/>
      <c r="N24" s="13"/>
      <c r="O24" s="14"/>
    </row>
    <row r="25" spans="2:15" ht="12" customHeight="1" x14ac:dyDescent="0.25">
      <c r="C25" s="15" t="s">
        <v>67</v>
      </c>
      <c r="E25" s="12"/>
      <c r="F25" s="12"/>
      <c r="G25" s="12"/>
      <c r="H25" s="12"/>
      <c r="I25" s="12"/>
      <c r="J25" s="12"/>
      <c r="K25" s="12"/>
      <c r="L25" s="12"/>
      <c r="M25" s="13"/>
      <c r="N25" s="13"/>
      <c r="O25" s="14"/>
    </row>
    <row r="26" spans="2:15" ht="12" customHeight="1" x14ac:dyDescent="0.25">
      <c r="C26" s="15" t="s">
        <v>68</v>
      </c>
      <c r="E26" s="12"/>
      <c r="F26" s="12"/>
      <c r="G26" s="12"/>
      <c r="H26" s="12"/>
      <c r="I26" s="12"/>
      <c r="J26" s="12"/>
      <c r="K26" s="12"/>
      <c r="L26" s="12"/>
      <c r="M26" s="13"/>
      <c r="N26" s="13"/>
      <c r="O26" s="14"/>
    </row>
  </sheetData>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Q372"/>
  <sheetViews>
    <sheetView topLeftCell="A13" workbookViewId="0">
      <selection activeCell="J34" sqref="J34"/>
    </sheetView>
  </sheetViews>
  <sheetFormatPr defaultColWidth="11.44140625" defaultRowHeight="15" customHeight="1" x14ac:dyDescent="0.3"/>
  <cols>
    <col min="1" max="2" width="11.44140625" style="17"/>
    <col min="3" max="3" width="11.44140625" style="130"/>
    <col min="4" max="5" width="11.44140625" style="17"/>
    <col min="6" max="6" width="11.5546875" style="17" bestFit="1" customWidth="1"/>
    <col min="7" max="7" width="24.5546875" style="17" customWidth="1"/>
    <col min="8" max="8" width="11.5546875" style="17" bestFit="1" customWidth="1"/>
    <col min="9" max="9" width="15.44140625" style="159" bestFit="1" customWidth="1"/>
    <col min="10" max="12" width="13.109375" style="17" bestFit="1" customWidth="1"/>
    <col min="13" max="14" width="11.44140625" style="17"/>
    <col min="15" max="15" width="18" style="17" bestFit="1" customWidth="1"/>
    <col min="16" max="16384" width="11.44140625" style="17"/>
  </cols>
  <sheetData>
    <row r="1" spans="1:17" ht="15" customHeight="1" x14ac:dyDescent="0.3">
      <c r="A1" s="22" t="s">
        <v>0</v>
      </c>
      <c r="B1" s="22" t="s">
        <v>1</v>
      </c>
      <c r="C1" s="142" t="s">
        <v>4</v>
      </c>
      <c r="D1" s="22" t="s">
        <v>5</v>
      </c>
      <c r="E1" s="22" t="s">
        <v>59</v>
      </c>
      <c r="F1" s="22" t="s">
        <v>9</v>
      </c>
      <c r="G1" s="22" t="s">
        <v>2</v>
      </c>
      <c r="H1" s="22" t="s">
        <v>49</v>
      </c>
      <c r="I1" s="158" t="s">
        <v>50</v>
      </c>
      <c r="J1" s="32" t="s">
        <v>71</v>
      </c>
    </row>
    <row r="2" spans="1:17" ht="15" customHeight="1" x14ac:dyDescent="0.3">
      <c r="A2" s="22" t="s">
        <v>30</v>
      </c>
      <c r="B2" s="22" t="s">
        <v>31</v>
      </c>
      <c r="C2" s="142" t="s">
        <v>32</v>
      </c>
      <c r="D2" s="22" t="s">
        <v>60</v>
      </c>
      <c r="E2" s="22" t="s">
        <v>61</v>
      </c>
      <c r="F2" s="22" t="s">
        <v>53</v>
      </c>
      <c r="G2" s="22" t="s">
        <v>3</v>
      </c>
      <c r="H2" s="22" t="s">
        <v>49</v>
      </c>
      <c r="I2" s="158" t="s">
        <v>33</v>
      </c>
      <c r="J2" s="32" t="s">
        <v>72</v>
      </c>
      <c r="K2"/>
      <c r="L2"/>
    </row>
    <row r="3" spans="1:17" customFormat="1" ht="14.4" x14ac:dyDescent="0.3">
      <c r="A3" s="154"/>
      <c r="B3" s="154"/>
      <c r="Q3" s="75"/>
    </row>
    <row r="4" spans="1:17" customFormat="1" ht="14.4" x14ac:dyDescent="0.3">
      <c r="A4" s="152"/>
      <c r="B4" s="152"/>
      <c r="C4" s="153"/>
      <c r="D4" s="153"/>
      <c r="E4" s="153"/>
      <c r="F4" s="153"/>
      <c r="G4" s="153"/>
      <c r="H4" s="153"/>
      <c r="I4" s="153"/>
      <c r="J4" s="17"/>
    </row>
    <row r="5" spans="1:17" customFormat="1" ht="14.4" x14ac:dyDescent="0.3">
      <c r="A5" s="154"/>
      <c r="B5" s="154"/>
      <c r="J5" s="17"/>
    </row>
    <row r="6" spans="1:17" customFormat="1" ht="14.4" x14ac:dyDescent="0.3">
      <c r="A6" s="152"/>
      <c r="B6" s="152"/>
      <c r="C6" s="153"/>
      <c r="D6" s="153"/>
      <c r="E6" s="153"/>
      <c r="F6" s="153"/>
      <c r="G6" s="153"/>
      <c r="H6" s="153"/>
      <c r="I6" s="153"/>
      <c r="J6" s="17"/>
    </row>
    <row r="7" spans="1:17" customFormat="1" ht="14.4" x14ac:dyDescent="0.3">
      <c r="A7" s="154"/>
      <c r="B7" s="154"/>
      <c r="J7" s="17"/>
      <c r="Q7" s="75"/>
    </row>
    <row r="8" spans="1:17" customFormat="1" ht="14.4" x14ac:dyDescent="0.3">
      <c r="A8" s="152"/>
      <c r="B8" s="152"/>
      <c r="C8" s="153"/>
      <c r="D8" s="153"/>
      <c r="E8" s="153"/>
      <c r="F8" s="153"/>
      <c r="G8" s="153"/>
      <c r="H8" s="153"/>
      <c r="I8" s="153"/>
      <c r="J8" s="17"/>
    </row>
    <row r="9" spans="1:17" customFormat="1" ht="14.4" x14ac:dyDescent="0.3">
      <c r="A9" s="154"/>
      <c r="B9" s="154"/>
      <c r="J9" s="17"/>
    </row>
    <row r="10" spans="1:17" customFormat="1" ht="14.4" x14ac:dyDescent="0.3">
      <c r="A10" s="152"/>
      <c r="B10" s="152"/>
      <c r="C10" s="153"/>
      <c r="D10" s="153"/>
      <c r="E10" s="153"/>
      <c r="F10" s="153"/>
      <c r="G10" s="153"/>
      <c r="H10" s="153"/>
      <c r="I10" s="153"/>
      <c r="J10" s="17"/>
    </row>
    <row r="11" spans="1:17" customFormat="1" ht="14.4" x14ac:dyDescent="0.3">
      <c r="A11" s="154"/>
      <c r="B11" s="154"/>
      <c r="J11" s="17"/>
    </row>
    <row r="12" spans="1:17" customFormat="1" ht="14.4" x14ac:dyDescent="0.3">
      <c r="A12" s="152"/>
      <c r="B12" s="152"/>
      <c r="C12" s="153"/>
      <c r="D12" s="153"/>
      <c r="E12" s="153"/>
      <c r="F12" s="153"/>
      <c r="G12" s="153"/>
      <c r="H12" s="153"/>
      <c r="I12" s="153"/>
      <c r="J12" s="17"/>
    </row>
    <row r="13" spans="1:17" customFormat="1" ht="14.4" x14ac:dyDescent="0.3">
      <c r="A13" s="154"/>
      <c r="B13" s="154"/>
      <c r="J13" s="17"/>
      <c r="O13" s="160">
        <f>SUM(I:I)</f>
        <v>0</v>
      </c>
    </row>
    <row r="14" spans="1:17" customFormat="1" ht="14.4" x14ac:dyDescent="0.3">
      <c r="A14" s="152"/>
      <c r="B14" s="152"/>
      <c r="C14" s="153"/>
      <c r="D14" s="153"/>
      <c r="E14" s="153"/>
      <c r="F14" s="153"/>
      <c r="G14" s="153"/>
      <c r="H14" s="153"/>
      <c r="I14" s="153"/>
      <c r="J14" s="17"/>
    </row>
    <row r="15" spans="1:17" customFormat="1" ht="14.4" x14ac:dyDescent="0.3">
      <c r="A15" s="154"/>
      <c r="B15" s="154"/>
      <c r="J15" s="17"/>
    </row>
    <row r="16" spans="1:17" customFormat="1" ht="14.4" x14ac:dyDescent="0.3">
      <c r="A16" s="152"/>
      <c r="B16" s="152"/>
      <c r="C16" s="153"/>
      <c r="D16" s="153"/>
      <c r="E16" s="153"/>
      <c r="F16" s="153"/>
      <c r="G16" s="153"/>
      <c r="H16" s="153"/>
      <c r="I16" s="153"/>
      <c r="J16" s="17"/>
    </row>
    <row r="17" spans="1:11" customFormat="1" ht="14.4" x14ac:dyDescent="0.3">
      <c r="A17" s="154"/>
      <c r="B17" s="154"/>
      <c r="J17" s="17"/>
    </row>
    <row r="18" spans="1:11" customFormat="1" ht="14.4" x14ac:dyDescent="0.3">
      <c r="A18" s="152"/>
      <c r="B18" s="152"/>
      <c r="C18" s="153"/>
      <c r="D18" s="153"/>
      <c r="E18" s="153"/>
      <c r="F18" s="153"/>
      <c r="G18" s="153"/>
      <c r="H18" s="153"/>
      <c r="I18" s="153"/>
      <c r="J18" s="17"/>
    </row>
    <row r="19" spans="1:11" customFormat="1" ht="14.4" x14ac:dyDescent="0.3">
      <c r="A19" s="154"/>
      <c r="B19" s="154"/>
      <c r="J19" s="17"/>
    </row>
    <row r="20" spans="1:11" customFormat="1" ht="14.4" x14ac:dyDescent="0.3">
      <c r="A20" s="152"/>
      <c r="B20" s="152"/>
      <c r="C20" s="153"/>
      <c r="D20" s="153"/>
      <c r="E20" s="153"/>
      <c r="F20" s="153"/>
      <c r="G20" s="153"/>
      <c r="H20" s="153"/>
      <c r="I20" s="153"/>
      <c r="J20" s="17"/>
    </row>
    <row r="21" spans="1:11" customFormat="1" ht="14.4" x14ac:dyDescent="0.3">
      <c r="A21" s="154"/>
      <c r="B21" s="154"/>
      <c r="J21" s="17"/>
    </row>
    <row r="22" spans="1:11" customFormat="1" ht="14.4" x14ac:dyDescent="0.3">
      <c r="A22" s="152"/>
      <c r="B22" s="152"/>
      <c r="C22" s="153"/>
      <c r="D22" s="153"/>
      <c r="E22" s="153"/>
      <c r="F22" s="153"/>
      <c r="G22" s="153"/>
      <c r="H22" s="153"/>
      <c r="I22" s="153"/>
      <c r="J22" s="17"/>
    </row>
    <row r="23" spans="1:11" customFormat="1" ht="14.4" x14ac:dyDescent="0.3">
      <c r="A23" s="154"/>
      <c r="B23" s="154"/>
      <c r="J23" s="17"/>
    </row>
    <row r="24" spans="1:11" customFormat="1" ht="14.4" x14ac:dyDescent="0.3">
      <c r="A24" s="152"/>
      <c r="B24" s="152"/>
      <c r="C24" s="153"/>
      <c r="D24" s="153"/>
      <c r="E24" s="153"/>
      <c r="F24" s="153"/>
      <c r="G24" s="153"/>
      <c r="H24" s="153"/>
      <c r="I24" s="153"/>
      <c r="J24" s="17"/>
      <c r="K24" s="77"/>
    </row>
    <row r="25" spans="1:11" customFormat="1" ht="14.4" x14ac:dyDescent="0.3">
      <c r="A25" s="154"/>
      <c r="B25" s="154"/>
      <c r="J25" s="17"/>
    </row>
    <row r="26" spans="1:11" customFormat="1" ht="14.4" x14ac:dyDescent="0.3">
      <c r="A26" s="152"/>
      <c r="B26" s="152"/>
      <c r="C26" s="153"/>
      <c r="D26" s="153"/>
      <c r="E26" s="153"/>
      <c r="F26" s="153"/>
      <c r="G26" s="153"/>
      <c r="H26" s="153"/>
      <c r="I26" s="153"/>
      <c r="J26" s="17"/>
    </row>
    <row r="27" spans="1:11" customFormat="1" ht="14.4" x14ac:dyDescent="0.3">
      <c r="A27" s="154"/>
      <c r="B27" s="154"/>
      <c r="J27" s="17"/>
    </row>
    <row r="28" spans="1:11" customFormat="1" ht="14.4" x14ac:dyDescent="0.3">
      <c r="A28" s="152"/>
      <c r="B28" s="152"/>
      <c r="C28" s="153"/>
      <c r="D28" s="153"/>
      <c r="E28" s="153"/>
      <c r="F28" s="153"/>
      <c r="G28" s="153"/>
      <c r="H28" s="153"/>
      <c r="I28" s="153"/>
      <c r="J28" s="17"/>
    </row>
    <row r="29" spans="1:11" customFormat="1" ht="14.4" x14ac:dyDescent="0.3">
      <c r="A29" s="154"/>
      <c r="B29" s="154"/>
      <c r="J29" s="17"/>
    </row>
    <row r="30" spans="1:11" customFormat="1" ht="14.4" x14ac:dyDescent="0.3">
      <c r="A30" s="152"/>
      <c r="B30" s="152"/>
      <c r="C30" s="153"/>
      <c r="D30" s="153"/>
      <c r="E30" s="153"/>
      <c r="F30" s="153"/>
      <c r="G30" s="153"/>
      <c r="H30" s="153"/>
      <c r="I30" s="153"/>
      <c r="J30" s="17"/>
    </row>
    <row r="31" spans="1:11" customFormat="1" ht="14.4" x14ac:dyDescent="0.3">
      <c r="A31" s="154"/>
      <c r="B31" s="154"/>
      <c r="J31" s="17"/>
    </row>
    <row r="32" spans="1:11" customFormat="1" ht="14.4" x14ac:dyDescent="0.3">
      <c r="A32" s="152"/>
      <c r="B32" s="152"/>
      <c r="C32" s="153"/>
      <c r="D32" s="153"/>
      <c r="E32" s="153"/>
      <c r="F32" s="153"/>
      <c r="G32" s="153"/>
      <c r="H32" s="153"/>
      <c r="I32" s="153"/>
      <c r="J32" s="17"/>
    </row>
    <row r="33" spans="1:10" customFormat="1" ht="14.1" customHeight="1" x14ac:dyDescent="0.3">
      <c r="A33" s="154"/>
      <c r="B33" s="154"/>
      <c r="J33" s="144"/>
    </row>
    <row r="34" spans="1:10" customFormat="1" ht="14.4" x14ac:dyDescent="0.3">
      <c r="A34" s="152"/>
      <c r="B34" s="152"/>
      <c r="C34" s="153"/>
      <c r="D34" s="153"/>
      <c r="E34" s="153"/>
      <c r="F34" s="153"/>
      <c r="G34" s="153"/>
      <c r="H34" s="153"/>
      <c r="I34" s="153"/>
      <c r="J34" s="144"/>
    </row>
    <row r="35" spans="1:10" customFormat="1" ht="14.4" x14ac:dyDescent="0.3">
      <c r="A35" s="154"/>
      <c r="B35" s="154"/>
      <c r="J35" s="144"/>
    </row>
    <row r="36" spans="1:10" customFormat="1" ht="14.4" x14ac:dyDescent="0.3">
      <c r="A36" s="152"/>
      <c r="B36" s="152"/>
      <c r="C36" s="153"/>
      <c r="D36" s="153"/>
      <c r="E36" s="153"/>
      <c r="F36" s="153"/>
      <c r="G36" s="153"/>
      <c r="H36" s="153"/>
      <c r="I36" s="153"/>
      <c r="J36" s="144"/>
    </row>
    <row r="37" spans="1:10" customFormat="1" ht="14.4" x14ac:dyDescent="0.3">
      <c r="A37" s="154"/>
      <c r="B37" s="154"/>
      <c r="J37" s="144"/>
    </row>
    <row r="38" spans="1:10" customFormat="1" ht="14.4" x14ac:dyDescent="0.3">
      <c r="A38" s="152"/>
      <c r="B38" s="152"/>
      <c r="C38" s="153"/>
      <c r="D38" s="153"/>
      <c r="E38" s="153"/>
      <c r="F38" s="153"/>
      <c r="G38" s="153"/>
      <c r="H38" s="153"/>
      <c r="I38" s="153"/>
      <c r="J38" s="144"/>
    </row>
    <row r="39" spans="1:10" customFormat="1" ht="14.4" x14ac:dyDescent="0.3">
      <c r="A39" s="154"/>
      <c r="B39" s="154"/>
      <c r="J39" s="144"/>
    </row>
    <row r="40" spans="1:10" customFormat="1" ht="14.4" x14ac:dyDescent="0.3">
      <c r="A40" s="152"/>
      <c r="B40" s="152"/>
      <c r="C40" s="153"/>
      <c r="D40" s="153"/>
      <c r="E40" s="153"/>
      <c r="F40" s="153"/>
      <c r="G40" s="153"/>
      <c r="H40" s="153"/>
      <c r="I40" s="153"/>
      <c r="J40" s="17"/>
    </row>
    <row r="41" spans="1:10" customFormat="1" ht="14.4" x14ac:dyDescent="0.3">
      <c r="A41" s="154"/>
      <c r="B41" s="154"/>
      <c r="J41" s="17"/>
    </row>
    <row r="42" spans="1:10" customFormat="1" ht="14.4" x14ac:dyDescent="0.3">
      <c r="A42" s="152"/>
      <c r="B42" s="152"/>
      <c r="C42" s="153"/>
      <c r="D42" s="153"/>
      <c r="E42" s="153"/>
      <c r="F42" s="153"/>
      <c r="G42" s="153"/>
      <c r="H42" s="153"/>
      <c r="I42" s="153"/>
      <c r="J42" s="17"/>
    </row>
    <row r="43" spans="1:10" customFormat="1" ht="14.4" x14ac:dyDescent="0.3">
      <c r="A43" s="154"/>
      <c r="B43" s="154"/>
      <c r="J43" s="17"/>
    </row>
    <row r="44" spans="1:10" customFormat="1" ht="14.4" x14ac:dyDescent="0.3">
      <c r="A44" s="152"/>
      <c r="B44" s="152"/>
      <c r="C44" s="153"/>
      <c r="D44" s="153"/>
      <c r="E44" s="153"/>
      <c r="F44" s="153"/>
      <c r="G44" s="153"/>
      <c r="H44" s="153"/>
      <c r="I44" s="153"/>
      <c r="J44" s="17"/>
    </row>
    <row r="45" spans="1:10" customFormat="1" ht="14.4" x14ac:dyDescent="0.3">
      <c r="A45" s="154"/>
      <c r="B45" s="154"/>
      <c r="J45" s="17"/>
    </row>
    <row r="46" spans="1:10" customFormat="1" ht="14.4" x14ac:dyDescent="0.3">
      <c r="A46" s="152"/>
      <c r="B46" s="152"/>
      <c r="C46" s="153"/>
      <c r="D46" s="153"/>
      <c r="E46" s="153"/>
      <c r="F46" s="153"/>
      <c r="G46" s="153"/>
      <c r="H46" s="153"/>
      <c r="I46" s="153"/>
      <c r="J46" s="145"/>
    </row>
    <row r="47" spans="1:10" customFormat="1" ht="14.4" x14ac:dyDescent="0.3">
      <c r="A47" s="154"/>
      <c r="B47" s="154"/>
      <c r="J47" s="84"/>
    </row>
    <row r="48" spans="1:10" customFormat="1" ht="14.4" x14ac:dyDescent="0.3">
      <c r="A48" s="152"/>
      <c r="B48" s="152"/>
      <c r="C48" s="153"/>
      <c r="D48" s="153"/>
      <c r="E48" s="153"/>
      <c r="F48" s="153"/>
      <c r="G48" s="153"/>
      <c r="H48" s="153"/>
      <c r="I48" s="153"/>
      <c r="J48" s="145"/>
    </row>
    <row r="49" spans="1:10" customFormat="1" ht="14.4" x14ac:dyDescent="0.3">
      <c r="A49" s="154"/>
      <c r="B49" s="154"/>
      <c r="J49" s="145"/>
    </row>
    <row r="50" spans="1:10" customFormat="1" ht="14.4" x14ac:dyDescent="0.3">
      <c r="A50" s="152"/>
      <c r="B50" s="152"/>
      <c r="C50" s="153"/>
      <c r="D50" s="153"/>
      <c r="E50" s="153"/>
      <c r="F50" s="153"/>
      <c r="G50" s="153"/>
      <c r="H50" s="153"/>
      <c r="I50" s="153"/>
      <c r="J50" s="145"/>
    </row>
    <row r="51" spans="1:10" customFormat="1" ht="14.4" x14ac:dyDescent="0.3">
      <c r="A51" s="154"/>
      <c r="B51" s="154"/>
      <c r="J51" s="145"/>
    </row>
    <row r="52" spans="1:10" customFormat="1" ht="14.4" x14ac:dyDescent="0.3">
      <c r="A52" s="152"/>
      <c r="B52" s="152"/>
      <c r="C52" s="153"/>
      <c r="D52" s="153"/>
      <c r="E52" s="153"/>
      <c r="F52" s="153"/>
      <c r="G52" s="153"/>
      <c r="H52" s="153"/>
      <c r="I52" s="153"/>
      <c r="J52" s="145"/>
    </row>
    <row r="53" spans="1:10" customFormat="1" ht="14.4" x14ac:dyDescent="0.3">
      <c r="A53" s="154"/>
      <c r="B53" s="154"/>
      <c r="J53" s="41"/>
    </row>
    <row r="54" spans="1:10" customFormat="1" ht="14.4" x14ac:dyDescent="0.3">
      <c r="A54" s="152"/>
      <c r="B54" s="152"/>
      <c r="C54" s="153"/>
      <c r="D54" s="153"/>
      <c r="E54" s="153"/>
      <c r="F54" s="153"/>
      <c r="G54" s="153"/>
      <c r="H54" s="153"/>
      <c r="I54" s="153"/>
      <c r="J54" s="41"/>
    </row>
    <row r="55" spans="1:10" customFormat="1" ht="14.4" x14ac:dyDescent="0.3">
      <c r="A55" s="154"/>
      <c r="B55" s="154"/>
      <c r="J55" s="41"/>
    </row>
    <row r="56" spans="1:10" customFormat="1" ht="14.4" x14ac:dyDescent="0.3">
      <c r="A56" s="152"/>
      <c r="B56" s="152"/>
      <c r="C56" s="153"/>
      <c r="D56" s="153"/>
      <c r="E56" s="153"/>
      <c r="F56" s="153"/>
      <c r="G56" s="153"/>
      <c r="H56" s="153"/>
      <c r="I56" s="153"/>
      <c r="J56" s="41"/>
    </row>
    <row r="57" spans="1:10" customFormat="1" ht="14.4" x14ac:dyDescent="0.3">
      <c r="A57" s="154"/>
      <c r="B57" s="154"/>
      <c r="J57" s="41"/>
    </row>
    <row r="58" spans="1:10" customFormat="1" ht="14.4" x14ac:dyDescent="0.3">
      <c r="A58" s="152"/>
      <c r="B58" s="152"/>
      <c r="C58" s="153"/>
      <c r="D58" s="153"/>
      <c r="E58" s="153"/>
      <c r="F58" s="153"/>
      <c r="G58" s="153"/>
      <c r="H58" s="153"/>
      <c r="I58" s="153"/>
      <c r="J58" s="41"/>
    </row>
    <row r="59" spans="1:10" customFormat="1" ht="14.4" x14ac:dyDescent="0.3">
      <c r="A59" s="154"/>
      <c r="B59" s="154"/>
      <c r="J59" s="41"/>
    </row>
    <row r="60" spans="1:10" customFormat="1" ht="14.4" x14ac:dyDescent="0.3">
      <c r="A60" s="152"/>
      <c r="B60" s="152"/>
      <c r="C60" s="153"/>
      <c r="D60" s="153"/>
      <c r="E60" s="153"/>
      <c r="F60" s="153"/>
      <c r="G60" s="153"/>
      <c r="H60" s="153"/>
      <c r="I60" s="153"/>
      <c r="J60" s="41"/>
    </row>
    <row r="61" spans="1:10" customFormat="1" ht="14.4" x14ac:dyDescent="0.3">
      <c r="A61" s="154"/>
      <c r="B61" s="154"/>
      <c r="J61" s="41"/>
    </row>
    <row r="62" spans="1:10" customFormat="1" ht="14.4" x14ac:dyDescent="0.3">
      <c r="A62" s="152"/>
      <c r="B62" s="152"/>
      <c r="C62" s="153"/>
      <c r="D62" s="153"/>
      <c r="E62" s="153"/>
      <c r="F62" s="153"/>
      <c r="G62" s="153"/>
      <c r="H62" s="153"/>
      <c r="I62" s="153"/>
      <c r="J62" s="41"/>
    </row>
    <row r="63" spans="1:10" customFormat="1" ht="14.4" x14ac:dyDescent="0.3">
      <c r="A63" s="154"/>
      <c r="B63" s="154"/>
      <c r="J63" s="41"/>
    </row>
    <row r="64" spans="1:10" customFormat="1" ht="14.4" x14ac:dyDescent="0.3">
      <c r="A64" s="152"/>
      <c r="B64" s="152"/>
      <c r="C64" s="153"/>
      <c r="D64" s="153"/>
      <c r="E64" s="153"/>
      <c r="F64" s="153"/>
      <c r="G64" s="153"/>
      <c r="H64" s="153"/>
      <c r="I64" s="153"/>
      <c r="J64" s="41"/>
    </row>
    <row r="65" spans="1:10" customFormat="1" ht="14.4" x14ac:dyDescent="0.3">
      <c r="A65" s="154"/>
      <c r="B65" s="154"/>
      <c r="J65" s="41"/>
    </row>
    <row r="66" spans="1:10" customFormat="1" ht="14.4" x14ac:dyDescent="0.3">
      <c r="A66" s="152"/>
      <c r="B66" s="152"/>
      <c r="C66" s="153"/>
      <c r="D66" s="153"/>
      <c r="E66" s="153"/>
      <c r="F66" s="153"/>
      <c r="G66" s="153"/>
      <c r="H66" s="153"/>
      <c r="I66" s="153"/>
      <c r="J66" s="41"/>
    </row>
    <row r="67" spans="1:10" customFormat="1" ht="14.4" x14ac:dyDescent="0.3">
      <c r="A67" s="154"/>
      <c r="B67" s="154"/>
      <c r="J67" s="41"/>
    </row>
    <row r="68" spans="1:10" customFormat="1" ht="14.4" x14ac:dyDescent="0.3">
      <c r="A68" s="152"/>
      <c r="B68" s="152"/>
      <c r="C68" s="153"/>
      <c r="D68" s="153"/>
      <c r="E68" s="153"/>
      <c r="F68" s="153"/>
      <c r="G68" s="153"/>
      <c r="H68" s="153"/>
      <c r="I68" s="153"/>
      <c r="J68" s="41"/>
    </row>
    <row r="69" spans="1:10" customFormat="1" ht="14.4" x14ac:dyDescent="0.3">
      <c r="A69" s="154"/>
      <c r="B69" s="154"/>
      <c r="J69" s="41"/>
    </row>
    <row r="70" spans="1:10" customFormat="1" ht="14.4" x14ac:dyDescent="0.3">
      <c r="A70" s="152"/>
      <c r="B70" s="152"/>
      <c r="C70" s="153"/>
      <c r="D70" s="153"/>
      <c r="E70" s="153"/>
      <c r="F70" s="153"/>
      <c r="G70" s="153"/>
      <c r="H70" s="153"/>
      <c r="I70" s="153"/>
      <c r="J70" s="41"/>
    </row>
    <row r="71" spans="1:10" customFormat="1" ht="14.4" x14ac:dyDescent="0.3">
      <c r="A71" s="154"/>
      <c r="B71" s="154"/>
      <c r="J71" s="41"/>
    </row>
    <row r="72" spans="1:10" customFormat="1" ht="14.4" x14ac:dyDescent="0.3">
      <c r="A72" s="152"/>
      <c r="B72" s="152"/>
      <c r="C72" s="153"/>
      <c r="D72" s="153"/>
      <c r="E72" s="153"/>
      <c r="F72" s="153"/>
      <c r="G72" s="153"/>
      <c r="H72" s="153"/>
      <c r="I72" s="153"/>
      <c r="J72" s="41"/>
    </row>
    <row r="73" spans="1:10" customFormat="1" ht="14.4" x14ac:dyDescent="0.3">
      <c r="A73" s="154"/>
      <c r="B73" s="154"/>
      <c r="J73" s="41"/>
    </row>
    <row r="74" spans="1:10" customFormat="1" ht="14.4" x14ac:dyDescent="0.3">
      <c r="A74" s="152"/>
      <c r="B74" s="152"/>
      <c r="C74" s="153"/>
      <c r="D74" s="153"/>
      <c r="E74" s="153"/>
      <c r="F74" s="153"/>
      <c r="G74" s="153"/>
      <c r="H74" s="153"/>
      <c r="I74" s="153"/>
      <c r="J74" s="41"/>
    </row>
    <row r="75" spans="1:10" customFormat="1" ht="14.4" x14ac:dyDescent="0.3">
      <c r="A75" s="154"/>
      <c r="B75" s="154"/>
      <c r="J75" s="41"/>
    </row>
    <row r="76" spans="1:10" customFormat="1" ht="14.4" x14ac:dyDescent="0.3">
      <c r="A76" s="152"/>
      <c r="B76" s="152"/>
      <c r="C76" s="153"/>
      <c r="D76" s="153"/>
      <c r="E76" s="153"/>
      <c r="F76" s="153"/>
      <c r="G76" s="153"/>
      <c r="H76" s="153"/>
      <c r="I76" s="153"/>
      <c r="J76" s="41"/>
    </row>
    <row r="77" spans="1:10" customFormat="1" ht="14.4" x14ac:dyDescent="0.3">
      <c r="A77" s="154"/>
      <c r="B77" s="154"/>
      <c r="J77" s="41"/>
    </row>
    <row r="78" spans="1:10" customFormat="1" ht="14.4" x14ac:dyDescent="0.3">
      <c r="A78" s="152"/>
      <c r="B78" s="152"/>
      <c r="C78" s="153"/>
      <c r="D78" s="153"/>
      <c r="E78" s="153"/>
      <c r="F78" s="153"/>
      <c r="G78" s="153"/>
      <c r="H78" s="153"/>
      <c r="I78" s="153"/>
      <c r="J78" s="41"/>
    </row>
    <row r="79" spans="1:10" customFormat="1" ht="14.4" x14ac:dyDescent="0.3">
      <c r="A79" s="154"/>
      <c r="B79" s="154"/>
      <c r="J79" s="41"/>
    </row>
    <row r="80" spans="1:10" customFormat="1" ht="14.4" x14ac:dyDescent="0.3">
      <c r="A80" s="152"/>
      <c r="B80" s="152"/>
      <c r="C80" s="153"/>
      <c r="D80" s="153"/>
      <c r="E80" s="153"/>
      <c r="F80" s="153"/>
      <c r="G80" s="153"/>
      <c r="H80" s="153"/>
      <c r="I80" s="153"/>
      <c r="J80" s="41"/>
    </row>
    <row r="81" spans="1:10" customFormat="1" ht="14.4" x14ac:dyDescent="0.3">
      <c r="A81" s="154"/>
      <c r="B81" s="154"/>
      <c r="J81" s="41"/>
    </row>
    <row r="82" spans="1:10" customFormat="1" ht="14.4" x14ac:dyDescent="0.3">
      <c r="A82" s="152"/>
      <c r="B82" s="152"/>
      <c r="C82" s="153"/>
      <c r="D82" s="153"/>
      <c r="E82" s="153"/>
      <c r="F82" s="153"/>
      <c r="G82" s="153"/>
      <c r="H82" s="153"/>
      <c r="I82" s="153"/>
      <c r="J82" s="41"/>
    </row>
    <row r="83" spans="1:10" customFormat="1" ht="14.4" x14ac:dyDescent="0.3">
      <c r="A83" s="154"/>
      <c r="B83" s="154"/>
      <c r="J83" s="41"/>
    </row>
    <row r="84" spans="1:10" customFormat="1" ht="14.4" x14ac:dyDescent="0.3">
      <c r="A84" s="152"/>
      <c r="B84" s="152"/>
      <c r="C84" s="153"/>
      <c r="D84" s="153"/>
      <c r="E84" s="153"/>
      <c r="F84" s="153"/>
      <c r="G84" s="153"/>
      <c r="H84" s="153"/>
      <c r="I84" s="153"/>
      <c r="J84" s="41"/>
    </row>
    <row r="85" spans="1:10" customFormat="1" ht="14.4" x14ac:dyDescent="0.3">
      <c r="A85" s="154"/>
      <c r="B85" s="154"/>
      <c r="J85" s="41"/>
    </row>
    <row r="86" spans="1:10" customFormat="1" ht="14.4" x14ac:dyDescent="0.3">
      <c r="A86" s="152"/>
      <c r="B86" s="152"/>
      <c r="C86" s="153"/>
      <c r="D86" s="153"/>
      <c r="E86" s="153"/>
      <c r="F86" s="153"/>
      <c r="G86" s="153"/>
      <c r="H86" s="153"/>
      <c r="I86" s="153"/>
      <c r="J86" s="41"/>
    </row>
    <row r="87" spans="1:10" customFormat="1" ht="14.4" x14ac:dyDescent="0.3">
      <c r="A87" s="154"/>
      <c r="B87" s="154"/>
      <c r="J87" s="41"/>
    </row>
    <row r="88" spans="1:10" customFormat="1" ht="14.4" x14ac:dyDescent="0.3">
      <c r="A88" s="152"/>
      <c r="B88" s="152"/>
      <c r="C88" s="153"/>
      <c r="D88" s="153"/>
      <c r="E88" s="153"/>
      <c r="F88" s="153"/>
      <c r="G88" s="153"/>
      <c r="H88" s="153"/>
      <c r="I88" s="153"/>
      <c r="J88" s="41"/>
    </row>
    <row r="89" spans="1:10" customFormat="1" ht="14.4" x14ac:dyDescent="0.3">
      <c r="A89" s="154"/>
      <c r="B89" s="154"/>
      <c r="J89" s="41"/>
    </row>
    <row r="90" spans="1:10" customFormat="1" ht="14.4" x14ac:dyDescent="0.3">
      <c r="A90" s="152"/>
      <c r="B90" s="152"/>
      <c r="C90" s="153"/>
      <c r="D90" s="153"/>
      <c r="E90" s="153"/>
      <c r="F90" s="153"/>
      <c r="G90" s="153"/>
      <c r="H90" s="153"/>
      <c r="I90" s="153"/>
      <c r="J90" s="41"/>
    </row>
    <row r="91" spans="1:10" customFormat="1" ht="14.4" x14ac:dyDescent="0.3">
      <c r="A91" s="154"/>
      <c r="B91" s="154"/>
      <c r="J91" s="41"/>
    </row>
    <row r="92" spans="1:10" customFormat="1" ht="14.4" x14ac:dyDescent="0.3">
      <c r="A92" s="152"/>
      <c r="B92" s="152"/>
      <c r="C92" s="153"/>
      <c r="D92" s="153"/>
      <c r="E92" s="153"/>
      <c r="F92" s="153"/>
      <c r="G92" s="153"/>
      <c r="H92" s="153"/>
      <c r="I92" s="153"/>
      <c r="J92" s="41"/>
    </row>
    <row r="93" spans="1:10" customFormat="1" ht="14.4" x14ac:dyDescent="0.3">
      <c r="A93" s="154"/>
      <c r="B93" s="154"/>
      <c r="J93" s="41"/>
    </row>
    <row r="94" spans="1:10" customFormat="1" ht="14.4" x14ac:dyDescent="0.3">
      <c r="A94" s="152"/>
      <c r="B94" s="152"/>
      <c r="C94" s="153"/>
      <c r="D94" s="153"/>
      <c r="E94" s="153"/>
      <c r="F94" s="153"/>
      <c r="G94" s="153"/>
      <c r="H94" s="153"/>
      <c r="I94" s="153"/>
      <c r="J94" s="41"/>
    </row>
    <row r="95" spans="1:10" customFormat="1" ht="14.4" x14ac:dyDescent="0.3">
      <c r="A95" s="154"/>
      <c r="B95" s="154"/>
      <c r="J95" s="41"/>
    </row>
    <row r="96" spans="1:10" customFormat="1" ht="14.4" x14ac:dyDescent="0.3">
      <c r="A96" s="152"/>
      <c r="B96" s="152"/>
      <c r="C96" s="153"/>
      <c r="D96" s="153"/>
      <c r="E96" s="153"/>
      <c r="F96" s="153"/>
      <c r="G96" s="153"/>
      <c r="H96" s="153"/>
      <c r="I96" s="153"/>
      <c r="J96" s="41"/>
    </row>
    <row r="97" spans="1:12" customFormat="1" ht="14.4" x14ac:dyDescent="0.3">
      <c r="A97" s="154"/>
      <c r="B97" s="154"/>
      <c r="J97" s="41"/>
      <c r="K97" s="8"/>
      <c r="L97" s="8"/>
    </row>
    <row r="98" spans="1:12" customFormat="1" ht="14.4" x14ac:dyDescent="0.3">
      <c r="A98" s="152"/>
      <c r="B98" s="152"/>
      <c r="C98" s="153"/>
      <c r="D98" s="153"/>
      <c r="E98" s="153"/>
      <c r="F98" s="153"/>
      <c r="G98" s="153"/>
      <c r="H98" s="153"/>
      <c r="I98" s="153"/>
      <c r="J98" s="41"/>
      <c r="K98" s="8"/>
      <c r="L98" s="8"/>
    </row>
    <row r="99" spans="1:12" customFormat="1" ht="14.4" x14ac:dyDescent="0.3">
      <c r="A99" s="154"/>
      <c r="B99" s="154"/>
      <c r="J99" s="41"/>
      <c r="K99" s="8"/>
      <c r="L99" s="8"/>
    </row>
    <row r="100" spans="1:12" customFormat="1" ht="14.4" x14ac:dyDescent="0.3">
      <c r="A100" s="152"/>
      <c r="B100" s="152"/>
      <c r="C100" s="153"/>
      <c r="D100" s="153"/>
      <c r="E100" s="153"/>
      <c r="F100" s="153"/>
      <c r="G100" s="153"/>
      <c r="H100" s="153"/>
      <c r="I100" s="153"/>
      <c r="J100" s="41"/>
      <c r="K100" s="8"/>
      <c r="L100" s="8"/>
    </row>
    <row r="101" spans="1:12" customFormat="1" ht="14.4" x14ac:dyDescent="0.3">
      <c r="A101" s="154"/>
      <c r="B101" s="154"/>
      <c r="J101" s="41"/>
      <c r="K101" s="8"/>
      <c r="L101" s="8"/>
    </row>
    <row r="102" spans="1:12" customFormat="1" ht="14.4" x14ac:dyDescent="0.3">
      <c r="A102" s="152"/>
      <c r="B102" s="152"/>
      <c r="C102" s="153"/>
      <c r="D102" s="153"/>
      <c r="E102" s="153"/>
      <c r="F102" s="153"/>
      <c r="G102" s="153"/>
      <c r="H102" s="153"/>
      <c r="I102" s="153"/>
      <c r="J102" s="41"/>
      <c r="K102" s="8"/>
      <c r="L102" s="8"/>
    </row>
    <row r="103" spans="1:12" customFormat="1" ht="14.4" x14ac:dyDescent="0.3">
      <c r="A103" s="154"/>
      <c r="B103" s="154"/>
      <c r="J103" s="41"/>
      <c r="K103" s="8"/>
      <c r="L103" s="8"/>
    </row>
    <row r="104" spans="1:12" customFormat="1" ht="14.4" x14ac:dyDescent="0.3">
      <c r="A104" s="152"/>
      <c r="B104" s="152"/>
      <c r="C104" s="153"/>
      <c r="D104" s="153"/>
      <c r="E104" s="153"/>
      <c r="F104" s="153"/>
      <c r="G104" s="153"/>
      <c r="H104" s="153"/>
      <c r="I104" s="153"/>
      <c r="J104" s="41"/>
      <c r="K104" s="8"/>
      <c r="L104" s="8"/>
    </row>
    <row r="105" spans="1:12" customFormat="1" ht="14.4" x14ac:dyDescent="0.3">
      <c r="A105" s="154"/>
      <c r="B105" s="154"/>
      <c r="J105" s="41"/>
      <c r="K105" s="8"/>
      <c r="L105" s="8"/>
    </row>
    <row r="106" spans="1:12" customFormat="1" ht="14.4" x14ac:dyDescent="0.3">
      <c r="A106" s="152"/>
      <c r="B106" s="152"/>
      <c r="C106" s="153"/>
      <c r="D106" s="153"/>
      <c r="E106" s="153"/>
      <c r="F106" s="153"/>
      <c r="G106" s="153"/>
      <c r="H106" s="153"/>
      <c r="I106" s="153"/>
      <c r="J106" s="41"/>
      <c r="K106" s="8"/>
      <c r="L106" s="8"/>
    </row>
    <row r="107" spans="1:12" customFormat="1" ht="14.4" x14ac:dyDescent="0.3">
      <c r="A107" s="154"/>
      <c r="B107" s="154"/>
      <c r="J107" s="41"/>
      <c r="K107" s="8"/>
      <c r="L107" s="8"/>
    </row>
    <row r="108" spans="1:12" customFormat="1" ht="14.4" x14ac:dyDescent="0.3">
      <c r="A108" s="152"/>
      <c r="B108" s="152"/>
      <c r="C108" s="153"/>
      <c r="D108" s="153"/>
      <c r="E108" s="153"/>
      <c r="F108" s="153"/>
      <c r="G108" s="153"/>
      <c r="H108" s="153"/>
      <c r="I108" s="153"/>
      <c r="J108" s="41"/>
      <c r="K108" s="8"/>
      <c r="L108" s="8"/>
    </row>
    <row r="109" spans="1:12" customFormat="1" ht="14.4" x14ac:dyDescent="0.3">
      <c r="A109" s="154"/>
      <c r="B109" s="154"/>
      <c r="J109" s="41"/>
      <c r="K109" s="8"/>
      <c r="L109" s="8"/>
    </row>
    <row r="110" spans="1:12" customFormat="1" ht="14.4" x14ac:dyDescent="0.3">
      <c r="A110" s="152"/>
      <c r="B110" s="152"/>
      <c r="C110" s="153"/>
      <c r="D110" s="153"/>
      <c r="E110" s="153"/>
      <c r="F110" s="153"/>
      <c r="G110" s="153"/>
      <c r="H110" s="153"/>
      <c r="I110" s="153"/>
      <c r="J110" s="41"/>
      <c r="K110" s="8"/>
      <c r="L110" s="8"/>
    </row>
    <row r="111" spans="1:12" customFormat="1" ht="14.4" x14ac:dyDescent="0.3">
      <c r="A111" s="154"/>
      <c r="B111" s="154"/>
      <c r="J111" s="41"/>
      <c r="K111" s="8"/>
      <c r="L111" s="8"/>
    </row>
    <row r="112" spans="1:12" customFormat="1" ht="14.4" x14ac:dyDescent="0.3">
      <c r="A112" s="152"/>
      <c r="B112" s="152"/>
      <c r="C112" s="153"/>
      <c r="D112" s="153"/>
      <c r="E112" s="153"/>
      <c r="F112" s="153"/>
      <c r="G112" s="153"/>
      <c r="H112" s="153"/>
      <c r="I112" s="153"/>
      <c r="J112" s="41"/>
      <c r="K112" s="8"/>
      <c r="L112" s="8"/>
    </row>
    <row r="113" spans="1:12" customFormat="1" ht="14.4" x14ac:dyDescent="0.3">
      <c r="A113" s="154"/>
      <c r="B113" s="154"/>
      <c r="J113" s="41"/>
      <c r="K113" s="8"/>
      <c r="L113" s="8"/>
    </row>
    <row r="114" spans="1:12" customFormat="1" ht="14.4" x14ac:dyDescent="0.3">
      <c r="A114" s="152"/>
      <c r="B114" s="152"/>
      <c r="C114" s="153"/>
      <c r="D114" s="153"/>
      <c r="E114" s="153"/>
      <c r="F114" s="153"/>
      <c r="G114" s="153"/>
      <c r="H114" s="153"/>
      <c r="I114" s="153"/>
      <c r="J114" s="41"/>
      <c r="K114" s="8"/>
      <c r="L114" s="8"/>
    </row>
    <row r="115" spans="1:12" customFormat="1" ht="14.4" x14ac:dyDescent="0.3">
      <c r="A115" s="154"/>
      <c r="B115" s="154"/>
      <c r="J115" s="41"/>
      <c r="K115" s="8"/>
      <c r="L115" s="8"/>
    </row>
    <row r="116" spans="1:12" customFormat="1" ht="14.4" x14ac:dyDescent="0.3">
      <c r="A116" s="152"/>
      <c r="B116" s="152"/>
      <c r="C116" s="153"/>
      <c r="D116" s="153"/>
      <c r="E116" s="153"/>
      <c r="F116" s="153"/>
      <c r="G116" s="153"/>
      <c r="H116" s="153"/>
      <c r="I116" s="153"/>
      <c r="J116" s="41"/>
      <c r="K116" s="8"/>
      <c r="L116" s="8"/>
    </row>
    <row r="117" spans="1:12" customFormat="1" ht="14.4" x14ac:dyDescent="0.3">
      <c r="A117" s="154"/>
      <c r="B117" s="154"/>
      <c r="J117" s="41"/>
      <c r="K117" s="8"/>
      <c r="L117" s="8"/>
    </row>
    <row r="118" spans="1:12" customFormat="1" ht="14.4" x14ac:dyDescent="0.3">
      <c r="A118" s="152"/>
      <c r="B118" s="152"/>
      <c r="C118" s="153"/>
      <c r="D118" s="153"/>
      <c r="E118" s="153"/>
      <c r="F118" s="153"/>
      <c r="G118" s="153"/>
      <c r="H118" s="153"/>
      <c r="I118" s="153"/>
      <c r="J118" s="41"/>
      <c r="K118" s="8"/>
      <c r="L118" s="8"/>
    </row>
    <row r="119" spans="1:12" customFormat="1" ht="14.4" x14ac:dyDescent="0.3">
      <c r="A119" s="154"/>
      <c r="B119" s="154"/>
      <c r="J119" s="41"/>
      <c r="K119" s="8"/>
      <c r="L119" s="8"/>
    </row>
    <row r="120" spans="1:12" customFormat="1" ht="14.4" x14ac:dyDescent="0.3">
      <c r="A120" s="152"/>
      <c r="B120" s="152"/>
      <c r="C120" s="153"/>
      <c r="D120" s="153"/>
      <c r="E120" s="153"/>
      <c r="F120" s="153"/>
      <c r="G120" s="153"/>
      <c r="H120" s="153"/>
      <c r="I120" s="153"/>
      <c r="J120" s="41"/>
      <c r="K120" s="8"/>
      <c r="L120" s="8"/>
    </row>
    <row r="121" spans="1:12" customFormat="1" ht="14.4" x14ac:dyDescent="0.3">
      <c r="A121" s="154"/>
      <c r="B121" s="154"/>
      <c r="J121" s="41"/>
      <c r="K121" s="8"/>
      <c r="L121" s="8"/>
    </row>
    <row r="122" spans="1:12" customFormat="1" ht="14.4" x14ac:dyDescent="0.3">
      <c r="A122" s="152"/>
      <c r="B122" s="152"/>
      <c r="C122" s="153"/>
      <c r="D122" s="153"/>
      <c r="E122" s="153"/>
      <c r="F122" s="153"/>
      <c r="G122" s="153"/>
      <c r="H122" s="153"/>
      <c r="I122" s="153"/>
      <c r="J122" s="41"/>
      <c r="K122" s="8"/>
      <c r="L122" s="8"/>
    </row>
    <row r="123" spans="1:12" customFormat="1" ht="14.4" x14ac:dyDescent="0.3">
      <c r="A123" s="154"/>
      <c r="B123" s="154"/>
      <c r="J123" s="41"/>
      <c r="K123" s="8"/>
      <c r="L123" s="8"/>
    </row>
    <row r="124" spans="1:12" customFormat="1" ht="14.4" x14ac:dyDescent="0.3">
      <c r="A124" s="152"/>
      <c r="B124" s="152"/>
      <c r="C124" s="153"/>
      <c r="D124" s="153"/>
      <c r="E124" s="153"/>
      <c r="F124" s="153"/>
      <c r="G124" s="153"/>
      <c r="H124" s="153"/>
      <c r="I124" s="153"/>
      <c r="J124" s="41"/>
      <c r="K124" s="8"/>
      <c r="L124" s="8"/>
    </row>
    <row r="125" spans="1:12" customFormat="1" ht="14.4" x14ac:dyDescent="0.3">
      <c r="A125" s="154"/>
      <c r="B125" s="154"/>
      <c r="J125" s="41"/>
      <c r="K125" s="8"/>
      <c r="L125" s="8"/>
    </row>
    <row r="126" spans="1:12" customFormat="1" ht="14.4" x14ac:dyDescent="0.3">
      <c r="A126" s="152"/>
      <c r="B126" s="152"/>
      <c r="C126" s="153"/>
      <c r="D126" s="153"/>
      <c r="E126" s="153"/>
      <c r="F126" s="153"/>
      <c r="G126" s="153"/>
      <c r="H126" s="153"/>
      <c r="I126" s="153"/>
      <c r="J126" s="41"/>
      <c r="K126" s="8"/>
      <c r="L126" s="8"/>
    </row>
    <row r="127" spans="1:12" customFormat="1" ht="14.4" x14ac:dyDescent="0.3">
      <c r="A127" s="154"/>
      <c r="B127" s="154"/>
      <c r="J127" s="41"/>
      <c r="K127" s="8"/>
      <c r="L127" s="8"/>
    </row>
    <row r="128" spans="1:12" customFormat="1" ht="14.4" x14ac:dyDescent="0.3">
      <c r="A128" s="152"/>
      <c r="B128" s="152"/>
      <c r="C128" s="153"/>
      <c r="D128" s="153"/>
      <c r="E128" s="153"/>
      <c r="F128" s="153"/>
      <c r="G128" s="153"/>
      <c r="H128" s="153"/>
      <c r="I128" s="153"/>
      <c r="J128" s="41"/>
      <c r="K128" s="8"/>
      <c r="L128" s="8"/>
    </row>
    <row r="129" spans="1:12" customFormat="1" ht="14.4" x14ac:dyDescent="0.3">
      <c r="A129" s="154"/>
      <c r="B129" s="154"/>
      <c r="J129" s="41"/>
      <c r="K129" s="8"/>
      <c r="L129" s="8"/>
    </row>
    <row r="130" spans="1:12" customFormat="1" ht="14.4" x14ac:dyDescent="0.3">
      <c r="A130" s="152"/>
      <c r="B130" s="152"/>
      <c r="C130" s="153"/>
      <c r="D130" s="153"/>
      <c r="E130" s="153"/>
      <c r="F130" s="153"/>
      <c r="G130" s="153"/>
      <c r="H130" s="153"/>
      <c r="I130" s="153"/>
      <c r="J130" s="41"/>
      <c r="K130" s="8"/>
      <c r="L130" s="8"/>
    </row>
    <row r="131" spans="1:12" customFormat="1" ht="14.4" x14ac:dyDescent="0.3">
      <c r="A131" s="154"/>
      <c r="B131" s="154"/>
      <c r="J131" s="41"/>
      <c r="K131" s="8"/>
      <c r="L131" s="8"/>
    </row>
    <row r="132" spans="1:12" customFormat="1" ht="14.4" x14ac:dyDescent="0.3">
      <c r="A132" s="152"/>
      <c r="B132" s="152"/>
      <c r="C132" s="153"/>
      <c r="D132" s="153"/>
      <c r="E132" s="153"/>
      <c r="F132" s="153"/>
      <c r="G132" s="153"/>
      <c r="H132" s="153"/>
      <c r="I132" s="153"/>
      <c r="J132" s="41"/>
      <c r="K132" s="8"/>
      <c r="L132" s="8"/>
    </row>
    <row r="133" spans="1:12" customFormat="1" ht="14.4" x14ac:dyDescent="0.3">
      <c r="A133" s="154"/>
      <c r="B133" s="154"/>
      <c r="J133" s="41"/>
      <c r="K133" s="8"/>
      <c r="L133" s="8"/>
    </row>
    <row r="134" spans="1:12" customFormat="1" ht="14.4" x14ac:dyDescent="0.3">
      <c r="A134" s="152"/>
      <c r="B134" s="152"/>
      <c r="C134" s="153"/>
      <c r="D134" s="153"/>
      <c r="E134" s="153"/>
      <c r="F134" s="153"/>
      <c r="G134" s="153"/>
      <c r="H134" s="153"/>
      <c r="I134" s="153"/>
      <c r="J134" s="41"/>
      <c r="K134" s="8"/>
      <c r="L134" s="8"/>
    </row>
    <row r="135" spans="1:12" customFormat="1" ht="14.4" x14ac:dyDescent="0.3">
      <c r="A135" s="154"/>
      <c r="B135" s="154"/>
      <c r="J135" s="41"/>
      <c r="K135" s="8"/>
      <c r="L135" s="8"/>
    </row>
    <row r="136" spans="1:12" customFormat="1" ht="14.4" x14ac:dyDescent="0.3">
      <c r="A136" s="152"/>
      <c r="B136" s="152"/>
      <c r="C136" s="153"/>
      <c r="D136" s="153"/>
      <c r="E136" s="153"/>
      <c r="F136" s="153"/>
      <c r="G136" s="153"/>
      <c r="H136" s="153"/>
      <c r="I136" s="153"/>
      <c r="J136" s="41"/>
      <c r="K136" s="8"/>
      <c r="L136" s="8"/>
    </row>
    <row r="137" spans="1:12" customFormat="1" ht="14.4" x14ac:dyDescent="0.3">
      <c r="A137" s="154"/>
      <c r="B137" s="154"/>
      <c r="J137" s="41"/>
      <c r="K137" s="8"/>
      <c r="L137" s="8"/>
    </row>
    <row r="138" spans="1:12" customFormat="1" ht="14.4" x14ac:dyDescent="0.3">
      <c r="A138" s="152"/>
      <c r="B138" s="152"/>
      <c r="C138" s="153"/>
      <c r="D138" s="153"/>
      <c r="E138" s="153"/>
      <c r="F138" s="153"/>
      <c r="G138" s="153"/>
      <c r="H138" s="153"/>
      <c r="I138" s="153"/>
      <c r="J138" s="41"/>
      <c r="K138" s="8"/>
      <c r="L138" s="8"/>
    </row>
    <row r="139" spans="1:12" customFormat="1" ht="14.4" x14ac:dyDescent="0.3">
      <c r="A139" s="154"/>
      <c r="B139" s="154"/>
      <c r="J139" s="41"/>
      <c r="K139" s="8"/>
      <c r="L139" s="8"/>
    </row>
    <row r="140" spans="1:12" customFormat="1" ht="14.4" x14ac:dyDescent="0.3">
      <c r="A140" s="152"/>
      <c r="B140" s="152"/>
      <c r="C140" s="153"/>
      <c r="D140" s="153"/>
      <c r="E140" s="153"/>
      <c r="F140" s="153"/>
      <c r="G140" s="153"/>
      <c r="H140" s="153"/>
      <c r="I140" s="153"/>
      <c r="J140" s="41"/>
      <c r="K140" s="8"/>
      <c r="L140" s="8"/>
    </row>
    <row r="141" spans="1:12" customFormat="1" ht="14.4" x14ac:dyDescent="0.3">
      <c r="A141" s="154"/>
      <c r="B141" s="154"/>
      <c r="J141" s="41"/>
      <c r="K141" s="8"/>
      <c r="L141" s="8"/>
    </row>
    <row r="142" spans="1:12" customFormat="1" ht="14.4" x14ac:dyDescent="0.3">
      <c r="A142" s="152"/>
      <c r="B142" s="152"/>
      <c r="C142" s="153"/>
      <c r="D142" s="153"/>
      <c r="E142" s="153"/>
      <c r="F142" s="153"/>
      <c r="G142" s="153"/>
      <c r="H142" s="153"/>
      <c r="I142" s="153"/>
      <c r="J142" s="41"/>
      <c r="K142" s="8"/>
      <c r="L142" s="8"/>
    </row>
    <row r="143" spans="1:12" customFormat="1" ht="14.4" x14ac:dyDescent="0.3">
      <c r="A143" s="154"/>
      <c r="B143" s="154"/>
      <c r="J143" s="41"/>
      <c r="K143" s="8"/>
      <c r="L143" s="8"/>
    </row>
    <row r="144" spans="1:12" customFormat="1" ht="14.4" x14ac:dyDescent="0.3">
      <c r="A144" s="152"/>
      <c r="B144" s="152"/>
      <c r="C144" s="153"/>
      <c r="D144" s="153"/>
      <c r="E144" s="153"/>
      <c r="F144" s="153"/>
      <c r="G144" s="153"/>
      <c r="H144" s="153"/>
      <c r="I144" s="153"/>
      <c r="J144" s="41"/>
      <c r="K144" s="8"/>
      <c r="L144" s="8"/>
    </row>
    <row r="145" spans="1:12" customFormat="1" ht="14.4" x14ac:dyDescent="0.3">
      <c r="A145" s="154"/>
      <c r="B145" s="154"/>
      <c r="J145" s="41"/>
      <c r="K145" s="8"/>
      <c r="L145" s="8"/>
    </row>
    <row r="146" spans="1:12" customFormat="1" ht="14.4" x14ac:dyDescent="0.3">
      <c r="A146" s="152"/>
      <c r="B146" s="152"/>
      <c r="C146" s="153"/>
      <c r="D146" s="153"/>
      <c r="E146" s="153"/>
      <c r="F146" s="153"/>
      <c r="G146" s="153"/>
      <c r="H146" s="153"/>
      <c r="I146" s="153"/>
      <c r="J146" s="41"/>
      <c r="K146" s="8"/>
      <c r="L146" s="8"/>
    </row>
    <row r="147" spans="1:12" customFormat="1" ht="14.4" x14ac:dyDescent="0.3">
      <c r="A147" s="154"/>
      <c r="B147" s="154"/>
      <c r="J147" s="41"/>
      <c r="K147" s="8"/>
      <c r="L147" s="8"/>
    </row>
    <row r="148" spans="1:12" customFormat="1" ht="14.4" x14ac:dyDescent="0.3">
      <c r="A148" s="152"/>
      <c r="B148" s="152"/>
      <c r="C148" s="153"/>
      <c r="D148" s="153"/>
      <c r="E148" s="153"/>
      <c r="F148" s="153"/>
      <c r="G148" s="153"/>
      <c r="H148" s="153"/>
      <c r="I148" s="153"/>
      <c r="J148" s="41"/>
      <c r="K148" s="8"/>
      <c r="L148" s="8"/>
    </row>
    <row r="149" spans="1:12" customFormat="1" ht="14.4" x14ac:dyDescent="0.3">
      <c r="A149" s="154"/>
      <c r="B149" s="154"/>
      <c r="J149" s="41"/>
      <c r="K149" s="8"/>
      <c r="L149" s="8"/>
    </row>
    <row r="150" spans="1:12" customFormat="1" ht="14.4" x14ac:dyDescent="0.3">
      <c r="A150" s="152"/>
      <c r="B150" s="152"/>
      <c r="C150" s="153"/>
      <c r="D150" s="153"/>
      <c r="E150" s="153"/>
      <c r="F150" s="153"/>
      <c r="G150" s="153"/>
      <c r="H150" s="153"/>
      <c r="I150" s="153"/>
      <c r="J150" s="41"/>
      <c r="K150" s="8"/>
      <c r="L150" s="8"/>
    </row>
    <row r="151" spans="1:12" customFormat="1" ht="14.4" x14ac:dyDescent="0.3">
      <c r="A151" s="154"/>
      <c r="B151" s="154"/>
      <c r="J151" s="41"/>
      <c r="K151" s="8"/>
      <c r="L151" s="8"/>
    </row>
    <row r="152" spans="1:12" customFormat="1" ht="14.4" x14ac:dyDescent="0.3">
      <c r="A152" s="152"/>
      <c r="B152" s="152"/>
      <c r="C152" s="153"/>
      <c r="D152" s="153"/>
      <c r="E152" s="153"/>
      <c r="F152" s="153"/>
      <c r="G152" s="153"/>
      <c r="H152" s="153"/>
      <c r="I152" s="153"/>
      <c r="J152" s="41"/>
      <c r="K152" s="8"/>
      <c r="L152" s="8"/>
    </row>
    <row r="153" spans="1:12" customFormat="1" ht="14.4" x14ac:dyDescent="0.3">
      <c r="A153" s="154"/>
      <c r="B153" s="154"/>
      <c r="J153" s="41"/>
      <c r="K153" s="8"/>
      <c r="L153" s="8"/>
    </row>
    <row r="154" spans="1:12" customFormat="1" ht="14.4" x14ac:dyDescent="0.3">
      <c r="A154" s="152"/>
      <c r="B154" s="152"/>
      <c r="C154" s="153"/>
      <c r="D154" s="153"/>
      <c r="E154" s="153"/>
      <c r="F154" s="153"/>
      <c r="G154" s="153"/>
      <c r="H154" s="153"/>
      <c r="I154" s="153"/>
      <c r="J154" s="41"/>
      <c r="K154" s="8"/>
      <c r="L154" s="8"/>
    </row>
    <row r="155" spans="1:12" customFormat="1" ht="14.4" x14ac:dyDescent="0.3">
      <c r="A155" s="154"/>
      <c r="B155" s="154"/>
      <c r="J155" s="41"/>
      <c r="K155" s="8"/>
      <c r="L155" s="8"/>
    </row>
    <row r="156" spans="1:12" customFormat="1" ht="14.4" x14ac:dyDescent="0.3">
      <c r="A156" s="152"/>
      <c r="B156" s="152"/>
      <c r="C156" s="153"/>
      <c r="D156" s="153"/>
      <c r="E156" s="153"/>
      <c r="F156" s="153"/>
      <c r="G156" s="153"/>
      <c r="H156" s="153"/>
      <c r="I156" s="153"/>
      <c r="J156" s="41"/>
      <c r="K156" s="8"/>
      <c r="L156" s="8"/>
    </row>
    <row r="157" spans="1:12" customFormat="1" ht="14.4" x14ac:dyDescent="0.3">
      <c r="A157" s="154"/>
      <c r="B157" s="154"/>
      <c r="J157" s="41"/>
      <c r="K157" s="8"/>
      <c r="L157" s="8"/>
    </row>
    <row r="158" spans="1:12" customFormat="1" ht="14.4" x14ac:dyDescent="0.3">
      <c r="A158" s="152"/>
      <c r="B158" s="152"/>
      <c r="C158" s="153"/>
      <c r="D158" s="153"/>
      <c r="E158" s="153"/>
      <c r="F158" s="153"/>
      <c r="G158" s="153"/>
      <c r="H158" s="153"/>
      <c r="I158" s="153"/>
      <c r="J158" s="41"/>
      <c r="K158" s="8"/>
      <c r="L158" s="8"/>
    </row>
    <row r="159" spans="1:12" customFormat="1" ht="14.4" x14ac:dyDescent="0.3">
      <c r="A159" s="154"/>
      <c r="B159" s="154"/>
      <c r="J159" s="41"/>
      <c r="K159" s="8"/>
      <c r="L159" s="8"/>
    </row>
    <row r="160" spans="1:12" customFormat="1" ht="14.4" x14ac:dyDescent="0.3">
      <c r="A160" s="152"/>
      <c r="B160" s="152"/>
      <c r="C160" s="153"/>
      <c r="D160" s="153"/>
      <c r="E160" s="153"/>
      <c r="F160" s="153"/>
      <c r="G160" s="153"/>
      <c r="H160" s="153"/>
      <c r="I160" s="153"/>
      <c r="J160" s="41"/>
      <c r="K160" s="8"/>
      <c r="L160" s="8"/>
    </row>
    <row r="161" spans="1:12" customFormat="1" ht="14.4" x14ac:dyDescent="0.3">
      <c r="A161" s="154"/>
      <c r="B161" s="154"/>
      <c r="J161" s="41"/>
      <c r="K161" s="8"/>
      <c r="L161" s="8"/>
    </row>
    <row r="162" spans="1:12" customFormat="1" ht="14.4" x14ac:dyDescent="0.3">
      <c r="A162" s="152"/>
      <c r="B162" s="152"/>
      <c r="C162" s="153"/>
      <c r="D162" s="153"/>
      <c r="E162" s="153"/>
      <c r="F162" s="153"/>
      <c r="G162" s="153"/>
      <c r="H162" s="153"/>
      <c r="I162" s="153"/>
      <c r="J162" s="41"/>
      <c r="K162" s="8"/>
      <c r="L162" s="8"/>
    </row>
    <row r="163" spans="1:12" customFormat="1" ht="14.4" x14ac:dyDescent="0.3">
      <c r="A163" s="154"/>
      <c r="B163" s="154"/>
      <c r="J163" s="41"/>
      <c r="K163" s="8"/>
      <c r="L163" s="8"/>
    </row>
    <row r="164" spans="1:12" customFormat="1" ht="14.4" x14ac:dyDescent="0.3">
      <c r="A164" s="152"/>
      <c r="B164" s="152"/>
      <c r="C164" s="153"/>
      <c r="D164" s="153"/>
      <c r="E164" s="153"/>
      <c r="F164" s="153"/>
      <c r="G164" s="153"/>
      <c r="H164" s="153"/>
      <c r="I164" s="153"/>
      <c r="J164" s="41"/>
      <c r="K164" s="8"/>
      <c r="L164" s="8"/>
    </row>
    <row r="165" spans="1:12" customFormat="1" ht="14.4" x14ac:dyDescent="0.3">
      <c r="A165" s="154"/>
      <c r="B165" s="154"/>
      <c r="J165" s="41"/>
      <c r="K165" s="8"/>
      <c r="L165" s="8"/>
    </row>
    <row r="166" spans="1:12" customFormat="1" ht="14.4" x14ac:dyDescent="0.3">
      <c r="A166" s="152"/>
      <c r="B166" s="152"/>
      <c r="C166" s="153"/>
      <c r="D166" s="153"/>
      <c r="E166" s="153"/>
      <c r="F166" s="153"/>
      <c r="G166" s="153"/>
      <c r="H166" s="153"/>
      <c r="I166" s="153"/>
      <c r="J166" s="41"/>
      <c r="K166" s="8"/>
      <c r="L166" s="8"/>
    </row>
    <row r="167" spans="1:12" customFormat="1" ht="14.4" x14ac:dyDescent="0.3">
      <c r="A167" s="154"/>
      <c r="B167" s="154"/>
      <c r="J167" s="41"/>
      <c r="K167" s="8"/>
      <c r="L167" s="8"/>
    </row>
    <row r="168" spans="1:12" customFormat="1" ht="14.4" x14ac:dyDescent="0.3">
      <c r="A168" s="152"/>
      <c r="B168" s="152"/>
      <c r="C168" s="153"/>
      <c r="D168" s="153"/>
      <c r="E168" s="153"/>
      <c r="F168" s="153"/>
      <c r="G168" s="153"/>
      <c r="H168" s="153"/>
      <c r="I168" s="153"/>
      <c r="J168" s="41"/>
      <c r="K168" s="8"/>
      <c r="L168" s="8"/>
    </row>
    <row r="169" spans="1:12" customFormat="1" ht="14.4" x14ac:dyDescent="0.3">
      <c r="A169" s="154"/>
      <c r="B169" s="154"/>
      <c r="J169" s="41"/>
      <c r="K169" s="8"/>
      <c r="L169" s="8"/>
    </row>
    <row r="170" spans="1:12" customFormat="1" ht="14.4" x14ac:dyDescent="0.3">
      <c r="A170" s="152"/>
      <c r="B170" s="152"/>
      <c r="C170" s="153"/>
      <c r="D170" s="153"/>
      <c r="E170" s="153"/>
      <c r="F170" s="153"/>
      <c r="G170" s="153"/>
      <c r="H170" s="153"/>
      <c r="I170" s="153"/>
      <c r="J170" s="41"/>
      <c r="K170" s="8"/>
      <c r="L170" s="8"/>
    </row>
    <row r="171" spans="1:12" customFormat="1" ht="14.4" x14ac:dyDescent="0.3">
      <c r="A171" s="154"/>
      <c r="B171" s="154"/>
      <c r="J171" s="41"/>
      <c r="K171" s="8"/>
      <c r="L171" s="8"/>
    </row>
    <row r="172" spans="1:12" customFormat="1" ht="14.4" x14ac:dyDescent="0.3">
      <c r="A172" s="152"/>
      <c r="B172" s="152"/>
      <c r="C172" s="153"/>
      <c r="D172" s="153"/>
      <c r="E172" s="153"/>
      <c r="F172" s="153"/>
      <c r="G172" s="153"/>
      <c r="H172" s="153"/>
      <c r="I172" s="153"/>
      <c r="J172" s="41"/>
      <c r="K172" s="8"/>
      <c r="L172" s="8"/>
    </row>
    <row r="173" spans="1:12" customFormat="1" ht="14.4" x14ac:dyDescent="0.3">
      <c r="A173" s="154"/>
      <c r="B173" s="154"/>
      <c r="J173" s="41"/>
      <c r="K173" s="8"/>
      <c r="L173" s="8"/>
    </row>
    <row r="174" spans="1:12" customFormat="1" ht="14.4" x14ac:dyDescent="0.3">
      <c r="A174" s="152"/>
      <c r="B174" s="152"/>
      <c r="C174" s="153"/>
      <c r="D174" s="153"/>
      <c r="E174" s="153"/>
      <c r="F174" s="153"/>
      <c r="G174" s="153"/>
      <c r="H174" s="153"/>
      <c r="I174" s="153"/>
      <c r="J174" s="41"/>
      <c r="K174" s="8"/>
      <c r="L174" s="8"/>
    </row>
    <row r="175" spans="1:12" customFormat="1" ht="14.4" x14ac:dyDescent="0.3">
      <c r="A175" s="154"/>
      <c r="B175" s="154"/>
      <c r="J175" s="41"/>
      <c r="K175" s="8"/>
      <c r="L175" s="8"/>
    </row>
    <row r="176" spans="1:12" customFormat="1" ht="14.4" x14ac:dyDescent="0.3">
      <c r="A176" s="152"/>
      <c r="B176" s="152"/>
      <c r="C176" s="153"/>
      <c r="D176" s="153"/>
      <c r="E176" s="153"/>
      <c r="F176" s="153"/>
      <c r="G176" s="153"/>
      <c r="H176" s="153"/>
      <c r="I176" s="153"/>
      <c r="J176" s="41"/>
      <c r="K176" s="8"/>
      <c r="L176" s="8"/>
    </row>
    <row r="177" spans="1:12" customFormat="1" ht="14.4" x14ac:dyDescent="0.3">
      <c r="A177" s="154"/>
      <c r="B177" s="154"/>
      <c r="J177" s="41"/>
      <c r="K177" s="8"/>
      <c r="L177" s="8"/>
    </row>
    <row r="178" spans="1:12" customFormat="1" ht="14.4" x14ac:dyDescent="0.3">
      <c r="A178" s="152"/>
      <c r="B178" s="152"/>
      <c r="C178" s="153"/>
      <c r="D178" s="153"/>
      <c r="E178" s="153"/>
      <c r="F178" s="153"/>
      <c r="G178" s="153"/>
      <c r="H178" s="153"/>
      <c r="I178" s="153"/>
      <c r="J178" s="41"/>
      <c r="K178" s="8"/>
      <c r="L178" s="8"/>
    </row>
    <row r="179" spans="1:12" customFormat="1" ht="14.4" x14ac:dyDescent="0.3">
      <c r="A179" s="154"/>
      <c r="B179" s="154"/>
      <c r="J179" s="41"/>
      <c r="K179" s="8"/>
      <c r="L179" s="8"/>
    </row>
    <row r="180" spans="1:12" customFormat="1" ht="14.4" x14ac:dyDescent="0.3">
      <c r="A180" s="152"/>
      <c r="B180" s="152"/>
      <c r="C180" s="153"/>
      <c r="D180" s="153"/>
      <c r="E180" s="153"/>
      <c r="F180" s="153"/>
      <c r="G180" s="153"/>
      <c r="H180" s="153"/>
      <c r="I180" s="153"/>
      <c r="J180" s="41"/>
      <c r="K180" s="8"/>
      <c r="L180" s="8"/>
    </row>
    <row r="181" spans="1:12" customFormat="1" ht="14.4" x14ac:dyDescent="0.3">
      <c r="A181" s="154"/>
      <c r="B181" s="154"/>
      <c r="J181" s="41"/>
      <c r="K181" s="8"/>
      <c r="L181" s="8"/>
    </row>
    <row r="182" spans="1:12" customFormat="1" ht="14.4" x14ac:dyDescent="0.3">
      <c r="A182" s="152"/>
      <c r="B182" s="152"/>
      <c r="C182" s="153"/>
      <c r="D182" s="153"/>
      <c r="E182" s="153"/>
      <c r="F182" s="153"/>
      <c r="G182" s="153"/>
      <c r="H182" s="153"/>
      <c r="I182" s="153"/>
      <c r="J182" s="41"/>
      <c r="K182" s="8"/>
      <c r="L182" s="8"/>
    </row>
    <row r="183" spans="1:12" customFormat="1" ht="14.4" x14ac:dyDescent="0.3">
      <c r="A183" s="154"/>
      <c r="B183" s="154"/>
      <c r="J183" s="41"/>
      <c r="K183" s="8"/>
      <c r="L183" s="8"/>
    </row>
    <row r="184" spans="1:12" customFormat="1" ht="14.4" x14ac:dyDescent="0.3">
      <c r="A184" s="152"/>
      <c r="B184" s="152"/>
      <c r="C184" s="153"/>
      <c r="D184" s="153"/>
      <c r="E184" s="153"/>
      <c r="F184" s="153"/>
      <c r="G184" s="153"/>
      <c r="H184" s="153"/>
      <c r="I184" s="153"/>
      <c r="J184" s="41"/>
      <c r="K184" s="8"/>
      <c r="L184" s="8"/>
    </row>
    <row r="185" spans="1:12" customFormat="1" ht="14.4" x14ac:dyDescent="0.3">
      <c r="A185" s="154"/>
      <c r="B185" s="154"/>
      <c r="J185" s="41"/>
      <c r="K185" s="8"/>
      <c r="L185" s="8"/>
    </row>
    <row r="186" spans="1:12" customFormat="1" ht="14.4" x14ac:dyDescent="0.3">
      <c r="A186" s="152"/>
      <c r="B186" s="152"/>
      <c r="C186" s="153"/>
      <c r="D186" s="153"/>
      <c r="E186" s="153"/>
      <c r="F186" s="153"/>
      <c r="G186" s="153"/>
      <c r="H186" s="153"/>
      <c r="I186" s="153"/>
      <c r="J186" s="41"/>
      <c r="K186" s="8"/>
      <c r="L186" s="8"/>
    </row>
    <row r="187" spans="1:12" customFormat="1" ht="14.4" x14ac:dyDescent="0.3">
      <c r="A187" s="154"/>
      <c r="B187" s="154"/>
      <c r="J187" s="41"/>
      <c r="K187" s="8"/>
      <c r="L187" s="8"/>
    </row>
    <row r="188" spans="1:12" customFormat="1" ht="14.4" x14ac:dyDescent="0.3">
      <c r="A188" s="152"/>
      <c r="B188" s="152"/>
      <c r="C188" s="153"/>
      <c r="D188" s="153"/>
      <c r="E188" s="153"/>
      <c r="F188" s="153"/>
      <c r="G188" s="153"/>
      <c r="H188" s="153"/>
      <c r="I188" s="153"/>
      <c r="J188" s="41"/>
      <c r="K188" s="8"/>
      <c r="L188" s="8"/>
    </row>
    <row r="189" spans="1:12" customFormat="1" ht="14.4" x14ac:dyDescent="0.3">
      <c r="A189" s="154"/>
      <c r="B189" s="154"/>
      <c r="J189" s="41"/>
      <c r="K189" s="8"/>
      <c r="L189" s="8"/>
    </row>
    <row r="190" spans="1:12" customFormat="1" ht="14.4" x14ac:dyDescent="0.3">
      <c r="A190" s="152"/>
      <c r="B190" s="152"/>
      <c r="C190" s="153"/>
      <c r="D190" s="153"/>
      <c r="E190" s="153"/>
      <c r="F190" s="153"/>
      <c r="G190" s="153"/>
      <c r="H190" s="153"/>
      <c r="I190" s="153"/>
      <c r="J190" s="41"/>
      <c r="K190" s="8"/>
      <c r="L190" s="8"/>
    </row>
    <row r="191" spans="1:12" customFormat="1" ht="14.4" x14ac:dyDescent="0.3">
      <c r="A191" s="154"/>
      <c r="B191" s="154"/>
      <c r="J191" s="41"/>
      <c r="K191" s="8"/>
      <c r="L191" s="8"/>
    </row>
    <row r="192" spans="1:12" customFormat="1" ht="14.4" x14ac:dyDescent="0.3">
      <c r="A192" s="152"/>
      <c r="B192" s="152"/>
      <c r="C192" s="153"/>
      <c r="D192" s="153"/>
      <c r="E192" s="153"/>
      <c r="F192" s="153"/>
      <c r="G192" s="153"/>
      <c r="H192" s="153"/>
      <c r="I192" s="153"/>
      <c r="J192" s="41"/>
      <c r="K192" s="8"/>
      <c r="L192" s="8"/>
    </row>
    <row r="193" spans="1:12" customFormat="1" ht="14.4" x14ac:dyDescent="0.3">
      <c r="A193" s="154"/>
      <c r="B193" s="154"/>
      <c r="J193" s="41"/>
      <c r="K193" s="8"/>
      <c r="L193" s="8"/>
    </row>
    <row r="194" spans="1:12" customFormat="1" ht="14.4" x14ac:dyDescent="0.3">
      <c r="A194" s="152"/>
      <c r="B194" s="152"/>
      <c r="C194" s="153"/>
      <c r="D194" s="153"/>
      <c r="E194" s="153"/>
      <c r="F194" s="153"/>
      <c r="G194" s="153"/>
      <c r="H194" s="153"/>
      <c r="I194" s="153"/>
      <c r="J194" s="41"/>
      <c r="K194" s="8"/>
      <c r="L194" s="8"/>
    </row>
    <row r="195" spans="1:12" customFormat="1" ht="14.4" x14ac:dyDescent="0.3">
      <c r="A195" s="154"/>
      <c r="B195" s="154"/>
      <c r="J195" s="41"/>
      <c r="K195" s="8"/>
      <c r="L195" s="8"/>
    </row>
    <row r="196" spans="1:12" customFormat="1" ht="14.4" x14ac:dyDescent="0.3">
      <c r="A196" s="152"/>
      <c r="B196" s="152"/>
      <c r="C196" s="153"/>
      <c r="D196" s="153"/>
      <c r="E196" s="153"/>
      <c r="F196" s="153"/>
      <c r="G196" s="153"/>
      <c r="H196" s="153"/>
      <c r="I196" s="153"/>
      <c r="J196" s="41"/>
      <c r="K196" s="8"/>
      <c r="L196" s="8"/>
    </row>
    <row r="197" spans="1:12" customFormat="1" ht="14.4" x14ac:dyDescent="0.3">
      <c r="A197" s="154"/>
      <c r="B197" s="154"/>
      <c r="J197" s="41"/>
      <c r="K197" s="8"/>
      <c r="L197" s="8"/>
    </row>
    <row r="198" spans="1:12" customFormat="1" ht="14.4" x14ac:dyDescent="0.3">
      <c r="A198" s="152"/>
      <c r="B198" s="152"/>
      <c r="C198" s="153"/>
      <c r="D198" s="153"/>
      <c r="E198" s="153"/>
      <c r="F198" s="153"/>
      <c r="G198" s="153"/>
      <c r="H198" s="153"/>
      <c r="I198" s="153"/>
      <c r="J198" s="41"/>
      <c r="K198" s="8"/>
      <c r="L198" s="8"/>
    </row>
    <row r="199" spans="1:12" customFormat="1" ht="14.4" x14ac:dyDescent="0.3">
      <c r="A199" s="154"/>
      <c r="B199" s="154"/>
      <c r="J199" s="41"/>
      <c r="K199" s="8"/>
      <c r="L199" s="8"/>
    </row>
    <row r="200" spans="1:12" customFormat="1" ht="14.4" x14ac:dyDescent="0.3">
      <c r="A200" s="152"/>
      <c r="B200" s="152"/>
      <c r="C200" s="153"/>
      <c r="D200" s="153"/>
      <c r="E200" s="153"/>
      <c r="F200" s="153"/>
      <c r="G200" s="153"/>
      <c r="H200" s="153"/>
      <c r="I200" s="153"/>
      <c r="J200" s="41"/>
      <c r="K200" s="8"/>
      <c r="L200" s="8"/>
    </row>
    <row r="201" spans="1:12" customFormat="1" ht="14.4" x14ac:dyDescent="0.3">
      <c r="A201" s="154"/>
      <c r="B201" s="154"/>
      <c r="J201" s="41"/>
      <c r="K201" s="8"/>
      <c r="L201" s="8"/>
    </row>
    <row r="202" spans="1:12" customFormat="1" ht="14.4" x14ac:dyDescent="0.3">
      <c r="A202" s="152"/>
      <c r="B202" s="152"/>
      <c r="C202" s="153"/>
      <c r="D202" s="153"/>
      <c r="E202" s="153"/>
      <c r="F202" s="153"/>
      <c r="G202" s="153"/>
      <c r="H202" s="153"/>
      <c r="I202" s="153"/>
      <c r="J202" s="41"/>
      <c r="K202" s="8"/>
      <c r="L202" s="8"/>
    </row>
    <row r="203" spans="1:12" customFormat="1" ht="14.4" x14ac:dyDescent="0.3">
      <c r="A203" s="154"/>
      <c r="B203" s="154"/>
      <c r="J203" s="41"/>
      <c r="K203" s="8"/>
      <c r="L203" s="8"/>
    </row>
    <row r="204" spans="1:12" customFormat="1" ht="14.4" x14ac:dyDescent="0.3">
      <c r="A204" s="152"/>
      <c r="B204" s="152"/>
      <c r="C204" s="153"/>
      <c r="D204" s="153"/>
      <c r="E204" s="153"/>
      <c r="F204" s="153"/>
      <c r="G204" s="153"/>
      <c r="H204" s="153"/>
      <c r="I204" s="153"/>
      <c r="J204" s="41"/>
      <c r="K204" s="8"/>
      <c r="L204" s="8"/>
    </row>
    <row r="205" spans="1:12" customFormat="1" ht="14.4" x14ac:dyDescent="0.3">
      <c r="A205" s="154"/>
      <c r="B205" s="154"/>
      <c r="J205" s="41"/>
      <c r="K205" s="8"/>
      <c r="L205" s="8"/>
    </row>
    <row r="206" spans="1:12" customFormat="1" ht="14.4" x14ac:dyDescent="0.3">
      <c r="A206" s="152"/>
      <c r="B206" s="152"/>
      <c r="C206" s="153"/>
      <c r="D206" s="153"/>
      <c r="E206" s="153"/>
      <c r="F206" s="153"/>
      <c r="G206" s="153"/>
      <c r="H206" s="153"/>
      <c r="I206" s="153"/>
      <c r="J206" s="41"/>
      <c r="K206" s="8"/>
      <c r="L206" s="8"/>
    </row>
    <row r="207" spans="1:12" customFormat="1" ht="14.4" x14ac:dyDescent="0.3">
      <c r="A207" s="154"/>
      <c r="B207" s="154"/>
      <c r="J207" s="41"/>
      <c r="K207" s="8"/>
      <c r="L207" s="8"/>
    </row>
    <row r="208" spans="1:12" customFormat="1" ht="14.4" x14ac:dyDescent="0.3">
      <c r="A208" s="152"/>
      <c r="B208" s="152"/>
      <c r="C208" s="153"/>
      <c r="D208" s="153"/>
      <c r="E208" s="153"/>
      <c r="F208" s="153"/>
      <c r="G208" s="153"/>
      <c r="H208" s="153"/>
      <c r="I208" s="153"/>
      <c r="J208" s="41"/>
      <c r="K208" s="8"/>
      <c r="L208" s="8"/>
    </row>
    <row r="209" spans="1:12" customFormat="1" ht="14.4" x14ac:dyDescent="0.3">
      <c r="A209" s="154"/>
      <c r="B209" s="154"/>
      <c r="J209" s="41"/>
      <c r="K209" s="8"/>
      <c r="L209" s="8"/>
    </row>
    <row r="210" spans="1:12" customFormat="1" ht="14.4" x14ac:dyDescent="0.3">
      <c r="A210" s="152"/>
      <c r="B210" s="152"/>
      <c r="C210" s="153"/>
      <c r="D210" s="153"/>
      <c r="E210" s="153"/>
      <c r="F210" s="153"/>
      <c r="G210" s="153"/>
      <c r="H210" s="153"/>
      <c r="I210" s="153"/>
      <c r="J210" s="41"/>
      <c r="K210" s="8"/>
      <c r="L210" s="8"/>
    </row>
    <row r="211" spans="1:12" customFormat="1" ht="14.4" x14ac:dyDescent="0.3">
      <c r="A211" s="154"/>
      <c r="B211" s="154"/>
      <c r="J211" s="41"/>
      <c r="K211" s="8"/>
      <c r="L211" s="8"/>
    </row>
    <row r="212" spans="1:12" customFormat="1" ht="14.4" x14ac:dyDescent="0.3">
      <c r="A212" s="152"/>
      <c r="B212" s="152"/>
      <c r="C212" s="153"/>
      <c r="D212" s="153"/>
      <c r="E212" s="153"/>
      <c r="F212" s="153"/>
      <c r="G212" s="153"/>
      <c r="H212" s="153"/>
      <c r="I212" s="153"/>
      <c r="J212" s="41"/>
      <c r="K212" s="8"/>
      <c r="L212" s="8"/>
    </row>
    <row r="213" spans="1:12" customFormat="1" ht="14.4" x14ac:dyDescent="0.3">
      <c r="A213" s="154"/>
      <c r="B213" s="154"/>
      <c r="J213" s="41"/>
      <c r="K213" s="8"/>
      <c r="L213" s="8"/>
    </row>
    <row r="214" spans="1:12" customFormat="1" ht="14.4" x14ac:dyDescent="0.3">
      <c r="A214" s="152"/>
      <c r="B214" s="152"/>
      <c r="C214" s="153"/>
      <c r="D214" s="153"/>
      <c r="E214" s="153"/>
      <c r="F214" s="153"/>
      <c r="G214" s="153"/>
      <c r="H214" s="153"/>
      <c r="I214" s="153"/>
      <c r="J214" s="41"/>
      <c r="K214" s="8"/>
      <c r="L214" s="8"/>
    </row>
    <row r="215" spans="1:12" customFormat="1" ht="14.4" x14ac:dyDescent="0.3">
      <c r="A215" s="154"/>
      <c r="B215" s="154"/>
      <c r="J215" s="41"/>
      <c r="K215" s="8"/>
      <c r="L215" s="8"/>
    </row>
    <row r="216" spans="1:12" customFormat="1" ht="14.4" x14ac:dyDescent="0.3">
      <c r="A216" s="152"/>
      <c r="B216" s="152"/>
      <c r="C216" s="153"/>
      <c r="D216" s="153"/>
      <c r="E216" s="153"/>
      <c r="F216" s="153"/>
      <c r="G216" s="153"/>
      <c r="H216" s="153"/>
      <c r="I216" s="153"/>
      <c r="J216" s="41"/>
      <c r="K216" s="8"/>
      <c r="L216" s="8"/>
    </row>
    <row r="217" spans="1:12" customFormat="1" ht="14.4" x14ac:dyDescent="0.3">
      <c r="A217" s="154"/>
      <c r="B217" s="154"/>
      <c r="J217" s="41"/>
      <c r="K217" s="8"/>
      <c r="L217" s="8"/>
    </row>
    <row r="218" spans="1:12" customFormat="1" ht="14.4" x14ac:dyDescent="0.3">
      <c r="A218" s="152"/>
      <c r="B218" s="152"/>
      <c r="C218" s="153"/>
      <c r="D218" s="153"/>
      <c r="E218" s="153"/>
      <c r="F218" s="153"/>
      <c r="G218" s="153"/>
      <c r="H218" s="153"/>
      <c r="I218" s="153"/>
      <c r="J218" s="41"/>
      <c r="K218" s="8"/>
      <c r="L218" s="8"/>
    </row>
    <row r="219" spans="1:12" customFormat="1" ht="14.4" x14ac:dyDescent="0.3">
      <c r="A219" s="154"/>
      <c r="B219" s="154"/>
      <c r="J219" s="41"/>
      <c r="K219" s="8"/>
      <c r="L219" s="8"/>
    </row>
    <row r="220" spans="1:12" customFormat="1" ht="14.4" x14ac:dyDescent="0.3">
      <c r="A220" s="152"/>
      <c r="B220" s="152"/>
      <c r="C220" s="153"/>
      <c r="D220" s="153"/>
      <c r="E220" s="153"/>
      <c r="F220" s="153"/>
      <c r="G220" s="153"/>
      <c r="H220" s="153"/>
      <c r="I220" s="153"/>
      <c r="J220" s="41"/>
      <c r="K220" s="8"/>
      <c r="L220" s="8"/>
    </row>
    <row r="221" spans="1:12" customFormat="1" ht="14.4" x14ac:dyDescent="0.3">
      <c r="A221" s="154"/>
      <c r="B221" s="154"/>
      <c r="J221" s="41"/>
      <c r="K221" s="8"/>
      <c r="L221" s="8"/>
    </row>
    <row r="222" spans="1:12" customFormat="1" ht="14.4" x14ac:dyDescent="0.3">
      <c r="A222" s="152"/>
      <c r="B222" s="152"/>
      <c r="C222" s="153"/>
      <c r="D222" s="153"/>
      <c r="E222" s="153"/>
      <c r="F222" s="153"/>
      <c r="G222" s="153"/>
      <c r="H222" s="153"/>
      <c r="I222" s="153"/>
      <c r="J222" s="41"/>
      <c r="K222" s="8"/>
      <c r="L222" s="8"/>
    </row>
    <row r="223" spans="1:12" customFormat="1" ht="14.4" x14ac:dyDescent="0.3">
      <c r="A223" s="154"/>
      <c r="B223" s="154"/>
      <c r="J223" s="41"/>
      <c r="K223" s="8"/>
      <c r="L223" s="8"/>
    </row>
    <row r="224" spans="1:12" customFormat="1" ht="14.4" x14ac:dyDescent="0.3">
      <c r="A224" s="152"/>
      <c r="B224" s="152"/>
      <c r="C224" s="153"/>
      <c r="D224" s="153"/>
      <c r="E224" s="153"/>
      <c r="F224" s="153"/>
      <c r="G224" s="153"/>
      <c r="H224" s="153"/>
      <c r="I224" s="153"/>
      <c r="J224" s="41"/>
      <c r="K224" s="8"/>
      <c r="L224" s="8"/>
    </row>
    <row r="225" spans="1:12" customFormat="1" ht="14.4" x14ac:dyDescent="0.3">
      <c r="A225" s="154"/>
      <c r="B225" s="154"/>
      <c r="J225" s="41"/>
      <c r="K225" s="8"/>
      <c r="L225" s="8"/>
    </row>
    <row r="226" spans="1:12" customFormat="1" ht="14.4" x14ac:dyDescent="0.3">
      <c r="A226" s="152"/>
      <c r="B226" s="152"/>
      <c r="C226" s="153"/>
      <c r="D226" s="153"/>
      <c r="E226" s="153"/>
      <c r="F226" s="153"/>
      <c r="G226" s="153"/>
      <c r="H226" s="153"/>
      <c r="I226" s="153"/>
      <c r="J226" s="41"/>
      <c r="K226" s="8"/>
      <c r="L226" s="8"/>
    </row>
    <row r="227" spans="1:12" customFormat="1" ht="14.4" x14ac:dyDescent="0.3">
      <c r="A227" s="154"/>
      <c r="B227" s="154"/>
      <c r="J227" s="41"/>
      <c r="K227" s="8"/>
      <c r="L227" s="8"/>
    </row>
    <row r="228" spans="1:12" customFormat="1" ht="14.4" x14ac:dyDescent="0.3">
      <c r="A228" s="152"/>
      <c r="B228" s="152"/>
      <c r="C228" s="153"/>
      <c r="D228" s="153"/>
      <c r="E228" s="153"/>
      <c r="F228" s="153"/>
      <c r="G228" s="153"/>
      <c r="H228" s="153"/>
      <c r="I228" s="153"/>
      <c r="J228" s="41"/>
      <c r="K228" s="8"/>
      <c r="L228" s="8"/>
    </row>
    <row r="229" spans="1:12" customFormat="1" ht="14.4" x14ac:dyDescent="0.3">
      <c r="A229" s="154"/>
      <c r="B229" s="154"/>
      <c r="J229" s="41"/>
      <c r="K229" s="8"/>
      <c r="L229" s="8"/>
    </row>
    <row r="230" spans="1:12" customFormat="1" ht="14.4" x14ac:dyDescent="0.3">
      <c r="A230" s="152"/>
      <c r="B230" s="152"/>
      <c r="C230" s="153"/>
      <c r="D230" s="153"/>
      <c r="E230" s="153"/>
      <c r="F230" s="153"/>
      <c r="G230" s="153"/>
      <c r="H230" s="153"/>
      <c r="I230" s="153"/>
      <c r="J230" s="41"/>
      <c r="K230" s="8"/>
      <c r="L230" s="8"/>
    </row>
    <row r="231" spans="1:12" customFormat="1" ht="14.4" x14ac:dyDescent="0.3">
      <c r="A231" s="154"/>
      <c r="B231" s="154"/>
      <c r="J231" s="41"/>
      <c r="K231" s="8"/>
      <c r="L231" s="8"/>
    </row>
    <row r="232" spans="1:12" customFormat="1" ht="14.4" x14ac:dyDescent="0.3">
      <c r="A232" s="152"/>
      <c r="B232" s="152"/>
      <c r="C232" s="153"/>
      <c r="D232" s="153"/>
      <c r="E232" s="153"/>
      <c r="F232" s="153"/>
      <c r="G232" s="153"/>
      <c r="H232" s="153"/>
      <c r="I232" s="153"/>
      <c r="J232" s="41"/>
      <c r="K232" s="8"/>
      <c r="L232" s="8"/>
    </row>
    <row r="233" spans="1:12" customFormat="1" ht="14.4" x14ac:dyDescent="0.3">
      <c r="A233" s="154"/>
      <c r="B233" s="154"/>
      <c r="J233" s="41"/>
      <c r="K233" s="8"/>
      <c r="L233" s="8"/>
    </row>
    <row r="234" spans="1:12" customFormat="1" ht="14.4" x14ac:dyDescent="0.3">
      <c r="A234" s="152"/>
      <c r="B234" s="152"/>
      <c r="C234" s="153"/>
      <c r="D234" s="153"/>
      <c r="E234" s="153"/>
      <c r="F234" s="153"/>
      <c r="G234" s="153"/>
      <c r="H234" s="153"/>
      <c r="I234" s="153"/>
      <c r="J234" s="41"/>
      <c r="K234" s="8"/>
      <c r="L234" s="8"/>
    </row>
    <row r="235" spans="1:12" customFormat="1" ht="14.4" x14ac:dyDescent="0.3">
      <c r="A235" s="154"/>
      <c r="B235" s="154"/>
      <c r="J235" s="41"/>
      <c r="K235" s="8"/>
      <c r="L235" s="8"/>
    </row>
    <row r="236" spans="1:12" customFormat="1" ht="14.4" x14ac:dyDescent="0.3">
      <c r="A236" s="152"/>
      <c r="B236" s="152"/>
      <c r="C236" s="153"/>
      <c r="D236" s="153"/>
      <c r="E236" s="153"/>
      <c r="F236" s="153"/>
      <c r="G236" s="153"/>
      <c r="H236" s="153"/>
      <c r="I236" s="153"/>
      <c r="J236" s="41"/>
      <c r="K236" s="8"/>
      <c r="L236" s="8"/>
    </row>
    <row r="237" spans="1:12" customFormat="1" ht="14.4" x14ac:dyDescent="0.3">
      <c r="A237" s="154"/>
      <c r="B237" s="154"/>
      <c r="J237" s="41"/>
      <c r="K237" s="8"/>
      <c r="L237" s="8"/>
    </row>
    <row r="238" spans="1:12" customFormat="1" ht="14.4" x14ac:dyDescent="0.3">
      <c r="A238" s="152"/>
      <c r="B238" s="152"/>
      <c r="C238" s="153"/>
      <c r="D238" s="153"/>
      <c r="E238" s="153"/>
      <c r="F238" s="153"/>
      <c r="G238" s="153"/>
      <c r="H238" s="153"/>
      <c r="I238" s="153"/>
      <c r="J238" s="41"/>
      <c r="K238" s="8"/>
      <c r="L238" s="8"/>
    </row>
    <row r="239" spans="1:12" customFormat="1" ht="14.4" x14ac:dyDescent="0.3">
      <c r="A239" s="154"/>
      <c r="B239" s="154"/>
      <c r="J239" s="41"/>
      <c r="K239" s="8"/>
      <c r="L239" s="8"/>
    </row>
    <row r="240" spans="1:12" customFormat="1" ht="14.4" x14ac:dyDescent="0.3">
      <c r="A240" s="152"/>
      <c r="B240" s="152"/>
      <c r="C240" s="153"/>
      <c r="D240" s="153"/>
      <c r="E240" s="153"/>
      <c r="F240" s="153"/>
      <c r="G240" s="153"/>
      <c r="H240" s="153"/>
      <c r="I240" s="153"/>
      <c r="J240" s="41"/>
      <c r="K240" s="8"/>
      <c r="L240" s="8"/>
    </row>
    <row r="241" spans="1:12" customFormat="1" ht="14.4" x14ac:dyDescent="0.3">
      <c r="A241" s="154"/>
      <c r="B241" s="154"/>
      <c r="J241" s="41"/>
      <c r="K241" s="8"/>
      <c r="L241" s="8"/>
    </row>
    <row r="242" spans="1:12" customFormat="1" ht="14.4" x14ac:dyDescent="0.3">
      <c r="A242" s="152"/>
      <c r="B242" s="152"/>
      <c r="C242" s="153"/>
      <c r="D242" s="153"/>
      <c r="E242" s="153"/>
      <c r="F242" s="153"/>
      <c r="G242" s="153"/>
      <c r="H242" s="153"/>
      <c r="I242" s="153"/>
      <c r="J242" s="41"/>
      <c r="K242" s="8"/>
      <c r="L242" s="8"/>
    </row>
    <row r="243" spans="1:12" customFormat="1" ht="14.4" x14ac:dyDescent="0.3">
      <c r="A243" s="154"/>
      <c r="B243" s="154"/>
      <c r="J243" s="41"/>
      <c r="K243" s="8"/>
      <c r="L243" s="8"/>
    </row>
    <row r="244" spans="1:12" customFormat="1" ht="14.4" x14ac:dyDescent="0.3">
      <c r="A244" s="152"/>
      <c r="B244" s="152"/>
      <c r="C244" s="153"/>
      <c r="D244" s="153"/>
      <c r="E244" s="153"/>
      <c r="F244" s="153"/>
      <c r="G244" s="153"/>
      <c r="H244" s="153"/>
      <c r="I244" s="153"/>
      <c r="J244" s="41"/>
      <c r="K244" s="8"/>
      <c r="L244" s="8"/>
    </row>
    <row r="245" spans="1:12" customFormat="1" ht="14.4" x14ac:dyDescent="0.3">
      <c r="A245" s="154"/>
      <c r="B245" s="154"/>
      <c r="J245" s="41"/>
      <c r="K245" s="8"/>
      <c r="L245" s="8"/>
    </row>
    <row r="246" spans="1:12" customFormat="1" ht="14.4" x14ac:dyDescent="0.3">
      <c r="A246" s="152"/>
      <c r="B246" s="152"/>
      <c r="C246" s="153"/>
      <c r="D246" s="153"/>
      <c r="E246" s="153"/>
      <c r="F246" s="153"/>
      <c r="G246" s="153"/>
      <c r="H246" s="153"/>
      <c r="I246" s="153"/>
      <c r="J246" s="41"/>
      <c r="K246" s="8"/>
      <c r="L246" s="8"/>
    </row>
    <row r="247" spans="1:12" customFormat="1" ht="14.4" x14ac:dyDescent="0.3">
      <c r="A247" s="154"/>
      <c r="B247" s="154"/>
      <c r="J247" s="41"/>
      <c r="K247" s="8"/>
      <c r="L247" s="8"/>
    </row>
    <row r="248" spans="1:12" customFormat="1" ht="14.4" x14ac:dyDescent="0.3">
      <c r="A248" s="152"/>
      <c r="B248" s="152"/>
      <c r="C248" s="153"/>
      <c r="D248" s="153"/>
      <c r="E248" s="153"/>
      <c r="F248" s="153"/>
      <c r="G248" s="153"/>
      <c r="H248" s="153"/>
      <c r="I248" s="153"/>
      <c r="J248" s="41"/>
      <c r="K248" s="8"/>
      <c r="L248" s="8"/>
    </row>
    <row r="249" spans="1:12" customFormat="1" ht="14.4" x14ac:dyDescent="0.3">
      <c r="A249" s="154"/>
      <c r="B249" s="154"/>
      <c r="J249" s="41"/>
      <c r="K249" s="8"/>
      <c r="L249" s="8"/>
    </row>
    <row r="250" spans="1:12" customFormat="1" ht="14.4" x14ac:dyDescent="0.3">
      <c r="A250" s="152"/>
      <c r="B250" s="152"/>
      <c r="C250" s="153"/>
      <c r="D250" s="153"/>
      <c r="E250" s="153"/>
      <c r="F250" s="153"/>
      <c r="G250" s="153"/>
      <c r="H250" s="153"/>
      <c r="I250" s="153"/>
      <c r="J250" s="41"/>
      <c r="K250" s="8"/>
      <c r="L250" s="8"/>
    </row>
    <row r="251" spans="1:12" customFormat="1" ht="14.4" x14ac:dyDescent="0.3">
      <c r="A251" s="154"/>
      <c r="B251" s="154"/>
      <c r="J251" s="41"/>
      <c r="K251" s="8"/>
      <c r="L251" s="8"/>
    </row>
    <row r="252" spans="1:12" customFormat="1" ht="14.4" x14ac:dyDescent="0.3">
      <c r="A252" s="152"/>
      <c r="B252" s="152"/>
      <c r="C252" s="153"/>
      <c r="D252" s="153"/>
      <c r="E252" s="153"/>
      <c r="F252" s="153"/>
      <c r="G252" s="153"/>
      <c r="H252" s="153"/>
      <c r="I252" s="153"/>
      <c r="J252" s="41"/>
      <c r="K252" s="8"/>
      <c r="L252" s="8"/>
    </row>
    <row r="253" spans="1:12" customFormat="1" ht="14.4" x14ac:dyDescent="0.3">
      <c r="A253" s="154"/>
      <c r="B253" s="154"/>
      <c r="J253" s="41"/>
      <c r="K253" s="8"/>
      <c r="L253" s="8"/>
    </row>
    <row r="254" spans="1:12" customFormat="1" ht="14.4" x14ac:dyDescent="0.3">
      <c r="A254" s="152"/>
      <c r="B254" s="152"/>
      <c r="C254" s="153"/>
      <c r="D254" s="153"/>
      <c r="E254" s="153"/>
      <c r="F254" s="153"/>
      <c r="G254" s="153"/>
      <c r="H254" s="153"/>
      <c r="I254" s="153"/>
      <c r="J254" s="41"/>
      <c r="K254" s="8"/>
      <c r="L254" s="8"/>
    </row>
    <row r="255" spans="1:12" customFormat="1" ht="14.4" x14ac:dyDescent="0.3">
      <c r="A255" s="154"/>
      <c r="B255" s="154"/>
      <c r="J255" s="41"/>
      <c r="K255" s="8"/>
      <c r="L255" s="8"/>
    </row>
    <row r="256" spans="1:12" customFormat="1" ht="14.4" x14ac:dyDescent="0.3">
      <c r="A256" s="152"/>
      <c r="B256" s="152"/>
      <c r="C256" s="153"/>
      <c r="D256" s="153"/>
      <c r="E256" s="153"/>
      <c r="F256" s="153"/>
      <c r="G256" s="153"/>
      <c r="H256" s="153"/>
      <c r="I256" s="153"/>
      <c r="J256" s="41"/>
      <c r="K256" s="8"/>
      <c r="L256" s="8"/>
    </row>
    <row r="257" spans="1:12" customFormat="1" ht="14.4" x14ac:dyDescent="0.3">
      <c r="A257" s="154"/>
      <c r="B257" s="154"/>
      <c r="J257" s="41"/>
      <c r="K257" s="8"/>
      <c r="L257" s="8"/>
    </row>
    <row r="258" spans="1:12" customFormat="1" ht="14.4" x14ac:dyDescent="0.3">
      <c r="A258" s="152"/>
      <c r="B258" s="152"/>
      <c r="C258" s="153"/>
      <c r="D258" s="153"/>
      <c r="E258" s="153"/>
      <c r="F258" s="153"/>
      <c r="G258" s="153"/>
      <c r="H258" s="153"/>
      <c r="I258" s="153"/>
      <c r="J258" s="41"/>
      <c r="K258" s="8"/>
      <c r="L258" s="8"/>
    </row>
    <row r="259" spans="1:12" customFormat="1" ht="14.4" x14ac:dyDescent="0.3">
      <c r="A259" s="154"/>
      <c r="B259" s="154"/>
      <c r="J259" s="41"/>
      <c r="K259" s="8"/>
      <c r="L259" s="8"/>
    </row>
    <row r="260" spans="1:12" customFormat="1" ht="14.4" x14ac:dyDescent="0.3">
      <c r="A260" s="152"/>
      <c r="B260" s="152"/>
      <c r="C260" s="153"/>
      <c r="D260" s="153"/>
      <c r="E260" s="153"/>
      <c r="F260" s="153"/>
      <c r="G260" s="153"/>
      <c r="H260" s="153"/>
      <c r="I260" s="153"/>
      <c r="J260" s="41"/>
      <c r="K260" s="8"/>
      <c r="L260" s="8"/>
    </row>
    <row r="261" spans="1:12" customFormat="1" ht="14.4" x14ac:dyDescent="0.3">
      <c r="A261" s="154"/>
      <c r="B261" s="154"/>
      <c r="J261" s="41"/>
      <c r="K261" s="8"/>
      <c r="L261" s="8"/>
    </row>
    <row r="262" spans="1:12" customFormat="1" ht="14.4" x14ac:dyDescent="0.3">
      <c r="A262" s="152"/>
      <c r="B262" s="152"/>
      <c r="C262" s="153"/>
      <c r="D262" s="153"/>
      <c r="E262" s="153"/>
      <c r="F262" s="153"/>
      <c r="G262" s="153"/>
      <c r="H262" s="153"/>
      <c r="I262" s="153"/>
      <c r="J262" s="41"/>
      <c r="K262" s="8"/>
      <c r="L262" s="8"/>
    </row>
    <row r="263" spans="1:12" customFormat="1" ht="14.4" x14ac:dyDescent="0.3">
      <c r="A263" s="154"/>
      <c r="B263" s="154"/>
      <c r="J263" s="41"/>
      <c r="K263" s="8"/>
      <c r="L263" s="8"/>
    </row>
    <row r="264" spans="1:12" customFormat="1" ht="14.4" x14ac:dyDescent="0.3">
      <c r="A264" s="152"/>
      <c r="B264" s="152"/>
      <c r="C264" s="153"/>
      <c r="D264" s="153"/>
      <c r="E264" s="153"/>
      <c r="F264" s="153"/>
      <c r="G264" s="153"/>
      <c r="H264" s="153"/>
      <c r="I264" s="153"/>
      <c r="J264" s="41"/>
      <c r="K264" s="8"/>
      <c r="L264" s="8"/>
    </row>
    <row r="265" spans="1:12" customFormat="1" ht="14.4" x14ac:dyDescent="0.3">
      <c r="A265" s="154"/>
      <c r="B265" s="154"/>
      <c r="J265" s="41"/>
      <c r="K265" s="8"/>
      <c r="L265" s="8"/>
    </row>
    <row r="266" spans="1:12" customFormat="1" ht="14.4" x14ac:dyDescent="0.3">
      <c r="A266" s="152"/>
      <c r="B266" s="152"/>
      <c r="C266" s="153"/>
      <c r="D266" s="153"/>
      <c r="E266" s="153"/>
      <c r="F266" s="153"/>
      <c r="G266" s="153"/>
      <c r="H266" s="153"/>
      <c r="I266" s="153"/>
      <c r="J266" s="41"/>
      <c r="K266" s="8"/>
      <c r="L266" s="8"/>
    </row>
    <row r="267" spans="1:12" customFormat="1" ht="14.4" x14ac:dyDescent="0.3">
      <c r="A267" s="154"/>
      <c r="B267" s="154"/>
      <c r="J267" s="41"/>
      <c r="K267" s="8"/>
      <c r="L267" s="8"/>
    </row>
    <row r="268" spans="1:12" customFormat="1" ht="14.4" x14ac:dyDescent="0.3">
      <c r="A268" s="152"/>
      <c r="B268" s="152"/>
      <c r="C268" s="153"/>
      <c r="D268" s="153"/>
      <c r="E268" s="153"/>
      <c r="F268" s="153"/>
      <c r="G268" s="153"/>
      <c r="H268" s="153"/>
      <c r="I268" s="153"/>
      <c r="J268" s="41"/>
      <c r="K268" s="8"/>
      <c r="L268" s="8"/>
    </row>
    <row r="269" spans="1:12" customFormat="1" ht="14.4" x14ac:dyDescent="0.3">
      <c r="A269" s="154"/>
      <c r="B269" s="154"/>
      <c r="J269" s="41"/>
      <c r="K269" s="8"/>
      <c r="L269" s="8"/>
    </row>
    <row r="270" spans="1:12" customFormat="1" ht="14.4" x14ac:dyDescent="0.3">
      <c r="A270" s="152"/>
      <c r="B270" s="152"/>
      <c r="C270" s="153"/>
      <c r="D270" s="153"/>
      <c r="E270" s="153"/>
      <c r="F270" s="153"/>
      <c r="G270" s="153"/>
      <c r="H270" s="153"/>
      <c r="I270" s="153"/>
      <c r="J270" s="41"/>
      <c r="K270" s="8"/>
      <c r="L270" s="8"/>
    </row>
    <row r="271" spans="1:12" customFormat="1" ht="14.4" x14ac:dyDescent="0.3">
      <c r="A271" s="154"/>
      <c r="B271" s="154"/>
      <c r="J271" s="41"/>
      <c r="K271" s="8"/>
      <c r="L271" s="8"/>
    </row>
    <row r="272" spans="1:12" customFormat="1" ht="14.4" x14ac:dyDescent="0.3">
      <c r="A272" s="152"/>
      <c r="B272" s="152"/>
      <c r="C272" s="153"/>
      <c r="D272" s="153"/>
      <c r="E272" s="153"/>
      <c r="F272" s="153"/>
      <c r="G272" s="153"/>
      <c r="H272" s="153"/>
      <c r="I272" s="153"/>
      <c r="J272" s="41"/>
      <c r="K272" s="8"/>
      <c r="L272" s="8"/>
    </row>
    <row r="273" spans="1:12" customFormat="1" ht="14.4" x14ac:dyDescent="0.3">
      <c r="A273" s="154"/>
      <c r="B273" s="154"/>
      <c r="J273" s="41"/>
      <c r="K273" s="8"/>
      <c r="L273" s="8"/>
    </row>
    <row r="274" spans="1:12" customFormat="1" ht="14.4" x14ac:dyDescent="0.3">
      <c r="A274" s="152"/>
      <c r="B274" s="152"/>
      <c r="C274" s="153"/>
      <c r="D274" s="153"/>
      <c r="E274" s="153"/>
      <c r="F274" s="153"/>
      <c r="G274" s="153"/>
      <c r="H274" s="153"/>
      <c r="I274" s="153"/>
      <c r="J274" s="41"/>
      <c r="K274" s="8"/>
      <c r="L274" s="8"/>
    </row>
    <row r="275" spans="1:12" customFormat="1" ht="14.4" x14ac:dyDescent="0.3">
      <c r="A275" s="154"/>
      <c r="B275" s="154"/>
      <c r="J275" s="41"/>
      <c r="K275" s="8"/>
      <c r="L275" s="8"/>
    </row>
    <row r="276" spans="1:12" customFormat="1" ht="14.4" x14ac:dyDescent="0.3">
      <c r="A276" s="152"/>
      <c r="B276" s="152"/>
      <c r="C276" s="153"/>
      <c r="D276" s="153"/>
      <c r="E276" s="153"/>
      <c r="F276" s="153"/>
      <c r="G276" s="153"/>
      <c r="H276" s="153"/>
      <c r="I276" s="153"/>
      <c r="J276" s="41"/>
      <c r="K276" s="8"/>
      <c r="L276" s="8"/>
    </row>
    <row r="277" spans="1:12" customFormat="1" ht="14.4" x14ac:dyDescent="0.3">
      <c r="A277" s="154"/>
      <c r="B277" s="154"/>
      <c r="J277" s="41"/>
      <c r="K277" s="8"/>
      <c r="L277" s="8"/>
    </row>
    <row r="278" spans="1:12" customFormat="1" ht="14.4" x14ac:dyDescent="0.3">
      <c r="A278" s="152"/>
      <c r="B278" s="152"/>
      <c r="C278" s="153"/>
      <c r="D278" s="153"/>
      <c r="E278" s="153"/>
      <c r="F278" s="153"/>
      <c r="G278" s="153"/>
      <c r="H278" s="153"/>
      <c r="I278" s="153"/>
      <c r="J278" s="41"/>
      <c r="K278" s="8"/>
      <c r="L278" s="8"/>
    </row>
    <row r="279" spans="1:12" customFormat="1" ht="14.4" x14ac:dyDescent="0.3">
      <c r="A279" s="154"/>
      <c r="B279" s="154"/>
      <c r="J279" s="41"/>
      <c r="K279" s="8"/>
      <c r="L279" s="8"/>
    </row>
    <row r="280" spans="1:12" customFormat="1" ht="14.4" x14ac:dyDescent="0.3">
      <c r="A280" s="152"/>
      <c r="B280" s="152"/>
      <c r="C280" s="153"/>
      <c r="D280" s="153"/>
      <c r="E280" s="153"/>
      <c r="F280" s="153"/>
      <c r="G280" s="153"/>
      <c r="H280" s="153"/>
      <c r="I280" s="153"/>
      <c r="J280" s="41"/>
      <c r="K280" s="8"/>
      <c r="L280" s="8"/>
    </row>
    <row r="281" spans="1:12" customFormat="1" ht="14.4" x14ac:dyDescent="0.3">
      <c r="A281" s="154"/>
      <c r="B281" s="154"/>
      <c r="J281" s="41"/>
      <c r="K281" s="8"/>
      <c r="L281" s="8"/>
    </row>
    <row r="282" spans="1:12" customFormat="1" ht="14.4" x14ac:dyDescent="0.3">
      <c r="A282" s="152"/>
      <c r="B282" s="152"/>
      <c r="C282" s="153"/>
      <c r="D282" s="153"/>
      <c r="E282" s="153"/>
      <c r="F282" s="153"/>
      <c r="G282" s="153"/>
      <c r="H282" s="153"/>
      <c r="I282" s="153"/>
      <c r="J282" s="41"/>
      <c r="K282" s="8"/>
      <c r="L282" s="8"/>
    </row>
    <row r="283" spans="1:12" customFormat="1" ht="14.4" x14ac:dyDescent="0.3">
      <c r="A283" s="154"/>
      <c r="B283" s="154"/>
      <c r="J283" s="41"/>
      <c r="K283" s="8"/>
      <c r="L283" s="8"/>
    </row>
    <row r="284" spans="1:12" customFormat="1" ht="14.4" x14ac:dyDescent="0.3">
      <c r="A284" s="152"/>
      <c r="B284" s="152"/>
      <c r="C284" s="153"/>
      <c r="D284" s="153"/>
      <c r="E284" s="153"/>
      <c r="F284" s="153"/>
      <c r="G284" s="153"/>
      <c r="H284" s="153"/>
      <c r="I284" s="153"/>
      <c r="J284" s="41"/>
      <c r="K284" s="8"/>
      <c r="L284" s="8"/>
    </row>
    <row r="285" spans="1:12" customFormat="1" ht="14.4" x14ac:dyDescent="0.3">
      <c r="A285" s="154"/>
      <c r="B285" s="154"/>
      <c r="J285" s="41"/>
      <c r="K285" s="8"/>
      <c r="L285" s="8"/>
    </row>
    <row r="286" spans="1:12" customFormat="1" ht="14.4" x14ac:dyDescent="0.3">
      <c r="A286" s="152"/>
      <c r="B286" s="152"/>
      <c r="C286" s="153"/>
      <c r="D286" s="153"/>
      <c r="E286" s="153"/>
      <c r="F286" s="153"/>
      <c r="G286" s="153"/>
      <c r="H286" s="153"/>
      <c r="I286" s="153"/>
      <c r="J286" s="41"/>
      <c r="K286" s="8"/>
      <c r="L286" s="8"/>
    </row>
    <row r="287" spans="1:12" customFormat="1" ht="14.4" x14ac:dyDescent="0.3">
      <c r="A287" s="154"/>
      <c r="B287" s="154"/>
      <c r="J287" s="41"/>
      <c r="K287" s="8"/>
      <c r="L287" s="8"/>
    </row>
    <row r="288" spans="1:12" customFormat="1" ht="14.4" x14ac:dyDescent="0.3">
      <c r="A288" s="152"/>
      <c r="B288" s="152"/>
      <c r="C288" s="153"/>
      <c r="D288" s="153"/>
      <c r="E288" s="153"/>
      <c r="F288" s="153"/>
      <c r="G288" s="153"/>
      <c r="H288" s="153"/>
      <c r="I288" s="153"/>
      <c r="J288" s="41"/>
      <c r="K288" s="8"/>
      <c r="L288" s="8"/>
    </row>
    <row r="289" spans="1:12" customFormat="1" ht="14.4" x14ac:dyDescent="0.3">
      <c r="A289" s="154"/>
      <c r="B289" s="154"/>
      <c r="J289" s="41"/>
      <c r="K289" s="8"/>
      <c r="L289" s="8"/>
    </row>
    <row r="290" spans="1:12" customFormat="1" ht="14.4" x14ac:dyDescent="0.3">
      <c r="A290" s="152"/>
      <c r="B290" s="152"/>
      <c r="C290" s="153"/>
      <c r="D290" s="153"/>
      <c r="E290" s="153"/>
      <c r="F290" s="153"/>
      <c r="G290" s="153"/>
      <c r="H290" s="153"/>
      <c r="I290" s="153"/>
      <c r="J290" s="41"/>
      <c r="K290" s="8"/>
      <c r="L290" s="8"/>
    </row>
    <row r="291" spans="1:12" customFormat="1" ht="14.4" x14ac:dyDescent="0.3">
      <c r="A291" s="154"/>
      <c r="B291" s="154"/>
      <c r="J291" s="41"/>
      <c r="K291" s="8"/>
      <c r="L291" s="8"/>
    </row>
    <row r="292" spans="1:12" customFormat="1" ht="14.4" x14ac:dyDescent="0.3">
      <c r="A292" s="152"/>
      <c r="B292" s="152"/>
      <c r="C292" s="153"/>
      <c r="D292" s="153"/>
      <c r="E292" s="153"/>
      <c r="F292" s="153"/>
      <c r="G292" s="153"/>
      <c r="H292" s="153"/>
      <c r="I292" s="153"/>
      <c r="J292" s="41"/>
      <c r="K292" s="8"/>
      <c r="L292" s="8"/>
    </row>
    <row r="293" spans="1:12" customFormat="1" ht="14.4" x14ac:dyDescent="0.3">
      <c r="A293" s="154"/>
      <c r="B293" s="154"/>
      <c r="J293" s="41"/>
      <c r="K293" s="8"/>
      <c r="L293" s="8"/>
    </row>
    <row r="294" spans="1:12" customFormat="1" ht="14.4" x14ac:dyDescent="0.3">
      <c r="A294" s="152"/>
      <c r="B294" s="152"/>
      <c r="C294" s="153"/>
      <c r="D294" s="153"/>
      <c r="E294" s="153"/>
      <c r="F294" s="153"/>
      <c r="G294" s="153"/>
      <c r="H294" s="153"/>
      <c r="I294" s="153"/>
      <c r="J294" s="41"/>
      <c r="K294" s="8"/>
      <c r="L294" s="8"/>
    </row>
    <row r="295" spans="1:12" customFormat="1" ht="14.4" x14ac:dyDescent="0.3">
      <c r="A295" s="154"/>
      <c r="B295" s="154"/>
      <c r="J295" s="1"/>
      <c r="K295" s="8"/>
      <c r="L295" s="8"/>
    </row>
    <row r="296" spans="1:12" customFormat="1" ht="14.4" x14ac:dyDescent="0.3">
      <c r="A296" s="152"/>
      <c r="B296" s="152"/>
      <c r="C296" s="153"/>
      <c r="D296" s="153"/>
      <c r="E296" s="153"/>
      <c r="F296" s="153"/>
      <c r="G296" s="153"/>
      <c r="H296" s="153"/>
      <c r="I296" s="153"/>
      <c r="J296" s="1"/>
      <c r="K296" s="8"/>
      <c r="L296" s="8"/>
    </row>
    <row r="297" spans="1:12" customFormat="1" ht="14.4" x14ac:dyDescent="0.3">
      <c r="A297" s="154"/>
      <c r="B297" s="154"/>
      <c r="J297" s="1"/>
      <c r="K297" s="8"/>
      <c r="L297" s="8"/>
    </row>
    <row r="298" spans="1:12" customFormat="1" ht="14.4" x14ac:dyDescent="0.3">
      <c r="A298" s="152"/>
      <c r="B298" s="152"/>
      <c r="C298" s="153"/>
      <c r="D298" s="153"/>
      <c r="E298" s="153"/>
      <c r="F298" s="153"/>
      <c r="G298" s="153"/>
      <c r="H298" s="153"/>
      <c r="I298" s="153"/>
      <c r="J298" s="1"/>
      <c r="K298" s="8"/>
      <c r="L298" s="8"/>
    </row>
    <row r="299" spans="1:12" customFormat="1" ht="14.4" x14ac:dyDescent="0.3">
      <c r="A299" s="154"/>
      <c r="B299" s="154"/>
      <c r="J299" s="1"/>
      <c r="K299" s="8"/>
      <c r="L299" s="8"/>
    </row>
    <row r="300" spans="1:12" ht="15" customHeight="1" x14ac:dyDescent="0.3">
      <c r="A300" s="152"/>
      <c r="B300" s="152"/>
      <c r="C300" s="153"/>
      <c r="D300" s="153"/>
      <c r="E300" s="153"/>
      <c r="F300" s="153"/>
      <c r="G300" s="153"/>
      <c r="H300" s="153"/>
      <c r="I300" s="153"/>
      <c r="J300" s="37"/>
    </row>
    <row r="301" spans="1:12" ht="15" customHeight="1" x14ac:dyDescent="0.3">
      <c r="A301" s="154"/>
      <c r="B301" s="154"/>
      <c r="C301"/>
      <c r="D301"/>
      <c r="E301"/>
      <c r="F301"/>
      <c r="G301"/>
      <c r="H301"/>
      <c r="I301"/>
      <c r="J301" s="37"/>
    </row>
    <row r="302" spans="1:12" ht="15" customHeight="1" x14ac:dyDescent="0.3">
      <c r="A302" s="152"/>
      <c r="B302" s="152"/>
      <c r="C302" s="153"/>
      <c r="D302" s="153"/>
      <c r="E302" s="153"/>
      <c r="F302" s="153"/>
      <c r="G302" s="153"/>
      <c r="H302" s="153"/>
      <c r="I302" s="153"/>
      <c r="J302" s="37"/>
    </row>
    <row r="303" spans="1:12" ht="15" customHeight="1" x14ac:dyDescent="0.3">
      <c r="A303" s="154"/>
      <c r="B303" s="154"/>
      <c r="C303"/>
      <c r="D303"/>
      <c r="E303"/>
      <c r="F303"/>
      <c r="G303"/>
      <c r="H303"/>
      <c r="I303"/>
      <c r="J303" s="37"/>
    </row>
    <row r="304" spans="1:12" ht="15" customHeight="1" x14ac:dyDescent="0.3">
      <c r="A304" s="152"/>
      <c r="B304" s="152"/>
      <c r="C304" s="153"/>
      <c r="D304" s="153"/>
      <c r="E304" s="153"/>
      <c r="F304" s="153"/>
      <c r="G304" s="153"/>
      <c r="H304" s="153"/>
      <c r="I304" s="153"/>
      <c r="J304" s="37"/>
    </row>
    <row r="305" spans="1:10" ht="15" customHeight="1" x14ac:dyDescent="0.3">
      <c r="A305" s="154"/>
      <c r="B305" s="154"/>
      <c r="C305"/>
      <c r="D305"/>
      <c r="E305"/>
      <c r="F305"/>
      <c r="G305"/>
      <c r="H305"/>
      <c r="I305"/>
      <c r="J305" s="37"/>
    </row>
    <row r="306" spans="1:10" ht="15" customHeight="1" x14ac:dyDescent="0.3">
      <c r="A306" s="152"/>
      <c r="B306" s="152"/>
      <c r="C306" s="153"/>
      <c r="D306" s="153"/>
      <c r="E306" s="153"/>
      <c r="F306" s="153"/>
      <c r="G306" s="153"/>
      <c r="H306" s="153"/>
      <c r="I306" s="153"/>
      <c r="J306" s="37"/>
    </row>
    <row r="307" spans="1:10" ht="15" customHeight="1" x14ac:dyDescent="0.3">
      <c r="A307" s="154"/>
      <c r="B307" s="154"/>
      <c r="C307"/>
      <c r="D307"/>
      <c r="E307"/>
      <c r="F307"/>
      <c r="G307"/>
      <c r="H307"/>
      <c r="I307"/>
      <c r="J307" s="37"/>
    </row>
    <row r="308" spans="1:10" ht="15" customHeight="1" x14ac:dyDescent="0.3">
      <c r="A308" s="152"/>
      <c r="B308" s="152"/>
      <c r="C308" s="153"/>
      <c r="D308" s="153"/>
      <c r="E308" s="153"/>
      <c r="F308" s="153"/>
      <c r="G308" s="153"/>
      <c r="H308" s="153"/>
      <c r="I308" s="153"/>
      <c r="J308" s="37"/>
    </row>
    <row r="309" spans="1:10" ht="15" customHeight="1" x14ac:dyDescent="0.3">
      <c r="A309" s="154"/>
      <c r="B309" s="154"/>
      <c r="C309"/>
      <c r="D309"/>
      <c r="E309"/>
      <c r="F309"/>
      <c r="G309"/>
      <c r="H309"/>
      <c r="I309"/>
      <c r="J309" s="37"/>
    </row>
    <row r="310" spans="1:10" ht="15" customHeight="1" x14ac:dyDescent="0.3">
      <c r="A310" s="152"/>
      <c r="B310" s="152"/>
      <c r="C310" s="153"/>
      <c r="D310" s="153"/>
      <c r="E310" s="153"/>
      <c r="F310" s="153"/>
      <c r="G310" s="153"/>
      <c r="H310" s="153"/>
      <c r="I310" s="153"/>
      <c r="J310" s="37"/>
    </row>
    <row r="311" spans="1:10" ht="15" customHeight="1" x14ac:dyDescent="0.3">
      <c r="A311" s="154"/>
      <c r="B311" s="154"/>
      <c r="C311"/>
      <c r="D311"/>
      <c r="E311"/>
      <c r="F311"/>
      <c r="G311"/>
      <c r="H311"/>
      <c r="I311"/>
      <c r="J311" s="37"/>
    </row>
    <row r="312" spans="1:10" ht="15" customHeight="1" x14ac:dyDescent="0.3">
      <c r="A312" s="152"/>
      <c r="B312" s="152"/>
      <c r="C312" s="153"/>
      <c r="D312" s="153"/>
      <c r="E312" s="153"/>
      <c r="F312" s="153"/>
      <c r="G312" s="153"/>
      <c r="H312" s="153"/>
      <c r="I312" s="153"/>
      <c r="J312" s="37"/>
    </row>
    <row r="313" spans="1:10" ht="15" customHeight="1" x14ac:dyDescent="0.3">
      <c r="A313" s="154"/>
      <c r="B313" s="154"/>
      <c r="C313"/>
      <c r="D313"/>
      <c r="E313"/>
      <c r="F313"/>
      <c r="G313"/>
      <c r="H313"/>
      <c r="I313"/>
      <c r="J313" s="37"/>
    </row>
    <row r="314" spans="1:10" ht="15" customHeight="1" x14ac:dyDescent="0.3">
      <c r="A314" s="152"/>
      <c r="B314" s="152"/>
      <c r="C314" s="153"/>
      <c r="D314" s="153"/>
      <c r="E314" s="153"/>
      <c r="F314" s="153"/>
      <c r="G314" s="153"/>
      <c r="H314" s="153"/>
      <c r="I314" s="153"/>
      <c r="J314" s="37"/>
    </row>
    <row r="315" spans="1:10" ht="15" customHeight="1" x14ac:dyDescent="0.3">
      <c r="A315" s="154"/>
      <c r="B315" s="154"/>
      <c r="C315"/>
      <c r="D315"/>
      <c r="E315"/>
      <c r="F315"/>
      <c r="G315"/>
      <c r="H315"/>
      <c r="I315"/>
      <c r="J315" s="37"/>
    </row>
    <row r="316" spans="1:10" ht="15" customHeight="1" x14ac:dyDescent="0.3">
      <c r="A316" s="152"/>
      <c r="B316" s="152"/>
      <c r="C316" s="153"/>
      <c r="D316" s="153"/>
      <c r="E316" s="153"/>
      <c r="F316" s="153"/>
      <c r="G316" s="153"/>
      <c r="H316" s="153"/>
      <c r="I316" s="153"/>
      <c r="J316" s="37"/>
    </row>
    <row r="317" spans="1:10" ht="15" customHeight="1" x14ac:dyDescent="0.3">
      <c r="A317" s="154"/>
      <c r="B317" s="154"/>
      <c r="C317"/>
      <c r="D317"/>
      <c r="E317"/>
      <c r="F317"/>
      <c r="G317"/>
      <c r="H317"/>
      <c r="I317"/>
      <c r="J317" s="37"/>
    </row>
    <row r="318" spans="1:10" ht="15" customHeight="1" x14ac:dyDescent="0.3">
      <c r="A318" s="152"/>
      <c r="B318" s="152"/>
      <c r="C318" s="153"/>
      <c r="D318" s="153"/>
      <c r="E318" s="153"/>
      <c r="F318" s="153"/>
      <c r="G318" s="153"/>
      <c r="H318" s="153"/>
      <c r="I318" s="153"/>
      <c r="J318" s="37"/>
    </row>
    <row r="319" spans="1:10" ht="15" customHeight="1" x14ac:dyDescent="0.3">
      <c r="A319" s="154"/>
      <c r="B319" s="154"/>
      <c r="C319"/>
      <c r="D319"/>
      <c r="E319"/>
      <c r="F319"/>
      <c r="G319"/>
      <c r="H319"/>
      <c r="I319"/>
      <c r="J319" s="37"/>
    </row>
    <row r="320" spans="1:10" ht="15" customHeight="1" x14ac:dyDescent="0.3">
      <c r="A320" s="152"/>
      <c r="B320" s="152"/>
      <c r="C320" s="153"/>
      <c r="D320" s="153"/>
      <c r="E320" s="153"/>
      <c r="F320" s="153"/>
      <c r="G320" s="153"/>
      <c r="H320" s="153"/>
      <c r="I320" s="153"/>
    </row>
    <row r="321" spans="1:9" ht="15" customHeight="1" x14ac:dyDescent="0.3">
      <c r="A321" s="154"/>
      <c r="B321" s="154"/>
      <c r="C321"/>
      <c r="D321"/>
      <c r="E321"/>
      <c r="F321"/>
      <c r="G321"/>
      <c r="H321"/>
      <c r="I321"/>
    </row>
    <row r="322" spans="1:9" ht="15" customHeight="1" x14ac:dyDescent="0.3">
      <c r="A322" s="152"/>
      <c r="B322" s="152"/>
      <c r="C322" s="153"/>
      <c r="D322" s="153"/>
      <c r="E322" s="153"/>
      <c r="F322" s="153"/>
      <c r="G322" s="153"/>
      <c r="H322" s="153"/>
      <c r="I322" s="153"/>
    </row>
    <row r="323" spans="1:9" ht="15" customHeight="1" x14ac:dyDescent="0.3">
      <c r="A323" s="154"/>
      <c r="B323" s="154"/>
      <c r="C323"/>
      <c r="D323"/>
      <c r="E323"/>
      <c r="F323"/>
      <c r="G323"/>
      <c r="H323"/>
      <c r="I323"/>
    </row>
    <row r="324" spans="1:9" ht="15" customHeight="1" x14ac:dyDescent="0.3">
      <c r="A324" s="152"/>
      <c r="B324" s="152"/>
      <c r="C324" s="153"/>
      <c r="D324" s="153"/>
      <c r="E324" s="153"/>
      <c r="F324" s="153"/>
      <c r="G324" s="153"/>
      <c r="H324" s="153"/>
      <c r="I324" s="153"/>
    </row>
    <row r="325" spans="1:9" ht="15" customHeight="1" x14ac:dyDescent="0.3">
      <c r="A325" s="154"/>
      <c r="B325" s="154"/>
      <c r="C325"/>
      <c r="D325"/>
      <c r="E325"/>
      <c r="F325"/>
      <c r="G325"/>
      <c r="H325"/>
      <c r="I325"/>
    </row>
    <row r="326" spans="1:9" ht="15" customHeight="1" x14ac:dyDescent="0.3">
      <c r="A326" s="152"/>
      <c r="B326" s="152"/>
      <c r="C326" s="153"/>
      <c r="D326" s="153"/>
      <c r="E326" s="153"/>
      <c r="F326" s="153"/>
      <c r="G326" s="153"/>
      <c r="H326" s="153"/>
      <c r="I326" s="153"/>
    </row>
    <row r="327" spans="1:9" ht="15" customHeight="1" x14ac:dyDescent="0.3">
      <c r="A327" s="154"/>
      <c r="B327" s="154"/>
      <c r="C327"/>
      <c r="D327"/>
      <c r="E327"/>
      <c r="F327"/>
      <c r="G327"/>
      <c r="H327"/>
      <c r="I327"/>
    </row>
    <row r="328" spans="1:9" ht="15" customHeight="1" x14ac:dyDescent="0.3">
      <c r="A328" s="152"/>
      <c r="B328" s="152"/>
      <c r="C328" s="153"/>
      <c r="D328" s="153"/>
      <c r="E328" s="153"/>
      <c r="F328" s="153"/>
      <c r="G328" s="153"/>
      <c r="H328" s="153"/>
      <c r="I328" s="153"/>
    </row>
    <row r="329" spans="1:9" ht="15" customHeight="1" x14ac:dyDescent="0.3">
      <c r="A329" s="154"/>
      <c r="B329" s="154"/>
      <c r="C329"/>
      <c r="D329"/>
      <c r="E329"/>
      <c r="F329"/>
      <c r="G329"/>
      <c r="H329"/>
      <c r="I329"/>
    </row>
    <row r="330" spans="1:9" ht="15" customHeight="1" x14ac:dyDescent="0.3">
      <c r="A330" s="152"/>
      <c r="B330" s="152"/>
      <c r="C330" s="153"/>
      <c r="D330" s="153"/>
      <c r="E330" s="153"/>
      <c r="F330" s="153"/>
      <c r="G330" s="153"/>
      <c r="H330" s="153"/>
      <c r="I330" s="153"/>
    </row>
    <row r="331" spans="1:9" ht="15" customHeight="1" x14ac:dyDescent="0.3">
      <c r="A331" s="154"/>
      <c r="B331" s="154"/>
      <c r="C331"/>
      <c r="D331"/>
      <c r="E331"/>
      <c r="F331"/>
      <c r="G331"/>
      <c r="H331"/>
      <c r="I331"/>
    </row>
    <row r="332" spans="1:9" ht="15" customHeight="1" x14ac:dyDescent="0.3">
      <c r="A332" s="152"/>
      <c r="B332" s="152"/>
      <c r="C332" s="153"/>
      <c r="D332" s="153"/>
      <c r="E332" s="153"/>
      <c r="F332" s="153"/>
      <c r="G332" s="153"/>
      <c r="H332" s="153"/>
      <c r="I332" s="153"/>
    </row>
    <row r="333" spans="1:9" ht="15" customHeight="1" x14ac:dyDescent="0.3">
      <c r="A333" s="154"/>
      <c r="B333" s="154"/>
      <c r="C333"/>
      <c r="D333"/>
      <c r="E333"/>
      <c r="F333"/>
      <c r="G333"/>
      <c r="H333"/>
      <c r="I333"/>
    </row>
    <row r="334" spans="1:9" ht="15" customHeight="1" x14ac:dyDescent="0.3">
      <c r="A334" s="152"/>
      <c r="B334" s="152"/>
      <c r="C334" s="153"/>
      <c r="D334" s="153"/>
      <c r="E334" s="153"/>
      <c r="F334" s="153"/>
      <c r="G334" s="153"/>
      <c r="H334" s="153"/>
      <c r="I334" s="153"/>
    </row>
    <row r="335" spans="1:9" ht="15" customHeight="1" x14ac:dyDescent="0.3">
      <c r="A335" s="154"/>
      <c r="B335" s="154"/>
      <c r="C335"/>
      <c r="D335"/>
      <c r="E335"/>
      <c r="F335"/>
      <c r="G335"/>
      <c r="H335"/>
      <c r="I335"/>
    </row>
    <row r="336" spans="1:9" ht="15" customHeight="1" x14ac:dyDescent="0.3">
      <c r="A336" s="152"/>
      <c r="B336" s="152"/>
      <c r="C336" s="153"/>
      <c r="D336" s="153"/>
      <c r="E336" s="153"/>
      <c r="F336" s="153"/>
      <c r="G336" s="153"/>
      <c r="H336" s="153"/>
      <c r="I336" s="153"/>
    </row>
    <row r="337" spans="1:9" ht="15" customHeight="1" x14ac:dyDescent="0.3">
      <c r="A337" s="154"/>
      <c r="B337" s="154"/>
      <c r="C337"/>
      <c r="D337"/>
      <c r="E337"/>
      <c r="F337"/>
      <c r="G337"/>
      <c r="H337"/>
      <c r="I337"/>
    </row>
    <row r="338" spans="1:9" ht="15" customHeight="1" x14ac:dyDescent="0.3">
      <c r="A338" s="152"/>
      <c r="B338" s="152"/>
      <c r="C338" s="153"/>
      <c r="D338" s="153"/>
      <c r="E338" s="153"/>
      <c r="F338" s="153"/>
      <c r="G338" s="153"/>
      <c r="H338" s="153"/>
      <c r="I338" s="153"/>
    </row>
    <row r="339" spans="1:9" ht="15" customHeight="1" x14ac:dyDescent="0.3">
      <c r="A339" s="154"/>
      <c r="B339" s="154"/>
      <c r="C339"/>
      <c r="D339"/>
      <c r="E339"/>
      <c r="F339"/>
      <c r="G339"/>
      <c r="H339"/>
      <c r="I339"/>
    </row>
    <row r="340" spans="1:9" ht="15" customHeight="1" x14ac:dyDescent="0.3">
      <c r="A340" s="152"/>
      <c r="B340" s="152"/>
      <c r="C340" s="153"/>
      <c r="D340" s="153"/>
      <c r="E340" s="153"/>
      <c r="F340" s="153"/>
      <c r="G340" s="153"/>
      <c r="H340" s="153"/>
      <c r="I340" s="153"/>
    </row>
    <row r="341" spans="1:9" ht="15" customHeight="1" x14ac:dyDescent="0.3">
      <c r="A341" s="154"/>
      <c r="B341" s="154"/>
      <c r="C341"/>
      <c r="D341"/>
      <c r="E341"/>
      <c r="F341"/>
      <c r="G341"/>
      <c r="H341"/>
      <c r="I341"/>
    </row>
    <row r="342" spans="1:9" ht="15" customHeight="1" x14ac:dyDescent="0.3">
      <c r="A342" s="152"/>
      <c r="B342" s="152"/>
      <c r="C342" s="153"/>
      <c r="D342" s="153"/>
      <c r="E342" s="153"/>
      <c r="F342" s="153"/>
      <c r="G342" s="153"/>
      <c r="H342" s="153"/>
      <c r="I342" s="153"/>
    </row>
    <row r="343" spans="1:9" ht="15" customHeight="1" x14ac:dyDescent="0.3">
      <c r="A343" s="154"/>
      <c r="B343" s="154"/>
      <c r="C343"/>
      <c r="D343"/>
      <c r="E343"/>
      <c r="F343"/>
      <c r="G343"/>
      <c r="H343"/>
      <c r="I343"/>
    </row>
    <row r="344" spans="1:9" ht="15" customHeight="1" x14ac:dyDescent="0.3">
      <c r="A344" s="152"/>
      <c r="B344" s="152"/>
      <c r="C344" s="153"/>
      <c r="D344" s="153"/>
      <c r="E344" s="153"/>
      <c r="F344" s="153"/>
      <c r="G344" s="153"/>
      <c r="H344" s="153"/>
      <c r="I344" s="153"/>
    </row>
    <row r="345" spans="1:9" ht="15" customHeight="1" x14ac:dyDescent="0.3">
      <c r="A345" s="154"/>
      <c r="B345" s="154"/>
      <c r="C345"/>
      <c r="D345"/>
      <c r="E345"/>
      <c r="F345"/>
      <c r="G345"/>
      <c r="H345"/>
      <c r="I345"/>
    </row>
    <row r="346" spans="1:9" ht="15" customHeight="1" x14ac:dyDescent="0.3">
      <c r="A346" s="152"/>
      <c r="B346" s="152"/>
      <c r="C346" s="153"/>
      <c r="D346" s="153"/>
      <c r="E346" s="153"/>
      <c r="F346" s="153"/>
      <c r="G346" s="153"/>
      <c r="H346" s="153"/>
      <c r="I346" s="153"/>
    </row>
    <row r="347" spans="1:9" ht="15" customHeight="1" x14ac:dyDescent="0.3">
      <c r="A347" s="154"/>
      <c r="B347" s="154"/>
      <c r="C347"/>
      <c r="D347"/>
      <c r="E347"/>
      <c r="F347"/>
      <c r="G347"/>
      <c r="H347"/>
      <c r="I347"/>
    </row>
    <row r="348" spans="1:9" ht="15" customHeight="1" x14ac:dyDescent="0.3">
      <c r="A348" s="152"/>
      <c r="B348" s="152"/>
      <c r="C348" s="153"/>
      <c r="D348" s="153"/>
      <c r="E348" s="153"/>
      <c r="F348" s="153"/>
      <c r="G348" s="153"/>
      <c r="H348" s="153"/>
      <c r="I348" s="153"/>
    </row>
    <row r="349" spans="1:9" ht="15" customHeight="1" x14ac:dyDescent="0.3">
      <c r="A349" s="154"/>
      <c r="B349" s="154"/>
      <c r="C349"/>
      <c r="D349"/>
      <c r="E349"/>
      <c r="F349"/>
      <c r="G349"/>
      <c r="H349"/>
      <c r="I349"/>
    </row>
    <row r="350" spans="1:9" ht="15" customHeight="1" x14ac:dyDescent="0.3">
      <c r="A350" s="152"/>
      <c r="B350" s="152"/>
      <c r="C350" s="153"/>
      <c r="D350" s="153"/>
      <c r="E350" s="153"/>
      <c r="F350" s="153"/>
      <c r="G350" s="153"/>
      <c r="H350" s="153"/>
      <c r="I350" s="153"/>
    </row>
    <row r="351" spans="1:9" ht="15" customHeight="1" x14ac:dyDescent="0.3">
      <c r="A351" s="154"/>
      <c r="B351" s="154"/>
      <c r="C351"/>
      <c r="D351"/>
      <c r="E351"/>
      <c r="F351"/>
      <c r="G351"/>
      <c r="H351"/>
      <c r="I351"/>
    </row>
    <row r="352" spans="1:9" ht="15" customHeight="1" x14ac:dyDescent="0.3">
      <c r="A352" s="152"/>
      <c r="B352" s="152"/>
      <c r="C352" s="153"/>
      <c r="D352" s="153"/>
      <c r="E352" s="153"/>
      <c r="F352" s="153"/>
      <c r="G352" s="153"/>
      <c r="H352" s="153"/>
      <c r="I352" s="153"/>
    </row>
    <row r="353" spans="1:9" ht="15" customHeight="1" x14ac:dyDescent="0.3">
      <c r="A353" s="154"/>
      <c r="B353" s="154"/>
      <c r="C353"/>
      <c r="D353"/>
      <c r="E353"/>
      <c r="F353"/>
      <c r="G353"/>
      <c r="H353"/>
      <c r="I353"/>
    </row>
    <row r="354" spans="1:9" ht="15" customHeight="1" x14ac:dyDescent="0.3">
      <c r="A354" s="152"/>
      <c r="B354" s="152"/>
      <c r="C354" s="153"/>
      <c r="D354" s="153"/>
      <c r="E354" s="153"/>
      <c r="F354" s="153"/>
      <c r="G354" s="153"/>
      <c r="H354" s="153"/>
      <c r="I354" s="153"/>
    </row>
    <row r="355" spans="1:9" ht="15" customHeight="1" x14ac:dyDescent="0.3">
      <c r="A355" s="154"/>
      <c r="B355" s="154"/>
      <c r="C355"/>
      <c r="D355"/>
      <c r="E355"/>
      <c r="F355"/>
      <c r="G355"/>
      <c r="H355"/>
      <c r="I355"/>
    </row>
    <row r="356" spans="1:9" ht="15" customHeight="1" x14ac:dyDescent="0.3">
      <c r="A356" s="152"/>
      <c r="B356" s="152"/>
      <c r="C356" s="153"/>
      <c r="D356" s="153"/>
      <c r="E356" s="153"/>
      <c r="F356" s="153"/>
      <c r="G356" s="153"/>
      <c r="H356" s="153"/>
      <c r="I356" s="153"/>
    </row>
    <row r="357" spans="1:9" ht="15" customHeight="1" x14ac:dyDescent="0.3">
      <c r="A357" s="154"/>
      <c r="B357" s="154"/>
      <c r="C357"/>
      <c r="D357"/>
      <c r="E357"/>
      <c r="F357"/>
      <c r="G357"/>
      <c r="H357"/>
      <c r="I357"/>
    </row>
    <row r="358" spans="1:9" ht="15" customHeight="1" x14ac:dyDescent="0.3">
      <c r="A358" s="152"/>
      <c r="B358" s="152"/>
      <c r="C358" s="153"/>
      <c r="D358" s="153"/>
      <c r="E358" s="153"/>
      <c r="F358" s="153"/>
      <c r="G358" s="153"/>
      <c r="H358" s="153"/>
      <c r="I358" s="153"/>
    </row>
    <row r="359" spans="1:9" ht="15" customHeight="1" x14ac:dyDescent="0.3">
      <c r="A359" s="154"/>
      <c r="B359" s="154"/>
      <c r="C359"/>
      <c r="D359"/>
      <c r="E359"/>
      <c r="F359"/>
      <c r="G359"/>
      <c r="H359"/>
      <c r="I359"/>
    </row>
    <row r="360" spans="1:9" ht="15" customHeight="1" x14ac:dyDescent="0.3">
      <c r="A360" s="152"/>
      <c r="B360" s="152"/>
      <c r="C360" s="153"/>
      <c r="D360" s="153"/>
      <c r="E360" s="153"/>
      <c r="F360" s="153"/>
      <c r="G360" s="153"/>
      <c r="H360" s="153"/>
      <c r="I360" s="153"/>
    </row>
    <row r="361" spans="1:9" ht="15" customHeight="1" x14ac:dyDescent="0.3">
      <c r="A361" s="154"/>
      <c r="B361" s="154"/>
      <c r="C361"/>
      <c r="D361"/>
      <c r="E361"/>
      <c r="F361"/>
      <c r="G361"/>
      <c r="H361"/>
      <c r="I361"/>
    </row>
    <row r="362" spans="1:9" ht="15" customHeight="1" x14ac:dyDescent="0.3">
      <c r="A362" s="152"/>
      <c r="B362" s="152"/>
      <c r="C362" s="153"/>
      <c r="D362" s="153"/>
      <c r="E362" s="153"/>
      <c r="F362" s="153"/>
      <c r="G362" s="153"/>
      <c r="H362" s="153"/>
      <c r="I362" s="153"/>
    </row>
    <row r="363" spans="1:9" ht="15" customHeight="1" x14ac:dyDescent="0.3">
      <c r="A363" s="154"/>
      <c r="B363" s="154"/>
      <c r="C363"/>
      <c r="D363"/>
      <c r="E363"/>
      <c r="F363"/>
      <c r="G363"/>
      <c r="H363"/>
      <c r="I363"/>
    </row>
    <row r="364" spans="1:9" ht="15" customHeight="1" x14ac:dyDescent="0.3">
      <c r="A364" s="152"/>
      <c r="B364" s="152"/>
      <c r="C364" s="153"/>
      <c r="D364" s="153"/>
      <c r="E364" s="153"/>
      <c r="F364" s="153"/>
      <c r="G364" s="153"/>
      <c r="H364" s="153"/>
      <c r="I364" s="153"/>
    </row>
    <row r="365" spans="1:9" ht="15" customHeight="1" x14ac:dyDescent="0.3">
      <c r="A365" s="154"/>
      <c r="B365" s="154"/>
      <c r="C365"/>
      <c r="D365"/>
      <c r="E365"/>
      <c r="F365"/>
      <c r="G365"/>
      <c r="H365"/>
      <c r="I365"/>
    </row>
    <row r="366" spans="1:9" ht="15" customHeight="1" x14ac:dyDescent="0.3">
      <c r="A366" s="152"/>
      <c r="B366" s="152"/>
      <c r="C366" s="153"/>
      <c r="D366" s="153"/>
      <c r="E366" s="153"/>
      <c r="F366" s="153"/>
      <c r="G366" s="153"/>
      <c r="H366" s="153"/>
      <c r="I366" s="153"/>
    </row>
    <row r="367" spans="1:9" ht="15" customHeight="1" x14ac:dyDescent="0.3">
      <c r="A367" s="154"/>
      <c r="B367" s="154"/>
      <c r="C367"/>
      <c r="D367"/>
      <c r="E367"/>
      <c r="F367"/>
      <c r="G367"/>
      <c r="H367"/>
      <c r="I367"/>
    </row>
    <row r="368" spans="1:9" ht="15" customHeight="1" x14ac:dyDescent="0.3">
      <c r="A368" s="152"/>
      <c r="B368" s="152"/>
      <c r="C368" s="153"/>
      <c r="D368" s="153"/>
      <c r="E368" s="153"/>
      <c r="F368" s="153"/>
      <c r="G368" s="153"/>
      <c r="H368" s="153"/>
      <c r="I368" s="153"/>
    </row>
    <row r="369" spans="1:9" ht="15" customHeight="1" x14ac:dyDescent="0.3">
      <c r="A369" s="154"/>
      <c r="B369" s="154"/>
      <c r="C369"/>
      <c r="D369"/>
      <c r="E369"/>
      <c r="F369"/>
      <c r="G369"/>
      <c r="H369"/>
      <c r="I369"/>
    </row>
    <row r="370" spans="1:9" ht="15" customHeight="1" x14ac:dyDescent="0.3">
      <c r="A370" s="152"/>
      <c r="B370" s="152"/>
      <c r="C370" s="153"/>
      <c r="D370" s="153"/>
      <c r="E370" s="153"/>
      <c r="F370" s="153"/>
      <c r="G370" s="153"/>
      <c r="H370" s="153"/>
      <c r="I370" s="153"/>
    </row>
    <row r="371" spans="1:9" ht="15" customHeight="1" x14ac:dyDescent="0.3">
      <c r="A371" s="154"/>
      <c r="B371" s="154"/>
      <c r="C371"/>
      <c r="D371"/>
      <c r="E371"/>
      <c r="F371"/>
      <c r="G371"/>
      <c r="H371"/>
      <c r="I371"/>
    </row>
    <row r="372" spans="1:9" ht="15" customHeight="1" x14ac:dyDescent="0.3">
      <c r="A372" s="152"/>
      <c r="B372" s="152"/>
      <c r="C372" s="153"/>
      <c r="D372" s="153"/>
      <c r="E372" s="153"/>
      <c r="F372" s="153"/>
      <c r="G372" s="153"/>
      <c r="H372" s="153"/>
      <c r="I372" s="153"/>
    </row>
  </sheetData>
  <autoFilter ref="A2:Q267" xr:uid="{00000000-0001-0000-0800-000000000000}"/>
  <pageMargins left="0.75" right="0.75" top="1" bottom="1" header="0.5" footer="0.5"/>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D71D-F0A6-4C95-B3F4-B310F6D16573}">
  <sheetPr codeName="Sheet10"/>
  <dimension ref="A1:S264"/>
  <sheetViews>
    <sheetView zoomScale="90" zoomScaleNormal="90" workbookViewId="0">
      <selection activeCell="A3" sqref="A3:N35"/>
    </sheetView>
  </sheetViews>
  <sheetFormatPr defaultColWidth="11.44140625" defaultRowHeight="14.4" x14ac:dyDescent="0.3"/>
  <cols>
    <col min="1" max="2" width="11.44140625" style="130"/>
    <col min="3" max="3" width="14.5546875" style="17" customWidth="1"/>
    <col min="4" max="4" width="11.44140625" style="17"/>
    <col min="5" max="5" width="16.88671875" style="109" bestFit="1" customWidth="1"/>
    <col min="6" max="6" width="11.5546875" style="17" bestFit="1" customWidth="1"/>
    <col min="7" max="7" width="24.5546875" style="17" customWidth="1"/>
    <col min="8" max="8" width="17.5546875" style="109" bestFit="1" customWidth="1"/>
    <col min="9" max="9" width="15.44140625" style="17" bestFit="1" customWidth="1"/>
    <col min="10" max="11" width="13.109375" style="17" bestFit="1" customWidth="1"/>
    <col min="12" max="12" width="34.44140625" style="17" bestFit="1" customWidth="1"/>
    <col min="13" max="13" width="11.44140625" style="17"/>
    <col min="14" max="14" width="27.109375" style="109" bestFit="1" customWidth="1"/>
    <col min="15" max="16384" width="11.44140625" style="17"/>
  </cols>
  <sheetData>
    <row r="1" spans="1:19" ht="15" customHeight="1" x14ac:dyDescent="0.3">
      <c r="A1" s="128" t="s">
        <v>0</v>
      </c>
      <c r="B1" s="131" t="s">
        <v>1</v>
      </c>
      <c r="C1" s="111" t="s">
        <v>41</v>
      </c>
      <c r="D1" s="111" t="s">
        <v>34</v>
      </c>
      <c r="E1" s="112" t="s">
        <v>42</v>
      </c>
      <c r="F1" s="111" t="s">
        <v>43</v>
      </c>
      <c r="G1" s="111" t="s">
        <v>44</v>
      </c>
      <c r="H1" s="112" t="s">
        <v>45</v>
      </c>
      <c r="I1" s="111" t="s">
        <v>46</v>
      </c>
      <c r="J1" s="111" t="s">
        <v>47</v>
      </c>
      <c r="K1" s="111" t="s">
        <v>48</v>
      </c>
      <c r="L1" s="111" t="s">
        <v>2</v>
      </c>
      <c r="M1" s="111" t="s">
        <v>49</v>
      </c>
      <c r="N1" s="112" t="s">
        <v>50</v>
      </c>
      <c r="O1"/>
      <c r="P1"/>
      <c r="Q1"/>
      <c r="R1"/>
      <c r="S1"/>
    </row>
    <row r="2" spans="1:19" ht="15" customHeight="1" x14ac:dyDescent="0.3">
      <c r="A2" s="129" t="s">
        <v>30</v>
      </c>
      <c r="B2" s="132" t="s">
        <v>31</v>
      </c>
      <c r="C2" s="127" t="s">
        <v>51</v>
      </c>
      <c r="D2" s="127" t="s">
        <v>52</v>
      </c>
      <c r="E2" s="133" t="s">
        <v>35</v>
      </c>
      <c r="F2" s="127" t="s">
        <v>36</v>
      </c>
      <c r="G2" s="127" t="s">
        <v>37</v>
      </c>
      <c r="H2" s="133" t="s">
        <v>38</v>
      </c>
      <c r="I2" s="127" t="s">
        <v>39</v>
      </c>
      <c r="J2" s="127" t="s">
        <v>40</v>
      </c>
      <c r="K2" s="127" t="s">
        <v>53</v>
      </c>
      <c r="L2" s="127" t="s">
        <v>3</v>
      </c>
      <c r="M2" s="127" t="s">
        <v>49</v>
      </c>
      <c r="N2" s="127" t="s">
        <v>33</v>
      </c>
      <c r="O2"/>
      <c r="P2"/>
      <c r="Q2"/>
      <c r="R2"/>
      <c r="S2"/>
    </row>
    <row r="3" spans="1:19" customFormat="1" x14ac:dyDescent="0.3">
      <c r="A3" s="173"/>
      <c r="B3" s="173"/>
      <c r="C3" s="84"/>
      <c r="D3" s="84"/>
      <c r="E3" s="84"/>
      <c r="F3" s="84"/>
      <c r="G3" s="84"/>
      <c r="H3" s="84"/>
      <c r="I3" s="84"/>
      <c r="J3" s="84"/>
      <c r="K3" s="84"/>
      <c r="L3" s="84"/>
      <c r="M3" s="84"/>
      <c r="N3" s="84"/>
    </row>
    <row r="4" spans="1:19" customFormat="1" x14ac:dyDescent="0.3">
      <c r="A4" s="173"/>
      <c r="B4" s="173"/>
      <c r="C4" s="84"/>
      <c r="D4" s="84"/>
      <c r="E4" s="84"/>
      <c r="F4" s="84"/>
      <c r="G4" s="84"/>
      <c r="H4" s="84"/>
      <c r="I4" s="84"/>
      <c r="J4" s="84"/>
      <c r="K4" s="84"/>
      <c r="L4" s="84"/>
      <c r="M4" s="84"/>
      <c r="N4" s="84"/>
    </row>
    <row r="5" spans="1:19" customFormat="1" x14ac:dyDescent="0.3">
      <c r="A5" s="173"/>
      <c r="B5" s="173"/>
      <c r="C5" s="84"/>
      <c r="D5" s="84"/>
      <c r="E5" s="84"/>
      <c r="F5" s="84"/>
      <c r="G5" s="84"/>
      <c r="H5" s="84"/>
      <c r="I5" s="84"/>
      <c r="J5" s="84"/>
      <c r="K5" s="84"/>
      <c r="L5" s="84"/>
      <c r="M5" s="84"/>
      <c r="N5" s="84"/>
    </row>
    <row r="6" spans="1:19" customFormat="1" x14ac:dyDescent="0.3">
      <c r="A6" s="173"/>
      <c r="B6" s="173"/>
      <c r="C6" s="84"/>
      <c r="D6" s="84"/>
      <c r="E6" s="84"/>
      <c r="F6" s="84"/>
      <c r="G6" s="84"/>
      <c r="H6" s="84"/>
      <c r="I6" s="84"/>
      <c r="J6" s="84"/>
      <c r="K6" s="84"/>
      <c r="L6" s="84"/>
      <c r="M6" s="84"/>
      <c r="N6" s="84"/>
    </row>
    <row r="7" spans="1:19" customFormat="1" x14ac:dyDescent="0.3">
      <c r="A7" s="173"/>
      <c r="B7" s="173"/>
      <c r="C7" s="84"/>
      <c r="D7" s="84"/>
      <c r="E7" s="84"/>
      <c r="F7" s="84"/>
      <c r="G7" s="84"/>
      <c r="H7" s="84"/>
      <c r="I7" s="84"/>
      <c r="J7" s="84"/>
      <c r="K7" s="84"/>
      <c r="L7" s="84"/>
      <c r="M7" s="84"/>
      <c r="N7" s="84"/>
    </row>
    <row r="8" spans="1:19" customFormat="1" x14ac:dyDescent="0.3">
      <c r="A8" s="173"/>
      <c r="B8" s="173"/>
      <c r="C8" s="84"/>
      <c r="D8" s="84"/>
      <c r="E8" s="84"/>
      <c r="F8" s="84"/>
      <c r="G8" s="84"/>
      <c r="H8" s="84"/>
      <c r="I8" s="84"/>
      <c r="J8" s="84"/>
      <c r="K8" s="84"/>
      <c r="L8" s="84"/>
      <c r="M8" s="84"/>
      <c r="N8" s="84"/>
    </row>
    <row r="9" spans="1:19" customFormat="1" x14ac:dyDescent="0.3">
      <c r="A9" s="173"/>
      <c r="B9" s="173"/>
      <c r="C9" s="84"/>
      <c r="D9" s="84"/>
      <c r="E9" s="84"/>
      <c r="F9" s="84"/>
      <c r="G9" s="84"/>
      <c r="H9" s="84"/>
      <c r="I9" s="84"/>
      <c r="J9" s="84"/>
      <c r="K9" s="84"/>
      <c r="L9" s="84"/>
      <c r="M9" s="84"/>
      <c r="N9" s="84"/>
    </row>
    <row r="10" spans="1:19" customFormat="1" x14ac:dyDescent="0.3">
      <c r="A10" s="173"/>
      <c r="B10" s="173"/>
      <c r="C10" s="84"/>
      <c r="D10" s="84"/>
      <c r="E10" s="84"/>
      <c r="F10" s="84"/>
      <c r="G10" s="84"/>
      <c r="H10" s="84"/>
      <c r="I10" s="84"/>
      <c r="J10" s="84"/>
      <c r="K10" s="84"/>
      <c r="L10" s="84"/>
      <c r="M10" s="84"/>
      <c r="N10" s="84"/>
    </row>
    <row r="11" spans="1:19" customFormat="1" x14ac:dyDescent="0.3">
      <c r="A11" s="173"/>
      <c r="B11" s="173"/>
      <c r="C11" s="84"/>
      <c r="D11" s="84"/>
      <c r="E11" s="84"/>
      <c r="F11" s="84"/>
      <c r="G11" s="84"/>
      <c r="H11" s="84"/>
      <c r="I11" s="84"/>
      <c r="J11" s="84"/>
      <c r="K11" s="84"/>
      <c r="L11" s="84"/>
      <c r="M11" s="84"/>
      <c r="N11" s="84"/>
    </row>
    <row r="12" spans="1:19" customFormat="1" x14ac:dyDescent="0.3">
      <c r="A12" s="173"/>
      <c r="B12" s="173"/>
      <c r="C12" s="84"/>
      <c r="D12" s="84"/>
      <c r="E12" s="84"/>
      <c r="F12" s="84"/>
      <c r="G12" s="84"/>
      <c r="H12" s="84"/>
      <c r="I12" s="84"/>
      <c r="J12" s="84"/>
      <c r="K12" s="84"/>
      <c r="L12" s="84"/>
      <c r="M12" s="84"/>
      <c r="N12" s="84"/>
    </row>
    <row r="13" spans="1:19" customFormat="1" x14ac:dyDescent="0.3">
      <c r="A13" s="173"/>
      <c r="B13" s="173"/>
      <c r="C13" s="84"/>
      <c r="D13" s="84"/>
      <c r="E13" s="84"/>
      <c r="F13" s="84"/>
      <c r="G13" s="84"/>
      <c r="H13" s="84"/>
      <c r="I13" s="84"/>
      <c r="J13" s="84"/>
      <c r="K13" s="84"/>
      <c r="L13" s="84"/>
      <c r="M13" s="84"/>
      <c r="N13" s="84"/>
    </row>
    <row r="14" spans="1:19" customFormat="1" x14ac:dyDescent="0.3">
      <c r="A14" s="173"/>
      <c r="B14" s="173"/>
      <c r="C14" s="84"/>
      <c r="D14" s="84"/>
      <c r="E14" s="84"/>
      <c r="F14" s="84"/>
      <c r="G14" s="84"/>
      <c r="H14" s="84"/>
      <c r="I14" s="84"/>
      <c r="J14" s="84"/>
      <c r="K14" s="84"/>
      <c r="L14" s="84"/>
      <c r="M14" s="84"/>
      <c r="N14" s="84"/>
    </row>
    <row r="15" spans="1:19" customFormat="1" x14ac:dyDescent="0.3">
      <c r="A15" s="173"/>
      <c r="B15" s="173"/>
      <c r="C15" s="84"/>
      <c r="D15" s="84"/>
      <c r="E15" s="84"/>
      <c r="F15" s="84"/>
      <c r="G15" s="84"/>
      <c r="H15" s="84"/>
      <c r="I15" s="84"/>
      <c r="J15" s="84"/>
      <c r="K15" s="84"/>
      <c r="L15" s="84"/>
      <c r="M15" s="84"/>
      <c r="N15" s="84"/>
    </row>
    <row r="16" spans="1:19" customFormat="1" x14ac:dyDescent="0.3">
      <c r="A16" s="173"/>
      <c r="B16" s="173"/>
      <c r="C16" s="84"/>
      <c r="D16" s="84"/>
      <c r="E16" s="84"/>
      <c r="F16" s="84"/>
      <c r="G16" s="84"/>
      <c r="H16" s="84"/>
      <c r="I16" s="84"/>
      <c r="J16" s="84"/>
      <c r="K16" s="84"/>
      <c r="L16" s="84"/>
      <c r="M16" s="84"/>
      <c r="N16" s="84"/>
    </row>
    <row r="17" spans="1:14" customFormat="1" x14ac:dyDescent="0.3">
      <c r="A17" s="173"/>
      <c r="B17" s="173"/>
      <c r="C17" s="84"/>
      <c r="D17" s="84"/>
      <c r="E17" s="84"/>
      <c r="F17" s="84"/>
      <c r="G17" s="84"/>
      <c r="H17" s="84"/>
      <c r="I17" s="84"/>
      <c r="J17" s="84"/>
      <c r="K17" s="84"/>
      <c r="L17" s="84"/>
      <c r="M17" s="84"/>
      <c r="N17" s="84"/>
    </row>
    <row r="18" spans="1:14" customFormat="1" x14ac:dyDescent="0.3">
      <c r="A18" s="173"/>
      <c r="B18" s="173"/>
      <c r="C18" s="84"/>
      <c r="D18" s="84"/>
      <c r="E18" s="84"/>
      <c r="F18" s="84"/>
      <c r="G18" s="84"/>
      <c r="H18" s="84"/>
      <c r="I18" s="84"/>
      <c r="J18" s="84"/>
      <c r="K18" s="84"/>
      <c r="L18" s="84"/>
      <c r="M18" s="84"/>
      <c r="N18" s="84"/>
    </row>
    <row r="19" spans="1:14" customFormat="1" x14ac:dyDescent="0.3">
      <c r="A19" s="173"/>
      <c r="B19" s="173"/>
      <c r="C19" s="84"/>
      <c r="D19" s="84"/>
      <c r="E19" s="84"/>
      <c r="F19" s="84"/>
      <c r="G19" s="84"/>
      <c r="H19" s="84"/>
      <c r="I19" s="84"/>
      <c r="J19" s="84"/>
      <c r="K19" s="84"/>
      <c r="L19" s="84"/>
      <c r="M19" s="84"/>
      <c r="N19" s="84"/>
    </row>
    <row r="20" spans="1:14" customFormat="1" x14ac:dyDescent="0.3">
      <c r="A20" s="173"/>
      <c r="B20" s="173"/>
      <c r="C20" s="84"/>
      <c r="D20" s="84"/>
      <c r="E20" s="84"/>
      <c r="F20" s="84"/>
      <c r="G20" s="84"/>
      <c r="H20" s="84"/>
      <c r="I20" s="84"/>
      <c r="J20" s="84"/>
      <c r="K20" s="84"/>
      <c r="L20" s="84"/>
      <c r="M20" s="84"/>
      <c r="N20" s="84"/>
    </row>
    <row r="21" spans="1:14" customFormat="1" x14ac:dyDescent="0.3">
      <c r="A21" s="173"/>
      <c r="B21" s="173"/>
      <c r="C21" s="84"/>
      <c r="D21" s="84"/>
      <c r="E21" s="84"/>
      <c r="F21" s="84"/>
      <c r="G21" s="84"/>
      <c r="H21" s="84"/>
      <c r="I21" s="84"/>
      <c r="J21" s="84"/>
      <c r="K21" s="84"/>
      <c r="L21" s="84"/>
      <c r="M21" s="84"/>
      <c r="N21" s="84"/>
    </row>
    <row r="22" spans="1:14" customFormat="1" x14ac:dyDescent="0.3">
      <c r="A22" s="173"/>
      <c r="B22" s="173"/>
      <c r="C22" s="84"/>
      <c r="D22" s="84"/>
      <c r="E22" s="84"/>
      <c r="F22" s="84"/>
      <c r="G22" s="84"/>
      <c r="H22" s="84"/>
      <c r="I22" s="84"/>
      <c r="J22" s="84"/>
      <c r="K22" s="84"/>
      <c r="L22" s="84"/>
      <c r="M22" s="84"/>
      <c r="N22" s="84"/>
    </row>
    <row r="23" spans="1:14" customFormat="1" x14ac:dyDescent="0.3">
      <c r="A23" s="173"/>
      <c r="B23" s="173"/>
      <c r="C23" s="84"/>
      <c r="D23" s="84"/>
      <c r="E23" s="84"/>
      <c r="F23" s="84"/>
      <c r="G23" s="84"/>
      <c r="H23" s="84"/>
      <c r="I23" s="84"/>
      <c r="J23" s="84"/>
      <c r="K23" s="84"/>
      <c r="L23" s="84"/>
      <c r="M23" s="84"/>
      <c r="N23" s="84"/>
    </row>
    <row r="24" spans="1:14" customFormat="1" x14ac:dyDescent="0.3">
      <c r="A24" s="173"/>
      <c r="B24" s="173"/>
      <c r="C24" s="84"/>
      <c r="D24" s="84"/>
      <c r="E24" s="84"/>
      <c r="F24" s="84"/>
      <c r="G24" s="84"/>
      <c r="H24" s="84"/>
      <c r="I24" s="84"/>
      <c r="J24" s="84"/>
      <c r="K24" s="84"/>
      <c r="L24" s="84"/>
      <c r="M24" s="84"/>
      <c r="N24" s="84"/>
    </row>
    <row r="25" spans="1:14" customFormat="1" x14ac:dyDescent="0.3">
      <c r="A25" s="173"/>
      <c r="B25" s="173"/>
      <c r="C25" s="84"/>
      <c r="D25" s="84"/>
      <c r="E25" s="84"/>
      <c r="F25" s="84"/>
      <c r="G25" s="84"/>
      <c r="H25" s="84"/>
      <c r="I25" s="84"/>
      <c r="J25" s="84"/>
      <c r="K25" s="84"/>
      <c r="L25" s="84"/>
      <c r="M25" s="84"/>
      <c r="N25" s="84"/>
    </row>
    <row r="26" spans="1:14" customFormat="1" x14ac:dyDescent="0.3">
      <c r="A26" s="173"/>
      <c r="B26" s="173"/>
      <c r="C26" s="84"/>
      <c r="D26" s="84"/>
      <c r="E26" s="84"/>
      <c r="F26" s="84"/>
      <c r="G26" s="84"/>
      <c r="H26" s="84"/>
      <c r="I26" s="84"/>
      <c r="J26" s="84"/>
      <c r="K26" s="84"/>
      <c r="L26" s="84"/>
      <c r="M26" s="84"/>
      <c r="N26" s="84"/>
    </row>
    <row r="27" spans="1:14" customFormat="1" x14ac:dyDescent="0.3">
      <c r="A27" s="173"/>
      <c r="B27" s="173"/>
      <c r="C27" s="84"/>
      <c r="D27" s="84"/>
      <c r="E27" s="84"/>
      <c r="F27" s="84"/>
      <c r="G27" s="84"/>
      <c r="H27" s="84"/>
      <c r="I27" s="84"/>
      <c r="J27" s="84"/>
      <c r="K27" s="84"/>
      <c r="L27" s="84"/>
      <c r="M27" s="84"/>
      <c r="N27" s="84"/>
    </row>
    <row r="28" spans="1:14" customFormat="1" x14ac:dyDescent="0.3">
      <c r="A28" s="173"/>
      <c r="B28" s="173"/>
      <c r="C28" s="84"/>
      <c r="D28" s="84"/>
      <c r="E28" s="84"/>
      <c r="F28" s="84"/>
      <c r="G28" s="84"/>
      <c r="H28" s="84"/>
      <c r="I28" s="84"/>
      <c r="J28" s="84"/>
      <c r="K28" s="84"/>
      <c r="L28" s="84"/>
      <c r="M28" s="84"/>
      <c r="N28" s="84"/>
    </row>
    <row r="29" spans="1:14" customFormat="1" x14ac:dyDescent="0.3">
      <c r="A29" s="173"/>
      <c r="B29" s="173"/>
      <c r="C29" s="84"/>
      <c r="D29" s="84"/>
      <c r="E29" s="84"/>
      <c r="F29" s="84"/>
      <c r="G29" s="84"/>
      <c r="H29" s="84"/>
      <c r="I29" s="84"/>
      <c r="J29" s="84"/>
      <c r="K29" s="84"/>
      <c r="L29" s="84"/>
      <c r="M29" s="84"/>
      <c r="N29" s="84"/>
    </row>
    <row r="30" spans="1:14" customFormat="1" x14ac:dyDescent="0.3">
      <c r="A30" s="173"/>
      <c r="B30" s="173"/>
      <c r="C30" s="84"/>
      <c r="D30" s="84"/>
      <c r="E30" s="84"/>
      <c r="F30" s="84"/>
      <c r="G30" s="84"/>
      <c r="H30" s="84"/>
      <c r="I30" s="84"/>
      <c r="J30" s="84"/>
      <c r="K30" s="84"/>
      <c r="L30" s="84"/>
      <c r="M30" s="84"/>
      <c r="N30" s="84"/>
    </row>
    <row r="31" spans="1:14" customFormat="1" x14ac:dyDescent="0.3">
      <c r="A31" s="173"/>
      <c r="B31" s="173"/>
      <c r="C31" s="84"/>
      <c r="D31" s="84"/>
      <c r="E31" s="84"/>
      <c r="F31" s="84"/>
      <c r="G31" s="84"/>
      <c r="H31" s="84"/>
      <c r="I31" s="84"/>
      <c r="J31" s="84"/>
      <c r="K31" s="84"/>
      <c r="L31" s="84"/>
      <c r="M31" s="84"/>
      <c r="N31" s="84"/>
    </row>
    <row r="32" spans="1:14" customFormat="1" x14ac:dyDescent="0.3">
      <c r="A32" s="173"/>
      <c r="B32" s="173"/>
      <c r="C32" s="84"/>
      <c r="D32" s="84"/>
      <c r="E32" s="84"/>
      <c r="F32" s="84"/>
      <c r="G32" s="84"/>
      <c r="H32" s="84"/>
      <c r="I32" s="84"/>
      <c r="J32" s="84"/>
      <c r="K32" s="84"/>
      <c r="L32" s="84"/>
      <c r="M32" s="84"/>
      <c r="N32" s="84"/>
    </row>
    <row r="33" spans="1:14" customFormat="1" x14ac:dyDescent="0.3">
      <c r="A33" s="173"/>
      <c r="B33" s="173"/>
      <c r="C33" s="84"/>
      <c r="D33" s="84"/>
      <c r="E33" s="84"/>
      <c r="F33" s="84"/>
      <c r="G33" s="84"/>
      <c r="H33" s="84"/>
      <c r="I33" s="84"/>
      <c r="J33" s="84"/>
      <c r="K33" s="84"/>
      <c r="L33" s="84"/>
      <c r="M33" s="84"/>
      <c r="N33" s="84"/>
    </row>
    <row r="34" spans="1:14" customFormat="1" x14ac:dyDescent="0.3">
      <c r="A34" s="173"/>
      <c r="B34" s="173"/>
      <c r="C34" s="84"/>
      <c r="D34" s="84"/>
      <c r="E34" s="84"/>
      <c r="F34" s="84"/>
      <c r="G34" s="84"/>
      <c r="H34" s="84"/>
      <c r="I34" s="84"/>
      <c r="J34" s="84"/>
      <c r="K34" s="84"/>
      <c r="L34" s="84"/>
      <c r="M34" s="84"/>
      <c r="N34" s="84"/>
    </row>
    <row r="35" spans="1:14" customFormat="1" x14ac:dyDescent="0.3">
      <c r="A35" s="173"/>
      <c r="B35" s="173"/>
      <c r="C35" s="84"/>
      <c r="D35" s="84"/>
      <c r="E35" s="84"/>
      <c r="F35" s="84"/>
      <c r="G35" s="84"/>
      <c r="H35" s="84"/>
      <c r="I35" s="84"/>
      <c r="J35" s="84"/>
      <c r="K35" s="84"/>
      <c r="L35" s="84"/>
      <c r="M35" s="84"/>
      <c r="N35" s="84"/>
    </row>
    <row r="36" spans="1:14" customFormat="1" x14ac:dyDescent="0.3">
      <c r="A36" s="173"/>
      <c r="B36" s="173"/>
      <c r="C36" s="84"/>
      <c r="D36" s="84"/>
      <c r="E36" s="84"/>
      <c r="F36" s="84"/>
      <c r="G36" s="84"/>
      <c r="H36" s="84"/>
      <c r="I36" s="84"/>
      <c r="J36" s="84"/>
      <c r="K36" s="84"/>
      <c r="L36" s="84"/>
      <c r="M36" s="84"/>
      <c r="N36" s="84"/>
    </row>
    <row r="37" spans="1:14" customFormat="1" x14ac:dyDescent="0.3">
      <c r="A37" s="173"/>
      <c r="B37" s="173"/>
      <c r="C37" s="84"/>
      <c r="D37" s="84"/>
      <c r="E37" s="84"/>
      <c r="F37" s="84"/>
      <c r="G37" s="84"/>
      <c r="H37" s="84"/>
      <c r="I37" s="84"/>
      <c r="J37" s="84"/>
      <c r="K37" s="84"/>
      <c r="L37" s="84"/>
      <c r="M37" s="84"/>
      <c r="N37" s="84"/>
    </row>
    <row r="38" spans="1:14" customFormat="1" x14ac:dyDescent="0.3">
      <c r="A38" s="173"/>
      <c r="B38" s="173"/>
      <c r="C38" s="84"/>
      <c r="D38" s="84"/>
      <c r="E38" s="84"/>
      <c r="F38" s="84"/>
      <c r="G38" s="84"/>
      <c r="H38" s="84"/>
      <c r="I38" s="84"/>
      <c r="J38" s="84"/>
      <c r="K38" s="84"/>
      <c r="L38" s="84"/>
      <c r="M38" s="84"/>
      <c r="N38" s="84"/>
    </row>
    <row r="39" spans="1:14" customFormat="1" x14ac:dyDescent="0.3">
      <c r="A39" s="173"/>
      <c r="B39" s="173"/>
      <c r="C39" s="84"/>
      <c r="D39" s="84"/>
      <c r="E39" s="84"/>
      <c r="F39" s="84"/>
      <c r="G39" s="84"/>
      <c r="H39" s="84"/>
      <c r="I39" s="84"/>
      <c r="J39" s="84"/>
      <c r="K39" s="84"/>
      <c r="L39" s="84"/>
      <c r="M39" s="84"/>
      <c r="N39" s="84"/>
    </row>
    <row r="40" spans="1:14" customFormat="1" x14ac:dyDescent="0.3">
      <c r="A40" s="154"/>
      <c r="B40" s="154"/>
      <c r="J40" s="117"/>
      <c r="K40" s="116"/>
      <c r="L40" s="116"/>
      <c r="M40" s="115"/>
      <c r="N40" s="118"/>
    </row>
    <row r="41" spans="1:14" customFormat="1" x14ac:dyDescent="0.3">
      <c r="A41" s="154"/>
      <c r="B41" s="154"/>
      <c r="J41" s="117"/>
      <c r="K41" s="116"/>
      <c r="L41" s="116"/>
      <c r="M41" s="115"/>
      <c r="N41" s="118"/>
    </row>
    <row r="42" spans="1:14" customFormat="1" x14ac:dyDescent="0.3">
      <c r="A42" s="154"/>
      <c r="B42" s="154"/>
      <c r="J42" s="117"/>
      <c r="K42" s="116"/>
      <c r="L42" s="116"/>
      <c r="M42" s="115"/>
      <c r="N42" s="118"/>
    </row>
    <row r="43" spans="1:14" customFormat="1" x14ac:dyDescent="0.3">
      <c r="A43" s="154"/>
      <c r="B43" s="154"/>
      <c r="J43" s="117"/>
      <c r="K43" s="116"/>
      <c r="L43" s="116"/>
      <c r="M43" s="115"/>
      <c r="N43" s="118"/>
    </row>
    <row r="44" spans="1:14" customFormat="1" x14ac:dyDescent="0.3">
      <c r="A44" s="154"/>
      <c r="B44" s="154"/>
      <c r="J44" s="117"/>
      <c r="K44" s="116"/>
      <c r="L44" s="116"/>
      <c r="M44" s="115"/>
      <c r="N44" s="118"/>
    </row>
    <row r="45" spans="1:14" customFormat="1" x14ac:dyDescent="0.3">
      <c r="A45" s="154"/>
      <c r="B45" s="154"/>
      <c r="J45" s="117"/>
      <c r="K45" s="116"/>
      <c r="L45" s="116"/>
      <c r="M45" s="115"/>
      <c r="N45" s="118"/>
    </row>
    <row r="46" spans="1:14" customFormat="1" x14ac:dyDescent="0.3">
      <c r="A46" s="154"/>
      <c r="B46" s="154"/>
      <c r="J46" s="117"/>
      <c r="K46" s="116"/>
      <c r="L46" s="116"/>
      <c r="M46" s="115"/>
      <c r="N46" s="118"/>
    </row>
    <row r="47" spans="1:14" customFormat="1" x14ac:dyDescent="0.3">
      <c r="A47" s="154"/>
      <c r="B47" s="154"/>
      <c r="J47" s="117"/>
      <c r="K47" s="116"/>
      <c r="L47" s="116"/>
      <c r="M47" s="115"/>
      <c r="N47" s="118"/>
    </row>
    <row r="48" spans="1:14" customFormat="1" x14ac:dyDescent="0.3">
      <c r="A48" s="154"/>
      <c r="B48" s="154"/>
      <c r="J48" s="117"/>
      <c r="K48" s="116"/>
      <c r="L48" s="116"/>
      <c r="M48" s="115"/>
      <c r="N48" s="118"/>
    </row>
    <row r="49" spans="1:14" customFormat="1" x14ac:dyDescent="0.3">
      <c r="A49" s="154"/>
      <c r="B49" s="154"/>
      <c r="J49" s="117"/>
      <c r="K49" s="116"/>
      <c r="L49" s="116"/>
      <c r="M49" s="115"/>
      <c r="N49" s="118"/>
    </row>
    <row r="50" spans="1:14" customFormat="1" x14ac:dyDescent="0.3">
      <c r="A50" s="154"/>
      <c r="B50" s="154"/>
      <c r="J50" s="117"/>
      <c r="K50" s="116"/>
      <c r="L50" s="116"/>
      <c r="M50" s="115"/>
      <c r="N50" s="118"/>
    </row>
    <row r="51" spans="1:14" customFormat="1" x14ac:dyDescent="0.3">
      <c r="A51" s="154"/>
      <c r="B51" s="154"/>
      <c r="J51" s="117"/>
      <c r="K51" s="116"/>
      <c r="L51" s="116"/>
      <c r="M51" s="115"/>
      <c r="N51" s="118"/>
    </row>
    <row r="52" spans="1:14" customFormat="1" x14ac:dyDescent="0.3">
      <c r="A52" s="154"/>
      <c r="B52" s="154"/>
      <c r="J52" s="117"/>
      <c r="K52" s="116"/>
      <c r="L52" s="116"/>
      <c r="M52" s="115"/>
      <c r="N52" s="118"/>
    </row>
    <row r="53" spans="1:14" customFormat="1" x14ac:dyDescent="0.3">
      <c r="A53" s="154"/>
      <c r="B53" s="154"/>
      <c r="J53" s="117"/>
      <c r="K53" s="116"/>
      <c r="L53" s="116"/>
      <c r="M53" s="115"/>
      <c r="N53" s="118"/>
    </row>
    <row r="54" spans="1:14" customFormat="1" x14ac:dyDescent="0.3">
      <c r="A54" s="154"/>
      <c r="B54" s="154"/>
      <c r="J54" s="117"/>
      <c r="K54" s="116"/>
      <c r="L54" s="116"/>
      <c r="M54" s="115"/>
      <c r="N54" s="118"/>
    </row>
    <row r="55" spans="1:14" customFormat="1" x14ac:dyDescent="0.3">
      <c r="A55" s="154"/>
      <c r="B55" s="154"/>
      <c r="J55" s="117"/>
      <c r="K55" s="116"/>
      <c r="L55" s="116"/>
      <c r="M55" s="115"/>
      <c r="N55" s="118"/>
    </row>
    <row r="56" spans="1:14" customFormat="1" x14ac:dyDescent="0.3">
      <c r="A56" s="154"/>
      <c r="B56" s="154"/>
      <c r="J56" s="117"/>
      <c r="K56" s="116"/>
      <c r="L56" s="116"/>
      <c r="M56" s="115"/>
      <c r="N56" s="118"/>
    </row>
    <row r="57" spans="1:14" customFormat="1" x14ac:dyDescent="0.3">
      <c r="A57" s="154"/>
      <c r="B57" s="154"/>
      <c r="J57" s="117"/>
      <c r="K57" s="116"/>
      <c r="L57" s="116"/>
      <c r="M57" s="115"/>
      <c r="N57" s="118"/>
    </row>
    <row r="58" spans="1:14" customFormat="1" x14ac:dyDescent="0.3">
      <c r="A58" s="154"/>
      <c r="B58" s="154"/>
      <c r="J58" s="117"/>
      <c r="K58" s="116"/>
      <c r="L58" s="116"/>
      <c r="M58" s="115"/>
      <c r="N58" s="118"/>
    </row>
    <row r="59" spans="1:14" customFormat="1" x14ac:dyDescent="0.3">
      <c r="A59" s="154"/>
      <c r="B59" s="154"/>
      <c r="J59" s="117"/>
      <c r="K59" s="116"/>
      <c r="L59" s="116"/>
      <c r="M59" s="115"/>
      <c r="N59" s="118"/>
    </row>
    <row r="60" spans="1:14" customFormat="1" x14ac:dyDescent="0.3">
      <c r="A60" s="154"/>
      <c r="B60" s="154"/>
      <c r="J60" s="117"/>
      <c r="K60" s="116"/>
      <c r="L60" s="116"/>
      <c r="M60" s="115"/>
      <c r="N60" s="118"/>
    </row>
    <row r="61" spans="1:14" customFormat="1" x14ac:dyDescent="0.3">
      <c r="A61" s="154"/>
      <c r="B61" s="154"/>
      <c r="J61" s="117"/>
      <c r="K61" s="116"/>
      <c r="L61" s="116"/>
      <c r="M61" s="115"/>
      <c r="N61" s="118"/>
    </row>
    <row r="62" spans="1:14" customFormat="1" x14ac:dyDescent="0.3">
      <c r="A62" s="154"/>
      <c r="B62" s="154"/>
      <c r="J62" s="117"/>
      <c r="K62" s="116"/>
      <c r="L62" s="116"/>
      <c r="M62" s="115"/>
      <c r="N62" s="118"/>
    </row>
    <row r="63" spans="1:14" customFormat="1" x14ac:dyDescent="0.3">
      <c r="A63" s="154"/>
      <c r="B63" s="154"/>
      <c r="J63" s="117"/>
      <c r="K63" s="116"/>
      <c r="L63" s="116"/>
      <c r="M63" s="115"/>
      <c r="N63" s="118"/>
    </row>
    <row r="64" spans="1:14" customFormat="1" x14ac:dyDescent="0.3">
      <c r="A64" s="154"/>
      <c r="B64" s="154"/>
      <c r="J64" s="117"/>
      <c r="K64" s="116"/>
      <c r="L64" s="116"/>
      <c r="M64" s="115"/>
      <c r="N64" s="118"/>
    </row>
    <row r="65" spans="1:14" customFormat="1" x14ac:dyDescent="0.3">
      <c r="A65" s="154"/>
      <c r="B65" s="154"/>
      <c r="J65" s="117"/>
      <c r="K65" s="116"/>
      <c r="L65" s="116"/>
      <c r="M65" s="115"/>
      <c r="N65" s="118"/>
    </row>
    <row r="66" spans="1:14" customFormat="1" x14ac:dyDescent="0.3">
      <c r="A66" s="154"/>
      <c r="B66" s="154"/>
      <c r="J66" s="117"/>
      <c r="K66" s="116"/>
      <c r="L66" s="116"/>
      <c r="M66" s="115"/>
      <c r="N66" s="118"/>
    </row>
    <row r="67" spans="1:14" customFormat="1" x14ac:dyDescent="0.3">
      <c r="A67" s="154"/>
      <c r="B67" s="154"/>
      <c r="J67" s="117"/>
      <c r="K67" s="116"/>
      <c r="L67" s="116"/>
      <c r="M67" s="115"/>
      <c r="N67" s="118"/>
    </row>
    <row r="68" spans="1:14" customFormat="1" x14ac:dyDescent="0.3">
      <c r="A68" s="154"/>
      <c r="B68" s="154"/>
      <c r="J68" s="117"/>
      <c r="K68" s="116"/>
      <c r="L68" s="116"/>
      <c r="M68" s="115"/>
      <c r="N68" s="118"/>
    </row>
    <row r="69" spans="1:14" customFormat="1" x14ac:dyDescent="0.3">
      <c r="A69" s="154"/>
      <c r="B69" s="154"/>
      <c r="J69" s="117"/>
      <c r="K69" s="116"/>
      <c r="L69" s="116"/>
      <c r="M69" s="115"/>
      <c r="N69" s="118"/>
    </row>
    <row r="70" spans="1:14" customFormat="1" x14ac:dyDescent="0.3">
      <c r="A70" s="154"/>
      <c r="B70" s="154"/>
      <c r="J70" s="117"/>
      <c r="K70" s="116"/>
      <c r="L70" s="116"/>
      <c r="M70" s="115"/>
      <c r="N70" s="118"/>
    </row>
    <row r="71" spans="1:14" customFormat="1" x14ac:dyDescent="0.3">
      <c r="A71" s="154"/>
      <c r="B71" s="154"/>
      <c r="J71" s="117"/>
      <c r="K71" s="116"/>
      <c r="L71" s="116"/>
      <c r="M71" s="115"/>
      <c r="N71" s="118"/>
    </row>
    <row r="72" spans="1:14" customFormat="1" x14ac:dyDescent="0.3">
      <c r="A72" s="154"/>
      <c r="B72" s="154"/>
      <c r="J72" s="117"/>
      <c r="K72" s="116"/>
      <c r="L72" s="116"/>
      <c r="M72" s="115"/>
      <c r="N72" s="118"/>
    </row>
    <row r="73" spans="1:14" customFormat="1" x14ac:dyDescent="0.3">
      <c r="A73" s="154"/>
      <c r="B73" s="154"/>
      <c r="J73" s="117"/>
      <c r="K73" s="116"/>
      <c r="L73" s="116"/>
      <c r="M73" s="115"/>
      <c r="N73" s="118"/>
    </row>
    <row r="74" spans="1:14" customFormat="1" x14ac:dyDescent="0.3">
      <c r="A74" s="154"/>
      <c r="B74" s="154"/>
      <c r="J74" s="117"/>
      <c r="K74" s="116"/>
      <c r="L74" s="116"/>
      <c r="M74" s="115"/>
      <c r="N74" s="118"/>
    </row>
    <row r="75" spans="1:14" customFormat="1" x14ac:dyDescent="0.3">
      <c r="A75" s="154"/>
      <c r="B75" s="154"/>
      <c r="J75" s="117"/>
      <c r="K75" s="116"/>
      <c r="L75" s="116"/>
      <c r="M75" s="115"/>
      <c r="N75" s="118"/>
    </row>
    <row r="76" spans="1:14" customFormat="1" x14ac:dyDescent="0.3">
      <c r="A76" s="154"/>
      <c r="B76" s="154"/>
      <c r="J76" s="117"/>
      <c r="K76" s="116"/>
      <c r="L76" s="116"/>
      <c r="M76" s="115"/>
      <c r="N76" s="118"/>
    </row>
    <row r="77" spans="1:14" customFormat="1" x14ac:dyDescent="0.3">
      <c r="A77" s="154"/>
      <c r="B77" s="154"/>
      <c r="J77" s="117"/>
      <c r="K77" s="116"/>
      <c r="L77" s="116"/>
      <c r="M77" s="115"/>
      <c r="N77" s="118"/>
    </row>
    <row r="78" spans="1:14" customFormat="1" x14ac:dyDescent="0.3">
      <c r="A78" s="154"/>
      <c r="B78" s="154"/>
      <c r="J78" s="117"/>
      <c r="K78" s="116"/>
      <c r="L78" s="116"/>
      <c r="M78" s="115"/>
      <c r="N78" s="118"/>
    </row>
    <row r="79" spans="1:14" customFormat="1" x14ac:dyDescent="0.3">
      <c r="A79" s="154"/>
      <c r="B79" s="154"/>
      <c r="J79" s="117"/>
      <c r="K79" s="116"/>
      <c r="L79" s="116"/>
      <c r="M79" s="115"/>
      <c r="N79" s="118"/>
    </row>
    <row r="80" spans="1:14" customFormat="1" x14ac:dyDescent="0.3">
      <c r="A80" s="154"/>
      <c r="B80" s="154"/>
      <c r="J80" s="117"/>
      <c r="K80" s="116"/>
      <c r="L80" s="116"/>
      <c r="M80" s="115"/>
      <c r="N80" s="118"/>
    </row>
    <row r="81" spans="1:14" customFormat="1" x14ac:dyDescent="0.3">
      <c r="A81" s="154"/>
      <c r="B81" s="154"/>
      <c r="J81" s="117"/>
      <c r="K81" s="116"/>
      <c r="L81" s="116"/>
      <c r="M81" s="115"/>
      <c r="N81" s="118"/>
    </row>
    <row r="82" spans="1:14" customFormat="1" x14ac:dyDescent="0.3">
      <c r="A82" s="154"/>
      <c r="B82" s="154"/>
      <c r="J82" s="117"/>
      <c r="K82" s="116"/>
      <c r="L82" s="116"/>
      <c r="M82" s="115"/>
      <c r="N82" s="118"/>
    </row>
    <row r="83" spans="1:14" customFormat="1" x14ac:dyDescent="0.3">
      <c r="A83" s="154"/>
      <c r="B83" s="154"/>
      <c r="J83" s="117"/>
      <c r="K83" s="116"/>
      <c r="L83" s="116"/>
      <c r="M83" s="115"/>
      <c r="N83" s="118"/>
    </row>
    <row r="84" spans="1:14" customFormat="1" x14ac:dyDescent="0.3">
      <c r="A84" s="154"/>
      <c r="B84" s="154"/>
      <c r="J84" s="117"/>
      <c r="K84" s="116"/>
      <c r="L84" s="116"/>
      <c r="M84" s="115"/>
      <c r="N84" s="118"/>
    </row>
    <row r="85" spans="1:14" customFormat="1" x14ac:dyDescent="0.3">
      <c r="A85" s="154"/>
      <c r="B85" s="154"/>
      <c r="J85" s="117"/>
      <c r="K85" s="116"/>
      <c r="L85" s="116"/>
      <c r="M85" s="115"/>
      <c r="N85" s="118"/>
    </row>
    <row r="86" spans="1:14" customFormat="1" x14ac:dyDescent="0.3">
      <c r="A86" s="154"/>
      <c r="B86" s="154"/>
      <c r="J86" s="117"/>
      <c r="K86" s="116"/>
      <c r="L86" s="116"/>
      <c r="M86" s="115"/>
      <c r="N86" s="118"/>
    </row>
    <row r="87" spans="1:14" customFormat="1" x14ac:dyDescent="0.3">
      <c r="A87" s="154"/>
      <c r="B87" s="154"/>
      <c r="J87" s="117"/>
      <c r="K87" s="116"/>
      <c r="L87" s="116"/>
      <c r="M87" s="115"/>
      <c r="N87" s="118"/>
    </row>
    <row r="88" spans="1:14" customFormat="1" x14ac:dyDescent="0.3">
      <c r="A88" s="154"/>
      <c r="B88" s="154"/>
      <c r="J88" s="117"/>
      <c r="K88" s="116"/>
      <c r="L88" s="116"/>
      <c r="M88" s="115"/>
      <c r="N88" s="118"/>
    </row>
    <row r="89" spans="1:14" customFormat="1" x14ac:dyDescent="0.3">
      <c r="A89" s="154"/>
      <c r="B89" s="154"/>
      <c r="J89" s="117"/>
      <c r="K89" s="116"/>
      <c r="L89" s="116"/>
      <c r="M89" s="115"/>
      <c r="N89" s="118"/>
    </row>
    <row r="90" spans="1:14" customFormat="1" x14ac:dyDescent="0.3">
      <c r="A90" s="154"/>
      <c r="B90" s="154"/>
      <c r="J90" s="117"/>
      <c r="K90" s="116"/>
      <c r="L90" s="116"/>
      <c r="M90" s="115"/>
      <c r="N90" s="118"/>
    </row>
    <row r="91" spans="1:14" customFormat="1" x14ac:dyDescent="0.3">
      <c r="A91" s="154"/>
      <c r="B91" s="154"/>
      <c r="J91" s="117"/>
      <c r="K91" s="116"/>
      <c r="L91" s="116"/>
      <c r="M91" s="115"/>
      <c r="N91" s="118"/>
    </row>
    <row r="92" spans="1:14" customFormat="1" x14ac:dyDescent="0.3">
      <c r="A92" s="154"/>
      <c r="B92" s="154"/>
      <c r="J92" s="117"/>
      <c r="K92" s="116"/>
      <c r="L92" s="116"/>
      <c r="M92" s="115"/>
      <c r="N92" s="118"/>
    </row>
    <row r="93" spans="1:14" customFormat="1" x14ac:dyDescent="0.3">
      <c r="A93" s="154"/>
      <c r="B93" s="154"/>
      <c r="J93" s="117"/>
      <c r="K93" s="116"/>
      <c r="L93" s="116"/>
      <c r="M93" s="115"/>
      <c r="N93" s="118"/>
    </row>
    <row r="94" spans="1:14" customFormat="1" x14ac:dyDescent="0.3">
      <c r="A94" s="154"/>
      <c r="B94" s="154"/>
      <c r="J94" s="117"/>
      <c r="K94" s="116"/>
      <c r="L94" s="116"/>
      <c r="M94" s="115"/>
      <c r="N94" s="118"/>
    </row>
    <row r="95" spans="1:14" customFormat="1" x14ac:dyDescent="0.3">
      <c r="A95" s="154"/>
      <c r="B95" s="154"/>
      <c r="J95" s="117"/>
      <c r="K95" s="116"/>
      <c r="L95" s="116"/>
      <c r="M95" s="115"/>
      <c r="N95" s="118"/>
    </row>
    <row r="96" spans="1:14" customFormat="1" x14ac:dyDescent="0.3">
      <c r="A96" s="154"/>
      <c r="B96" s="154"/>
      <c r="J96" s="117"/>
      <c r="K96" s="116"/>
      <c r="L96" s="116"/>
      <c r="M96" s="115"/>
      <c r="N96" s="118"/>
    </row>
    <row r="97" spans="1:14" customFormat="1" x14ac:dyDescent="0.3">
      <c r="A97" s="154"/>
      <c r="B97" s="154"/>
      <c r="J97" s="117"/>
      <c r="K97" s="116"/>
      <c r="L97" s="116"/>
      <c r="M97" s="115"/>
      <c r="N97" s="118"/>
    </row>
    <row r="98" spans="1:14" customFormat="1" x14ac:dyDescent="0.3">
      <c r="A98" s="154"/>
      <c r="B98" s="154"/>
      <c r="J98" s="117"/>
      <c r="K98" s="116"/>
      <c r="L98" s="116"/>
      <c r="M98" s="115"/>
      <c r="N98" s="118"/>
    </row>
    <row r="99" spans="1:14" customFormat="1" x14ac:dyDescent="0.3">
      <c r="A99" s="154"/>
      <c r="B99" s="154"/>
      <c r="J99" s="117"/>
      <c r="K99" s="116"/>
      <c r="L99" s="116"/>
      <c r="M99" s="115"/>
      <c r="N99" s="118"/>
    </row>
    <row r="100" spans="1:14" customFormat="1" x14ac:dyDescent="0.3">
      <c r="A100" s="154"/>
      <c r="B100" s="154"/>
      <c r="J100" s="117"/>
      <c r="K100" s="116"/>
      <c r="L100" s="116"/>
      <c r="M100" s="115"/>
      <c r="N100" s="118"/>
    </row>
    <row r="101" spans="1:14" customFormat="1" x14ac:dyDescent="0.3">
      <c r="A101" s="154"/>
      <c r="B101" s="154"/>
      <c r="J101" s="117"/>
      <c r="K101" s="116"/>
      <c r="L101" s="116"/>
      <c r="M101" s="115"/>
      <c r="N101" s="118"/>
    </row>
    <row r="102" spans="1:14" customFormat="1" x14ac:dyDescent="0.3">
      <c r="A102" s="154"/>
      <c r="B102" s="154"/>
      <c r="J102" s="117"/>
      <c r="K102" s="116"/>
      <c r="L102" s="116"/>
      <c r="M102" s="115"/>
      <c r="N102" s="118"/>
    </row>
    <row r="103" spans="1:14" customFormat="1" x14ac:dyDescent="0.3">
      <c r="A103" s="154"/>
      <c r="B103" s="154"/>
      <c r="J103" s="117"/>
      <c r="K103" s="116"/>
      <c r="L103" s="116"/>
      <c r="M103" s="115"/>
      <c r="N103" s="118"/>
    </row>
    <row r="104" spans="1:14" customFormat="1" x14ac:dyDescent="0.3">
      <c r="A104" s="154"/>
      <c r="B104" s="154"/>
      <c r="J104" s="117"/>
      <c r="K104" s="116"/>
      <c r="L104" s="116"/>
      <c r="M104" s="115"/>
      <c r="N104" s="118"/>
    </row>
    <row r="105" spans="1:14" customFormat="1" x14ac:dyDescent="0.3">
      <c r="A105" s="154"/>
      <c r="B105" s="154"/>
      <c r="J105" s="117"/>
      <c r="K105" s="116"/>
      <c r="L105" s="116"/>
      <c r="M105" s="115"/>
      <c r="N105" s="118"/>
    </row>
    <row r="106" spans="1:14" customFormat="1" x14ac:dyDescent="0.3">
      <c r="A106" s="154"/>
      <c r="B106" s="154"/>
      <c r="J106" s="117"/>
      <c r="K106" s="116"/>
      <c r="L106" s="116"/>
      <c r="M106" s="115"/>
      <c r="N106" s="118"/>
    </row>
    <row r="107" spans="1:14" customFormat="1" x14ac:dyDescent="0.3">
      <c r="A107" s="154"/>
      <c r="B107" s="154"/>
      <c r="J107" s="117"/>
      <c r="K107" s="116"/>
      <c r="L107" s="116"/>
      <c r="M107" s="115"/>
      <c r="N107" s="118"/>
    </row>
    <row r="108" spans="1:14" customFormat="1" x14ac:dyDescent="0.3">
      <c r="A108" s="154"/>
      <c r="B108" s="154"/>
      <c r="J108" s="117"/>
      <c r="K108" s="116"/>
      <c r="L108" s="116"/>
      <c r="M108" s="115"/>
      <c r="N108" s="118"/>
    </row>
    <row r="109" spans="1:14" customFormat="1" x14ac:dyDescent="0.3">
      <c r="A109" s="154"/>
      <c r="B109" s="154"/>
      <c r="J109" s="117"/>
      <c r="K109" s="116"/>
      <c r="L109" s="116"/>
      <c r="M109" s="115"/>
      <c r="N109" s="118"/>
    </row>
    <row r="110" spans="1:14" customFormat="1" x14ac:dyDescent="0.3">
      <c r="A110" s="154"/>
      <c r="B110" s="154"/>
      <c r="J110" s="117"/>
      <c r="K110" s="116"/>
      <c r="L110" s="116"/>
      <c r="M110" s="115"/>
      <c r="N110" s="118"/>
    </row>
    <row r="111" spans="1:14" customFormat="1" x14ac:dyDescent="0.3">
      <c r="A111" s="154"/>
      <c r="B111" s="154"/>
      <c r="J111" s="117"/>
      <c r="K111" s="116"/>
      <c r="L111" s="116"/>
      <c r="M111" s="115"/>
      <c r="N111" s="118"/>
    </row>
    <row r="112" spans="1:14" customFormat="1" x14ac:dyDescent="0.3">
      <c r="A112" s="154"/>
      <c r="B112" s="154"/>
      <c r="J112" s="117"/>
      <c r="K112" s="116"/>
      <c r="L112" s="116"/>
      <c r="M112" s="115"/>
      <c r="N112" s="118"/>
    </row>
    <row r="113" spans="1:14" customFormat="1" x14ac:dyDescent="0.3">
      <c r="A113" s="154"/>
      <c r="B113" s="154"/>
      <c r="J113" s="117"/>
      <c r="K113" s="116"/>
      <c r="L113" s="116"/>
      <c r="M113" s="115"/>
      <c r="N113" s="118"/>
    </row>
    <row r="114" spans="1:14" customFormat="1" x14ac:dyDescent="0.3">
      <c r="A114" s="154"/>
      <c r="B114" s="154"/>
      <c r="J114" s="117"/>
      <c r="K114" s="116"/>
      <c r="L114" s="116"/>
      <c r="M114" s="115"/>
      <c r="N114" s="118"/>
    </row>
    <row r="115" spans="1:14" customFormat="1" x14ac:dyDescent="0.3">
      <c r="A115" s="154"/>
      <c r="B115" s="154"/>
      <c r="J115" s="117"/>
      <c r="K115" s="116"/>
      <c r="L115" s="116"/>
      <c r="M115" s="115"/>
      <c r="N115" s="118"/>
    </row>
    <row r="116" spans="1:14" customFormat="1" x14ac:dyDescent="0.3">
      <c r="A116" s="154"/>
      <c r="B116" s="154"/>
      <c r="J116" s="117"/>
      <c r="K116" s="116"/>
      <c r="L116" s="116"/>
      <c r="M116" s="115"/>
      <c r="N116" s="118"/>
    </row>
    <row r="117" spans="1:14" customFormat="1" x14ac:dyDescent="0.3">
      <c r="A117" s="154"/>
      <c r="B117" s="154"/>
      <c r="J117" s="117"/>
      <c r="K117" s="116"/>
      <c r="L117" s="116"/>
      <c r="M117" s="115"/>
      <c r="N117" s="118"/>
    </row>
    <row r="118" spans="1:14" customFormat="1" x14ac:dyDescent="0.3">
      <c r="A118" s="154"/>
      <c r="B118" s="154"/>
      <c r="J118" s="117"/>
      <c r="K118" s="116"/>
      <c r="L118" s="116"/>
      <c r="M118" s="115"/>
      <c r="N118" s="118"/>
    </row>
    <row r="119" spans="1:14" customFormat="1" x14ac:dyDescent="0.3">
      <c r="A119" s="154"/>
      <c r="B119" s="154"/>
      <c r="J119" s="117"/>
      <c r="K119" s="116"/>
      <c r="L119" s="116"/>
      <c r="M119" s="115"/>
      <c r="N119" s="118"/>
    </row>
    <row r="120" spans="1:14" customFormat="1" x14ac:dyDescent="0.3">
      <c r="A120" s="154"/>
      <c r="B120" s="154"/>
      <c r="J120" s="117"/>
      <c r="K120" s="116"/>
      <c r="L120" s="116"/>
      <c r="M120" s="115"/>
      <c r="N120" s="118"/>
    </row>
    <row r="121" spans="1:14" customFormat="1" x14ac:dyDescent="0.3">
      <c r="A121" s="154"/>
      <c r="B121" s="154"/>
      <c r="J121" s="117"/>
      <c r="K121" s="116"/>
      <c r="L121" s="116"/>
      <c r="M121" s="115"/>
      <c r="N121" s="118"/>
    </row>
    <row r="122" spans="1:14" customFormat="1" x14ac:dyDescent="0.3">
      <c r="A122" s="154"/>
      <c r="B122" s="154"/>
      <c r="J122" s="117"/>
      <c r="K122" s="116"/>
      <c r="L122" s="116"/>
      <c r="M122" s="115"/>
      <c r="N122" s="118"/>
    </row>
    <row r="123" spans="1:14" customFormat="1" x14ac:dyDescent="0.3">
      <c r="A123" s="154"/>
      <c r="B123" s="154"/>
      <c r="J123" s="117"/>
      <c r="K123" s="116"/>
      <c r="L123" s="116"/>
      <c r="M123" s="115"/>
      <c r="N123" s="118"/>
    </row>
    <row r="124" spans="1:14" customFormat="1" x14ac:dyDescent="0.3">
      <c r="A124" s="154"/>
      <c r="B124" s="154"/>
      <c r="J124" s="117"/>
      <c r="K124" s="116"/>
      <c r="L124" s="116"/>
      <c r="M124" s="115"/>
      <c r="N124" s="118"/>
    </row>
    <row r="125" spans="1:14" customFormat="1" x14ac:dyDescent="0.3">
      <c r="A125" s="154"/>
      <c r="B125" s="154"/>
      <c r="J125" s="117"/>
      <c r="K125" s="116"/>
      <c r="L125" s="116"/>
      <c r="M125" s="115"/>
      <c r="N125" s="118"/>
    </row>
    <row r="126" spans="1:14" customFormat="1" x14ac:dyDescent="0.3">
      <c r="A126" s="154"/>
      <c r="B126" s="154"/>
      <c r="J126" s="117"/>
      <c r="K126" s="116"/>
      <c r="L126" s="116"/>
      <c r="M126" s="115"/>
      <c r="N126" s="118"/>
    </row>
    <row r="127" spans="1:14" customFormat="1" x14ac:dyDescent="0.3">
      <c r="A127" s="154"/>
      <c r="B127" s="154"/>
      <c r="J127" s="117"/>
      <c r="K127" s="116"/>
      <c r="L127" s="116"/>
      <c r="M127" s="115"/>
      <c r="N127" s="118"/>
    </row>
    <row r="128" spans="1:14" customFormat="1" x14ac:dyDescent="0.3">
      <c r="A128" s="154"/>
      <c r="B128" s="154"/>
      <c r="J128" s="117"/>
      <c r="K128" s="116"/>
      <c r="L128" s="116"/>
      <c r="M128" s="115"/>
      <c r="N128" s="118"/>
    </row>
    <row r="129" spans="1:14" customFormat="1" x14ac:dyDescent="0.3">
      <c r="A129" s="154"/>
      <c r="B129" s="154"/>
      <c r="J129" s="117"/>
      <c r="K129" s="116"/>
      <c r="L129" s="116"/>
      <c r="M129" s="115"/>
      <c r="N129" s="118"/>
    </row>
    <row r="130" spans="1:14" customFormat="1" x14ac:dyDescent="0.3">
      <c r="A130" s="154"/>
      <c r="B130" s="154"/>
      <c r="J130" s="117"/>
      <c r="K130" s="116"/>
      <c r="L130" s="116"/>
      <c r="M130" s="115"/>
      <c r="N130" s="118"/>
    </row>
    <row r="131" spans="1:14" customFormat="1" x14ac:dyDescent="0.3">
      <c r="A131" s="154"/>
      <c r="B131" s="154"/>
      <c r="J131" s="117"/>
      <c r="K131" s="116"/>
      <c r="L131" s="116"/>
      <c r="M131" s="115"/>
      <c r="N131" s="118"/>
    </row>
    <row r="132" spans="1:14" customFormat="1" x14ac:dyDescent="0.3">
      <c r="A132" s="154"/>
      <c r="B132" s="154"/>
      <c r="J132" s="117"/>
      <c r="K132" s="116"/>
      <c r="L132" s="116"/>
      <c r="M132" s="115"/>
      <c r="N132" s="118"/>
    </row>
    <row r="133" spans="1:14" customFormat="1" x14ac:dyDescent="0.3">
      <c r="A133" s="154"/>
      <c r="B133" s="154"/>
      <c r="J133" s="117"/>
      <c r="K133" s="116"/>
      <c r="L133" s="116"/>
      <c r="M133" s="115"/>
      <c r="N133" s="118"/>
    </row>
    <row r="134" spans="1:14" customFormat="1" x14ac:dyDescent="0.3">
      <c r="A134" s="154"/>
      <c r="B134" s="154"/>
      <c r="J134" s="117"/>
      <c r="K134" s="116"/>
      <c r="L134" s="116"/>
      <c r="M134" s="115"/>
      <c r="N134" s="118"/>
    </row>
    <row r="135" spans="1:14" customFormat="1" x14ac:dyDescent="0.3">
      <c r="A135" s="154"/>
      <c r="B135" s="154"/>
      <c r="J135" s="117"/>
      <c r="K135" s="116"/>
      <c r="L135" s="116"/>
      <c r="M135" s="115"/>
      <c r="N135" s="118"/>
    </row>
    <row r="136" spans="1:14" customFormat="1" x14ac:dyDescent="0.3">
      <c r="A136" s="154"/>
      <c r="B136" s="154"/>
      <c r="J136" s="117"/>
      <c r="K136" s="116"/>
      <c r="L136" s="116"/>
      <c r="M136" s="115"/>
      <c r="N136" s="118"/>
    </row>
    <row r="137" spans="1:14" customFormat="1" x14ac:dyDescent="0.3">
      <c r="A137" s="154"/>
      <c r="B137" s="154"/>
      <c r="J137" s="117"/>
      <c r="K137" s="116"/>
      <c r="L137" s="116"/>
      <c r="M137" s="115"/>
      <c r="N137" s="118"/>
    </row>
    <row r="138" spans="1:14" customFormat="1" x14ac:dyDescent="0.3">
      <c r="A138" s="154"/>
      <c r="B138" s="154"/>
      <c r="J138" s="117"/>
      <c r="K138" s="116"/>
      <c r="L138" s="116"/>
      <c r="M138" s="115"/>
      <c r="N138" s="118"/>
    </row>
    <row r="139" spans="1:14" customFormat="1" x14ac:dyDescent="0.3">
      <c r="A139" s="154"/>
      <c r="B139" s="154"/>
      <c r="J139" s="117"/>
      <c r="K139" s="116"/>
      <c r="L139" s="116"/>
      <c r="M139" s="115"/>
      <c r="N139" s="118"/>
    </row>
    <row r="140" spans="1:14" customFormat="1" x14ac:dyDescent="0.3">
      <c r="A140" s="154"/>
      <c r="B140" s="154"/>
      <c r="J140" s="117"/>
      <c r="K140" s="116"/>
      <c r="L140" s="116"/>
      <c r="M140" s="115"/>
      <c r="N140" s="118"/>
    </row>
    <row r="141" spans="1:14" customFormat="1" x14ac:dyDescent="0.3">
      <c r="A141" s="154"/>
      <c r="B141" s="154"/>
      <c r="J141" s="117"/>
      <c r="K141" s="116"/>
      <c r="L141" s="116"/>
      <c r="M141" s="115"/>
      <c r="N141" s="118"/>
    </row>
    <row r="142" spans="1:14" customFormat="1" x14ac:dyDescent="0.3">
      <c r="A142" s="154"/>
      <c r="B142" s="154"/>
      <c r="J142" s="117"/>
      <c r="K142" s="116"/>
      <c r="L142" s="116"/>
      <c r="M142" s="115"/>
      <c r="N142" s="118"/>
    </row>
    <row r="143" spans="1:14" customFormat="1" x14ac:dyDescent="0.3">
      <c r="A143" s="154"/>
      <c r="B143" s="154"/>
      <c r="J143" s="117"/>
      <c r="K143" s="116"/>
      <c r="L143" s="116"/>
      <c r="M143" s="115"/>
      <c r="N143" s="118"/>
    </row>
    <row r="144" spans="1:14" customFormat="1" x14ac:dyDescent="0.3">
      <c r="A144" s="154"/>
      <c r="B144" s="154"/>
      <c r="J144" s="117"/>
      <c r="K144" s="116"/>
      <c r="L144" s="116"/>
      <c r="M144" s="115"/>
      <c r="N144" s="118"/>
    </row>
    <row r="145" spans="1:14" customFormat="1" x14ac:dyDescent="0.3">
      <c r="A145" s="154"/>
      <c r="B145" s="154"/>
      <c r="J145" s="117"/>
      <c r="K145" s="116"/>
      <c r="L145" s="116"/>
      <c r="M145" s="115"/>
      <c r="N145" s="118"/>
    </row>
    <row r="146" spans="1:14" customFormat="1" x14ac:dyDescent="0.3">
      <c r="A146" s="154"/>
      <c r="B146" s="154"/>
      <c r="J146" s="117"/>
      <c r="K146" s="116"/>
      <c r="L146" s="116"/>
      <c r="M146" s="115"/>
      <c r="N146" s="118"/>
    </row>
    <row r="147" spans="1:14" customFormat="1" x14ac:dyDescent="0.3">
      <c r="A147" s="154"/>
      <c r="B147" s="154"/>
      <c r="J147" s="117"/>
      <c r="K147" s="116"/>
      <c r="L147" s="116"/>
      <c r="M147" s="115"/>
      <c r="N147" s="118"/>
    </row>
    <row r="148" spans="1:14" customFormat="1" x14ac:dyDescent="0.3">
      <c r="A148" s="154"/>
      <c r="B148" s="154"/>
      <c r="J148" s="117"/>
      <c r="K148" s="116"/>
      <c r="L148" s="116"/>
      <c r="M148" s="115"/>
      <c r="N148" s="118"/>
    </row>
    <row r="149" spans="1:14" customFormat="1" x14ac:dyDescent="0.3">
      <c r="A149" s="154"/>
      <c r="B149" s="154"/>
      <c r="J149" s="117"/>
      <c r="K149" s="116"/>
      <c r="L149" s="116"/>
      <c r="M149" s="115"/>
      <c r="N149" s="118"/>
    </row>
    <row r="150" spans="1:14" customFormat="1" x14ac:dyDescent="0.3">
      <c r="A150" s="154"/>
      <c r="B150" s="154"/>
      <c r="J150" s="117"/>
      <c r="K150" s="116"/>
      <c r="L150" s="116"/>
      <c r="M150" s="115"/>
      <c r="N150" s="118"/>
    </row>
    <row r="151" spans="1:14" customFormat="1" x14ac:dyDescent="0.3">
      <c r="A151" s="154"/>
      <c r="B151" s="154"/>
      <c r="J151" s="117"/>
      <c r="K151" s="116"/>
      <c r="L151" s="116"/>
      <c r="M151" s="115"/>
      <c r="N151" s="118"/>
    </row>
    <row r="152" spans="1:14" customFormat="1" x14ac:dyDescent="0.3">
      <c r="A152" s="154"/>
      <c r="B152" s="154"/>
      <c r="J152" s="117"/>
      <c r="K152" s="116"/>
      <c r="L152" s="116"/>
      <c r="M152" s="115"/>
      <c r="N152" s="118"/>
    </row>
    <row r="153" spans="1:14" customFormat="1" x14ac:dyDescent="0.3">
      <c r="A153" s="154"/>
      <c r="B153" s="154"/>
      <c r="J153" s="117"/>
      <c r="K153" s="116"/>
      <c r="L153" s="116"/>
      <c r="M153" s="115"/>
      <c r="N153" s="118"/>
    </row>
    <row r="154" spans="1:14" customFormat="1" x14ac:dyDescent="0.3">
      <c r="A154" s="154"/>
      <c r="B154" s="154"/>
      <c r="J154" s="117"/>
      <c r="K154" s="116"/>
      <c r="L154" s="116"/>
      <c r="M154" s="115"/>
      <c r="N154" s="118"/>
    </row>
    <row r="155" spans="1:14" customFormat="1" x14ac:dyDescent="0.3">
      <c r="A155" s="154"/>
      <c r="B155" s="154"/>
      <c r="J155" s="117"/>
      <c r="K155" s="116"/>
      <c r="L155" s="116"/>
      <c r="M155" s="115"/>
      <c r="N155" s="118"/>
    </row>
    <row r="156" spans="1:14" customFormat="1" x14ac:dyDescent="0.3">
      <c r="A156" s="154"/>
      <c r="B156" s="154"/>
      <c r="J156" s="117"/>
      <c r="K156" s="116"/>
      <c r="L156" s="116"/>
      <c r="M156" s="115"/>
      <c r="N156" s="118"/>
    </row>
    <row r="157" spans="1:14" customFormat="1" x14ac:dyDescent="0.3">
      <c r="A157" s="154"/>
      <c r="B157" s="154"/>
      <c r="J157" s="117"/>
      <c r="K157" s="116"/>
      <c r="L157" s="116"/>
      <c r="M157" s="115"/>
      <c r="N157" s="118"/>
    </row>
    <row r="158" spans="1:14" customFormat="1" x14ac:dyDescent="0.3">
      <c r="A158" s="154"/>
      <c r="B158" s="154"/>
      <c r="J158" s="117"/>
      <c r="K158" s="116"/>
      <c r="L158" s="116"/>
      <c r="M158" s="115"/>
      <c r="N158" s="118"/>
    </row>
    <row r="159" spans="1:14" customFormat="1" x14ac:dyDescent="0.3">
      <c r="A159" s="154"/>
      <c r="B159" s="154"/>
      <c r="J159" s="117"/>
      <c r="K159" s="116"/>
      <c r="L159" s="116"/>
      <c r="M159" s="115"/>
      <c r="N159" s="118"/>
    </row>
    <row r="160" spans="1:14" customFormat="1" x14ac:dyDescent="0.3">
      <c r="A160" s="154"/>
      <c r="B160" s="154"/>
      <c r="J160" s="117"/>
      <c r="K160" s="116"/>
      <c r="L160" s="116"/>
      <c r="M160" s="115"/>
      <c r="N160" s="118"/>
    </row>
    <row r="161" spans="1:14" customFormat="1" x14ac:dyDescent="0.3">
      <c r="A161" s="154"/>
      <c r="B161" s="154"/>
      <c r="J161" s="117"/>
      <c r="K161" s="116"/>
      <c r="L161" s="116"/>
      <c r="M161" s="115"/>
      <c r="N161" s="118"/>
    </row>
    <row r="162" spans="1:14" customFormat="1" x14ac:dyDescent="0.3">
      <c r="A162" s="154"/>
      <c r="B162" s="154"/>
      <c r="J162" s="117"/>
      <c r="K162" s="116"/>
      <c r="L162" s="116"/>
      <c r="M162" s="115"/>
      <c r="N162" s="118"/>
    </row>
    <row r="163" spans="1:14" customFormat="1" x14ac:dyDescent="0.3">
      <c r="A163" s="154"/>
      <c r="B163" s="154"/>
      <c r="J163" s="117"/>
      <c r="K163" s="116"/>
      <c r="L163" s="116"/>
      <c r="M163" s="115"/>
      <c r="N163" s="118"/>
    </row>
    <row r="164" spans="1:14" customFormat="1" x14ac:dyDescent="0.3">
      <c r="A164" s="154"/>
      <c r="B164" s="154"/>
      <c r="J164" s="117"/>
      <c r="K164" s="116"/>
      <c r="L164" s="116"/>
      <c r="M164" s="115"/>
      <c r="N164" s="118"/>
    </row>
    <row r="165" spans="1:14" customFormat="1" x14ac:dyDescent="0.3">
      <c r="A165" s="154"/>
      <c r="B165" s="154"/>
      <c r="J165" s="117"/>
      <c r="K165" s="116"/>
      <c r="L165" s="116"/>
      <c r="M165" s="115"/>
      <c r="N165" s="118"/>
    </row>
    <row r="166" spans="1:14" customFormat="1" x14ac:dyDescent="0.3">
      <c r="A166" s="154"/>
      <c r="B166" s="154"/>
      <c r="J166" s="117"/>
      <c r="K166" s="116"/>
      <c r="L166" s="116"/>
      <c r="M166" s="115"/>
      <c r="N166" s="118"/>
    </row>
    <row r="167" spans="1:14" customFormat="1" x14ac:dyDescent="0.3">
      <c r="A167" s="154"/>
      <c r="B167" s="154"/>
      <c r="J167" s="117"/>
      <c r="K167" s="116"/>
      <c r="L167" s="116"/>
      <c r="M167" s="115"/>
      <c r="N167" s="118"/>
    </row>
    <row r="168" spans="1:14" customFormat="1" x14ac:dyDescent="0.3">
      <c r="A168" s="154"/>
      <c r="B168" s="154"/>
      <c r="J168" s="117"/>
      <c r="K168" s="116"/>
      <c r="L168" s="116"/>
      <c r="M168" s="115"/>
      <c r="N168" s="118"/>
    </row>
    <row r="169" spans="1:14" customFormat="1" x14ac:dyDescent="0.3">
      <c r="A169" s="154"/>
      <c r="B169" s="154"/>
      <c r="J169" s="117"/>
      <c r="K169" s="116"/>
      <c r="L169" s="116"/>
      <c r="M169" s="115"/>
      <c r="N169" s="118"/>
    </row>
    <row r="170" spans="1:14" customFormat="1" x14ac:dyDescent="0.3">
      <c r="A170" s="154"/>
      <c r="B170" s="154"/>
      <c r="J170" s="117"/>
      <c r="K170" s="116"/>
      <c r="L170" s="116"/>
      <c r="M170" s="115"/>
      <c r="N170" s="118"/>
    </row>
    <row r="171" spans="1:14" customFormat="1" x14ac:dyDescent="0.3">
      <c r="A171" s="154"/>
      <c r="B171" s="154"/>
      <c r="J171" s="117"/>
      <c r="K171" s="116"/>
      <c r="L171" s="116"/>
      <c r="M171" s="115"/>
      <c r="N171" s="118"/>
    </row>
    <row r="172" spans="1:14" customFormat="1" x14ac:dyDescent="0.3">
      <c r="A172" s="154"/>
      <c r="B172" s="154"/>
      <c r="J172" s="117"/>
      <c r="K172" s="116"/>
      <c r="L172" s="116"/>
      <c r="M172" s="115"/>
      <c r="N172" s="118"/>
    </row>
    <row r="173" spans="1:14" customFormat="1" x14ac:dyDescent="0.3">
      <c r="A173" s="154"/>
      <c r="B173" s="154"/>
      <c r="J173" s="117"/>
      <c r="K173" s="116"/>
      <c r="L173" s="116"/>
      <c r="M173" s="115"/>
      <c r="N173" s="118"/>
    </row>
    <row r="174" spans="1:14" customFormat="1" x14ac:dyDescent="0.3">
      <c r="A174" s="154"/>
      <c r="B174" s="154"/>
      <c r="J174" s="117"/>
      <c r="K174" s="116"/>
      <c r="L174" s="116"/>
      <c r="M174" s="115"/>
      <c r="N174" s="118"/>
    </row>
    <row r="175" spans="1:14" customFormat="1" x14ac:dyDescent="0.3">
      <c r="A175" s="154"/>
      <c r="B175" s="154"/>
      <c r="J175" s="117"/>
      <c r="K175" s="116"/>
      <c r="L175" s="116"/>
      <c r="M175" s="115"/>
      <c r="N175" s="118"/>
    </row>
    <row r="176" spans="1:14" customFormat="1" x14ac:dyDescent="0.3">
      <c r="A176" s="154"/>
      <c r="B176" s="154"/>
      <c r="J176" s="117"/>
      <c r="K176" s="116"/>
      <c r="L176" s="116"/>
      <c r="M176" s="115"/>
      <c r="N176" s="118"/>
    </row>
    <row r="177" spans="1:14" customFormat="1" x14ac:dyDescent="0.3">
      <c r="A177" s="154"/>
      <c r="B177" s="154"/>
      <c r="J177" s="117"/>
      <c r="K177" s="116"/>
      <c r="L177" s="116"/>
      <c r="M177" s="115"/>
      <c r="N177" s="118"/>
    </row>
    <row r="178" spans="1:14" customFormat="1" x14ac:dyDescent="0.3">
      <c r="A178" s="154"/>
      <c r="B178" s="154"/>
      <c r="J178" s="117"/>
      <c r="K178" s="116"/>
      <c r="L178" s="116"/>
      <c r="M178" s="115"/>
      <c r="N178" s="118"/>
    </row>
    <row r="179" spans="1:14" customFormat="1" x14ac:dyDescent="0.3">
      <c r="A179" s="154"/>
      <c r="B179" s="154"/>
      <c r="J179" s="117"/>
      <c r="K179" s="116"/>
      <c r="L179" s="116"/>
      <c r="M179" s="115"/>
      <c r="N179" s="118"/>
    </row>
    <row r="180" spans="1:14" customFormat="1" x14ac:dyDescent="0.3">
      <c r="A180" s="154"/>
      <c r="B180" s="154"/>
      <c r="J180" s="117"/>
      <c r="K180" s="116"/>
      <c r="L180" s="116"/>
      <c r="M180" s="115"/>
      <c r="N180" s="118"/>
    </row>
    <row r="181" spans="1:14" customFormat="1" x14ac:dyDescent="0.3">
      <c r="A181" s="154"/>
      <c r="B181" s="154"/>
      <c r="J181" s="117"/>
      <c r="K181" s="116"/>
      <c r="L181" s="116"/>
      <c r="M181" s="115"/>
      <c r="N181" s="118"/>
    </row>
    <row r="182" spans="1:14" customFormat="1" x14ac:dyDescent="0.3">
      <c r="A182" s="154"/>
      <c r="B182" s="154"/>
      <c r="J182" s="117"/>
      <c r="K182" s="116"/>
      <c r="L182" s="116"/>
      <c r="M182" s="115"/>
      <c r="N182" s="118"/>
    </row>
    <row r="183" spans="1:14" customFormat="1" x14ac:dyDescent="0.3">
      <c r="A183" s="154"/>
      <c r="B183" s="154"/>
      <c r="J183" s="117"/>
      <c r="K183" s="116"/>
      <c r="L183" s="116"/>
      <c r="M183" s="115"/>
      <c r="N183" s="118"/>
    </row>
    <row r="184" spans="1:14" customFormat="1" x14ac:dyDescent="0.3">
      <c r="A184" s="154"/>
      <c r="B184" s="154"/>
      <c r="J184" s="117"/>
      <c r="K184" s="116"/>
      <c r="L184" s="116"/>
      <c r="M184" s="115"/>
      <c r="N184" s="118"/>
    </row>
    <row r="185" spans="1:14" customFormat="1" x14ac:dyDescent="0.3">
      <c r="A185" s="154"/>
      <c r="B185" s="154"/>
      <c r="J185" s="117"/>
      <c r="K185" s="116"/>
      <c r="L185" s="116"/>
      <c r="M185" s="115"/>
      <c r="N185" s="118"/>
    </row>
    <row r="186" spans="1:14" customFormat="1" x14ac:dyDescent="0.3">
      <c r="A186" s="154"/>
      <c r="B186" s="154"/>
      <c r="J186" s="117"/>
      <c r="K186" s="116"/>
      <c r="L186" s="116"/>
      <c r="M186" s="115"/>
      <c r="N186" s="118"/>
    </row>
    <row r="187" spans="1:14" customFormat="1" x14ac:dyDescent="0.3">
      <c r="A187" s="154"/>
      <c r="B187" s="154"/>
      <c r="J187" s="117"/>
      <c r="K187" s="116"/>
      <c r="L187" s="116"/>
      <c r="M187" s="115"/>
      <c r="N187" s="118"/>
    </row>
    <row r="188" spans="1:14" customFormat="1" x14ac:dyDescent="0.3">
      <c r="A188" s="154"/>
      <c r="B188" s="154"/>
      <c r="J188" s="117"/>
      <c r="K188" s="116"/>
      <c r="L188" s="116"/>
      <c r="M188" s="115"/>
      <c r="N188" s="118"/>
    </row>
    <row r="189" spans="1:14" customFormat="1" x14ac:dyDescent="0.3">
      <c r="A189" s="154"/>
      <c r="B189" s="154"/>
      <c r="J189" s="117"/>
      <c r="K189" s="116"/>
      <c r="L189" s="116"/>
      <c r="M189" s="115"/>
      <c r="N189" s="118"/>
    </row>
    <row r="190" spans="1:14" customFormat="1" x14ac:dyDescent="0.3">
      <c r="A190" s="154"/>
      <c r="B190" s="154"/>
      <c r="J190" s="117"/>
      <c r="K190" s="116"/>
      <c r="L190" s="116"/>
      <c r="M190" s="115"/>
      <c r="N190" s="118"/>
    </row>
    <row r="191" spans="1:14" customFormat="1" x14ac:dyDescent="0.3">
      <c r="A191" s="154"/>
      <c r="B191" s="154"/>
      <c r="J191" s="117"/>
      <c r="K191" s="116"/>
      <c r="L191" s="116"/>
      <c r="M191" s="115"/>
      <c r="N191" s="118"/>
    </row>
    <row r="192" spans="1:14" customFormat="1" x14ac:dyDescent="0.3">
      <c r="A192" s="154"/>
      <c r="B192" s="154"/>
      <c r="J192" s="117"/>
      <c r="K192" s="116"/>
      <c r="L192" s="116"/>
      <c r="M192" s="115"/>
      <c r="N192" s="118"/>
    </row>
    <row r="193" spans="1:14" customFormat="1" x14ac:dyDescent="0.3">
      <c r="A193" s="154"/>
      <c r="B193" s="154"/>
      <c r="J193" s="117"/>
      <c r="K193" s="116"/>
      <c r="L193" s="116"/>
      <c r="M193" s="115"/>
      <c r="N193" s="118"/>
    </row>
    <row r="194" spans="1:14" customFormat="1" x14ac:dyDescent="0.3">
      <c r="A194" s="154"/>
      <c r="B194" s="154"/>
      <c r="J194" s="117"/>
      <c r="K194" s="116"/>
      <c r="L194" s="116"/>
      <c r="M194" s="115"/>
      <c r="N194" s="118"/>
    </row>
    <row r="195" spans="1:14" customFormat="1" x14ac:dyDescent="0.3">
      <c r="A195" s="154"/>
      <c r="B195" s="154"/>
      <c r="J195" s="117"/>
      <c r="K195" s="116"/>
      <c r="L195" s="116"/>
      <c r="M195" s="115"/>
      <c r="N195" s="118"/>
    </row>
    <row r="196" spans="1:14" customFormat="1" x14ac:dyDescent="0.3">
      <c r="A196" s="154"/>
      <c r="B196" s="154"/>
      <c r="J196" s="117"/>
      <c r="K196" s="116"/>
      <c r="L196" s="116"/>
      <c r="M196" s="115"/>
      <c r="N196" s="118"/>
    </row>
    <row r="197" spans="1:14" customFormat="1" x14ac:dyDescent="0.3">
      <c r="A197" s="154"/>
      <c r="B197" s="154"/>
      <c r="J197" s="117"/>
      <c r="K197" s="116"/>
      <c r="L197" s="116"/>
      <c r="M197" s="115"/>
      <c r="N197" s="118"/>
    </row>
    <row r="198" spans="1:14" customFormat="1" x14ac:dyDescent="0.3">
      <c r="A198" s="154"/>
      <c r="B198" s="154"/>
      <c r="J198" s="117"/>
      <c r="K198" s="116"/>
      <c r="L198" s="116"/>
      <c r="M198" s="115"/>
      <c r="N198" s="118"/>
    </row>
    <row r="199" spans="1:14" customFormat="1" x14ac:dyDescent="0.3">
      <c r="A199" s="154"/>
      <c r="B199" s="154"/>
      <c r="J199" s="117"/>
      <c r="K199" s="116"/>
      <c r="L199" s="116"/>
      <c r="M199" s="115"/>
      <c r="N199" s="118"/>
    </row>
    <row r="200" spans="1:14" customFormat="1" x14ac:dyDescent="0.3">
      <c r="A200" s="154"/>
      <c r="B200" s="154"/>
      <c r="J200" s="117"/>
      <c r="K200" s="116"/>
      <c r="L200" s="116"/>
      <c r="M200" s="115"/>
      <c r="N200" s="118"/>
    </row>
    <row r="201" spans="1:14" customFormat="1" x14ac:dyDescent="0.3">
      <c r="A201" s="154"/>
      <c r="B201" s="154"/>
      <c r="J201" s="117"/>
      <c r="K201" s="116"/>
      <c r="L201" s="116"/>
      <c r="M201" s="115"/>
      <c r="N201" s="118"/>
    </row>
    <row r="202" spans="1:14" customFormat="1" x14ac:dyDescent="0.3">
      <c r="A202" s="154"/>
      <c r="B202" s="154"/>
      <c r="J202" s="117"/>
      <c r="K202" s="116"/>
      <c r="L202" s="116"/>
      <c r="M202" s="115"/>
      <c r="N202" s="118"/>
    </row>
    <row r="203" spans="1:14" customFormat="1" x14ac:dyDescent="0.3">
      <c r="A203" s="154"/>
      <c r="B203" s="154"/>
      <c r="J203" s="117"/>
      <c r="K203" s="116"/>
      <c r="L203" s="116"/>
      <c r="M203" s="115"/>
      <c r="N203" s="118"/>
    </row>
    <row r="204" spans="1:14" customFormat="1" x14ac:dyDescent="0.3">
      <c r="A204" s="154"/>
      <c r="B204" s="154"/>
      <c r="J204" s="117"/>
      <c r="K204" s="116"/>
      <c r="L204" s="116"/>
      <c r="M204" s="115"/>
      <c r="N204" s="118"/>
    </row>
    <row r="205" spans="1:14" customFormat="1" x14ac:dyDescent="0.3">
      <c r="A205" s="154"/>
      <c r="B205" s="154"/>
      <c r="J205" s="117"/>
      <c r="K205" s="116"/>
      <c r="L205" s="116"/>
      <c r="M205" s="115"/>
      <c r="N205" s="118"/>
    </row>
    <row r="206" spans="1:14" customFormat="1" x14ac:dyDescent="0.3">
      <c r="A206" s="154"/>
      <c r="B206" s="154"/>
      <c r="J206" s="117"/>
      <c r="K206" s="116"/>
      <c r="L206" s="116"/>
      <c r="M206" s="115"/>
      <c r="N206" s="118"/>
    </row>
    <row r="207" spans="1:14" customFormat="1" x14ac:dyDescent="0.3">
      <c r="A207" s="154"/>
      <c r="B207" s="154"/>
      <c r="J207" s="117"/>
      <c r="K207" s="116"/>
      <c r="L207" s="116"/>
      <c r="M207" s="115"/>
      <c r="N207" s="118"/>
    </row>
    <row r="208" spans="1:14" customFormat="1" x14ac:dyDescent="0.3">
      <c r="A208" s="154"/>
      <c r="B208" s="154"/>
      <c r="J208" s="117"/>
      <c r="K208" s="116"/>
      <c r="L208" s="116"/>
      <c r="M208" s="115"/>
      <c r="N208" s="118"/>
    </row>
    <row r="209" spans="1:14" customFormat="1" x14ac:dyDescent="0.3">
      <c r="A209" s="154"/>
      <c r="B209" s="154"/>
      <c r="J209" s="117"/>
      <c r="K209" s="116"/>
      <c r="L209" s="116"/>
      <c r="M209" s="115"/>
      <c r="N209" s="118"/>
    </row>
    <row r="210" spans="1:14" customFormat="1" x14ac:dyDescent="0.3">
      <c r="A210" s="154"/>
      <c r="B210" s="154"/>
      <c r="J210" s="117"/>
      <c r="K210" s="116"/>
      <c r="L210" s="116"/>
      <c r="M210" s="115"/>
      <c r="N210" s="118"/>
    </row>
    <row r="211" spans="1:14" customFormat="1" x14ac:dyDescent="0.3">
      <c r="A211" s="154"/>
      <c r="B211" s="154"/>
      <c r="J211" s="117"/>
      <c r="K211" s="116"/>
      <c r="L211" s="116"/>
      <c r="M211" s="115"/>
      <c r="N211" s="118"/>
    </row>
    <row r="212" spans="1:14" customFormat="1" x14ac:dyDescent="0.3">
      <c r="A212" s="154"/>
      <c r="B212" s="154"/>
      <c r="J212" s="117"/>
      <c r="K212" s="116"/>
      <c r="L212" s="116"/>
      <c r="M212" s="115"/>
      <c r="N212" s="118"/>
    </row>
    <row r="213" spans="1:14" customFormat="1" x14ac:dyDescent="0.3">
      <c r="A213" s="154"/>
      <c r="B213" s="154"/>
      <c r="J213" s="117"/>
      <c r="K213" s="116"/>
      <c r="L213" s="116"/>
      <c r="M213" s="115"/>
      <c r="N213" s="118"/>
    </row>
    <row r="214" spans="1:14" customFormat="1" x14ac:dyDescent="0.3">
      <c r="A214" s="154"/>
      <c r="B214" s="154"/>
      <c r="J214" s="117"/>
      <c r="K214" s="116"/>
      <c r="L214" s="116"/>
      <c r="M214" s="115"/>
      <c r="N214" s="118"/>
    </row>
    <row r="215" spans="1:14" customFormat="1" x14ac:dyDescent="0.3">
      <c r="A215" s="154"/>
      <c r="B215" s="154"/>
      <c r="J215" s="117"/>
      <c r="K215" s="116"/>
      <c r="L215" s="116"/>
      <c r="M215" s="115"/>
      <c r="N215" s="118"/>
    </row>
    <row r="216" spans="1:14" customFormat="1" x14ac:dyDescent="0.3">
      <c r="A216" s="154"/>
      <c r="B216" s="154"/>
      <c r="J216" s="117"/>
      <c r="K216" s="116"/>
      <c r="L216" s="116"/>
      <c r="M216" s="115"/>
      <c r="N216" s="118"/>
    </row>
    <row r="217" spans="1:14" customFormat="1" x14ac:dyDescent="0.3">
      <c r="A217" s="154"/>
      <c r="B217" s="154"/>
      <c r="J217" s="117"/>
      <c r="K217" s="116"/>
      <c r="L217" s="116"/>
      <c r="M217" s="115"/>
      <c r="N217" s="118"/>
    </row>
    <row r="218" spans="1:14" customFormat="1" x14ac:dyDescent="0.3">
      <c r="A218" s="154"/>
      <c r="B218" s="154"/>
      <c r="J218" s="117"/>
      <c r="K218" s="116"/>
      <c r="L218" s="116"/>
      <c r="M218" s="115"/>
      <c r="N218" s="118"/>
    </row>
    <row r="219" spans="1:14" customFormat="1" x14ac:dyDescent="0.3">
      <c r="A219" s="154"/>
      <c r="B219" s="154"/>
      <c r="J219" s="117"/>
      <c r="K219" s="116"/>
      <c r="L219" s="116"/>
      <c r="M219" s="115"/>
      <c r="N219" s="118"/>
    </row>
    <row r="220" spans="1:14" customFormat="1" x14ac:dyDescent="0.3">
      <c r="A220" s="154"/>
      <c r="B220" s="154"/>
      <c r="J220" s="117"/>
      <c r="K220" s="116"/>
      <c r="L220" s="116"/>
      <c r="M220" s="115"/>
      <c r="N220" s="118"/>
    </row>
    <row r="221" spans="1:14" customFormat="1" x14ac:dyDescent="0.3">
      <c r="A221" s="154"/>
      <c r="B221" s="154"/>
      <c r="J221" s="117"/>
      <c r="K221" s="116"/>
      <c r="L221" s="116"/>
      <c r="M221" s="115"/>
      <c r="N221" s="118"/>
    </row>
    <row r="222" spans="1:14" customFormat="1" x14ac:dyDescent="0.3">
      <c r="A222" s="154"/>
      <c r="B222" s="154"/>
      <c r="J222" s="117"/>
      <c r="K222" s="116"/>
      <c r="L222" s="116"/>
      <c r="M222" s="115"/>
      <c r="N222" s="118"/>
    </row>
    <row r="223" spans="1:14" customFormat="1" x14ac:dyDescent="0.3">
      <c r="A223" s="154"/>
      <c r="B223" s="154"/>
      <c r="J223" s="117"/>
      <c r="K223" s="116"/>
      <c r="L223" s="116"/>
      <c r="M223" s="115"/>
      <c r="N223" s="118"/>
    </row>
    <row r="224" spans="1:14" customFormat="1" x14ac:dyDescent="0.3">
      <c r="A224" s="154"/>
      <c r="B224" s="154"/>
      <c r="J224" s="117"/>
      <c r="K224" s="116"/>
      <c r="L224" s="116"/>
      <c r="M224" s="115"/>
      <c r="N224" s="118"/>
    </row>
    <row r="225" spans="1:14" customFormat="1" x14ac:dyDescent="0.3">
      <c r="A225" s="154"/>
      <c r="B225" s="154"/>
      <c r="J225" s="117"/>
      <c r="K225" s="116"/>
      <c r="L225" s="116"/>
      <c r="M225" s="115"/>
      <c r="N225" s="118"/>
    </row>
    <row r="226" spans="1:14" customFormat="1" x14ac:dyDescent="0.3">
      <c r="A226" s="154"/>
      <c r="B226" s="154"/>
      <c r="J226" s="117"/>
      <c r="K226" s="116"/>
      <c r="L226" s="116"/>
      <c r="M226" s="115"/>
      <c r="N226" s="118"/>
    </row>
    <row r="227" spans="1:14" customFormat="1" x14ac:dyDescent="0.3">
      <c r="A227" s="154"/>
      <c r="B227" s="154"/>
      <c r="J227" s="117"/>
      <c r="K227" s="116"/>
      <c r="L227" s="116"/>
      <c r="M227" s="115"/>
      <c r="N227" s="118"/>
    </row>
    <row r="228" spans="1:14" customFormat="1" x14ac:dyDescent="0.3">
      <c r="A228" s="154"/>
      <c r="B228" s="154"/>
      <c r="J228" s="117"/>
      <c r="K228" s="116"/>
      <c r="L228" s="116"/>
      <c r="M228" s="115"/>
      <c r="N228" s="118"/>
    </row>
    <row r="229" spans="1:14" customFormat="1" x14ac:dyDescent="0.3">
      <c r="A229" s="154"/>
      <c r="B229" s="154"/>
      <c r="J229" s="117"/>
      <c r="K229" s="116"/>
      <c r="L229" s="116"/>
      <c r="M229" s="115"/>
      <c r="N229" s="118"/>
    </row>
    <row r="230" spans="1:14" customFormat="1" x14ac:dyDescent="0.3">
      <c r="A230" s="154"/>
      <c r="B230" s="154"/>
      <c r="J230" s="117"/>
      <c r="K230" s="116"/>
      <c r="L230" s="116"/>
      <c r="M230" s="115"/>
      <c r="N230" s="118"/>
    </row>
    <row r="231" spans="1:14" customFormat="1" x14ac:dyDescent="0.3">
      <c r="A231" s="154"/>
      <c r="B231" s="154"/>
      <c r="J231" s="117"/>
      <c r="K231" s="116"/>
      <c r="L231" s="116"/>
      <c r="M231" s="115"/>
      <c r="N231" s="118"/>
    </row>
    <row r="232" spans="1:14" customFormat="1" x14ac:dyDescent="0.3">
      <c r="A232" s="154"/>
      <c r="B232" s="154"/>
      <c r="J232" s="117"/>
      <c r="K232" s="116"/>
      <c r="L232" s="116"/>
      <c r="M232" s="115"/>
      <c r="N232" s="118"/>
    </row>
    <row r="233" spans="1:14" customFormat="1" x14ac:dyDescent="0.3">
      <c r="A233" s="154"/>
      <c r="B233" s="154"/>
      <c r="J233" s="117"/>
      <c r="K233" s="116"/>
      <c r="L233" s="116"/>
      <c r="M233" s="115"/>
      <c r="N233" s="118"/>
    </row>
    <row r="234" spans="1:14" customFormat="1" x14ac:dyDescent="0.3">
      <c r="A234" s="154"/>
      <c r="B234" s="154"/>
      <c r="J234" s="117"/>
      <c r="K234" s="116"/>
      <c r="L234" s="116"/>
      <c r="M234" s="115"/>
      <c r="N234" s="118"/>
    </row>
    <row r="235" spans="1:14" customFormat="1" x14ac:dyDescent="0.3">
      <c r="A235" s="154"/>
      <c r="B235" s="154"/>
      <c r="J235" s="117"/>
      <c r="K235" s="116"/>
      <c r="L235" s="116"/>
      <c r="M235" s="115"/>
      <c r="N235" s="118"/>
    </row>
    <row r="236" spans="1:14" customFormat="1" x14ac:dyDescent="0.3">
      <c r="A236" s="154"/>
      <c r="B236" s="154"/>
      <c r="J236" s="117"/>
      <c r="K236" s="116"/>
      <c r="L236" s="116"/>
      <c r="M236" s="115"/>
      <c r="N236" s="118"/>
    </row>
    <row r="237" spans="1:14" customFormat="1" x14ac:dyDescent="0.3">
      <c r="A237" s="154"/>
      <c r="B237" s="154"/>
      <c r="J237" s="117"/>
      <c r="K237" s="116"/>
      <c r="L237" s="116"/>
      <c r="M237" s="115"/>
      <c r="N237" s="118"/>
    </row>
    <row r="238" spans="1:14" customFormat="1" x14ac:dyDescent="0.3">
      <c r="A238" s="154"/>
      <c r="B238" s="154"/>
      <c r="J238" s="117"/>
      <c r="K238" s="116"/>
      <c r="L238" s="116"/>
      <c r="M238" s="115"/>
      <c r="N238" s="118"/>
    </row>
    <row r="239" spans="1:14" customFormat="1" x14ac:dyDescent="0.3">
      <c r="A239" s="154"/>
      <c r="B239" s="154"/>
      <c r="J239" s="117"/>
      <c r="K239" s="116"/>
      <c r="L239" s="116"/>
      <c r="M239" s="115"/>
      <c r="N239" s="118"/>
    </row>
    <row r="240" spans="1:14" customFormat="1" x14ac:dyDescent="0.3">
      <c r="A240" s="154"/>
      <c r="B240" s="154"/>
      <c r="J240" s="117"/>
      <c r="K240" s="116"/>
      <c r="L240" s="116"/>
      <c r="M240" s="115"/>
      <c r="N240" s="118"/>
    </row>
    <row r="241" spans="1:14" customFormat="1" x14ac:dyDescent="0.3">
      <c r="A241" s="154"/>
      <c r="B241" s="154"/>
      <c r="J241" s="117"/>
      <c r="K241" s="116"/>
      <c r="L241" s="116"/>
      <c r="M241" s="115"/>
      <c r="N241" s="118"/>
    </row>
    <row r="242" spans="1:14" customFormat="1" x14ac:dyDescent="0.3">
      <c r="A242" s="154"/>
      <c r="B242" s="154"/>
      <c r="J242" s="117"/>
      <c r="K242" s="116"/>
      <c r="L242" s="116"/>
      <c r="M242" s="115"/>
      <c r="N242" s="118"/>
    </row>
    <row r="243" spans="1:14" customFormat="1" x14ac:dyDescent="0.3">
      <c r="A243" s="154"/>
      <c r="B243" s="154"/>
      <c r="J243" s="117"/>
      <c r="K243" s="116"/>
      <c r="L243" s="116"/>
      <c r="M243" s="115"/>
      <c r="N243" s="118"/>
    </row>
    <row r="244" spans="1:14" customFormat="1" x14ac:dyDescent="0.3">
      <c r="A244" s="154"/>
      <c r="B244" s="154"/>
      <c r="J244" s="117"/>
      <c r="K244" s="116"/>
      <c r="L244" s="116"/>
      <c r="M244" s="115"/>
      <c r="N244" s="118"/>
    </row>
    <row r="245" spans="1:14" ht="15" customHeight="1" x14ac:dyDescent="0.3">
      <c r="A245" s="154"/>
      <c r="B245" s="154"/>
      <c r="C245"/>
      <c r="D245"/>
      <c r="E245"/>
      <c r="F245"/>
      <c r="G245"/>
      <c r="H245"/>
      <c r="I245"/>
      <c r="J245" s="117"/>
      <c r="K245" s="113"/>
      <c r="L245" s="113"/>
      <c r="M245" s="113"/>
      <c r="N245" s="114"/>
    </row>
    <row r="246" spans="1:14" ht="15" customHeight="1" x14ac:dyDescent="0.3">
      <c r="A246" s="154"/>
      <c r="B246" s="154"/>
      <c r="C246"/>
      <c r="D246"/>
      <c r="E246"/>
      <c r="F246"/>
      <c r="G246"/>
      <c r="H246"/>
      <c r="I246"/>
      <c r="J246" s="117"/>
      <c r="K246" s="113"/>
      <c r="L246" s="113"/>
      <c r="M246" s="113"/>
      <c r="N246" s="122"/>
    </row>
    <row r="247" spans="1:14" ht="15" customHeight="1" x14ac:dyDescent="0.3">
      <c r="A247" s="154"/>
      <c r="B247" s="154"/>
      <c r="C247"/>
      <c r="D247"/>
      <c r="E247"/>
      <c r="F247"/>
      <c r="G247"/>
      <c r="H247"/>
      <c r="I247"/>
      <c r="J247" s="119"/>
      <c r="K247" s="120"/>
      <c r="L247" s="120"/>
      <c r="M247" s="120"/>
      <c r="N247" s="121">
        <f>SUM(N3:N245)</f>
        <v>0</v>
      </c>
    </row>
    <row r="248" spans="1:14" ht="15" customHeight="1" x14ac:dyDescent="0.3">
      <c r="A248" s="154"/>
      <c r="B248" s="154"/>
      <c r="C248"/>
      <c r="D248"/>
      <c r="E248"/>
      <c r="F248"/>
      <c r="G248"/>
      <c r="H248"/>
      <c r="I248"/>
      <c r="J248" s="110"/>
    </row>
    <row r="249" spans="1:14" ht="15" customHeight="1" x14ac:dyDescent="0.3">
      <c r="A249" s="154"/>
      <c r="B249" s="154"/>
      <c r="C249"/>
      <c r="D249"/>
      <c r="E249"/>
      <c r="F249"/>
      <c r="G249"/>
      <c r="H249"/>
      <c r="I249"/>
      <c r="J249" s="37"/>
    </row>
    <row r="250" spans="1:14" ht="15" customHeight="1" x14ac:dyDescent="0.3">
      <c r="A250" s="154"/>
      <c r="B250" s="154"/>
      <c r="C250"/>
      <c r="D250"/>
      <c r="E250"/>
      <c r="F250"/>
      <c r="G250"/>
      <c r="H250"/>
      <c r="I250"/>
      <c r="J250" s="37"/>
    </row>
    <row r="251" spans="1:14" ht="15" customHeight="1" x14ac:dyDescent="0.3">
      <c r="A251" s="154"/>
      <c r="B251" s="154"/>
      <c r="C251"/>
      <c r="D251"/>
      <c r="E251"/>
      <c r="F251"/>
      <c r="G251"/>
      <c r="H251"/>
      <c r="I251"/>
      <c r="J251" s="37"/>
    </row>
    <row r="252" spans="1:14" ht="15" customHeight="1" x14ac:dyDescent="0.3">
      <c r="A252" s="33"/>
      <c r="B252" s="33"/>
      <c r="C252" s="34"/>
      <c r="D252" s="34"/>
      <c r="E252" s="134"/>
      <c r="F252" s="35"/>
      <c r="G252" s="36"/>
      <c r="H252" s="134"/>
      <c r="I252" s="37"/>
      <c r="J252" s="37"/>
    </row>
    <row r="253" spans="1:14" ht="15" customHeight="1" x14ac:dyDescent="0.3">
      <c r="A253" s="33"/>
      <c r="B253" s="33"/>
      <c r="C253" s="34"/>
      <c r="D253" s="34"/>
      <c r="E253" s="134"/>
      <c r="F253" s="35"/>
      <c r="G253" s="36"/>
      <c r="H253" s="134"/>
      <c r="I253" s="37"/>
      <c r="J253" s="37"/>
    </row>
    <row r="254" spans="1:14" ht="15" customHeight="1" x14ac:dyDescent="0.3">
      <c r="A254" s="33"/>
      <c r="B254" s="33"/>
      <c r="C254" s="34"/>
      <c r="D254" s="34"/>
      <c r="E254" s="134"/>
      <c r="F254" s="35"/>
      <c r="G254" s="36"/>
      <c r="H254" s="134"/>
      <c r="I254" s="37"/>
      <c r="J254" s="37"/>
    </row>
    <row r="255" spans="1:14" ht="15" customHeight="1" x14ac:dyDescent="0.3">
      <c r="A255" s="33"/>
      <c r="B255" s="33"/>
      <c r="C255" s="34"/>
      <c r="D255" s="34"/>
      <c r="E255" s="134"/>
      <c r="F255" s="35"/>
      <c r="G255" s="36"/>
      <c r="H255" s="134"/>
      <c r="I255" s="37"/>
      <c r="J255" s="37"/>
    </row>
    <row r="256" spans="1:14" ht="15" customHeight="1" x14ac:dyDescent="0.3">
      <c r="A256" s="33"/>
      <c r="B256" s="33"/>
      <c r="C256" s="34"/>
      <c r="D256" s="34"/>
      <c r="E256" s="134"/>
      <c r="F256" s="35"/>
      <c r="G256" s="36"/>
      <c r="H256" s="134"/>
      <c r="I256" s="37"/>
      <c r="J256" s="37"/>
    </row>
    <row r="257" spans="1:10" ht="15" customHeight="1" x14ac:dyDescent="0.3">
      <c r="A257" s="33"/>
      <c r="B257" s="33"/>
      <c r="C257" s="34"/>
      <c r="D257" s="34"/>
      <c r="E257" s="134"/>
      <c r="F257" s="35"/>
      <c r="G257" s="36"/>
      <c r="H257" s="134"/>
      <c r="I257" s="37"/>
      <c r="J257" s="37"/>
    </row>
    <row r="258" spans="1:10" ht="15" customHeight="1" x14ac:dyDescent="0.3">
      <c r="A258" s="33"/>
      <c r="B258" s="33"/>
      <c r="C258" s="34"/>
      <c r="D258" s="34"/>
      <c r="E258" s="134"/>
      <c r="F258" s="35"/>
      <c r="G258" s="36"/>
      <c r="H258" s="134"/>
      <c r="I258" s="37"/>
      <c r="J258" s="37"/>
    </row>
    <row r="259" spans="1:10" ht="15" customHeight="1" x14ac:dyDescent="0.3">
      <c r="A259" s="33"/>
      <c r="B259" s="33"/>
      <c r="C259" s="34"/>
      <c r="D259" s="34"/>
      <c r="E259" s="134"/>
      <c r="F259" s="35"/>
      <c r="G259" s="36"/>
      <c r="H259" s="134"/>
      <c r="I259" s="37"/>
      <c r="J259" s="37"/>
    </row>
    <row r="260" spans="1:10" ht="15" customHeight="1" x14ac:dyDescent="0.3">
      <c r="A260" s="33"/>
      <c r="B260" s="33"/>
      <c r="C260" s="34"/>
      <c r="D260" s="34"/>
      <c r="E260" s="134"/>
      <c r="F260" s="35"/>
      <c r="G260" s="36"/>
      <c r="H260" s="134"/>
      <c r="I260" s="37"/>
      <c r="J260" s="37"/>
    </row>
    <row r="261" spans="1:10" ht="15" customHeight="1" x14ac:dyDescent="0.3">
      <c r="A261" s="33"/>
      <c r="B261" s="33"/>
      <c r="C261" s="34"/>
      <c r="D261" s="34"/>
      <c r="E261" s="134"/>
      <c r="F261" s="35"/>
      <c r="G261" s="36"/>
      <c r="H261" s="134"/>
      <c r="I261" s="37"/>
      <c r="J261" s="37"/>
    </row>
    <row r="262" spans="1:10" ht="15" customHeight="1" x14ac:dyDescent="0.3">
      <c r="A262" s="33"/>
      <c r="B262" s="33"/>
      <c r="C262" s="34"/>
      <c r="D262" s="34"/>
      <c r="E262" s="134"/>
      <c r="F262" s="35"/>
      <c r="G262" s="36"/>
      <c r="H262" s="134"/>
      <c r="I262" s="37"/>
      <c r="J262" s="37"/>
    </row>
    <row r="263" spans="1:10" ht="15" customHeight="1" x14ac:dyDescent="0.3">
      <c r="A263" s="33"/>
      <c r="B263" s="33"/>
      <c r="C263" s="34"/>
      <c r="D263" s="34"/>
      <c r="E263" s="134"/>
      <c r="F263" s="35"/>
      <c r="G263" s="36"/>
      <c r="H263" s="134"/>
      <c r="I263" s="37"/>
      <c r="J263" s="37"/>
    </row>
    <row r="264" spans="1:10" ht="15" customHeight="1" x14ac:dyDescent="0.3">
      <c r="A264" s="33"/>
      <c r="B264" s="33"/>
      <c r="C264" s="34"/>
      <c r="D264" s="34"/>
      <c r="E264" s="134"/>
      <c r="F264" s="35"/>
      <c r="G264" s="36"/>
      <c r="H264" s="134"/>
      <c r="I264" s="37"/>
      <c r="J264" s="37"/>
    </row>
  </sheetData>
  <autoFilter ref="A2:N39" xr:uid="{534FE946-5F8B-4AF3-8375-B182DB4CECF3}"/>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K253"/>
  <sheetViews>
    <sheetView zoomScaleNormal="100" workbookViewId="0">
      <pane ySplit="1" topLeftCell="A2" activePane="bottomLeft" state="frozen"/>
      <selection activeCell="N3" sqref="N3:N9"/>
      <selection pane="bottomLeft" activeCell="A3" sqref="A3:H14"/>
    </sheetView>
  </sheetViews>
  <sheetFormatPr defaultColWidth="11.44140625" defaultRowHeight="14.4" x14ac:dyDescent="0.3"/>
  <cols>
    <col min="1" max="5" width="11.44140625" style="17"/>
    <col min="6" max="6" width="34.44140625" style="17" bestFit="1" customWidth="1"/>
    <col min="7" max="7" width="11.44140625" style="17"/>
    <col min="8" max="8" width="23.5546875" style="17" customWidth="1"/>
    <col min="9" max="16384" width="11.44140625" style="17"/>
  </cols>
  <sheetData>
    <row r="1" spans="1:11" s="31" customFormat="1" ht="27.6" x14ac:dyDescent="0.3">
      <c r="A1" s="38" t="s">
        <v>0</v>
      </c>
      <c r="B1" s="38" t="s">
        <v>1</v>
      </c>
      <c r="C1" s="38" t="s">
        <v>4</v>
      </c>
      <c r="D1" s="38" t="s">
        <v>804</v>
      </c>
      <c r="E1" s="38" t="s">
        <v>36402</v>
      </c>
      <c r="F1" s="38" t="s">
        <v>2</v>
      </c>
      <c r="G1" s="38" t="s">
        <v>49</v>
      </c>
      <c r="H1" s="38" t="s">
        <v>50</v>
      </c>
      <c r="I1" s="39" t="s">
        <v>71</v>
      </c>
    </row>
    <row r="2" spans="1:11" s="31" customFormat="1" ht="27.6" x14ac:dyDescent="0.3">
      <c r="A2" s="38" t="s">
        <v>30</v>
      </c>
      <c r="B2" s="38" t="s">
        <v>31</v>
      </c>
      <c r="C2" s="38" t="s">
        <v>32</v>
      </c>
      <c r="D2" s="38"/>
      <c r="E2" s="38" t="s">
        <v>53</v>
      </c>
      <c r="F2" s="38" t="s">
        <v>3</v>
      </c>
      <c r="G2" s="38" t="s">
        <v>49</v>
      </c>
      <c r="H2" s="38" t="s">
        <v>33</v>
      </c>
      <c r="I2" s="39" t="s">
        <v>72</v>
      </c>
    </row>
    <row r="3" spans="1:11" x14ac:dyDescent="0.3">
      <c r="A3" s="173"/>
      <c r="B3" s="173"/>
      <c r="C3" s="84"/>
      <c r="D3" s="84"/>
      <c r="E3" s="84"/>
      <c r="F3" s="84"/>
      <c r="G3" s="84"/>
      <c r="H3" s="84"/>
      <c r="J3" s="115"/>
      <c r="K3" s="147"/>
    </row>
    <row r="4" spans="1:11" x14ac:dyDescent="0.3">
      <c r="A4" s="173"/>
      <c r="B4" s="173"/>
      <c r="C4" s="84"/>
      <c r="D4" s="84"/>
      <c r="E4" s="84"/>
      <c r="F4" s="84"/>
      <c r="G4" s="84"/>
      <c r="H4" s="84"/>
      <c r="J4" s="115"/>
      <c r="K4" s="147"/>
    </row>
    <row r="5" spans="1:11" x14ac:dyDescent="0.3">
      <c r="A5" s="173"/>
      <c r="B5" s="173"/>
      <c r="C5" s="84"/>
      <c r="D5" s="84"/>
      <c r="E5" s="84"/>
      <c r="F5" s="84"/>
      <c r="G5" s="84"/>
      <c r="H5" s="84"/>
      <c r="J5" s="115"/>
    </row>
    <row r="6" spans="1:11" x14ac:dyDescent="0.3">
      <c r="A6" s="173"/>
      <c r="B6" s="173"/>
      <c r="C6" s="84"/>
      <c r="D6" s="84"/>
      <c r="E6" s="84"/>
      <c r="F6" s="84"/>
      <c r="G6" s="84"/>
      <c r="H6" s="84"/>
      <c r="J6" s="146"/>
      <c r="K6" s="147"/>
    </row>
    <row r="7" spans="1:11" x14ac:dyDescent="0.3">
      <c r="A7" s="173"/>
      <c r="B7" s="173"/>
      <c r="C7" s="84"/>
      <c r="D7" s="84"/>
      <c r="E7" s="84"/>
      <c r="F7" s="84"/>
      <c r="G7" s="84"/>
      <c r="H7" s="84"/>
    </row>
    <row r="8" spans="1:11" x14ac:dyDescent="0.3">
      <c r="A8" s="173"/>
      <c r="B8" s="173"/>
      <c r="C8" s="84"/>
      <c r="D8" s="84"/>
      <c r="E8" s="84"/>
      <c r="F8" s="84"/>
      <c r="G8" s="84"/>
      <c r="H8" s="84"/>
    </row>
    <row r="9" spans="1:11" x14ac:dyDescent="0.3">
      <c r="A9" s="173"/>
      <c r="B9" s="173"/>
      <c r="C9" s="84"/>
      <c r="D9" s="84"/>
      <c r="E9" s="84"/>
      <c r="F9" s="84"/>
      <c r="G9" s="84"/>
      <c r="H9" s="84"/>
    </row>
    <row r="10" spans="1:11" x14ac:dyDescent="0.3">
      <c r="A10" s="173"/>
      <c r="B10" s="173"/>
      <c r="C10" s="84"/>
      <c r="D10" s="84"/>
      <c r="E10" s="84"/>
      <c r="F10" s="84"/>
      <c r="G10" s="84"/>
      <c r="H10" s="84"/>
    </row>
    <row r="11" spans="1:11" x14ac:dyDescent="0.3">
      <c r="A11" s="173"/>
      <c r="B11" s="173"/>
      <c r="C11" s="84"/>
      <c r="D11" s="84"/>
      <c r="E11" s="84"/>
      <c r="F11" s="84"/>
      <c r="G11" s="84"/>
      <c r="H11" s="84"/>
    </row>
    <row r="12" spans="1:11" x14ac:dyDescent="0.3">
      <c r="A12" s="173"/>
      <c r="B12" s="173"/>
      <c r="C12" s="84"/>
      <c r="D12" s="84"/>
      <c r="E12" s="84"/>
      <c r="F12" s="84"/>
      <c r="G12" s="84"/>
      <c r="H12" s="84"/>
    </row>
    <row r="13" spans="1:11" x14ac:dyDescent="0.3">
      <c r="A13" s="86"/>
      <c r="B13" s="86"/>
      <c r="C13"/>
      <c r="D13"/>
      <c r="E13"/>
      <c r="F13"/>
      <c r="G13"/>
      <c r="H13"/>
    </row>
    <row r="14" spans="1:11" x14ac:dyDescent="0.3">
      <c r="A14" s="154"/>
      <c r="B14" s="154"/>
      <c r="C14"/>
      <c r="D14"/>
      <c r="E14"/>
      <c r="F14"/>
      <c r="G14"/>
      <c r="H14"/>
    </row>
    <row r="15" spans="1:11" x14ac:dyDescent="0.3">
      <c r="A15" s="154"/>
      <c r="B15" s="154"/>
      <c r="C15"/>
      <c r="D15"/>
      <c r="E15"/>
      <c r="F15"/>
      <c r="G15"/>
      <c r="H15"/>
    </row>
    <row r="16" spans="1:11" x14ac:dyDescent="0.3">
      <c r="A16" s="154"/>
      <c r="B16" s="154"/>
      <c r="C16"/>
      <c r="D16"/>
      <c r="E16"/>
      <c r="F16"/>
      <c r="G16"/>
      <c r="H16"/>
    </row>
    <row r="17" spans="1:8" x14ac:dyDescent="0.3">
      <c r="A17" s="154"/>
      <c r="B17" s="154"/>
      <c r="C17"/>
      <c r="D17"/>
      <c r="E17"/>
      <c r="F17"/>
      <c r="G17"/>
      <c r="H17"/>
    </row>
    <row r="18" spans="1:8" x14ac:dyDescent="0.3">
      <c r="A18" s="154"/>
      <c r="B18" s="154"/>
      <c r="C18"/>
      <c r="D18"/>
      <c r="E18"/>
      <c r="F18"/>
      <c r="G18"/>
      <c r="H18"/>
    </row>
    <row r="19" spans="1:8" x14ac:dyDescent="0.3">
      <c r="A19" s="154"/>
      <c r="B19" s="154"/>
      <c r="C19"/>
      <c r="D19"/>
      <c r="E19"/>
      <c r="F19"/>
      <c r="G19"/>
      <c r="H19"/>
    </row>
    <row r="20" spans="1:8" x14ac:dyDescent="0.3">
      <c r="A20" s="154"/>
      <c r="B20" s="154"/>
      <c r="C20"/>
      <c r="D20"/>
      <c r="E20"/>
      <c r="F20"/>
      <c r="G20"/>
      <c r="H20"/>
    </row>
    <row r="21" spans="1:8" x14ac:dyDescent="0.3">
      <c r="A21" s="154"/>
      <c r="B21" s="154"/>
      <c r="C21"/>
      <c r="D21"/>
      <c r="E21"/>
      <c r="F21"/>
      <c r="G21"/>
      <c r="H21"/>
    </row>
    <row r="22" spans="1:8" x14ac:dyDescent="0.3">
      <c r="A22" s="154"/>
      <c r="B22" s="154"/>
      <c r="C22"/>
      <c r="D22"/>
      <c r="E22"/>
      <c r="F22"/>
      <c r="G22"/>
      <c r="H22"/>
    </row>
    <row r="23" spans="1:8" x14ac:dyDescent="0.3">
      <c r="A23" s="154"/>
      <c r="B23" s="154"/>
      <c r="C23"/>
      <c r="D23"/>
      <c r="E23"/>
      <c r="F23"/>
      <c r="G23"/>
      <c r="H23"/>
    </row>
    <row r="24" spans="1:8" x14ac:dyDescent="0.3">
      <c r="A24" s="154"/>
      <c r="B24" s="154"/>
      <c r="C24"/>
      <c r="D24"/>
      <c r="E24"/>
      <c r="F24"/>
      <c r="G24"/>
      <c r="H24"/>
    </row>
    <row r="25" spans="1:8" x14ac:dyDescent="0.3">
      <c r="A25" s="154"/>
      <c r="B25" s="154"/>
      <c r="C25"/>
      <c r="D25"/>
      <c r="E25"/>
      <c r="F25"/>
      <c r="G25"/>
      <c r="H25"/>
    </row>
    <row r="26" spans="1:8" x14ac:dyDescent="0.3">
      <c r="A26" s="154"/>
      <c r="B26" s="154"/>
      <c r="C26"/>
      <c r="D26"/>
      <c r="E26"/>
      <c r="F26"/>
      <c r="G26"/>
      <c r="H26"/>
    </row>
    <row r="27" spans="1:8" x14ac:dyDescent="0.3">
      <c r="A27" s="154"/>
      <c r="B27" s="154"/>
      <c r="C27"/>
      <c r="D27"/>
      <c r="E27"/>
      <c r="F27"/>
      <c r="G27"/>
      <c r="H27"/>
    </row>
    <row r="28" spans="1:8" x14ac:dyDescent="0.3">
      <c r="A28" s="154"/>
      <c r="B28" s="154"/>
      <c r="C28"/>
      <c r="D28"/>
      <c r="E28"/>
      <c r="F28"/>
      <c r="G28"/>
      <c r="H28"/>
    </row>
    <row r="29" spans="1:8" x14ac:dyDescent="0.3">
      <c r="A29" s="154"/>
      <c r="B29" s="154"/>
      <c r="C29"/>
      <c r="D29"/>
      <c r="E29"/>
      <c r="F29"/>
      <c r="G29"/>
      <c r="H29"/>
    </row>
    <row r="30" spans="1:8" x14ac:dyDescent="0.3">
      <c r="A30" s="154"/>
      <c r="B30" s="154"/>
      <c r="C30"/>
      <c r="D30"/>
      <c r="E30"/>
      <c r="F30"/>
      <c r="G30"/>
      <c r="H30"/>
    </row>
    <row r="31" spans="1:8" x14ac:dyDescent="0.3">
      <c r="A31" s="154"/>
      <c r="B31" s="154"/>
      <c r="C31"/>
      <c r="D31"/>
      <c r="E31"/>
      <c r="F31"/>
      <c r="G31"/>
      <c r="H31"/>
    </row>
    <row r="32" spans="1:8" x14ac:dyDescent="0.3">
      <c r="A32" s="154"/>
      <c r="B32" s="154"/>
      <c r="C32"/>
      <c r="D32"/>
      <c r="E32"/>
      <c r="F32"/>
      <c r="G32"/>
      <c r="H32"/>
    </row>
    <row r="33" spans="1:8" x14ac:dyDescent="0.3">
      <c r="A33" s="154"/>
      <c r="B33" s="154"/>
      <c r="C33"/>
      <c r="D33"/>
      <c r="E33"/>
      <c r="F33"/>
      <c r="G33"/>
      <c r="H33"/>
    </row>
    <row r="34" spans="1:8" x14ac:dyDescent="0.3">
      <c r="A34" s="154"/>
      <c r="B34" s="154"/>
      <c r="C34"/>
      <c r="D34"/>
      <c r="E34"/>
      <c r="F34"/>
      <c r="G34"/>
      <c r="H34"/>
    </row>
    <row r="35" spans="1:8" x14ac:dyDescent="0.3">
      <c r="A35" s="154"/>
      <c r="B35" s="154"/>
      <c r="C35"/>
      <c r="D35"/>
      <c r="E35"/>
      <c r="F35"/>
      <c r="G35"/>
      <c r="H35"/>
    </row>
    <row r="36" spans="1:8" x14ac:dyDescent="0.3">
      <c r="A36" s="154"/>
      <c r="B36" s="154"/>
      <c r="C36"/>
      <c r="D36"/>
      <c r="E36"/>
      <c r="F36"/>
      <c r="G36"/>
      <c r="H36"/>
    </row>
    <row r="37" spans="1:8" x14ac:dyDescent="0.3">
      <c r="A37" s="154"/>
      <c r="B37" s="154"/>
      <c r="C37"/>
      <c r="D37"/>
      <c r="E37"/>
      <c r="F37"/>
      <c r="G37"/>
      <c r="H37"/>
    </row>
    <row r="38" spans="1:8" x14ac:dyDescent="0.3">
      <c r="A38" s="154"/>
      <c r="B38" s="154"/>
      <c r="C38"/>
      <c r="D38"/>
      <c r="E38"/>
      <c r="F38"/>
      <c r="G38"/>
      <c r="H38"/>
    </row>
    <row r="39" spans="1:8" x14ac:dyDescent="0.3">
      <c r="A39" s="154"/>
      <c r="B39" s="154"/>
      <c r="C39"/>
      <c r="D39"/>
      <c r="E39"/>
      <c r="F39"/>
      <c r="G39"/>
      <c r="H39"/>
    </row>
    <row r="40" spans="1:8" x14ac:dyDescent="0.3">
      <c r="A40" s="154"/>
      <c r="B40" s="154"/>
      <c r="C40"/>
      <c r="D40"/>
      <c r="E40"/>
      <c r="F40"/>
      <c r="G40"/>
      <c r="H40"/>
    </row>
    <row r="41" spans="1:8" x14ac:dyDescent="0.3">
      <c r="A41" s="154"/>
      <c r="B41" s="154"/>
      <c r="C41"/>
      <c r="D41"/>
      <c r="E41"/>
      <c r="F41"/>
      <c r="G41"/>
      <c r="H41"/>
    </row>
    <row r="42" spans="1:8" x14ac:dyDescent="0.3">
      <c r="A42" s="154"/>
      <c r="B42" s="154"/>
      <c r="C42"/>
      <c r="D42"/>
      <c r="E42"/>
      <c r="F42"/>
      <c r="G42"/>
      <c r="H42"/>
    </row>
    <row r="43" spans="1:8" x14ac:dyDescent="0.3">
      <c r="A43" s="154"/>
      <c r="B43" s="154"/>
      <c r="C43"/>
      <c r="D43"/>
      <c r="E43"/>
      <c r="F43"/>
      <c r="G43"/>
      <c r="H43"/>
    </row>
    <row r="44" spans="1:8" x14ac:dyDescent="0.3">
      <c r="A44" s="154"/>
      <c r="B44" s="154"/>
      <c r="C44"/>
      <c r="D44"/>
      <c r="E44"/>
      <c r="F44"/>
      <c r="G44"/>
      <c r="H44"/>
    </row>
    <row r="45" spans="1:8" x14ac:dyDescent="0.3">
      <c r="A45" s="154"/>
      <c r="B45" s="154"/>
      <c r="C45"/>
      <c r="D45"/>
      <c r="E45"/>
      <c r="F45"/>
      <c r="G45"/>
      <c r="H45"/>
    </row>
    <row r="46" spans="1:8" x14ac:dyDescent="0.3">
      <c r="A46" s="154"/>
      <c r="B46" s="154"/>
      <c r="C46"/>
      <c r="D46"/>
      <c r="E46"/>
      <c r="F46"/>
      <c r="G46"/>
      <c r="H46"/>
    </row>
    <row r="47" spans="1:8" x14ac:dyDescent="0.3">
      <c r="A47" s="154"/>
      <c r="B47" s="154"/>
      <c r="C47"/>
      <c r="D47"/>
      <c r="E47"/>
      <c r="F47"/>
      <c r="G47"/>
      <c r="H47"/>
    </row>
    <row r="48" spans="1:8" x14ac:dyDescent="0.3">
      <c r="A48" s="154"/>
      <c r="B48" s="154"/>
      <c r="C48"/>
      <c r="D48"/>
      <c r="E48"/>
      <c r="F48"/>
      <c r="G48"/>
      <c r="H48"/>
    </row>
    <row r="49" spans="1:8" x14ac:dyDescent="0.3">
      <c r="A49" s="154"/>
      <c r="B49" s="154"/>
      <c r="C49"/>
      <c r="D49"/>
      <c r="E49"/>
      <c r="F49"/>
      <c r="G49"/>
      <c r="H49"/>
    </row>
    <row r="50" spans="1:8" x14ac:dyDescent="0.3">
      <c r="A50" s="154"/>
      <c r="B50" s="154"/>
      <c r="C50"/>
      <c r="D50"/>
      <c r="E50"/>
      <c r="F50"/>
      <c r="G50"/>
      <c r="H50"/>
    </row>
    <row r="51" spans="1:8" x14ac:dyDescent="0.3">
      <c r="A51" s="154"/>
      <c r="B51" s="154"/>
      <c r="C51"/>
      <c r="D51"/>
      <c r="E51"/>
      <c r="F51"/>
      <c r="G51"/>
      <c r="H51"/>
    </row>
    <row r="52" spans="1:8" x14ac:dyDescent="0.3">
      <c r="A52" s="154"/>
      <c r="B52" s="154"/>
      <c r="C52"/>
      <c r="D52"/>
      <c r="E52"/>
      <c r="F52"/>
      <c r="G52"/>
      <c r="H52"/>
    </row>
    <row r="53" spans="1:8" x14ac:dyDescent="0.3">
      <c r="A53" s="154"/>
      <c r="B53" s="154"/>
      <c r="C53"/>
      <c r="D53"/>
      <c r="E53"/>
      <c r="F53"/>
      <c r="G53"/>
      <c r="H53"/>
    </row>
    <row r="54" spans="1:8" x14ac:dyDescent="0.3">
      <c r="A54" s="154"/>
      <c r="B54" s="154"/>
      <c r="C54"/>
      <c r="D54"/>
      <c r="E54"/>
      <c r="F54"/>
      <c r="G54"/>
      <c r="H54"/>
    </row>
    <row r="55" spans="1:8" x14ac:dyDescent="0.3">
      <c r="A55" s="154"/>
      <c r="B55" s="154"/>
      <c r="C55"/>
      <c r="D55"/>
      <c r="E55"/>
      <c r="F55"/>
      <c r="G55"/>
      <c r="H55"/>
    </row>
    <row r="56" spans="1:8" x14ac:dyDescent="0.3">
      <c r="A56" s="154"/>
      <c r="B56" s="154"/>
      <c r="C56"/>
      <c r="D56"/>
      <c r="E56"/>
      <c r="F56"/>
      <c r="G56"/>
      <c r="H56"/>
    </row>
    <row r="57" spans="1:8" x14ac:dyDescent="0.3">
      <c r="A57" s="154"/>
      <c r="B57" s="154"/>
      <c r="C57"/>
      <c r="D57"/>
      <c r="E57"/>
      <c r="F57"/>
      <c r="G57"/>
      <c r="H57"/>
    </row>
    <row r="58" spans="1:8" x14ac:dyDescent="0.3">
      <c r="A58" s="154"/>
      <c r="B58" s="154"/>
      <c r="C58"/>
      <c r="D58"/>
      <c r="E58"/>
      <c r="F58"/>
      <c r="G58"/>
      <c r="H58"/>
    </row>
    <row r="59" spans="1:8" x14ac:dyDescent="0.3">
      <c r="A59" s="154"/>
      <c r="B59" s="154"/>
      <c r="C59"/>
      <c r="D59"/>
      <c r="E59"/>
      <c r="F59"/>
      <c r="G59"/>
      <c r="H59"/>
    </row>
    <row r="60" spans="1:8" x14ac:dyDescent="0.3">
      <c r="A60" s="154"/>
      <c r="B60" s="154"/>
      <c r="C60"/>
      <c r="D60"/>
      <c r="E60"/>
      <c r="F60"/>
      <c r="G60"/>
      <c r="H60"/>
    </row>
    <row r="61" spans="1:8" x14ac:dyDescent="0.3">
      <c r="A61" s="154"/>
      <c r="B61" s="154"/>
      <c r="C61"/>
      <c r="D61"/>
      <c r="E61"/>
      <c r="F61"/>
      <c r="G61"/>
      <c r="H61"/>
    </row>
    <row r="62" spans="1:8" x14ac:dyDescent="0.3">
      <c r="A62" s="154"/>
      <c r="B62" s="154"/>
      <c r="C62"/>
      <c r="D62"/>
      <c r="E62"/>
      <c r="F62"/>
      <c r="G62"/>
      <c r="H62"/>
    </row>
    <row r="63" spans="1:8" x14ac:dyDescent="0.3">
      <c r="A63" s="154"/>
      <c r="B63" s="154"/>
      <c r="C63"/>
      <c r="D63"/>
      <c r="E63"/>
      <c r="F63"/>
      <c r="G63"/>
      <c r="H63"/>
    </row>
    <row r="64" spans="1:8" x14ac:dyDescent="0.3">
      <c r="A64" s="154"/>
      <c r="B64" s="154"/>
      <c r="C64"/>
      <c r="D64"/>
      <c r="E64"/>
      <c r="F64"/>
      <c r="G64"/>
      <c r="H64"/>
    </row>
    <row r="65" spans="1:8" x14ac:dyDescent="0.3">
      <c r="A65" s="154"/>
      <c r="B65" s="154"/>
      <c r="C65"/>
      <c r="D65"/>
      <c r="E65"/>
      <c r="F65"/>
      <c r="G65"/>
      <c r="H65"/>
    </row>
    <row r="66" spans="1:8" x14ac:dyDescent="0.3">
      <c r="A66" s="154"/>
      <c r="B66" s="154"/>
      <c r="C66"/>
      <c r="D66"/>
      <c r="E66"/>
      <c r="F66"/>
      <c r="G66"/>
      <c r="H66"/>
    </row>
    <row r="67" spans="1:8" x14ac:dyDescent="0.3">
      <c r="A67" s="154"/>
      <c r="B67" s="154"/>
      <c r="C67"/>
      <c r="D67"/>
      <c r="E67"/>
      <c r="F67"/>
      <c r="G67"/>
      <c r="H67"/>
    </row>
    <row r="68" spans="1:8" x14ac:dyDescent="0.3">
      <c r="A68" s="154"/>
      <c r="B68" s="154"/>
      <c r="C68"/>
      <c r="D68"/>
      <c r="E68"/>
      <c r="F68"/>
      <c r="G68"/>
      <c r="H68"/>
    </row>
    <row r="69" spans="1:8" x14ac:dyDescent="0.3">
      <c r="A69" s="154"/>
      <c r="B69" s="154"/>
      <c r="C69"/>
      <c r="D69"/>
      <c r="E69"/>
      <c r="F69"/>
      <c r="G69"/>
      <c r="H69"/>
    </row>
    <row r="70" spans="1:8" x14ac:dyDescent="0.3">
      <c r="A70" s="154"/>
      <c r="B70" s="154"/>
      <c r="C70"/>
      <c r="D70"/>
      <c r="E70"/>
      <c r="F70"/>
      <c r="G70"/>
      <c r="H70">
        <f>SUM(H3:H38)</f>
        <v>0</v>
      </c>
    </row>
    <row r="71" spans="1:8" x14ac:dyDescent="0.3">
      <c r="A71" s="154"/>
      <c r="B71" s="154"/>
      <c r="C71"/>
      <c r="D71"/>
      <c r="E71"/>
      <c r="F71"/>
      <c r="G71"/>
      <c r="H71"/>
    </row>
    <row r="72" spans="1:8" x14ac:dyDescent="0.3">
      <c r="A72" s="154"/>
      <c r="B72" s="154"/>
      <c r="C72"/>
      <c r="D72"/>
      <c r="E72"/>
      <c r="F72"/>
      <c r="G72"/>
      <c r="H72"/>
    </row>
    <row r="73" spans="1:8" x14ac:dyDescent="0.3">
      <c r="A73" s="154"/>
      <c r="B73" s="154"/>
      <c r="C73"/>
      <c r="D73"/>
      <c r="E73"/>
      <c r="F73"/>
      <c r="G73"/>
      <c r="H73"/>
    </row>
    <row r="74" spans="1:8" x14ac:dyDescent="0.3">
      <c r="A74" s="154"/>
      <c r="B74" s="154"/>
      <c r="C74"/>
      <c r="D74"/>
      <c r="E74"/>
      <c r="F74"/>
      <c r="G74"/>
      <c r="H74"/>
    </row>
    <row r="75" spans="1:8" x14ac:dyDescent="0.3">
      <c r="A75" s="154"/>
      <c r="B75" s="154"/>
      <c r="C75"/>
      <c r="D75"/>
      <c r="E75"/>
      <c r="F75"/>
      <c r="G75"/>
      <c r="H75"/>
    </row>
    <row r="76" spans="1:8" x14ac:dyDescent="0.3">
      <c r="A76" s="154"/>
      <c r="B76" s="154"/>
      <c r="C76"/>
      <c r="D76"/>
      <c r="E76"/>
      <c r="F76"/>
      <c r="G76"/>
      <c r="H76"/>
    </row>
    <row r="77" spans="1:8" x14ac:dyDescent="0.3">
      <c r="A77" s="154"/>
      <c r="B77" s="154"/>
      <c r="C77"/>
      <c r="D77"/>
      <c r="E77"/>
      <c r="F77"/>
      <c r="G77"/>
      <c r="H77"/>
    </row>
    <row r="78" spans="1:8" x14ac:dyDescent="0.3">
      <c r="A78" s="154"/>
      <c r="B78" s="154"/>
      <c r="C78"/>
      <c r="D78"/>
      <c r="E78"/>
      <c r="F78"/>
      <c r="G78"/>
      <c r="H78"/>
    </row>
    <row r="79" spans="1:8" x14ac:dyDescent="0.3">
      <c r="A79" s="154"/>
      <c r="B79" s="154"/>
      <c r="C79"/>
      <c r="D79"/>
      <c r="E79"/>
      <c r="F79"/>
      <c r="G79"/>
      <c r="H79"/>
    </row>
    <row r="80" spans="1:8" x14ac:dyDescent="0.3">
      <c r="A80" s="154"/>
      <c r="B80" s="154"/>
      <c r="C80"/>
      <c r="D80"/>
      <c r="E80"/>
      <c r="F80"/>
      <c r="G80"/>
      <c r="H80"/>
    </row>
    <row r="81" spans="1:8" x14ac:dyDescent="0.3">
      <c r="A81" s="154"/>
      <c r="B81" s="154"/>
      <c r="C81"/>
      <c r="D81"/>
      <c r="E81"/>
      <c r="F81"/>
      <c r="G81"/>
      <c r="H81"/>
    </row>
    <row r="82" spans="1:8" x14ac:dyDescent="0.3">
      <c r="A82" s="154"/>
      <c r="B82" s="154"/>
      <c r="C82"/>
      <c r="D82"/>
      <c r="E82"/>
      <c r="F82"/>
      <c r="G82"/>
      <c r="H82"/>
    </row>
    <row r="83" spans="1:8" x14ac:dyDescent="0.3">
      <c r="A83" s="154"/>
      <c r="B83" s="154"/>
      <c r="C83"/>
      <c r="D83"/>
      <c r="E83"/>
      <c r="F83"/>
      <c r="G83"/>
      <c r="H83"/>
    </row>
    <row r="84" spans="1:8" x14ac:dyDescent="0.3">
      <c r="A84" s="154"/>
      <c r="B84" s="154"/>
      <c r="C84"/>
      <c r="D84"/>
      <c r="E84"/>
      <c r="F84"/>
      <c r="G84"/>
      <c r="H84"/>
    </row>
    <row r="85" spans="1:8" x14ac:dyDescent="0.3">
      <c r="A85" s="154"/>
      <c r="B85" s="154"/>
      <c r="C85"/>
      <c r="D85"/>
      <c r="E85"/>
      <c r="F85"/>
      <c r="G85"/>
      <c r="H85"/>
    </row>
    <row r="86" spans="1:8" x14ac:dyDescent="0.3">
      <c r="A86" s="154"/>
      <c r="B86" s="154"/>
      <c r="C86"/>
      <c r="D86"/>
      <c r="E86"/>
      <c r="F86"/>
      <c r="G86"/>
      <c r="H86"/>
    </row>
    <row r="87" spans="1:8" x14ac:dyDescent="0.3">
      <c r="A87" s="154"/>
      <c r="B87" s="154"/>
      <c r="C87"/>
      <c r="D87"/>
      <c r="E87"/>
      <c r="F87"/>
      <c r="G87"/>
      <c r="H87"/>
    </row>
    <row r="88" spans="1:8" x14ac:dyDescent="0.3">
      <c r="A88" s="154"/>
      <c r="B88" s="154"/>
      <c r="C88"/>
      <c r="D88"/>
      <c r="E88"/>
      <c r="F88"/>
      <c r="G88"/>
      <c r="H88"/>
    </row>
    <row r="89" spans="1:8" x14ac:dyDescent="0.3">
      <c r="A89" s="154"/>
      <c r="B89" s="154"/>
      <c r="C89"/>
      <c r="D89"/>
      <c r="E89"/>
      <c r="F89"/>
      <c r="G89"/>
      <c r="H89"/>
    </row>
    <row r="90" spans="1:8" x14ac:dyDescent="0.3">
      <c r="A90" s="154"/>
      <c r="B90" s="154"/>
      <c r="C90"/>
      <c r="D90"/>
      <c r="E90"/>
      <c r="F90"/>
      <c r="G90"/>
      <c r="H90"/>
    </row>
    <row r="91" spans="1:8" x14ac:dyDescent="0.3">
      <c r="A91" s="154"/>
      <c r="B91" s="154"/>
      <c r="C91"/>
      <c r="D91"/>
      <c r="E91"/>
      <c r="F91"/>
      <c r="G91"/>
      <c r="H91"/>
    </row>
    <row r="92" spans="1:8" x14ac:dyDescent="0.3">
      <c r="A92" s="154"/>
      <c r="B92" s="154"/>
      <c r="C92"/>
      <c r="D92"/>
      <c r="E92"/>
      <c r="F92"/>
      <c r="G92"/>
      <c r="H92"/>
    </row>
    <row r="93" spans="1:8" x14ac:dyDescent="0.3">
      <c r="A93" s="154"/>
      <c r="B93" s="154"/>
      <c r="C93"/>
      <c r="D93"/>
      <c r="E93"/>
      <c r="F93"/>
      <c r="G93"/>
      <c r="H93"/>
    </row>
    <row r="94" spans="1:8" x14ac:dyDescent="0.3">
      <c r="A94" s="154"/>
      <c r="B94" s="154"/>
      <c r="C94"/>
      <c r="D94"/>
      <c r="E94"/>
      <c r="F94"/>
      <c r="G94"/>
      <c r="H94"/>
    </row>
    <row r="95" spans="1:8" x14ac:dyDescent="0.3">
      <c r="A95" s="154"/>
      <c r="B95" s="154"/>
      <c r="C95"/>
      <c r="D95"/>
      <c r="E95"/>
      <c r="F95"/>
      <c r="G95"/>
      <c r="H95"/>
    </row>
    <row r="96" spans="1:8" x14ac:dyDescent="0.3">
      <c r="A96" s="154"/>
      <c r="B96" s="154"/>
      <c r="C96"/>
      <c r="D96"/>
      <c r="E96"/>
      <c r="F96"/>
      <c r="G96"/>
      <c r="H96"/>
    </row>
    <row r="97" spans="1:8" x14ac:dyDescent="0.3">
      <c r="A97" s="154"/>
      <c r="B97" s="154"/>
      <c r="C97"/>
      <c r="D97"/>
      <c r="E97"/>
      <c r="F97"/>
      <c r="G97"/>
      <c r="H97"/>
    </row>
    <row r="98" spans="1:8" x14ac:dyDescent="0.3">
      <c r="A98" s="154"/>
      <c r="B98" s="154"/>
      <c r="C98"/>
      <c r="D98"/>
      <c r="E98"/>
      <c r="F98"/>
      <c r="G98"/>
      <c r="H98"/>
    </row>
    <row r="99" spans="1:8" x14ac:dyDescent="0.3">
      <c r="A99" s="154"/>
      <c r="B99" s="154"/>
      <c r="C99"/>
      <c r="D99"/>
      <c r="E99"/>
      <c r="F99"/>
      <c r="G99"/>
      <c r="H99"/>
    </row>
    <row r="100" spans="1:8" x14ac:dyDescent="0.3">
      <c r="A100" s="154"/>
      <c r="B100" s="154"/>
      <c r="C100"/>
      <c r="D100"/>
      <c r="E100"/>
      <c r="F100"/>
      <c r="G100"/>
      <c r="H100"/>
    </row>
    <row r="101" spans="1:8" x14ac:dyDescent="0.3">
      <c r="A101" s="154"/>
      <c r="B101" s="154"/>
      <c r="C101"/>
      <c r="D101"/>
      <c r="E101"/>
      <c r="F101"/>
      <c r="G101"/>
      <c r="H101"/>
    </row>
    <row r="102" spans="1:8" x14ac:dyDescent="0.3">
      <c r="A102" s="154"/>
      <c r="B102" s="154"/>
      <c r="C102"/>
      <c r="D102"/>
      <c r="E102"/>
      <c r="F102"/>
      <c r="G102"/>
      <c r="H102"/>
    </row>
    <row r="103" spans="1:8" x14ac:dyDescent="0.3">
      <c r="A103" s="154"/>
      <c r="B103" s="154"/>
      <c r="C103"/>
      <c r="D103"/>
      <c r="E103"/>
      <c r="F103"/>
      <c r="G103"/>
      <c r="H103"/>
    </row>
    <row r="104" spans="1:8" x14ac:dyDescent="0.3">
      <c r="A104" s="154"/>
      <c r="B104" s="154"/>
      <c r="C104"/>
      <c r="D104"/>
      <c r="E104"/>
      <c r="F104"/>
      <c r="G104"/>
      <c r="H104"/>
    </row>
    <row r="105" spans="1:8" x14ac:dyDescent="0.3">
      <c r="A105" s="154"/>
      <c r="B105" s="154"/>
      <c r="C105"/>
      <c r="D105"/>
      <c r="E105"/>
      <c r="F105"/>
      <c r="G105"/>
      <c r="H105"/>
    </row>
    <row r="106" spans="1:8" x14ac:dyDescent="0.3">
      <c r="A106" s="154"/>
      <c r="B106" s="154"/>
      <c r="C106"/>
      <c r="D106"/>
      <c r="E106"/>
      <c r="F106"/>
      <c r="G106"/>
      <c r="H106"/>
    </row>
    <row r="107" spans="1:8" x14ac:dyDescent="0.3">
      <c r="A107" s="154"/>
      <c r="B107" s="154"/>
      <c r="C107"/>
      <c r="D107"/>
      <c r="E107"/>
      <c r="F107"/>
      <c r="G107"/>
      <c r="H107"/>
    </row>
    <row r="108" spans="1:8" x14ac:dyDescent="0.3">
      <c r="A108" s="154"/>
      <c r="B108" s="154"/>
      <c r="C108"/>
      <c r="D108"/>
      <c r="E108"/>
      <c r="F108"/>
      <c r="G108"/>
      <c r="H108"/>
    </row>
    <row r="109" spans="1:8" x14ac:dyDescent="0.3">
      <c r="A109" s="154"/>
      <c r="B109" s="154"/>
      <c r="C109"/>
      <c r="D109"/>
      <c r="E109"/>
      <c r="F109"/>
      <c r="G109"/>
      <c r="H109"/>
    </row>
    <row r="110" spans="1:8" x14ac:dyDescent="0.3">
      <c r="A110" s="154"/>
      <c r="B110" s="154"/>
      <c r="C110"/>
      <c r="D110"/>
      <c r="E110"/>
      <c r="F110"/>
      <c r="G110"/>
      <c r="H110"/>
    </row>
    <row r="111" spans="1:8" x14ac:dyDescent="0.3">
      <c r="A111" s="154"/>
      <c r="B111" s="154"/>
      <c r="C111"/>
      <c r="D111"/>
      <c r="E111"/>
      <c r="F111"/>
      <c r="G111"/>
      <c r="H111"/>
    </row>
    <row r="112" spans="1:8" x14ac:dyDescent="0.3">
      <c r="A112" s="154"/>
      <c r="B112" s="154"/>
      <c r="C112"/>
      <c r="D112"/>
      <c r="E112"/>
      <c r="F112"/>
      <c r="G112"/>
      <c r="H112"/>
    </row>
    <row r="113" spans="1:8" x14ac:dyDescent="0.3">
      <c r="A113" s="154"/>
      <c r="B113" s="154"/>
      <c r="C113"/>
      <c r="D113"/>
      <c r="E113"/>
      <c r="F113"/>
      <c r="G113"/>
      <c r="H113"/>
    </row>
    <row r="114" spans="1:8" x14ac:dyDescent="0.3">
      <c r="A114" s="154"/>
      <c r="B114" s="154"/>
      <c r="C114"/>
      <c r="D114"/>
      <c r="E114"/>
      <c r="F114"/>
      <c r="G114"/>
      <c r="H114"/>
    </row>
    <row r="115" spans="1:8" x14ac:dyDescent="0.3">
      <c r="A115" s="154"/>
      <c r="B115" s="154"/>
      <c r="C115"/>
      <c r="D115"/>
      <c r="E115"/>
      <c r="F115"/>
      <c r="G115"/>
      <c r="H115"/>
    </row>
    <row r="116" spans="1:8" x14ac:dyDescent="0.3">
      <c r="A116" s="154"/>
      <c r="B116" s="154"/>
      <c r="C116"/>
      <c r="D116"/>
      <c r="E116"/>
      <c r="F116"/>
      <c r="G116"/>
      <c r="H116"/>
    </row>
    <row r="117" spans="1:8" x14ac:dyDescent="0.3">
      <c r="A117" s="154"/>
      <c r="B117" s="154"/>
      <c r="C117"/>
      <c r="D117"/>
      <c r="E117"/>
      <c r="F117"/>
      <c r="G117"/>
      <c r="H117"/>
    </row>
    <row r="118" spans="1:8" x14ac:dyDescent="0.3">
      <c r="A118" s="154"/>
      <c r="B118" s="154"/>
      <c r="C118"/>
      <c r="D118"/>
      <c r="E118"/>
      <c r="F118"/>
      <c r="G118"/>
      <c r="H118"/>
    </row>
    <row r="119" spans="1:8" x14ac:dyDescent="0.3">
      <c r="A119" s="154"/>
      <c r="B119" s="154"/>
      <c r="C119"/>
      <c r="D119"/>
      <c r="E119"/>
      <c r="F119"/>
      <c r="G119"/>
      <c r="H119"/>
    </row>
    <row r="120" spans="1:8" x14ac:dyDescent="0.3">
      <c r="A120" s="154"/>
      <c r="B120" s="154"/>
      <c r="C120"/>
      <c r="D120"/>
      <c r="E120"/>
      <c r="F120"/>
      <c r="G120"/>
      <c r="H120"/>
    </row>
    <row r="121" spans="1:8" x14ac:dyDescent="0.3">
      <c r="A121" s="154"/>
      <c r="B121" s="154"/>
      <c r="C121"/>
      <c r="D121"/>
      <c r="E121"/>
      <c r="F121"/>
      <c r="G121"/>
      <c r="H121"/>
    </row>
    <row r="122" spans="1:8" x14ac:dyDescent="0.3">
      <c r="A122" s="154"/>
      <c r="B122" s="154"/>
      <c r="C122"/>
      <c r="D122"/>
      <c r="E122"/>
      <c r="F122"/>
      <c r="G122"/>
      <c r="H122"/>
    </row>
    <row r="123" spans="1:8" x14ac:dyDescent="0.3">
      <c r="A123" s="154"/>
      <c r="B123" s="154"/>
      <c r="C123"/>
      <c r="D123"/>
      <c r="E123"/>
      <c r="F123"/>
      <c r="G123"/>
      <c r="H123"/>
    </row>
    <row r="124" spans="1:8" x14ac:dyDescent="0.3">
      <c r="A124" s="154"/>
      <c r="B124" s="154"/>
      <c r="C124"/>
      <c r="D124"/>
      <c r="E124"/>
      <c r="F124"/>
      <c r="G124"/>
      <c r="H124"/>
    </row>
    <row r="125" spans="1:8" x14ac:dyDescent="0.3">
      <c r="A125" s="154"/>
      <c r="B125" s="154"/>
      <c r="C125"/>
      <c r="D125"/>
      <c r="E125"/>
      <c r="F125"/>
      <c r="G125"/>
      <c r="H125"/>
    </row>
    <row r="126" spans="1:8" x14ac:dyDescent="0.3">
      <c r="A126" s="154"/>
      <c r="B126" s="154"/>
      <c r="C126"/>
      <c r="D126"/>
      <c r="E126"/>
      <c r="F126"/>
      <c r="G126"/>
      <c r="H126"/>
    </row>
    <row r="127" spans="1:8" x14ac:dyDescent="0.3">
      <c r="A127" s="154"/>
      <c r="B127" s="154"/>
      <c r="C127"/>
      <c r="D127"/>
      <c r="E127"/>
      <c r="F127"/>
      <c r="G127"/>
      <c r="H127"/>
    </row>
    <row r="128" spans="1:8" x14ac:dyDescent="0.3">
      <c r="A128" s="154"/>
      <c r="B128" s="154"/>
      <c r="C128"/>
      <c r="D128"/>
      <c r="E128"/>
      <c r="F128"/>
      <c r="G128"/>
      <c r="H128"/>
    </row>
    <row r="129" spans="1:8" x14ac:dyDescent="0.3">
      <c r="A129" s="154"/>
      <c r="B129" s="154"/>
      <c r="C129"/>
      <c r="D129"/>
      <c r="E129"/>
      <c r="F129"/>
      <c r="G129"/>
      <c r="H129"/>
    </row>
    <row r="130" spans="1:8" x14ac:dyDescent="0.3">
      <c r="A130" s="154"/>
      <c r="B130" s="154"/>
      <c r="C130"/>
      <c r="D130"/>
      <c r="E130"/>
      <c r="F130"/>
      <c r="G130"/>
      <c r="H130"/>
    </row>
    <row r="131" spans="1:8" x14ac:dyDescent="0.3">
      <c r="A131" s="154"/>
      <c r="B131" s="154"/>
      <c r="C131"/>
      <c r="D131"/>
      <c r="E131"/>
      <c r="F131"/>
      <c r="G131"/>
      <c r="H131"/>
    </row>
    <row r="132" spans="1:8" x14ac:dyDescent="0.3">
      <c r="A132" s="154"/>
      <c r="B132" s="154"/>
      <c r="C132"/>
      <c r="D132"/>
      <c r="E132"/>
      <c r="F132"/>
      <c r="G132"/>
      <c r="H132"/>
    </row>
    <row r="133" spans="1:8" x14ac:dyDescent="0.3">
      <c r="A133" s="154"/>
      <c r="B133" s="154"/>
      <c r="C133"/>
      <c r="D133"/>
      <c r="E133"/>
      <c r="F133"/>
      <c r="G133"/>
      <c r="H133"/>
    </row>
    <row r="134" spans="1:8" x14ac:dyDescent="0.3">
      <c r="A134" s="154"/>
      <c r="B134" s="154"/>
      <c r="C134"/>
      <c r="D134"/>
      <c r="E134"/>
      <c r="F134"/>
      <c r="G134"/>
      <c r="H134"/>
    </row>
    <row r="135" spans="1:8" x14ac:dyDescent="0.3">
      <c r="A135" s="154"/>
      <c r="B135" s="154"/>
      <c r="C135"/>
      <c r="D135"/>
      <c r="E135"/>
      <c r="F135"/>
      <c r="G135"/>
      <c r="H135"/>
    </row>
    <row r="136" spans="1:8" x14ac:dyDescent="0.3">
      <c r="A136" s="154"/>
      <c r="B136" s="154"/>
      <c r="C136"/>
      <c r="D136"/>
      <c r="E136"/>
      <c r="F136"/>
      <c r="G136"/>
      <c r="H136"/>
    </row>
    <row r="137" spans="1:8" x14ac:dyDescent="0.3">
      <c r="A137" s="154"/>
      <c r="B137" s="154"/>
      <c r="C137"/>
      <c r="D137"/>
      <c r="E137"/>
      <c r="F137"/>
      <c r="G137"/>
      <c r="H137"/>
    </row>
    <row r="138" spans="1:8" x14ac:dyDescent="0.3">
      <c r="A138" s="154"/>
      <c r="B138" s="154"/>
      <c r="C138"/>
      <c r="D138"/>
      <c r="E138"/>
      <c r="F138"/>
      <c r="G138"/>
      <c r="H138"/>
    </row>
    <row r="139" spans="1:8" x14ac:dyDescent="0.3">
      <c r="A139" s="154"/>
      <c r="B139" s="154"/>
      <c r="C139"/>
      <c r="D139"/>
      <c r="E139"/>
      <c r="F139"/>
      <c r="G139"/>
      <c r="H139"/>
    </row>
    <row r="140" spans="1:8" x14ac:dyDescent="0.3">
      <c r="A140" s="154"/>
      <c r="B140" s="154"/>
      <c r="C140"/>
      <c r="D140"/>
      <c r="E140"/>
      <c r="F140"/>
      <c r="G140"/>
      <c r="H140"/>
    </row>
    <row r="141" spans="1:8" x14ac:dyDescent="0.3">
      <c r="A141" s="154"/>
      <c r="B141" s="154"/>
      <c r="C141"/>
      <c r="D141"/>
      <c r="E141"/>
      <c r="F141"/>
      <c r="G141"/>
      <c r="H141"/>
    </row>
    <row r="142" spans="1:8" x14ac:dyDescent="0.3">
      <c r="A142" s="154"/>
      <c r="B142" s="154"/>
      <c r="C142"/>
      <c r="D142"/>
      <c r="E142"/>
      <c r="F142"/>
      <c r="G142"/>
      <c r="H142"/>
    </row>
    <row r="143" spans="1:8" x14ac:dyDescent="0.3">
      <c r="A143" s="154"/>
      <c r="B143" s="154"/>
      <c r="C143"/>
      <c r="D143"/>
      <c r="E143"/>
      <c r="F143"/>
      <c r="G143"/>
      <c r="H143"/>
    </row>
    <row r="144" spans="1:8" x14ac:dyDescent="0.3">
      <c r="A144" s="154"/>
      <c r="B144" s="154"/>
      <c r="C144"/>
      <c r="D144"/>
      <c r="E144"/>
      <c r="F144"/>
      <c r="G144"/>
      <c r="H144"/>
    </row>
    <row r="145" spans="1:8" x14ac:dyDescent="0.3">
      <c r="A145" s="154"/>
      <c r="B145" s="154"/>
      <c r="C145"/>
      <c r="D145"/>
      <c r="E145"/>
      <c r="F145"/>
      <c r="G145"/>
      <c r="H145"/>
    </row>
    <row r="146" spans="1:8" x14ac:dyDescent="0.3">
      <c r="A146" s="154"/>
      <c r="B146" s="154"/>
      <c r="C146"/>
      <c r="D146"/>
      <c r="E146"/>
      <c r="F146"/>
      <c r="G146"/>
      <c r="H146"/>
    </row>
    <row r="147" spans="1:8" x14ac:dyDescent="0.3">
      <c r="A147" s="154"/>
      <c r="B147" s="154"/>
      <c r="C147"/>
      <c r="D147"/>
      <c r="E147"/>
      <c r="F147"/>
      <c r="G147"/>
      <c r="H147"/>
    </row>
    <row r="148" spans="1:8" x14ac:dyDescent="0.3">
      <c r="A148" s="154"/>
      <c r="B148" s="154"/>
      <c r="C148"/>
      <c r="D148"/>
      <c r="E148"/>
      <c r="F148"/>
      <c r="G148"/>
      <c r="H148"/>
    </row>
    <row r="149" spans="1:8" x14ac:dyDescent="0.3">
      <c r="A149" s="154"/>
      <c r="B149" s="154"/>
      <c r="C149"/>
      <c r="D149"/>
      <c r="E149"/>
      <c r="F149"/>
      <c r="G149"/>
      <c r="H149"/>
    </row>
    <row r="150" spans="1:8" x14ac:dyDescent="0.3">
      <c r="A150" s="154"/>
      <c r="B150" s="154"/>
      <c r="C150"/>
      <c r="D150"/>
      <c r="E150"/>
      <c r="F150"/>
      <c r="G150"/>
      <c r="H150"/>
    </row>
    <row r="151" spans="1:8" x14ac:dyDescent="0.3">
      <c r="A151" s="154"/>
      <c r="B151" s="154"/>
      <c r="C151"/>
      <c r="D151"/>
      <c r="E151"/>
      <c r="F151"/>
      <c r="G151"/>
      <c r="H151"/>
    </row>
    <row r="152" spans="1:8" x14ac:dyDescent="0.3">
      <c r="A152" s="154"/>
      <c r="B152" s="154"/>
      <c r="C152"/>
      <c r="D152"/>
      <c r="E152"/>
      <c r="F152"/>
      <c r="G152"/>
      <c r="H152"/>
    </row>
    <row r="153" spans="1:8" x14ac:dyDescent="0.3">
      <c r="A153" s="154"/>
      <c r="B153" s="154"/>
      <c r="C153"/>
      <c r="D153"/>
      <c r="E153"/>
      <c r="F153"/>
      <c r="G153"/>
      <c r="H153"/>
    </row>
    <row r="154" spans="1:8" x14ac:dyDescent="0.3">
      <c r="A154" s="154"/>
      <c r="B154" s="154"/>
      <c r="C154"/>
      <c r="D154"/>
      <c r="E154"/>
      <c r="F154"/>
      <c r="G154"/>
      <c r="H154"/>
    </row>
    <row r="155" spans="1:8" x14ac:dyDescent="0.3">
      <c r="A155" s="154"/>
      <c r="B155" s="154"/>
      <c r="C155"/>
      <c r="D155"/>
      <c r="E155"/>
      <c r="F155"/>
      <c r="G155"/>
      <c r="H155"/>
    </row>
    <row r="156" spans="1:8" x14ac:dyDescent="0.3">
      <c r="A156" s="154"/>
      <c r="B156" s="154"/>
      <c r="C156"/>
      <c r="D156"/>
      <c r="E156"/>
      <c r="F156"/>
      <c r="G156"/>
      <c r="H156"/>
    </row>
    <row r="157" spans="1:8" x14ac:dyDescent="0.3">
      <c r="A157" s="154"/>
      <c r="B157" s="154"/>
      <c r="C157"/>
      <c r="D157"/>
      <c r="E157"/>
      <c r="F157"/>
      <c r="G157"/>
      <c r="H157"/>
    </row>
    <row r="158" spans="1:8" x14ac:dyDescent="0.3">
      <c r="A158" s="154"/>
      <c r="B158" s="154"/>
      <c r="C158"/>
      <c r="D158"/>
      <c r="E158"/>
      <c r="F158"/>
      <c r="G158"/>
      <c r="H158"/>
    </row>
    <row r="159" spans="1:8" x14ac:dyDescent="0.3">
      <c r="A159" s="154"/>
      <c r="B159" s="154"/>
      <c r="C159"/>
      <c r="D159"/>
      <c r="E159"/>
      <c r="F159"/>
      <c r="G159"/>
      <c r="H159"/>
    </row>
    <row r="160" spans="1:8" x14ac:dyDescent="0.3">
      <c r="A160" s="154"/>
      <c r="B160" s="154"/>
      <c r="C160"/>
      <c r="D160"/>
      <c r="E160"/>
      <c r="F160"/>
      <c r="G160"/>
      <c r="H160"/>
    </row>
    <row r="161" spans="1:8" x14ac:dyDescent="0.3">
      <c r="A161" s="154"/>
      <c r="B161" s="154"/>
      <c r="C161"/>
      <c r="D161"/>
      <c r="E161"/>
      <c r="F161"/>
      <c r="G161"/>
      <c r="H161"/>
    </row>
    <row r="162" spans="1:8" x14ac:dyDescent="0.3">
      <c r="A162" s="154"/>
      <c r="B162" s="154"/>
      <c r="C162"/>
      <c r="D162"/>
      <c r="E162"/>
      <c r="F162"/>
      <c r="G162"/>
      <c r="H162"/>
    </row>
    <row r="163" spans="1:8" x14ac:dyDescent="0.3">
      <c r="A163" s="154"/>
      <c r="B163" s="154"/>
      <c r="C163"/>
      <c r="D163"/>
      <c r="E163"/>
      <c r="F163"/>
      <c r="G163"/>
      <c r="H163"/>
    </row>
    <row r="164" spans="1:8" x14ac:dyDescent="0.3">
      <c r="A164" s="154"/>
      <c r="B164" s="154"/>
      <c r="C164"/>
      <c r="D164"/>
      <c r="E164"/>
      <c r="F164"/>
      <c r="G164"/>
      <c r="H164"/>
    </row>
    <row r="165" spans="1:8" x14ac:dyDescent="0.3">
      <c r="A165" s="154"/>
      <c r="B165" s="154"/>
      <c r="C165"/>
      <c r="D165"/>
      <c r="E165"/>
      <c r="F165"/>
      <c r="G165"/>
      <c r="H165"/>
    </row>
    <row r="166" spans="1:8" x14ac:dyDescent="0.3">
      <c r="A166" s="154"/>
      <c r="B166" s="154"/>
      <c r="C166"/>
      <c r="D166"/>
      <c r="E166"/>
      <c r="F166"/>
      <c r="G166"/>
      <c r="H166"/>
    </row>
    <row r="167" spans="1:8" x14ac:dyDescent="0.3">
      <c r="A167" s="154"/>
      <c r="B167" s="154"/>
      <c r="C167"/>
      <c r="D167"/>
      <c r="E167"/>
      <c r="F167"/>
      <c r="G167"/>
      <c r="H167"/>
    </row>
    <row r="168" spans="1:8" x14ac:dyDescent="0.3">
      <c r="A168" s="154"/>
      <c r="B168" s="154"/>
      <c r="C168"/>
      <c r="D168"/>
      <c r="E168"/>
      <c r="F168"/>
      <c r="G168"/>
      <c r="H168"/>
    </row>
    <row r="169" spans="1:8" x14ac:dyDescent="0.3">
      <c r="A169" s="154"/>
      <c r="B169" s="154"/>
      <c r="C169"/>
      <c r="D169"/>
      <c r="E169"/>
      <c r="F169"/>
      <c r="G169"/>
      <c r="H169"/>
    </row>
    <row r="170" spans="1:8" x14ac:dyDescent="0.3">
      <c r="A170" s="154"/>
      <c r="B170" s="154"/>
      <c r="C170"/>
      <c r="D170"/>
      <c r="E170"/>
      <c r="F170"/>
      <c r="G170"/>
      <c r="H170"/>
    </row>
    <row r="171" spans="1:8" x14ac:dyDescent="0.3">
      <c r="A171" s="154"/>
      <c r="B171" s="154"/>
      <c r="C171"/>
      <c r="D171"/>
      <c r="E171"/>
      <c r="F171"/>
      <c r="G171"/>
      <c r="H171"/>
    </row>
    <row r="172" spans="1:8" x14ac:dyDescent="0.3">
      <c r="A172" s="154"/>
      <c r="B172" s="154"/>
      <c r="C172"/>
      <c r="D172"/>
      <c r="E172"/>
      <c r="F172"/>
      <c r="G172"/>
      <c r="H172"/>
    </row>
    <row r="173" spans="1:8" x14ac:dyDescent="0.3">
      <c r="A173" s="154"/>
      <c r="B173" s="154"/>
      <c r="C173"/>
      <c r="D173"/>
      <c r="E173"/>
      <c r="F173"/>
      <c r="G173"/>
      <c r="H173"/>
    </row>
    <row r="174" spans="1:8" x14ac:dyDescent="0.3">
      <c r="A174" s="154"/>
      <c r="B174" s="154"/>
      <c r="C174"/>
      <c r="D174"/>
      <c r="E174"/>
      <c r="F174"/>
      <c r="G174"/>
      <c r="H174"/>
    </row>
    <row r="175" spans="1:8" x14ac:dyDescent="0.3">
      <c r="A175" s="154"/>
      <c r="B175" s="154"/>
      <c r="C175"/>
      <c r="D175"/>
      <c r="E175"/>
      <c r="F175"/>
      <c r="G175"/>
      <c r="H175"/>
    </row>
    <row r="176" spans="1:8" x14ac:dyDescent="0.3">
      <c r="A176" s="154"/>
      <c r="B176" s="154"/>
      <c r="C176"/>
      <c r="D176"/>
      <c r="E176"/>
      <c r="F176"/>
      <c r="G176"/>
      <c r="H176"/>
    </row>
    <row r="177" spans="1:8" x14ac:dyDescent="0.3">
      <c r="A177" s="154"/>
      <c r="B177" s="154"/>
      <c r="C177"/>
      <c r="D177"/>
      <c r="E177"/>
      <c r="F177"/>
      <c r="G177"/>
      <c r="H177"/>
    </row>
    <row r="178" spans="1:8" x14ac:dyDescent="0.3">
      <c r="A178" s="154"/>
      <c r="B178" s="154"/>
      <c r="C178"/>
      <c r="D178"/>
      <c r="E178"/>
      <c r="F178"/>
      <c r="G178"/>
      <c r="H178"/>
    </row>
    <row r="179" spans="1:8" x14ac:dyDescent="0.3">
      <c r="A179" s="154"/>
      <c r="B179" s="154"/>
      <c r="C179"/>
      <c r="D179"/>
      <c r="E179"/>
      <c r="F179"/>
      <c r="G179"/>
      <c r="H179"/>
    </row>
    <row r="180" spans="1:8" x14ac:dyDescent="0.3">
      <c r="A180" s="154"/>
      <c r="B180" s="154"/>
      <c r="C180"/>
      <c r="D180"/>
      <c r="E180"/>
      <c r="F180"/>
      <c r="G180"/>
      <c r="H180"/>
    </row>
    <row r="181" spans="1:8" x14ac:dyDescent="0.3">
      <c r="A181" s="154"/>
      <c r="B181" s="154"/>
      <c r="C181"/>
      <c r="D181"/>
      <c r="E181"/>
      <c r="F181"/>
      <c r="G181"/>
      <c r="H181"/>
    </row>
    <row r="182" spans="1:8" x14ac:dyDescent="0.3">
      <c r="A182" s="154"/>
      <c r="B182" s="154"/>
      <c r="C182"/>
      <c r="D182"/>
      <c r="E182"/>
      <c r="F182"/>
      <c r="G182"/>
      <c r="H182"/>
    </row>
    <row r="183" spans="1:8" x14ac:dyDescent="0.3">
      <c r="A183" s="154"/>
      <c r="B183" s="154"/>
      <c r="C183"/>
      <c r="D183"/>
      <c r="E183"/>
      <c r="F183"/>
      <c r="G183"/>
      <c r="H183"/>
    </row>
    <row r="184" spans="1:8" x14ac:dyDescent="0.3">
      <c r="A184" s="154"/>
      <c r="B184" s="154"/>
      <c r="C184"/>
      <c r="D184"/>
      <c r="E184"/>
      <c r="F184"/>
      <c r="G184"/>
      <c r="H184"/>
    </row>
    <row r="185" spans="1:8" x14ac:dyDescent="0.3">
      <c r="A185" s="154"/>
      <c r="B185" s="154"/>
      <c r="C185"/>
      <c r="D185"/>
      <c r="E185"/>
      <c r="F185"/>
      <c r="G185"/>
      <c r="H185"/>
    </row>
    <row r="186" spans="1:8" x14ac:dyDescent="0.3">
      <c r="A186" s="154"/>
      <c r="B186" s="154"/>
      <c r="C186"/>
      <c r="D186"/>
      <c r="E186"/>
      <c r="F186"/>
      <c r="G186"/>
      <c r="H186"/>
    </row>
    <row r="187" spans="1:8" x14ac:dyDescent="0.3">
      <c r="A187" s="154"/>
      <c r="B187" s="154"/>
      <c r="C187"/>
      <c r="D187"/>
      <c r="E187"/>
      <c r="F187"/>
      <c r="G187"/>
      <c r="H187"/>
    </row>
    <row r="188" spans="1:8" x14ac:dyDescent="0.3">
      <c r="A188" s="154"/>
      <c r="B188" s="154"/>
      <c r="C188"/>
      <c r="D188"/>
      <c r="E188"/>
      <c r="F188"/>
      <c r="G188"/>
      <c r="H188"/>
    </row>
    <row r="189" spans="1:8" x14ac:dyDescent="0.3">
      <c r="A189" s="154"/>
      <c r="B189" s="154"/>
      <c r="C189"/>
      <c r="D189"/>
      <c r="E189"/>
      <c r="F189"/>
      <c r="G189"/>
      <c r="H189"/>
    </row>
    <row r="190" spans="1:8" x14ac:dyDescent="0.3">
      <c r="A190" s="154"/>
      <c r="B190" s="154"/>
      <c r="C190"/>
      <c r="D190"/>
      <c r="E190"/>
      <c r="F190"/>
      <c r="G190"/>
      <c r="H190"/>
    </row>
    <row r="191" spans="1:8" x14ac:dyDescent="0.3">
      <c r="A191" s="154"/>
      <c r="B191" s="154"/>
      <c r="C191"/>
      <c r="D191"/>
      <c r="E191"/>
      <c r="F191"/>
      <c r="G191"/>
      <c r="H191"/>
    </row>
    <row r="192" spans="1:8" x14ac:dyDescent="0.3">
      <c r="A192" s="154"/>
      <c r="B192" s="154"/>
      <c r="C192"/>
      <c r="D192"/>
      <c r="E192"/>
      <c r="F192"/>
      <c r="G192"/>
      <c r="H192"/>
    </row>
    <row r="193" spans="1:8" x14ac:dyDescent="0.3">
      <c r="A193" s="154"/>
      <c r="B193" s="154"/>
      <c r="C193"/>
      <c r="D193"/>
      <c r="E193"/>
      <c r="F193"/>
      <c r="G193"/>
      <c r="H193"/>
    </row>
    <row r="194" spans="1:8" x14ac:dyDescent="0.3">
      <c r="A194" s="154"/>
      <c r="B194" s="154"/>
      <c r="C194"/>
      <c r="D194"/>
      <c r="E194"/>
      <c r="F194"/>
      <c r="G194"/>
      <c r="H194"/>
    </row>
    <row r="195" spans="1:8" x14ac:dyDescent="0.3">
      <c r="A195" s="154"/>
      <c r="B195" s="154"/>
      <c r="C195"/>
      <c r="D195"/>
      <c r="E195"/>
      <c r="F195"/>
      <c r="G195"/>
      <c r="H195"/>
    </row>
    <row r="196" spans="1:8" x14ac:dyDescent="0.3">
      <c r="A196" s="154"/>
      <c r="B196" s="154"/>
      <c r="C196"/>
      <c r="D196"/>
      <c r="E196"/>
      <c r="F196"/>
      <c r="G196"/>
      <c r="H196"/>
    </row>
    <row r="197" spans="1:8" x14ac:dyDescent="0.3">
      <c r="A197" s="154"/>
      <c r="B197" s="154"/>
      <c r="C197"/>
      <c r="D197"/>
      <c r="E197"/>
      <c r="F197"/>
      <c r="G197"/>
      <c r="H197"/>
    </row>
    <row r="198" spans="1:8" x14ac:dyDescent="0.3">
      <c r="A198" s="154"/>
      <c r="B198" s="154"/>
      <c r="C198"/>
      <c r="D198"/>
      <c r="E198"/>
      <c r="F198"/>
      <c r="G198"/>
      <c r="H198"/>
    </row>
    <row r="199" spans="1:8" x14ac:dyDescent="0.3">
      <c r="A199" s="154"/>
      <c r="B199" s="154"/>
      <c r="C199"/>
      <c r="D199"/>
      <c r="E199"/>
      <c r="F199"/>
      <c r="G199"/>
      <c r="H199"/>
    </row>
    <row r="200" spans="1:8" x14ac:dyDescent="0.3">
      <c r="A200" s="154"/>
      <c r="B200" s="154"/>
      <c r="C200"/>
      <c r="D200"/>
      <c r="E200"/>
      <c r="F200"/>
      <c r="G200"/>
      <c r="H200"/>
    </row>
    <row r="201" spans="1:8" x14ac:dyDescent="0.3">
      <c r="A201" s="154"/>
      <c r="B201" s="154"/>
      <c r="C201"/>
      <c r="D201"/>
      <c r="E201"/>
      <c r="F201"/>
      <c r="G201"/>
      <c r="H201"/>
    </row>
    <row r="202" spans="1:8" x14ac:dyDescent="0.3">
      <c r="A202" s="154"/>
      <c r="B202" s="154"/>
      <c r="C202"/>
      <c r="D202"/>
      <c r="E202"/>
      <c r="F202"/>
      <c r="G202"/>
      <c r="H202"/>
    </row>
    <row r="203" spans="1:8" x14ac:dyDescent="0.3">
      <c r="A203" s="154"/>
      <c r="B203" s="154"/>
      <c r="C203"/>
      <c r="D203"/>
      <c r="E203"/>
      <c r="F203"/>
      <c r="G203"/>
      <c r="H203"/>
    </row>
    <row r="204" spans="1:8" x14ac:dyDescent="0.3">
      <c r="A204" s="154"/>
      <c r="B204" s="154"/>
      <c r="C204"/>
      <c r="D204"/>
      <c r="E204"/>
      <c r="F204"/>
      <c r="G204"/>
      <c r="H204"/>
    </row>
    <row r="205" spans="1:8" x14ac:dyDescent="0.3">
      <c r="A205" s="154"/>
      <c r="B205" s="154"/>
      <c r="C205"/>
      <c r="D205"/>
      <c r="E205"/>
      <c r="F205"/>
      <c r="G205"/>
      <c r="H205"/>
    </row>
    <row r="206" spans="1:8" x14ac:dyDescent="0.3">
      <c r="A206" s="154"/>
      <c r="B206" s="154"/>
      <c r="C206"/>
      <c r="D206"/>
      <c r="E206"/>
      <c r="F206"/>
      <c r="G206"/>
      <c r="H206"/>
    </row>
    <row r="207" spans="1:8" x14ac:dyDescent="0.3">
      <c r="A207" s="154"/>
      <c r="B207" s="154"/>
      <c r="C207"/>
      <c r="D207"/>
      <c r="E207"/>
      <c r="F207"/>
      <c r="G207"/>
      <c r="H207"/>
    </row>
    <row r="208" spans="1:8" x14ac:dyDescent="0.3">
      <c r="A208" s="154"/>
      <c r="B208" s="154"/>
      <c r="C208"/>
      <c r="D208"/>
      <c r="E208"/>
      <c r="F208"/>
      <c r="G208"/>
      <c r="H208"/>
    </row>
    <row r="209" spans="1:8" x14ac:dyDescent="0.3">
      <c r="A209" s="154"/>
      <c r="B209" s="154"/>
      <c r="C209"/>
      <c r="D209"/>
      <c r="E209"/>
      <c r="F209"/>
      <c r="G209"/>
      <c r="H209"/>
    </row>
    <row r="210" spans="1:8" x14ac:dyDescent="0.3">
      <c r="A210" s="154"/>
      <c r="B210" s="154"/>
      <c r="C210"/>
      <c r="D210"/>
      <c r="E210"/>
      <c r="F210"/>
      <c r="G210"/>
      <c r="H210"/>
    </row>
    <row r="211" spans="1:8" x14ac:dyDescent="0.3">
      <c r="A211" s="154"/>
      <c r="B211" s="154"/>
      <c r="C211"/>
      <c r="D211"/>
      <c r="E211"/>
      <c r="F211"/>
      <c r="G211"/>
      <c r="H211"/>
    </row>
    <row r="212" spans="1:8" x14ac:dyDescent="0.3">
      <c r="A212" s="154"/>
      <c r="B212" s="154"/>
      <c r="C212"/>
      <c r="D212"/>
      <c r="E212"/>
      <c r="F212"/>
      <c r="G212"/>
      <c r="H212"/>
    </row>
    <row r="213" spans="1:8" x14ac:dyDescent="0.3">
      <c r="A213" s="154"/>
      <c r="B213" s="154"/>
      <c r="C213"/>
      <c r="D213"/>
      <c r="E213"/>
      <c r="F213"/>
      <c r="G213"/>
      <c r="H213"/>
    </row>
    <row r="214" spans="1:8" x14ac:dyDescent="0.3">
      <c r="A214" s="154"/>
      <c r="B214" s="154"/>
      <c r="C214"/>
      <c r="D214"/>
      <c r="E214"/>
      <c r="F214"/>
      <c r="G214"/>
      <c r="H214"/>
    </row>
    <row r="215" spans="1:8" x14ac:dyDescent="0.3">
      <c r="A215" s="154"/>
      <c r="B215" s="154"/>
      <c r="C215"/>
      <c r="D215"/>
      <c r="E215"/>
      <c r="F215"/>
      <c r="G215"/>
      <c r="H215"/>
    </row>
    <row r="216" spans="1:8" x14ac:dyDescent="0.3">
      <c r="A216" s="154"/>
      <c r="B216" s="154"/>
      <c r="C216"/>
      <c r="D216"/>
      <c r="E216"/>
      <c r="F216"/>
      <c r="G216"/>
      <c r="H216"/>
    </row>
    <row r="217" spans="1:8" x14ac:dyDescent="0.3">
      <c r="A217" s="154"/>
      <c r="B217" s="154"/>
      <c r="C217"/>
      <c r="D217"/>
      <c r="E217"/>
      <c r="F217"/>
      <c r="G217"/>
      <c r="H217"/>
    </row>
    <row r="218" spans="1:8" x14ac:dyDescent="0.3">
      <c r="A218" s="154"/>
      <c r="B218" s="154"/>
      <c r="C218"/>
      <c r="D218"/>
      <c r="E218"/>
      <c r="F218"/>
      <c r="G218"/>
      <c r="H218"/>
    </row>
    <row r="219" spans="1:8" x14ac:dyDescent="0.3">
      <c r="A219" s="154"/>
      <c r="B219" s="154"/>
      <c r="C219"/>
      <c r="D219"/>
      <c r="E219"/>
      <c r="F219"/>
      <c r="G219"/>
      <c r="H219"/>
    </row>
    <row r="220" spans="1:8" x14ac:dyDescent="0.3">
      <c r="A220" s="154"/>
      <c r="B220" s="154"/>
      <c r="C220"/>
      <c r="D220"/>
      <c r="E220"/>
      <c r="F220"/>
      <c r="G220"/>
      <c r="H220"/>
    </row>
    <row r="221" spans="1:8" x14ac:dyDescent="0.3">
      <c r="A221" s="154"/>
      <c r="B221" s="154"/>
      <c r="C221"/>
      <c r="D221"/>
      <c r="E221"/>
      <c r="F221"/>
      <c r="G221"/>
      <c r="H221"/>
    </row>
    <row r="222" spans="1:8" x14ac:dyDescent="0.3">
      <c r="A222" s="154"/>
      <c r="B222" s="154"/>
      <c r="C222"/>
      <c r="D222"/>
      <c r="E222"/>
      <c r="F222"/>
      <c r="G222"/>
      <c r="H222"/>
    </row>
    <row r="223" spans="1:8" x14ac:dyDescent="0.3">
      <c r="A223" s="154"/>
      <c r="B223" s="154"/>
      <c r="C223"/>
      <c r="D223"/>
      <c r="E223"/>
      <c r="F223"/>
      <c r="G223"/>
      <c r="H223"/>
    </row>
    <row r="224" spans="1:8" x14ac:dyDescent="0.3">
      <c r="A224" s="154"/>
      <c r="B224" s="154"/>
      <c r="C224"/>
      <c r="D224"/>
      <c r="E224"/>
      <c r="F224"/>
      <c r="G224"/>
      <c r="H224"/>
    </row>
    <row r="225" spans="1:8" x14ac:dyDescent="0.3">
      <c r="A225" s="154"/>
      <c r="B225" s="154"/>
      <c r="C225"/>
      <c r="D225"/>
      <c r="E225"/>
      <c r="F225"/>
      <c r="G225"/>
      <c r="H225"/>
    </row>
    <row r="226" spans="1:8" x14ac:dyDescent="0.3">
      <c r="A226" s="154"/>
      <c r="B226" s="154"/>
      <c r="C226"/>
      <c r="D226"/>
      <c r="E226"/>
      <c r="F226"/>
      <c r="G226"/>
      <c r="H226"/>
    </row>
    <row r="227" spans="1:8" x14ac:dyDescent="0.3">
      <c r="A227" s="154"/>
      <c r="B227" s="154"/>
      <c r="C227"/>
      <c r="D227"/>
      <c r="E227"/>
      <c r="F227"/>
      <c r="G227"/>
      <c r="H227"/>
    </row>
    <row r="228" spans="1:8" x14ac:dyDescent="0.3">
      <c r="A228" s="154"/>
      <c r="B228" s="154"/>
      <c r="C228"/>
      <c r="D228"/>
      <c r="E228"/>
      <c r="F228"/>
      <c r="G228"/>
      <c r="H228"/>
    </row>
    <row r="229" spans="1:8" x14ac:dyDescent="0.3">
      <c r="A229" s="154"/>
      <c r="B229" s="154"/>
      <c r="C229"/>
      <c r="D229"/>
      <c r="E229"/>
      <c r="F229"/>
      <c r="G229"/>
      <c r="H229"/>
    </row>
    <row r="230" spans="1:8" x14ac:dyDescent="0.3">
      <c r="A230" s="154"/>
      <c r="B230" s="154"/>
      <c r="C230"/>
      <c r="D230"/>
      <c r="E230"/>
      <c r="F230"/>
      <c r="G230"/>
      <c r="H230"/>
    </row>
    <row r="231" spans="1:8" x14ac:dyDescent="0.3">
      <c r="A231" s="154"/>
      <c r="B231" s="154"/>
      <c r="C231"/>
      <c r="D231"/>
      <c r="E231"/>
      <c r="F231"/>
      <c r="G231"/>
      <c r="H231"/>
    </row>
    <row r="232" spans="1:8" x14ac:dyDescent="0.3">
      <c r="A232" s="154"/>
      <c r="B232" s="154"/>
      <c r="C232"/>
      <c r="D232"/>
      <c r="E232"/>
      <c r="F232"/>
      <c r="G232"/>
      <c r="H232"/>
    </row>
    <row r="233" spans="1:8" x14ac:dyDescent="0.3">
      <c r="A233" s="154"/>
      <c r="B233" s="154"/>
      <c r="C233"/>
      <c r="D233"/>
      <c r="E233"/>
      <c r="F233"/>
      <c r="G233"/>
      <c r="H233"/>
    </row>
    <row r="234" spans="1:8" x14ac:dyDescent="0.3">
      <c r="A234" s="154"/>
      <c r="B234" s="154"/>
      <c r="C234"/>
      <c r="D234"/>
      <c r="E234"/>
      <c r="F234"/>
      <c r="G234"/>
      <c r="H234"/>
    </row>
    <row r="235" spans="1:8" x14ac:dyDescent="0.3">
      <c r="A235" s="154"/>
      <c r="B235" s="154"/>
      <c r="C235"/>
      <c r="D235"/>
      <c r="E235"/>
      <c r="F235"/>
      <c r="G235"/>
      <c r="H235"/>
    </row>
    <row r="236" spans="1:8" x14ac:dyDescent="0.3">
      <c r="A236" s="154"/>
      <c r="B236" s="154"/>
      <c r="C236"/>
      <c r="D236"/>
      <c r="E236"/>
      <c r="F236"/>
      <c r="G236"/>
      <c r="H236"/>
    </row>
    <row r="237" spans="1:8" x14ac:dyDescent="0.3">
      <c r="A237" s="154"/>
      <c r="B237" s="154"/>
      <c r="C237"/>
      <c r="D237"/>
      <c r="E237"/>
      <c r="F237"/>
      <c r="G237"/>
      <c r="H237"/>
    </row>
    <row r="238" spans="1:8" x14ac:dyDescent="0.3">
      <c r="A238" s="154"/>
      <c r="B238" s="154"/>
      <c r="C238"/>
      <c r="D238"/>
      <c r="E238"/>
      <c r="F238"/>
      <c r="G238"/>
      <c r="H238"/>
    </row>
    <row r="239" spans="1:8" x14ac:dyDescent="0.3">
      <c r="A239" s="154"/>
      <c r="B239" s="154"/>
      <c r="C239"/>
      <c r="D239"/>
      <c r="E239"/>
      <c r="F239"/>
      <c r="G239"/>
      <c r="H239"/>
    </row>
    <row r="240" spans="1:8" x14ac:dyDescent="0.3">
      <c r="A240" s="154"/>
      <c r="B240" s="154"/>
      <c r="C240"/>
      <c r="D240"/>
      <c r="E240"/>
      <c r="F240"/>
      <c r="G240"/>
      <c r="H240"/>
    </row>
    <row r="241" spans="1:8" x14ac:dyDescent="0.3">
      <c r="A241" s="154"/>
      <c r="B241" s="154"/>
      <c r="C241"/>
      <c r="D241"/>
      <c r="E241"/>
      <c r="F241"/>
      <c r="G241"/>
      <c r="H241"/>
    </row>
    <row r="242" spans="1:8" x14ac:dyDescent="0.3">
      <c r="A242" s="154"/>
      <c r="B242" s="154"/>
      <c r="C242"/>
      <c r="D242"/>
      <c r="E242"/>
      <c r="F242"/>
      <c r="G242"/>
      <c r="H242"/>
    </row>
    <row r="243" spans="1:8" x14ac:dyDescent="0.3">
      <c r="A243" s="154"/>
      <c r="B243" s="154"/>
      <c r="C243"/>
      <c r="D243"/>
      <c r="E243"/>
      <c r="F243"/>
      <c r="G243"/>
      <c r="H243"/>
    </row>
    <row r="244" spans="1:8" x14ac:dyDescent="0.3">
      <c r="A244" s="154"/>
      <c r="B244" s="154"/>
      <c r="C244"/>
      <c r="D244"/>
      <c r="E244"/>
      <c r="F244"/>
      <c r="G244"/>
      <c r="H244"/>
    </row>
    <row r="245" spans="1:8" x14ac:dyDescent="0.3">
      <c r="A245" s="154"/>
      <c r="B245" s="154"/>
      <c r="C245"/>
      <c r="D245"/>
      <c r="E245"/>
      <c r="F245"/>
      <c r="G245"/>
      <c r="H245"/>
    </row>
    <row r="246" spans="1:8" x14ac:dyDescent="0.3">
      <c r="A246" s="154"/>
      <c r="B246" s="154"/>
      <c r="C246"/>
      <c r="D246"/>
      <c r="E246"/>
      <c r="F246"/>
      <c r="G246"/>
      <c r="H246"/>
    </row>
    <row r="247" spans="1:8" x14ac:dyDescent="0.3">
      <c r="A247" s="154"/>
      <c r="B247" s="154"/>
      <c r="C247"/>
      <c r="D247"/>
      <c r="E247"/>
      <c r="F247"/>
      <c r="G247"/>
      <c r="H247"/>
    </row>
    <row r="248" spans="1:8" x14ac:dyDescent="0.3">
      <c r="A248" s="154"/>
      <c r="B248" s="154"/>
      <c r="C248"/>
      <c r="D248"/>
      <c r="E248"/>
      <c r="F248"/>
      <c r="G248"/>
      <c r="H248"/>
    </row>
    <row r="249" spans="1:8" x14ac:dyDescent="0.3">
      <c r="A249" s="154"/>
      <c r="B249" s="154"/>
      <c r="C249"/>
      <c r="D249"/>
      <c r="E249"/>
      <c r="F249"/>
      <c r="G249"/>
      <c r="H249"/>
    </row>
    <row r="250" spans="1:8" x14ac:dyDescent="0.3">
      <c r="A250" s="154"/>
      <c r="B250" s="154"/>
      <c r="C250"/>
      <c r="D250"/>
      <c r="E250"/>
      <c r="F250"/>
      <c r="G250"/>
      <c r="H250"/>
    </row>
    <row r="251" spans="1:8" x14ac:dyDescent="0.3">
      <c r="A251" s="154"/>
      <c r="B251" s="154"/>
      <c r="C251"/>
      <c r="D251"/>
      <c r="E251"/>
      <c r="F251"/>
      <c r="G251"/>
      <c r="H251"/>
    </row>
    <row r="252" spans="1:8" x14ac:dyDescent="0.3">
      <c r="A252" s="154"/>
      <c r="B252" s="154"/>
      <c r="C252"/>
      <c r="D252"/>
      <c r="E252"/>
      <c r="F252"/>
      <c r="G252"/>
      <c r="H252"/>
    </row>
    <row r="253" spans="1:8" x14ac:dyDescent="0.3">
      <c r="A253" s="154"/>
      <c r="B253" s="154"/>
      <c r="C253"/>
      <c r="D253"/>
      <c r="E253"/>
      <c r="F253"/>
      <c r="G253"/>
      <c r="H253"/>
    </row>
  </sheetData>
  <pageMargins left="0.7" right="0.7" top="0.75" bottom="0.75" header="0.3" footer="0.3"/>
  <pageSetup orientation="portrait" verticalDpi="4294967292"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D43BC-1640-4801-B94C-F4143CC44A5A}">
  <sheetPr codeName="Sheet12"/>
  <dimension ref="A1:J32373"/>
  <sheetViews>
    <sheetView workbookViewId="0">
      <selection activeCell="A2" sqref="A2:A15"/>
    </sheetView>
  </sheetViews>
  <sheetFormatPr defaultRowHeight="14.4" x14ac:dyDescent="0.3"/>
  <cols>
    <col min="1" max="1" width="53.88671875" customWidth="1"/>
    <col min="2" max="2" width="25.109375" bestFit="1" customWidth="1"/>
    <col min="3" max="3" width="52.5546875" bestFit="1" customWidth="1"/>
    <col min="4" max="4" width="26.88671875" bestFit="1" customWidth="1"/>
    <col min="9" max="9" width="49" customWidth="1"/>
    <col min="10" max="10" width="43.88671875" customWidth="1"/>
  </cols>
  <sheetData>
    <row r="1" spans="1:10" x14ac:dyDescent="0.3">
      <c r="A1" s="106" t="s">
        <v>3</v>
      </c>
      <c r="B1" t="s">
        <v>981</v>
      </c>
      <c r="C1" t="s">
        <v>36385</v>
      </c>
      <c r="I1" t="s">
        <v>9873</v>
      </c>
      <c r="J1" t="s">
        <v>981</v>
      </c>
    </row>
    <row r="2" spans="1:10" x14ac:dyDescent="0.3">
      <c r="A2" s="108"/>
      <c r="B2" t="e">
        <f>VLOOKUP(A2,I:J,2,FALSE)</f>
        <v>#N/A</v>
      </c>
      <c r="C2" t="e">
        <f>VLOOKUP(B2,'DF Status Report'!C:J,8,FALSE)</f>
        <v>#N/A</v>
      </c>
      <c r="D2" s="167"/>
      <c r="I2" t="s">
        <v>9874</v>
      </c>
      <c r="J2" t="s">
        <v>982</v>
      </c>
    </row>
    <row r="3" spans="1:10" x14ac:dyDescent="0.3">
      <c r="A3" s="108"/>
      <c r="B3" t="e">
        <f t="shared" ref="B3:B15" si="0">VLOOKUP(A3,I:J,2,FALSE)</f>
        <v>#N/A</v>
      </c>
      <c r="C3" t="e">
        <f>VLOOKUP(B3,'DF Status Report'!C:J,8,FALSE)</f>
        <v>#N/A</v>
      </c>
      <c r="D3" s="167"/>
      <c r="I3" t="s">
        <v>9875</v>
      </c>
      <c r="J3" t="s">
        <v>983</v>
      </c>
    </row>
    <row r="4" spans="1:10" x14ac:dyDescent="0.3">
      <c r="A4" s="108"/>
      <c r="B4" t="e">
        <f t="shared" si="0"/>
        <v>#N/A</v>
      </c>
      <c r="C4" t="e">
        <f>VLOOKUP(B4,'DF Status Report'!C:J,8,FALSE)</f>
        <v>#N/A</v>
      </c>
      <c r="D4" s="167"/>
      <c r="I4" t="s">
        <v>9876</v>
      </c>
      <c r="J4" t="s">
        <v>984</v>
      </c>
    </row>
    <row r="5" spans="1:10" x14ac:dyDescent="0.3">
      <c r="B5" t="e">
        <f t="shared" si="0"/>
        <v>#N/A</v>
      </c>
      <c r="C5" t="e">
        <f>VLOOKUP(B5,'DF Status Report'!C:J,8,FALSE)</f>
        <v>#N/A</v>
      </c>
      <c r="D5" s="167"/>
      <c r="I5" t="s">
        <v>9877</v>
      </c>
      <c r="J5" t="s">
        <v>110</v>
      </c>
    </row>
    <row r="6" spans="1:10" x14ac:dyDescent="0.3">
      <c r="B6" t="e">
        <f t="shared" si="0"/>
        <v>#N/A</v>
      </c>
      <c r="C6" t="e">
        <f>VLOOKUP(B6,'DF Status Report'!C:J,8,FALSE)</f>
        <v>#N/A</v>
      </c>
      <c r="D6" s="167"/>
      <c r="I6" t="s">
        <v>9877</v>
      </c>
      <c r="J6" t="s">
        <v>110</v>
      </c>
    </row>
    <row r="7" spans="1:10" x14ac:dyDescent="0.3">
      <c r="B7" t="e">
        <f t="shared" si="0"/>
        <v>#N/A</v>
      </c>
      <c r="C7" t="e">
        <f>VLOOKUP(B7,'DF Status Report'!C:J,8,FALSE)</f>
        <v>#N/A</v>
      </c>
      <c r="D7" s="167"/>
      <c r="I7" t="s">
        <v>9878</v>
      </c>
      <c r="J7" t="s">
        <v>110</v>
      </c>
    </row>
    <row r="8" spans="1:10" x14ac:dyDescent="0.3">
      <c r="B8" t="e">
        <f t="shared" si="0"/>
        <v>#N/A</v>
      </c>
      <c r="C8" t="e">
        <f>VLOOKUP(B8,'DF Status Report'!C:J,8,FALSE)</f>
        <v>#N/A</v>
      </c>
      <c r="D8" s="167"/>
      <c r="I8" t="s">
        <v>9879</v>
      </c>
      <c r="J8" t="s">
        <v>110</v>
      </c>
    </row>
    <row r="9" spans="1:10" x14ac:dyDescent="0.3">
      <c r="B9" t="e">
        <f t="shared" si="0"/>
        <v>#N/A</v>
      </c>
      <c r="C9" t="e">
        <f>VLOOKUP(B9,'DF Status Report'!C:J,8,FALSE)</f>
        <v>#N/A</v>
      </c>
      <c r="D9" s="167"/>
      <c r="I9" t="s">
        <v>9880</v>
      </c>
      <c r="J9" t="s">
        <v>961</v>
      </c>
    </row>
    <row r="10" spans="1:10" x14ac:dyDescent="0.3">
      <c r="B10" t="e">
        <f t="shared" si="0"/>
        <v>#N/A</v>
      </c>
      <c r="C10" t="e">
        <f>VLOOKUP(B10,'DF Status Report'!C:J,8,FALSE)</f>
        <v>#N/A</v>
      </c>
      <c r="D10" s="167"/>
      <c r="I10" t="s">
        <v>9881</v>
      </c>
      <c r="J10" t="s">
        <v>985</v>
      </c>
    </row>
    <row r="11" spans="1:10" x14ac:dyDescent="0.3">
      <c r="B11" t="e">
        <f t="shared" si="0"/>
        <v>#N/A</v>
      </c>
      <c r="C11" t="e">
        <f>VLOOKUP(B11,'DF Status Report'!C:J,8,FALSE)</f>
        <v>#N/A</v>
      </c>
      <c r="D11" s="167"/>
      <c r="I11" t="s">
        <v>9882</v>
      </c>
      <c r="J11" t="s">
        <v>986</v>
      </c>
    </row>
    <row r="12" spans="1:10" x14ac:dyDescent="0.3">
      <c r="B12" t="e">
        <f t="shared" si="0"/>
        <v>#N/A</v>
      </c>
      <c r="C12" t="e">
        <f>VLOOKUP(B12,'DF Status Report'!C:J,8,FALSE)</f>
        <v>#N/A</v>
      </c>
      <c r="D12" s="167"/>
      <c r="I12" t="s">
        <v>9883</v>
      </c>
      <c r="J12" t="s">
        <v>986</v>
      </c>
    </row>
    <row r="13" spans="1:10" x14ac:dyDescent="0.3">
      <c r="B13" t="e">
        <f t="shared" si="0"/>
        <v>#N/A</v>
      </c>
      <c r="C13" t="e">
        <f>VLOOKUP(B13,'DF Status Report'!C:J,8,FALSE)</f>
        <v>#N/A</v>
      </c>
      <c r="D13" s="167"/>
      <c r="I13" t="s">
        <v>9883</v>
      </c>
      <c r="J13" t="s">
        <v>986</v>
      </c>
    </row>
    <row r="14" spans="1:10" x14ac:dyDescent="0.3">
      <c r="B14" t="e">
        <f t="shared" si="0"/>
        <v>#N/A</v>
      </c>
      <c r="C14" t="e">
        <f>VLOOKUP(B14,'DF Status Report'!C:J,8,FALSE)</f>
        <v>#N/A</v>
      </c>
      <c r="D14" s="167"/>
      <c r="I14" t="s">
        <v>9884</v>
      </c>
      <c r="J14" t="s">
        <v>128</v>
      </c>
    </row>
    <row r="15" spans="1:10" x14ac:dyDescent="0.3">
      <c r="B15" t="e">
        <f t="shared" si="0"/>
        <v>#N/A</v>
      </c>
      <c r="C15" t="e">
        <f>VLOOKUP(B15,'DF Status Report'!C:J,8,FALSE)</f>
        <v>#N/A</v>
      </c>
      <c r="D15" s="167"/>
      <c r="I15" t="s">
        <v>9885</v>
      </c>
      <c r="J15" t="s">
        <v>140</v>
      </c>
    </row>
    <row r="16" spans="1:10" x14ac:dyDescent="0.3">
      <c r="D16" s="167"/>
      <c r="I16" t="s">
        <v>9885</v>
      </c>
      <c r="J16" t="s">
        <v>140</v>
      </c>
    </row>
    <row r="17" spans="4:10" x14ac:dyDescent="0.3">
      <c r="D17" s="167"/>
      <c r="I17" t="s">
        <v>9886</v>
      </c>
      <c r="J17" t="s">
        <v>987</v>
      </c>
    </row>
    <row r="18" spans="4:10" x14ac:dyDescent="0.3">
      <c r="D18" s="167"/>
      <c r="I18" t="s">
        <v>9887</v>
      </c>
      <c r="J18" t="s">
        <v>152</v>
      </c>
    </row>
    <row r="19" spans="4:10" x14ac:dyDescent="0.3">
      <c r="D19" s="167"/>
      <c r="I19" t="s">
        <v>9888</v>
      </c>
      <c r="J19" t="s">
        <v>152</v>
      </c>
    </row>
    <row r="20" spans="4:10" x14ac:dyDescent="0.3">
      <c r="D20" s="168"/>
      <c r="I20" t="s">
        <v>9887</v>
      </c>
      <c r="J20" t="s">
        <v>152</v>
      </c>
    </row>
    <row r="21" spans="4:10" x14ac:dyDescent="0.3">
      <c r="D21" s="168"/>
      <c r="I21" t="s">
        <v>9889</v>
      </c>
      <c r="J21" t="s">
        <v>158</v>
      </c>
    </row>
    <row r="22" spans="4:10" ht="15" thickBot="1" x14ac:dyDescent="0.35">
      <c r="D22" s="169"/>
      <c r="I22" t="s">
        <v>9889</v>
      </c>
      <c r="J22" t="s">
        <v>158</v>
      </c>
    </row>
    <row r="23" spans="4:10" x14ac:dyDescent="0.3">
      <c r="D23" s="170"/>
      <c r="I23" t="s">
        <v>9889</v>
      </c>
      <c r="J23" t="s">
        <v>158</v>
      </c>
    </row>
    <row r="24" spans="4:10" x14ac:dyDescent="0.3">
      <c r="D24" s="170"/>
      <c r="I24" t="s">
        <v>9890</v>
      </c>
      <c r="J24" t="s">
        <v>107</v>
      </c>
    </row>
    <row r="25" spans="4:10" x14ac:dyDescent="0.3">
      <c r="D25" s="170"/>
      <c r="I25" t="s">
        <v>9891</v>
      </c>
      <c r="J25" t="s">
        <v>988</v>
      </c>
    </row>
    <row r="26" spans="4:10" x14ac:dyDescent="0.3">
      <c r="D26" s="170"/>
      <c r="I26" t="s">
        <v>9891</v>
      </c>
      <c r="J26" t="s">
        <v>988</v>
      </c>
    </row>
    <row r="27" spans="4:10" x14ac:dyDescent="0.3">
      <c r="D27" s="170"/>
      <c r="I27" t="s">
        <v>9892</v>
      </c>
      <c r="J27" t="s">
        <v>169</v>
      </c>
    </row>
    <row r="28" spans="4:10" x14ac:dyDescent="0.3">
      <c r="D28" s="170"/>
      <c r="I28" t="s">
        <v>9892</v>
      </c>
      <c r="J28" t="s">
        <v>169</v>
      </c>
    </row>
    <row r="29" spans="4:10" x14ac:dyDescent="0.3">
      <c r="D29" s="170"/>
      <c r="I29" t="s">
        <v>9893</v>
      </c>
      <c r="J29" t="s">
        <v>169</v>
      </c>
    </row>
    <row r="30" spans="4:10" x14ac:dyDescent="0.3">
      <c r="D30" s="170"/>
      <c r="I30" t="s">
        <v>9892</v>
      </c>
      <c r="J30" t="s">
        <v>169</v>
      </c>
    </row>
    <row r="31" spans="4:10" x14ac:dyDescent="0.3">
      <c r="D31" s="170"/>
      <c r="I31" t="s">
        <v>9894</v>
      </c>
      <c r="J31" t="s">
        <v>170</v>
      </c>
    </row>
    <row r="32" spans="4:10" x14ac:dyDescent="0.3">
      <c r="D32" s="170"/>
      <c r="I32" t="s">
        <v>9895</v>
      </c>
      <c r="J32" t="s">
        <v>170</v>
      </c>
    </row>
    <row r="33" spans="4:10" x14ac:dyDescent="0.3">
      <c r="D33" s="170"/>
      <c r="I33" t="s">
        <v>9896</v>
      </c>
      <c r="J33" t="s">
        <v>170</v>
      </c>
    </row>
    <row r="34" spans="4:10" x14ac:dyDescent="0.3">
      <c r="D34" s="170"/>
      <c r="I34" t="s">
        <v>9897</v>
      </c>
      <c r="J34" t="s">
        <v>989</v>
      </c>
    </row>
    <row r="35" spans="4:10" x14ac:dyDescent="0.3">
      <c r="D35" s="170"/>
      <c r="I35" t="s">
        <v>9898</v>
      </c>
      <c r="J35" t="s">
        <v>989</v>
      </c>
    </row>
    <row r="36" spans="4:10" x14ac:dyDescent="0.3">
      <c r="D36" s="170"/>
      <c r="I36" t="s">
        <v>9899</v>
      </c>
      <c r="J36" t="s">
        <v>989</v>
      </c>
    </row>
    <row r="37" spans="4:10" x14ac:dyDescent="0.3">
      <c r="D37" s="170"/>
      <c r="I37" t="s">
        <v>9899</v>
      </c>
      <c r="J37" t="s">
        <v>989</v>
      </c>
    </row>
    <row r="38" spans="4:10" x14ac:dyDescent="0.3">
      <c r="D38" s="170"/>
      <c r="I38" t="s">
        <v>9900</v>
      </c>
      <c r="J38" t="s">
        <v>989</v>
      </c>
    </row>
    <row r="39" spans="4:10" x14ac:dyDescent="0.3">
      <c r="D39" s="170"/>
      <c r="I39" t="s">
        <v>9901</v>
      </c>
      <c r="J39" t="s">
        <v>989</v>
      </c>
    </row>
    <row r="40" spans="4:10" x14ac:dyDescent="0.3">
      <c r="D40" s="170"/>
      <c r="I40" t="s">
        <v>9900</v>
      </c>
      <c r="J40" t="s">
        <v>989</v>
      </c>
    </row>
    <row r="41" spans="4:10" x14ac:dyDescent="0.3">
      <c r="I41" t="s">
        <v>9902</v>
      </c>
      <c r="J41" t="s">
        <v>989</v>
      </c>
    </row>
    <row r="42" spans="4:10" x14ac:dyDescent="0.3">
      <c r="I42" t="s">
        <v>9903</v>
      </c>
      <c r="J42" t="s">
        <v>989</v>
      </c>
    </row>
    <row r="43" spans="4:10" x14ac:dyDescent="0.3">
      <c r="I43" t="s">
        <v>9900</v>
      </c>
      <c r="J43" t="s">
        <v>989</v>
      </c>
    </row>
    <row r="44" spans="4:10" x14ac:dyDescent="0.3">
      <c r="I44" t="s">
        <v>9904</v>
      </c>
      <c r="J44" t="s">
        <v>989</v>
      </c>
    </row>
    <row r="45" spans="4:10" x14ac:dyDescent="0.3">
      <c r="I45" t="s">
        <v>9905</v>
      </c>
      <c r="J45" t="s">
        <v>989</v>
      </c>
    </row>
    <row r="46" spans="4:10" x14ac:dyDescent="0.3">
      <c r="I46" t="s">
        <v>9899</v>
      </c>
      <c r="J46" t="s">
        <v>989</v>
      </c>
    </row>
    <row r="47" spans="4:10" x14ac:dyDescent="0.3">
      <c r="I47" t="s">
        <v>9899</v>
      </c>
      <c r="J47" t="s">
        <v>989</v>
      </c>
    </row>
    <row r="48" spans="4:10" x14ac:dyDescent="0.3">
      <c r="I48" t="s">
        <v>9899</v>
      </c>
      <c r="J48" t="s">
        <v>989</v>
      </c>
    </row>
    <row r="49" spans="9:10" x14ac:dyDescent="0.3">
      <c r="I49" t="s">
        <v>9899</v>
      </c>
      <c r="J49" t="s">
        <v>989</v>
      </c>
    </row>
    <row r="50" spans="9:10" x14ac:dyDescent="0.3">
      <c r="I50" t="s">
        <v>9899</v>
      </c>
      <c r="J50" t="s">
        <v>989</v>
      </c>
    </row>
    <row r="51" spans="9:10" x14ac:dyDescent="0.3">
      <c r="I51" t="s">
        <v>9899</v>
      </c>
      <c r="J51" t="s">
        <v>989</v>
      </c>
    </row>
    <row r="52" spans="9:10" x14ac:dyDescent="0.3">
      <c r="I52" t="s">
        <v>9906</v>
      </c>
      <c r="J52" t="s">
        <v>177</v>
      </c>
    </row>
    <row r="53" spans="9:10" x14ac:dyDescent="0.3">
      <c r="I53" t="s">
        <v>9907</v>
      </c>
      <c r="J53" t="s">
        <v>177</v>
      </c>
    </row>
    <row r="54" spans="9:10" x14ac:dyDescent="0.3">
      <c r="I54" t="s">
        <v>9907</v>
      </c>
      <c r="J54" t="s">
        <v>177</v>
      </c>
    </row>
    <row r="55" spans="9:10" x14ac:dyDescent="0.3">
      <c r="I55" t="s">
        <v>9907</v>
      </c>
      <c r="J55" t="s">
        <v>177</v>
      </c>
    </row>
    <row r="56" spans="9:10" x14ac:dyDescent="0.3">
      <c r="I56" t="s">
        <v>9907</v>
      </c>
      <c r="J56" t="s">
        <v>177</v>
      </c>
    </row>
    <row r="57" spans="9:10" x14ac:dyDescent="0.3">
      <c r="I57" t="s">
        <v>9907</v>
      </c>
      <c r="J57" t="s">
        <v>177</v>
      </c>
    </row>
    <row r="58" spans="9:10" x14ac:dyDescent="0.3">
      <c r="I58" t="s">
        <v>9907</v>
      </c>
      <c r="J58" t="s">
        <v>177</v>
      </c>
    </row>
    <row r="59" spans="9:10" x14ac:dyDescent="0.3">
      <c r="I59" t="s">
        <v>9907</v>
      </c>
      <c r="J59" t="s">
        <v>177</v>
      </c>
    </row>
    <row r="60" spans="9:10" x14ac:dyDescent="0.3">
      <c r="I60" t="s">
        <v>9908</v>
      </c>
      <c r="J60" t="s">
        <v>177</v>
      </c>
    </row>
    <row r="61" spans="9:10" x14ac:dyDescent="0.3">
      <c r="I61" t="s">
        <v>9907</v>
      </c>
      <c r="J61" t="s">
        <v>177</v>
      </c>
    </row>
    <row r="62" spans="9:10" x14ac:dyDescent="0.3">
      <c r="I62" t="s">
        <v>9907</v>
      </c>
      <c r="J62" t="s">
        <v>177</v>
      </c>
    </row>
    <row r="63" spans="9:10" x14ac:dyDescent="0.3">
      <c r="I63" t="s">
        <v>9907</v>
      </c>
      <c r="J63" t="s">
        <v>177</v>
      </c>
    </row>
    <row r="64" spans="9:10" x14ac:dyDescent="0.3">
      <c r="I64" t="s">
        <v>9909</v>
      </c>
      <c r="J64" t="s">
        <v>177</v>
      </c>
    </row>
    <row r="65" spans="9:10" x14ac:dyDescent="0.3">
      <c r="I65" t="s">
        <v>9910</v>
      </c>
      <c r="J65" t="s">
        <v>177</v>
      </c>
    </row>
    <row r="66" spans="9:10" x14ac:dyDescent="0.3">
      <c r="I66" t="s">
        <v>9911</v>
      </c>
      <c r="J66" t="s">
        <v>177</v>
      </c>
    </row>
    <row r="67" spans="9:10" x14ac:dyDescent="0.3">
      <c r="I67" t="s">
        <v>9912</v>
      </c>
      <c r="J67" t="s">
        <v>177</v>
      </c>
    </row>
    <row r="68" spans="9:10" x14ac:dyDescent="0.3">
      <c r="I68" t="s">
        <v>9913</v>
      </c>
      <c r="J68" t="s">
        <v>177</v>
      </c>
    </row>
    <row r="69" spans="9:10" x14ac:dyDescent="0.3">
      <c r="I69" t="s">
        <v>9914</v>
      </c>
      <c r="J69" t="s">
        <v>177</v>
      </c>
    </row>
    <row r="70" spans="9:10" x14ac:dyDescent="0.3">
      <c r="I70" t="s">
        <v>9915</v>
      </c>
      <c r="J70" t="s">
        <v>177</v>
      </c>
    </row>
    <row r="71" spans="9:10" x14ac:dyDescent="0.3">
      <c r="I71" t="s">
        <v>9916</v>
      </c>
      <c r="J71" t="s">
        <v>177</v>
      </c>
    </row>
    <row r="72" spans="9:10" x14ac:dyDescent="0.3">
      <c r="I72" t="s">
        <v>9917</v>
      </c>
      <c r="J72" t="s">
        <v>177</v>
      </c>
    </row>
    <row r="73" spans="9:10" x14ac:dyDescent="0.3">
      <c r="I73" t="s">
        <v>9918</v>
      </c>
      <c r="J73" t="s">
        <v>177</v>
      </c>
    </row>
    <row r="74" spans="9:10" x14ac:dyDescent="0.3">
      <c r="I74" t="s">
        <v>9919</v>
      </c>
      <c r="J74" t="s">
        <v>177</v>
      </c>
    </row>
    <row r="75" spans="9:10" x14ac:dyDescent="0.3">
      <c r="I75" t="s">
        <v>9920</v>
      </c>
      <c r="J75" t="s">
        <v>177</v>
      </c>
    </row>
    <row r="76" spans="9:10" x14ac:dyDescent="0.3">
      <c r="I76" t="s">
        <v>9921</v>
      </c>
      <c r="J76" t="s">
        <v>177</v>
      </c>
    </row>
    <row r="77" spans="9:10" x14ac:dyDescent="0.3">
      <c r="I77" t="s">
        <v>9922</v>
      </c>
      <c r="J77" t="s">
        <v>177</v>
      </c>
    </row>
    <row r="78" spans="9:10" x14ac:dyDescent="0.3">
      <c r="I78" t="s">
        <v>9923</v>
      </c>
      <c r="J78" t="s">
        <v>177</v>
      </c>
    </row>
    <row r="79" spans="9:10" x14ac:dyDescent="0.3">
      <c r="I79" t="s">
        <v>9924</v>
      </c>
      <c r="J79" t="s">
        <v>177</v>
      </c>
    </row>
    <row r="80" spans="9:10" x14ac:dyDescent="0.3">
      <c r="I80" t="s">
        <v>9925</v>
      </c>
      <c r="J80" t="s">
        <v>177</v>
      </c>
    </row>
    <row r="81" spans="9:10" x14ac:dyDescent="0.3">
      <c r="I81" t="s">
        <v>9926</v>
      </c>
      <c r="J81" t="s">
        <v>177</v>
      </c>
    </row>
    <row r="82" spans="9:10" x14ac:dyDescent="0.3">
      <c r="I82" t="s">
        <v>9927</v>
      </c>
      <c r="J82" t="s">
        <v>177</v>
      </c>
    </row>
    <row r="83" spans="9:10" x14ac:dyDescent="0.3">
      <c r="I83" t="s">
        <v>9928</v>
      </c>
      <c r="J83" t="s">
        <v>177</v>
      </c>
    </row>
    <row r="84" spans="9:10" x14ac:dyDescent="0.3">
      <c r="I84" t="s">
        <v>9924</v>
      </c>
      <c r="J84" t="s">
        <v>177</v>
      </c>
    </row>
    <row r="85" spans="9:10" x14ac:dyDescent="0.3">
      <c r="I85" t="s">
        <v>9907</v>
      </c>
      <c r="J85" t="s">
        <v>177</v>
      </c>
    </row>
    <row r="86" spans="9:10" x14ac:dyDescent="0.3">
      <c r="I86" t="s">
        <v>9909</v>
      </c>
      <c r="J86" t="s">
        <v>177</v>
      </c>
    </row>
    <row r="87" spans="9:10" x14ac:dyDescent="0.3">
      <c r="I87" t="s">
        <v>9909</v>
      </c>
      <c r="J87" t="s">
        <v>177</v>
      </c>
    </row>
    <row r="88" spans="9:10" x14ac:dyDescent="0.3">
      <c r="I88" t="s">
        <v>9907</v>
      </c>
      <c r="J88" t="s">
        <v>177</v>
      </c>
    </row>
    <row r="89" spans="9:10" x14ac:dyDescent="0.3">
      <c r="I89" t="s">
        <v>9909</v>
      </c>
      <c r="J89" t="s">
        <v>177</v>
      </c>
    </row>
    <row r="90" spans="9:10" x14ac:dyDescent="0.3">
      <c r="I90" t="s">
        <v>9907</v>
      </c>
      <c r="J90" t="s">
        <v>177</v>
      </c>
    </row>
    <row r="91" spans="9:10" x14ac:dyDescent="0.3">
      <c r="I91" t="s">
        <v>9909</v>
      </c>
      <c r="J91" t="s">
        <v>177</v>
      </c>
    </row>
    <row r="92" spans="9:10" x14ac:dyDescent="0.3">
      <c r="I92" t="s">
        <v>9907</v>
      </c>
      <c r="J92" t="s">
        <v>177</v>
      </c>
    </row>
    <row r="93" spans="9:10" x14ac:dyDescent="0.3">
      <c r="I93" t="s">
        <v>9909</v>
      </c>
      <c r="J93" t="s">
        <v>177</v>
      </c>
    </row>
    <row r="94" spans="9:10" x14ac:dyDescent="0.3">
      <c r="I94" t="s">
        <v>9909</v>
      </c>
      <c r="J94" t="s">
        <v>177</v>
      </c>
    </row>
    <row r="95" spans="9:10" x14ac:dyDescent="0.3">
      <c r="I95" t="s">
        <v>9909</v>
      </c>
      <c r="J95" t="s">
        <v>177</v>
      </c>
    </row>
    <row r="96" spans="9:10" x14ac:dyDescent="0.3">
      <c r="I96" t="s">
        <v>9909</v>
      </c>
      <c r="J96" t="s">
        <v>177</v>
      </c>
    </row>
    <row r="97" spans="9:10" x14ac:dyDescent="0.3">
      <c r="I97" t="s">
        <v>9907</v>
      </c>
      <c r="J97" t="s">
        <v>177</v>
      </c>
    </row>
    <row r="98" spans="9:10" x14ac:dyDescent="0.3">
      <c r="I98" t="s">
        <v>9909</v>
      </c>
      <c r="J98" t="s">
        <v>177</v>
      </c>
    </row>
    <row r="99" spans="9:10" x14ac:dyDescent="0.3">
      <c r="I99" t="s">
        <v>9909</v>
      </c>
      <c r="J99" t="s">
        <v>177</v>
      </c>
    </row>
    <row r="100" spans="9:10" x14ac:dyDescent="0.3">
      <c r="I100" t="s">
        <v>9929</v>
      </c>
      <c r="J100" t="s">
        <v>177</v>
      </c>
    </row>
    <row r="101" spans="9:10" x14ac:dyDescent="0.3">
      <c r="I101" t="s">
        <v>9909</v>
      </c>
      <c r="J101" t="s">
        <v>177</v>
      </c>
    </row>
    <row r="102" spans="9:10" x14ac:dyDescent="0.3">
      <c r="I102" t="s">
        <v>9930</v>
      </c>
      <c r="J102" t="s">
        <v>177</v>
      </c>
    </row>
    <row r="103" spans="9:10" x14ac:dyDescent="0.3">
      <c r="I103" t="s">
        <v>9931</v>
      </c>
      <c r="J103" t="s">
        <v>177</v>
      </c>
    </row>
    <row r="104" spans="9:10" x14ac:dyDescent="0.3">
      <c r="I104" t="s">
        <v>9907</v>
      </c>
      <c r="J104" t="s">
        <v>177</v>
      </c>
    </row>
    <row r="105" spans="9:10" x14ac:dyDescent="0.3">
      <c r="I105" t="s">
        <v>9907</v>
      </c>
      <c r="J105" t="s">
        <v>177</v>
      </c>
    </row>
    <row r="106" spans="9:10" x14ac:dyDescent="0.3">
      <c r="I106" t="s">
        <v>9907</v>
      </c>
      <c r="J106" t="s">
        <v>177</v>
      </c>
    </row>
    <row r="107" spans="9:10" x14ac:dyDescent="0.3">
      <c r="I107" t="s">
        <v>9909</v>
      </c>
      <c r="J107" t="s">
        <v>177</v>
      </c>
    </row>
    <row r="108" spans="9:10" x14ac:dyDescent="0.3">
      <c r="I108" t="s">
        <v>9909</v>
      </c>
      <c r="J108" t="s">
        <v>177</v>
      </c>
    </row>
    <row r="109" spans="9:10" x14ac:dyDescent="0.3">
      <c r="I109" t="s">
        <v>9907</v>
      </c>
      <c r="J109" t="s">
        <v>177</v>
      </c>
    </row>
    <row r="110" spans="9:10" x14ac:dyDescent="0.3">
      <c r="I110" t="s">
        <v>9907</v>
      </c>
      <c r="J110" t="s">
        <v>177</v>
      </c>
    </row>
    <row r="111" spans="9:10" x14ac:dyDescent="0.3">
      <c r="I111" t="s">
        <v>9907</v>
      </c>
      <c r="J111" t="s">
        <v>177</v>
      </c>
    </row>
    <row r="112" spans="9:10" x14ac:dyDescent="0.3">
      <c r="I112" t="s">
        <v>9932</v>
      </c>
      <c r="J112" t="s">
        <v>177</v>
      </c>
    </row>
    <row r="113" spans="9:10" x14ac:dyDescent="0.3">
      <c r="I113" t="s">
        <v>9907</v>
      </c>
      <c r="J113" t="s">
        <v>177</v>
      </c>
    </row>
    <row r="114" spans="9:10" x14ac:dyDescent="0.3">
      <c r="I114" t="s">
        <v>9933</v>
      </c>
      <c r="J114" t="s">
        <v>177</v>
      </c>
    </row>
    <row r="115" spans="9:10" x14ac:dyDescent="0.3">
      <c r="I115" t="s">
        <v>9907</v>
      </c>
      <c r="J115" t="s">
        <v>177</v>
      </c>
    </row>
    <row r="116" spans="9:10" x14ac:dyDescent="0.3">
      <c r="I116" t="s">
        <v>9934</v>
      </c>
      <c r="J116" t="s">
        <v>177</v>
      </c>
    </row>
    <row r="117" spans="9:10" x14ac:dyDescent="0.3">
      <c r="I117" t="s">
        <v>9935</v>
      </c>
      <c r="J117" t="s">
        <v>177</v>
      </c>
    </row>
    <row r="118" spans="9:10" x14ac:dyDescent="0.3">
      <c r="I118" t="s">
        <v>9909</v>
      </c>
      <c r="J118" t="s">
        <v>177</v>
      </c>
    </row>
    <row r="119" spans="9:10" x14ac:dyDescent="0.3">
      <c r="I119" t="s">
        <v>9909</v>
      </c>
      <c r="J119" t="s">
        <v>177</v>
      </c>
    </row>
    <row r="120" spans="9:10" x14ac:dyDescent="0.3">
      <c r="I120" t="s">
        <v>9909</v>
      </c>
      <c r="J120" t="s">
        <v>177</v>
      </c>
    </row>
    <row r="121" spans="9:10" x14ac:dyDescent="0.3">
      <c r="I121" t="s">
        <v>9907</v>
      </c>
      <c r="J121" t="s">
        <v>177</v>
      </c>
    </row>
    <row r="122" spans="9:10" x14ac:dyDescent="0.3">
      <c r="I122" t="s">
        <v>9936</v>
      </c>
      <c r="J122" t="s">
        <v>177</v>
      </c>
    </row>
    <row r="123" spans="9:10" x14ac:dyDescent="0.3">
      <c r="I123" t="s">
        <v>9920</v>
      </c>
      <c r="J123" t="s">
        <v>177</v>
      </c>
    </row>
    <row r="124" spans="9:10" x14ac:dyDescent="0.3">
      <c r="I124" t="s">
        <v>9918</v>
      </c>
      <c r="J124" t="s">
        <v>177</v>
      </c>
    </row>
    <row r="125" spans="9:10" x14ac:dyDescent="0.3">
      <c r="I125" t="s">
        <v>9911</v>
      </c>
      <c r="J125" t="s">
        <v>177</v>
      </c>
    </row>
    <row r="126" spans="9:10" x14ac:dyDescent="0.3">
      <c r="I126" t="s">
        <v>9913</v>
      </c>
      <c r="J126" t="s">
        <v>177</v>
      </c>
    </row>
    <row r="127" spans="9:10" x14ac:dyDescent="0.3">
      <c r="I127" t="s">
        <v>9914</v>
      </c>
      <c r="J127" t="s">
        <v>177</v>
      </c>
    </row>
    <row r="128" spans="9:10" x14ac:dyDescent="0.3">
      <c r="I128" t="s">
        <v>9937</v>
      </c>
      <c r="J128" t="s">
        <v>177</v>
      </c>
    </row>
    <row r="129" spans="9:10" x14ac:dyDescent="0.3">
      <c r="I129" t="s">
        <v>9909</v>
      </c>
      <c r="J129" t="s">
        <v>177</v>
      </c>
    </row>
    <row r="130" spans="9:10" x14ac:dyDescent="0.3">
      <c r="I130" t="s">
        <v>9906</v>
      </c>
      <c r="J130" t="s">
        <v>177</v>
      </c>
    </row>
    <row r="131" spans="9:10" x14ac:dyDescent="0.3">
      <c r="I131" t="s">
        <v>9928</v>
      </c>
      <c r="J131" t="s">
        <v>177</v>
      </c>
    </row>
    <row r="132" spans="9:10" x14ac:dyDescent="0.3">
      <c r="I132" t="s">
        <v>9938</v>
      </c>
      <c r="J132" t="s">
        <v>177</v>
      </c>
    </row>
    <row r="133" spans="9:10" x14ac:dyDescent="0.3">
      <c r="I133" t="s">
        <v>9939</v>
      </c>
      <c r="J133" t="s">
        <v>177</v>
      </c>
    </row>
    <row r="134" spans="9:10" x14ac:dyDescent="0.3">
      <c r="I134" t="s">
        <v>9940</v>
      </c>
      <c r="J134" t="s">
        <v>177</v>
      </c>
    </row>
    <row r="135" spans="9:10" x14ac:dyDescent="0.3">
      <c r="I135" t="s">
        <v>9941</v>
      </c>
      <c r="J135" t="s">
        <v>177</v>
      </c>
    </row>
    <row r="136" spans="9:10" x14ac:dyDescent="0.3">
      <c r="I136" t="s">
        <v>9927</v>
      </c>
      <c r="J136" t="s">
        <v>177</v>
      </c>
    </row>
    <row r="137" spans="9:10" x14ac:dyDescent="0.3">
      <c r="I137" t="s">
        <v>9909</v>
      </c>
      <c r="J137" t="s">
        <v>177</v>
      </c>
    </row>
    <row r="138" spans="9:10" x14ac:dyDescent="0.3">
      <c r="I138" t="s">
        <v>9909</v>
      </c>
      <c r="J138" t="s">
        <v>177</v>
      </c>
    </row>
    <row r="139" spans="9:10" x14ac:dyDescent="0.3">
      <c r="I139" t="s">
        <v>9909</v>
      </c>
      <c r="J139" t="s">
        <v>177</v>
      </c>
    </row>
    <row r="140" spans="9:10" x14ac:dyDescent="0.3">
      <c r="I140" t="s">
        <v>9909</v>
      </c>
      <c r="J140" t="s">
        <v>177</v>
      </c>
    </row>
    <row r="141" spans="9:10" x14ac:dyDescent="0.3">
      <c r="I141" t="s">
        <v>9908</v>
      </c>
      <c r="J141" t="s">
        <v>177</v>
      </c>
    </row>
    <row r="142" spans="9:10" x14ac:dyDescent="0.3">
      <c r="I142" t="s">
        <v>9907</v>
      </c>
      <c r="J142" t="s">
        <v>177</v>
      </c>
    </row>
    <row r="143" spans="9:10" x14ac:dyDescent="0.3">
      <c r="I143" t="s">
        <v>9909</v>
      </c>
      <c r="J143" t="s">
        <v>177</v>
      </c>
    </row>
    <row r="144" spans="9:10" x14ac:dyDescent="0.3">
      <c r="I144" t="s">
        <v>9907</v>
      </c>
      <c r="J144" t="s">
        <v>177</v>
      </c>
    </row>
    <row r="145" spans="9:10" x14ac:dyDescent="0.3">
      <c r="I145" t="s">
        <v>9942</v>
      </c>
      <c r="J145" t="s">
        <v>177</v>
      </c>
    </row>
    <row r="146" spans="9:10" x14ac:dyDescent="0.3">
      <c r="I146" t="s">
        <v>9943</v>
      </c>
      <c r="J146" t="s">
        <v>177</v>
      </c>
    </row>
    <row r="147" spans="9:10" x14ac:dyDescent="0.3">
      <c r="I147" t="s">
        <v>9907</v>
      </c>
      <c r="J147" t="s">
        <v>177</v>
      </c>
    </row>
    <row r="148" spans="9:10" x14ac:dyDescent="0.3">
      <c r="I148" t="s">
        <v>9915</v>
      </c>
      <c r="J148" t="s">
        <v>177</v>
      </c>
    </row>
    <row r="149" spans="9:10" x14ac:dyDescent="0.3">
      <c r="I149" t="s">
        <v>9917</v>
      </c>
      <c r="J149" t="s">
        <v>177</v>
      </c>
    </row>
    <row r="150" spans="9:10" x14ac:dyDescent="0.3">
      <c r="I150" t="s">
        <v>9944</v>
      </c>
      <c r="J150" t="s">
        <v>177</v>
      </c>
    </row>
    <row r="151" spans="9:10" x14ac:dyDescent="0.3">
      <c r="I151" t="s">
        <v>9945</v>
      </c>
      <c r="J151" t="s">
        <v>177</v>
      </c>
    </row>
    <row r="152" spans="9:10" x14ac:dyDescent="0.3">
      <c r="I152" t="s">
        <v>9916</v>
      </c>
      <c r="J152" t="s">
        <v>177</v>
      </c>
    </row>
    <row r="153" spans="9:10" x14ac:dyDescent="0.3">
      <c r="I153" t="s">
        <v>9939</v>
      </c>
      <c r="J153" t="s">
        <v>177</v>
      </c>
    </row>
    <row r="154" spans="9:10" x14ac:dyDescent="0.3">
      <c r="I154" t="s">
        <v>9909</v>
      </c>
      <c r="J154" t="s">
        <v>177</v>
      </c>
    </row>
    <row r="155" spans="9:10" x14ac:dyDescent="0.3">
      <c r="I155" t="s">
        <v>9909</v>
      </c>
      <c r="J155" t="s">
        <v>177</v>
      </c>
    </row>
    <row r="156" spans="9:10" x14ac:dyDescent="0.3">
      <c r="I156" t="s">
        <v>9939</v>
      </c>
      <c r="J156" t="s">
        <v>177</v>
      </c>
    </row>
    <row r="157" spans="9:10" x14ac:dyDescent="0.3">
      <c r="I157" t="s">
        <v>9937</v>
      </c>
      <c r="J157" t="s">
        <v>177</v>
      </c>
    </row>
    <row r="158" spans="9:10" x14ac:dyDescent="0.3">
      <c r="I158" t="s">
        <v>9944</v>
      </c>
      <c r="J158" t="s">
        <v>177</v>
      </c>
    </row>
    <row r="159" spans="9:10" x14ac:dyDescent="0.3">
      <c r="I159" t="s">
        <v>9945</v>
      </c>
      <c r="J159" t="s">
        <v>177</v>
      </c>
    </row>
    <row r="160" spans="9:10" x14ac:dyDescent="0.3">
      <c r="I160" t="s">
        <v>9938</v>
      </c>
      <c r="J160" t="s">
        <v>177</v>
      </c>
    </row>
    <row r="161" spans="9:10" x14ac:dyDescent="0.3">
      <c r="I161" t="s">
        <v>9946</v>
      </c>
      <c r="J161" t="s">
        <v>177</v>
      </c>
    </row>
    <row r="162" spans="9:10" x14ac:dyDescent="0.3">
      <c r="I162" t="s">
        <v>9947</v>
      </c>
      <c r="J162" t="s">
        <v>990</v>
      </c>
    </row>
    <row r="163" spans="9:10" x14ac:dyDescent="0.3">
      <c r="I163" t="s">
        <v>9948</v>
      </c>
      <c r="J163" t="s">
        <v>990</v>
      </c>
    </row>
    <row r="164" spans="9:10" x14ac:dyDescent="0.3">
      <c r="I164" t="s">
        <v>9949</v>
      </c>
      <c r="J164" t="s">
        <v>991</v>
      </c>
    </row>
    <row r="165" spans="9:10" x14ac:dyDescent="0.3">
      <c r="I165" t="s">
        <v>9950</v>
      </c>
      <c r="J165" t="s">
        <v>992</v>
      </c>
    </row>
    <row r="166" spans="9:10" x14ac:dyDescent="0.3">
      <c r="I166" t="s">
        <v>9951</v>
      </c>
      <c r="J166" t="s">
        <v>243</v>
      </c>
    </row>
    <row r="167" spans="9:10" x14ac:dyDescent="0.3">
      <c r="I167" t="s">
        <v>9951</v>
      </c>
      <c r="J167" t="s">
        <v>243</v>
      </c>
    </row>
    <row r="168" spans="9:10" x14ac:dyDescent="0.3">
      <c r="I168" t="s">
        <v>9952</v>
      </c>
      <c r="J168" t="s">
        <v>993</v>
      </c>
    </row>
    <row r="169" spans="9:10" x14ac:dyDescent="0.3">
      <c r="I169" t="s">
        <v>9953</v>
      </c>
      <c r="J169" t="s">
        <v>993</v>
      </c>
    </row>
    <row r="170" spans="9:10" x14ac:dyDescent="0.3">
      <c r="I170" t="s">
        <v>9954</v>
      </c>
      <c r="J170" t="s">
        <v>993</v>
      </c>
    </row>
    <row r="171" spans="9:10" x14ac:dyDescent="0.3">
      <c r="I171" t="s">
        <v>9954</v>
      </c>
      <c r="J171" t="s">
        <v>993</v>
      </c>
    </row>
    <row r="172" spans="9:10" x14ac:dyDescent="0.3">
      <c r="I172" t="s">
        <v>9954</v>
      </c>
      <c r="J172" t="s">
        <v>993</v>
      </c>
    </row>
    <row r="173" spans="9:10" x14ac:dyDescent="0.3">
      <c r="I173" t="s">
        <v>9954</v>
      </c>
      <c r="J173" t="s">
        <v>993</v>
      </c>
    </row>
    <row r="174" spans="9:10" x14ac:dyDescent="0.3">
      <c r="I174" t="s">
        <v>9954</v>
      </c>
      <c r="J174" t="s">
        <v>993</v>
      </c>
    </row>
    <row r="175" spans="9:10" x14ac:dyDescent="0.3">
      <c r="I175" t="s">
        <v>9954</v>
      </c>
      <c r="J175" t="s">
        <v>993</v>
      </c>
    </row>
    <row r="176" spans="9:10" x14ac:dyDescent="0.3">
      <c r="I176" t="s">
        <v>9952</v>
      </c>
      <c r="J176" t="s">
        <v>993</v>
      </c>
    </row>
    <row r="177" spans="9:10" x14ac:dyDescent="0.3">
      <c r="I177" t="s">
        <v>9954</v>
      </c>
      <c r="J177" t="s">
        <v>993</v>
      </c>
    </row>
    <row r="178" spans="9:10" x14ac:dyDescent="0.3">
      <c r="I178" t="s">
        <v>9955</v>
      </c>
      <c r="J178" t="s">
        <v>993</v>
      </c>
    </row>
    <row r="179" spans="9:10" x14ac:dyDescent="0.3">
      <c r="I179" t="s">
        <v>9956</v>
      </c>
      <c r="J179" t="s">
        <v>993</v>
      </c>
    </row>
    <row r="180" spans="9:10" x14ac:dyDescent="0.3">
      <c r="I180" t="s">
        <v>9957</v>
      </c>
      <c r="J180" t="s">
        <v>993</v>
      </c>
    </row>
    <row r="181" spans="9:10" x14ac:dyDescent="0.3">
      <c r="I181" t="s">
        <v>9958</v>
      </c>
      <c r="J181" t="s">
        <v>993</v>
      </c>
    </row>
    <row r="182" spans="9:10" x14ac:dyDescent="0.3">
      <c r="I182" t="s">
        <v>9959</v>
      </c>
      <c r="J182" t="s">
        <v>993</v>
      </c>
    </row>
    <row r="183" spans="9:10" x14ac:dyDescent="0.3">
      <c r="I183" t="s">
        <v>9960</v>
      </c>
      <c r="J183" t="s">
        <v>993</v>
      </c>
    </row>
    <row r="184" spans="9:10" x14ac:dyDescent="0.3">
      <c r="I184" t="s">
        <v>9961</v>
      </c>
      <c r="J184" t="s">
        <v>993</v>
      </c>
    </row>
    <row r="185" spans="9:10" x14ac:dyDescent="0.3">
      <c r="I185" t="s">
        <v>9962</v>
      </c>
      <c r="J185" t="s">
        <v>993</v>
      </c>
    </row>
    <row r="186" spans="9:10" x14ac:dyDescent="0.3">
      <c r="I186" t="s">
        <v>9963</v>
      </c>
      <c r="J186" t="s">
        <v>993</v>
      </c>
    </row>
    <row r="187" spans="9:10" x14ac:dyDescent="0.3">
      <c r="I187" t="s">
        <v>9964</v>
      </c>
      <c r="J187" t="s">
        <v>993</v>
      </c>
    </row>
    <row r="188" spans="9:10" x14ac:dyDescent="0.3">
      <c r="I188" t="s">
        <v>9954</v>
      </c>
      <c r="J188" t="s">
        <v>993</v>
      </c>
    </row>
    <row r="189" spans="9:10" x14ac:dyDescent="0.3">
      <c r="I189" t="s">
        <v>9954</v>
      </c>
      <c r="J189" t="s">
        <v>993</v>
      </c>
    </row>
    <row r="190" spans="9:10" x14ac:dyDescent="0.3">
      <c r="I190" t="s">
        <v>9965</v>
      </c>
      <c r="J190" t="s">
        <v>993</v>
      </c>
    </row>
    <row r="191" spans="9:10" x14ac:dyDescent="0.3">
      <c r="I191" t="s">
        <v>9966</v>
      </c>
      <c r="J191" t="s">
        <v>993</v>
      </c>
    </row>
    <row r="192" spans="9:10" x14ac:dyDescent="0.3">
      <c r="I192" t="s">
        <v>9967</v>
      </c>
      <c r="J192" t="s">
        <v>993</v>
      </c>
    </row>
    <row r="193" spans="9:10" x14ac:dyDescent="0.3">
      <c r="I193" t="s">
        <v>9954</v>
      </c>
      <c r="J193" t="s">
        <v>993</v>
      </c>
    </row>
    <row r="194" spans="9:10" x14ac:dyDescent="0.3">
      <c r="I194" t="s">
        <v>9954</v>
      </c>
      <c r="J194" t="s">
        <v>993</v>
      </c>
    </row>
    <row r="195" spans="9:10" x14ac:dyDescent="0.3">
      <c r="I195" t="s">
        <v>9954</v>
      </c>
      <c r="J195" t="s">
        <v>993</v>
      </c>
    </row>
    <row r="196" spans="9:10" x14ac:dyDescent="0.3">
      <c r="I196" t="s">
        <v>9954</v>
      </c>
      <c r="J196" t="s">
        <v>993</v>
      </c>
    </row>
    <row r="197" spans="9:10" x14ac:dyDescent="0.3">
      <c r="I197" t="s">
        <v>9952</v>
      </c>
      <c r="J197" t="s">
        <v>993</v>
      </c>
    </row>
    <row r="198" spans="9:10" x14ac:dyDescent="0.3">
      <c r="I198" t="s">
        <v>9954</v>
      </c>
      <c r="J198" t="s">
        <v>993</v>
      </c>
    </row>
    <row r="199" spans="9:10" x14ac:dyDescent="0.3">
      <c r="I199" t="s">
        <v>9968</v>
      </c>
      <c r="J199" t="s">
        <v>993</v>
      </c>
    </row>
    <row r="200" spans="9:10" x14ac:dyDescent="0.3">
      <c r="I200" t="s">
        <v>9954</v>
      </c>
      <c r="J200" t="s">
        <v>993</v>
      </c>
    </row>
    <row r="201" spans="9:10" x14ac:dyDescent="0.3">
      <c r="I201" t="s">
        <v>9969</v>
      </c>
      <c r="J201" t="s">
        <v>993</v>
      </c>
    </row>
    <row r="202" spans="9:10" x14ac:dyDescent="0.3">
      <c r="I202" t="s">
        <v>9970</v>
      </c>
      <c r="J202" t="s">
        <v>993</v>
      </c>
    </row>
    <row r="203" spans="9:10" x14ac:dyDescent="0.3">
      <c r="I203" t="s">
        <v>9971</v>
      </c>
      <c r="J203" t="s">
        <v>993</v>
      </c>
    </row>
    <row r="204" spans="9:10" x14ac:dyDescent="0.3">
      <c r="I204" t="s">
        <v>9972</v>
      </c>
      <c r="J204" t="s">
        <v>993</v>
      </c>
    </row>
    <row r="205" spans="9:10" x14ac:dyDescent="0.3">
      <c r="I205" t="s">
        <v>9973</v>
      </c>
      <c r="J205" t="s">
        <v>993</v>
      </c>
    </row>
    <row r="206" spans="9:10" x14ac:dyDescent="0.3">
      <c r="I206" t="s">
        <v>9974</v>
      </c>
      <c r="J206" t="s">
        <v>993</v>
      </c>
    </row>
    <row r="207" spans="9:10" x14ac:dyDescent="0.3">
      <c r="I207" t="s">
        <v>9975</v>
      </c>
      <c r="J207" t="s">
        <v>993</v>
      </c>
    </row>
    <row r="208" spans="9:10" x14ac:dyDescent="0.3">
      <c r="I208" t="s">
        <v>9976</v>
      </c>
      <c r="J208" t="s">
        <v>993</v>
      </c>
    </row>
    <row r="209" spans="9:10" x14ac:dyDescent="0.3">
      <c r="I209" t="s">
        <v>9968</v>
      </c>
      <c r="J209" t="s">
        <v>993</v>
      </c>
    </row>
    <row r="210" spans="9:10" x14ac:dyDescent="0.3">
      <c r="I210" t="s">
        <v>9977</v>
      </c>
      <c r="J210" t="s">
        <v>993</v>
      </c>
    </row>
    <row r="211" spans="9:10" x14ac:dyDescent="0.3">
      <c r="I211" t="s">
        <v>9978</v>
      </c>
      <c r="J211" t="s">
        <v>993</v>
      </c>
    </row>
    <row r="212" spans="9:10" x14ac:dyDescent="0.3">
      <c r="I212" t="s">
        <v>9979</v>
      </c>
      <c r="J212" t="s">
        <v>993</v>
      </c>
    </row>
    <row r="213" spans="9:10" x14ac:dyDescent="0.3">
      <c r="I213" t="s">
        <v>9954</v>
      </c>
      <c r="J213" t="s">
        <v>993</v>
      </c>
    </row>
    <row r="214" spans="9:10" x14ac:dyDescent="0.3">
      <c r="I214" t="s">
        <v>9954</v>
      </c>
      <c r="J214" t="s">
        <v>993</v>
      </c>
    </row>
    <row r="215" spans="9:10" x14ac:dyDescent="0.3">
      <c r="I215" t="s">
        <v>9980</v>
      </c>
      <c r="J215" t="s">
        <v>993</v>
      </c>
    </row>
    <row r="216" spans="9:10" x14ac:dyDescent="0.3">
      <c r="I216" t="s">
        <v>9981</v>
      </c>
      <c r="J216" t="s">
        <v>993</v>
      </c>
    </row>
    <row r="217" spans="9:10" x14ac:dyDescent="0.3">
      <c r="I217" t="s">
        <v>9982</v>
      </c>
      <c r="J217" t="s">
        <v>993</v>
      </c>
    </row>
    <row r="218" spans="9:10" x14ac:dyDescent="0.3">
      <c r="I218" t="s">
        <v>9954</v>
      </c>
      <c r="J218" t="s">
        <v>993</v>
      </c>
    </row>
    <row r="219" spans="9:10" x14ac:dyDescent="0.3">
      <c r="I219" t="s">
        <v>9983</v>
      </c>
      <c r="J219" t="s">
        <v>993</v>
      </c>
    </row>
    <row r="220" spans="9:10" x14ac:dyDescent="0.3">
      <c r="I220" t="s">
        <v>9952</v>
      </c>
      <c r="J220" t="s">
        <v>993</v>
      </c>
    </row>
    <row r="221" spans="9:10" x14ac:dyDescent="0.3">
      <c r="I221" t="s">
        <v>9978</v>
      </c>
      <c r="J221" t="s">
        <v>993</v>
      </c>
    </row>
    <row r="222" spans="9:10" x14ac:dyDescent="0.3">
      <c r="I222" t="s">
        <v>9984</v>
      </c>
      <c r="J222" t="s">
        <v>993</v>
      </c>
    </row>
    <row r="223" spans="9:10" x14ac:dyDescent="0.3">
      <c r="I223" t="s">
        <v>9985</v>
      </c>
      <c r="J223" t="s">
        <v>993</v>
      </c>
    </row>
    <row r="224" spans="9:10" x14ac:dyDescent="0.3">
      <c r="I224" t="s">
        <v>9986</v>
      </c>
      <c r="J224" t="s">
        <v>993</v>
      </c>
    </row>
    <row r="225" spans="9:10" x14ac:dyDescent="0.3">
      <c r="I225" t="s">
        <v>9987</v>
      </c>
      <c r="J225" t="s">
        <v>994</v>
      </c>
    </row>
    <row r="226" spans="9:10" x14ac:dyDescent="0.3">
      <c r="I226" t="s">
        <v>9988</v>
      </c>
    </row>
    <row r="227" spans="9:10" x14ac:dyDescent="0.3">
      <c r="I227" t="s">
        <v>9989</v>
      </c>
    </row>
    <row r="228" spans="9:10" x14ac:dyDescent="0.3">
      <c r="I228" t="s">
        <v>9990</v>
      </c>
      <c r="J228" t="s">
        <v>995</v>
      </c>
    </row>
    <row r="229" spans="9:10" x14ac:dyDescent="0.3">
      <c r="I229" t="s">
        <v>9991</v>
      </c>
      <c r="J229" t="s">
        <v>996</v>
      </c>
    </row>
    <row r="230" spans="9:10" x14ac:dyDescent="0.3">
      <c r="I230" t="s">
        <v>9992</v>
      </c>
      <c r="J230" t="s">
        <v>291</v>
      </c>
    </row>
    <row r="231" spans="9:10" x14ac:dyDescent="0.3">
      <c r="I231" t="s">
        <v>9993</v>
      </c>
      <c r="J231" t="s">
        <v>283</v>
      </c>
    </row>
    <row r="232" spans="9:10" x14ac:dyDescent="0.3">
      <c r="I232" t="s">
        <v>9994</v>
      </c>
      <c r="J232" t="s">
        <v>283</v>
      </c>
    </row>
    <row r="233" spans="9:10" x14ac:dyDescent="0.3">
      <c r="I233" t="s">
        <v>9995</v>
      </c>
      <c r="J233" t="s">
        <v>283</v>
      </c>
    </row>
    <row r="234" spans="9:10" x14ac:dyDescent="0.3">
      <c r="I234" t="s">
        <v>9996</v>
      </c>
      <c r="J234" t="s">
        <v>283</v>
      </c>
    </row>
    <row r="235" spans="9:10" x14ac:dyDescent="0.3">
      <c r="I235" t="s">
        <v>9997</v>
      </c>
      <c r="J235" t="s">
        <v>283</v>
      </c>
    </row>
    <row r="236" spans="9:10" x14ac:dyDescent="0.3">
      <c r="I236" t="s">
        <v>9998</v>
      </c>
      <c r="J236" t="s">
        <v>283</v>
      </c>
    </row>
    <row r="237" spans="9:10" x14ac:dyDescent="0.3">
      <c r="I237" t="s">
        <v>9999</v>
      </c>
      <c r="J237" t="s">
        <v>284</v>
      </c>
    </row>
    <row r="238" spans="9:10" x14ac:dyDescent="0.3">
      <c r="I238" t="s">
        <v>10000</v>
      </c>
      <c r="J238" t="s">
        <v>284</v>
      </c>
    </row>
    <row r="239" spans="9:10" x14ac:dyDescent="0.3">
      <c r="I239" t="s">
        <v>10001</v>
      </c>
      <c r="J239" t="s">
        <v>284</v>
      </c>
    </row>
    <row r="240" spans="9:10" x14ac:dyDescent="0.3">
      <c r="I240" t="s">
        <v>10002</v>
      </c>
      <c r="J240" t="s">
        <v>284</v>
      </c>
    </row>
    <row r="241" spans="9:10" x14ac:dyDescent="0.3">
      <c r="I241" t="s">
        <v>10003</v>
      </c>
      <c r="J241" t="s">
        <v>315</v>
      </c>
    </row>
    <row r="242" spans="9:10" x14ac:dyDescent="0.3">
      <c r="I242" t="s">
        <v>10004</v>
      </c>
      <c r="J242" t="s">
        <v>997</v>
      </c>
    </row>
    <row r="243" spans="9:10" x14ac:dyDescent="0.3">
      <c r="I243" t="s">
        <v>10005</v>
      </c>
      <c r="J243" t="s">
        <v>341</v>
      </c>
    </row>
    <row r="244" spans="9:10" x14ac:dyDescent="0.3">
      <c r="I244" t="s">
        <v>10006</v>
      </c>
      <c r="J244" t="s">
        <v>345</v>
      </c>
    </row>
    <row r="245" spans="9:10" x14ac:dyDescent="0.3">
      <c r="I245" t="s">
        <v>10007</v>
      </c>
      <c r="J245" t="s">
        <v>345</v>
      </c>
    </row>
    <row r="246" spans="9:10" x14ac:dyDescent="0.3">
      <c r="I246" t="s">
        <v>10008</v>
      </c>
      <c r="J246" t="s">
        <v>345</v>
      </c>
    </row>
    <row r="247" spans="9:10" x14ac:dyDescent="0.3">
      <c r="I247" t="s">
        <v>10009</v>
      </c>
      <c r="J247" t="s">
        <v>375</v>
      </c>
    </row>
    <row r="248" spans="9:10" x14ac:dyDescent="0.3">
      <c r="I248" t="s">
        <v>10010</v>
      </c>
      <c r="J248" t="s">
        <v>375</v>
      </c>
    </row>
    <row r="249" spans="9:10" x14ac:dyDescent="0.3">
      <c r="I249" t="s">
        <v>10009</v>
      </c>
      <c r="J249" t="s">
        <v>375</v>
      </c>
    </row>
    <row r="250" spans="9:10" x14ac:dyDescent="0.3">
      <c r="I250" t="s">
        <v>10011</v>
      </c>
      <c r="J250" t="s">
        <v>379</v>
      </c>
    </row>
    <row r="251" spans="9:10" x14ac:dyDescent="0.3">
      <c r="I251" t="s">
        <v>10012</v>
      </c>
      <c r="J251" t="s">
        <v>384</v>
      </c>
    </row>
    <row r="252" spans="9:10" x14ac:dyDescent="0.3">
      <c r="I252" t="s">
        <v>10013</v>
      </c>
      <c r="J252" t="s">
        <v>411</v>
      </c>
    </row>
    <row r="253" spans="9:10" x14ac:dyDescent="0.3">
      <c r="I253" t="s">
        <v>10013</v>
      </c>
      <c r="J253" t="s">
        <v>411</v>
      </c>
    </row>
    <row r="254" spans="9:10" x14ac:dyDescent="0.3">
      <c r="I254" t="s">
        <v>10013</v>
      </c>
      <c r="J254" t="s">
        <v>411</v>
      </c>
    </row>
    <row r="255" spans="9:10" x14ac:dyDescent="0.3">
      <c r="I255" t="s">
        <v>10013</v>
      </c>
      <c r="J255" t="s">
        <v>411</v>
      </c>
    </row>
    <row r="256" spans="9:10" x14ac:dyDescent="0.3">
      <c r="I256" t="s">
        <v>10014</v>
      </c>
      <c r="J256" t="s">
        <v>411</v>
      </c>
    </row>
    <row r="257" spans="9:10" x14ac:dyDescent="0.3">
      <c r="I257" t="s">
        <v>10015</v>
      </c>
      <c r="J257" t="s">
        <v>998</v>
      </c>
    </row>
    <row r="258" spans="9:10" x14ac:dyDescent="0.3">
      <c r="I258" t="s">
        <v>10016</v>
      </c>
      <c r="J258" t="s">
        <v>447</v>
      </c>
    </row>
    <row r="259" spans="9:10" x14ac:dyDescent="0.3">
      <c r="I259" t="s">
        <v>10017</v>
      </c>
      <c r="J259" t="s">
        <v>447</v>
      </c>
    </row>
    <row r="260" spans="9:10" x14ac:dyDescent="0.3">
      <c r="I260" t="s">
        <v>10018</v>
      </c>
      <c r="J260" t="s">
        <v>447</v>
      </c>
    </row>
    <row r="261" spans="9:10" x14ac:dyDescent="0.3">
      <c r="I261" t="s">
        <v>10019</v>
      </c>
      <c r="J261" t="s">
        <v>999</v>
      </c>
    </row>
    <row r="262" spans="9:10" x14ac:dyDescent="0.3">
      <c r="I262" t="s">
        <v>10019</v>
      </c>
      <c r="J262" t="s">
        <v>999</v>
      </c>
    </row>
    <row r="263" spans="9:10" x14ac:dyDescent="0.3">
      <c r="I263" t="s">
        <v>10019</v>
      </c>
      <c r="J263" t="s">
        <v>999</v>
      </c>
    </row>
    <row r="264" spans="9:10" x14ac:dyDescent="0.3">
      <c r="I264" t="s">
        <v>10020</v>
      </c>
      <c r="J264" t="s">
        <v>439</v>
      </c>
    </row>
    <row r="265" spans="9:10" x14ac:dyDescent="0.3">
      <c r="I265" t="s">
        <v>10021</v>
      </c>
      <c r="J265" t="s">
        <v>439</v>
      </c>
    </row>
    <row r="266" spans="9:10" x14ac:dyDescent="0.3">
      <c r="I266" t="s">
        <v>10022</v>
      </c>
      <c r="J266" t="s">
        <v>439</v>
      </c>
    </row>
    <row r="267" spans="9:10" x14ac:dyDescent="0.3">
      <c r="I267" t="s">
        <v>10023</v>
      </c>
      <c r="J267" t="s">
        <v>439</v>
      </c>
    </row>
    <row r="268" spans="9:10" x14ac:dyDescent="0.3">
      <c r="I268" t="s">
        <v>10023</v>
      </c>
      <c r="J268" t="s">
        <v>439</v>
      </c>
    </row>
    <row r="269" spans="9:10" x14ac:dyDescent="0.3">
      <c r="I269" t="s">
        <v>10023</v>
      </c>
      <c r="J269" t="s">
        <v>439</v>
      </c>
    </row>
    <row r="270" spans="9:10" x14ac:dyDescent="0.3">
      <c r="I270" t="s">
        <v>10023</v>
      </c>
      <c r="J270" t="s">
        <v>439</v>
      </c>
    </row>
    <row r="271" spans="9:10" x14ac:dyDescent="0.3">
      <c r="I271" t="s">
        <v>10023</v>
      </c>
      <c r="J271" t="s">
        <v>439</v>
      </c>
    </row>
    <row r="272" spans="9:10" x14ac:dyDescent="0.3">
      <c r="I272" t="s">
        <v>10024</v>
      </c>
      <c r="J272" t="s">
        <v>439</v>
      </c>
    </row>
    <row r="273" spans="9:10" x14ac:dyDescent="0.3">
      <c r="I273" t="s">
        <v>10024</v>
      </c>
      <c r="J273" t="s">
        <v>439</v>
      </c>
    </row>
    <row r="274" spans="9:10" x14ac:dyDescent="0.3">
      <c r="I274" t="s">
        <v>10025</v>
      </c>
      <c r="J274" t="s">
        <v>439</v>
      </c>
    </row>
    <row r="275" spans="9:10" x14ac:dyDescent="0.3">
      <c r="I275" t="s">
        <v>10026</v>
      </c>
      <c r="J275" t="s">
        <v>439</v>
      </c>
    </row>
    <row r="276" spans="9:10" x14ac:dyDescent="0.3">
      <c r="I276" t="s">
        <v>438</v>
      </c>
      <c r="J276" t="s">
        <v>439</v>
      </c>
    </row>
    <row r="277" spans="9:10" x14ac:dyDescent="0.3">
      <c r="I277" t="s">
        <v>10024</v>
      </c>
      <c r="J277" t="s">
        <v>439</v>
      </c>
    </row>
    <row r="278" spans="9:10" x14ac:dyDescent="0.3">
      <c r="I278" t="s">
        <v>10023</v>
      </c>
      <c r="J278" t="s">
        <v>439</v>
      </c>
    </row>
    <row r="279" spans="9:10" x14ac:dyDescent="0.3">
      <c r="I279" t="s">
        <v>10023</v>
      </c>
      <c r="J279" t="s">
        <v>439</v>
      </c>
    </row>
    <row r="280" spans="9:10" x14ac:dyDescent="0.3">
      <c r="I280" t="s">
        <v>10024</v>
      </c>
      <c r="J280" t="s">
        <v>439</v>
      </c>
    </row>
    <row r="281" spans="9:10" x14ac:dyDescent="0.3">
      <c r="I281" t="s">
        <v>10024</v>
      </c>
      <c r="J281" t="s">
        <v>439</v>
      </c>
    </row>
    <row r="282" spans="9:10" x14ac:dyDescent="0.3">
      <c r="I282" t="s">
        <v>10027</v>
      </c>
      <c r="J282" t="s">
        <v>439</v>
      </c>
    </row>
    <row r="283" spans="9:10" x14ac:dyDescent="0.3">
      <c r="I283" t="s">
        <v>438</v>
      </c>
      <c r="J283" t="s">
        <v>439</v>
      </c>
    </row>
    <row r="284" spans="9:10" x14ac:dyDescent="0.3">
      <c r="I284" t="s">
        <v>10028</v>
      </c>
      <c r="J284" t="s">
        <v>439</v>
      </c>
    </row>
    <row r="285" spans="9:10" x14ac:dyDescent="0.3">
      <c r="I285" t="s">
        <v>10029</v>
      </c>
      <c r="J285" t="s">
        <v>439</v>
      </c>
    </row>
    <row r="286" spans="9:10" x14ac:dyDescent="0.3">
      <c r="I286" t="s">
        <v>10030</v>
      </c>
      <c r="J286" t="s">
        <v>439</v>
      </c>
    </row>
    <row r="287" spans="9:10" x14ac:dyDescent="0.3">
      <c r="I287" t="s">
        <v>10031</v>
      </c>
      <c r="J287" t="s">
        <v>1000</v>
      </c>
    </row>
    <row r="288" spans="9:10" x14ac:dyDescent="0.3">
      <c r="I288" t="s">
        <v>10032</v>
      </c>
      <c r="J288" t="s">
        <v>1001</v>
      </c>
    </row>
    <row r="289" spans="9:10" x14ac:dyDescent="0.3">
      <c r="I289" t="s">
        <v>10032</v>
      </c>
      <c r="J289" t="s">
        <v>1001</v>
      </c>
    </row>
    <row r="290" spans="9:10" x14ac:dyDescent="0.3">
      <c r="I290" t="s">
        <v>10033</v>
      </c>
      <c r="J290" t="s">
        <v>454</v>
      </c>
    </row>
    <row r="291" spans="9:10" x14ac:dyDescent="0.3">
      <c r="I291" t="s">
        <v>10034</v>
      </c>
      <c r="J291" t="s">
        <v>1002</v>
      </c>
    </row>
    <row r="292" spans="9:10" x14ac:dyDescent="0.3">
      <c r="I292" t="s">
        <v>10035</v>
      </c>
      <c r="J292" t="s">
        <v>1002</v>
      </c>
    </row>
    <row r="293" spans="9:10" x14ac:dyDescent="0.3">
      <c r="I293" t="s">
        <v>10036</v>
      </c>
      <c r="J293" t="s">
        <v>1003</v>
      </c>
    </row>
    <row r="294" spans="9:10" x14ac:dyDescent="0.3">
      <c r="I294" t="s">
        <v>10037</v>
      </c>
      <c r="J294" t="s">
        <v>1004</v>
      </c>
    </row>
    <row r="295" spans="9:10" x14ac:dyDescent="0.3">
      <c r="I295" t="s">
        <v>10038</v>
      </c>
      <c r="J295" t="s">
        <v>1005</v>
      </c>
    </row>
    <row r="296" spans="9:10" x14ac:dyDescent="0.3">
      <c r="I296" t="s">
        <v>10039</v>
      </c>
      <c r="J296" t="s">
        <v>1006</v>
      </c>
    </row>
    <row r="297" spans="9:10" x14ac:dyDescent="0.3">
      <c r="I297" t="s">
        <v>10040</v>
      </c>
      <c r="J297" t="s">
        <v>1007</v>
      </c>
    </row>
    <row r="298" spans="9:10" x14ac:dyDescent="0.3">
      <c r="I298" t="s">
        <v>10040</v>
      </c>
      <c r="J298" t="s">
        <v>1007</v>
      </c>
    </row>
    <row r="299" spans="9:10" x14ac:dyDescent="0.3">
      <c r="I299" t="s">
        <v>10041</v>
      </c>
      <c r="J299" t="s">
        <v>518</v>
      </c>
    </row>
    <row r="300" spans="9:10" x14ac:dyDescent="0.3">
      <c r="I300" t="s">
        <v>10041</v>
      </c>
      <c r="J300" t="s">
        <v>518</v>
      </c>
    </row>
    <row r="301" spans="9:10" x14ac:dyDescent="0.3">
      <c r="I301" t="s">
        <v>10042</v>
      </c>
      <c r="J301" t="s">
        <v>520</v>
      </c>
    </row>
    <row r="302" spans="9:10" x14ac:dyDescent="0.3">
      <c r="I302" t="s">
        <v>10043</v>
      </c>
      <c r="J302" t="s">
        <v>833</v>
      </c>
    </row>
    <row r="303" spans="9:10" x14ac:dyDescent="0.3">
      <c r="I303" t="s">
        <v>10044</v>
      </c>
      <c r="J303" t="s">
        <v>833</v>
      </c>
    </row>
    <row r="304" spans="9:10" x14ac:dyDescent="0.3">
      <c r="I304" t="s">
        <v>10045</v>
      </c>
      <c r="J304" t="s">
        <v>833</v>
      </c>
    </row>
    <row r="305" spans="9:10" x14ac:dyDescent="0.3">
      <c r="I305" t="s">
        <v>10046</v>
      </c>
      <c r="J305" t="s">
        <v>527</v>
      </c>
    </row>
    <row r="306" spans="9:10" x14ac:dyDescent="0.3">
      <c r="I306" t="s">
        <v>10047</v>
      </c>
      <c r="J306" t="s">
        <v>527</v>
      </c>
    </row>
    <row r="307" spans="9:10" x14ac:dyDescent="0.3">
      <c r="I307" t="s">
        <v>10048</v>
      </c>
      <c r="J307" t="s">
        <v>527</v>
      </c>
    </row>
    <row r="308" spans="9:10" x14ac:dyDescent="0.3">
      <c r="I308" t="s">
        <v>10049</v>
      </c>
      <c r="J308" t="s">
        <v>527</v>
      </c>
    </row>
    <row r="309" spans="9:10" x14ac:dyDescent="0.3">
      <c r="I309" t="s">
        <v>10050</v>
      </c>
      <c r="J309" t="s">
        <v>530</v>
      </c>
    </row>
    <row r="310" spans="9:10" x14ac:dyDescent="0.3">
      <c r="I310" t="s">
        <v>10051</v>
      </c>
      <c r="J310" t="s">
        <v>530</v>
      </c>
    </row>
    <row r="311" spans="9:10" x14ac:dyDescent="0.3">
      <c r="I311" t="s">
        <v>10052</v>
      </c>
      <c r="J311" t="s">
        <v>1008</v>
      </c>
    </row>
    <row r="312" spans="9:10" x14ac:dyDescent="0.3">
      <c r="I312" t="s">
        <v>10053</v>
      </c>
      <c r="J312" t="s">
        <v>1008</v>
      </c>
    </row>
    <row r="313" spans="9:10" x14ac:dyDescent="0.3">
      <c r="I313" t="s">
        <v>10054</v>
      </c>
      <c r="J313" t="s">
        <v>1008</v>
      </c>
    </row>
    <row r="314" spans="9:10" x14ac:dyDescent="0.3">
      <c r="I314" t="s">
        <v>10055</v>
      </c>
      <c r="J314" t="s">
        <v>1008</v>
      </c>
    </row>
    <row r="315" spans="9:10" x14ac:dyDescent="0.3">
      <c r="I315" t="s">
        <v>10056</v>
      </c>
      <c r="J315" t="s">
        <v>1008</v>
      </c>
    </row>
    <row r="316" spans="9:10" x14ac:dyDescent="0.3">
      <c r="I316" t="s">
        <v>10057</v>
      </c>
      <c r="J316" t="s">
        <v>1008</v>
      </c>
    </row>
    <row r="317" spans="9:10" x14ac:dyDescent="0.3">
      <c r="I317" t="s">
        <v>10052</v>
      </c>
      <c r="J317" t="s">
        <v>1008</v>
      </c>
    </row>
    <row r="318" spans="9:10" x14ac:dyDescent="0.3">
      <c r="I318" t="s">
        <v>10052</v>
      </c>
      <c r="J318" t="s">
        <v>1008</v>
      </c>
    </row>
    <row r="319" spans="9:10" x14ac:dyDescent="0.3">
      <c r="I319" t="s">
        <v>10052</v>
      </c>
      <c r="J319" t="s">
        <v>1008</v>
      </c>
    </row>
    <row r="320" spans="9:10" x14ac:dyDescent="0.3">
      <c r="I320" t="s">
        <v>10052</v>
      </c>
      <c r="J320" t="s">
        <v>1008</v>
      </c>
    </row>
    <row r="321" spans="9:10" x14ac:dyDescent="0.3">
      <c r="I321" t="s">
        <v>10052</v>
      </c>
      <c r="J321" t="s">
        <v>1008</v>
      </c>
    </row>
    <row r="322" spans="9:10" x14ac:dyDescent="0.3">
      <c r="I322" t="s">
        <v>10052</v>
      </c>
      <c r="J322" t="s">
        <v>1008</v>
      </c>
    </row>
    <row r="323" spans="9:10" x14ac:dyDescent="0.3">
      <c r="I323" t="s">
        <v>10052</v>
      </c>
      <c r="J323" t="s">
        <v>1008</v>
      </c>
    </row>
    <row r="324" spans="9:10" x14ac:dyDescent="0.3">
      <c r="I324" t="s">
        <v>10052</v>
      </c>
      <c r="J324" t="s">
        <v>1008</v>
      </c>
    </row>
    <row r="325" spans="9:10" x14ac:dyDescent="0.3">
      <c r="I325" t="s">
        <v>10058</v>
      </c>
      <c r="J325" t="s">
        <v>1008</v>
      </c>
    </row>
    <row r="326" spans="9:10" x14ac:dyDescent="0.3">
      <c r="I326" t="s">
        <v>10052</v>
      </c>
      <c r="J326" t="s">
        <v>1008</v>
      </c>
    </row>
    <row r="327" spans="9:10" x14ac:dyDescent="0.3">
      <c r="I327" t="s">
        <v>10052</v>
      </c>
      <c r="J327" t="s">
        <v>1008</v>
      </c>
    </row>
    <row r="328" spans="9:10" x14ac:dyDescent="0.3">
      <c r="I328" t="s">
        <v>10052</v>
      </c>
      <c r="J328" t="s">
        <v>1008</v>
      </c>
    </row>
    <row r="329" spans="9:10" x14ac:dyDescent="0.3">
      <c r="I329" t="s">
        <v>10059</v>
      </c>
      <c r="J329" t="s">
        <v>1008</v>
      </c>
    </row>
    <row r="330" spans="9:10" x14ac:dyDescent="0.3">
      <c r="I330" t="s">
        <v>10052</v>
      </c>
      <c r="J330" t="s">
        <v>1008</v>
      </c>
    </row>
    <row r="331" spans="9:10" x14ac:dyDescent="0.3">
      <c r="I331" t="s">
        <v>10052</v>
      </c>
      <c r="J331" t="s">
        <v>1008</v>
      </c>
    </row>
    <row r="332" spans="9:10" x14ac:dyDescent="0.3">
      <c r="I332" t="s">
        <v>10060</v>
      </c>
      <c r="J332" t="s">
        <v>532</v>
      </c>
    </row>
    <row r="333" spans="9:10" x14ac:dyDescent="0.3">
      <c r="I333" t="s">
        <v>10061</v>
      </c>
      <c r="J333" t="s">
        <v>532</v>
      </c>
    </row>
    <row r="334" spans="9:10" x14ac:dyDescent="0.3">
      <c r="I334" t="s">
        <v>10062</v>
      </c>
      <c r="J334" t="s">
        <v>1009</v>
      </c>
    </row>
    <row r="335" spans="9:10" x14ac:dyDescent="0.3">
      <c r="I335" t="s">
        <v>10063</v>
      </c>
      <c r="J335" t="s">
        <v>1009</v>
      </c>
    </row>
    <row r="336" spans="9:10" x14ac:dyDescent="0.3">
      <c r="I336" t="s">
        <v>10064</v>
      </c>
      <c r="J336" t="s">
        <v>547</v>
      </c>
    </row>
    <row r="337" spans="9:10" x14ac:dyDescent="0.3">
      <c r="I337" t="s">
        <v>10065</v>
      </c>
      <c r="J337" t="s">
        <v>547</v>
      </c>
    </row>
    <row r="338" spans="9:10" x14ac:dyDescent="0.3">
      <c r="I338" t="s">
        <v>10065</v>
      </c>
      <c r="J338" t="s">
        <v>547</v>
      </c>
    </row>
    <row r="339" spans="9:10" x14ac:dyDescent="0.3">
      <c r="I339" t="s">
        <v>10065</v>
      </c>
      <c r="J339" t="s">
        <v>547</v>
      </c>
    </row>
    <row r="340" spans="9:10" x14ac:dyDescent="0.3">
      <c r="I340" t="s">
        <v>10064</v>
      </c>
      <c r="J340" t="s">
        <v>547</v>
      </c>
    </row>
    <row r="341" spans="9:10" x14ac:dyDescent="0.3">
      <c r="I341" t="s">
        <v>10064</v>
      </c>
      <c r="J341" t="s">
        <v>547</v>
      </c>
    </row>
    <row r="342" spans="9:10" x14ac:dyDescent="0.3">
      <c r="I342" t="s">
        <v>10064</v>
      </c>
      <c r="J342" t="s">
        <v>547</v>
      </c>
    </row>
    <row r="343" spans="9:10" x14ac:dyDescent="0.3">
      <c r="I343" t="s">
        <v>10066</v>
      </c>
      <c r="J343" t="s">
        <v>549</v>
      </c>
    </row>
    <row r="344" spans="9:10" x14ac:dyDescent="0.3">
      <c r="I344" t="s">
        <v>10067</v>
      </c>
      <c r="J344" t="s">
        <v>549</v>
      </c>
    </row>
    <row r="345" spans="9:10" x14ac:dyDescent="0.3">
      <c r="I345" t="s">
        <v>10068</v>
      </c>
      <c r="J345" t="s">
        <v>549</v>
      </c>
    </row>
    <row r="346" spans="9:10" x14ac:dyDescent="0.3">
      <c r="I346" t="s">
        <v>10069</v>
      </c>
      <c r="J346" t="s">
        <v>549</v>
      </c>
    </row>
    <row r="347" spans="9:10" x14ac:dyDescent="0.3">
      <c r="I347" t="s">
        <v>10070</v>
      </c>
      <c r="J347" t="s">
        <v>549</v>
      </c>
    </row>
    <row r="348" spans="9:10" x14ac:dyDescent="0.3">
      <c r="I348" t="s">
        <v>10066</v>
      </c>
      <c r="J348" t="s">
        <v>549</v>
      </c>
    </row>
    <row r="349" spans="9:10" x14ac:dyDescent="0.3">
      <c r="I349" t="s">
        <v>29</v>
      </c>
      <c r="J349" t="s">
        <v>549</v>
      </c>
    </row>
    <row r="350" spans="9:10" x14ac:dyDescent="0.3">
      <c r="I350" t="s">
        <v>10066</v>
      </c>
      <c r="J350" t="s">
        <v>549</v>
      </c>
    </row>
    <row r="351" spans="9:10" x14ac:dyDescent="0.3">
      <c r="I351" t="s">
        <v>10071</v>
      </c>
      <c r="J351" t="s">
        <v>549</v>
      </c>
    </row>
    <row r="352" spans="9:10" x14ac:dyDescent="0.3">
      <c r="I352" t="s">
        <v>548</v>
      </c>
      <c r="J352" t="s">
        <v>549</v>
      </c>
    </row>
    <row r="353" spans="9:10" x14ac:dyDescent="0.3">
      <c r="I353" t="s">
        <v>10072</v>
      </c>
      <c r="J353" t="s">
        <v>1010</v>
      </c>
    </row>
    <row r="354" spans="9:10" x14ac:dyDescent="0.3">
      <c r="I354" t="s">
        <v>10073</v>
      </c>
      <c r="J354" t="s">
        <v>562</v>
      </c>
    </row>
    <row r="355" spans="9:10" x14ac:dyDescent="0.3">
      <c r="I355" t="s">
        <v>10074</v>
      </c>
      <c r="J355" t="s">
        <v>568</v>
      </c>
    </row>
    <row r="356" spans="9:10" x14ac:dyDescent="0.3">
      <c r="I356" t="s">
        <v>10075</v>
      </c>
      <c r="J356" t="s">
        <v>568</v>
      </c>
    </row>
    <row r="357" spans="9:10" x14ac:dyDescent="0.3">
      <c r="I357" t="s">
        <v>10074</v>
      </c>
      <c r="J357" t="s">
        <v>568</v>
      </c>
    </row>
    <row r="358" spans="9:10" x14ac:dyDescent="0.3">
      <c r="I358" t="s">
        <v>10076</v>
      </c>
      <c r="J358" t="s">
        <v>578</v>
      </c>
    </row>
    <row r="359" spans="9:10" x14ac:dyDescent="0.3">
      <c r="I359" t="s">
        <v>10077</v>
      </c>
      <c r="J359" t="s">
        <v>578</v>
      </c>
    </row>
    <row r="360" spans="9:10" x14ac:dyDescent="0.3">
      <c r="I360" t="s">
        <v>10078</v>
      </c>
      <c r="J360" t="s">
        <v>578</v>
      </c>
    </row>
    <row r="361" spans="9:10" x14ac:dyDescent="0.3">
      <c r="I361" t="s">
        <v>10079</v>
      </c>
      <c r="J361" t="s">
        <v>595</v>
      </c>
    </row>
    <row r="362" spans="9:10" x14ac:dyDescent="0.3">
      <c r="I362" t="s">
        <v>10080</v>
      </c>
      <c r="J362" t="s">
        <v>606</v>
      </c>
    </row>
    <row r="363" spans="9:10" x14ac:dyDescent="0.3">
      <c r="I363" t="s">
        <v>10081</v>
      </c>
      <c r="J363" t="s">
        <v>1011</v>
      </c>
    </row>
    <row r="364" spans="9:10" x14ac:dyDescent="0.3">
      <c r="I364" t="s">
        <v>10082</v>
      </c>
      <c r="J364" t="s">
        <v>1011</v>
      </c>
    </row>
    <row r="365" spans="9:10" x14ac:dyDescent="0.3">
      <c r="I365" t="s">
        <v>10083</v>
      </c>
    </row>
    <row r="366" spans="9:10" x14ac:dyDescent="0.3">
      <c r="I366" t="s">
        <v>10084</v>
      </c>
      <c r="J366" t="s">
        <v>1012</v>
      </c>
    </row>
    <row r="367" spans="9:10" x14ac:dyDescent="0.3">
      <c r="I367" t="s">
        <v>10085</v>
      </c>
      <c r="J367" t="s">
        <v>622</v>
      </c>
    </row>
    <row r="368" spans="9:10" x14ac:dyDescent="0.3">
      <c r="I368" t="s">
        <v>10085</v>
      </c>
      <c r="J368" t="s">
        <v>622</v>
      </c>
    </row>
    <row r="369" spans="9:10" x14ac:dyDescent="0.3">
      <c r="I369" t="s">
        <v>10086</v>
      </c>
      <c r="J369" t="s">
        <v>622</v>
      </c>
    </row>
    <row r="370" spans="9:10" x14ac:dyDescent="0.3">
      <c r="I370" t="s">
        <v>10087</v>
      </c>
      <c r="J370" t="s">
        <v>625</v>
      </c>
    </row>
    <row r="371" spans="9:10" x14ac:dyDescent="0.3">
      <c r="I371" t="s">
        <v>10087</v>
      </c>
      <c r="J371" t="s">
        <v>625</v>
      </c>
    </row>
    <row r="372" spans="9:10" x14ac:dyDescent="0.3">
      <c r="I372" t="s">
        <v>10088</v>
      </c>
      <c r="J372" t="s">
        <v>625</v>
      </c>
    </row>
    <row r="373" spans="9:10" x14ac:dyDescent="0.3">
      <c r="I373" t="s">
        <v>10087</v>
      </c>
      <c r="J373" t="s">
        <v>625</v>
      </c>
    </row>
    <row r="374" spans="9:10" x14ac:dyDescent="0.3">
      <c r="I374" t="s">
        <v>10089</v>
      </c>
      <c r="J374" t="s">
        <v>625</v>
      </c>
    </row>
    <row r="375" spans="9:10" x14ac:dyDescent="0.3">
      <c r="I375" t="s">
        <v>624</v>
      </c>
      <c r="J375" t="s">
        <v>625</v>
      </c>
    </row>
    <row r="376" spans="9:10" x14ac:dyDescent="0.3">
      <c r="I376" t="s">
        <v>10090</v>
      </c>
      <c r="J376" t="s">
        <v>625</v>
      </c>
    </row>
    <row r="377" spans="9:10" x14ac:dyDescent="0.3">
      <c r="I377" t="s">
        <v>10091</v>
      </c>
      <c r="J377" t="s">
        <v>625</v>
      </c>
    </row>
    <row r="378" spans="9:10" x14ac:dyDescent="0.3">
      <c r="I378" t="s">
        <v>10092</v>
      </c>
      <c r="J378" t="s">
        <v>627</v>
      </c>
    </row>
    <row r="379" spans="9:10" x14ac:dyDescent="0.3">
      <c r="I379" t="s">
        <v>10092</v>
      </c>
      <c r="J379" t="s">
        <v>627</v>
      </c>
    </row>
    <row r="380" spans="9:10" x14ac:dyDescent="0.3">
      <c r="I380" t="s">
        <v>10092</v>
      </c>
      <c r="J380" t="s">
        <v>627</v>
      </c>
    </row>
    <row r="381" spans="9:10" x14ac:dyDescent="0.3">
      <c r="I381" t="s">
        <v>10093</v>
      </c>
      <c r="J381" t="s">
        <v>1013</v>
      </c>
    </row>
    <row r="382" spans="9:10" x14ac:dyDescent="0.3">
      <c r="I382" t="s">
        <v>10094</v>
      </c>
      <c r="J382" t="s">
        <v>635</v>
      </c>
    </row>
    <row r="383" spans="9:10" x14ac:dyDescent="0.3">
      <c r="I383" t="s">
        <v>10095</v>
      </c>
      <c r="J383" t="s">
        <v>634</v>
      </c>
    </row>
    <row r="384" spans="9:10" x14ac:dyDescent="0.3">
      <c r="I384" t="s">
        <v>10095</v>
      </c>
      <c r="J384" t="s">
        <v>634</v>
      </c>
    </row>
    <row r="385" spans="9:10" x14ac:dyDescent="0.3">
      <c r="I385" t="s">
        <v>10096</v>
      </c>
      <c r="J385" t="s">
        <v>634</v>
      </c>
    </row>
    <row r="386" spans="9:10" x14ac:dyDescent="0.3">
      <c r="I386" t="s">
        <v>10095</v>
      </c>
      <c r="J386" t="s">
        <v>634</v>
      </c>
    </row>
    <row r="387" spans="9:10" x14ac:dyDescent="0.3">
      <c r="I387" t="s">
        <v>10097</v>
      </c>
      <c r="J387" t="s">
        <v>874</v>
      </c>
    </row>
    <row r="388" spans="9:10" x14ac:dyDescent="0.3">
      <c r="I388" t="s">
        <v>642</v>
      </c>
      <c r="J388" t="s">
        <v>643</v>
      </c>
    </row>
    <row r="389" spans="9:10" x14ac:dyDescent="0.3">
      <c r="I389" t="s">
        <v>10098</v>
      </c>
      <c r="J389" t="s">
        <v>643</v>
      </c>
    </row>
    <row r="390" spans="9:10" x14ac:dyDescent="0.3">
      <c r="I390" t="s">
        <v>10099</v>
      </c>
      <c r="J390" t="s">
        <v>1014</v>
      </c>
    </row>
    <row r="391" spans="9:10" x14ac:dyDescent="0.3">
      <c r="I391" t="s">
        <v>10100</v>
      </c>
      <c r="J391" t="s">
        <v>1014</v>
      </c>
    </row>
    <row r="392" spans="9:10" x14ac:dyDescent="0.3">
      <c r="I392" t="s">
        <v>10101</v>
      </c>
      <c r="J392" t="s">
        <v>1014</v>
      </c>
    </row>
    <row r="393" spans="9:10" x14ac:dyDescent="0.3">
      <c r="I393" t="s">
        <v>10102</v>
      </c>
      <c r="J393" t="s">
        <v>1014</v>
      </c>
    </row>
    <row r="394" spans="9:10" x14ac:dyDescent="0.3">
      <c r="I394" t="s">
        <v>10103</v>
      </c>
      <c r="J394" t="s">
        <v>1014</v>
      </c>
    </row>
    <row r="395" spans="9:10" x14ac:dyDescent="0.3">
      <c r="I395" t="s">
        <v>10104</v>
      </c>
      <c r="J395" t="s">
        <v>1014</v>
      </c>
    </row>
    <row r="396" spans="9:10" x14ac:dyDescent="0.3">
      <c r="I396" t="s">
        <v>10100</v>
      </c>
      <c r="J396" t="s">
        <v>1014</v>
      </c>
    </row>
    <row r="397" spans="9:10" x14ac:dyDescent="0.3">
      <c r="I397" t="s">
        <v>10100</v>
      </c>
      <c r="J397" t="s">
        <v>1014</v>
      </c>
    </row>
    <row r="398" spans="9:10" x14ac:dyDescent="0.3">
      <c r="I398" t="s">
        <v>10100</v>
      </c>
      <c r="J398" t="s">
        <v>1014</v>
      </c>
    </row>
    <row r="399" spans="9:10" x14ac:dyDescent="0.3">
      <c r="I399" t="s">
        <v>10100</v>
      </c>
      <c r="J399" t="s">
        <v>1014</v>
      </c>
    </row>
    <row r="400" spans="9:10" x14ac:dyDescent="0.3">
      <c r="I400" t="s">
        <v>10105</v>
      </c>
      <c r="J400" t="s">
        <v>1014</v>
      </c>
    </row>
    <row r="401" spans="9:10" x14ac:dyDescent="0.3">
      <c r="I401" t="s">
        <v>10100</v>
      </c>
      <c r="J401" t="s">
        <v>1014</v>
      </c>
    </row>
    <row r="402" spans="9:10" x14ac:dyDescent="0.3">
      <c r="I402" t="s">
        <v>10104</v>
      </c>
      <c r="J402" t="s">
        <v>1014</v>
      </c>
    </row>
    <row r="403" spans="9:10" x14ac:dyDescent="0.3">
      <c r="I403" t="s">
        <v>10100</v>
      </c>
      <c r="J403" t="s">
        <v>1014</v>
      </c>
    </row>
    <row r="404" spans="9:10" x14ac:dyDescent="0.3">
      <c r="I404" t="s">
        <v>10100</v>
      </c>
      <c r="J404" t="s">
        <v>1014</v>
      </c>
    </row>
    <row r="405" spans="9:10" x14ac:dyDescent="0.3">
      <c r="I405" t="s">
        <v>10100</v>
      </c>
      <c r="J405" t="s">
        <v>1014</v>
      </c>
    </row>
    <row r="406" spans="9:10" x14ac:dyDescent="0.3">
      <c r="I406" t="s">
        <v>10100</v>
      </c>
      <c r="J406" t="s">
        <v>1014</v>
      </c>
    </row>
    <row r="407" spans="9:10" x14ac:dyDescent="0.3">
      <c r="I407" t="s">
        <v>10100</v>
      </c>
      <c r="J407" t="s">
        <v>1014</v>
      </c>
    </row>
    <row r="408" spans="9:10" x14ac:dyDescent="0.3">
      <c r="I408" t="s">
        <v>10106</v>
      </c>
      <c r="J408" t="s">
        <v>1014</v>
      </c>
    </row>
    <row r="409" spans="9:10" x14ac:dyDescent="0.3">
      <c r="I409" t="s">
        <v>10107</v>
      </c>
      <c r="J409" t="s">
        <v>1014</v>
      </c>
    </row>
    <row r="410" spans="9:10" x14ac:dyDescent="0.3">
      <c r="I410" t="s">
        <v>10108</v>
      </c>
      <c r="J410" t="s">
        <v>1014</v>
      </c>
    </row>
    <row r="411" spans="9:10" x14ac:dyDescent="0.3">
      <c r="I411" t="s">
        <v>10109</v>
      </c>
      <c r="J411" t="s">
        <v>1014</v>
      </c>
    </row>
    <row r="412" spans="9:10" x14ac:dyDescent="0.3">
      <c r="I412" t="s">
        <v>10110</v>
      </c>
      <c r="J412" t="s">
        <v>655</v>
      </c>
    </row>
    <row r="413" spans="9:10" x14ac:dyDescent="0.3">
      <c r="I413" t="s">
        <v>10111</v>
      </c>
      <c r="J413" t="s">
        <v>655</v>
      </c>
    </row>
    <row r="414" spans="9:10" x14ac:dyDescent="0.3">
      <c r="I414" t="s">
        <v>10111</v>
      </c>
      <c r="J414" t="s">
        <v>655</v>
      </c>
    </row>
    <row r="415" spans="9:10" x14ac:dyDescent="0.3">
      <c r="I415" t="s">
        <v>10112</v>
      </c>
      <c r="J415" t="s">
        <v>667</v>
      </c>
    </row>
    <row r="416" spans="9:10" x14ac:dyDescent="0.3">
      <c r="I416" t="s">
        <v>10113</v>
      </c>
      <c r="J416" t="s">
        <v>667</v>
      </c>
    </row>
    <row r="417" spans="9:10" x14ac:dyDescent="0.3">
      <c r="I417" t="s">
        <v>10114</v>
      </c>
      <c r="J417" t="s">
        <v>1015</v>
      </c>
    </row>
    <row r="418" spans="9:10" x14ac:dyDescent="0.3">
      <c r="I418" t="s">
        <v>10115</v>
      </c>
      <c r="J418" t="s">
        <v>1016</v>
      </c>
    </row>
    <row r="419" spans="9:10" x14ac:dyDescent="0.3">
      <c r="I419" t="s">
        <v>10116</v>
      </c>
      <c r="J419" t="s">
        <v>1017</v>
      </c>
    </row>
    <row r="420" spans="9:10" x14ac:dyDescent="0.3">
      <c r="I420" t="s">
        <v>10117</v>
      </c>
      <c r="J420" t="s">
        <v>676</v>
      </c>
    </row>
    <row r="421" spans="9:10" x14ac:dyDescent="0.3">
      <c r="I421" t="s">
        <v>675</v>
      </c>
      <c r="J421" t="s">
        <v>676</v>
      </c>
    </row>
    <row r="422" spans="9:10" x14ac:dyDescent="0.3">
      <c r="I422" t="s">
        <v>10118</v>
      </c>
      <c r="J422" t="s">
        <v>678</v>
      </c>
    </row>
    <row r="423" spans="9:10" x14ac:dyDescent="0.3">
      <c r="I423" t="s">
        <v>10119</v>
      </c>
      <c r="J423" t="s">
        <v>678</v>
      </c>
    </row>
    <row r="424" spans="9:10" x14ac:dyDescent="0.3">
      <c r="I424" t="s">
        <v>10120</v>
      </c>
      <c r="J424" t="s">
        <v>678</v>
      </c>
    </row>
    <row r="425" spans="9:10" x14ac:dyDescent="0.3">
      <c r="I425" t="s">
        <v>10121</v>
      </c>
      <c r="J425" t="s">
        <v>1018</v>
      </c>
    </row>
    <row r="426" spans="9:10" x14ac:dyDescent="0.3">
      <c r="I426" t="s">
        <v>10121</v>
      </c>
      <c r="J426" t="s">
        <v>1018</v>
      </c>
    </row>
    <row r="427" spans="9:10" x14ac:dyDescent="0.3">
      <c r="I427" t="s">
        <v>10122</v>
      </c>
      <c r="J427" t="s">
        <v>1019</v>
      </c>
    </row>
    <row r="428" spans="9:10" x14ac:dyDescent="0.3">
      <c r="I428" t="s">
        <v>10123</v>
      </c>
      <c r="J428" t="s">
        <v>1019</v>
      </c>
    </row>
    <row r="429" spans="9:10" x14ac:dyDescent="0.3">
      <c r="I429" t="s">
        <v>10124</v>
      </c>
      <c r="J429" t="s">
        <v>1019</v>
      </c>
    </row>
    <row r="430" spans="9:10" x14ac:dyDescent="0.3">
      <c r="I430" t="s">
        <v>10125</v>
      </c>
      <c r="J430" t="s">
        <v>1020</v>
      </c>
    </row>
    <row r="431" spans="9:10" x14ac:dyDescent="0.3">
      <c r="I431" t="s">
        <v>10126</v>
      </c>
      <c r="J431" t="s">
        <v>1020</v>
      </c>
    </row>
    <row r="432" spans="9:10" x14ac:dyDescent="0.3">
      <c r="I432" t="s">
        <v>10125</v>
      </c>
      <c r="J432" t="s">
        <v>1020</v>
      </c>
    </row>
    <row r="433" spans="9:10" x14ac:dyDescent="0.3">
      <c r="I433" t="s">
        <v>10127</v>
      </c>
      <c r="J433" t="s">
        <v>1021</v>
      </c>
    </row>
    <row r="434" spans="9:10" x14ac:dyDescent="0.3">
      <c r="I434" t="s">
        <v>10128</v>
      </c>
      <c r="J434" t="s">
        <v>1021</v>
      </c>
    </row>
    <row r="435" spans="9:10" x14ac:dyDescent="0.3">
      <c r="I435" t="s">
        <v>10129</v>
      </c>
      <c r="J435" t="s">
        <v>742</v>
      </c>
    </row>
    <row r="436" spans="9:10" x14ac:dyDescent="0.3">
      <c r="I436" t="s">
        <v>10130</v>
      </c>
      <c r="J436" t="s">
        <v>742</v>
      </c>
    </row>
    <row r="437" spans="9:10" x14ac:dyDescent="0.3">
      <c r="I437" t="s">
        <v>10130</v>
      </c>
      <c r="J437" t="s">
        <v>742</v>
      </c>
    </row>
    <row r="438" spans="9:10" x14ac:dyDescent="0.3">
      <c r="I438" t="s">
        <v>10131</v>
      </c>
      <c r="J438" t="s">
        <v>1022</v>
      </c>
    </row>
    <row r="439" spans="9:10" x14ac:dyDescent="0.3">
      <c r="I439" t="s">
        <v>10131</v>
      </c>
      <c r="J439" t="s">
        <v>1022</v>
      </c>
    </row>
    <row r="440" spans="9:10" x14ac:dyDescent="0.3">
      <c r="I440" t="s">
        <v>10131</v>
      </c>
      <c r="J440" t="s">
        <v>1022</v>
      </c>
    </row>
    <row r="441" spans="9:10" x14ac:dyDescent="0.3">
      <c r="I441" t="s">
        <v>10131</v>
      </c>
      <c r="J441" t="s">
        <v>1022</v>
      </c>
    </row>
    <row r="442" spans="9:10" x14ac:dyDescent="0.3">
      <c r="I442" t="s">
        <v>10131</v>
      </c>
      <c r="J442" t="s">
        <v>1022</v>
      </c>
    </row>
    <row r="443" spans="9:10" x14ac:dyDescent="0.3">
      <c r="I443" t="s">
        <v>10131</v>
      </c>
      <c r="J443" t="s">
        <v>1022</v>
      </c>
    </row>
    <row r="444" spans="9:10" x14ac:dyDescent="0.3">
      <c r="I444" t="s">
        <v>10132</v>
      </c>
      <c r="J444" t="s">
        <v>1022</v>
      </c>
    </row>
    <row r="445" spans="9:10" x14ac:dyDescent="0.3">
      <c r="I445" t="s">
        <v>10133</v>
      </c>
      <c r="J445" t="s">
        <v>1022</v>
      </c>
    </row>
    <row r="446" spans="9:10" x14ac:dyDescent="0.3">
      <c r="I446" t="s">
        <v>10134</v>
      </c>
      <c r="J446" t="s">
        <v>1022</v>
      </c>
    </row>
    <row r="447" spans="9:10" x14ac:dyDescent="0.3">
      <c r="I447" t="s">
        <v>10135</v>
      </c>
      <c r="J447" t="s">
        <v>1022</v>
      </c>
    </row>
    <row r="448" spans="9:10" x14ac:dyDescent="0.3">
      <c r="I448" t="s">
        <v>10136</v>
      </c>
      <c r="J448" t="s">
        <v>1022</v>
      </c>
    </row>
    <row r="449" spans="9:10" x14ac:dyDescent="0.3">
      <c r="I449" t="s">
        <v>10137</v>
      </c>
      <c r="J449" t="s">
        <v>1022</v>
      </c>
    </row>
    <row r="450" spans="9:10" x14ac:dyDescent="0.3">
      <c r="I450" t="s">
        <v>10138</v>
      </c>
      <c r="J450" t="s">
        <v>1022</v>
      </c>
    </row>
    <row r="451" spans="9:10" x14ac:dyDescent="0.3">
      <c r="I451" t="s">
        <v>10139</v>
      </c>
      <c r="J451" t="s">
        <v>1022</v>
      </c>
    </row>
    <row r="452" spans="9:10" x14ac:dyDescent="0.3">
      <c r="I452" t="s">
        <v>10131</v>
      </c>
      <c r="J452" t="s">
        <v>1022</v>
      </c>
    </row>
    <row r="453" spans="9:10" x14ac:dyDescent="0.3">
      <c r="I453" t="s">
        <v>10140</v>
      </c>
      <c r="J453" t="s">
        <v>1022</v>
      </c>
    </row>
    <row r="454" spans="9:10" x14ac:dyDescent="0.3">
      <c r="I454" t="s">
        <v>10131</v>
      </c>
      <c r="J454" t="s">
        <v>1022</v>
      </c>
    </row>
    <row r="455" spans="9:10" x14ac:dyDescent="0.3">
      <c r="I455" t="s">
        <v>10141</v>
      </c>
      <c r="J455" t="s">
        <v>1022</v>
      </c>
    </row>
    <row r="456" spans="9:10" x14ac:dyDescent="0.3">
      <c r="I456" t="s">
        <v>10142</v>
      </c>
      <c r="J456" t="s">
        <v>1022</v>
      </c>
    </row>
    <row r="457" spans="9:10" x14ac:dyDescent="0.3">
      <c r="I457" t="s">
        <v>10143</v>
      </c>
      <c r="J457" t="s">
        <v>1022</v>
      </c>
    </row>
    <row r="458" spans="9:10" x14ac:dyDescent="0.3">
      <c r="I458" t="s">
        <v>10144</v>
      </c>
      <c r="J458" t="s">
        <v>1022</v>
      </c>
    </row>
    <row r="459" spans="9:10" x14ac:dyDescent="0.3">
      <c r="I459" t="s">
        <v>10131</v>
      </c>
      <c r="J459" t="s">
        <v>1022</v>
      </c>
    </row>
    <row r="460" spans="9:10" x14ac:dyDescent="0.3">
      <c r="I460" t="s">
        <v>10131</v>
      </c>
      <c r="J460" t="s">
        <v>1022</v>
      </c>
    </row>
    <row r="461" spans="9:10" x14ac:dyDescent="0.3">
      <c r="I461" t="s">
        <v>10131</v>
      </c>
      <c r="J461" t="s">
        <v>1022</v>
      </c>
    </row>
    <row r="462" spans="9:10" x14ac:dyDescent="0.3">
      <c r="I462" t="s">
        <v>10131</v>
      </c>
      <c r="J462" t="s">
        <v>1022</v>
      </c>
    </row>
    <row r="463" spans="9:10" x14ac:dyDescent="0.3">
      <c r="I463" t="s">
        <v>10131</v>
      </c>
      <c r="J463" t="s">
        <v>1022</v>
      </c>
    </row>
    <row r="464" spans="9:10" x14ac:dyDescent="0.3">
      <c r="I464" t="s">
        <v>10131</v>
      </c>
      <c r="J464" t="s">
        <v>1022</v>
      </c>
    </row>
    <row r="465" spans="9:10" x14ac:dyDescent="0.3">
      <c r="I465" t="s">
        <v>10145</v>
      </c>
      <c r="J465" t="s">
        <v>1022</v>
      </c>
    </row>
    <row r="466" spans="9:10" x14ac:dyDescent="0.3">
      <c r="I466" t="s">
        <v>10146</v>
      </c>
      <c r="J466" t="s">
        <v>1022</v>
      </c>
    </row>
    <row r="467" spans="9:10" x14ac:dyDescent="0.3">
      <c r="I467" t="s">
        <v>10147</v>
      </c>
      <c r="J467" t="s">
        <v>1022</v>
      </c>
    </row>
    <row r="468" spans="9:10" x14ac:dyDescent="0.3">
      <c r="I468" t="s">
        <v>10148</v>
      </c>
      <c r="J468" t="s">
        <v>1022</v>
      </c>
    </row>
    <row r="469" spans="9:10" x14ac:dyDescent="0.3">
      <c r="I469" t="s">
        <v>10138</v>
      </c>
      <c r="J469" t="s">
        <v>1022</v>
      </c>
    </row>
    <row r="470" spans="9:10" x14ac:dyDescent="0.3">
      <c r="I470" t="s">
        <v>10149</v>
      </c>
      <c r="J470" t="s">
        <v>1022</v>
      </c>
    </row>
    <row r="471" spans="9:10" x14ac:dyDescent="0.3">
      <c r="I471" t="s">
        <v>10150</v>
      </c>
      <c r="J471" t="s">
        <v>1022</v>
      </c>
    </row>
    <row r="472" spans="9:10" x14ac:dyDescent="0.3">
      <c r="I472" t="s">
        <v>10151</v>
      </c>
      <c r="J472" t="s">
        <v>1023</v>
      </c>
    </row>
    <row r="473" spans="9:10" x14ac:dyDescent="0.3">
      <c r="I473" t="s">
        <v>10152</v>
      </c>
      <c r="J473" t="s">
        <v>1023</v>
      </c>
    </row>
    <row r="474" spans="9:10" x14ac:dyDescent="0.3">
      <c r="I474" t="s">
        <v>10153</v>
      </c>
    </row>
    <row r="475" spans="9:10" x14ac:dyDescent="0.3">
      <c r="I475" t="s">
        <v>10154</v>
      </c>
      <c r="J475" t="s">
        <v>1024</v>
      </c>
    </row>
    <row r="476" spans="9:10" x14ac:dyDescent="0.3">
      <c r="I476" t="s">
        <v>10155</v>
      </c>
      <c r="J476" t="s">
        <v>1025</v>
      </c>
    </row>
    <row r="477" spans="9:10" x14ac:dyDescent="0.3">
      <c r="I477" t="s">
        <v>10156</v>
      </c>
      <c r="J477" t="s">
        <v>772</v>
      </c>
    </row>
    <row r="478" spans="9:10" x14ac:dyDescent="0.3">
      <c r="I478" t="s">
        <v>10157</v>
      </c>
      <c r="J478" t="s">
        <v>774</v>
      </c>
    </row>
    <row r="479" spans="9:10" x14ac:dyDescent="0.3">
      <c r="I479" t="s">
        <v>10158</v>
      </c>
      <c r="J479" t="s">
        <v>1026</v>
      </c>
    </row>
    <row r="480" spans="9:10" x14ac:dyDescent="0.3">
      <c r="I480" t="s">
        <v>10159</v>
      </c>
      <c r="J480" t="s">
        <v>795</v>
      </c>
    </row>
    <row r="481" spans="9:10" x14ac:dyDescent="0.3">
      <c r="I481" t="s">
        <v>10159</v>
      </c>
      <c r="J481" t="s">
        <v>795</v>
      </c>
    </row>
    <row r="482" spans="9:10" x14ac:dyDescent="0.3">
      <c r="I482" t="s">
        <v>10159</v>
      </c>
      <c r="J482" t="s">
        <v>795</v>
      </c>
    </row>
    <row r="483" spans="9:10" x14ac:dyDescent="0.3">
      <c r="I483" t="s">
        <v>10159</v>
      </c>
      <c r="J483" t="s">
        <v>795</v>
      </c>
    </row>
    <row r="484" spans="9:10" x14ac:dyDescent="0.3">
      <c r="I484" t="s">
        <v>10160</v>
      </c>
      <c r="J484" t="s">
        <v>1027</v>
      </c>
    </row>
    <row r="485" spans="9:10" x14ac:dyDescent="0.3">
      <c r="I485" t="s">
        <v>10161</v>
      </c>
      <c r="J485" t="s">
        <v>1027</v>
      </c>
    </row>
    <row r="486" spans="9:10" x14ac:dyDescent="0.3">
      <c r="I486" t="s">
        <v>10162</v>
      </c>
      <c r="J486" t="s">
        <v>1028</v>
      </c>
    </row>
    <row r="487" spans="9:10" x14ac:dyDescent="0.3">
      <c r="I487" t="s">
        <v>10163</v>
      </c>
      <c r="J487" t="s">
        <v>1029</v>
      </c>
    </row>
    <row r="488" spans="9:10" x14ac:dyDescent="0.3">
      <c r="I488" t="s">
        <v>10164</v>
      </c>
      <c r="J488" t="s">
        <v>1029</v>
      </c>
    </row>
    <row r="489" spans="9:10" x14ac:dyDescent="0.3">
      <c r="I489" t="s">
        <v>10165</v>
      </c>
      <c r="J489" t="s">
        <v>1029</v>
      </c>
    </row>
    <row r="490" spans="9:10" x14ac:dyDescent="0.3">
      <c r="I490" t="s">
        <v>10166</v>
      </c>
      <c r="J490" t="s">
        <v>1029</v>
      </c>
    </row>
    <row r="491" spans="9:10" x14ac:dyDescent="0.3">
      <c r="I491" t="s">
        <v>10167</v>
      </c>
      <c r="J491" t="s">
        <v>1029</v>
      </c>
    </row>
    <row r="492" spans="9:10" x14ac:dyDescent="0.3">
      <c r="I492" t="s">
        <v>10168</v>
      </c>
      <c r="J492" t="s">
        <v>1029</v>
      </c>
    </row>
    <row r="493" spans="9:10" x14ac:dyDescent="0.3">
      <c r="I493" t="s">
        <v>10166</v>
      </c>
      <c r="J493" t="s">
        <v>1029</v>
      </c>
    </row>
    <row r="494" spans="9:10" x14ac:dyDescent="0.3">
      <c r="I494" t="s">
        <v>10166</v>
      </c>
      <c r="J494" t="s">
        <v>1029</v>
      </c>
    </row>
    <row r="495" spans="9:10" x14ac:dyDescent="0.3">
      <c r="I495" t="s">
        <v>10166</v>
      </c>
      <c r="J495" t="s">
        <v>1029</v>
      </c>
    </row>
    <row r="496" spans="9:10" x14ac:dyDescent="0.3">
      <c r="I496" t="s">
        <v>10166</v>
      </c>
      <c r="J496" t="s">
        <v>1029</v>
      </c>
    </row>
    <row r="497" spans="9:10" x14ac:dyDescent="0.3">
      <c r="I497" t="s">
        <v>10166</v>
      </c>
      <c r="J497" t="s">
        <v>1029</v>
      </c>
    </row>
    <row r="498" spans="9:10" x14ac:dyDescent="0.3">
      <c r="I498" t="s">
        <v>10166</v>
      </c>
      <c r="J498" t="s">
        <v>1029</v>
      </c>
    </row>
    <row r="499" spans="9:10" x14ac:dyDescent="0.3">
      <c r="I499" t="s">
        <v>10166</v>
      </c>
      <c r="J499" t="s">
        <v>1029</v>
      </c>
    </row>
    <row r="500" spans="9:10" x14ac:dyDescent="0.3">
      <c r="I500" t="s">
        <v>10166</v>
      </c>
      <c r="J500" t="s">
        <v>1029</v>
      </c>
    </row>
    <row r="501" spans="9:10" x14ac:dyDescent="0.3">
      <c r="I501" t="s">
        <v>10169</v>
      </c>
      <c r="J501" t="s">
        <v>1029</v>
      </c>
    </row>
    <row r="502" spans="9:10" x14ac:dyDescent="0.3">
      <c r="I502" t="s">
        <v>10170</v>
      </c>
      <c r="J502" t="s">
        <v>1029</v>
      </c>
    </row>
    <row r="503" spans="9:10" x14ac:dyDescent="0.3">
      <c r="I503" t="s">
        <v>10166</v>
      </c>
      <c r="J503" t="s">
        <v>1029</v>
      </c>
    </row>
    <row r="504" spans="9:10" x14ac:dyDescent="0.3">
      <c r="I504" t="s">
        <v>10171</v>
      </c>
      <c r="J504" t="s">
        <v>1029</v>
      </c>
    </row>
    <row r="505" spans="9:10" x14ac:dyDescent="0.3">
      <c r="I505" t="s">
        <v>10172</v>
      </c>
      <c r="J505" t="s">
        <v>1029</v>
      </c>
    </row>
    <row r="506" spans="9:10" x14ac:dyDescent="0.3">
      <c r="I506" t="s">
        <v>10173</v>
      </c>
      <c r="J506" t="s">
        <v>1029</v>
      </c>
    </row>
    <row r="507" spans="9:10" x14ac:dyDescent="0.3">
      <c r="I507" t="s">
        <v>10174</v>
      </c>
      <c r="J507" t="s">
        <v>1029</v>
      </c>
    </row>
    <row r="508" spans="9:10" x14ac:dyDescent="0.3">
      <c r="I508" t="s">
        <v>10166</v>
      </c>
      <c r="J508" t="s">
        <v>1029</v>
      </c>
    </row>
    <row r="509" spans="9:10" x14ac:dyDescent="0.3">
      <c r="I509" t="s">
        <v>10166</v>
      </c>
      <c r="J509" t="s">
        <v>1029</v>
      </c>
    </row>
    <row r="510" spans="9:10" x14ac:dyDescent="0.3">
      <c r="I510" t="s">
        <v>10175</v>
      </c>
      <c r="J510" t="s">
        <v>1029</v>
      </c>
    </row>
    <row r="511" spans="9:10" x14ac:dyDescent="0.3">
      <c r="I511" t="s">
        <v>10175</v>
      </c>
      <c r="J511" t="s">
        <v>1029</v>
      </c>
    </row>
    <row r="512" spans="9:10" x14ac:dyDescent="0.3">
      <c r="I512" t="s">
        <v>10175</v>
      </c>
      <c r="J512" t="s">
        <v>1029</v>
      </c>
    </row>
    <row r="513" spans="9:10" x14ac:dyDescent="0.3">
      <c r="I513" t="s">
        <v>10175</v>
      </c>
      <c r="J513" t="s">
        <v>1029</v>
      </c>
    </row>
    <row r="514" spans="9:10" x14ac:dyDescent="0.3">
      <c r="I514" t="s">
        <v>10175</v>
      </c>
      <c r="J514" t="s">
        <v>1029</v>
      </c>
    </row>
    <row r="515" spans="9:10" x14ac:dyDescent="0.3">
      <c r="I515" t="s">
        <v>10176</v>
      </c>
      <c r="J515" t="s">
        <v>1029</v>
      </c>
    </row>
    <row r="516" spans="9:10" x14ac:dyDescent="0.3">
      <c r="I516" t="s">
        <v>10177</v>
      </c>
      <c r="J516" t="s">
        <v>1029</v>
      </c>
    </row>
    <row r="517" spans="9:10" x14ac:dyDescent="0.3">
      <c r="I517" t="s">
        <v>10178</v>
      </c>
      <c r="J517" t="s">
        <v>1029</v>
      </c>
    </row>
    <row r="518" spans="9:10" x14ac:dyDescent="0.3">
      <c r="I518" t="s">
        <v>10166</v>
      </c>
      <c r="J518" t="s">
        <v>1029</v>
      </c>
    </row>
    <row r="519" spans="9:10" x14ac:dyDescent="0.3">
      <c r="I519" t="s">
        <v>10179</v>
      </c>
      <c r="J519" t="s">
        <v>1030</v>
      </c>
    </row>
    <row r="520" spans="9:10" x14ac:dyDescent="0.3">
      <c r="I520" t="s">
        <v>10180</v>
      </c>
      <c r="J520" t="s">
        <v>1030</v>
      </c>
    </row>
    <row r="521" spans="9:10" x14ac:dyDescent="0.3">
      <c r="I521" t="s">
        <v>10181</v>
      </c>
      <c r="J521" t="s">
        <v>1031</v>
      </c>
    </row>
    <row r="522" spans="9:10" x14ac:dyDescent="0.3">
      <c r="I522" t="s">
        <v>10182</v>
      </c>
      <c r="J522" t="s">
        <v>1032</v>
      </c>
    </row>
    <row r="523" spans="9:10" x14ac:dyDescent="0.3">
      <c r="I523" t="s">
        <v>10183</v>
      </c>
      <c r="J523" t="s">
        <v>1033</v>
      </c>
    </row>
    <row r="524" spans="9:10" x14ac:dyDescent="0.3">
      <c r="I524" t="s">
        <v>10184</v>
      </c>
    </row>
    <row r="525" spans="9:10" x14ac:dyDescent="0.3">
      <c r="I525" t="s">
        <v>10185</v>
      </c>
      <c r="J525" t="s">
        <v>1034</v>
      </c>
    </row>
    <row r="526" spans="9:10" x14ac:dyDescent="0.3">
      <c r="I526" t="s">
        <v>10186</v>
      </c>
      <c r="J526" t="s">
        <v>1035</v>
      </c>
    </row>
    <row r="527" spans="9:10" x14ac:dyDescent="0.3">
      <c r="I527" t="s">
        <v>10187</v>
      </c>
      <c r="J527" t="s">
        <v>104</v>
      </c>
    </row>
    <row r="528" spans="9:10" x14ac:dyDescent="0.3">
      <c r="I528" t="s">
        <v>10188</v>
      </c>
      <c r="J528" t="s">
        <v>104</v>
      </c>
    </row>
    <row r="529" spans="9:10" x14ac:dyDescent="0.3">
      <c r="I529" t="s">
        <v>10188</v>
      </c>
      <c r="J529" t="s">
        <v>104</v>
      </c>
    </row>
    <row r="530" spans="9:10" x14ac:dyDescent="0.3">
      <c r="I530" t="s">
        <v>10189</v>
      </c>
      <c r="J530" t="s">
        <v>104</v>
      </c>
    </row>
    <row r="531" spans="9:10" x14ac:dyDescent="0.3">
      <c r="I531" t="s">
        <v>10190</v>
      </c>
    </row>
    <row r="532" spans="9:10" x14ac:dyDescent="0.3">
      <c r="I532" t="s">
        <v>10191</v>
      </c>
      <c r="J532" t="s">
        <v>1036</v>
      </c>
    </row>
    <row r="533" spans="9:10" x14ac:dyDescent="0.3">
      <c r="I533" t="s">
        <v>10192</v>
      </c>
      <c r="J533" t="s">
        <v>1036</v>
      </c>
    </row>
    <row r="534" spans="9:10" x14ac:dyDescent="0.3">
      <c r="I534" t="s">
        <v>10192</v>
      </c>
      <c r="J534" t="s">
        <v>1036</v>
      </c>
    </row>
    <row r="535" spans="9:10" x14ac:dyDescent="0.3">
      <c r="I535" t="s">
        <v>10193</v>
      </c>
      <c r="J535" t="s">
        <v>1037</v>
      </c>
    </row>
    <row r="536" spans="9:10" x14ac:dyDescent="0.3">
      <c r="I536" t="s">
        <v>10193</v>
      </c>
      <c r="J536" t="s">
        <v>1037</v>
      </c>
    </row>
    <row r="537" spans="9:10" x14ac:dyDescent="0.3">
      <c r="I537" t="s">
        <v>10194</v>
      </c>
      <c r="J537" t="s">
        <v>1038</v>
      </c>
    </row>
    <row r="538" spans="9:10" x14ac:dyDescent="0.3">
      <c r="I538" t="s">
        <v>10194</v>
      </c>
      <c r="J538" t="s">
        <v>1038</v>
      </c>
    </row>
    <row r="539" spans="9:10" x14ac:dyDescent="0.3">
      <c r="I539" t="s">
        <v>10195</v>
      </c>
      <c r="J539" t="s">
        <v>1039</v>
      </c>
    </row>
    <row r="540" spans="9:10" x14ac:dyDescent="0.3">
      <c r="I540" t="s">
        <v>10196</v>
      </c>
    </row>
    <row r="541" spans="9:10" x14ac:dyDescent="0.3">
      <c r="I541" t="s">
        <v>10197</v>
      </c>
    </row>
    <row r="542" spans="9:10" x14ac:dyDescent="0.3">
      <c r="I542" t="s">
        <v>10198</v>
      </c>
    </row>
    <row r="543" spans="9:10" x14ac:dyDescent="0.3">
      <c r="J543" t="s">
        <v>1040</v>
      </c>
    </row>
    <row r="544" spans="9:10" x14ac:dyDescent="0.3">
      <c r="I544" t="s">
        <v>10199</v>
      </c>
      <c r="J544" t="s">
        <v>1040</v>
      </c>
    </row>
    <row r="545" spans="9:10" x14ac:dyDescent="0.3">
      <c r="I545" t="s">
        <v>10200</v>
      </c>
      <c r="J545" t="s">
        <v>1041</v>
      </c>
    </row>
    <row r="546" spans="9:10" x14ac:dyDescent="0.3">
      <c r="I546" t="s">
        <v>10201</v>
      </c>
      <c r="J546" t="s">
        <v>1041</v>
      </c>
    </row>
    <row r="547" spans="9:10" x14ac:dyDescent="0.3">
      <c r="I547" t="s">
        <v>10202</v>
      </c>
      <c r="J547" t="s">
        <v>1041</v>
      </c>
    </row>
    <row r="548" spans="9:10" x14ac:dyDescent="0.3">
      <c r="I548" t="s">
        <v>10202</v>
      </c>
      <c r="J548" t="s">
        <v>1041</v>
      </c>
    </row>
    <row r="549" spans="9:10" x14ac:dyDescent="0.3">
      <c r="I549" t="s">
        <v>10202</v>
      </c>
      <c r="J549" t="s">
        <v>1041</v>
      </c>
    </row>
    <row r="550" spans="9:10" x14ac:dyDescent="0.3">
      <c r="I550" t="s">
        <v>10202</v>
      </c>
      <c r="J550" t="s">
        <v>1041</v>
      </c>
    </row>
    <row r="551" spans="9:10" x14ac:dyDescent="0.3">
      <c r="I551" t="s">
        <v>10202</v>
      </c>
      <c r="J551" t="s">
        <v>1041</v>
      </c>
    </row>
    <row r="552" spans="9:10" x14ac:dyDescent="0.3">
      <c r="I552" t="s">
        <v>10202</v>
      </c>
      <c r="J552" t="s">
        <v>1041</v>
      </c>
    </row>
    <row r="553" spans="9:10" x14ac:dyDescent="0.3">
      <c r="I553" t="s">
        <v>10202</v>
      </c>
      <c r="J553" t="s">
        <v>1041</v>
      </c>
    </row>
    <row r="554" spans="9:10" x14ac:dyDescent="0.3">
      <c r="I554" t="s">
        <v>10202</v>
      </c>
      <c r="J554" t="s">
        <v>1041</v>
      </c>
    </row>
    <row r="555" spans="9:10" x14ac:dyDescent="0.3">
      <c r="I555" t="s">
        <v>10202</v>
      </c>
      <c r="J555" t="s">
        <v>1041</v>
      </c>
    </row>
    <row r="556" spans="9:10" x14ac:dyDescent="0.3">
      <c r="I556" t="s">
        <v>10203</v>
      </c>
      <c r="J556" t="s">
        <v>1041</v>
      </c>
    </row>
    <row r="557" spans="9:10" x14ac:dyDescent="0.3">
      <c r="I557" t="s">
        <v>10204</v>
      </c>
      <c r="J557" t="s">
        <v>1041</v>
      </c>
    </row>
    <row r="558" spans="9:10" x14ac:dyDescent="0.3">
      <c r="I558" t="s">
        <v>10205</v>
      </c>
      <c r="J558" t="s">
        <v>1041</v>
      </c>
    </row>
    <row r="559" spans="9:10" x14ac:dyDescent="0.3">
      <c r="I559" t="s">
        <v>10206</v>
      </c>
      <c r="J559" t="s">
        <v>1041</v>
      </c>
    </row>
    <row r="560" spans="9:10" x14ac:dyDescent="0.3">
      <c r="I560" t="s">
        <v>10207</v>
      </c>
      <c r="J560" t="s">
        <v>1041</v>
      </c>
    </row>
    <row r="561" spans="9:10" x14ac:dyDescent="0.3">
      <c r="I561" t="s">
        <v>10208</v>
      </c>
      <c r="J561" t="s">
        <v>1041</v>
      </c>
    </row>
    <row r="562" spans="9:10" x14ac:dyDescent="0.3">
      <c r="I562" t="s">
        <v>10209</v>
      </c>
      <c r="J562" t="s">
        <v>1041</v>
      </c>
    </row>
    <row r="563" spans="9:10" x14ac:dyDescent="0.3">
      <c r="I563" t="s">
        <v>10202</v>
      </c>
      <c r="J563" t="s">
        <v>1041</v>
      </c>
    </row>
    <row r="564" spans="9:10" x14ac:dyDescent="0.3">
      <c r="I564" t="s">
        <v>10202</v>
      </c>
      <c r="J564" t="s">
        <v>1041</v>
      </c>
    </row>
    <row r="565" spans="9:10" x14ac:dyDescent="0.3">
      <c r="I565" t="s">
        <v>10210</v>
      </c>
      <c r="J565" t="s">
        <v>1041</v>
      </c>
    </row>
    <row r="566" spans="9:10" x14ac:dyDescent="0.3">
      <c r="I566" t="s">
        <v>10211</v>
      </c>
      <c r="J566" t="s">
        <v>1041</v>
      </c>
    </row>
    <row r="567" spans="9:10" x14ac:dyDescent="0.3">
      <c r="I567" t="s">
        <v>10212</v>
      </c>
      <c r="J567" t="s">
        <v>1041</v>
      </c>
    </row>
    <row r="568" spans="9:10" x14ac:dyDescent="0.3">
      <c r="I568" t="s">
        <v>10213</v>
      </c>
      <c r="J568" t="s">
        <v>1041</v>
      </c>
    </row>
    <row r="569" spans="9:10" x14ac:dyDescent="0.3">
      <c r="I569" t="s">
        <v>10214</v>
      </c>
      <c r="J569" t="s">
        <v>1041</v>
      </c>
    </row>
    <row r="570" spans="9:10" x14ac:dyDescent="0.3">
      <c r="I570" t="s">
        <v>10215</v>
      </c>
      <c r="J570" t="s">
        <v>1041</v>
      </c>
    </row>
    <row r="571" spans="9:10" x14ac:dyDescent="0.3">
      <c r="I571" t="s">
        <v>10202</v>
      </c>
      <c r="J571" t="s">
        <v>1041</v>
      </c>
    </row>
    <row r="572" spans="9:10" x14ac:dyDescent="0.3">
      <c r="I572" t="s">
        <v>10202</v>
      </c>
      <c r="J572" t="s">
        <v>1041</v>
      </c>
    </row>
    <row r="573" spans="9:10" x14ac:dyDescent="0.3">
      <c r="I573" t="s">
        <v>10202</v>
      </c>
      <c r="J573" t="s">
        <v>1041</v>
      </c>
    </row>
    <row r="574" spans="9:10" x14ac:dyDescent="0.3">
      <c r="I574" t="s">
        <v>10214</v>
      </c>
      <c r="J574" t="s">
        <v>1041</v>
      </c>
    </row>
    <row r="575" spans="9:10" x14ac:dyDescent="0.3">
      <c r="I575" t="s">
        <v>10202</v>
      </c>
      <c r="J575" t="s">
        <v>1041</v>
      </c>
    </row>
    <row r="576" spans="9:10" x14ac:dyDescent="0.3">
      <c r="I576" t="s">
        <v>10216</v>
      </c>
      <c r="J576" t="s">
        <v>1041</v>
      </c>
    </row>
    <row r="577" spans="9:10" x14ac:dyDescent="0.3">
      <c r="I577" t="s">
        <v>10202</v>
      </c>
      <c r="J577" t="s">
        <v>1041</v>
      </c>
    </row>
    <row r="578" spans="9:10" x14ac:dyDescent="0.3">
      <c r="I578" t="s">
        <v>10202</v>
      </c>
      <c r="J578" t="s">
        <v>1041</v>
      </c>
    </row>
    <row r="579" spans="9:10" x14ac:dyDescent="0.3">
      <c r="I579" t="s">
        <v>10202</v>
      </c>
      <c r="J579" t="s">
        <v>1041</v>
      </c>
    </row>
    <row r="580" spans="9:10" x14ac:dyDescent="0.3">
      <c r="I580" t="s">
        <v>10217</v>
      </c>
      <c r="J580" t="s">
        <v>1042</v>
      </c>
    </row>
    <row r="581" spans="9:10" x14ac:dyDescent="0.3">
      <c r="I581" t="s">
        <v>10218</v>
      </c>
      <c r="J581" t="s">
        <v>181</v>
      </c>
    </row>
    <row r="582" spans="9:10" x14ac:dyDescent="0.3">
      <c r="I582" t="s">
        <v>180</v>
      </c>
      <c r="J582" t="s">
        <v>181</v>
      </c>
    </row>
    <row r="583" spans="9:10" x14ac:dyDescent="0.3">
      <c r="I583" t="s">
        <v>10218</v>
      </c>
      <c r="J583" t="s">
        <v>181</v>
      </c>
    </row>
    <row r="584" spans="9:10" x14ac:dyDescent="0.3">
      <c r="I584" t="s">
        <v>10218</v>
      </c>
      <c r="J584" t="s">
        <v>181</v>
      </c>
    </row>
    <row r="585" spans="9:10" x14ac:dyDescent="0.3">
      <c r="I585" t="s">
        <v>10219</v>
      </c>
      <c r="J585" t="s">
        <v>1043</v>
      </c>
    </row>
    <row r="586" spans="9:10" x14ac:dyDescent="0.3">
      <c r="I586" t="s">
        <v>10219</v>
      </c>
      <c r="J586" t="s">
        <v>1043</v>
      </c>
    </row>
    <row r="587" spans="9:10" x14ac:dyDescent="0.3">
      <c r="I587" t="s">
        <v>10219</v>
      </c>
      <c r="J587" t="s">
        <v>1043</v>
      </c>
    </row>
    <row r="588" spans="9:10" x14ac:dyDescent="0.3">
      <c r="I588" t="s">
        <v>10219</v>
      </c>
      <c r="J588" t="s">
        <v>1043</v>
      </c>
    </row>
    <row r="589" spans="9:10" x14ac:dyDescent="0.3">
      <c r="I589" t="s">
        <v>10219</v>
      </c>
      <c r="J589" t="s">
        <v>1043</v>
      </c>
    </row>
    <row r="590" spans="9:10" x14ac:dyDescent="0.3">
      <c r="I590" t="s">
        <v>10219</v>
      </c>
      <c r="J590" t="s">
        <v>1043</v>
      </c>
    </row>
    <row r="591" spans="9:10" x14ac:dyDescent="0.3">
      <c r="I591" t="s">
        <v>10219</v>
      </c>
      <c r="J591" t="s">
        <v>1043</v>
      </c>
    </row>
    <row r="592" spans="9:10" x14ac:dyDescent="0.3">
      <c r="I592" t="s">
        <v>10219</v>
      </c>
      <c r="J592" t="s">
        <v>1043</v>
      </c>
    </row>
    <row r="593" spans="9:10" x14ac:dyDescent="0.3">
      <c r="I593" t="s">
        <v>10219</v>
      </c>
      <c r="J593" t="s">
        <v>1043</v>
      </c>
    </row>
    <row r="594" spans="9:10" x14ac:dyDescent="0.3">
      <c r="I594" t="s">
        <v>10219</v>
      </c>
      <c r="J594" t="s">
        <v>1043</v>
      </c>
    </row>
    <row r="595" spans="9:10" x14ac:dyDescent="0.3">
      <c r="I595" t="s">
        <v>10219</v>
      </c>
      <c r="J595" t="s">
        <v>1043</v>
      </c>
    </row>
    <row r="596" spans="9:10" x14ac:dyDescent="0.3">
      <c r="I596" t="s">
        <v>10219</v>
      </c>
      <c r="J596" t="s">
        <v>1043</v>
      </c>
    </row>
    <row r="597" spans="9:10" x14ac:dyDescent="0.3">
      <c r="I597" t="s">
        <v>10219</v>
      </c>
      <c r="J597" t="s">
        <v>1043</v>
      </c>
    </row>
    <row r="598" spans="9:10" x14ac:dyDescent="0.3">
      <c r="I598" t="s">
        <v>10219</v>
      </c>
      <c r="J598" t="s">
        <v>1043</v>
      </c>
    </row>
    <row r="599" spans="9:10" x14ac:dyDescent="0.3">
      <c r="I599" t="s">
        <v>10220</v>
      </c>
      <c r="J599" t="s">
        <v>1043</v>
      </c>
    </row>
    <row r="600" spans="9:10" x14ac:dyDescent="0.3">
      <c r="I600" t="s">
        <v>10219</v>
      </c>
      <c r="J600" t="s">
        <v>1043</v>
      </c>
    </row>
    <row r="601" spans="9:10" x14ac:dyDescent="0.3">
      <c r="I601" t="s">
        <v>10219</v>
      </c>
      <c r="J601" t="s">
        <v>1043</v>
      </c>
    </row>
    <row r="602" spans="9:10" x14ac:dyDescent="0.3">
      <c r="I602" t="s">
        <v>10219</v>
      </c>
      <c r="J602" t="s">
        <v>1043</v>
      </c>
    </row>
    <row r="603" spans="9:10" x14ac:dyDescent="0.3">
      <c r="I603" t="s">
        <v>10219</v>
      </c>
      <c r="J603" t="s">
        <v>1043</v>
      </c>
    </row>
    <row r="604" spans="9:10" x14ac:dyDescent="0.3">
      <c r="I604" t="s">
        <v>10219</v>
      </c>
      <c r="J604" t="s">
        <v>1043</v>
      </c>
    </row>
    <row r="605" spans="9:10" x14ac:dyDescent="0.3">
      <c r="I605" t="s">
        <v>10219</v>
      </c>
      <c r="J605" t="s">
        <v>1043</v>
      </c>
    </row>
    <row r="606" spans="9:10" x14ac:dyDescent="0.3">
      <c r="I606" t="s">
        <v>10221</v>
      </c>
      <c r="J606" t="s">
        <v>1044</v>
      </c>
    </row>
    <row r="607" spans="9:10" x14ac:dyDescent="0.3">
      <c r="I607" t="s">
        <v>10222</v>
      </c>
      <c r="J607" t="s">
        <v>1044</v>
      </c>
    </row>
    <row r="608" spans="9:10" x14ac:dyDescent="0.3">
      <c r="I608" t="s">
        <v>10223</v>
      </c>
      <c r="J608" t="s">
        <v>1045</v>
      </c>
    </row>
    <row r="609" spans="9:10" x14ac:dyDescent="0.3">
      <c r="I609" t="s">
        <v>10224</v>
      </c>
      <c r="J609" t="s">
        <v>1046</v>
      </c>
    </row>
    <row r="610" spans="9:10" x14ac:dyDescent="0.3">
      <c r="I610" t="s">
        <v>10225</v>
      </c>
      <c r="J610" t="s">
        <v>1046</v>
      </c>
    </row>
    <row r="611" spans="9:10" x14ac:dyDescent="0.3">
      <c r="I611" t="s">
        <v>10226</v>
      </c>
    </row>
    <row r="612" spans="9:10" x14ac:dyDescent="0.3">
      <c r="I612" t="s">
        <v>10227</v>
      </c>
      <c r="J612" t="s">
        <v>1047</v>
      </c>
    </row>
    <row r="613" spans="9:10" x14ac:dyDescent="0.3">
      <c r="I613" t="s">
        <v>10227</v>
      </c>
      <c r="J613" t="s">
        <v>1047</v>
      </c>
    </row>
    <row r="614" spans="9:10" x14ac:dyDescent="0.3">
      <c r="I614" t="s">
        <v>10228</v>
      </c>
      <c r="J614" t="s">
        <v>1047</v>
      </c>
    </row>
    <row r="615" spans="9:10" x14ac:dyDescent="0.3">
      <c r="I615" t="s">
        <v>10229</v>
      </c>
      <c r="J615" t="s">
        <v>1048</v>
      </c>
    </row>
    <row r="616" spans="9:10" x14ac:dyDescent="0.3">
      <c r="I616" t="s">
        <v>10230</v>
      </c>
      <c r="J616" t="s">
        <v>1048</v>
      </c>
    </row>
    <row r="617" spans="9:10" x14ac:dyDescent="0.3">
      <c r="I617" t="s">
        <v>10231</v>
      </c>
      <c r="J617" t="s">
        <v>1049</v>
      </c>
    </row>
    <row r="618" spans="9:10" x14ac:dyDescent="0.3">
      <c r="I618" t="s">
        <v>10231</v>
      </c>
      <c r="J618" t="s">
        <v>1049</v>
      </c>
    </row>
    <row r="619" spans="9:10" x14ac:dyDescent="0.3">
      <c r="I619" t="s">
        <v>10231</v>
      </c>
      <c r="J619" t="s">
        <v>1049</v>
      </c>
    </row>
    <row r="620" spans="9:10" x14ac:dyDescent="0.3">
      <c r="I620" t="s">
        <v>10232</v>
      </c>
      <c r="J620" t="s">
        <v>1050</v>
      </c>
    </row>
    <row r="621" spans="9:10" x14ac:dyDescent="0.3">
      <c r="I621" t="s">
        <v>10232</v>
      </c>
      <c r="J621" t="s">
        <v>1050</v>
      </c>
    </row>
    <row r="622" spans="9:10" x14ac:dyDescent="0.3">
      <c r="I622" t="s">
        <v>10233</v>
      </c>
      <c r="J622" t="s">
        <v>1051</v>
      </c>
    </row>
    <row r="623" spans="9:10" x14ac:dyDescent="0.3">
      <c r="I623" t="s">
        <v>10234</v>
      </c>
      <c r="J623" t="s">
        <v>1051</v>
      </c>
    </row>
    <row r="624" spans="9:10" x14ac:dyDescent="0.3">
      <c r="I624" t="s">
        <v>10233</v>
      </c>
      <c r="J624" t="s">
        <v>1051</v>
      </c>
    </row>
    <row r="625" spans="9:10" x14ac:dyDescent="0.3">
      <c r="I625" t="s">
        <v>10233</v>
      </c>
      <c r="J625" t="s">
        <v>1051</v>
      </c>
    </row>
    <row r="626" spans="9:10" x14ac:dyDescent="0.3">
      <c r="I626" t="s">
        <v>10235</v>
      </c>
      <c r="J626" t="s">
        <v>1051</v>
      </c>
    </row>
    <row r="627" spans="9:10" x14ac:dyDescent="0.3">
      <c r="I627" t="s">
        <v>10233</v>
      </c>
      <c r="J627" t="s">
        <v>1051</v>
      </c>
    </row>
    <row r="628" spans="9:10" x14ac:dyDescent="0.3">
      <c r="I628" t="s">
        <v>10233</v>
      </c>
      <c r="J628" t="s">
        <v>1051</v>
      </c>
    </row>
    <row r="629" spans="9:10" x14ac:dyDescent="0.3">
      <c r="I629" t="s">
        <v>10236</v>
      </c>
      <c r="J629" t="s">
        <v>1051</v>
      </c>
    </row>
    <row r="630" spans="9:10" x14ac:dyDescent="0.3">
      <c r="I630" t="s">
        <v>10237</v>
      </c>
      <c r="J630" t="s">
        <v>1052</v>
      </c>
    </row>
    <row r="631" spans="9:10" x14ac:dyDescent="0.3">
      <c r="I631" t="s">
        <v>10237</v>
      </c>
      <c r="J631" t="s">
        <v>1052</v>
      </c>
    </row>
    <row r="632" spans="9:10" x14ac:dyDescent="0.3">
      <c r="I632" t="s">
        <v>10237</v>
      </c>
      <c r="J632" t="s">
        <v>1052</v>
      </c>
    </row>
    <row r="633" spans="9:10" x14ac:dyDescent="0.3">
      <c r="I633" t="s">
        <v>10237</v>
      </c>
      <c r="J633" t="s">
        <v>1052</v>
      </c>
    </row>
    <row r="634" spans="9:10" x14ac:dyDescent="0.3">
      <c r="I634" t="s">
        <v>10238</v>
      </c>
      <c r="J634" t="s">
        <v>1053</v>
      </c>
    </row>
    <row r="635" spans="9:10" x14ac:dyDescent="0.3">
      <c r="I635" t="s">
        <v>10239</v>
      </c>
      <c r="J635" t="s">
        <v>1053</v>
      </c>
    </row>
    <row r="636" spans="9:10" x14ac:dyDescent="0.3">
      <c r="I636" t="s">
        <v>10240</v>
      </c>
      <c r="J636" t="s">
        <v>1054</v>
      </c>
    </row>
    <row r="637" spans="9:10" x14ac:dyDescent="0.3">
      <c r="I637" t="s">
        <v>10241</v>
      </c>
      <c r="J637" t="s">
        <v>1054</v>
      </c>
    </row>
    <row r="638" spans="9:10" x14ac:dyDescent="0.3">
      <c r="I638" t="s">
        <v>10242</v>
      </c>
      <c r="J638" t="s">
        <v>1054</v>
      </c>
    </row>
    <row r="639" spans="9:10" x14ac:dyDescent="0.3">
      <c r="I639" t="s">
        <v>10243</v>
      </c>
      <c r="J639" t="s">
        <v>1055</v>
      </c>
    </row>
    <row r="640" spans="9:10" x14ac:dyDescent="0.3">
      <c r="I640" t="s">
        <v>10244</v>
      </c>
      <c r="J640" t="s">
        <v>1055</v>
      </c>
    </row>
    <row r="641" spans="9:10" x14ac:dyDescent="0.3">
      <c r="I641" t="s">
        <v>10244</v>
      </c>
      <c r="J641" t="s">
        <v>1055</v>
      </c>
    </row>
    <row r="642" spans="9:10" x14ac:dyDescent="0.3">
      <c r="I642" t="s">
        <v>10245</v>
      </c>
      <c r="J642" t="s">
        <v>1055</v>
      </c>
    </row>
    <row r="643" spans="9:10" x14ac:dyDescent="0.3">
      <c r="I643" t="s">
        <v>10246</v>
      </c>
      <c r="J643" t="s">
        <v>1055</v>
      </c>
    </row>
    <row r="644" spans="9:10" x14ac:dyDescent="0.3">
      <c r="I644" t="s">
        <v>10247</v>
      </c>
      <c r="J644" t="s">
        <v>1055</v>
      </c>
    </row>
    <row r="645" spans="9:10" x14ac:dyDescent="0.3">
      <c r="I645" t="s">
        <v>10244</v>
      </c>
      <c r="J645" t="s">
        <v>1055</v>
      </c>
    </row>
    <row r="646" spans="9:10" x14ac:dyDescent="0.3">
      <c r="I646" t="s">
        <v>10248</v>
      </c>
      <c r="J646" t="s">
        <v>1056</v>
      </c>
    </row>
    <row r="647" spans="9:10" x14ac:dyDescent="0.3">
      <c r="I647" t="s">
        <v>10248</v>
      </c>
      <c r="J647" t="s">
        <v>1056</v>
      </c>
    </row>
    <row r="648" spans="9:10" x14ac:dyDescent="0.3">
      <c r="I648" t="s">
        <v>10248</v>
      </c>
      <c r="J648" t="s">
        <v>1056</v>
      </c>
    </row>
    <row r="649" spans="9:10" x14ac:dyDescent="0.3">
      <c r="I649" t="s">
        <v>10248</v>
      </c>
      <c r="J649" t="s">
        <v>1056</v>
      </c>
    </row>
    <row r="650" spans="9:10" x14ac:dyDescent="0.3">
      <c r="I650" t="s">
        <v>10248</v>
      </c>
      <c r="J650" t="s">
        <v>1056</v>
      </c>
    </row>
    <row r="651" spans="9:10" x14ac:dyDescent="0.3">
      <c r="I651" t="s">
        <v>10249</v>
      </c>
      <c r="J651" t="s">
        <v>1056</v>
      </c>
    </row>
    <row r="652" spans="9:10" x14ac:dyDescent="0.3">
      <c r="I652" t="s">
        <v>10248</v>
      </c>
      <c r="J652" t="s">
        <v>1056</v>
      </c>
    </row>
    <row r="653" spans="9:10" x14ac:dyDescent="0.3">
      <c r="I653" t="s">
        <v>10249</v>
      </c>
      <c r="J653" t="s">
        <v>1056</v>
      </c>
    </row>
    <row r="654" spans="9:10" x14ac:dyDescent="0.3">
      <c r="I654" t="s">
        <v>10249</v>
      </c>
      <c r="J654" t="s">
        <v>1056</v>
      </c>
    </row>
    <row r="655" spans="9:10" x14ac:dyDescent="0.3">
      <c r="I655" t="s">
        <v>10249</v>
      </c>
      <c r="J655" t="s">
        <v>1056</v>
      </c>
    </row>
    <row r="656" spans="9:10" x14ac:dyDescent="0.3">
      <c r="I656" t="s">
        <v>10249</v>
      </c>
      <c r="J656" t="s">
        <v>1056</v>
      </c>
    </row>
    <row r="657" spans="9:10" x14ac:dyDescent="0.3">
      <c r="I657" t="s">
        <v>10249</v>
      </c>
      <c r="J657" t="s">
        <v>1056</v>
      </c>
    </row>
    <row r="658" spans="9:10" x14ac:dyDescent="0.3">
      <c r="I658" t="s">
        <v>10249</v>
      </c>
      <c r="J658" t="s">
        <v>1056</v>
      </c>
    </row>
    <row r="659" spans="9:10" x14ac:dyDescent="0.3">
      <c r="I659" t="s">
        <v>10249</v>
      </c>
      <c r="J659" t="s">
        <v>1056</v>
      </c>
    </row>
    <row r="660" spans="9:10" x14ac:dyDescent="0.3">
      <c r="I660" t="s">
        <v>10249</v>
      </c>
      <c r="J660" t="s">
        <v>1056</v>
      </c>
    </row>
    <row r="661" spans="9:10" x14ac:dyDescent="0.3">
      <c r="I661" t="s">
        <v>10249</v>
      </c>
      <c r="J661" t="s">
        <v>1056</v>
      </c>
    </row>
    <row r="662" spans="9:10" x14ac:dyDescent="0.3">
      <c r="I662" t="s">
        <v>10249</v>
      </c>
      <c r="J662" t="s">
        <v>1056</v>
      </c>
    </row>
    <row r="663" spans="9:10" x14ac:dyDescent="0.3">
      <c r="I663" t="s">
        <v>10249</v>
      </c>
      <c r="J663" t="s">
        <v>1056</v>
      </c>
    </row>
    <row r="664" spans="9:10" x14ac:dyDescent="0.3">
      <c r="I664" t="s">
        <v>10248</v>
      </c>
      <c r="J664" t="s">
        <v>1056</v>
      </c>
    </row>
    <row r="665" spans="9:10" x14ac:dyDescent="0.3">
      <c r="I665" t="s">
        <v>10248</v>
      </c>
      <c r="J665" t="s">
        <v>1056</v>
      </c>
    </row>
    <row r="666" spans="9:10" x14ac:dyDescent="0.3">
      <c r="I666" t="s">
        <v>10248</v>
      </c>
      <c r="J666" t="s">
        <v>1056</v>
      </c>
    </row>
    <row r="667" spans="9:10" x14ac:dyDescent="0.3">
      <c r="I667" t="s">
        <v>10248</v>
      </c>
      <c r="J667" t="s">
        <v>1056</v>
      </c>
    </row>
    <row r="668" spans="9:10" x14ac:dyDescent="0.3">
      <c r="I668" t="s">
        <v>10248</v>
      </c>
      <c r="J668" t="s">
        <v>1056</v>
      </c>
    </row>
    <row r="669" spans="9:10" x14ac:dyDescent="0.3">
      <c r="I669" t="s">
        <v>10248</v>
      </c>
      <c r="J669" t="s">
        <v>1056</v>
      </c>
    </row>
    <row r="670" spans="9:10" x14ac:dyDescent="0.3">
      <c r="I670" t="s">
        <v>10248</v>
      </c>
      <c r="J670" t="s">
        <v>1056</v>
      </c>
    </row>
    <row r="671" spans="9:10" x14ac:dyDescent="0.3">
      <c r="I671" t="s">
        <v>10248</v>
      </c>
      <c r="J671" t="s">
        <v>1056</v>
      </c>
    </row>
    <row r="672" spans="9:10" x14ac:dyDescent="0.3">
      <c r="I672" t="s">
        <v>10248</v>
      </c>
      <c r="J672" t="s">
        <v>1056</v>
      </c>
    </row>
    <row r="673" spans="9:10" x14ac:dyDescent="0.3">
      <c r="I673" t="s">
        <v>10248</v>
      </c>
      <c r="J673" t="s">
        <v>1056</v>
      </c>
    </row>
    <row r="674" spans="9:10" x14ac:dyDescent="0.3">
      <c r="I674" t="s">
        <v>10248</v>
      </c>
      <c r="J674" t="s">
        <v>1056</v>
      </c>
    </row>
    <row r="675" spans="9:10" x14ac:dyDescent="0.3">
      <c r="I675" t="s">
        <v>10248</v>
      </c>
      <c r="J675" t="s">
        <v>1056</v>
      </c>
    </row>
    <row r="676" spans="9:10" x14ac:dyDescent="0.3">
      <c r="I676" t="s">
        <v>10249</v>
      </c>
      <c r="J676" t="s">
        <v>1056</v>
      </c>
    </row>
    <row r="677" spans="9:10" x14ac:dyDescent="0.3">
      <c r="I677" t="s">
        <v>10249</v>
      </c>
      <c r="J677" t="s">
        <v>1056</v>
      </c>
    </row>
    <row r="678" spans="9:10" x14ac:dyDescent="0.3">
      <c r="I678" t="s">
        <v>10248</v>
      </c>
      <c r="J678" t="s">
        <v>1056</v>
      </c>
    </row>
    <row r="679" spans="9:10" x14ac:dyDescent="0.3">
      <c r="I679" t="s">
        <v>10248</v>
      </c>
      <c r="J679" t="s">
        <v>1056</v>
      </c>
    </row>
    <row r="680" spans="9:10" x14ac:dyDescent="0.3">
      <c r="I680" t="s">
        <v>10248</v>
      </c>
      <c r="J680" t="s">
        <v>1056</v>
      </c>
    </row>
    <row r="681" spans="9:10" x14ac:dyDescent="0.3">
      <c r="I681" t="s">
        <v>10248</v>
      </c>
      <c r="J681" t="s">
        <v>1056</v>
      </c>
    </row>
    <row r="682" spans="9:10" x14ac:dyDescent="0.3">
      <c r="I682" t="s">
        <v>10248</v>
      </c>
      <c r="J682" t="s">
        <v>1056</v>
      </c>
    </row>
    <row r="683" spans="9:10" x14ac:dyDescent="0.3">
      <c r="I683" t="s">
        <v>10248</v>
      </c>
      <c r="J683" t="s">
        <v>1056</v>
      </c>
    </row>
    <row r="684" spans="9:10" x14ac:dyDescent="0.3">
      <c r="I684" t="s">
        <v>10250</v>
      </c>
      <c r="J684" t="s">
        <v>1056</v>
      </c>
    </row>
    <row r="685" spans="9:10" x14ac:dyDescent="0.3">
      <c r="I685" t="s">
        <v>10250</v>
      </c>
      <c r="J685" t="s">
        <v>1056</v>
      </c>
    </row>
    <row r="686" spans="9:10" x14ac:dyDescent="0.3">
      <c r="I686" t="s">
        <v>10250</v>
      </c>
      <c r="J686" t="s">
        <v>1056</v>
      </c>
    </row>
    <row r="687" spans="9:10" x14ac:dyDescent="0.3">
      <c r="I687" t="s">
        <v>10250</v>
      </c>
      <c r="J687" t="s">
        <v>1056</v>
      </c>
    </row>
    <row r="688" spans="9:10" x14ac:dyDescent="0.3">
      <c r="I688" t="s">
        <v>10248</v>
      </c>
      <c r="J688" t="s">
        <v>1056</v>
      </c>
    </row>
    <row r="689" spans="9:10" x14ac:dyDescent="0.3">
      <c r="I689" t="s">
        <v>10248</v>
      </c>
      <c r="J689" t="s">
        <v>1056</v>
      </c>
    </row>
    <row r="690" spans="9:10" x14ac:dyDescent="0.3">
      <c r="I690" t="s">
        <v>10248</v>
      </c>
      <c r="J690" t="s">
        <v>1056</v>
      </c>
    </row>
    <row r="691" spans="9:10" x14ac:dyDescent="0.3">
      <c r="I691" t="s">
        <v>10248</v>
      </c>
      <c r="J691" t="s">
        <v>1056</v>
      </c>
    </row>
    <row r="692" spans="9:10" x14ac:dyDescent="0.3">
      <c r="I692" t="s">
        <v>10248</v>
      </c>
      <c r="J692" t="s">
        <v>1056</v>
      </c>
    </row>
    <row r="693" spans="9:10" x14ac:dyDescent="0.3">
      <c r="I693" t="s">
        <v>10248</v>
      </c>
      <c r="J693" t="s">
        <v>1056</v>
      </c>
    </row>
    <row r="694" spans="9:10" x14ac:dyDescent="0.3">
      <c r="I694" t="s">
        <v>10248</v>
      </c>
      <c r="J694" t="s">
        <v>1056</v>
      </c>
    </row>
    <row r="695" spans="9:10" x14ac:dyDescent="0.3">
      <c r="I695" t="s">
        <v>10248</v>
      </c>
      <c r="J695" t="s">
        <v>1056</v>
      </c>
    </row>
    <row r="696" spans="9:10" x14ac:dyDescent="0.3">
      <c r="I696" t="s">
        <v>10248</v>
      </c>
      <c r="J696" t="s">
        <v>1056</v>
      </c>
    </row>
    <row r="697" spans="9:10" x14ac:dyDescent="0.3">
      <c r="I697" t="s">
        <v>10248</v>
      </c>
      <c r="J697" t="s">
        <v>1056</v>
      </c>
    </row>
    <row r="698" spans="9:10" x14ac:dyDescent="0.3">
      <c r="I698" t="s">
        <v>10248</v>
      </c>
      <c r="J698" t="s">
        <v>1056</v>
      </c>
    </row>
    <row r="699" spans="9:10" x14ac:dyDescent="0.3">
      <c r="I699" t="s">
        <v>10248</v>
      </c>
      <c r="J699" t="s">
        <v>1056</v>
      </c>
    </row>
    <row r="700" spans="9:10" x14ac:dyDescent="0.3">
      <c r="I700" t="s">
        <v>10248</v>
      </c>
      <c r="J700" t="s">
        <v>1056</v>
      </c>
    </row>
    <row r="701" spans="9:10" x14ac:dyDescent="0.3">
      <c r="I701" t="s">
        <v>10248</v>
      </c>
      <c r="J701" t="s">
        <v>1056</v>
      </c>
    </row>
    <row r="702" spans="9:10" x14ac:dyDescent="0.3">
      <c r="I702" t="s">
        <v>10249</v>
      </c>
      <c r="J702" t="s">
        <v>1056</v>
      </c>
    </row>
    <row r="703" spans="9:10" x14ac:dyDescent="0.3">
      <c r="I703" t="s">
        <v>10249</v>
      </c>
      <c r="J703" t="s">
        <v>1056</v>
      </c>
    </row>
    <row r="704" spans="9:10" x14ac:dyDescent="0.3">
      <c r="I704" t="s">
        <v>10249</v>
      </c>
      <c r="J704" t="s">
        <v>1056</v>
      </c>
    </row>
    <row r="705" spans="9:10" x14ac:dyDescent="0.3">
      <c r="I705" t="s">
        <v>10251</v>
      </c>
      <c r="J705" t="s">
        <v>1056</v>
      </c>
    </row>
    <row r="706" spans="9:10" x14ac:dyDescent="0.3">
      <c r="I706" t="s">
        <v>10249</v>
      </c>
      <c r="J706" t="s">
        <v>1056</v>
      </c>
    </row>
    <row r="707" spans="9:10" x14ac:dyDescent="0.3">
      <c r="I707" t="s">
        <v>10248</v>
      </c>
      <c r="J707" t="s">
        <v>1056</v>
      </c>
    </row>
    <row r="708" spans="9:10" x14ac:dyDescent="0.3">
      <c r="I708" t="s">
        <v>10249</v>
      </c>
      <c r="J708" t="s">
        <v>1056</v>
      </c>
    </row>
    <row r="709" spans="9:10" x14ac:dyDescent="0.3">
      <c r="I709" t="s">
        <v>10248</v>
      </c>
      <c r="J709" t="s">
        <v>1056</v>
      </c>
    </row>
    <row r="710" spans="9:10" x14ac:dyDescent="0.3">
      <c r="I710" t="s">
        <v>10248</v>
      </c>
      <c r="J710" t="s">
        <v>1056</v>
      </c>
    </row>
    <row r="711" spans="9:10" x14ac:dyDescent="0.3">
      <c r="I711" t="s">
        <v>10248</v>
      </c>
      <c r="J711" t="s">
        <v>1056</v>
      </c>
    </row>
    <row r="712" spans="9:10" x14ac:dyDescent="0.3">
      <c r="I712" t="s">
        <v>10248</v>
      </c>
      <c r="J712" t="s">
        <v>1056</v>
      </c>
    </row>
    <row r="713" spans="9:10" x14ac:dyDescent="0.3">
      <c r="I713" t="s">
        <v>10249</v>
      </c>
      <c r="J713" t="s">
        <v>1056</v>
      </c>
    </row>
    <row r="714" spans="9:10" x14ac:dyDescent="0.3">
      <c r="I714" t="s">
        <v>10248</v>
      </c>
      <c r="J714" t="s">
        <v>1056</v>
      </c>
    </row>
    <row r="715" spans="9:10" x14ac:dyDescent="0.3">
      <c r="I715" t="s">
        <v>10248</v>
      </c>
      <c r="J715" t="s">
        <v>1056</v>
      </c>
    </row>
    <row r="716" spans="9:10" x14ac:dyDescent="0.3">
      <c r="I716" t="s">
        <v>10252</v>
      </c>
      <c r="J716" t="s">
        <v>1056</v>
      </c>
    </row>
    <row r="717" spans="9:10" x14ac:dyDescent="0.3">
      <c r="I717" t="s">
        <v>10248</v>
      </c>
      <c r="J717" t="s">
        <v>1056</v>
      </c>
    </row>
    <row r="718" spans="9:10" x14ac:dyDescent="0.3">
      <c r="I718" t="s">
        <v>10248</v>
      </c>
      <c r="J718" t="s">
        <v>1056</v>
      </c>
    </row>
    <row r="719" spans="9:10" x14ac:dyDescent="0.3">
      <c r="I719" t="s">
        <v>10248</v>
      </c>
      <c r="J719" t="s">
        <v>1056</v>
      </c>
    </row>
    <row r="720" spans="9:10" x14ac:dyDescent="0.3">
      <c r="I720" t="s">
        <v>10249</v>
      </c>
      <c r="J720" t="s">
        <v>1056</v>
      </c>
    </row>
    <row r="721" spans="9:10" x14ac:dyDescent="0.3">
      <c r="I721" t="s">
        <v>10249</v>
      </c>
      <c r="J721" t="s">
        <v>1056</v>
      </c>
    </row>
    <row r="722" spans="9:10" x14ac:dyDescent="0.3">
      <c r="I722" t="s">
        <v>10249</v>
      </c>
      <c r="J722" t="s">
        <v>1056</v>
      </c>
    </row>
    <row r="723" spans="9:10" x14ac:dyDescent="0.3">
      <c r="I723" t="s">
        <v>10249</v>
      </c>
      <c r="J723" t="s">
        <v>1056</v>
      </c>
    </row>
    <row r="724" spans="9:10" x14ac:dyDescent="0.3">
      <c r="I724" t="s">
        <v>10249</v>
      </c>
      <c r="J724" t="s">
        <v>1056</v>
      </c>
    </row>
    <row r="725" spans="9:10" x14ac:dyDescent="0.3">
      <c r="I725" t="s">
        <v>10249</v>
      </c>
      <c r="J725" t="s">
        <v>1056</v>
      </c>
    </row>
    <row r="726" spans="9:10" x14ac:dyDescent="0.3">
      <c r="I726" t="s">
        <v>10249</v>
      </c>
      <c r="J726" t="s">
        <v>1056</v>
      </c>
    </row>
    <row r="727" spans="9:10" x14ac:dyDescent="0.3">
      <c r="I727" t="s">
        <v>10248</v>
      </c>
      <c r="J727" t="s">
        <v>1056</v>
      </c>
    </row>
    <row r="728" spans="9:10" x14ac:dyDescent="0.3">
      <c r="I728" t="s">
        <v>10248</v>
      </c>
      <c r="J728" t="s">
        <v>1056</v>
      </c>
    </row>
    <row r="729" spans="9:10" x14ac:dyDescent="0.3">
      <c r="I729" t="s">
        <v>10248</v>
      </c>
      <c r="J729" t="s">
        <v>1056</v>
      </c>
    </row>
    <row r="730" spans="9:10" x14ac:dyDescent="0.3">
      <c r="I730" t="s">
        <v>10249</v>
      </c>
      <c r="J730" t="s">
        <v>1056</v>
      </c>
    </row>
    <row r="731" spans="9:10" x14ac:dyDescent="0.3">
      <c r="I731" t="s">
        <v>10248</v>
      </c>
      <c r="J731" t="s">
        <v>1056</v>
      </c>
    </row>
    <row r="732" spans="9:10" x14ac:dyDescent="0.3">
      <c r="I732" t="s">
        <v>10248</v>
      </c>
      <c r="J732" t="s">
        <v>1056</v>
      </c>
    </row>
    <row r="733" spans="9:10" x14ac:dyDescent="0.3">
      <c r="I733" t="s">
        <v>10248</v>
      </c>
      <c r="J733" t="s">
        <v>1056</v>
      </c>
    </row>
    <row r="734" spans="9:10" x14ac:dyDescent="0.3">
      <c r="I734" t="s">
        <v>10248</v>
      </c>
      <c r="J734" t="s">
        <v>1056</v>
      </c>
    </row>
    <row r="735" spans="9:10" x14ac:dyDescent="0.3">
      <c r="I735" t="s">
        <v>10249</v>
      </c>
      <c r="J735" t="s">
        <v>1056</v>
      </c>
    </row>
    <row r="736" spans="9:10" x14ac:dyDescent="0.3">
      <c r="I736" t="s">
        <v>10248</v>
      </c>
      <c r="J736" t="s">
        <v>1056</v>
      </c>
    </row>
    <row r="737" spans="9:10" x14ac:dyDescent="0.3">
      <c r="I737" t="s">
        <v>10248</v>
      </c>
      <c r="J737" t="s">
        <v>1056</v>
      </c>
    </row>
    <row r="738" spans="9:10" x14ac:dyDescent="0.3">
      <c r="I738" t="s">
        <v>10248</v>
      </c>
      <c r="J738" t="s">
        <v>1056</v>
      </c>
    </row>
    <row r="739" spans="9:10" x14ac:dyDescent="0.3">
      <c r="I739" t="s">
        <v>10248</v>
      </c>
      <c r="J739" t="s">
        <v>1056</v>
      </c>
    </row>
    <row r="740" spans="9:10" x14ac:dyDescent="0.3">
      <c r="I740" t="s">
        <v>10248</v>
      </c>
      <c r="J740" t="s">
        <v>1056</v>
      </c>
    </row>
    <row r="741" spans="9:10" x14ac:dyDescent="0.3">
      <c r="I741" t="s">
        <v>10248</v>
      </c>
      <c r="J741" t="s">
        <v>1056</v>
      </c>
    </row>
    <row r="742" spans="9:10" x14ac:dyDescent="0.3">
      <c r="I742" t="s">
        <v>10248</v>
      </c>
      <c r="J742" t="s">
        <v>1056</v>
      </c>
    </row>
    <row r="743" spans="9:10" x14ac:dyDescent="0.3">
      <c r="I743" t="s">
        <v>10248</v>
      </c>
      <c r="J743" t="s">
        <v>1056</v>
      </c>
    </row>
    <row r="744" spans="9:10" x14ac:dyDescent="0.3">
      <c r="I744" t="s">
        <v>10248</v>
      </c>
      <c r="J744" t="s">
        <v>1056</v>
      </c>
    </row>
    <row r="745" spans="9:10" x14ac:dyDescent="0.3">
      <c r="I745" t="s">
        <v>10248</v>
      </c>
      <c r="J745" t="s">
        <v>1056</v>
      </c>
    </row>
    <row r="746" spans="9:10" x14ac:dyDescent="0.3">
      <c r="I746" t="s">
        <v>10248</v>
      </c>
      <c r="J746" t="s">
        <v>1056</v>
      </c>
    </row>
    <row r="747" spans="9:10" x14ac:dyDescent="0.3">
      <c r="I747" t="s">
        <v>10248</v>
      </c>
      <c r="J747" t="s">
        <v>1056</v>
      </c>
    </row>
    <row r="748" spans="9:10" x14ac:dyDescent="0.3">
      <c r="I748" t="s">
        <v>10248</v>
      </c>
      <c r="J748" t="s">
        <v>1056</v>
      </c>
    </row>
    <row r="749" spans="9:10" x14ac:dyDescent="0.3">
      <c r="I749" t="s">
        <v>10248</v>
      </c>
      <c r="J749" t="s">
        <v>1056</v>
      </c>
    </row>
    <row r="750" spans="9:10" x14ac:dyDescent="0.3">
      <c r="I750" t="s">
        <v>10248</v>
      </c>
      <c r="J750" t="s">
        <v>1056</v>
      </c>
    </row>
    <row r="751" spans="9:10" x14ac:dyDescent="0.3">
      <c r="I751" t="s">
        <v>10248</v>
      </c>
      <c r="J751" t="s">
        <v>1056</v>
      </c>
    </row>
    <row r="752" spans="9:10" x14ac:dyDescent="0.3">
      <c r="I752" t="s">
        <v>10248</v>
      </c>
      <c r="J752" t="s">
        <v>1056</v>
      </c>
    </row>
    <row r="753" spans="9:10" x14ac:dyDescent="0.3">
      <c r="I753" t="s">
        <v>10248</v>
      </c>
      <c r="J753" t="s">
        <v>1056</v>
      </c>
    </row>
    <row r="754" spans="9:10" x14ac:dyDescent="0.3">
      <c r="I754" t="s">
        <v>10248</v>
      </c>
      <c r="J754" t="s">
        <v>1056</v>
      </c>
    </row>
    <row r="755" spans="9:10" x14ac:dyDescent="0.3">
      <c r="I755" t="s">
        <v>10248</v>
      </c>
      <c r="J755" t="s">
        <v>1056</v>
      </c>
    </row>
    <row r="756" spans="9:10" x14ac:dyDescent="0.3">
      <c r="I756" t="s">
        <v>10248</v>
      </c>
      <c r="J756" t="s">
        <v>1056</v>
      </c>
    </row>
    <row r="757" spans="9:10" x14ac:dyDescent="0.3">
      <c r="I757" t="s">
        <v>10248</v>
      </c>
      <c r="J757" t="s">
        <v>1056</v>
      </c>
    </row>
    <row r="758" spans="9:10" x14ac:dyDescent="0.3">
      <c r="I758" t="s">
        <v>10248</v>
      </c>
      <c r="J758" t="s">
        <v>1056</v>
      </c>
    </row>
    <row r="759" spans="9:10" x14ac:dyDescent="0.3">
      <c r="I759" t="s">
        <v>10248</v>
      </c>
      <c r="J759" t="s">
        <v>1056</v>
      </c>
    </row>
    <row r="760" spans="9:10" x14ac:dyDescent="0.3">
      <c r="I760" t="s">
        <v>10248</v>
      </c>
      <c r="J760" t="s">
        <v>1056</v>
      </c>
    </row>
    <row r="761" spans="9:10" x14ac:dyDescent="0.3">
      <c r="I761" t="s">
        <v>10248</v>
      </c>
      <c r="J761" t="s">
        <v>1056</v>
      </c>
    </row>
    <row r="762" spans="9:10" x14ac:dyDescent="0.3">
      <c r="I762" t="s">
        <v>10248</v>
      </c>
      <c r="J762" t="s">
        <v>1056</v>
      </c>
    </row>
    <row r="763" spans="9:10" x14ac:dyDescent="0.3">
      <c r="I763" t="s">
        <v>10248</v>
      </c>
      <c r="J763" t="s">
        <v>1056</v>
      </c>
    </row>
    <row r="764" spans="9:10" x14ac:dyDescent="0.3">
      <c r="I764" t="s">
        <v>10248</v>
      </c>
      <c r="J764" t="s">
        <v>1056</v>
      </c>
    </row>
    <row r="765" spans="9:10" x14ac:dyDescent="0.3">
      <c r="I765" t="s">
        <v>10248</v>
      </c>
      <c r="J765" t="s">
        <v>1056</v>
      </c>
    </row>
    <row r="766" spans="9:10" x14ac:dyDescent="0.3">
      <c r="I766" t="s">
        <v>10248</v>
      </c>
      <c r="J766" t="s">
        <v>1056</v>
      </c>
    </row>
    <row r="767" spans="9:10" x14ac:dyDescent="0.3">
      <c r="I767" t="s">
        <v>10248</v>
      </c>
      <c r="J767" t="s">
        <v>1056</v>
      </c>
    </row>
    <row r="768" spans="9:10" x14ac:dyDescent="0.3">
      <c r="I768" t="s">
        <v>10248</v>
      </c>
      <c r="J768" t="s">
        <v>1056</v>
      </c>
    </row>
    <row r="769" spans="9:10" x14ac:dyDescent="0.3">
      <c r="I769" t="s">
        <v>10250</v>
      </c>
      <c r="J769" t="s">
        <v>1056</v>
      </c>
    </row>
    <row r="770" spans="9:10" x14ac:dyDescent="0.3">
      <c r="I770" t="s">
        <v>10250</v>
      </c>
      <c r="J770" t="s">
        <v>1056</v>
      </c>
    </row>
    <row r="771" spans="9:10" x14ac:dyDescent="0.3">
      <c r="I771" t="s">
        <v>10249</v>
      </c>
      <c r="J771" t="s">
        <v>1056</v>
      </c>
    </row>
    <row r="772" spans="9:10" x14ac:dyDescent="0.3">
      <c r="I772" t="s">
        <v>10248</v>
      </c>
      <c r="J772" t="s">
        <v>1056</v>
      </c>
    </row>
    <row r="773" spans="9:10" x14ac:dyDescent="0.3">
      <c r="I773" t="s">
        <v>10248</v>
      </c>
      <c r="J773" t="s">
        <v>1056</v>
      </c>
    </row>
    <row r="774" spans="9:10" x14ac:dyDescent="0.3">
      <c r="I774" t="s">
        <v>10248</v>
      </c>
      <c r="J774" t="s">
        <v>1056</v>
      </c>
    </row>
    <row r="775" spans="9:10" x14ac:dyDescent="0.3">
      <c r="I775" t="s">
        <v>10248</v>
      </c>
      <c r="J775" t="s">
        <v>1056</v>
      </c>
    </row>
    <row r="776" spans="9:10" x14ac:dyDescent="0.3">
      <c r="I776" t="s">
        <v>10248</v>
      </c>
      <c r="J776" t="s">
        <v>1056</v>
      </c>
    </row>
    <row r="777" spans="9:10" x14ac:dyDescent="0.3">
      <c r="I777" t="s">
        <v>10248</v>
      </c>
      <c r="J777" t="s">
        <v>1056</v>
      </c>
    </row>
    <row r="778" spans="9:10" x14ac:dyDescent="0.3">
      <c r="I778" t="s">
        <v>10248</v>
      </c>
      <c r="J778" t="s">
        <v>1056</v>
      </c>
    </row>
    <row r="779" spans="9:10" x14ac:dyDescent="0.3">
      <c r="I779" t="s">
        <v>10248</v>
      </c>
      <c r="J779" t="s">
        <v>1056</v>
      </c>
    </row>
    <row r="780" spans="9:10" x14ac:dyDescent="0.3">
      <c r="I780" t="s">
        <v>10253</v>
      </c>
      <c r="J780" t="s">
        <v>1057</v>
      </c>
    </row>
    <row r="781" spans="9:10" x14ac:dyDescent="0.3">
      <c r="I781" t="s">
        <v>10253</v>
      </c>
      <c r="J781" t="s">
        <v>1057</v>
      </c>
    </row>
    <row r="782" spans="9:10" x14ac:dyDescent="0.3">
      <c r="I782" t="s">
        <v>10254</v>
      </c>
      <c r="J782" t="s">
        <v>1058</v>
      </c>
    </row>
    <row r="783" spans="9:10" x14ac:dyDescent="0.3">
      <c r="I783" t="s">
        <v>10255</v>
      </c>
      <c r="J783" t="s">
        <v>1059</v>
      </c>
    </row>
    <row r="784" spans="9:10" x14ac:dyDescent="0.3">
      <c r="I784" t="s">
        <v>10256</v>
      </c>
      <c r="J784" t="s">
        <v>1059</v>
      </c>
    </row>
    <row r="785" spans="9:10" x14ac:dyDescent="0.3">
      <c r="I785" t="s">
        <v>10257</v>
      </c>
      <c r="J785" t="s">
        <v>1059</v>
      </c>
    </row>
    <row r="786" spans="9:10" x14ac:dyDescent="0.3">
      <c r="I786" t="s">
        <v>10258</v>
      </c>
      <c r="J786" t="s">
        <v>1059</v>
      </c>
    </row>
    <row r="787" spans="9:10" x14ac:dyDescent="0.3">
      <c r="I787" t="s">
        <v>10259</v>
      </c>
      <c r="J787" t="s">
        <v>1059</v>
      </c>
    </row>
    <row r="788" spans="9:10" x14ac:dyDescent="0.3">
      <c r="I788" t="s">
        <v>10260</v>
      </c>
      <c r="J788" t="s">
        <v>1059</v>
      </c>
    </row>
    <row r="789" spans="9:10" x14ac:dyDescent="0.3">
      <c r="I789" t="s">
        <v>10261</v>
      </c>
      <c r="J789" t="s">
        <v>1059</v>
      </c>
    </row>
    <row r="790" spans="9:10" x14ac:dyDescent="0.3">
      <c r="I790" t="s">
        <v>10255</v>
      </c>
      <c r="J790" t="s">
        <v>1059</v>
      </c>
    </row>
    <row r="791" spans="9:10" x14ac:dyDescent="0.3">
      <c r="I791" t="s">
        <v>10255</v>
      </c>
      <c r="J791" t="s">
        <v>1059</v>
      </c>
    </row>
    <row r="792" spans="9:10" x14ac:dyDescent="0.3">
      <c r="I792" t="s">
        <v>10255</v>
      </c>
      <c r="J792" t="s">
        <v>1059</v>
      </c>
    </row>
    <row r="793" spans="9:10" x14ac:dyDescent="0.3">
      <c r="I793" t="s">
        <v>10255</v>
      </c>
      <c r="J793" t="s">
        <v>1059</v>
      </c>
    </row>
    <row r="794" spans="9:10" x14ac:dyDescent="0.3">
      <c r="I794" t="s">
        <v>10255</v>
      </c>
      <c r="J794" t="s">
        <v>1059</v>
      </c>
    </row>
    <row r="795" spans="9:10" x14ac:dyDescent="0.3">
      <c r="I795" t="s">
        <v>10255</v>
      </c>
      <c r="J795" t="s">
        <v>1059</v>
      </c>
    </row>
    <row r="796" spans="9:10" x14ac:dyDescent="0.3">
      <c r="I796" t="s">
        <v>10255</v>
      </c>
      <c r="J796" t="s">
        <v>1059</v>
      </c>
    </row>
    <row r="797" spans="9:10" x14ac:dyDescent="0.3">
      <c r="I797" t="s">
        <v>10255</v>
      </c>
      <c r="J797" t="s">
        <v>1059</v>
      </c>
    </row>
    <row r="798" spans="9:10" x14ac:dyDescent="0.3">
      <c r="I798" t="s">
        <v>10255</v>
      </c>
      <c r="J798" t="s">
        <v>1059</v>
      </c>
    </row>
    <row r="799" spans="9:10" x14ac:dyDescent="0.3">
      <c r="I799" t="s">
        <v>10255</v>
      </c>
      <c r="J799" t="s">
        <v>1059</v>
      </c>
    </row>
    <row r="800" spans="9:10" x14ac:dyDescent="0.3">
      <c r="I800" t="s">
        <v>10255</v>
      </c>
      <c r="J800" t="s">
        <v>1059</v>
      </c>
    </row>
    <row r="801" spans="9:10" x14ac:dyDescent="0.3">
      <c r="I801" t="s">
        <v>10262</v>
      </c>
      <c r="J801" t="s">
        <v>1059</v>
      </c>
    </row>
    <row r="802" spans="9:10" x14ac:dyDescent="0.3">
      <c r="I802" t="s">
        <v>10263</v>
      </c>
      <c r="J802" t="s">
        <v>1059</v>
      </c>
    </row>
    <row r="803" spans="9:10" x14ac:dyDescent="0.3">
      <c r="I803" t="s">
        <v>10262</v>
      </c>
      <c r="J803" t="s">
        <v>1059</v>
      </c>
    </row>
    <row r="804" spans="9:10" x14ac:dyDescent="0.3">
      <c r="I804" t="s">
        <v>10264</v>
      </c>
      <c r="J804" t="s">
        <v>1059</v>
      </c>
    </row>
    <row r="805" spans="9:10" x14ac:dyDescent="0.3">
      <c r="I805" t="s">
        <v>10255</v>
      </c>
      <c r="J805" t="s">
        <v>1059</v>
      </c>
    </row>
    <row r="806" spans="9:10" x14ac:dyDescent="0.3">
      <c r="I806" t="s">
        <v>10255</v>
      </c>
      <c r="J806" t="s">
        <v>1059</v>
      </c>
    </row>
    <row r="807" spans="9:10" x14ac:dyDescent="0.3">
      <c r="I807" t="s">
        <v>10255</v>
      </c>
      <c r="J807" t="s">
        <v>1059</v>
      </c>
    </row>
    <row r="808" spans="9:10" x14ac:dyDescent="0.3">
      <c r="I808" t="s">
        <v>10255</v>
      </c>
      <c r="J808" t="s">
        <v>1059</v>
      </c>
    </row>
    <row r="809" spans="9:10" x14ac:dyDescent="0.3">
      <c r="I809" t="s">
        <v>10255</v>
      </c>
      <c r="J809" t="s">
        <v>1059</v>
      </c>
    </row>
    <row r="810" spans="9:10" x14ac:dyDescent="0.3">
      <c r="I810" t="s">
        <v>10255</v>
      </c>
      <c r="J810" t="s">
        <v>1059</v>
      </c>
    </row>
    <row r="811" spans="9:10" x14ac:dyDescent="0.3">
      <c r="I811" t="s">
        <v>10265</v>
      </c>
      <c r="J811" t="s">
        <v>1059</v>
      </c>
    </row>
    <row r="812" spans="9:10" x14ac:dyDescent="0.3">
      <c r="I812" t="s">
        <v>10263</v>
      </c>
      <c r="J812" t="s">
        <v>1059</v>
      </c>
    </row>
    <row r="813" spans="9:10" x14ac:dyDescent="0.3">
      <c r="I813" t="s">
        <v>10258</v>
      </c>
      <c r="J813" t="s">
        <v>1059</v>
      </c>
    </row>
    <row r="814" spans="9:10" x14ac:dyDescent="0.3">
      <c r="I814" t="s">
        <v>10257</v>
      </c>
      <c r="J814" t="s">
        <v>1059</v>
      </c>
    </row>
    <row r="815" spans="9:10" x14ac:dyDescent="0.3">
      <c r="I815" t="s">
        <v>10264</v>
      </c>
      <c r="J815" t="s">
        <v>1059</v>
      </c>
    </row>
    <row r="816" spans="9:10" x14ac:dyDescent="0.3">
      <c r="I816" t="s">
        <v>10256</v>
      </c>
      <c r="J816" t="s">
        <v>1059</v>
      </c>
    </row>
    <row r="817" spans="9:10" x14ac:dyDescent="0.3">
      <c r="I817" t="s">
        <v>10259</v>
      </c>
      <c r="J817" t="s">
        <v>1059</v>
      </c>
    </row>
    <row r="818" spans="9:10" x14ac:dyDescent="0.3">
      <c r="I818" t="s">
        <v>10255</v>
      </c>
      <c r="J818" t="s">
        <v>1059</v>
      </c>
    </row>
    <row r="819" spans="9:10" x14ac:dyDescent="0.3">
      <c r="I819" t="s">
        <v>10255</v>
      </c>
      <c r="J819" t="s">
        <v>1059</v>
      </c>
    </row>
    <row r="820" spans="9:10" x14ac:dyDescent="0.3">
      <c r="I820" t="s">
        <v>10255</v>
      </c>
      <c r="J820" t="s">
        <v>1059</v>
      </c>
    </row>
    <row r="821" spans="9:10" x14ac:dyDescent="0.3">
      <c r="I821" t="s">
        <v>10255</v>
      </c>
      <c r="J821" t="s">
        <v>1059</v>
      </c>
    </row>
    <row r="822" spans="9:10" x14ac:dyDescent="0.3">
      <c r="I822" t="s">
        <v>10266</v>
      </c>
      <c r="J822" t="s">
        <v>1059</v>
      </c>
    </row>
    <row r="823" spans="9:10" x14ac:dyDescent="0.3">
      <c r="I823" t="s">
        <v>10267</v>
      </c>
      <c r="J823" t="s">
        <v>1060</v>
      </c>
    </row>
    <row r="824" spans="9:10" x14ac:dyDescent="0.3">
      <c r="I824" t="s">
        <v>10267</v>
      </c>
      <c r="J824" t="s">
        <v>1060</v>
      </c>
    </row>
    <row r="825" spans="9:10" x14ac:dyDescent="0.3">
      <c r="I825" t="s">
        <v>10267</v>
      </c>
      <c r="J825" t="s">
        <v>1060</v>
      </c>
    </row>
    <row r="826" spans="9:10" x14ac:dyDescent="0.3">
      <c r="I826" t="s">
        <v>10268</v>
      </c>
      <c r="J826" t="s">
        <v>1061</v>
      </c>
    </row>
    <row r="827" spans="9:10" x14ac:dyDescent="0.3">
      <c r="I827" t="s">
        <v>10269</v>
      </c>
      <c r="J827" t="s">
        <v>1061</v>
      </c>
    </row>
    <row r="828" spans="9:10" x14ac:dyDescent="0.3">
      <c r="I828" t="s">
        <v>10269</v>
      </c>
      <c r="J828" t="s">
        <v>1061</v>
      </c>
    </row>
    <row r="829" spans="9:10" x14ac:dyDescent="0.3">
      <c r="I829" t="s">
        <v>10270</v>
      </c>
      <c r="J829" t="s">
        <v>1062</v>
      </c>
    </row>
    <row r="830" spans="9:10" x14ac:dyDescent="0.3">
      <c r="I830" t="s">
        <v>10271</v>
      </c>
    </row>
    <row r="831" spans="9:10" x14ac:dyDescent="0.3">
      <c r="I831" t="s">
        <v>10272</v>
      </c>
      <c r="J831" t="s">
        <v>1063</v>
      </c>
    </row>
    <row r="832" spans="9:10" x14ac:dyDescent="0.3">
      <c r="I832" t="s">
        <v>10273</v>
      </c>
    </row>
    <row r="833" spans="9:10" x14ac:dyDescent="0.3">
      <c r="I833" t="s">
        <v>10274</v>
      </c>
      <c r="J833" t="s">
        <v>1064</v>
      </c>
    </row>
    <row r="834" spans="9:10" x14ac:dyDescent="0.3">
      <c r="I834" t="s">
        <v>10275</v>
      </c>
      <c r="J834" t="s">
        <v>1064</v>
      </c>
    </row>
    <row r="835" spans="9:10" x14ac:dyDescent="0.3">
      <c r="I835" t="s">
        <v>10274</v>
      </c>
      <c r="J835" t="s">
        <v>1064</v>
      </c>
    </row>
    <row r="836" spans="9:10" x14ac:dyDescent="0.3">
      <c r="I836" t="s">
        <v>10274</v>
      </c>
      <c r="J836" t="s">
        <v>1064</v>
      </c>
    </row>
    <row r="837" spans="9:10" x14ac:dyDescent="0.3">
      <c r="I837" t="s">
        <v>10276</v>
      </c>
      <c r="J837" t="s">
        <v>1065</v>
      </c>
    </row>
    <row r="838" spans="9:10" x14ac:dyDescent="0.3">
      <c r="I838" t="s">
        <v>10277</v>
      </c>
      <c r="J838" t="s">
        <v>1065</v>
      </c>
    </row>
    <row r="839" spans="9:10" x14ac:dyDescent="0.3">
      <c r="I839" t="s">
        <v>10278</v>
      </c>
      <c r="J839" t="s">
        <v>1065</v>
      </c>
    </row>
    <row r="840" spans="9:10" x14ac:dyDescent="0.3">
      <c r="I840" t="s">
        <v>10277</v>
      </c>
      <c r="J840" t="s">
        <v>1065</v>
      </c>
    </row>
    <row r="841" spans="9:10" x14ac:dyDescent="0.3">
      <c r="I841" t="s">
        <v>10279</v>
      </c>
      <c r="J841" t="s">
        <v>1066</v>
      </c>
    </row>
    <row r="842" spans="9:10" x14ac:dyDescent="0.3">
      <c r="I842" t="s">
        <v>10280</v>
      </c>
      <c r="J842" t="s">
        <v>231</v>
      </c>
    </row>
    <row r="843" spans="9:10" x14ac:dyDescent="0.3">
      <c r="I843" t="s">
        <v>10281</v>
      </c>
      <c r="J843" t="s">
        <v>231</v>
      </c>
    </row>
    <row r="844" spans="9:10" x14ac:dyDescent="0.3">
      <c r="I844" t="s">
        <v>10282</v>
      </c>
      <c r="J844" t="s">
        <v>231</v>
      </c>
    </row>
    <row r="845" spans="9:10" x14ac:dyDescent="0.3">
      <c r="I845" t="s">
        <v>10283</v>
      </c>
      <c r="J845" t="s">
        <v>231</v>
      </c>
    </row>
    <row r="846" spans="9:10" x14ac:dyDescent="0.3">
      <c r="I846" t="s">
        <v>10284</v>
      </c>
      <c r="J846" t="s">
        <v>1067</v>
      </c>
    </row>
    <row r="847" spans="9:10" x14ac:dyDescent="0.3">
      <c r="I847" t="s">
        <v>10285</v>
      </c>
      <c r="J847" t="s">
        <v>1067</v>
      </c>
    </row>
    <row r="848" spans="9:10" x14ac:dyDescent="0.3">
      <c r="I848" t="s">
        <v>10286</v>
      </c>
      <c r="J848" t="s">
        <v>1068</v>
      </c>
    </row>
    <row r="849" spans="9:10" x14ac:dyDescent="0.3">
      <c r="I849" t="s">
        <v>10287</v>
      </c>
      <c r="J849" t="s">
        <v>239</v>
      </c>
    </row>
    <row r="850" spans="9:10" x14ac:dyDescent="0.3">
      <c r="I850" t="s">
        <v>10288</v>
      </c>
      <c r="J850" t="s">
        <v>239</v>
      </c>
    </row>
    <row r="851" spans="9:10" x14ac:dyDescent="0.3">
      <c r="I851" t="s">
        <v>10289</v>
      </c>
      <c r="J851" t="s">
        <v>239</v>
      </c>
    </row>
    <row r="852" spans="9:10" x14ac:dyDescent="0.3">
      <c r="I852" t="s">
        <v>10290</v>
      </c>
    </row>
    <row r="853" spans="9:10" x14ac:dyDescent="0.3">
      <c r="I853" t="s">
        <v>10291</v>
      </c>
      <c r="J853" t="s">
        <v>1069</v>
      </c>
    </row>
    <row r="854" spans="9:10" x14ac:dyDescent="0.3">
      <c r="I854" t="s">
        <v>10292</v>
      </c>
      <c r="J854" t="s">
        <v>1070</v>
      </c>
    </row>
    <row r="855" spans="9:10" x14ac:dyDescent="0.3">
      <c r="I855" t="s">
        <v>10293</v>
      </c>
      <c r="J855" t="s">
        <v>1070</v>
      </c>
    </row>
    <row r="856" spans="9:10" x14ac:dyDescent="0.3">
      <c r="I856" t="s">
        <v>10294</v>
      </c>
      <c r="J856" t="s">
        <v>1071</v>
      </c>
    </row>
    <row r="857" spans="9:10" x14ac:dyDescent="0.3">
      <c r="I857" t="s">
        <v>10294</v>
      </c>
      <c r="J857" t="s">
        <v>1071</v>
      </c>
    </row>
    <row r="858" spans="9:10" x14ac:dyDescent="0.3">
      <c r="I858" t="s">
        <v>10295</v>
      </c>
      <c r="J858" t="s">
        <v>1071</v>
      </c>
    </row>
    <row r="859" spans="9:10" x14ac:dyDescent="0.3">
      <c r="I859" t="s">
        <v>10296</v>
      </c>
      <c r="J859" t="s">
        <v>1072</v>
      </c>
    </row>
    <row r="860" spans="9:10" x14ac:dyDescent="0.3">
      <c r="I860" t="s">
        <v>10296</v>
      </c>
      <c r="J860" t="s">
        <v>1072</v>
      </c>
    </row>
    <row r="861" spans="9:10" x14ac:dyDescent="0.3">
      <c r="I861" t="s">
        <v>10296</v>
      </c>
      <c r="J861" t="s">
        <v>1072</v>
      </c>
    </row>
    <row r="862" spans="9:10" x14ac:dyDescent="0.3">
      <c r="I862" t="s">
        <v>10297</v>
      </c>
      <c r="J862" t="s">
        <v>1073</v>
      </c>
    </row>
    <row r="863" spans="9:10" x14ac:dyDescent="0.3">
      <c r="I863" t="s">
        <v>10298</v>
      </c>
      <c r="J863" t="s">
        <v>1074</v>
      </c>
    </row>
    <row r="864" spans="9:10" x14ac:dyDescent="0.3">
      <c r="I864" t="s">
        <v>10299</v>
      </c>
      <c r="J864" t="s">
        <v>1075</v>
      </c>
    </row>
    <row r="865" spans="9:10" x14ac:dyDescent="0.3">
      <c r="I865" t="s">
        <v>10300</v>
      </c>
      <c r="J865" t="s">
        <v>1076</v>
      </c>
    </row>
    <row r="866" spans="9:10" x14ac:dyDescent="0.3">
      <c r="I866" t="s">
        <v>10300</v>
      </c>
      <c r="J866" t="s">
        <v>1076</v>
      </c>
    </row>
    <row r="867" spans="9:10" x14ac:dyDescent="0.3">
      <c r="I867" t="s">
        <v>10301</v>
      </c>
      <c r="J867" t="s">
        <v>1076</v>
      </c>
    </row>
    <row r="868" spans="9:10" x14ac:dyDescent="0.3">
      <c r="I868" t="s">
        <v>10302</v>
      </c>
      <c r="J868" t="s">
        <v>1077</v>
      </c>
    </row>
    <row r="869" spans="9:10" x14ac:dyDescent="0.3">
      <c r="I869" t="s">
        <v>10302</v>
      </c>
      <c r="J869" t="s">
        <v>1077</v>
      </c>
    </row>
    <row r="870" spans="9:10" x14ac:dyDescent="0.3">
      <c r="I870" t="s">
        <v>10303</v>
      </c>
      <c r="J870" t="s">
        <v>1078</v>
      </c>
    </row>
    <row r="871" spans="9:10" x14ac:dyDescent="0.3">
      <c r="I871" t="s">
        <v>10304</v>
      </c>
      <c r="J871" t="s">
        <v>1078</v>
      </c>
    </row>
    <row r="872" spans="9:10" x14ac:dyDescent="0.3">
      <c r="I872" t="s">
        <v>10305</v>
      </c>
      <c r="J872" t="s">
        <v>1079</v>
      </c>
    </row>
    <row r="873" spans="9:10" x14ac:dyDescent="0.3">
      <c r="I873" t="s">
        <v>10306</v>
      </c>
      <c r="J873" t="s">
        <v>1079</v>
      </c>
    </row>
    <row r="874" spans="9:10" x14ac:dyDescent="0.3">
      <c r="I874" t="s">
        <v>10307</v>
      </c>
      <c r="J874" t="s">
        <v>1080</v>
      </c>
    </row>
    <row r="875" spans="9:10" x14ac:dyDescent="0.3">
      <c r="I875" t="s">
        <v>10307</v>
      </c>
      <c r="J875" t="s">
        <v>1080</v>
      </c>
    </row>
    <row r="876" spans="9:10" x14ac:dyDescent="0.3">
      <c r="I876" t="s">
        <v>10308</v>
      </c>
      <c r="J876" t="s">
        <v>1081</v>
      </c>
    </row>
    <row r="877" spans="9:10" x14ac:dyDescent="0.3">
      <c r="I877" t="s">
        <v>10309</v>
      </c>
      <c r="J877" t="s">
        <v>1081</v>
      </c>
    </row>
    <row r="878" spans="9:10" x14ac:dyDescent="0.3">
      <c r="I878" t="s">
        <v>10310</v>
      </c>
    </row>
    <row r="879" spans="9:10" x14ac:dyDescent="0.3">
      <c r="I879" t="s">
        <v>10311</v>
      </c>
      <c r="J879" t="s">
        <v>1082</v>
      </c>
    </row>
    <row r="880" spans="9:10" x14ac:dyDescent="0.3">
      <c r="I880" t="s">
        <v>10312</v>
      </c>
      <c r="J880" t="s">
        <v>1082</v>
      </c>
    </row>
    <row r="881" spans="9:10" x14ac:dyDescent="0.3">
      <c r="I881" t="s">
        <v>10313</v>
      </c>
      <c r="J881" t="s">
        <v>1083</v>
      </c>
    </row>
    <row r="882" spans="9:10" x14ac:dyDescent="0.3">
      <c r="I882" t="s">
        <v>10314</v>
      </c>
      <c r="J882" t="s">
        <v>1084</v>
      </c>
    </row>
    <row r="883" spans="9:10" x14ac:dyDescent="0.3">
      <c r="I883" t="s">
        <v>10315</v>
      </c>
      <c r="J883" t="s">
        <v>1085</v>
      </c>
    </row>
    <row r="884" spans="9:10" x14ac:dyDescent="0.3">
      <c r="I884" t="s">
        <v>10316</v>
      </c>
      <c r="J884" t="s">
        <v>1085</v>
      </c>
    </row>
    <row r="885" spans="9:10" x14ac:dyDescent="0.3">
      <c r="I885" t="s">
        <v>10316</v>
      </c>
      <c r="J885" t="s">
        <v>1085</v>
      </c>
    </row>
    <row r="886" spans="9:10" x14ac:dyDescent="0.3">
      <c r="I886" t="s">
        <v>10317</v>
      </c>
      <c r="J886" t="s">
        <v>1086</v>
      </c>
    </row>
    <row r="887" spans="9:10" x14ac:dyDescent="0.3">
      <c r="I887" t="s">
        <v>10318</v>
      </c>
      <c r="J887" t="s">
        <v>1086</v>
      </c>
    </row>
    <row r="888" spans="9:10" x14ac:dyDescent="0.3">
      <c r="I888" t="s">
        <v>10319</v>
      </c>
      <c r="J888" t="s">
        <v>1086</v>
      </c>
    </row>
    <row r="889" spans="9:10" x14ac:dyDescent="0.3">
      <c r="I889" t="s">
        <v>10319</v>
      </c>
      <c r="J889" t="s">
        <v>1086</v>
      </c>
    </row>
    <row r="890" spans="9:10" x14ac:dyDescent="0.3">
      <c r="I890" t="s">
        <v>10319</v>
      </c>
      <c r="J890" t="s">
        <v>1086</v>
      </c>
    </row>
    <row r="891" spans="9:10" x14ac:dyDescent="0.3">
      <c r="I891" t="s">
        <v>10320</v>
      </c>
      <c r="J891" t="s">
        <v>343</v>
      </c>
    </row>
    <row r="892" spans="9:10" x14ac:dyDescent="0.3">
      <c r="I892" t="s">
        <v>10320</v>
      </c>
      <c r="J892" t="s">
        <v>343</v>
      </c>
    </row>
    <row r="893" spans="9:10" x14ac:dyDescent="0.3">
      <c r="I893" t="s">
        <v>10320</v>
      </c>
      <c r="J893" t="s">
        <v>343</v>
      </c>
    </row>
    <row r="894" spans="9:10" x14ac:dyDescent="0.3">
      <c r="I894" t="s">
        <v>10321</v>
      </c>
      <c r="J894" t="s">
        <v>1087</v>
      </c>
    </row>
    <row r="895" spans="9:10" x14ac:dyDescent="0.3">
      <c r="I895" t="s">
        <v>10322</v>
      </c>
      <c r="J895" t="s">
        <v>1088</v>
      </c>
    </row>
    <row r="896" spans="9:10" x14ac:dyDescent="0.3">
      <c r="I896" t="s">
        <v>10323</v>
      </c>
      <c r="J896" t="s">
        <v>1089</v>
      </c>
    </row>
    <row r="897" spans="9:10" x14ac:dyDescent="0.3">
      <c r="I897" t="s">
        <v>10323</v>
      </c>
      <c r="J897" t="s">
        <v>1089</v>
      </c>
    </row>
    <row r="898" spans="9:10" x14ac:dyDescent="0.3">
      <c r="I898" t="s">
        <v>10323</v>
      </c>
      <c r="J898" t="s">
        <v>1089</v>
      </c>
    </row>
    <row r="899" spans="9:10" x14ac:dyDescent="0.3">
      <c r="I899" t="s">
        <v>10323</v>
      </c>
      <c r="J899" t="s">
        <v>1089</v>
      </c>
    </row>
    <row r="900" spans="9:10" x14ac:dyDescent="0.3">
      <c r="I900" t="s">
        <v>10323</v>
      </c>
      <c r="J900" t="s">
        <v>1089</v>
      </c>
    </row>
    <row r="901" spans="9:10" x14ac:dyDescent="0.3">
      <c r="I901" t="s">
        <v>10323</v>
      </c>
      <c r="J901" t="s">
        <v>1089</v>
      </c>
    </row>
    <row r="902" spans="9:10" x14ac:dyDescent="0.3">
      <c r="I902" t="s">
        <v>10323</v>
      </c>
      <c r="J902" t="s">
        <v>1089</v>
      </c>
    </row>
    <row r="903" spans="9:10" x14ac:dyDescent="0.3">
      <c r="I903" t="s">
        <v>10324</v>
      </c>
      <c r="J903" t="s">
        <v>363</v>
      </c>
    </row>
    <row r="904" spans="9:10" x14ac:dyDescent="0.3">
      <c r="I904" t="s">
        <v>10324</v>
      </c>
      <c r="J904" t="s">
        <v>363</v>
      </c>
    </row>
    <row r="905" spans="9:10" x14ac:dyDescent="0.3">
      <c r="I905" t="s">
        <v>10324</v>
      </c>
      <c r="J905" t="s">
        <v>363</v>
      </c>
    </row>
    <row r="906" spans="9:10" x14ac:dyDescent="0.3">
      <c r="I906" t="s">
        <v>10325</v>
      </c>
      <c r="J906" t="s">
        <v>363</v>
      </c>
    </row>
    <row r="907" spans="9:10" x14ac:dyDescent="0.3">
      <c r="I907" t="s">
        <v>10326</v>
      </c>
      <c r="J907" t="s">
        <v>1090</v>
      </c>
    </row>
    <row r="908" spans="9:10" x14ac:dyDescent="0.3">
      <c r="I908" t="s">
        <v>10327</v>
      </c>
      <c r="J908" t="s">
        <v>1091</v>
      </c>
    </row>
    <row r="909" spans="9:10" x14ac:dyDescent="0.3">
      <c r="I909" t="s">
        <v>10327</v>
      </c>
      <c r="J909" t="s">
        <v>1091</v>
      </c>
    </row>
    <row r="910" spans="9:10" x14ac:dyDescent="0.3">
      <c r="I910" t="s">
        <v>10328</v>
      </c>
      <c r="J910" t="s">
        <v>1091</v>
      </c>
    </row>
    <row r="911" spans="9:10" x14ac:dyDescent="0.3">
      <c r="I911" t="s">
        <v>10329</v>
      </c>
      <c r="J911" t="s">
        <v>1092</v>
      </c>
    </row>
    <row r="912" spans="9:10" x14ac:dyDescent="0.3">
      <c r="I912" t="s">
        <v>10330</v>
      </c>
    </row>
    <row r="913" spans="9:10" x14ac:dyDescent="0.3">
      <c r="I913" t="s">
        <v>10331</v>
      </c>
      <c r="J913" t="s">
        <v>380</v>
      </c>
    </row>
    <row r="914" spans="9:10" x14ac:dyDescent="0.3">
      <c r="I914" t="s">
        <v>10332</v>
      </c>
    </row>
    <row r="915" spans="9:10" x14ac:dyDescent="0.3">
      <c r="I915" t="s">
        <v>10333</v>
      </c>
      <c r="J915" t="s">
        <v>398</v>
      </c>
    </row>
    <row r="916" spans="9:10" x14ac:dyDescent="0.3">
      <c r="I916" t="s">
        <v>10333</v>
      </c>
      <c r="J916" t="s">
        <v>398</v>
      </c>
    </row>
    <row r="917" spans="9:10" x14ac:dyDescent="0.3">
      <c r="I917" t="s">
        <v>10333</v>
      </c>
      <c r="J917" t="s">
        <v>398</v>
      </c>
    </row>
    <row r="918" spans="9:10" x14ac:dyDescent="0.3">
      <c r="I918" t="s">
        <v>10334</v>
      </c>
      <c r="J918" t="s">
        <v>400</v>
      </c>
    </row>
    <row r="919" spans="9:10" x14ac:dyDescent="0.3">
      <c r="I919" t="s">
        <v>399</v>
      </c>
      <c r="J919" t="s">
        <v>400</v>
      </c>
    </row>
    <row r="920" spans="9:10" x14ac:dyDescent="0.3">
      <c r="I920" t="s">
        <v>10334</v>
      </c>
      <c r="J920" t="s">
        <v>400</v>
      </c>
    </row>
    <row r="921" spans="9:10" x14ac:dyDescent="0.3">
      <c r="I921" t="s">
        <v>10335</v>
      </c>
      <c r="J921" t="s">
        <v>1093</v>
      </c>
    </row>
    <row r="922" spans="9:10" x14ac:dyDescent="0.3">
      <c r="I922" t="s">
        <v>10336</v>
      </c>
      <c r="J922" t="s">
        <v>1094</v>
      </c>
    </row>
    <row r="923" spans="9:10" x14ac:dyDescent="0.3">
      <c r="I923" t="s">
        <v>10337</v>
      </c>
      <c r="J923" t="s">
        <v>1095</v>
      </c>
    </row>
    <row r="924" spans="9:10" x14ac:dyDescent="0.3">
      <c r="I924" t="s">
        <v>10337</v>
      </c>
      <c r="J924" t="s">
        <v>1095</v>
      </c>
    </row>
    <row r="925" spans="9:10" x14ac:dyDescent="0.3">
      <c r="I925" t="s">
        <v>10337</v>
      </c>
      <c r="J925" t="s">
        <v>1095</v>
      </c>
    </row>
    <row r="926" spans="9:10" x14ac:dyDescent="0.3">
      <c r="I926" t="s">
        <v>10338</v>
      </c>
      <c r="J926" t="s">
        <v>1095</v>
      </c>
    </row>
    <row r="927" spans="9:10" x14ac:dyDescent="0.3">
      <c r="I927" t="s">
        <v>10338</v>
      </c>
      <c r="J927" t="s">
        <v>1095</v>
      </c>
    </row>
    <row r="928" spans="9:10" x14ac:dyDescent="0.3">
      <c r="I928" t="s">
        <v>10339</v>
      </c>
      <c r="J928" t="s">
        <v>1054</v>
      </c>
    </row>
    <row r="929" spans="9:10" x14ac:dyDescent="0.3">
      <c r="I929" t="s">
        <v>10340</v>
      </c>
      <c r="J929" t="s">
        <v>1054</v>
      </c>
    </row>
    <row r="930" spans="9:10" x14ac:dyDescent="0.3">
      <c r="I930" t="s">
        <v>10341</v>
      </c>
      <c r="J930" t="s">
        <v>1054</v>
      </c>
    </row>
    <row r="931" spans="9:10" x14ac:dyDescent="0.3">
      <c r="I931" t="s">
        <v>10342</v>
      </c>
      <c r="J931" t="s">
        <v>1054</v>
      </c>
    </row>
    <row r="932" spans="9:10" x14ac:dyDescent="0.3">
      <c r="I932" t="s">
        <v>10343</v>
      </c>
      <c r="J932" t="s">
        <v>1054</v>
      </c>
    </row>
    <row r="933" spans="9:10" x14ac:dyDescent="0.3">
      <c r="I933" t="s">
        <v>10344</v>
      </c>
      <c r="J933" t="s">
        <v>1054</v>
      </c>
    </row>
    <row r="934" spans="9:10" x14ac:dyDescent="0.3">
      <c r="I934" t="s">
        <v>10345</v>
      </c>
      <c r="J934" t="s">
        <v>414</v>
      </c>
    </row>
    <row r="935" spans="9:10" x14ac:dyDescent="0.3">
      <c r="I935" t="s">
        <v>10346</v>
      </c>
      <c r="J935" t="s">
        <v>414</v>
      </c>
    </row>
    <row r="936" spans="9:10" x14ac:dyDescent="0.3">
      <c r="I936" t="s">
        <v>10346</v>
      </c>
      <c r="J936" t="s">
        <v>414</v>
      </c>
    </row>
    <row r="937" spans="9:10" x14ac:dyDescent="0.3">
      <c r="I937" t="s">
        <v>10347</v>
      </c>
    </row>
    <row r="938" spans="9:10" x14ac:dyDescent="0.3">
      <c r="I938" t="s">
        <v>10348</v>
      </c>
      <c r="J938" t="s">
        <v>1096</v>
      </c>
    </row>
    <row r="939" spans="9:10" x14ac:dyDescent="0.3">
      <c r="I939" t="s">
        <v>10349</v>
      </c>
      <c r="J939" t="s">
        <v>1096</v>
      </c>
    </row>
    <row r="940" spans="9:10" x14ac:dyDescent="0.3">
      <c r="I940" t="s">
        <v>10350</v>
      </c>
      <c r="J940" t="s">
        <v>1096</v>
      </c>
    </row>
    <row r="941" spans="9:10" x14ac:dyDescent="0.3">
      <c r="I941" t="s">
        <v>10351</v>
      </c>
    </row>
    <row r="942" spans="9:10" x14ac:dyDescent="0.3">
      <c r="I942" t="s">
        <v>10352</v>
      </c>
    </row>
    <row r="943" spans="9:10" x14ac:dyDescent="0.3">
      <c r="I943" t="s">
        <v>10353</v>
      </c>
      <c r="J943" t="s">
        <v>1097</v>
      </c>
    </row>
    <row r="944" spans="9:10" x14ac:dyDescent="0.3">
      <c r="I944" t="s">
        <v>10354</v>
      </c>
      <c r="J944" t="s">
        <v>1097</v>
      </c>
    </row>
    <row r="945" spans="9:10" x14ac:dyDescent="0.3">
      <c r="I945" t="s">
        <v>10355</v>
      </c>
      <c r="J945" t="s">
        <v>1097</v>
      </c>
    </row>
    <row r="946" spans="9:10" x14ac:dyDescent="0.3">
      <c r="I946" t="s">
        <v>10356</v>
      </c>
      <c r="J946" t="s">
        <v>1097</v>
      </c>
    </row>
    <row r="947" spans="9:10" x14ac:dyDescent="0.3">
      <c r="I947" t="s">
        <v>10357</v>
      </c>
      <c r="J947" t="s">
        <v>1098</v>
      </c>
    </row>
    <row r="948" spans="9:10" x14ac:dyDescent="0.3">
      <c r="I948" t="s">
        <v>10358</v>
      </c>
      <c r="J948" t="s">
        <v>1098</v>
      </c>
    </row>
    <row r="949" spans="9:10" x14ac:dyDescent="0.3">
      <c r="I949" t="s">
        <v>10358</v>
      </c>
      <c r="J949" t="s">
        <v>1098</v>
      </c>
    </row>
    <row r="950" spans="9:10" x14ac:dyDescent="0.3">
      <c r="I950" t="s">
        <v>10359</v>
      </c>
      <c r="J950" t="s">
        <v>1099</v>
      </c>
    </row>
    <row r="951" spans="9:10" x14ac:dyDescent="0.3">
      <c r="I951" t="s">
        <v>10360</v>
      </c>
      <c r="J951" t="s">
        <v>1099</v>
      </c>
    </row>
    <row r="952" spans="9:10" x14ac:dyDescent="0.3">
      <c r="I952" t="s">
        <v>10361</v>
      </c>
      <c r="J952" t="s">
        <v>1100</v>
      </c>
    </row>
    <row r="953" spans="9:10" x14ac:dyDescent="0.3">
      <c r="I953" t="s">
        <v>10362</v>
      </c>
      <c r="J953" t="s">
        <v>1101</v>
      </c>
    </row>
    <row r="954" spans="9:10" x14ac:dyDescent="0.3">
      <c r="I954" t="s">
        <v>10363</v>
      </c>
      <c r="J954" t="s">
        <v>1101</v>
      </c>
    </row>
    <row r="955" spans="9:10" x14ac:dyDescent="0.3">
      <c r="I955" t="s">
        <v>10364</v>
      </c>
      <c r="J955" t="s">
        <v>1102</v>
      </c>
    </row>
    <row r="956" spans="9:10" x14ac:dyDescent="0.3">
      <c r="I956" t="s">
        <v>10364</v>
      </c>
      <c r="J956" t="s">
        <v>1102</v>
      </c>
    </row>
    <row r="957" spans="9:10" x14ac:dyDescent="0.3">
      <c r="I957" t="s">
        <v>10364</v>
      </c>
      <c r="J957" t="s">
        <v>1102</v>
      </c>
    </row>
    <row r="958" spans="9:10" x14ac:dyDescent="0.3">
      <c r="I958" t="s">
        <v>10365</v>
      </c>
      <c r="J958" t="s">
        <v>1102</v>
      </c>
    </row>
    <row r="959" spans="9:10" x14ac:dyDescent="0.3">
      <c r="I959" t="s">
        <v>10366</v>
      </c>
      <c r="J959" t="s">
        <v>1102</v>
      </c>
    </row>
    <row r="960" spans="9:10" x14ac:dyDescent="0.3">
      <c r="I960" t="s">
        <v>10364</v>
      </c>
      <c r="J960" t="s">
        <v>1102</v>
      </c>
    </row>
    <row r="961" spans="9:10" x14ac:dyDescent="0.3">
      <c r="I961" t="s">
        <v>10364</v>
      </c>
      <c r="J961" t="s">
        <v>1102</v>
      </c>
    </row>
    <row r="962" spans="9:10" x14ac:dyDescent="0.3">
      <c r="I962" t="s">
        <v>10367</v>
      </c>
      <c r="J962" t="s">
        <v>1103</v>
      </c>
    </row>
    <row r="963" spans="9:10" x14ac:dyDescent="0.3">
      <c r="I963" t="s">
        <v>10367</v>
      </c>
      <c r="J963" t="s">
        <v>1103</v>
      </c>
    </row>
    <row r="964" spans="9:10" x14ac:dyDescent="0.3">
      <c r="I964" t="s">
        <v>10368</v>
      </c>
      <c r="J964" t="s">
        <v>1104</v>
      </c>
    </row>
    <row r="965" spans="9:10" x14ac:dyDescent="0.3">
      <c r="I965" t="s">
        <v>10368</v>
      </c>
      <c r="J965" t="s">
        <v>1104</v>
      </c>
    </row>
    <row r="966" spans="9:10" x14ac:dyDescent="0.3">
      <c r="I966" t="s">
        <v>10369</v>
      </c>
      <c r="J966" t="s">
        <v>1104</v>
      </c>
    </row>
    <row r="967" spans="9:10" x14ac:dyDescent="0.3">
      <c r="I967" t="s">
        <v>10370</v>
      </c>
      <c r="J967" t="s">
        <v>1105</v>
      </c>
    </row>
    <row r="968" spans="9:10" x14ac:dyDescent="0.3">
      <c r="I968" t="s">
        <v>10371</v>
      </c>
      <c r="J968" t="s">
        <v>1105</v>
      </c>
    </row>
    <row r="969" spans="9:10" x14ac:dyDescent="0.3">
      <c r="I969" t="s">
        <v>10372</v>
      </c>
      <c r="J969" t="s">
        <v>1106</v>
      </c>
    </row>
    <row r="970" spans="9:10" x14ac:dyDescent="0.3">
      <c r="I970" t="s">
        <v>10373</v>
      </c>
      <c r="J970" t="s">
        <v>1106</v>
      </c>
    </row>
    <row r="971" spans="9:10" x14ac:dyDescent="0.3">
      <c r="I971" t="s">
        <v>10374</v>
      </c>
      <c r="J971" t="s">
        <v>1106</v>
      </c>
    </row>
    <row r="972" spans="9:10" x14ac:dyDescent="0.3">
      <c r="I972" t="s">
        <v>10375</v>
      </c>
      <c r="J972" t="s">
        <v>1107</v>
      </c>
    </row>
    <row r="973" spans="9:10" x14ac:dyDescent="0.3">
      <c r="I973" t="s">
        <v>10376</v>
      </c>
      <c r="J973" t="s">
        <v>1107</v>
      </c>
    </row>
    <row r="974" spans="9:10" x14ac:dyDescent="0.3">
      <c r="I974" t="s">
        <v>10376</v>
      </c>
      <c r="J974" t="s">
        <v>1107</v>
      </c>
    </row>
    <row r="975" spans="9:10" x14ac:dyDescent="0.3">
      <c r="I975" t="s">
        <v>10377</v>
      </c>
      <c r="J975" t="s">
        <v>1108</v>
      </c>
    </row>
    <row r="976" spans="9:10" x14ac:dyDescent="0.3">
      <c r="I976" t="s">
        <v>10377</v>
      </c>
      <c r="J976" t="s">
        <v>1108</v>
      </c>
    </row>
    <row r="977" spans="9:10" x14ac:dyDescent="0.3">
      <c r="I977" t="s">
        <v>10377</v>
      </c>
      <c r="J977" t="s">
        <v>1108</v>
      </c>
    </row>
    <row r="978" spans="9:10" x14ac:dyDescent="0.3">
      <c r="I978" t="s">
        <v>10377</v>
      </c>
      <c r="J978" t="s">
        <v>1108</v>
      </c>
    </row>
    <row r="979" spans="9:10" x14ac:dyDescent="0.3">
      <c r="I979" t="s">
        <v>10377</v>
      </c>
      <c r="J979" t="s">
        <v>1108</v>
      </c>
    </row>
    <row r="980" spans="9:10" x14ac:dyDescent="0.3">
      <c r="I980" t="s">
        <v>10377</v>
      </c>
      <c r="J980" t="s">
        <v>1108</v>
      </c>
    </row>
    <row r="981" spans="9:10" x14ac:dyDescent="0.3">
      <c r="I981" t="s">
        <v>10377</v>
      </c>
      <c r="J981" t="s">
        <v>1108</v>
      </c>
    </row>
    <row r="982" spans="9:10" x14ac:dyDescent="0.3">
      <c r="I982" t="s">
        <v>10377</v>
      </c>
      <c r="J982" t="s">
        <v>1108</v>
      </c>
    </row>
    <row r="983" spans="9:10" x14ac:dyDescent="0.3">
      <c r="I983" t="s">
        <v>10378</v>
      </c>
      <c r="J983" t="s">
        <v>1108</v>
      </c>
    </row>
    <row r="984" spans="9:10" x14ac:dyDescent="0.3">
      <c r="I984" t="s">
        <v>10378</v>
      </c>
      <c r="J984" t="s">
        <v>1108</v>
      </c>
    </row>
    <row r="985" spans="9:10" x14ac:dyDescent="0.3">
      <c r="I985" t="s">
        <v>10379</v>
      </c>
      <c r="J985" t="s">
        <v>1108</v>
      </c>
    </row>
    <row r="986" spans="9:10" x14ac:dyDescent="0.3">
      <c r="I986" t="s">
        <v>10378</v>
      </c>
      <c r="J986" t="s">
        <v>1108</v>
      </c>
    </row>
    <row r="987" spans="9:10" x14ac:dyDescent="0.3">
      <c r="I987" t="s">
        <v>10378</v>
      </c>
      <c r="J987" t="s">
        <v>1108</v>
      </c>
    </row>
    <row r="988" spans="9:10" x14ac:dyDescent="0.3">
      <c r="I988" t="s">
        <v>10378</v>
      </c>
      <c r="J988" t="s">
        <v>1108</v>
      </c>
    </row>
    <row r="989" spans="9:10" x14ac:dyDescent="0.3">
      <c r="I989" t="s">
        <v>10378</v>
      </c>
      <c r="J989" t="s">
        <v>1108</v>
      </c>
    </row>
    <row r="990" spans="9:10" x14ac:dyDescent="0.3">
      <c r="I990" t="s">
        <v>10378</v>
      </c>
      <c r="J990" t="s">
        <v>1108</v>
      </c>
    </row>
    <row r="991" spans="9:10" x14ac:dyDescent="0.3">
      <c r="I991" t="s">
        <v>10378</v>
      </c>
      <c r="J991" t="s">
        <v>1108</v>
      </c>
    </row>
    <row r="992" spans="9:10" x14ac:dyDescent="0.3">
      <c r="I992" t="s">
        <v>10378</v>
      </c>
      <c r="J992" t="s">
        <v>1108</v>
      </c>
    </row>
    <row r="993" spans="9:10" x14ac:dyDescent="0.3">
      <c r="I993" t="s">
        <v>10378</v>
      </c>
      <c r="J993" t="s">
        <v>1108</v>
      </c>
    </row>
    <row r="994" spans="9:10" x14ac:dyDescent="0.3">
      <c r="I994" t="s">
        <v>10378</v>
      </c>
      <c r="J994" t="s">
        <v>1108</v>
      </c>
    </row>
    <row r="995" spans="9:10" x14ac:dyDescent="0.3">
      <c r="I995" t="s">
        <v>10378</v>
      </c>
      <c r="J995" t="s">
        <v>1108</v>
      </c>
    </row>
    <row r="996" spans="9:10" x14ac:dyDescent="0.3">
      <c r="I996" t="s">
        <v>10377</v>
      </c>
      <c r="J996" t="s">
        <v>1108</v>
      </c>
    </row>
    <row r="997" spans="9:10" x14ac:dyDescent="0.3">
      <c r="I997" t="s">
        <v>10377</v>
      </c>
      <c r="J997" t="s">
        <v>1108</v>
      </c>
    </row>
    <row r="998" spans="9:10" x14ac:dyDescent="0.3">
      <c r="I998" t="s">
        <v>10377</v>
      </c>
      <c r="J998" t="s">
        <v>1108</v>
      </c>
    </row>
    <row r="999" spans="9:10" x14ac:dyDescent="0.3">
      <c r="I999" t="s">
        <v>10377</v>
      </c>
      <c r="J999" t="s">
        <v>1108</v>
      </c>
    </row>
    <row r="1000" spans="9:10" x14ac:dyDescent="0.3">
      <c r="I1000" t="s">
        <v>10380</v>
      </c>
      <c r="J1000" t="s">
        <v>1108</v>
      </c>
    </row>
    <row r="1001" spans="9:10" x14ac:dyDescent="0.3">
      <c r="I1001" t="s">
        <v>10377</v>
      </c>
      <c r="J1001" t="s">
        <v>1108</v>
      </c>
    </row>
    <row r="1002" spans="9:10" x14ac:dyDescent="0.3">
      <c r="I1002" t="s">
        <v>10378</v>
      </c>
      <c r="J1002" t="s">
        <v>1108</v>
      </c>
    </row>
    <row r="1003" spans="9:10" x14ac:dyDescent="0.3">
      <c r="I1003" t="s">
        <v>10378</v>
      </c>
      <c r="J1003" t="s">
        <v>1108</v>
      </c>
    </row>
    <row r="1004" spans="9:10" x14ac:dyDescent="0.3">
      <c r="I1004" t="s">
        <v>10377</v>
      </c>
      <c r="J1004" t="s">
        <v>1108</v>
      </c>
    </row>
    <row r="1005" spans="9:10" x14ac:dyDescent="0.3">
      <c r="I1005" t="s">
        <v>10377</v>
      </c>
      <c r="J1005" t="s">
        <v>1108</v>
      </c>
    </row>
    <row r="1006" spans="9:10" x14ac:dyDescent="0.3">
      <c r="I1006" t="s">
        <v>10377</v>
      </c>
      <c r="J1006" t="s">
        <v>1108</v>
      </c>
    </row>
    <row r="1007" spans="9:10" x14ac:dyDescent="0.3">
      <c r="I1007" t="s">
        <v>10377</v>
      </c>
      <c r="J1007" t="s">
        <v>1108</v>
      </c>
    </row>
    <row r="1008" spans="9:10" x14ac:dyDescent="0.3">
      <c r="I1008" t="s">
        <v>10377</v>
      </c>
      <c r="J1008" t="s">
        <v>1108</v>
      </c>
    </row>
    <row r="1009" spans="9:10" x14ac:dyDescent="0.3">
      <c r="I1009" t="s">
        <v>10378</v>
      </c>
      <c r="J1009" t="s">
        <v>1108</v>
      </c>
    </row>
    <row r="1010" spans="9:10" x14ac:dyDescent="0.3">
      <c r="I1010" t="s">
        <v>10377</v>
      </c>
      <c r="J1010" t="s">
        <v>1108</v>
      </c>
    </row>
    <row r="1011" spans="9:10" x14ac:dyDescent="0.3">
      <c r="I1011" t="s">
        <v>10378</v>
      </c>
      <c r="J1011" t="s">
        <v>1108</v>
      </c>
    </row>
    <row r="1012" spans="9:10" x14ac:dyDescent="0.3">
      <c r="I1012" t="s">
        <v>10377</v>
      </c>
      <c r="J1012" t="s">
        <v>1108</v>
      </c>
    </row>
    <row r="1013" spans="9:10" x14ac:dyDescent="0.3">
      <c r="I1013" t="s">
        <v>10377</v>
      </c>
      <c r="J1013" t="s">
        <v>1108</v>
      </c>
    </row>
    <row r="1014" spans="9:10" x14ac:dyDescent="0.3">
      <c r="I1014" t="s">
        <v>10378</v>
      </c>
      <c r="J1014" t="s">
        <v>1108</v>
      </c>
    </row>
    <row r="1015" spans="9:10" x14ac:dyDescent="0.3">
      <c r="I1015" t="s">
        <v>10379</v>
      </c>
      <c r="J1015" t="s">
        <v>1108</v>
      </c>
    </row>
    <row r="1016" spans="9:10" x14ac:dyDescent="0.3">
      <c r="I1016" t="s">
        <v>10377</v>
      </c>
      <c r="J1016" t="s">
        <v>1108</v>
      </c>
    </row>
    <row r="1017" spans="9:10" x14ac:dyDescent="0.3">
      <c r="I1017" t="s">
        <v>10377</v>
      </c>
      <c r="J1017" t="s">
        <v>1108</v>
      </c>
    </row>
    <row r="1018" spans="9:10" x14ac:dyDescent="0.3">
      <c r="I1018" t="s">
        <v>10377</v>
      </c>
      <c r="J1018" t="s">
        <v>1108</v>
      </c>
    </row>
    <row r="1019" spans="9:10" x14ac:dyDescent="0.3">
      <c r="I1019" t="s">
        <v>10377</v>
      </c>
      <c r="J1019" t="s">
        <v>1108</v>
      </c>
    </row>
    <row r="1020" spans="9:10" x14ac:dyDescent="0.3">
      <c r="I1020" t="s">
        <v>10377</v>
      </c>
      <c r="J1020" t="s">
        <v>1108</v>
      </c>
    </row>
    <row r="1021" spans="9:10" x14ac:dyDescent="0.3">
      <c r="I1021" t="s">
        <v>10379</v>
      </c>
      <c r="J1021" t="s">
        <v>1108</v>
      </c>
    </row>
    <row r="1022" spans="9:10" x14ac:dyDescent="0.3">
      <c r="I1022" t="s">
        <v>10377</v>
      </c>
      <c r="J1022" t="s">
        <v>1108</v>
      </c>
    </row>
    <row r="1023" spans="9:10" x14ac:dyDescent="0.3">
      <c r="I1023" t="s">
        <v>10378</v>
      </c>
      <c r="J1023" t="s">
        <v>1108</v>
      </c>
    </row>
    <row r="1024" spans="9:10" x14ac:dyDescent="0.3">
      <c r="I1024" t="s">
        <v>10378</v>
      </c>
      <c r="J1024" t="s">
        <v>1108</v>
      </c>
    </row>
    <row r="1025" spans="9:10" x14ac:dyDescent="0.3">
      <c r="I1025" t="s">
        <v>10377</v>
      </c>
      <c r="J1025" t="s">
        <v>1108</v>
      </c>
    </row>
    <row r="1026" spans="9:10" x14ac:dyDescent="0.3">
      <c r="I1026" t="s">
        <v>10378</v>
      </c>
      <c r="J1026" t="s">
        <v>1108</v>
      </c>
    </row>
    <row r="1027" spans="9:10" x14ac:dyDescent="0.3">
      <c r="I1027" t="s">
        <v>10377</v>
      </c>
      <c r="J1027" t="s">
        <v>1108</v>
      </c>
    </row>
    <row r="1028" spans="9:10" x14ac:dyDescent="0.3">
      <c r="I1028" t="s">
        <v>10378</v>
      </c>
      <c r="J1028" t="s">
        <v>1108</v>
      </c>
    </row>
    <row r="1029" spans="9:10" x14ac:dyDescent="0.3">
      <c r="I1029" t="s">
        <v>10378</v>
      </c>
      <c r="J1029" t="s">
        <v>1108</v>
      </c>
    </row>
    <row r="1030" spans="9:10" x14ac:dyDescent="0.3">
      <c r="I1030" t="s">
        <v>10378</v>
      </c>
      <c r="J1030" t="s">
        <v>1108</v>
      </c>
    </row>
    <row r="1031" spans="9:10" x14ac:dyDescent="0.3">
      <c r="I1031" t="s">
        <v>10378</v>
      </c>
      <c r="J1031" t="s">
        <v>1108</v>
      </c>
    </row>
    <row r="1032" spans="9:10" x14ac:dyDescent="0.3">
      <c r="I1032" t="s">
        <v>10378</v>
      </c>
      <c r="J1032" t="s">
        <v>1108</v>
      </c>
    </row>
    <row r="1033" spans="9:10" x14ac:dyDescent="0.3">
      <c r="I1033" t="s">
        <v>10378</v>
      </c>
      <c r="J1033" t="s">
        <v>1108</v>
      </c>
    </row>
    <row r="1034" spans="9:10" x14ac:dyDescent="0.3">
      <c r="I1034" t="s">
        <v>10378</v>
      </c>
      <c r="J1034" t="s">
        <v>1108</v>
      </c>
    </row>
    <row r="1035" spans="9:10" x14ac:dyDescent="0.3">
      <c r="I1035" t="s">
        <v>10378</v>
      </c>
      <c r="J1035" t="s">
        <v>1108</v>
      </c>
    </row>
    <row r="1036" spans="9:10" x14ac:dyDescent="0.3">
      <c r="I1036" t="s">
        <v>10378</v>
      </c>
      <c r="J1036" t="s">
        <v>1108</v>
      </c>
    </row>
    <row r="1037" spans="9:10" x14ac:dyDescent="0.3">
      <c r="I1037" t="s">
        <v>10378</v>
      </c>
      <c r="J1037" t="s">
        <v>1108</v>
      </c>
    </row>
    <row r="1038" spans="9:10" x14ac:dyDescent="0.3">
      <c r="I1038" t="s">
        <v>10378</v>
      </c>
      <c r="J1038" t="s">
        <v>1108</v>
      </c>
    </row>
    <row r="1039" spans="9:10" x14ac:dyDescent="0.3">
      <c r="I1039" t="s">
        <v>10378</v>
      </c>
      <c r="J1039" t="s">
        <v>1108</v>
      </c>
    </row>
    <row r="1040" spans="9:10" x14ac:dyDescent="0.3">
      <c r="I1040" t="s">
        <v>10378</v>
      </c>
      <c r="J1040" t="s">
        <v>1108</v>
      </c>
    </row>
    <row r="1041" spans="9:10" x14ac:dyDescent="0.3">
      <c r="I1041" t="s">
        <v>10378</v>
      </c>
      <c r="J1041" t="s">
        <v>1108</v>
      </c>
    </row>
    <row r="1042" spans="9:10" x14ac:dyDescent="0.3">
      <c r="I1042" t="s">
        <v>10378</v>
      </c>
      <c r="J1042" t="s">
        <v>1108</v>
      </c>
    </row>
    <row r="1043" spans="9:10" x14ac:dyDescent="0.3">
      <c r="I1043" t="s">
        <v>10378</v>
      </c>
      <c r="J1043" t="s">
        <v>1108</v>
      </c>
    </row>
    <row r="1044" spans="9:10" x14ac:dyDescent="0.3">
      <c r="I1044" t="s">
        <v>10378</v>
      </c>
      <c r="J1044" t="s">
        <v>1108</v>
      </c>
    </row>
    <row r="1045" spans="9:10" x14ac:dyDescent="0.3">
      <c r="I1045" t="s">
        <v>10378</v>
      </c>
      <c r="J1045" t="s">
        <v>1108</v>
      </c>
    </row>
    <row r="1046" spans="9:10" x14ac:dyDescent="0.3">
      <c r="I1046" t="s">
        <v>10378</v>
      </c>
      <c r="J1046" t="s">
        <v>1108</v>
      </c>
    </row>
    <row r="1047" spans="9:10" x14ac:dyDescent="0.3">
      <c r="I1047" t="s">
        <v>10378</v>
      </c>
      <c r="J1047" t="s">
        <v>1108</v>
      </c>
    </row>
    <row r="1048" spans="9:10" x14ac:dyDescent="0.3">
      <c r="I1048" t="s">
        <v>10378</v>
      </c>
      <c r="J1048" t="s">
        <v>1108</v>
      </c>
    </row>
    <row r="1049" spans="9:10" x14ac:dyDescent="0.3">
      <c r="I1049" t="s">
        <v>10378</v>
      </c>
      <c r="J1049" t="s">
        <v>1108</v>
      </c>
    </row>
    <row r="1050" spans="9:10" x14ac:dyDescent="0.3">
      <c r="I1050" t="s">
        <v>10378</v>
      </c>
      <c r="J1050" t="s">
        <v>1108</v>
      </c>
    </row>
    <row r="1051" spans="9:10" x14ac:dyDescent="0.3">
      <c r="I1051" t="s">
        <v>10378</v>
      </c>
      <c r="J1051" t="s">
        <v>1108</v>
      </c>
    </row>
    <row r="1052" spans="9:10" x14ac:dyDescent="0.3">
      <c r="I1052" t="s">
        <v>10378</v>
      </c>
      <c r="J1052" t="s">
        <v>1108</v>
      </c>
    </row>
    <row r="1053" spans="9:10" x14ac:dyDescent="0.3">
      <c r="I1053" t="s">
        <v>10378</v>
      </c>
      <c r="J1053" t="s">
        <v>1108</v>
      </c>
    </row>
    <row r="1054" spans="9:10" x14ac:dyDescent="0.3">
      <c r="I1054" t="s">
        <v>10378</v>
      </c>
      <c r="J1054" t="s">
        <v>1108</v>
      </c>
    </row>
    <row r="1055" spans="9:10" x14ac:dyDescent="0.3">
      <c r="I1055" t="s">
        <v>10378</v>
      </c>
      <c r="J1055" t="s">
        <v>1108</v>
      </c>
    </row>
    <row r="1056" spans="9:10" x14ac:dyDescent="0.3">
      <c r="I1056" t="s">
        <v>10379</v>
      </c>
      <c r="J1056" t="s">
        <v>1108</v>
      </c>
    </row>
    <row r="1057" spans="9:10" x14ac:dyDescent="0.3">
      <c r="I1057" t="s">
        <v>10378</v>
      </c>
      <c r="J1057" t="s">
        <v>1108</v>
      </c>
    </row>
    <row r="1058" spans="9:10" x14ac:dyDescent="0.3">
      <c r="I1058" t="s">
        <v>10377</v>
      </c>
      <c r="J1058" t="s">
        <v>1108</v>
      </c>
    </row>
    <row r="1059" spans="9:10" x14ac:dyDescent="0.3">
      <c r="I1059" t="s">
        <v>10378</v>
      </c>
      <c r="J1059" t="s">
        <v>1108</v>
      </c>
    </row>
    <row r="1060" spans="9:10" x14ac:dyDescent="0.3">
      <c r="I1060" t="s">
        <v>10381</v>
      </c>
      <c r="J1060" t="s">
        <v>1108</v>
      </c>
    </row>
    <row r="1061" spans="9:10" x14ac:dyDescent="0.3">
      <c r="I1061" t="s">
        <v>10377</v>
      </c>
      <c r="J1061" t="s">
        <v>1108</v>
      </c>
    </row>
    <row r="1062" spans="9:10" x14ac:dyDescent="0.3">
      <c r="I1062" t="s">
        <v>10377</v>
      </c>
      <c r="J1062" t="s">
        <v>1108</v>
      </c>
    </row>
    <row r="1063" spans="9:10" x14ac:dyDescent="0.3">
      <c r="I1063" t="s">
        <v>10379</v>
      </c>
      <c r="J1063" t="s">
        <v>1108</v>
      </c>
    </row>
    <row r="1064" spans="9:10" x14ac:dyDescent="0.3">
      <c r="I1064" t="s">
        <v>10378</v>
      </c>
      <c r="J1064" t="s">
        <v>1108</v>
      </c>
    </row>
    <row r="1065" spans="9:10" x14ac:dyDescent="0.3">
      <c r="I1065" t="s">
        <v>10382</v>
      </c>
      <c r="J1065" t="s">
        <v>1108</v>
      </c>
    </row>
    <row r="1066" spans="9:10" x14ac:dyDescent="0.3">
      <c r="I1066" t="s">
        <v>10378</v>
      </c>
      <c r="J1066" t="s">
        <v>1108</v>
      </c>
    </row>
    <row r="1067" spans="9:10" x14ac:dyDescent="0.3">
      <c r="I1067" t="s">
        <v>10378</v>
      </c>
      <c r="J1067" t="s">
        <v>1108</v>
      </c>
    </row>
    <row r="1068" spans="9:10" x14ac:dyDescent="0.3">
      <c r="I1068" t="s">
        <v>10378</v>
      </c>
      <c r="J1068" t="s">
        <v>1108</v>
      </c>
    </row>
    <row r="1069" spans="9:10" x14ac:dyDescent="0.3">
      <c r="I1069" t="s">
        <v>10378</v>
      </c>
      <c r="J1069" t="s">
        <v>1108</v>
      </c>
    </row>
    <row r="1070" spans="9:10" x14ac:dyDescent="0.3">
      <c r="I1070" t="s">
        <v>10378</v>
      </c>
      <c r="J1070" t="s">
        <v>1108</v>
      </c>
    </row>
    <row r="1071" spans="9:10" x14ac:dyDescent="0.3">
      <c r="I1071" t="s">
        <v>10378</v>
      </c>
      <c r="J1071" t="s">
        <v>1108</v>
      </c>
    </row>
    <row r="1072" spans="9:10" x14ac:dyDescent="0.3">
      <c r="I1072" t="s">
        <v>10377</v>
      </c>
      <c r="J1072" t="s">
        <v>1108</v>
      </c>
    </row>
    <row r="1073" spans="9:10" x14ac:dyDescent="0.3">
      <c r="I1073" t="s">
        <v>10378</v>
      </c>
      <c r="J1073" t="s">
        <v>1108</v>
      </c>
    </row>
    <row r="1074" spans="9:10" x14ac:dyDescent="0.3">
      <c r="I1074" t="s">
        <v>10378</v>
      </c>
      <c r="J1074" t="s">
        <v>1108</v>
      </c>
    </row>
    <row r="1075" spans="9:10" x14ac:dyDescent="0.3">
      <c r="I1075" t="s">
        <v>10378</v>
      </c>
      <c r="J1075" t="s">
        <v>1108</v>
      </c>
    </row>
    <row r="1076" spans="9:10" x14ac:dyDescent="0.3">
      <c r="I1076" t="s">
        <v>10378</v>
      </c>
      <c r="J1076" t="s">
        <v>1108</v>
      </c>
    </row>
    <row r="1077" spans="9:10" x14ac:dyDescent="0.3">
      <c r="I1077" t="s">
        <v>10378</v>
      </c>
      <c r="J1077" t="s">
        <v>1108</v>
      </c>
    </row>
    <row r="1078" spans="9:10" x14ac:dyDescent="0.3">
      <c r="I1078" t="s">
        <v>10378</v>
      </c>
      <c r="J1078" t="s">
        <v>1108</v>
      </c>
    </row>
    <row r="1079" spans="9:10" x14ac:dyDescent="0.3">
      <c r="I1079" t="s">
        <v>10378</v>
      </c>
      <c r="J1079" t="s">
        <v>1108</v>
      </c>
    </row>
    <row r="1080" spans="9:10" x14ac:dyDescent="0.3">
      <c r="I1080" t="s">
        <v>10378</v>
      </c>
      <c r="J1080" t="s">
        <v>1108</v>
      </c>
    </row>
    <row r="1081" spans="9:10" x14ac:dyDescent="0.3">
      <c r="I1081" t="s">
        <v>10378</v>
      </c>
      <c r="J1081" t="s">
        <v>1108</v>
      </c>
    </row>
    <row r="1082" spans="9:10" x14ac:dyDescent="0.3">
      <c r="I1082" t="s">
        <v>10378</v>
      </c>
      <c r="J1082" t="s">
        <v>1108</v>
      </c>
    </row>
    <row r="1083" spans="9:10" x14ac:dyDescent="0.3">
      <c r="I1083" t="s">
        <v>10378</v>
      </c>
      <c r="J1083" t="s">
        <v>1108</v>
      </c>
    </row>
    <row r="1084" spans="9:10" x14ac:dyDescent="0.3">
      <c r="I1084" t="s">
        <v>10378</v>
      </c>
      <c r="J1084" t="s">
        <v>1108</v>
      </c>
    </row>
    <row r="1085" spans="9:10" x14ac:dyDescent="0.3">
      <c r="I1085" t="s">
        <v>10378</v>
      </c>
      <c r="J1085" t="s">
        <v>1108</v>
      </c>
    </row>
    <row r="1086" spans="9:10" x14ac:dyDescent="0.3">
      <c r="I1086" t="s">
        <v>10378</v>
      </c>
      <c r="J1086" t="s">
        <v>1108</v>
      </c>
    </row>
    <row r="1087" spans="9:10" x14ac:dyDescent="0.3">
      <c r="I1087" t="s">
        <v>10378</v>
      </c>
      <c r="J1087" t="s">
        <v>1108</v>
      </c>
    </row>
    <row r="1088" spans="9:10" x14ac:dyDescent="0.3">
      <c r="I1088" t="s">
        <v>10378</v>
      </c>
      <c r="J1088" t="s">
        <v>1108</v>
      </c>
    </row>
    <row r="1089" spans="9:10" x14ac:dyDescent="0.3">
      <c r="I1089" t="s">
        <v>10378</v>
      </c>
      <c r="J1089" t="s">
        <v>1108</v>
      </c>
    </row>
    <row r="1090" spans="9:10" x14ac:dyDescent="0.3">
      <c r="I1090" t="s">
        <v>10378</v>
      </c>
      <c r="J1090" t="s">
        <v>1108</v>
      </c>
    </row>
    <row r="1091" spans="9:10" x14ac:dyDescent="0.3">
      <c r="I1091" t="s">
        <v>10378</v>
      </c>
      <c r="J1091" t="s">
        <v>1108</v>
      </c>
    </row>
    <row r="1092" spans="9:10" x14ac:dyDescent="0.3">
      <c r="I1092" t="s">
        <v>10378</v>
      </c>
      <c r="J1092" t="s">
        <v>1108</v>
      </c>
    </row>
    <row r="1093" spans="9:10" x14ac:dyDescent="0.3">
      <c r="I1093" t="s">
        <v>10378</v>
      </c>
      <c r="J1093" t="s">
        <v>1108</v>
      </c>
    </row>
    <row r="1094" spans="9:10" x14ac:dyDescent="0.3">
      <c r="I1094" t="s">
        <v>10378</v>
      </c>
      <c r="J1094" t="s">
        <v>1108</v>
      </c>
    </row>
    <row r="1095" spans="9:10" x14ac:dyDescent="0.3">
      <c r="I1095" t="s">
        <v>10378</v>
      </c>
      <c r="J1095" t="s">
        <v>1108</v>
      </c>
    </row>
    <row r="1096" spans="9:10" x14ac:dyDescent="0.3">
      <c r="I1096" t="s">
        <v>10378</v>
      </c>
      <c r="J1096" t="s">
        <v>1108</v>
      </c>
    </row>
    <row r="1097" spans="9:10" x14ac:dyDescent="0.3">
      <c r="I1097" t="s">
        <v>10378</v>
      </c>
      <c r="J1097" t="s">
        <v>1108</v>
      </c>
    </row>
    <row r="1098" spans="9:10" x14ac:dyDescent="0.3">
      <c r="I1098" t="s">
        <v>10378</v>
      </c>
      <c r="J1098" t="s">
        <v>1108</v>
      </c>
    </row>
    <row r="1099" spans="9:10" x14ac:dyDescent="0.3">
      <c r="I1099" t="s">
        <v>10378</v>
      </c>
      <c r="J1099" t="s">
        <v>1108</v>
      </c>
    </row>
    <row r="1100" spans="9:10" x14ac:dyDescent="0.3">
      <c r="I1100" t="s">
        <v>10378</v>
      </c>
      <c r="J1100" t="s">
        <v>1108</v>
      </c>
    </row>
    <row r="1101" spans="9:10" x14ac:dyDescent="0.3">
      <c r="I1101" t="s">
        <v>10377</v>
      </c>
      <c r="J1101" t="s">
        <v>1108</v>
      </c>
    </row>
    <row r="1102" spans="9:10" x14ac:dyDescent="0.3">
      <c r="I1102" t="s">
        <v>10378</v>
      </c>
      <c r="J1102" t="s">
        <v>1108</v>
      </c>
    </row>
    <row r="1103" spans="9:10" x14ac:dyDescent="0.3">
      <c r="I1103" t="s">
        <v>10378</v>
      </c>
      <c r="J1103" t="s">
        <v>1108</v>
      </c>
    </row>
    <row r="1104" spans="9:10" x14ac:dyDescent="0.3">
      <c r="I1104" t="s">
        <v>10378</v>
      </c>
      <c r="J1104" t="s">
        <v>1108</v>
      </c>
    </row>
    <row r="1105" spans="9:10" x14ac:dyDescent="0.3">
      <c r="I1105" t="s">
        <v>10378</v>
      </c>
      <c r="J1105" t="s">
        <v>1108</v>
      </c>
    </row>
    <row r="1106" spans="9:10" x14ac:dyDescent="0.3">
      <c r="I1106" t="s">
        <v>10378</v>
      </c>
      <c r="J1106" t="s">
        <v>1108</v>
      </c>
    </row>
    <row r="1107" spans="9:10" x14ac:dyDescent="0.3">
      <c r="I1107" t="s">
        <v>10378</v>
      </c>
      <c r="J1107" t="s">
        <v>1108</v>
      </c>
    </row>
    <row r="1108" spans="9:10" x14ac:dyDescent="0.3">
      <c r="I1108" t="s">
        <v>10378</v>
      </c>
      <c r="J1108" t="s">
        <v>1108</v>
      </c>
    </row>
    <row r="1109" spans="9:10" x14ac:dyDescent="0.3">
      <c r="I1109" t="s">
        <v>10378</v>
      </c>
      <c r="J1109" t="s">
        <v>1108</v>
      </c>
    </row>
    <row r="1110" spans="9:10" x14ac:dyDescent="0.3">
      <c r="I1110" t="s">
        <v>10378</v>
      </c>
      <c r="J1110" t="s">
        <v>1108</v>
      </c>
    </row>
    <row r="1111" spans="9:10" x14ac:dyDescent="0.3">
      <c r="I1111" t="s">
        <v>10378</v>
      </c>
      <c r="J1111" t="s">
        <v>1108</v>
      </c>
    </row>
    <row r="1112" spans="9:10" x14ac:dyDescent="0.3">
      <c r="I1112" t="s">
        <v>10378</v>
      </c>
      <c r="J1112" t="s">
        <v>1108</v>
      </c>
    </row>
    <row r="1113" spans="9:10" x14ac:dyDescent="0.3">
      <c r="I1113" t="s">
        <v>10378</v>
      </c>
      <c r="J1113" t="s">
        <v>1108</v>
      </c>
    </row>
    <row r="1114" spans="9:10" x14ac:dyDescent="0.3">
      <c r="I1114" t="s">
        <v>10378</v>
      </c>
      <c r="J1114" t="s">
        <v>1108</v>
      </c>
    </row>
    <row r="1115" spans="9:10" x14ac:dyDescent="0.3">
      <c r="I1115" t="s">
        <v>10378</v>
      </c>
      <c r="J1115" t="s">
        <v>1108</v>
      </c>
    </row>
    <row r="1116" spans="9:10" x14ac:dyDescent="0.3">
      <c r="I1116" t="s">
        <v>10378</v>
      </c>
      <c r="J1116" t="s">
        <v>1108</v>
      </c>
    </row>
    <row r="1117" spans="9:10" x14ac:dyDescent="0.3">
      <c r="I1117" t="s">
        <v>10378</v>
      </c>
      <c r="J1117" t="s">
        <v>1108</v>
      </c>
    </row>
    <row r="1118" spans="9:10" x14ac:dyDescent="0.3">
      <c r="I1118" t="s">
        <v>10378</v>
      </c>
      <c r="J1118" t="s">
        <v>1108</v>
      </c>
    </row>
    <row r="1119" spans="9:10" x14ac:dyDescent="0.3">
      <c r="I1119" t="s">
        <v>10378</v>
      </c>
      <c r="J1119" t="s">
        <v>1108</v>
      </c>
    </row>
    <row r="1120" spans="9:10" x14ac:dyDescent="0.3">
      <c r="I1120" t="s">
        <v>10378</v>
      </c>
      <c r="J1120" t="s">
        <v>1108</v>
      </c>
    </row>
    <row r="1121" spans="9:10" x14ac:dyDescent="0.3">
      <c r="I1121" t="s">
        <v>10378</v>
      </c>
      <c r="J1121" t="s">
        <v>1108</v>
      </c>
    </row>
    <row r="1122" spans="9:10" x14ac:dyDescent="0.3">
      <c r="I1122" t="s">
        <v>10378</v>
      </c>
      <c r="J1122" t="s">
        <v>1108</v>
      </c>
    </row>
    <row r="1123" spans="9:10" x14ac:dyDescent="0.3">
      <c r="I1123" t="s">
        <v>10378</v>
      </c>
      <c r="J1123" t="s">
        <v>1108</v>
      </c>
    </row>
    <row r="1124" spans="9:10" x14ac:dyDescent="0.3">
      <c r="I1124" t="s">
        <v>10378</v>
      </c>
      <c r="J1124" t="s">
        <v>1108</v>
      </c>
    </row>
    <row r="1125" spans="9:10" x14ac:dyDescent="0.3">
      <c r="I1125" t="s">
        <v>10378</v>
      </c>
      <c r="J1125" t="s">
        <v>1108</v>
      </c>
    </row>
    <row r="1126" spans="9:10" x14ac:dyDescent="0.3">
      <c r="I1126" t="s">
        <v>10378</v>
      </c>
      <c r="J1126" t="s">
        <v>1108</v>
      </c>
    </row>
    <row r="1127" spans="9:10" x14ac:dyDescent="0.3">
      <c r="I1127" t="s">
        <v>10378</v>
      </c>
      <c r="J1127" t="s">
        <v>1108</v>
      </c>
    </row>
    <row r="1128" spans="9:10" x14ac:dyDescent="0.3">
      <c r="I1128" t="s">
        <v>10378</v>
      </c>
      <c r="J1128" t="s">
        <v>1108</v>
      </c>
    </row>
    <row r="1129" spans="9:10" x14ac:dyDescent="0.3">
      <c r="I1129" t="s">
        <v>10378</v>
      </c>
      <c r="J1129" t="s">
        <v>1108</v>
      </c>
    </row>
    <row r="1130" spans="9:10" x14ac:dyDescent="0.3">
      <c r="I1130" t="s">
        <v>10378</v>
      </c>
      <c r="J1130" t="s">
        <v>1108</v>
      </c>
    </row>
    <row r="1131" spans="9:10" x14ac:dyDescent="0.3">
      <c r="I1131" t="s">
        <v>10378</v>
      </c>
      <c r="J1131" t="s">
        <v>1108</v>
      </c>
    </row>
    <row r="1132" spans="9:10" x14ac:dyDescent="0.3">
      <c r="I1132" t="s">
        <v>10378</v>
      </c>
      <c r="J1132" t="s">
        <v>1108</v>
      </c>
    </row>
    <row r="1133" spans="9:10" x14ac:dyDescent="0.3">
      <c r="I1133" t="s">
        <v>10378</v>
      </c>
      <c r="J1133" t="s">
        <v>1108</v>
      </c>
    </row>
    <row r="1134" spans="9:10" x14ac:dyDescent="0.3">
      <c r="I1134" t="s">
        <v>10378</v>
      </c>
      <c r="J1134" t="s">
        <v>1108</v>
      </c>
    </row>
    <row r="1135" spans="9:10" x14ac:dyDescent="0.3">
      <c r="I1135" t="s">
        <v>10378</v>
      </c>
      <c r="J1135" t="s">
        <v>1108</v>
      </c>
    </row>
    <row r="1136" spans="9:10" x14ac:dyDescent="0.3">
      <c r="I1136" t="s">
        <v>10378</v>
      </c>
      <c r="J1136" t="s">
        <v>1108</v>
      </c>
    </row>
    <row r="1137" spans="9:10" x14ac:dyDescent="0.3">
      <c r="I1137" t="s">
        <v>10378</v>
      </c>
      <c r="J1137" t="s">
        <v>1108</v>
      </c>
    </row>
    <row r="1138" spans="9:10" x14ac:dyDescent="0.3">
      <c r="I1138" t="s">
        <v>10378</v>
      </c>
      <c r="J1138" t="s">
        <v>1108</v>
      </c>
    </row>
    <row r="1139" spans="9:10" x14ac:dyDescent="0.3">
      <c r="I1139" t="s">
        <v>10378</v>
      </c>
      <c r="J1139" t="s">
        <v>1108</v>
      </c>
    </row>
    <row r="1140" spans="9:10" x14ac:dyDescent="0.3">
      <c r="I1140" t="s">
        <v>10378</v>
      </c>
      <c r="J1140" t="s">
        <v>1108</v>
      </c>
    </row>
    <row r="1141" spans="9:10" x14ac:dyDescent="0.3">
      <c r="I1141" t="s">
        <v>10378</v>
      </c>
      <c r="J1141" t="s">
        <v>1108</v>
      </c>
    </row>
    <row r="1142" spans="9:10" x14ac:dyDescent="0.3">
      <c r="I1142" t="s">
        <v>10378</v>
      </c>
      <c r="J1142" t="s">
        <v>1108</v>
      </c>
    </row>
    <row r="1143" spans="9:10" x14ac:dyDescent="0.3">
      <c r="I1143" t="s">
        <v>10378</v>
      </c>
      <c r="J1143" t="s">
        <v>1108</v>
      </c>
    </row>
    <row r="1144" spans="9:10" x14ac:dyDescent="0.3">
      <c r="I1144" t="s">
        <v>10378</v>
      </c>
      <c r="J1144" t="s">
        <v>1108</v>
      </c>
    </row>
    <row r="1145" spans="9:10" x14ac:dyDescent="0.3">
      <c r="I1145" t="s">
        <v>10378</v>
      </c>
      <c r="J1145" t="s">
        <v>1108</v>
      </c>
    </row>
    <row r="1146" spans="9:10" x14ac:dyDescent="0.3">
      <c r="I1146" t="s">
        <v>10378</v>
      </c>
      <c r="J1146" t="s">
        <v>1108</v>
      </c>
    </row>
    <row r="1147" spans="9:10" x14ac:dyDescent="0.3">
      <c r="I1147" t="s">
        <v>10378</v>
      </c>
      <c r="J1147" t="s">
        <v>1108</v>
      </c>
    </row>
    <row r="1148" spans="9:10" x14ac:dyDescent="0.3">
      <c r="I1148" t="s">
        <v>10378</v>
      </c>
      <c r="J1148" t="s">
        <v>1108</v>
      </c>
    </row>
    <row r="1149" spans="9:10" x14ac:dyDescent="0.3">
      <c r="I1149" t="s">
        <v>10378</v>
      </c>
      <c r="J1149" t="s">
        <v>1108</v>
      </c>
    </row>
    <row r="1150" spans="9:10" x14ac:dyDescent="0.3">
      <c r="I1150" t="s">
        <v>10378</v>
      </c>
      <c r="J1150" t="s">
        <v>1108</v>
      </c>
    </row>
    <row r="1151" spans="9:10" x14ac:dyDescent="0.3">
      <c r="I1151" t="s">
        <v>10378</v>
      </c>
      <c r="J1151" t="s">
        <v>1108</v>
      </c>
    </row>
    <row r="1152" spans="9:10" x14ac:dyDescent="0.3">
      <c r="I1152" t="s">
        <v>10378</v>
      </c>
      <c r="J1152" t="s">
        <v>1108</v>
      </c>
    </row>
    <row r="1153" spans="9:10" x14ac:dyDescent="0.3">
      <c r="I1153" t="s">
        <v>10378</v>
      </c>
      <c r="J1153" t="s">
        <v>1108</v>
      </c>
    </row>
    <row r="1154" spans="9:10" x14ac:dyDescent="0.3">
      <c r="I1154" t="s">
        <v>10378</v>
      </c>
      <c r="J1154" t="s">
        <v>1108</v>
      </c>
    </row>
    <row r="1155" spans="9:10" x14ac:dyDescent="0.3">
      <c r="I1155" t="s">
        <v>10378</v>
      </c>
      <c r="J1155" t="s">
        <v>1108</v>
      </c>
    </row>
    <row r="1156" spans="9:10" x14ac:dyDescent="0.3">
      <c r="I1156" t="s">
        <v>10378</v>
      </c>
      <c r="J1156" t="s">
        <v>1108</v>
      </c>
    </row>
    <row r="1157" spans="9:10" x14ac:dyDescent="0.3">
      <c r="I1157" t="s">
        <v>10378</v>
      </c>
      <c r="J1157" t="s">
        <v>1108</v>
      </c>
    </row>
    <row r="1158" spans="9:10" x14ac:dyDescent="0.3">
      <c r="I1158" t="s">
        <v>10378</v>
      </c>
      <c r="J1158" t="s">
        <v>1108</v>
      </c>
    </row>
    <row r="1159" spans="9:10" x14ac:dyDescent="0.3">
      <c r="I1159" t="s">
        <v>10378</v>
      </c>
      <c r="J1159" t="s">
        <v>1108</v>
      </c>
    </row>
    <row r="1160" spans="9:10" x14ac:dyDescent="0.3">
      <c r="I1160" t="s">
        <v>10378</v>
      </c>
      <c r="J1160" t="s">
        <v>1108</v>
      </c>
    </row>
    <row r="1161" spans="9:10" x14ac:dyDescent="0.3">
      <c r="I1161" t="s">
        <v>10378</v>
      </c>
      <c r="J1161" t="s">
        <v>1108</v>
      </c>
    </row>
    <row r="1162" spans="9:10" x14ac:dyDescent="0.3">
      <c r="I1162" t="s">
        <v>10378</v>
      </c>
      <c r="J1162" t="s">
        <v>1108</v>
      </c>
    </row>
    <row r="1163" spans="9:10" x14ac:dyDescent="0.3">
      <c r="I1163" t="s">
        <v>10378</v>
      </c>
      <c r="J1163" t="s">
        <v>1108</v>
      </c>
    </row>
    <row r="1164" spans="9:10" x14ac:dyDescent="0.3">
      <c r="I1164" t="s">
        <v>10378</v>
      </c>
      <c r="J1164" t="s">
        <v>1108</v>
      </c>
    </row>
    <row r="1165" spans="9:10" x14ac:dyDescent="0.3">
      <c r="I1165" t="s">
        <v>10378</v>
      </c>
      <c r="J1165" t="s">
        <v>1108</v>
      </c>
    </row>
    <row r="1166" spans="9:10" x14ac:dyDescent="0.3">
      <c r="I1166" t="s">
        <v>10378</v>
      </c>
      <c r="J1166" t="s">
        <v>1108</v>
      </c>
    </row>
    <row r="1167" spans="9:10" x14ac:dyDescent="0.3">
      <c r="I1167" t="s">
        <v>10378</v>
      </c>
      <c r="J1167" t="s">
        <v>1108</v>
      </c>
    </row>
    <row r="1168" spans="9:10" x14ac:dyDescent="0.3">
      <c r="I1168" t="s">
        <v>10378</v>
      </c>
      <c r="J1168" t="s">
        <v>1108</v>
      </c>
    </row>
    <row r="1169" spans="9:10" x14ac:dyDescent="0.3">
      <c r="I1169" t="s">
        <v>10378</v>
      </c>
      <c r="J1169" t="s">
        <v>1108</v>
      </c>
    </row>
    <row r="1170" spans="9:10" x14ac:dyDescent="0.3">
      <c r="I1170" t="s">
        <v>10378</v>
      </c>
      <c r="J1170" t="s">
        <v>1108</v>
      </c>
    </row>
    <row r="1171" spans="9:10" x14ac:dyDescent="0.3">
      <c r="I1171" t="s">
        <v>10378</v>
      </c>
      <c r="J1171" t="s">
        <v>1108</v>
      </c>
    </row>
    <row r="1172" spans="9:10" x14ac:dyDescent="0.3">
      <c r="I1172" t="s">
        <v>10378</v>
      </c>
      <c r="J1172" t="s">
        <v>1108</v>
      </c>
    </row>
    <row r="1173" spans="9:10" x14ac:dyDescent="0.3">
      <c r="I1173" t="s">
        <v>10378</v>
      </c>
      <c r="J1173" t="s">
        <v>1108</v>
      </c>
    </row>
    <row r="1174" spans="9:10" x14ac:dyDescent="0.3">
      <c r="I1174" t="s">
        <v>10378</v>
      </c>
      <c r="J1174" t="s">
        <v>1108</v>
      </c>
    </row>
    <row r="1175" spans="9:10" x14ac:dyDescent="0.3">
      <c r="I1175" t="s">
        <v>10378</v>
      </c>
      <c r="J1175" t="s">
        <v>1108</v>
      </c>
    </row>
    <row r="1176" spans="9:10" x14ac:dyDescent="0.3">
      <c r="I1176" t="s">
        <v>10378</v>
      </c>
      <c r="J1176" t="s">
        <v>1108</v>
      </c>
    </row>
    <row r="1177" spans="9:10" x14ac:dyDescent="0.3">
      <c r="I1177" t="s">
        <v>10378</v>
      </c>
      <c r="J1177" t="s">
        <v>1108</v>
      </c>
    </row>
    <row r="1178" spans="9:10" x14ac:dyDescent="0.3">
      <c r="I1178" t="s">
        <v>10378</v>
      </c>
      <c r="J1178" t="s">
        <v>1108</v>
      </c>
    </row>
    <row r="1179" spans="9:10" x14ac:dyDescent="0.3">
      <c r="I1179" t="s">
        <v>10378</v>
      </c>
      <c r="J1179" t="s">
        <v>1108</v>
      </c>
    </row>
    <row r="1180" spans="9:10" x14ac:dyDescent="0.3">
      <c r="I1180" t="s">
        <v>10378</v>
      </c>
      <c r="J1180" t="s">
        <v>1108</v>
      </c>
    </row>
    <row r="1181" spans="9:10" x14ac:dyDescent="0.3">
      <c r="I1181" t="s">
        <v>10378</v>
      </c>
      <c r="J1181" t="s">
        <v>1108</v>
      </c>
    </row>
    <row r="1182" spans="9:10" x14ac:dyDescent="0.3">
      <c r="I1182" t="s">
        <v>10378</v>
      </c>
      <c r="J1182" t="s">
        <v>1108</v>
      </c>
    </row>
    <row r="1183" spans="9:10" x14ac:dyDescent="0.3">
      <c r="I1183" t="s">
        <v>10378</v>
      </c>
      <c r="J1183" t="s">
        <v>1108</v>
      </c>
    </row>
    <row r="1184" spans="9:10" x14ac:dyDescent="0.3">
      <c r="I1184" t="s">
        <v>10378</v>
      </c>
      <c r="J1184" t="s">
        <v>1108</v>
      </c>
    </row>
    <row r="1185" spans="9:10" x14ac:dyDescent="0.3">
      <c r="I1185" t="s">
        <v>10378</v>
      </c>
      <c r="J1185" t="s">
        <v>1108</v>
      </c>
    </row>
    <row r="1186" spans="9:10" x14ac:dyDescent="0.3">
      <c r="I1186" t="s">
        <v>10378</v>
      </c>
      <c r="J1186" t="s">
        <v>1108</v>
      </c>
    </row>
    <row r="1187" spans="9:10" x14ac:dyDescent="0.3">
      <c r="I1187" t="s">
        <v>10378</v>
      </c>
      <c r="J1187" t="s">
        <v>1108</v>
      </c>
    </row>
    <row r="1188" spans="9:10" x14ac:dyDescent="0.3">
      <c r="I1188" t="s">
        <v>10378</v>
      </c>
      <c r="J1188" t="s">
        <v>1108</v>
      </c>
    </row>
    <row r="1189" spans="9:10" x14ac:dyDescent="0.3">
      <c r="I1189" t="s">
        <v>10378</v>
      </c>
      <c r="J1189" t="s">
        <v>1108</v>
      </c>
    </row>
    <row r="1190" spans="9:10" x14ac:dyDescent="0.3">
      <c r="I1190" t="s">
        <v>10378</v>
      </c>
      <c r="J1190" t="s">
        <v>1108</v>
      </c>
    </row>
    <row r="1191" spans="9:10" x14ac:dyDescent="0.3">
      <c r="I1191" t="s">
        <v>10378</v>
      </c>
      <c r="J1191" t="s">
        <v>1108</v>
      </c>
    </row>
    <row r="1192" spans="9:10" x14ac:dyDescent="0.3">
      <c r="I1192" t="s">
        <v>10378</v>
      </c>
      <c r="J1192" t="s">
        <v>1108</v>
      </c>
    </row>
    <row r="1193" spans="9:10" x14ac:dyDescent="0.3">
      <c r="I1193" t="s">
        <v>10378</v>
      </c>
      <c r="J1193" t="s">
        <v>1108</v>
      </c>
    </row>
    <row r="1194" spans="9:10" x14ac:dyDescent="0.3">
      <c r="I1194" t="s">
        <v>10378</v>
      </c>
      <c r="J1194" t="s">
        <v>1108</v>
      </c>
    </row>
    <row r="1195" spans="9:10" x14ac:dyDescent="0.3">
      <c r="I1195" t="s">
        <v>10378</v>
      </c>
      <c r="J1195" t="s">
        <v>1108</v>
      </c>
    </row>
    <row r="1196" spans="9:10" x14ac:dyDescent="0.3">
      <c r="I1196" t="s">
        <v>10378</v>
      </c>
      <c r="J1196" t="s">
        <v>1108</v>
      </c>
    </row>
    <row r="1197" spans="9:10" x14ac:dyDescent="0.3">
      <c r="I1197" t="s">
        <v>10378</v>
      </c>
      <c r="J1197" t="s">
        <v>1108</v>
      </c>
    </row>
    <row r="1198" spans="9:10" x14ac:dyDescent="0.3">
      <c r="I1198" t="s">
        <v>10378</v>
      </c>
      <c r="J1198" t="s">
        <v>1108</v>
      </c>
    </row>
    <row r="1199" spans="9:10" x14ac:dyDescent="0.3">
      <c r="I1199" t="s">
        <v>10378</v>
      </c>
      <c r="J1199" t="s">
        <v>1108</v>
      </c>
    </row>
    <row r="1200" spans="9:10" x14ac:dyDescent="0.3">
      <c r="I1200" t="s">
        <v>10378</v>
      </c>
      <c r="J1200" t="s">
        <v>1108</v>
      </c>
    </row>
    <row r="1201" spans="9:10" x14ac:dyDescent="0.3">
      <c r="I1201" t="s">
        <v>10378</v>
      </c>
      <c r="J1201" t="s">
        <v>1108</v>
      </c>
    </row>
    <row r="1202" spans="9:10" x14ac:dyDescent="0.3">
      <c r="I1202" t="s">
        <v>10378</v>
      </c>
      <c r="J1202" t="s">
        <v>1108</v>
      </c>
    </row>
    <row r="1203" spans="9:10" x14ac:dyDescent="0.3">
      <c r="I1203" t="s">
        <v>10378</v>
      </c>
      <c r="J1203" t="s">
        <v>1108</v>
      </c>
    </row>
    <row r="1204" spans="9:10" x14ac:dyDescent="0.3">
      <c r="I1204" t="s">
        <v>10378</v>
      </c>
      <c r="J1204" t="s">
        <v>1108</v>
      </c>
    </row>
    <row r="1205" spans="9:10" x14ac:dyDescent="0.3">
      <c r="I1205" t="s">
        <v>10378</v>
      </c>
      <c r="J1205" t="s">
        <v>1108</v>
      </c>
    </row>
    <row r="1206" spans="9:10" x14ac:dyDescent="0.3">
      <c r="I1206" t="s">
        <v>10378</v>
      </c>
      <c r="J1206" t="s">
        <v>1108</v>
      </c>
    </row>
    <row r="1207" spans="9:10" x14ac:dyDescent="0.3">
      <c r="I1207" t="s">
        <v>10378</v>
      </c>
      <c r="J1207" t="s">
        <v>1108</v>
      </c>
    </row>
    <row r="1208" spans="9:10" x14ac:dyDescent="0.3">
      <c r="I1208" t="s">
        <v>10378</v>
      </c>
      <c r="J1208" t="s">
        <v>1108</v>
      </c>
    </row>
    <row r="1209" spans="9:10" x14ac:dyDescent="0.3">
      <c r="I1209" t="s">
        <v>10378</v>
      </c>
      <c r="J1209" t="s">
        <v>1108</v>
      </c>
    </row>
    <row r="1210" spans="9:10" x14ac:dyDescent="0.3">
      <c r="I1210" t="s">
        <v>10378</v>
      </c>
      <c r="J1210" t="s">
        <v>1108</v>
      </c>
    </row>
    <row r="1211" spans="9:10" x14ac:dyDescent="0.3">
      <c r="I1211" t="s">
        <v>10378</v>
      </c>
      <c r="J1211" t="s">
        <v>1108</v>
      </c>
    </row>
    <row r="1212" spans="9:10" x14ac:dyDescent="0.3">
      <c r="I1212" t="s">
        <v>10379</v>
      </c>
      <c r="J1212" t="s">
        <v>1108</v>
      </c>
    </row>
    <row r="1213" spans="9:10" x14ac:dyDescent="0.3">
      <c r="I1213" t="s">
        <v>10378</v>
      </c>
      <c r="J1213" t="s">
        <v>1108</v>
      </c>
    </row>
    <row r="1214" spans="9:10" x14ac:dyDescent="0.3">
      <c r="I1214" t="s">
        <v>10378</v>
      </c>
      <c r="J1214" t="s">
        <v>1108</v>
      </c>
    </row>
    <row r="1215" spans="9:10" x14ac:dyDescent="0.3">
      <c r="I1215" t="s">
        <v>10378</v>
      </c>
      <c r="J1215" t="s">
        <v>1108</v>
      </c>
    </row>
    <row r="1216" spans="9:10" x14ac:dyDescent="0.3">
      <c r="I1216" t="s">
        <v>10378</v>
      </c>
      <c r="J1216" t="s">
        <v>1108</v>
      </c>
    </row>
    <row r="1217" spans="9:10" x14ac:dyDescent="0.3">
      <c r="I1217" t="s">
        <v>10378</v>
      </c>
      <c r="J1217" t="s">
        <v>1108</v>
      </c>
    </row>
    <row r="1218" spans="9:10" x14ac:dyDescent="0.3">
      <c r="I1218" t="s">
        <v>10378</v>
      </c>
      <c r="J1218" t="s">
        <v>1108</v>
      </c>
    </row>
    <row r="1219" spans="9:10" x14ac:dyDescent="0.3">
      <c r="I1219" t="s">
        <v>10378</v>
      </c>
      <c r="J1219" t="s">
        <v>1108</v>
      </c>
    </row>
    <row r="1220" spans="9:10" x14ac:dyDescent="0.3">
      <c r="I1220" t="s">
        <v>10378</v>
      </c>
      <c r="J1220" t="s">
        <v>1108</v>
      </c>
    </row>
    <row r="1221" spans="9:10" x14ac:dyDescent="0.3">
      <c r="I1221" t="s">
        <v>10378</v>
      </c>
      <c r="J1221" t="s">
        <v>1108</v>
      </c>
    </row>
    <row r="1222" spans="9:10" x14ac:dyDescent="0.3">
      <c r="I1222" t="s">
        <v>10378</v>
      </c>
      <c r="J1222" t="s">
        <v>1108</v>
      </c>
    </row>
    <row r="1223" spans="9:10" x14ac:dyDescent="0.3">
      <c r="I1223" t="s">
        <v>10378</v>
      </c>
      <c r="J1223" t="s">
        <v>1108</v>
      </c>
    </row>
    <row r="1224" spans="9:10" x14ac:dyDescent="0.3">
      <c r="I1224" t="s">
        <v>10378</v>
      </c>
      <c r="J1224" t="s">
        <v>1108</v>
      </c>
    </row>
    <row r="1225" spans="9:10" x14ac:dyDescent="0.3">
      <c r="I1225" t="s">
        <v>10378</v>
      </c>
      <c r="J1225" t="s">
        <v>1108</v>
      </c>
    </row>
    <row r="1226" spans="9:10" x14ac:dyDescent="0.3">
      <c r="I1226" t="s">
        <v>10378</v>
      </c>
      <c r="J1226" t="s">
        <v>1108</v>
      </c>
    </row>
    <row r="1227" spans="9:10" x14ac:dyDescent="0.3">
      <c r="I1227" t="s">
        <v>10378</v>
      </c>
      <c r="J1227" t="s">
        <v>1108</v>
      </c>
    </row>
    <row r="1228" spans="9:10" x14ac:dyDescent="0.3">
      <c r="I1228" t="s">
        <v>10378</v>
      </c>
      <c r="J1228" t="s">
        <v>1108</v>
      </c>
    </row>
    <row r="1229" spans="9:10" x14ac:dyDescent="0.3">
      <c r="I1229" t="s">
        <v>10378</v>
      </c>
      <c r="J1229" t="s">
        <v>1108</v>
      </c>
    </row>
    <row r="1230" spans="9:10" x14ac:dyDescent="0.3">
      <c r="I1230" t="s">
        <v>10378</v>
      </c>
      <c r="J1230" t="s">
        <v>1108</v>
      </c>
    </row>
    <row r="1231" spans="9:10" x14ac:dyDescent="0.3">
      <c r="I1231" t="s">
        <v>10378</v>
      </c>
      <c r="J1231" t="s">
        <v>1108</v>
      </c>
    </row>
    <row r="1232" spans="9:10" x14ac:dyDescent="0.3">
      <c r="I1232" t="s">
        <v>10378</v>
      </c>
      <c r="J1232" t="s">
        <v>1108</v>
      </c>
    </row>
    <row r="1233" spans="9:10" x14ac:dyDescent="0.3">
      <c r="I1233" t="s">
        <v>10378</v>
      </c>
      <c r="J1233" t="s">
        <v>1108</v>
      </c>
    </row>
    <row r="1234" spans="9:10" x14ac:dyDescent="0.3">
      <c r="I1234" t="s">
        <v>10378</v>
      </c>
      <c r="J1234" t="s">
        <v>1108</v>
      </c>
    </row>
    <row r="1235" spans="9:10" x14ac:dyDescent="0.3">
      <c r="I1235" t="s">
        <v>10378</v>
      </c>
      <c r="J1235" t="s">
        <v>1108</v>
      </c>
    </row>
    <row r="1236" spans="9:10" x14ac:dyDescent="0.3">
      <c r="I1236" t="s">
        <v>10378</v>
      </c>
      <c r="J1236" t="s">
        <v>1108</v>
      </c>
    </row>
    <row r="1237" spans="9:10" x14ac:dyDescent="0.3">
      <c r="I1237" t="s">
        <v>10378</v>
      </c>
      <c r="J1237" t="s">
        <v>1108</v>
      </c>
    </row>
    <row r="1238" spans="9:10" x14ac:dyDescent="0.3">
      <c r="I1238" t="s">
        <v>10378</v>
      </c>
      <c r="J1238" t="s">
        <v>1108</v>
      </c>
    </row>
    <row r="1239" spans="9:10" x14ac:dyDescent="0.3">
      <c r="I1239" t="s">
        <v>10378</v>
      </c>
      <c r="J1239" t="s">
        <v>1108</v>
      </c>
    </row>
    <row r="1240" spans="9:10" x14ac:dyDescent="0.3">
      <c r="I1240" t="s">
        <v>10378</v>
      </c>
      <c r="J1240" t="s">
        <v>1108</v>
      </c>
    </row>
    <row r="1241" spans="9:10" x14ac:dyDescent="0.3">
      <c r="I1241" t="s">
        <v>10378</v>
      </c>
      <c r="J1241" t="s">
        <v>1108</v>
      </c>
    </row>
    <row r="1242" spans="9:10" x14ac:dyDescent="0.3">
      <c r="I1242" t="s">
        <v>10378</v>
      </c>
      <c r="J1242" t="s">
        <v>1108</v>
      </c>
    </row>
    <row r="1243" spans="9:10" x14ac:dyDescent="0.3">
      <c r="I1243" t="s">
        <v>10378</v>
      </c>
      <c r="J1243" t="s">
        <v>1108</v>
      </c>
    </row>
    <row r="1244" spans="9:10" x14ac:dyDescent="0.3">
      <c r="I1244" t="s">
        <v>10378</v>
      </c>
      <c r="J1244" t="s">
        <v>1108</v>
      </c>
    </row>
    <row r="1245" spans="9:10" x14ac:dyDescent="0.3">
      <c r="I1245" t="s">
        <v>10378</v>
      </c>
      <c r="J1245" t="s">
        <v>1108</v>
      </c>
    </row>
    <row r="1246" spans="9:10" x14ac:dyDescent="0.3">
      <c r="I1246" t="s">
        <v>10378</v>
      </c>
      <c r="J1246" t="s">
        <v>1108</v>
      </c>
    </row>
    <row r="1247" spans="9:10" x14ac:dyDescent="0.3">
      <c r="I1247" t="s">
        <v>10378</v>
      </c>
      <c r="J1247" t="s">
        <v>1108</v>
      </c>
    </row>
    <row r="1248" spans="9:10" x14ac:dyDescent="0.3">
      <c r="I1248" t="s">
        <v>10378</v>
      </c>
      <c r="J1248" t="s">
        <v>1108</v>
      </c>
    </row>
    <row r="1249" spans="9:10" x14ac:dyDescent="0.3">
      <c r="I1249" t="s">
        <v>10378</v>
      </c>
      <c r="J1249" t="s">
        <v>1108</v>
      </c>
    </row>
    <row r="1250" spans="9:10" x14ac:dyDescent="0.3">
      <c r="I1250" t="s">
        <v>10378</v>
      </c>
      <c r="J1250" t="s">
        <v>1108</v>
      </c>
    </row>
    <row r="1251" spans="9:10" x14ac:dyDescent="0.3">
      <c r="I1251" t="s">
        <v>10378</v>
      </c>
      <c r="J1251" t="s">
        <v>1108</v>
      </c>
    </row>
    <row r="1252" spans="9:10" x14ac:dyDescent="0.3">
      <c r="I1252" t="s">
        <v>10378</v>
      </c>
      <c r="J1252" t="s">
        <v>1108</v>
      </c>
    </row>
    <row r="1253" spans="9:10" x14ac:dyDescent="0.3">
      <c r="I1253" t="s">
        <v>10378</v>
      </c>
      <c r="J1253" t="s">
        <v>1108</v>
      </c>
    </row>
    <row r="1254" spans="9:10" x14ac:dyDescent="0.3">
      <c r="I1254" t="s">
        <v>10377</v>
      </c>
      <c r="J1254" t="s">
        <v>1108</v>
      </c>
    </row>
    <row r="1255" spans="9:10" x14ac:dyDescent="0.3">
      <c r="I1255" t="s">
        <v>10378</v>
      </c>
      <c r="J1255" t="s">
        <v>1108</v>
      </c>
    </row>
    <row r="1256" spans="9:10" x14ac:dyDescent="0.3">
      <c r="I1256" t="s">
        <v>10378</v>
      </c>
      <c r="J1256" t="s">
        <v>1108</v>
      </c>
    </row>
    <row r="1257" spans="9:10" x14ac:dyDescent="0.3">
      <c r="I1257" t="s">
        <v>10378</v>
      </c>
      <c r="J1257" t="s">
        <v>1108</v>
      </c>
    </row>
    <row r="1258" spans="9:10" x14ac:dyDescent="0.3">
      <c r="I1258" t="s">
        <v>10378</v>
      </c>
      <c r="J1258" t="s">
        <v>1108</v>
      </c>
    </row>
    <row r="1259" spans="9:10" x14ac:dyDescent="0.3">
      <c r="I1259" t="s">
        <v>10378</v>
      </c>
      <c r="J1259" t="s">
        <v>1108</v>
      </c>
    </row>
    <row r="1260" spans="9:10" x14ac:dyDescent="0.3">
      <c r="I1260" t="s">
        <v>10378</v>
      </c>
      <c r="J1260" t="s">
        <v>1108</v>
      </c>
    </row>
    <row r="1261" spans="9:10" x14ac:dyDescent="0.3">
      <c r="I1261" t="s">
        <v>10378</v>
      </c>
      <c r="J1261" t="s">
        <v>1108</v>
      </c>
    </row>
    <row r="1262" spans="9:10" x14ac:dyDescent="0.3">
      <c r="I1262" t="s">
        <v>10378</v>
      </c>
      <c r="J1262" t="s">
        <v>1108</v>
      </c>
    </row>
    <row r="1263" spans="9:10" x14ac:dyDescent="0.3">
      <c r="I1263" t="s">
        <v>10378</v>
      </c>
      <c r="J1263" t="s">
        <v>1108</v>
      </c>
    </row>
    <row r="1264" spans="9:10" x14ac:dyDescent="0.3">
      <c r="I1264" t="s">
        <v>10378</v>
      </c>
      <c r="J1264" t="s">
        <v>1108</v>
      </c>
    </row>
    <row r="1265" spans="9:10" x14ac:dyDescent="0.3">
      <c r="I1265" t="s">
        <v>10378</v>
      </c>
      <c r="J1265" t="s">
        <v>1108</v>
      </c>
    </row>
    <row r="1266" spans="9:10" x14ac:dyDescent="0.3">
      <c r="I1266" t="s">
        <v>10378</v>
      </c>
      <c r="J1266" t="s">
        <v>1108</v>
      </c>
    </row>
    <row r="1267" spans="9:10" x14ac:dyDescent="0.3">
      <c r="I1267" t="s">
        <v>10378</v>
      </c>
      <c r="J1267" t="s">
        <v>1108</v>
      </c>
    </row>
    <row r="1268" spans="9:10" x14ac:dyDescent="0.3">
      <c r="I1268" t="s">
        <v>10378</v>
      </c>
      <c r="J1268" t="s">
        <v>1108</v>
      </c>
    </row>
    <row r="1269" spans="9:10" x14ac:dyDescent="0.3">
      <c r="I1269" t="s">
        <v>10378</v>
      </c>
      <c r="J1269" t="s">
        <v>1108</v>
      </c>
    </row>
    <row r="1270" spans="9:10" x14ac:dyDescent="0.3">
      <c r="I1270" t="s">
        <v>10378</v>
      </c>
      <c r="J1270" t="s">
        <v>1108</v>
      </c>
    </row>
    <row r="1271" spans="9:10" x14ac:dyDescent="0.3">
      <c r="I1271" t="s">
        <v>10378</v>
      </c>
      <c r="J1271" t="s">
        <v>1108</v>
      </c>
    </row>
    <row r="1272" spans="9:10" x14ac:dyDescent="0.3">
      <c r="I1272" t="s">
        <v>10378</v>
      </c>
      <c r="J1272" t="s">
        <v>1108</v>
      </c>
    </row>
    <row r="1273" spans="9:10" x14ac:dyDescent="0.3">
      <c r="I1273" t="s">
        <v>10378</v>
      </c>
      <c r="J1273" t="s">
        <v>1108</v>
      </c>
    </row>
    <row r="1274" spans="9:10" x14ac:dyDescent="0.3">
      <c r="I1274" t="s">
        <v>10378</v>
      </c>
      <c r="J1274" t="s">
        <v>1108</v>
      </c>
    </row>
    <row r="1275" spans="9:10" x14ac:dyDescent="0.3">
      <c r="I1275" t="s">
        <v>10378</v>
      </c>
      <c r="J1275" t="s">
        <v>1108</v>
      </c>
    </row>
    <row r="1276" spans="9:10" x14ac:dyDescent="0.3">
      <c r="I1276" t="s">
        <v>10378</v>
      </c>
      <c r="J1276" t="s">
        <v>1108</v>
      </c>
    </row>
    <row r="1277" spans="9:10" x14ac:dyDescent="0.3">
      <c r="I1277" t="s">
        <v>10378</v>
      </c>
      <c r="J1277" t="s">
        <v>1108</v>
      </c>
    </row>
    <row r="1278" spans="9:10" x14ac:dyDescent="0.3">
      <c r="I1278" t="s">
        <v>10378</v>
      </c>
      <c r="J1278" t="s">
        <v>1108</v>
      </c>
    </row>
    <row r="1279" spans="9:10" x14ac:dyDescent="0.3">
      <c r="I1279" t="s">
        <v>10378</v>
      </c>
      <c r="J1279" t="s">
        <v>1108</v>
      </c>
    </row>
    <row r="1280" spans="9:10" x14ac:dyDescent="0.3">
      <c r="I1280" t="s">
        <v>10378</v>
      </c>
      <c r="J1280" t="s">
        <v>1108</v>
      </c>
    </row>
    <row r="1281" spans="9:10" x14ac:dyDescent="0.3">
      <c r="I1281" t="s">
        <v>10378</v>
      </c>
      <c r="J1281" t="s">
        <v>1108</v>
      </c>
    </row>
    <row r="1282" spans="9:10" x14ac:dyDescent="0.3">
      <c r="I1282" t="s">
        <v>10378</v>
      </c>
      <c r="J1282" t="s">
        <v>1108</v>
      </c>
    </row>
    <row r="1283" spans="9:10" x14ac:dyDescent="0.3">
      <c r="I1283" t="s">
        <v>10378</v>
      </c>
      <c r="J1283" t="s">
        <v>1108</v>
      </c>
    </row>
    <row r="1284" spans="9:10" x14ac:dyDescent="0.3">
      <c r="I1284" t="s">
        <v>10378</v>
      </c>
      <c r="J1284" t="s">
        <v>1108</v>
      </c>
    </row>
    <row r="1285" spans="9:10" x14ac:dyDescent="0.3">
      <c r="I1285" t="s">
        <v>10378</v>
      </c>
      <c r="J1285" t="s">
        <v>1108</v>
      </c>
    </row>
    <row r="1286" spans="9:10" x14ac:dyDescent="0.3">
      <c r="I1286" t="s">
        <v>10378</v>
      </c>
      <c r="J1286" t="s">
        <v>1108</v>
      </c>
    </row>
    <row r="1287" spans="9:10" x14ac:dyDescent="0.3">
      <c r="I1287" t="s">
        <v>10378</v>
      </c>
      <c r="J1287" t="s">
        <v>1108</v>
      </c>
    </row>
    <row r="1288" spans="9:10" x14ac:dyDescent="0.3">
      <c r="I1288" t="s">
        <v>10378</v>
      </c>
      <c r="J1288" t="s">
        <v>1108</v>
      </c>
    </row>
    <row r="1289" spans="9:10" x14ac:dyDescent="0.3">
      <c r="I1289" t="s">
        <v>10378</v>
      </c>
      <c r="J1289" t="s">
        <v>1108</v>
      </c>
    </row>
    <row r="1290" spans="9:10" x14ac:dyDescent="0.3">
      <c r="I1290" t="s">
        <v>10378</v>
      </c>
      <c r="J1290" t="s">
        <v>1108</v>
      </c>
    </row>
    <row r="1291" spans="9:10" x14ac:dyDescent="0.3">
      <c r="I1291" t="s">
        <v>10378</v>
      </c>
      <c r="J1291" t="s">
        <v>1108</v>
      </c>
    </row>
    <row r="1292" spans="9:10" x14ac:dyDescent="0.3">
      <c r="I1292" t="s">
        <v>10378</v>
      </c>
      <c r="J1292" t="s">
        <v>1108</v>
      </c>
    </row>
    <row r="1293" spans="9:10" x14ac:dyDescent="0.3">
      <c r="I1293" t="s">
        <v>10378</v>
      </c>
      <c r="J1293" t="s">
        <v>1108</v>
      </c>
    </row>
    <row r="1294" spans="9:10" x14ac:dyDescent="0.3">
      <c r="I1294" t="s">
        <v>10378</v>
      </c>
      <c r="J1294" t="s">
        <v>1108</v>
      </c>
    </row>
    <row r="1295" spans="9:10" x14ac:dyDescent="0.3">
      <c r="I1295" t="s">
        <v>10378</v>
      </c>
      <c r="J1295" t="s">
        <v>1108</v>
      </c>
    </row>
    <row r="1296" spans="9:10" x14ac:dyDescent="0.3">
      <c r="I1296" t="s">
        <v>10378</v>
      </c>
      <c r="J1296" t="s">
        <v>1108</v>
      </c>
    </row>
    <row r="1297" spans="9:10" x14ac:dyDescent="0.3">
      <c r="I1297" t="s">
        <v>10378</v>
      </c>
      <c r="J1297" t="s">
        <v>1108</v>
      </c>
    </row>
    <row r="1298" spans="9:10" x14ac:dyDescent="0.3">
      <c r="I1298" t="s">
        <v>10378</v>
      </c>
      <c r="J1298" t="s">
        <v>1108</v>
      </c>
    </row>
    <row r="1299" spans="9:10" x14ac:dyDescent="0.3">
      <c r="I1299" t="s">
        <v>10378</v>
      </c>
      <c r="J1299" t="s">
        <v>1108</v>
      </c>
    </row>
    <row r="1300" spans="9:10" x14ac:dyDescent="0.3">
      <c r="I1300" t="s">
        <v>10378</v>
      </c>
      <c r="J1300" t="s">
        <v>1108</v>
      </c>
    </row>
    <row r="1301" spans="9:10" x14ac:dyDescent="0.3">
      <c r="I1301" t="s">
        <v>10378</v>
      </c>
      <c r="J1301" t="s">
        <v>1108</v>
      </c>
    </row>
    <row r="1302" spans="9:10" x14ac:dyDescent="0.3">
      <c r="I1302" t="s">
        <v>10378</v>
      </c>
      <c r="J1302" t="s">
        <v>1108</v>
      </c>
    </row>
    <row r="1303" spans="9:10" x14ac:dyDescent="0.3">
      <c r="I1303" t="s">
        <v>10378</v>
      </c>
      <c r="J1303" t="s">
        <v>1108</v>
      </c>
    </row>
    <row r="1304" spans="9:10" x14ac:dyDescent="0.3">
      <c r="I1304" t="s">
        <v>10378</v>
      </c>
      <c r="J1304" t="s">
        <v>1108</v>
      </c>
    </row>
    <row r="1305" spans="9:10" x14ac:dyDescent="0.3">
      <c r="I1305" t="s">
        <v>10378</v>
      </c>
      <c r="J1305" t="s">
        <v>1108</v>
      </c>
    </row>
    <row r="1306" spans="9:10" x14ac:dyDescent="0.3">
      <c r="I1306" t="s">
        <v>10378</v>
      </c>
      <c r="J1306" t="s">
        <v>1108</v>
      </c>
    </row>
    <row r="1307" spans="9:10" x14ac:dyDescent="0.3">
      <c r="I1307" t="s">
        <v>10378</v>
      </c>
      <c r="J1307" t="s">
        <v>1108</v>
      </c>
    </row>
    <row r="1308" spans="9:10" x14ac:dyDescent="0.3">
      <c r="I1308" t="s">
        <v>10378</v>
      </c>
      <c r="J1308" t="s">
        <v>1108</v>
      </c>
    </row>
    <row r="1309" spans="9:10" x14ac:dyDescent="0.3">
      <c r="I1309" t="s">
        <v>10378</v>
      </c>
      <c r="J1309" t="s">
        <v>1108</v>
      </c>
    </row>
    <row r="1310" spans="9:10" x14ac:dyDescent="0.3">
      <c r="I1310" t="s">
        <v>10378</v>
      </c>
      <c r="J1310" t="s">
        <v>1108</v>
      </c>
    </row>
    <row r="1311" spans="9:10" x14ac:dyDescent="0.3">
      <c r="I1311" t="s">
        <v>10378</v>
      </c>
      <c r="J1311" t="s">
        <v>1108</v>
      </c>
    </row>
    <row r="1312" spans="9:10" x14ac:dyDescent="0.3">
      <c r="I1312" t="s">
        <v>10378</v>
      </c>
      <c r="J1312" t="s">
        <v>1108</v>
      </c>
    </row>
    <row r="1313" spans="9:10" x14ac:dyDescent="0.3">
      <c r="I1313" t="s">
        <v>10378</v>
      </c>
      <c r="J1313" t="s">
        <v>1108</v>
      </c>
    </row>
    <row r="1314" spans="9:10" x14ac:dyDescent="0.3">
      <c r="I1314" t="s">
        <v>10377</v>
      </c>
      <c r="J1314" t="s">
        <v>1108</v>
      </c>
    </row>
    <row r="1315" spans="9:10" x14ac:dyDescent="0.3">
      <c r="I1315" t="s">
        <v>10378</v>
      </c>
      <c r="J1315" t="s">
        <v>1108</v>
      </c>
    </row>
    <row r="1316" spans="9:10" x14ac:dyDescent="0.3">
      <c r="I1316" t="s">
        <v>10378</v>
      </c>
      <c r="J1316" t="s">
        <v>1108</v>
      </c>
    </row>
    <row r="1317" spans="9:10" x14ac:dyDescent="0.3">
      <c r="I1317" t="s">
        <v>10378</v>
      </c>
      <c r="J1317" t="s">
        <v>1108</v>
      </c>
    </row>
    <row r="1318" spans="9:10" x14ac:dyDescent="0.3">
      <c r="I1318" t="s">
        <v>10378</v>
      </c>
      <c r="J1318" t="s">
        <v>1108</v>
      </c>
    </row>
    <row r="1319" spans="9:10" x14ac:dyDescent="0.3">
      <c r="I1319" t="s">
        <v>10378</v>
      </c>
      <c r="J1319" t="s">
        <v>1108</v>
      </c>
    </row>
    <row r="1320" spans="9:10" x14ac:dyDescent="0.3">
      <c r="I1320" t="s">
        <v>10378</v>
      </c>
      <c r="J1320" t="s">
        <v>1108</v>
      </c>
    </row>
    <row r="1321" spans="9:10" x14ac:dyDescent="0.3">
      <c r="I1321" t="s">
        <v>10378</v>
      </c>
      <c r="J1321" t="s">
        <v>1108</v>
      </c>
    </row>
    <row r="1322" spans="9:10" x14ac:dyDescent="0.3">
      <c r="I1322" t="s">
        <v>10378</v>
      </c>
      <c r="J1322" t="s">
        <v>1108</v>
      </c>
    </row>
    <row r="1323" spans="9:10" x14ac:dyDescent="0.3">
      <c r="I1323" t="s">
        <v>10378</v>
      </c>
      <c r="J1323" t="s">
        <v>1108</v>
      </c>
    </row>
    <row r="1324" spans="9:10" x14ac:dyDescent="0.3">
      <c r="I1324" t="s">
        <v>10378</v>
      </c>
      <c r="J1324" t="s">
        <v>1108</v>
      </c>
    </row>
    <row r="1325" spans="9:10" x14ac:dyDescent="0.3">
      <c r="I1325" t="s">
        <v>10378</v>
      </c>
      <c r="J1325" t="s">
        <v>1108</v>
      </c>
    </row>
    <row r="1326" spans="9:10" x14ac:dyDescent="0.3">
      <c r="I1326" t="s">
        <v>10378</v>
      </c>
      <c r="J1326" t="s">
        <v>1108</v>
      </c>
    </row>
    <row r="1327" spans="9:10" x14ac:dyDescent="0.3">
      <c r="I1327" t="s">
        <v>10378</v>
      </c>
      <c r="J1327" t="s">
        <v>1108</v>
      </c>
    </row>
    <row r="1328" spans="9:10" x14ac:dyDescent="0.3">
      <c r="I1328" t="s">
        <v>10378</v>
      </c>
      <c r="J1328" t="s">
        <v>1108</v>
      </c>
    </row>
    <row r="1329" spans="9:10" x14ac:dyDescent="0.3">
      <c r="I1329" t="s">
        <v>10378</v>
      </c>
      <c r="J1329" t="s">
        <v>1108</v>
      </c>
    </row>
    <row r="1330" spans="9:10" x14ac:dyDescent="0.3">
      <c r="I1330" t="s">
        <v>10378</v>
      </c>
      <c r="J1330" t="s">
        <v>1108</v>
      </c>
    </row>
    <row r="1331" spans="9:10" x14ac:dyDescent="0.3">
      <c r="I1331" t="s">
        <v>10378</v>
      </c>
      <c r="J1331" t="s">
        <v>1108</v>
      </c>
    </row>
    <row r="1332" spans="9:10" x14ac:dyDescent="0.3">
      <c r="I1332" t="s">
        <v>10378</v>
      </c>
      <c r="J1332" t="s">
        <v>1108</v>
      </c>
    </row>
    <row r="1333" spans="9:10" x14ac:dyDescent="0.3">
      <c r="I1333" t="s">
        <v>10378</v>
      </c>
      <c r="J1333" t="s">
        <v>1108</v>
      </c>
    </row>
    <row r="1334" spans="9:10" x14ac:dyDescent="0.3">
      <c r="I1334" t="s">
        <v>10378</v>
      </c>
      <c r="J1334" t="s">
        <v>1108</v>
      </c>
    </row>
    <row r="1335" spans="9:10" x14ac:dyDescent="0.3">
      <c r="I1335" t="s">
        <v>10378</v>
      </c>
      <c r="J1335" t="s">
        <v>1108</v>
      </c>
    </row>
    <row r="1336" spans="9:10" x14ac:dyDescent="0.3">
      <c r="I1336" t="s">
        <v>10378</v>
      </c>
      <c r="J1336" t="s">
        <v>1108</v>
      </c>
    </row>
    <row r="1337" spans="9:10" x14ac:dyDescent="0.3">
      <c r="I1337" t="s">
        <v>10379</v>
      </c>
      <c r="J1337" t="s">
        <v>1108</v>
      </c>
    </row>
    <row r="1338" spans="9:10" x14ac:dyDescent="0.3">
      <c r="I1338" t="s">
        <v>10378</v>
      </c>
      <c r="J1338" t="s">
        <v>1108</v>
      </c>
    </row>
    <row r="1339" spans="9:10" x14ac:dyDescent="0.3">
      <c r="I1339" t="s">
        <v>10379</v>
      </c>
      <c r="J1339" t="s">
        <v>1108</v>
      </c>
    </row>
    <row r="1340" spans="9:10" x14ac:dyDescent="0.3">
      <c r="I1340" t="s">
        <v>10378</v>
      </c>
      <c r="J1340" t="s">
        <v>1108</v>
      </c>
    </row>
    <row r="1341" spans="9:10" x14ac:dyDescent="0.3">
      <c r="I1341" t="s">
        <v>10378</v>
      </c>
      <c r="J1341" t="s">
        <v>1108</v>
      </c>
    </row>
    <row r="1342" spans="9:10" x14ac:dyDescent="0.3">
      <c r="I1342" t="s">
        <v>10378</v>
      </c>
      <c r="J1342" t="s">
        <v>1108</v>
      </c>
    </row>
    <row r="1343" spans="9:10" x14ac:dyDescent="0.3">
      <c r="I1343" t="s">
        <v>10378</v>
      </c>
      <c r="J1343" t="s">
        <v>1108</v>
      </c>
    </row>
    <row r="1344" spans="9:10" x14ac:dyDescent="0.3">
      <c r="I1344" t="s">
        <v>10378</v>
      </c>
      <c r="J1344" t="s">
        <v>1108</v>
      </c>
    </row>
    <row r="1345" spans="9:10" x14ac:dyDescent="0.3">
      <c r="I1345" t="s">
        <v>10377</v>
      </c>
      <c r="J1345" t="s">
        <v>1108</v>
      </c>
    </row>
    <row r="1346" spans="9:10" x14ac:dyDescent="0.3">
      <c r="I1346" t="s">
        <v>10378</v>
      </c>
      <c r="J1346" t="s">
        <v>1108</v>
      </c>
    </row>
    <row r="1347" spans="9:10" x14ac:dyDescent="0.3">
      <c r="I1347" t="s">
        <v>10378</v>
      </c>
      <c r="J1347" t="s">
        <v>1108</v>
      </c>
    </row>
    <row r="1348" spans="9:10" x14ac:dyDescent="0.3">
      <c r="I1348" t="s">
        <v>10378</v>
      </c>
      <c r="J1348" t="s">
        <v>1108</v>
      </c>
    </row>
    <row r="1349" spans="9:10" x14ac:dyDescent="0.3">
      <c r="I1349" t="s">
        <v>10378</v>
      </c>
      <c r="J1349" t="s">
        <v>1108</v>
      </c>
    </row>
    <row r="1350" spans="9:10" x14ac:dyDescent="0.3">
      <c r="I1350" t="s">
        <v>10378</v>
      </c>
      <c r="J1350" t="s">
        <v>1108</v>
      </c>
    </row>
    <row r="1351" spans="9:10" x14ac:dyDescent="0.3">
      <c r="I1351" t="s">
        <v>10378</v>
      </c>
      <c r="J1351" t="s">
        <v>1108</v>
      </c>
    </row>
    <row r="1352" spans="9:10" x14ac:dyDescent="0.3">
      <c r="I1352" t="s">
        <v>10378</v>
      </c>
      <c r="J1352" t="s">
        <v>1108</v>
      </c>
    </row>
    <row r="1353" spans="9:10" x14ac:dyDescent="0.3">
      <c r="I1353" t="s">
        <v>10378</v>
      </c>
      <c r="J1353" t="s">
        <v>1108</v>
      </c>
    </row>
    <row r="1354" spans="9:10" x14ac:dyDescent="0.3">
      <c r="I1354" t="s">
        <v>10378</v>
      </c>
      <c r="J1354" t="s">
        <v>1108</v>
      </c>
    </row>
    <row r="1355" spans="9:10" x14ac:dyDescent="0.3">
      <c r="I1355" t="s">
        <v>10378</v>
      </c>
      <c r="J1355" t="s">
        <v>1108</v>
      </c>
    </row>
    <row r="1356" spans="9:10" x14ac:dyDescent="0.3">
      <c r="I1356" t="s">
        <v>10378</v>
      </c>
      <c r="J1356" t="s">
        <v>1108</v>
      </c>
    </row>
    <row r="1357" spans="9:10" x14ac:dyDescent="0.3">
      <c r="I1357" t="s">
        <v>10378</v>
      </c>
      <c r="J1357" t="s">
        <v>1108</v>
      </c>
    </row>
    <row r="1358" spans="9:10" x14ac:dyDescent="0.3">
      <c r="I1358" t="s">
        <v>10378</v>
      </c>
      <c r="J1358" t="s">
        <v>1108</v>
      </c>
    </row>
    <row r="1359" spans="9:10" x14ac:dyDescent="0.3">
      <c r="I1359" t="s">
        <v>10377</v>
      </c>
      <c r="J1359" t="s">
        <v>1108</v>
      </c>
    </row>
    <row r="1360" spans="9:10" x14ac:dyDescent="0.3">
      <c r="I1360" t="s">
        <v>10378</v>
      </c>
      <c r="J1360" t="s">
        <v>1108</v>
      </c>
    </row>
    <row r="1361" spans="9:10" x14ac:dyDescent="0.3">
      <c r="I1361" t="s">
        <v>10378</v>
      </c>
      <c r="J1361" t="s">
        <v>1108</v>
      </c>
    </row>
    <row r="1362" spans="9:10" x14ac:dyDescent="0.3">
      <c r="I1362" t="s">
        <v>10378</v>
      </c>
      <c r="J1362" t="s">
        <v>1108</v>
      </c>
    </row>
    <row r="1363" spans="9:10" x14ac:dyDescent="0.3">
      <c r="I1363" t="s">
        <v>10378</v>
      </c>
      <c r="J1363" t="s">
        <v>1108</v>
      </c>
    </row>
    <row r="1364" spans="9:10" x14ac:dyDescent="0.3">
      <c r="I1364" t="s">
        <v>10378</v>
      </c>
      <c r="J1364" t="s">
        <v>1108</v>
      </c>
    </row>
    <row r="1365" spans="9:10" x14ac:dyDescent="0.3">
      <c r="I1365" t="s">
        <v>10378</v>
      </c>
      <c r="J1365" t="s">
        <v>1108</v>
      </c>
    </row>
    <row r="1366" spans="9:10" x14ac:dyDescent="0.3">
      <c r="I1366" t="s">
        <v>10378</v>
      </c>
      <c r="J1366" t="s">
        <v>1108</v>
      </c>
    </row>
    <row r="1367" spans="9:10" x14ac:dyDescent="0.3">
      <c r="I1367" t="s">
        <v>10378</v>
      </c>
      <c r="J1367" t="s">
        <v>1108</v>
      </c>
    </row>
    <row r="1368" spans="9:10" x14ac:dyDescent="0.3">
      <c r="I1368" t="s">
        <v>10378</v>
      </c>
      <c r="J1368" t="s">
        <v>1108</v>
      </c>
    </row>
    <row r="1369" spans="9:10" x14ac:dyDescent="0.3">
      <c r="I1369" t="s">
        <v>10378</v>
      </c>
      <c r="J1369" t="s">
        <v>1108</v>
      </c>
    </row>
    <row r="1370" spans="9:10" x14ac:dyDescent="0.3">
      <c r="I1370" t="s">
        <v>10378</v>
      </c>
      <c r="J1370" t="s">
        <v>1108</v>
      </c>
    </row>
    <row r="1371" spans="9:10" x14ac:dyDescent="0.3">
      <c r="I1371" t="s">
        <v>10378</v>
      </c>
      <c r="J1371" t="s">
        <v>1108</v>
      </c>
    </row>
    <row r="1372" spans="9:10" x14ac:dyDescent="0.3">
      <c r="I1372" t="s">
        <v>10378</v>
      </c>
      <c r="J1372" t="s">
        <v>1108</v>
      </c>
    </row>
    <row r="1373" spans="9:10" x14ac:dyDescent="0.3">
      <c r="I1373" t="s">
        <v>10378</v>
      </c>
      <c r="J1373" t="s">
        <v>1108</v>
      </c>
    </row>
    <row r="1374" spans="9:10" x14ac:dyDescent="0.3">
      <c r="I1374" t="s">
        <v>10378</v>
      </c>
      <c r="J1374" t="s">
        <v>1108</v>
      </c>
    </row>
    <row r="1375" spans="9:10" x14ac:dyDescent="0.3">
      <c r="I1375" t="s">
        <v>10378</v>
      </c>
      <c r="J1375" t="s">
        <v>1108</v>
      </c>
    </row>
    <row r="1376" spans="9:10" x14ac:dyDescent="0.3">
      <c r="I1376" t="s">
        <v>10378</v>
      </c>
      <c r="J1376" t="s">
        <v>1108</v>
      </c>
    </row>
    <row r="1377" spans="9:10" x14ac:dyDescent="0.3">
      <c r="I1377" t="s">
        <v>10378</v>
      </c>
      <c r="J1377" t="s">
        <v>1108</v>
      </c>
    </row>
    <row r="1378" spans="9:10" x14ac:dyDescent="0.3">
      <c r="I1378" t="s">
        <v>10378</v>
      </c>
      <c r="J1378" t="s">
        <v>1108</v>
      </c>
    </row>
    <row r="1379" spans="9:10" x14ac:dyDescent="0.3">
      <c r="I1379" t="s">
        <v>10378</v>
      </c>
      <c r="J1379" t="s">
        <v>1108</v>
      </c>
    </row>
    <row r="1380" spans="9:10" x14ac:dyDescent="0.3">
      <c r="I1380" t="s">
        <v>10378</v>
      </c>
      <c r="J1380" t="s">
        <v>1108</v>
      </c>
    </row>
    <row r="1381" spans="9:10" x14ac:dyDescent="0.3">
      <c r="I1381" t="s">
        <v>10378</v>
      </c>
      <c r="J1381" t="s">
        <v>1108</v>
      </c>
    </row>
    <row r="1382" spans="9:10" x14ac:dyDescent="0.3">
      <c r="I1382" t="s">
        <v>10378</v>
      </c>
      <c r="J1382" t="s">
        <v>1108</v>
      </c>
    </row>
    <row r="1383" spans="9:10" x14ac:dyDescent="0.3">
      <c r="I1383" t="s">
        <v>10377</v>
      </c>
      <c r="J1383" t="s">
        <v>1108</v>
      </c>
    </row>
    <row r="1384" spans="9:10" x14ac:dyDescent="0.3">
      <c r="I1384" t="s">
        <v>10378</v>
      </c>
      <c r="J1384" t="s">
        <v>1108</v>
      </c>
    </row>
    <row r="1385" spans="9:10" x14ac:dyDescent="0.3">
      <c r="I1385" t="s">
        <v>10378</v>
      </c>
      <c r="J1385" t="s">
        <v>1108</v>
      </c>
    </row>
    <row r="1386" spans="9:10" x14ac:dyDescent="0.3">
      <c r="I1386" t="s">
        <v>10378</v>
      </c>
      <c r="J1386" t="s">
        <v>1108</v>
      </c>
    </row>
    <row r="1387" spans="9:10" x14ac:dyDescent="0.3">
      <c r="I1387" t="s">
        <v>10378</v>
      </c>
      <c r="J1387" t="s">
        <v>1108</v>
      </c>
    </row>
    <row r="1388" spans="9:10" x14ac:dyDescent="0.3">
      <c r="I1388" t="s">
        <v>10378</v>
      </c>
      <c r="J1388" t="s">
        <v>1108</v>
      </c>
    </row>
    <row r="1389" spans="9:10" x14ac:dyDescent="0.3">
      <c r="I1389" t="s">
        <v>10378</v>
      </c>
      <c r="J1389" t="s">
        <v>1108</v>
      </c>
    </row>
    <row r="1390" spans="9:10" x14ac:dyDescent="0.3">
      <c r="I1390" t="s">
        <v>10378</v>
      </c>
      <c r="J1390" t="s">
        <v>1108</v>
      </c>
    </row>
    <row r="1391" spans="9:10" x14ac:dyDescent="0.3">
      <c r="I1391" t="s">
        <v>10378</v>
      </c>
      <c r="J1391" t="s">
        <v>1108</v>
      </c>
    </row>
    <row r="1392" spans="9:10" x14ac:dyDescent="0.3">
      <c r="I1392" t="s">
        <v>10378</v>
      </c>
      <c r="J1392" t="s">
        <v>1108</v>
      </c>
    </row>
    <row r="1393" spans="9:10" x14ac:dyDescent="0.3">
      <c r="I1393" t="s">
        <v>10378</v>
      </c>
      <c r="J1393" t="s">
        <v>1108</v>
      </c>
    </row>
    <row r="1394" spans="9:10" x14ac:dyDescent="0.3">
      <c r="I1394" t="s">
        <v>10378</v>
      </c>
      <c r="J1394" t="s">
        <v>1108</v>
      </c>
    </row>
    <row r="1395" spans="9:10" x14ac:dyDescent="0.3">
      <c r="I1395" t="s">
        <v>10378</v>
      </c>
      <c r="J1395" t="s">
        <v>1108</v>
      </c>
    </row>
    <row r="1396" spans="9:10" x14ac:dyDescent="0.3">
      <c r="I1396" t="s">
        <v>10378</v>
      </c>
      <c r="J1396" t="s">
        <v>1108</v>
      </c>
    </row>
    <row r="1397" spans="9:10" x14ac:dyDescent="0.3">
      <c r="I1397" t="s">
        <v>10378</v>
      </c>
      <c r="J1397" t="s">
        <v>1108</v>
      </c>
    </row>
    <row r="1398" spans="9:10" x14ac:dyDescent="0.3">
      <c r="I1398" t="s">
        <v>10378</v>
      </c>
      <c r="J1398" t="s">
        <v>1108</v>
      </c>
    </row>
    <row r="1399" spans="9:10" x14ac:dyDescent="0.3">
      <c r="I1399" t="s">
        <v>10378</v>
      </c>
      <c r="J1399" t="s">
        <v>1108</v>
      </c>
    </row>
    <row r="1400" spans="9:10" x14ac:dyDescent="0.3">
      <c r="I1400" t="s">
        <v>10377</v>
      </c>
      <c r="J1400" t="s">
        <v>1108</v>
      </c>
    </row>
    <row r="1401" spans="9:10" x14ac:dyDescent="0.3">
      <c r="I1401" t="s">
        <v>10378</v>
      </c>
      <c r="J1401" t="s">
        <v>1108</v>
      </c>
    </row>
    <row r="1402" spans="9:10" x14ac:dyDescent="0.3">
      <c r="I1402" t="s">
        <v>10378</v>
      </c>
      <c r="J1402" t="s">
        <v>1108</v>
      </c>
    </row>
    <row r="1403" spans="9:10" x14ac:dyDescent="0.3">
      <c r="I1403" t="s">
        <v>10378</v>
      </c>
      <c r="J1403" t="s">
        <v>1108</v>
      </c>
    </row>
    <row r="1404" spans="9:10" x14ac:dyDescent="0.3">
      <c r="I1404" t="s">
        <v>10378</v>
      </c>
      <c r="J1404" t="s">
        <v>1108</v>
      </c>
    </row>
    <row r="1405" spans="9:10" x14ac:dyDescent="0.3">
      <c r="I1405" t="s">
        <v>10378</v>
      </c>
      <c r="J1405" t="s">
        <v>1108</v>
      </c>
    </row>
    <row r="1406" spans="9:10" x14ac:dyDescent="0.3">
      <c r="I1406" t="s">
        <v>10378</v>
      </c>
      <c r="J1406" t="s">
        <v>1108</v>
      </c>
    </row>
    <row r="1407" spans="9:10" x14ac:dyDescent="0.3">
      <c r="I1407" t="s">
        <v>10378</v>
      </c>
      <c r="J1407" t="s">
        <v>1108</v>
      </c>
    </row>
    <row r="1408" spans="9:10" x14ac:dyDescent="0.3">
      <c r="I1408" t="s">
        <v>10378</v>
      </c>
      <c r="J1408" t="s">
        <v>1108</v>
      </c>
    </row>
    <row r="1409" spans="9:10" x14ac:dyDescent="0.3">
      <c r="I1409" t="s">
        <v>10378</v>
      </c>
      <c r="J1409" t="s">
        <v>1108</v>
      </c>
    </row>
    <row r="1410" spans="9:10" x14ac:dyDescent="0.3">
      <c r="I1410" t="s">
        <v>10377</v>
      </c>
      <c r="J1410" t="s">
        <v>1108</v>
      </c>
    </row>
    <row r="1411" spans="9:10" x14ac:dyDescent="0.3">
      <c r="I1411" t="s">
        <v>10378</v>
      </c>
      <c r="J1411" t="s">
        <v>1108</v>
      </c>
    </row>
    <row r="1412" spans="9:10" x14ac:dyDescent="0.3">
      <c r="I1412" t="s">
        <v>10378</v>
      </c>
      <c r="J1412" t="s">
        <v>1108</v>
      </c>
    </row>
    <row r="1413" spans="9:10" x14ac:dyDescent="0.3">
      <c r="I1413" t="s">
        <v>10378</v>
      </c>
      <c r="J1413" t="s">
        <v>1108</v>
      </c>
    </row>
    <row r="1414" spans="9:10" x14ac:dyDescent="0.3">
      <c r="I1414" t="s">
        <v>10378</v>
      </c>
      <c r="J1414" t="s">
        <v>1108</v>
      </c>
    </row>
    <row r="1415" spans="9:10" x14ac:dyDescent="0.3">
      <c r="I1415" t="s">
        <v>10378</v>
      </c>
      <c r="J1415" t="s">
        <v>1108</v>
      </c>
    </row>
    <row r="1416" spans="9:10" x14ac:dyDescent="0.3">
      <c r="I1416" t="s">
        <v>10378</v>
      </c>
      <c r="J1416" t="s">
        <v>1108</v>
      </c>
    </row>
    <row r="1417" spans="9:10" x14ac:dyDescent="0.3">
      <c r="I1417" t="s">
        <v>10383</v>
      </c>
      <c r="J1417" t="s">
        <v>1108</v>
      </c>
    </row>
    <row r="1418" spans="9:10" x14ac:dyDescent="0.3">
      <c r="I1418" t="s">
        <v>10384</v>
      </c>
      <c r="J1418" t="s">
        <v>1108</v>
      </c>
    </row>
    <row r="1419" spans="9:10" x14ac:dyDescent="0.3">
      <c r="I1419" t="s">
        <v>10378</v>
      </c>
      <c r="J1419" t="s">
        <v>1108</v>
      </c>
    </row>
    <row r="1420" spans="9:10" x14ac:dyDescent="0.3">
      <c r="I1420" t="s">
        <v>10378</v>
      </c>
      <c r="J1420" t="s">
        <v>1108</v>
      </c>
    </row>
    <row r="1421" spans="9:10" x14ac:dyDescent="0.3">
      <c r="I1421" t="s">
        <v>10378</v>
      </c>
      <c r="J1421" t="s">
        <v>1108</v>
      </c>
    </row>
    <row r="1422" spans="9:10" x14ac:dyDescent="0.3">
      <c r="I1422" t="s">
        <v>10378</v>
      </c>
      <c r="J1422" t="s">
        <v>1108</v>
      </c>
    </row>
    <row r="1423" spans="9:10" x14ac:dyDescent="0.3">
      <c r="I1423" t="s">
        <v>10378</v>
      </c>
      <c r="J1423" t="s">
        <v>1108</v>
      </c>
    </row>
    <row r="1424" spans="9:10" x14ac:dyDescent="0.3">
      <c r="I1424" t="s">
        <v>10378</v>
      </c>
      <c r="J1424" t="s">
        <v>1108</v>
      </c>
    </row>
    <row r="1425" spans="9:10" x14ac:dyDescent="0.3">
      <c r="I1425" t="s">
        <v>10378</v>
      </c>
      <c r="J1425" t="s">
        <v>1108</v>
      </c>
    </row>
    <row r="1426" spans="9:10" x14ac:dyDescent="0.3">
      <c r="I1426" t="s">
        <v>10378</v>
      </c>
      <c r="J1426" t="s">
        <v>1108</v>
      </c>
    </row>
    <row r="1427" spans="9:10" x14ac:dyDescent="0.3">
      <c r="I1427" t="s">
        <v>10378</v>
      </c>
      <c r="J1427" t="s">
        <v>1108</v>
      </c>
    </row>
    <row r="1428" spans="9:10" x14ac:dyDescent="0.3">
      <c r="I1428" t="s">
        <v>10378</v>
      </c>
      <c r="J1428" t="s">
        <v>1108</v>
      </c>
    </row>
    <row r="1429" spans="9:10" x14ac:dyDescent="0.3">
      <c r="I1429" t="s">
        <v>10378</v>
      </c>
      <c r="J1429" t="s">
        <v>1108</v>
      </c>
    </row>
    <row r="1430" spans="9:10" x14ac:dyDescent="0.3">
      <c r="I1430" t="s">
        <v>10378</v>
      </c>
      <c r="J1430" t="s">
        <v>1108</v>
      </c>
    </row>
    <row r="1431" spans="9:10" x14ac:dyDescent="0.3">
      <c r="I1431" t="s">
        <v>10378</v>
      </c>
      <c r="J1431" t="s">
        <v>1108</v>
      </c>
    </row>
    <row r="1432" spans="9:10" x14ac:dyDescent="0.3">
      <c r="I1432" t="s">
        <v>10378</v>
      </c>
      <c r="J1432" t="s">
        <v>1108</v>
      </c>
    </row>
    <row r="1433" spans="9:10" x14ac:dyDescent="0.3">
      <c r="I1433" t="s">
        <v>10378</v>
      </c>
      <c r="J1433" t="s">
        <v>1108</v>
      </c>
    </row>
    <row r="1434" spans="9:10" x14ac:dyDescent="0.3">
      <c r="I1434" t="s">
        <v>10378</v>
      </c>
      <c r="J1434" t="s">
        <v>1108</v>
      </c>
    </row>
    <row r="1435" spans="9:10" x14ac:dyDescent="0.3">
      <c r="I1435" t="s">
        <v>10378</v>
      </c>
      <c r="J1435" t="s">
        <v>1108</v>
      </c>
    </row>
    <row r="1436" spans="9:10" x14ac:dyDescent="0.3">
      <c r="I1436" t="s">
        <v>10378</v>
      </c>
      <c r="J1436" t="s">
        <v>1108</v>
      </c>
    </row>
    <row r="1437" spans="9:10" x14ac:dyDescent="0.3">
      <c r="I1437" t="s">
        <v>10378</v>
      </c>
      <c r="J1437" t="s">
        <v>1108</v>
      </c>
    </row>
    <row r="1438" spans="9:10" x14ac:dyDescent="0.3">
      <c r="I1438" t="s">
        <v>10378</v>
      </c>
      <c r="J1438" t="s">
        <v>1108</v>
      </c>
    </row>
    <row r="1439" spans="9:10" x14ac:dyDescent="0.3">
      <c r="I1439" t="s">
        <v>10377</v>
      </c>
      <c r="J1439" t="s">
        <v>1108</v>
      </c>
    </row>
    <row r="1440" spans="9:10" x14ac:dyDescent="0.3">
      <c r="I1440" t="s">
        <v>10378</v>
      </c>
      <c r="J1440" t="s">
        <v>1108</v>
      </c>
    </row>
    <row r="1441" spans="9:10" x14ac:dyDescent="0.3">
      <c r="I1441" t="s">
        <v>10378</v>
      </c>
      <c r="J1441" t="s">
        <v>1108</v>
      </c>
    </row>
    <row r="1442" spans="9:10" x14ac:dyDescent="0.3">
      <c r="I1442" t="s">
        <v>10378</v>
      </c>
      <c r="J1442" t="s">
        <v>1108</v>
      </c>
    </row>
    <row r="1443" spans="9:10" x14ac:dyDescent="0.3">
      <c r="I1443" t="s">
        <v>10378</v>
      </c>
      <c r="J1443" t="s">
        <v>1108</v>
      </c>
    </row>
    <row r="1444" spans="9:10" x14ac:dyDescent="0.3">
      <c r="I1444" t="s">
        <v>10378</v>
      </c>
      <c r="J1444" t="s">
        <v>1108</v>
      </c>
    </row>
    <row r="1445" spans="9:10" x14ac:dyDescent="0.3">
      <c r="I1445" t="s">
        <v>10378</v>
      </c>
      <c r="J1445" t="s">
        <v>1108</v>
      </c>
    </row>
    <row r="1446" spans="9:10" x14ac:dyDescent="0.3">
      <c r="I1446" t="s">
        <v>10378</v>
      </c>
      <c r="J1446" t="s">
        <v>1108</v>
      </c>
    </row>
    <row r="1447" spans="9:10" x14ac:dyDescent="0.3">
      <c r="I1447" t="s">
        <v>10378</v>
      </c>
      <c r="J1447" t="s">
        <v>1108</v>
      </c>
    </row>
    <row r="1448" spans="9:10" x14ac:dyDescent="0.3">
      <c r="I1448" t="s">
        <v>10378</v>
      </c>
      <c r="J1448" t="s">
        <v>1108</v>
      </c>
    </row>
    <row r="1449" spans="9:10" x14ac:dyDescent="0.3">
      <c r="I1449" t="s">
        <v>10378</v>
      </c>
      <c r="J1449" t="s">
        <v>1108</v>
      </c>
    </row>
    <row r="1450" spans="9:10" x14ac:dyDescent="0.3">
      <c r="I1450" t="s">
        <v>10378</v>
      </c>
      <c r="J1450" t="s">
        <v>1108</v>
      </c>
    </row>
    <row r="1451" spans="9:10" x14ac:dyDescent="0.3">
      <c r="I1451" t="s">
        <v>10378</v>
      </c>
      <c r="J1451" t="s">
        <v>1108</v>
      </c>
    </row>
    <row r="1452" spans="9:10" x14ac:dyDescent="0.3">
      <c r="I1452" t="s">
        <v>10378</v>
      </c>
      <c r="J1452" t="s">
        <v>1108</v>
      </c>
    </row>
    <row r="1453" spans="9:10" x14ac:dyDescent="0.3">
      <c r="I1453" t="s">
        <v>10378</v>
      </c>
      <c r="J1453" t="s">
        <v>1108</v>
      </c>
    </row>
    <row r="1454" spans="9:10" x14ac:dyDescent="0.3">
      <c r="I1454" t="s">
        <v>10378</v>
      </c>
      <c r="J1454" t="s">
        <v>1108</v>
      </c>
    </row>
    <row r="1455" spans="9:10" x14ac:dyDescent="0.3">
      <c r="I1455" t="s">
        <v>10378</v>
      </c>
      <c r="J1455" t="s">
        <v>1108</v>
      </c>
    </row>
    <row r="1456" spans="9:10" x14ac:dyDescent="0.3">
      <c r="I1456" t="s">
        <v>10378</v>
      </c>
      <c r="J1456" t="s">
        <v>1108</v>
      </c>
    </row>
    <row r="1457" spans="9:10" x14ac:dyDescent="0.3">
      <c r="I1457" t="s">
        <v>10378</v>
      </c>
      <c r="J1457" t="s">
        <v>1108</v>
      </c>
    </row>
    <row r="1458" spans="9:10" x14ac:dyDescent="0.3">
      <c r="I1458" t="s">
        <v>10378</v>
      </c>
      <c r="J1458" t="s">
        <v>1108</v>
      </c>
    </row>
    <row r="1459" spans="9:10" x14ac:dyDescent="0.3">
      <c r="I1459" t="s">
        <v>10378</v>
      </c>
      <c r="J1459" t="s">
        <v>1108</v>
      </c>
    </row>
    <row r="1460" spans="9:10" x14ac:dyDescent="0.3">
      <c r="I1460" t="s">
        <v>10378</v>
      </c>
      <c r="J1460" t="s">
        <v>1108</v>
      </c>
    </row>
    <row r="1461" spans="9:10" x14ac:dyDescent="0.3">
      <c r="I1461" t="s">
        <v>10378</v>
      </c>
      <c r="J1461" t="s">
        <v>1108</v>
      </c>
    </row>
    <row r="1462" spans="9:10" x14ac:dyDescent="0.3">
      <c r="I1462" t="s">
        <v>10378</v>
      </c>
      <c r="J1462" t="s">
        <v>1108</v>
      </c>
    </row>
    <row r="1463" spans="9:10" x14ac:dyDescent="0.3">
      <c r="I1463" t="s">
        <v>10378</v>
      </c>
      <c r="J1463" t="s">
        <v>1108</v>
      </c>
    </row>
    <row r="1464" spans="9:10" x14ac:dyDescent="0.3">
      <c r="I1464" t="s">
        <v>10378</v>
      </c>
      <c r="J1464" t="s">
        <v>1108</v>
      </c>
    </row>
    <row r="1465" spans="9:10" x14ac:dyDescent="0.3">
      <c r="I1465" t="s">
        <v>10378</v>
      </c>
      <c r="J1465" t="s">
        <v>1108</v>
      </c>
    </row>
    <row r="1466" spans="9:10" x14ac:dyDescent="0.3">
      <c r="I1466" t="s">
        <v>10378</v>
      </c>
      <c r="J1466" t="s">
        <v>1108</v>
      </c>
    </row>
    <row r="1467" spans="9:10" x14ac:dyDescent="0.3">
      <c r="I1467" t="s">
        <v>10378</v>
      </c>
      <c r="J1467" t="s">
        <v>1108</v>
      </c>
    </row>
    <row r="1468" spans="9:10" x14ac:dyDescent="0.3">
      <c r="I1468" t="s">
        <v>10378</v>
      </c>
      <c r="J1468" t="s">
        <v>1108</v>
      </c>
    </row>
    <row r="1469" spans="9:10" x14ac:dyDescent="0.3">
      <c r="I1469" t="s">
        <v>10378</v>
      </c>
      <c r="J1469" t="s">
        <v>1108</v>
      </c>
    </row>
    <row r="1470" spans="9:10" x14ac:dyDescent="0.3">
      <c r="I1470" t="s">
        <v>10378</v>
      </c>
      <c r="J1470" t="s">
        <v>1108</v>
      </c>
    </row>
    <row r="1471" spans="9:10" x14ac:dyDescent="0.3">
      <c r="I1471" t="s">
        <v>10378</v>
      </c>
      <c r="J1471" t="s">
        <v>1108</v>
      </c>
    </row>
    <row r="1472" spans="9:10" x14ac:dyDescent="0.3">
      <c r="I1472" t="s">
        <v>10378</v>
      </c>
      <c r="J1472" t="s">
        <v>1108</v>
      </c>
    </row>
    <row r="1473" spans="9:10" x14ac:dyDescent="0.3">
      <c r="I1473" t="s">
        <v>10378</v>
      </c>
      <c r="J1473" t="s">
        <v>1108</v>
      </c>
    </row>
    <row r="1474" spans="9:10" x14ac:dyDescent="0.3">
      <c r="I1474" t="s">
        <v>10378</v>
      </c>
      <c r="J1474" t="s">
        <v>1108</v>
      </c>
    </row>
    <row r="1475" spans="9:10" x14ac:dyDescent="0.3">
      <c r="I1475" t="s">
        <v>10378</v>
      </c>
      <c r="J1475" t="s">
        <v>1108</v>
      </c>
    </row>
    <row r="1476" spans="9:10" x14ac:dyDescent="0.3">
      <c r="I1476" t="s">
        <v>10378</v>
      </c>
      <c r="J1476" t="s">
        <v>1108</v>
      </c>
    </row>
    <row r="1477" spans="9:10" x14ac:dyDescent="0.3">
      <c r="I1477" t="s">
        <v>10378</v>
      </c>
      <c r="J1477" t="s">
        <v>1108</v>
      </c>
    </row>
    <row r="1478" spans="9:10" x14ac:dyDescent="0.3">
      <c r="I1478" t="s">
        <v>10378</v>
      </c>
      <c r="J1478" t="s">
        <v>1108</v>
      </c>
    </row>
    <row r="1479" spans="9:10" x14ac:dyDescent="0.3">
      <c r="I1479" t="s">
        <v>10378</v>
      </c>
      <c r="J1479" t="s">
        <v>1108</v>
      </c>
    </row>
    <row r="1480" spans="9:10" x14ac:dyDescent="0.3">
      <c r="I1480" t="s">
        <v>10378</v>
      </c>
      <c r="J1480" t="s">
        <v>1108</v>
      </c>
    </row>
    <row r="1481" spans="9:10" x14ac:dyDescent="0.3">
      <c r="I1481" t="s">
        <v>10378</v>
      </c>
      <c r="J1481" t="s">
        <v>1108</v>
      </c>
    </row>
    <row r="1482" spans="9:10" x14ac:dyDescent="0.3">
      <c r="I1482" t="s">
        <v>10378</v>
      </c>
      <c r="J1482" t="s">
        <v>1108</v>
      </c>
    </row>
    <row r="1483" spans="9:10" x14ac:dyDescent="0.3">
      <c r="I1483" t="s">
        <v>10378</v>
      </c>
      <c r="J1483" t="s">
        <v>1108</v>
      </c>
    </row>
    <row r="1484" spans="9:10" x14ac:dyDescent="0.3">
      <c r="I1484" t="s">
        <v>10378</v>
      </c>
      <c r="J1484" t="s">
        <v>1108</v>
      </c>
    </row>
    <row r="1485" spans="9:10" x14ac:dyDescent="0.3">
      <c r="I1485" t="s">
        <v>10378</v>
      </c>
      <c r="J1485" t="s">
        <v>1108</v>
      </c>
    </row>
    <row r="1486" spans="9:10" x14ac:dyDescent="0.3">
      <c r="I1486" t="s">
        <v>10378</v>
      </c>
      <c r="J1486" t="s">
        <v>1108</v>
      </c>
    </row>
    <row r="1487" spans="9:10" x14ac:dyDescent="0.3">
      <c r="I1487" t="s">
        <v>10378</v>
      </c>
      <c r="J1487" t="s">
        <v>1108</v>
      </c>
    </row>
    <row r="1488" spans="9:10" x14ac:dyDescent="0.3">
      <c r="I1488" t="s">
        <v>10378</v>
      </c>
      <c r="J1488" t="s">
        <v>1108</v>
      </c>
    </row>
    <row r="1489" spans="9:10" x14ac:dyDescent="0.3">
      <c r="I1489" t="s">
        <v>10378</v>
      </c>
      <c r="J1489" t="s">
        <v>1108</v>
      </c>
    </row>
    <row r="1490" spans="9:10" x14ac:dyDescent="0.3">
      <c r="I1490" t="s">
        <v>10378</v>
      </c>
      <c r="J1490" t="s">
        <v>1108</v>
      </c>
    </row>
    <row r="1491" spans="9:10" x14ac:dyDescent="0.3">
      <c r="I1491" t="s">
        <v>10378</v>
      </c>
      <c r="J1491" t="s">
        <v>1108</v>
      </c>
    </row>
    <row r="1492" spans="9:10" x14ac:dyDescent="0.3">
      <c r="I1492" t="s">
        <v>10378</v>
      </c>
      <c r="J1492" t="s">
        <v>1108</v>
      </c>
    </row>
    <row r="1493" spans="9:10" x14ac:dyDescent="0.3">
      <c r="I1493" t="s">
        <v>10378</v>
      </c>
      <c r="J1493" t="s">
        <v>1108</v>
      </c>
    </row>
    <row r="1494" spans="9:10" x14ac:dyDescent="0.3">
      <c r="I1494" t="s">
        <v>10378</v>
      </c>
      <c r="J1494" t="s">
        <v>1108</v>
      </c>
    </row>
    <row r="1495" spans="9:10" x14ac:dyDescent="0.3">
      <c r="I1495" t="s">
        <v>10378</v>
      </c>
      <c r="J1495" t="s">
        <v>1108</v>
      </c>
    </row>
    <row r="1496" spans="9:10" x14ac:dyDescent="0.3">
      <c r="I1496" t="s">
        <v>10378</v>
      </c>
      <c r="J1496" t="s">
        <v>1108</v>
      </c>
    </row>
    <row r="1497" spans="9:10" x14ac:dyDescent="0.3">
      <c r="I1497" t="s">
        <v>10378</v>
      </c>
      <c r="J1497" t="s">
        <v>1108</v>
      </c>
    </row>
    <row r="1498" spans="9:10" x14ac:dyDescent="0.3">
      <c r="I1498" t="s">
        <v>10378</v>
      </c>
      <c r="J1498" t="s">
        <v>1108</v>
      </c>
    </row>
    <row r="1499" spans="9:10" x14ac:dyDescent="0.3">
      <c r="I1499" t="s">
        <v>10378</v>
      </c>
      <c r="J1499" t="s">
        <v>1108</v>
      </c>
    </row>
    <row r="1500" spans="9:10" x14ac:dyDescent="0.3">
      <c r="I1500" t="s">
        <v>10378</v>
      </c>
      <c r="J1500" t="s">
        <v>1108</v>
      </c>
    </row>
    <row r="1501" spans="9:10" x14ac:dyDescent="0.3">
      <c r="I1501" t="s">
        <v>10378</v>
      </c>
      <c r="J1501" t="s">
        <v>1108</v>
      </c>
    </row>
    <row r="1502" spans="9:10" x14ac:dyDescent="0.3">
      <c r="I1502" t="s">
        <v>10377</v>
      </c>
      <c r="J1502" t="s">
        <v>1108</v>
      </c>
    </row>
    <row r="1503" spans="9:10" x14ac:dyDescent="0.3">
      <c r="I1503" t="s">
        <v>10378</v>
      </c>
      <c r="J1503" t="s">
        <v>1108</v>
      </c>
    </row>
    <row r="1504" spans="9:10" x14ac:dyDescent="0.3">
      <c r="I1504" t="s">
        <v>10378</v>
      </c>
      <c r="J1504" t="s">
        <v>1108</v>
      </c>
    </row>
    <row r="1505" spans="9:10" x14ac:dyDescent="0.3">
      <c r="I1505" t="s">
        <v>10378</v>
      </c>
      <c r="J1505" t="s">
        <v>1108</v>
      </c>
    </row>
    <row r="1506" spans="9:10" x14ac:dyDescent="0.3">
      <c r="I1506" t="s">
        <v>10378</v>
      </c>
      <c r="J1506" t="s">
        <v>1108</v>
      </c>
    </row>
    <row r="1507" spans="9:10" x14ac:dyDescent="0.3">
      <c r="I1507" t="s">
        <v>10377</v>
      </c>
      <c r="J1507" t="s">
        <v>1108</v>
      </c>
    </row>
    <row r="1508" spans="9:10" x14ac:dyDescent="0.3">
      <c r="I1508" t="s">
        <v>10378</v>
      </c>
      <c r="J1508" t="s">
        <v>1108</v>
      </c>
    </row>
    <row r="1509" spans="9:10" x14ac:dyDescent="0.3">
      <c r="I1509" t="s">
        <v>10378</v>
      </c>
      <c r="J1509" t="s">
        <v>1108</v>
      </c>
    </row>
    <row r="1510" spans="9:10" x14ac:dyDescent="0.3">
      <c r="I1510" t="s">
        <v>10378</v>
      </c>
      <c r="J1510" t="s">
        <v>1108</v>
      </c>
    </row>
    <row r="1511" spans="9:10" x14ac:dyDescent="0.3">
      <c r="I1511" t="s">
        <v>10378</v>
      </c>
      <c r="J1511" t="s">
        <v>1108</v>
      </c>
    </row>
    <row r="1512" spans="9:10" x14ac:dyDescent="0.3">
      <c r="I1512" t="s">
        <v>10378</v>
      </c>
      <c r="J1512" t="s">
        <v>1108</v>
      </c>
    </row>
    <row r="1513" spans="9:10" x14ac:dyDescent="0.3">
      <c r="I1513" t="s">
        <v>10378</v>
      </c>
      <c r="J1513" t="s">
        <v>1108</v>
      </c>
    </row>
    <row r="1514" spans="9:10" x14ac:dyDescent="0.3">
      <c r="I1514" t="s">
        <v>10378</v>
      </c>
      <c r="J1514" t="s">
        <v>1108</v>
      </c>
    </row>
    <row r="1515" spans="9:10" x14ac:dyDescent="0.3">
      <c r="I1515" t="s">
        <v>10377</v>
      </c>
      <c r="J1515" t="s">
        <v>1108</v>
      </c>
    </row>
    <row r="1516" spans="9:10" x14ac:dyDescent="0.3">
      <c r="I1516" t="s">
        <v>10378</v>
      </c>
      <c r="J1516" t="s">
        <v>1108</v>
      </c>
    </row>
    <row r="1517" spans="9:10" x14ac:dyDescent="0.3">
      <c r="I1517" t="s">
        <v>10378</v>
      </c>
      <c r="J1517" t="s">
        <v>1108</v>
      </c>
    </row>
    <row r="1518" spans="9:10" x14ac:dyDescent="0.3">
      <c r="I1518" t="s">
        <v>10378</v>
      </c>
      <c r="J1518" t="s">
        <v>1108</v>
      </c>
    </row>
    <row r="1519" spans="9:10" x14ac:dyDescent="0.3">
      <c r="I1519" t="s">
        <v>10378</v>
      </c>
      <c r="J1519" t="s">
        <v>1108</v>
      </c>
    </row>
    <row r="1520" spans="9:10" x14ac:dyDescent="0.3">
      <c r="I1520" t="s">
        <v>10378</v>
      </c>
      <c r="J1520" t="s">
        <v>1108</v>
      </c>
    </row>
    <row r="1521" spans="9:10" x14ac:dyDescent="0.3">
      <c r="I1521" t="s">
        <v>10378</v>
      </c>
      <c r="J1521" t="s">
        <v>1108</v>
      </c>
    </row>
    <row r="1522" spans="9:10" x14ac:dyDescent="0.3">
      <c r="I1522" t="s">
        <v>10378</v>
      </c>
      <c r="J1522" t="s">
        <v>1108</v>
      </c>
    </row>
    <row r="1523" spans="9:10" x14ac:dyDescent="0.3">
      <c r="I1523" t="s">
        <v>10378</v>
      </c>
      <c r="J1523" t="s">
        <v>1108</v>
      </c>
    </row>
    <row r="1524" spans="9:10" x14ac:dyDescent="0.3">
      <c r="I1524" t="s">
        <v>10378</v>
      </c>
      <c r="J1524" t="s">
        <v>1108</v>
      </c>
    </row>
    <row r="1525" spans="9:10" x14ac:dyDescent="0.3">
      <c r="I1525" t="s">
        <v>10378</v>
      </c>
      <c r="J1525" t="s">
        <v>1108</v>
      </c>
    </row>
    <row r="1526" spans="9:10" x14ac:dyDescent="0.3">
      <c r="I1526" t="s">
        <v>10385</v>
      </c>
      <c r="J1526" t="s">
        <v>1108</v>
      </c>
    </row>
    <row r="1527" spans="9:10" x14ac:dyDescent="0.3">
      <c r="I1527" t="s">
        <v>10378</v>
      </c>
      <c r="J1527" t="s">
        <v>1108</v>
      </c>
    </row>
    <row r="1528" spans="9:10" x14ac:dyDescent="0.3">
      <c r="I1528" t="s">
        <v>10385</v>
      </c>
      <c r="J1528" t="s">
        <v>1108</v>
      </c>
    </row>
    <row r="1529" spans="9:10" x14ac:dyDescent="0.3">
      <c r="I1529" t="s">
        <v>10378</v>
      </c>
      <c r="J1529" t="s">
        <v>1108</v>
      </c>
    </row>
    <row r="1530" spans="9:10" x14ac:dyDescent="0.3">
      <c r="I1530" t="s">
        <v>10378</v>
      </c>
      <c r="J1530" t="s">
        <v>1108</v>
      </c>
    </row>
    <row r="1531" spans="9:10" x14ac:dyDescent="0.3">
      <c r="I1531" t="s">
        <v>10378</v>
      </c>
      <c r="J1531" t="s">
        <v>1108</v>
      </c>
    </row>
    <row r="1532" spans="9:10" x14ac:dyDescent="0.3">
      <c r="I1532" t="s">
        <v>10378</v>
      </c>
      <c r="J1532" t="s">
        <v>1108</v>
      </c>
    </row>
    <row r="1533" spans="9:10" x14ac:dyDescent="0.3">
      <c r="I1533" t="s">
        <v>10378</v>
      </c>
      <c r="J1533" t="s">
        <v>1108</v>
      </c>
    </row>
    <row r="1534" spans="9:10" x14ac:dyDescent="0.3">
      <c r="I1534" t="s">
        <v>10378</v>
      </c>
      <c r="J1534" t="s">
        <v>1108</v>
      </c>
    </row>
    <row r="1535" spans="9:10" x14ac:dyDescent="0.3">
      <c r="I1535" t="s">
        <v>10378</v>
      </c>
      <c r="J1535" t="s">
        <v>1108</v>
      </c>
    </row>
    <row r="1536" spans="9:10" x14ac:dyDescent="0.3">
      <c r="I1536" t="s">
        <v>10378</v>
      </c>
      <c r="J1536" t="s">
        <v>1108</v>
      </c>
    </row>
    <row r="1537" spans="9:10" x14ac:dyDescent="0.3">
      <c r="I1537" t="s">
        <v>10378</v>
      </c>
      <c r="J1537" t="s">
        <v>1108</v>
      </c>
    </row>
    <row r="1538" spans="9:10" x14ac:dyDescent="0.3">
      <c r="I1538" t="s">
        <v>10378</v>
      </c>
      <c r="J1538" t="s">
        <v>1108</v>
      </c>
    </row>
    <row r="1539" spans="9:10" x14ac:dyDescent="0.3">
      <c r="I1539" t="s">
        <v>10378</v>
      </c>
      <c r="J1539" t="s">
        <v>1108</v>
      </c>
    </row>
    <row r="1540" spans="9:10" x14ac:dyDescent="0.3">
      <c r="I1540" t="s">
        <v>10378</v>
      </c>
      <c r="J1540" t="s">
        <v>1108</v>
      </c>
    </row>
    <row r="1541" spans="9:10" x14ac:dyDescent="0.3">
      <c r="I1541" t="s">
        <v>10378</v>
      </c>
      <c r="J1541" t="s">
        <v>1108</v>
      </c>
    </row>
    <row r="1542" spans="9:10" x14ac:dyDescent="0.3">
      <c r="I1542" t="s">
        <v>10378</v>
      </c>
      <c r="J1542" t="s">
        <v>1108</v>
      </c>
    </row>
    <row r="1543" spans="9:10" x14ac:dyDescent="0.3">
      <c r="I1543" t="s">
        <v>10377</v>
      </c>
      <c r="J1543" t="s">
        <v>1108</v>
      </c>
    </row>
    <row r="1544" spans="9:10" x14ac:dyDescent="0.3">
      <c r="I1544" t="s">
        <v>10377</v>
      </c>
      <c r="J1544" t="s">
        <v>1108</v>
      </c>
    </row>
    <row r="1545" spans="9:10" x14ac:dyDescent="0.3">
      <c r="I1545" t="s">
        <v>10378</v>
      </c>
      <c r="J1545" t="s">
        <v>1108</v>
      </c>
    </row>
    <row r="1546" spans="9:10" x14ac:dyDescent="0.3">
      <c r="I1546" t="s">
        <v>10378</v>
      </c>
      <c r="J1546" t="s">
        <v>1108</v>
      </c>
    </row>
    <row r="1547" spans="9:10" x14ac:dyDescent="0.3">
      <c r="I1547" t="s">
        <v>10378</v>
      </c>
      <c r="J1547" t="s">
        <v>1108</v>
      </c>
    </row>
    <row r="1548" spans="9:10" x14ac:dyDescent="0.3">
      <c r="I1548" t="s">
        <v>10378</v>
      </c>
      <c r="J1548" t="s">
        <v>1108</v>
      </c>
    </row>
    <row r="1549" spans="9:10" x14ac:dyDescent="0.3">
      <c r="I1549" t="s">
        <v>10378</v>
      </c>
      <c r="J1549" t="s">
        <v>1108</v>
      </c>
    </row>
    <row r="1550" spans="9:10" x14ac:dyDescent="0.3">
      <c r="I1550" t="s">
        <v>10384</v>
      </c>
      <c r="J1550" t="s">
        <v>1108</v>
      </c>
    </row>
    <row r="1551" spans="9:10" x14ac:dyDescent="0.3">
      <c r="I1551" t="s">
        <v>10378</v>
      </c>
      <c r="J1551" t="s">
        <v>1108</v>
      </c>
    </row>
    <row r="1552" spans="9:10" x14ac:dyDescent="0.3">
      <c r="I1552" t="s">
        <v>10378</v>
      </c>
      <c r="J1552" t="s">
        <v>1108</v>
      </c>
    </row>
    <row r="1553" spans="9:10" x14ac:dyDescent="0.3">
      <c r="I1553" t="s">
        <v>10378</v>
      </c>
      <c r="J1553" t="s">
        <v>1108</v>
      </c>
    </row>
    <row r="1554" spans="9:10" x14ac:dyDescent="0.3">
      <c r="I1554" t="s">
        <v>10386</v>
      </c>
      <c r="J1554" t="s">
        <v>1109</v>
      </c>
    </row>
    <row r="1555" spans="9:10" x14ac:dyDescent="0.3">
      <c r="I1555" t="s">
        <v>10387</v>
      </c>
      <c r="J1555" t="s">
        <v>1109</v>
      </c>
    </row>
    <row r="1556" spans="9:10" x14ac:dyDescent="0.3">
      <c r="I1556" t="s">
        <v>10388</v>
      </c>
      <c r="J1556" t="s">
        <v>1109</v>
      </c>
    </row>
    <row r="1557" spans="9:10" x14ac:dyDescent="0.3">
      <c r="I1557" t="s">
        <v>10389</v>
      </c>
      <c r="J1557" t="s">
        <v>1110</v>
      </c>
    </row>
    <row r="1558" spans="9:10" x14ac:dyDescent="0.3">
      <c r="I1558" t="s">
        <v>10390</v>
      </c>
      <c r="J1558" t="s">
        <v>1111</v>
      </c>
    </row>
    <row r="1559" spans="9:10" x14ac:dyDescent="0.3">
      <c r="I1559" t="s">
        <v>10390</v>
      </c>
      <c r="J1559" t="s">
        <v>1111</v>
      </c>
    </row>
    <row r="1560" spans="9:10" x14ac:dyDescent="0.3">
      <c r="I1560" t="s">
        <v>10390</v>
      </c>
      <c r="J1560" t="s">
        <v>1111</v>
      </c>
    </row>
    <row r="1561" spans="9:10" x14ac:dyDescent="0.3">
      <c r="I1561" t="s">
        <v>10390</v>
      </c>
      <c r="J1561" t="s">
        <v>1111</v>
      </c>
    </row>
    <row r="1562" spans="9:10" x14ac:dyDescent="0.3">
      <c r="I1562" t="s">
        <v>10391</v>
      </c>
      <c r="J1562" t="s">
        <v>1112</v>
      </c>
    </row>
    <row r="1563" spans="9:10" x14ac:dyDescent="0.3">
      <c r="I1563" t="s">
        <v>10391</v>
      </c>
      <c r="J1563" t="s">
        <v>1112</v>
      </c>
    </row>
    <row r="1564" spans="9:10" x14ac:dyDescent="0.3">
      <c r="I1564" t="s">
        <v>10392</v>
      </c>
      <c r="J1564" t="s">
        <v>1113</v>
      </c>
    </row>
    <row r="1565" spans="9:10" x14ac:dyDescent="0.3">
      <c r="I1565" t="s">
        <v>10393</v>
      </c>
      <c r="J1565" t="s">
        <v>1114</v>
      </c>
    </row>
    <row r="1566" spans="9:10" x14ac:dyDescent="0.3">
      <c r="I1566" t="s">
        <v>10394</v>
      </c>
    </row>
    <row r="1567" spans="9:10" x14ac:dyDescent="0.3">
      <c r="I1567" t="s">
        <v>10395</v>
      </c>
      <c r="J1567" t="s">
        <v>1115</v>
      </c>
    </row>
    <row r="1568" spans="9:10" x14ac:dyDescent="0.3">
      <c r="I1568" t="s">
        <v>10396</v>
      </c>
      <c r="J1568" t="s">
        <v>471</v>
      </c>
    </row>
    <row r="1569" spans="9:10" x14ac:dyDescent="0.3">
      <c r="I1569" t="s">
        <v>10397</v>
      </c>
      <c r="J1569" t="s">
        <v>471</v>
      </c>
    </row>
    <row r="1570" spans="9:10" x14ac:dyDescent="0.3">
      <c r="I1570" t="s">
        <v>10398</v>
      </c>
      <c r="J1570" t="s">
        <v>1116</v>
      </c>
    </row>
    <row r="1571" spans="9:10" x14ac:dyDescent="0.3">
      <c r="I1571" t="s">
        <v>10398</v>
      </c>
      <c r="J1571" t="s">
        <v>1116</v>
      </c>
    </row>
    <row r="1572" spans="9:10" x14ac:dyDescent="0.3">
      <c r="I1572" t="s">
        <v>10398</v>
      </c>
      <c r="J1572" t="s">
        <v>1116</v>
      </c>
    </row>
    <row r="1573" spans="9:10" x14ac:dyDescent="0.3">
      <c r="I1573" t="s">
        <v>10398</v>
      </c>
      <c r="J1573" t="s">
        <v>1116</v>
      </c>
    </row>
    <row r="1574" spans="9:10" x14ac:dyDescent="0.3">
      <c r="I1574" t="s">
        <v>10399</v>
      </c>
    </row>
    <row r="1575" spans="9:10" x14ac:dyDescent="0.3">
      <c r="I1575" t="s">
        <v>10399</v>
      </c>
    </row>
    <row r="1576" spans="9:10" x14ac:dyDescent="0.3">
      <c r="I1576" t="s">
        <v>10400</v>
      </c>
      <c r="J1576" t="s">
        <v>1117</v>
      </c>
    </row>
    <row r="1577" spans="9:10" x14ac:dyDescent="0.3">
      <c r="I1577" t="s">
        <v>10401</v>
      </c>
      <c r="J1577" t="s">
        <v>1118</v>
      </c>
    </row>
    <row r="1578" spans="9:10" x14ac:dyDescent="0.3">
      <c r="I1578" t="s">
        <v>10402</v>
      </c>
      <c r="J1578" t="s">
        <v>1119</v>
      </c>
    </row>
    <row r="1579" spans="9:10" x14ac:dyDescent="0.3">
      <c r="I1579" t="s">
        <v>10403</v>
      </c>
      <c r="J1579" t="s">
        <v>1120</v>
      </c>
    </row>
    <row r="1580" spans="9:10" x14ac:dyDescent="0.3">
      <c r="I1580" t="s">
        <v>10404</v>
      </c>
      <c r="J1580" t="s">
        <v>1121</v>
      </c>
    </row>
    <row r="1581" spans="9:10" x14ac:dyDescent="0.3">
      <c r="I1581" t="s">
        <v>10404</v>
      </c>
      <c r="J1581" t="s">
        <v>1121</v>
      </c>
    </row>
    <row r="1582" spans="9:10" x14ac:dyDescent="0.3">
      <c r="I1582" t="s">
        <v>10404</v>
      </c>
      <c r="J1582" t="s">
        <v>1121</v>
      </c>
    </row>
    <row r="1583" spans="9:10" x14ac:dyDescent="0.3">
      <c r="I1583" t="s">
        <v>10405</v>
      </c>
      <c r="J1583" t="s">
        <v>501</v>
      </c>
    </row>
    <row r="1584" spans="9:10" x14ac:dyDescent="0.3">
      <c r="I1584" t="s">
        <v>10405</v>
      </c>
      <c r="J1584" t="s">
        <v>501</v>
      </c>
    </row>
    <row r="1585" spans="9:10" x14ac:dyDescent="0.3">
      <c r="I1585" t="s">
        <v>10405</v>
      </c>
      <c r="J1585" t="s">
        <v>501</v>
      </c>
    </row>
    <row r="1586" spans="9:10" x14ac:dyDescent="0.3">
      <c r="I1586" t="s">
        <v>10406</v>
      </c>
    </row>
    <row r="1587" spans="9:10" x14ac:dyDescent="0.3">
      <c r="I1587" t="s">
        <v>10407</v>
      </c>
      <c r="J1587" t="s">
        <v>1054</v>
      </c>
    </row>
    <row r="1588" spans="9:10" x14ac:dyDescent="0.3">
      <c r="I1588" t="s">
        <v>10408</v>
      </c>
      <c r="J1588" t="s">
        <v>1122</v>
      </c>
    </row>
    <row r="1589" spans="9:10" x14ac:dyDescent="0.3">
      <c r="I1589" t="s">
        <v>10409</v>
      </c>
      <c r="J1589" t="s">
        <v>1122</v>
      </c>
    </row>
    <row r="1590" spans="9:10" x14ac:dyDescent="0.3">
      <c r="I1590" t="s">
        <v>10409</v>
      </c>
      <c r="J1590" t="s">
        <v>1122</v>
      </c>
    </row>
    <row r="1591" spans="9:10" x14ac:dyDescent="0.3">
      <c r="I1591" t="s">
        <v>10410</v>
      </c>
      <c r="J1591">
        <v>0</v>
      </c>
    </row>
    <row r="1592" spans="9:10" x14ac:dyDescent="0.3">
      <c r="I1592" t="s">
        <v>10411</v>
      </c>
      <c r="J1592" t="s">
        <v>1123</v>
      </c>
    </row>
    <row r="1593" spans="9:10" x14ac:dyDescent="0.3">
      <c r="I1593" t="s">
        <v>10412</v>
      </c>
      <c r="J1593" t="s">
        <v>1124</v>
      </c>
    </row>
    <row r="1594" spans="9:10" x14ac:dyDescent="0.3">
      <c r="I1594" t="s">
        <v>10412</v>
      </c>
      <c r="J1594" t="s">
        <v>1124</v>
      </c>
    </row>
    <row r="1595" spans="9:10" x14ac:dyDescent="0.3">
      <c r="I1595" t="s">
        <v>10413</v>
      </c>
      <c r="J1595" t="s">
        <v>1125</v>
      </c>
    </row>
    <row r="1596" spans="9:10" x14ac:dyDescent="0.3">
      <c r="I1596" t="s">
        <v>10414</v>
      </c>
      <c r="J1596" t="s">
        <v>1125</v>
      </c>
    </row>
    <row r="1597" spans="9:10" x14ac:dyDescent="0.3">
      <c r="I1597" t="s">
        <v>10413</v>
      </c>
      <c r="J1597" t="s">
        <v>1125</v>
      </c>
    </row>
    <row r="1598" spans="9:10" x14ac:dyDescent="0.3">
      <c r="I1598" t="s">
        <v>10414</v>
      </c>
      <c r="J1598" t="s">
        <v>1125</v>
      </c>
    </row>
    <row r="1599" spans="9:10" x14ac:dyDescent="0.3">
      <c r="I1599" t="s">
        <v>10415</v>
      </c>
      <c r="J1599" t="s">
        <v>1126</v>
      </c>
    </row>
    <row r="1600" spans="9:10" x14ac:dyDescent="0.3">
      <c r="I1600" t="s">
        <v>10416</v>
      </c>
      <c r="J1600" t="s">
        <v>1126</v>
      </c>
    </row>
    <row r="1601" spans="9:10" x14ac:dyDescent="0.3">
      <c r="I1601" t="s">
        <v>10417</v>
      </c>
      <c r="J1601" t="s">
        <v>1126</v>
      </c>
    </row>
    <row r="1602" spans="9:10" x14ac:dyDescent="0.3">
      <c r="I1602" t="s">
        <v>10418</v>
      </c>
      <c r="J1602" t="s">
        <v>1127</v>
      </c>
    </row>
    <row r="1603" spans="9:10" x14ac:dyDescent="0.3">
      <c r="I1603" t="s">
        <v>10419</v>
      </c>
      <c r="J1603" t="s">
        <v>1127</v>
      </c>
    </row>
    <row r="1604" spans="9:10" x14ac:dyDescent="0.3">
      <c r="I1604" t="s">
        <v>10418</v>
      </c>
      <c r="J1604" t="s">
        <v>1127</v>
      </c>
    </row>
    <row r="1605" spans="9:10" x14ac:dyDescent="0.3">
      <c r="I1605" t="s">
        <v>10420</v>
      </c>
      <c r="J1605" t="s">
        <v>1128</v>
      </c>
    </row>
    <row r="1606" spans="9:10" x14ac:dyDescent="0.3">
      <c r="I1606" t="s">
        <v>10421</v>
      </c>
      <c r="J1606" t="s">
        <v>1128</v>
      </c>
    </row>
    <row r="1607" spans="9:10" x14ac:dyDescent="0.3">
      <c r="I1607" t="s">
        <v>10422</v>
      </c>
      <c r="J1607" t="s">
        <v>1129</v>
      </c>
    </row>
    <row r="1608" spans="9:10" x14ac:dyDescent="0.3">
      <c r="I1608" t="s">
        <v>10423</v>
      </c>
      <c r="J1608" t="s">
        <v>1130</v>
      </c>
    </row>
    <row r="1609" spans="9:10" x14ac:dyDescent="0.3">
      <c r="I1609" t="s">
        <v>10424</v>
      </c>
      <c r="J1609" t="s">
        <v>1131</v>
      </c>
    </row>
    <row r="1610" spans="9:10" x14ac:dyDescent="0.3">
      <c r="I1610" t="s">
        <v>10425</v>
      </c>
    </row>
    <row r="1611" spans="9:10" x14ac:dyDescent="0.3">
      <c r="I1611" t="s">
        <v>10426</v>
      </c>
    </row>
    <row r="1612" spans="9:10" x14ac:dyDescent="0.3">
      <c r="I1612" t="s">
        <v>10427</v>
      </c>
    </row>
    <row r="1613" spans="9:10" x14ac:dyDescent="0.3">
      <c r="I1613" t="s">
        <v>10428</v>
      </c>
    </row>
    <row r="1614" spans="9:10" x14ac:dyDescent="0.3">
      <c r="I1614" t="s">
        <v>10429</v>
      </c>
    </row>
    <row r="1615" spans="9:10" x14ac:dyDescent="0.3">
      <c r="I1615" t="s">
        <v>10430</v>
      </c>
      <c r="J1615" t="s">
        <v>1132</v>
      </c>
    </row>
    <row r="1616" spans="9:10" x14ac:dyDescent="0.3">
      <c r="I1616" t="s">
        <v>10431</v>
      </c>
      <c r="J1616" t="s">
        <v>1133</v>
      </c>
    </row>
    <row r="1617" spans="9:10" x14ac:dyDescent="0.3">
      <c r="I1617" t="s">
        <v>10431</v>
      </c>
      <c r="J1617" t="s">
        <v>1133</v>
      </c>
    </row>
    <row r="1618" spans="9:10" x14ac:dyDescent="0.3">
      <c r="I1618" t="s">
        <v>10432</v>
      </c>
    </row>
    <row r="1619" spans="9:10" x14ac:dyDescent="0.3">
      <c r="I1619" t="s">
        <v>10433</v>
      </c>
      <c r="J1619" t="s">
        <v>555</v>
      </c>
    </row>
    <row r="1620" spans="9:10" x14ac:dyDescent="0.3">
      <c r="I1620" t="s">
        <v>10434</v>
      </c>
      <c r="J1620" t="s">
        <v>555</v>
      </c>
    </row>
    <row r="1621" spans="9:10" x14ac:dyDescent="0.3">
      <c r="I1621" t="s">
        <v>10433</v>
      </c>
      <c r="J1621" t="s">
        <v>555</v>
      </c>
    </row>
    <row r="1622" spans="9:10" x14ac:dyDescent="0.3">
      <c r="I1622" t="s">
        <v>10433</v>
      </c>
      <c r="J1622" t="s">
        <v>555</v>
      </c>
    </row>
    <row r="1623" spans="9:10" x14ac:dyDescent="0.3">
      <c r="I1623" t="s">
        <v>10435</v>
      </c>
      <c r="J1623" t="s">
        <v>1134</v>
      </c>
    </row>
    <row r="1624" spans="9:10" x14ac:dyDescent="0.3">
      <c r="I1624" t="s">
        <v>10436</v>
      </c>
      <c r="J1624" t="s">
        <v>1135</v>
      </c>
    </row>
    <row r="1625" spans="9:10" x14ac:dyDescent="0.3">
      <c r="I1625" t="s">
        <v>10437</v>
      </c>
      <c r="J1625" t="s">
        <v>1136</v>
      </c>
    </row>
    <row r="1626" spans="9:10" x14ac:dyDescent="0.3">
      <c r="I1626" t="s">
        <v>10438</v>
      </c>
      <c r="J1626" t="s">
        <v>1137</v>
      </c>
    </row>
    <row r="1627" spans="9:10" x14ac:dyDescent="0.3">
      <c r="I1627" t="s">
        <v>10438</v>
      </c>
      <c r="J1627" t="s">
        <v>1137</v>
      </c>
    </row>
    <row r="1628" spans="9:10" x14ac:dyDescent="0.3">
      <c r="I1628" t="s">
        <v>10438</v>
      </c>
      <c r="J1628" t="s">
        <v>1137</v>
      </c>
    </row>
    <row r="1629" spans="9:10" x14ac:dyDescent="0.3">
      <c r="I1629" t="s">
        <v>10439</v>
      </c>
      <c r="J1629" t="s">
        <v>1138</v>
      </c>
    </row>
    <row r="1630" spans="9:10" x14ac:dyDescent="0.3">
      <c r="I1630" t="s">
        <v>10440</v>
      </c>
      <c r="J1630" t="s">
        <v>1138</v>
      </c>
    </row>
    <row r="1631" spans="9:10" x14ac:dyDescent="0.3">
      <c r="I1631" t="s">
        <v>10441</v>
      </c>
      <c r="J1631" t="s">
        <v>1139</v>
      </c>
    </row>
    <row r="1632" spans="9:10" x14ac:dyDescent="0.3">
      <c r="I1632" t="s">
        <v>10442</v>
      </c>
      <c r="J1632" t="s">
        <v>1140</v>
      </c>
    </row>
    <row r="1633" spans="9:10" x14ac:dyDescent="0.3">
      <c r="I1633" t="s">
        <v>10443</v>
      </c>
      <c r="J1633" t="s">
        <v>1140</v>
      </c>
    </row>
    <row r="1634" spans="9:10" x14ac:dyDescent="0.3">
      <c r="I1634" t="s">
        <v>10442</v>
      </c>
      <c r="J1634" t="s">
        <v>1140</v>
      </c>
    </row>
    <row r="1635" spans="9:10" x14ac:dyDescent="0.3">
      <c r="I1635" t="s">
        <v>10444</v>
      </c>
      <c r="J1635" t="s">
        <v>1140</v>
      </c>
    </row>
    <row r="1636" spans="9:10" x14ac:dyDescent="0.3">
      <c r="I1636" t="s">
        <v>10442</v>
      </c>
      <c r="J1636" t="s">
        <v>1140</v>
      </c>
    </row>
    <row r="1637" spans="9:10" x14ac:dyDescent="0.3">
      <c r="I1637" t="s">
        <v>10445</v>
      </c>
      <c r="J1637" t="s">
        <v>1141</v>
      </c>
    </row>
    <row r="1638" spans="9:10" x14ac:dyDescent="0.3">
      <c r="I1638" t="s">
        <v>10446</v>
      </c>
      <c r="J1638" t="s">
        <v>1142</v>
      </c>
    </row>
    <row r="1639" spans="9:10" x14ac:dyDescent="0.3">
      <c r="I1639" t="s">
        <v>10447</v>
      </c>
      <c r="J1639" t="s">
        <v>1143</v>
      </c>
    </row>
    <row r="1640" spans="9:10" x14ac:dyDescent="0.3">
      <c r="I1640" t="s">
        <v>10448</v>
      </c>
      <c r="J1640" t="s">
        <v>1144</v>
      </c>
    </row>
    <row r="1641" spans="9:10" x14ac:dyDescent="0.3">
      <c r="I1641" t="s">
        <v>10448</v>
      </c>
      <c r="J1641" t="s">
        <v>1144</v>
      </c>
    </row>
    <row r="1642" spans="9:10" x14ac:dyDescent="0.3">
      <c r="I1642" t="s">
        <v>10448</v>
      </c>
      <c r="J1642" t="s">
        <v>1144</v>
      </c>
    </row>
    <row r="1643" spans="9:10" x14ac:dyDescent="0.3">
      <c r="I1643" t="s">
        <v>10449</v>
      </c>
      <c r="J1643" t="s">
        <v>1145</v>
      </c>
    </row>
    <row r="1644" spans="9:10" x14ac:dyDescent="0.3">
      <c r="I1644" t="s">
        <v>10450</v>
      </c>
      <c r="J1644" t="s">
        <v>1146</v>
      </c>
    </row>
    <row r="1645" spans="9:10" x14ac:dyDescent="0.3">
      <c r="I1645" t="s">
        <v>10451</v>
      </c>
      <c r="J1645" t="s">
        <v>1147</v>
      </c>
    </row>
    <row r="1646" spans="9:10" x14ac:dyDescent="0.3">
      <c r="I1646" t="s">
        <v>10452</v>
      </c>
      <c r="J1646" t="s">
        <v>1147</v>
      </c>
    </row>
    <row r="1647" spans="9:10" x14ac:dyDescent="0.3">
      <c r="I1647" t="s">
        <v>10452</v>
      </c>
      <c r="J1647" t="s">
        <v>1147</v>
      </c>
    </row>
    <row r="1648" spans="9:10" x14ac:dyDescent="0.3">
      <c r="I1648" t="s">
        <v>10453</v>
      </c>
      <c r="J1648" t="s">
        <v>1148</v>
      </c>
    </row>
    <row r="1649" spans="9:10" x14ac:dyDescent="0.3">
      <c r="I1649" t="s">
        <v>10454</v>
      </c>
      <c r="J1649" t="s">
        <v>1148</v>
      </c>
    </row>
    <row r="1650" spans="9:10" x14ac:dyDescent="0.3">
      <c r="I1650" t="s">
        <v>10453</v>
      </c>
      <c r="J1650" t="s">
        <v>1148</v>
      </c>
    </row>
    <row r="1651" spans="9:10" x14ac:dyDescent="0.3">
      <c r="I1651" t="s">
        <v>10453</v>
      </c>
      <c r="J1651" t="s">
        <v>1148</v>
      </c>
    </row>
    <row r="1652" spans="9:10" x14ac:dyDescent="0.3">
      <c r="I1652" t="s">
        <v>10453</v>
      </c>
      <c r="J1652" t="s">
        <v>1148</v>
      </c>
    </row>
    <row r="1653" spans="9:10" x14ac:dyDescent="0.3">
      <c r="I1653" t="s">
        <v>10453</v>
      </c>
      <c r="J1653" t="s">
        <v>1148</v>
      </c>
    </row>
    <row r="1654" spans="9:10" x14ac:dyDescent="0.3">
      <c r="I1654" t="s">
        <v>10455</v>
      </c>
      <c r="J1654" t="s">
        <v>1148</v>
      </c>
    </row>
    <row r="1655" spans="9:10" x14ac:dyDescent="0.3">
      <c r="I1655" t="s">
        <v>10453</v>
      </c>
      <c r="J1655" t="s">
        <v>1148</v>
      </c>
    </row>
    <row r="1656" spans="9:10" x14ac:dyDescent="0.3">
      <c r="I1656" t="s">
        <v>10456</v>
      </c>
      <c r="J1656">
        <v>0</v>
      </c>
    </row>
    <row r="1657" spans="9:10" x14ac:dyDescent="0.3">
      <c r="I1657" t="s">
        <v>10457</v>
      </c>
      <c r="J1657" t="s">
        <v>1149</v>
      </c>
    </row>
    <row r="1658" spans="9:10" x14ac:dyDescent="0.3">
      <c r="I1658" t="s">
        <v>10458</v>
      </c>
      <c r="J1658" t="s">
        <v>1150</v>
      </c>
    </row>
    <row r="1659" spans="9:10" x14ac:dyDescent="0.3">
      <c r="I1659" t="s">
        <v>10458</v>
      </c>
      <c r="J1659" t="s">
        <v>1150</v>
      </c>
    </row>
    <row r="1660" spans="9:10" x14ac:dyDescent="0.3">
      <c r="I1660" t="s">
        <v>10458</v>
      </c>
      <c r="J1660" t="s">
        <v>1150</v>
      </c>
    </row>
    <row r="1661" spans="9:10" x14ac:dyDescent="0.3">
      <c r="I1661" t="s">
        <v>10458</v>
      </c>
      <c r="J1661" t="s">
        <v>1150</v>
      </c>
    </row>
    <row r="1662" spans="9:10" x14ac:dyDescent="0.3">
      <c r="I1662" t="s">
        <v>10458</v>
      </c>
      <c r="J1662" t="s">
        <v>1150</v>
      </c>
    </row>
    <row r="1663" spans="9:10" x14ac:dyDescent="0.3">
      <c r="I1663" t="s">
        <v>10459</v>
      </c>
      <c r="J1663" t="s">
        <v>1151</v>
      </c>
    </row>
    <row r="1664" spans="9:10" x14ac:dyDescent="0.3">
      <c r="I1664" t="s">
        <v>10460</v>
      </c>
      <c r="J1664" t="s">
        <v>1151</v>
      </c>
    </row>
    <row r="1665" spans="9:10" x14ac:dyDescent="0.3">
      <c r="I1665" t="s">
        <v>10461</v>
      </c>
      <c r="J1665" t="s">
        <v>1151</v>
      </c>
    </row>
    <row r="1666" spans="9:10" x14ac:dyDescent="0.3">
      <c r="I1666" t="s">
        <v>10462</v>
      </c>
      <c r="J1666" t="s">
        <v>1152</v>
      </c>
    </row>
    <row r="1667" spans="9:10" x14ac:dyDescent="0.3">
      <c r="I1667" t="s">
        <v>10463</v>
      </c>
      <c r="J1667" t="s">
        <v>1152</v>
      </c>
    </row>
    <row r="1668" spans="9:10" x14ac:dyDescent="0.3">
      <c r="I1668" t="s">
        <v>10463</v>
      </c>
      <c r="J1668" t="s">
        <v>1152</v>
      </c>
    </row>
    <row r="1669" spans="9:10" x14ac:dyDescent="0.3">
      <c r="I1669" t="s">
        <v>10464</v>
      </c>
      <c r="J1669" t="s">
        <v>1153</v>
      </c>
    </row>
    <row r="1670" spans="9:10" x14ac:dyDescent="0.3">
      <c r="I1670" t="s">
        <v>10465</v>
      </c>
      <c r="J1670" t="s">
        <v>1153</v>
      </c>
    </row>
    <row r="1671" spans="9:10" x14ac:dyDescent="0.3">
      <c r="I1671" t="s">
        <v>10466</v>
      </c>
      <c r="J1671" t="s">
        <v>1154</v>
      </c>
    </row>
    <row r="1672" spans="9:10" x14ac:dyDescent="0.3">
      <c r="I1672" t="s">
        <v>10467</v>
      </c>
    </row>
    <row r="1673" spans="9:10" x14ac:dyDescent="0.3">
      <c r="I1673" t="s">
        <v>10468</v>
      </c>
      <c r="J1673" t="s">
        <v>1155</v>
      </c>
    </row>
    <row r="1674" spans="9:10" x14ac:dyDescent="0.3">
      <c r="I1674" t="s">
        <v>10469</v>
      </c>
      <c r="J1674" t="s">
        <v>1156</v>
      </c>
    </row>
    <row r="1675" spans="9:10" x14ac:dyDescent="0.3">
      <c r="I1675" t="s">
        <v>10469</v>
      </c>
      <c r="J1675" t="s">
        <v>1156</v>
      </c>
    </row>
    <row r="1676" spans="9:10" x14ac:dyDescent="0.3">
      <c r="I1676" t="s">
        <v>10470</v>
      </c>
      <c r="J1676" t="s">
        <v>1157</v>
      </c>
    </row>
    <row r="1677" spans="9:10" x14ac:dyDescent="0.3">
      <c r="I1677" t="s">
        <v>10470</v>
      </c>
      <c r="J1677" t="s">
        <v>1157</v>
      </c>
    </row>
    <row r="1678" spans="9:10" x14ac:dyDescent="0.3">
      <c r="I1678" t="s">
        <v>10471</v>
      </c>
      <c r="J1678" t="s">
        <v>1157</v>
      </c>
    </row>
    <row r="1679" spans="9:10" x14ac:dyDescent="0.3">
      <c r="I1679" t="s">
        <v>10472</v>
      </c>
      <c r="J1679" t="s">
        <v>1157</v>
      </c>
    </row>
    <row r="1680" spans="9:10" x14ac:dyDescent="0.3">
      <c r="I1680" t="s">
        <v>10473</v>
      </c>
      <c r="J1680" t="s">
        <v>1158</v>
      </c>
    </row>
    <row r="1681" spans="9:10" x14ac:dyDescent="0.3">
      <c r="I1681" t="s">
        <v>10473</v>
      </c>
      <c r="J1681" t="s">
        <v>1158</v>
      </c>
    </row>
    <row r="1682" spans="9:10" x14ac:dyDescent="0.3">
      <c r="I1682" t="s">
        <v>10474</v>
      </c>
      <c r="J1682" t="s">
        <v>1159</v>
      </c>
    </row>
    <row r="1683" spans="9:10" x14ac:dyDescent="0.3">
      <c r="I1683" t="s">
        <v>10474</v>
      </c>
      <c r="J1683" t="s">
        <v>1159</v>
      </c>
    </row>
    <row r="1684" spans="9:10" x14ac:dyDescent="0.3">
      <c r="I1684" t="s">
        <v>10475</v>
      </c>
      <c r="J1684" t="s">
        <v>1160</v>
      </c>
    </row>
    <row r="1685" spans="9:10" x14ac:dyDescent="0.3">
      <c r="I1685" t="s">
        <v>10475</v>
      </c>
      <c r="J1685" t="s">
        <v>1160</v>
      </c>
    </row>
    <row r="1686" spans="9:10" x14ac:dyDescent="0.3">
      <c r="I1686" t="s">
        <v>10475</v>
      </c>
      <c r="J1686" t="s">
        <v>1160</v>
      </c>
    </row>
    <row r="1687" spans="9:10" x14ac:dyDescent="0.3">
      <c r="I1687" t="s">
        <v>10476</v>
      </c>
      <c r="J1687" t="s">
        <v>1161</v>
      </c>
    </row>
    <row r="1688" spans="9:10" x14ac:dyDescent="0.3">
      <c r="I1688" t="s">
        <v>10476</v>
      </c>
      <c r="J1688" t="s">
        <v>1161</v>
      </c>
    </row>
    <row r="1689" spans="9:10" x14ac:dyDescent="0.3">
      <c r="I1689" t="s">
        <v>10477</v>
      </c>
      <c r="J1689" t="s">
        <v>1162</v>
      </c>
    </row>
    <row r="1690" spans="9:10" x14ac:dyDescent="0.3">
      <c r="I1690" t="s">
        <v>10478</v>
      </c>
      <c r="J1690" t="s">
        <v>1162</v>
      </c>
    </row>
    <row r="1691" spans="9:10" x14ac:dyDescent="0.3">
      <c r="I1691" t="s">
        <v>10477</v>
      </c>
      <c r="J1691" t="s">
        <v>1162</v>
      </c>
    </row>
    <row r="1692" spans="9:10" x14ac:dyDescent="0.3">
      <c r="I1692" t="s">
        <v>10477</v>
      </c>
      <c r="J1692" t="s">
        <v>1162</v>
      </c>
    </row>
    <row r="1693" spans="9:10" x14ac:dyDescent="0.3">
      <c r="I1693" t="s">
        <v>10479</v>
      </c>
    </row>
    <row r="1694" spans="9:10" x14ac:dyDescent="0.3">
      <c r="I1694" t="s">
        <v>10480</v>
      </c>
      <c r="J1694" t="s">
        <v>1163</v>
      </c>
    </row>
    <row r="1695" spans="9:10" x14ac:dyDescent="0.3">
      <c r="I1695" t="s">
        <v>10481</v>
      </c>
      <c r="J1695" t="s">
        <v>1163</v>
      </c>
    </row>
    <row r="1696" spans="9:10" x14ac:dyDescent="0.3">
      <c r="I1696" t="s">
        <v>10482</v>
      </c>
      <c r="J1696" t="s">
        <v>1164</v>
      </c>
    </row>
    <row r="1697" spans="9:10" x14ac:dyDescent="0.3">
      <c r="I1697" t="s">
        <v>10483</v>
      </c>
      <c r="J1697" t="s">
        <v>1165</v>
      </c>
    </row>
    <row r="1698" spans="9:10" x14ac:dyDescent="0.3">
      <c r="I1698" t="s">
        <v>10484</v>
      </c>
      <c r="J1698" t="s">
        <v>1165</v>
      </c>
    </row>
    <row r="1699" spans="9:10" x14ac:dyDescent="0.3">
      <c r="I1699" t="s">
        <v>10485</v>
      </c>
      <c r="J1699" t="s">
        <v>1166</v>
      </c>
    </row>
    <row r="1700" spans="9:10" x14ac:dyDescent="0.3">
      <c r="I1700" t="s">
        <v>10486</v>
      </c>
      <c r="J1700" t="s">
        <v>1167</v>
      </c>
    </row>
    <row r="1701" spans="9:10" x14ac:dyDescent="0.3">
      <c r="I1701" t="s">
        <v>10487</v>
      </c>
      <c r="J1701" t="s">
        <v>1167</v>
      </c>
    </row>
    <row r="1702" spans="9:10" x14ac:dyDescent="0.3">
      <c r="I1702" t="s">
        <v>10488</v>
      </c>
      <c r="J1702" t="s">
        <v>1167</v>
      </c>
    </row>
    <row r="1703" spans="9:10" x14ac:dyDescent="0.3">
      <c r="I1703" t="s">
        <v>10489</v>
      </c>
      <c r="J1703" t="s">
        <v>1168</v>
      </c>
    </row>
    <row r="1704" spans="9:10" x14ac:dyDescent="0.3">
      <c r="I1704" t="s">
        <v>10490</v>
      </c>
      <c r="J1704" t="s">
        <v>1169</v>
      </c>
    </row>
    <row r="1705" spans="9:10" x14ac:dyDescent="0.3">
      <c r="I1705" t="s">
        <v>10490</v>
      </c>
      <c r="J1705" t="s">
        <v>1169</v>
      </c>
    </row>
    <row r="1706" spans="9:10" x14ac:dyDescent="0.3">
      <c r="I1706" t="s">
        <v>10491</v>
      </c>
      <c r="J1706" t="s">
        <v>1169</v>
      </c>
    </row>
    <row r="1707" spans="9:10" x14ac:dyDescent="0.3">
      <c r="I1707" t="s">
        <v>10492</v>
      </c>
      <c r="J1707">
        <v>0</v>
      </c>
    </row>
    <row r="1708" spans="9:10" x14ac:dyDescent="0.3">
      <c r="I1708" t="s">
        <v>10493</v>
      </c>
      <c r="J1708">
        <v>0</v>
      </c>
    </row>
    <row r="1709" spans="9:10" x14ac:dyDescent="0.3">
      <c r="I1709" t="s">
        <v>10494</v>
      </c>
    </row>
    <row r="1710" spans="9:10" x14ac:dyDescent="0.3">
      <c r="I1710" t="s">
        <v>661</v>
      </c>
      <c r="J1710" t="s">
        <v>662</v>
      </c>
    </row>
    <row r="1711" spans="9:10" x14ac:dyDescent="0.3">
      <c r="I1711" t="s">
        <v>661</v>
      </c>
      <c r="J1711" t="s">
        <v>662</v>
      </c>
    </row>
    <row r="1712" spans="9:10" x14ac:dyDescent="0.3">
      <c r="I1712" t="s">
        <v>10495</v>
      </c>
      <c r="J1712" t="s">
        <v>1170</v>
      </c>
    </row>
    <row r="1713" spans="9:10" x14ac:dyDescent="0.3">
      <c r="I1713" t="s">
        <v>10496</v>
      </c>
    </row>
    <row r="1714" spans="9:10" x14ac:dyDescent="0.3">
      <c r="I1714" t="s">
        <v>10497</v>
      </c>
      <c r="J1714" t="s">
        <v>1171</v>
      </c>
    </row>
    <row r="1715" spans="9:10" x14ac:dyDescent="0.3">
      <c r="I1715" t="s">
        <v>10498</v>
      </c>
      <c r="J1715" t="s">
        <v>1171</v>
      </c>
    </row>
    <row r="1716" spans="9:10" x14ac:dyDescent="0.3">
      <c r="I1716" t="s">
        <v>10498</v>
      </c>
      <c r="J1716" t="s">
        <v>1171</v>
      </c>
    </row>
    <row r="1717" spans="9:10" x14ac:dyDescent="0.3">
      <c r="I1717" t="s">
        <v>10497</v>
      </c>
      <c r="J1717" t="s">
        <v>1171</v>
      </c>
    </row>
    <row r="1718" spans="9:10" x14ac:dyDescent="0.3">
      <c r="I1718" t="s">
        <v>10499</v>
      </c>
      <c r="J1718" t="s">
        <v>1172</v>
      </c>
    </row>
    <row r="1719" spans="9:10" x14ac:dyDescent="0.3">
      <c r="I1719" t="s">
        <v>10500</v>
      </c>
      <c r="J1719" t="s">
        <v>1172</v>
      </c>
    </row>
    <row r="1720" spans="9:10" x14ac:dyDescent="0.3">
      <c r="I1720" t="s">
        <v>10501</v>
      </c>
      <c r="J1720" t="s">
        <v>1173</v>
      </c>
    </row>
    <row r="1721" spans="9:10" x14ac:dyDescent="0.3">
      <c r="I1721" t="s">
        <v>10502</v>
      </c>
      <c r="J1721" t="s">
        <v>1174</v>
      </c>
    </row>
    <row r="1722" spans="9:10" x14ac:dyDescent="0.3">
      <c r="I1722" t="s">
        <v>10503</v>
      </c>
      <c r="J1722" t="s">
        <v>1174</v>
      </c>
    </row>
    <row r="1723" spans="9:10" x14ac:dyDescent="0.3">
      <c r="I1723" t="s">
        <v>10503</v>
      </c>
      <c r="J1723" t="s">
        <v>1174</v>
      </c>
    </row>
    <row r="1724" spans="9:10" x14ac:dyDescent="0.3">
      <c r="I1724" t="s">
        <v>10502</v>
      </c>
      <c r="J1724" t="s">
        <v>1174</v>
      </c>
    </row>
    <row r="1725" spans="9:10" x14ac:dyDescent="0.3">
      <c r="I1725" t="s">
        <v>10502</v>
      </c>
      <c r="J1725" t="s">
        <v>1174</v>
      </c>
    </row>
    <row r="1726" spans="9:10" x14ac:dyDescent="0.3">
      <c r="I1726" t="s">
        <v>10502</v>
      </c>
      <c r="J1726" t="s">
        <v>1174</v>
      </c>
    </row>
    <row r="1727" spans="9:10" x14ac:dyDescent="0.3">
      <c r="I1727" t="s">
        <v>10504</v>
      </c>
      <c r="J1727" t="s">
        <v>1174</v>
      </c>
    </row>
    <row r="1728" spans="9:10" x14ac:dyDescent="0.3">
      <c r="I1728" t="s">
        <v>10502</v>
      </c>
      <c r="J1728" t="s">
        <v>1174</v>
      </c>
    </row>
    <row r="1729" spans="9:10" x14ac:dyDescent="0.3">
      <c r="I1729" t="s">
        <v>10505</v>
      </c>
      <c r="J1729" t="s">
        <v>1174</v>
      </c>
    </row>
    <row r="1730" spans="9:10" x14ac:dyDescent="0.3">
      <c r="I1730" t="s">
        <v>10506</v>
      </c>
      <c r="J1730" t="s">
        <v>1175</v>
      </c>
    </row>
    <row r="1731" spans="9:10" x14ac:dyDescent="0.3">
      <c r="I1731" t="s">
        <v>10507</v>
      </c>
      <c r="J1731" t="s">
        <v>1175</v>
      </c>
    </row>
    <row r="1732" spans="9:10" x14ac:dyDescent="0.3">
      <c r="I1732" t="s">
        <v>10507</v>
      </c>
      <c r="J1732" t="s">
        <v>1175</v>
      </c>
    </row>
    <row r="1733" spans="9:10" x14ac:dyDescent="0.3">
      <c r="I1733" t="s">
        <v>10508</v>
      </c>
      <c r="J1733" t="s">
        <v>1176</v>
      </c>
    </row>
    <row r="1734" spans="9:10" x14ac:dyDescent="0.3">
      <c r="I1734" t="s">
        <v>10509</v>
      </c>
      <c r="J1734" t="s">
        <v>1176</v>
      </c>
    </row>
    <row r="1735" spans="9:10" x14ac:dyDescent="0.3">
      <c r="I1735" t="s">
        <v>10508</v>
      </c>
      <c r="J1735" t="s">
        <v>1176</v>
      </c>
    </row>
    <row r="1736" spans="9:10" x14ac:dyDescent="0.3">
      <c r="I1736" t="s">
        <v>10508</v>
      </c>
      <c r="J1736" t="s">
        <v>1176</v>
      </c>
    </row>
    <row r="1737" spans="9:10" x14ac:dyDescent="0.3">
      <c r="I1737" t="s">
        <v>10510</v>
      </c>
      <c r="J1737" t="s">
        <v>1177</v>
      </c>
    </row>
    <row r="1738" spans="9:10" x14ac:dyDescent="0.3">
      <c r="I1738" t="s">
        <v>10511</v>
      </c>
      <c r="J1738" t="s">
        <v>1178</v>
      </c>
    </row>
    <row r="1739" spans="9:10" x14ac:dyDescent="0.3">
      <c r="I1739" t="s">
        <v>10511</v>
      </c>
      <c r="J1739" t="s">
        <v>1178</v>
      </c>
    </row>
    <row r="1740" spans="9:10" x14ac:dyDescent="0.3">
      <c r="I1740" t="s">
        <v>10511</v>
      </c>
      <c r="J1740" t="s">
        <v>1178</v>
      </c>
    </row>
    <row r="1741" spans="9:10" x14ac:dyDescent="0.3">
      <c r="I1741" t="s">
        <v>10511</v>
      </c>
      <c r="J1741" t="s">
        <v>1178</v>
      </c>
    </row>
    <row r="1742" spans="9:10" x14ac:dyDescent="0.3">
      <c r="I1742" t="s">
        <v>10512</v>
      </c>
      <c r="J1742" t="s">
        <v>1178</v>
      </c>
    </row>
    <row r="1743" spans="9:10" x14ac:dyDescent="0.3">
      <c r="I1743" t="s">
        <v>10513</v>
      </c>
      <c r="J1743" t="s">
        <v>1178</v>
      </c>
    </row>
    <row r="1744" spans="9:10" x14ac:dyDescent="0.3">
      <c r="I1744" t="s">
        <v>10514</v>
      </c>
      <c r="J1744" t="s">
        <v>1178</v>
      </c>
    </row>
    <row r="1745" spans="9:10" x14ac:dyDescent="0.3">
      <c r="I1745" t="s">
        <v>10511</v>
      </c>
      <c r="J1745" t="s">
        <v>1178</v>
      </c>
    </row>
    <row r="1746" spans="9:10" x14ac:dyDescent="0.3">
      <c r="I1746" t="s">
        <v>10515</v>
      </c>
      <c r="J1746" t="s">
        <v>1179</v>
      </c>
    </row>
    <row r="1747" spans="9:10" x14ac:dyDescent="0.3">
      <c r="I1747" t="s">
        <v>10515</v>
      </c>
      <c r="J1747" t="s">
        <v>1179</v>
      </c>
    </row>
    <row r="1748" spans="9:10" x14ac:dyDescent="0.3">
      <c r="I1748" t="s">
        <v>10515</v>
      </c>
      <c r="J1748" t="s">
        <v>1179</v>
      </c>
    </row>
    <row r="1749" spans="9:10" x14ac:dyDescent="0.3">
      <c r="I1749" t="s">
        <v>10516</v>
      </c>
      <c r="J1749" t="s">
        <v>1180</v>
      </c>
    </row>
    <row r="1750" spans="9:10" x14ac:dyDescent="0.3">
      <c r="I1750" t="s">
        <v>10517</v>
      </c>
      <c r="J1750" t="s">
        <v>1181</v>
      </c>
    </row>
    <row r="1751" spans="9:10" x14ac:dyDescent="0.3">
      <c r="I1751" t="s">
        <v>10517</v>
      </c>
      <c r="J1751" t="s">
        <v>1181</v>
      </c>
    </row>
    <row r="1752" spans="9:10" x14ac:dyDescent="0.3">
      <c r="I1752" t="s">
        <v>10518</v>
      </c>
      <c r="J1752" t="s">
        <v>1181</v>
      </c>
    </row>
    <row r="1753" spans="9:10" x14ac:dyDescent="0.3">
      <c r="I1753" t="s">
        <v>10519</v>
      </c>
      <c r="J1753" t="s">
        <v>1182</v>
      </c>
    </row>
    <row r="1754" spans="9:10" x14ac:dyDescent="0.3">
      <c r="I1754" t="s">
        <v>10520</v>
      </c>
      <c r="J1754" t="s">
        <v>1182</v>
      </c>
    </row>
    <row r="1755" spans="9:10" x14ac:dyDescent="0.3">
      <c r="I1755" t="s">
        <v>10521</v>
      </c>
      <c r="J1755" t="s">
        <v>1183</v>
      </c>
    </row>
    <row r="1756" spans="9:10" x14ac:dyDescent="0.3">
      <c r="I1756" t="s">
        <v>10522</v>
      </c>
      <c r="J1756" t="s">
        <v>1183</v>
      </c>
    </row>
    <row r="1757" spans="9:10" x14ac:dyDescent="0.3">
      <c r="I1757" t="s">
        <v>10523</v>
      </c>
      <c r="J1757" t="s">
        <v>732</v>
      </c>
    </row>
    <row r="1758" spans="9:10" x14ac:dyDescent="0.3">
      <c r="I1758" t="s">
        <v>10524</v>
      </c>
      <c r="J1758" t="s">
        <v>732</v>
      </c>
    </row>
    <row r="1759" spans="9:10" x14ac:dyDescent="0.3">
      <c r="I1759" t="s">
        <v>10525</v>
      </c>
      <c r="J1759" t="s">
        <v>732</v>
      </c>
    </row>
    <row r="1760" spans="9:10" x14ac:dyDescent="0.3">
      <c r="I1760" t="s">
        <v>10523</v>
      </c>
      <c r="J1760" t="s">
        <v>732</v>
      </c>
    </row>
    <row r="1761" spans="9:10" x14ac:dyDescent="0.3">
      <c r="I1761" t="s">
        <v>10524</v>
      </c>
      <c r="J1761" t="s">
        <v>732</v>
      </c>
    </row>
    <row r="1762" spans="9:10" x14ac:dyDescent="0.3">
      <c r="I1762" t="s">
        <v>10526</v>
      </c>
      <c r="J1762" t="s">
        <v>1184</v>
      </c>
    </row>
    <row r="1763" spans="9:10" x14ac:dyDescent="0.3">
      <c r="I1763" t="s">
        <v>10526</v>
      </c>
      <c r="J1763" t="s">
        <v>1184</v>
      </c>
    </row>
    <row r="1764" spans="9:10" x14ac:dyDescent="0.3">
      <c r="I1764" t="s">
        <v>10527</v>
      </c>
      <c r="J1764" t="s">
        <v>1185</v>
      </c>
    </row>
    <row r="1765" spans="9:10" x14ac:dyDescent="0.3">
      <c r="I1765" t="s">
        <v>10528</v>
      </c>
      <c r="J1765" t="s">
        <v>1185</v>
      </c>
    </row>
    <row r="1766" spans="9:10" x14ac:dyDescent="0.3">
      <c r="I1766" t="s">
        <v>10529</v>
      </c>
      <c r="J1766" t="s">
        <v>1185</v>
      </c>
    </row>
    <row r="1767" spans="9:10" x14ac:dyDescent="0.3">
      <c r="I1767" t="s">
        <v>10530</v>
      </c>
      <c r="J1767" t="s">
        <v>1186</v>
      </c>
    </row>
    <row r="1768" spans="9:10" x14ac:dyDescent="0.3">
      <c r="I1768" t="s">
        <v>10531</v>
      </c>
      <c r="J1768" t="s">
        <v>1187</v>
      </c>
    </row>
    <row r="1769" spans="9:10" x14ac:dyDescent="0.3">
      <c r="I1769" t="s">
        <v>10532</v>
      </c>
      <c r="J1769" t="s">
        <v>1187</v>
      </c>
    </row>
    <row r="1770" spans="9:10" x14ac:dyDescent="0.3">
      <c r="I1770" t="s">
        <v>10532</v>
      </c>
      <c r="J1770" t="s">
        <v>1187</v>
      </c>
    </row>
    <row r="1771" spans="9:10" x14ac:dyDescent="0.3">
      <c r="I1771" t="s">
        <v>10532</v>
      </c>
      <c r="J1771" t="s">
        <v>1187</v>
      </c>
    </row>
    <row r="1772" spans="9:10" x14ac:dyDescent="0.3">
      <c r="I1772" t="s">
        <v>10533</v>
      </c>
      <c r="J1772" t="s">
        <v>1188</v>
      </c>
    </row>
    <row r="1773" spans="9:10" x14ac:dyDescent="0.3">
      <c r="I1773" t="s">
        <v>10534</v>
      </c>
      <c r="J1773" t="s">
        <v>1189</v>
      </c>
    </row>
    <row r="1774" spans="9:10" x14ac:dyDescent="0.3">
      <c r="I1774" t="s">
        <v>10534</v>
      </c>
      <c r="J1774" t="s">
        <v>1189</v>
      </c>
    </row>
    <row r="1775" spans="9:10" x14ac:dyDescent="0.3">
      <c r="I1775" t="s">
        <v>10534</v>
      </c>
      <c r="J1775" t="s">
        <v>1189</v>
      </c>
    </row>
    <row r="1776" spans="9:10" x14ac:dyDescent="0.3">
      <c r="I1776" t="s">
        <v>10534</v>
      </c>
      <c r="J1776" t="s">
        <v>1189</v>
      </c>
    </row>
    <row r="1777" spans="9:10" x14ac:dyDescent="0.3">
      <c r="I1777" t="s">
        <v>10535</v>
      </c>
      <c r="J1777" t="s">
        <v>1190</v>
      </c>
    </row>
    <row r="1778" spans="9:10" x14ac:dyDescent="0.3">
      <c r="I1778" t="s">
        <v>10535</v>
      </c>
      <c r="J1778" t="s">
        <v>1190</v>
      </c>
    </row>
    <row r="1779" spans="9:10" x14ac:dyDescent="0.3">
      <c r="I1779" t="s">
        <v>10535</v>
      </c>
      <c r="J1779" t="s">
        <v>1190</v>
      </c>
    </row>
    <row r="1780" spans="9:10" x14ac:dyDescent="0.3">
      <c r="I1780" t="s">
        <v>10535</v>
      </c>
      <c r="J1780" t="s">
        <v>1190</v>
      </c>
    </row>
    <row r="1781" spans="9:10" x14ac:dyDescent="0.3">
      <c r="I1781" t="s">
        <v>10535</v>
      </c>
      <c r="J1781" t="s">
        <v>1190</v>
      </c>
    </row>
    <row r="1782" spans="9:10" x14ac:dyDescent="0.3">
      <c r="I1782" t="s">
        <v>10536</v>
      </c>
      <c r="J1782" t="s">
        <v>1191</v>
      </c>
    </row>
    <row r="1783" spans="9:10" x14ac:dyDescent="0.3">
      <c r="I1783" t="s">
        <v>10536</v>
      </c>
      <c r="J1783" t="s">
        <v>1191</v>
      </c>
    </row>
    <row r="1784" spans="9:10" x14ac:dyDescent="0.3">
      <c r="I1784" t="s">
        <v>10536</v>
      </c>
      <c r="J1784" t="s">
        <v>1191</v>
      </c>
    </row>
    <row r="1785" spans="9:10" x14ac:dyDescent="0.3">
      <c r="I1785" t="s">
        <v>10537</v>
      </c>
      <c r="J1785" t="s">
        <v>1192</v>
      </c>
    </row>
    <row r="1786" spans="9:10" x14ac:dyDescent="0.3">
      <c r="I1786" t="s">
        <v>10538</v>
      </c>
      <c r="J1786" t="s">
        <v>1192</v>
      </c>
    </row>
    <row r="1787" spans="9:10" x14ac:dyDescent="0.3">
      <c r="I1787" t="s">
        <v>10537</v>
      </c>
      <c r="J1787" t="s">
        <v>1192</v>
      </c>
    </row>
    <row r="1788" spans="9:10" x14ac:dyDescent="0.3">
      <c r="I1788" t="s">
        <v>10539</v>
      </c>
      <c r="J1788" t="s">
        <v>1193</v>
      </c>
    </row>
    <row r="1789" spans="9:10" x14ac:dyDescent="0.3">
      <c r="I1789" t="s">
        <v>10540</v>
      </c>
      <c r="J1789" t="s">
        <v>1193</v>
      </c>
    </row>
    <row r="1790" spans="9:10" x14ac:dyDescent="0.3">
      <c r="I1790" t="s">
        <v>10541</v>
      </c>
    </row>
    <row r="1791" spans="9:10" x14ac:dyDescent="0.3">
      <c r="I1791" t="s">
        <v>10542</v>
      </c>
      <c r="J1791">
        <v>0</v>
      </c>
    </row>
    <row r="1792" spans="9:10" x14ac:dyDescent="0.3">
      <c r="I1792" t="s">
        <v>10543</v>
      </c>
      <c r="J1792" t="s">
        <v>1194</v>
      </c>
    </row>
    <row r="1793" spans="9:10" x14ac:dyDescent="0.3">
      <c r="I1793" t="s">
        <v>10544</v>
      </c>
      <c r="J1793" t="s">
        <v>1195</v>
      </c>
    </row>
    <row r="1794" spans="9:10" x14ac:dyDescent="0.3">
      <c r="I1794" t="s">
        <v>10544</v>
      </c>
      <c r="J1794" t="s">
        <v>1195</v>
      </c>
    </row>
    <row r="1795" spans="9:10" x14ac:dyDescent="0.3">
      <c r="I1795" t="s">
        <v>10545</v>
      </c>
      <c r="J1795" t="s">
        <v>1196</v>
      </c>
    </row>
    <row r="1796" spans="9:10" x14ac:dyDescent="0.3">
      <c r="I1796" t="s">
        <v>10546</v>
      </c>
      <c r="J1796" t="s">
        <v>1196</v>
      </c>
    </row>
    <row r="1797" spans="9:10" x14ac:dyDescent="0.3">
      <c r="I1797" t="s">
        <v>10546</v>
      </c>
      <c r="J1797" t="s">
        <v>1196</v>
      </c>
    </row>
    <row r="1798" spans="9:10" x14ac:dyDescent="0.3">
      <c r="I1798" t="s">
        <v>10545</v>
      </c>
      <c r="J1798" t="s">
        <v>1196</v>
      </c>
    </row>
    <row r="1799" spans="9:10" x14ac:dyDescent="0.3">
      <c r="I1799" t="s">
        <v>10547</v>
      </c>
      <c r="J1799" t="s">
        <v>1197</v>
      </c>
    </row>
    <row r="1800" spans="9:10" x14ac:dyDescent="0.3">
      <c r="I1800" t="s">
        <v>10548</v>
      </c>
      <c r="J1800" t="s">
        <v>1197</v>
      </c>
    </row>
    <row r="1801" spans="9:10" x14ac:dyDescent="0.3">
      <c r="I1801" t="s">
        <v>10548</v>
      </c>
      <c r="J1801" t="s">
        <v>1197</v>
      </c>
    </row>
    <row r="1802" spans="9:10" x14ac:dyDescent="0.3">
      <c r="I1802" t="s">
        <v>10547</v>
      </c>
      <c r="J1802" t="s">
        <v>1197</v>
      </c>
    </row>
    <row r="1803" spans="9:10" x14ac:dyDescent="0.3">
      <c r="I1803" t="s">
        <v>10549</v>
      </c>
      <c r="J1803" t="s">
        <v>1198</v>
      </c>
    </row>
    <row r="1804" spans="9:10" x14ac:dyDescent="0.3">
      <c r="I1804" t="s">
        <v>10549</v>
      </c>
      <c r="J1804" t="s">
        <v>1198</v>
      </c>
    </row>
    <row r="1805" spans="9:10" x14ac:dyDescent="0.3">
      <c r="I1805" t="s">
        <v>10549</v>
      </c>
      <c r="J1805" t="s">
        <v>1198</v>
      </c>
    </row>
    <row r="1806" spans="9:10" x14ac:dyDescent="0.3">
      <c r="I1806" t="s">
        <v>10549</v>
      </c>
      <c r="J1806" t="s">
        <v>1198</v>
      </c>
    </row>
    <row r="1807" spans="9:10" x14ac:dyDescent="0.3">
      <c r="I1807" t="s">
        <v>10550</v>
      </c>
      <c r="J1807">
        <v>0</v>
      </c>
    </row>
    <row r="1808" spans="9:10" x14ac:dyDescent="0.3">
      <c r="I1808" t="s">
        <v>10551</v>
      </c>
      <c r="J1808" t="s">
        <v>1199</v>
      </c>
    </row>
    <row r="1809" spans="9:10" x14ac:dyDescent="0.3">
      <c r="I1809" t="s">
        <v>10551</v>
      </c>
      <c r="J1809" t="s">
        <v>1199</v>
      </c>
    </row>
    <row r="1810" spans="9:10" x14ac:dyDescent="0.3">
      <c r="I1810" t="s">
        <v>10552</v>
      </c>
      <c r="J1810" t="s">
        <v>1199</v>
      </c>
    </row>
    <row r="1811" spans="9:10" x14ac:dyDescent="0.3">
      <c r="I1811" t="s">
        <v>10553</v>
      </c>
    </row>
    <row r="1812" spans="9:10" x14ac:dyDescent="0.3">
      <c r="I1812" t="s">
        <v>10554</v>
      </c>
    </row>
    <row r="1813" spans="9:10" x14ac:dyDescent="0.3">
      <c r="I1813" t="s">
        <v>10555</v>
      </c>
      <c r="J1813" t="s">
        <v>1200</v>
      </c>
    </row>
    <row r="1814" spans="9:10" x14ac:dyDescent="0.3">
      <c r="I1814" t="s">
        <v>10556</v>
      </c>
      <c r="J1814" t="s">
        <v>1200</v>
      </c>
    </row>
    <row r="1815" spans="9:10" x14ac:dyDescent="0.3">
      <c r="I1815" t="s">
        <v>10556</v>
      </c>
      <c r="J1815" t="s">
        <v>1200</v>
      </c>
    </row>
    <row r="1816" spans="9:10" x14ac:dyDescent="0.3">
      <c r="I1816" t="s">
        <v>10557</v>
      </c>
      <c r="J1816" t="s">
        <v>1200</v>
      </c>
    </row>
    <row r="1817" spans="9:10" x14ac:dyDescent="0.3">
      <c r="I1817" t="s">
        <v>10556</v>
      </c>
      <c r="J1817" t="s">
        <v>1200</v>
      </c>
    </row>
    <row r="1818" spans="9:10" x14ac:dyDescent="0.3">
      <c r="I1818" t="s">
        <v>10558</v>
      </c>
      <c r="J1818" t="s">
        <v>1200</v>
      </c>
    </row>
    <row r="1819" spans="9:10" x14ac:dyDescent="0.3">
      <c r="I1819" t="s">
        <v>10559</v>
      </c>
      <c r="J1819" t="s">
        <v>1200</v>
      </c>
    </row>
    <row r="1820" spans="9:10" x14ac:dyDescent="0.3">
      <c r="I1820" t="s">
        <v>10560</v>
      </c>
      <c r="J1820" t="s">
        <v>1200</v>
      </c>
    </row>
    <row r="1821" spans="9:10" x14ac:dyDescent="0.3">
      <c r="I1821" t="s">
        <v>10556</v>
      </c>
      <c r="J1821" t="s">
        <v>1200</v>
      </c>
    </row>
    <row r="1822" spans="9:10" x14ac:dyDescent="0.3">
      <c r="I1822" t="s">
        <v>10556</v>
      </c>
      <c r="J1822" t="s">
        <v>1200</v>
      </c>
    </row>
    <row r="1823" spans="9:10" x14ac:dyDescent="0.3">
      <c r="I1823" t="s">
        <v>10560</v>
      </c>
      <c r="J1823" t="s">
        <v>1200</v>
      </c>
    </row>
    <row r="1824" spans="9:10" x14ac:dyDescent="0.3">
      <c r="I1824" t="s">
        <v>10560</v>
      </c>
      <c r="J1824" t="s">
        <v>1200</v>
      </c>
    </row>
    <row r="1825" spans="9:10" x14ac:dyDescent="0.3">
      <c r="I1825" t="s">
        <v>10561</v>
      </c>
      <c r="J1825" t="s">
        <v>1200</v>
      </c>
    </row>
    <row r="1826" spans="9:10" x14ac:dyDescent="0.3">
      <c r="I1826" t="s">
        <v>10562</v>
      </c>
      <c r="J1826" t="s">
        <v>1200</v>
      </c>
    </row>
    <row r="1827" spans="9:10" x14ac:dyDescent="0.3">
      <c r="I1827" t="s">
        <v>10560</v>
      </c>
      <c r="J1827" t="s">
        <v>1200</v>
      </c>
    </row>
    <row r="1828" spans="9:10" x14ac:dyDescent="0.3">
      <c r="I1828" t="s">
        <v>10556</v>
      </c>
      <c r="J1828" t="s">
        <v>1200</v>
      </c>
    </row>
    <row r="1829" spans="9:10" x14ac:dyDescent="0.3">
      <c r="I1829" t="s">
        <v>10556</v>
      </c>
      <c r="J1829" t="s">
        <v>1200</v>
      </c>
    </row>
    <row r="1830" spans="9:10" x14ac:dyDescent="0.3">
      <c r="I1830" t="s">
        <v>10556</v>
      </c>
      <c r="J1830" t="s">
        <v>1200</v>
      </c>
    </row>
    <row r="1831" spans="9:10" x14ac:dyDescent="0.3">
      <c r="I1831" t="s">
        <v>10563</v>
      </c>
      <c r="J1831" t="s">
        <v>1200</v>
      </c>
    </row>
    <row r="1832" spans="9:10" x14ac:dyDescent="0.3">
      <c r="I1832" t="s">
        <v>10556</v>
      </c>
      <c r="J1832" t="s">
        <v>1200</v>
      </c>
    </row>
    <row r="1833" spans="9:10" x14ac:dyDescent="0.3">
      <c r="I1833" t="s">
        <v>10556</v>
      </c>
      <c r="J1833" t="s">
        <v>1200</v>
      </c>
    </row>
    <row r="1834" spans="9:10" x14ac:dyDescent="0.3">
      <c r="I1834" t="s">
        <v>10556</v>
      </c>
      <c r="J1834" t="s">
        <v>1200</v>
      </c>
    </row>
    <row r="1835" spans="9:10" x14ac:dyDescent="0.3">
      <c r="I1835" t="s">
        <v>10556</v>
      </c>
      <c r="J1835" t="s">
        <v>1200</v>
      </c>
    </row>
    <row r="1836" spans="9:10" x14ac:dyDescent="0.3">
      <c r="I1836" t="s">
        <v>10556</v>
      </c>
      <c r="J1836" t="s">
        <v>1200</v>
      </c>
    </row>
    <row r="1837" spans="9:10" x14ac:dyDescent="0.3">
      <c r="I1837" t="s">
        <v>10556</v>
      </c>
      <c r="J1837" t="s">
        <v>1200</v>
      </c>
    </row>
    <row r="1838" spans="9:10" x14ac:dyDescent="0.3">
      <c r="I1838" t="s">
        <v>10556</v>
      </c>
      <c r="J1838" t="s">
        <v>1200</v>
      </c>
    </row>
    <row r="1839" spans="9:10" x14ac:dyDescent="0.3">
      <c r="I1839" t="s">
        <v>10560</v>
      </c>
      <c r="J1839" t="s">
        <v>1200</v>
      </c>
    </row>
    <row r="1840" spans="9:10" x14ac:dyDescent="0.3">
      <c r="I1840" t="s">
        <v>10556</v>
      </c>
      <c r="J1840" t="s">
        <v>1200</v>
      </c>
    </row>
    <row r="1841" spans="9:10" x14ac:dyDescent="0.3">
      <c r="I1841" t="s">
        <v>10556</v>
      </c>
      <c r="J1841" t="s">
        <v>1200</v>
      </c>
    </row>
    <row r="1842" spans="9:10" x14ac:dyDescent="0.3">
      <c r="I1842" t="s">
        <v>876</v>
      </c>
      <c r="J1842" t="s">
        <v>877</v>
      </c>
    </row>
    <row r="1843" spans="9:10" x14ac:dyDescent="0.3">
      <c r="I1843" t="s">
        <v>876</v>
      </c>
      <c r="J1843" t="s">
        <v>877</v>
      </c>
    </row>
    <row r="1844" spans="9:10" x14ac:dyDescent="0.3">
      <c r="I1844" t="s">
        <v>876</v>
      </c>
      <c r="J1844" t="s">
        <v>877</v>
      </c>
    </row>
    <row r="1845" spans="9:10" x14ac:dyDescent="0.3">
      <c r="I1845" t="s">
        <v>876</v>
      </c>
      <c r="J1845" t="s">
        <v>877</v>
      </c>
    </row>
    <row r="1846" spans="9:10" x14ac:dyDescent="0.3">
      <c r="I1846" t="s">
        <v>876</v>
      </c>
      <c r="J1846" t="s">
        <v>877</v>
      </c>
    </row>
    <row r="1847" spans="9:10" x14ac:dyDescent="0.3">
      <c r="I1847" t="s">
        <v>10564</v>
      </c>
      <c r="J1847" t="s">
        <v>877</v>
      </c>
    </row>
    <row r="1848" spans="9:10" x14ac:dyDescent="0.3">
      <c r="I1848" t="s">
        <v>10565</v>
      </c>
      <c r="J1848" t="s">
        <v>877</v>
      </c>
    </row>
    <row r="1849" spans="9:10" x14ac:dyDescent="0.3">
      <c r="I1849" t="s">
        <v>10566</v>
      </c>
      <c r="J1849" t="s">
        <v>877</v>
      </c>
    </row>
    <row r="1850" spans="9:10" x14ac:dyDescent="0.3">
      <c r="I1850" t="s">
        <v>876</v>
      </c>
      <c r="J1850" t="s">
        <v>877</v>
      </c>
    </row>
    <row r="1851" spans="9:10" x14ac:dyDescent="0.3">
      <c r="I1851" t="s">
        <v>876</v>
      </c>
      <c r="J1851" t="s">
        <v>877</v>
      </c>
    </row>
    <row r="1852" spans="9:10" x14ac:dyDescent="0.3">
      <c r="I1852" t="s">
        <v>876</v>
      </c>
      <c r="J1852" t="s">
        <v>877</v>
      </c>
    </row>
    <row r="1853" spans="9:10" x14ac:dyDescent="0.3">
      <c r="I1853" t="s">
        <v>876</v>
      </c>
      <c r="J1853" t="s">
        <v>877</v>
      </c>
    </row>
    <row r="1854" spans="9:10" x14ac:dyDescent="0.3">
      <c r="I1854" t="s">
        <v>876</v>
      </c>
      <c r="J1854" t="s">
        <v>877</v>
      </c>
    </row>
    <row r="1855" spans="9:10" x14ac:dyDescent="0.3">
      <c r="I1855" t="s">
        <v>876</v>
      </c>
      <c r="J1855" t="s">
        <v>877</v>
      </c>
    </row>
    <row r="1856" spans="9:10" x14ac:dyDescent="0.3">
      <c r="I1856" t="s">
        <v>876</v>
      </c>
      <c r="J1856" t="s">
        <v>877</v>
      </c>
    </row>
    <row r="1857" spans="9:10" x14ac:dyDescent="0.3">
      <c r="I1857" t="s">
        <v>876</v>
      </c>
      <c r="J1857" t="s">
        <v>877</v>
      </c>
    </row>
    <row r="1858" spans="9:10" x14ac:dyDescent="0.3">
      <c r="I1858" t="s">
        <v>876</v>
      </c>
      <c r="J1858" t="s">
        <v>877</v>
      </c>
    </row>
    <row r="1859" spans="9:10" x14ac:dyDescent="0.3">
      <c r="I1859" t="s">
        <v>876</v>
      </c>
      <c r="J1859" t="s">
        <v>877</v>
      </c>
    </row>
    <row r="1860" spans="9:10" x14ac:dyDescent="0.3">
      <c r="I1860" t="s">
        <v>876</v>
      </c>
      <c r="J1860" t="s">
        <v>877</v>
      </c>
    </row>
    <row r="1861" spans="9:10" x14ac:dyDescent="0.3">
      <c r="I1861" t="s">
        <v>10567</v>
      </c>
      <c r="J1861" t="s">
        <v>877</v>
      </c>
    </row>
    <row r="1862" spans="9:10" x14ac:dyDescent="0.3">
      <c r="I1862" t="s">
        <v>876</v>
      </c>
      <c r="J1862" t="s">
        <v>877</v>
      </c>
    </row>
    <row r="1863" spans="9:10" x14ac:dyDescent="0.3">
      <c r="I1863" t="s">
        <v>876</v>
      </c>
      <c r="J1863" t="s">
        <v>877</v>
      </c>
    </row>
    <row r="1864" spans="9:10" x14ac:dyDescent="0.3">
      <c r="I1864" t="s">
        <v>10568</v>
      </c>
      <c r="J1864" t="s">
        <v>877</v>
      </c>
    </row>
    <row r="1865" spans="9:10" x14ac:dyDescent="0.3">
      <c r="I1865" t="s">
        <v>10569</v>
      </c>
      <c r="J1865" t="s">
        <v>877</v>
      </c>
    </row>
    <row r="1866" spans="9:10" x14ac:dyDescent="0.3">
      <c r="I1866" t="s">
        <v>876</v>
      </c>
      <c r="J1866" t="s">
        <v>877</v>
      </c>
    </row>
    <row r="1867" spans="9:10" x14ac:dyDescent="0.3">
      <c r="I1867" t="s">
        <v>10570</v>
      </c>
      <c r="J1867" t="s">
        <v>877</v>
      </c>
    </row>
    <row r="1868" spans="9:10" x14ac:dyDescent="0.3">
      <c r="I1868" t="s">
        <v>876</v>
      </c>
      <c r="J1868" t="s">
        <v>877</v>
      </c>
    </row>
    <row r="1869" spans="9:10" x14ac:dyDescent="0.3">
      <c r="I1869" t="s">
        <v>876</v>
      </c>
      <c r="J1869" t="s">
        <v>877</v>
      </c>
    </row>
    <row r="1870" spans="9:10" x14ac:dyDescent="0.3">
      <c r="I1870" t="s">
        <v>876</v>
      </c>
      <c r="J1870" t="s">
        <v>877</v>
      </c>
    </row>
    <row r="1871" spans="9:10" x14ac:dyDescent="0.3">
      <c r="I1871" t="s">
        <v>876</v>
      </c>
      <c r="J1871" t="s">
        <v>877</v>
      </c>
    </row>
    <row r="1872" spans="9:10" x14ac:dyDescent="0.3">
      <c r="I1872" t="s">
        <v>10571</v>
      </c>
      <c r="J1872" t="s">
        <v>877</v>
      </c>
    </row>
    <row r="1873" spans="9:10" x14ac:dyDescent="0.3">
      <c r="I1873" t="s">
        <v>876</v>
      </c>
      <c r="J1873" t="s">
        <v>877</v>
      </c>
    </row>
    <row r="1874" spans="9:10" x14ac:dyDescent="0.3">
      <c r="I1874" t="s">
        <v>876</v>
      </c>
      <c r="J1874" t="s">
        <v>877</v>
      </c>
    </row>
    <row r="1875" spans="9:10" x14ac:dyDescent="0.3">
      <c r="I1875" t="s">
        <v>10572</v>
      </c>
      <c r="J1875" t="s">
        <v>877</v>
      </c>
    </row>
    <row r="1876" spans="9:10" x14ac:dyDescent="0.3">
      <c r="I1876" t="s">
        <v>10573</v>
      </c>
      <c r="J1876" t="s">
        <v>877</v>
      </c>
    </row>
    <row r="1877" spans="9:10" x14ac:dyDescent="0.3">
      <c r="I1877" t="s">
        <v>10574</v>
      </c>
      <c r="J1877" t="s">
        <v>877</v>
      </c>
    </row>
    <row r="1878" spans="9:10" x14ac:dyDescent="0.3">
      <c r="I1878" t="s">
        <v>10575</v>
      </c>
      <c r="J1878" t="s">
        <v>877</v>
      </c>
    </row>
    <row r="1879" spans="9:10" x14ac:dyDescent="0.3">
      <c r="I1879" t="s">
        <v>10576</v>
      </c>
      <c r="J1879" t="s">
        <v>877</v>
      </c>
    </row>
    <row r="1880" spans="9:10" x14ac:dyDescent="0.3">
      <c r="I1880" t="s">
        <v>876</v>
      </c>
      <c r="J1880" t="s">
        <v>877</v>
      </c>
    </row>
    <row r="1881" spans="9:10" x14ac:dyDescent="0.3">
      <c r="I1881" t="s">
        <v>10577</v>
      </c>
      <c r="J1881" t="s">
        <v>877</v>
      </c>
    </row>
    <row r="1882" spans="9:10" x14ac:dyDescent="0.3">
      <c r="I1882" t="s">
        <v>10578</v>
      </c>
      <c r="J1882" t="s">
        <v>877</v>
      </c>
    </row>
    <row r="1883" spans="9:10" x14ac:dyDescent="0.3">
      <c r="I1883" t="s">
        <v>876</v>
      </c>
      <c r="J1883" t="s">
        <v>877</v>
      </c>
    </row>
    <row r="1884" spans="9:10" x14ac:dyDescent="0.3">
      <c r="I1884" t="s">
        <v>876</v>
      </c>
      <c r="J1884" t="s">
        <v>877</v>
      </c>
    </row>
    <row r="1885" spans="9:10" x14ac:dyDescent="0.3">
      <c r="I1885" t="s">
        <v>876</v>
      </c>
      <c r="J1885" t="s">
        <v>877</v>
      </c>
    </row>
    <row r="1886" spans="9:10" x14ac:dyDescent="0.3">
      <c r="I1886" t="s">
        <v>876</v>
      </c>
      <c r="J1886" t="s">
        <v>877</v>
      </c>
    </row>
    <row r="1887" spans="9:10" x14ac:dyDescent="0.3">
      <c r="I1887" t="s">
        <v>876</v>
      </c>
      <c r="J1887" t="s">
        <v>877</v>
      </c>
    </row>
    <row r="1888" spans="9:10" x14ac:dyDescent="0.3">
      <c r="I1888" t="s">
        <v>10568</v>
      </c>
      <c r="J1888" t="s">
        <v>877</v>
      </c>
    </row>
    <row r="1889" spans="9:10" x14ac:dyDescent="0.3">
      <c r="I1889" t="s">
        <v>876</v>
      </c>
      <c r="J1889" t="s">
        <v>877</v>
      </c>
    </row>
    <row r="1890" spans="9:10" x14ac:dyDescent="0.3">
      <c r="I1890" t="s">
        <v>876</v>
      </c>
      <c r="J1890" t="s">
        <v>877</v>
      </c>
    </row>
    <row r="1891" spans="9:10" x14ac:dyDescent="0.3">
      <c r="I1891" t="s">
        <v>876</v>
      </c>
      <c r="J1891" t="s">
        <v>877</v>
      </c>
    </row>
    <row r="1892" spans="9:10" x14ac:dyDescent="0.3">
      <c r="I1892" t="s">
        <v>876</v>
      </c>
      <c r="J1892" t="s">
        <v>877</v>
      </c>
    </row>
    <row r="1893" spans="9:10" x14ac:dyDescent="0.3">
      <c r="I1893" t="s">
        <v>876</v>
      </c>
      <c r="J1893" t="s">
        <v>877</v>
      </c>
    </row>
    <row r="1894" spans="9:10" x14ac:dyDescent="0.3">
      <c r="I1894" t="s">
        <v>876</v>
      </c>
      <c r="J1894" t="s">
        <v>877</v>
      </c>
    </row>
    <row r="1895" spans="9:10" x14ac:dyDescent="0.3">
      <c r="I1895" t="s">
        <v>876</v>
      </c>
      <c r="J1895" t="s">
        <v>877</v>
      </c>
    </row>
    <row r="1896" spans="9:10" x14ac:dyDescent="0.3">
      <c r="I1896" t="s">
        <v>10579</v>
      </c>
      <c r="J1896" t="s">
        <v>877</v>
      </c>
    </row>
    <row r="1897" spans="9:10" x14ac:dyDescent="0.3">
      <c r="I1897" t="s">
        <v>10579</v>
      </c>
      <c r="J1897" t="s">
        <v>877</v>
      </c>
    </row>
    <row r="1898" spans="9:10" x14ac:dyDescent="0.3">
      <c r="I1898" t="s">
        <v>10579</v>
      </c>
      <c r="J1898" t="s">
        <v>877</v>
      </c>
    </row>
    <row r="1899" spans="9:10" x14ac:dyDescent="0.3">
      <c r="I1899" t="s">
        <v>10579</v>
      </c>
      <c r="J1899" t="s">
        <v>877</v>
      </c>
    </row>
    <row r="1900" spans="9:10" x14ac:dyDescent="0.3">
      <c r="I1900" t="s">
        <v>10579</v>
      </c>
      <c r="J1900" t="s">
        <v>877</v>
      </c>
    </row>
    <row r="1901" spans="9:10" x14ac:dyDescent="0.3">
      <c r="I1901" t="s">
        <v>10580</v>
      </c>
      <c r="J1901" t="s">
        <v>1201</v>
      </c>
    </row>
    <row r="1902" spans="9:10" x14ac:dyDescent="0.3">
      <c r="I1902" t="s">
        <v>10581</v>
      </c>
    </row>
    <row r="1903" spans="9:10" x14ac:dyDescent="0.3">
      <c r="I1903" t="s">
        <v>10582</v>
      </c>
      <c r="J1903" t="s">
        <v>1202</v>
      </c>
    </row>
    <row r="1904" spans="9:10" x14ac:dyDescent="0.3">
      <c r="I1904" t="s">
        <v>10583</v>
      </c>
      <c r="J1904" t="s">
        <v>1203</v>
      </c>
    </row>
    <row r="1905" spans="9:10" x14ac:dyDescent="0.3">
      <c r="I1905" t="s">
        <v>10584</v>
      </c>
      <c r="J1905">
        <v>0</v>
      </c>
    </row>
    <row r="1906" spans="9:10" x14ac:dyDescent="0.3">
      <c r="I1906" t="s">
        <v>10585</v>
      </c>
      <c r="J1906" t="s">
        <v>1204</v>
      </c>
    </row>
    <row r="1907" spans="9:10" x14ac:dyDescent="0.3">
      <c r="I1907" t="s">
        <v>10586</v>
      </c>
      <c r="J1907" t="s">
        <v>1204</v>
      </c>
    </row>
    <row r="1908" spans="9:10" x14ac:dyDescent="0.3">
      <c r="I1908" t="s">
        <v>10587</v>
      </c>
      <c r="J1908" t="s">
        <v>1204</v>
      </c>
    </row>
    <row r="1909" spans="9:10" x14ac:dyDescent="0.3">
      <c r="I1909" t="s">
        <v>10588</v>
      </c>
      <c r="J1909" t="s">
        <v>1205</v>
      </c>
    </row>
    <row r="1910" spans="9:10" x14ac:dyDescent="0.3">
      <c r="I1910" t="s">
        <v>10589</v>
      </c>
      <c r="J1910" t="s">
        <v>1206</v>
      </c>
    </row>
    <row r="1911" spans="9:10" x14ac:dyDescent="0.3">
      <c r="I1911" t="s">
        <v>10590</v>
      </c>
      <c r="J1911" t="s">
        <v>1206</v>
      </c>
    </row>
    <row r="1912" spans="9:10" x14ac:dyDescent="0.3">
      <c r="I1912" t="s">
        <v>10591</v>
      </c>
      <c r="J1912" t="s">
        <v>915</v>
      </c>
    </row>
    <row r="1913" spans="9:10" x14ac:dyDescent="0.3">
      <c r="I1913" t="s">
        <v>10591</v>
      </c>
      <c r="J1913" t="s">
        <v>915</v>
      </c>
    </row>
    <row r="1914" spans="9:10" x14ac:dyDescent="0.3">
      <c r="I1914" t="s">
        <v>10591</v>
      </c>
      <c r="J1914" t="s">
        <v>915</v>
      </c>
    </row>
    <row r="1915" spans="9:10" x14ac:dyDescent="0.3">
      <c r="I1915" t="s">
        <v>10591</v>
      </c>
      <c r="J1915" t="s">
        <v>915</v>
      </c>
    </row>
    <row r="1916" spans="9:10" x14ac:dyDescent="0.3">
      <c r="I1916" t="s">
        <v>10591</v>
      </c>
      <c r="J1916" t="s">
        <v>915</v>
      </c>
    </row>
    <row r="1917" spans="9:10" x14ac:dyDescent="0.3">
      <c r="I1917" t="s">
        <v>10591</v>
      </c>
      <c r="J1917" t="s">
        <v>915</v>
      </c>
    </row>
    <row r="1918" spans="9:10" x14ac:dyDescent="0.3">
      <c r="I1918" t="s">
        <v>10591</v>
      </c>
      <c r="J1918" t="s">
        <v>915</v>
      </c>
    </row>
    <row r="1919" spans="9:10" x14ac:dyDescent="0.3">
      <c r="I1919" t="s">
        <v>10591</v>
      </c>
      <c r="J1919" t="s">
        <v>915</v>
      </c>
    </row>
    <row r="1920" spans="9:10" x14ac:dyDescent="0.3">
      <c r="I1920" t="s">
        <v>10592</v>
      </c>
      <c r="J1920" t="s">
        <v>915</v>
      </c>
    </row>
    <row r="1921" spans="9:10" x14ac:dyDescent="0.3">
      <c r="I1921" t="s">
        <v>10593</v>
      </c>
      <c r="J1921" t="s">
        <v>915</v>
      </c>
    </row>
    <row r="1922" spans="9:10" x14ac:dyDescent="0.3">
      <c r="I1922" t="s">
        <v>10594</v>
      </c>
      <c r="J1922" t="s">
        <v>915</v>
      </c>
    </row>
    <row r="1923" spans="9:10" x14ac:dyDescent="0.3">
      <c r="I1923" t="s">
        <v>10595</v>
      </c>
      <c r="J1923" t="s">
        <v>915</v>
      </c>
    </row>
    <row r="1924" spans="9:10" x14ac:dyDescent="0.3">
      <c r="I1924" t="s">
        <v>10596</v>
      </c>
      <c r="J1924" t="s">
        <v>915</v>
      </c>
    </row>
    <row r="1925" spans="9:10" x14ac:dyDescent="0.3">
      <c r="I1925" t="s">
        <v>10591</v>
      </c>
      <c r="J1925" t="s">
        <v>915</v>
      </c>
    </row>
    <row r="1926" spans="9:10" x14ac:dyDescent="0.3">
      <c r="I1926" t="s">
        <v>10591</v>
      </c>
      <c r="J1926" t="s">
        <v>915</v>
      </c>
    </row>
    <row r="1927" spans="9:10" x14ac:dyDescent="0.3">
      <c r="I1927" t="s">
        <v>10591</v>
      </c>
      <c r="J1927" t="s">
        <v>915</v>
      </c>
    </row>
    <row r="1928" spans="9:10" x14ac:dyDescent="0.3">
      <c r="I1928" t="s">
        <v>10597</v>
      </c>
      <c r="J1928" t="s">
        <v>915</v>
      </c>
    </row>
    <row r="1929" spans="9:10" x14ac:dyDescent="0.3">
      <c r="I1929" t="s">
        <v>10598</v>
      </c>
      <c r="J1929" t="s">
        <v>915</v>
      </c>
    </row>
    <row r="1930" spans="9:10" x14ac:dyDescent="0.3">
      <c r="I1930" t="s">
        <v>10591</v>
      </c>
      <c r="J1930" t="s">
        <v>915</v>
      </c>
    </row>
    <row r="1931" spans="9:10" x14ac:dyDescent="0.3">
      <c r="I1931" t="s">
        <v>10599</v>
      </c>
      <c r="J1931" t="s">
        <v>915</v>
      </c>
    </row>
    <row r="1932" spans="9:10" x14ac:dyDescent="0.3">
      <c r="I1932" t="s">
        <v>10600</v>
      </c>
      <c r="J1932" t="s">
        <v>915</v>
      </c>
    </row>
    <row r="1933" spans="9:10" x14ac:dyDescent="0.3">
      <c r="I1933" t="s">
        <v>10601</v>
      </c>
      <c r="J1933" t="s">
        <v>915</v>
      </c>
    </row>
    <row r="1934" spans="9:10" x14ac:dyDescent="0.3">
      <c r="I1934" t="s">
        <v>10602</v>
      </c>
      <c r="J1934" t="s">
        <v>915</v>
      </c>
    </row>
    <row r="1935" spans="9:10" x14ac:dyDescent="0.3">
      <c r="I1935" t="s">
        <v>10603</v>
      </c>
      <c r="J1935" t="s">
        <v>915</v>
      </c>
    </row>
    <row r="1936" spans="9:10" x14ac:dyDescent="0.3">
      <c r="I1936" t="s">
        <v>10604</v>
      </c>
      <c r="J1936" t="s">
        <v>915</v>
      </c>
    </row>
    <row r="1937" spans="9:10" x14ac:dyDescent="0.3">
      <c r="I1937" t="s">
        <v>10591</v>
      </c>
      <c r="J1937" t="s">
        <v>915</v>
      </c>
    </row>
    <row r="1938" spans="9:10" x14ac:dyDescent="0.3">
      <c r="I1938" t="s">
        <v>10591</v>
      </c>
      <c r="J1938" t="s">
        <v>915</v>
      </c>
    </row>
    <row r="1939" spans="9:10" x14ac:dyDescent="0.3">
      <c r="I1939" t="s">
        <v>10591</v>
      </c>
      <c r="J1939" t="s">
        <v>915</v>
      </c>
    </row>
    <row r="1940" spans="9:10" x14ac:dyDescent="0.3">
      <c r="I1940" t="s">
        <v>10591</v>
      </c>
      <c r="J1940" t="s">
        <v>915</v>
      </c>
    </row>
    <row r="1941" spans="9:10" x14ac:dyDescent="0.3">
      <c r="I1941" t="s">
        <v>10591</v>
      </c>
      <c r="J1941" t="s">
        <v>915</v>
      </c>
    </row>
    <row r="1942" spans="9:10" x14ac:dyDescent="0.3">
      <c r="I1942" t="s">
        <v>10605</v>
      </c>
      <c r="J1942" t="s">
        <v>1207</v>
      </c>
    </row>
    <row r="1943" spans="9:10" x14ac:dyDescent="0.3">
      <c r="I1943" t="s">
        <v>10606</v>
      </c>
      <c r="J1943" t="s">
        <v>1207</v>
      </c>
    </row>
    <row r="1944" spans="9:10" x14ac:dyDescent="0.3">
      <c r="I1944" t="s">
        <v>10607</v>
      </c>
      <c r="J1944" t="s">
        <v>1207</v>
      </c>
    </row>
    <row r="1945" spans="9:10" x14ac:dyDescent="0.3">
      <c r="I1945" t="s">
        <v>10608</v>
      </c>
      <c r="J1945" t="s">
        <v>1207</v>
      </c>
    </row>
    <row r="1946" spans="9:10" x14ac:dyDescent="0.3">
      <c r="I1946" t="s">
        <v>10605</v>
      </c>
      <c r="J1946" t="s">
        <v>1207</v>
      </c>
    </row>
    <row r="1947" spans="9:10" x14ac:dyDescent="0.3">
      <c r="I1947" t="s">
        <v>10605</v>
      </c>
      <c r="J1947" t="s">
        <v>1207</v>
      </c>
    </row>
    <row r="1948" spans="9:10" x14ac:dyDescent="0.3">
      <c r="I1948" t="s">
        <v>10605</v>
      </c>
      <c r="J1948" t="s">
        <v>1207</v>
      </c>
    </row>
    <row r="1949" spans="9:10" x14ac:dyDescent="0.3">
      <c r="I1949" t="s">
        <v>10609</v>
      </c>
      <c r="J1949" t="s">
        <v>1208</v>
      </c>
    </row>
    <row r="1950" spans="9:10" x14ac:dyDescent="0.3">
      <c r="I1950" t="s">
        <v>10610</v>
      </c>
      <c r="J1950" t="s">
        <v>1208</v>
      </c>
    </row>
    <row r="1951" spans="9:10" x14ac:dyDescent="0.3">
      <c r="I1951" t="s">
        <v>10611</v>
      </c>
      <c r="J1951" t="s">
        <v>1208</v>
      </c>
    </row>
    <row r="1952" spans="9:10" x14ac:dyDescent="0.3">
      <c r="I1952" t="s">
        <v>10612</v>
      </c>
      <c r="J1952" t="s">
        <v>1208</v>
      </c>
    </row>
    <row r="1953" spans="9:10" x14ac:dyDescent="0.3">
      <c r="I1953" t="s">
        <v>10613</v>
      </c>
      <c r="J1953" t="s">
        <v>1208</v>
      </c>
    </row>
    <row r="1954" spans="9:10" x14ac:dyDescent="0.3">
      <c r="I1954" t="s">
        <v>10614</v>
      </c>
      <c r="J1954" t="s">
        <v>1208</v>
      </c>
    </row>
    <row r="1955" spans="9:10" x14ac:dyDescent="0.3">
      <c r="I1955" t="s">
        <v>10614</v>
      </c>
      <c r="J1955" t="s">
        <v>1208</v>
      </c>
    </row>
    <row r="1956" spans="9:10" x14ac:dyDescent="0.3">
      <c r="I1956" t="s">
        <v>10614</v>
      </c>
      <c r="J1956" t="s">
        <v>1208</v>
      </c>
    </row>
    <row r="1957" spans="9:10" x14ac:dyDescent="0.3">
      <c r="I1957" t="s">
        <v>10614</v>
      </c>
      <c r="J1957" t="s">
        <v>1208</v>
      </c>
    </row>
    <row r="1958" spans="9:10" x14ac:dyDescent="0.3">
      <c r="I1958" t="s">
        <v>10614</v>
      </c>
      <c r="J1958" t="s">
        <v>1208</v>
      </c>
    </row>
    <row r="1959" spans="9:10" x14ac:dyDescent="0.3">
      <c r="I1959" t="s">
        <v>10615</v>
      </c>
      <c r="J1959" t="s">
        <v>1208</v>
      </c>
    </row>
    <row r="1960" spans="9:10" x14ac:dyDescent="0.3">
      <c r="I1960" t="s">
        <v>10615</v>
      </c>
      <c r="J1960" t="s">
        <v>1208</v>
      </c>
    </row>
    <row r="1961" spans="9:10" x14ac:dyDescent="0.3">
      <c r="I1961" t="s">
        <v>10609</v>
      </c>
      <c r="J1961" t="s">
        <v>1208</v>
      </c>
    </row>
    <row r="1962" spans="9:10" x14ac:dyDescent="0.3">
      <c r="I1962" t="s">
        <v>10614</v>
      </c>
      <c r="J1962" t="s">
        <v>1208</v>
      </c>
    </row>
    <row r="1963" spans="9:10" x14ac:dyDescent="0.3">
      <c r="I1963" t="s">
        <v>10616</v>
      </c>
      <c r="J1963" t="s">
        <v>1208</v>
      </c>
    </row>
    <row r="1964" spans="9:10" x14ac:dyDescent="0.3">
      <c r="I1964" t="s">
        <v>10617</v>
      </c>
      <c r="J1964" t="s">
        <v>1208</v>
      </c>
    </row>
    <row r="1965" spans="9:10" x14ac:dyDescent="0.3">
      <c r="I1965" t="s">
        <v>10618</v>
      </c>
      <c r="J1965" t="s">
        <v>1208</v>
      </c>
    </row>
    <row r="1966" spans="9:10" x14ac:dyDescent="0.3">
      <c r="I1966" t="s">
        <v>10619</v>
      </c>
      <c r="J1966" t="s">
        <v>1208</v>
      </c>
    </row>
    <row r="1967" spans="9:10" x14ac:dyDescent="0.3">
      <c r="I1967" t="s">
        <v>10620</v>
      </c>
      <c r="J1967" t="s">
        <v>1209</v>
      </c>
    </row>
    <row r="1968" spans="9:10" x14ac:dyDescent="0.3">
      <c r="I1968" t="s">
        <v>10621</v>
      </c>
      <c r="J1968" t="s">
        <v>1209</v>
      </c>
    </row>
    <row r="1969" spans="9:10" x14ac:dyDescent="0.3">
      <c r="I1969" t="s">
        <v>10622</v>
      </c>
      <c r="J1969" t="s">
        <v>1210</v>
      </c>
    </row>
    <row r="1970" spans="9:10" x14ac:dyDescent="0.3">
      <c r="I1970" t="s">
        <v>10623</v>
      </c>
      <c r="J1970" t="s">
        <v>1210</v>
      </c>
    </row>
    <row r="1971" spans="9:10" x14ac:dyDescent="0.3">
      <c r="I1971" t="s">
        <v>10624</v>
      </c>
      <c r="J1971" t="s">
        <v>1211</v>
      </c>
    </row>
    <row r="1972" spans="9:10" x14ac:dyDescent="0.3">
      <c r="I1972" t="s">
        <v>10624</v>
      </c>
      <c r="J1972" t="s">
        <v>1211</v>
      </c>
    </row>
    <row r="1973" spans="9:10" x14ac:dyDescent="0.3">
      <c r="I1973" t="s">
        <v>10624</v>
      </c>
      <c r="J1973" t="s">
        <v>1211</v>
      </c>
    </row>
    <row r="1974" spans="9:10" x14ac:dyDescent="0.3">
      <c r="I1974" t="s">
        <v>10624</v>
      </c>
      <c r="J1974" t="s">
        <v>1211</v>
      </c>
    </row>
    <row r="1975" spans="9:10" x14ac:dyDescent="0.3">
      <c r="I1975" t="s">
        <v>10625</v>
      </c>
      <c r="J1975" t="s">
        <v>1211</v>
      </c>
    </row>
    <row r="1976" spans="9:10" x14ac:dyDescent="0.3">
      <c r="I1976" t="s">
        <v>10624</v>
      </c>
      <c r="J1976" t="s">
        <v>1211</v>
      </c>
    </row>
    <row r="1977" spans="9:10" x14ac:dyDescent="0.3">
      <c r="I1977" t="s">
        <v>10624</v>
      </c>
      <c r="J1977" t="s">
        <v>1211</v>
      </c>
    </row>
    <row r="1978" spans="9:10" x14ac:dyDescent="0.3">
      <c r="I1978" t="s">
        <v>10624</v>
      </c>
      <c r="J1978" t="s">
        <v>1211</v>
      </c>
    </row>
    <row r="1979" spans="9:10" x14ac:dyDescent="0.3">
      <c r="I1979" t="s">
        <v>10624</v>
      </c>
      <c r="J1979" t="s">
        <v>1211</v>
      </c>
    </row>
    <row r="1980" spans="9:10" x14ac:dyDescent="0.3">
      <c r="I1980" t="s">
        <v>10624</v>
      </c>
      <c r="J1980" t="s">
        <v>1211</v>
      </c>
    </row>
    <row r="1981" spans="9:10" x14ac:dyDescent="0.3">
      <c r="I1981" t="s">
        <v>10624</v>
      </c>
      <c r="J1981" t="s">
        <v>1211</v>
      </c>
    </row>
    <row r="1982" spans="9:10" x14ac:dyDescent="0.3">
      <c r="I1982" t="s">
        <v>10624</v>
      </c>
      <c r="J1982" t="s">
        <v>1211</v>
      </c>
    </row>
    <row r="1983" spans="9:10" x14ac:dyDescent="0.3">
      <c r="I1983" t="s">
        <v>10625</v>
      </c>
      <c r="J1983" t="s">
        <v>1211</v>
      </c>
    </row>
    <row r="1984" spans="9:10" x14ac:dyDescent="0.3">
      <c r="I1984" t="s">
        <v>10625</v>
      </c>
      <c r="J1984" t="s">
        <v>1211</v>
      </c>
    </row>
    <row r="1985" spans="9:10" x14ac:dyDescent="0.3">
      <c r="I1985" t="s">
        <v>10624</v>
      </c>
      <c r="J1985" t="s">
        <v>1211</v>
      </c>
    </row>
    <row r="1986" spans="9:10" x14ac:dyDescent="0.3">
      <c r="I1986" t="s">
        <v>10624</v>
      </c>
      <c r="J1986" t="s">
        <v>1211</v>
      </c>
    </row>
    <row r="1987" spans="9:10" x14ac:dyDescent="0.3">
      <c r="I1987" t="s">
        <v>10624</v>
      </c>
      <c r="J1987" t="s">
        <v>1211</v>
      </c>
    </row>
    <row r="1988" spans="9:10" x14ac:dyDescent="0.3">
      <c r="I1988" t="s">
        <v>10624</v>
      </c>
      <c r="J1988" t="s">
        <v>1211</v>
      </c>
    </row>
    <row r="1989" spans="9:10" x14ac:dyDescent="0.3">
      <c r="I1989" t="s">
        <v>10624</v>
      </c>
      <c r="J1989" t="s">
        <v>1211</v>
      </c>
    </row>
    <row r="1990" spans="9:10" x14ac:dyDescent="0.3">
      <c r="I1990" t="s">
        <v>10624</v>
      </c>
      <c r="J1990" t="s">
        <v>1211</v>
      </c>
    </row>
    <row r="1991" spans="9:10" x14ac:dyDescent="0.3">
      <c r="I1991" t="s">
        <v>10624</v>
      </c>
      <c r="J1991" t="s">
        <v>1211</v>
      </c>
    </row>
    <row r="1992" spans="9:10" x14ac:dyDescent="0.3">
      <c r="I1992" t="s">
        <v>10624</v>
      </c>
      <c r="J1992" t="s">
        <v>1211</v>
      </c>
    </row>
    <row r="1993" spans="9:10" x14ac:dyDescent="0.3">
      <c r="I1993" t="s">
        <v>10626</v>
      </c>
      <c r="J1993" t="s">
        <v>1211</v>
      </c>
    </row>
    <row r="1994" spans="9:10" x14ac:dyDescent="0.3">
      <c r="I1994" t="s">
        <v>10627</v>
      </c>
      <c r="J1994" t="s">
        <v>1211</v>
      </c>
    </row>
    <row r="1995" spans="9:10" x14ac:dyDescent="0.3">
      <c r="I1995" t="s">
        <v>10628</v>
      </c>
      <c r="J1995" t="s">
        <v>1211</v>
      </c>
    </row>
    <row r="1996" spans="9:10" x14ac:dyDescent="0.3">
      <c r="I1996" t="s">
        <v>10624</v>
      </c>
      <c r="J1996" t="s">
        <v>1211</v>
      </c>
    </row>
    <row r="1997" spans="9:10" x14ac:dyDescent="0.3">
      <c r="I1997" t="s">
        <v>10624</v>
      </c>
      <c r="J1997" t="s">
        <v>1211</v>
      </c>
    </row>
    <row r="1998" spans="9:10" x14ac:dyDescent="0.3">
      <c r="I1998" t="s">
        <v>10629</v>
      </c>
      <c r="J1998" t="s">
        <v>1211</v>
      </c>
    </row>
    <row r="1999" spans="9:10" x14ac:dyDescent="0.3">
      <c r="I1999" t="s">
        <v>10630</v>
      </c>
      <c r="J1999" t="s">
        <v>1211</v>
      </c>
    </row>
    <row r="2000" spans="9:10" x14ac:dyDescent="0.3">
      <c r="I2000" t="s">
        <v>10631</v>
      </c>
      <c r="J2000" t="s">
        <v>1211</v>
      </c>
    </row>
    <row r="2001" spans="9:10" x14ac:dyDescent="0.3">
      <c r="I2001" t="s">
        <v>10624</v>
      </c>
      <c r="J2001" t="s">
        <v>1211</v>
      </c>
    </row>
    <row r="2002" spans="9:10" x14ac:dyDescent="0.3">
      <c r="I2002" t="s">
        <v>10624</v>
      </c>
      <c r="J2002" t="s">
        <v>1211</v>
      </c>
    </row>
    <row r="2003" spans="9:10" x14ac:dyDescent="0.3">
      <c r="I2003" t="s">
        <v>10624</v>
      </c>
      <c r="J2003" t="s">
        <v>1211</v>
      </c>
    </row>
    <row r="2004" spans="9:10" x14ac:dyDescent="0.3">
      <c r="I2004" t="s">
        <v>10624</v>
      </c>
      <c r="J2004" t="s">
        <v>1211</v>
      </c>
    </row>
    <row r="2005" spans="9:10" x14ac:dyDescent="0.3">
      <c r="I2005" t="s">
        <v>10624</v>
      </c>
      <c r="J2005" t="s">
        <v>1211</v>
      </c>
    </row>
    <row r="2006" spans="9:10" x14ac:dyDescent="0.3">
      <c r="I2006" t="s">
        <v>10624</v>
      </c>
      <c r="J2006" t="s">
        <v>1211</v>
      </c>
    </row>
    <row r="2007" spans="9:10" x14ac:dyDescent="0.3">
      <c r="I2007" t="s">
        <v>10624</v>
      </c>
      <c r="J2007" t="s">
        <v>1211</v>
      </c>
    </row>
    <row r="2008" spans="9:10" x14ac:dyDescent="0.3">
      <c r="I2008" t="s">
        <v>10624</v>
      </c>
      <c r="J2008" t="s">
        <v>1211</v>
      </c>
    </row>
    <row r="2009" spans="9:10" x14ac:dyDescent="0.3">
      <c r="I2009" t="s">
        <v>10632</v>
      </c>
      <c r="J2009" t="s">
        <v>1211</v>
      </c>
    </row>
    <row r="2010" spans="9:10" x14ac:dyDescent="0.3">
      <c r="I2010" t="s">
        <v>10624</v>
      </c>
      <c r="J2010" t="s">
        <v>1211</v>
      </c>
    </row>
    <row r="2011" spans="9:10" x14ac:dyDescent="0.3">
      <c r="I2011" t="s">
        <v>10624</v>
      </c>
      <c r="J2011" t="s">
        <v>1211</v>
      </c>
    </row>
    <row r="2012" spans="9:10" x14ac:dyDescent="0.3">
      <c r="I2012" t="s">
        <v>10624</v>
      </c>
      <c r="J2012" t="s">
        <v>1211</v>
      </c>
    </row>
    <row r="2013" spans="9:10" x14ac:dyDescent="0.3">
      <c r="I2013" t="s">
        <v>10624</v>
      </c>
      <c r="J2013" t="s">
        <v>1211</v>
      </c>
    </row>
    <row r="2014" spans="9:10" x14ac:dyDescent="0.3">
      <c r="I2014" t="s">
        <v>10624</v>
      </c>
      <c r="J2014" t="s">
        <v>1211</v>
      </c>
    </row>
    <row r="2015" spans="9:10" x14ac:dyDescent="0.3">
      <c r="I2015" t="s">
        <v>10624</v>
      </c>
      <c r="J2015" t="s">
        <v>1211</v>
      </c>
    </row>
    <row r="2016" spans="9:10" x14ac:dyDescent="0.3">
      <c r="I2016" t="s">
        <v>10624</v>
      </c>
      <c r="J2016" t="s">
        <v>1211</v>
      </c>
    </row>
    <row r="2017" spans="9:10" x14ac:dyDescent="0.3">
      <c r="I2017" t="s">
        <v>10624</v>
      </c>
      <c r="J2017" t="s">
        <v>1211</v>
      </c>
    </row>
    <row r="2018" spans="9:10" x14ac:dyDescent="0.3">
      <c r="I2018" t="s">
        <v>10624</v>
      </c>
      <c r="J2018" t="s">
        <v>1211</v>
      </c>
    </row>
    <row r="2019" spans="9:10" x14ac:dyDescent="0.3">
      <c r="I2019" t="s">
        <v>10624</v>
      </c>
      <c r="J2019" t="s">
        <v>1211</v>
      </c>
    </row>
    <row r="2020" spans="9:10" x14ac:dyDescent="0.3">
      <c r="I2020" t="s">
        <v>10624</v>
      </c>
      <c r="J2020" t="s">
        <v>1211</v>
      </c>
    </row>
    <row r="2021" spans="9:10" x14ac:dyDescent="0.3">
      <c r="I2021" t="s">
        <v>10624</v>
      </c>
      <c r="J2021" t="s">
        <v>1211</v>
      </c>
    </row>
    <row r="2022" spans="9:10" x14ac:dyDescent="0.3">
      <c r="I2022" t="s">
        <v>10633</v>
      </c>
      <c r="J2022" t="s">
        <v>1211</v>
      </c>
    </row>
    <row r="2023" spans="9:10" x14ac:dyDescent="0.3">
      <c r="I2023" t="s">
        <v>10634</v>
      </c>
      <c r="J2023" t="s">
        <v>1212</v>
      </c>
    </row>
    <row r="2024" spans="9:10" x14ac:dyDescent="0.3">
      <c r="I2024" t="s">
        <v>10635</v>
      </c>
      <c r="J2024" t="s">
        <v>1212</v>
      </c>
    </row>
    <row r="2025" spans="9:10" x14ac:dyDescent="0.3">
      <c r="I2025" t="s">
        <v>10636</v>
      </c>
      <c r="J2025" t="s">
        <v>1212</v>
      </c>
    </row>
    <row r="2026" spans="9:10" x14ac:dyDescent="0.3">
      <c r="I2026" t="s">
        <v>10637</v>
      </c>
      <c r="J2026" t="s">
        <v>1212</v>
      </c>
    </row>
    <row r="2027" spans="9:10" x14ac:dyDescent="0.3">
      <c r="I2027" t="s">
        <v>10638</v>
      </c>
      <c r="J2027" t="s">
        <v>1212</v>
      </c>
    </row>
    <row r="2028" spans="9:10" x14ac:dyDescent="0.3">
      <c r="I2028" t="s">
        <v>10638</v>
      </c>
      <c r="J2028" t="s">
        <v>1212</v>
      </c>
    </row>
    <row r="2029" spans="9:10" x14ac:dyDescent="0.3">
      <c r="I2029" t="s">
        <v>10638</v>
      </c>
      <c r="J2029" t="s">
        <v>1212</v>
      </c>
    </row>
    <row r="2030" spans="9:10" x14ac:dyDescent="0.3">
      <c r="I2030" t="s">
        <v>10639</v>
      </c>
      <c r="J2030" t="s">
        <v>1212</v>
      </c>
    </row>
    <row r="2031" spans="9:10" x14ac:dyDescent="0.3">
      <c r="I2031" t="s">
        <v>10640</v>
      </c>
      <c r="J2031" t="s">
        <v>1212</v>
      </c>
    </row>
    <row r="2032" spans="9:10" x14ac:dyDescent="0.3">
      <c r="I2032" t="s">
        <v>10638</v>
      </c>
      <c r="J2032" t="s">
        <v>1212</v>
      </c>
    </row>
    <row r="2033" spans="9:10" x14ac:dyDescent="0.3">
      <c r="I2033" t="s">
        <v>10638</v>
      </c>
      <c r="J2033" t="s">
        <v>1212</v>
      </c>
    </row>
    <row r="2034" spans="9:10" x14ac:dyDescent="0.3">
      <c r="I2034" t="s">
        <v>10638</v>
      </c>
      <c r="J2034" t="s">
        <v>1212</v>
      </c>
    </row>
    <row r="2035" spans="9:10" x14ac:dyDescent="0.3">
      <c r="I2035" t="s">
        <v>10638</v>
      </c>
      <c r="J2035" t="s">
        <v>1212</v>
      </c>
    </row>
    <row r="2036" spans="9:10" x14ac:dyDescent="0.3">
      <c r="I2036" t="s">
        <v>10638</v>
      </c>
      <c r="J2036" t="s">
        <v>1212</v>
      </c>
    </row>
    <row r="2037" spans="9:10" x14ac:dyDescent="0.3">
      <c r="I2037" t="s">
        <v>10638</v>
      </c>
      <c r="J2037" t="s">
        <v>1212</v>
      </c>
    </row>
    <row r="2038" spans="9:10" x14ac:dyDescent="0.3">
      <c r="I2038" t="s">
        <v>10638</v>
      </c>
      <c r="J2038" t="s">
        <v>1212</v>
      </c>
    </row>
    <row r="2039" spans="9:10" x14ac:dyDescent="0.3">
      <c r="I2039" t="s">
        <v>10638</v>
      </c>
      <c r="J2039" t="s">
        <v>1212</v>
      </c>
    </row>
    <row r="2040" spans="9:10" x14ac:dyDescent="0.3">
      <c r="I2040" t="s">
        <v>10641</v>
      </c>
      <c r="J2040" t="s">
        <v>1212</v>
      </c>
    </row>
    <row r="2041" spans="9:10" x14ac:dyDescent="0.3">
      <c r="I2041" t="s">
        <v>10642</v>
      </c>
      <c r="J2041" t="s">
        <v>1212</v>
      </c>
    </row>
    <row r="2042" spans="9:10" x14ac:dyDescent="0.3">
      <c r="I2042" t="s">
        <v>10643</v>
      </c>
      <c r="J2042" t="s">
        <v>1212</v>
      </c>
    </row>
    <row r="2043" spans="9:10" x14ac:dyDescent="0.3">
      <c r="I2043" t="s">
        <v>10644</v>
      </c>
      <c r="J2043" t="s">
        <v>1212</v>
      </c>
    </row>
    <row r="2044" spans="9:10" x14ac:dyDescent="0.3">
      <c r="I2044" t="s">
        <v>10641</v>
      </c>
      <c r="J2044" t="s">
        <v>1212</v>
      </c>
    </row>
    <row r="2045" spans="9:10" x14ac:dyDescent="0.3">
      <c r="I2045" t="s">
        <v>10645</v>
      </c>
      <c r="J2045" t="s">
        <v>1212</v>
      </c>
    </row>
    <row r="2046" spans="9:10" x14ac:dyDescent="0.3">
      <c r="I2046" t="s">
        <v>10646</v>
      </c>
      <c r="J2046" t="s">
        <v>1212</v>
      </c>
    </row>
    <row r="2047" spans="9:10" x14ac:dyDescent="0.3">
      <c r="I2047" t="s">
        <v>10647</v>
      </c>
      <c r="J2047" t="s">
        <v>1212</v>
      </c>
    </row>
    <row r="2048" spans="9:10" x14ac:dyDescent="0.3">
      <c r="I2048" t="s">
        <v>10648</v>
      </c>
      <c r="J2048" t="s">
        <v>1212</v>
      </c>
    </row>
    <row r="2049" spans="9:10" x14ac:dyDescent="0.3">
      <c r="I2049" t="s">
        <v>10649</v>
      </c>
      <c r="J2049" t="s">
        <v>1212</v>
      </c>
    </row>
    <row r="2050" spans="9:10" x14ac:dyDescent="0.3">
      <c r="I2050" t="s">
        <v>10650</v>
      </c>
      <c r="J2050" t="s">
        <v>1212</v>
      </c>
    </row>
    <row r="2051" spans="9:10" x14ac:dyDescent="0.3">
      <c r="I2051" t="s">
        <v>10638</v>
      </c>
      <c r="J2051" t="s">
        <v>1212</v>
      </c>
    </row>
    <row r="2052" spans="9:10" x14ac:dyDescent="0.3">
      <c r="I2052" t="s">
        <v>10638</v>
      </c>
      <c r="J2052" t="s">
        <v>1212</v>
      </c>
    </row>
    <row r="2053" spans="9:10" x14ac:dyDescent="0.3">
      <c r="I2053" t="s">
        <v>10638</v>
      </c>
      <c r="J2053" t="s">
        <v>1212</v>
      </c>
    </row>
    <row r="2054" spans="9:10" x14ac:dyDescent="0.3">
      <c r="I2054" t="s">
        <v>10638</v>
      </c>
      <c r="J2054" t="s">
        <v>1212</v>
      </c>
    </row>
    <row r="2055" spans="9:10" x14ac:dyDescent="0.3">
      <c r="I2055" t="s">
        <v>10651</v>
      </c>
      <c r="J2055" t="s">
        <v>1213</v>
      </c>
    </row>
    <row r="2056" spans="9:10" x14ac:dyDescent="0.3">
      <c r="I2056" t="s">
        <v>10652</v>
      </c>
      <c r="J2056" t="s">
        <v>1213</v>
      </c>
    </row>
    <row r="2057" spans="9:10" x14ac:dyDescent="0.3">
      <c r="I2057" t="s">
        <v>10653</v>
      </c>
      <c r="J2057" t="s">
        <v>1213</v>
      </c>
    </row>
    <row r="2058" spans="9:10" x14ac:dyDescent="0.3">
      <c r="I2058" t="s">
        <v>10654</v>
      </c>
      <c r="J2058" t="s">
        <v>1213</v>
      </c>
    </row>
    <row r="2059" spans="9:10" x14ac:dyDescent="0.3">
      <c r="I2059" t="s">
        <v>10655</v>
      </c>
      <c r="J2059" t="s">
        <v>1213</v>
      </c>
    </row>
    <row r="2060" spans="9:10" x14ac:dyDescent="0.3">
      <c r="I2060" t="s">
        <v>10656</v>
      </c>
      <c r="J2060" t="s">
        <v>1213</v>
      </c>
    </row>
    <row r="2061" spans="9:10" x14ac:dyDescent="0.3">
      <c r="I2061" t="s">
        <v>10657</v>
      </c>
      <c r="J2061" t="s">
        <v>1213</v>
      </c>
    </row>
    <row r="2062" spans="9:10" x14ac:dyDescent="0.3">
      <c r="I2062" t="s">
        <v>10652</v>
      </c>
      <c r="J2062" t="s">
        <v>1213</v>
      </c>
    </row>
    <row r="2063" spans="9:10" x14ac:dyDescent="0.3">
      <c r="I2063" t="s">
        <v>10652</v>
      </c>
      <c r="J2063" t="s">
        <v>1213</v>
      </c>
    </row>
    <row r="2064" spans="9:10" x14ac:dyDescent="0.3">
      <c r="I2064" t="s">
        <v>10652</v>
      </c>
      <c r="J2064" t="s">
        <v>1213</v>
      </c>
    </row>
    <row r="2065" spans="9:10" x14ac:dyDescent="0.3">
      <c r="I2065" t="s">
        <v>10652</v>
      </c>
      <c r="J2065" t="s">
        <v>1213</v>
      </c>
    </row>
    <row r="2066" spans="9:10" x14ac:dyDescent="0.3">
      <c r="I2066" t="s">
        <v>10652</v>
      </c>
      <c r="J2066" t="s">
        <v>1213</v>
      </c>
    </row>
    <row r="2067" spans="9:10" x14ac:dyDescent="0.3">
      <c r="I2067" t="s">
        <v>10652</v>
      </c>
      <c r="J2067" t="s">
        <v>1213</v>
      </c>
    </row>
    <row r="2068" spans="9:10" x14ac:dyDescent="0.3">
      <c r="I2068" t="s">
        <v>10652</v>
      </c>
      <c r="J2068" t="s">
        <v>1213</v>
      </c>
    </row>
    <row r="2069" spans="9:10" x14ac:dyDescent="0.3">
      <c r="I2069" t="s">
        <v>10658</v>
      </c>
      <c r="J2069" t="s">
        <v>1213</v>
      </c>
    </row>
    <row r="2070" spans="9:10" x14ac:dyDescent="0.3">
      <c r="I2070" t="s">
        <v>10659</v>
      </c>
      <c r="J2070" t="s">
        <v>1213</v>
      </c>
    </row>
    <row r="2071" spans="9:10" x14ac:dyDescent="0.3">
      <c r="I2071" t="s">
        <v>10652</v>
      </c>
      <c r="J2071" t="s">
        <v>1213</v>
      </c>
    </row>
    <row r="2072" spans="9:10" x14ac:dyDescent="0.3">
      <c r="I2072" t="s">
        <v>10656</v>
      </c>
      <c r="J2072" t="s">
        <v>1213</v>
      </c>
    </row>
    <row r="2073" spans="9:10" x14ac:dyDescent="0.3">
      <c r="I2073" t="s">
        <v>10660</v>
      </c>
      <c r="J2073" t="s">
        <v>1213</v>
      </c>
    </row>
    <row r="2074" spans="9:10" x14ac:dyDescent="0.3">
      <c r="I2074" t="s">
        <v>10661</v>
      </c>
      <c r="J2074" t="s">
        <v>1213</v>
      </c>
    </row>
    <row r="2075" spans="9:10" x14ac:dyDescent="0.3">
      <c r="I2075" t="s">
        <v>10662</v>
      </c>
      <c r="J2075" t="s">
        <v>1213</v>
      </c>
    </row>
    <row r="2076" spans="9:10" x14ac:dyDescent="0.3">
      <c r="I2076" t="s">
        <v>10663</v>
      </c>
      <c r="J2076" t="s">
        <v>1213</v>
      </c>
    </row>
    <row r="2077" spans="9:10" x14ac:dyDescent="0.3">
      <c r="I2077" t="s">
        <v>10664</v>
      </c>
      <c r="J2077" t="s">
        <v>1213</v>
      </c>
    </row>
    <row r="2078" spans="9:10" x14ac:dyDescent="0.3">
      <c r="I2078" t="s">
        <v>10652</v>
      </c>
      <c r="J2078" t="s">
        <v>1213</v>
      </c>
    </row>
    <row r="2079" spans="9:10" x14ac:dyDescent="0.3">
      <c r="I2079" t="s">
        <v>10652</v>
      </c>
      <c r="J2079" t="s">
        <v>1213</v>
      </c>
    </row>
    <row r="2080" spans="9:10" x14ac:dyDescent="0.3">
      <c r="I2080" t="s">
        <v>10652</v>
      </c>
      <c r="J2080" t="s">
        <v>1213</v>
      </c>
    </row>
    <row r="2081" spans="9:10" x14ac:dyDescent="0.3">
      <c r="I2081" t="s">
        <v>10652</v>
      </c>
      <c r="J2081" t="s">
        <v>1213</v>
      </c>
    </row>
    <row r="2082" spans="9:10" x14ac:dyDescent="0.3">
      <c r="I2082" t="s">
        <v>10663</v>
      </c>
      <c r="J2082" t="s">
        <v>1213</v>
      </c>
    </row>
    <row r="2083" spans="9:10" x14ac:dyDescent="0.3">
      <c r="I2083" t="s">
        <v>10663</v>
      </c>
      <c r="J2083" t="s">
        <v>1213</v>
      </c>
    </row>
    <row r="2084" spans="9:10" x14ac:dyDescent="0.3">
      <c r="I2084" t="s">
        <v>10665</v>
      </c>
      <c r="J2084" t="s">
        <v>1214</v>
      </c>
    </row>
    <row r="2085" spans="9:10" x14ac:dyDescent="0.3">
      <c r="I2085" t="s">
        <v>10666</v>
      </c>
      <c r="J2085" t="s">
        <v>1214</v>
      </c>
    </row>
    <row r="2086" spans="9:10" x14ac:dyDescent="0.3">
      <c r="I2086" t="s">
        <v>10667</v>
      </c>
      <c r="J2086" t="s">
        <v>1214</v>
      </c>
    </row>
    <row r="2087" spans="9:10" x14ac:dyDescent="0.3">
      <c r="I2087" t="s">
        <v>10667</v>
      </c>
      <c r="J2087" t="s">
        <v>1214</v>
      </c>
    </row>
    <row r="2088" spans="9:10" x14ac:dyDescent="0.3">
      <c r="I2088" t="s">
        <v>10667</v>
      </c>
      <c r="J2088" t="s">
        <v>1214</v>
      </c>
    </row>
    <row r="2089" spans="9:10" x14ac:dyDescent="0.3">
      <c r="I2089" t="s">
        <v>10667</v>
      </c>
      <c r="J2089" t="s">
        <v>1214</v>
      </c>
    </row>
    <row r="2090" spans="9:10" x14ac:dyDescent="0.3">
      <c r="I2090" t="s">
        <v>10667</v>
      </c>
      <c r="J2090" t="s">
        <v>1214</v>
      </c>
    </row>
    <row r="2091" spans="9:10" x14ac:dyDescent="0.3">
      <c r="I2091" t="s">
        <v>10667</v>
      </c>
      <c r="J2091" t="s">
        <v>1214</v>
      </c>
    </row>
    <row r="2092" spans="9:10" x14ac:dyDescent="0.3">
      <c r="I2092" t="s">
        <v>10667</v>
      </c>
      <c r="J2092" t="s">
        <v>1214</v>
      </c>
    </row>
    <row r="2093" spans="9:10" x14ac:dyDescent="0.3">
      <c r="I2093" t="s">
        <v>10667</v>
      </c>
      <c r="J2093" t="s">
        <v>1214</v>
      </c>
    </row>
    <row r="2094" spans="9:10" x14ac:dyDescent="0.3">
      <c r="I2094" t="s">
        <v>10667</v>
      </c>
      <c r="J2094" t="s">
        <v>1214</v>
      </c>
    </row>
    <row r="2095" spans="9:10" x14ac:dyDescent="0.3">
      <c r="I2095" t="s">
        <v>10667</v>
      </c>
      <c r="J2095" t="s">
        <v>1214</v>
      </c>
    </row>
    <row r="2096" spans="9:10" x14ac:dyDescent="0.3">
      <c r="I2096" t="s">
        <v>10668</v>
      </c>
      <c r="J2096" t="s">
        <v>1214</v>
      </c>
    </row>
    <row r="2097" spans="9:10" x14ac:dyDescent="0.3">
      <c r="I2097" t="s">
        <v>10669</v>
      </c>
      <c r="J2097" t="s">
        <v>1214</v>
      </c>
    </row>
    <row r="2098" spans="9:10" x14ac:dyDescent="0.3">
      <c r="I2098" t="s">
        <v>10670</v>
      </c>
      <c r="J2098" t="s">
        <v>1214</v>
      </c>
    </row>
    <row r="2099" spans="9:10" x14ac:dyDescent="0.3">
      <c r="I2099" t="s">
        <v>10667</v>
      </c>
      <c r="J2099" t="s">
        <v>1214</v>
      </c>
    </row>
    <row r="2100" spans="9:10" x14ac:dyDescent="0.3">
      <c r="I2100" t="s">
        <v>10667</v>
      </c>
      <c r="J2100" t="s">
        <v>1214</v>
      </c>
    </row>
    <row r="2101" spans="9:10" x14ac:dyDescent="0.3">
      <c r="I2101" t="s">
        <v>10667</v>
      </c>
      <c r="J2101" t="s">
        <v>1214</v>
      </c>
    </row>
    <row r="2102" spans="9:10" x14ac:dyDescent="0.3">
      <c r="I2102" t="s">
        <v>10667</v>
      </c>
      <c r="J2102" t="s">
        <v>1214</v>
      </c>
    </row>
    <row r="2103" spans="9:10" x14ac:dyDescent="0.3">
      <c r="I2103" t="s">
        <v>10667</v>
      </c>
      <c r="J2103" t="s">
        <v>1214</v>
      </c>
    </row>
    <row r="2104" spans="9:10" x14ac:dyDescent="0.3">
      <c r="I2104" t="s">
        <v>10671</v>
      </c>
      <c r="J2104" t="s">
        <v>1215</v>
      </c>
    </row>
    <row r="2105" spans="9:10" x14ac:dyDescent="0.3">
      <c r="I2105" t="s">
        <v>10672</v>
      </c>
      <c r="J2105" t="s">
        <v>1215</v>
      </c>
    </row>
    <row r="2106" spans="9:10" x14ac:dyDescent="0.3">
      <c r="I2106" t="s">
        <v>10673</v>
      </c>
      <c r="J2106" t="s">
        <v>1215</v>
      </c>
    </row>
    <row r="2107" spans="9:10" x14ac:dyDescent="0.3">
      <c r="I2107" t="s">
        <v>10674</v>
      </c>
      <c r="J2107" t="s">
        <v>1215</v>
      </c>
    </row>
    <row r="2108" spans="9:10" x14ac:dyDescent="0.3">
      <c r="I2108" t="s">
        <v>10671</v>
      </c>
      <c r="J2108" t="s">
        <v>1215</v>
      </c>
    </row>
    <row r="2109" spans="9:10" x14ac:dyDescent="0.3">
      <c r="I2109" t="s">
        <v>10675</v>
      </c>
      <c r="J2109" t="s">
        <v>1215</v>
      </c>
    </row>
    <row r="2110" spans="9:10" x14ac:dyDescent="0.3">
      <c r="I2110" t="s">
        <v>10676</v>
      </c>
      <c r="J2110" t="s">
        <v>1215</v>
      </c>
    </row>
    <row r="2111" spans="9:10" x14ac:dyDescent="0.3">
      <c r="I2111" t="s">
        <v>10671</v>
      </c>
      <c r="J2111" t="s">
        <v>1215</v>
      </c>
    </row>
    <row r="2112" spans="9:10" x14ac:dyDescent="0.3">
      <c r="I2112" t="s">
        <v>10677</v>
      </c>
      <c r="J2112" t="s">
        <v>1216</v>
      </c>
    </row>
    <row r="2113" spans="9:10" x14ac:dyDescent="0.3">
      <c r="I2113" t="s">
        <v>10677</v>
      </c>
      <c r="J2113" t="s">
        <v>1216</v>
      </c>
    </row>
    <row r="2114" spans="9:10" x14ac:dyDescent="0.3">
      <c r="I2114" t="s">
        <v>10677</v>
      </c>
      <c r="J2114" t="s">
        <v>1216</v>
      </c>
    </row>
    <row r="2115" spans="9:10" x14ac:dyDescent="0.3">
      <c r="I2115" t="s">
        <v>10677</v>
      </c>
      <c r="J2115" t="s">
        <v>1216</v>
      </c>
    </row>
    <row r="2116" spans="9:10" x14ac:dyDescent="0.3">
      <c r="I2116" t="s">
        <v>10678</v>
      </c>
      <c r="J2116" t="s">
        <v>1217</v>
      </c>
    </row>
    <row r="2117" spans="9:10" x14ac:dyDescent="0.3">
      <c r="I2117" t="s">
        <v>10679</v>
      </c>
      <c r="J2117" t="s">
        <v>1217</v>
      </c>
    </row>
    <row r="2118" spans="9:10" x14ac:dyDescent="0.3">
      <c r="I2118" t="s">
        <v>10679</v>
      </c>
      <c r="J2118" t="s">
        <v>1217</v>
      </c>
    </row>
    <row r="2119" spans="9:10" x14ac:dyDescent="0.3">
      <c r="I2119" t="s">
        <v>10680</v>
      </c>
      <c r="J2119" t="s">
        <v>1217</v>
      </c>
    </row>
    <row r="2120" spans="9:10" x14ac:dyDescent="0.3">
      <c r="I2120" t="s">
        <v>10681</v>
      </c>
      <c r="J2120" t="s">
        <v>1217</v>
      </c>
    </row>
    <row r="2121" spans="9:10" x14ac:dyDescent="0.3">
      <c r="I2121" t="s">
        <v>10682</v>
      </c>
      <c r="J2121" t="s">
        <v>1217</v>
      </c>
    </row>
    <row r="2122" spans="9:10" x14ac:dyDescent="0.3">
      <c r="I2122" t="s">
        <v>10683</v>
      </c>
      <c r="J2122" t="s">
        <v>1217</v>
      </c>
    </row>
    <row r="2123" spans="9:10" x14ac:dyDescent="0.3">
      <c r="I2123" t="s">
        <v>10684</v>
      </c>
      <c r="J2123" t="s">
        <v>1217</v>
      </c>
    </row>
    <row r="2124" spans="9:10" x14ac:dyDescent="0.3">
      <c r="I2124" t="s">
        <v>10685</v>
      </c>
      <c r="J2124" t="s">
        <v>1217</v>
      </c>
    </row>
    <row r="2125" spans="9:10" x14ac:dyDescent="0.3">
      <c r="I2125" t="s">
        <v>10678</v>
      </c>
      <c r="J2125" t="s">
        <v>1217</v>
      </c>
    </row>
    <row r="2126" spans="9:10" x14ac:dyDescent="0.3">
      <c r="I2126" t="s">
        <v>10679</v>
      </c>
      <c r="J2126" t="s">
        <v>1217</v>
      </c>
    </row>
    <row r="2127" spans="9:10" x14ac:dyDescent="0.3">
      <c r="I2127" t="s">
        <v>10679</v>
      </c>
      <c r="J2127" t="s">
        <v>1217</v>
      </c>
    </row>
    <row r="2128" spans="9:10" x14ac:dyDescent="0.3">
      <c r="I2128" t="s">
        <v>10686</v>
      </c>
      <c r="J2128" t="s">
        <v>1217</v>
      </c>
    </row>
    <row r="2129" spans="9:10" x14ac:dyDescent="0.3">
      <c r="I2129" t="s">
        <v>10687</v>
      </c>
      <c r="J2129" t="s">
        <v>1217</v>
      </c>
    </row>
    <row r="2130" spans="9:10" x14ac:dyDescent="0.3">
      <c r="I2130" t="s">
        <v>10688</v>
      </c>
      <c r="J2130" t="s">
        <v>1217</v>
      </c>
    </row>
    <row r="2131" spans="9:10" x14ac:dyDescent="0.3">
      <c r="I2131" t="s">
        <v>10689</v>
      </c>
      <c r="J2131" t="s">
        <v>1217</v>
      </c>
    </row>
    <row r="2132" spans="9:10" x14ac:dyDescent="0.3">
      <c r="I2132" t="s">
        <v>10690</v>
      </c>
      <c r="J2132" t="s">
        <v>1217</v>
      </c>
    </row>
    <row r="2133" spans="9:10" x14ac:dyDescent="0.3">
      <c r="I2133" t="s">
        <v>10691</v>
      </c>
      <c r="J2133" t="s">
        <v>1217</v>
      </c>
    </row>
    <row r="2134" spans="9:10" x14ac:dyDescent="0.3">
      <c r="I2134" t="s">
        <v>10692</v>
      </c>
      <c r="J2134" t="s">
        <v>1217</v>
      </c>
    </row>
    <row r="2135" spans="9:10" x14ac:dyDescent="0.3">
      <c r="I2135" t="s">
        <v>10693</v>
      </c>
      <c r="J2135" t="s">
        <v>1217</v>
      </c>
    </row>
    <row r="2136" spans="9:10" x14ac:dyDescent="0.3">
      <c r="I2136" t="s">
        <v>10679</v>
      </c>
      <c r="J2136" t="s">
        <v>1217</v>
      </c>
    </row>
    <row r="2137" spans="9:10" x14ac:dyDescent="0.3">
      <c r="I2137" t="s">
        <v>10679</v>
      </c>
      <c r="J2137" t="s">
        <v>1217</v>
      </c>
    </row>
    <row r="2138" spans="9:10" x14ac:dyDescent="0.3">
      <c r="I2138" t="s">
        <v>10679</v>
      </c>
      <c r="J2138" t="s">
        <v>1217</v>
      </c>
    </row>
    <row r="2139" spans="9:10" x14ac:dyDescent="0.3">
      <c r="I2139" t="s">
        <v>10679</v>
      </c>
      <c r="J2139" t="s">
        <v>1217</v>
      </c>
    </row>
    <row r="2140" spans="9:10" x14ac:dyDescent="0.3">
      <c r="I2140" t="s">
        <v>10679</v>
      </c>
      <c r="J2140" t="s">
        <v>1217</v>
      </c>
    </row>
    <row r="2141" spans="9:10" x14ac:dyDescent="0.3">
      <c r="I2141" t="s">
        <v>10694</v>
      </c>
      <c r="J2141" t="s">
        <v>1217</v>
      </c>
    </row>
    <row r="2142" spans="9:10" x14ac:dyDescent="0.3">
      <c r="I2142" t="s">
        <v>10679</v>
      </c>
      <c r="J2142" t="s">
        <v>1217</v>
      </c>
    </row>
    <row r="2143" spans="9:10" x14ac:dyDescent="0.3">
      <c r="I2143" t="s">
        <v>10679</v>
      </c>
      <c r="J2143" t="s">
        <v>1217</v>
      </c>
    </row>
    <row r="2144" spans="9:10" x14ac:dyDescent="0.3">
      <c r="I2144" t="s">
        <v>10679</v>
      </c>
      <c r="J2144" t="s">
        <v>1217</v>
      </c>
    </row>
    <row r="2145" spans="9:10" x14ac:dyDescent="0.3">
      <c r="I2145" t="s">
        <v>10695</v>
      </c>
      <c r="J2145" t="s">
        <v>1217</v>
      </c>
    </row>
    <row r="2146" spans="9:10" x14ac:dyDescent="0.3">
      <c r="I2146" t="s">
        <v>10696</v>
      </c>
      <c r="J2146" t="s">
        <v>1217</v>
      </c>
    </row>
    <row r="2147" spans="9:10" x14ac:dyDescent="0.3">
      <c r="I2147" t="s">
        <v>10697</v>
      </c>
      <c r="J2147" t="s">
        <v>1217</v>
      </c>
    </row>
    <row r="2148" spans="9:10" x14ac:dyDescent="0.3">
      <c r="I2148" t="s">
        <v>10698</v>
      </c>
      <c r="J2148" t="s">
        <v>1217</v>
      </c>
    </row>
    <row r="2149" spans="9:10" x14ac:dyDescent="0.3">
      <c r="I2149" t="s">
        <v>10699</v>
      </c>
      <c r="J2149" t="s">
        <v>1217</v>
      </c>
    </row>
    <row r="2150" spans="9:10" x14ac:dyDescent="0.3">
      <c r="I2150" t="s">
        <v>10700</v>
      </c>
      <c r="J2150" t="s">
        <v>1217</v>
      </c>
    </row>
    <row r="2151" spans="9:10" x14ac:dyDescent="0.3">
      <c r="I2151" t="s">
        <v>10701</v>
      </c>
      <c r="J2151" t="s">
        <v>1217</v>
      </c>
    </row>
    <row r="2152" spans="9:10" x14ac:dyDescent="0.3">
      <c r="I2152" t="s">
        <v>10702</v>
      </c>
      <c r="J2152" t="s">
        <v>1218</v>
      </c>
    </row>
    <row r="2153" spans="9:10" x14ac:dyDescent="0.3">
      <c r="I2153" t="s">
        <v>10703</v>
      </c>
      <c r="J2153" t="s">
        <v>1219</v>
      </c>
    </row>
    <row r="2154" spans="9:10" x14ac:dyDescent="0.3">
      <c r="I2154" t="s">
        <v>10704</v>
      </c>
      <c r="J2154" t="s">
        <v>1220</v>
      </c>
    </row>
    <row r="2155" spans="9:10" x14ac:dyDescent="0.3">
      <c r="I2155" t="s">
        <v>10705</v>
      </c>
      <c r="J2155" t="s">
        <v>1221</v>
      </c>
    </row>
    <row r="2156" spans="9:10" x14ac:dyDescent="0.3">
      <c r="I2156" t="s">
        <v>10706</v>
      </c>
      <c r="J2156" t="s">
        <v>1221</v>
      </c>
    </row>
    <row r="2157" spans="9:10" x14ac:dyDescent="0.3">
      <c r="I2157" t="s">
        <v>10707</v>
      </c>
    </row>
    <row r="2158" spans="9:10" x14ac:dyDescent="0.3">
      <c r="I2158" t="s">
        <v>10707</v>
      </c>
    </row>
    <row r="2159" spans="9:10" x14ac:dyDescent="0.3">
      <c r="I2159" t="s">
        <v>10708</v>
      </c>
      <c r="J2159" t="s">
        <v>1222</v>
      </c>
    </row>
    <row r="2160" spans="9:10" x14ac:dyDescent="0.3">
      <c r="I2160" t="s">
        <v>10709</v>
      </c>
      <c r="J2160" t="s">
        <v>1222</v>
      </c>
    </row>
    <row r="2161" spans="9:10" x14ac:dyDescent="0.3">
      <c r="I2161" t="s">
        <v>10710</v>
      </c>
      <c r="J2161" t="s">
        <v>1222</v>
      </c>
    </row>
    <row r="2162" spans="9:10" x14ac:dyDescent="0.3">
      <c r="I2162" t="s">
        <v>10711</v>
      </c>
      <c r="J2162" t="s">
        <v>1223</v>
      </c>
    </row>
    <row r="2163" spans="9:10" x14ac:dyDescent="0.3">
      <c r="I2163" t="s">
        <v>10712</v>
      </c>
      <c r="J2163" t="s">
        <v>1223</v>
      </c>
    </row>
    <row r="2164" spans="9:10" x14ac:dyDescent="0.3">
      <c r="I2164" t="s">
        <v>10713</v>
      </c>
      <c r="J2164" t="s">
        <v>1223</v>
      </c>
    </row>
    <row r="2165" spans="9:10" x14ac:dyDescent="0.3">
      <c r="I2165" t="s">
        <v>10712</v>
      </c>
      <c r="J2165" t="s">
        <v>1223</v>
      </c>
    </row>
    <row r="2166" spans="9:10" x14ac:dyDescent="0.3">
      <c r="I2166" t="s">
        <v>10713</v>
      </c>
      <c r="J2166" t="s">
        <v>1223</v>
      </c>
    </row>
    <row r="2167" spans="9:10" x14ac:dyDescent="0.3">
      <c r="I2167" t="s">
        <v>10714</v>
      </c>
      <c r="J2167" t="s">
        <v>1223</v>
      </c>
    </row>
    <row r="2168" spans="9:10" x14ac:dyDescent="0.3">
      <c r="I2168" t="s">
        <v>10715</v>
      </c>
      <c r="J2168" t="s">
        <v>1223</v>
      </c>
    </row>
    <row r="2169" spans="9:10" x14ac:dyDescent="0.3">
      <c r="I2169" t="s">
        <v>10716</v>
      </c>
      <c r="J2169" t="s">
        <v>1224</v>
      </c>
    </row>
    <row r="2170" spans="9:10" x14ac:dyDescent="0.3">
      <c r="I2170" t="s">
        <v>10717</v>
      </c>
      <c r="J2170" t="s">
        <v>1224</v>
      </c>
    </row>
    <row r="2171" spans="9:10" x14ac:dyDescent="0.3">
      <c r="I2171" t="s">
        <v>10718</v>
      </c>
      <c r="J2171" t="s">
        <v>1224</v>
      </c>
    </row>
    <row r="2172" spans="9:10" x14ac:dyDescent="0.3">
      <c r="I2172" t="s">
        <v>10718</v>
      </c>
      <c r="J2172" t="s">
        <v>1224</v>
      </c>
    </row>
    <row r="2173" spans="9:10" x14ac:dyDescent="0.3">
      <c r="I2173" t="s">
        <v>10718</v>
      </c>
      <c r="J2173" t="s">
        <v>1224</v>
      </c>
    </row>
    <row r="2174" spans="9:10" x14ac:dyDescent="0.3">
      <c r="I2174" t="s">
        <v>10719</v>
      </c>
    </row>
    <row r="2175" spans="9:10" x14ac:dyDescent="0.3">
      <c r="I2175" t="s">
        <v>10720</v>
      </c>
    </row>
    <row r="2176" spans="9:10" x14ac:dyDescent="0.3">
      <c r="I2176" t="s">
        <v>10721</v>
      </c>
    </row>
    <row r="2177" spans="9:10" x14ac:dyDescent="0.3">
      <c r="I2177" t="s">
        <v>10722</v>
      </c>
    </row>
    <row r="2178" spans="9:10" x14ac:dyDescent="0.3">
      <c r="I2178" t="s">
        <v>10723</v>
      </c>
    </row>
    <row r="2179" spans="9:10" x14ac:dyDescent="0.3">
      <c r="I2179" t="s">
        <v>10723</v>
      </c>
    </row>
    <row r="2180" spans="9:10" x14ac:dyDescent="0.3">
      <c r="I2180" t="s">
        <v>10724</v>
      </c>
      <c r="J2180" t="s">
        <v>1225</v>
      </c>
    </row>
    <row r="2181" spans="9:10" x14ac:dyDescent="0.3">
      <c r="I2181" t="s">
        <v>10725</v>
      </c>
      <c r="J2181" t="s">
        <v>1225</v>
      </c>
    </row>
    <row r="2182" spans="9:10" x14ac:dyDescent="0.3">
      <c r="I2182" t="s">
        <v>10726</v>
      </c>
    </row>
    <row r="2183" spans="9:10" x14ac:dyDescent="0.3">
      <c r="I2183" t="s">
        <v>10727</v>
      </c>
      <c r="J2183" t="s">
        <v>1226</v>
      </c>
    </row>
    <row r="2184" spans="9:10" x14ac:dyDescent="0.3">
      <c r="I2184" t="s">
        <v>10728</v>
      </c>
      <c r="J2184" t="s">
        <v>1226</v>
      </c>
    </row>
    <row r="2185" spans="9:10" x14ac:dyDescent="0.3">
      <c r="I2185" t="s">
        <v>10729</v>
      </c>
    </row>
    <row r="2186" spans="9:10" x14ac:dyDescent="0.3">
      <c r="I2186" t="s">
        <v>10730</v>
      </c>
    </row>
    <row r="2187" spans="9:10" x14ac:dyDescent="0.3">
      <c r="I2187" t="s">
        <v>10731</v>
      </c>
      <c r="J2187" t="s">
        <v>1227</v>
      </c>
    </row>
    <row r="2188" spans="9:10" x14ac:dyDescent="0.3">
      <c r="I2188" t="s">
        <v>10731</v>
      </c>
      <c r="J2188" t="s">
        <v>1227</v>
      </c>
    </row>
    <row r="2189" spans="9:10" x14ac:dyDescent="0.3">
      <c r="I2189" t="s">
        <v>10732</v>
      </c>
      <c r="J2189" t="s">
        <v>1227</v>
      </c>
    </row>
    <row r="2190" spans="9:10" x14ac:dyDescent="0.3">
      <c r="I2190" t="s">
        <v>10733</v>
      </c>
    </row>
    <row r="2191" spans="9:10" x14ac:dyDescent="0.3">
      <c r="I2191" t="s">
        <v>10734</v>
      </c>
      <c r="J2191" t="s">
        <v>1228</v>
      </c>
    </row>
    <row r="2192" spans="9:10" x14ac:dyDescent="0.3">
      <c r="I2192" t="s">
        <v>10735</v>
      </c>
      <c r="J2192" t="s">
        <v>1228</v>
      </c>
    </row>
    <row r="2193" spans="9:10" x14ac:dyDescent="0.3">
      <c r="I2193" t="s">
        <v>10736</v>
      </c>
      <c r="J2193" t="s">
        <v>1228</v>
      </c>
    </row>
    <row r="2194" spans="9:10" x14ac:dyDescent="0.3">
      <c r="I2194" t="s">
        <v>10737</v>
      </c>
      <c r="J2194" t="s">
        <v>1228</v>
      </c>
    </row>
    <row r="2195" spans="9:10" x14ac:dyDescent="0.3">
      <c r="I2195" t="s">
        <v>10738</v>
      </c>
      <c r="J2195" t="s">
        <v>1228</v>
      </c>
    </row>
    <row r="2196" spans="9:10" x14ac:dyDescent="0.3">
      <c r="I2196" t="s">
        <v>10739</v>
      </c>
      <c r="J2196" t="s">
        <v>1228</v>
      </c>
    </row>
    <row r="2197" spans="9:10" x14ac:dyDescent="0.3">
      <c r="I2197" t="s">
        <v>10740</v>
      </c>
      <c r="J2197" t="s">
        <v>1228</v>
      </c>
    </row>
    <row r="2198" spans="9:10" x14ac:dyDescent="0.3">
      <c r="I2198" t="s">
        <v>10741</v>
      </c>
      <c r="J2198" t="s">
        <v>1228</v>
      </c>
    </row>
    <row r="2199" spans="9:10" x14ac:dyDescent="0.3">
      <c r="I2199" t="s">
        <v>10741</v>
      </c>
      <c r="J2199" t="s">
        <v>1228</v>
      </c>
    </row>
    <row r="2200" spans="9:10" x14ac:dyDescent="0.3">
      <c r="I2200" t="s">
        <v>10742</v>
      </c>
      <c r="J2200" t="s">
        <v>1228</v>
      </c>
    </row>
    <row r="2201" spans="9:10" x14ac:dyDescent="0.3">
      <c r="I2201" t="s">
        <v>10743</v>
      </c>
      <c r="J2201" t="s">
        <v>1228</v>
      </c>
    </row>
    <row r="2202" spans="9:10" x14ac:dyDescent="0.3">
      <c r="I2202" t="s">
        <v>10744</v>
      </c>
      <c r="J2202" t="s">
        <v>1228</v>
      </c>
    </row>
    <row r="2203" spans="9:10" x14ac:dyDescent="0.3">
      <c r="I2203" t="s">
        <v>10745</v>
      </c>
      <c r="J2203" t="s">
        <v>1228</v>
      </c>
    </row>
    <row r="2204" spans="9:10" x14ac:dyDescent="0.3">
      <c r="I2204" t="s">
        <v>10746</v>
      </c>
      <c r="J2204" t="s">
        <v>1228</v>
      </c>
    </row>
    <row r="2205" spans="9:10" x14ac:dyDescent="0.3">
      <c r="I2205" t="s">
        <v>10747</v>
      </c>
      <c r="J2205" t="s">
        <v>1228</v>
      </c>
    </row>
    <row r="2206" spans="9:10" x14ac:dyDescent="0.3">
      <c r="I2206" t="s">
        <v>10748</v>
      </c>
      <c r="J2206" t="s">
        <v>1228</v>
      </c>
    </row>
    <row r="2207" spans="9:10" x14ac:dyDescent="0.3">
      <c r="I2207" t="s">
        <v>10749</v>
      </c>
      <c r="J2207" t="s">
        <v>1228</v>
      </c>
    </row>
    <row r="2208" spans="9:10" x14ac:dyDescent="0.3">
      <c r="I2208" t="s">
        <v>10750</v>
      </c>
      <c r="J2208" t="s">
        <v>1228</v>
      </c>
    </row>
    <row r="2209" spans="9:10" x14ac:dyDescent="0.3">
      <c r="I2209" t="s">
        <v>10751</v>
      </c>
      <c r="J2209" t="s">
        <v>1228</v>
      </c>
    </row>
    <row r="2210" spans="9:10" x14ac:dyDescent="0.3">
      <c r="I2210" t="s">
        <v>10752</v>
      </c>
      <c r="J2210" t="s">
        <v>1228</v>
      </c>
    </row>
    <row r="2211" spans="9:10" x14ac:dyDescent="0.3">
      <c r="I2211" t="s">
        <v>10753</v>
      </c>
      <c r="J2211" t="s">
        <v>1228</v>
      </c>
    </row>
    <row r="2212" spans="9:10" x14ac:dyDescent="0.3">
      <c r="I2212" t="s">
        <v>10754</v>
      </c>
      <c r="J2212" t="s">
        <v>1229</v>
      </c>
    </row>
    <row r="2213" spans="9:10" x14ac:dyDescent="0.3">
      <c r="I2213" t="s">
        <v>10754</v>
      </c>
      <c r="J2213" t="s">
        <v>1229</v>
      </c>
    </row>
    <row r="2214" spans="9:10" x14ac:dyDescent="0.3">
      <c r="I2214" t="s">
        <v>10755</v>
      </c>
      <c r="J2214" t="s">
        <v>1229</v>
      </c>
    </row>
    <row r="2215" spans="9:10" x14ac:dyDescent="0.3">
      <c r="I2215" t="s">
        <v>10756</v>
      </c>
      <c r="J2215" t="s">
        <v>451</v>
      </c>
    </row>
    <row r="2216" spans="9:10" x14ac:dyDescent="0.3">
      <c r="I2216" t="s">
        <v>10756</v>
      </c>
      <c r="J2216" t="s">
        <v>451</v>
      </c>
    </row>
    <row r="2217" spans="9:10" x14ac:dyDescent="0.3">
      <c r="I2217" t="s">
        <v>10756</v>
      </c>
      <c r="J2217" t="s">
        <v>451</v>
      </c>
    </row>
    <row r="2218" spans="9:10" x14ac:dyDescent="0.3">
      <c r="I2218" t="s">
        <v>10756</v>
      </c>
      <c r="J2218" t="s">
        <v>451</v>
      </c>
    </row>
    <row r="2219" spans="9:10" x14ac:dyDescent="0.3">
      <c r="I2219" t="s">
        <v>10757</v>
      </c>
      <c r="J2219" t="s">
        <v>451</v>
      </c>
    </row>
    <row r="2220" spans="9:10" x14ac:dyDescent="0.3">
      <c r="I2220" t="s">
        <v>10756</v>
      </c>
      <c r="J2220" t="s">
        <v>451</v>
      </c>
    </row>
    <row r="2221" spans="9:10" x14ac:dyDescent="0.3">
      <c r="I2221" t="s">
        <v>10758</v>
      </c>
      <c r="J2221" t="s">
        <v>1230</v>
      </c>
    </row>
    <row r="2222" spans="9:10" x14ac:dyDescent="0.3">
      <c r="I2222" t="s">
        <v>10759</v>
      </c>
    </row>
    <row r="2223" spans="9:10" x14ac:dyDescent="0.3">
      <c r="I2223" t="s">
        <v>10760</v>
      </c>
    </row>
    <row r="2224" spans="9:10" x14ac:dyDescent="0.3">
      <c r="I2224" t="s">
        <v>10761</v>
      </c>
    </row>
    <row r="2225" spans="9:10" x14ac:dyDescent="0.3">
      <c r="I2225" t="s">
        <v>10762</v>
      </c>
    </row>
    <row r="2226" spans="9:10" x14ac:dyDescent="0.3">
      <c r="I2226" t="s">
        <v>10763</v>
      </c>
      <c r="J2226" t="s">
        <v>1231</v>
      </c>
    </row>
    <row r="2227" spans="9:10" x14ac:dyDescent="0.3">
      <c r="I2227" t="s">
        <v>10764</v>
      </c>
    </row>
    <row r="2228" spans="9:10" x14ac:dyDescent="0.3">
      <c r="I2228" t="s">
        <v>10765</v>
      </c>
      <c r="J2228" t="s">
        <v>1232</v>
      </c>
    </row>
    <row r="2229" spans="9:10" x14ac:dyDescent="0.3">
      <c r="I2229" t="s">
        <v>10765</v>
      </c>
      <c r="J2229" t="s">
        <v>1232</v>
      </c>
    </row>
    <row r="2230" spans="9:10" x14ac:dyDescent="0.3">
      <c r="I2230" t="s">
        <v>10766</v>
      </c>
      <c r="J2230" t="s">
        <v>1232</v>
      </c>
    </row>
    <row r="2231" spans="9:10" x14ac:dyDescent="0.3">
      <c r="I2231" t="s">
        <v>10767</v>
      </c>
      <c r="J2231" t="s">
        <v>455</v>
      </c>
    </row>
    <row r="2232" spans="9:10" x14ac:dyDescent="0.3">
      <c r="I2232" t="s">
        <v>10767</v>
      </c>
      <c r="J2232" t="s">
        <v>455</v>
      </c>
    </row>
    <row r="2233" spans="9:10" x14ac:dyDescent="0.3">
      <c r="I2233" t="s">
        <v>10767</v>
      </c>
      <c r="J2233" t="s">
        <v>455</v>
      </c>
    </row>
    <row r="2234" spans="9:10" x14ac:dyDescent="0.3">
      <c r="I2234" t="s">
        <v>10768</v>
      </c>
      <c r="J2234" t="s">
        <v>455</v>
      </c>
    </row>
    <row r="2235" spans="9:10" x14ac:dyDescent="0.3">
      <c r="I2235" t="s">
        <v>10767</v>
      </c>
      <c r="J2235" t="s">
        <v>455</v>
      </c>
    </row>
    <row r="2236" spans="9:10" x14ac:dyDescent="0.3">
      <c r="I2236" t="s">
        <v>10769</v>
      </c>
    </row>
    <row r="2237" spans="9:10" x14ac:dyDescent="0.3">
      <c r="I2237" t="s">
        <v>10770</v>
      </c>
      <c r="J2237" t="s">
        <v>1233</v>
      </c>
    </row>
    <row r="2238" spans="9:10" x14ac:dyDescent="0.3">
      <c r="I2238" t="s">
        <v>10771</v>
      </c>
      <c r="J2238" t="s">
        <v>1234</v>
      </c>
    </row>
    <row r="2239" spans="9:10" x14ac:dyDescent="0.3">
      <c r="I2239" t="s">
        <v>10771</v>
      </c>
      <c r="J2239" t="s">
        <v>1234</v>
      </c>
    </row>
    <row r="2240" spans="9:10" x14ac:dyDescent="0.3">
      <c r="I2240" t="s">
        <v>10772</v>
      </c>
      <c r="J2240" t="s">
        <v>1235</v>
      </c>
    </row>
    <row r="2241" spans="9:10" x14ac:dyDescent="0.3">
      <c r="I2241" t="s">
        <v>10772</v>
      </c>
      <c r="J2241" t="s">
        <v>1235</v>
      </c>
    </row>
    <row r="2242" spans="9:10" x14ac:dyDescent="0.3">
      <c r="I2242" t="s">
        <v>10772</v>
      </c>
      <c r="J2242" t="s">
        <v>1235</v>
      </c>
    </row>
    <row r="2243" spans="9:10" x14ac:dyDescent="0.3">
      <c r="I2243" t="s">
        <v>10773</v>
      </c>
      <c r="J2243" t="s">
        <v>681</v>
      </c>
    </row>
    <row r="2244" spans="9:10" x14ac:dyDescent="0.3">
      <c r="I2244" t="s">
        <v>10773</v>
      </c>
      <c r="J2244" t="s">
        <v>681</v>
      </c>
    </row>
    <row r="2245" spans="9:10" x14ac:dyDescent="0.3">
      <c r="I2245" t="s">
        <v>10774</v>
      </c>
      <c r="J2245" t="s">
        <v>1236</v>
      </c>
    </row>
    <row r="2246" spans="9:10" x14ac:dyDescent="0.3">
      <c r="I2246" t="s">
        <v>10775</v>
      </c>
      <c r="J2246" t="s">
        <v>1236</v>
      </c>
    </row>
    <row r="2247" spans="9:10" x14ac:dyDescent="0.3">
      <c r="I2247" t="s">
        <v>10776</v>
      </c>
      <c r="J2247" t="s">
        <v>1236</v>
      </c>
    </row>
    <row r="2248" spans="9:10" x14ac:dyDescent="0.3">
      <c r="I2248" t="s">
        <v>10777</v>
      </c>
      <c r="J2248" t="s">
        <v>1237</v>
      </c>
    </row>
    <row r="2249" spans="9:10" x14ac:dyDescent="0.3">
      <c r="I2249" t="s">
        <v>10777</v>
      </c>
      <c r="J2249" t="s">
        <v>1237</v>
      </c>
    </row>
    <row r="2250" spans="9:10" x14ac:dyDescent="0.3">
      <c r="I2250" t="s">
        <v>10778</v>
      </c>
      <c r="J2250" t="s">
        <v>127</v>
      </c>
    </row>
    <row r="2251" spans="9:10" x14ac:dyDescent="0.3">
      <c r="I2251" t="s">
        <v>10779</v>
      </c>
      <c r="J2251" t="s">
        <v>127</v>
      </c>
    </row>
    <row r="2252" spans="9:10" x14ac:dyDescent="0.3">
      <c r="I2252" t="s">
        <v>10780</v>
      </c>
      <c r="J2252" t="s">
        <v>127</v>
      </c>
    </row>
    <row r="2253" spans="9:10" x14ac:dyDescent="0.3">
      <c r="I2253" t="s">
        <v>10781</v>
      </c>
      <c r="J2253" t="s">
        <v>133</v>
      </c>
    </row>
    <row r="2254" spans="9:10" x14ac:dyDescent="0.3">
      <c r="I2254" t="s">
        <v>10782</v>
      </c>
      <c r="J2254" t="s">
        <v>1238</v>
      </c>
    </row>
    <row r="2255" spans="9:10" x14ac:dyDescent="0.3">
      <c r="I2255" t="s">
        <v>10783</v>
      </c>
      <c r="J2255" t="s">
        <v>888</v>
      </c>
    </row>
    <row r="2256" spans="9:10" x14ac:dyDescent="0.3">
      <c r="I2256" t="s">
        <v>10784</v>
      </c>
      <c r="J2256" t="s">
        <v>1239</v>
      </c>
    </row>
    <row r="2257" spans="9:10" x14ac:dyDescent="0.3">
      <c r="I2257" t="s">
        <v>10785</v>
      </c>
      <c r="J2257" t="s">
        <v>150</v>
      </c>
    </row>
    <row r="2258" spans="9:10" x14ac:dyDescent="0.3">
      <c r="I2258" t="s">
        <v>10785</v>
      </c>
      <c r="J2258" t="s">
        <v>150</v>
      </c>
    </row>
    <row r="2259" spans="9:10" x14ac:dyDescent="0.3">
      <c r="I2259" t="s">
        <v>10786</v>
      </c>
      <c r="J2259" t="s">
        <v>1240</v>
      </c>
    </row>
    <row r="2260" spans="9:10" x14ac:dyDescent="0.3">
      <c r="I2260" t="s">
        <v>10787</v>
      </c>
      <c r="J2260" t="s">
        <v>156</v>
      </c>
    </row>
    <row r="2261" spans="9:10" x14ac:dyDescent="0.3">
      <c r="I2261" t="s">
        <v>10788</v>
      </c>
      <c r="J2261" t="s">
        <v>156</v>
      </c>
    </row>
    <row r="2262" spans="9:10" x14ac:dyDescent="0.3">
      <c r="I2262" t="s">
        <v>10789</v>
      </c>
      <c r="J2262" t="s">
        <v>1241</v>
      </c>
    </row>
    <row r="2263" spans="9:10" x14ac:dyDescent="0.3">
      <c r="I2263" t="s">
        <v>10790</v>
      </c>
      <c r="J2263" t="s">
        <v>1241</v>
      </c>
    </row>
    <row r="2264" spans="9:10" x14ac:dyDescent="0.3">
      <c r="I2264" t="s">
        <v>10791</v>
      </c>
      <c r="J2264" t="s">
        <v>1241</v>
      </c>
    </row>
    <row r="2265" spans="9:10" x14ac:dyDescent="0.3">
      <c r="I2265" t="s">
        <v>10792</v>
      </c>
      <c r="J2265" t="s">
        <v>1241</v>
      </c>
    </row>
    <row r="2266" spans="9:10" x14ac:dyDescent="0.3">
      <c r="I2266" t="s">
        <v>10793</v>
      </c>
      <c r="J2266" t="s">
        <v>1242</v>
      </c>
    </row>
    <row r="2267" spans="9:10" x14ac:dyDescent="0.3">
      <c r="I2267" t="s">
        <v>10794</v>
      </c>
    </row>
    <row r="2268" spans="9:10" x14ac:dyDescent="0.3">
      <c r="I2268" t="s">
        <v>10795</v>
      </c>
      <c r="J2268" t="s">
        <v>1243</v>
      </c>
    </row>
    <row r="2269" spans="9:10" x14ac:dyDescent="0.3">
      <c r="I2269" t="s">
        <v>10795</v>
      </c>
      <c r="J2269" t="s">
        <v>1243</v>
      </c>
    </row>
    <row r="2270" spans="9:10" x14ac:dyDescent="0.3">
      <c r="I2270" t="s">
        <v>10795</v>
      </c>
      <c r="J2270" t="s">
        <v>1243</v>
      </c>
    </row>
    <row r="2271" spans="9:10" x14ac:dyDescent="0.3">
      <c r="I2271" t="s">
        <v>10796</v>
      </c>
      <c r="J2271" t="s">
        <v>1244</v>
      </c>
    </row>
    <row r="2272" spans="9:10" x14ac:dyDescent="0.3">
      <c r="I2272" t="s">
        <v>10797</v>
      </c>
      <c r="J2272" t="s">
        <v>1244</v>
      </c>
    </row>
    <row r="2273" spans="9:10" x14ac:dyDescent="0.3">
      <c r="I2273" t="s">
        <v>10798</v>
      </c>
      <c r="J2273" t="s">
        <v>1244</v>
      </c>
    </row>
    <row r="2274" spans="9:10" x14ac:dyDescent="0.3">
      <c r="I2274" t="s">
        <v>10799</v>
      </c>
      <c r="J2274" t="s">
        <v>1244</v>
      </c>
    </row>
    <row r="2275" spans="9:10" x14ac:dyDescent="0.3">
      <c r="I2275" t="s">
        <v>10800</v>
      </c>
      <c r="J2275" t="s">
        <v>1244</v>
      </c>
    </row>
    <row r="2276" spans="9:10" x14ac:dyDescent="0.3">
      <c r="I2276" t="s">
        <v>10801</v>
      </c>
      <c r="J2276" t="s">
        <v>1245</v>
      </c>
    </row>
    <row r="2277" spans="9:10" x14ac:dyDescent="0.3">
      <c r="I2277" t="s">
        <v>10802</v>
      </c>
      <c r="J2277" t="s">
        <v>1246</v>
      </c>
    </row>
    <row r="2278" spans="9:10" x14ac:dyDescent="0.3">
      <c r="I2278" t="s">
        <v>10803</v>
      </c>
      <c r="J2278" t="s">
        <v>1247</v>
      </c>
    </row>
    <row r="2279" spans="9:10" x14ac:dyDescent="0.3">
      <c r="I2279" t="s">
        <v>10804</v>
      </c>
      <c r="J2279" t="s">
        <v>206</v>
      </c>
    </row>
    <row r="2280" spans="9:10" x14ac:dyDescent="0.3">
      <c r="I2280" t="s">
        <v>10805</v>
      </c>
      <c r="J2280" t="s">
        <v>206</v>
      </c>
    </row>
    <row r="2281" spans="9:10" x14ac:dyDescent="0.3">
      <c r="I2281" t="s">
        <v>10806</v>
      </c>
      <c r="J2281" t="s">
        <v>206</v>
      </c>
    </row>
    <row r="2282" spans="9:10" x14ac:dyDescent="0.3">
      <c r="I2282" t="s">
        <v>10807</v>
      </c>
      <c r="J2282" t="s">
        <v>1248</v>
      </c>
    </row>
    <row r="2283" spans="9:10" x14ac:dyDescent="0.3">
      <c r="I2283" t="s">
        <v>10808</v>
      </c>
      <c r="J2283" t="s">
        <v>1248</v>
      </c>
    </row>
    <row r="2284" spans="9:10" x14ac:dyDescent="0.3">
      <c r="I2284" t="s">
        <v>10809</v>
      </c>
      <c r="J2284" t="s">
        <v>216</v>
      </c>
    </row>
    <row r="2285" spans="9:10" x14ac:dyDescent="0.3">
      <c r="I2285" t="s">
        <v>10809</v>
      </c>
      <c r="J2285" t="s">
        <v>216</v>
      </c>
    </row>
    <row r="2286" spans="9:10" x14ac:dyDescent="0.3">
      <c r="I2286" t="s">
        <v>10810</v>
      </c>
      <c r="J2286" t="s">
        <v>216</v>
      </c>
    </row>
    <row r="2287" spans="9:10" x14ac:dyDescent="0.3">
      <c r="I2287" t="s">
        <v>10811</v>
      </c>
      <c r="J2287" t="s">
        <v>220</v>
      </c>
    </row>
    <row r="2288" spans="9:10" x14ac:dyDescent="0.3">
      <c r="I2288" t="s">
        <v>10812</v>
      </c>
      <c r="J2288" t="s">
        <v>1249</v>
      </c>
    </row>
    <row r="2289" spans="9:10" x14ac:dyDescent="0.3">
      <c r="I2289" t="s">
        <v>10813</v>
      </c>
    </row>
    <row r="2290" spans="9:10" x14ac:dyDescent="0.3">
      <c r="I2290" t="s">
        <v>10814</v>
      </c>
    </row>
    <row r="2291" spans="9:10" x14ac:dyDescent="0.3">
      <c r="I2291" t="s">
        <v>10815</v>
      </c>
    </row>
    <row r="2292" spans="9:10" x14ac:dyDescent="0.3">
      <c r="I2292" t="s">
        <v>10816</v>
      </c>
    </row>
    <row r="2293" spans="9:10" x14ac:dyDescent="0.3">
      <c r="I2293" t="s">
        <v>10816</v>
      </c>
    </row>
    <row r="2294" spans="9:10" x14ac:dyDescent="0.3">
      <c r="I2294" t="s">
        <v>10816</v>
      </c>
    </row>
    <row r="2295" spans="9:10" x14ac:dyDescent="0.3">
      <c r="I2295" t="s">
        <v>10817</v>
      </c>
      <c r="J2295" t="s">
        <v>235</v>
      </c>
    </row>
    <row r="2296" spans="9:10" x14ac:dyDescent="0.3">
      <c r="I2296" t="s">
        <v>234</v>
      </c>
      <c r="J2296" t="s">
        <v>235</v>
      </c>
    </row>
    <row r="2297" spans="9:10" x14ac:dyDescent="0.3">
      <c r="I2297" t="s">
        <v>234</v>
      </c>
      <c r="J2297" t="s">
        <v>235</v>
      </c>
    </row>
    <row r="2298" spans="9:10" x14ac:dyDescent="0.3">
      <c r="I2298" t="s">
        <v>10818</v>
      </c>
      <c r="J2298" t="s">
        <v>1250</v>
      </c>
    </row>
    <row r="2299" spans="9:10" x14ac:dyDescent="0.3">
      <c r="I2299" t="s">
        <v>10819</v>
      </c>
      <c r="J2299" t="s">
        <v>242</v>
      </c>
    </row>
    <row r="2300" spans="9:10" x14ac:dyDescent="0.3">
      <c r="I2300" t="s">
        <v>10819</v>
      </c>
      <c r="J2300" t="s">
        <v>242</v>
      </c>
    </row>
    <row r="2301" spans="9:10" x14ac:dyDescent="0.3">
      <c r="I2301" t="s">
        <v>10820</v>
      </c>
      <c r="J2301" t="s">
        <v>1251</v>
      </c>
    </row>
    <row r="2302" spans="9:10" x14ac:dyDescent="0.3">
      <c r="I2302" t="s">
        <v>10821</v>
      </c>
      <c r="J2302" t="s">
        <v>1251</v>
      </c>
    </row>
    <row r="2303" spans="9:10" x14ac:dyDescent="0.3">
      <c r="I2303" t="s">
        <v>10822</v>
      </c>
      <c r="J2303" t="s">
        <v>249</v>
      </c>
    </row>
    <row r="2304" spans="9:10" x14ac:dyDescent="0.3">
      <c r="I2304" t="s">
        <v>10823</v>
      </c>
      <c r="J2304" t="s">
        <v>249</v>
      </c>
    </row>
    <row r="2305" spans="9:10" x14ac:dyDescent="0.3">
      <c r="I2305" t="s">
        <v>10824</v>
      </c>
      <c r="J2305" t="s">
        <v>257</v>
      </c>
    </row>
    <row r="2306" spans="9:10" x14ac:dyDescent="0.3">
      <c r="I2306" t="s">
        <v>10824</v>
      </c>
      <c r="J2306" t="s">
        <v>257</v>
      </c>
    </row>
    <row r="2307" spans="9:10" x14ac:dyDescent="0.3">
      <c r="I2307" t="s">
        <v>10825</v>
      </c>
      <c r="J2307" t="s">
        <v>1252</v>
      </c>
    </row>
    <row r="2308" spans="9:10" x14ac:dyDescent="0.3">
      <c r="I2308" t="s">
        <v>10826</v>
      </c>
      <c r="J2308" t="s">
        <v>1253</v>
      </c>
    </row>
    <row r="2309" spans="9:10" x14ac:dyDescent="0.3">
      <c r="I2309" t="s">
        <v>10827</v>
      </c>
      <c r="J2309" t="s">
        <v>269</v>
      </c>
    </row>
    <row r="2310" spans="9:10" x14ac:dyDescent="0.3">
      <c r="I2310" t="s">
        <v>10828</v>
      </c>
      <c r="J2310" t="s">
        <v>269</v>
      </c>
    </row>
    <row r="2311" spans="9:10" x14ac:dyDescent="0.3">
      <c r="I2311" t="s">
        <v>10827</v>
      </c>
      <c r="J2311" t="s">
        <v>269</v>
      </c>
    </row>
    <row r="2312" spans="9:10" x14ac:dyDescent="0.3">
      <c r="I2312" t="s">
        <v>10827</v>
      </c>
      <c r="J2312" t="s">
        <v>269</v>
      </c>
    </row>
    <row r="2313" spans="9:10" x14ac:dyDescent="0.3">
      <c r="I2313" t="s">
        <v>10829</v>
      </c>
      <c r="J2313" t="s">
        <v>269</v>
      </c>
    </row>
    <row r="2314" spans="9:10" x14ac:dyDescent="0.3">
      <c r="I2314" t="s">
        <v>10830</v>
      </c>
      <c r="J2314" t="s">
        <v>270</v>
      </c>
    </row>
    <row r="2315" spans="9:10" x14ac:dyDescent="0.3">
      <c r="I2315" t="s">
        <v>10830</v>
      </c>
      <c r="J2315" t="s">
        <v>270</v>
      </c>
    </row>
    <row r="2316" spans="9:10" x14ac:dyDescent="0.3">
      <c r="I2316" t="s">
        <v>10831</v>
      </c>
      <c r="J2316" t="s">
        <v>1254</v>
      </c>
    </row>
    <row r="2317" spans="9:10" x14ac:dyDescent="0.3">
      <c r="I2317" t="s">
        <v>10832</v>
      </c>
      <c r="J2317" t="s">
        <v>1254</v>
      </c>
    </row>
    <row r="2318" spans="9:10" x14ac:dyDescent="0.3">
      <c r="I2318" t="s">
        <v>10833</v>
      </c>
      <c r="J2318" t="s">
        <v>1255</v>
      </c>
    </row>
    <row r="2319" spans="9:10" x14ac:dyDescent="0.3">
      <c r="I2319" t="s">
        <v>10834</v>
      </c>
      <c r="J2319" t="s">
        <v>1255</v>
      </c>
    </row>
    <row r="2320" spans="9:10" x14ac:dyDescent="0.3">
      <c r="I2320" t="s">
        <v>10834</v>
      </c>
      <c r="J2320" t="s">
        <v>1255</v>
      </c>
    </row>
    <row r="2321" spans="9:10" x14ac:dyDescent="0.3">
      <c r="I2321" t="s">
        <v>10835</v>
      </c>
      <c r="J2321" t="s">
        <v>1255</v>
      </c>
    </row>
    <row r="2322" spans="9:10" x14ac:dyDescent="0.3">
      <c r="I2322" t="s">
        <v>10836</v>
      </c>
      <c r="J2322" t="s">
        <v>1256</v>
      </c>
    </row>
    <row r="2323" spans="9:10" x14ac:dyDescent="0.3">
      <c r="I2323" t="s">
        <v>10837</v>
      </c>
      <c r="J2323" t="s">
        <v>279</v>
      </c>
    </row>
    <row r="2324" spans="9:10" x14ac:dyDescent="0.3">
      <c r="I2324" t="s">
        <v>10838</v>
      </c>
      <c r="J2324" t="s">
        <v>1257</v>
      </c>
    </row>
    <row r="2325" spans="9:10" x14ac:dyDescent="0.3">
      <c r="I2325" t="s">
        <v>10839</v>
      </c>
      <c r="J2325" t="s">
        <v>1258</v>
      </c>
    </row>
    <row r="2326" spans="9:10" x14ac:dyDescent="0.3">
      <c r="I2326" t="s">
        <v>10840</v>
      </c>
      <c r="J2326" t="s">
        <v>844</v>
      </c>
    </row>
    <row r="2327" spans="9:10" x14ac:dyDescent="0.3">
      <c r="I2327" t="s">
        <v>10841</v>
      </c>
      <c r="J2327" t="s">
        <v>844</v>
      </c>
    </row>
    <row r="2328" spans="9:10" x14ac:dyDescent="0.3">
      <c r="I2328" t="s">
        <v>10842</v>
      </c>
      <c r="J2328" t="s">
        <v>844</v>
      </c>
    </row>
    <row r="2329" spans="9:10" x14ac:dyDescent="0.3">
      <c r="I2329" t="s">
        <v>10843</v>
      </c>
      <c r="J2329" t="s">
        <v>305</v>
      </c>
    </row>
    <row r="2330" spans="9:10" x14ac:dyDescent="0.3">
      <c r="I2330" t="s">
        <v>10843</v>
      </c>
      <c r="J2330" t="s">
        <v>305</v>
      </c>
    </row>
    <row r="2331" spans="9:10" x14ac:dyDescent="0.3">
      <c r="I2331" t="s">
        <v>10844</v>
      </c>
      <c r="J2331" t="s">
        <v>1259</v>
      </c>
    </row>
    <row r="2332" spans="9:10" x14ac:dyDescent="0.3">
      <c r="I2332" t="s">
        <v>10844</v>
      </c>
      <c r="J2332" t="s">
        <v>1259</v>
      </c>
    </row>
    <row r="2333" spans="9:10" x14ac:dyDescent="0.3">
      <c r="I2333" t="s">
        <v>10845</v>
      </c>
      <c r="J2333" t="s">
        <v>308</v>
      </c>
    </row>
    <row r="2334" spans="9:10" x14ac:dyDescent="0.3">
      <c r="I2334" t="s">
        <v>10846</v>
      </c>
      <c r="J2334" t="s">
        <v>1260</v>
      </c>
    </row>
    <row r="2335" spans="9:10" x14ac:dyDescent="0.3">
      <c r="I2335" t="s">
        <v>10847</v>
      </c>
      <c r="J2335" t="s">
        <v>1260</v>
      </c>
    </row>
    <row r="2336" spans="9:10" x14ac:dyDescent="0.3">
      <c r="I2336" t="s">
        <v>10848</v>
      </c>
      <c r="J2336" t="s">
        <v>1261</v>
      </c>
    </row>
    <row r="2337" spans="9:10" x14ac:dyDescent="0.3">
      <c r="I2337" t="s">
        <v>10849</v>
      </c>
      <c r="J2337" t="s">
        <v>1262</v>
      </c>
    </row>
    <row r="2338" spans="9:10" x14ac:dyDescent="0.3">
      <c r="I2338" t="s">
        <v>10850</v>
      </c>
      <c r="J2338" t="s">
        <v>320</v>
      </c>
    </row>
    <row r="2339" spans="9:10" x14ac:dyDescent="0.3">
      <c r="I2339" t="s">
        <v>10850</v>
      </c>
      <c r="J2339" t="s">
        <v>320</v>
      </c>
    </row>
    <row r="2340" spans="9:10" x14ac:dyDescent="0.3">
      <c r="I2340" t="s">
        <v>10851</v>
      </c>
      <c r="J2340" t="s">
        <v>321</v>
      </c>
    </row>
    <row r="2341" spans="9:10" x14ac:dyDescent="0.3">
      <c r="I2341" t="s">
        <v>10852</v>
      </c>
      <c r="J2341" t="s">
        <v>323</v>
      </c>
    </row>
    <row r="2342" spans="9:10" x14ac:dyDescent="0.3">
      <c r="I2342" t="s">
        <v>10852</v>
      </c>
      <c r="J2342" t="s">
        <v>323</v>
      </c>
    </row>
    <row r="2343" spans="9:10" x14ac:dyDescent="0.3">
      <c r="I2343" t="s">
        <v>10853</v>
      </c>
      <c r="J2343" t="s">
        <v>1263</v>
      </c>
    </row>
    <row r="2344" spans="9:10" x14ac:dyDescent="0.3">
      <c r="I2344" t="s">
        <v>10854</v>
      </c>
    </row>
    <row r="2345" spans="9:10" x14ac:dyDescent="0.3">
      <c r="I2345" t="s">
        <v>10855</v>
      </c>
      <c r="J2345" t="s">
        <v>1264</v>
      </c>
    </row>
    <row r="2346" spans="9:10" x14ac:dyDescent="0.3">
      <c r="I2346" t="s">
        <v>10855</v>
      </c>
      <c r="J2346" t="s">
        <v>1264</v>
      </c>
    </row>
    <row r="2347" spans="9:10" x14ac:dyDescent="0.3">
      <c r="I2347" t="s">
        <v>10855</v>
      </c>
      <c r="J2347" t="s">
        <v>1264</v>
      </c>
    </row>
    <row r="2348" spans="9:10" x14ac:dyDescent="0.3">
      <c r="I2348" t="s">
        <v>10855</v>
      </c>
      <c r="J2348" t="s">
        <v>1264</v>
      </c>
    </row>
    <row r="2349" spans="9:10" x14ac:dyDescent="0.3">
      <c r="I2349" t="s">
        <v>10856</v>
      </c>
      <c r="J2349" t="s">
        <v>1265</v>
      </c>
    </row>
    <row r="2350" spans="9:10" x14ac:dyDescent="0.3">
      <c r="I2350" t="s">
        <v>10857</v>
      </c>
      <c r="J2350" t="s">
        <v>1265</v>
      </c>
    </row>
    <row r="2351" spans="9:10" x14ac:dyDescent="0.3">
      <c r="I2351" t="s">
        <v>10858</v>
      </c>
      <c r="J2351" t="s">
        <v>1266</v>
      </c>
    </row>
    <row r="2352" spans="9:10" x14ac:dyDescent="0.3">
      <c r="I2352" t="s">
        <v>10859</v>
      </c>
      <c r="J2352" t="s">
        <v>359</v>
      </c>
    </row>
    <row r="2353" spans="9:10" x14ac:dyDescent="0.3">
      <c r="I2353" t="s">
        <v>10860</v>
      </c>
      <c r="J2353" t="s">
        <v>359</v>
      </c>
    </row>
    <row r="2354" spans="9:10" x14ac:dyDescent="0.3">
      <c r="I2354" t="s">
        <v>10859</v>
      </c>
      <c r="J2354" t="s">
        <v>359</v>
      </c>
    </row>
    <row r="2355" spans="9:10" x14ac:dyDescent="0.3">
      <c r="I2355" t="s">
        <v>10861</v>
      </c>
      <c r="J2355" t="s">
        <v>1267</v>
      </c>
    </row>
    <row r="2356" spans="9:10" x14ac:dyDescent="0.3">
      <c r="I2356" t="s">
        <v>10862</v>
      </c>
    </row>
    <row r="2357" spans="9:10" x14ac:dyDescent="0.3">
      <c r="I2357" t="s">
        <v>10863</v>
      </c>
      <c r="J2357" t="s">
        <v>1268</v>
      </c>
    </row>
    <row r="2358" spans="9:10" x14ac:dyDescent="0.3">
      <c r="I2358" t="s">
        <v>10864</v>
      </c>
      <c r="J2358" t="s">
        <v>1269</v>
      </c>
    </row>
    <row r="2359" spans="9:10" x14ac:dyDescent="0.3">
      <c r="I2359" t="s">
        <v>10865</v>
      </c>
      <c r="J2359" t="s">
        <v>377</v>
      </c>
    </row>
    <row r="2360" spans="9:10" x14ac:dyDescent="0.3">
      <c r="I2360" t="s">
        <v>10866</v>
      </c>
      <c r="J2360" t="s">
        <v>377</v>
      </c>
    </row>
    <row r="2361" spans="9:10" x14ac:dyDescent="0.3">
      <c r="I2361" t="s">
        <v>10867</v>
      </c>
      <c r="J2361" t="s">
        <v>382</v>
      </c>
    </row>
    <row r="2362" spans="9:10" x14ac:dyDescent="0.3">
      <c r="I2362" t="s">
        <v>10867</v>
      </c>
      <c r="J2362" t="s">
        <v>382</v>
      </c>
    </row>
    <row r="2363" spans="9:10" x14ac:dyDescent="0.3">
      <c r="I2363" t="s">
        <v>10868</v>
      </c>
      <c r="J2363" t="s">
        <v>382</v>
      </c>
    </row>
    <row r="2364" spans="9:10" x14ac:dyDescent="0.3">
      <c r="I2364" t="s">
        <v>10867</v>
      </c>
      <c r="J2364" t="s">
        <v>382</v>
      </c>
    </row>
    <row r="2365" spans="9:10" x14ac:dyDescent="0.3">
      <c r="I2365" t="s">
        <v>381</v>
      </c>
      <c r="J2365" t="s">
        <v>382</v>
      </c>
    </row>
    <row r="2366" spans="9:10" x14ac:dyDescent="0.3">
      <c r="I2366" t="s">
        <v>10869</v>
      </c>
      <c r="J2366" t="s">
        <v>1270</v>
      </c>
    </row>
    <row r="2367" spans="9:10" x14ac:dyDescent="0.3">
      <c r="I2367" t="s">
        <v>10870</v>
      </c>
      <c r="J2367" t="s">
        <v>1271</v>
      </c>
    </row>
    <row r="2368" spans="9:10" x14ac:dyDescent="0.3">
      <c r="I2368" t="s">
        <v>10871</v>
      </c>
      <c r="J2368" t="s">
        <v>1272</v>
      </c>
    </row>
    <row r="2369" spans="9:10" x14ac:dyDescent="0.3">
      <c r="I2369" t="s">
        <v>10871</v>
      </c>
      <c r="J2369" t="s">
        <v>1272</v>
      </c>
    </row>
    <row r="2370" spans="9:10" x14ac:dyDescent="0.3">
      <c r="I2370" t="s">
        <v>10871</v>
      </c>
      <c r="J2370" t="s">
        <v>1272</v>
      </c>
    </row>
    <row r="2371" spans="9:10" x14ac:dyDescent="0.3">
      <c r="I2371" t="s">
        <v>10872</v>
      </c>
      <c r="J2371" t="s">
        <v>394</v>
      </c>
    </row>
    <row r="2372" spans="9:10" x14ac:dyDescent="0.3">
      <c r="I2372" t="s">
        <v>10872</v>
      </c>
      <c r="J2372" t="s">
        <v>394</v>
      </c>
    </row>
    <row r="2373" spans="9:10" x14ac:dyDescent="0.3">
      <c r="I2373" t="s">
        <v>10873</v>
      </c>
    </row>
    <row r="2374" spans="9:10" x14ac:dyDescent="0.3">
      <c r="I2374" t="s">
        <v>10874</v>
      </c>
    </row>
    <row r="2375" spans="9:10" x14ac:dyDescent="0.3">
      <c r="I2375" t="s">
        <v>10875</v>
      </c>
      <c r="J2375" t="s">
        <v>1273</v>
      </c>
    </row>
    <row r="2376" spans="9:10" x14ac:dyDescent="0.3">
      <c r="I2376" t="s">
        <v>10876</v>
      </c>
      <c r="J2376" t="s">
        <v>417</v>
      </c>
    </row>
    <row r="2377" spans="9:10" x14ac:dyDescent="0.3">
      <c r="I2377" t="s">
        <v>10876</v>
      </c>
      <c r="J2377" t="s">
        <v>417</v>
      </c>
    </row>
    <row r="2378" spans="9:10" x14ac:dyDescent="0.3">
      <c r="I2378" t="s">
        <v>10877</v>
      </c>
      <c r="J2378" t="s">
        <v>417</v>
      </c>
    </row>
    <row r="2379" spans="9:10" x14ac:dyDescent="0.3">
      <c r="I2379" t="s">
        <v>10876</v>
      </c>
      <c r="J2379" t="s">
        <v>417</v>
      </c>
    </row>
    <row r="2380" spans="9:10" x14ac:dyDescent="0.3">
      <c r="I2380" t="s">
        <v>10878</v>
      </c>
      <c r="J2380" t="s">
        <v>418</v>
      </c>
    </row>
    <row r="2381" spans="9:10" x14ac:dyDescent="0.3">
      <c r="I2381" t="s">
        <v>10879</v>
      </c>
      <c r="J2381" t="s">
        <v>418</v>
      </c>
    </row>
    <row r="2382" spans="9:10" x14ac:dyDescent="0.3">
      <c r="I2382" t="s">
        <v>10880</v>
      </c>
      <c r="J2382" t="s">
        <v>425</v>
      </c>
    </row>
    <row r="2383" spans="9:10" x14ac:dyDescent="0.3">
      <c r="I2383" t="s">
        <v>10881</v>
      </c>
      <c r="J2383" t="s">
        <v>425</v>
      </c>
    </row>
    <row r="2384" spans="9:10" x14ac:dyDescent="0.3">
      <c r="I2384" t="s">
        <v>10881</v>
      </c>
      <c r="J2384" t="s">
        <v>425</v>
      </c>
    </row>
    <row r="2385" spans="9:10" x14ac:dyDescent="0.3">
      <c r="I2385" t="s">
        <v>10882</v>
      </c>
      <c r="J2385" t="s">
        <v>428</v>
      </c>
    </row>
    <row r="2386" spans="9:10" x14ac:dyDescent="0.3">
      <c r="I2386" t="s">
        <v>10883</v>
      </c>
      <c r="J2386" t="s">
        <v>1274</v>
      </c>
    </row>
    <row r="2387" spans="9:10" x14ac:dyDescent="0.3">
      <c r="I2387" t="s">
        <v>10884</v>
      </c>
      <c r="J2387" t="s">
        <v>1275</v>
      </c>
    </row>
    <row r="2388" spans="9:10" x14ac:dyDescent="0.3">
      <c r="I2388" t="s">
        <v>10885</v>
      </c>
      <c r="J2388" t="s">
        <v>441</v>
      </c>
    </row>
    <row r="2389" spans="9:10" x14ac:dyDescent="0.3">
      <c r="I2389" t="s">
        <v>10885</v>
      </c>
      <c r="J2389" t="s">
        <v>441</v>
      </c>
    </row>
    <row r="2390" spans="9:10" x14ac:dyDescent="0.3">
      <c r="I2390" t="s">
        <v>10886</v>
      </c>
      <c r="J2390" t="s">
        <v>1276</v>
      </c>
    </row>
    <row r="2391" spans="9:10" x14ac:dyDescent="0.3">
      <c r="I2391" t="s">
        <v>10887</v>
      </c>
      <c r="J2391" t="s">
        <v>1277</v>
      </c>
    </row>
    <row r="2392" spans="9:10" x14ac:dyDescent="0.3">
      <c r="I2392" t="s">
        <v>10888</v>
      </c>
      <c r="J2392" t="s">
        <v>1278</v>
      </c>
    </row>
    <row r="2393" spans="9:10" x14ac:dyDescent="0.3">
      <c r="I2393" t="s">
        <v>10889</v>
      </c>
      <c r="J2393" t="s">
        <v>1279</v>
      </c>
    </row>
    <row r="2394" spans="9:10" x14ac:dyDescent="0.3">
      <c r="I2394" t="s">
        <v>10889</v>
      </c>
      <c r="J2394" t="s">
        <v>1279</v>
      </c>
    </row>
    <row r="2395" spans="9:10" x14ac:dyDescent="0.3">
      <c r="I2395" t="s">
        <v>10889</v>
      </c>
      <c r="J2395" t="s">
        <v>1279</v>
      </c>
    </row>
    <row r="2396" spans="9:10" x14ac:dyDescent="0.3">
      <c r="I2396" t="s">
        <v>10889</v>
      </c>
      <c r="J2396" t="s">
        <v>1279</v>
      </c>
    </row>
    <row r="2397" spans="9:10" x14ac:dyDescent="0.3">
      <c r="I2397" t="s">
        <v>10890</v>
      </c>
      <c r="J2397" t="s">
        <v>1280</v>
      </c>
    </row>
    <row r="2398" spans="9:10" x14ac:dyDescent="0.3">
      <c r="I2398" t="s">
        <v>10891</v>
      </c>
      <c r="J2398" t="s">
        <v>637</v>
      </c>
    </row>
    <row r="2399" spans="9:10" x14ac:dyDescent="0.3">
      <c r="I2399" t="s">
        <v>10892</v>
      </c>
      <c r="J2399" t="s">
        <v>456</v>
      </c>
    </row>
    <row r="2400" spans="9:10" x14ac:dyDescent="0.3">
      <c r="I2400" t="s">
        <v>10892</v>
      </c>
      <c r="J2400" t="s">
        <v>456</v>
      </c>
    </row>
    <row r="2401" spans="9:10" x14ac:dyDescent="0.3">
      <c r="I2401" t="s">
        <v>10893</v>
      </c>
      <c r="J2401" t="s">
        <v>461</v>
      </c>
    </row>
    <row r="2402" spans="9:10" x14ac:dyDescent="0.3">
      <c r="I2402" t="s">
        <v>10894</v>
      </c>
      <c r="J2402" t="s">
        <v>463</v>
      </c>
    </row>
    <row r="2403" spans="9:10" x14ac:dyDescent="0.3">
      <c r="I2403" t="s">
        <v>10894</v>
      </c>
      <c r="J2403" t="s">
        <v>463</v>
      </c>
    </row>
    <row r="2404" spans="9:10" x14ac:dyDescent="0.3">
      <c r="I2404" t="s">
        <v>10895</v>
      </c>
      <c r="J2404" t="s">
        <v>1281</v>
      </c>
    </row>
    <row r="2405" spans="9:10" x14ac:dyDescent="0.3">
      <c r="I2405" t="s">
        <v>10896</v>
      </c>
      <c r="J2405" t="s">
        <v>1282</v>
      </c>
    </row>
    <row r="2406" spans="9:10" x14ac:dyDescent="0.3">
      <c r="I2406" t="s">
        <v>10897</v>
      </c>
      <c r="J2406" t="s">
        <v>904</v>
      </c>
    </row>
    <row r="2407" spans="9:10" x14ac:dyDescent="0.3">
      <c r="I2407" t="s">
        <v>10898</v>
      </c>
      <c r="J2407" t="s">
        <v>1283</v>
      </c>
    </row>
    <row r="2408" spans="9:10" x14ac:dyDescent="0.3">
      <c r="I2408" t="s">
        <v>10899</v>
      </c>
      <c r="J2408" t="s">
        <v>1284</v>
      </c>
    </row>
    <row r="2409" spans="9:10" x14ac:dyDescent="0.3">
      <c r="I2409" t="s">
        <v>10900</v>
      </c>
      <c r="J2409" t="s">
        <v>1285</v>
      </c>
    </row>
    <row r="2410" spans="9:10" x14ac:dyDescent="0.3">
      <c r="I2410" t="s">
        <v>10901</v>
      </c>
      <c r="J2410" t="s">
        <v>1285</v>
      </c>
    </row>
    <row r="2411" spans="9:10" x14ac:dyDescent="0.3">
      <c r="I2411" t="s">
        <v>10901</v>
      </c>
      <c r="J2411" t="s">
        <v>1285</v>
      </c>
    </row>
    <row r="2412" spans="9:10" x14ac:dyDescent="0.3">
      <c r="I2412" t="s">
        <v>10901</v>
      </c>
      <c r="J2412" t="s">
        <v>1285</v>
      </c>
    </row>
    <row r="2413" spans="9:10" x14ac:dyDescent="0.3">
      <c r="I2413" t="s">
        <v>10902</v>
      </c>
      <c r="J2413" t="s">
        <v>492</v>
      </c>
    </row>
    <row r="2414" spans="9:10" x14ac:dyDescent="0.3">
      <c r="I2414" t="s">
        <v>491</v>
      </c>
      <c r="J2414" t="s">
        <v>492</v>
      </c>
    </row>
    <row r="2415" spans="9:10" x14ac:dyDescent="0.3">
      <c r="I2415" t="s">
        <v>10903</v>
      </c>
      <c r="J2415" t="s">
        <v>492</v>
      </c>
    </row>
    <row r="2416" spans="9:10" x14ac:dyDescent="0.3">
      <c r="I2416" t="s">
        <v>10904</v>
      </c>
      <c r="J2416" t="s">
        <v>493</v>
      </c>
    </row>
    <row r="2417" spans="9:10" x14ac:dyDescent="0.3">
      <c r="I2417" t="s">
        <v>10905</v>
      </c>
      <c r="J2417" t="s">
        <v>1286</v>
      </c>
    </row>
    <row r="2418" spans="9:10" x14ac:dyDescent="0.3">
      <c r="I2418" t="s">
        <v>10905</v>
      </c>
      <c r="J2418" t="s">
        <v>1286</v>
      </c>
    </row>
    <row r="2419" spans="9:10" x14ac:dyDescent="0.3">
      <c r="I2419" t="s">
        <v>10906</v>
      </c>
      <c r="J2419" t="s">
        <v>1287</v>
      </c>
    </row>
    <row r="2420" spans="9:10" x14ac:dyDescent="0.3">
      <c r="I2420" t="s">
        <v>10907</v>
      </c>
      <c r="J2420" t="s">
        <v>1288</v>
      </c>
    </row>
    <row r="2421" spans="9:10" x14ac:dyDescent="0.3">
      <c r="I2421" t="s">
        <v>10908</v>
      </c>
      <c r="J2421" t="s">
        <v>1288</v>
      </c>
    </row>
    <row r="2422" spans="9:10" x14ac:dyDescent="0.3">
      <c r="I2422" t="s">
        <v>10909</v>
      </c>
      <c r="J2422" t="s">
        <v>503</v>
      </c>
    </row>
    <row r="2423" spans="9:10" x14ac:dyDescent="0.3">
      <c r="I2423" t="s">
        <v>10910</v>
      </c>
      <c r="J2423" t="s">
        <v>1289</v>
      </c>
    </row>
    <row r="2424" spans="9:10" x14ac:dyDescent="0.3">
      <c r="I2424" t="s">
        <v>10911</v>
      </c>
    </row>
    <row r="2425" spans="9:10" x14ac:dyDescent="0.3">
      <c r="I2425" t="s">
        <v>10912</v>
      </c>
      <c r="J2425" t="s">
        <v>1290</v>
      </c>
    </row>
    <row r="2426" spans="9:10" x14ac:dyDescent="0.3">
      <c r="I2426" t="s">
        <v>10913</v>
      </c>
      <c r="J2426" t="s">
        <v>514</v>
      </c>
    </row>
    <row r="2427" spans="9:10" x14ac:dyDescent="0.3">
      <c r="I2427" t="s">
        <v>10913</v>
      </c>
      <c r="J2427" t="s">
        <v>514</v>
      </c>
    </row>
    <row r="2428" spans="9:10" x14ac:dyDescent="0.3">
      <c r="I2428" t="s">
        <v>10914</v>
      </c>
      <c r="J2428" t="s">
        <v>514</v>
      </c>
    </row>
    <row r="2429" spans="9:10" x14ac:dyDescent="0.3">
      <c r="I2429" t="s">
        <v>10915</v>
      </c>
      <c r="J2429" t="s">
        <v>853</v>
      </c>
    </row>
    <row r="2430" spans="9:10" x14ac:dyDescent="0.3">
      <c r="I2430" t="s">
        <v>10916</v>
      </c>
      <c r="J2430" t="s">
        <v>853</v>
      </c>
    </row>
    <row r="2431" spans="9:10" x14ac:dyDescent="0.3">
      <c r="I2431" t="s">
        <v>10917</v>
      </c>
      <c r="J2431" t="s">
        <v>1291</v>
      </c>
    </row>
    <row r="2432" spans="9:10" x14ac:dyDescent="0.3">
      <c r="I2432" t="s">
        <v>10918</v>
      </c>
      <c r="J2432" t="s">
        <v>1292</v>
      </c>
    </row>
    <row r="2433" spans="9:10" x14ac:dyDescent="0.3">
      <c r="I2433" t="s">
        <v>10919</v>
      </c>
      <c r="J2433" t="s">
        <v>1293</v>
      </c>
    </row>
    <row r="2434" spans="9:10" x14ac:dyDescent="0.3">
      <c r="I2434" t="s">
        <v>10920</v>
      </c>
      <c r="J2434" t="s">
        <v>529</v>
      </c>
    </row>
    <row r="2435" spans="9:10" x14ac:dyDescent="0.3">
      <c r="I2435" t="s">
        <v>10920</v>
      </c>
      <c r="J2435" t="s">
        <v>529</v>
      </c>
    </row>
    <row r="2436" spans="9:10" x14ac:dyDescent="0.3">
      <c r="I2436" t="s">
        <v>10921</v>
      </c>
      <c r="J2436" t="s">
        <v>1294</v>
      </c>
    </row>
    <row r="2437" spans="9:10" x14ac:dyDescent="0.3">
      <c r="I2437" t="s">
        <v>10921</v>
      </c>
      <c r="J2437" t="s">
        <v>1294</v>
      </c>
    </row>
    <row r="2438" spans="9:10" x14ac:dyDescent="0.3">
      <c r="I2438" t="s">
        <v>10921</v>
      </c>
      <c r="J2438" t="s">
        <v>1294</v>
      </c>
    </row>
    <row r="2439" spans="9:10" x14ac:dyDescent="0.3">
      <c r="I2439" t="s">
        <v>10921</v>
      </c>
      <c r="J2439" t="s">
        <v>1294</v>
      </c>
    </row>
    <row r="2440" spans="9:10" x14ac:dyDescent="0.3">
      <c r="I2440" t="s">
        <v>10922</v>
      </c>
      <c r="J2440" t="s">
        <v>1294</v>
      </c>
    </row>
    <row r="2441" spans="9:10" x14ac:dyDescent="0.3">
      <c r="I2441" t="s">
        <v>10923</v>
      </c>
      <c r="J2441" t="s">
        <v>1294</v>
      </c>
    </row>
    <row r="2442" spans="9:10" x14ac:dyDescent="0.3">
      <c r="I2442" t="s">
        <v>10924</v>
      </c>
      <c r="J2442" t="s">
        <v>1294</v>
      </c>
    </row>
    <row r="2443" spans="9:10" x14ac:dyDescent="0.3">
      <c r="I2443" t="s">
        <v>10921</v>
      </c>
      <c r="J2443" t="s">
        <v>1294</v>
      </c>
    </row>
    <row r="2444" spans="9:10" x14ac:dyDescent="0.3">
      <c r="I2444" t="s">
        <v>10925</v>
      </c>
      <c r="J2444" t="s">
        <v>1294</v>
      </c>
    </row>
    <row r="2445" spans="9:10" x14ac:dyDescent="0.3">
      <c r="I2445" t="s">
        <v>10926</v>
      </c>
      <c r="J2445" t="s">
        <v>540</v>
      </c>
    </row>
    <row r="2446" spans="9:10" x14ac:dyDescent="0.3">
      <c r="I2446" t="s">
        <v>10926</v>
      </c>
      <c r="J2446" t="s">
        <v>540</v>
      </c>
    </row>
    <row r="2447" spans="9:10" x14ac:dyDescent="0.3">
      <c r="I2447" t="s">
        <v>10927</v>
      </c>
      <c r="J2447" t="s">
        <v>1295</v>
      </c>
    </row>
    <row r="2448" spans="9:10" x14ac:dyDescent="0.3">
      <c r="I2448" t="s">
        <v>10927</v>
      </c>
      <c r="J2448" t="s">
        <v>1295</v>
      </c>
    </row>
    <row r="2449" spans="9:10" x14ac:dyDescent="0.3">
      <c r="I2449" t="s">
        <v>10928</v>
      </c>
      <c r="J2449" t="s">
        <v>1295</v>
      </c>
    </row>
    <row r="2450" spans="9:10" x14ac:dyDescent="0.3">
      <c r="I2450" t="s">
        <v>10927</v>
      </c>
      <c r="J2450" t="s">
        <v>1295</v>
      </c>
    </row>
    <row r="2451" spans="9:10" x14ac:dyDescent="0.3">
      <c r="I2451" t="s">
        <v>10929</v>
      </c>
      <c r="J2451" t="s">
        <v>1296</v>
      </c>
    </row>
    <row r="2452" spans="9:10" x14ac:dyDescent="0.3">
      <c r="I2452" t="s">
        <v>10929</v>
      </c>
      <c r="J2452" t="s">
        <v>1296</v>
      </c>
    </row>
    <row r="2453" spans="9:10" x14ac:dyDescent="0.3">
      <c r="I2453" t="s">
        <v>10930</v>
      </c>
      <c r="J2453" t="s">
        <v>1297</v>
      </c>
    </row>
    <row r="2454" spans="9:10" x14ac:dyDescent="0.3">
      <c r="I2454" t="s">
        <v>10931</v>
      </c>
      <c r="J2454" t="s">
        <v>673</v>
      </c>
    </row>
    <row r="2455" spans="9:10" x14ac:dyDescent="0.3">
      <c r="I2455" t="s">
        <v>10932</v>
      </c>
      <c r="J2455" t="s">
        <v>673</v>
      </c>
    </row>
    <row r="2456" spans="9:10" x14ac:dyDescent="0.3">
      <c r="I2456" t="s">
        <v>581</v>
      </c>
      <c r="J2456" t="s">
        <v>582</v>
      </c>
    </row>
    <row r="2457" spans="9:10" x14ac:dyDescent="0.3">
      <c r="I2457" t="s">
        <v>10933</v>
      </c>
      <c r="J2457" t="s">
        <v>1298</v>
      </c>
    </row>
    <row r="2458" spans="9:10" x14ac:dyDescent="0.3">
      <c r="I2458" t="s">
        <v>10934</v>
      </c>
      <c r="J2458" t="s">
        <v>942</v>
      </c>
    </row>
    <row r="2459" spans="9:10" x14ac:dyDescent="0.3">
      <c r="I2459" t="s">
        <v>10935</v>
      </c>
      <c r="J2459" t="s">
        <v>604</v>
      </c>
    </row>
    <row r="2460" spans="9:10" x14ac:dyDescent="0.3">
      <c r="I2460" t="s">
        <v>10935</v>
      </c>
      <c r="J2460" t="s">
        <v>604</v>
      </c>
    </row>
    <row r="2461" spans="9:10" x14ac:dyDescent="0.3">
      <c r="I2461" t="s">
        <v>10935</v>
      </c>
      <c r="J2461" t="s">
        <v>604</v>
      </c>
    </row>
    <row r="2462" spans="9:10" x14ac:dyDescent="0.3">
      <c r="I2462" t="s">
        <v>10935</v>
      </c>
      <c r="J2462" t="s">
        <v>604</v>
      </c>
    </row>
    <row r="2463" spans="9:10" x14ac:dyDescent="0.3">
      <c r="I2463" t="s">
        <v>10935</v>
      </c>
      <c r="J2463" t="s">
        <v>604</v>
      </c>
    </row>
    <row r="2464" spans="9:10" x14ac:dyDescent="0.3">
      <c r="I2464" t="s">
        <v>10936</v>
      </c>
      <c r="J2464" t="s">
        <v>605</v>
      </c>
    </row>
    <row r="2465" spans="9:10" x14ac:dyDescent="0.3">
      <c r="I2465" t="s">
        <v>10937</v>
      </c>
      <c r="J2465" t="s">
        <v>605</v>
      </c>
    </row>
    <row r="2466" spans="9:10" x14ac:dyDescent="0.3">
      <c r="I2466" t="s">
        <v>10938</v>
      </c>
      <c r="J2466" t="s">
        <v>605</v>
      </c>
    </row>
    <row r="2467" spans="9:10" x14ac:dyDescent="0.3">
      <c r="I2467" t="s">
        <v>10939</v>
      </c>
      <c r="J2467" t="s">
        <v>605</v>
      </c>
    </row>
    <row r="2468" spans="9:10" x14ac:dyDescent="0.3">
      <c r="I2468" t="s">
        <v>10940</v>
      </c>
      <c r="J2468" t="s">
        <v>1299</v>
      </c>
    </row>
    <row r="2469" spans="9:10" x14ac:dyDescent="0.3">
      <c r="I2469" t="s">
        <v>10941</v>
      </c>
      <c r="J2469" t="s">
        <v>1300</v>
      </c>
    </row>
    <row r="2470" spans="9:10" x14ac:dyDescent="0.3">
      <c r="I2470" t="s">
        <v>10942</v>
      </c>
      <c r="J2470" t="s">
        <v>608</v>
      </c>
    </row>
    <row r="2471" spans="9:10" x14ac:dyDescent="0.3">
      <c r="I2471" t="s">
        <v>10942</v>
      </c>
      <c r="J2471" t="s">
        <v>608</v>
      </c>
    </row>
    <row r="2472" spans="9:10" x14ac:dyDescent="0.3">
      <c r="I2472" t="s">
        <v>10943</v>
      </c>
      <c r="J2472" t="s">
        <v>1301</v>
      </c>
    </row>
    <row r="2473" spans="9:10" x14ac:dyDescent="0.3">
      <c r="I2473" t="s">
        <v>10944</v>
      </c>
      <c r="J2473" t="s">
        <v>1302</v>
      </c>
    </row>
    <row r="2474" spans="9:10" x14ac:dyDescent="0.3">
      <c r="I2474" t="s">
        <v>10945</v>
      </c>
      <c r="J2474" t="s">
        <v>1303</v>
      </c>
    </row>
    <row r="2475" spans="9:10" x14ac:dyDescent="0.3">
      <c r="I2475" t="s">
        <v>10946</v>
      </c>
      <c r="J2475" t="s">
        <v>633</v>
      </c>
    </row>
    <row r="2476" spans="9:10" x14ac:dyDescent="0.3">
      <c r="I2476" t="s">
        <v>10946</v>
      </c>
      <c r="J2476" t="s">
        <v>633</v>
      </c>
    </row>
    <row r="2477" spans="9:10" x14ac:dyDescent="0.3">
      <c r="I2477" t="s">
        <v>10946</v>
      </c>
      <c r="J2477" t="s">
        <v>633</v>
      </c>
    </row>
    <row r="2478" spans="9:10" x14ac:dyDescent="0.3">
      <c r="I2478" t="s">
        <v>10947</v>
      </c>
      <c r="J2478" t="s">
        <v>633</v>
      </c>
    </row>
    <row r="2479" spans="9:10" x14ac:dyDescent="0.3">
      <c r="I2479" t="s">
        <v>10948</v>
      </c>
      <c r="J2479" t="s">
        <v>1304</v>
      </c>
    </row>
    <row r="2480" spans="9:10" x14ac:dyDescent="0.3">
      <c r="I2480" t="s">
        <v>10949</v>
      </c>
      <c r="J2480" t="s">
        <v>866</v>
      </c>
    </row>
    <row r="2481" spans="9:10" x14ac:dyDescent="0.3">
      <c r="I2481" t="s">
        <v>10950</v>
      </c>
      <c r="J2481" t="s">
        <v>1305</v>
      </c>
    </row>
    <row r="2482" spans="9:10" x14ac:dyDescent="0.3">
      <c r="I2482" t="s">
        <v>10951</v>
      </c>
      <c r="J2482" t="s">
        <v>638</v>
      </c>
    </row>
    <row r="2483" spans="9:10" x14ac:dyDescent="0.3">
      <c r="I2483" t="s">
        <v>10952</v>
      </c>
      <c r="J2483" t="s">
        <v>1306</v>
      </c>
    </row>
    <row r="2484" spans="9:10" x14ac:dyDescent="0.3">
      <c r="I2484" t="s">
        <v>10953</v>
      </c>
      <c r="J2484" t="s">
        <v>615</v>
      </c>
    </row>
    <row r="2485" spans="9:10" x14ac:dyDescent="0.3">
      <c r="I2485" t="s">
        <v>10954</v>
      </c>
      <c r="J2485" t="s">
        <v>1307</v>
      </c>
    </row>
    <row r="2486" spans="9:10" x14ac:dyDescent="0.3">
      <c r="I2486" t="s">
        <v>10955</v>
      </c>
      <c r="J2486" t="s">
        <v>1308</v>
      </c>
    </row>
    <row r="2487" spans="9:10" x14ac:dyDescent="0.3">
      <c r="I2487" t="s">
        <v>10956</v>
      </c>
      <c r="J2487" t="s">
        <v>1308</v>
      </c>
    </row>
    <row r="2488" spans="9:10" x14ac:dyDescent="0.3">
      <c r="I2488" t="s">
        <v>10957</v>
      </c>
      <c r="J2488" t="s">
        <v>636</v>
      </c>
    </row>
    <row r="2489" spans="9:10" x14ac:dyDescent="0.3">
      <c r="I2489" t="s">
        <v>10958</v>
      </c>
      <c r="J2489" t="s">
        <v>1309</v>
      </c>
    </row>
    <row r="2490" spans="9:10" x14ac:dyDescent="0.3">
      <c r="I2490" t="s">
        <v>10959</v>
      </c>
      <c r="J2490" t="s">
        <v>1310</v>
      </c>
    </row>
    <row r="2491" spans="9:10" x14ac:dyDescent="0.3">
      <c r="I2491" t="s">
        <v>10960</v>
      </c>
      <c r="J2491" t="s">
        <v>639</v>
      </c>
    </row>
    <row r="2492" spans="9:10" x14ac:dyDescent="0.3">
      <c r="I2492" t="s">
        <v>10961</v>
      </c>
      <c r="J2492" t="s">
        <v>639</v>
      </c>
    </row>
    <row r="2493" spans="9:10" x14ac:dyDescent="0.3">
      <c r="I2493" t="s">
        <v>10960</v>
      </c>
      <c r="J2493" t="s">
        <v>639</v>
      </c>
    </row>
    <row r="2494" spans="9:10" x14ac:dyDescent="0.3">
      <c r="I2494" t="s">
        <v>10962</v>
      </c>
      <c r="J2494" t="s">
        <v>641</v>
      </c>
    </row>
    <row r="2495" spans="9:10" x14ac:dyDescent="0.3">
      <c r="I2495" t="s">
        <v>10962</v>
      </c>
      <c r="J2495" t="s">
        <v>641</v>
      </c>
    </row>
    <row r="2496" spans="9:10" x14ac:dyDescent="0.3">
      <c r="I2496" t="s">
        <v>10963</v>
      </c>
      <c r="J2496" t="s">
        <v>1311</v>
      </c>
    </row>
    <row r="2497" spans="9:10" x14ac:dyDescent="0.3">
      <c r="I2497" t="s">
        <v>10964</v>
      </c>
      <c r="J2497" t="s">
        <v>1311</v>
      </c>
    </row>
    <row r="2498" spans="9:10" x14ac:dyDescent="0.3">
      <c r="I2498" t="s">
        <v>10965</v>
      </c>
      <c r="J2498" t="s">
        <v>1311</v>
      </c>
    </row>
    <row r="2499" spans="9:10" x14ac:dyDescent="0.3">
      <c r="I2499" t="s">
        <v>10966</v>
      </c>
      <c r="J2499" t="s">
        <v>1312</v>
      </c>
    </row>
    <row r="2500" spans="9:10" x14ac:dyDescent="0.3">
      <c r="I2500" t="s">
        <v>10967</v>
      </c>
      <c r="J2500" t="s">
        <v>945</v>
      </c>
    </row>
    <row r="2501" spans="9:10" x14ac:dyDescent="0.3">
      <c r="I2501" t="s">
        <v>10967</v>
      </c>
      <c r="J2501" t="s">
        <v>945</v>
      </c>
    </row>
    <row r="2502" spans="9:10" x14ac:dyDescent="0.3">
      <c r="I2502" t="s">
        <v>10968</v>
      </c>
      <c r="J2502" t="s">
        <v>1313</v>
      </c>
    </row>
    <row r="2503" spans="9:10" x14ac:dyDescent="0.3">
      <c r="I2503" t="s">
        <v>10969</v>
      </c>
      <c r="J2503" t="s">
        <v>1314</v>
      </c>
    </row>
    <row r="2504" spans="9:10" x14ac:dyDescent="0.3">
      <c r="I2504" t="s">
        <v>10970</v>
      </c>
    </row>
    <row r="2505" spans="9:10" x14ac:dyDescent="0.3">
      <c r="I2505" t="s">
        <v>10971</v>
      </c>
    </row>
    <row r="2506" spans="9:10" x14ac:dyDescent="0.3">
      <c r="I2506" t="s">
        <v>10972</v>
      </c>
      <c r="J2506" t="s">
        <v>1315</v>
      </c>
    </row>
    <row r="2507" spans="9:10" x14ac:dyDescent="0.3">
      <c r="I2507" t="s">
        <v>10973</v>
      </c>
      <c r="J2507" t="s">
        <v>1316</v>
      </c>
    </row>
    <row r="2508" spans="9:10" x14ac:dyDescent="0.3">
      <c r="I2508" t="s">
        <v>10973</v>
      </c>
      <c r="J2508" t="s">
        <v>1316</v>
      </c>
    </row>
    <row r="2509" spans="9:10" x14ac:dyDescent="0.3">
      <c r="I2509" t="s">
        <v>10973</v>
      </c>
      <c r="J2509" t="s">
        <v>1316</v>
      </c>
    </row>
    <row r="2510" spans="9:10" x14ac:dyDescent="0.3">
      <c r="I2510" t="s">
        <v>10974</v>
      </c>
      <c r="J2510" t="s">
        <v>650</v>
      </c>
    </row>
    <row r="2511" spans="9:10" x14ac:dyDescent="0.3">
      <c r="I2511" t="s">
        <v>10974</v>
      </c>
      <c r="J2511" t="s">
        <v>650</v>
      </c>
    </row>
    <row r="2512" spans="9:10" x14ac:dyDescent="0.3">
      <c r="I2512" t="s">
        <v>10974</v>
      </c>
      <c r="J2512" t="s">
        <v>650</v>
      </c>
    </row>
    <row r="2513" spans="9:10" x14ac:dyDescent="0.3">
      <c r="I2513" t="s">
        <v>10975</v>
      </c>
      <c r="J2513" t="s">
        <v>663</v>
      </c>
    </row>
    <row r="2514" spans="9:10" x14ac:dyDescent="0.3">
      <c r="I2514" t="s">
        <v>10975</v>
      </c>
      <c r="J2514" t="s">
        <v>663</v>
      </c>
    </row>
    <row r="2515" spans="9:10" x14ac:dyDescent="0.3">
      <c r="I2515" t="s">
        <v>10975</v>
      </c>
      <c r="J2515" t="s">
        <v>663</v>
      </c>
    </row>
    <row r="2516" spans="9:10" x14ac:dyDescent="0.3">
      <c r="I2516" t="s">
        <v>10975</v>
      </c>
      <c r="J2516" t="s">
        <v>663</v>
      </c>
    </row>
    <row r="2517" spans="9:10" x14ac:dyDescent="0.3">
      <c r="I2517" t="s">
        <v>10975</v>
      </c>
      <c r="J2517" t="s">
        <v>663</v>
      </c>
    </row>
    <row r="2518" spans="9:10" x14ac:dyDescent="0.3">
      <c r="I2518" t="s">
        <v>10975</v>
      </c>
      <c r="J2518" t="s">
        <v>663</v>
      </c>
    </row>
    <row r="2519" spans="9:10" x14ac:dyDescent="0.3">
      <c r="I2519" t="s">
        <v>10975</v>
      </c>
      <c r="J2519" t="s">
        <v>663</v>
      </c>
    </row>
    <row r="2520" spans="9:10" x14ac:dyDescent="0.3">
      <c r="I2520" t="s">
        <v>10975</v>
      </c>
      <c r="J2520" t="s">
        <v>663</v>
      </c>
    </row>
    <row r="2521" spans="9:10" x14ac:dyDescent="0.3">
      <c r="I2521" t="s">
        <v>10975</v>
      </c>
      <c r="J2521" t="s">
        <v>663</v>
      </c>
    </row>
    <row r="2522" spans="9:10" x14ac:dyDescent="0.3">
      <c r="I2522" t="s">
        <v>10975</v>
      </c>
      <c r="J2522" t="s">
        <v>663</v>
      </c>
    </row>
    <row r="2523" spans="9:10" x14ac:dyDescent="0.3">
      <c r="I2523" t="s">
        <v>10976</v>
      </c>
      <c r="J2523" t="s">
        <v>1317</v>
      </c>
    </row>
    <row r="2524" spans="9:10" x14ac:dyDescent="0.3">
      <c r="I2524" t="s">
        <v>10977</v>
      </c>
      <c r="J2524" t="s">
        <v>1318</v>
      </c>
    </row>
    <row r="2525" spans="9:10" x14ac:dyDescent="0.3">
      <c r="I2525" t="s">
        <v>10978</v>
      </c>
      <c r="J2525" t="s">
        <v>1319</v>
      </c>
    </row>
    <row r="2526" spans="9:10" x14ac:dyDescent="0.3">
      <c r="I2526" t="s">
        <v>10979</v>
      </c>
      <c r="J2526" t="s">
        <v>1320</v>
      </c>
    </row>
    <row r="2527" spans="9:10" x14ac:dyDescent="0.3">
      <c r="I2527" t="s">
        <v>10980</v>
      </c>
      <c r="J2527" t="s">
        <v>1321</v>
      </c>
    </row>
    <row r="2528" spans="9:10" x14ac:dyDescent="0.3">
      <c r="I2528" t="s">
        <v>10981</v>
      </c>
    </row>
    <row r="2529" spans="9:10" x14ac:dyDescent="0.3">
      <c r="I2529" t="s">
        <v>10981</v>
      </c>
    </row>
    <row r="2530" spans="9:10" x14ac:dyDescent="0.3">
      <c r="I2530" t="s">
        <v>10982</v>
      </c>
      <c r="J2530" t="s">
        <v>1322</v>
      </c>
    </row>
    <row r="2531" spans="9:10" x14ac:dyDescent="0.3">
      <c r="I2531" t="s">
        <v>10983</v>
      </c>
      <c r="J2531" t="s">
        <v>664</v>
      </c>
    </row>
    <row r="2532" spans="9:10" x14ac:dyDescent="0.3">
      <c r="I2532" t="s">
        <v>10984</v>
      </c>
      <c r="J2532" t="s">
        <v>946</v>
      </c>
    </row>
    <row r="2533" spans="9:10" x14ac:dyDescent="0.3">
      <c r="I2533" t="s">
        <v>10984</v>
      </c>
      <c r="J2533" t="s">
        <v>946</v>
      </c>
    </row>
    <row r="2534" spans="9:10" x14ac:dyDescent="0.3">
      <c r="I2534" t="s">
        <v>10985</v>
      </c>
      <c r="J2534" t="s">
        <v>687</v>
      </c>
    </row>
    <row r="2535" spans="9:10" x14ac:dyDescent="0.3">
      <c r="I2535" t="s">
        <v>10985</v>
      </c>
      <c r="J2535" t="s">
        <v>687</v>
      </c>
    </row>
    <row r="2536" spans="9:10" x14ac:dyDescent="0.3">
      <c r="I2536" t="s">
        <v>10985</v>
      </c>
      <c r="J2536" t="s">
        <v>687</v>
      </c>
    </row>
    <row r="2537" spans="9:10" x14ac:dyDescent="0.3">
      <c r="I2537" t="s">
        <v>10986</v>
      </c>
      <c r="J2537" t="s">
        <v>1323</v>
      </c>
    </row>
    <row r="2538" spans="9:10" x14ac:dyDescent="0.3">
      <c r="I2538" t="s">
        <v>10987</v>
      </c>
      <c r="J2538" t="s">
        <v>693</v>
      </c>
    </row>
    <row r="2539" spans="9:10" x14ac:dyDescent="0.3">
      <c r="I2539" t="s">
        <v>10987</v>
      </c>
      <c r="J2539" t="s">
        <v>693</v>
      </c>
    </row>
    <row r="2540" spans="9:10" x14ac:dyDescent="0.3">
      <c r="I2540" t="s">
        <v>10987</v>
      </c>
      <c r="J2540" t="s">
        <v>693</v>
      </c>
    </row>
    <row r="2541" spans="9:10" x14ac:dyDescent="0.3">
      <c r="I2541" t="s">
        <v>10988</v>
      </c>
      <c r="J2541" t="s">
        <v>1324</v>
      </c>
    </row>
    <row r="2542" spans="9:10" x14ac:dyDescent="0.3">
      <c r="I2542" t="s">
        <v>10989</v>
      </c>
      <c r="J2542" t="s">
        <v>1324</v>
      </c>
    </row>
    <row r="2543" spans="9:10" x14ac:dyDescent="0.3">
      <c r="I2543" t="s">
        <v>10990</v>
      </c>
      <c r="J2543" t="s">
        <v>1325</v>
      </c>
    </row>
    <row r="2544" spans="9:10" x14ac:dyDescent="0.3">
      <c r="I2544" t="s">
        <v>10991</v>
      </c>
      <c r="J2544" t="s">
        <v>1325</v>
      </c>
    </row>
    <row r="2545" spans="9:10" x14ac:dyDescent="0.3">
      <c r="I2545" t="s">
        <v>10992</v>
      </c>
      <c r="J2545" t="s">
        <v>1326</v>
      </c>
    </row>
    <row r="2546" spans="9:10" x14ac:dyDescent="0.3">
      <c r="I2546" t="s">
        <v>10993</v>
      </c>
      <c r="J2546" t="s">
        <v>1326</v>
      </c>
    </row>
    <row r="2547" spans="9:10" x14ac:dyDescent="0.3">
      <c r="I2547" t="s">
        <v>10994</v>
      </c>
      <c r="J2547" t="s">
        <v>1327</v>
      </c>
    </row>
    <row r="2548" spans="9:10" x14ac:dyDescent="0.3">
      <c r="I2548" t="s">
        <v>10995</v>
      </c>
      <c r="J2548" t="s">
        <v>1327</v>
      </c>
    </row>
    <row r="2549" spans="9:10" x14ac:dyDescent="0.3">
      <c r="I2549" t="s">
        <v>10996</v>
      </c>
      <c r="J2549" t="s">
        <v>1327</v>
      </c>
    </row>
    <row r="2550" spans="9:10" x14ac:dyDescent="0.3">
      <c r="I2550" t="s">
        <v>10997</v>
      </c>
      <c r="J2550" t="s">
        <v>1327</v>
      </c>
    </row>
    <row r="2551" spans="9:10" x14ac:dyDescent="0.3">
      <c r="I2551" t="s">
        <v>10998</v>
      </c>
      <c r="J2551" t="s">
        <v>1327</v>
      </c>
    </row>
    <row r="2552" spans="9:10" x14ac:dyDescent="0.3">
      <c r="I2552" t="s">
        <v>10999</v>
      </c>
      <c r="J2552" t="s">
        <v>1327</v>
      </c>
    </row>
    <row r="2553" spans="9:10" x14ac:dyDescent="0.3">
      <c r="I2553" t="s">
        <v>11000</v>
      </c>
      <c r="J2553" t="s">
        <v>1327</v>
      </c>
    </row>
    <row r="2554" spans="9:10" x14ac:dyDescent="0.3">
      <c r="I2554" t="s">
        <v>11000</v>
      </c>
      <c r="J2554" t="s">
        <v>1327</v>
      </c>
    </row>
    <row r="2555" spans="9:10" x14ac:dyDescent="0.3">
      <c r="I2555" t="s">
        <v>11000</v>
      </c>
      <c r="J2555" t="s">
        <v>1327</v>
      </c>
    </row>
    <row r="2556" spans="9:10" x14ac:dyDescent="0.3">
      <c r="I2556" t="s">
        <v>10999</v>
      </c>
      <c r="J2556" t="s">
        <v>1327</v>
      </c>
    </row>
    <row r="2557" spans="9:10" x14ac:dyDescent="0.3">
      <c r="I2557" t="s">
        <v>11000</v>
      </c>
      <c r="J2557" t="s">
        <v>1327</v>
      </c>
    </row>
    <row r="2558" spans="9:10" x14ac:dyDescent="0.3">
      <c r="I2558" t="s">
        <v>11000</v>
      </c>
      <c r="J2558" t="s">
        <v>1327</v>
      </c>
    </row>
    <row r="2559" spans="9:10" x14ac:dyDescent="0.3">
      <c r="I2559" t="s">
        <v>11000</v>
      </c>
      <c r="J2559" t="s">
        <v>1327</v>
      </c>
    </row>
    <row r="2560" spans="9:10" x14ac:dyDescent="0.3">
      <c r="I2560" t="s">
        <v>11001</v>
      </c>
      <c r="J2560" t="s">
        <v>1327</v>
      </c>
    </row>
    <row r="2561" spans="9:10" x14ac:dyDescent="0.3">
      <c r="I2561" t="s">
        <v>11002</v>
      </c>
      <c r="J2561" t="s">
        <v>1327</v>
      </c>
    </row>
    <row r="2562" spans="9:10" x14ac:dyDescent="0.3">
      <c r="I2562" t="s">
        <v>11000</v>
      </c>
      <c r="J2562" t="s">
        <v>1327</v>
      </c>
    </row>
    <row r="2563" spans="9:10" x14ac:dyDescent="0.3">
      <c r="I2563" t="s">
        <v>11000</v>
      </c>
      <c r="J2563" t="s">
        <v>1327</v>
      </c>
    </row>
    <row r="2564" spans="9:10" x14ac:dyDescent="0.3">
      <c r="I2564" t="s">
        <v>11000</v>
      </c>
      <c r="J2564" t="s">
        <v>1327</v>
      </c>
    </row>
    <row r="2565" spans="9:10" x14ac:dyDescent="0.3">
      <c r="I2565" t="s">
        <v>11000</v>
      </c>
      <c r="J2565" t="s">
        <v>1327</v>
      </c>
    </row>
    <row r="2566" spans="9:10" x14ac:dyDescent="0.3">
      <c r="I2566" t="s">
        <v>11000</v>
      </c>
      <c r="J2566" t="s">
        <v>1327</v>
      </c>
    </row>
    <row r="2567" spans="9:10" x14ac:dyDescent="0.3">
      <c r="I2567" t="s">
        <v>11003</v>
      </c>
      <c r="J2567" t="s">
        <v>1327</v>
      </c>
    </row>
    <row r="2568" spans="9:10" x14ac:dyDescent="0.3">
      <c r="I2568" t="s">
        <v>11004</v>
      </c>
      <c r="J2568" t="s">
        <v>709</v>
      </c>
    </row>
    <row r="2569" spans="9:10" x14ac:dyDescent="0.3">
      <c r="I2569" t="s">
        <v>11005</v>
      </c>
      <c r="J2569" t="s">
        <v>709</v>
      </c>
    </row>
    <row r="2570" spans="9:10" x14ac:dyDescent="0.3">
      <c r="I2570" t="s">
        <v>11006</v>
      </c>
      <c r="J2570" t="s">
        <v>1328</v>
      </c>
    </row>
    <row r="2571" spans="9:10" x14ac:dyDescent="0.3">
      <c r="I2571" t="s">
        <v>11007</v>
      </c>
      <c r="J2571" t="s">
        <v>1328</v>
      </c>
    </row>
    <row r="2572" spans="9:10" x14ac:dyDescent="0.3">
      <c r="I2572" t="s">
        <v>11006</v>
      </c>
      <c r="J2572" t="s">
        <v>1328</v>
      </c>
    </row>
    <row r="2573" spans="9:10" x14ac:dyDescent="0.3">
      <c r="I2573" t="s">
        <v>11006</v>
      </c>
      <c r="J2573" t="s">
        <v>1328</v>
      </c>
    </row>
    <row r="2574" spans="9:10" x14ac:dyDescent="0.3">
      <c r="I2574" t="s">
        <v>11008</v>
      </c>
      <c r="J2574" t="s">
        <v>1329</v>
      </c>
    </row>
    <row r="2575" spans="9:10" x14ac:dyDescent="0.3">
      <c r="I2575" t="s">
        <v>11009</v>
      </c>
      <c r="J2575" t="s">
        <v>735</v>
      </c>
    </row>
    <row r="2576" spans="9:10" x14ac:dyDescent="0.3">
      <c r="I2576" t="s">
        <v>11010</v>
      </c>
      <c r="J2576" t="s">
        <v>735</v>
      </c>
    </row>
    <row r="2577" spans="9:10" x14ac:dyDescent="0.3">
      <c r="I2577" t="s">
        <v>11011</v>
      </c>
      <c r="J2577" t="s">
        <v>745</v>
      </c>
    </row>
    <row r="2578" spans="9:10" x14ac:dyDescent="0.3">
      <c r="I2578" t="s">
        <v>11012</v>
      </c>
      <c r="J2578" t="s">
        <v>745</v>
      </c>
    </row>
    <row r="2579" spans="9:10" x14ac:dyDescent="0.3">
      <c r="I2579" t="s">
        <v>11011</v>
      </c>
      <c r="J2579" t="s">
        <v>745</v>
      </c>
    </row>
    <row r="2580" spans="9:10" x14ac:dyDescent="0.3">
      <c r="I2580" t="s">
        <v>11013</v>
      </c>
      <c r="J2580" t="s">
        <v>1330</v>
      </c>
    </row>
    <row r="2581" spans="9:10" x14ac:dyDescent="0.3">
      <c r="I2581" t="s">
        <v>11014</v>
      </c>
      <c r="J2581" t="s">
        <v>1330</v>
      </c>
    </row>
    <row r="2582" spans="9:10" x14ac:dyDescent="0.3">
      <c r="I2582" t="s">
        <v>11015</v>
      </c>
      <c r="J2582" t="s">
        <v>748</v>
      </c>
    </row>
    <row r="2583" spans="9:10" x14ac:dyDescent="0.3">
      <c r="I2583" t="s">
        <v>11015</v>
      </c>
      <c r="J2583" t="s">
        <v>748</v>
      </c>
    </row>
    <row r="2584" spans="9:10" x14ac:dyDescent="0.3">
      <c r="I2584" t="s">
        <v>11016</v>
      </c>
      <c r="J2584" t="s">
        <v>748</v>
      </c>
    </row>
    <row r="2585" spans="9:10" x14ac:dyDescent="0.3">
      <c r="I2585" t="s">
        <v>11017</v>
      </c>
      <c r="J2585" t="s">
        <v>748</v>
      </c>
    </row>
    <row r="2586" spans="9:10" x14ac:dyDescent="0.3">
      <c r="I2586" t="s">
        <v>11018</v>
      </c>
    </row>
    <row r="2587" spans="9:10" x14ac:dyDescent="0.3">
      <c r="I2587" t="s">
        <v>11019</v>
      </c>
      <c r="J2587" t="s">
        <v>1331</v>
      </c>
    </row>
    <row r="2588" spans="9:10" x14ac:dyDescent="0.3">
      <c r="I2588" t="s">
        <v>11019</v>
      </c>
      <c r="J2588" t="s">
        <v>1331</v>
      </c>
    </row>
    <row r="2589" spans="9:10" x14ac:dyDescent="0.3">
      <c r="I2589" t="s">
        <v>11020</v>
      </c>
      <c r="J2589" t="s">
        <v>765</v>
      </c>
    </row>
    <row r="2590" spans="9:10" x14ac:dyDescent="0.3">
      <c r="I2590" t="s">
        <v>11021</v>
      </c>
      <c r="J2590" t="s">
        <v>1332</v>
      </c>
    </row>
    <row r="2591" spans="9:10" x14ac:dyDescent="0.3">
      <c r="I2591" t="s">
        <v>11022</v>
      </c>
      <c r="J2591" t="s">
        <v>1333</v>
      </c>
    </row>
    <row r="2592" spans="9:10" x14ac:dyDescent="0.3">
      <c r="I2592" t="s">
        <v>11023</v>
      </c>
      <c r="J2592" t="s">
        <v>1334</v>
      </c>
    </row>
    <row r="2593" spans="9:10" x14ac:dyDescent="0.3">
      <c r="I2593" t="s">
        <v>11024</v>
      </c>
      <c r="J2593" t="s">
        <v>1335</v>
      </c>
    </row>
    <row r="2594" spans="9:10" x14ac:dyDescent="0.3">
      <c r="I2594" t="s">
        <v>11025</v>
      </c>
      <c r="J2594" t="s">
        <v>1336</v>
      </c>
    </row>
    <row r="2595" spans="9:10" x14ac:dyDescent="0.3">
      <c r="I2595" t="s">
        <v>11025</v>
      </c>
      <c r="J2595" t="s">
        <v>1336</v>
      </c>
    </row>
    <row r="2596" spans="9:10" x14ac:dyDescent="0.3">
      <c r="I2596" t="s">
        <v>11026</v>
      </c>
      <c r="J2596" t="s">
        <v>1337</v>
      </c>
    </row>
    <row r="2597" spans="9:10" x14ac:dyDescent="0.3">
      <c r="I2597" t="s">
        <v>11027</v>
      </c>
      <c r="J2597" t="s">
        <v>797</v>
      </c>
    </row>
    <row r="2598" spans="9:10" x14ac:dyDescent="0.3">
      <c r="I2598" t="s">
        <v>11027</v>
      </c>
      <c r="J2598" t="s">
        <v>797</v>
      </c>
    </row>
    <row r="2599" spans="9:10" x14ac:dyDescent="0.3">
      <c r="I2599" t="s">
        <v>796</v>
      </c>
      <c r="J2599" t="s">
        <v>797</v>
      </c>
    </row>
    <row r="2600" spans="9:10" x14ac:dyDescent="0.3">
      <c r="I2600" t="s">
        <v>11028</v>
      </c>
      <c r="J2600" t="s">
        <v>1338</v>
      </c>
    </row>
    <row r="2601" spans="9:10" x14ac:dyDescent="0.3">
      <c r="I2601" t="s">
        <v>11029</v>
      </c>
      <c r="J2601" t="s">
        <v>1338</v>
      </c>
    </row>
    <row r="2602" spans="9:10" x14ac:dyDescent="0.3">
      <c r="I2602" t="s">
        <v>11030</v>
      </c>
      <c r="J2602" t="s">
        <v>1338</v>
      </c>
    </row>
    <row r="2603" spans="9:10" x14ac:dyDescent="0.3">
      <c r="I2603" t="s">
        <v>11031</v>
      </c>
      <c r="J2603" t="s">
        <v>1338</v>
      </c>
    </row>
    <row r="2604" spans="9:10" x14ac:dyDescent="0.3">
      <c r="I2604" t="s">
        <v>11032</v>
      </c>
      <c r="J2604" t="s">
        <v>1338</v>
      </c>
    </row>
    <row r="2605" spans="9:10" x14ac:dyDescent="0.3">
      <c r="I2605" t="s">
        <v>11033</v>
      </c>
      <c r="J2605" t="s">
        <v>1338</v>
      </c>
    </row>
    <row r="2606" spans="9:10" x14ac:dyDescent="0.3">
      <c r="I2606" t="s">
        <v>11028</v>
      </c>
      <c r="J2606" t="s">
        <v>1338</v>
      </c>
    </row>
    <row r="2607" spans="9:10" x14ac:dyDescent="0.3">
      <c r="I2607" t="s">
        <v>11034</v>
      </c>
      <c r="J2607" t="s">
        <v>1338</v>
      </c>
    </row>
    <row r="2608" spans="9:10" x14ac:dyDescent="0.3">
      <c r="I2608" t="s">
        <v>11034</v>
      </c>
      <c r="J2608" t="s">
        <v>1338</v>
      </c>
    </row>
    <row r="2609" spans="9:10" x14ac:dyDescent="0.3">
      <c r="I2609" t="s">
        <v>11034</v>
      </c>
      <c r="J2609" t="s">
        <v>1338</v>
      </c>
    </row>
    <row r="2610" spans="9:10" x14ac:dyDescent="0.3">
      <c r="I2610" t="s">
        <v>11035</v>
      </c>
      <c r="J2610" t="s">
        <v>1338</v>
      </c>
    </row>
    <row r="2611" spans="9:10" x14ac:dyDescent="0.3">
      <c r="I2611" t="s">
        <v>11036</v>
      </c>
      <c r="J2611" t="s">
        <v>1338</v>
      </c>
    </row>
    <row r="2612" spans="9:10" x14ac:dyDescent="0.3">
      <c r="I2612" t="s">
        <v>11037</v>
      </c>
      <c r="J2612" t="s">
        <v>1338</v>
      </c>
    </row>
    <row r="2613" spans="9:10" x14ac:dyDescent="0.3">
      <c r="I2613" t="s">
        <v>11034</v>
      </c>
      <c r="J2613" t="s">
        <v>1338</v>
      </c>
    </row>
    <row r="2614" spans="9:10" x14ac:dyDescent="0.3">
      <c r="I2614" t="s">
        <v>11034</v>
      </c>
      <c r="J2614" t="s">
        <v>1338</v>
      </c>
    </row>
    <row r="2615" spans="9:10" x14ac:dyDescent="0.3">
      <c r="I2615" t="s">
        <v>11034</v>
      </c>
      <c r="J2615" t="s">
        <v>1338</v>
      </c>
    </row>
    <row r="2616" spans="9:10" x14ac:dyDescent="0.3">
      <c r="I2616" t="s">
        <v>11034</v>
      </c>
      <c r="J2616" t="s">
        <v>1338</v>
      </c>
    </row>
    <row r="2617" spans="9:10" x14ac:dyDescent="0.3">
      <c r="I2617" t="s">
        <v>11034</v>
      </c>
      <c r="J2617" t="s">
        <v>1338</v>
      </c>
    </row>
    <row r="2618" spans="9:10" x14ac:dyDescent="0.3">
      <c r="I2618" t="s">
        <v>11034</v>
      </c>
      <c r="J2618" t="s">
        <v>1338</v>
      </c>
    </row>
    <row r="2619" spans="9:10" x14ac:dyDescent="0.3">
      <c r="I2619" t="s">
        <v>11034</v>
      </c>
      <c r="J2619" t="s">
        <v>1338</v>
      </c>
    </row>
    <row r="2620" spans="9:10" x14ac:dyDescent="0.3">
      <c r="I2620" t="s">
        <v>11034</v>
      </c>
      <c r="J2620" t="s">
        <v>1338</v>
      </c>
    </row>
    <row r="2621" spans="9:10" x14ac:dyDescent="0.3">
      <c r="I2621" t="s">
        <v>11038</v>
      </c>
      <c r="J2621" t="s">
        <v>1339</v>
      </c>
    </row>
    <row r="2622" spans="9:10" x14ac:dyDescent="0.3">
      <c r="I2622" t="s">
        <v>11039</v>
      </c>
      <c r="J2622" t="s">
        <v>1340</v>
      </c>
    </row>
    <row r="2623" spans="9:10" x14ac:dyDescent="0.3">
      <c r="I2623" t="s">
        <v>11040</v>
      </c>
      <c r="J2623" t="s">
        <v>1340</v>
      </c>
    </row>
    <row r="2624" spans="9:10" x14ac:dyDescent="0.3">
      <c r="I2624" t="s">
        <v>11041</v>
      </c>
      <c r="J2624" t="s">
        <v>1341</v>
      </c>
    </row>
    <row r="2625" spans="9:10" x14ac:dyDescent="0.3">
      <c r="I2625" t="s">
        <v>11041</v>
      </c>
      <c r="J2625" t="s">
        <v>1341</v>
      </c>
    </row>
    <row r="2626" spans="9:10" x14ac:dyDescent="0.3">
      <c r="I2626" t="s">
        <v>11042</v>
      </c>
      <c r="J2626" t="s">
        <v>442</v>
      </c>
    </row>
    <row r="2627" spans="9:10" x14ac:dyDescent="0.3">
      <c r="I2627" t="s">
        <v>11042</v>
      </c>
      <c r="J2627" t="s">
        <v>442</v>
      </c>
    </row>
    <row r="2628" spans="9:10" x14ac:dyDescent="0.3">
      <c r="I2628" t="s">
        <v>11042</v>
      </c>
      <c r="J2628" t="s">
        <v>442</v>
      </c>
    </row>
    <row r="2629" spans="9:10" x14ac:dyDescent="0.3">
      <c r="I2629" t="s">
        <v>11042</v>
      </c>
      <c r="J2629" t="s">
        <v>442</v>
      </c>
    </row>
    <row r="2630" spans="9:10" x14ac:dyDescent="0.3">
      <c r="I2630" t="s">
        <v>11042</v>
      </c>
      <c r="J2630" t="s">
        <v>442</v>
      </c>
    </row>
    <row r="2631" spans="9:10" x14ac:dyDescent="0.3">
      <c r="I2631" t="s">
        <v>11042</v>
      </c>
      <c r="J2631" t="s">
        <v>442</v>
      </c>
    </row>
    <row r="2632" spans="9:10" x14ac:dyDescent="0.3">
      <c r="I2632" t="s">
        <v>11043</v>
      </c>
      <c r="J2632" t="s">
        <v>442</v>
      </c>
    </row>
    <row r="2633" spans="9:10" x14ac:dyDescent="0.3">
      <c r="I2633" t="s">
        <v>11044</v>
      </c>
      <c r="J2633" t="s">
        <v>1342</v>
      </c>
    </row>
    <row r="2634" spans="9:10" x14ac:dyDescent="0.3">
      <c r="I2634" t="s">
        <v>11045</v>
      </c>
      <c r="J2634" t="s">
        <v>1343</v>
      </c>
    </row>
    <row r="2635" spans="9:10" x14ac:dyDescent="0.3">
      <c r="I2635" t="s">
        <v>11045</v>
      </c>
      <c r="J2635" t="s">
        <v>1343</v>
      </c>
    </row>
    <row r="2636" spans="9:10" x14ac:dyDescent="0.3">
      <c r="I2636" t="s">
        <v>11046</v>
      </c>
      <c r="J2636" t="s">
        <v>1344</v>
      </c>
    </row>
    <row r="2637" spans="9:10" x14ac:dyDescent="0.3">
      <c r="I2637" t="s">
        <v>11046</v>
      </c>
      <c r="J2637" t="s">
        <v>1344</v>
      </c>
    </row>
    <row r="2638" spans="9:10" x14ac:dyDescent="0.3">
      <c r="I2638" t="s">
        <v>11047</v>
      </c>
    </row>
    <row r="2639" spans="9:10" x14ac:dyDescent="0.3">
      <c r="I2639" t="s">
        <v>11048</v>
      </c>
      <c r="J2639" t="s">
        <v>1345</v>
      </c>
    </row>
    <row r="2640" spans="9:10" x14ac:dyDescent="0.3">
      <c r="I2640" t="s">
        <v>11049</v>
      </c>
      <c r="J2640" t="s">
        <v>1346</v>
      </c>
    </row>
    <row r="2641" spans="9:10" x14ac:dyDescent="0.3">
      <c r="I2641" t="s">
        <v>11050</v>
      </c>
      <c r="J2641" t="s">
        <v>1346</v>
      </c>
    </row>
    <row r="2642" spans="9:10" x14ac:dyDescent="0.3">
      <c r="I2642" t="s">
        <v>11051</v>
      </c>
      <c r="J2642" t="s">
        <v>1347</v>
      </c>
    </row>
    <row r="2643" spans="9:10" x14ac:dyDescent="0.3">
      <c r="I2643" t="s">
        <v>11052</v>
      </c>
      <c r="J2643" t="s">
        <v>1348</v>
      </c>
    </row>
    <row r="2644" spans="9:10" x14ac:dyDescent="0.3">
      <c r="I2644" t="s">
        <v>11053</v>
      </c>
      <c r="J2644" t="s">
        <v>1349</v>
      </c>
    </row>
    <row r="2645" spans="9:10" x14ac:dyDescent="0.3">
      <c r="I2645" t="s">
        <v>11054</v>
      </c>
      <c r="J2645" t="s">
        <v>1350</v>
      </c>
    </row>
    <row r="2646" spans="9:10" x14ac:dyDescent="0.3">
      <c r="I2646" t="s">
        <v>11055</v>
      </c>
      <c r="J2646" t="s">
        <v>1350</v>
      </c>
    </row>
    <row r="2647" spans="9:10" x14ac:dyDescent="0.3">
      <c r="I2647" t="s">
        <v>11056</v>
      </c>
      <c r="J2647" t="s">
        <v>1350</v>
      </c>
    </row>
    <row r="2648" spans="9:10" x14ac:dyDescent="0.3">
      <c r="I2648" t="s">
        <v>11057</v>
      </c>
      <c r="J2648" t="s">
        <v>1350</v>
      </c>
    </row>
    <row r="2649" spans="9:10" x14ac:dyDescent="0.3">
      <c r="I2649" t="s">
        <v>11056</v>
      </c>
      <c r="J2649" t="s">
        <v>1350</v>
      </c>
    </row>
    <row r="2650" spans="9:10" x14ac:dyDescent="0.3">
      <c r="I2650" t="s">
        <v>11058</v>
      </c>
      <c r="J2650" t="s">
        <v>619</v>
      </c>
    </row>
    <row r="2651" spans="9:10" x14ac:dyDescent="0.3">
      <c r="I2651" t="s">
        <v>11059</v>
      </c>
      <c r="J2651" t="s">
        <v>619</v>
      </c>
    </row>
    <row r="2652" spans="9:10" x14ac:dyDescent="0.3">
      <c r="I2652" t="s">
        <v>11060</v>
      </c>
      <c r="J2652" t="s">
        <v>1351</v>
      </c>
    </row>
    <row r="2653" spans="9:10" x14ac:dyDescent="0.3">
      <c r="I2653" t="s">
        <v>11061</v>
      </c>
      <c r="J2653" t="s">
        <v>1352</v>
      </c>
    </row>
    <row r="2654" spans="9:10" x14ac:dyDescent="0.3">
      <c r="I2654" t="s">
        <v>11062</v>
      </c>
      <c r="J2654" t="s">
        <v>1353</v>
      </c>
    </row>
    <row r="2655" spans="9:10" x14ac:dyDescent="0.3">
      <c r="I2655" t="s">
        <v>11063</v>
      </c>
      <c r="J2655" t="s">
        <v>1354</v>
      </c>
    </row>
    <row r="2656" spans="9:10" x14ac:dyDescent="0.3">
      <c r="I2656" t="s">
        <v>11063</v>
      </c>
      <c r="J2656" t="s">
        <v>1354</v>
      </c>
    </row>
    <row r="2657" spans="9:10" x14ac:dyDescent="0.3">
      <c r="I2657" t="s">
        <v>11063</v>
      </c>
      <c r="J2657" t="s">
        <v>1354</v>
      </c>
    </row>
    <row r="2658" spans="9:10" x14ac:dyDescent="0.3">
      <c r="I2658" t="s">
        <v>11064</v>
      </c>
      <c r="J2658" t="s">
        <v>1355</v>
      </c>
    </row>
    <row r="2659" spans="9:10" x14ac:dyDescent="0.3">
      <c r="I2659" t="s">
        <v>11065</v>
      </c>
      <c r="J2659" t="s">
        <v>1355</v>
      </c>
    </row>
    <row r="2660" spans="9:10" x14ac:dyDescent="0.3">
      <c r="I2660" t="s">
        <v>11065</v>
      </c>
      <c r="J2660" t="s">
        <v>1355</v>
      </c>
    </row>
    <row r="2661" spans="9:10" x14ac:dyDescent="0.3">
      <c r="I2661" t="s">
        <v>11066</v>
      </c>
      <c r="J2661" t="s">
        <v>1356</v>
      </c>
    </row>
    <row r="2662" spans="9:10" x14ac:dyDescent="0.3">
      <c r="I2662" t="s">
        <v>11067</v>
      </c>
      <c r="J2662" t="s">
        <v>121</v>
      </c>
    </row>
    <row r="2663" spans="9:10" x14ac:dyDescent="0.3">
      <c r="I2663" t="s">
        <v>11067</v>
      </c>
      <c r="J2663" t="s">
        <v>121</v>
      </c>
    </row>
    <row r="2664" spans="9:10" x14ac:dyDescent="0.3">
      <c r="I2664" t="s">
        <v>11068</v>
      </c>
      <c r="J2664" t="s">
        <v>1357</v>
      </c>
    </row>
    <row r="2665" spans="9:10" x14ac:dyDescent="0.3">
      <c r="I2665" t="s">
        <v>11069</v>
      </c>
      <c r="J2665" t="s">
        <v>1358</v>
      </c>
    </row>
    <row r="2666" spans="9:10" x14ac:dyDescent="0.3">
      <c r="I2666" t="s">
        <v>11069</v>
      </c>
      <c r="J2666" t="s">
        <v>1358</v>
      </c>
    </row>
    <row r="2667" spans="9:10" x14ac:dyDescent="0.3">
      <c r="I2667" t="s">
        <v>11070</v>
      </c>
    </row>
    <row r="2668" spans="9:10" x14ac:dyDescent="0.3">
      <c r="I2668" t="s">
        <v>11071</v>
      </c>
      <c r="J2668" t="s">
        <v>1359</v>
      </c>
    </row>
    <row r="2669" spans="9:10" x14ac:dyDescent="0.3">
      <c r="I2669" t="s">
        <v>11072</v>
      </c>
      <c r="J2669" t="s">
        <v>1360</v>
      </c>
    </row>
    <row r="2670" spans="9:10" x14ac:dyDescent="0.3">
      <c r="I2670" t="s">
        <v>11073</v>
      </c>
      <c r="J2670" t="s">
        <v>1361</v>
      </c>
    </row>
    <row r="2671" spans="9:10" x14ac:dyDescent="0.3">
      <c r="I2671" t="s">
        <v>11074</v>
      </c>
      <c r="J2671" t="s">
        <v>1362</v>
      </c>
    </row>
    <row r="2672" spans="9:10" x14ac:dyDescent="0.3">
      <c r="I2672" t="s">
        <v>11075</v>
      </c>
      <c r="J2672" t="s">
        <v>1363</v>
      </c>
    </row>
    <row r="2673" spans="9:10" x14ac:dyDescent="0.3">
      <c r="I2673" t="s">
        <v>11076</v>
      </c>
      <c r="J2673" t="s">
        <v>1364</v>
      </c>
    </row>
    <row r="2674" spans="9:10" x14ac:dyDescent="0.3">
      <c r="I2674" t="s">
        <v>11077</v>
      </c>
      <c r="J2674" t="s">
        <v>1364</v>
      </c>
    </row>
    <row r="2675" spans="9:10" x14ac:dyDescent="0.3">
      <c r="I2675" t="s">
        <v>11078</v>
      </c>
      <c r="J2675" t="s">
        <v>1365</v>
      </c>
    </row>
    <row r="2676" spans="9:10" x14ac:dyDescent="0.3">
      <c r="I2676" t="s">
        <v>11079</v>
      </c>
      <c r="J2676" t="s">
        <v>1366</v>
      </c>
    </row>
    <row r="2677" spans="9:10" x14ac:dyDescent="0.3">
      <c r="I2677" t="s">
        <v>11080</v>
      </c>
      <c r="J2677" t="s">
        <v>1367</v>
      </c>
    </row>
    <row r="2678" spans="9:10" x14ac:dyDescent="0.3">
      <c r="I2678" t="s">
        <v>11081</v>
      </c>
      <c r="J2678" t="s">
        <v>1367</v>
      </c>
    </row>
    <row r="2679" spans="9:10" x14ac:dyDescent="0.3">
      <c r="I2679" t="s">
        <v>11082</v>
      </c>
      <c r="J2679" t="s">
        <v>1367</v>
      </c>
    </row>
    <row r="2680" spans="9:10" x14ac:dyDescent="0.3">
      <c r="I2680" t="s">
        <v>11081</v>
      </c>
      <c r="J2680" t="s">
        <v>1367</v>
      </c>
    </row>
    <row r="2681" spans="9:10" x14ac:dyDescent="0.3">
      <c r="I2681" t="s">
        <v>11083</v>
      </c>
      <c r="J2681" t="s">
        <v>1368</v>
      </c>
    </row>
    <row r="2682" spans="9:10" x14ac:dyDescent="0.3">
      <c r="I2682" t="s">
        <v>11084</v>
      </c>
      <c r="J2682" t="s">
        <v>1368</v>
      </c>
    </row>
    <row r="2683" spans="9:10" x14ac:dyDescent="0.3">
      <c r="I2683" t="s">
        <v>11085</v>
      </c>
      <c r="J2683" t="s">
        <v>1369</v>
      </c>
    </row>
    <row r="2684" spans="9:10" x14ac:dyDescent="0.3">
      <c r="I2684" t="s">
        <v>11086</v>
      </c>
      <c r="J2684" t="s">
        <v>1370</v>
      </c>
    </row>
    <row r="2685" spans="9:10" x14ac:dyDescent="0.3">
      <c r="I2685" t="s">
        <v>11087</v>
      </c>
    </row>
    <row r="2686" spans="9:10" x14ac:dyDescent="0.3">
      <c r="I2686" t="s">
        <v>11088</v>
      </c>
    </row>
    <row r="2687" spans="9:10" x14ac:dyDescent="0.3">
      <c r="I2687" t="s">
        <v>11089</v>
      </c>
      <c r="J2687" t="s">
        <v>1371</v>
      </c>
    </row>
    <row r="2688" spans="9:10" x14ac:dyDescent="0.3">
      <c r="I2688" t="s">
        <v>11090</v>
      </c>
      <c r="J2688" t="s">
        <v>1371</v>
      </c>
    </row>
    <row r="2689" spans="9:10" x14ac:dyDescent="0.3">
      <c r="I2689" t="s">
        <v>11091</v>
      </c>
      <c r="J2689" t="s">
        <v>1372</v>
      </c>
    </row>
    <row r="2690" spans="9:10" x14ac:dyDescent="0.3">
      <c r="I2690" t="s">
        <v>11092</v>
      </c>
      <c r="J2690" t="s">
        <v>1373</v>
      </c>
    </row>
    <row r="2691" spans="9:10" x14ac:dyDescent="0.3">
      <c r="I2691" t="s">
        <v>11093</v>
      </c>
    </row>
    <row r="2692" spans="9:10" x14ac:dyDescent="0.3">
      <c r="I2692" t="s">
        <v>11094</v>
      </c>
      <c r="J2692" t="s">
        <v>1374</v>
      </c>
    </row>
    <row r="2693" spans="9:10" x14ac:dyDescent="0.3">
      <c r="I2693" t="s">
        <v>11095</v>
      </c>
      <c r="J2693" t="s">
        <v>1375</v>
      </c>
    </row>
    <row r="2694" spans="9:10" x14ac:dyDescent="0.3">
      <c r="I2694" t="s">
        <v>11096</v>
      </c>
      <c r="J2694" t="s">
        <v>1376</v>
      </c>
    </row>
    <row r="2695" spans="9:10" x14ac:dyDescent="0.3">
      <c r="I2695" t="s">
        <v>11097</v>
      </c>
      <c r="J2695" t="s">
        <v>1377</v>
      </c>
    </row>
    <row r="2696" spans="9:10" x14ac:dyDescent="0.3">
      <c r="I2696" t="s">
        <v>11098</v>
      </c>
      <c r="J2696" t="s">
        <v>1377</v>
      </c>
    </row>
    <row r="2697" spans="9:10" x14ac:dyDescent="0.3">
      <c r="I2697" t="s">
        <v>11099</v>
      </c>
      <c r="J2697" t="s">
        <v>1378</v>
      </c>
    </row>
    <row r="2698" spans="9:10" x14ac:dyDescent="0.3">
      <c r="I2698" t="s">
        <v>11100</v>
      </c>
      <c r="J2698" t="s">
        <v>1378</v>
      </c>
    </row>
    <row r="2699" spans="9:10" x14ac:dyDescent="0.3">
      <c r="I2699" t="s">
        <v>11101</v>
      </c>
      <c r="J2699" t="s">
        <v>1378</v>
      </c>
    </row>
    <row r="2700" spans="9:10" x14ac:dyDescent="0.3">
      <c r="I2700" t="s">
        <v>11102</v>
      </c>
      <c r="J2700" t="s">
        <v>1378</v>
      </c>
    </row>
    <row r="2701" spans="9:10" x14ac:dyDescent="0.3">
      <c r="I2701" t="s">
        <v>11100</v>
      </c>
      <c r="J2701" t="s">
        <v>1378</v>
      </c>
    </row>
    <row r="2702" spans="9:10" x14ac:dyDescent="0.3">
      <c r="I2702" t="s">
        <v>11100</v>
      </c>
      <c r="J2702" t="s">
        <v>1378</v>
      </c>
    </row>
    <row r="2703" spans="9:10" x14ac:dyDescent="0.3">
      <c r="I2703" t="s">
        <v>11103</v>
      </c>
      <c r="J2703" t="s">
        <v>1379</v>
      </c>
    </row>
    <row r="2704" spans="9:10" x14ac:dyDescent="0.3">
      <c r="I2704" t="s">
        <v>11104</v>
      </c>
      <c r="J2704" t="s">
        <v>1379</v>
      </c>
    </row>
    <row r="2705" spans="9:10" x14ac:dyDescent="0.3">
      <c r="I2705" t="s">
        <v>11105</v>
      </c>
      <c r="J2705" t="s">
        <v>1380</v>
      </c>
    </row>
    <row r="2706" spans="9:10" x14ac:dyDescent="0.3">
      <c r="I2706" t="s">
        <v>11106</v>
      </c>
      <c r="J2706" t="s">
        <v>1380</v>
      </c>
    </row>
    <row r="2707" spans="9:10" x14ac:dyDescent="0.3">
      <c r="I2707" t="s">
        <v>11107</v>
      </c>
      <c r="J2707" t="s">
        <v>1380</v>
      </c>
    </row>
    <row r="2708" spans="9:10" x14ac:dyDescent="0.3">
      <c r="I2708" t="s">
        <v>11106</v>
      </c>
      <c r="J2708" t="s">
        <v>1380</v>
      </c>
    </row>
    <row r="2709" spans="9:10" x14ac:dyDescent="0.3">
      <c r="I2709" t="s">
        <v>11107</v>
      </c>
      <c r="J2709" t="s">
        <v>1380</v>
      </c>
    </row>
    <row r="2710" spans="9:10" x14ac:dyDescent="0.3">
      <c r="I2710" t="s">
        <v>11107</v>
      </c>
      <c r="J2710" t="s">
        <v>1380</v>
      </c>
    </row>
    <row r="2711" spans="9:10" x14ac:dyDescent="0.3">
      <c r="I2711" t="s">
        <v>11106</v>
      </c>
      <c r="J2711" t="s">
        <v>1380</v>
      </c>
    </row>
    <row r="2712" spans="9:10" x14ac:dyDescent="0.3">
      <c r="I2712" t="s">
        <v>11106</v>
      </c>
      <c r="J2712" t="s">
        <v>1380</v>
      </c>
    </row>
    <row r="2713" spans="9:10" x14ac:dyDescent="0.3">
      <c r="I2713" t="s">
        <v>11108</v>
      </c>
      <c r="J2713" t="s">
        <v>1380</v>
      </c>
    </row>
    <row r="2714" spans="9:10" x14ac:dyDescent="0.3">
      <c r="I2714" t="s">
        <v>11107</v>
      </c>
      <c r="J2714" t="s">
        <v>1380</v>
      </c>
    </row>
    <row r="2715" spans="9:10" x14ac:dyDescent="0.3">
      <c r="I2715" t="s">
        <v>11109</v>
      </c>
      <c r="J2715" t="s">
        <v>1380</v>
      </c>
    </row>
    <row r="2716" spans="9:10" x14ac:dyDescent="0.3">
      <c r="I2716" t="s">
        <v>11107</v>
      </c>
      <c r="J2716" t="s">
        <v>1380</v>
      </c>
    </row>
    <row r="2717" spans="9:10" x14ac:dyDescent="0.3">
      <c r="I2717" t="s">
        <v>11105</v>
      </c>
      <c r="J2717" t="s">
        <v>1380</v>
      </c>
    </row>
    <row r="2718" spans="9:10" x14ac:dyDescent="0.3">
      <c r="I2718" t="s">
        <v>11107</v>
      </c>
      <c r="J2718" t="s">
        <v>1380</v>
      </c>
    </row>
    <row r="2719" spans="9:10" x14ac:dyDescent="0.3">
      <c r="I2719" t="s">
        <v>11107</v>
      </c>
      <c r="J2719" t="s">
        <v>1380</v>
      </c>
    </row>
    <row r="2720" spans="9:10" x14ac:dyDescent="0.3">
      <c r="I2720" t="s">
        <v>11107</v>
      </c>
      <c r="J2720" t="s">
        <v>1380</v>
      </c>
    </row>
    <row r="2721" spans="9:10" x14ac:dyDescent="0.3">
      <c r="I2721" t="s">
        <v>11105</v>
      </c>
      <c r="J2721" t="s">
        <v>1380</v>
      </c>
    </row>
    <row r="2722" spans="9:10" x14ac:dyDescent="0.3">
      <c r="I2722" t="s">
        <v>11106</v>
      </c>
      <c r="J2722" t="s">
        <v>1380</v>
      </c>
    </row>
    <row r="2723" spans="9:10" x14ac:dyDescent="0.3">
      <c r="I2723" t="s">
        <v>11105</v>
      </c>
      <c r="J2723" t="s">
        <v>1380</v>
      </c>
    </row>
    <row r="2724" spans="9:10" x14ac:dyDescent="0.3">
      <c r="I2724" t="s">
        <v>11110</v>
      </c>
      <c r="J2724" t="s">
        <v>1380</v>
      </c>
    </row>
    <row r="2725" spans="9:10" x14ac:dyDescent="0.3">
      <c r="I2725" t="s">
        <v>11106</v>
      </c>
      <c r="J2725" t="s">
        <v>1380</v>
      </c>
    </row>
    <row r="2726" spans="9:10" x14ac:dyDescent="0.3">
      <c r="I2726" t="s">
        <v>11111</v>
      </c>
      <c r="J2726" t="s">
        <v>1380</v>
      </c>
    </row>
    <row r="2727" spans="9:10" x14ac:dyDescent="0.3">
      <c r="I2727" t="s">
        <v>11112</v>
      </c>
      <c r="J2727" t="s">
        <v>1380</v>
      </c>
    </row>
    <row r="2728" spans="9:10" x14ac:dyDescent="0.3">
      <c r="I2728" t="s">
        <v>11106</v>
      </c>
      <c r="J2728" t="s">
        <v>1380</v>
      </c>
    </row>
    <row r="2729" spans="9:10" x14ac:dyDescent="0.3">
      <c r="I2729" t="s">
        <v>11106</v>
      </c>
      <c r="J2729" t="s">
        <v>1380</v>
      </c>
    </row>
    <row r="2730" spans="9:10" x14ac:dyDescent="0.3">
      <c r="I2730" t="s">
        <v>11107</v>
      </c>
      <c r="J2730" t="s">
        <v>1380</v>
      </c>
    </row>
    <row r="2731" spans="9:10" x14ac:dyDescent="0.3">
      <c r="I2731" t="s">
        <v>11113</v>
      </c>
      <c r="J2731" t="s">
        <v>908</v>
      </c>
    </row>
    <row r="2732" spans="9:10" x14ac:dyDescent="0.3">
      <c r="I2732" t="s">
        <v>11114</v>
      </c>
      <c r="J2732" t="s">
        <v>908</v>
      </c>
    </row>
    <row r="2733" spans="9:10" x14ac:dyDescent="0.3">
      <c r="I2733" t="s">
        <v>11115</v>
      </c>
      <c r="J2733" t="s">
        <v>1381</v>
      </c>
    </row>
    <row r="2734" spans="9:10" x14ac:dyDescent="0.3">
      <c r="I2734" t="s">
        <v>11115</v>
      </c>
      <c r="J2734" t="s">
        <v>1381</v>
      </c>
    </row>
    <row r="2735" spans="9:10" x14ac:dyDescent="0.3">
      <c r="I2735" t="s">
        <v>11116</v>
      </c>
      <c r="J2735" t="s">
        <v>1382</v>
      </c>
    </row>
    <row r="2736" spans="9:10" x14ac:dyDescent="0.3">
      <c r="I2736" t="s">
        <v>11117</v>
      </c>
      <c r="J2736" t="s">
        <v>1383</v>
      </c>
    </row>
    <row r="2737" spans="9:10" x14ac:dyDescent="0.3">
      <c r="I2737" t="s">
        <v>11118</v>
      </c>
      <c r="J2737" t="s">
        <v>1384</v>
      </c>
    </row>
    <row r="2738" spans="9:10" x14ac:dyDescent="0.3">
      <c r="I2738" t="s">
        <v>11118</v>
      </c>
      <c r="J2738" t="s">
        <v>1384</v>
      </c>
    </row>
    <row r="2739" spans="9:10" x14ac:dyDescent="0.3">
      <c r="I2739" t="s">
        <v>11119</v>
      </c>
      <c r="J2739">
        <v>0</v>
      </c>
    </row>
    <row r="2740" spans="9:10" x14ac:dyDescent="0.3">
      <c r="I2740" t="s">
        <v>11120</v>
      </c>
      <c r="J2740">
        <v>0</v>
      </c>
    </row>
    <row r="2741" spans="9:10" x14ac:dyDescent="0.3">
      <c r="I2741" t="s">
        <v>11121</v>
      </c>
      <c r="J2741">
        <v>0</v>
      </c>
    </row>
    <row r="2742" spans="9:10" x14ac:dyDescent="0.3">
      <c r="I2742" t="s">
        <v>11122</v>
      </c>
      <c r="J2742" t="s">
        <v>1385</v>
      </c>
    </row>
    <row r="2743" spans="9:10" x14ac:dyDescent="0.3">
      <c r="I2743" t="s">
        <v>11123</v>
      </c>
      <c r="J2743" t="s">
        <v>1385</v>
      </c>
    </row>
    <row r="2744" spans="9:10" x14ac:dyDescent="0.3">
      <c r="I2744" t="s">
        <v>11124</v>
      </c>
      <c r="J2744" t="s">
        <v>1386</v>
      </c>
    </row>
    <row r="2745" spans="9:10" x14ac:dyDescent="0.3">
      <c r="I2745" t="s">
        <v>11125</v>
      </c>
      <c r="J2745" t="s">
        <v>1387</v>
      </c>
    </row>
    <row r="2746" spans="9:10" x14ac:dyDescent="0.3">
      <c r="I2746" t="s">
        <v>11126</v>
      </c>
    </row>
    <row r="2747" spans="9:10" x14ac:dyDescent="0.3">
      <c r="I2747" t="s">
        <v>11127</v>
      </c>
      <c r="J2747" t="s">
        <v>1388</v>
      </c>
    </row>
    <row r="2748" spans="9:10" x14ac:dyDescent="0.3">
      <c r="I2748" t="s">
        <v>11127</v>
      </c>
      <c r="J2748" t="s">
        <v>1388</v>
      </c>
    </row>
    <row r="2749" spans="9:10" x14ac:dyDescent="0.3">
      <c r="I2749" t="s">
        <v>11128</v>
      </c>
      <c r="J2749" t="s">
        <v>1388</v>
      </c>
    </row>
    <row r="2750" spans="9:10" x14ac:dyDescent="0.3">
      <c r="I2750" t="s">
        <v>11129</v>
      </c>
      <c r="J2750" t="s">
        <v>1389</v>
      </c>
    </row>
    <row r="2751" spans="9:10" x14ac:dyDescent="0.3">
      <c r="I2751" t="s">
        <v>11130</v>
      </c>
      <c r="J2751" t="s">
        <v>1390</v>
      </c>
    </row>
    <row r="2752" spans="9:10" x14ac:dyDescent="0.3">
      <c r="I2752" t="s">
        <v>11131</v>
      </c>
    </row>
    <row r="2753" spans="9:10" x14ac:dyDescent="0.3">
      <c r="I2753" t="s">
        <v>11132</v>
      </c>
      <c r="J2753" t="s">
        <v>1391</v>
      </c>
    </row>
    <row r="2754" spans="9:10" x14ac:dyDescent="0.3">
      <c r="I2754" t="s">
        <v>11133</v>
      </c>
      <c r="J2754" t="s">
        <v>1392</v>
      </c>
    </row>
    <row r="2755" spans="9:10" x14ac:dyDescent="0.3">
      <c r="I2755" t="s">
        <v>11133</v>
      </c>
      <c r="J2755" t="s">
        <v>1392</v>
      </c>
    </row>
    <row r="2756" spans="9:10" x14ac:dyDescent="0.3">
      <c r="I2756" t="s">
        <v>11134</v>
      </c>
      <c r="J2756" t="s">
        <v>1393</v>
      </c>
    </row>
    <row r="2757" spans="9:10" x14ac:dyDescent="0.3">
      <c r="I2757" t="s">
        <v>11135</v>
      </c>
      <c r="J2757" t="s">
        <v>1394</v>
      </c>
    </row>
    <row r="2758" spans="9:10" x14ac:dyDescent="0.3">
      <c r="I2758" t="s">
        <v>11136</v>
      </c>
      <c r="J2758" t="s">
        <v>1395</v>
      </c>
    </row>
    <row r="2759" spans="9:10" x14ac:dyDescent="0.3">
      <c r="I2759" t="s">
        <v>11136</v>
      </c>
      <c r="J2759" t="s">
        <v>1395</v>
      </c>
    </row>
    <row r="2760" spans="9:10" x14ac:dyDescent="0.3">
      <c r="I2760" t="s">
        <v>11137</v>
      </c>
      <c r="J2760" t="s">
        <v>1396</v>
      </c>
    </row>
    <row r="2761" spans="9:10" x14ac:dyDescent="0.3">
      <c r="I2761" t="s">
        <v>11138</v>
      </c>
      <c r="J2761" t="s">
        <v>1396</v>
      </c>
    </row>
    <row r="2762" spans="9:10" x14ac:dyDescent="0.3">
      <c r="I2762" t="s">
        <v>11139</v>
      </c>
      <c r="J2762" t="s">
        <v>1396</v>
      </c>
    </row>
    <row r="2763" spans="9:10" x14ac:dyDescent="0.3">
      <c r="I2763" t="s">
        <v>11140</v>
      </c>
      <c r="J2763" t="s">
        <v>1396</v>
      </c>
    </row>
    <row r="2764" spans="9:10" x14ac:dyDescent="0.3">
      <c r="I2764" t="s">
        <v>11141</v>
      </c>
      <c r="J2764" t="s">
        <v>1396</v>
      </c>
    </row>
    <row r="2765" spans="9:10" x14ac:dyDescent="0.3">
      <c r="I2765" t="s">
        <v>11142</v>
      </c>
      <c r="J2765" t="s">
        <v>1396</v>
      </c>
    </row>
    <row r="2766" spans="9:10" x14ac:dyDescent="0.3">
      <c r="I2766" t="s">
        <v>11143</v>
      </c>
      <c r="J2766" t="s">
        <v>1397</v>
      </c>
    </row>
    <row r="2767" spans="9:10" x14ac:dyDescent="0.3">
      <c r="I2767" t="s">
        <v>11143</v>
      </c>
      <c r="J2767" t="s">
        <v>1397</v>
      </c>
    </row>
    <row r="2768" spans="9:10" x14ac:dyDescent="0.3">
      <c r="I2768" t="s">
        <v>11144</v>
      </c>
      <c r="J2768" t="s">
        <v>1398</v>
      </c>
    </row>
    <row r="2769" spans="9:10" x14ac:dyDescent="0.3">
      <c r="I2769" t="s">
        <v>11145</v>
      </c>
      <c r="J2769" t="s">
        <v>1398</v>
      </c>
    </row>
    <row r="2770" spans="9:10" x14ac:dyDescent="0.3">
      <c r="I2770" t="s">
        <v>11146</v>
      </c>
    </row>
    <row r="2771" spans="9:10" x14ac:dyDescent="0.3">
      <c r="I2771" t="s">
        <v>11147</v>
      </c>
      <c r="J2771" t="s">
        <v>1399</v>
      </c>
    </row>
    <row r="2772" spans="9:10" x14ac:dyDescent="0.3">
      <c r="I2772" t="s">
        <v>11147</v>
      </c>
      <c r="J2772" t="s">
        <v>1399</v>
      </c>
    </row>
    <row r="2773" spans="9:10" x14ac:dyDescent="0.3">
      <c r="I2773" t="s">
        <v>11148</v>
      </c>
    </row>
    <row r="2774" spans="9:10" x14ac:dyDescent="0.3">
      <c r="I2774" t="s">
        <v>11148</v>
      </c>
    </row>
    <row r="2775" spans="9:10" x14ac:dyDescent="0.3">
      <c r="I2775" t="s">
        <v>11149</v>
      </c>
      <c r="J2775" t="s">
        <v>1400</v>
      </c>
    </row>
    <row r="2776" spans="9:10" x14ac:dyDescent="0.3">
      <c r="I2776" t="s">
        <v>11150</v>
      </c>
      <c r="J2776" t="s">
        <v>1401</v>
      </c>
    </row>
    <row r="2777" spans="9:10" x14ac:dyDescent="0.3">
      <c r="I2777" t="s">
        <v>11151</v>
      </c>
      <c r="J2777" t="s">
        <v>1402</v>
      </c>
    </row>
    <row r="2778" spans="9:10" x14ac:dyDescent="0.3">
      <c r="I2778" t="s">
        <v>11152</v>
      </c>
      <c r="J2778" t="s">
        <v>1402</v>
      </c>
    </row>
    <row r="2779" spans="9:10" x14ac:dyDescent="0.3">
      <c r="I2779" t="s">
        <v>11153</v>
      </c>
      <c r="J2779" t="s">
        <v>1402</v>
      </c>
    </row>
    <row r="2780" spans="9:10" x14ac:dyDescent="0.3">
      <c r="I2780" t="s">
        <v>11154</v>
      </c>
      <c r="J2780" t="s">
        <v>1403</v>
      </c>
    </row>
    <row r="2781" spans="9:10" x14ac:dyDescent="0.3">
      <c r="I2781" t="s">
        <v>11155</v>
      </c>
    </row>
    <row r="2782" spans="9:10" x14ac:dyDescent="0.3">
      <c r="I2782" t="s">
        <v>11156</v>
      </c>
    </row>
    <row r="2783" spans="9:10" x14ac:dyDescent="0.3">
      <c r="I2783" t="s">
        <v>11157</v>
      </c>
    </row>
    <row r="2784" spans="9:10" x14ac:dyDescent="0.3">
      <c r="I2784" t="s">
        <v>11158</v>
      </c>
      <c r="J2784" t="s">
        <v>1404</v>
      </c>
    </row>
    <row r="2785" spans="9:10" x14ac:dyDescent="0.3">
      <c r="I2785" t="s">
        <v>11159</v>
      </c>
      <c r="J2785" t="s">
        <v>1405</v>
      </c>
    </row>
    <row r="2786" spans="9:10" x14ac:dyDescent="0.3">
      <c r="I2786" t="s">
        <v>11160</v>
      </c>
      <c r="J2786" t="s">
        <v>1405</v>
      </c>
    </row>
    <row r="2787" spans="9:10" x14ac:dyDescent="0.3">
      <c r="I2787" t="s">
        <v>11161</v>
      </c>
      <c r="J2787" t="s">
        <v>1406</v>
      </c>
    </row>
    <row r="2788" spans="9:10" x14ac:dyDescent="0.3">
      <c r="I2788" t="s">
        <v>11162</v>
      </c>
      <c r="J2788" t="s">
        <v>1406</v>
      </c>
    </row>
    <row r="2789" spans="9:10" x14ac:dyDescent="0.3">
      <c r="I2789" t="s">
        <v>11163</v>
      </c>
      <c r="J2789" t="s">
        <v>1407</v>
      </c>
    </row>
    <row r="2790" spans="9:10" x14ac:dyDescent="0.3">
      <c r="I2790" t="s">
        <v>11164</v>
      </c>
      <c r="J2790" t="s">
        <v>1407</v>
      </c>
    </row>
    <row r="2791" spans="9:10" x14ac:dyDescent="0.3">
      <c r="I2791" t="s">
        <v>11165</v>
      </c>
      <c r="J2791" t="s">
        <v>1408</v>
      </c>
    </row>
    <row r="2792" spans="9:10" x14ac:dyDescent="0.3">
      <c r="I2792" t="s">
        <v>11166</v>
      </c>
      <c r="J2792" t="s">
        <v>1409</v>
      </c>
    </row>
    <row r="2793" spans="9:10" x14ac:dyDescent="0.3">
      <c r="I2793" t="s">
        <v>11167</v>
      </c>
      <c r="J2793" t="s">
        <v>1410</v>
      </c>
    </row>
    <row r="2794" spans="9:10" x14ac:dyDescent="0.3">
      <c r="I2794" t="s">
        <v>11168</v>
      </c>
      <c r="J2794" t="s">
        <v>1411</v>
      </c>
    </row>
    <row r="2795" spans="9:10" x14ac:dyDescent="0.3">
      <c r="I2795" t="s">
        <v>11169</v>
      </c>
      <c r="J2795" t="s">
        <v>1412</v>
      </c>
    </row>
    <row r="2796" spans="9:10" x14ac:dyDescent="0.3">
      <c r="I2796" t="s">
        <v>11170</v>
      </c>
      <c r="J2796" t="s">
        <v>1412</v>
      </c>
    </row>
    <row r="2797" spans="9:10" x14ac:dyDescent="0.3">
      <c r="I2797" t="s">
        <v>11171</v>
      </c>
      <c r="J2797" t="s">
        <v>1413</v>
      </c>
    </row>
    <row r="2798" spans="9:10" x14ac:dyDescent="0.3">
      <c r="I2798" t="s">
        <v>11172</v>
      </c>
      <c r="J2798" t="s">
        <v>1414</v>
      </c>
    </row>
    <row r="2799" spans="9:10" x14ac:dyDescent="0.3">
      <c r="I2799" t="s">
        <v>11173</v>
      </c>
      <c r="J2799" t="s">
        <v>1415</v>
      </c>
    </row>
    <row r="2800" spans="9:10" x14ac:dyDescent="0.3">
      <c r="I2800" t="s">
        <v>11174</v>
      </c>
      <c r="J2800" t="s">
        <v>1416</v>
      </c>
    </row>
    <row r="2801" spans="9:10" x14ac:dyDescent="0.3">
      <c r="I2801" t="s">
        <v>11174</v>
      </c>
      <c r="J2801" t="s">
        <v>1416</v>
      </c>
    </row>
    <row r="2802" spans="9:10" x14ac:dyDescent="0.3">
      <c r="I2802" t="s">
        <v>11175</v>
      </c>
      <c r="J2802" t="s">
        <v>1417</v>
      </c>
    </row>
    <row r="2803" spans="9:10" x14ac:dyDescent="0.3">
      <c r="I2803" t="s">
        <v>11176</v>
      </c>
      <c r="J2803" t="s">
        <v>1417</v>
      </c>
    </row>
    <row r="2804" spans="9:10" x14ac:dyDescent="0.3">
      <c r="I2804" t="s">
        <v>11177</v>
      </c>
      <c r="J2804" t="s">
        <v>275</v>
      </c>
    </row>
    <row r="2805" spans="9:10" x14ac:dyDescent="0.3">
      <c r="I2805" t="s">
        <v>11178</v>
      </c>
      <c r="J2805" t="s">
        <v>275</v>
      </c>
    </row>
    <row r="2806" spans="9:10" x14ac:dyDescent="0.3">
      <c r="I2806" t="s">
        <v>11179</v>
      </c>
      <c r="J2806" t="s">
        <v>1418</v>
      </c>
    </row>
    <row r="2807" spans="9:10" x14ac:dyDescent="0.3">
      <c r="I2807" t="s">
        <v>11180</v>
      </c>
      <c r="J2807" t="s">
        <v>1418</v>
      </c>
    </row>
    <row r="2808" spans="9:10" x14ac:dyDescent="0.3">
      <c r="I2808" t="s">
        <v>11181</v>
      </c>
      <c r="J2808" t="s">
        <v>1418</v>
      </c>
    </row>
    <row r="2809" spans="9:10" x14ac:dyDescent="0.3">
      <c r="I2809" t="s">
        <v>11182</v>
      </c>
      <c r="J2809" t="s">
        <v>1419</v>
      </c>
    </row>
    <row r="2810" spans="9:10" x14ac:dyDescent="0.3">
      <c r="I2810" t="s">
        <v>11183</v>
      </c>
      <c r="J2810" t="s">
        <v>1419</v>
      </c>
    </row>
    <row r="2811" spans="9:10" x14ac:dyDescent="0.3">
      <c r="I2811" t="s">
        <v>11183</v>
      </c>
      <c r="J2811" t="s">
        <v>1419</v>
      </c>
    </row>
    <row r="2812" spans="9:10" x14ac:dyDescent="0.3">
      <c r="I2812" t="s">
        <v>11184</v>
      </c>
      <c r="J2812" t="s">
        <v>1420</v>
      </c>
    </row>
    <row r="2813" spans="9:10" x14ac:dyDescent="0.3">
      <c r="I2813" t="s">
        <v>11185</v>
      </c>
      <c r="J2813" t="s">
        <v>1421</v>
      </c>
    </row>
    <row r="2814" spans="9:10" x14ac:dyDescent="0.3">
      <c r="I2814" t="s">
        <v>11186</v>
      </c>
      <c r="J2814" t="s">
        <v>1422</v>
      </c>
    </row>
    <row r="2815" spans="9:10" x14ac:dyDescent="0.3">
      <c r="I2815" t="s">
        <v>11186</v>
      </c>
      <c r="J2815" t="s">
        <v>1422</v>
      </c>
    </row>
    <row r="2816" spans="9:10" x14ac:dyDescent="0.3">
      <c r="I2816" t="s">
        <v>11187</v>
      </c>
      <c r="J2816" t="s">
        <v>1423</v>
      </c>
    </row>
    <row r="2817" spans="9:10" x14ac:dyDescent="0.3">
      <c r="I2817" t="s">
        <v>11188</v>
      </c>
      <c r="J2817" t="s">
        <v>1424</v>
      </c>
    </row>
    <row r="2818" spans="9:10" x14ac:dyDescent="0.3">
      <c r="I2818" t="s">
        <v>11188</v>
      </c>
      <c r="J2818" t="s">
        <v>1424</v>
      </c>
    </row>
    <row r="2819" spans="9:10" x14ac:dyDescent="0.3">
      <c r="I2819" t="s">
        <v>11188</v>
      </c>
      <c r="J2819" t="s">
        <v>1424</v>
      </c>
    </row>
    <row r="2820" spans="9:10" x14ac:dyDescent="0.3">
      <c r="I2820" t="s">
        <v>11188</v>
      </c>
      <c r="J2820" t="s">
        <v>1424</v>
      </c>
    </row>
    <row r="2821" spans="9:10" x14ac:dyDescent="0.3">
      <c r="I2821" t="s">
        <v>11189</v>
      </c>
      <c r="J2821" t="s">
        <v>1425</v>
      </c>
    </row>
    <row r="2822" spans="9:10" x14ac:dyDescent="0.3">
      <c r="I2822" t="s">
        <v>11190</v>
      </c>
      <c r="J2822" t="s">
        <v>1426</v>
      </c>
    </row>
    <row r="2823" spans="9:10" x14ac:dyDescent="0.3">
      <c r="I2823" t="s">
        <v>11191</v>
      </c>
      <c r="J2823" t="s">
        <v>1426</v>
      </c>
    </row>
    <row r="2824" spans="9:10" x14ac:dyDescent="0.3">
      <c r="I2824" t="s">
        <v>11192</v>
      </c>
      <c r="J2824" t="s">
        <v>1426</v>
      </c>
    </row>
    <row r="2825" spans="9:10" x14ac:dyDescent="0.3">
      <c r="I2825" t="s">
        <v>11193</v>
      </c>
      <c r="J2825" t="s">
        <v>1427</v>
      </c>
    </row>
    <row r="2826" spans="9:10" x14ac:dyDescent="0.3">
      <c r="I2826" t="s">
        <v>11194</v>
      </c>
      <c r="J2826" t="s">
        <v>1428</v>
      </c>
    </row>
    <row r="2827" spans="9:10" x14ac:dyDescent="0.3">
      <c r="I2827" t="s">
        <v>11195</v>
      </c>
      <c r="J2827" t="s">
        <v>1429</v>
      </c>
    </row>
    <row r="2828" spans="9:10" x14ac:dyDescent="0.3">
      <c r="I2828" t="s">
        <v>11196</v>
      </c>
      <c r="J2828" t="s">
        <v>1430</v>
      </c>
    </row>
    <row r="2829" spans="9:10" x14ac:dyDescent="0.3">
      <c r="I2829" t="s">
        <v>11196</v>
      </c>
      <c r="J2829" t="s">
        <v>1430</v>
      </c>
    </row>
    <row r="2830" spans="9:10" x14ac:dyDescent="0.3">
      <c r="I2830" t="s">
        <v>11197</v>
      </c>
      <c r="J2830" t="s">
        <v>1430</v>
      </c>
    </row>
    <row r="2831" spans="9:10" x14ac:dyDescent="0.3">
      <c r="I2831" t="s">
        <v>11198</v>
      </c>
      <c r="J2831" t="s">
        <v>1431</v>
      </c>
    </row>
    <row r="2832" spans="9:10" x14ac:dyDescent="0.3">
      <c r="I2832" t="s">
        <v>11199</v>
      </c>
      <c r="J2832" t="s">
        <v>1432</v>
      </c>
    </row>
    <row r="2833" spans="9:10" x14ac:dyDescent="0.3">
      <c r="I2833" t="s">
        <v>11200</v>
      </c>
      <c r="J2833" t="s">
        <v>1433</v>
      </c>
    </row>
    <row r="2834" spans="9:10" x14ac:dyDescent="0.3">
      <c r="I2834" t="s">
        <v>11201</v>
      </c>
      <c r="J2834" t="s">
        <v>1434</v>
      </c>
    </row>
    <row r="2835" spans="9:10" x14ac:dyDescent="0.3">
      <c r="I2835" t="s">
        <v>11202</v>
      </c>
    </row>
    <row r="2836" spans="9:10" x14ac:dyDescent="0.3">
      <c r="I2836" t="s">
        <v>11202</v>
      </c>
    </row>
    <row r="2837" spans="9:10" x14ac:dyDescent="0.3">
      <c r="I2837" t="s">
        <v>11203</v>
      </c>
      <c r="J2837" t="s">
        <v>1435</v>
      </c>
    </row>
    <row r="2838" spans="9:10" x14ac:dyDescent="0.3">
      <c r="I2838" t="s">
        <v>11204</v>
      </c>
      <c r="J2838" t="s">
        <v>1436</v>
      </c>
    </row>
    <row r="2839" spans="9:10" x14ac:dyDescent="0.3">
      <c r="I2839" t="s">
        <v>11205</v>
      </c>
      <c r="J2839" t="s">
        <v>1437</v>
      </c>
    </row>
    <row r="2840" spans="9:10" x14ac:dyDescent="0.3">
      <c r="I2840" t="s">
        <v>11206</v>
      </c>
      <c r="J2840" t="s">
        <v>1438</v>
      </c>
    </row>
    <row r="2841" spans="9:10" x14ac:dyDescent="0.3">
      <c r="I2841" t="s">
        <v>11207</v>
      </c>
      <c r="J2841" t="s">
        <v>1439</v>
      </c>
    </row>
    <row r="2842" spans="9:10" x14ac:dyDescent="0.3">
      <c r="I2842" t="s">
        <v>11207</v>
      </c>
      <c r="J2842" t="s">
        <v>1439</v>
      </c>
    </row>
    <row r="2843" spans="9:10" x14ac:dyDescent="0.3">
      <c r="I2843" t="s">
        <v>11208</v>
      </c>
      <c r="J2843" t="s">
        <v>1440</v>
      </c>
    </row>
    <row r="2844" spans="9:10" x14ac:dyDescent="0.3">
      <c r="I2844" t="s">
        <v>602</v>
      </c>
      <c r="J2844" t="s">
        <v>603</v>
      </c>
    </row>
    <row r="2845" spans="9:10" x14ac:dyDescent="0.3">
      <c r="I2845" t="s">
        <v>602</v>
      </c>
      <c r="J2845" t="s">
        <v>603</v>
      </c>
    </row>
    <row r="2846" spans="9:10" x14ac:dyDescent="0.3">
      <c r="I2846" t="s">
        <v>602</v>
      </c>
      <c r="J2846" t="s">
        <v>603</v>
      </c>
    </row>
    <row r="2847" spans="9:10" x14ac:dyDescent="0.3">
      <c r="I2847" t="s">
        <v>11209</v>
      </c>
      <c r="J2847" t="s">
        <v>1441</v>
      </c>
    </row>
    <row r="2848" spans="9:10" x14ac:dyDescent="0.3">
      <c r="I2848" t="s">
        <v>11210</v>
      </c>
      <c r="J2848" t="s">
        <v>1442</v>
      </c>
    </row>
    <row r="2849" spans="9:10" x14ac:dyDescent="0.3">
      <c r="I2849" t="s">
        <v>11211</v>
      </c>
      <c r="J2849" t="s">
        <v>1443</v>
      </c>
    </row>
    <row r="2850" spans="9:10" x14ac:dyDescent="0.3">
      <c r="I2850" t="s">
        <v>11212</v>
      </c>
      <c r="J2850" t="s">
        <v>1443</v>
      </c>
    </row>
    <row r="2851" spans="9:10" x14ac:dyDescent="0.3">
      <c r="I2851" t="s">
        <v>11213</v>
      </c>
      <c r="J2851" t="s">
        <v>1443</v>
      </c>
    </row>
    <row r="2852" spans="9:10" x14ac:dyDescent="0.3">
      <c r="I2852" t="s">
        <v>11212</v>
      </c>
      <c r="J2852" t="s">
        <v>1443</v>
      </c>
    </row>
    <row r="2853" spans="9:10" x14ac:dyDescent="0.3">
      <c r="I2853" t="s">
        <v>11214</v>
      </c>
      <c r="J2853" t="s">
        <v>1444</v>
      </c>
    </row>
    <row r="2854" spans="9:10" x14ac:dyDescent="0.3">
      <c r="I2854" t="s">
        <v>11214</v>
      </c>
      <c r="J2854" t="s">
        <v>1444</v>
      </c>
    </row>
    <row r="2855" spans="9:10" x14ac:dyDescent="0.3">
      <c r="I2855" t="s">
        <v>11215</v>
      </c>
      <c r="J2855" t="s">
        <v>1445</v>
      </c>
    </row>
    <row r="2856" spans="9:10" x14ac:dyDescent="0.3">
      <c r="I2856" t="s">
        <v>11216</v>
      </c>
      <c r="J2856" t="s">
        <v>1446</v>
      </c>
    </row>
    <row r="2857" spans="9:10" x14ac:dyDescent="0.3">
      <c r="I2857" t="s">
        <v>11217</v>
      </c>
      <c r="J2857" t="s">
        <v>1447</v>
      </c>
    </row>
    <row r="2858" spans="9:10" x14ac:dyDescent="0.3">
      <c r="I2858" t="s">
        <v>11218</v>
      </c>
      <c r="J2858" t="s">
        <v>1448</v>
      </c>
    </row>
    <row r="2859" spans="9:10" x14ac:dyDescent="0.3">
      <c r="I2859" t="s">
        <v>11219</v>
      </c>
      <c r="J2859" t="s">
        <v>360</v>
      </c>
    </row>
    <row r="2860" spans="9:10" x14ac:dyDescent="0.3">
      <c r="I2860" t="s">
        <v>11220</v>
      </c>
      <c r="J2860" t="s">
        <v>360</v>
      </c>
    </row>
    <row r="2861" spans="9:10" x14ac:dyDescent="0.3">
      <c r="I2861" t="s">
        <v>11219</v>
      </c>
      <c r="J2861" t="s">
        <v>360</v>
      </c>
    </row>
    <row r="2862" spans="9:10" x14ac:dyDescent="0.3">
      <c r="I2862" t="s">
        <v>11221</v>
      </c>
      <c r="J2862" t="s">
        <v>1449</v>
      </c>
    </row>
    <row r="2863" spans="9:10" x14ac:dyDescent="0.3">
      <c r="I2863" t="s">
        <v>11221</v>
      </c>
      <c r="J2863" t="s">
        <v>1449</v>
      </c>
    </row>
    <row r="2864" spans="9:10" x14ac:dyDescent="0.3">
      <c r="I2864" t="s">
        <v>11222</v>
      </c>
      <c r="J2864" t="s">
        <v>1449</v>
      </c>
    </row>
    <row r="2865" spans="9:10" x14ac:dyDescent="0.3">
      <c r="I2865" t="s">
        <v>11223</v>
      </c>
      <c r="J2865" t="s">
        <v>1450</v>
      </c>
    </row>
    <row r="2866" spans="9:10" x14ac:dyDescent="0.3">
      <c r="I2866" t="s">
        <v>11224</v>
      </c>
    </row>
    <row r="2867" spans="9:10" x14ac:dyDescent="0.3">
      <c r="I2867" t="s">
        <v>11225</v>
      </c>
      <c r="J2867" t="s">
        <v>1451</v>
      </c>
    </row>
    <row r="2868" spans="9:10" x14ac:dyDescent="0.3">
      <c r="I2868" t="s">
        <v>11225</v>
      </c>
      <c r="J2868" t="s">
        <v>1451</v>
      </c>
    </row>
    <row r="2869" spans="9:10" x14ac:dyDescent="0.3">
      <c r="I2869" t="s">
        <v>11226</v>
      </c>
      <c r="J2869" t="s">
        <v>1452</v>
      </c>
    </row>
    <row r="2870" spans="9:10" x14ac:dyDescent="0.3">
      <c r="I2870" t="s">
        <v>11227</v>
      </c>
      <c r="J2870" t="s">
        <v>1453</v>
      </c>
    </row>
    <row r="2871" spans="9:10" x14ac:dyDescent="0.3">
      <c r="I2871" t="s">
        <v>11228</v>
      </c>
      <c r="J2871" t="s">
        <v>1454</v>
      </c>
    </row>
    <row r="2872" spans="9:10" x14ac:dyDescent="0.3">
      <c r="I2872" t="s">
        <v>11229</v>
      </c>
      <c r="J2872" t="s">
        <v>252</v>
      </c>
    </row>
    <row r="2873" spans="9:10" x14ac:dyDescent="0.3">
      <c r="I2873" t="s">
        <v>11229</v>
      </c>
      <c r="J2873" t="s">
        <v>252</v>
      </c>
    </row>
    <row r="2874" spans="9:10" x14ac:dyDescent="0.3">
      <c r="I2874" t="s">
        <v>11230</v>
      </c>
      <c r="J2874" t="s">
        <v>1455</v>
      </c>
    </row>
    <row r="2875" spans="9:10" x14ac:dyDescent="0.3">
      <c r="I2875" t="s">
        <v>11231</v>
      </c>
      <c r="J2875" t="s">
        <v>1456</v>
      </c>
    </row>
    <row r="2876" spans="9:10" x14ac:dyDescent="0.3">
      <c r="I2876" t="s">
        <v>11232</v>
      </c>
      <c r="J2876" t="s">
        <v>1457</v>
      </c>
    </row>
    <row r="2877" spans="9:10" x14ac:dyDescent="0.3">
      <c r="I2877" t="s">
        <v>11233</v>
      </c>
      <c r="J2877" t="s">
        <v>1458</v>
      </c>
    </row>
    <row r="2878" spans="9:10" x14ac:dyDescent="0.3">
      <c r="I2878" t="s">
        <v>11234</v>
      </c>
      <c r="J2878" t="s">
        <v>1459</v>
      </c>
    </row>
    <row r="2879" spans="9:10" x14ac:dyDescent="0.3">
      <c r="I2879" t="s">
        <v>11235</v>
      </c>
      <c r="J2879" t="s">
        <v>1460</v>
      </c>
    </row>
    <row r="2880" spans="9:10" x14ac:dyDescent="0.3">
      <c r="I2880" t="s">
        <v>11236</v>
      </c>
      <c r="J2880" t="s">
        <v>1460</v>
      </c>
    </row>
    <row r="2881" spans="9:10" x14ac:dyDescent="0.3">
      <c r="I2881" t="s">
        <v>11237</v>
      </c>
      <c r="J2881" t="s">
        <v>1461</v>
      </c>
    </row>
    <row r="2882" spans="9:10" x14ac:dyDescent="0.3">
      <c r="I2882" t="s">
        <v>11238</v>
      </c>
      <c r="J2882" t="s">
        <v>1462</v>
      </c>
    </row>
    <row r="2883" spans="9:10" x14ac:dyDescent="0.3">
      <c r="I2883" t="s">
        <v>11239</v>
      </c>
      <c r="J2883" t="s">
        <v>1463</v>
      </c>
    </row>
    <row r="2884" spans="9:10" x14ac:dyDescent="0.3">
      <c r="I2884" t="s">
        <v>11240</v>
      </c>
      <c r="J2884" t="s">
        <v>1464</v>
      </c>
    </row>
    <row r="2885" spans="9:10" x14ac:dyDescent="0.3">
      <c r="I2885" t="s">
        <v>11241</v>
      </c>
      <c r="J2885" t="s">
        <v>1465</v>
      </c>
    </row>
    <row r="2886" spans="9:10" x14ac:dyDescent="0.3">
      <c r="I2886" t="s">
        <v>11242</v>
      </c>
      <c r="J2886" t="s">
        <v>1466</v>
      </c>
    </row>
    <row r="2887" spans="9:10" x14ac:dyDescent="0.3">
      <c r="I2887" t="s">
        <v>11243</v>
      </c>
      <c r="J2887" t="s">
        <v>1466</v>
      </c>
    </row>
    <row r="2888" spans="9:10" x14ac:dyDescent="0.3">
      <c r="I2888" t="s">
        <v>11243</v>
      </c>
      <c r="J2888" t="s">
        <v>1466</v>
      </c>
    </row>
    <row r="2889" spans="9:10" x14ac:dyDescent="0.3">
      <c r="I2889" t="s">
        <v>11244</v>
      </c>
      <c r="J2889" t="s">
        <v>1467</v>
      </c>
    </row>
    <row r="2890" spans="9:10" x14ac:dyDescent="0.3">
      <c r="I2890" t="s">
        <v>11244</v>
      </c>
      <c r="J2890" t="s">
        <v>1467</v>
      </c>
    </row>
    <row r="2891" spans="9:10" x14ac:dyDescent="0.3">
      <c r="I2891" t="s">
        <v>11245</v>
      </c>
    </row>
    <row r="2892" spans="9:10" x14ac:dyDescent="0.3">
      <c r="I2892" t="s">
        <v>11246</v>
      </c>
      <c r="J2892" t="s">
        <v>1468</v>
      </c>
    </row>
    <row r="2893" spans="9:10" x14ac:dyDescent="0.3">
      <c r="I2893" t="s">
        <v>11246</v>
      </c>
      <c r="J2893" t="s">
        <v>1468</v>
      </c>
    </row>
    <row r="2894" spans="9:10" x14ac:dyDescent="0.3">
      <c r="I2894" t="s">
        <v>11246</v>
      </c>
      <c r="J2894" t="s">
        <v>1468</v>
      </c>
    </row>
    <row r="2895" spans="9:10" x14ac:dyDescent="0.3">
      <c r="I2895" t="s">
        <v>11247</v>
      </c>
    </row>
    <row r="2896" spans="9:10" x14ac:dyDescent="0.3">
      <c r="I2896" t="s">
        <v>11248</v>
      </c>
    </row>
    <row r="2897" spans="9:10" x14ac:dyDescent="0.3">
      <c r="I2897" t="s">
        <v>11248</v>
      </c>
    </row>
    <row r="2898" spans="9:10" x14ac:dyDescent="0.3">
      <c r="I2898" t="s">
        <v>11249</v>
      </c>
      <c r="J2898" t="s">
        <v>1469</v>
      </c>
    </row>
    <row r="2899" spans="9:10" x14ac:dyDescent="0.3">
      <c r="I2899" t="s">
        <v>11250</v>
      </c>
      <c r="J2899" t="s">
        <v>1470</v>
      </c>
    </row>
    <row r="2900" spans="9:10" x14ac:dyDescent="0.3">
      <c r="I2900" t="s">
        <v>11251</v>
      </c>
      <c r="J2900" t="s">
        <v>1470</v>
      </c>
    </row>
    <row r="2901" spans="9:10" x14ac:dyDescent="0.3">
      <c r="I2901" t="s">
        <v>11252</v>
      </c>
      <c r="J2901" t="s">
        <v>1471</v>
      </c>
    </row>
    <row r="2902" spans="9:10" x14ac:dyDescent="0.3">
      <c r="I2902" t="s">
        <v>11253</v>
      </c>
      <c r="J2902" t="s">
        <v>1472</v>
      </c>
    </row>
    <row r="2903" spans="9:10" x14ac:dyDescent="0.3">
      <c r="I2903" t="s">
        <v>11253</v>
      </c>
      <c r="J2903" t="s">
        <v>1472</v>
      </c>
    </row>
    <row r="2904" spans="9:10" x14ac:dyDescent="0.3">
      <c r="I2904" t="s">
        <v>11254</v>
      </c>
      <c r="J2904" t="s">
        <v>1472</v>
      </c>
    </row>
    <row r="2905" spans="9:10" x14ac:dyDescent="0.3">
      <c r="I2905" t="s">
        <v>11255</v>
      </c>
      <c r="J2905" t="s">
        <v>1473</v>
      </c>
    </row>
    <row r="2906" spans="9:10" x14ac:dyDescent="0.3">
      <c r="I2906" t="s">
        <v>11256</v>
      </c>
      <c r="J2906" t="s">
        <v>1474</v>
      </c>
    </row>
    <row r="2907" spans="9:10" x14ac:dyDescent="0.3">
      <c r="I2907" t="s">
        <v>11257</v>
      </c>
      <c r="J2907" t="s">
        <v>1475</v>
      </c>
    </row>
    <row r="2908" spans="9:10" x14ac:dyDescent="0.3">
      <c r="I2908" t="s">
        <v>11258</v>
      </c>
      <c r="J2908" t="s">
        <v>1476</v>
      </c>
    </row>
    <row r="2909" spans="9:10" x14ac:dyDescent="0.3">
      <c r="I2909" t="s">
        <v>11259</v>
      </c>
      <c r="J2909" t="s">
        <v>1477</v>
      </c>
    </row>
    <row r="2910" spans="9:10" x14ac:dyDescent="0.3">
      <c r="I2910" t="s">
        <v>11260</v>
      </c>
      <c r="J2910" t="s">
        <v>1477</v>
      </c>
    </row>
    <row r="2911" spans="9:10" x14ac:dyDescent="0.3">
      <c r="I2911" t="s">
        <v>11259</v>
      </c>
      <c r="J2911" t="s">
        <v>1477</v>
      </c>
    </row>
    <row r="2912" spans="9:10" x14ac:dyDescent="0.3">
      <c r="I2912" t="s">
        <v>11259</v>
      </c>
      <c r="J2912" t="s">
        <v>1477</v>
      </c>
    </row>
    <row r="2913" spans="9:10" x14ac:dyDescent="0.3">
      <c r="I2913" t="s">
        <v>11261</v>
      </c>
    </row>
    <row r="2914" spans="9:10" x14ac:dyDescent="0.3">
      <c r="I2914" t="s">
        <v>11262</v>
      </c>
      <c r="J2914" t="s">
        <v>1478</v>
      </c>
    </row>
    <row r="2915" spans="9:10" x14ac:dyDescent="0.3">
      <c r="I2915" t="s">
        <v>11262</v>
      </c>
      <c r="J2915" t="s">
        <v>1478</v>
      </c>
    </row>
    <row r="2916" spans="9:10" x14ac:dyDescent="0.3">
      <c r="I2916" t="s">
        <v>11263</v>
      </c>
      <c r="J2916" t="s">
        <v>1478</v>
      </c>
    </row>
    <row r="2917" spans="9:10" x14ac:dyDescent="0.3">
      <c r="I2917" t="s">
        <v>11262</v>
      </c>
      <c r="J2917" t="s">
        <v>1478</v>
      </c>
    </row>
    <row r="2918" spans="9:10" x14ac:dyDescent="0.3">
      <c r="I2918" t="s">
        <v>11264</v>
      </c>
    </row>
    <row r="2919" spans="9:10" x14ac:dyDescent="0.3">
      <c r="I2919" t="s">
        <v>11265</v>
      </c>
      <c r="J2919" t="s">
        <v>1479</v>
      </c>
    </row>
    <row r="2920" spans="9:10" x14ac:dyDescent="0.3">
      <c r="I2920" t="s">
        <v>11266</v>
      </c>
      <c r="J2920" t="s">
        <v>1480</v>
      </c>
    </row>
    <row r="2921" spans="9:10" x14ac:dyDescent="0.3">
      <c r="I2921" t="s">
        <v>11267</v>
      </c>
      <c r="J2921" t="s">
        <v>1481</v>
      </c>
    </row>
    <row r="2922" spans="9:10" x14ac:dyDescent="0.3">
      <c r="I2922" t="s">
        <v>11267</v>
      </c>
      <c r="J2922" t="s">
        <v>1481</v>
      </c>
    </row>
    <row r="2923" spans="9:10" x14ac:dyDescent="0.3">
      <c r="I2923" t="s">
        <v>11267</v>
      </c>
      <c r="J2923" t="s">
        <v>1481</v>
      </c>
    </row>
    <row r="2924" spans="9:10" x14ac:dyDescent="0.3">
      <c r="I2924" t="s">
        <v>11267</v>
      </c>
      <c r="J2924" t="s">
        <v>1481</v>
      </c>
    </row>
    <row r="2925" spans="9:10" x14ac:dyDescent="0.3">
      <c r="I2925" t="s">
        <v>11268</v>
      </c>
      <c r="J2925" t="s">
        <v>1482</v>
      </c>
    </row>
    <row r="2926" spans="9:10" x14ac:dyDescent="0.3">
      <c r="I2926" t="s">
        <v>11269</v>
      </c>
      <c r="J2926" t="s">
        <v>1483</v>
      </c>
    </row>
    <row r="2927" spans="9:10" x14ac:dyDescent="0.3">
      <c r="I2927" t="s">
        <v>11270</v>
      </c>
      <c r="J2927" t="s">
        <v>1484</v>
      </c>
    </row>
    <row r="2928" spans="9:10" x14ac:dyDescent="0.3">
      <c r="I2928" t="s">
        <v>11270</v>
      </c>
      <c r="J2928" t="s">
        <v>1484</v>
      </c>
    </row>
    <row r="2929" spans="9:10" x14ac:dyDescent="0.3">
      <c r="I2929" t="s">
        <v>11271</v>
      </c>
      <c r="J2929" t="s">
        <v>1485</v>
      </c>
    </row>
    <row r="2930" spans="9:10" x14ac:dyDescent="0.3">
      <c r="I2930" t="s">
        <v>11272</v>
      </c>
      <c r="J2930" t="s">
        <v>1486</v>
      </c>
    </row>
    <row r="2931" spans="9:10" x14ac:dyDescent="0.3">
      <c r="I2931" t="s">
        <v>11273</v>
      </c>
      <c r="J2931" t="s">
        <v>1487</v>
      </c>
    </row>
    <row r="2932" spans="9:10" x14ac:dyDescent="0.3">
      <c r="I2932" t="s">
        <v>11274</v>
      </c>
      <c r="J2932" t="s">
        <v>1488</v>
      </c>
    </row>
    <row r="2933" spans="9:10" x14ac:dyDescent="0.3">
      <c r="I2933" t="s">
        <v>11275</v>
      </c>
      <c r="J2933" t="s">
        <v>1489</v>
      </c>
    </row>
    <row r="2934" spans="9:10" x14ac:dyDescent="0.3">
      <c r="I2934" t="s">
        <v>11276</v>
      </c>
      <c r="J2934" t="s">
        <v>1490</v>
      </c>
    </row>
    <row r="2935" spans="9:10" x14ac:dyDescent="0.3">
      <c r="I2935" t="s">
        <v>11277</v>
      </c>
      <c r="J2935" t="s">
        <v>1491</v>
      </c>
    </row>
    <row r="2936" spans="9:10" x14ac:dyDescent="0.3">
      <c r="I2936" t="s">
        <v>11277</v>
      </c>
      <c r="J2936" t="s">
        <v>1491</v>
      </c>
    </row>
    <row r="2937" spans="9:10" x14ac:dyDescent="0.3">
      <c r="I2937" t="s">
        <v>11278</v>
      </c>
      <c r="J2937" t="s">
        <v>1492</v>
      </c>
    </row>
    <row r="2938" spans="9:10" x14ac:dyDescent="0.3">
      <c r="I2938" t="s">
        <v>11279</v>
      </c>
      <c r="J2938" t="s">
        <v>1493</v>
      </c>
    </row>
    <row r="2939" spans="9:10" x14ac:dyDescent="0.3">
      <c r="I2939" t="s">
        <v>11280</v>
      </c>
      <c r="J2939" t="s">
        <v>1494</v>
      </c>
    </row>
    <row r="2940" spans="9:10" x14ac:dyDescent="0.3">
      <c r="I2940" t="s">
        <v>11281</v>
      </c>
      <c r="J2940" t="s">
        <v>1495</v>
      </c>
    </row>
    <row r="2941" spans="9:10" x14ac:dyDescent="0.3">
      <c r="I2941" t="s">
        <v>11281</v>
      </c>
      <c r="J2941" t="s">
        <v>1495</v>
      </c>
    </row>
    <row r="2942" spans="9:10" x14ac:dyDescent="0.3">
      <c r="I2942" t="s">
        <v>11281</v>
      </c>
      <c r="J2942" t="s">
        <v>1495</v>
      </c>
    </row>
    <row r="2943" spans="9:10" x14ac:dyDescent="0.3">
      <c r="I2943" t="s">
        <v>11282</v>
      </c>
      <c r="J2943" t="s">
        <v>1496</v>
      </c>
    </row>
    <row r="2944" spans="9:10" x14ac:dyDescent="0.3">
      <c r="I2944" t="s">
        <v>11283</v>
      </c>
      <c r="J2944" t="s">
        <v>1496</v>
      </c>
    </row>
    <row r="2945" spans="9:10" x14ac:dyDescent="0.3">
      <c r="I2945" t="s">
        <v>11283</v>
      </c>
      <c r="J2945" t="s">
        <v>1496</v>
      </c>
    </row>
    <row r="2946" spans="9:10" x14ac:dyDescent="0.3">
      <c r="I2946" t="s">
        <v>11284</v>
      </c>
    </row>
    <row r="2947" spans="9:10" x14ac:dyDescent="0.3">
      <c r="I2947" t="s">
        <v>11285</v>
      </c>
      <c r="J2947" t="s">
        <v>1497</v>
      </c>
    </row>
    <row r="2948" spans="9:10" x14ac:dyDescent="0.3">
      <c r="I2948" t="s">
        <v>11286</v>
      </c>
      <c r="J2948" t="s">
        <v>1498</v>
      </c>
    </row>
    <row r="2949" spans="9:10" x14ac:dyDescent="0.3">
      <c r="I2949" t="s">
        <v>11287</v>
      </c>
    </row>
    <row r="2950" spans="9:10" x14ac:dyDescent="0.3">
      <c r="I2950" t="s">
        <v>11288</v>
      </c>
    </row>
    <row r="2951" spans="9:10" x14ac:dyDescent="0.3">
      <c r="I2951" t="s">
        <v>11289</v>
      </c>
      <c r="J2951" t="s">
        <v>1499</v>
      </c>
    </row>
    <row r="2952" spans="9:10" x14ac:dyDescent="0.3">
      <c r="I2952" t="s">
        <v>11290</v>
      </c>
      <c r="J2952" t="s">
        <v>1500</v>
      </c>
    </row>
    <row r="2953" spans="9:10" x14ac:dyDescent="0.3">
      <c r="I2953" t="s">
        <v>11291</v>
      </c>
      <c r="J2953" t="s">
        <v>1501</v>
      </c>
    </row>
    <row r="2954" spans="9:10" x14ac:dyDescent="0.3">
      <c r="I2954" t="s">
        <v>11292</v>
      </c>
      <c r="J2954" t="s">
        <v>1502</v>
      </c>
    </row>
    <row r="2955" spans="9:10" x14ac:dyDescent="0.3">
      <c r="I2955" t="s">
        <v>11293</v>
      </c>
      <c r="J2955" t="s">
        <v>472</v>
      </c>
    </row>
    <row r="2956" spans="9:10" x14ac:dyDescent="0.3">
      <c r="I2956" t="s">
        <v>11294</v>
      </c>
      <c r="J2956" t="s">
        <v>1503</v>
      </c>
    </row>
    <row r="2957" spans="9:10" x14ac:dyDescent="0.3">
      <c r="I2957" t="s">
        <v>11295</v>
      </c>
      <c r="J2957" t="s">
        <v>1504</v>
      </c>
    </row>
    <row r="2958" spans="9:10" x14ac:dyDescent="0.3">
      <c r="I2958" t="s">
        <v>11296</v>
      </c>
      <c r="J2958" t="s">
        <v>1504</v>
      </c>
    </row>
    <row r="2959" spans="9:10" x14ac:dyDescent="0.3">
      <c r="I2959" t="s">
        <v>11297</v>
      </c>
      <c r="J2959" t="s">
        <v>1504</v>
      </c>
    </row>
    <row r="2960" spans="9:10" x14ac:dyDescent="0.3">
      <c r="I2960" t="s">
        <v>11298</v>
      </c>
      <c r="J2960" t="s">
        <v>1504</v>
      </c>
    </row>
    <row r="2961" spans="9:10" x14ac:dyDescent="0.3">
      <c r="I2961" t="s">
        <v>11299</v>
      </c>
      <c r="J2961" t="s">
        <v>1505</v>
      </c>
    </row>
    <row r="2962" spans="9:10" x14ac:dyDescent="0.3">
      <c r="I2962" t="s">
        <v>11299</v>
      </c>
      <c r="J2962" t="s">
        <v>1505</v>
      </c>
    </row>
    <row r="2963" spans="9:10" x14ac:dyDescent="0.3">
      <c r="I2963" t="s">
        <v>11300</v>
      </c>
      <c r="J2963" t="s">
        <v>1506</v>
      </c>
    </row>
    <row r="2964" spans="9:10" x14ac:dyDescent="0.3">
      <c r="I2964" t="s">
        <v>11301</v>
      </c>
      <c r="J2964" t="s">
        <v>1506</v>
      </c>
    </row>
    <row r="2965" spans="9:10" x14ac:dyDescent="0.3">
      <c r="I2965" t="s">
        <v>11302</v>
      </c>
      <c r="J2965" t="s">
        <v>1506</v>
      </c>
    </row>
    <row r="2966" spans="9:10" x14ac:dyDescent="0.3">
      <c r="I2966" t="s">
        <v>11303</v>
      </c>
      <c r="J2966" t="s">
        <v>1506</v>
      </c>
    </row>
    <row r="2967" spans="9:10" x14ac:dyDescent="0.3">
      <c r="I2967" t="s">
        <v>11304</v>
      </c>
      <c r="J2967" t="s">
        <v>488</v>
      </c>
    </row>
    <row r="2968" spans="9:10" x14ac:dyDescent="0.3">
      <c r="I2968" t="s">
        <v>11304</v>
      </c>
      <c r="J2968" t="s">
        <v>488</v>
      </c>
    </row>
    <row r="2969" spans="9:10" x14ac:dyDescent="0.3">
      <c r="I2969" t="s">
        <v>11305</v>
      </c>
      <c r="J2969" t="s">
        <v>488</v>
      </c>
    </row>
    <row r="2970" spans="9:10" x14ac:dyDescent="0.3">
      <c r="I2970" t="s">
        <v>11304</v>
      </c>
      <c r="J2970" t="s">
        <v>488</v>
      </c>
    </row>
    <row r="2971" spans="9:10" x14ac:dyDescent="0.3">
      <c r="I2971" t="s">
        <v>11306</v>
      </c>
      <c r="J2971" t="s">
        <v>1507</v>
      </c>
    </row>
    <row r="2972" spans="9:10" x14ac:dyDescent="0.3">
      <c r="I2972" t="s">
        <v>11306</v>
      </c>
      <c r="J2972" t="s">
        <v>1507</v>
      </c>
    </row>
    <row r="2973" spans="9:10" x14ac:dyDescent="0.3">
      <c r="I2973" t="s">
        <v>11306</v>
      </c>
      <c r="J2973" t="s">
        <v>1507</v>
      </c>
    </row>
    <row r="2974" spans="9:10" x14ac:dyDescent="0.3">
      <c r="I2974" t="s">
        <v>11307</v>
      </c>
      <c r="J2974" t="s">
        <v>1508</v>
      </c>
    </row>
    <row r="2975" spans="9:10" x14ac:dyDescent="0.3">
      <c r="I2975" t="s">
        <v>11308</v>
      </c>
      <c r="J2975" t="s">
        <v>1509</v>
      </c>
    </row>
    <row r="2976" spans="9:10" x14ac:dyDescent="0.3">
      <c r="I2976" t="s">
        <v>11309</v>
      </c>
      <c r="J2976" t="s">
        <v>1509</v>
      </c>
    </row>
    <row r="2977" spans="9:10" x14ac:dyDescent="0.3">
      <c r="I2977" t="s">
        <v>11310</v>
      </c>
      <c r="J2977" t="s">
        <v>1509</v>
      </c>
    </row>
    <row r="2978" spans="9:10" x14ac:dyDescent="0.3">
      <c r="I2978" t="s">
        <v>11311</v>
      </c>
    </row>
    <row r="2979" spans="9:10" x14ac:dyDescent="0.3">
      <c r="I2979" t="s">
        <v>11312</v>
      </c>
      <c r="J2979" t="s">
        <v>1510</v>
      </c>
    </row>
    <row r="2980" spans="9:10" x14ac:dyDescent="0.3">
      <c r="I2980" t="s">
        <v>11313</v>
      </c>
    </row>
    <row r="2981" spans="9:10" x14ac:dyDescent="0.3">
      <c r="I2981" t="s">
        <v>11314</v>
      </c>
      <c r="J2981" t="s">
        <v>1511</v>
      </c>
    </row>
    <row r="2982" spans="9:10" x14ac:dyDescent="0.3">
      <c r="I2982" t="s">
        <v>11315</v>
      </c>
      <c r="J2982" t="s">
        <v>1512</v>
      </c>
    </row>
    <row r="2983" spans="9:10" x14ac:dyDescent="0.3">
      <c r="I2983" t="s">
        <v>11316</v>
      </c>
      <c r="J2983" t="s">
        <v>1512</v>
      </c>
    </row>
    <row r="2984" spans="9:10" x14ac:dyDescent="0.3">
      <c r="I2984" t="s">
        <v>11315</v>
      </c>
      <c r="J2984" t="s">
        <v>1512</v>
      </c>
    </row>
    <row r="2985" spans="9:10" x14ac:dyDescent="0.3">
      <c r="I2985" t="s">
        <v>11315</v>
      </c>
      <c r="J2985" t="s">
        <v>1512</v>
      </c>
    </row>
    <row r="2986" spans="9:10" x14ac:dyDescent="0.3">
      <c r="I2986" t="s">
        <v>11317</v>
      </c>
      <c r="J2986" t="s">
        <v>1513</v>
      </c>
    </row>
    <row r="2987" spans="9:10" x14ac:dyDescent="0.3">
      <c r="I2987" t="s">
        <v>11318</v>
      </c>
    </row>
    <row r="2988" spans="9:10" x14ac:dyDescent="0.3">
      <c r="I2988" t="s">
        <v>11319</v>
      </c>
    </row>
    <row r="2989" spans="9:10" x14ac:dyDescent="0.3">
      <c r="I2989" t="s">
        <v>11320</v>
      </c>
      <c r="J2989" t="s">
        <v>1514</v>
      </c>
    </row>
    <row r="2990" spans="9:10" x14ac:dyDescent="0.3">
      <c r="I2990" t="s">
        <v>11320</v>
      </c>
      <c r="J2990" t="s">
        <v>1514</v>
      </c>
    </row>
    <row r="2991" spans="9:10" x14ac:dyDescent="0.3">
      <c r="I2991" t="s">
        <v>11321</v>
      </c>
      <c r="J2991" t="s">
        <v>1515</v>
      </c>
    </row>
    <row r="2992" spans="9:10" x14ac:dyDescent="0.3">
      <c r="I2992" t="s">
        <v>11322</v>
      </c>
      <c r="J2992" t="s">
        <v>1516</v>
      </c>
    </row>
    <row r="2993" spans="9:10" x14ac:dyDescent="0.3">
      <c r="I2993" t="s">
        <v>11323</v>
      </c>
      <c r="J2993">
        <v>0</v>
      </c>
    </row>
    <row r="2994" spans="9:10" x14ac:dyDescent="0.3">
      <c r="I2994" t="s">
        <v>11324</v>
      </c>
      <c r="J2994" t="s">
        <v>1517</v>
      </c>
    </row>
    <row r="2995" spans="9:10" x14ac:dyDescent="0.3">
      <c r="I2995" t="s">
        <v>11325</v>
      </c>
      <c r="J2995" t="s">
        <v>1518</v>
      </c>
    </row>
    <row r="2996" spans="9:10" x14ac:dyDescent="0.3">
      <c r="I2996" t="s">
        <v>11326</v>
      </c>
      <c r="J2996" t="s">
        <v>1519</v>
      </c>
    </row>
    <row r="2997" spans="9:10" x14ac:dyDescent="0.3">
      <c r="I2997" t="s">
        <v>11327</v>
      </c>
      <c r="J2997" t="s">
        <v>1519</v>
      </c>
    </row>
    <row r="2998" spans="9:10" x14ac:dyDescent="0.3">
      <c r="I2998" t="s">
        <v>11328</v>
      </c>
      <c r="J2998">
        <v>0</v>
      </c>
    </row>
    <row r="2999" spans="9:10" x14ac:dyDescent="0.3">
      <c r="I2999" t="s">
        <v>11329</v>
      </c>
      <c r="J2999" t="s">
        <v>1520</v>
      </c>
    </row>
    <row r="3000" spans="9:10" x14ac:dyDescent="0.3">
      <c r="I3000" t="s">
        <v>11330</v>
      </c>
      <c r="J3000" t="s">
        <v>1521</v>
      </c>
    </row>
    <row r="3001" spans="9:10" x14ac:dyDescent="0.3">
      <c r="I3001" t="s">
        <v>11331</v>
      </c>
      <c r="J3001" t="s">
        <v>1521</v>
      </c>
    </row>
    <row r="3002" spans="9:10" x14ac:dyDescent="0.3">
      <c r="I3002" t="s">
        <v>11332</v>
      </c>
      <c r="J3002" t="s">
        <v>1522</v>
      </c>
    </row>
    <row r="3003" spans="9:10" x14ac:dyDescent="0.3">
      <c r="I3003" t="s">
        <v>11333</v>
      </c>
      <c r="J3003" t="s">
        <v>1523</v>
      </c>
    </row>
    <row r="3004" spans="9:10" x14ac:dyDescent="0.3">
      <c r="I3004" t="s">
        <v>11334</v>
      </c>
      <c r="J3004" t="s">
        <v>1524</v>
      </c>
    </row>
    <row r="3005" spans="9:10" x14ac:dyDescent="0.3">
      <c r="I3005" t="s">
        <v>11335</v>
      </c>
      <c r="J3005" t="s">
        <v>1524</v>
      </c>
    </row>
    <row r="3006" spans="9:10" x14ac:dyDescent="0.3">
      <c r="I3006" t="s">
        <v>11336</v>
      </c>
      <c r="J3006" t="s">
        <v>1525</v>
      </c>
    </row>
    <row r="3007" spans="9:10" x14ac:dyDescent="0.3">
      <c r="I3007" t="s">
        <v>11337</v>
      </c>
      <c r="J3007" t="s">
        <v>1525</v>
      </c>
    </row>
    <row r="3008" spans="9:10" x14ac:dyDescent="0.3">
      <c r="I3008" t="s">
        <v>11338</v>
      </c>
    </row>
    <row r="3009" spans="9:10" x14ac:dyDescent="0.3">
      <c r="I3009" t="s">
        <v>11339</v>
      </c>
      <c r="J3009" t="s">
        <v>1526</v>
      </c>
    </row>
    <row r="3010" spans="9:10" x14ac:dyDescent="0.3">
      <c r="I3010" t="s">
        <v>11340</v>
      </c>
      <c r="J3010" t="s">
        <v>1527</v>
      </c>
    </row>
    <row r="3011" spans="9:10" x14ac:dyDescent="0.3">
      <c r="I3011" t="s">
        <v>11341</v>
      </c>
      <c r="J3011" t="s">
        <v>1528</v>
      </c>
    </row>
    <row r="3012" spans="9:10" x14ac:dyDescent="0.3">
      <c r="I3012" t="s">
        <v>11342</v>
      </c>
      <c r="J3012" t="s">
        <v>1528</v>
      </c>
    </row>
    <row r="3013" spans="9:10" x14ac:dyDescent="0.3">
      <c r="I3013" t="s">
        <v>11343</v>
      </c>
      <c r="J3013" t="s">
        <v>1529</v>
      </c>
    </row>
    <row r="3014" spans="9:10" x14ac:dyDescent="0.3">
      <c r="I3014" t="s">
        <v>11344</v>
      </c>
      <c r="J3014" t="s">
        <v>1530</v>
      </c>
    </row>
    <row r="3015" spans="9:10" x14ac:dyDescent="0.3">
      <c r="I3015" t="s">
        <v>11345</v>
      </c>
      <c r="J3015" t="s">
        <v>1531</v>
      </c>
    </row>
    <row r="3016" spans="9:10" x14ac:dyDescent="0.3">
      <c r="I3016" t="s">
        <v>11346</v>
      </c>
      <c r="J3016" t="s">
        <v>1532</v>
      </c>
    </row>
    <row r="3017" spans="9:10" x14ac:dyDescent="0.3">
      <c r="I3017" t="s">
        <v>11347</v>
      </c>
      <c r="J3017" t="s">
        <v>1533</v>
      </c>
    </row>
    <row r="3018" spans="9:10" x14ac:dyDescent="0.3">
      <c r="I3018" t="s">
        <v>11348</v>
      </c>
      <c r="J3018" t="s">
        <v>1534</v>
      </c>
    </row>
    <row r="3019" spans="9:10" x14ac:dyDescent="0.3">
      <c r="I3019" t="s">
        <v>11348</v>
      </c>
      <c r="J3019" t="s">
        <v>1534</v>
      </c>
    </row>
    <row r="3020" spans="9:10" x14ac:dyDescent="0.3">
      <c r="I3020" t="s">
        <v>11348</v>
      </c>
      <c r="J3020" t="s">
        <v>1534</v>
      </c>
    </row>
    <row r="3021" spans="9:10" x14ac:dyDescent="0.3">
      <c r="I3021" t="s">
        <v>11349</v>
      </c>
    </row>
    <row r="3022" spans="9:10" x14ac:dyDescent="0.3">
      <c r="I3022" t="s">
        <v>11350</v>
      </c>
    </row>
    <row r="3023" spans="9:10" x14ac:dyDescent="0.3">
      <c r="I3023" t="s">
        <v>11351</v>
      </c>
    </row>
    <row r="3024" spans="9:10" x14ac:dyDescent="0.3">
      <c r="I3024" t="s">
        <v>11352</v>
      </c>
    </row>
    <row r="3025" spans="9:10" x14ac:dyDescent="0.3">
      <c r="I3025" t="s">
        <v>11353</v>
      </c>
    </row>
    <row r="3026" spans="9:10" x14ac:dyDescent="0.3">
      <c r="I3026" t="s">
        <v>11354</v>
      </c>
    </row>
    <row r="3027" spans="9:10" x14ac:dyDescent="0.3">
      <c r="I3027" t="s">
        <v>11355</v>
      </c>
    </row>
    <row r="3028" spans="9:10" x14ac:dyDescent="0.3">
      <c r="I3028" t="s">
        <v>11356</v>
      </c>
    </row>
    <row r="3029" spans="9:10" x14ac:dyDescent="0.3">
      <c r="I3029" t="s">
        <v>11357</v>
      </c>
    </row>
    <row r="3030" spans="9:10" x14ac:dyDescent="0.3">
      <c r="I3030" t="s">
        <v>11358</v>
      </c>
    </row>
    <row r="3031" spans="9:10" x14ac:dyDescent="0.3">
      <c r="I3031" t="s">
        <v>11359</v>
      </c>
      <c r="J3031" t="s">
        <v>1535</v>
      </c>
    </row>
    <row r="3032" spans="9:10" x14ac:dyDescent="0.3">
      <c r="I3032" t="s">
        <v>11360</v>
      </c>
      <c r="J3032" t="s">
        <v>1536</v>
      </c>
    </row>
    <row r="3033" spans="9:10" x14ac:dyDescent="0.3">
      <c r="I3033" t="s">
        <v>11361</v>
      </c>
      <c r="J3033" t="s">
        <v>1537</v>
      </c>
    </row>
    <row r="3034" spans="9:10" x14ac:dyDescent="0.3">
      <c r="I3034" t="s">
        <v>11362</v>
      </c>
      <c r="J3034" t="s">
        <v>1537</v>
      </c>
    </row>
    <row r="3035" spans="9:10" x14ac:dyDescent="0.3">
      <c r="I3035" t="s">
        <v>11363</v>
      </c>
    </row>
    <row r="3036" spans="9:10" x14ac:dyDescent="0.3">
      <c r="I3036" t="s">
        <v>11364</v>
      </c>
      <c r="J3036" t="s">
        <v>1538</v>
      </c>
    </row>
    <row r="3037" spans="9:10" x14ac:dyDescent="0.3">
      <c r="I3037" t="s">
        <v>11365</v>
      </c>
      <c r="J3037" t="s">
        <v>1539</v>
      </c>
    </row>
    <row r="3038" spans="9:10" x14ac:dyDescent="0.3">
      <c r="I3038" t="s">
        <v>11366</v>
      </c>
      <c r="J3038" t="s">
        <v>1539</v>
      </c>
    </row>
    <row r="3039" spans="9:10" x14ac:dyDescent="0.3">
      <c r="I3039" t="s">
        <v>11367</v>
      </c>
      <c r="J3039" t="s">
        <v>1540</v>
      </c>
    </row>
    <row r="3040" spans="9:10" x14ac:dyDescent="0.3">
      <c r="I3040" t="s">
        <v>11368</v>
      </c>
      <c r="J3040" t="s">
        <v>1541</v>
      </c>
    </row>
    <row r="3041" spans="9:10" x14ac:dyDescent="0.3">
      <c r="I3041" t="s">
        <v>11369</v>
      </c>
      <c r="J3041" t="s">
        <v>1542</v>
      </c>
    </row>
    <row r="3042" spans="9:10" x14ac:dyDescent="0.3">
      <c r="I3042" t="s">
        <v>11370</v>
      </c>
      <c r="J3042" t="s">
        <v>1543</v>
      </c>
    </row>
    <row r="3043" spans="9:10" x14ac:dyDescent="0.3">
      <c r="I3043" t="s">
        <v>11371</v>
      </c>
      <c r="J3043" t="s">
        <v>1543</v>
      </c>
    </row>
    <row r="3044" spans="9:10" x14ac:dyDescent="0.3">
      <c r="I3044" t="s">
        <v>11371</v>
      </c>
      <c r="J3044" t="s">
        <v>1543</v>
      </c>
    </row>
    <row r="3045" spans="9:10" x14ac:dyDescent="0.3">
      <c r="I3045" t="s">
        <v>11372</v>
      </c>
    </row>
    <row r="3046" spans="9:10" x14ac:dyDescent="0.3">
      <c r="I3046" t="s">
        <v>11373</v>
      </c>
      <c r="J3046" t="s">
        <v>1544</v>
      </c>
    </row>
    <row r="3047" spans="9:10" x14ac:dyDescent="0.3">
      <c r="I3047" t="s">
        <v>11374</v>
      </c>
      <c r="J3047" t="s">
        <v>1544</v>
      </c>
    </row>
    <row r="3048" spans="9:10" x14ac:dyDescent="0.3">
      <c r="I3048" t="s">
        <v>11375</v>
      </c>
      <c r="J3048" t="s">
        <v>1544</v>
      </c>
    </row>
    <row r="3049" spans="9:10" x14ac:dyDescent="0.3">
      <c r="I3049" t="s">
        <v>11376</v>
      </c>
      <c r="J3049" t="s">
        <v>1545</v>
      </c>
    </row>
    <row r="3050" spans="9:10" x14ac:dyDescent="0.3">
      <c r="I3050" t="s">
        <v>11377</v>
      </c>
      <c r="J3050" t="s">
        <v>1546</v>
      </c>
    </row>
    <row r="3051" spans="9:10" x14ac:dyDescent="0.3">
      <c r="I3051" t="s">
        <v>11378</v>
      </c>
      <c r="J3051" t="s">
        <v>1547</v>
      </c>
    </row>
    <row r="3052" spans="9:10" x14ac:dyDescent="0.3">
      <c r="I3052" t="s">
        <v>11379</v>
      </c>
      <c r="J3052" t="s">
        <v>1548</v>
      </c>
    </row>
    <row r="3053" spans="9:10" x14ac:dyDescent="0.3">
      <c r="I3053" t="s">
        <v>11380</v>
      </c>
      <c r="J3053" t="s">
        <v>1549</v>
      </c>
    </row>
    <row r="3054" spans="9:10" x14ac:dyDescent="0.3">
      <c r="I3054" t="s">
        <v>11381</v>
      </c>
      <c r="J3054" t="s">
        <v>1549</v>
      </c>
    </row>
    <row r="3055" spans="9:10" x14ac:dyDescent="0.3">
      <c r="I3055" t="s">
        <v>11382</v>
      </c>
      <c r="J3055" t="s">
        <v>1550</v>
      </c>
    </row>
    <row r="3056" spans="9:10" x14ac:dyDescent="0.3">
      <c r="I3056" t="s">
        <v>11383</v>
      </c>
      <c r="J3056" t="s">
        <v>1551</v>
      </c>
    </row>
    <row r="3057" spans="9:10" x14ac:dyDescent="0.3">
      <c r="I3057" t="s">
        <v>11384</v>
      </c>
      <c r="J3057">
        <v>0</v>
      </c>
    </row>
    <row r="3058" spans="9:10" x14ac:dyDescent="0.3">
      <c r="I3058" t="s">
        <v>11385</v>
      </c>
      <c r="J3058">
        <v>0</v>
      </c>
    </row>
    <row r="3059" spans="9:10" x14ac:dyDescent="0.3">
      <c r="I3059" t="s">
        <v>11386</v>
      </c>
      <c r="J3059" t="s">
        <v>1552</v>
      </c>
    </row>
    <row r="3060" spans="9:10" x14ac:dyDescent="0.3">
      <c r="I3060" t="s">
        <v>11386</v>
      </c>
      <c r="J3060" t="s">
        <v>1552</v>
      </c>
    </row>
    <row r="3061" spans="9:10" x14ac:dyDescent="0.3">
      <c r="I3061" t="s">
        <v>11387</v>
      </c>
      <c r="J3061" t="s">
        <v>1552</v>
      </c>
    </row>
    <row r="3062" spans="9:10" x14ac:dyDescent="0.3">
      <c r="I3062" t="s">
        <v>11388</v>
      </c>
      <c r="J3062" t="s">
        <v>1553</v>
      </c>
    </row>
    <row r="3063" spans="9:10" x14ac:dyDescent="0.3">
      <c r="I3063" t="s">
        <v>11389</v>
      </c>
      <c r="J3063" t="s">
        <v>1553</v>
      </c>
    </row>
    <row r="3064" spans="9:10" x14ac:dyDescent="0.3">
      <c r="I3064" t="s">
        <v>11388</v>
      </c>
      <c r="J3064" t="s">
        <v>1553</v>
      </c>
    </row>
    <row r="3065" spans="9:10" x14ac:dyDescent="0.3">
      <c r="I3065" t="s">
        <v>11388</v>
      </c>
      <c r="J3065" t="s">
        <v>1553</v>
      </c>
    </row>
    <row r="3066" spans="9:10" x14ac:dyDescent="0.3">
      <c r="I3066" t="s">
        <v>11388</v>
      </c>
      <c r="J3066" t="s">
        <v>1553</v>
      </c>
    </row>
    <row r="3067" spans="9:10" x14ac:dyDescent="0.3">
      <c r="I3067" t="s">
        <v>11388</v>
      </c>
      <c r="J3067" t="s">
        <v>1553</v>
      </c>
    </row>
    <row r="3068" spans="9:10" x14ac:dyDescent="0.3">
      <c r="I3068" t="s">
        <v>11388</v>
      </c>
      <c r="J3068" t="s">
        <v>1553</v>
      </c>
    </row>
    <row r="3069" spans="9:10" x14ac:dyDescent="0.3">
      <c r="I3069" t="s">
        <v>11390</v>
      </c>
      <c r="J3069" t="s">
        <v>1553</v>
      </c>
    </row>
    <row r="3070" spans="9:10" x14ac:dyDescent="0.3">
      <c r="I3070" t="s">
        <v>11389</v>
      </c>
      <c r="J3070" t="s">
        <v>1553</v>
      </c>
    </row>
    <row r="3071" spans="9:10" x14ac:dyDescent="0.3">
      <c r="I3071" t="s">
        <v>11391</v>
      </c>
      <c r="J3071" t="s">
        <v>1553</v>
      </c>
    </row>
    <row r="3072" spans="9:10" x14ac:dyDescent="0.3">
      <c r="I3072" t="s">
        <v>11392</v>
      </c>
      <c r="J3072" t="s">
        <v>1553</v>
      </c>
    </row>
    <row r="3073" spans="9:10" x14ac:dyDescent="0.3">
      <c r="I3073" t="s">
        <v>11393</v>
      </c>
      <c r="J3073" t="s">
        <v>1553</v>
      </c>
    </row>
    <row r="3074" spans="9:10" x14ac:dyDescent="0.3">
      <c r="I3074" t="s">
        <v>11394</v>
      </c>
      <c r="J3074" t="s">
        <v>1553</v>
      </c>
    </row>
    <row r="3075" spans="9:10" x14ac:dyDescent="0.3">
      <c r="I3075" t="s">
        <v>11388</v>
      </c>
      <c r="J3075" t="s">
        <v>1553</v>
      </c>
    </row>
    <row r="3076" spans="9:10" x14ac:dyDescent="0.3">
      <c r="I3076" t="s">
        <v>11388</v>
      </c>
      <c r="J3076" t="s">
        <v>1553</v>
      </c>
    </row>
    <row r="3077" spans="9:10" x14ac:dyDescent="0.3">
      <c r="I3077" t="s">
        <v>11388</v>
      </c>
      <c r="J3077" t="s">
        <v>1553</v>
      </c>
    </row>
    <row r="3078" spans="9:10" x14ac:dyDescent="0.3">
      <c r="I3078" t="s">
        <v>11391</v>
      </c>
      <c r="J3078" t="s">
        <v>1553</v>
      </c>
    </row>
    <row r="3079" spans="9:10" x14ac:dyDescent="0.3">
      <c r="I3079" t="s">
        <v>11390</v>
      </c>
      <c r="J3079" t="s">
        <v>1553</v>
      </c>
    </row>
    <row r="3080" spans="9:10" x14ac:dyDescent="0.3">
      <c r="I3080" t="s">
        <v>11395</v>
      </c>
    </row>
    <row r="3081" spans="9:10" x14ac:dyDescent="0.3">
      <c r="I3081" t="s">
        <v>11396</v>
      </c>
      <c r="J3081" t="s">
        <v>1554</v>
      </c>
    </row>
    <row r="3082" spans="9:10" x14ac:dyDescent="0.3">
      <c r="I3082" t="s">
        <v>11397</v>
      </c>
    </row>
    <row r="3083" spans="9:10" x14ac:dyDescent="0.3">
      <c r="I3083" t="s">
        <v>11398</v>
      </c>
    </row>
    <row r="3084" spans="9:10" x14ac:dyDescent="0.3">
      <c r="I3084" t="s">
        <v>11399</v>
      </c>
      <c r="J3084" t="s">
        <v>1555</v>
      </c>
    </row>
    <row r="3085" spans="9:10" x14ac:dyDescent="0.3">
      <c r="I3085" t="s">
        <v>11400</v>
      </c>
      <c r="J3085" t="s">
        <v>1555</v>
      </c>
    </row>
    <row r="3086" spans="9:10" x14ac:dyDescent="0.3">
      <c r="I3086" t="s">
        <v>11401</v>
      </c>
      <c r="J3086" t="s">
        <v>1555</v>
      </c>
    </row>
    <row r="3087" spans="9:10" x14ac:dyDescent="0.3">
      <c r="I3087" t="s">
        <v>11400</v>
      </c>
      <c r="J3087" t="s">
        <v>1555</v>
      </c>
    </row>
    <row r="3088" spans="9:10" x14ac:dyDescent="0.3">
      <c r="I3088" t="s">
        <v>11402</v>
      </c>
    </row>
    <row r="3089" spans="9:10" x14ac:dyDescent="0.3">
      <c r="I3089" t="s">
        <v>11403</v>
      </c>
    </row>
    <row r="3090" spans="9:10" x14ac:dyDescent="0.3">
      <c r="I3090" t="s">
        <v>11404</v>
      </c>
      <c r="J3090" t="s">
        <v>1556</v>
      </c>
    </row>
    <row r="3091" spans="9:10" x14ac:dyDescent="0.3">
      <c r="I3091" t="s">
        <v>11405</v>
      </c>
      <c r="J3091" t="s">
        <v>1557</v>
      </c>
    </row>
    <row r="3092" spans="9:10" x14ac:dyDescent="0.3">
      <c r="I3092" t="s">
        <v>11406</v>
      </c>
      <c r="J3092" t="s">
        <v>1558</v>
      </c>
    </row>
    <row r="3093" spans="9:10" x14ac:dyDescent="0.3">
      <c r="I3093" t="s">
        <v>11407</v>
      </c>
      <c r="J3093" t="s">
        <v>1559</v>
      </c>
    </row>
    <row r="3094" spans="9:10" x14ac:dyDescent="0.3">
      <c r="I3094" t="s">
        <v>11408</v>
      </c>
      <c r="J3094" t="s">
        <v>1560</v>
      </c>
    </row>
    <row r="3095" spans="9:10" x14ac:dyDescent="0.3">
      <c r="I3095" t="s">
        <v>11409</v>
      </c>
      <c r="J3095" t="s">
        <v>1560</v>
      </c>
    </row>
    <row r="3096" spans="9:10" x14ac:dyDescent="0.3">
      <c r="I3096" t="s">
        <v>11410</v>
      </c>
      <c r="J3096" t="s">
        <v>1560</v>
      </c>
    </row>
    <row r="3097" spans="9:10" x14ac:dyDescent="0.3">
      <c r="I3097" t="s">
        <v>11411</v>
      </c>
      <c r="J3097" t="s">
        <v>1561</v>
      </c>
    </row>
    <row r="3098" spans="9:10" x14ac:dyDescent="0.3">
      <c r="I3098" t="s">
        <v>11412</v>
      </c>
      <c r="J3098" t="s">
        <v>1562</v>
      </c>
    </row>
    <row r="3099" spans="9:10" x14ac:dyDescent="0.3">
      <c r="I3099" t="s">
        <v>11413</v>
      </c>
      <c r="J3099" t="s">
        <v>1563</v>
      </c>
    </row>
    <row r="3100" spans="9:10" x14ac:dyDescent="0.3">
      <c r="I3100" t="s">
        <v>11413</v>
      </c>
      <c r="J3100" t="s">
        <v>1563</v>
      </c>
    </row>
    <row r="3101" spans="9:10" x14ac:dyDescent="0.3">
      <c r="I3101" t="s">
        <v>11414</v>
      </c>
      <c r="J3101" t="s">
        <v>1564</v>
      </c>
    </row>
    <row r="3102" spans="9:10" x14ac:dyDescent="0.3">
      <c r="I3102" t="s">
        <v>11415</v>
      </c>
      <c r="J3102" t="s">
        <v>1564</v>
      </c>
    </row>
    <row r="3103" spans="9:10" x14ac:dyDescent="0.3">
      <c r="I3103" t="s">
        <v>11415</v>
      </c>
      <c r="J3103" t="s">
        <v>1564</v>
      </c>
    </row>
    <row r="3104" spans="9:10" x14ac:dyDescent="0.3">
      <c r="I3104" t="s">
        <v>11416</v>
      </c>
      <c r="J3104" t="s">
        <v>1565</v>
      </c>
    </row>
    <row r="3105" spans="9:10" x14ac:dyDescent="0.3">
      <c r="I3105" t="s">
        <v>11417</v>
      </c>
      <c r="J3105" t="s">
        <v>1566</v>
      </c>
    </row>
    <row r="3106" spans="9:10" x14ac:dyDescent="0.3">
      <c r="I3106" t="s">
        <v>11418</v>
      </c>
      <c r="J3106" t="s">
        <v>1567</v>
      </c>
    </row>
    <row r="3107" spans="9:10" x14ac:dyDescent="0.3">
      <c r="I3107" t="s">
        <v>11419</v>
      </c>
      <c r="J3107" t="s">
        <v>1568</v>
      </c>
    </row>
    <row r="3108" spans="9:10" x14ac:dyDescent="0.3">
      <c r="I3108" t="s">
        <v>11420</v>
      </c>
      <c r="J3108" t="s">
        <v>1569</v>
      </c>
    </row>
    <row r="3109" spans="9:10" x14ac:dyDescent="0.3">
      <c r="I3109" t="s">
        <v>11421</v>
      </c>
      <c r="J3109" t="s">
        <v>1570</v>
      </c>
    </row>
    <row r="3110" spans="9:10" x14ac:dyDescent="0.3">
      <c r="I3110" t="s">
        <v>11422</v>
      </c>
      <c r="J3110" t="s">
        <v>1570</v>
      </c>
    </row>
    <row r="3111" spans="9:10" x14ac:dyDescent="0.3">
      <c r="I3111" t="s">
        <v>11423</v>
      </c>
      <c r="J3111" t="s">
        <v>1570</v>
      </c>
    </row>
    <row r="3112" spans="9:10" x14ac:dyDescent="0.3">
      <c r="I3112" t="s">
        <v>11424</v>
      </c>
      <c r="J3112" t="s">
        <v>1571</v>
      </c>
    </row>
    <row r="3113" spans="9:10" x14ac:dyDescent="0.3">
      <c r="I3113" t="s">
        <v>11425</v>
      </c>
      <c r="J3113" t="s">
        <v>1571</v>
      </c>
    </row>
    <row r="3114" spans="9:10" x14ac:dyDescent="0.3">
      <c r="I3114" t="s">
        <v>11426</v>
      </c>
      <c r="J3114" t="s">
        <v>1572</v>
      </c>
    </row>
    <row r="3115" spans="9:10" x14ac:dyDescent="0.3">
      <c r="I3115" t="s">
        <v>11427</v>
      </c>
      <c r="J3115" t="s">
        <v>1573</v>
      </c>
    </row>
    <row r="3116" spans="9:10" x14ac:dyDescent="0.3">
      <c r="I3116" t="s">
        <v>11427</v>
      </c>
      <c r="J3116" t="s">
        <v>1573</v>
      </c>
    </row>
    <row r="3117" spans="9:10" x14ac:dyDescent="0.3">
      <c r="I3117" t="s">
        <v>11428</v>
      </c>
      <c r="J3117" t="s">
        <v>1574</v>
      </c>
    </row>
    <row r="3118" spans="9:10" x14ac:dyDescent="0.3">
      <c r="I3118" t="s">
        <v>11429</v>
      </c>
      <c r="J3118" t="s">
        <v>1574</v>
      </c>
    </row>
    <row r="3119" spans="9:10" x14ac:dyDescent="0.3">
      <c r="I3119" t="s">
        <v>11430</v>
      </c>
    </row>
    <row r="3120" spans="9:10" x14ac:dyDescent="0.3">
      <c r="I3120" t="s">
        <v>11431</v>
      </c>
      <c r="J3120" t="s">
        <v>1575</v>
      </c>
    </row>
    <row r="3121" spans="9:10" x14ac:dyDescent="0.3">
      <c r="I3121" t="s">
        <v>11432</v>
      </c>
      <c r="J3121" t="s">
        <v>1575</v>
      </c>
    </row>
    <row r="3122" spans="9:10" x14ac:dyDescent="0.3">
      <c r="I3122" t="s">
        <v>11431</v>
      </c>
      <c r="J3122" t="s">
        <v>1575</v>
      </c>
    </row>
    <row r="3123" spans="9:10" x14ac:dyDescent="0.3">
      <c r="I3123" t="s">
        <v>11433</v>
      </c>
      <c r="J3123" t="s">
        <v>1576</v>
      </c>
    </row>
    <row r="3124" spans="9:10" x14ac:dyDescent="0.3">
      <c r="I3124" t="s">
        <v>11434</v>
      </c>
      <c r="J3124" t="s">
        <v>1577</v>
      </c>
    </row>
    <row r="3125" spans="9:10" x14ac:dyDescent="0.3">
      <c r="I3125" t="s">
        <v>11435</v>
      </c>
      <c r="J3125" t="s">
        <v>1577</v>
      </c>
    </row>
    <row r="3126" spans="9:10" x14ac:dyDescent="0.3">
      <c r="I3126" t="s">
        <v>11436</v>
      </c>
      <c r="J3126" t="s">
        <v>1578</v>
      </c>
    </row>
    <row r="3127" spans="9:10" x14ac:dyDescent="0.3">
      <c r="I3127" t="s">
        <v>11437</v>
      </c>
      <c r="J3127" t="s">
        <v>1579</v>
      </c>
    </row>
    <row r="3128" spans="9:10" x14ac:dyDescent="0.3">
      <c r="I3128" t="s">
        <v>11438</v>
      </c>
      <c r="J3128" t="s">
        <v>1579</v>
      </c>
    </row>
    <row r="3129" spans="9:10" x14ac:dyDescent="0.3">
      <c r="I3129" t="s">
        <v>11439</v>
      </c>
    </row>
    <row r="3130" spans="9:10" x14ac:dyDescent="0.3">
      <c r="I3130" t="s">
        <v>11439</v>
      </c>
    </row>
    <row r="3131" spans="9:10" x14ac:dyDescent="0.3">
      <c r="I3131" t="s">
        <v>11440</v>
      </c>
      <c r="J3131" t="s">
        <v>1580</v>
      </c>
    </row>
    <row r="3132" spans="9:10" x14ac:dyDescent="0.3">
      <c r="I3132" t="s">
        <v>11441</v>
      </c>
      <c r="J3132" t="s">
        <v>1581</v>
      </c>
    </row>
    <row r="3133" spans="9:10" x14ac:dyDescent="0.3">
      <c r="I3133" t="s">
        <v>11442</v>
      </c>
      <c r="J3133" t="s">
        <v>1582</v>
      </c>
    </row>
    <row r="3134" spans="9:10" x14ac:dyDescent="0.3">
      <c r="I3134" t="s">
        <v>11443</v>
      </c>
      <c r="J3134" t="s">
        <v>1583</v>
      </c>
    </row>
    <row r="3135" spans="9:10" x14ac:dyDescent="0.3">
      <c r="I3135" t="s">
        <v>11444</v>
      </c>
      <c r="J3135" t="s">
        <v>1584</v>
      </c>
    </row>
    <row r="3136" spans="9:10" x14ac:dyDescent="0.3">
      <c r="I3136" t="s">
        <v>11445</v>
      </c>
      <c r="J3136" t="s">
        <v>1585</v>
      </c>
    </row>
    <row r="3137" spans="9:10" x14ac:dyDescent="0.3">
      <c r="I3137" t="s">
        <v>11446</v>
      </c>
      <c r="J3137" t="s">
        <v>1586</v>
      </c>
    </row>
    <row r="3138" spans="9:10" x14ac:dyDescent="0.3">
      <c r="I3138" t="s">
        <v>11447</v>
      </c>
      <c r="J3138" t="s">
        <v>1587</v>
      </c>
    </row>
    <row r="3139" spans="9:10" x14ac:dyDescent="0.3">
      <c r="I3139" t="s">
        <v>11448</v>
      </c>
      <c r="J3139" t="s">
        <v>1588</v>
      </c>
    </row>
    <row r="3140" spans="9:10" x14ac:dyDescent="0.3">
      <c r="I3140" t="s">
        <v>11449</v>
      </c>
      <c r="J3140" t="s">
        <v>1589</v>
      </c>
    </row>
    <row r="3141" spans="9:10" x14ac:dyDescent="0.3">
      <c r="I3141" t="s">
        <v>11450</v>
      </c>
      <c r="J3141" t="s">
        <v>1590</v>
      </c>
    </row>
    <row r="3142" spans="9:10" x14ac:dyDescent="0.3">
      <c r="I3142" t="s">
        <v>11451</v>
      </c>
      <c r="J3142" t="s">
        <v>1591</v>
      </c>
    </row>
    <row r="3143" spans="9:10" x14ac:dyDescent="0.3">
      <c r="I3143" t="s">
        <v>11452</v>
      </c>
      <c r="J3143" t="s">
        <v>1592</v>
      </c>
    </row>
    <row r="3144" spans="9:10" x14ac:dyDescent="0.3">
      <c r="I3144" t="s">
        <v>11453</v>
      </c>
      <c r="J3144" t="s">
        <v>1593</v>
      </c>
    </row>
    <row r="3145" spans="9:10" x14ac:dyDescent="0.3">
      <c r="I3145" t="s">
        <v>11454</v>
      </c>
      <c r="J3145" t="s">
        <v>1594</v>
      </c>
    </row>
    <row r="3146" spans="9:10" x14ac:dyDescent="0.3">
      <c r="I3146" t="s">
        <v>11455</v>
      </c>
      <c r="J3146" t="s">
        <v>1270</v>
      </c>
    </row>
    <row r="3147" spans="9:10" x14ac:dyDescent="0.3">
      <c r="I3147" t="s">
        <v>11456</v>
      </c>
      <c r="J3147" t="s">
        <v>1595</v>
      </c>
    </row>
    <row r="3148" spans="9:10" x14ac:dyDescent="0.3">
      <c r="I3148" t="s">
        <v>11457</v>
      </c>
      <c r="J3148" t="s">
        <v>1595</v>
      </c>
    </row>
    <row r="3149" spans="9:10" x14ac:dyDescent="0.3">
      <c r="I3149" t="s">
        <v>11458</v>
      </c>
      <c r="J3149" t="s">
        <v>1596</v>
      </c>
    </row>
    <row r="3150" spans="9:10" x14ac:dyDescent="0.3">
      <c r="I3150" t="s">
        <v>11459</v>
      </c>
      <c r="J3150" t="s">
        <v>1597</v>
      </c>
    </row>
    <row r="3151" spans="9:10" x14ac:dyDescent="0.3">
      <c r="I3151" t="s">
        <v>11460</v>
      </c>
      <c r="J3151" t="s">
        <v>1598</v>
      </c>
    </row>
    <row r="3152" spans="9:10" x14ac:dyDescent="0.3">
      <c r="I3152" t="s">
        <v>11461</v>
      </c>
      <c r="J3152" t="s">
        <v>1599</v>
      </c>
    </row>
    <row r="3153" spans="9:10" x14ac:dyDescent="0.3">
      <c r="I3153" t="s">
        <v>11462</v>
      </c>
      <c r="J3153" t="s">
        <v>1600</v>
      </c>
    </row>
    <row r="3154" spans="9:10" x14ac:dyDescent="0.3">
      <c r="I3154" t="s">
        <v>11463</v>
      </c>
      <c r="J3154" t="s">
        <v>1601</v>
      </c>
    </row>
    <row r="3155" spans="9:10" x14ac:dyDescent="0.3">
      <c r="I3155" t="s">
        <v>11464</v>
      </c>
      <c r="J3155" t="s">
        <v>1602</v>
      </c>
    </row>
    <row r="3156" spans="9:10" x14ac:dyDescent="0.3">
      <c r="I3156" t="s">
        <v>11465</v>
      </c>
      <c r="J3156" t="s">
        <v>1603</v>
      </c>
    </row>
    <row r="3157" spans="9:10" x14ac:dyDescent="0.3">
      <c r="I3157" t="s">
        <v>11466</v>
      </c>
      <c r="J3157" t="s">
        <v>1604</v>
      </c>
    </row>
    <row r="3158" spans="9:10" x14ac:dyDescent="0.3">
      <c r="I3158" t="s">
        <v>11467</v>
      </c>
      <c r="J3158" t="s">
        <v>1605</v>
      </c>
    </row>
    <row r="3159" spans="9:10" x14ac:dyDescent="0.3">
      <c r="I3159" t="s">
        <v>11468</v>
      </c>
      <c r="J3159" t="s">
        <v>1606</v>
      </c>
    </row>
    <row r="3160" spans="9:10" x14ac:dyDescent="0.3">
      <c r="I3160" t="s">
        <v>11469</v>
      </c>
      <c r="J3160" t="s">
        <v>1607</v>
      </c>
    </row>
    <row r="3161" spans="9:10" x14ac:dyDescent="0.3">
      <c r="I3161" t="s">
        <v>11470</v>
      </c>
      <c r="J3161" t="s">
        <v>1608</v>
      </c>
    </row>
    <row r="3162" spans="9:10" x14ac:dyDescent="0.3">
      <c r="I3162" t="s">
        <v>11471</v>
      </c>
      <c r="J3162" t="s">
        <v>1609</v>
      </c>
    </row>
    <row r="3163" spans="9:10" x14ac:dyDescent="0.3">
      <c r="I3163" t="s">
        <v>11472</v>
      </c>
      <c r="J3163" t="s">
        <v>1610</v>
      </c>
    </row>
    <row r="3164" spans="9:10" x14ac:dyDescent="0.3">
      <c r="I3164" t="s">
        <v>11473</v>
      </c>
      <c r="J3164" t="s">
        <v>1611</v>
      </c>
    </row>
    <row r="3165" spans="9:10" x14ac:dyDescent="0.3">
      <c r="I3165" t="s">
        <v>11474</v>
      </c>
      <c r="J3165" t="s">
        <v>1612</v>
      </c>
    </row>
    <row r="3166" spans="9:10" x14ac:dyDescent="0.3">
      <c r="I3166" t="s">
        <v>11475</v>
      </c>
      <c r="J3166" t="s">
        <v>1613</v>
      </c>
    </row>
    <row r="3167" spans="9:10" x14ac:dyDescent="0.3">
      <c r="I3167" t="s">
        <v>11476</v>
      </c>
      <c r="J3167" t="s">
        <v>1614</v>
      </c>
    </row>
    <row r="3168" spans="9:10" x14ac:dyDescent="0.3">
      <c r="I3168" t="s">
        <v>11477</v>
      </c>
      <c r="J3168" t="s">
        <v>1615</v>
      </c>
    </row>
    <row r="3169" spans="9:10" x14ac:dyDescent="0.3">
      <c r="I3169" t="s">
        <v>11478</v>
      </c>
      <c r="J3169" t="s">
        <v>1616</v>
      </c>
    </row>
    <row r="3170" spans="9:10" x14ac:dyDescent="0.3">
      <c r="I3170" t="s">
        <v>11479</v>
      </c>
      <c r="J3170" t="s">
        <v>1617</v>
      </c>
    </row>
    <row r="3171" spans="9:10" x14ac:dyDescent="0.3">
      <c r="I3171" t="s">
        <v>11480</v>
      </c>
      <c r="J3171" t="s">
        <v>1618</v>
      </c>
    </row>
    <row r="3172" spans="9:10" x14ac:dyDescent="0.3">
      <c r="I3172" t="s">
        <v>11481</v>
      </c>
      <c r="J3172" t="s">
        <v>1619</v>
      </c>
    </row>
    <row r="3173" spans="9:10" x14ac:dyDescent="0.3">
      <c r="I3173" t="s">
        <v>11482</v>
      </c>
      <c r="J3173" t="s">
        <v>1620</v>
      </c>
    </row>
    <row r="3174" spans="9:10" x14ac:dyDescent="0.3">
      <c r="I3174" t="s">
        <v>11483</v>
      </c>
      <c r="J3174" t="s">
        <v>1621</v>
      </c>
    </row>
    <row r="3175" spans="9:10" x14ac:dyDescent="0.3">
      <c r="I3175" t="s">
        <v>11484</v>
      </c>
      <c r="J3175" t="s">
        <v>1622</v>
      </c>
    </row>
    <row r="3176" spans="9:10" x14ac:dyDescent="0.3">
      <c r="I3176" t="s">
        <v>11485</v>
      </c>
      <c r="J3176" t="s">
        <v>1622</v>
      </c>
    </row>
    <row r="3177" spans="9:10" x14ac:dyDescent="0.3">
      <c r="I3177" t="s">
        <v>11486</v>
      </c>
      <c r="J3177" t="s">
        <v>1622</v>
      </c>
    </row>
    <row r="3178" spans="9:10" x14ac:dyDescent="0.3">
      <c r="I3178" t="s">
        <v>11487</v>
      </c>
      <c r="J3178" t="s">
        <v>1623</v>
      </c>
    </row>
    <row r="3179" spans="9:10" x14ac:dyDescent="0.3">
      <c r="I3179" t="s">
        <v>11488</v>
      </c>
      <c r="J3179" t="s">
        <v>1624</v>
      </c>
    </row>
    <row r="3180" spans="9:10" x14ac:dyDescent="0.3">
      <c r="I3180" t="s">
        <v>11489</v>
      </c>
      <c r="J3180" t="s">
        <v>1625</v>
      </c>
    </row>
    <row r="3181" spans="9:10" x14ac:dyDescent="0.3">
      <c r="I3181" t="s">
        <v>11490</v>
      </c>
      <c r="J3181" t="s">
        <v>1626</v>
      </c>
    </row>
    <row r="3182" spans="9:10" x14ac:dyDescent="0.3">
      <c r="I3182" t="s">
        <v>11491</v>
      </c>
      <c r="J3182" t="s">
        <v>1627</v>
      </c>
    </row>
    <row r="3183" spans="9:10" x14ac:dyDescent="0.3">
      <c r="I3183" t="s">
        <v>11492</v>
      </c>
      <c r="J3183" t="s">
        <v>1628</v>
      </c>
    </row>
    <row r="3184" spans="9:10" x14ac:dyDescent="0.3">
      <c r="I3184" t="s">
        <v>11493</v>
      </c>
      <c r="J3184" t="s">
        <v>1629</v>
      </c>
    </row>
    <row r="3185" spans="9:10" x14ac:dyDescent="0.3">
      <c r="I3185" t="s">
        <v>11494</v>
      </c>
      <c r="J3185" t="s">
        <v>1630</v>
      </c>
    </row>
    <row r="3186" spans="9:10" x14ac:dyDescent="0.3">
      <c r="I3186" t="s">
        <v>11495</v>
      </c>
      <c r="J3186" t="s">
        <v>1631</v>
      </c>
    </row>
    <row r="3187" spans="9:10" x14ac:dyDescent="0.3">
      <c r="I3187" t="s">
        <v>11496</v>
      </c>
      <c r="J3187" t="s">
        <v>1632</v>
      </c>
    </row>
    <row r="3188" spans="9:10" x14ac:dyDescent="0.3">
      <c r="I3188" t="s">
        <v>11497</v>
      </c>
      <c r="J3188" t="s">
        <v>1633</v>
      </c>
    </row>
    <row r="3189" spans="9:10" x14ac:dyDescent="0.3">
      <c r="I3189" t="s">
        <v>11498</v>
      </c>
      <c r="J3189" t="s">
        <v>1634</v>
      </c>
    </row>
    <row r="3190" spans="9:10" x14ac:dyDescent="0.3">
      <c r="I3190" t="s">
        <v>11499</v>
      </c>
      <c r="J3190" t="s">
        <v>1635</v>
      </c>
    </row>
    <row r="3191" spans="9:10" x14ac:dyDescent="0.3">
      <c r="I3191" t="s">
        <v>11500</v>
      </c>
      <c r="J3191" t="s">
        <v>1636</v>
      </c>
    </row>
    <row r="3192" spans="9:10" x14ac:dyDescent="0.3">
      <c r="I3192" t="s">
        <v>11501</v>
      </c>
      <c r="J3192" t="s">
        <v>1637</v>
      </c>
    </row>
    <row r="3193" spans="9:10" x14ac:dyDescent="0.3">
      <c r="I3193" t="s">
        <v>11502</v>
      </c>
      <c r="J3193" t="s">
        <v>1638</v>
      </c>
    </row>
    <row r="3194" spans="9:10" x14ac:dyDescent="0.3">
      <c r="I3194" t="s">
        <v>11503</v>
      </c>
      <c r="J3194" t="s">
        <v>1639</v>
      </c>
    </row>
    <row r="3195" spans="9:10" x14ac:dyDescent="0.3">
      <c r="I3195" t="s">
        <v>11504</v>
      </c>
      <c r="J3195" t="s">
        <v>1640</v>
      </c>
    </row>
    <row r="3196" spans="9:10" x14ac:dyDescent="0.3">
      <c r="I3196" t="s">
        <v>11505</v>
      </c>
      <c r="J3196" t="s">
        <v>1641</v>
      </c>
    </row>
    <row r="3197" spans="9:10" x14ac:dyDescent="0.3">
      <c r="I3197" t="s">
        <v>11506</v>
      </c>
      <c r="J3197" t="s">
        <v>1642</v>
      </c>
    </row>
    <row r="3198" spans="9:10" x14ac:dyDescent="0.3">
      <c r="I3198" t="s">
        <v>11507</v>
      </c>
      <c r="J3198" t="s">
        <v>1643</v>
      </c>
    </row>
    <row r="3199" spans="9:10" x14ac:dyDescent="0.3">
      <c r="I3199" t="s">
        <v>11508</v>
      </c>
      <c r="J3199" t="s">
        <v>1644</v>
      </c>
    </row>
    <row r="3200" spans="9:10" x14ac:dyDescent="0.3">
      <c r="I3200" t="s">
        <v>11509</v>
      </c>
      <c r="J3200" t="s">
        <v>1645</v>
      </c>
    </row>
    <row r="3201" spans="9:10" x14ac:dyDescent="0.3">
      <c r="I3201" t="s">
        <v>11510</v>
      </c>
      <c r="J3201" t="s">
        <v>1646</v>
      </c>
    </row>
    <row r="3202" spans="9:10" x14ac:dyDescent="0.3">
      <c r="I3202" t="s">
        <v>11511</v>
      </c>
      <c r="J3202" t="s">
        <v>1647</v>
      </c>
    </row>
    <row r="3203" spans="9:10" x14ac:dyDescent="0.3">
      <c r="I3203" t="s">
        <v>11512</v>
      </c>
      <c r="J3203" t="s">
        <v>1648</v>
      </c>
    </row>
    <row r="3204" spans="9:10" x14ac:dyDescent="0.3">
      <c r="I3204" t="s">
        <v>11513</v>
      </c>
      <c r="J3204" t="s">
        <v>1649</v>
      </c>
    </row>
    <row r="3205" spans="9:10" x14ac:dyDescent="0.3">
      <c r="I3205" t="s">
        <v>11514</v>
      </c>
      <c r="J3205" t="s">
        <v>1650</v>
      </c>
    </row>
    <row r="3206" spans="9:10" x14ac:dyDescent="0.3">
      <c r="I3206" t="s">
        <v>11515</v>
      </c>
      <c r="J3206" t="s">
        <v>1651</v>
      </c>
    </row>
    <row r="3207" spans="9:10" x14ac:dyDescent="0.3">
      <c r="I3207" t="s">
        <v>11516</v>
      </c>
      <c r="J3207" t="s">
        <v>1652</v>
      </c>
    </row>
    <row r="3208" spans="9:10" x14ac:dyDescent="0.3">
      <c r="I3208" t="s">
        <v>11517</v>
      </c>
      <c r="J3208" t="s">
        <v>1653</v>
      </c>
    </row>
    <row r="3209" spans="9:10" x14ac:dyDescent="0.3">
      <c r="I3209" t="s">
        <v>11518</v>
      </c>
      <c r="J3209" t="s">
        <v>1654</v>
      </c>
    </row>
    <row r="3210" spans="9:10" x14ac:dyDescent="0.3">
      <c r="I3210" t="s">
        <v>11519</v>
      </c>
      <c r="J3210" t="s">
        <v>1654</v>
      </c>
    </row>
    <row r="3211" spans="9:10" x14ac:dyDescent="0.3">
      <c r="I3211" t="s">
        <v>11520</v>
      </c>
      <c r="J3211" t="s">
        <v>1655</v>
      </c>
    </row>
    <row r="3212" spans="9:10" x14ac:dyDescent="0.3">
      <c r="I3212" t="s">
        <v>11520</v>
      </c>
      <c r="J3212" t="s">
        <v>1655</v>
      </c>
    </row>
    <row r="3213" spans="9:10" x14ac:dyDescent="0.3">
      <c r="I3213" t="s">
        <v>11520</v>
      </c>
      <c r="J3213" t="s">
        <v>1655</v>
      </c>
    </row>
    <row r="3214" spans="9:10" x14ac:dyDescent="0.3">
      <c r="I3214" t="s">
        <v>11520</v>
      </c>
      <c r="J3214" t="s">
        <v>1655</v>
      </c>
    </row>
    <row r="3215" spans="9:10" x14ac:dyDescent="0.3">
      <c r="I3215" t="s">
        <v>11520</v>
      </c>
      <c r="J3215" t="s">
        <v>1655</v>
      </c>
    </row>
    <row r="3216" spans="9:10" x14ac:dyDescent="0.3">
      <c r="I3216" t="s">
        <v>11520</v>
      </c>
      <c r="J3216" t="s">
        <v>1655</v>
      </c>
    </row>
    <row r="3217" spans="9:10" x14ac:dyDescent="0.3">
      <c r="I3217" t="s">
        <v>11521</v>
      </c>
      <c r="J3217" t="s">
        <v>1656</v>
      </c>
    </row>
    <row r="3218" spans="9:10" x14ac:dyDescent="0.3">
      <c r="I3218" t="s">
        <v>11522</v>
      </c>
      <c r="J3218" t="s">
        <v>1657</v>
      </c>
    </row>
    <row r="3219" spans="9:10" x14ac:dyDescent="0.3">
      <c r="I3219" t="s">
        <v>11523</v>
      </c>
      <c r="J3219" t="s">
        <v>1658</v>
      </c>
    </row>
    <row r="3220" spans="9:10" x14ac:dyDescent="0.3">
      <c r="I3220" t="s">
        <v>11524</v>
      </c>
      <c r="J3220" t="s">
        <v>1659</v>
      </c>
    </row>
    <row r="3221" spans="9:10" x14ac:dyDescent="0.3">
      <c r="I3221" t="s">
        <v>11525</v>
      </c>
      <c r="J3221" t="s">
        <v>1660</v>
      </c>
    </row>
    <row r="3222" spans="9:10" x14ac:dyDescent="0.3">
      <c r="I3222" t="s">
        <v>11526</v>
      </c>
      <c r="J3222" t="s">
        <v>1660</v>
      </c>
    </row>
    <row r="3223" spans="9:10" x14ac:dyDescent="0.3">
      <c r="I3223" t="s">
        <v>11527</v>
      </c>
      <c r="J3223" t="s">
        <v>1661</v>
      </c>
    </row>
    <row r="3224" spans="9:10" x14ac:dyDescent="0.3">
      <c r="I3224" t="s">
        <v>11528</v>
      </c>
      <c r="J3224" t="s">
        <v>1661</v>
      </c>
    </row>
    <row r="3225" spans="9:10" x14ac:dyDescent="0.3">
      <c r="I3225" t="s">
        <v>11529</v>
      </c>
      <c r="J3225" t="s">
        <v>1662</v>
      </c>
    </row>
    <row r="3226" spans="9:10" x14ac:dyDescent="0.3">
      <c r="I3226" t="s">
        <v>11530</v>
      </c>
      <c r="J3226" t="s">
        <v>1663</v>
      </c>
    </row>
    <row r="3227" spans="9:10" x14ac:dyDescent="0.3">
      <c r="I3227" t="s">
        <v>11531</v>
      </c>
      <c r="J3227" t="s">
        <v>1664</v>
      </c>
    </row>
    <row r="3228" spans="9:10" x14ac:dyDescent="0.3">
      <c r="I3228" t="s">
        <v>11532</v>
      </c>
      <c r="J3228" t="s">
        <v>1665</v>
      </c>
    </row>
    <row r="3229" spans="9:10" x14ac:dyDescent="0.3">
      <c r="I3229" t="s">
        <v>11533</v>
      </c>
      <c r="J3229" t="s">
        <v>1665</v>
      </c>
    </row>
    <row r="3230" spans="9:10" x14ac:dyDescent="0.3">
      <c r="I3230" t="s">
        <v>11534</v>
      </c>
      <c r="J3230" t="s">
        <v>1666</v>
      </c>
    </row>
    <row r="3231" spans="9:10" x14ac:dyDescent="0.3">
      <c r="I3231" t="s">
        <v>11535</v>
      </c>
      <c r="J3231" t="s">
        <v>1666</v>
      </c>
    </row>
    <row r="3232" spans="9:10" x14ac:dyDescent="0.3">
      <c r="I3232" t="s">
        <v>11536</v>
      </c>
      <c r="J3232" t="s">
        <v>1667</v>
      </c>
    </row>
    <row r="3233" spans="9:10" x14ac:dyDescent="0.3">
      <c r="I3233" t="s">
        <v>11537</v>
      </c>
      <c r="J3233" t="s">
        <v>1668</v>
      </c>
    </row>
    <row r="3234" spans="9:10" x14ac:dyDescent="0.3">
      <c r="I3234" t="s">
        <v>11538</v>
      </c>
      <c r="J3234" t="s">
        <v>1669</v>
      </c>
    </row>
    <row r="3235" spans="9:10" x14ac:dyDescent="0.3">
      <c r="I3235" t="s">
        <v>11539</v>
      </c>
      <c r="J3235" t="s">
        <v>1670</v>
      </c>
    </row>
    <row r="3236" spans="9:10" x14ac:dyDescent="0.3">
      <c r="I3236" t="s">
        <v>11539</v>
      </c>
      <c r="J3236" t="s">
        <v>1670</v>
      </c>
    </row>
    <row r="3237" spans="9:10" x14ac:dyDescent="0.3">
      <c r="I3237" t="s">
        <v>11540</v>
      </c>
      <c r="J3237" t="s">
        <v>1670</v>
      </c>
    </row>
    <row r="3238" spans="9:10" x14ac:dyDescent="0.3">
      <c r="I3238" t="s">
        <v>11541</v>
      </c>
      <c r="J3238" t="s">
        <v>1671</v>
      </c>
    </row>
    <row r="3239" spans="9:10" x14ac:dyDescent="0.3">
      <c r="I3239" t="s">
        <v>11542</v>
      </c>
      <c r="J3239" t="s">
        <v>1671</v>
      </c>
    </row>
    <row r="3240" spans="9:10" x14ac:dyDescent="0.3">
      <c r="I3240" t="s">
        <v>11543</v>
      </c>
      <c r="J3240" t="s">
        <v>1672</v>
      </c>
    </row>
    <row r="3241" spans="9:10" x14ac:dyDescent="0.3">
      <c r="I3241" t="s">
        <v>11543</v>
      </c>
      <c r="J3241" t="s">
        <v>1672</v>
      </c>
    </row>
    <row r="3242" spans="9:10" x14ac:dyDescent="0.3">
      <c r="I3242" t="s">
        <v>11543</v>
      </c>
      <c r="J3242" t="s">
        <v>1672</v>
      </c>
    </row>
    <row r="3243" spans="9:10" x14ac:dyDescent="0.3">
      <c r="I3243" t="s">
        <v>11543</v>
      </c>
      <c r="J3243" t="s">
        <v>1672</v>
      </c>
    </row>
    <row r="3244" spans="9:10" x14ac:dyDescent="0.3">
      <c r="I3244" t="s">
        <v>11544</v>
      </c>
    </row>
    <row r="3245" spans="9:10" x14ac:dyDescent="0.3">
      <c r="I3245" t="s">
        <v>11545</v>
      </c>
      <c r="J3245" t="s">
        <v>1673</v>
      </c>
    </row>
    <row r="3246" spans="9:10" x14ac:dyDescent="0.3">
      <c r="I3246" t="s">
        <v>11546</v>
      </c>
      <c r="J3246" t="s">
        <v>1674</v>
      </c>
    </row>
    <row r="3247" spans="9:10" x14ac:dyDescent="0.3">
      <c r="I3247" t="s">
        <v>11547</v>
      </c>
    </row>
    <row r="3248" spans="9:10" x14ac:dyDescent="0.3">
      <c r="I3248" t="s">
        <v>11548</v>
      </c>
    </row>
    <row r="3249" spans="9:10" x14ac:dyDescent="0.3">
      <c r="I3249" t="s">
        <v>11549</v>
      </c>
    </row>
    <row r="3250" spans="9:10" x14ac:dyDescent="0.3">
      <c r="I3250" t="s">
        <v>11550</v>
      </c>
      <c r="J3250" t="s">
        <v>1675</v>
      </c>
    </row>
    <row r="3251" spans="9:10" x14ac:dyDescent="0.3">
      <c r="I3251" t="s">
        <v>11551</v>
      </c>
      <c r="J3251" t="s">
        <v>1676</v>
      </c>
    </row>
    <row r="3252" spans="9:10" x14ac:dyDescent="0.3">
      <c r="I3252" t="s">
        <v>11552</v>
      </c>
    </row>
    <row r="3253" spans="9:10" x14ac:dyDescent="0.3">
      <c r="I3253" t="s">
        <v>11553</v>
      </c>
    </row>
    <row r="3254" spans="9:10" x14ac:dyDescent="0.3">
      <c r="I3254" t="s">
        <v>11554</v>
      </c>
      <c r="J3254" t="s">
        <v>1677</v>
      </c>
    </row>
    <row r="3255" spans="9:10" x14ac:dyDescent="0.3">
      <c r="I3255" t="s">
        <v>11555</v>
      </c>
    </row>
    <row r="3256" spans="9:10" x14ac:dyDescent="0.3">
      <c r="I3256" t="s">
        <v>11556</v>
      </c>
      <c r="J3256" t="s">
        <v>1678</v>
      </c>
    </row>
    <row r="3257" spans="9:10" x14ac:dyDescent="0.3">
      <c r="I3257" t="s">
        <v>11557</v>
      </c>
      <c r="J3257" t="s">
        <v>1679</v>
      </c>
    </row>
    <row r="3258" spans="9:10" x14ac:dyDescent="0.3">
      <c r="I3258" t="s">
        <v>11558</v>
      </c>
      <c r="J3258" t="s">
        <v>1679</v>
      </c>
    </row>
    <row r="3259" spans="9:10" x14ac:dyDescent="0.3">
      <c r="I3259" t="s">
        <v>11559</v>
      </c>
      <c r="J3259" t="s">
        <v>1679</v>
      </c>
    </row>
    <row r="3260" spans="9:10" x14ac:dyDescent="0.3">
      <c r="I3260" t="s">
        <v>11560</v>
      </c>
      <c r="J3260" t="s">
        <v>1680</v>
      </c>
    </row>
    <row r="3261" spans="9:10" x14ac:dyDescent="0.3">
      <c r="I3261" t="s">
        <v>11560</v>
      </c>
      <c r="J3261" t="s">
        <v>1680</v>
      </c>
    </row>
    <row r="3262" spans="9:10" x14ac:dyDescent="0.3">
      <c r="I3262" t="s">
        <v>11560</v>
      </c>
      <c r="J3262" t="s">
        <v>1680</v>
      </c>
    </row>
    <row r="3263" spans="9:10" x14ac:dyDescent="0.3">
      <c r="I3263" t="s">
        <v>11561</v>
      </c>
      <c r="J3263" t="s">
        <v>1681</v>
      </c>
    </row>
    <row r="3264" spans="9:10" x14ac:dyDescent="0.3">
      <c r="I3264" t="s">
        <v>11562</v>
      </c>
      <c r="J3264" t="s">
        <v>1682</v>
      </c>
    </row>
    <row r="3265" spans="9:10" x14ac:dyDescent="0.3">
      <c r="I3265" t="s">
        <v>11563</v>
      </c>
      <c r="J3265" t="s">
        <v>1683</v>
      </c>
    </row>
    <row r="3266" spans="9:10" x14ac:dyDescent="0.3">
      <c r="I3266" t="s">
        <v>11564</v>
      </c>
      <c r="J3266" t="s">
        <v>1683</v>
      </c>
    </row>
    <row r="3267" spans="9:10" x14ac:dyDescent="0.3">
      <c r="I3267" t="s">
        <v>11563</v>
      </c>
      <c r="J3267" t="s">
        <v>1683</v>
      </c>
    </row>
    <row r="3268" spans="9:10" x14ac:dyDescent="0.3">
      <c r="I3268" t="s">
        <v>11565</v>
      </c>
      <c r="J3268" t="s">
        <v>1684</v>
      </c>
    </row>
    <row r="3269" spans="9:10" x14ac:dyDescent="0.3">
      <c r="I3269" t="s">
        <v>11566</v>
      </c>
      <c r="J3269" t="s">
        <v>1685</v>
      </c>
    </row>
    <row r="3270" spans="9:10" x14ac:dyDescent="0.3">
      <c r="I3270" t="s">
        <v>11567</v>
      </c>
      <c r="J3270" t="s">
        <v>1686</v>
      </c>
    </row>
    <row r="3271" spans="9:10" x14ac:dyDescent="0.3">
      <c r="I3271" t="s">
        <v>11567</v>
      </c>
      <c r="J3271" t="s">
        <v>1686</v>
      </c>
    </row>
    <row r="3272" spans="9:10" x14ac:dyDescent="0.3">
      <c r="I3272" t="s">
        <v>11567</v>
      </c>
      <c r="J3272" t="s">
        <v>1686</v>
      </c>
    </row>
    <row r="3273" spans="9:10" x14ac:dyDescent="0.3">
      <c r="I3273" t="s">
        <v>11567</v>
      </c>
      <c r="J3273" t="s">
        <v>1686</v>
      </c>
    </row>
    <row r="3274" spans="9:10" x14ac:dyDescent="0.3">
      <c r="I3274" t="s">
        <v>11568</v>
      </c>
      <c r="J3274" t="s">
        <v>1687</v>
      </c>
    </row>
    <row r="3275" spans="9:10" x14ac:dyDescent="0.3">
      <c r="I3275" t="s">
        <v>11569</v>
      </c>
    </row>
    <row r="3276" spans="9:10" x14ac:dyDescent="0.3">
      <c r="I3276" t="s">
        <v>11570</v>
      </c>
      <c r="J3276" t="s">
        <v>1688</v>
      </c>
    </row>
    <row r="3277" spans="9:10" x14ac:dyDescent="0.3">
      <c r="I3277" t="s">
        <v>11571</v>
      </c>
      <c r="J3277" t="s">
        <v>1689</v>
      </c>
    </row>
    <row r="3278" spans="9:10" x14ac:dyDescent="0.3">
      <c r="I3278" t="s">
        <v>11571</v>
      </c>
      <c r="J3278" t="s">
        <v>1689</v>
      </c>
    </row>
    <row r="3279" spans="9:10" x14ac:dyDescent="0.3">
      <c r="I3279" t="s">
        <v>11572</v>
      </c>
      <c r="J3279" t="s">
        <v>1690</v>
      </c>
    </row>
    <row r="3280" spans="9:10" x14ac:dyDescent="0.3">
      <c r="I3280" t="s">
        <v>11573</v>
      </c>
      <c r="J3280" t="s">
        <v>1690</v>
      </c>
    </row>
    <row r="3281" spans="9:10" x14ac:dyDescent="0.3">
      <c r="I3281" t="s">
        <v>11574</v>
      </c>
      <c r="J3281" t="s">
        <v>1691</v>
      </c>
    </row>
    <row r="3282" spans="9:10" x14ac:dyDescent="0.3">
      <c r="I3282" t="s">
        <v>11575</v>
      </c>
      <c r="J3282" t="s">
        <v>1692</v>
      </c>
    </row>
    <row r="3283" spans="9:10" x14ac:dyDescent="0.3">
      <c r="I3283" t="s">
        <v>11576</v>
      </c>
      <c r="J3283" t="s">
        <v>1692</v>
      </c>
    </row>
    <row r="3284" spans="9:10" x14ac:dyDescent="0.3">
      <c r="I3284" t="s">
        <v>11577</v>
      </c>
      <c r="J3284" t="s">
        <v>1692</v>
      </c>
    </row>
    <row r="3285" spans="9:10" x14ac:dyDescent="0.3">
      <c r="I3285" t="s">
        <v>11578</v>
      </c>
      <c r="J3285" t="s">
        <v>1693</v>
      </c>
    </row>
    <row r="3286" spans="9:10" x14ac:dyDescent="0.3">
      <c r="I3286" t="s">
        <v>11579</v>
      </c>
      <c r="J3286" t="s">
        <v>1694</v>
      </c>
    </row>
    <row r="3287" spans="9:10" x14ac:dyDescent="0.3">
      <c r="I3287" t="s">
        <v>11580</v>
      </c>
      <c r="J3287" t="s">
        <v>1695</v>
      </c>
    </row>
    <row r="3288" spans="9:10" x14ac:dyDescent="0.3">
      <c r="I3288" t="s">
        <v>11580</v>
      </c>
      <c r="J3288" t="s">
        <v>1695</v>
      </c>
    </row>
    <row r="3289" spans="9:10" x14ac:dyDescent="0.3">
      <c r="I3289" t="s">
        <v>11581</v>
      </c>
      <c r="J3289" t="s">
        <v>1696</v>
      </c>
    </row>
    <row r="3290" spans="9:10" x14ac:dyDescent="0.3">
      <c r="I3290" t="s">
        <v>11582</v>
      </c>
      <c r="J3290" t="s">
        <v>1697</v>
      </c>
    </row>
    <row r="3291" spans="9:10" x14ac:dyDescent="0.3">
      <c r="I3291" t="s">
        <v>11582</v>
      </c>
      <c r="J3291" t="s">
        <v>1697</v>
      </c>
    </row>
    <row r="3292" spans="9:10" x14ac:dyDescent="0.3">
      <c r="I3292" t="s">
        <v>11582</v>
      </c>
      <c r="J3292" t="s">
        <v>1697</v>
      </c>
    </row>
    <row r="3293" spans="9:10" x14ac:dyDescent="0.3">
      <c r="I3293" t="s">
        <v>11583</v>
      </c>
      <c r="J3293" t="s">
        <v>1698</v>
      </c>
    </row>
    <row r="3294" spans="9:10" x14ac:dyDescent="0.3">
      <c r="I3294" t="s">
        <v>11584</v>
      </c>
      <c r="J3294" t="s">
        <v>1699</v>
      </c>
    </row>
    <row r="3295" spans="9:10" x14ac:dyDescent="0.3">
      <c r="I3295" t="s">
        <v>11585</v>
      </c>
      <c r="J3295" t="s">
        <v>1700</v>
      </c>
    </row>
    <row r="3296" spans="9:10" x14ac:dyDescent="0.3">
      <c r="I3296" t="s">
        <v>11586</v>
      </c>
      <c r="J3296" t="s">
        <v>1701</v>
      </c>
    </row>
    <row r="3297" spans="9:10" x14ac:dyDescent="0.3">
      <c r="I3297" t="s">
        <v>11587</v>
      </c>
      <c r="J3297" t="s">
        <v>1702</v>
      </c>
    </row>
    <row r="3298" spans="9:10" x14ac:dyDescent="0.3">
      <c r="I3298" t="s">
        <v>11587</v>
      </c>
      <c r="J3298" t="s">
        <v>1702</v>
      </c>
    </row>
    <row r="3299" spans="9:10" x14ac:dyDescent="0.3">
      <c r="I3299" t="s">
        <v>11587</v>
      </c>
      <c r="J3299" t="s">
        <v>1702</v>
      </c>
    </row>
    <row r="3300" spans="9:10" x14ac:dyDescent="0.3">
      <c r="I3300" t="s">
        <v>11587</v>
      </c>
      <c r="J3300" t="s">
        <v>1702</v>
      </c>
    </row>
    <row r="3301" spans="9:10" x14ac:dyDescent="0.3">
      <c r="I3301" t="s">
        <v>11588</v>
      </c>
      <c r="J3301" t="s">
        <v>1703</v>
      </c>
    </row>
    <row r="3302" spans="9:10" x14ac:dyDescent="0.3">
      <c r="I3302" t="s">
        <v>11589</v>
      </c>
      <c r="J3302" t="s">
        <v>1704</v>
      </c>
    </row>
    <row r="3303" spans="9:10" x14ac:dyDescent="0.3">
      <c r="I3303" t="s">
        <v>11590</v>
      </c>
      <c r="J3303" t="s">
        <v>1705</v>
      </c>
    </row>
    <row r="3304" spans="9:10" x14ac:dyDescent="0.3">
      <c r="I3304" t="s">
        <v>11591</v>
      </c>
      <c r="J3304" t="s">
        <v>1706</v>
      </c>
    </row>
    <row r="3305" spans="9:10" x14ac:dyDescent="0.3">
      <c r="I3305" t="s">
        <v>11592</v>
      </c>
      <c r="J3305" t="s">
        <v>1707</v>
      </c>
    </row>
    <row r="3306" spans="9:10" x14ac:dyDescent="0.3">
      <c r="I3306" t="s">
        <v>11593</v>
      </c>
      <c r="J3306" t="s">
        <v>1707</v>
      </c>
    </row>
    <row r="3307" spans="9:10" x14ac:dyDescent="0.3">
      <c r="I3307" t="s">
        <v>11594</v>
      </c>
      <c r="J3307" t="s">
        <v>1708</v>
      </c>
    </row>
    <row r="3308" spans="9:10" x14ac:dyDescent="0.3">
      <c r="I3308" t="s">
        <v>11595</v>
      </c>
      <c r="J3308" t="s">
        <v>1708</v>
      </c>
    </row>
    <row r="3309" spans="9:10" x14ac:dyDescent="0.3">
      <c r="I3309" t="s">
        <v>11596</v>
      </c>
      <c r="J3309" t="s">
        <v>1708</v>
      </c>
    </row>
    <row r="3310" spans="9:10" x14ac:dyDescent="0.3">
      <c r="I3310" t="s">
        <v>11597</v>
      </c>
      <c r="J3310" t="s">
        <v>1709</v>
      </c>
    </row>
    <row r="3311" spans="9:10" x14ac:dyDescent="0.3">
      <c r="I3311" t="s">
        <v>11598</v>
      </c>
      <c r="J3311" t="s">
        <v>1710</v>
      </c>
    </row>
    <row r="3312" spans="9:10" x14ac:dyDescent="0.3">
      <c r="I3312" t="s">
        <v>11599</v>
      </c>
      <c r="J3312" t="s">
        <v>1711</v>
      </c>
    </row>
    <row r="3313" spans="9:10" x14ac:dyDescent="0.3">
      <c r="I3313" t="s">
        <v>11600</v>
      </c>
      <c r="J3313" t="s">
        <v>1712</v>
      </c>
    </row>
    <row r="3314" spans="9:10" x14ac:dyDescent="0.3">
      <c r="I3314" t="s">
        <v>11600</v>
      </c>
      <c r="J3314" t="s">
        <v>1712</v>
      </c>
    </row>
    <row r="3315" spans="9:10" x14ac:dyDescent="0.3">
      <c r="I3315" t="s">
        <v>11600</v>
      </c>
      <c r="J3315" t="s">
        <v>1712</v>
      </c>
    </row>
    <row r="3316" spans="9:10" x14ac:dyDescent="0.3">
      <c r="I3316" t="s">
        <v>11600</v>
      </c>
      <c r="J3316" t="s">
        <v>1712</v>
      </c>
    </row>
    <row r="3317" spans="9:10" x14ac:dyDescent="0.3">
      <c r="I3317" t="s">
        <v>11600</v>
      </c>
      <c r="J3317" t="s">
        <v>1712</v>
      </c>
    </row>
    <row r="3318" spans="9:10" x14ac:dyDescent="0.3">
      <c r="I3318" t="s">
        <v>11600</v>
      </c>
      <c r="J3318" t="s">
        <v>1712</v>
      </c>
    </row>
    <row r="3319" spans="9:10" x14ac:dyDescent="0.3">
      <c r="I3319" t="s">
        <v>11600</v>
      </c>
      <c r="J3319" t="s">
        <v>1712</v>
      </c>
    </row>
    <row r="3320" spans="9:10" x14ac:dyDescent="0.3">
      <c r="I3320" t="s">
        <v>11600</v>
      </c>
      <c r="J3320" t="s">
        <v>1712</v>
      </c>
    </row>
    <row r="3321" spans="9:10" x14ac:dyDescent="0.3">
      <c r="I3321" t="s">
        <v>11600</v>
      </c>
      <c r="J3321" t="s">
        <v>1712</v>
      </c>
    </row>
    <row r="3322" spans="9:10" x14ac:dyDescent="0.3">
      <c r="I3322" t="s">
        <v>11600</v>
      </c>
      <c r="J3322" t="s">
        <v>1712</v>
      </c>
    </row>
    <row r="3323" spans="9:10" x14ac:dyDescent="0.3">
      <c r="I3323" t="s">
        <v>11600</v>
      </c>
      <c r="J3323" t="s">
        <v>1712</v>
      </c>
    </row>
    <row r="3324" spans="9:10" x14ac:dyDescent="0.3">
      <c r="I3324" t="s">
        <v>11600</v>
      </c>
      <c r="J3324" t="s">
        <v>1712</v>
      </c>
    </row>
    <row r="3325" spans="9:10" x14ac:dyDescent="0.3">
      <c r="I3325" t="s">
        <v>11600</v>
      </c>
      <c r="J3325" t="s">
        <v>1712</v>
      </c>
    </row>
    <row r="3326" spans="9:10" x14ac:dyDescent="0.3">
      <c r="I3326" t="s">
        <v>11601</v>
      </c>
      <c r="J3326" t="s">
        <v>1712</v>
      </c>
    </row>
    <row r="3327" spans="9:10" x14ac:dyDescent="0.3">
      <c r="I3327" t="s">
        <v>11600</v>
      </c>
      <c r="J3327" t="s">
        <v>1712</v>
      </c>
    </row>
    <row r="3328" spans="9:10" x14ac:dyDescent="0.3">
      <c r="I3328" t="s">
        <v>11600</v>
      </c>
      <c r="J3328" t="s">
        <v>1712</v>
      </c>
    </row>
    <row r="3329" spans="9:10" x14ac:dyDescent="0.3">
      <c r="I3329" t="s">
        <v>11600</v>
      </c>
      <c r="J3329" t="s">
        <v>1712</v>
      </c>
    </row>
    <row r="3330" spans="9:10" x14ac:dyDescent="0.3">
      <c r="I3330" t="s">
        <v>11600</v>
      </c>
      <c r="J3330" t="s">
        <v>1712</v>
      </c>
    </row>
    <row r="3331" spans="9:10" x14ac:dyDescent="0.3">
      <c r="I3331" t="s">
        <v>11602</v>
      </c>
      <c r="J3331" t="s">
        <v>1712</v>
      </c>
    </row>
    <row r="3332" spans="9:10" x14ac:dyDescent="0.3">
      <c r="I3332" t="s">
        <v>11600</v>
      </c>
      <c r="J3332" t="s">
        <v>1712</v>
      </c>
    </row>
    <row r="3333" spans="9:10" x14ac:dyDescent="0.3">
      <c r="I3333" t="s">
        <v>11601</v>
      </c>
      <c r="J3333" t="s">
        <v>1712</v>
      </c>
    </row>
    <row r="3334" spans="9:10" x14ac:dyDescent="0.3">
      <c r="I3334" t="s">
        <v>11603</v>
      </c>
      <c r="J3334" t="s">
        <v>1713</v>
      </c>
    </row>
    <row r="3335" spans="9:10" x14ac:dyDescent="0.3">
      <c r="I3335" t="s">
        <v>11604</v>
      </c>
      <c r="J3335" t="s">
        <v>1713</v>
      </c>
    </row>
    <row r="3336" spans="9:10" x14ac:dyDescent="0.3">
      <c r="I3336" t="s">
        <v>11605</v>
      </c>
      <c r="J3336" t="s">
        <v>1714</v>
      </c>
    </row>
    <row r="3337" spans="9:10" x14ac:dyDescent="0.3">
      <c r="I3337" t="s">
        <v>11606</v>
      </c>
      <c r="J3337" t="s">
        <v>1714</v>
      </c>
    </row>
    <row r="3338" spans="9:10" x14ac:dyDescent="0.3">
      <c r="I3338" t="s">
        <v>11607</v>
      </c>
      <c r="J3338" t="s">
        <v>1714</v>
      </c>
    </row>
    <row r="3339" spans="9:10" x14ac:dyDescent="0.3">
      <c r="I3339" t="s">
        <v>11607</v>
      </c>
      <c r="J3339" t="s">
        <v>1714</v>
      </c>
    </row>
    <row r="3340" spans="9:10" x14ac:dyDescent="0.3">
      <c r="I3340" t="s">
        <v>11608</v>
      </c>
      <c r="J3340" t="s">
        <v>1715</v>
      </c>
    </row>
    <row r="3341" spans="9:10" x14ac:dyDescent="0.3">
      <c r="I3341" t="s">
        <v>11609</v>
      </c>
    </row>
    <row r="3342" spans="9:10" x14ac:dyDescent="0.3">
      <c r="I3342" t="s">
        <v>11610</v>
      </c>
      <c r="J3342" t="s">
        <v>1716</v>
      </c>
    </row>
    <row r="3343" spans="9:10" x14ac:dyDescent="0.3">
      <c r="I3343" t="s">
        <v>11611</v>
      </c>
      <c r="J3343" t="s">
        <v>1716</v>
      </c>
    </row>
    <row r="3344" spans="9:10" x14ac:dyDescent="0.3">
      <c r="I3344" t="s">
        <v>11610</v>
      </c>
      <c r="J3344" t="s">
        <v>1716</v>
      </c>
    </row>
    <row r="3345" spans="9:10" x14ac:dyDescent="0.3">
      <c r="I3345" t="s">
        <v>11612</v>
      </c>
      <c r="J3345" t="s">
        <v>1717</v>
      </c>
    </row>
    <row r="3346" spans="9:10" x14ac:dyDescent="0.3">
      <c r="I3346" t="s">
        <v>11613</v>
      </c>
      <c r="J3346" t="s">
        <v>1718</v>
      </c>
    </row>
    <row r="3347" spans="9:10" x14ac:dyDescent="0.3">
      <c r="I3347" t="s">
        <v>11614</v>
      </c>
      <c r="J3347" t="s">
        <v>1719</v>
      </c>
    </row>
    <row r="3348" spans="9:10" x14ac:dyDescent="0.3">
      <c r="I3348" t="s">
        <v>11615</v>
      </c>
      <c r="J3348" t="s">
        <v>1720</v>
      </c>
    </row>
    <row r="3349" spans="9:10" x14ac:dyDescent="0.3">
      <c r="I3349" t="s">
        <v>11616</v>
      </c>
      <c r="J3349" t="s">
        <v>1720</v>
      </c>
    </row>
    <row r="3350" spans="9:10" x14ac:dyDescent="0.3">
      <c r="I3350" t="s">
        <v>11617</v>
      </c>
      <c r="J3350" t="s">
        <v>1721</v>
      </c>
    </row>
    <row r="3351" spans="9:10" x14ac:dyDescent="0.3">
      <c r="I3351" t="s">
        <v>11618</v>
      </c>
      <c r="J3351" t="s">
        <v>1721</v>
      </c>
    </row>
    <row r="3352" spans="9:10" x14ac:dyDescent="0.3">
      <c r="I3352" t="s">
        <v>11619</v>
      </c>
      <c r="J3352" t="s">
        <v>1722</v>
      </c>
    </row>
    <row r="3353" spans="9:10" x14ac:dyDescent="0.3">
      <c r="I3353" t="s">
        <v>11620</v>
      </c>
    </row>
    <row r="3354" spans="9:10" x14ac:dyDescent="0.3">
      <c r="I3354" t="s">
        <v>11621</v>
      </c>
      <c r="J3354" t="s">
        <v>1723</v>
      </c>
    </row>
    <row r="3355" spans="9:10" x14ac:dyDescent="0.3">
      <c r="I3355" t="s">
        <v>11621</v>
      </c>
      <c r="J3355" t="s">
        <v>1723</v>
      </c>
    </row>
    <row r="3356" spans="9:10" x14ac:dyDescent="0.3">
      <c r="I3356" t="s">
        <v>11621</v>
      </c>
      <c r="J3356" t="s">
        <v>1723</v>
      </c>
    </row>
    <row r="3357" spans="9:10" x14ac:dyDescent="0.3">
      <c r="I3357" t="s">
        <v>11621</v>
      </c>
      <c r="J3357" t="s">
        <v>1723</v>
      </c>
    </row>
    <row r="3358" spans="9:10" x14ac:dyDescent="0.3">
      <c r="I3358" t="s">
        <v>11622</v>
      </c>
      <c r="J3358" t="s">
        <v>1724</v>
      </c>
    </row>
    <row r="3359" spans="9:10" x14ac:dyDescent="0.3">
      <c r="I3359" t="s">
        <v>11623</v>
      </c>
      <c r="J3359" t="s">
        <v>1725</v>
      </c>
    </row>
    <row r="3360" spans="9:10" x14ac:dyDescent="0.3">
      <c r="I3360" t="s">
        <v>11624</v>
      </c>
      <c r="J3360" t="s">
        <v>1726</v>
      </c>
    </row>
    <row r="3361" spans="9:10" x14ac:dyDescent="0.3">
      <c r="I3361" t="s">
        <v>11625</v>
      </c>
      <c r="J3361" t="s">
        <v>1726</v>
      </c>
    </row>
    <row r="3362" spans="9:10" x14ac:dyDescent="0.3">
      <c r="I3362" t="s">
        <v>11624</v>
      </c>
      <c r="J3362" t="s">
        <v>1726</v>
      </c>
    </row>
    <row r="3363" spans="9:10" x14ac:dyDescent="0.3">
      <c r="I3363" t="s">
        <v>11626</v>
      </c>
      <c r="J3363" t="s">
        <v>1726</v>
      </c>
    </row>
    <row r="3364" spans="9:10" x14ac:dyDescent="0.3">
      <c r="I3364" t="s">
        <v>11627</v>
      </c>
      <c r="J3364" t="s">
        <v>1726</v>
      </c>
    </row>
    <row r="3365" spans="9:10" x14ac:dyDescent="0.3">
      <c r="I3365" t="s">
        <v>11624</v>
      </c>
      <c r="J3365" t="s">
        <v>1726</v>
      </c>
    </row>
    <row r="3366" spans="9:10" x14ac:dyDescent="0.3">
      <c r="I3366" t="s">
        <v>11624</v>
      </c>
      <c r="J3366" t="s">
        <v>1726</v>
      </c>
    </row>
    <row r="3367" spans="9:10" x14ac:dyDescent="0.3">
      <c r="I3367" t="s">
        <v>11624</v>
      </c>
      <c r="J3367" t="s">
        <v>1726</v>
      </c>
    </row>
    <row r="3368" spans="9:10" x14ac:dyDescent="0.3">
      <c r="I3368" t="s">
        <v>11624</v>
      </c>
      <c r="J3368" t="s">
        <v>1726</v>
      </c>
    </row>
    <row r="3369" spans="9:10" x14ac:dyDescent="0.3">
      <c r="I3369" t="s">
        <v>11624</v>
      </c>
      <c r="J3369" t="s">
        <v>1726</v>
      </c>
    </row>
    <row r="3370" spans="9:10" x14ac:dyDescent="0.3">
      <c r="I3370" t="s">
        <v>11624</v>
      </c>
      <c r="J3370" t="s">
        <v>1726</v>
      </c>
    </row>
    <row r="3371" spans="9:10" x14ac:dyDescent="0.3">
      <c r="I3371" t="s">
        <v>11624</v>
      </c>
      <c r="J3371" t="s">
        <v>1726</v>
      </c>
    </row>
    <row r="3372" spans="9:10" x14ac:dyDescent="0.3">
      <c r="I3372" t="s">
        <v>11628</v>
      </c>
      <c r="J3372" t="s">
        <v>1726</v>
      </c>
    </row>
    <row r="3373" spans="9:10" x14ac:dyDescent="0.3">
      <c r="I3373" t="s">
        <v>11629</v>
      </c>
      <c r="J3373" t="s">
        <v>1727</v>
      </c>
    </row>
    <row r="3374" spans="9:10" x14ac:dyDescent="0.3">
      <c r="I3374" t="s">
        <v>11630</v>
      </c>
      <c r="J3374" t="s">
        <v>1728</v>
      </c>
    </row>
    <row r="3375" spans="9:10" x14ac:dyDescent="0.3">
      <c r="I3375" t="s">
        <v>11631</v>
      </c>
      <c r="J3375" t="s">
        <v>1729</v>
      </c>
    </row>
    <row r="3376" spans="9:10" x14ac:dyDescent="0.3">
      <c r="I3376" t="s">
        <v>11632</v>
      </c>
      <c r="J3376" t="s">
        <v>1730</v>
      </c>
    </row>
    <row r="3377" spans="9:10" x14ac:dyDescent="0.3">
      <c r="I3377" t="s">
        <v>11633</v>
      </c>
      <c r="J3377" t="s">
        <v>1730</v>
      </c>
    </row>
    <row r="3378" spans="9:10" x14ac:dyDescent="0.3">
      <c r="I3378" t="s">
        <v>11634</v>
      </c>
      <c r="J3378" t="s">
        <v>1731</v>
      </c>
    </row>
    <row r="3379" spans="9:10" x14ac:dyDescent="0.3">
      <c r="I3379" t="s">
        <v>11635</v>
      </c>
      <c r="J3379" t="s">
        <v>1732</v>
      </c>
    </row>
    <row r="3380" spans="9:10" x14ac:dyDescent="0.3">
      <c r="I3380" t="s">
        <v>11636</v>
      </c>
      <c r="J3380" t="s">
        <v>1733</v>
      </c>
    </row>
    <row r="3381" spans="9:10" x14ac:dyDescent="0.3">
      <c r="I3381" t="s">
        <v>11637</v>
      </c>
      <c r="J3381" t="s">
        <v>1733</v>
      </c>
    </row>
    <row r="3382" spans="9:10" x14ac:dyDescent="0.3">
      <c r="I3382" t="s">
        <v>11638</v>
      </c>
      <c r="J3382" t="s">
        <v>1734</v>
      </c>
    </row>
    <row r="3383" spans="9:10" x14ac:dyDescent="0.3">
      <c r="I3383" t="s">
        <v>11639</v>
      </c>
      <c r="J3383" t="s">
        <v>1735</v>
      </c>
    </row>
    <row r="3384" spans="9:10" x14ac:dyDescent="0.3">
      <c r="I3384" t="s">
        <v>11640</v>
      </c>
      <c r="J3384" t="s">
        <v>1736</v>
      </c>
    </row>
    <row r="3385" spans="9:10" x14ac:dyDescent="0.3">
      <c r="I3385" t="s">
        <v>11640</v>
      </c>
      <c r="J3385" t="s">
        <v>1736</v>
      </c>
    </row>
    <row r="3386" spans="9:10" x14ac:dyDescent="0.3">
      <c r="I3386" t="s">
        <v>11641</v>
      </c>
    </row>
    <row r="3387" spans="9:10" x14ac:dyDescent="0.3">
      <c r="I3387" t="s">
        <v>11642</v>
      </c>
      <c r="J3387" t="s">
        <v>1737</v>
      </c>
    </row>
    <row r="3388" spans="9:10" x14ac:dyDescent="0.3">
      <c r="I3388" t="s">
        <v>11643</v>
      </c>
      <c r="J3388" t="s">
        <v>1738</v>
      </c>
    </row>
    <row r="3389" spans="9:10" x14ac:dyDescent="0.3">
      <c r="I3389" t="s">
        <v>11644</v>
      </c>
      <c r="J3389" t="s">
        <v>1739</v>
      </c>
    </row>
    <row r="3390" spans="9:10" x14ac:dyDescent="0.3">
      <c r="I3390" t="s">
        <v>11645</v>
      </c>
    </row>
    <row r="3391" spans="9:10" x14ac:dyDescent="0.3">
      <c r="I3391" t="s">
        <v>11646</v>
      </c>
      <c r="J3391" t="s">
        <v>1740</v>
      </c>
    </row>
    <row r="3392" spans="9:10" x14ac:dyDescent="0.3">
      <c r="I3392" t="s">
        <v>11647</v>
      </c>
      <c r="J3392" t="s">
        <v>1741</v>
      </c>
    </row>
    <row r="3393" spans="9:10" x14ac:dyDescent="0.3">
      <c r="I3393" t="s">
        <v>11648</v>
      </c>
      <c r="J3393" t="s">
        <v>1742</v>
      </c>
    </row>
    <row r="3394" spans="9:10" x14ac:dyDescent="0.3">
      <c r="I3394" t="s">
        <v>11649</v>
      </c>
      <c r="J3394" t="s">
        <v>1743</v>
      </c>
    </row>
    <row r="3395" spans="9:10" x14ac:dyDescent="0.3">
      <c r="I3395" t="s">
        <v>11650</v>
      </c>
      <c r="J3395" t="s">
        <v>1744</v>
      </c>
    </row>
    <row r="3396" spans="9:10" x14ac:dyDescent="0.3">
      <c r="I3396" t="s">
        <v>11651</v>
      </c>
      <c r="J3396" t="s">
        <v>1745</v>
      </c>
    </row>
    <row r="3397" spans="9:10" x14ac:dyDescent="0.3">
      <c r="I3397" t="s">
        <v>11652</v>
      </c>
      <c r="J3397" t="s">
        <v>1746</v>
      </c>
    </row>
    <row r="3398" spans="9:10" x14ac:dyDescent="0.3">
      <c r="I3398" t="s">
        <v>11653</v>
      </c>
      <c r="J3398" t="s">
        <v>1747</v>
      </c>
    </row>
    <row r="3399" spans="9:10" x14ac:dyDescent="0.3">
      <c r="I3399" t="s">
        <v>11654</v>
      </c>
      <c r="J3399" t="s">
        <v>1747</v>
      </c>
    </row>
    <row r="3400" spans="9:10" x14ac:dyDescent="0.3">
      <c r="I3400" t="s">
        <v>11655</v>
      </c>
      <c r="J3400" t="s">
        <v>1748</v>
      </c>
    </row>
    <row r="3401" spans="9:10" x14ac:dyDescent="0.3">
      <c r="I3401" t="s">
        <v>11656</v>
      </c>
      <c r="J3401" t="s">
        <v>1749</v>
      </c>
    </row>
    <row r="3402" spans="9:10" x14ac:dyDescent="0.3">
      <c r="I3402" t="s">
        <v>11657</v>
      </c>
      <c r="J3402" t="s">
        <v>1749</v>
      </c>
    </row>
    <row r="3403" spans="9:10" x14ac:dyDescent="0.3">
      <c r="I3403" t="s">
        <v>11658</v>
      </c>
      <c r="J3403" t="s">
        <v>1750</v>
      </c>
    </row>
    <row r="3404" spans="9:10" x14ac:dyDescent="0.3">
      <c r="I3404" t="s">
        <v>11659</v>
      </c>
      <c r="J3404" t="s">
        <v>1751</v>
      </c>
    </row>
    <row r="3405" spans="9:10" x14ac:dyDescent="0.3">
      <c r="I3405" t="s">
        <v>11660</v>
      </c>
      <c r="J3405" t="s">
        <v>1752</v>
      </c>
    </row>
    <row r="3406" spans="9:10" x14ac:dyDescent="0.3">
      <c r="I3406" t="s">
        <v>11661</v>
      </c>
      <c r="J3406" t="s">
        <v>1753</v>
      </c>
    </row>
    <row r="3407" spans="9:10" x14ac:dyDescent="0.3">
      <c r="I3407" t="s">
        <v>11662</v>
      </c>
      <c r="J3407" t="s">
        <v>1754</v>
      </c>
    </row>
    <row r="3408" spans="9:10" x14ac:dyDescent="0.3">
      <c r="I3408" t="s">
        <v>11663</v>
      </c>
      <c r="J3408" t="s">
        <v>1755</v>
      </c>
    </row>
    <row r="3409" spans="9:10" x14ac:dyDescent="0.3">
      <c r="I3409" t="s">
        <v>11664</v>
      </c>
      <c r="J3409" t="s">
        <v>1756</v>
      </c>
    </row>
    <row r="3410" spans="9:10" x14ac:dyDescent="0.3">
      <c r="I3410" t="s">
        <v>11665</v>
      </c>
      <c r="J3410" t="s">
        <v>1757</v>
      </c>
    </row>
    <row r="3411" spans="9:10" x14ac:dyDescent="0.3">
      <c r="I3411" t="s">
        <v>11666</v>
      </c>
      <c r="J3411" t="s">
        <v>1758</v>
      </c>
    </row>
    <row r="3412" spans="9:10" x14ac:dyDescent="0.3">
      <c r="I3412" t="s">
        <v>11667</v>
      </c>
    </row>
    <row r="3413" spans="9:10" x14ac:dyDescent="0.3">
      <c r="I3413" t="s">
        <v>11668</v>
      </c>
      <c r="J3413" t="s">
        <v>1759</v>
      </c>
    </row>
    <row r="3414" spans="9:10" x14ac:dyDescent="0.3">
      <c r="I3414" t="s">
        <v>11669</v>
      </c>
      <c r="J3414" t="s">
        <v>1759</v>
      </c>
    </row>
    <row r="3415" spans="9:10" x14ac:dyDescent="0.3">
      <c r="I3415" t="s">
        <v>11670</v>
      </c>
      <c r="J3415" t="s">
        <v>1760</v>
      </c>
    </row>
    <row r="3416" spans="9:10" x14ac:dyDescent="0.3">
      <c r="I3416" t="s">
        <v>11671</v>
      </c>
      <c r="J3416" t="s">
        <v>1761</v>
      </c>
    </row>
    <row r="3417" spans="9:10" x14ac:dyDescent="0.3">
      <c r="I3417" t="s">
        <v>11671</v>
      </c>
      <c r="J3417" t="s">
        <v>1761</v>
      </c>
    </row>
    <row r="3418" spans="9:10" x14ac:dyDescent="0.3">
      <c r="I3418" t="s">
        <v>11671</v>
      </c>
      <c r="J3418" t="s">
        <v>1761</v>
      </c>
    </row>
    <row r="3419" spans="9:10" x14ac:dyDescent="0.3">
      <c r="I3419" t="s">
        <v>11671</v>
      </c>
      <c r="J3419" t="s">
        <v>1761</v>
      </c>
    </row>
    <row r="3420" spans="9:10" x14ac:dyDescent="0.3">
      <c r="I3420" t="s">
        <v>11671</v>
      </c>
      <c r="J3420" t="s">
        <v>1761</v>
      </c>
    </row>
    <row r="3421" spans="9:10" x14ac:dyDescent="0.3">
      <c r="I3421" t="s">
        <v>11671</v>
      </c>
      <c r="J3421" t="s">
        <v>1761</v>
      </c>
    </row>
    <row r="3422" spans="9:10" x14ac:dyDescent="0.3">
      <c r="I3422" t="s">
        <v>11671</v>
      </c>
      <c r="J3422" t="s">
        <v>1761</v>
      </c>
    </row>
    <row r="3423" spans="9:10" x14ac:dyDescent="0.3">
      <c r="I3423" t="s">
        <v>11671</v>
      </c>
      <c r="J3423" t="s">
        <v>1761</v>
      </c>
    </row>
    <row r="3424" spans="9:10" x14ac:dyDescent="0.3">
      <c r="I3424" t="s">
        <v>11671</v>
      </c>
      <c r="J3424" t="s">
        <v>1761</v>
      </c>
    </row>
    <row r="3425" spans="9:10" x14ac:dyDescent="0.3">
      <c r="I3425" t="s">
        <v>11671</v>
      </c>
      <c r="J3425" t="s">
        <v>1761</v>
      </c>
    </row>
    <row r="3426" spans="9:10" x14ac:dyDescent="0.3">
      <c r="I3426" t="s">
        <v>11671</v>
      </c>
      <c r="J3426" t="s">
        <v>1761</v>
      </c>
    </row>
    <row r="3427" spans="9:10" x14ac:dyDescent="0.3">
      <c r="I3427" t="s">
        <v>11671</v>
      </c>
      <c r="J3427" t="s">
        <v>1761</v>
      </c>
    </row>
    <row r="3428" spans="9:10" x14ac:dyDescent="0.3">
      <c r="I3428" t="s">
        <v>11671</v>
      </c>
      <c r="J3428" t="s">
        <v>1761</v>
      </c>
    </row>
    <row r="3429" spans="9:10" x14ac:dyDescent="0.3">
      <c r="I3429" t="s">
        <v>11671</v>
      </c>
      <c r="J3429" t="s">
        <v>1761</v>
      </c>
    </row>
    <row r="3430" spans="9:10" x14ac:dyDescent="0.3">
      <c r="I3430" t="s">
        <v>11671</v>
      </c>
      <c r="J3430" t="s">
        <v>1761</v>
      </c>
    </row>
    <row r="3431" spans="9:10" x14ac:dyDescent="0.3">
      <c r="I3431" t="s">
        <v>11672</v>
      </c>
      <c r="J3431" t="s">
        <v>1762</v>
      </c>
    </row>
    <row r="3432" spans="9:10" x14ac:dyDescent="0.3">
      <c r="I3432" t="s">
        <v>11673</v>
      </c>
      <c r="J3432" t="s">
        <v>1762</v>
      </c>
    </row>
    <row r="3433" spans="9:10" x14ac:dyDescent="0.3">
      <c r="I3433" t="s">
        <v>11674</v>
      </c>
      <c r="J3433" t="s">
        <v>1763</v>
      </c>
    </row>
    <row r="3434" spans="9:10" x14ac:dyDescent="0.3">
      <c r="I3434" t="s">
        <v>11675</v>
      </c>
      <c r="J3434" t="s">
        <v>1763</v>
      </c>
    </row>
    <row r="3435" spans="9:10" x14ac:dyDescent="0.3">
      <c r="I3435" t="s">
        <v>11676</v>
      </c>
      <c r="J3435" t="s">
        <v>1763</v>
      </c>
    </row>
    <row r="3436" spans="9:10" x14ac:dyDescent="0.3">
      <c r="I3436" t="s">
        <v>11677</v>
      </c>
      <c r="J3436" t="s">
        <v>1764</v>
      </c>
    </row>
    <row r="3437" spans="9:10" x14ac:dyDescent="0.3">
      <c r="I3437" t="s">
        <v>11678</v>
      </c>
      <c r="J3437" t="s">
        <v>1765</v>
      </c>
    </row>
    <row r="3438" spans="9:10" x14ac:dyDescent="0.3">
      <c r="I3438" t="s">
        <v>11679</v>
      </c>
      <c r="J3438" t="s">
        <v>1766</v>
      </c>
    </row>
    <row r="3439" spans="9:10" x14ac:dyDescent="0.3">
      <c r="I3439" t="s">
        <v>11680</v>
      </c>
      <c r="J3439" t="s">
        <v>760</v>
      </c>
    </row>
    <row r="3440" spans="9:10" x14ac:dyDescent="0.3">
      <c r="I3440" t="s">
        <v>11681</v>
      </c>
      <c r="J3440" t="s">
        <v>1767</v>
      </c>
    </row>
    <row r="3441" spans="9:10" x14ac:dyDescent="0.3">
      <c r="I3441" t="s">
        <v>11681</v>
      </c>
      <c r="J3441" t="s">
        <v>1767</v>
      </c>
    </row>
    <row r="3442" spans="9:10" x14ac:dyDescent="0.3">
      <c r="I3442" t="s">
        <v>11682</v>
      </c>
      <c r="J3442" t="s">
        <v>1768</v>
      </c>
    </row>
    <row r="3443" spans="9:10" x14ac:dyDescent="0.3">
      <c r="I3443" t="s">
        <v>11683</v>
      </c>
      <c r="J3443" t="s">
        <v>1769</v>
      </c>
    </row>
    <row r="3444" spans="9:10" x14ac:dyDescent="0.3">
      <c r="I3444" t="s">
        <v>11684</v>
      </c>
    </row>
    <row r="3445" spans="9:10" x14ac:dyDescent="0.3">
      <c r="I3445" t="s">
        <v>11685</v>
      </c>
      <c r="J3445" t="s">
        <v>1770</v>
      </c>
    </row>
    <row r="3446" spans="9:10" x14ac:dyDescent="0.3">
      <c r="I3446" t="s">
        <v>11686</v>
      </c>
    </row>
    <row r="3447" spans="9:10" x14ac:dyDescent="0.3">
      <c r="I3447" t="s">
        <v>11687</v>
      </c>
      <c r="J3447" t="s">
        <v>1771</v>
      </c>
    </row>
    <row r="3448" spans="9:10" x14ac:dyDescent="0.3">
      <c r="I3448" t="s">
        <v>11688</v>
      </c>
      <c r="J3448" t="s">
        <v>1772</v>
      </c>
    </row>
    <row r="3449" spans="9:10" x14ac:dyDescent="0.3">
      <c r="I3449" t="s">
        <v>11689</v>
      </c>
      <c r="J3449" t="s">
        <v>1773</v>
      </c>
    </row>
    <row r="3450" spans="9:10" x14ac:dyDescent="0.3">
      <c r="I3450" t="s">
        <v>11690</v>
      </c>
      <c r="J3450" t="s">
        <v>1774</v>
      </c>
    </row>
    <row r="3451" spans="9:10" x14ac:dyDescent="0.3">
      <c r="I3451" t="s">
        <v>11691</v>
      </c>
      <c r="J3451" t="s">
        <v>1775</v>
      </c>
    </row>
    <row r="3452" spans="9:10" x14ac:dyDescent="0.3">
      <c r="I3452" t="s">
        <v>11692</v>
      </c>
      <c r="J3452" t="s">
        <v>1776</v>
      </c>
    </row>
    <row r="3453" spans="9:10" x14ac:dyDescent="0.3">
      <c r="I3453" t="s">
        <v>11693</v>
      </c>
      <c r="J3453" t="s">
        <v>1777</v>
      </c>
    </row>
    <row r="3454" spans="9:10" x14ac:dyDescent="0.3">
      <c r="I3454" t="s">
        <v>11694</v>
      </c>
      <c r="J3454" t="s">
        <v>1778</v>
      </c>
    </row>
    <row r="3455" spans="9:10" x14ac:dyDescent="0.3">
      <c r="I3455" t="s">
        <v>11695</v>
      </c>
      <c r="J3455" t="s">
        <v>1779</v>
      </c>
    </row>
    <row r="3456" spans="9:10" x14ac:dyDescent="0.3">
      <c r="I3456" t="s">
        <v>11696</v>
      </c>
      <c r="J3456" t="s">
        <v>1779</v>
      </c>
    </row>
    <row r="3457" spans="9:10" x14ac:dyDescent="0.3">
      <c r="I3457" t="s">
        <v>11697</v>
      </c>
      <c r="J3457" t="s">
        <v>1780</v>
      </c>
    </row>
    <row r="3458" spans="9:10" x14ac:dyDescent="0.3">
      <c r="I3458" t="s">
        <v>11697</v>
      </c>
      <c r="J3458" t="s">
        <v>1780</v>
      </c>
    </row>
    <row r="3459" spans="9:10" x14ac:dyDescent="0.3">
      <c r="I3459" t="s">
        <v>11698</v>
      </c>
      <c r="J3459" t="s">
        <v>1781</v>
      </c>
    </row>
    <row r="3460" spans="9:10" x14ac:dyDescent="0.3">
      <c r="I3460" t="s">
        <v>11699</v>
      </c>
      <c r="J3460" t="s">
        <v>1781</v>
      </c>
    </row>
    <row r="3461" spans="9:10" x14ac:dyDescent="0.3">
      <c r="I3461" t="s">
        <v>11700</v>
      </c>
      <c r="J3461" t="s">
        <v>1781</v>
      </c>
    </row>
    <row r="3462" spans="9:10" x14ac:dyDescent="0.3">
      <c r="I3462" t="s">
        <v>11701</v>
      </c>
      <c r="J3462" t="s">
        <v>1781</v>
      </c>
    </row>
    <row r="3463" spans="9:10" x14ac:dyDescent="0.3">
      <c r="I3463" t="s">
        <v>11700</v>
      </c>
      <c r="J3463" t="s">
        <v>1781</v>
      </c>
    </row>
    <row r="3464" spans="9:10" x14ac:dyDescent="0.3">
      <c r="I3464" t="s">
        <v>11702</v>
      </c>
      <c r="J3464" t="s">
        <v>1782</v>
      </c>
    </row>
    <row r="3465" spans="9:10" x14ac:dyDescent="0.3">
      <c r="I3465" t="s">
        <v>11703</v>
      </c>
      <c r="J3465" t="s">
        <v>1783</v>
      </c>
    </row>
    <row r="3466" spans="9:10" x14ac:dyDescent="0.3">
      <c r="I3466" t="s">
        <v>11704</v>
      </c>
      <c r="J3466" t="s">
        <v>1784</v>
      </c>
    </row>
    <row r="3467" spans="9:10" x14ac:dyDescent="0.3">
      <c r="I3467" t="s">
        <v>11704</v>
      </c>
      <c r="J3467" t="s">
        <v>1784</v>
      </c>
    </row>
    <row r="3468" spans="9:10" x14ac:dyDescent="0.3">
      <c r="I3468" t="s">
        <v>11704</v>
      </c>
      <c r="J3468" t="s">
        <v>1784</v>
      </c>
    </row>
    <row r="3469" spans="9:10" x14ac:dyDescent="0.3">
      <c r="I3469" t="s">
        <v>11704</v>
      </c>
      <c r="J3469" t="s">
        <v>1784</v>
      </c>
    </row>
    <row r="3470" spans="9:10" x14ac:dyDescent="0.3">
      <c r="I3470" t="s">
        <v>11704</v>
      </c>
      <c r="J3470" t="s">
        <v>1784</v>
      </c>
    </row>
    <row r="3471" spans="9:10" x14ac:dyDescent="0.3">
      <c r="I3471" t="s">
        <v>11704</v>
      </c>
      <c r="J3471" t="s">
        <v>1784</v>
      </c>
    </row>
    <row r="3472" spans="9:10" x14ac:dyDescent="0.3">
      <c r="I3472" t="s">
        <v>11704</v>
      </c>
      <c r="J3472" t="s">
        <v>1784</v>
      </c>
    </row>
    <row r="3473" spans="9:10" x14ac:dyDescent="0.3">
      <c r="I3473" t="s">
        <v>11704</v>
      </c>
      <c r="J3473" t="s">
        <v>1784</v>
      </c>
    </row>
    <row r="3474" spans="9:10" x14ac:dyDescent="0.3">
      <c r="I3474" t="s">
        <v>11705</v>
      </c>
      <c r="J3474" t="s">
        <v>1785</v>
      </c>
    </row>
    <row r="3475" spans="9:10" x14ac:dyDescent="0.3">
      <c r="I3475" t="s">
        <v>11706</v>
      </c>
      <c r="J3475" t="s">
        <v>1786</v>
      </c>
    </row>
    <row r="3476" spans="9:10" x14ac:dyDescent="0.3">
      <c r="I3476" t="s">
        <v>11707</v>
      </c>
      <c r="J3476" t="s">
        <v>1787</v>
      </c>
    </row>
    <row r="3477" spans="9:10" x14ac:dyDescent="0.3">
      <c r="I3477" t="s">
        <v>11708</v>
      </c>
      <c r="J3477" t="s">
        <v>1788</v>
      </c>
    </row>
    <row r="3478" spans="9:10" x14ac:dyDescent="0.3">
      <c r="I3478" t="s">
        <v>11709</v>
      </c>
      <c r="J3478" t="s">
        <v>1789</v>
      </c>
    </row>
    <row r="3479" spans="9:10" x14ac:dyDescent="0.3">
      <c r="I3479" t="s">
        <v>11710</v>
      </c>
      <c r="J3479" t="s">
        <v>1789</v>
      </c>
    </row>
    <row r="3480" spans="9:10" x14ac:dyDescent="0.3">
      <c r="I3480" t="s">
        <v>11711</v>
      </c>
      <c r="J3480" t="s">
        <v>1790</v>
      </c>
    </row>
    <row r="3481" spans="9:10" x14ac:dyDescent="0.3">
      <c r="I3481" t="s">
        <v>11712</v>
      </c>
      <c r="J3481" t="s">
        <v>1790</v>
      </c>
    </row>
    <row r="3482" spans="9:10" x14ac:dyDescent="0.3">
      <c r="I3482" t="s">
        <v>11713</v>
      </c>
      <c r="J3482" t="s">
        <v>1791</v>
      </c>
    </row>
    <row r="3483" spans="9:10" x14ac:dyDescent="0.3">
      <c r="I3483" t="s">
        <v>11714</v>
      </c>
      <c r="J3483" t="s">
        <v>1792</v>
      </c>
    </row>
    <row r="3484" spans="9:10" x14ac:dyDescent="0.3">
      <c r="I3484" t="s">
        <v>11715</v>
      </c>
      <c r="J3484" t="s">
        <v>1792</v>
      </c>
    </row>
    <row r="3485" spans="9:10" x14ac:dyDescent="0.3">
      <c r="I3485" t="s">
        <v>11716</v>
      </c>
      <c r="J3485" t="s">
        <v>1793</v>
      </c>
    </row>
    <row r="3486" spans="9:10" x14ac:dyDescent="0.3">
      <c r="I3486" t="s">
        <v>11717</v>
      </c>
      <c r="J3486" t="s">
        <v>1793</v>
      </c>
    </row>
    <row r="3487" spans="9:10" x14ac:dyDescent="0.3">
      <c r="I3487" t="s">
        <v>11718</v>
      </c>
      <c r="J3487" t="s">
        <v>1793</v>
      </c>
    </row>
    <row r="3488" spans="9:10" x14ac:dyDescent="0.3">
      <c r="I3488" t="s">
        <v>11719</v>
      </c>
    </row>
    <row r="3489" spans="9:10" x14ac:dyDescent="0.3">
      <c r="I3489" t="s">
        <v>11720</v>
      </c>
      <c r="J3489" t="s">
        <v>1794</v>
      </c>
    </row>
    <row r="3490" spans="9:10" x14ac:dyDescent="0.3">
      <c r="I3490" t="s">
        <v>11721</v>
      </c>
      <c r="J3490" t="s">
        <v>1795</v>
      </c>
    </row>
    <row r="3491" spans="9:10" x14ac:dyDescent="0.3">
      <c r="I3491" t="s">
        <v>11722</v>
      </c>
      <c r="J3491" t="s">
        <v>1795</v>
      </c>
    </row>
    <row r="3492" spans="9:10" x14ac:dyDescent="0.3">
      <c r="I3492" t="s">
        <v>11723</v>
      </c>
      <c r="J3492" t="s">
        <v>1795</v>
      </c>
    </row>
    <row r="3493" spans="9:10" x14ac:dyDescent="0.3">
      <c r="I3493" t="s">
        <v>11724</v>
      </c>
      <c r="J3493" t="s">
        <v>1795</v>
      </c>
    </row>
    <row r="3494" spans="9:10" x14ac:dyDescent="0.3">
      <c r="I3494" t="s">
        <v>11725</v>
      </c>
      <c r="J3494" t="s">
        <v>1795</v>
      </c>
    </row>
    <row r="3495" spans="9:10" x14ac:dyDescent="0.3">
      <c r="I3495" t="s">
        <v>11723</v>
      </c>
      <c r="J3495" t="s">
        <v>1795</v>
      </c>
    </row>
    <row r="3496" spans="9:10" x14ac:dyDescent="0.3">
      <c r="I3496" t="s">
        <v>11726</v>
      </c>
      <c r="J3496" t="s">
        <v>1796</v>
      </c>
    </row>
    <row r="3497" spans="9:10" x14ac:dyDescent="0.3">
      <c r="I3497" t="s">
        <v>11726</v>
      </c>
      <c r="J3497" t="s">
        <v>1796</v>
      </c>
    </row>
    <row r="3498" spans="9:10" x14ac:dyDescent="0.3">
      <c r="I3498" t="s">
        <v>11727</v>
      </c>
      <c r="J3498" t="s">
        <v>1797</v>
      </c>
    </row>
    <row r="3499" spans="9:10" x14ac:dyDescent="0.3">
      <c r="I3499" t="s">
        <v>11727</v>
      </c>
      <c r="J3499" t="s">
        <v>1797</v>
      </c>
    </row>
    <row r="3500" spans="9:10" x14ac:dyDescent="0.3">
      <c r="I3500" t="s">
        <v>11727</v>
      </c>
      <c r="J3500" t="s">
        <v>1797</v>
      </c>
    </row>
    <row r="3501" spans="9:10" x14ac:dyDescent="0.3">
      <c r="I3501" t="s">
        <v>11728</v>
      </c>
      <c r="J3501" t="s">
        <v>1798</v>
      </c>
    </row>
    <row r="3502" spans="9:10" x14ac:dyDescent="0.3">
      <c r="I3502" t="s">
        <v>11729</v>
      </c>
      <c r="J3502" t="s">
        <v>1799</v>
      </c>
    </row>
    <row r="3503" spans="9:10" x14ac:dyDescent="0.3">
      <c r="I3503" t="s">
        <v>11730</v>
      </c>
      <c r="J3503" t="s">
        <v>1799</v>
      </c>
    </row>
    <row r="3504" spans="9:10" x14ac:dyDescent="0.3">
      <c r="I3504" t="s">
        <v>11729</v>
      </c>
      <c r="J3504" t="s">
        <v>1799</v>
      </c>
    </row>
    <row r="3505" spans="9:10" x14ac:dyDescent="0.3">
      <c r="I3505" t="s">
        <v>11731</v>
      </c>
      <c r="J3505" t="s">
        <v>1799</v>
      </c>
    </row>
    <row r="3506" spans="9:10" x14ac:dyDescent="0.3">
      <c r="I3506" t="s">
        <v>11730</v>
      </c>
      <c r="J3506" t="s">
        <v>1799</v>
      </c>
    </row>
    <row r="3507" spans="9:10" x14ac:dyDescent="0.3">
      <c r="I3507" t="s">
        <v>11730</v>
      </c>
      <c r="J3507" t="s">
        <v>1799</v>
      </c>
    </row>
    <row r="3508" spans="9:10" x14ac:dyDescent="0.3">
      <c r="I3508" t="s">
        <v>11730</v>
      </c>
      <c r="J3508" t="s">
        <v>1799</v>
      </c>
    </row>
    <row r="3509" spans="9:10" x14ac:dyDescent="0.3">
      <c r="I3509" t="s">
        <v>11732</v>
      </c>
      <c r="J3509" t="s">
        <v>1800</v>
      </c>
    </row>
    <row r="3510" spans="9:10" x14ac:dyDescent="0.3">
      <c r="I3510" t="s">
        <v>11733</v>
      </c>
      <c r="J3510" t="s">
        <v>1800</v>
      </c>
    </row>
    <row r="3511" spans="9:10" x14ac:dyDescent="0.3">
      <c r="I3511" t="s">
        <v>11734</v>
      </c>
      <c r="J3511" t="s">
        <v>1800</v>
      </c>
    </row>
    <row r="3512" spans="9:10" x14ac:dyDescent="0.3">
      <c r="I3512" t="s">
        <v>11735</v>
      </c>
      <c r="J3512" t="s">
        <v>1801</v>
      </c>
    </row>
    <row r="3513" spans="9:10" x14ac:dyDescent="0.3">
      <c r="I3513" t="s">
        <v>11736</v>
      </c>
      <c r="J3513" t="s">
        <v>1802</v>
      </c>
    </row>
    <row r="3514" spans="9:10" x14ac:dyDescent="0.3">
      <c r="I3514" t="s">
        <v>11737</v>
      </c>
      <c r="J3514" t="s">
        <v>1802</v>
      </c>
    </row>
    <row r="3515" spans="9:10" x14ac:dyDescent="0.3">
      <c r="I3515" t="s">
        <v>11738</v>
      </c>
      <c r="J3515" t="s">
        <v>1802</v>
      </c>
    </row>
    <row r="3516" spans="9:10" x14ac:dyDescent="0.3">
      <c r="I3516" t="s">
        <v>11739</v>
      </c>
      <c r="J3516" t="s">
        <v>1802</v>
      </c>
    </row>
    <row r="3517" spans="9:10" x14ac:dyDescent="0.3">
      <c r="I3517" t="s">
        <v>11739</v>
      </c>
      <c r="J3517" t="s">
        <v>1802</v>
      </c>
    </row>
    <row r="3518" spans="9:10" x14ac:dyDescent="0.3">
      <c r="I3518" t="s">
        <v>11739</v>
      </c>
      <c r="J3518" t="s">
        <v>1802</v>
      </c>
    </row>
    <row r="3519" spans="9:10" x14ac:dyDescent="0.3">
      <c r="I3519" t="s">
        <v>11739</v>
      </c>
      <c r="J3519" t="s">
        <v>1802</v>
      </c>
    </row>
    <row r="3520" spans="9:10" x14ac:dyDescent="0.3">
      <c r="I3520" t="s">
        <v>11739</v>
      </c>
      <c r="J3520" t="s">
        <v>1802</v>
      </c>
    </row>
    <row r="3521" spans="9:10" x14ac:dyDescent="0.3">
      <c r="I3521" t="s">
        <v>11739</v>
      </c>
      <c r="J3521" t="s">
        <v>1802</v>
      </c>
    </row>
    <row r="3522" spans="9:10" x14ac:dyDescent="0.3">
      <c r="I3522" t="s">
        <v>11739</v>
      </c>
      <c r="J3522" t="s">
        <v>1802</v>
      </c>
    </row>
    <row r="3523" spans="9:10" x14ac:dyDescent="0.3">
      <c r="I3523" t="s">
        <v>11739</v>
      </c>
      <c r="J3523" t="s">
        <v>1802</v>
      </c>
    </row>
    <row r="3524" spans="9:10" x14ac:dyDescent="0.3">
      <c r="I3524" t="s">
        <v>11739</v>
      </c>
      <c r="J3524" t="s">
        <v>1802</v>
      </c>
    </row>
    <row r="3525" spans="9:10" x14ac:dyDescent="0.3">
      <c r="I3525" t="s">
        <v>11739</v>
      </c>
      <c r="J3525" t="s">
        <v>1802</v>
      </c>
    </row>
    <row r="3526" spans="9:10" x14ac:dyDescent="0.3">
      <c r="I3526" t="s">
        <v>11740</v>
      </c>
      <c r="J3526" t="s">
        <v>1802</v>
      </c>
    </row>
    <row r="3527" spans="9:10" x14ac:dyDescent="0.3">
      <c r="I3527" t="s">
        <v>11741</v>
      </c>
      <c r="J3527" t="s">
        <v>1802</v>
      </c>
    </row>
    <row r="3528" spans="9:10" x14ac:dyDescent="0.3">
      <c r="I3528" t="s">
        <v>11742</v>
      </c>
      <c r="J3528" t="s">
        <v>1802</v>
      </c>
    </row>
    <row r="3529" spans="9:10" x14ac:dyDescent="0.3">
      <c r="I3529" t="s">
        <v>11743</v>
      </c>
      <c r="J3529" t="s">
        <v>1802</v>
      </c>
    </row>
    <row r="3530" spans="9:10" x14ac:dyDescent="0.3">
      <c r="I3530" t="s">
        <v>11744</v>
      </c>
      <c r="J3530" t="s">
        <v>1802</v>
      </c>
    </row>
    <row r="3531" spans="9:10" x14ac:dyDescent="0.3">
      <c r="I3531" t="s">
        <v>11739</v>
      </c>
      <c r="J3531" t="s">
        <v>1802</v>
      </c>
    </row>
    <row r="3532" spans="9:10" x14ac:dyDescent="0.3">
      <c r="I3532" t="s">
        <v>11739</v>
      </c>
      <c r="J3532" t="s">
        <v>1802</v>
      </c>
    </row>
    <row r="3533" spans="9:10" x14ac:dyDescent="0.3">
      <c r="I3533" t="s">
        <v>11745</v>
      </c>
      <c r="J3533" t="s">
        <v>1802</v>
      </c>
    </row>
    <row r="3534" spans="9:10" x14ac:dyDescent="0.3">
      <c r="I3534" t="s">
        <v>11746</v>
      </c>
      <c r="J3534" t="s">
        <v>1802</v>
      </c>
    </row>
    <row r="3535" spans="9:10" x14ac:dyDescent="0.3">
      <c r="I3535" t="s">
        <v>11747</v>
      </c>
      <c r="J3535" t="s">
        <v>1802</v>
      </c>
    </row>
    <row r="3536" spans="9:10" x14ac:dyDescent="0.3">
      <c r="I3536" t="s">
        <v>11748</v>
      </c>
      <c r="J3536" t="s">
        <v>1803</v>
      </c>
    </row>
    <row r="3537" spans="9:10" x14ac:dyDescent="0.3">
      <c r="I3537" t="s">
        <v>11749</v>
      </c>
      <c r="J3537" t="s">
        <v>1803</v>
      </c>
    </row>
    <row r="3538" spans="9:10" x14ac:dyDescent="0.3">
      <c r="I3538" t="s">
        <v>11749</v>
      </c>
      <c r="J3538" t="s">
        <v>1803</v>
      </c>
    </row>
    <row r="3539" spans="9:10" x14ac:dyDescent="0.3">
      <c r="I3539" t="s">
        <v>11749</v>
      </c>
      <c r="J3539" t="s">
        <v>1803</v>
      </c>
    </row>
    <row r="3540" spans="9:10" x14ac:dyDescent="0.3">
      <c r="I3540" t="s">
        <v>11750</v>
      </c>
      <c r="J3540" t="s">
        <v>1804</v>
      </c>
    </row>
    <row r="3541" spans="9:10" x14ac:dyDescent="0.3">
      <c r="I3541" t="s">
        <v>11751</v>
      </c>
      <c r="J3541" t="s">
        <v>1804</v>
      </c>
    </row>
    <row r="3542" spans="9:10" x14ac:dyDescent="0.3">
      <c r="I3542" t="s">
        <v>11752</v>
      </c>
      <c r="J3542" t="s">
        <v>278</v>
      </c>
    </row>
    <row r="3543" spans="9:10" x14ac:dyDescent="0.3">
      <c r="I3543" t="s">
        <v>11753</v>
      </c>
      <c r="J3543" t="s">
        <v>278</v>
      </c>
    </row>
    <row r="3544" spans="9:10" x14ac:dyDescent="0.3">
      <c r="I3544" t="s">
        <v>11754</v>
      </c>
      <c r="J3544" t="s">
        <v>278</v>
      </c>
    </row>
    <row r="3545" spans="9:10" x14ac:dyDescent="0.3">
      <c r="I3545" t="s">
        <v>11755</v>
      </c>
      <c r="J3545" t="s">
        <v>278</v>
      </c>
    </row>
    <row r="3546" spans="9:10" x14ac:dyDescent="0.3">
      <c r="I3546" t="s">
        <v>11756</v>
      </c>
      <c r="J3546" t="s">
        <v>125</v>
      </c>
    </row>
    <row r="3547" spans="9:10" x14ac:dyDescent="0.3">
      <c r="I3547" t="s">
        <v>11757</v>
      </c>
      <c r="J3547" t="s">
        <v>1805</v>
      </c>
    </row>
    <row r="3548" spans="9:10" x14ac:dyDescent="0.3">
      <c r="I3548" t="s">
        <v>11758</v>
      </c>
      <c r="J3548" t="s">
        <v>1805</v>
      </c>
    </row>
    <row r="3549" spans="9:10" x14ac:dyDescent="0.3">
      <c r="I3549" t="s">
        <v>11759</v>
      </c>
      <c r="J3549" t="s">
        <v>1806</v>
      </c>
    </row>
    <row r="3550" spans="9:10" x14ac:dyDescent="0.3">
      <c r="I3550" t="s">
        <v>11760</v>
      </c>
      <c r="J3550" t="s">
        <v>1807</v>
      </c>
    </row>
    <row r="3551" spans="9:10" x14ac:dyDescent="0.3">
      <c r="I3551" t="s">
        <v>11761</v>
      </c>
      <c r="J3551" t="s">
        <v>1807</v>
      </c>
    </row>
    <row r="3552" spans="9:10" x14ac:dyDescent="0.3">
      <c r="I3552" t="s">
        <v>11762</v>
      </c>
      <c r="J3552" t="s">
        <v>1807</v>
      </c>
    </row>
    <row r="3553" spans="9:10" x14ac:dyDescent="0.3">
      <c r="I3553" t="s">
        <v>11762</v>
      </c>
      <c r="J3553" t="s">
        <v>1807</v>
      </c>
    </row>
    <row r="3554" spans="9:10" x14ac:dyDescent="0.3">
      <c r="I3554" t="s">
        <v>11762</v>
      </c>
      <c r="J3554" t="s">
        <v>1807</v>
      </c>
    </row>
    <row r="3555" spans="9:10" x14ac:dyDescent="0.3">
      <c r="I3555" t="s">
        <v>11762</v>
      </c>
      <c r="J3555" t="s">
        <v>1807</v>
      </c>
    </row>
    <row r="3556" spans="9:10" x14ac:dyDescent="0.3">
      <c r="I3556" t="s">
        <v>11762</v>
      </c>
      <c r="J3556" t="s">
        <v>1807</v>
      </c>
    </row>
    <row r="3557" spans="9:10" x14ac:dyDescent="0.3">
      <c r="I3557" t="s">
        <v>11762</v>
      </c>
      <c r="J3557" t="s">
        <v>1807</v>
      </c>
    </row>
    <row r="3558" spans="9:10" x14ac:dyDescent="0.3">
      <c r="I3558" t="s">
        <v>11762</v>
      </c>
      <c r="J3558" t="s">
        <v>1807</v>
      </c>
    </row>
    <row r="3559" spans="9:10" x14ac:dyDescent="0.3">
      <c r="I3559" t="s">
        <v>11762</v>
      </c>
      <c r="J3559" t="s">
        <v>1807</v>
      </c>
    </row>
    <row r="3560" spans="9:10" x14ac:dyDescent="0.3">
      <c r="I3560" t="s">
        <v>11762</v>
      </c>
      <c r="J3560" t="s">
        <v>1807</v>
      </c>
    </row>
    <row r="3561" spans="9:10" x14ac:dyDescent="0.3">
      <c r="I3561" t="s">
        <v>11763</v>
      </c>
      <c r="J3561" t="s">
        <v>1807</v>
      </c>
    </row>
    <row r="3562" spans="9:10" x14ac:dyDescent="0.3">
      <c r="I3562" t="s">
        <v>11762</v>
      </c>
      <c r="J3562" t="s">
        <v>1807</v>
      </c>
    </row>
    <row r="3563" spans="9:10" x14ac:dyDescent="0.3">
      <c r="I3563" t="s">
        <v>11764</v>
      </c>
      <c r="J3563" t="s">
        <v>1807</v>
      </c>
    </row>
    <row r="3564" spans="9:10" x14ac:dyDescent="0.3">
      <c r="I3564" t="s">
        <v>11762</v>
      </c>
      <c r="J3564" t="s">
        <v>1807</v>
      </c>
    </row>
    <row r="3565" spans="9:10" x14ac:dyDescent="0.3">
      <c r="I3565" t="s">
        <v>11765</v>
      </c>
      <c r="J3565" t="s">
        <v>1807</v>
      </c>
    </row>
    <row r="3566" spans="9:10" x14ac:dyDescent="0.3">
      <c r="I3566" t="s">
        <v>11761</v>
      </c>
      <c r="J3566" t="s">
        <v>1807</v>
      </c>
    </row>
    <row r="3567" spans="9:10" x14ac:dyDescent="0.3">
      <c r="I3567" t="s">
        <v>11762</v>
      </c>
      <c r="J3567" t="s">
        <v>1807</v>
      </c>
    </row>
    <row r="3568" spans="9:10" x14ac:dyDescent="0.3">
      <c r="I3568" t="s">
        <v>11766</v>
      </c>
      <c r="J3568" t="s">
        <v>1807</v>
      </c>
    </row>
    <row r="3569" spans="9:10" x14ac:dyDescent="0.3">
      <c r="I3569" t="s">
        <v>11762</v>
      </c>
      <c r="J3569" t="s">
        <v>1807</v>
      </c>
    </row>
    <row r="3570" spans="9:10" x14ac:dyDescent="0.3">
      <c r="I3570" t="s">
        <v>11762</v>
      </c>
      <c r="J3570" t="s">
        <v>1807</v>
      </c>
    </row>
    <row r="3571" spans="9:10" x14ac:dyDescent="0.3">
      <c r="I3571" t="s">
        <v>11761</v>
      </c>
      <c r="J3571" t="s">
        <v>1807</v>
      </c>
    </row>
    <row r="3572" spans="9:10" x14ac:dyDescent="0.3">
      <c r="I3572" t="s">
        <v>11762</v>
      </c>
      <c r="J3572" t="s">
        <v>1807</v>
      </c>
    </row>
    <row r="3573" spans="9:10" x14ac:dyDescent="0.3">
      <c r="I3573" t="s">
        <v>11762</v>
      </c>
      <c r="J3573" t="s">
        <v>1807</v>
      </c>
    </row>
    <row r="3574" spans="9:10" x14ac:dyDescent="0.3">
      <c r="I3574" t="s">
        <v>11762</v>
      </c>
      <c r="J3574" t="s">
        <v>1807</v>
      </c>
    </row>
    <row r="3575" spans="9:10" x14ac:dyDescent="0.3">
      <c r="I3575" t="s">
        <v>11762</v>
      </c>
      <c r="J3575" t="s">
        <v>1807</v>
      </c>
    </row>
    <row r="3576" spans="9:10" x14ac:dyDescent="0.3">
      <c r="I3576" t="s">
        <v>11762</v>
      </c>
      <c r="J3576" t="s">
        <v>1807</v>
      </c>
    </row>
    <row r="3577" spans="9:10" x14ac:dyDescent="0.3">
      <c r="I3577" t="s">
        <v>11767</v>
      </c>
      <c r="J3577" t="s">
        <v>1807</v>
      </c>
    </row>
    <row r="3578" spans="9:10" x14ac:dyDescent="0.3">
      <c r="I3578" t="s">
        <v>11762</v>
      </c>
      <c r="J3578" t="s">
        <v>1807</v>
      </c>
    </row>
    <row r="3579" spans="9:10" x14ac:dyDescent="0.3">
      <c r="I3579" t="s">
        <v>11762</v>
      </c>
      <c r="J3579" t="s">
        <v>1807</v>
      </c>
    </row>
    <row r="3580" spans="9:10" x14ac:dyDescent="0.3">
      <c r="I3580" t="s">
        <v>11768</v>
      </c>
      <c r="J3580" t="s">
        <v>1807</v>
      </c>
    </row>
    <row r="3581" spans="9:10" x14ac:dyDescent="0.3">
      <c r="I3581" t="s">
        <v>11763</v>
      </c>
      <c r="J3581" t="s">
        <v>1807</v>
      </c>
    </row>
    <row r="3582" spans="9:10" x14ac:dyDescent="0.3">
      <c r="I3582" t="s">
        <v>11762</v>
      </c>
      <c r="J3582" t="s">
        <v>1807</v>
      </c>
    </row>
    <row r="3583" spans="9:10" x14ac:dyDescent="0.3">
      <c r="I3583" t="s">
        <v>11762</v>
      </c>
      <c r="J3583" t="s">
        <v>1807</v>
      </c>
    </row>
    <row r="3584" spans="9:10" x14ac:dyDescent="0.3">
      <c r="I3584" t="s">
        <v>11762</v>
      </c>
      <c r="J3584" t="s">
        <v>1807</v>
      </c>
    </row>
    <row r="3585" spans="9:10" x14ac:dyDescent="0.3">
      <c r="I3585" t="s">
        <v>11769</v>
      </c>
      <c r="J3585" t="s">
        <v>1808</v>
      </c>
    </row>
    <row r="3586" spans="9:10" x14ac:dyDescent="0.3">
      <c r="I3586" t="s">
        <v>11770</v>
      </c>
      <c r="J3586" t="s">
        <v>1809</v>
      </c>
    </row>
    <row r="3587" spans="9:10" x14ac:dyDescent="0.3">
      <c r="I3587" t="s">
        <v>11771</v>
      </c>
      <c r="J3587" t="s">
        <v>1810</v>
      </c>
    </row>
    <row r="3588" spans="9:10" x14ac:dyDescent="0.3">
      <c r="I3588" t="s">
        <v>11772</v>
      </c>
      <c r="J3588" t="s">
        <v>1810</v>
      </c>
    </row>
    <row r="3589" spans="9:10" x14ac:dyDescent="0.3">
      <c r="I3589" t="s">
        <v>11771</v>
      </c>
      <c r="J3589" t="s">
        <v>1810</v>
      </c>
    </row>
    <row r="3590" spans="9:10" x14ac:dyDescent="0.3">
      <c r="I3590" t="s">
        <v>11771</v>
      </c>
      <c r="J3590" t="s">
        <v>1810</v>
      </c>
    </row>
    <row r="3591" spans="9:10" x14ac:dyDescent="0.3">
      <c r="I3591" t="s">
        <v>11773</v>
      </c>
      <c r="J3591" t="s">
        <v>1810</v>
      </c>
    </row>
    <row r="3592" spans="9:10" x14ac:dyDescent="0.3">
      <c r="I3592" t="s">
        <v>11774</v>
      </c>
      <c r="J3592" t="s">
        <v>1810</v>
      </c>
    </row>
    <row r="3593" spans="9:10" x14ac:dyDescent="0.3">
      <c r="I3593" t="s">
        <v>11775</v>
      </c>
      <c r="J3593" t="s">
        <v>1810</v>
      </c>
    </row>
    <row r="3594" spans="9:10" x14ac:dyDescent="0.3">
      <c r="I3594" t="s">
        <v>11776</v>
      </c>
      <c r="J3594" t="s">
        <v>1810</v>
      </c>
    </row>
    <row r="3595" spans="9:10" x14ac:dyDescent="0.3">
      <c r="I3595" t="s">
        <v>11777</v>
      </c>
      <c r="J3595" t="s">
        <v>1810</v>
      </c>
    </row>
    <row r="3596" spans="9:10" x14ac:dyDescent="0.3">
      <c r="I3596" t="s">
        <v>11771</v>
      </c>
      <c r="J3596" t="s">
        <v>1810</v>
      </c>
    </row>
    <row r="3597" spans="9:10" x14ac:dyDescent="0.3">
      <c r="I3597" t="s">
        <v>11778</v>
      </c>
      <c r="J3597" t="s">
        <v>1810</v>
      </c>
    </row>
    <row r="3598" spans="9:10" x14ac:dyDescent="0.3">
      <c r="I3598" t="s">
        <v>11771</v>
      </c>
      <c r="J3598" t="s">
        <v>1810</v>
      </c>
    </row>
    <row r="3599" spans="9:10" x14ac:dyDescent="0.3">
      <c r="I3599" t="s">
        <v>11771</v>
      </c>
      <c r="J3599" t="s">
        <v>1810</v>
      </c>
    </row>
    <row r="3600" spans="9:10" x14ac:dyDescent="0.3">
      <c r="I3600" t="s">
        <v>11771</v>
      </c>
      <c r="J3600" t="s">
        <v>1810</v>
      </c>
    </row>
    <row r="3601" spans="9:10" x14ac:dyDescent="0.3">
      <c r="I3601" t="s">
        <v>11779</v>
      </c>
      <c r="J3601" t="s">
        <v>1810</v>
      </c>
    </row>
    <row r="3602" spans="9:10" x14ac:dyDescent="0.3">
      <c r="I3602" t="s">
        <v>11778</v>
      </c>
      <c r="J3602" t="s">
        <v>1810</v>
      </c>
    </row>
    <row r="3603" spans="9:10" x14ac:dyDescent="0.3">
      <c r="I3603" t="s">
        <v>11780</v>
      </c>
      <c r="J3603" t="s">
        <v>1810</v>
      </c>
    </row>
    <row r="3604" spans="9:10" x14ac:dyDescent="0.3">
      <c r="I3604" t="s">
        <v>11775</v>
      </c>
      <c r="J3604" t="s">
        <v>1810</v>
      </c>
    </row>
    <row r="3605" spans="9:10" x14ac:dyDescent="0.3">
      <c r="I3605" t="s">
        <v>11781</v>
      </c>
      <c r="J3605" t="s">
        <v>1810</v>
      </c>
    </row>
    <row r="3606" spans="9:10" x14ac:dyDescent="0.3">
      <c r="I3606" t="s">
        <v>11773</v>
      </c>
      <c r="J3606" t="s">
        <v>1810</v>
      </c>
    </row>
    <row r="3607" spans="9:10" x14ac:dyDescent="0.3">
      <c r="I3607" t="s">
        <v>11777</v>
      </c>
      <c r="J3607" t="s">
        <v>1810</v>
      </c>
    </row>
    <row r="3608" spans="9:10" x14ac:dyDescent="0.3">
      <c r="I3608" t="s">
        <v>11782</v>
      </c>
      <c r="J3608" t="s">
        <v>1810</v>
      </c>
    </row>
    <row r="3609" spans="9:10" x14ac:dyDescent="0.3">
      <c r="I3609" t="s">
        <v>11783</v>
      </c>
      <c r="J3609" t="s">
        <v>1810</v>
      </c>
    </row>
    <row r="3610" spans="9:10" x14ac:dyDescent="0.3">
      <c r="I3610" t="s">
        <v>11784</v>
      </c>
      <c r="J3610" t="s">
        <v>1810</v>
      </c>
    </row>
    <row r="3611" spans="9:10" x14ac:dyDescent="0.3">
      <c r="I3611" t="s">
        <v>11771</v>
      </c>
      <c r="J3611" t="s">
        <v>1810</v>
      </c>
    </row>
    <row r="3612" spans="9:10" x14ac:dyDescent="0.3">
      <c r="I3612" t="s">
        <v>11771</v>
      </c>
      <c r="J3612" t="s">
        <v>1810</v>
      </c>
    </row>
    <row r="3613" spans="9:10" x14ac:dyDescent="0.3">
      <c r="I3613" t="s">
        <v>11771</v>
      </c>
      <c r="J3613" t="s">
        <v>1810</v>
      </c>
    </row>
    <row r="3614" spans="9:10" x14ac:dyDescent="0.3">
      <c r="I3614" t="s">
        <v>11771</v>
      </c>
      <c r="J3614" t="s">
        <v>1810</v>
      </c>
    </row>
    <row r="3615" spans="9:10" x14ac:dyDescent="0.3">
      <c r="I3615" t="s">
        <v>11771</v>
      </c>
      <c r="J3615" t="s">
        <v>1810</v>
      </c>
    </row>
    <row r="3616" spans="9:10" x14ac:dyDescent="0.3">
      <c r="I3616" t="s">
        <v>11778</v>
      </c>
      <c r="J3616" t="s">
        <v>1810</v>
      </c>
    </row>
    <row r="3617" spans="9:10" x14ac:dyDescent="0.3">
      <c r="I3617" t="s">
        <v>11771</v>
      </c>
      <c r="J3617" t="s">
        <v>1810</v>
      </c>
    </row>
    <row r="3618" spans="9:10" x14ac:dyDescent="0.3">
      <c r="I3618" t="s">
        <v>11785</v>
      </c>
      <c r="J3618" t="s">
        <v>1810</v>
      </c>
    </row>
    <row r="3619" spans="9:10" x14ac:dyDescent="0.3">
      <c r="I3619" t="s">
        <v>11771</v>
      </c>
      <c r="J3619" t="s">
        <v>1810</v>
      </c>
    </row>
    <row r="3620" spans="9:10" x14ac:dyDescent="0.3">
      <c r="I3620" t="s">
        <v>11771</v>
      </c>
      <c r="J3620" t="s">
        <v>1810</v>
      </c>
    </row>
    <row r="3621" spans="9:10" x14ac:dyDescent="0.3">
      <c r="I3621" t="s">
        <v>11771</v>
      </c>
      <c r="J3621" t="s">
        <v>1810</v>
      </c>
    </row>
    <row r="3622" spans="9:10" x14ac:dyDescent="0.3">
      <c r="I3622" t="s">
        <v>11771</v>
      </c>
      <c r="J3622" t="s">
        <v>1810</v>
      </c>
    </row>
    <row r="3623" spans="9:10" x14ac:dyDescent="0.3">
      <c r="I3623" t="s">
        <v>11771</v>
      </c>
      <c r="J3623" t="s">
        <v>1810</v>
      </c>
    </row>
    <row r="3624" spans="9:10" x14ac:dyDescent="0.3">
      <c r="I3624" t="s">
        <v>11771</v>
      </c>
      <c r="J3624" t="s">
        <v>1810</v>
      </c>
    </row>
    <row r="3625" spans="9:10" x14ac:dyDescent="0.3">
      <c r="I3625" t="s">
        <v>11771</v>
      </c>
      <c r="J3625" t="s">
        <v>1810</v>
      </c>
    </row>
    <row r="3626" spans="9:10" x14ac:dyDescent="0.3">
      <c r="I3626" t="s">
        <v>11771</v>
      </c>
      <c r="J3626" t="s">
        <v>1810</v>
      </c>
    </row>
    <row r="3627" spans="9:10" x14ac:dyDescent="0.3">
      <c r="I3627" t="s">
        <v>11771</v>
      </c>
      <c r="J3627" t="s">
        <v>1810</v>
      </c>
    </row>
    <row r="3628" spans="9:10" x14ac:dyDescent="0.3">
      <c r="I3628" t="s">
        <v>11771</v>
      </c>
      <c r="J3628" t="s">
        <v>1810</v>
      </c>
    </row>
    <row r="3629" spans="9:10" x14ac:dyDescent="0.3">
      <c r="I3629" t="s">
        <v>11771</v>
      </c>
      <c r="J3629" t="s">
        <v>1810</v>
      </c>
    </row>
    <row r="3630" spans="9:10" x14ac:dyDescent="0.3">
      <c r="I3630" t="s">
        <v>11771</v>
      </c>
      <c r="J3630" t="s">
        <v>1810</v>
      </c>
    </row>
    <row r="3631" spans="9:10" x14ac:dyDescent="0.3">
      <c r="I3631" t="s">
        <v>11771</v>
      </c>
      <c r="J3631" t="s">
        <v>1810</v>
      </c>
    </row>
    <row r="3632" spans="9:10" x14ac:dyDescent="0.3">
      <c r="I3632" t="s">
        <v>11771</v>
      </c>
      <c r="J3632" t="s">
        <v>1810</v>
      </c>
    </row>
    <row r="3633" spans="9:10" x14ac:dyDescent="0.3">
      <c r="I3633" t="s">
        <v>11771</v>
      </c>
      <c r="J3633" t="s">
        <v>1810</v>
      </c>
    </row>
    <row r="3634" spans="9:10" x14ac:dyDescent="0.3">
      <c r="I3634" t="s">
        <v>11771</v>
      </c>
      <c r="J3634" t="s">
        <v>1810</v>
      </c>
    </row>
    <row r="3635" spans="9:10" x14ac:dyDescent="0.3">
      <c r="I3635" t="s">
        <v>11771</v>
      </c>
      <c r="J3635" t="s">
        <v>1810</v>
      </c>
    </row>
    <row r="3636" spans="9:10" x14ac:dyDescent="0.3">
      <c r="I3636" t="s">
        <v>11771</v>
      </c>
      <c r="J3636" t="s">
        <v>1810</v>
      </c>
    </row>
    <row r="3637" spans="9:10" x14ac:dyDescent="0.3">
      <c r="I3637" t="s">
        <v>11783</v>
      </c>
      <c r="J3637" t="s">
        <v>1810</v>
      </c>
    </row>
    <row r="3638" spans="9:10" x14ac:dyDescent="0.3">
      <c r="I3638" t="s">
        <v>11771</v>
      </c>
      <c r="J3638" t="s">
        <v>1810</v>
      </c>
    </row>
    <row r="3639" spans="9:10" x14ac:dyDescent="0.3">
      <c r="I3639" t="s">
        <v>11771</v>
      </c>
      <c r="J3639" t="s">
        <v>1810</v>
      </c>
    </row>
    <row r="3640" spans="9:10" x14ac:dyDescent="0.3">
      <c r="I3640" t="s">
        <v>11778</v>
      </c>
      <c r="J3640" t="s">
        <v>1810</v>
      </c>
    </row>
    <row r="3641" spans="9:10" x14ac:dyDescent="0.3">
      <c r="I3641" t="s">
        <v>11771</v>
      </c>
      <c r="J3641" t="s">
        <v>1810</v>
      </c>
    </row>
    <row r="3642" spans="9:10" x14ac:dyDescent="0.3">
      <c r="I3642" t="s">
        <v>11771</v>
      </c>
      <c r="J3642" t="s">
        <v>1810</v>
      </c>
    </row>
    <row r="3643" spans="9:10" x14ac:dyDescent="0.3">
      <c r="I3643" t="s">
        <v>11771</v>
      </c>
      <c r="J3643" t="s">
        <v>1810</v>
      </c>
    </row>
    <row r="3644" spans="9:10" x14ac:dyDescent="0.3">
      <c r="I3644" t="s">
        <v>11786</v>
      </c>
      <c r="J3644" t="s">
        <v>1810</v>
      </c>
    </row>
    <row r="3645" spans="9:10" x14ac:dyDescent="0.3">
      <c r="I3645" t="s">
        <v>11787</v>
      </c>
      <c r="J3645" t="s">
        <v>1810</v>
      </c>
    </row>
    <row r="3646" spans="9:10" x14ac:dyDescent="0.3">
      <c r="I3646" t="s">
        <v>11771</v>
      </c>
      <c r="J3646" t="s">
        <v>1810</v>
      </c>
    </row>
    <row r="3647" spans="9:10" x14ac:dyDescent="0.3">
      <c r="I3647" t="s">
        <v>11771</v>
      </c>
      <c r="J3647" t="s">
        <v>1810</v>
      </c>
    </row>
    <row r="3648" spans="9:10" x14ac:dyDescent="0.3">
      <c r="I3648" t="s">
        <v>11771</v>
      </c>
      <c r="J3648" t="s">
        <v>1810</v>
      </c>
    </row>
    <row r="3649" spans="9:10" x14ac:dyDescent="0.3">
      <c r="I3649" t="s">
        <v>11771</v>
      </c>
      <c r="J3649" t="s">
        <v>1810</v>
      </c>
    </row>
    <row r="3650" spans="9:10" x14ac:dyDescent="0.3">
      <c r="I3650" t="s">
        <v>11771</v>
      </c>
      <c r="J3650" t="s">
        <v>1810</v>
      </c>
    </row>
    <row r="3651" spans="9:10" x14ac:dyDescent="0.3">
      <c r="I3651" t="s">
        <v>11771</v>
      </c>
      <c r="J3651" t="s">
        <v>1810</v>
      </c>
    </row>
    <row r="3652" spans="9:10" x14ac:dyDescent="0.3">
      <c r="I3652" t="s">
        <v>11788</v>
      </c>
      <c r="J3652" t="s">
        <v>1811</v>
      </c>
    </row>
    <row r="3653" spans="9:10" x14ac:dyDescent="0.3">
      <c r="I3653" t="s">
        <v>11789</v>
      </c>
      <c r="J3653" t="s">
        <v>1812</v>
      </c>
    </row>
    <row r="3654" spans="9:10" x14ac:dyDescent="0.3">
      <c r="I3654" t="s">
        <v>11790</v>
      </c>
      <c r="J3654" t="s">
        <v>1812</v>
      </c>
    </row>
    <row r="3655" spans="9:10" x14ac:dyDescent="0.3">
      <c r="I3655" t="s">
        <v>11790</v>
      </c>
      <c r="J3655" t="s">
        <v>1812</v>
      </c>
    </row>
    <row r="3656" spans="9:10" x14ac:dyDescent="0.3">
      <c r="I3656" t="s">
        <v>11790</v>
      </c>
      <c r="J3656" t="s">
        <v>1812</v>
      </c>
    </row>
    <row r="3657" spans="9:10" x14ac:dyDescent="0.3">
      <c r="I3657" t="s">
        <v>11790</v>
      </c>
      <c r="J3657" t="s">
        <v>1812</v>
      </c>
    </row>
    <row r="3658" spans="9:10" x14ac:dyDescent="0.3">
      <c r="I3658" t="s">
        <v>11791</v>
      </c>
      <c r="J3658" t="s">
        <v>1812</v>
      </c>
    </row>
    <row r="3659" spans="9:10" x14ac:dyDescent="0.3">
      <c r="I3659" t="s">
        <v>11790</v>
      </c>
      <c r="J3659" t="s">
        <v>1812</v>
      </c>
    </row>
    <row r="3660" spans="9:10" x14ac:dyDescent="0.3">
      <c r="I3660" t="s">
        <v>11790</v>
      </c>
      <c r="J3660" t="s">
        <v>1812</v>
      </c>
    </row>
    <row r="3661" spans="9:10" x14ac:dyDescent="0.3">
      <c r="I3661" t="s">
        <v>11791</v>
      </c>
      <c r="J3661" t="s">
        <v>1812</v>
      </c>
    </row>
    <row r="3662" spans="9:10" x14ac:dyDescent="0.3">
      <c r="I3662" t="s">
        <v>11792</v>
      </c>
      <c r="J3662" t="s">
        <v>1813</v>
      </c>
    </row>
    <row r="3663" spans="9:10" x14ac:dyDescent="0.3">
      <c r="I3663" t="s">
        <v>11792</v>
      </c>
      <c r="J3663" t="s">
        <v>1813</v>
      </c>
    </row>
    <row r="3664" spans="9:10" x14ac:dyDescent="0.3">
      <c r="I3664" t="s">
        <v>11792</v>
      </c>
      <c r="J3664" t="s">
        <v>1813</v>
      </c>
    </row>
    <row r="3665" spans="9:10" x14ac:dyDescent="0.3">
      <c r="I3665" t="s">
        <v>11792</v>
      </c>
      <c r="J3665" t="s">
        <v>1813</v>
      </c>
    </row>
    <row r="3666" spans="9:10" x14ac:dyDescent="0.3">
      <c r="I3666" t="s">
        <v>11793</v>
      </c>
      <c r="J3666" t="s">
        <v>1814</v>
      </c>
    </row>
    <row r="3667" spans="9:10" x14ac:dyDescent="0.3">
      <c r="I3667" t="s">
        <v>11794</v>
      </c>
      <c r="J3667" t="s">
        <v>1814</v>
      </c>
    </row>
    <row r="3668" spans="9:10" x14ac:dyDescent="0.3">
      <c r="I3668" t="s">
        <v>11795</v>
      </c>
      <c r="J3668" t="s">
        <v>1814</v>
      </c>
    </row>
    <row r="3669" spans="9:10" x14ac:dyDescent="0.3">
      <c r="I3669" t="s">
        <v>11796</v>
      </c>
      <c r="J3669" t="s">
        <v>1814</v>
      </c>
    </row>
    <row r="3670" spans="9:10" x14ac:dyDescent="0.3">
      <c r="I3670" t="s">
        <v>11797</v>
      </c>
      <c r="J3670" t="s">
        <v>1814</v>
      </c>
    </row>
    <row r="3671" spans="9:10" x14ac:dyDescent="0.3">
      <c r="I3671" t="s">
        <v>11798</v>
      </c>
      <c r="J3671" t="s">
        <v>1814</v>
      </c>
    </row>
    <row r="3672" spans="9:10" x14ac:dyDescent="0.3">
      <c r="I3672" t="s">
        <v>11799</v>
      </c>
      <c r="J3672" t="s">
        <v>1814</v>
      </c>
    </row>
    <row r="3673" spans="9:10" x14ac:dyDescent="0.3">
      <c r="I3673" t="s">
        <v>11794</v>
      </c>
      <c r="J3673" t="s">
        <v>1814</v>
      </c>
    </row>
    <row r="3674" spans="9:10" x14ac:dyDescent="0.3">
      <c r="I3674" t="s">
        <v>11794</v>
      </c>
      <c r="J3674" t="s">
        <v>1814</v>
      </c>
    </row>
    <row r="3675" spans="9:10" x14ac:dyDescent="0.3">
      <c r="I3675" t="s">
        <v>11794</v>
      </c>
      <c r="J3675" t="s">
        <v>1814</v>
      </c>
    </row>
    <row r="3676" spans="9:10" x14ac:dyDescent="0.3">
      <c r="I3676" t="s">
        <v>11800</v>
      </c>
      <c r="J3676" t="s">
        <v>1814</v>
      </c>
    </row>
    <row r="3677" spans="9:10" x14ac:dyDescent="0.3">
      <c r="I3677" t="s">
        <v>11800</v>
      </c>
      <c r="J3677" t="s">
        <v>1814</v>
      </c>
    </row>
    <row r="3678" spans="9:10" x14ac:dyDescent="0.3">
      <c r="I3678" t="s">
        <v>11794</v>
      </c>
      <c r="J3678" t="s">
        <v>1814</v>
      </c>
    </row>
    <row r="3679" spans="9:10" x14ac:dyDescent="0.3">
      <c r="I3679" t="s">
        <v>11800</v>
      </c>
      <c r="J3679" t="s">
        <v>1814</v>
      </c>
    </row>
    <row r="3680" spans="9:10" x14ac:dyDescent="0.3">
      <c r="I3680" t="s">
        <v>11794</v>
      </c>
      <c r="J3680" t="s">
        <v>1814</v>
      </c>
    </row>
    <row r="3681" spans="9:10" x14ac:dyDescent="0.3">
      <c r="I3681" t="s">
        <v>11794</v>
      </c>
      <c r="J3681" t="s">
        <v>1814</v>
      </c>
    </row>
    <row r="3682" spans="9:10" x14ac:dyDescent="0.3">
      <c r="I3682" t="s">
        <v>11794</v>
      </c>
      <c r="J3682" t="s">
        <v>1814</v>
      </c>
    </row>
    <row r="3683" spans="9:10" x14ac:dyDescent="0.3">
      <c r="I3683" t="s">
        <v>11794</v>
      </c>
      <c r="J3683" t="s">
        <v>1814</v>
      </c>
    </row>
    <row r="3684" spans="9:10" x14ac:dyDescent="0.3">
      <c r="I3684" t="s">
        <v>11801</v>
      </c>
      <c r="J3684" t="s">
        <v>1814</v>
      </c>
    </row>
    <row r="3685" spans="9:10" x14ac:dyDescent="0.3">
      <c r="I3685" t="s">
        <v>11794</v>
      </c>
      <c r="J3685" t="s">
        <v>1814</v>
      </c>
    </row>
    <row r="3686" spans="9:10" x14ac:dyDescent="0.3">
      <c r="I3686" t="s">
        <v>11802</v>
      </c>
      <c r="J3686" t="s">
        <v>1814</v>
      </c>
    </row>
    <row r="3687" spans="9:10" x14ac:dyDescent="0.3">
      <c r="I3687" t="s">
        <v>11803</v>
      </c>
      <c r="J3687" t="s">
        <v>1814</v>
      </c>
    </row>
    <row r="3688" spans="9:10" x14ac:dyDescent="0.3">
      <c r="I3688" t="s">
        <v>11793</v>
      </c>
      <c r="J3688" t="s">
        <v>1814</v>
      </c>
    </row>
    <row r="3689" spans="9:10" x14ac:dyDescent="0.3">
      <c r="I3689" t="s">
        <v>11804</v>
      </c>
      <c r="J3689" t="s">
        <v>1815</v>
      </c>
    </row>
    <row r="3690" spans="9:10" x14ac:dyDescent="0.3">
      <c r="I3690" t="s">
        <v>11805</v>
      </c>
    </row>
    <row r="3691" spans="9:10" x14ac:dyDescent="0.3">
      <c r="I3691" t="s">
        <v>11806</v>
      </c>
      <c r="J3691" t="s">
        <v>1816</v>
      </c>
    </row>
    <row r="3692" spans="9:10" x14ac:dyDescent="0.3">
      <c r="I3692" t="s">
        <v>11806</v>
      </c>
      <c r="J3692" t="s">
        <v>1816</v>
      </c>
    </row>
    <row r="3693" spans="9:10" x14ac:dyDescent="0.3">
      <c r="I3693" t="s">
        <v>11806</v>
      </c>
      <c r="J3693" t="s">
        <v>1816</v>
      </c>
    </row>
    <row r="3694" spans="9:10" x14ac:dyDescent="0.3">
      <c r="I3694" t="s">
        <v>11806</v>
      </c>
      <c r="J3694" t="s">
        <v>1816</v>
      </c>
    </row>
    <row r="3695" spans="9:10" x14ac:dyDescent="0.3">
      <c r="I3695" t="s">
        <v>11806</v>
      </c>
      <c r="J3695" t="s">
        <v>1816</v>
      </c>
    </row>
    <row r="3696" spans="9:10" x14ac:dyDescent="0.3">
      <c r="I3696" t="s">
        <v>11807</v>
      </c>
      <c r="J3696" t="s">
        <v>1816</v>
      </c>
    </row>
    <row r="3697" spans="9:10" x14ac:dyDescent="0.3">
      <c r="I3697" t="s">
        <v>11806</v>
      </c>
      <c r="J3697" t="s">
        <v>1816</v>
      </c>
    </row>
    <row r="3698" spans="9:10" x14ac:dyDescent="0.3">
      <c r="I3698" t="s">
        <v>11808</v>
      </c>
      <c r="J3698" t="s">
        <v>838</v>
      </c>
    </row>
    <row r="3699" spans="9:10" x14ac:dyDescent="0.3">
      <c r="I3699" t="s">
        <v>11809</v>
      </c>
      <c r="J3699" t="s">
        <v>838</v>
      </c>
    </row>
    <row r="3700" spans="9:10" x14ac:dyDescent="0.3">
      <c r="I3700" t="s">
        <v>11808</v>
      </c>
      <c r="J3700" t="s">
        <v>838</v>
      </c>
    </row>
    <row r="3701" spans="9:10" x14ac:dyDescent="0.3">
      <c r="I3701" t="s">
        <v>11810</v>
      </c>
      <c r="J3701" t="s">
        <v>334</v>
      </c>
    </row>
    <row r="3702" spans="9:10" x14ac:dyDescent="0.3">
      <c r="I3702" t="s">
        <v>11811</v>
      </c>
      <c r="J3702" t="s">
        <v>334</v>
      </c>
    </row>
    <row r="3703" spans="9:10" x14ac:dyDescent="0.3">
      <c r="I3703" t="s">
        <v>11812</v>
      </c>
      <c r="J3703" t="s">
        <v>334</v>
      </c>
    </row>
    <row r="3704" spans="9:10" x14ac:dyDescent="0.3">
      <c r="I3704" t="s">
        <v>11813</v>
      </c>
      <c r="J3704" t="s">
        <v>366</v>
      </c>
    </row>
    <row r="3705" spans="9:10" x14ac:dyDescent="0.3">
      <c r="I3705" t="s">
        <v>11814</v>
      </c>
      <c r="J3705" t="s">
        <v>366</v>
      </c>
    </row>
    <row r="3706" spans="9:10" x14ac:dyDescent="0.3">
      <c r="I3706" t="s">
        <v>11815</v>
      </c>
      <c r="J3706" t="s">
        <v>366</v>
      </c>
    </row>
    <row r="3707" spans="9:10" x14ac:dyDescent="0.3">
      <c r="I3707" t="s">
        <v>11816</v>
      </c>
      <c r="J3707" t="s">
        <v>366</v>
      </c>
    </row>
    <row r="3708" spans="9:10" x14ac:dyDescent="0.3">
      <c r="I3708" t="s">
        <v>11817</v>
      </c>
      <c r="J3708" t="s">
        <v>1817</v>
      </c>
    </row>
    <row r="3709" spans="9:10" x14ac:dyDescent="0.3">
      <c r="I3709" t="s">
        <v>11818</v>
      </c>
      <c r="J3709" t="s">
        <v>1818</v>
      </c>
    </row>
    <row r="3710" spans="9:10" x14ac:dyDescent="0.3">
      <c r="I3710" t="s">
        <v>11819</v>
      </c>
    </row>
    <row r="3711" spans="9:10" x14ac:dyDescent="0.3">
      <c r="I3711" t="s">
        <v>11820</v>
      </c>
    </row>
    <row r="3712" spans="9:10" x14ac:dyDescent="0.3">
      <c r="I3712" t="s">
        <v>11821</v>
      </c>
      <c r="J3712" t="s">
        <v>1819</v>
      </c>
    </row>
    <row r="3713" spans="9:10" x14ac:dyDescent="0.3">
      <c r="I3713" t="s">
        <v>11822</v>
      </c>
      <c r="J3713" t="s">
        <v>1820</v>
      </c>
    </row>
    <row r="3714" spans="9:10" x14ac:dyDescent="0.3">
      <c r="I3714" t="s">
        <v>11823</v>
      </c>
      <c r="J3714" t="s">
        <v>1820</v>
      </c>
    </row>
    <row r="3715" spans="9:10" x14ac:dyDescent="0.3">
      <c r="I3715" t="s">
        <v>11824</v>
      </c>
      <c r="J3715" t="s">
        <v>1820</v>
      </c>
    </row>
    <row r="3716" spans="9:10" x14ac:dyDescent="0.3">
      <c r="I3716" t="s">
        <v>11825</v>
      </c>
      <c r="J3716" t="s">
        <v>1820</v>
      </c>
    </row>
    <row r="3717" spans="9:10" x14ac:dyDescent="0.3">
      <c r="I3717" t="s">
        <v>11826</v>
      </c>
      <c r="J3717" t="s">
        <v>1820</v>
      </c>
    </row>
    <row r="3718" spans="9:10" x14ac:dyDescent="0.3">
      <c r="I3718" t="s">
        <v>11827</v>
      </c>
    </row>
    <row r="3719" spans="9:10" x14ac:dyDescent="0.3">
      <c r="I3719" t="s">
        <v>11828</v>
      </c>
    </row>
    <row r="3720" spans="9:10" x14ac:dyDescent="0.3">
      <c r="I3720" t="s">
        <v>11829</v>
      </c>
      <c r="J3720" t="s">
        <v>1821</v>
      </c>
    </row>
    <row r="3721" spans="9:10" x14ac:dyDescent="0.3">
      <c r="I3721" t="s">
        <v>11829</v>
      </c>
      <c r="J3721" t="s">
        <v>1821</v>
      </c>
    </row>
    <row r="3722" spans="9:10" x14ac:dyDescent="0.3">
      <c r="I3722" t="s">
        <v>11830</v>
      </c>
      <c r="J3722" t="s">
        <v>1822</v>
      </c>
    </row>
    <row r="3723" spans="9:10" x14ac:dyDescent="0.3">
      <c r="I3723" t="s">
        <v>11830</v>
      </c>
      <c r="J3723" t="s">
        <v>1822</v>
      </c>
    </row>
    <row r="3724" spans="9:10" x14ac:dyDescent="0.3">
      <c r="I3724" t="s">
        <v>11831</v>
      </c>
    </row>
    <row r="3725" spans="9:10" x14ac:dyDescent="0.3">
      <c r="I3725" t="s">
        <v>11832</v>
      </c>
    </row>
    <row r="3726" spans="9:10" x14ac:dyDescent="0.3">
      <c r="I3726" t="s">
        <v>11833</v>
      </c>
    </row>
    <row r="3727" spans="9:10" x14ac:dyDescent="0.3">
      <c r="I3727" t="s">
        <v>11834</v>
      </c>
      <c r="J3727" t="s">
        <v>1823</v>
      </c>
    </row>
    <row r="3728" spans="9:10" x14ac:dyDescent="0.3">
      <c r="I3728" t="s">
        <v>11834</v>
      </c>
      <c r="J3728" t="s">
        <v>1823</v>
      </c>
    </row>
    <row r="3729" spans="9:10" x14ac:dyDescent="0.3">
      <c r="I3729" t="s">
        <v>11834</v>
      </c>
      <c r="J3729" t="s">
        <v>1823</v>
      </c>
    </row>
    <row r="3730" spans="9:10" x14ac:dyDescent="0.3">
      <c r="I3730" t="s">
        <v>11835</v>
      </c>
      <c r="J3730" t="s">
        <v>1823</v>
      </c>
    </row>
    <row r="3731" spans="9:10" x14ac:dyDescent="0.3">
      <c r="I3731" t="s">
        <v>11834</v>
      </c>
      <c r="J3731" t="s">
        <v>1823</v>
      </c>
    </row>
    <row r="3732" spans="9:10" x14ac:dyDescent="0.3">
      <c r="I3732" t="s">
        <v>11834</v>
      </c>
      <c r="J3732" t="s">
        <v>1823</v>
      </c>
    </row>
    <row r="3733" spans="9:10" x14ac:dyDescent="0.3">
      <c r="I3733" t="s">
        <v>11834</v>
      </c>
      <c r="J3733" t="s">
        <v>1823</v>
      </c>
    </row>
    <row r="3734" spans="9:10" x14ac:dyDescent="0.3">
      <c r="I3734" t="s">
        <v>11834</v>
      </c>
      <c r="J3734" t="s">
        <v>1823</v>
      </c>
    </row>
    <row r="3735" spans="9:10" x14ac:dyDescent="0.3">
      <c r="I3735" t="s">
        <v>11836</v>
      </c>
      <c r="J3735" t="s">
        <v>1824</v>
      </c>
    </row>
    <row r="3736" spans="9:10" x14ac:dyDescent="0.3">
      <c r="I3736" t="s">
        <v>11836</v>
      </c>
      <c r="J3736" t="s">
        <v>1824</v>
      </c>
    </row>
    <row r="3737" spans="9:10" x14ac:dyDescent="0.3">
      <c r="I3737" t="s">
        <v>11837</v>
      </c>
    </row>
    <row r="3738" spans="9:10" x14ac:dyDescent="0.3">
      <c r="I3738" t="s">
        <v>11838</v>
      </c>
      <c r="J3738" t="s">
        <v>1825</v>
      </c>
    </row>
    <row r="3739" spans="9:10" x14ac:dyDescent="0.3">
      <c r="I3739" t="s">
        <v>11838</v>
      </c>
      <c r="J3739" t="s">
        <v>1825</v>
      </c>
    </row>
    <row r="3740" spans="9:10" x14ac:dyDescent="0.3">
      <c r="I3740" t="s">
        <v>11838</v>
      </c>
      <c r="J3740" t="s">
        <v>1825</v>
      </c>
    </row>
    <row r="3741" spans="9:10" x14ac:dyDescent="0.3">
      <c r="I3741" t="s">
        <v>11839</v>
      </c>
      <c r="J3741" t="s">
        <v>1826</v>
      </c>
    </row>
    <row r="3742" spans="9:10" x14ac:dyDescent="0.3">
      <c r="I3742" t="s">
        <v>11840</v>
      </c>
      <c r="J3742" t="s">
        <v>1826</v>
      </c>
    </row>
    <row r="3743" spans="9:10" x14ac:dyDescent="0.3">
      <c r="I3743" t="s">
        <v>11840</v>
      </c>
      <c r="J3743" t="s">
        <v>1826</v>
      </c>
    </row>
    <row r="3744" spans="9:10" x14ac:dyDescent="0.3">
      <c r="I3744" t="s">
        <v>11840</v>
      </c>
      <c r="J3744" t="s">
        <v>1826</v>
      </c>
    </row>
    <row r="3745" spans="9:10" x14ac:dyDescent="0.3">
      <c r="I3745" t="s">
        <v>11840</v>
      </c>
      <c r="J3745" t="s">
        <v>1826</v>
      </c>
    </row>
    <row r="3746" spans="9:10" x14ac:dyDescent="0.3">
      <c r="I3746" t="s">
        <v>11841</v>
      </c>
      <c r="J3746" t="s">
        <v>1826</v>
      </c>
    </row>
    <row r="3747" spans="9:10" x14ac:dyDescent="0.3">
      <c r="I3747" t="s">
        <v>11840</v>
      </c>
      <c r="J3747" t="s">
        <v>1826</v>
      </c>
    </row>
    <row r="3748" spans="9:10" x14ac:dyDescent="0.3">
      <c r="I3748" t="s">
        <v>11840</v>
      </c>
      <c r="J3748" t="s">
        <v>1826</v>
      </c>
    </row>
    <row r="3749" spans="9:10" x14ac:dyDescent="0.3">
      <c r="I3749" t="s">
        <v>11840</v>
      </c>
      <c r="J3749" t="s">
        <v>1826</v>
      </c>
    </row>
    <row r="3750" spans="9:10" x14ac:dyDescent="0.3">
      <c r="I3750" t="s">
        <v>11842</v>
      </c>
      <c r="J3750" t="s">
        <v>1827</v>
      </c>
    </row>
    <row r="3751" spans="9:10" x14ac:dyDescent="0.3">
      <c r="I3751" t="s">
        <v>11843</v>
      </c>
    </row>
    <row r="3752" spans="9:10" x14ac:dyDescent="0.3">
      <c r="I3752" t="s">
        <v>11844</v>
      </c>
    </row>
    <row r="3753" spans="9:10" x14ac:dyDescent="0.3">
      <c r="I3753" t="s">
        <v>11845</v>
      </c>
    </row>
    <row r="3754" spans="9:10" x14ac:dyDescent="0.3">
      <c r="I3754" t="s">
        <v>11846</v>
      </c>
      <c r="J3754" t="s">
        <v>1828</v>
      </c>
    </row>
    <row r="3755" spans="9:10" x14ac:dyDescent="0.3">
      <c r="I3755" t="s">
        <v>11847</v>
      </c>
      <c r="J3755" t="s">
        <v>1829</v>
      </c>
    </row>
    <row r="3756" spans="9:10" x14ac:dyDescent="0.3">
      <c r="I3756" t="s">
        <v>11847</v>
      </c>
      <c r="J3756" t="s">
        <v>1829</v>
      </c>
    </row>
    <row r="3757" spans="9:10" x14ac:dyDescent="0.3">
      <c r="I3757" t="s">
        <v>11847</v>
      </c>
      <c r="J3757" t="s">
        <v>1829</v>
      </c>
    </row>
    <row r="3758" spans="9:10" x14ac:dyDescent="0.3">
      <c r="I3758" t="s">
        <v>11847</v>
      </c>
      <c r="J3758" t="s">
        <v>1829</v>
      </c>
    </row>
    <row r="3759" spans="9:10" x14ac:dyDescent="0.3">
      <c r="I3759" t="s">
        <v>11848</v>
      </c>
      <c r="J3759" t="s">
        <v>1830</v>
      </c>
    </row>
    <row r="3760" spans="9:10" x14ac:dyDescent="0.3">
      <c r="I3760" t="s">
        <v>11849</v>
      </c>
      <c r="J3760" t="s">
        <v>1830</v>
      </c>
    </row>
    <row r="3761" spans="9:10" x14ac:dyDescent="0.3">
      <c r="I3761" t="s">
        <v>11850</v>
      </c>
      <c r="J3761" t="s">
        <v>1831</v>
      </c>
    </row>
    <row r="3762" spans="9:10" x14ac:dyDescent="0.3">
      <c r="I3762" t="s">
        <v>11851</v>
      </c>
      <c r="J3762" t="s">
        <v>1832</v>
      </c>
    </row>
    <row r="3763" spans="9:10" x14ac:dyDescent="0.3">
      <c r="I3763" t="s">
        <v>11852</v>
      </c>
      <c r="J3763" t="s">
        <v>1832</v>
      </c>
    </row>
    <row r="3764" spans="9:10" x14ac:dyDescent="0.3">
      <c r="I3764" t="s">
        <v>11853</v>
      </c>
      <c r="J3764" t="s">
        <v>1832</v>
      </c>
    </row>
    <row r="3765" spans="9:10" x14ac:dyDescent="0.3">
      <c r="I3765" t="s">
        <v>11854</v>
      </c>
      <c r="J3765" t="s">
        <v>1832</v>
      </c>
    </row>
    <row r="3766" spans="9:10" x14ac:dyDescent="0.3">
      <c r="I3766" t="s">
        <v>11853</v>
      </c>
      <c r="J3766" t="s">
        <v>1832</v>
      </c>
    </row>
    <row r="3767" spans="9:10" x14ac:dyDescent="0.3">
      <c r="I3767" t="s">
        <v>11853</v>
      </c>
      <c r="J3767" t="s">
        <v>1832</v>
      </c>
    </row>
    <row r="3768" spans="9:10" x14ac:dyDescent="0.3">
      <c r="I3768" t="s">
        <v>11853</v>
      </c>
      <c r="J3768" t="s">
        <v>1832</v>
      </c>
    </row>
    <row r="3769" spans="9:10" x14ac:dyDescent="0.3">
      <c r="I3769" t="s">
        <v>11851</v>
      </c>
      <c r="J3769" t="s">
        <v>1832</v>
      </c>
    </row>
    <row r="3770" spans="9:10" x14ac:dyDescent="0.3">
      <c r="I3770" t="s">
        <v>11852</v>
      </c>
      <c r="J3770" t="s">
        <v>1832</v>
      </c>
    </row>
    <row r="3771" spans="9:10" x14ac:dyDescent="0.3">
      <c r="I3771" t="s">
        <v>11852</v>
      </c>
      <c r="J3771" t="s">
        <v>1832</v>
      </c>
    </row>
    <row r="3772" spans="9:10" x14ac:dyDescent="0.3">
      <c r="I3772" t="s">
        <v>11851</v>
      </c>
      <c r="J3772" t="s">
        <v>1832</v>
      </c>
    </row>
    <row r="3773" spans="9:10" x14ac:dyDescent="0.3">
      <c r="I3773" t="s">
        <v>11855</v>
      </c>
      <c r="J3773" t="s">
        <v>1832</v>
      </c>
    </row>
    <row r="3774" spans="9:10" x14ac:dyDescent="0.3">
      <c r="I3774" t="s">
        <v>11851</v>
      </c>
      <c r="J3774" t="s">
        <v>1832</v>
      </c>
    </row>
    <row r="3775" spans="9:10" x14ac:dyDescent="0.3">
      <c r="I3775" t="s">
        <v>11856</v>
      </c>
    </row>
    <row r="3776" spans="9:10" x14ac:dyDescent="0.3">
      <c r="I3776" t="s">
        <v>11857</v>
      </c>
    </row>
    <row r="3777" spans="9:10" x14ac:dyDescent="0.3">
      <c r="I3777" t="s">
        <v>11857</v>
      </c>
    </row>
    <row r="3778" spans="9:10" x14ac:dyDescent="0.3">
      <c r="I3778" t="s">
        <v>11858</v>
      </c>
    </row>
    <row r="3779" spans="9:10" x14ac:dyDescent="0.3">
      <c r="I3779" t="s">
        <v>11859</v>
      </c>
    </row>
    <row r="3780" spans="9:10" x14ac:dyDescent="0.3">
      <c r="I3780" t="s">
        <v>11860</v>
      </c>
      <c r="J3780" t="s">
        <v>205</v>
      </c>
    </row>
    <row r="3781" spans="9:10" x14ac:dyDescent="0.3">
      <c r="I3781" t="s">
        <v>11861</v>
      </c>
      <c r="J3781" t="s">
        <v>205</v>
      </c>
    </row>
    <row r="3782" spans="9:10" x14ac:dyDescent="0.3">
      <c r="I3782" t="s">
        <v>11862</v>
      </c>
    </row>
    <row r="3783" spans="9:10" x14ac:dyDescent="0.3">
      <c r="I3783" t="s">
        <v>11863</v>
      </c>
    </row>
    <row r="3784" spans="9:10" x14ac:dyDescent="0.3">
      <c r="I3784" t="s">
        <v>11864</v>
      </c>
    </row>
    <row r="3785" spans="9:10" x14ac:dyDescent="0.3">
      <c r="I3785" t="s">
        <v>11865</v>
      </c>
    </row>
    <row r="3786" spans="9:10" x14ac:dyDescent="0.3">
      <c r="I3786" t="s">
        <v>11866</v>
      </c>
      <c r="J3786" t="s">
        <v>1833</v>
      </c>
    </row>
    <row r="3787" spans="9:10" x14ac:dyDescent="0.3">
      <c r="I3787" t="s">
        <v>11867</v>
      </c>
      <c r="J3787" t="s">
        <v>1833</v>
      </c>
    </row>
    <row r="3788" spans="9:10" x14ac:dyDescent="0.3">
      <c r="I3788" t="s">
        <v>11868</v>
      </c>
      <c r="J3788" t="s">
        <v>1833</v>
      </c>
    </row>
    <row r="3789" spans="9:10" x14ac:dyDescent="0.3">
      <c r="I3789" t="s">
        <v>11869</v>
      </c>
      <c r="J3789" t="s">
        <v>1833</v>
      </c>
    </row>
    <row r="3790" spans="9:10" x14ac:dyDescent="0.3">
      <c r="I3790" t="s">
        <v>11868</v>
      </c>
      <c r="J3790" t="s">
        <v>1833</v>
      </c>
    </row>
    <row r="3791" spans="9:10" x14ac:dyDescent="0.3">
      <c r="I3791" t="s">
        <v>11870</v>
      </c>
    </row>
    <row r="3792" spans="9:10" x14ac:dyDescent="0.3">
      <c r="I3792" t="s">
        <v>11871</v>
      </c>
    </row>
    <row r="3793" spans="9:10" x14ac:dyDescent="0.3">
      <c r="I3793" t="s">
        <v>11872</v>
      </c>
    </row>
    <row r="3794" spans="9:10" x14ac:dyDescent="0.3">
      <c r="I3794" t="s">
        <v>11873</v>
      </c>
      <c r="J3794" t="s">
        <v>325</v>
      </c>
    </row>
    <row r="3795" spans="9:10" x14ac:dyDescent="0.3">
      <c r="I3795" t="s">
        <v>11874</v>
      </c>
      <c r="J3795" t="s">
        <v>325</v>
      </c>
    </row>
    <row r="3796" spans="9:10" x14ac:dyDescent="0.3">
      <c r="I3796" t="s">
        <v>11873</v>
      </c>
      <c r="J3796" t="s">
        <v>325</v>
      </c>
    </row>
    <row r="3797" spans="9:10" x14ac:dyDescent="0.3">
      <c r="I3797" t="s">
        <v>11875</v>
      </c>
      <c r="J3797" t="s">
        <v>325</v>
      </c>
    </row>
    <row r="3798" spans="9:10" x14ac:dyDescent="0.3">
      <c r="I3798" t="s">
        <v>11876</v>
      </c>
      <c r="J3798" t="s">
        <v>287</v>
      </c>
    </row>
    <row r="3799" spans="9:10" x14ac:dyDescent="0.3">
      <c r="I3799" t="s">
        <v>11877</v>
      </c>
      <c r="J3799" t="s">
        <v>287</v>
      </c>
    </row>
    <row r="3800" spans="9:10" x14ac:dyDescent="0.3">
      <c r="I3800" t="s">
        <v>11878</v>
      </c>
      <c r="J3800" t="s">
        <v>1834</v>
      </c>
    </row>
    <row r="3801" spans="9:10" x14ac:dyDescent="0.3">
      <c r="I3801" t="s">
        <v>11879</v>
      </c>
    </row>
    <row r="3802" spans="9:10" x14ac:dyDescent="0.3">
      <c r="I3802" t="s">
        <v>11880</v>
      </c>
    </row>
    <row r="3803" spans="9:10" x14ac:dyDescent="0.3">
      <c r="I3803" t="s">
        <v>11881</v>
      </c>
      <c r="J3803" t="s">
        <v>1835</v>
      </c>
    </row>
    <row r="3804" spans="9:10" x14ac:dyDescent="0.3">
      <c r="I3804" t="s">
        <v>11882</v>
      </c>
      <c r="J3804" t="s">
        <v>1836</v>
      </c>
    </row>
    <row r="3805" spans="9:10" x14ac:dyDescent="0.3">
      <c r="I3805" t="s">
        <v>11883</v>
      </c>
      <c r="J3805" t="s">
        <v>410</v>
      </c>
    </row>
    <row r="3806" spans="9:10" x14ac:dyDescent="0.3">
      <c r="I3806" t="s">
        <v>11884</v>
      </c>
      <c r="J3806" t="s">
        <v>410</v>
      </c>
    </row>
    <row r="3807" spans="9:10" x14ac:dyDescent="0.3">
      <c r="I3807" t="s">
        <v>11885</v>
      </c>
      <c r="J3807" t="s">
        <v>410</v>
      </c>
    </row>
    <row r="3808" spans="9:10" x14ac:dyDescent="0.3">
      <c r="I3808" t="s">
        <v>11886</v>
      </c>
      <c r="J3808" t="s">
        <v>410</v>
      </c>
    </row>
    <row r="3809" spans="9:10" x14ac:dyDescent="0.3">
      <c r="I3809" t="s">
        <v>11887</v>
      </c>
      <c r="J3809" t="s">
        <v>191</v>
      </c>
    </row>
    <row r="3810" spans="9:10" x14ac:dyDescent="0.3">
      <c r="I3810" t="s">
        <v>11887</v>
      </c>
      <c r="J3810" t="s">
        <v>191</v>
      </c>
    </row>
    <row r="3811" spans="9:10" x14ac:dyDescent="0.3">
      <c r="I3811" t="s">
        <v>11888</v>
      </c>
    </row>
    <row r="3812" spans="9:10" x14ac:dyDescent="0.3">
      <c r="I3812" t="s">
        <v>11889</v>
      </c>
      <c r="J3812" t="s">
        <v>1837</v>
      </c>
    </row>
    <row r="3813" spans="9:10" x14ac:dyDescent="0.3">
      <c r="I3813" t="s">
        <v>11890</v>
      </c>
    </row>
    <row r="3814" spans="9:10" x14ac:dyDescent="0.3">
      <c r="I3814" t="s">
        <v>11891</v>
      </c>
      <c r="J3814" t="s">
        <v>1838</v>
      </c>
    </row>
    <row r="3815" spans="9:10" x14ac:dyDescent="0.3">
      <c r="I3815" t="s">
        <v>11891</v>
      </c>
      <c r="J3815" t="s">
        <v>1838</v>
      </c>
    </row>
    <row r="3816" spans="9:10" x14ac:dyDescent="0.3">
      <c r="I3816" t="s">
        <v>11892</v>
      </c>
    </row>
    <row r="3817" spans="9:10" x14ac:dyDescent="0.3">
      <c r="I3817" t="s">
        <v>11893</v>
      </c>
    </row>
    <row r="3818" spans="9:10" x14ac:dyDescent="0.3">
      <c r="I3818" t="s">
        <v>11894</v>
      </c>
      <c r="J3818" t="s">
        <v>1839</v>
      </c>
    </row>
    <row r="3819" spans="9:10" x14ac:dyDescent="0.3">
      <c r="I3819" t="s">
        <v>11895</v>
      </c>
      <c r="J3819" t="s">
        <v>1839</v>
      </c>
    </row>
    <row r="3820" spans="9:10" x14ac:dyDescent="0.3">
      <c r="I3820" t="s">
        <v>11896</v>
      </c>
      <c r="J3820" t="s">
        <v>1839</v>
      </c>
    </row>
    <row r="3821" spans="9:10" x14ac:dyDescent="0.3">
      <c r="I3821" t="s">
        <v>11897</v>
      </c>
      <c r="J3821" t="s">
        <v>1839</v>
      </c>
    </row>
    <row r="3822" spans="9:10" x14ac:dyDescent="0.3">
      <c r="I3822" t="s">
        <v>11898</v>
      </c>
      <c r="J3822" t="s">
        <v>1839</v>
      </c>
    </row>
    <row r="3823" spans="9:10" x14ac:dyDescent="0.3">
      <c r="I3823" t="s">
        <v>11899</v>
      </c>
      <c r="J3823" t="s">
        <v>1840</v>
      </c>
    </row>
    <row r="3824" spans="9:10" x14ac:dyDescent="0.3">
      <c r="I3824" t="s">
        <v>11899</v>
      </c>
      <c r="J3824" t="s">
        <v>1840</v>
      </c>
    </row>
    <row r="3825" spans="9:10" x14ac:dyDescent="0.3">
      <c r="I3825" t="s">
        <v>11899</v>
      </c>
      <c r="J3825" t="s">
        <v>1840</v>
      </c>
    </row>
    <row r="3826" spans="9:10" x14ac:dyDescent="0.3">
      <c r="I3826" t="s">
        <v>11900</v>
      </c>
      <c r="J3826" t="s">
        <v>1840</v>
      </c>
    </row>
    <row r="3827" spans="9:10" x14ac:dyDescent="0.3">
      <c r="I3827" t="s">
        <v>11899</v>
      </c>
      <c r="J3827" t="s">
        <v>1840</v>
      </c>
    </row>
    <row r="3828" spans="9:10" x14ac:dyDescent="0.3">
      <c r="I3828" t="s">
        <v>11900</v>
      </c>
      <c r="J3828" t="s">
        <v>1840</v>
      </c>
    </row>
    <row r="3829" spans="9:10" x14ac:dyDescent="0.3">
      <c r="I3829" t="s">
        <v>11901</v>
      </c>
    </row>
    <row r="3830" spans="9:10" x14ac:dyDescent="0.3">
      <c r="I3830" t="s">
        <v>11902</v>
      </c>
    </row>
    <row r="3831" spans="9:10" x14ac:dyDescent="0.3">
      <c r="I3831" t="s">
        <v>11903</v>
      </c>
    </row>
    <row r="3832" spans="9:10" x14ac:dyDescent="0.3">
      <c r="I3832" t="s">
        <v>11904</v>
      </c>
      <c r="J3832" t="s">
        <v>1841</v>
      </c>
    </row>
    <row r="3833" spans="9:10" x14ac:dyDescent="0.3">
      <c r="I3833" t="s">
        <v>11905</v>
      </c>
      <c r="J3833" t="s">
        <v>1841</v>
      </c>
    </row>
    <row r="3834" spans="9:10" x14ac:dyDescent="0.3">
      <c r="I3834" t="s">
        <v>11905</v>
      </c>
      <c r="J3834" t="s">
        <v>1841</v>
      </c>
    </row>
    <row r="3835" spans="9:10" x14ac:dyDescent="0.3">
      <c r="I3835" t="s">
        <v>11905</v>
      </c>
      <c r="J3835" t="s">
        <v>1841</v>
      </c>
    </row>
    <row r="3836" spans="9:10" x14ac:dyDescent="0.3">
      <c r="I3836" t="s">
        <v>11905</v>
      </c>
      <c r="J3836" t="s">
        <v>1841</v>
      </c>
    </row>
    <row r="3837" spans="9:10" x14ac:dyDescent="0.3">
      <c r="I3837" t="s">
        <v>11905</v>
      </c>
      <c r="J3837" t="s">
        <v>1841</v>
      </c>
    </row>
    <row r="3838" spans="9:10" x14ac:dyDescent="0.3">
      <c r="I3838" t="s">
        <v>11905</v>
      </c>
      <c r="J3838" t="s">
        <v>1841</v>
      </c>
    </row>
    <row r="3839" spans="9:10" x14ac:dyDescent="0.3">
      <c r="I3839" t="s">
        <v>11905</v>
      </c>
      <c r="J3839" t="s">
        <v>1841</v>
      </c>
    </row>
    <row r="3840" spans="9:10" x14ac:dyDescent="0.3">
      <c r="I3840" t="s">
        <v>11905</v>
      </c>
      <c r="J3840" t="s">
        <v>1841</v>
      </c>
    </row>
    <row r="3841" spans="9:10" x14ac:dyDescent="0.3">
      <c r="I3841" t="s">
        <v>11905</v>
      </c>
      <c r="J3841" t="s">
        <v>1841</v>
      </c>
    </row>
    <row r="3842" spans="9:10" x14ac:dyDescent="0.3">
      <c r="I3842" t="s">
        <v>11904</v>
      </c>
      <c r="J3842" t="s">
        <v>1841</v>
      </c>
    </row>
    <row r="3843" spans="9:10" x14ac:dyDescent="0.3">
      <c r="I3843" t="s">
        <v>11906</v>
      </c>
      <c r="J3843" t="s">
        <v>1841</v>
      </c>
    </row>
    <row r="3844" spans="9:10" x14ac:dyDescent="0.3">
      <c r="I3844" t="s">
        <v>11905</v>
      </c>
      <c r="J3844" t="s">
        <v>1841</v>
      </c>
    </row>
    <row r="3845" spans="9:10" x14ac:dyDescent="0.3">
      <c r="I3845" t="s">
        <v>11905</v>
      </c>
      <c r="J3845" t="s">
        <v>1841</v>
      </c>
    </row>
    <row r="3846" spans="9:10" x14ac:dyDescent="0.3">
      <c r="I3846" t="s">
        <v>11907</v>
      </c>
    </row>
    <row r="3847" spans="9:10" x14ac:dyDescent="0.3">
      <c r="I3847" t="s">
        <v>11908</v>
      </c>
    </row>
    <row r="3848" spans="9:10" x14ac:dyDescent="0.3">
      <c r="I3848" t="s">
        <v>11909</v>
      </c>
      <c r="J3848" t="s">
        <v>712</v>
      </c>
    </row>
    <row r="3849" spans="9:10" x14ac:dyDescent="0.3">
      <c r="I3849" t="s">
        <v>11910</v>
      </c>
      <c r="J3849" t="s">
        <v>712</v>
      </c>
    </row>
    <row r="3850" spans="9:10" x14ac:dyDescent="0.3">
      <c r="I3850" t="s">
        <v>11911</v>
      </c>
      <c r="J3850" t="s">
        <v>1842</v>
      </c>
    </row>
    <row r="3851" spans="9:10" x14ac:dyDescent="0.3">
      <c r="I3851" t="s">
        <v>11912</v>
      </c>
      <c r="J3851" t="s">
        <v>1842</v>
      </c>
    </row>
    <row r="3852" spans="9:10" x14ac:dyDescent="0.3">
      <c r="I3852" t="s">
        <v>11913</v>
      </c>
    </row>
    <row r="3853" spans="9:10" x14ac:dyDescent="0.3">
      <c r="I3853" t="s">
        <v>11914</v>
      </c>
      <c r="J3853" t="s">
        <v>1843</v>
      </c>
    </row>
    <row r="3854" spans="9:10" x14ac:dyDescent="0.3">
      <c r="I3854" t="s">
        <v>11915</v>
      </c>
      <c r="J3854" t="s">
        <v>1844</v>
      </c>
    </row>
    <row r="3855" spans="9:10" x14ac:dyDescent="0.3">
      <c r="I3855" t="s">
        <v>11916</v>
      </c>
      <c r="J3855" t="s">
        <v>1844</v>
      </c>
    </row>
    <row r="3856" spans="9:10" x14ac:dyDescent="0.3">
      <c r="I3856" t="s">
        <v>11917</v>
      </c>
      <c r="J3856" t="s">
        <v>1844</v>
      </c>
    </row>
    <row r="3857" spans="9:10" x14ac:dyDescent="0.3">
      <c r="I3857" t="s">
        <v>11918</v>
      </c>
      <c r="J3857" t="s">
        <v>1844</v>
      </c>
    </row>
    <row r="3858" spans="9:10" x14ac:dyDescent="0.3">
      <c r="I3858" t="s">
        <v>11919</v>
      </c>
      <c r="J3858" t="s">
        <v>1844</v>
      </c>
    </row>
    <row r="3859" spans="9:10" x14ac:dyDescent="0.3">
      <c r="I3859" t="s">
        <v>11915</v>
      </c>
      <c r="J3859" t="s">
        <v>1844</v>
      </c>
    </row>
    <row r="3860" spans="9:10" x14ac:dyDescent="0.3">
      <c r="I3860" t="s">
        <v>11920</v>
      </c>
      <c r="J3860" t="s">
        <v>1844</v>
      </c>
    </row>
    <row r="3861" spans="9:10" x14ac:dyDescent="0.3">
      <c r="I3861" t="s">
        <v>11921</v>
      </c>
      <c r="J3861" t="s">
        <v>1844</v>
      </c>
    </row>
    <row r="3862" spans="9:10" x14ac:dyDescent="0.3">
      <c r="I3862" t="s">
        <v>11922</v>
      </c>
      <c r="J3862" t="s">
        <v>1844</v>
      </c>
    </row>
    <row r="3863" spans="9:10" x14ac:dyDescent="0.3">
      <c r="I3863" t="s">
        <v>11923</v>
      </c>
      <c r="J3863" t="s">
        <v>1844</v>
      </c>
    </row>
    <row r="3864" spans="9:10" x14ac:dyDescent="0.3">
      <c r="I3864" t="s">
        <v>11924</v>
      </c>
      <c r="J3864" t="s">
        <v>1844</v>
      </c>
    </row>
    <row r="3865" spans="9:10" x14ac:dyDescent="0.3">
      <c r="I3865" t="s">
        <v>11925</v>
      </c>
      <c r="J3865" t="s">
        <v>1844</v>
      </c>
    </row>
    <row r="3866" spans="9:10" x14ac:dyDescent="0.3">
      <c r="I3866" t="s">
        <v>11926</v>
      </c>
      <c r="J3866" t="s">
        <v>1844</v>
      </c>
    </row>
    <row r="3867" spans="9:10" x14ac:dyDescent="0.3">
      <c r="I3867" t="s">
        <v>11915</v>
      </c>
      <c r="J3867" t="s">
        <v>1844</v>
      </c>
    </row>
    <row r="3868" spans="9:10" x14ac:dyDescent="0.3">
      <c r="I3868" t="s">
        <v>11927</v>
      </c>
      <c r="J3868" t="s">
        <v>1844</v>
      </c>
    </row>
    <row r="3869" spans="9:10" x14ac:dyDescent="0.3">
      <c r="I3869" t="s">
        <v>11928</v>
      </c>
      <c r="J3869" t="s">
        <v>1844</v>
      </c>
    </row>
    <row r="3870" spans="9:10" x14ac:dyDescent="0.3">
      <c r="I3870" t="s">
        <v>11929</v>
      </c>
      <c r="J3870" t="s">
        <v>1844</v>
      </c>
    </row>
    <row r="3871" spans="9:10" x14ac:dyDescent="0.3">
      <c r="I3871" t="s">
        <v>11930</v>
      </c>
      <c r="J3871" t="s">
        <v>1844</v>
      </c>
    </row>
    <row r="3872" spans="9:10" x14ac:dyDescent="0.3">
      <c r="I3872" t="s">
        <v>11931</v>
      </c>
      <c r="J3872" t="s">
        <v>1844</v>
      </c>
    </row>
    <row r="3873" spans="9:10" x14ac:dyDescent="0.3">
      <c r="I3873" t="s">
        <v>11932</v>
      </c>
      <c r="J3873" t="s">
        <v>1844</v>
      </c>
    </row>
    <row r="3874" spans="9:10" x14ac:dyDescent="0.3">
      <c r="I3874" t="s">
        <v>11933</v>
      </c>
      <c r="J3874" t="s">
        <v>1844</v>
      </c>
    </row>
    <row r="3875" spans="9:10" x14ac:dyDescent="0.3">
      <c r="I3875" t="s">
        <v>11934</v>
      </c>
      <c r="J3875" t="s">
        <v>1844</v>
      </c>
    </row>
    <row r="3876" spans="9:10" x14ac:dyDescent="0.3">
      <c r="I3876" t="s">
        <v>11935</v>
      </c>
      <c r="J3876" t="s">
        <v>1844</v>
      </c>
    </row>
    <row r="3877" spans="9:10" x14ac:dyDescent="0.3">
      <c r="I3877" t="s">
        <v>11915</v>
      </c>
      <c r="J3877" t="s">
        <v>1844</v>
      </c>
    </row>
    <row r="3878" spans="9:10" x14ac:dyDescent="0.3">
      <c r="I3878" t="s">
        <v>11936</v>
      </c>
      <c r="J3878" t="s">
        <v>1844</v>
      </c>
    </row>
    <row r="3879" spans="9:10" x14ac:dyDescent="0.3">
      <c r="I3879" t="s">
        <v>11937</v>
      </c>
      <c r="J3879" t="s">
        <v>1844</v>
      </c>
    </row>
    <row r="3880" spans="9:10" x14ac:dyDescent="0.3">
      <c r="I3880" t="s">
        <v>11938</v>
      </c>
      <c r="J3880" t="s">
        <v>1844</v>
      </c>
    </row>
    <row r="3881" spans="9:10" x14ac:dyDescent="0.3">
      <c r="I3881" t="s">
        <v>11915</v>
      </c>
      <c r="J3881" t="s">
        <v>1844</v>
      </c>
    </row>
    <row r="3882" spans="9:10" x14ac:dyDescent="0.3">
      <c r="I3882" t="s">
        <v>11939</v>
      </c>
      <c r="J3882" t="s">
        <v>1844</v>
      </c>
    </row>
    <row r="3883" spans="9:10" x14ac:dyDescent="0.3">
      <c r="I3883" t="s">
        <v>11940</v>
      </c>
      <c r="J3883" t="s">
        <v>1845</v>
      </c>
    </row>
    <row r="3884" spans="9:10" x14ac:dyDescent="0.3">
      <c r="I3884" t="s">
        <v>11941</v>
      </c>
      <c r="J3884" t="s">
        <v>1845</v>
      </c>
    </row>
    <row r="3885" spans="9:10" x14ac:dyDescent="0.3">
      <c r="I3885" t="s">
        <v>11942</v>
      </c>
      <c r="J3885" t="s">
        <v>1845</v>
      </c>
    </row>
    <row r="3886" spans="9:10" x14ac:dyDescent="0.3">
      <c r="I3886" t="s">
        <v>11943</v>
      </c>
      <c r="J3886" t="s">
        <v>1845</v>
      </c>
    </row>
    <row r="3887" spans="9:10" x14ac:dyDescent="0.3">
      <c r="I3887" t="s">
        <v>11944</v>
      </c>
      <c r="J3887" t="s">
        <v>1845</v>
      </c>
    </row>
    <row r="3888" spans="9:10" x14ac:dyDescent="0.3">
      <c r="I3888" t="s">
        <v>11945</v>
      </c>
      <c r="J3888" t="s">
        <v>1846</v>
      </c>
    </row>
    <row r="3889" spans="9:10" x14ac:dyDescent="0.3">
      <c r="I3889" t="s">
        <v>11946</v>
      </c>
      <c r="J3889" t="s">
        <v>1846</v>
      </c>
    </row>
    <row r="3890" spans="9:10" x14ac:dyDescent="0.3">
      <c r="I3890" t="s">
        <v>11947</v>
      </c>
      <c r="J3890" t="s">
        <v>1847</v>
      </c>
    </row>
    <row r="3891" spans="9:10" x14ac:dyDescent="0.3">
      <c r="I3891" t="s">
        <v>11948</v>
      </c>
      <c r="J3891" t="s">
        <v>1847</v>
      </c>
    </row>
    <row r="3892" spans="9:10" x14ac:dyDescent="0.3">
      <c r="I3892" t="s">
        <v>11949</v>
      </c>
    </row>
    <row r="3893" spans="9:10" x14ac:dyDescent="0.3">
      <c r="I3893" t="s">
        <v>11950</v>
      </c>
      <c r="J3893" t="s">
        <v>1848</v>
      </c>
    </row>
    <row r="3894" spans="9:10" x14ac:dyDescent="0.3">
      <c r="I3894" t="s">
        <v>11951</v>
      </c>
      <c r="J3894" t="s">
        <v>1849</v>
      </c>
    </row>
    <row r="3895" spans="9:10" x14ac:dyDescent="0.3">
      <c r="I3895" t="s">
        <v>11951</v>
      </c>
      <c r="J3895" t="s">
        <v>1849</v>
      </c>
    </row>
    <row r="3896" spans="9:10" x14ac:dyDescent="0.3">
      <c r="I3896" t="s">
        <v>11952</v>
      </c>
      <c r="J3896" t="s">
        <v>135</v>
      </c>
    </row>
    <row r="3897" spans="9:10" x14ac:dyDescent="0.3">
      <c r="I3897" t="s">
        <v>11953</v>
      </c>
      <c r="J3897" t="s">
        <v>1850</v>
      </c>
    </row>
    <row r="3898" spans="9:10" x14ac:dyDescent="0.3">
      <c r="I3898" t="s">
        <v>11954</v>
      </c>
      <c r="J3898" t="s">
        <v>1850</v>
      </c>
    </row>
    <row r="3899" spans="9:10" x14ac:dyDescent="0.3">
      <c r="I3899" t="s">
        <v>11955</v>
      </c>
      <c r="J3899" t="s">
        <v>1850</v>
      </c>
    </row>
    <row r="3900" spans="9:10" x14ac:dyDescent="0.3">
      <c r="I3900" t="s">
        <v>11956</v>
      </c>
      <c r="J3900" t="s">
        <v>1850</v>
      </c>
    </row>
    <row r="3901" spans="9:10" x14ac:dyDescent="0.3">
      <c r="I3901" t="s">
        <v>11957</v>
      </c>
      <c r="J3901" t="s">
        <v>1850</v>
      </c>
    </row>
    <row r="3902" spans="9:10" x14ac:dyDescent="0.3">
      <c r="I3902" t="s">
        <v>11958</v>
      </c>
      <c r="J3902" t="s">
        <v>1850</v>
      </c>
    </row>
    <row r="3903" spans="9:10" x14ac:dyDescent="0.3">
      <c r="I3903" t="s">
        <v>11954</v>
      </c>
      <c r="J3903" t="s">
        <v>1850</v>
      </c>
    </row>
    <row r="3904" spans="9:10" x14ac:dyDescent="0.3">
      <c r="I3904" t="s">
        <v>11959</v>
      </c>
      <c r="J3904" t="s">
        <v>1850</v>
      </c>
    </row>
    <row r="3905" spans="9:10" x14ac:dyDescent="0.3">
      <c r="I3905" t="s">
        <v>11960</v>
      </c>
      <c r="J3905" t="s">
        <v>1850</v>
      </c>
    </row>
    <row r="3906" spans="9:10" x14ac:dyDescent="0.3">
      <c r="I3906" t="s">
        <v>11961</v>
      </c>
      <c r="J3906" t="s">
        <v>1850</v>
      </c>
    </row>
    <row r="3907" spans="9:10" x14ac:dyDescent="0.3">
      <c r="I3907" t="s">
        <v>11962</v>
      </c>
      <c r="J3907" t="s">
        <v>1850</v>
      </c>
    </row>
    <row r="3908" spans="9:10" x14ac:dyDescent="0.3">
      <c r="I3908" t="s">
        <v>11963</v>
      </c>
      <c r="J3908" t="s">
        <v>1850</v>
      </c>
    </row>
    <row r="3909" spans="9:10" x14ac:dyDescent="0.3">
      <c r="I3909" t="s">
        <v>11964</v>
      </c>
      <c r="J3909" t="s">
        <v>1850</v>
      </c>
    </row>
    <row r="3910" spans="9:10" x14ac:dyDescent="0.3">
      <c r="I3910" t="s">
        <v>11965</v>
      </c>
      <c r="J3910" t="s">
        <v>1850</v>
      </c>
    </row>
    <row r="3911" spans="9:10" x14ac:dyDescent="0.3">
      <c r="I3911" t="s">
        <v>11966</v>
      </c>
      <c r="J3911" t="s">
        <v>1850</v>
      </c>
    </row>
    <row r="3912" spans="9:10" x14ac:dyDescent="0.3">
      <c r="I3912" t="s">
        <v>11967</v>
      </c>
      <c r="J3912" t="s">
        <v>1850</v>
      </c>
    </row>
    <row r="3913" spans="9:10" x14ac:dyDescent="0.3">
      <c r="I3913" t="s">
        <v>11968</v>
      </c>
      <c r="J3913" t="s">
        <v>1850</v>
      </c>
    </row>
    <row r="3914" spans="9:10" x14ac:dyDescent="0.3">
      <c r="I3914" t="s">
        <v>11969</v>
      </c>
      <c r="J3914" t="s">
        <v>1850</v>
      </c>
    </row>
    <row r="3915" spans="9:10" x14ac:dyDescent="0.3">
      <c r="I3915" t="s">
        <v>11970</v>
      </c>
      <c r="J3915" t="s">
        <v>1850</v>
      </c>
    </row>
    <row r="3916" spans="9:10" x14ac:dyDescent="0.3">
      <c r="I3916" t="s">
        <v>11971</v>
      </c>
      <c r="J3916" t="s">
        <v>1850</v>
      </c>
    </row>
    <row r="3917" spans="9:10" x14ac:dyDescent="0.3">
      <c r="I3917" t="s">
        <v>11972</v>
      </c>
      <c r="J3917" t="s">
        <v>1850</v>
      </c>
    </row>
    <row r="3918" spans="9:10" x14ac:dyDescent="0.3">
      <c r="I3918" t="s">
        <v>11973</v>
      </c>
      <c r="J3918" t="s">
        <v>1850</v>
      </c>
    </row>
    <row r="3919" spans="9:10" x14ac:dyDescent="0.3">
      <c r="I3919" t="s">
        <v>11974</v>
      </c>
      <c r="J3919" t="s">
        <v>1850</v>
      </c>
    </row>
    <row r="3920" spans="9:10" x14ac:dyDescent="0.3">
      <c r="I3920" t="s">
        <v>11975</v>
      </c>
      <c r="J3920" t="s">
        <v>1850</v>
      </c>
    </row>
    <row r="3921" spans="9:10" x14ac:dyDescent="0.3">
      <c r="I3921" t="s">
        <v>11976</v>
      </c>
      <c r="J3921" t="s">
        <v>1850</v>
      </c>
    </row>
    <row r="3922" spans="9:10" x14ac:dyDescent="0.3">
      <c r="I3922" t="s">
        <v>11977</v>
      </c>
      <c r="J3922" t="s">
        <v>1850</v>
      </c>
    </row>
    <row r="3923" spans="9:10" x14ac:dyDescent="0.3">
      <c r="I3923" t="s">
        <v>11977</v>
      </c>
      <c r="J3923" t="s">
        <v>1850</v>
      </c>
    </row>
    <row r="3924" spans="9:10" x14ac:dyDescent="0.3">
      <c r="I3924" t="s">
        <v>11978</v>
      </c>
      <c r="J3924" t="s">
        <v>1850</v>
      </c>
    </row>
    <row r="3925" spans="9:10" x14ac:dyDescent="0.3">
      <c r="I3925" t="s">
        <v>11954</v>
      </c>
      <c r="J3925" t="s">
        <v>1850</v>
      </c>
    </row>
    <row r="3926" spans="9:10" x14ac:dyDescent="0.3">
      <c r="I3926" t="s">
        <v>11979</v>
      </c>
      <c r="J3926" t="s">
        <v>1850</v>
      </c>
    </row>
    <row r="3927" spans="9:10" x14ac:dyDescent="0.3">
      <c r="I3927" t="s">
        <v>11980</v>
      </c>
      <c r="J3927" t="s">
        <v>1850</v>
      </c>
    </row>
    <row r="3928" spans="9:10" x14ac:dyDescent="0.3">
      <c r="I3928" t="s">
        <v>11981</v>
      </c>
      <c r="J3928" t="s">
        <v>1850</v>
      </c>
    </row>
    <row r="3929" spans="9:10" x14ac:dyDescent="0.3">
      <c r="I3929" t="s">
        <v>11982</v>
      </c>
      <c r="J3929" t="s">
        <v>1850</v>
      </c>
    </row>
    <row r="3930" spans="9:10" x14ac:dyDescent="0.3">
      <c r="I3930" t="s">
        <v>11977</v>
      </c>
      <c r="J3930" t="s">
        <v>1850</v>
      </c>
    </row>
    <row r="3931" spans="9:10" x14ac:dyDescent="0.3">
      <c r="I3931" t="s">
        <v>11983</v>
      </c>
      <c r="J3931" t="s">
        <v>109</v>
      </c>
    </row>
    <row r="3932" spans="9:10" x14ac:dyDescent="0.3">
      <c r="I3932" t="s">
        <v>11983</v>
      </c>
      <c r="J3932" t="s">
        <v>109</v>
      </c>
    </row>
    <row r="3933" spans="9:10" x14ac:dyDescent="0.3">
      <c r="I3933" t="s">
        <v>11984</v>
      </c>
      <c r="J3933" t="s">
        <v>1851</v>
      </c>
    </row>
    <row r="3934" spans="9:10" x14ac:dyDescent="0.3">
      <c r="I3934" t="s">
        <v>11985</v>
      </c>
    </row>
    <row r="3935" spans="9:10" x14ac:dyDescent="0.3">
      <c r="I3935" t="s">
        <v>11986</v>
      </c>
      <c r="J3935" t="s">
        <v>1852</v>
      </c>
    </row>
    <row r="3936" spans="9:10" x14ac:dyDescent="0.3">
      <c r="I3936" t="s">
        <v>11987</v>
      </c>
      <c r="J3936" t="s">
        <v>1853</v>
      </c>
    </row>
    <row r="3937" spans="9:10" x14ac:dyDescent="0.3">
      <c r="I3937" t="s">
        <v>11988</v>
      </c>
      <c r="J3937" t="s">
        <v>1854</v>
      </c>
    </row>
    <row r="3938" spans="9:10" x14ac:dyDescent="0.3">
      <c r="I3938" t="s">
        <v>11989</v>
      </c>
    </row>
    <row r="3939" spans="9:10" x14ac:dyDescent="0.3">
      <c r="I3939" t="s">
        <v>11990</v>
      </c>
      <c r="J3939" t="s">
        <v>1855</v>
      </c>
    </row>
    <row r="3940" spans="9:10" x14ac:dyDescent="0.3">
      <c r="I3940" t="s">
        <v>11991</v>
      </c>
      <c r="J3940" t="s">
        <v>1856</v>
      </c>
    </row>
    <row r="3941" spans="9:10" x14ac:dyDescent="0.3">
      <c r="I3941" t="s">
        <v>11992</v>
      </c>
      <c r="J3941" t="s">
        <v>1857</v>
      </c>
    </row>
    <row r="3942" spans="9:10" x14ac:dyDescent="0.3">
      <c r="I3942" t="s">
        <v>11993</v>
      </c>
      <c r="J3942" t="s">
        <v>1858</v>
      </c>
    </row>
    <row r="3943" spans="9:10" x14ac:dyDescent="0.3">
      <c r="I3943" t="s">
        <v>11994</v>
      </c>
      <c r="J3943" t="s">
        <v>1859</v>
      </c>
    </row>
    <row r="3944" spans="9:10" x14ac:dyDescent="0.3">
      <c r="I3944" t="s">
        <v>11995</v>
      </c>
      <c r="J3944" t="s">
        <v>1860</v>
      </c>
    </row>
    <row r="3945" spans="9:10" x14ac:dyDescent="0.3">
      <c r="I3945" t="s">
        <v>11995</v>
      </c>
      <c r="J3945" t="s">
        <v>1860</v>
      </c>
    </row>
    <row r="3946" spans="9:10" x14ac:dyDescent="0.3">
      <c r="I3946" t="s">
        <v>11996</v>
      </c>
      <c r="J3946" t="s">
        <v>1860</v>
      </c>
    </row>
    <row r="3947" spans="9:10" x14ac:dyDescent="0.3">
      <c r="I3947" t="s">
        <v>11997</v>
      </c>
      <c r="J3947" t="s">
        <v>204</v>
      </c>
    </row>
    <row r="3948" spans="9:10" x14ac:dyDescent="0.3">
      <c r="I3948" t="s">
        <v>11998</v>
      </c>
      <c r="J3948" t="s">
        <v>204</v>
      </c>
    </row>
    <row r="3949" spans="9:10" x14ac:dyDescent="0.3">
      <c r="I3949" t="s">
        <v>11999</v>
      </c>
      <c r="J3949" t="s">
        <v>204</v>
      </c>
    </row>
    <row r="3950" spans="9:10" x14ac:dyDescent="0.3">
      <c r="I3950" t="s">
        <v>12000</v>
      </c>
      <c r="J3950" t="s">
        <v>1861</v>
      </c>
    </row>
    <row r="3951" spans="9:10" x14ac:dyDescent="0.3">
      <c r="I3951" t="s">
        <v>12001</v>
      </c>
      <c r="J3951" t="s">
        <v>1861</v>
      </c>
    </row>
    <row r="3952" spans="9:10" x14ac:dyDescent="0.3">
      <c r="I3952" t="s">
        <v>12002</v>
      </c>
      <c r="J3952" t="s">
        <v>1861</v>
      </c>
    </row>
    <row r="3953" spans="9:10" x14ac:dyDescent="0.3">
      <c r="I3953" t="s">
        <v>12003</v>
      </c>
      <c r="J3953" t="s">
        <v>1862</v>
      </c>
    </row>
    <row r="3954" spans="9:10" x14ac:dyDescent="0.3">
      <c r="I3954" t="s">
        <v>12004</v>
      </c>
      <c r="J3954" t="s">
        <v>1862</v>
      </c>
    </row>
    <row r="3955" spans="9:10" x14ac:dyDescent="0.3">
      <c r="I3955" t="s">
        <v>12005</v>
      </c>
      <c r="J3955" t="s">
        <v>1863</v>
      </c>
    </row>
    <row r="3956" spans="9:10" x14ac:dyDescent="0.3">
      <c r="I3956" t="s">
        <v>12006</v>
      </c>
      <c r="J3956" t="s">
        <v>1864</v>
      </c>
    </row>
    <row r="3957" spans="9:10" x14ac:dyDescent="0.3">
      <c r="I3957" t="s">
        <v>12007</v>
      </c>
      <c r="J3957" t="s">
        <v>925</v>
      </c>
    </row>
    <row r="3958" spans="9:10" x14ac:dyDescent="0.3">
      <c r="I3958" t="s">
        <v>12008</v>
      </c>
      <c r="J3958" t="s">
        <v>1865</v>
      </c>
    </row>
    <row r="3959" spans="9:10" x14ac:dyDescent="0.3">
      <c r="I3959" t="s">
        <v>12008</v>
      </c>
      <c r="J3959" t="s">
        <v>1865</v>
      </c>
    </row>
    <row r="3960" spans="9:10" x14ac:dyDescent="0.3">
      <c r="I3960" t="s">
        <v>12008</v>
      </c>
      <c r="J3960" t="s">
        <v>1865</v>
      </c>
    </row>
    <row r="3961" spans="9:10" x14ac:dyDescent="0.3">
      <c r="I3961" t="s">
        <v>12009</v>
      </c>
      <c r="J3961" t="s">
        <v>1866</v>
      </c>
    </row>
    <row r="3962" spans="9:10" x14ac:dyDescent="0.3">
      <c r="I3962" t="s">
        <v>12010</v>
      </c>
      <c r="J3962" t="s">
        <v>1867</v>
      </c>
    </row>
    <row r="3963" spans="9:10" x14ac:dyDescent="0.3">
      <c r="I3963" t="s">
        <v>12010</v>
      </c>
      <c r="J3963" t="s">
        <v>1867</v>
      </c>
    </row>
    <row r="3964" spans="9:10" x14ac:dyDescent="0.3">
      <c r="I3964" t="s">
        <v>12010</v>
      </c>
      <c r="J3964" t="s">
        <v>1867</v>
      </c>
    </row>
    <row r="3965" spans="9:10" x14ac:dyDescent="0.3">
      <c r="I3965" t="s">
        <v>12010</v>
      </c>
      <c r="J3965" t="s">
        <v>1867</v>
      </c>
    </row>
    <row r="3966" spans="9:10" x14ac:dyDescent="0.3">
      <c r="I3966" t="s">
        <v>12011</v>
      </c>
      <c r="J3966" t="s">
        <v>1868</v>
      </c>
    </row>
    <row r="3967" spans="9:10" x14ac:dyDescent="0.3">
      <c r="I3967" t="s">
        <v>12011</v>
      </c>
      <c r="J3967" t="s">
        <v>1868</v>
      </c>
    </row>
    <row r="3968" spans="9:10" x14ac:dyDescent="0.3">
      <c r="I3968" t="s">
        <v>12012</v>
      </c>
      <c r="J3968" t="s">
        <v>1869</v>
      </c>
    </row>
    <row r="3969" spans="9:10" x14ac:dyDescent="0.3">
      <c r="I3969" t="s">
        <v>12013</v>
      </c>
      <c r="J3969" t="s">
        <v>1870</v>
      </c>
    </row>
    <row r="3970" spans="9:10" x14ac:dyDescent="0.3">
      <c r="I3970" t="s">
        <v>12014</v>
      </c>
      <c r="J3970" t="s">
        <v>1871</v>
      </c>
    </row>
    <row r="3971" spans="9:10" x14ac:dyDescent="0.3">
      <c r="I3971" t="s">
        <v>12015</v>
      </c>
      <c r="J3971" t="s">
        <v>1872</v>
      </c>
    </row>
    <row r="3972" spans="9:10" x14ac:dyDescent="0.3">
      <c r="I3972" t="s">
        <v>12016</v>
      </c>
      <c r="J3972" t="s">
        <v>1873</v>
      </c>
    </row>
    <row r="3973" spans="9:10" x14ac:dyDescent="0.3">
      <c r="I3973" t="s">
        <v>12017</v>
      </c>
      <c r="J3973" t="s">
        <v>1874</v>
      </c>
    </row>
    <row r="3974" spans="9:10" x14ac:dyDescent="0.3">
      <c r="I3974" t="s">
        <v>12018</v>
      </c>
      <c r="J3974" t="s">
        <v>1875</v>
      </c>
    </row>
    <row r="3975" spans="9:10" x14ac:dyDescent="0.3">
      <c r="I3975" t="s">
        <v>12018</v>
      </c>
      <c r="J3975" t="s">
        <v>1875</v>
      </c>
    </row>
    <row r="3976" spans="9:10" x14ac:dyDescent="0.3">
      <c r="I3976" t="s">
        <v>12019</v>
      </c>
      <c r="J3976" t="s">
        <v>964</v>
      </c>
    </row>
    <row r="3977" spans="9:10" x14ac:dyDescent="0.3">
      <c r="I3977" t="s">
        <v>12020</v>
      </c>
      <c r="J3977" t="s">
        <v>964</v>
      </c>
    </row>
    <row r="3978" spans="9:10" x14ac:dyDescent="0.3">
      <c r="I3978" t="s">
        <v>12021</v>
      </c>
      <c r="J3978" t="s">
        <v>964</v>
      </c>
    </row>
    <row r="3979" spans="9:10" x14ac:dyDescent="0.3">
      <c r="I3979" t="s">
        <v>12022</v>
      </c>
      <c r="J3979" t="s">
        <v>964</v>
      </c>
    </row>
    <row r="3980" spans="9:10" x14ac:dyDescent="0.3">
      <c r="I3980" t="s">
        <v>12023</v>
      </c>
      <c r="J3980" t="s">
        <v>964</v>
      </c>
    </row>
    <row r="3981" spans="9:10" x14ac:dyDescent="0.3">
      <c r="I3981" t="s">
        <v>12024</v>
      </c>
      <c r="J3981" t="s">
        <v>1876</v>
      </c>
    </row>
    <row r="3982" spans="9:10" x14ac:dyDescent="0.3">
      <c r="I3982" t="s">
        <v>12025</v>
      </c>
      <c r="J3982" t="s">
        <v>1876</v>
      </c>
    </row>
    <row r="3983" spans="9:10" x14ac:dyDescent="0.3">
      <c r="I3983" t="s">
        <v>12026</v>
      </c>
      <c r="J3983" t="s">
        <v>1877</v>
      </c>
    </row>
    <row r="3984" spans="9:10" x14ac:dyDescent="0.3">
      <c r="I3984" t="s">
        <v>12026</v>
      </c>
      <c r="J3984" t="s">
        <v>1877</v>
      </c>
    </row>
    <row r="3985" spans="9:10" x14ac:dyDescent="0.3">
      <c r="I3985" t="s">
        <v>12026</v>
      </c>
      <c r="J3985" t="s">
        <v>1877</v>
      </c>
    </row>
    <row r="3986" spans="9:10" x14ac:dyDescent="0.3">
      <c r="I3986" t="s">
        <v>12026</v>
      </c>
      <c r="J3986" t="s">
        <v>1877</v>
      </c>
    </row>
    <row r="3987" spans="9:10" x14ac:dyDescent="0.3">
      <c r="I3987" t="s">
        <v>12027</v>
      </c>
      <c r="J3987" t="s">
        <v>1878</v>
      </c>
    </row>
    <row r="3988" spans="9:10" x14ac:dyDescent="0.3">
      <c r="I3988" t="s">
        <v>12028</v>
      </c>
      <c r="J3988" t="s">
        <v>1878</v>
      </c>
    </row>
    <row r="3989" spans="9:10" x14ac:dyDescent="0.3">
      <c r="I3989" t="s">
        <v>12029</v>
      </c>
      <c r="J3989" t="s">
        <v>1879</v>
      </c>
    </row>
    <row r="3990" spans="9:10" x14ac:dyDescent="0.3">
      <c r="I3990" t="s">
        <v>12030</v>
      </c>
    </row>
    <row r="3991" spans="9:10" x14ac:dyDescent="0.3">
      <c r="I3991" t="s">
        <v>12031</v>
      </c>
    </row>
    <row r="3992" spans="9:10" x14ac:dyDescent="0.3">
      <c r="I3992" t="s">
        <v>12031</v>
      </c>
    </row>
    <row r="3993" spans="9:10" x14ac:dyDescent="0.3">
      <c r="I3993" t="s">
        <v>12032</v>
      </c>
      <c r="J3993" t="s">
        <v>267</v>
      </c>
    </row>
    <row r="3994" spans="9:10" x14ac:dyDescent="0.3">
      <c r="I3994" t="s">
        <v>12032</v>
      </c>
      <c r="J3994" t="s">
        <v>267</v>
      </c>
    </row>
    <row r="3995" spans="9:10" x14ac:dyDescent="0.3">
      <c r="I3995" t="s">
        <v>12033</v>
      </c>
      <c r="J3995" t="s">
        <v>267</v>
      </c>
    </row>
    <row r="3996" spans="9:10" x14ac:dyDescent="0.3">
      <c r="I3996" t="s">
        <v>12034</v>
      </c>
      <c r="J3996" t="s">
        <v>1880</v>
      </c>
    </row>
    <row r="3997" spans="9:10" x14ac:dyDescent="0.3">
      <c r="I3997" t="s">
        <v>12035</v>
      </c>
      <c r="J3997" t="s">
        <v>1881</v>
      </c>
    </row>
    <row r="3998" spans="9:10" x14ac:dyDescent="0.3">
      <c r="I3998" t="s">
        <v>12035</v>
      </c>
      <c r="J3998" t="s">
        <v>1881</v>
      </c>
    </row>
    <row r="3999" spans="9:10" x14ac:dyDescent="0.3">
      <c r="I3999" t="s">
        <v>12036</v>
      </c>
      <c r="J3999" t="s">
        <v>1881</v>
      </c>
    </row>
    <row r="4000" spans="9:10" x14ac:dyDescent="0.3">
      <c r="I4000" t="s">
        <v>12037</v>
      </c>
      <c r="J4000" t="s">
        <v>1882</v>
      </c>
    </row>
    <row r="4001" spans="9:10" x14ac:dyDescent="0.3">
      <c r="I4001" t="s">
        <v>12038</v>
      </c>
      <c r="J4001" t="s">
        <v>1882</v>
      </c>
    </row>
    <row r="4002" spans="9:10" x14ac:dyDescent="0.3">
      <c r="I4002" t="s">
        <v>12039</v>
      </c>
      <c r="J4002" t="s">
        <v>331</v>
      </c>
    </row>
    <row r="4003" spans="9:10" x14ac:dyDescent="0.3">
      <c r="I4003" t="s">
        <v>12040</v>
      </c>
      <c r="J4003" t="s">
        <v>331</v>
      </c>
    </row>
    <row r="4004" spans="9:10" x14ac:dyDescent="0.3">
      <c r="I4004" t="s">
        <v>12040</v>
      </c>
      <c r="J4004" t="s">
        <v>331</v>
      </c>
    </row>
    <row r="4005" spans="9:10" x14ac:dyDescent="0.3">
      <c r="I4005" t="s">
        <v>12041</v>
      </c>
      <c r="J4005" t="s">
        <v>1883</v>
      </c>
    </row>
    <row r="4006" spans="9:10" x14ac:dyDescent="0.3">
      <c r="I4006" t="s">
        <v>12042</v>
      </c>
      <c r="J4006" t="s">
        <v>146</v>
      </c>
    </row>
    <row r="4007" spans="9:10" x14ac:dyDescent="0.3">
      <c r="I4007" t="s">
        <v>12043</v>
      </c>
      <c r="J4007" t="s">
        <v>1884</v>
      </c>
    </row>
    <row r="4008" spans="9:10" x14ac:dyDescent="0.3">
      <c r="I4008" t="s">
        <v>12043</v>
      </c>
      <c r="J4008" t="s">
        <v>1884</v>
      </c>
    </row>
    <row r="4009" spans="9:10" x14ac:dyDescent="0.3">
      <c r="I4009" t="s">
        <v>12044</v>
      </c>
      <c r="J4009" t="s">
        <v>374</v>
      </c>
    </row>
    <row r="4010" spans="9:10" x14ac:dyDescent="0.3">
      <c r="I4010" t="s">
        <v>12045</v>
      </c>
      <c r="J4010" t="s">
        <v>374</v>
      </c>
    </row>
    <row r="4011" spans="9:10" x14ac:dyDescent="0.3">
      <c r="I4011" t="s">
        <v>12046</v>
      </c>
      <c r="J4011" t="s">
        <v>1885</v>
      </c>
    </row>
    <row r="4012" spans="9:10" x14ac:dyDescent="0.3">
      <c r="I4012" t="s">
        <v>12047</v>
      </c>
      <c r="J4012" t="s">
        <v>1886</v>
      </c>
    </row>
    <row r="4013" spans="9:10" x14ac:dyDescent="0.3">
      <c r="I4013" t="s">
        <v>12048</v>
      </c>
      <c r="J4013" t="s">
        <v>1887</v>
      </c>
    </row>
    <row r="4014" spans="9:10" x14ac:dyDescent="0.3">
      <c r="I4014" t="s">
        <v>12049</v>
      </c>
      <c r="J4014" t="s">
        <v>1888</v>
      </c>
    </row>
    <row r="4015" spans="9:10" x14ac:dyDescent="0.3">
      <c r="I4015" t="s">
        <v>12049</v>
      </c>
      <c r="J4015" t="s">
        <v>1888</v>
      </c>
    </row>
    <row r="4016" spans="9:10" x14ac:dyDescent="0.3">
      <c r="I4016" t="s">
        <v>12049</v>
      </c>
      <c r="J4016" t="s">
        <v>1888</v>
      </c>
    </row>
    <row r="4017" spans="9:10" x14ac:dyDescent="0.3">
      <c r="I4017" t="s">
        <v>12050</v>
      </c>
      <c r="J4017" t="s">
        <v>1889</v>
      </c>
    </row>
    <row r="4018" spans="9:10" x14ac:dyDescent="0.3">
      <c r="I4018" t="s">
        <v>12051</v>
      </c>
      <c r="J4018" t="s">
        <v>1890</v>
      </c>
    </row>
    <row r="4019" spans="9:10" x14ac:dyDescent="0.3">
      <c r="I4019" t="s">
        <v>12052</v>
      </c>
      <c r="J4019" t="s">
        <v>1890</v>
      </c>
    </row>
    <row r="4020" spans="9:10" x14ac:dyDescent="0.3">
      <c r="I4020" t="s">
        <v>12053</v>
      </c>
      <c r="J4020" t="s">
        <v>1890</v>
      </c>
    </row>
    <row r="4021" spans="9:10" x14ac:dyDescent="0.3">
      <c r="I4021" t="s">
        <v>12051</v>
      </c>
      <c r="J4021" t="s">
        <v>1890</v>
      </c>
    </row>
    <row r="4022" spans="9:10" x14ac:dyDescent="0.3">
      <c r="I4022" t="s">
        <v>12053</v>
      </c>
      <c r="J4022" t="s">
        <v>1890</v>
      </c>
    </row>
    <row r="4023" spans="9:10" x14ac:dyDescent="0.3">
      <c r="I4023" t="s">
        <v>12054</v>
      </c>
      <c r="J4023" t="s">
        <v>1890</v>
      </c>
    </row>
    <row r="4024" spans="9:10" x14ac:dyDescent="0.3">
      <c r="I4024" t="s">
        <v>12055</v>
      </c>
      <c r="J4024" t="s">
        <v>1890</v>
      </c>
    </row>
    <row r="4025" spans="9:10" x14ac:dyDescent="0.3">
      <c r="I4025" t="s">
        <v>12056</v>
      </c>
      <c r="J4025" t="s">
        <v>1890</v>
      </c>
    </row>
    <row r="4026" spans="9:10" x14ac:dyDescent="0.3">
      <c r="I4026" t="s">
        <v>12057</v>
      </c>
      <c r="J4026" t="s">
        <v>1890</v>
      </c>
    </row>
    <row r="4027" spans="9:10" x14ac:dyDescent="0.3">
      <c r="I4027" t="s">
        <v>12058</v>
      </c>
      <c r="J4027" t="s">
        <v>1890</v>
      </c>
    </row>
    <row r="4028" spans="9:10" x14ac:dyDescent="0.3">
      <c r="I4028" t="s">
        <v>12053</v>
      </c>
      <c r="J4028" t="s">
        <v>1890</v>
      </c>
    </row>
    <row r="4029" spans="9:10" x14ac:dyDescent="0.3">
      <c r="I4029" t="s">
        <v>12059</v>
      </c>
      <c r="J4029" t="s">
        <v>1890</v>
      </c>
    </row>
    <row r="4030" spans="9:10" x14ac:dyDescent="0.3">
      <c r="I4030" t="s">
        <v>12057</v>
      </c>
      <c r="J4030" t="s">
        <v>1890</v>
      </c>
    </row>
    <row r="4031" spans="9:10" x14ac:dyDescent="0.3">
      <c r="I4031" t="s">
        <v>12060</v>
      </c>
      <c r="J4031" t="s">
        <v>1890</v>
      </c>
    </row>
    <row r="4032" spans="9:10" x14ac:dyDescent="0.3">
      <c r="I4032" t="s">
        <v>12061</v>
      </c>
      <c r="J4032" t="s">
        <v>1890</v>
      </c>
    </row>
    <row r="4033" spans="9:10" x14ac:dyDescent="0.3">
      <c r="I4033" t="s">
        <v>12062</v>
      </c>
    </row>
    <row r="4034" spans="9:10" x14ac:dyDescent="0.3">
      <c r="I4034" t="s">
        <v>12063</v>
      </c>
      <c r="J4034" t="s">
        <v>1891</v>
      </c>
    </row>
    <row r="4035" spans="9:10" x14ac:dyDescent="0.3">
      <c r="I4035" t="s">
        <v>12064</v>
      </c>
      <c r="J4035" t="s">
        <v>1891</v>
      </c>
    </row>
    <row r="4036" spans="9:10" x14ac:dyDescent="0.3">
      <c r="I4036" t="s">
        <v>12065</v>
      </c>
      <c r="J4036" t="s">
        <v>1892</v>
      </c>
    </row>
    <row r="4037" spans="9:10" x14ac:dyDescent="0.3">
      <c r="I4037" t="s">
        <v>12066</v>
      </c>
      <c r="J4037" t="s">
        <v>1892</v>
      </c>
    </row>
    <row r="4038" spans="9:10" x14ac:dyDescent="0.3">
      <c r="I4038" t="s">
        <v>12067</v>
      </c>
    </row>
    <row r="4039" spans="9:10" x14ac:dyDescent="0.3">
      <c r="I4039" t="s">
        <v>12067</v>
      </c>
    </row>
    <row r="4040" spans="9:10" x14ac:dyDescent="0.3">
      <c r="I4040" t="s">
        <v>12068</v>
      </c>
      <c r="J4040" t="s">
        <v>1893</v>
      </c>
    </row>
    <row r="4041" spans="9:10" x14ac:dyDescent="0.3">
      <c r="I4041" t="s">
        <v>12068</v>
      </c>
      <c r="J4041" t="s">
        <v>1893</v>
      </c>
    </row>
    <row r="4042" spans="9:10" x14ac:dyDescent="0.3">
      <c r="I4042" t="s">
        <v>12069</v>
      </c>
      <c r="J4042" t="s">
        <v>1894</v>
      </c>
    </row>
    <row r="4043" spans="9:10" x14ac:dyDescent="0.3">
      <c r="I4043" t="s">
        <v>12070</v>
      </c>
      <c r="J4043" t="s">
        <v>1895</v>
      </c>
    </row>
    <row r="4044" spans="9:10" x14ac:dyDescent="0.3">
      <c r="I4044" t="s">
        <v>12071</v>
      </c>
      <c r="J4044" t="s">
        <v>1895</v>
      </c>
    </row>
    <row r="4045" spans="9:10" x14ac:dyDescent="0.3">
      <c r="I4045" t="s">
        <v>12072</v>
      </c>
      <c r="J4045" t="s">
        <v>1896</v>
      </c>
    </row>
    <row r="4046" spans="9:10" x14ac:dyDescent="0.3">
      <c r="I4046" t="s">
        <v>12073</v>
      </c>
      <c r="J4046" t="s">
        <v>1897</v>
      </c>
    </row>
    <row r="4047" spans="9:10" x14ac:dyDescent="0.3">
      <c r="I4047" t="s">
        <v>12074</v>
      </c>
      <c r="J4047" t="s">
        <v>1898</v>
      </c>
    </row>
    <row r="4048" spans="9:10" x14ac:dyDescent="0.3">
      <c r="I4048" t="s">
        <v>12075</v>
      </c>
      <c r="J4048" t="s">
        <v>1899</v>
      </c>
    </row>
    <row r="4049" spans="9:10" x14ac:dyDescent="0.3">
      <c r="I4049" t="s">
        <v>12076</v>
      </c>
      <c r="J4049" t="s">
        <v>1900</v>
      </c>
    </row>
    <row r="4050" spans="9:10" x14ac:dyDescent="0.3">
      <c r="I4050" t="s">
        <v>12077</v>
      </c>
      <c r="J4050" t="s">
        <v>1900</v>
      </c>
    </row>
    <row r="4051" spans="9:10" x14ac:dyDescent="0.3">
      <c r="I4051" t="s">
        <v>12078</v>
      </c>
      <c r="J4051" t="s">
        <v>1901</v>
      </c>
    </row>
    <row r="4052" spans="9:10" x14ac:dyDescent="0.3">
      <c r="I4052" t="s">
        <v>12079</v>
      </c>
      <c r="J4052" t="s">
        <v>1901</v>
      </c>
    </row>
    <row r="4053" spans="9:10" x14ac:dyDescent="0.3">
      <c r="I4053" t="s">
        <v>12080</v>
      </c>
      <c r="J4053" t="s">
        <v>1902</v>
      </c>
    </row>
    <row r="4054" spans="9:10" x14ac:dyDescent="0.3">
      <c r="I4054" t="s">
        <v>12081</v>
      </c>
      <c r="J4054" t="s">
        <v>1903</v>
      </c>
    </row>
    <row r="4055" spans="9:10" x14ac:dyDescent="0.3">
      <c r="I4055" t="s">
        <v>12081</v>
      </c>
      <c r="J4055" t="s">
        <v>1903</v>
      </c>
    </row>
    <row r="4056" spans="9:10" x14ac:dyDescent="0.3">
      <c r="I4056" t="s">
        <v>12081</v>
      </c>
      <c r="J4056" t="s">
        <v>1903</v>
      </c>
    </row>
    <row r="4057" spans="9:10" x14ac:dyDescent="0.3">
      <c r="I4057" t="s">
        <v>12082</v>
      </c>
    </row>
    <row r="4058" spans="9:10" x14ac:dyDescent="0.3">
      <c r="I4058" t="s">
        <v>12083</v>
      </c>
    </row>
    <row r="4059" spans="9:10" x14ac:dyDescent="0.3">
      <c r="I4059" t="s">
        <v>12084</v>
      </c>
      <c r="J4059" t="s">
        <v>1904</v>
      </c>
    </row>
    <row r="4060" spans="9:10" x14ac:dyDescent="0.3">
      <c r="I4060" t="s">
        <v>12085</v>
      </c>
    </row>
    <row r="4061" spans="9:10" x14ac:dyDescent="0.3">
      <c r="I4061" t="s">
        <v>12086</v>
      </c>
    </row>
    <row r="4062" spans="9:10" x14ac:dyDescent="0.3">
      <c r="I4062" t="s">
        <v>12087</v>
      </c>
    </row>
    <row r="4063" spans="9:10" x14ac:dyDescent="0.3">
      <c r="I4063" t="s">
        <v>12087</v>
      </c>
    </row>
    <row r="4064" spans="9:10" x14ac:dyDescent="0.3">
      <c r="I4064" t="s">
        <v>12088</v>
      </c>
    </row>
    <row r="4065" spans="9:10" x14ac:dyDescent="0.3">
      <c r="I4065" t="s">
        <v>12089</v>
      </c>
    </row>
    <row r="4066" spans="9:10" x14ac:dyDescent="0.3">
      <c r="I4066" t="s">
        <v>12090</v>
      </c>
    </row>
    <row r="4067" spans="9:10" x14ac:dyDescent="0.3">
      <c r="I4067" t="s">
        <v>12091</v>
      </c>
    </row>
    <row r="4068" spans="9:10" x14ac:dyDescent="0.3">
      <c r="I4068" t="s">
        <v>12092</v>
      </c>
    </row>
    <row r="4069" spans="9:10" x14ac:dyDescent="0.3">
      <c r="I4069" t="s">
        <v>12093</v>
      </c>
      <c r="J4069" t="s">
        <v>1905</v>
      </c>
    </row>
    <row r="4070" spans="9:10" x14ac:dyDescent="0.3">
      <c r="I4070" t="s">
        <v>12094</v>
      </c>
      <c r="J4070" t="s">
        <v>1905</v>
      </c>
    </row>
    <row r="4071" spans="9:10" x14ac:dyDescent="0.3">
      <c r="I4071" t="s">
        <v>12095</v>
      </c>
      <c r="J4071" t="s">
        <v>1906</v>
      </c>
    </row>
    <row r="4072" spans="9:10" x14ac:dyDescent="0.3">
      <c r="I4072" t="s">
        <v>12096</v>
      </c>
      <c r="J4072" t="s">
        <v>1906</v>
      </c>
    </row>
    <row r="4073" spans="9:10" x14ac:dyDescent="0.3">
      <c r="I4073" t="s">
        <v>12097</v>
      </c>
      <c r="J4073" t="s">
        <v>1906</v>
      </c>
    </row>
    <row r="4074" spans="9:10" x14ac:dyDescent="0.3">
      <c r="I4074" t="s">
        <v>12098</v>
      </c>
      <c r="J4074" t="s">
        <v>1907</v>
      </c>
    </row>
    <row r="4075" spans="9:10" x14ac:dyDescent="0.3">
      <c r="I4075" t="s">
        <v>12099</v>
      </c>
      <c r="J4075" t="s">
        <v>1907</v>
      </c>
    </row>
    <row r="4076" spans="9:10" x14ac:dyDescent="0.3">
      <c r="I4076" t="s">
        <v>12100</v>
      </c>
      <c r="J4076" t="s">
        <v>1908</v>
      </c>
    </row>
    <row r="4077" spans="9:10" x14ac:dyDescent="0.3">
      <c r="I4077" t="s">
        <v>12101</v>
      </c>
      <c r="J4077" t="s">
        <v>1908</v>
      </c>
    </row>
    <row r="4078" spans="9:10" x14ac:dyDescent="0.3">
      <c r="I4078" t="s">
        <v>12102</v>
      </c>
      <c r="J4078" t="s">
        <v>1909</v>
      </c>
    </row>
    <row r="4079" spans="9:10" x14ac:dyDescent="0.3">
      <c r="I4079" t="s">
        <v>12103</v>
      </c>
    </row>
    <row r="4080" spans="9:10" x14ac:dyDescent="0.3">
      <c r="I4080" t="s">
        <v>12104</v>
      </c>
      <c r="J4080" t="s">
        <v>1910</v>
      </c>
    </row>
    <row r="4081" spans="9:10" x14ac:dyDescent="0.3">
      <c r="I4081" t="s">
        <v>12104</v>
      </c>
      <c r="J4081" t="s">
        <v>1910</v>
      </c>
    </row>
    <row r="4082" spans="9:10" x14ac:dyDescent="0.3">
      <c r="I4082" t="s">
        <v>12104</v>
      </c>
      <c r="J4082" t="s">
        <v>1910</v>
      </c>
    </row>
    <row r="4083" spans="9:10" x14ac:dyDescent="0.3">
      <c r="I4083" t="s">
        <v>12105</v>
      </c>
      <c r="J4083" t="s">
        <v>1911</v>
      </c>
    </row>
    <row r="4084" spans="9:10" x14ac:dyDescent="0.3">
      <c r="I4084" t="s">
        <v>12105</v>
      </c>
      <c r="J4084" t="s">
        <v>1911</v>
      </c>
    </row>
    <row r="4085" spans="9:10" x14ac:dyDescent="0.3">
      <c r="I4085" t="s">
        <v>12105</v>
      </c>
      <c r="J4085" t="s">
        <v>1911</v>
      </c>
    </row>
    <row r="4086" spans="9:10" x14ac:dyDescent="0.3">
      <c r="I4086" t="s">
        <v>12106</v>
      </c>
      <c r="J4086" t="s">
        <v>1912</v>
      </c>
    </row>
    <row r="4087" spans="9:10" x14ac:dyDescent="0.3">
      <c r="I4087" t="s">
        <v>12107</v>
      </c>
      <c r="J4087" t="s">
        <v>1913</v>
      </c>
    </row>
    <row r="4088" spans="9:10" x14ac:dyDescent="0.3">
      <c r="I4088" t="s">
        <v>596</v>
      </c>
      <c r="J4088" t="s">
        <v>597</v>
      </c>
    </row>
    <row r="4089" spans="9:10" x14ac:dyDescent="0.3">
      <c r="I4089" t="s">
        <v>12108</v>
      </c>
    </row>
    <row r="4090" spans="9:10" x14ac:dyDescent="0.3">
      <c r="I4090" t="s">
        <v>12109</v>
      </c>
      <c r="J4090" t="s">
        <v>1914</v>
      </c>
    </row>
    <row r="4091" spans="9:10" x14ac:dyDescent="0.3">
      <c r="I4091" t="s">
        <v>12110</v>
      </c>
      <c r="J4091" t="s">
        <v>1915</v>
      </c>
    </row>
    <row r="4092" spans="9:10" x14ac:dyDescent="0.3">
      <c r="I4092" t="s">
        <v>12111</v>
      </c>
      <c r="J4092" t="s">
        <v>1915</v>
      </c>
    </row>
    <row r="4093" spans="9:10" x14ac:dyDescent="0.3">
      <c r="I4093" t="s">
        <v>12111</v>
      </c>
      <c r="J4093" t="s">
        <v>1915</v>
      </c>
    </row>
    <row r="4094" spans="9:10" x14ac:dyDescent="0.3">
      <c r="I4094" t="s">
        <v>12110</v>
      </c>
      <c r="J4094" t="s">
        <v>1915</v>
      </c>
    </row>
    <row r="4095" spans="9:10" x14ac:dyDescent="0.3">
      <c r="I4095" t="s">
        <v>12111</v>
      </c>
      <c r="J4095" t="s">
        <v>1915</v>
      </c>
    </row>
    <row r="4096" spans="9:10" x14ac:dyDescent="0.3">
      <c r="I4096" t="s">
        <v>12112</v>
      </c>
      <c r="J4096" t="s">
        <v>1916</v>
      </c>
    </row>
    <row r="4097" spans="9:10" x14ac:dyDescent="0.3">
      <c r="I4097" t="s">
        <v>12112</v>
      </c>
      <c r="J4097" t="s">
        <v>1916</v>
      </c>
    </row>
    <row r="4098" spans="9:10" x14ac:dyDescent="0.3">
      <c r="I4098" t="s">
        <v>12113</v>
      </c>
      <c r="J4098" t="s">
        <v>1917</v>
      </c>
    </row>
    <row r="4099" spans="9:10" x14ac:dyDescent="0.3">
      <c r="I4099" t="s">
        <v>12114</v>
      </c>
      <c r="J4099" t="s">
        <v>1918</v>
      </c>
    </row>
    <row r="4100" spans="9:10" x14ac:dyDescent="0.3">
      <c r="I4100" t="s">
        <v>12115</v>
      </c>
      <c r="J4100" t="s">
        <v>1918</v>
      </c>
    </row>
    <row r="4101" spans="9:10" x14ac:dyDescent="0.3">
      <c r="I4101" t="s">
        <v>12115</v>
      </c>
      <c r="J4101" t="s">
        <v>1918</v>
      </c>
    </row>
    <row r="4102" spans="9:10" x14ac:dyDescent="0.3">
      <c r="I4102" t="s">
        <v>12116</v>
      </c>
      <c r="J4102" t="s">
        <v>1919</v>
      </c>
    </row>
    <row r="4103" spans="9:10" x14ac:dyDescent="0.3">
      <c r="I4103" t="s">
        <v>12117</v>
      </c>
      <c r="J4103" t="s">
        <v>1919</v>
      </c>
    </row>
    <row r="4104" spans="9:10" x14ac:dyDescent="0.3">
      <c r="I4104" t="s">
        <v>12118</v>
      </c>
      <c r="J4104" t="s">
        <v>1919</v>
      </c>
    </row>
    <row r="4105" spans="9:10" x14ac:dyDescent="0.3">
      <c r="I4105" t="s">
        <v>12119</v>
      </c>
      <c r="J4105" t="s">
        <v>776</v>
      </c>
    </row>
    <row r="4106" spans="9:10" x14ac:dyDescent="0.3">
      <c r="I4106" t="s">
        <v>12119</v>
      </c>
      <c r="J4106" t="s">
        <v>776</v>
      </c>
    </row>
    <row r="4107" spans="9:10" x14ac:dyDescent="0.3">
      <c r="I4107" t="s">
        <v>12119</v>
      </c>
      <c r="J4107" t="s">
        <v>776</v>
      </c>
    </row>
    <row r="4108" spans="9:10" x14ac:dyDescent="0.3">
      <c r="I4108" t="s">
        <v>12120</v>
      </c>
      <c r="J4108" t="s">
        <v>1920</v>
      </c>
    </row>
    <row r="4109" spans="9:10" x14ac:dyDescent="0.3">
      <c r="I4109" t="s">
        <v>12121</v>
      </c>
      <c r="J4109" t="s">
        <v>1921</v>
      </c>
    </row>
    <row r="4110" spans="9:10" x14ac:dyDescent="0.3">
      <c r="I4110" t="s">
        <v>12122</v>
      </c>
    </row>
    <row r="4111" spans="9:10" x14ac:dyDescent="0.3">
      <c r="I4111" t="s">
        <v>12123</v>
      </c>
    </row>
    <row r="4112" spans="9:10" x14ac:dyDescent="0.3">
      <c r="I4112" t="s">
        <v>12124</v>
      </c>
    </row>
    <row r="4113" spans="9:10" x14ac:dyDescent="0.3">
      <c r="I4113" t="s">
        <v>12125</v>
      </c>
    </row>
    <row r="4114" spans="9:10" x14ac:dyDescent="0.3">
      <c r="I4114" t="s">
        <v>12126</v>
      </c>
      <c r="J4114" t="s">
        <v>1922</v>
      </c>
    </row>
    <row r="4115" spans="9:10" x14ac:dyDescent="0.3">
      <c r="I4115" t="s">
        <v>12126</v>
      </c>
      <c r="J4115" t="s">
        <v>1922</v>
      </c>
    </row>
    <row r="4116" spans="9:10" x14ac:dyDescent="0.3">
      <c r="I4116" t="s">
        <v>12127</v>
      </c>
      <c r="J4116" t="s">
        <v>1922</v>
      </c>
    </row>
    <row r="4117" spans="9:10" x14ac:dyDescent="0.3">
      <c r="I4117" t="s">
        <v>12127</v>
      </c>
      <c r="J4117" t="s">
        <v>1922</v>
      </c>
    </row>
    <row r="4118" spans="9:10" x14ac:dyDescent="0.3">
      <c r="I4118" t="s">
        <v>12127</v>
      </c>
      <c r="J4118" t="s">
        <v>1922</v>
      </c>
    </row>
    <row r="4119" spans="9:10" x14ac:dyDescent="0.3">
      <c r="I4119" t="s">
        <v>12128</v>
      </c>
      <c r="J4119" t="s">
        <v>1923</v>
      </c>
    </row>
    <row r="4120" spans="9:10" x14ac:dyDescent="0.3">
      <c r="I4120" t="s">
        <v>12129</v>
      </c>
      <c r="J4120" t="s">
        <v>1923</v>
      </c>
    </row>
    <row r="4121" spans="9:10" x14ac:dyDescent="0.3">
      <c r="I4121" t="s">
        <v>12130</v>
      </c>
      <c r="J4121" t="s">
        <v>1923</v>
      </c>
    </row>
    <row r="4122" spans="9:10" x14ac:dyDescent="0.3">
      <c r="I4122" t="s">
        <v>12131</v>
      </c>
    </row>
    <row r="4123" spans="9:10" x14ac:dyDescent="0.3">
      <c r="I4123" t="s">
        <v>12132</v>
      </c>
    </row>
    <row r="4124" spans="9:10" x14ac:dyDescent="0.3">
      <c r="I4124" t="s">
        <v>12133</v>
      </c>
      <c r="J4124" t="s">
        <v>1924</v>
      </c>
    </row>
    <row r="4125" spans="9:10" x14ac:dyDescent="0.3">
      <c r="I4125" t="s">
        <v>12134</v>
      </c>
      <c r="J4125" t="s">
        <v>1924</v>
      </c>
    </row>
    <row r="4126" spans="9:10" x14ac:dyDescent="0.3">
      <c r="I4126" t="s">
        <v>12135</v>
      </c>
      <c r="J4126" t="s">
        <v>1924</v>
      </c>
    </row>
    <row r="4127" spans="9:10" x14ac:dyDescent="0.3">
      <c r="I4127" t="s">
        <v>12136</v>
      </c>
      <c r="J4127" t="s">
        <v>1925</v>
      </c>
    </row>
    <row r="4128" spans="9:10" x14ac:dyDescent="0.3">
      <c r="I4128" t="s">
        <v>12137</v>
      </c>
      <c r="J4128" t="s">
        <v>1925</v>
      </c>
    </row>
    <row r="4129" spans="9:10" x14ac:dyDescent="0.3">
      <c r="I4129" t="s">
        <v>12138</v>
      </c>
      <c r="J4129" t="s">
        <v>1925</v>
      </c>
    </row>
    <row r="4130" spans="9:10" x14ac:dyDescent="0.3">
      <c r="I4130" t="s">
        <v>12139</v>
      </c>
      <c r="J4130" t="s">
        <v>1925</v>
      </c>
    </row>
    <row r="4131" spans="9:10" x14ac:dyDescent="0.3">
      <c r="I4131" t="s">
        <v>12140</v>
      </c>
      <c r="J4131" t="s">
        <v>1925</v>
      </c>
    </row>
    <row r="4132" spans="9:10" x14ac:dyDescent="0.3">
      <c r="I4132" t="s">
        <v>12141</v>
      </c>
      <c r="J4132" t="s">
        <v>1925</v>
      </c>
    </row>
    <row r="4133" spans="9:10" x14ac:dyDescent="0.3">
      <c r="I4133" t="s">
        <v>12142</v>
      </c>
      <c r="J4133" t="s">
        <v>1925</v>
      </c>
    </row>
    <row r="4134" spans="9:10" x14ac:dyDescent="0.3">
      <c r="I4134" t="s">
        <v>12143</v>
      </c>
      <c r="J4134" t="s">
        <v>1925</v>
      </c>
    </row>
    <row r="4135" spans="9:10" x14ac:dyDescent="0.3">
      <c r="I4135" t="s">
        <v>12144</v>
      </c>
      <c r="J4135" t="s">
        <v>1925</v>
      </c>
    </row>
    <row r="4136" spans="9:10" x14ac:dyDescent="0.3">
      <c r="I4136" t="s">
        <v>12145</v>
      </c>
    </row>
    <row r="4137" spans="9:10" x14ac:dyDescent="0.3">
      <c r="I4137" t="s">
        <v>12146</v>
      </c>
      <c r="J4137" t="s">
        <v>1926</v>
      </c>
    </row>
    <row r="4138" spans="9:10" x14ac:dyDescent="0.3">
      <c r="I4138" t="s">
        <v>12147</v>
      </c>
      <c r="J4138" t="s">
        <v>1927</v>
      </c>
    </row>
    <row r="4139" spans="9:10" x14ac:dyDescent="0.3">
      <c r="I4139" t="s">
        <v>12148</v>
      </c>
      <c r="J4139" t="s">
        <v>1928</v>
      </c>
    </row>
    <row r="4140" spans="9:10" x14ac:dyDescent="0.3">
      <c r="I4140" t="s">
        <v>12149</v>
      </c>
      <c r="J4140" t="s">
        <v>1929</v>
      </c>
    </row>
    <row r="4141" spans="9:10" x14ac:dyDescent="0.3">
      <c r="I4141" t="s">
        <v>12150</v>
      </c>
      <c r="J4141" t="s">
        <v>1930</v>
      </c>
    </row>
    <row r="4142" spans="9:10" x14ac:dyDescent="0.3">
      <c r="I4142" t="s">
        <v>12151</v>
      </c>
      <c r="J4142" t="s">
        <v>1930</v>
      </c>
    </row>
    <row r="4143" spans="9:10" x14ac:dyDescent="0.3">
      <c r="I4143" t="s">
        <v>12151</v>
      </c>
      <c r="J4143" t="s">
        <v>1930</v>
      </c>
    </row>
    <row r="4144" spans="9:10" x14ac:dyDescent="0.3">
      <c r="I4144" t="s">
        <v>12151</v>
      </c>
      <c r="J4144" t="s">
        <v>1930</v>
      </c>
    </row>
    <row r="4145" spans="9:10" x14ac:dyDescent="0.3">
      <c r="I4145" t="s">
        <v>12152</v>
      </c>
      <c r="J4145" t="s">
        <v>1930</v>
      </c>
    </row>
    <row r="4146" spans="9:10" x14ac:dyDescent="0.3">
      <c r="I4146" t="s">
        <v>12153</v>
      </c>
    </row>
    <row r="4147" spans="9:10" x14ac:dyDescent="0.3">
      <c r="I4147" t="s">
        <v>12154</v>
      </c>
      <c r="J4147" t="s">
        <v>1931</v>
      </c>
    </row>
    <row r="4148" spans="9:10" x14ac:dyDescent="0.3">
      <c r="I4148" t="s">
        <v>12155</v>
      </c>
      <c r="J4148" t="s">
        <v>1932</v>
      </c>
    </row>
    <row r="4149" spans="9:10" x14ac:dyDescent="0.3">
      <c r="I4149" t="s">
        <v>12156</v>
      </c>
      <c r="J4149" t="s">
        <v>1933</v>
      </c>
    </row>
    <row r="4150" spans="9:10" x14ac:dyDescent="0.3">
      <c r="I4150" t="s">
        <v>12157</v>
      </c>
      <c r="J4150" t="s">
        <v>1934</v>
      </c>
    </row>
    <row r="4151" spans="9:10" x14ac:dyDescent="0.3">
      <c r="I4151" t="s">
        <v>12158</v>
      </c>
      <c r="J4151" t="s">
        <v>1935</v>
      </c>
    </row>
    <row r="4152" spans="9:10" x14ac:dyDescent="0.3">
      <c r="I4152" t="s">
        <v>12159</v>
      </c>
      <c r="J4152" t="s">
        <v>1936</v>
      </c>
    </row>
    <row r="4153" spans="9:10" x14ac:dyDescent="0.3">
      <c r="I4153" t="s">
        <v>12160</v>
      </c>
      <c r="J4153" t="s">
        <v>1937</v>
      </c>
    </row>
    <row r="4154" spans="9:10" x14ac:dyDescent="0.3">
      <c r="I4154" t="s">
        <v>12161</v>
      </c>
    </row>
    <row r="4155" spans="9:10" x14ac:dyDescent="0.3">
      <c r="I4155" t="s">
        <v>12162</v>
      </c>
      <c r="J4155" t="s">
        <v>1938</v>
      </c>
    </row>
    <row r="4156" spans="9:10" x14ac:dyDescent="0.3">
      <c r="I4156" t="s">
        <v>12163</v>
      </c>
      <c r="J4156" t="s">
        <v>1939</v>
      </c>
    </row>
    <row r="4157" spans="9:10" x14ac:dyDescent="0.3">
      <c r="I4157" t="s">
        <v>12164</v>
      </c>
      <c r="J4157" t="s">
        <v>1940</v>
      </c>
    </row>
    <row r="4158" spans="9:10" x14ac:dyDescent="0.3">
      <c r="I4158" t="s">
        <v>12165</v>
      </c>
      <c r="J4158" t="s">
        <v>1941</v>
      </c>
    </row>
    <row r="4159" spans="9:10" x14ac:dyDescent="0.3">
      <c r="I4159" t="s">
        <v>12166</v>
      </c>
      <c r="J4159" t="s">
        <v>1942</v>
      </c>
    </row>
    <row r="4160" spans="9:10" x14ac:dyDescent="0.3">
      <c r="I4160" t="s">
        <v>12167</v>
      </c>
      <c r="J4160" t="s">
        <v>1943</v>
      </c>
    </row>
    <row r="4161" spans="9:10" x14ac:dyDescent="0.3">
      <c r="I4161" t="s">
        <v>12168</v>
      </c>
      <c r="J4161" t="s">
        <v>1944</v>
      </c>
    </row>
    <row r="4162" spans="9:10" x14ac:dyDescent="0.3">
      <c r="I4162" t="s">
        <v>12169</v>
      </c>
      <c r="J4162" t="s">
        <v>1945</v>
      </c>
    </row>
    <row r="4163" spans="9:10" x14ac:dyDescent="0.3">
      <c r="I4163" t="s">
        <v>12170</v>
      </c>
      <c r="J4163" t="s">
        <v>1946</v>
      </c>
    </row>
    <row r="4164" spans="9:10" x14ac:dyDescent="0.3">
      <c r="I4164" t="s">
        <v>12171</v>
      </c>
    </row>
    <row r="4165" spans="9:10" x14ac:dyDescent="0.3">
      <c r="I4165" t="s">
        <v>12172</v>
      </c>
    </row>
    <row r="4166" spans="9:10" x14ac:dyDescent="0.3">
      <c r="I4166" t="s">
        <v>12173</v>
      </c>
      <c r="J4166" t="s">
        <v>1947</v>
      </c>
    </row>
    <row r="4167" spans="9:10" x14ac:dyDescent="0.3">
      <c r="I4167" t="s">
        <v>12174</v>
      </c>
    </row>
    <row r="4168" spans="9:10" x14ac:dyDescent="0.3">
      <c r="I4168" t="s">
        <v>12175</v>
      </c>
      <c r="J4168" t="s">
        <v>1948</v>
      </c>
    </row>
    <row r="4169" spans="9:10" x14ac:dyDescent="0.3">
      <c r="I4169" t="s">
        <v>12176</v>
      </c>
    </row>
    <row r="4170" spans="9:10" x14ac:dyDescent="0.3">
      <c r="I4170" t="s">
        <v>12177</v>
      </c>
    </row>
    <row r="4171" spans="9:10" x14ac:dyDescent="0.3">
      <c r="I4171" t="s">
        <v>12178</v>
      </c>
      <c r="J4171" t="s">
        <v>1949</v>
      </c>
    </row>
    <row r="4172" spans="9:10" x14ac:dyDescent="0.3">
      <c r="I4172" t="s">
        <v>12179</v>
      </c>
      <c r="J4172" t="s">
        <v>1950</v>
      </c>
    </row>
    <row r="4173" spans="9:10" x14ac:dyDescent="0.3">
      <c r="I4173" t="s">
        <v>12180</v>
      </c>
      <c r="J4173">
        <v>0</v>
      </c>
    </row>
    <row r="4174" spans="9:10" x14ac:dyDescent="0.3">
      <c r="I4174" t="s">
        <v>12181</v>
      </c>
      <c r="J4174">
        <v>0</v>
      </c>
    </row>
    <row r="4175" spans="9:10" x14ac:dyDescent="0.3">
      <c r="I4175" t="s">
        <v>12182</v>
      </c>
      <c r="J4175" t="s">
        <v>1951</v>
      </c>
    </row>
    <row r="4176" spans="9:10" x14ac:dyDescent="0.3">
      <c r="I4176" t="s">
        <v>12183</v>
      </c>
      <c r="J4176" t="s">
        <v>1952</v>
      </c>
    </row>
    <row r="4177" spans="9:10" x14ac:dyDescent="0.3">
      <c r="I4177" t="s">
        <v>12184</v>
      </c>
      <c r="J4177" t="s">
        <v>1953</v>
      </c>
    </row>
    <row r="4178" spans="9:10" x14ac:dyDescent="0.3">
      <c r="I4178" t="s">
        <v>12185</v>
      </c>
      <c r="J4178" t="s">
        <v>1954</v>
      </c>
    </row>
    <row r="4179" spans="9:10" x14ac:dyDescent="0.3">
      <c r="I4179" t="s">
        <v>12186</v>
      </c>
      <c r="J4179" t="s">
        <v>1955</v>
      </c>
    </row>
    <row r="4180" spans="9:10" x14ac:dyDescent="0.3">
      <c r="I4180" t="s">
        <v>12187</v>
      </c>
    </row>
    <row r="4181" spans="9:10" x14ac:dyDescent="0.3">
      <c r="I4181" t="s">
        <v>12188</v>
      </c>
      <c r="J4181" t="s">
        <v>1956</v>
      </c>
    </row>
    <row r="4182" spans="9:10" x14ac:dyDescent="0.3">
      <c r="I4182" t="s">
        <v>12189</v>
      </c>
      <c r="J4182" t="s">
        <v>1957</v>
      </c>
    </row>
    <row r="4183" spans="9:10" x14ac:dyDescent="0.3">
      <c r="I4183" t="s">
        <v>12190</v>
      </c>
    </row>
    <row r="4184" spans="9:10" x14ac:dyDescent="0.3">
      <c r="I4184" t="s">
        <v>12191</v>
      </c>
    </row>
    <row r="4185" spans="9:10" x14ac:dyDescent="0.3">
      <c r="I4185" t="s">
        <v>12192</v>
      </c>
      <c r="J4185" t="s">
        <v>1958</v>
      </c>
    </row>
    <row r="4186" spans="9:10" x14ac:dyDescent="0.3">
      <c r="I4186" t="s">
        <v>12193</v>
      </c>
      <c r="J4186" t="s">
        <v>1958</v>
      </c>
    </row>
    <row r="4187" spans="9:10" x14ac:dyDescent="0.3">
      <c r="I4187" t="s">
        <v>12194</v>
      </c>
      <c r="J4187" t="s">
        <v>1959</v>
      </c>
    </row>
    <row r="4188" spans="9:10" x14ac:dyDescent="0.3">
      <c r="I4188" t="s">
        <v>12195</v>
      </c>
      <c r="J4188" t="s">
        <v>1960</v>
      </c>
    </row>
    <row r="4189" spans="9:10" x14ac:dyDescent="0.3">
      <c r="I4189" t="s">
        <v>12196</v>
      </c>
      <c r="J4189" t="s">
        <v>1960</v>
      </c>
    </row>
    <row r="4190" spans="9:10" x14ac:dyDescent="0.3">
      <c r="I4190" t="s">
        <v>12197</v>
      </c>
      <c r="J4190" t="s">
        <v>1961</v>
      </c>
    </row>
    <row r="4191" spans="9:10" x14ac:dyDescent="0.3">
      <c r="I4191" t="s">
        <v>12197</v>
      </c>
      <c r="J4191" t="s">
        <v>1961</v>
      </c>
    </row>
    <row r="4192" spans="9:10" x14ac:dyDescent="0.3">
      <c r="I4192" t="s">
        <v>12198</v>
      </c>
    </row>
    <row r="4193" spans="9:10" x14ac:dyDescent="0.3">
      <c r="I4193" t="s">
        <v>12199</v>
      </c>
      <c r="J4193" t="s">
        <v>1962</v>
      </c>
    </row>
    <row r="4194" spans="9:10" x14ac:dyDescent="0.3">
      <c r="I4194" t="s">
        <v>12200</v>
      </c>
      <c r="J4194" t="s">
        <v>1962</v>
      </c>
    </row>
    <row r="4195" spans="9:10" x14ac:dyDescent="0.3">
      <c r="I4195" t="s">
        <v>12199</v>
      </c>
      <c r="J4195" t="s">
        <v>1962</v>
      </c>
    </row>
    <row r="4196" spans="9:10" x14ac:dyDescent="0.3">
      <c r="I4196" t="s">
        <v>12201</v>
      </c>
      <c r="J4196" t="s">
        <v>1963</v>
      </c>
    </row>
    <row r="4197" spans="9:10" x14ac:dyDescent="0.3">
      <c r="I4197" t="s">
        <v>12201</v>
      </c>
      <c r="J4197" t="s">
        <v>1963</v>
      </c>
    </row>
    <row r="4198" spans="9:10" x14ac:dyDescent="0.3">
      <c r="I4198" t="s">
        <v>12201</v>
      </c>
      <c r="J4198" t="s">
        <v>1963</v>
      </c>
    </row>
    <row r="4199" spans="9:10" x14ac:dyDescent="0.3">
      <c r="I4199" t="s">
        <v>12201</v>
      </c>
      <c r="J4199" t="s">
        <v>1963</v>
      </c>
    </row>
    <row r="4200" spans="9:10" x14ac:dyDescent="0.3">
      <c r="I4200" t="s">
        <v>12202</v>
      </c>
      <c r="J4200" t="s">
        <v>1963</v>
      </c>
    </row>
    <row r="4201" spans="9:10" x14ac:dyDescent="0.3">
      <c r="I4201" t="s">
        <v>12203</v>
      </c>
      <c r="J4201" t="s">
        <v>1963</v>
      </c>
    </row>
    <row r="4202" spans="9:10" x14ac:dyDescent="0.3">
      <c r="I4202" t="s">
        <v>12201</v>
      </c>
      <c r="J4202" t="s">
        <v>1963</v>
      </c>
    </row>
    <row r="4203" spans="9:10" x14ac:dyDescent="0.3">
      <c r="I4203" t="s">
        <v>12204</v>
      </c>
      <c r="J4203" t="s">
        <v>1963</v>
      </c>
    </row>
    <row r="4204" spans="9:10" x14ac:dyDescent="0.3">
      <c r="I4204" t="s">
        <v>12205</v>
      </c>
      <c r="J4204" t="s">
        <v>1963</v>
      </c>
    </row>
    <row r="4205" spans="9:10" x14ac:dyDescent="0.3">
      <c r="I4205" t="s">
        <v>12204</v>
      </c>
      <c r="J4205" t="s">
        <v>1963</v>
      </c>
    </row>
    <row r="4206" spans="9:10" x14ac:dyDescent="0.3">
      <c r="I4206" t="s">
        <v>12204</v>
      </c>
      <c r="J4206" t="s">
        <v>1963</v>
      </c>
    </row>
    <row r="4207" spans="9:10" x14ac:dyDescent="0.3">
      <c r="I4207" t="s">
        <v>12201</v>
      </c>
      <c r="J4207" t="s">
        <v>1963</v>
      </c>
    </row>
    <row r="4208" spans="9:10" x14ac:dyDescent="0.3">
      <c r="I4208" t="s">
        <v>12206</v>
      </c>
      <c r="J4208" t="s">
        <v>1964</v>
      </c>
    </row>
    <row r="4209" spans="9:10" x14ac:dyDescent="0.3">
      <c r="I4209" t="s">
        <v>12207</v>
      </c>
      <c r="J4209" t="s">
        <v>1964</v>
      </c>
    </row>
    <row r="4210" spans="9:10" x14ac:dyDescent="0.3">
      <c r="I4210" t="s">
        <v>12207</v>
      </c>
      <c r="J4210" t="s">
        <v>1964</v>
      </c>
    </row>
    <row r="4211" spans="9:10" x14ac:dyDescent="0.3">
      <c r="I4211" t="s">
        <v>12208</v>
      </c>
    </row>
    <row r="4212" spans="9:10" x14ac:dyDescent="0.3">
      <c r="I4212" t="s">
        <v>12209</v>
      </c>
      <c r="J4212" t="s">
        <v>1965</v>
      </c>
    </row>
    <row r="4213" spans="9:10" x14ac:dyDescent="0.3">
      <c r="I4213" t="s">
        <v>12210</v>
      </c>
      <c r="J4213" t="s">
        <v>1965</v>
      </c>
    </row>
    <row r="4214" spans="9:10" x14ac:dyDescent="0.3">
      <c r="I4214" t="s">
        <v>12211</v>
      </c>
      <c r="J4214" t="s">
        <v>1965</v>
      </c>
    </row>
    <row r="4215" spans="9:10" x14ac:dyDescent="0.3">
      <c r="I4215" t="s">
        <v>12209</v>
      </c>
      <c r="J4215" t="s">
        <v>1965</v>
      </c>
    </row>
    <row r="4216" spans="9:10" x14ac:dyDescent="0.3">
      <c r="I4216" t="s">
        <v>12212</v>
      </c>
      <c r="J4216" t="s">
        <v>1966</v>
      </c>
    </row>
    <row r="4217" spans="9:10" x14ac:dyDescent="0.3">
      <c r="I4217" t="s">
        <v>12213</v>
      </c>
      <c r="J4217" t="s">
        <v>1966</v>
      </c>
    </row>
    <row r="4218" spans="9:10" x14ac:dyDescent="0.3">
      <c r="I4218" t="s">
        <v>12214</v>
      </c>
      <c r="J4218" t="s">
        <v>1966</v>
      </c>
    </row>
    <row r="4219" spans="9:10" x14ac:dyDescent="0.3">
      <c r="I4219" t="s">
        <v>12215</v>
      </c>
    </row>
    <row r="4220" spans="9:10" x14ac:dyDescent="0.3">
      <c r="I4220" t="s">
        <v>12216</v>
      </c>
    </row>
    <row r="4221" spans="9:10" x14ac:dyDescent="0.3">
      <c r="I4221" t="s">
        <v>12216</v>
      </c>
    </row>
    <row r="4222" spans="9:10" x14ac:dyDescent="0.3">
      <c r="I4222" t="s">
        <v>12216</v>
      </c>
    </row>
    <row r="4223" spans="9:10" x14ac:dyDescent="0.3">
      <c r="I4223" t="s">
        <v>12216</v>
      </c>
    </row>
    <row r="4224" spans="9:10" x14ac:dyDescent="0.3">
      <c r="I4224" t="s">
        <v>12217</v>
      </c>
    </row>
    <row r="4225" spans="9:10" x14ac:dyDescent="0.3">
      <c r="I4225" t="s">
        <v>12218</v>
      </c>
      <c r="J4225" t="s">
        <v>1967</v>
      </c>
    </row>
    <row r="4226" spans="9:10" x14ac:dyDescent="0.3">
      <c r="I4226" t="s">
        <v>12219</v>
      </c>
      <c r="J4226" t="s">
        <v>1967</v>
      </c>
    </row>
    <row r="4227" spans="9:10" x14ac:dyDescent="0.3">
      <c r="I4227" t="s">
        <v>12218</v>
      </c>
      <c r="J4227" t="s">
        <v>1967</v>
      </c>
    </row>
    <row r="4228" spans="9:10" x14ac:dyDescent="0.3">
      <c r="I4228" t="s">
        <v>12220</v>
      </c>
      <c r="J4228" t="s">
        <v>1968</v>
      </c>
    </row>
    <row r="4229" spans="9:10" x14ac:dyDescent="0.3">
      <c r="I4229" t="s">
        <v>12221</v>
      </c>
    </row>
    <row r="4230" spans="9:10" x14ac:dyDescent="0.3">
      <c r="I4230" t="s">
        <v>12222</v>
      </c>
    </row>
    <row r="4231" spans="9:10" x14ac:dyDescent="0.3">
      <c r="I4231" t="s">
        <v>12222</v>
      </c>
    </row>
    <row r="4232" spans="9:10" x14ac:dyDescent="0.3">
      <c r="I4232" t="s">
        <v>12223</v>
      </c>
      <c r="J4232" t="s">
        <v>1969</v>
      </c>
    </row>
    <row r="4233" spans="9:10" x14ac:dyDescent="0.3">
      <c r="I4233" t="s">
        <v>12224</v>
      </c>
    </row>
    <row r="4234" spans="9:10" x14ac:dyDescent="0.3">
      <c r="I4234" t="s">
        <v>12225</v>
      </c>
      <c r="J4234" t="s">
        <v>1970</v>
      </c>
    </row>
    <row r="4235" spans="9:10" x14ac:dyDescent="0.3">
      <c r="I4235" t="s">
        <v>12226</v>
      </c>
    </row>
    <row r="4236" spans="9:10" x14ac:dyDescent="0.3">
      <c r="I4236" t="s">
        <v>12227</v>
      </c>
    </row>
    <row r="4237" spans="9:10" x14ac:dyDescent="0.3">
      <c r="I4237" t="s">
        <v>12228</v>
      </c>
      <c r="J4237" t="s">
        <v>1971</v>
      </c>
    </row>
    <row r="4238" spans="9:10" x14ac:dyDescent="0.3">
      <c r="I4238" t="s">
        <v>12228</v>
      </c>
      <c r="J4238" t="s">
        <v>1971</v>
      </c>
    </row>
    <row r="4239" spans="9:10" x14ac:dyDescent="0.3">
      <c r="I4239" t="s">
        <v>12228</v>
      </c>
      <c r="J4239" t="s">
        <v>1971</v>
      </c>
    </row>
    <row r="4240" spans="9:10" x14ac:dyDescent="0.3">
      <c r="I4240" t="s">
        <v>12229</v>
      </c>
      <c r="J4240" t="s">
        <v>1971</v>
      </c>
    </row>
    <row r="4241" spans="9:10" x14ac:dyDescent="0.3">
      <c r="I4241" t="s">
        <v>12228</v>
      </c>
      <c r="J4241" t="s">
        <v>1971</v>
      </c>
    </row>
    <row r="4242" spans="9:10" x14ac:dyDescent="0.3">
      <c r="I4242" t="s">
        <v>12230</v>
      </c>
      <c r="J4242" t="s">
        <v>1972</v>
      </c>
    </row>
    <row r="4243" spans="9:10" x14ac:dyDescent="0.3">
      <c r="I4243" t="s">
        <v>12230</v>
      </c>
      <c r="J4243" t="s">
        <v>1972</v>
      </c>
    </row>
    <row r="4244" spans="9:10" x14ac:dyDescent="0.3">
      <c r="I4244" t="s">
        <v>12231</v>
      </c>
      <c r="J4244" t="s">
        <v>1972</v>
      </c>
    </row>
    <row r="4245" spans="9:10" x14ac:dyDescent="0.3">
      <c r="I4245" t="s">
        <v>12231</v>
      </c>
      <c r="J4245" t="s">
        <v>1972</v>
      </c>
    </row>
    <row r="4246" spans="9:10" x14ac:dyDescent="0.3">
      <c r="I4246" t="s">
        <v>12230</v>
      </c>
      <c r="J4246" t="s">
        <v>1972</v>
      </c>
    </row>
    <row r="4247" spans="9:10" x14ac:dyDescent="0.3">
      <c r="I4247" t="s">
        <v>12232</v>
      </c>
      <c r="J4247" t="s">
        <v>1973</v>
      </c>
    </row>
    <row r="4248" spans="9:10" x14ac:dyDescent="0.3">
      <c r="I4248" t="s">
        <v>12232</v>
      </c>
      <c r="J4248" t="s">
        <v>1973</v>
      </c>
    </row>
    <row r="4249" spans="9:10" x14ac:dyDescent="0.3">
      <c r="I4249" t="s">
        <v>12233</v>
      </c>
      <c r="J4249" t="s">
        <v>1974</v>
      </c>
    </row>
    <row r="4250" spans="9:10" x14ac:dyDescent="0.3">
      <c r="I4250" t="s">
        <v>12233</v>
      </c>
      <c r="J4250" t="s">
        <v>1974</v>
      </c>
    </row>
    <row r="4251" spans="9:10" x14ac:dyDescent="0.3">
      <c r="I4251" t="s">
        <v>12234</v>
      </c>
      <c r="J4251" t="s">
        <v>1975</v>
      </c>
    </row>
    <row r="4252" spans="9:10" x14ac:dyDescent="0.3">
      <c r="I4252" t="s">
        <v>12235</v>
      </c>
      <c r="J4252" t="s">
        <v>1976</v>
      </c>
    </row>
    <row r="4253" spans="9:10" x14ac:dyDescent="0.3">
      <c r="I4253" t="s">
        <v>12235</v>
      </c>
      <c r="J4253" t="s">
        <v>1976</v>
      </c>
    </row>
    <row r="4254" spans="9:10" x14ac:dyDescent="0.3">
      <c r="I4254" t="s">
        <v>12236</v>
      </c>
      <c r="J4254" t="s">
        <v>1977</v>
      </c>
    </row>
    <row r="4255" spans="9:10" x14ac:dyDescent="0.3">
      <c r="I4255" t="s">
        <v>12237</v>
      </c>
      <c r="J4255" t="s">
        <v>1977</v>
      </c>
    </row>
    <row r="4256" spans="9:10" x14ac:dyDescent="0.3">
      <c r="I4256" t="s">
        <v>12238</v>
      </c>
      <c r="J4256" t="s">
        <v>1978</v>
      </c>
    </row>
    <row r="4257" spans="9:10" x14ac:dyDescent="0.3">
      <c r="I4257" t="s">
        <v>12238</v>
      </c>
      <c r="J4257" t="s">
        <v>1978</v>
      </c>
    </row>
    <row r="4258" spans="9:10" x14ac:dyDescent="0.3">
      <c r="I4258" t="s">
        <v>12239</v>
      </c>
      <c r="J4258" t="s">
        <v>1979</v>
      </c>
    </row>
    <row r="4259" spans="9:10" x14ac:dyDescent="0.3">
      <c r="I4259" t="s">
        <v>12240</v>
      </c>
      <c r="J4259" t="s">
        <v>1979</v>
      </c>
    </row>
    <row r="4260" spans="9:10" x14ac:dyDescent="0.3">
      <c r="I4260" t="s">
        <v>12241</v>
      </c>
    </row>
    <row r="4261" spans="9:10" x14ac:dyDescent="0.3">
      <c r="I4261" t="s">
        <v>12242</v>
      </c>
      <c r="J4261" t="s">
        <v>1980</v>
      </c>
    </row>
    <row r="4262" spans="9:10" x14ac:dyDescent="0.3">
      <c r="I4262" t="s">
        <v>12242</v>
      </c>
      <c r="J4262" t="s">
        <v>1980</v>
      </c>
    </row>
    <row r="4263" spans="9:10" x14ac:dyDescent="0.3">
      <c r="I4263" t="s">
        <v>12242</v>
      </c>
      <c r="J4263" t="s">
        <v>1980</v>
      </c>
    </row>
    <row r="4264" spans="9:10" x14ac:dyDescent="0.3">
      <c r="I4264" t="s">
        <v>12242</v>
      </c>
      <c r="J4264" t="s">
        <v>1980</v>
      </c>
    </row>
    <row r="4265" spans="9:10" x14ac:dyDescent="0.3">
      <c r="I4265" t="s">
        <v>12243</v>
      </c>
      <c r="J4265" t="s">
        <v>1980</v>
      </c>
    </row>
    <row r="4266" spans="9:10" x14ac:dyDescent="0.3">
      <c r="I4266" t="s">
        <v>12244</v>
      </c>
      <c r="J4266" t="s">
        <v>1981</v>
      </c>
    </row>
    <row r="4267" spans="9:10" x14ac:dyDescent="0.3">
      <c r="I4267" t="s">
        <v>12245</v>
      </c>
      <c r="J4267" t="s">
        <v>1981</v>
      </c>
    </row>
    <row r="4268" spans="9:10" x14ac:dyDescent="0.3">
      <c r="I4268" t="s">
        <v>12246</v>
      </c>
      <c r="J4268" t="s">
        <v>1982</v>
      </c>
    </row>
    <row r="4269" spans="9:10" x14ac:dyDescent="0.3">
      <c r="I4269" t="s">
        <v>12247</v>
      </c>
      <c r="J4269" t="s">
        <v>1982</v>
      </c>
    </row>
    <row r="4270" spans="9:10" x14ac:dyDescent="0.3">
      <c r="I4270" t="s">
        <v>12248</v>
      </c>
      <c r="J4270" t="s">
        <v>1982</v>
      </c>
    </row>
    <row r="4271" spans="9:10" x14ac:dyDescent="0.3">
      <c r="I4271" t="s">
        <v>12249</v>
      </c>
      <c r="J4271" t="s">
        <v>1982</v>
      </c>
    </row>
    <row r="4272" spans="9:10" x14ac:dyDescent="0.3">
      <c r="I4272" t="s">
        <v>12250</v>
      </c>
      <c r="J4272" t="s">
        <v>1983</v>
      </c>
    </row>
    <row r="4273" spans="9:10" x14ac:dyDescent="0.3">
      <c r="I4273" t="s">
        <v>12250</v>
      </c>
      <c r="J4273" t="s">
        <v>1983</v>
      </c>
    </row>
    <row r="4274" spans="9:10" x14ac:dyDescent="0.3">
      <c r="I4274" t="s">
        <v>12250</v>
      </c>
      <c r="J4274" t="s">
        <v>1983</v>
      </c>
    </row>
    <row r="4275" spans="9:10" x14ac:dyDescent="0.3">
      <c r="I4275" t="s">
        <v>12250</v>
      </c>
      <c r="J4275" t="s">
        <v>1983</v>
      </c>
    </row>
    <row r="4276" spans="9:10" x14ac:dyDescent="0.3">
      <c r="I4276" t="s">
        <v>12250</v>
      </c>
      <c r="J4276" t="s">
        <v>1983</v>
      </c>
    </row>
    <row r="4277" spans="9:10" x14ac:dyDescent="0.3">
      <c r="I4277" t="s">
        <v>12250</v>
      </c>
      <c r="J4277" t="s">
        <v>1983</v>
      </c>
    </row>
    <row r="4278" spans="9:10" x14ac:dyDescent="0.3">
      <c r="I4278" t="s">
        <v>12250</v>
      </c>
      <c r="J4278" t="s">
        <v>1983</v>
      </c>
    </row>
    <row r="4279" spans="9:10" x14ac:dyDescent="0.3">
      <c r="I4279" t="s">
        <v>12251</v>
      </c>
      <c r="J4279" t="s">
        <v>1984</v>
      </c>
    </row>
    <row r="4280" spans="9:10" x14ac:dyDescent="0.3">
      <c r="I4280" t="s">
        <v>12252</v>
      </c>
      <c r="J4280" t="s">
        <v>1984</v>
      </c>
    </row>
    <row r="4281" spans="9:10" x14ac:dyDescent="0.3">
      <c r="I4281" t="s">
        <v>12252</v>
      </c>
      <c r="J4281" t="s">
        <v>1984</v>
      </c>
    </row>
    <row r="4282" spans="9:10" x14ac:dyDescent="0.3">
      <c r="I4282" t="s">
        <v>12252</v>
      </c>
      <c r="J4282" t="s">
        <v>1984</v>
      </c>
    </row>
    <row r="4283" spans="9:10" x14ac:dyDescent="0.3">
      <c r="I4283" t="s">
        <v>12252</v>
      </c>
      <c r="J4283" t="s">
        <v>1984</v>
      </c>
    </row>
    <row r="4284" spans="9:10" x14ac:dyDescent="0.3">
      <c r="I4284" t="s">
        <v>12253</v>
      </c>
      <c r="J4284" t="s">
        <v>1984</v>
      </c>
    </row>
    <row r="4285" spans="9:10" x14ac:dyDescent="0.3">
      <c r="I4285" t="s">
        <v>12252</v>
      </c>
      <c r="J4285" t="s">
        <v>1984</v>
      </c>
    </row>
    <row r="4286" spans="9:10" x14ac:dyDescent="0.3">
      <c r="I4286" t="s">
        <v>12254</v>
      </c>
      <c r="J4286" t="s">
        <v>1985</v>
      </c>
    </row>
    <row r="4287" spans="9:10" x14ac:dyDescent="0.3">
      <c r="I4287" t="s">
        <v>12255</v>
      </c>
      <c r="J4287" t="s">
        <v>1986</v>
      </c>
    </row>
    <row r="4288" spans="9:10" x14ac:dyDescent="0.3">
      <c r="I4288" t="s">
        <v>12256</v>
      </c>
    </row>
    <row r="4289" spans="9:10" x14ac:dyDescent="0.3">
      <c r="I4289" t="s">
        <v>12257</v>
      </c>
      <c r="J4289" t="s">
        <v>1987</v>
      </c>
    </row>
    <row r="4290" spans="9:10" x14ac:dyDescent="0.3">
      <c r="I4290" t="s">
        <v>12257</v>
      </c>
      <c r="J4290" t="s">
        <v>1987</v>
      </c>
    </row>
    <row r="4291" spans="9:10" x14ac:dyDescent="0.3">
      <c r="I4291" t="s">
        <v>12258</v>
      </c>
      <c r="J4291" t="s">
        <v>1988</v>
      </c>
    </row>
    <row r="4292" spans="9:10" x14ac:dyDescent="0.3">
      <c r="I4292" t="s">
        <v>12259</v>
      </c>
    </row>
    <row r="4293" spans="9:10" x14ac:dyDescent="0.3">
      <c r="I4293" t="s">
        <v>12260</v>
      </c>
      <c r="J4293" t="s">
        <v>1989</v>
      </c>
    </row>
    <row r="4294" spans="9:10" x14ac:dyDescent="0.3">
      <c r="I4294" t="s">
        <v>12261</v>
      </c>
    </row>
    <row r="4295" spans="9:10" x14ac:dyDescent="0.3">
      <c r="I4295" t="s">
        <v>12262</v>
      </c>
    </row>
    <row r="4296" spans="9:10" x14ac:dyDescent="0.3">
      <c r="I4296" t="s">
        <v>12263</v>
      </c>
    </row>
    <row r="4297" spans="9:10" x14ac:dyDescent="0.3">
      <c r="I4297" t="s">
        <v>12261</v>
      </c>
    </row>
    <row r="4298" spans="9:10" x14ac:dyDescent="0.3">
      <c r="I4298" t="s">
        <v>12264</v>
      </c>
    </row>
    <row r="4299" spans="9:10" x14ac:dyDescent="0.3">
      <c r="I4299" t="s">
        <v>12261</v>
      </c>
    </row>
    <row r="4300" spans="9:10" x14ac:dyDescent="0.3">
      <c r="I4300" t="s">
        <v>12261</v>
      </c>
    </row>
    <row r="4301" spans="9:10" x14ac:dyDescent="0.3">
      <c r="I4301" t="s">
        <v>12261</v>
      </c>
    </row>
    <row r="4302" spans="9:10" x14ac:dyDescent="0.3">
      <c r="I4302" t="s">
        <v>12261</v>
      </c>
    </row>
    <row r="4303" spans="9:10" x14ac:dyDescent="0.3">
      <c r="I4303" t="s">
        <v>12261</v>
      </c>
    </row>
    <row r="4304" spans="9:10" x14ac:dyDescent="0.3">
      <c r="I4304" t="s">
        <v>12265</v>
      </c>
    </row>
    <row r="4305" spans="9:10" x14ac:dyDescent="0.3">
      <c r="I4305" t="s">
        <v>12266</v>
      </c>
    </row>
    <row r="4306" spans="9:10" x14ac:dyDescent="0.3">
      <c r="I4306" t="s">
        <v>12267</v>
      </c>
    </row>
    <row r="4307" spans="9:10" x14ac:dyDescent="0.3">
      <c r="I4307" t="s">
        <v>12268</v>
      </c>
    </row>
    <row r="4308" spans="9:10" x14ac:dyDescent="0.3">
      <c r="I4308" t="s">
        <v>12269</v>
      </c>
    </row>
    <row r="4309" spans="9:10" x14ac:dyDescent="0.3">
      <c r="I4309" t="s">
        <v>12270</v>
      </c>
    </row>
    <row r="4310" spans="9:10" x14ac:dyDescent="0.3">
      <c r="I4310" t="s">
        <v>12271</v>
      </c>
    </row>
    <row r="4311" spans="9:10" x14ac:dyDescent="0.3">
      <c r="I4311" t="s">
        <v>12272</v>
      </c>
    </row>
    <row r="4312" spans="9:10" x14ac:dyDescent="0.3">
      <c r="I4312" t="s">
        <v>12273</v>
      </c>
    </row>
    <row r="4313" spans="9:10" x14ac:dyDescent="0.3">
      <c r="I4313" t="s">
        <v>12274</v>
      </c>
    </row>
    <row r="4314" spans="9:10" x14ac:dyDescent="0.3">
      <c r="I4314" t="s">
        <v>12275</v>
      </c>
    </row>
    <row r="4315" spans="9:10" x14ac:dyDescent="0.3">
      <c r="I4315" t="s">
        <v>12276</v>
      </c>
    </row>
    <row r="4316" spans="9:10" x14ac:dyDescent="0.3">
      <c r="I4316" t="s">
        <v>12276</v>
      </c>
    </row>
    <row r="4317" spans="9:10" x14ac:dyDescent="0.3">
      <c r="I4317" t="s">
        <v>12277</v>
      </c>
    </row>
    <row r="4318" spans="9:10" x14ac:dyDescent="0.3">
      <c r="I4318" t="s">
        <v>12278</v>
      </c>
    </row>
    <row r="4319" spans="9:10" x14ac:dyDescent="0.3">
      <c r="I4319" t="s">
        <v>12279</v>
      </c>
      <c r="J4319" t="s">
        <v>1990</v>
      </c>
    </row>
    <row r="4320" spans="9:10" x14ac:dyDescent="0.3">
      <c r="I4320" t="s">
        <v>12280</v>
      </c>
      <c r="J4320" t="s">
        <v>1991</v>
      </c>
    </row>
    <row r="4321" spans="9:10" x14ac:dyDescent="0.3">
      <c r="I4321" t="s">
        <v>12281</v>
      </c>
      <c r="J4321" t="s">
        <v>1991</v>
      </c>
    </row>
    <row r="4322" spans="9:10" x14ac:dyDescent="0.3">
      <c r="I4322" t="s">
        <v>12282</v>
      </c>
      <c r="J4322" t="s">
        <v>1992</v>
      </c>
    </row>
    <row r="4323" spans="9:10" x14ac:dyDescent="0.3">
      <c r="I4323" t="s">
        <v>12283</v>
      </c>
      <c r="J4323" t="s">
        <v>1992</v>
      </c>
    </row>
    <row r="4324" spans="9:10" x14ac:dyDescent="0.3">
      <c r="I4324" t="s">
        <v>12284</v>
      </c>
    </row>
    <row r="4325" spans="9:10" x14ac:dyDescent="0.3">
      <c r="I4325" t="s">
        <v>12285</v>
      </c>
      <c r="J4325" t="s">
        <v>1993</v>
      </c>
    </row>
    <row r="4326" spans="9:10" x14ac:dyDescent="0.3">
      <c r="I4326" t="s">
        <v>12286</v>
      </c>
    </row>
    <row r="4327" spans="9:10" x14ac:dyDescent="0.3">
      <c r="I4327" t="s">
        <v>12287</v>
      </c>
      <c r="J4327" t="s">
        <v>1994</v>
      </c>
    </row>
    <row r="4328" spans="9:10" x14ac:dyDescent="0.3">
      <c r="I4328" t="s">
        <v>12288</v>
      </c>
      <c r="J4328" t="s">
        <v>1994</v>
      </c>
    </row>
    <row r="4329" spans="9:10" x14ac:dyDescent="0.3">
      <c r="I4329" t="s">
        <v>12289</v>
      </c>
      <c r="J4329" t="s">
        <v>1995</v>
      </c>
    </row>
    <row r="4330" spans="9:10" x14ac:dyDescent="0.3">
      <c r="I4330" t="s">
        <v>12290</v>
      </c>
      <c r="J4330" t="s">
        <v>1995</v>
      </c>
    </row>
    <row r="4331" spans="9:10" x14ac:dyDescent="0.3">
      <c r="I4331" t="s">
        <v>12290</v>
      </c>
      <c r="J4331" t="s">
        <v>1995</v>
      </c>
    </row>
    <row r="4332" spans="9:10" x14ac:dyDescent="0.3">
      <c r="I4332" t="s">
        <v>12290</v>
      </c>
      <c r="J4332" t="s">
        <v>1995</v>
      </c>
    </row>
    <row r="4333" spans="9:10" x14ac:dyDescent="0.3">
      <c r="I4333" t="s">
        <v>12291</v>
      </c>
      <c r="J4333" t="s">
        <v>1996</v>
      </c>
    </row>
    <row r="4334" spans="9:10" x14ac:dyDescent="0.3">
      <c r="I4334" t="s">
        <v>12291</v>
      </c>
      <c r="J4334" t="s">
        <v>1996</v>
      </c>
    </row>
    <row r="4335" spans="9:10" x14ac:dyDescent="0.3">
      <c r="I4335" t="s">
        <v>12292</v>
      </c>
      <c r="J4335" t="s">
        <v>1996</v>
      </c>
    </row>
    <row r="4336" spans="9:10" x14ac:dyDescent="0.3">
      <c r="I4336" t="s">
        <v>12291</v>
      </c>
      <c r="J4336" t="s">
        <v>1996</v>
      </c>
    </row>
    <row r="4337" spans="9:10" x14ac:dyDescent="0.3">
      <c r="I4337" t="s">
        <v>12293</v>
      </c>
      <c r="J4337" t="s">
        <v>1997</v>
      </c>
    </row>
    <row r="4338" spans="9:10" x14ac:dyDescent="0.3">
      <c r="I4338" t="s">
        <v>12294</v>
      </c>
      <c r="J4338" t="s">
        <v>1997</v>
      </c>
    </row>
    <row r="4339" spans="9:10" x14ac:dyDescent="0.3">
      <c r="I4339" t="s">
        <v>12295</v>
      </c>
      <c r="J4339" t="s">
        <v>1997</v>
      </c>
    </row>
    <row r="4340" spans="9:10" x14ac:dyDescent="0.3">
      <c r="I4340" t="s">
        <v>12296</v>
      </c>
    </row>
    <row r="4341" spans="9:10" x14ac:dyDescent="0.3">
      <c r="I4341" t="s">
        <v>12297</v>
      </c>
      <c r="J4341" t="s">
        <v>1998</v>
      </c>
    </row>
    <row r="4342" spans="9:10" x14ac:dyDescent="0.3">
      <c r="I4342" t="s">
        <v>12298</v>
      </c>
      <c r="J4342" t="s">
        <v>1998</v>
      </c>
    </row>
    <row r="4343" spans="9:10" x14ac:dyDescent="0.3">
      <c r="I4343" t="s">
        <v>12299</v>
      </c>
      <c r="J4343" t="s">
        <v>1998</v>
      </c>
    </row>
    <row r="4344" spans="9:10" x14ac:dyDescent="0.3">
      <c r="I4344" t="s">
        <v>12299</v>
      </c>
      <c r="J4344" t="s">
        <v>1998</v>
      </c>
    </row>
    <row r="4345" spans="9:10" x14ac:dyDescent="0.3">
      <c r="I4345" t="s">
        <v>12297</v>
      </c>
      <c r="J4345" t="s">
        <v>1998</v>
      </c>
    </row>
    <row r="4346" spans="9:10" x14ac:dyDescent="0.3">
      <c r="I4346" t="s">
        <v>12297</v>
      </c>
      <c r="J4346" t="s">
        <v>1998</v>
      </c>
    </row>
    <row r="4347" spans="9:10" x14ac:dyDescent="0.3">
      <c r="I4347" t="s">
        <v>12300</v>
      </c>
      <c r="J4347" t="s">
        <v>1999</v>
      </c>
    </row>
    <row r="4348" spans="9:10" x14ac:dyDescent="0.3">
      <c r="I4348" t="s">
        <v>12301</v>
      </c>
      <c r="J4348" t="s">
        <v>2000</v>
      </c>
    </row>
    <row r="4349" spans="9:10" x14ac:dyDescent="0.3">
      <c r="I4349" t="s">
        <v>12301</v>
      </c>
      <c r="J4349" t="s">
        <v>2000</v>
      </c>
    </row>
    <row r="4350" spans="9:10" x14ac:dyDescent="0.3">
      <c r="I4350" t="s">
        <v>12302</v>
      </c>
      <c r="J4350" t="s">
        <v>2001</v>
      </c>
    </row>
    <row r="4351" spans="9:10" x14ac:dyDescent="0.3">
      <c r="I4351" t="s">
        <v>12303</v>
      </c>
      <c r="J4351" t="s">
        <v>2002</v>
      </c>
    </row>
    <row r="4352" spans="9:10" x14ac:dyDescent="0.3">
      <c r="I4352" t="s">
        <v>12303</v>
      </c>
      <c r="J4352" t="s">
        <v>2002</v>
      </c>
    </row>
    <row r="4353" spans="9:10" x14ac:dyDescent="0.3">
      <c r="I4353" t="s">
        <v>12304</v>
      </c>
      <c r="J4353" t="s">
        <v>2003</v>
      </c>
    </row>
    <row r="4354" spans="9:10" x14ac:dyDescent="0.3">
      <c r="I4354" t="s">
        <v>12304</v>
      </c>
      <c r="J4354" t="s">
        <v>2003</v>
      </c>
    </row>
    <row r="4355" spans="9:10" x14ac:dyDescent="0.3">
      <c r="I4355" t="s">
        <v>12305</v>
      </c>
      <c r="J4355" t="s">
        <v>2004</v>
      </c>
    </row>
    <row r="4356" spans="9:10" x14ac:dyDescent="0.3">
      <c r="I4356" t="s">
        <v>12306</v>
      </c>
      <c r="J4356" t="s">
        <v>2004</v>
      </c>
    </row>
    <row r="4357" spans="9:10" x14ac:dyDescent="0.3">
      <c r="I4357" t="s">
        <v>12307</v>
      </c>
      <c r="J4357" t="s">
        <v>2005</v>
      </c>
    </row>
    <row r="4358" spans="9:10" x14ac:dyDescent="0.3">
      <c r="I4358" t="s">
        <v>12308</v>
      </c>
      <c r="J4358" t="s">
        <v>2006</v>
      </c>
    </row>
    <row r="4359" spans="9:10" x14ac:dyDescent="0.3">
      <c r="I4359" t="s">
        <v>12309</v>
      </c>
      <c r="J4359" t="s">
        <v>2007</v>
      </c>
    </row>
    <row r="4360" spans="9:10" x14ac:dyDescent="0.3">
      <c r="I4360" t="s">
        <v>12310</v>
      </c>
      <c r="J4360" t="s">
        <v>2007</v>
      </c>
    </row>
    <row r="4361" spans="9:10" x14ac:dyDescent="0.3">
      <c r="I4361" t="s">
        <v>12311</v>
      </c>
      <c r="J4361" t="s">
        <v>2008</v>
      </c>
    </row>
    <row r="4362" spans="9:10" x14ac:dyDescent="0.3">
      <c r="I4362" t="s">
        <v>12312</v>
      </c>
      <c r="J4362" t="s">
        <v>2008</v>
      </c>
    </row>
    <row r="4363" spans="9:10" x14ac:dyDescent="0.3">
      <c r="I4363" t="s">
        <v>12313</v>
      </c>
      <c r="J4363" t="s">
        <v>2009</v>
      </c>
    </row>
    <row r="4364" spans="9:10" x14ac:dyDescent="0.3">
      <c r="I4364" t="s">
        <v>12313</v>
      </c>
      <c r="J4364" t="s">
        <v>2009</v>
      </c>
    </row>
    <row r="4365" spans="9:10" x14ac:dyDescent="0.3">
      <c r="I4365" t="s">
        <v>12314</v>
      </c>
      <c r="J4365" t="s">
        <v>2009</v>
      </c>
    </row>
    <row r="4366" spans="9:10" x14ac:dyDescent="0.3">
      <c r="I4366" t="s">
        <v>12315</v>
      </c>
      <c r="J4366" t="s">
        <v>2010</v>
      </c>
    </row>
    <row r="4367" spans="9:10" x14ac:dyDescent="0.3">
      <c r="I4367" t="s">
        <v>12316</v>
      </c>
    </row>
    <row r="4368" spans="9:10" x14ac:dyDescent="0.3">
      <c r="I4368" t="s">
        <v>12317</v>
      </c>
      <c r="J4368" t="s">
        <v>2011</v>
      </c>
    </row>
    <row r="4369" spans="9:10" x14ac:dyDescent="0.3">
      <c r="I4369" t="s">
        <v>12318</v>
      </c>
      <c r="J4369" t="s">
        <v>2011</v>
      </c>
    </row>
    <row r="4370" spans="9:10" x14ac:dyDescent="0.3">
      <c r="I4370" t="s">
        <v>12318</v>
      </c>
      <c r="J4370" t="s">
        <v>2011</v>
      </c>
    </row>
    <row r="4371" spans="9:10" x14ac:dyDescent="0.3">
      <c r="I4371" t="s">
        <v>12319</v>
      </c>
      <c r="J4371" t="s">
        <v>2012</v>
      </c>
    </row>
    <row r="4372" spans="9:10" x14ac:dyDescent="0.3">
      <c r="I4372" t="s">
        <v>12320</v>
      </c>
      <c r="J4372" t="s">
        <v>2012</v>
      </c>
    </row>
    <row r="4373" spans="9:10" x14ac:dyDescent="0.3">
      <c r="I4373" t="s">
        <v>12320</v>
      </c>
      <c r="J4373" t="s">
        <v>2012</v>
      </c>
    </row>
    <row r="4374" spans="9:10" x14ac:dyDescent="0.3">
      <c r="I4374" t="s">
        <v>12320</v>
      </c>
      <c r="J4374" t="s">
        <v>2012</v>
      </c>
    </row>
    <row r="4375" spans="9:10" x14ac:dyDescent="0.3">
      <c r="I4375" t="s">
        <v>12320</v>
      </c>
      <c r="J4375" t="s">
        <v>2012</v>
      </c>
    </row>
    <row r="4376" spans="9:10" x14ac:dyDescent="0.3">
      <c r="I4376" t="s">
        <v>12320</v>
      </c>
      <c r="J4376" t="s">
        <v>2012</v>
      </c>
    </row>
    <row r="4377" spans="9:10" x14ac:dyDescent="0.3">
      <c r="I4377" t="s">
        <v>12321</v>
      </c>
      <c r="J4377" t="s">
        <v>2012</v>
      </c>
    </row>
    <row r="4378" spans="9:10" x14ac:dyDescent="0.3">
      <c r="I4378" t="s">
        <v>12320</v>
      </c>
      <c r="J4378" t="s">
        <v>2012</v>
      </c>
    </row>
    <row r="4379" spans="9:10" x14ac:dyDescent="0.3">
      <c r="I4379" t="s">
        <v>12322</v>
      </c>
      <c r="J4379" t="s">
        <v>2012</v>
      </c>
    </row>
    <row r="4380" spans="9:10" x14ac:dyDescent="0.3">
      <c r="I4380" t="s">
        <v>12320</v>
      </c>
      <c r="J4380" t="s">
        <v>2012</v>
      </c>
    </row>
    <row r="4381" spans="9:10" x14ac:dyDescent="0.3">
      <c r="I4381" t="s">
        <v>12320</v>
      </c>
      <c r="J4381" t="s">
        <v>2012</v>
      </c>
    </row>
    <row r="4382" spans="9:10" x14ac:dyDescent="0.3">
      <c r="I4382" t="s">
        <v>12320</v>
      </c>
      <c r="J4382" t="s">
        <v>2012</v>
      </c>
    </row>
    <row r="4383" spans="9:10" x14ac:dyDescent="0.3">
      <c r="I4383" t="s">
        <v>12320</v>
      </c>
      <c r="J4383" t="s">
        <v>2012</v>
      </c>
    </row>
    <row r="4384" spans="9:10" x14ac:dyDescent="0.3">
      <c r="I4384" t="s">
        <v>12320</v>
      </c>
      <c r="J4384" t="s">
        <v>2012</v>
      </c>
    </row>
    <row r="4385" spans="9:10" x14ac:dyDescent="0.3">
      <c r="I4385" t="s">
        <v>12320</v>
      </c>
      <c r="J4385" t="s">
        <v>2012</v>
      </c>
    </row>
    <row r="4386" spans="9:10" x14ac:dyDescent="0.3">
      <c r="I4386" t="s">
        <v>12320</v>
      </c>
      <c r="J4386" t="s">
        <v>2012</v>
      </c>
    </row>
    <row r="4387" spans="9:10" x14ac:dyDescent="0.3">
      <c r="I4387" t="s">
        <v>12320</v>
      </c>
      <c r="J4387" t="s">
        <v>2012</v>
      </c>
    </row>
    <row r="4388" spans="9:10" x14ac:dyDescent="0.3">
      <c r="I4388" t="s">
        <v>12320</v>
      </c>
      <c r="J4388" t="s">
        <v>2012</v>
      </c>
    </row>
    <row r="4389" spans="9:10" x14ac:dyDescent="0.3">
      <c r="I4389" t="s">
        <v>12323</v>
      </c>
      <c r="J4389" t="s">
        <v>2013</v>
      </c>
    </row>
    <row r="4390" spans="9:10" x14ac:dyDescent="0.3">
      <c r="I4390" t="s">
        <v>12324</v>
      </c>
      <c r="J4390" t="s">
        <v>2013</v>
      </c>
    </row>
    <row r="4391" spans="9:10" x14ac:dyDescent="0.3">
      <c r="I4391" t="s">
        <v>12323</v>
      </c>
      <c r="J4391" t="s">
        <v>2013</v>
      </c>
    </row>
    <row r="4392" spans="9:10" x14ac:dyDescent="0.3">
      <c r="I4392" t="s">
        <v>12324</v>
      </c>
      <c r="J4392" t="s">
        <v>2013</v>
      </c>
    </row>
    <row r="4393" spans="9:10" x14ac:dyDescent="0.3">
      <c r="I4393" t="s">
        <v>12325</v>
      </c>
      <c r="J4393" t="s">
        <v>2014</v>
      </c>
    </row>
    <row r="4394" spans="9:10" x14ac:dyDescent="0.3">
      <c r="I4394" t="s">
        <v>12326</v>
      </c>
      <c r="J4394" t="s">
        <v>2014</v>
      </c>
    </row>
    <row r="4395" spans="9:10" x14ac:dyDescent="0.3">
      <c r="I4395" t="s">
        <v>12326</v>
      </c>
      <c r="J4395" t="s">
        <v>2014</v>
      </c>
    </row>
    <row r="4396" spans="9:10" x14ac:dyDescent="0.3">
      <c r="I4396" t="s">
        <v>12326</v>
      </c>
      <c r="J4396" t="s">
        <v>2014</v>
      </c>
    </row>
    <row r="4397" spans="9:10" x14ac:dyDescent="0.3">
      <c r="I4397" t="s">
        <v>12326</v>
      </c>
      <c r="J4397" t="s">
        <v>2014</v>
      </c>
    </row>
    <row r="4398" spans="9:10" x14ac:dyDescent="0.3">
      <c r="I4398" t="s">
        <v>12326</v>
      </c>
      <c r="J4398" t="s">
        <v>2014</v>
      </c>
    </row>
    <row r="4399" spans="9:10" x14ac:dyDescent="0.3">
      <c r="I4399" t="s">
        <v>12326</v>
      </c>
      <c r="J4399" t="s">
        <v>2014</v>
      </c>
    </row>
    <row r="4400" spans="9:10" x14ac:dyDescent="0.3">
      <c r="I4400" t="s">
        <v>12327</v>
      </c>
      <c r="J4400" t="s">
        <v>2015</v>
      </c>
    </row>
    <row r="4401" spans="9:10" x14ac:dyDescent="0.3">
      <c r="I4401" t="s">
        <v>12328</v>
      </c>
      <c r="J4401" t="s">
        <v>2016</v>
      </c>
    </row>
    <row r="4402" spans="9:10" x14ac:dyDescent="0.3">
      <c r="I4402" t="s">
        <v>12329</v>
      </c>
      <c r="J4402" t="s">
        <v>2016</v>
      </c>
    </row>
    <row r="4403" spans="9:10" x14ac:dyDescent="0.3">
      <c r="I4403" t="s">
        <v>12329</v>
      </c>
      <c r="J4403" t="s">
        <v>2016</v>
      </c>
    </row>
    <row r="4404" spans="9:10" x14ac:dyDescent="0.3">
      <c r="I4404" t="s">
        <v>12329</v>
      </c>
      <c r="J4404" t="s">
        <v>2016</v>
      </c>
    </row>
    <row r="4405" spans="9:10" x14ac:dyDescent="0.3">
      <c r="I4405" t="s">
        <v>12329</v>
      </c>
      <c r="J4405" t="s">
        <v>2016</v>
      </c>
    </row>
    <row r="4406" spans="9:10" x14ac:dyDescent="0.3">
      <c r="I4406" t="s">
        <v>12329</v>
      </c>
      <c r="J4406" t="s">
        <v>2016</v>
      </c>
    </row>
    <row r="4407" spans="9:10" x14ac:dyDescent="0.3">
      <c r="I4407" t="s">
        <v>12329</v>
      </c>
      <c r="J4407" t="s">
        <v>2016</v>
      </c>
    </row>
    <row r="4408" spans="9:10" x14ac:dyDescent="0.3">
      <c r="I4408" t="s">
        <v>12329</v>
      </c>
      <c r="J4408" t="s">
        <v>2016</v>
      </c>
    </row>
    <row r="4409" spans="9:10" x14ac:dyDescent="0.3">
      <c r="I4409" t="s">
        <v>12329</v>
      </c>
      <c r="J4409" t="s">
        <v>2016</v>
      </c>
    </row>
    <row r="4410" spans="9:10" x14ac:dyDescent="0.3">
      <c r="I4410" t="s">
        <v>12329</v>
      </c>
      <c r="J4410" t="s">
        <v>2016</v>
      </c>
    </row>
    <row r="4411" spans="9:10" x14ac:dyDescent="0.3">
      <c r="I4411" t="s">
        <v>12330</v>
      </c>
    </row>
    <row r="4412" spans="9:10" x14ac:dyDescent="0.3">
      <c r="I4412" t="s">
        <v>12331</v>
      </c>
      <c r="J4412" t="s">
        <v>2017</v>
      </c>
    </row>
    <row r="4413" spans="9:10" x14ac:dyDescent="0.3">
      <c r="I4413" t="s">
        <v>12332</v>
      </c>
      <c r="J4413" t="s">
        <v>2018</v>
      </c>
    </row>
    <row r="4414" spans="9:10" x14ac:dyDescent="0.3">
      <c r="I4414" t="s">
        <v>12332</v>
      </c>
      <c r="J4414" t="s">
        <v>2018</v>
      </c>
    </row>
    <row r="4415" spans="9:10" x14ac:dyDescent="0.3">
      <c r="I4415" t="s">
        <v>12333</v>
      </c>
    </row>
    <row r="4416" spans="9:10" x14ac:dyDescent="0.3">
      <c r="I4416" t="s">
        <v>12334</v>
      </c>
      <c r="J4416" t="s">
        <v>2019</v>
      </c>
    </row>
    <row r="4417" spans="9:10" x14ac:dyDescent="0.3">
      <c r="I4417" t="s">
        <v>12334</v>
      </c>
      <c r="J4417" t="s">
        <v>2019</v>
      </c>
    </row>
    <row r="4418" spans="9:10" x14ac:dyDescent="0.3">
      <c r="I4418" t="s">
        <v>12335</v>
      </c>
      <c r="J4418" t="s">
        <v>2020</v>
      </c>
    </row>
    <row r="4419" spans="9:10" x14ac:dyDescent="0.3">
      <c r="I4419" t="s">
        <v>12336</v>
      </c>
    </row>
    <row r="4420" spans="9:10" x14ac:dyDescent="0.3">
      <c r="I4420" t="s">
        <v>12337</v>
      </c>
      <c r="J4420" t="s">
        <v>2021</v>
      </c>
    </row>
    <row r="4421" spans="9:10" x14ac:dyDescent="0.3">
      <c r="I4421" t="s">
        <v>12338</v>
      </c>
    </row>
    <row r="4422" spans="9:10" x14ac:dyDescent="0.3">
      <c r="I4422" t="s">
        <v>12338</v>
      </c>
    </row>
    <row r="4423" spans="9:10" x14ac:dyDescent="0.3">
      <c r="I4423" t="s">
        <v>12339</v>
      </c>
      <c r="J4423" t="s">
        <v>2022</v>
      </c>
    </row>
    <row r="4424" spans="9:10" x14ac:dyDescent="0.3">
      <c r="I4424" t="s">
        <v>12339</v>
      </c>
      <c r="J4424" t="s">
        <v>2022</v>
      </c>
    </row>
    <row r="4425" spans="9:10" x14ac:dyDescent="0.3">
      <c r="I4425" t="s">
        <v>12340</v>
      </c>
      <c r="J4425" t="s">
        <v>2023</v>
      </c>
    </row>
    <row r="4426" spans="9:10" x14ac:dyDescent="0.3">
      <c r="I4426" t="s">
        <v>12340</v>
      </c>
      <c r="J4426" t="s">
        <v>2023</v>
      </c>
    </row>
    <row r="4427" spans="9:10" x14ac:dyDescent="0.3">
      <c r="I4427" t="s">
        <v>12341</v>
      </c>
      <c r="J4427" t="s">
        <v>843</v>
      </c>
    </row>
    <row r="4428" spans="9:10" x14ac:dyDescent="0.3">
      <c r="I4428" t="s">
        <v>12342</v>
      </c>
      <c r="J4428" t="s">
        <v>843</v>
      </c>
    </row>
    <row r="4429" spans="9:10" x14ac:dyDescent="0.3">
      <c r="I4429" t="s">
        <v>12342</v>
      </c>
      <c r="J4429" t="s">
        <v>843</v>
      </c>
    </row>
    <row r="4430" spans="9:10" x14ac:dyDescent="0.3">
      <c r="I4430" t="s">
        <v>12343</v>
      </c>
      <c r="J4430" t="s">
        <v>2024</v>
      </c>
    </row>
    <row r="4431" spans="9:10" x14ac:dyDescent="0.3">
      <c r="I4431" t="s">
        <v>12344</v>
      </c>
      <c r="J4431" t="s">
        <v>2025</v>
      </c>
    </row>
    <row r="4432" spans="9:10" x14ac:dyDescent="0.3">
      <c r="I4432" t="s">
        <v>12344</v>
      </c>
      <c r="J4432" t="s">
        <v>2025</v>
      </c>
    </row>
    <row r="4433" spans="9:10" x14ac:dyDescent="0.3">
      <c r="I4433" t="s">
        <v>12345</v>
      </c>
      <c r="J4433" t="s">
        <v>2026</v>
      </c>
    </row>
    <row r="4434" spans="9:10" x14ac:dyDescent="0.3">
      <c r="I4434" t="s">
        <v>12345</v>
      </c>
      <c r="J4434" t="s">
        <v>2026</v>
      </c>
    </row>
    <row r="4435" spans="9:10" x14ac:dyDescent="0.3">
      <c r="I4435" t="s">
        <v>12346</v>
      </c>
      <c r="J4435">
        <v>0</v>
      </c>
    </row>
    <row r="4436" spans="9:10" x14ac:dyDescent="0.3">
      <c r="I4436" t="s">
        <v>12347</v>
      </c>
    </row>
    <row r="4437" spans="9:10" x14ac:dyDescent="0.3">
      <c r="I4437" t="s">
        <v>12348</v>
      </c>
      <c r="J4437" t="s">
        <v>2027</v>
      </c>
    </row>
    <row r="4438" spans="9:10" x14ac:dyDescent="0.3">
      <c r="I4438" t="s">
        <v>12349</v>
      </c>
      <c r="J4438" t="s">
        <v>2027</v>
      </c>
    </row>
    <row r="4439" spans="9:10" x14ac:dyDescent="0.3">
      <c r="I4439" t="s">
        <v>12350</v>
      </c>
      <c r="J4439" t="s">
        <v>2028</v>
      </c>
    </row>
    <row r="4440" spans="9:10" x14ac:dyDescent="0.3">
      <c r="I4440" t="s">
        <v>12351</v>
      </c>
      <c r="J4440" t="s">
        <v>2029</v>
      </c>
    </row>
    <row r="4441" spans="9:10" x14ac:dyDescent="0.3">
      <c r="I4441" t="s">
        <v>12352</v>
      </c>
      <c r="J4441" t="s">
        <v>2029</v>
      </c>
    </row>
    <row r="4442" spans="9:10" x14ac:dyDescent="0.3">
      <c r="I4442" t="s">
        <v>12353</v>
      </c>
      <c r="J4442" t="s">
        <v>2029</v>
      </c>
    </row>
    <row r="4443" spans="9:10" x14ac:dyDescent="0.3">
      <c r="I4443" t="s">
        <v>12354</v>
      </c>
    </row>
    <row r="4444" spans="9:10" x14ac:dyDescent="0.3">
      <c r="I4444" t="s">
        <v>12355</v>
      </c>
    </row>
    <row r="4445" spans="9:10" x14ac:dyDescent="0.3">
      <c r="I4445" t="s">
        <v>12356</v>
      </c>
      <c r="J4445" t="s">
        <v>2030</v>
      </c>
    </row>
    <row r="4446" spans="9:10" x14ac:dyDescent="0.3">
      <c r="I4446" t="s">
        <v>12357</v>
      </c>
    </row>
    <row r="4447" spans="9:10" x14ac:dyDescent="0.3">
      <c r="I4447" t="s">
        <v>12358</v>
      </c>
      <c r="J4447" t="s">
        <v>2031</v>
      </c>
    </row>
    <row r="4448" spans="9:10" x14ac:dyDescent="0.3">
      <c r="I4448" t="s">
        <v>12358</v>
      </c>
      <c r="J4448" t="s">
        <v>2031</v>
      </c>
    </row>
    <row r="4449" spans="9:10" x14ac:dyDescent="0.3">
      <c r="I4449" t="s">
        <v>12359</v>
      </c>
      <c r="J4449" t="s">
        <v>2032</v>
      </c>
    </row>
    <row r="4450" spans="9:10" x14ac:dyDescent="0.3">
      <c r="I4450" t="s">
        <v>12360</v>
      </c>
      <c r="J4450" t="s">
        <v>2032</v>
      </c>
    </row>
    <row r="4451" spans="9:10" x14ac:dyDescent="0.3">
      <c r="I4451" t="s">
        <v>12361</v>
      </c>
      <c r="J4451" t="s">
        <v>2033</v>
      </c>
    </row>
    <row r="4452" spans="9:10" x14ac:dyDescent="0.3">
      <c r="I4452" t="s">
        <v>12362</v>
      </c>
      <c r="J4452" t="s">
        <v>2034</v>
      </c>
    </row>
    <row r="4453" spans="9:10" x14ac:dyDescent="0.3">
      <c r="I4453" t="s">
        <v>12363</v>
      </c>
      <c r="J4453" t="s">
        <v>2034</v>
      </c>
    </row>
    <row r="4454" spans="9:10" x14ac:dyDescent="0.3">
      <c r="I4454" t="s">
        <v>12364</v>
      </c>
      <c r="J4454" t="s">
        <v>2035</v>
      </c>
    </row>
    <row r="4455" spans="9:10" x14ac:dyDescent="0.3">
      <c r="I4455" t="s">
        <v>12365</v>
      </c>
      <c r="J4455" t="s">
        <v>2035</v>
      </c>
    </row>
    <row r="4456" spans="9:10" x14ac:dyDescent="0.3">
      <c r="I4456" t="s">
        <v>12364</v>
      </c>
      <c r="J4456" t="s">
        <v>2035</v>
      </c>
    </row>
    <row r="4457" spans="9:10" x14ac:dyDescent="0.3">
      <c r="I4457" t="s">
        <v>12366</v>
      </c>
      <c r="J4457" t="s">
        <v>2036</v>
      </c>
    </row>
    <row r="4458" spans="9:10" x14ac:dyDescent="0.3">
      <c r="I4458" t="s">
        <v>12367</v>
      </c>
      <c r="J4458" t="s">
        <v>2036</v>
      </c>
    </row>
    <row r="4459" spans="9:10" x14ac:dyDescent="0.3">
      <c r="I4459" t="s">
        <v>12368</v>
      </c>
      <c r="J4459" t="s">
        <v>2036</v>
      </c>
    </row>
    <row r="4460" spans="9:10" x14ac:dyDescent="0.3">
      <c r="I4460" t="s">
        <v>12369</v>
      </c>
      <c r="J4460" t="s">
        <v>2036</v>
      </c>
    </row>
    <row r="4461" spans="9:10" x14ac:dyDescent="0.3">
      <c r="I4461" t="s">
        <v>12367</v>
      </c>
      <c r="J4461" t="s">
        <v>2036</v>
      </c>
    </row>
    <row r="4462" spans="9:10" x14ac:dyDescent="0.3">
      <c r="I4462" t="s">
        <v>12367</v>
      </c>
      <c r="J4462" t="s">
        <v>2036</v>
      </c>
    </row>
    <row r="4463" spans="9:10" x14ac:dyDescent="0.3">
      <c r="I4463" t="s">
        <v>12367</v>
      </c>
      <c r="J4463" t="s">
        <v>2036</v>
      </c>
    </row>
    <row r="4464" spans="9:10" x14ac:dyDescent="0.3">
      <c r="I4464" t="s">
        <v>12367</v>
      </c>
      <c r="J4464" t="s">
        <v>2036</v>
      </c>
    </row>
    <row r="4465" spans="9:10" x14ac:dyDescent="0.3">
      <c r="I4465" t="s">
        <v>12370</v>
      </c>
      <c r="J4465" t="s">
        <v>2037</v>
      </c>
    </row>
    <row r="4466" spans="9:10" x14ac:dyDescent="0.3">
      <c r="I4466" t="s">
        <v>12371</v>
      </c>
      <c r="J4466" t="s">
        <v>2037</v>
      </c>
    </row>
    <row r="4467" spans="9:10" x14ac:dyDescent="0.3">
      <c r="I4467" t="s">
        <v>12372</v>
      </c>
      <c r="J4467" t="s">
        <v>2038</v>
      </c>
    </row>
    <row r="4468" spans="9:10" x14ac:dyDescent="0.3">
      <c r="I4468" t="s">
        <v>12373</v>
      </c>
      <c r="J4468" t="s">
        <v>2038</v>
      </c>
    </row>
    <row r="4469" spans="9:10" x14ac:dyDescent="0.3">
      <c r="I4469" t="s">
        <v>12374</v>
      </c>
      <c r="J4469" t="s">
        <v>2039</v>
      </c>
    </row>
    <row r="4470" spans="9:10" x14ac:dyDescent="0.3">
      <c r="I4470" t="s">
        <v>12374</v>
      </c>
      <c r="J4470" t="s">
        <v>2039</v>
      </c>
    </row>
    <row r="4471" spans="9:10" x14ac:dyDescent="0.3">
      <c r="I4471" t="s">
        <v>12375</v>
      </c>
    </row>
    <row r="4472" spans="9:10" x14ac:dyDescent="0.3">
      <c r="I4472" t="s">
        <v>12376</v>
      </c>
      <c r="J4472" t="s">
        <v>2040</v>
      </c>
    </row>
    <row r="4473" spans="9:10" x14ac:dyDescent="0.3">
      <c r="I4473" t="s">
        <v>12377</v>
      </c>
      <c r="J4473">
        <v>0</v>
      </c>
    </row>
    <row r="4474" spans="9:10" x14ac:dyDescent="0.3">
      <c r="I4474" t="s">
        <v>12378</v>
      </c>
      <c r="J4474">
        <v>0</v>
      </c>
    </row>
    <row r="4475" spans="9:10" x14ac:dyDescent="0.3">
      <c r="I4475" t="s">
        <v>12379</v>
      </c>
      <c r="J4475" t="s">
        <v>2041</v>
      </c>
    </row>
    <row r="4476" spans="9:10" x14ac:dyDescent="0.3">
      <c r="I4476" t="s">
        <v>12379</v>
      </c>
      <c r="J4476" t="s">
        <v>2041</v>
      </c>
    </row>
    <row r="4477" spans="9:10" x14ac:dyDescent="0.3">
      <c r="I4477" t="s">
        <v>12380</v>
      </c>
    </row>
    <row r="4478" spans="9:10" x14ac:dyDescent="0.3">
      <c r="I4478" t="s">
        <v>12381</v>
      </c>
      <c r="J4478" t="s">
        <v>2042</v>
      </c>
    </row>
    <row r="4479" spans="9:10" x14ac:dyDescent="0.3">
      <c r="I4479" t="s">
        <v>12381</v>
      </c>
      <c r="J4479" t="s">
        <v>2042</v>
      </c>
    </row>
    <row r="4480" spans="9:10" x14ac:dyDescent="0.3">
      <c r="I4480" t="s">
        <v>12381</v>
      </c>
      <c r="J4480" t="s">
        <v>2042</v>
      </c>
    </row>
    <row r="4481" spans="9:10" x14ac:dyDescent="0.3">
      <c r="I4481" t="s">
        <v>12381</v>
      </c>
      <c r="J4481" t="s">
        <v>2042</v>
      </c>
    </row>
    <row r="4482" spans="9:10" x14ac:dyDescent="0.3">
      <c r="I4482" t="s">
        <v>12381</v>
      </c>
      <c r="J4482" t="s">
        <v>2042</v>
      </c>
    </row>
    <row r="4483" spans="9:10" x14ac:dyDescent="0.3">
      <c r="I4483" t="s">
        <v>12381</v>
      </c>
      <c r="J4483" t="s">
        <v>2042</v>
      </c>
    </row>
    <row r="4484" spans="9:10" x14ac:dyDescent="0.3">
      <c r="I4484" t="s">
        <v>12382</v>
      </c>
      <c r="J4484" t="s">
        <v>2043</v>
      </c>
    </row>
    <row r="4485" spans="9:10" x14ac:dyDescent="0.3">
      <c r="I4485" t="s">
        <v>12383</v>
      </c>
      <c r="J4485" t="s">
        <v>2044</v>
      </c>
    </row>
    <row r="4486" spans="9:10" x14ac:dyDescent="0.3">
      <c r="I4486" t="s">
        <v>12384</v>
      </c>
    </row>
    <row r="4487" spans="9:10" x14ac:dyDescent="0.3">
      <c r="I4487" t="s">
        <v>12385</v>
      </c>
      <c r="J4487" t="s">
        <v>2045</v>
      </c>
    </row>
    <row r="4488" spans="9:10" x14ac:dyDescent="0.3">
      <c r="I4488" t="s">
        <v>12386</v>
      </c>
      <c r="J4488" t="s">
        <v>2045</v>
      </c>
    </row>
    <row r="4489" spans="9:10" x14ac:dyDescent="0.3">
      <c r="I4489" t="s">
        <v>12387</v>
      </c>
      <c r="J4489" t="s">
        <v>2046</v>
      </c>
    </row>
    <row r="4490" spans="9:10" x14ac:dyDescent="0.3">
      <c r="I4490" t="s">
        <v>12387</v>
      </c>
      <c r="J4490" t="s">
        <v>2046</v>
      </c>
    </row>
    <row r="4491" spans="9:10" x14ac:dyDescent="0.3">
      <c r="I4491" t="s">
        <v>12388</v>
      </c>
      <c r="J4491" t="s">
        <v>2047</v>
      </c>
    </row>
    <row r="4492" spans="9:10" x14ac:dyDescent="0.3">
      <c r="I4492" t="s">
        <v>12388</v>
      </c>
      <c r="J4492" t="s">
        <v>2047</v>
      </c>
    </row>
    <row r="4493" spans="9:10" x14ac:dyDescent="0.3">
      <c r="I4493" t="s">
        <v>12388</v>
      </c>
      <c r="J4493" t="s">
        <v>2047</v>
      </c>
    </row>
    <row r="4494" spans="9:10" x14ac:dyDescent="0.3">
      <c r="I4494" t="s">
        <v>12389</v>
      </c>
      <c r="J4494" t="s">
        <v>2047</v>
      </c>
    </row>
    <row r="4495" spans="9:10" x14ac:dyDescent="0.3">
      <c r="I4495" t="s">
        <v>12389</v>
      </c>
      <c r="J4495" t="s">
        <v>2047</v>
      </c>
    </row>
    <row r="4496" spans="9:10" x14ac:dyDescent="0.3">
      <c r="I4496" t="s">
        <v>12390</v>
      </c>
      <c r="J4496" t="s">
        <v>2048</v>
      </c>
    </row>
    <row r="4497" spans="9:10" x14ac:dyDescent="0.3">
      <c r="I4497" t="s">
        <v>12391</v>
      </c>
      <c r="J4497" t="s">
        <v>2048</v>
      </c>
    </row>
    <row r="4498" spans="9:10" x14ac:dyDescent="0.3">
      <c r="I4498" t="s">
        <v>12392</v>
      </c>
      <c r="J4498" t="s">
        <v>2049</v>
      </c>
    </row>
    <row r="4499" spans="9:10" x14ac:dyDescent="0.3">
      <c r="I4499" t="s">
        <v>12392</v>
      </c>
      <c r="J4499" t="s">
        <v>2049</v>
      </c>
    </row>
    <row r="4500" spans="9:10" x14ac:dyDescent="0.3">
      <c r="I4500" t="s">
        <v>12392</v>
      </c>
      <c r="J4500" t="s">
        <v>2049</v>
      </c>
    </row>
    <row r="4501" spans="9:10" x14ac:dyDescent="0.3">
      <c r="I4501" t="s">
        <v>12392</v>
      </c>
      <c r="J4501" t="s">
        <v>2049</v>
      </c>
    </row>
    <row r="4502" spans="9:10" x14ac:dyDescent="0.3">
      <c r="I4502" t="s">
        <v>12393</v>
      </c>
      <c r="J4502" t="s">
        <v>2050</v>
      </c>
    </row>
    <row r="4503" spans="9:10" x14ac:dyDescent="0.3">
      <c r="I4503" t="s">
        <v>12394</v>
      </c>
    </row>
    <row r="4504" spans="9:10" x14ac:dyDescent="0.3">
      <c r="I4504" t="s">
        <v>12395</v>
      </c>
    </row>
    <row r="4505" spans="9:10" x14ac:dyDescent="0.3">
      <c r="I4505" t="s">
        <v>12394</v>
      </c>
    </row>
    <row r="4506" spans="9:10" x14ac:dyDescent="0.3">
      <c r="I4506" t="s">
        <v>12396</v>
      </c>
    </row>
    <row r="4507" spans="9:10" x14ac:dyDescent="0.3">
      <c r="I4507" t="s">
        <v>12397</v>
      </c>
    </row>
    <row r="4508" spans="9:10" x14ac:dyDescent="0.3">
      <c r="I4508" t="s">
        <v>12397</v>
      </c>
    </row>
    <row r="4509" spans="9:10" x14ac:dyDescent="0.3">
      <c r="I4509" t="s">
        <v>12397</v>
      </c>
    </row>
    <row r="4510" spans="9:10" x14ac:dyDescent="0.3">
      <c r="I4510" t="s">
        <v>12398</v>
      </c>
    </row>
    <row r="4511" spans="9:10" x14ac:dyDescent="0.3">
      <c r="I4511" t="s">
        <v>12398</v>
      </c>
    </row>
    <row r="4512" spans="9:10" x14ac:dyDescent="0.3">
      <c r="I4512" t="s">
        <v>12399</v>
      </c>
    </row>
    <row r="4513" spans="9:10" x14ac:dyDescent="0.3">
      <c r="I4513" t="s">
        <v>12400</v>
      </c>
    </row>
    <row r="4514" spans="9:10" x14ac:dyDescent="0.3">
      <c r="I4514" t="s">
        <v>12401</v>
      </c>
      <c r="J4514" t="s">
        <v>2051</v>
      </c>
    </row>
    <row r="4515" spans="9:10" x14ac:dyDescent="0.3">
      <c r="I4515" t="s">
        <v>12401</v>
      </c>
      <c r="J4515" t="s">
        <v>2051</v>
      </c>
    </row>
    <row r="4516" spans="9:10" x14ac:dyDescent="0.3">
      <c r="I4516" t="s">
        <v>12402</v>
      </c>
      <c r="J4516" t="s">
        <v>2051</v>
      </c>
    </row>
    <row r="4517" spans="9:10" x14ac:dyDescent="0.3">
      <c r="I4517" t="s">
        <v>12401</v>
      </c>
      <c r="J4517" t="s">
        <v>2051</v>
      </c>
    </row>
    <row r="4518" spans="9:10" x14ac:dyDescent="0.3">
      <c r="I4518" t="s">
        <v>12403</v>
      </c>
      <c r="J4518" t="s">
        <v>2052</v>
      </c>
    </row>
    <row r="4519" spans="9:10" x14ac:dyDescent="0.3">
      <c r="I4519" t="s">
        <v>12403</v>
      </c>
      <c r="J4519" t="s">
        <v>2052</v>
      </c>
    </row>
    <row r="4520" spans="9:10" x14ac:dyDescent="0.3">
      <c r="I4520" t="s">
        <v>12403</v>
      </c>
      <c r="J4520" t="s">
        <v>2052</v>
      </c>
    </row>
    <row r="4521" spans="9:10" x14ac:dyDescent="0.3">
      <c r="I4521" t="s">
        <v>12404</v>
      </c>
      <c r="J4521" t="s">
        <v>2052</v>
      </c>
    </row>
    <row r="4522" spans="9:10" x14ac:dyDescent="0.3">
      <c r="I4522" t="s">
        <v>12403</v>
      </c>
      <c r="J4522" t="s">
        <v>2052</v>
      </c>
    </row>
    <row r="4523" spans="9:10" x14ac:dyDescent="0.3">
      <c r="I4523" t="s">
        <v>12405</v>
      </c>
      <c r="J4523" t="s">
        <v>2053</v>
      </c>
    </row>
    <row r="4524" spans="9:10" x14ac:dyDescent="0.3">
      <c r="I4524" t="s">
        <v>12406</v>
      </c>
      <c r="J4524" t="s">
        <v>2054</v>
      </c>
    </row>
    <row r="4525" spans="9:10" x14ac:dyDescent="0.3">
      <c r="I4525" t="s">
        <v>12407</v>
      </c>
      <c r="J4525" t="s">
        <v>2055</v>
      </c>
    </row>
    <row r="4526" spans="9:10" x14ac:dyDescent="0.3">
      <c r="I4526" t="s">
        <v>12408</v>
      </c>
      <c r="J4526">
        <v>0</v>
      </c>
    </row>
    <row r="4527" spans="9:10" x14ac:dyDescent="0.3">
      <c r="I4527" t="s">
        <v>12409</v>
      </c>
      <c r="J4527" t="s">
        <v>2056</v>
      </c>
    </row>
    <row r="4528" spans="9:10" x14ac:dyDescent="0.3">
      <c r="I4528" t="s">
        <v>12409</v>
      </c>
      <c r="J4528" t="s">
        <v>2056</v>
      </c>
    </row>
    <row r="4529" spans="9:10" x14ac:dyDescent="0.3">
      <c r="I4529" t="s">
        <v>12409</v>
      </c>
      <c r="J4529" t="s">
        <v>2056</v>
      </c>
    </row>
    <row r="4530" spans="9:10" x14ac:dyDescent="0.3">
      <c r="I4530" t="s">
        <v>12410</v>
      </c>
      <c r="J4530" t="s">
        <v>2056</v>
      </c>
    </row>
    <row r="4531" spans="9:10" x14ac:dyDescent="0.3">
      <c r="I4531" t="s">
        <v>12411</v>
      </c>
      <c r="J4531" t="s">
        <v>2057</v>
      </c>
    </row>
    <row r="4532" spans="9:10" x14ac:dyDescent="0.3">
      <c r="I4532" t="s">
        <v>12412</v>
      </c>
      <c r="J4532" t="s">
        <v>2058</v>
      </c>
    </row>
    <row r="4533" spans="9:10" x14ac:dyDescent="0.3">
      <c r="I4533" t="s">
        <v>12412</v>
      </c>
      <c r="J4533" t="s">
        <v>2058</v>
      </c>
    </row>
    <row r="4534" spans="9:10" x14ac:dyDescent="0.3">
      <c r="I4534" t="s">
        <v>12412</v>
      </c>
      <c r="J4534" t="s">
        <v>2058</v>
      </c>
    </row>
    <row r="4535" spans="9:10" x14ac:dyDescent="0.3">
      <c r="I4535" t="s">
        <v>12413</v>
      </c>
    </row>
    <row r="4536" spans="9:10" x14ac:dyDescent="0.3">
      <c r="I4536" t="s">
        <v>12413</v>
      </c>
    </row>
    <row r="4537" spans="9:10" x14ac:dyDescent="0.3">
      <c r="I4537" t="s">
        <v>12413</v>
      </c>
    </row>
    <row r="4538" spans="9:10" x14ac:dyDescent="0.3">
      <c r="I4538" t="s">
        <v>12413</v>
      </c>
    </row>
    <row r="4539" spans="9:10" x14ac:dyDescent="0.3">
      <c r="I4539" t="s">
        <v>12414</v>
      </c>
      <c r="J4539" t="s">
        <v>2059</v>
      </c>
    </row>
    <row r="4540" spans="9:10" x14ac:dyDescent="0.3">
      <c r="I4540" t="s">
        <v>12415</v>
      </c>
    </row>
    <row r="4541" spans="9:10" x14ac:dyDescent="0.3">
      <c r="I4541" t="s">
        <v>12416</v>
      </c>
      <c r="J4541" t="s">
        <v>2060</v>
      </c>
    </row>
    <row r="4542" spans="9:10" x14ac:dyDescent="0.3">
      <c r="I4542" t="s">
        <v>12416</v>
      </c>
      <c r="J4542" t="s">
        <v>2060</v>
      </c>
    </row>
    <row r="4543" spans="9:10" x14ac:dyDescent="0.3">
      <c r="I4543" t="s">
        <v>12416</v>
      </c>
      <c r="J4543" t="s">
        <v>2060</v>
      </c>
    </row>
    <row r="4544" spans="9:10" x14ac:dyDescent="0.3">
      <c r="I4544" t="s">
        <v>12416</v>
      </c>
      <c r="J4544" t="s">
        <v>2060</v>
      </c>
    </row>
    <row r="4545" spans="9:10" x14ac:dyDescent="0.3">
      <c r="I4545" t="s">
        <v>12417</v>
      </c>
      <c r="J4545" t="s">
        <v>2061</v>
      </c>
    </row>
    <row r="4546" spans="9:10" x14ac:dyDescent="0.3">
      <c r="I4546" t="s">
        <v>12417</v>
      </c>
      <c r="J4546" t="s">
        <v>2061</v>
      </c>
    </row>
    <row r="4547" spans="9:10" x14ac:dyDescent="0.3">
      <c r="I4547" t="s">
        <v>12417</v>
      </c>
      <c r="J4547" t="s">
        <v>2061</v>
      </c>
    </row>
    <row r="4548" spans="9:10" x14ac:dyDescent="0.3">
      <c r="I4548" t="s">
        <v>12417</v>
      </c>
      <c r="J4548" t="s">
        <v>2061</v>
      </c>
    </row>
    <row r="4549" spans="9:10" x14ac:dyDescent="0.3">
      <c r="I4549" t="s">
        <v>12417</v>
      </c>
      <c r="J4549" t="s">
        <v>2061</v>
      </c>
    </row>
    <row r="4550" spans="9:10" x14ac:dyDescent="0.3">
      <c r="I4550" t="s">
        <v>12418</v>
      </c>
      <c r="J4550" t="s">
        <v>2062</v>
      </c>
    </row>
    <row r="4551" spans="9:10" x14ac:dyDescent="0.3">
      <c r="I4551" t="s">
        <v>12418</v>
      </c>
      <c r="J4551" t="s">
        <v>2062</v>
      </c>
    </row>
    <row r="4552" spans="9:10" x14ac:dyDescent="0.3">
      <c r="I4552" t="s">
        <v>12419</v>
      </c>
      <c r="J4552" t="s">
        <v>2063</v>
      </c>
    </row>
    <row r="4553" spans="9:10" x14ac:dyDescent="0.3">
      <c r="I4553" t="s">
        <v>12420</v>
      </c>
      <c r="J4553" t="s">
        <v>2064</v>
      </c>
    </row>
    <row r="4554" spans="9:10" x14ac:dyDescent="0.3">
      <c r="I4554" t="s">
        <v>12420</v>
      </c>
      <c r="J4554" t="s">
        <v>2064</v>
      </c>
    </row>
    <row r="4555" spans="9:10" x14ac:dyDescent="0.3">
      <c r="I4555" t="s">
        <v>12421</v>
      </c>
    </row>
    <row r="4556" spans="9:10" x14ac:dyDescent="0.3">
      <c r="I4556" t="s">
        <v>12422</v>
      </c>
    </row>
    <row r="4557" spans="9:10" x14ac:dyDescent="0.3">
      <c r="I4557" t="s">
        <v>12423</v>
      </c>
    </row>
    <row r="4558" spans="9:10" x14ac:dyDescent="0.3">
      <c r="I4558" t="s">
        <v>12424</v>
      </c>
      <c r="J4558" t="s">
        <v>2065</v>
      </c>
    </row>
    <row r="4559" spans="9:10" x14ac:dyDescent="0.3">
      <c r="I4559" t="s">
        <v>12424</v>
      </c>
      <c r="J4559" t="s">
        <v>2065</v>
      </c>
    </row>
    <row r="4560" spans="9:10" x14ac:dyDescent="0.3">
      <c r="I4560" t="s">
        <v>12425</v>
      </c>
      <c r="J4560" t="s">
        <v>2066</v>
      </c>
    </row>
    <row r="4561" spans="9:10" x14ac:dyDescent="0.3">
      <c r="I4561" t="s">
        <v>12426</v>
      </c>
      <c r="J4561" t="s">
        <v>2067</v>
      </c>
    </row>
    <row r="4562" spans="9:10" x14ac:dyDescent="0.3">
      <c r="I4562" t="s">
        <v>12427</v>
      </c>
      <c r="J4562" t="s">
        <v>2068</v>
      </c>
    </row>
    <row r="4563" spans="9:10" x14ac:dyDescent="0.3">
      <c r="I4563" t="s">
        <v>12428</v>
      </c>
      <c r="J4563" t="s">
        <v>2068</v>
      </c>
    </row>
    <row r="4564" spans="9:10" x14ac:dyDescent="0.3">
      <c r="I4564" t="s">
        <v>12429</v>
      </c>
    </row>
    <row r="4565" spans="9:10" x14ac:dyDescent="0.3">
      <c r="I4565" t="s">
        <v>12429</v>
      </c>
    </row>
    <row r="4566" spans="9:10" x14ac:dyDescent="0.3">
      <c r="I4566" t="s">
        <v>12429</v>
      </c>
    </row>
    <row r="4567" spans="9:10" x14ac:dyDescent="0.3">
      <c r="I4567" t="s">
        <v>12430</v>
      </c>
    </row>
    <row r="4568" spans="9:10" x14ac:dyDescent="0.3">
      <c r="I4568" t="s">
        <v>12431</v>
      </c>
      <c r="J4568" t="s">
        <v>2069</v>
      </c>
    </row>
    <row r="4569" spans="9:10" x14ac:dyDescent="0.3">
      <c r="I4569" t="s">
        <v>12431</v>
      </c>
      <c r="J4569" t="s">
        <v>2069</v>
      </c>
    </row>
    <row r="4570" spans="9:10" x14ac:dyDescent="0.3">
      <c r="I4570" t="s">
        <v>12431</v>
      </c>
      <c r="J4570" t="s">
        <v>2069</v>
      </c>
    </row>
    <row r="4571" spans="9:10" x14ac:dyDescent="0.3">
      <c r="I4571" t="s">
        <v>12431</v>
      </c>
      <c r="J4571" t="s">
        <v>2069</v>
      </c>
    </row>
    <row r="4572" spans="9:10" x14ac:dyDescent="0.3">
      <c r="I4572" t="s">
        <v>12431</v>
      </c>
      <c r="J4572" t="s">
        <v>2069</v>
      </c>
    </row>
    <row r="4573" spans="9:10" x14ac:dyDescent="0.3">
      <c r="I4573" t="s">
        <v>12432</v>
      </c>
      <c r="J4573" t="s">
        <v>2069</v>
      </c>
    </row>
    <row r="4574" spans="9:10" x14ac:dyDescent="0.3">
      <c r="I4574" t="s">
        <v>12432</v>
      </c>
      <c r="J4574" t="s">
        <v>2069</v>
      </c>
    </row>
    <row r="4575" spans="9:10" x14ac:dyDescent="0.3">
      <c r="I4575" t="s">
        <v>12431</v>
      </c>
      <c r="J4575" t="s">
        <v>2069</v>
      </c>
    </row>
    <row r="4576" spans="9:10" x14ac:dyDescent="0.3">
      <c r="I4576" t="s">
        <v>12431</v>
      </c>
      <c r="J4576" t="s">
        <v>2069</v>
      </c>
    </row>
    <row r="4577" spans="9:10" x14ac:dyDescent="0.3">
      <c r="I4577" t="s">
        <v>12433</v>
      </c>
      <c r="J4577" t="s">
        <v>2070</v>
      </c>
    </row>
    <row r="4578" spans="9:10" x14ac:dyDescent="0.3">
      <c r="I4578" t="s">
        <v>12434</v>
      </c>
      <c r="J4578" t="s">
        <v>2071</v>
      </c>
    </row>
    <row r="4579" spans="9:10" x14ac:dyDescent="0.3">
      <c r="I4579" t="s">
        <v>12434</v>
      </c>
      <c r="J4579" t="s">
        <v>2071</v>
      </c>
    </row>
    <row r="4580" spans="9:10" x14ac:dyDescent="0.3">
      <c r="I4580" t="s">
        <v>12435</v>
      </c>
      <c r="J4580" t="s">
        <v>2072</v>
      </c>
    </row>
    <row r="4581" spans="9:10" x14ac:dyDescent="0.3">
      <c r="I4581" t="s">
        <v>12436</v>
      </c>
      <c r="J4581" t="s">
        <v>2072</v>
      </c>
    </row>
    <row r="4582" spans="9:10" x14ac:dyDescent="0.3">
      <c r="I4582" t="s">
        <v>12435</v>
      </c>
      <c r="J4582" t="s">
        <v>2072</v>
      </c>
    </row>
    <row r="4583" spans="9:10" x14ac:dyDescent="0.3">
      <c r="I4583" t="s">
        <v>12435</v>
      </c>
      <c r="J4583" t="s">
        <v>2072</v>
      </c>
    </row>
    <row r="4584" spans="9:10" x14ac:dyDescent="0.3">
      <c r="I4584" t="s">
        <v>12437</v>
      </c>
      <c r="J4584" t="s">
        <v>2073</v>
      </c>
    </row>
    <row r="4585" spans="9:10" x14ac:dyDescent="0.3">
      <c r="I4585" t="s">
        <v>12437</v>
      </c>
      <c r="J4585" t="s">
        <v>2073</v>
      </c>
    </row>
    <row r="4586" spans="9:10" x14ac:dyDescent="0.3">
      <c r="I4586" t="s">
        <v>12437</v>
      </c>
      <c r="J4586" t="s">
        <v>2073</v>
      </c>
    </row>
    <row r="4587" spans="9:10" x14ac:dyDescent="0.3">
      <c r="I4587" t="s">
        <v>12438</v>
      </c>
    </row>
    <row r="4588" spans="9:10" x14ac:dyDescent="0.3">
      <c r="I4588" t="s">
        <v>12439</v>
      </c>
      <c r="J4588" t="s">
        <v>2074</v>
      </c>
    </row>
    <row r="4589" spans="9:10" x14ac:dyDescent="0.3">
      <c r="I4589" t="s">
        <v>12440</v>
      </c>
      <c r="J4589" t="s">
        <v>2074</v>
      </c>
    </row>
    <row r="4590" spans="9:10" x14ac:dyDescent="0.3">
      <c r="I4590" t="s">
        <v>12441</v>
      </c>
      <c r="J4590" t="s">
        <v>2075</v>
      </c>
    </row>
    <row r="4591" spans="9:10" x14ac:dyDescent="0.3">
      <c r="I4591" t="s">
        <v>12442</v>
      </c>
      <c r="J4591">
        <v>0</v>
      </c>
    </row>
    <row r="4592" spans="9:10" x14ac:dyDescent="0.3">
      <c r="I4592" t="s">
        <v>12443</v>
      </c>
      <c r="J4592" t="s">
        <v>2076</v>
      </c>
    </row>
    <row r="4593" spans="9:10" x14ac:dyDescent="0.3">
      <c r="I4593" t="s">
        <v>12444</v>
      </c>
      <c r="J4593" t="s">
        <v>2077</v>
      </c>
    </row>
    <row r="4594" spans="9:10" x14ac:dyDescent="0.3">
      <c r="I4594" t="s">
        <v>12444</v>
      </c>
      <c r="J4594" t="s">
        <v>2077</v>
      </c>
    </row>
    <row r="4595" spans="9:10" x14ac:dyDescent="0.3">
      <c r="I4595" t="s">
        <v>12444</v>
      </c>
      <c r="J4595" t="s">
        <v>2077</v>
      </c>
    </row>
    <row r="4596" spans="9:10" x14ac:dyDescent="0.3">
      <c r="I4596" t="s">
        <v>12445</v>
      </c>
      <c r="J4596" t="s">
        <v>2078</v>
      </c>
    </row>
    <row r="4597" spans="9:10" x14ac:dyDescent="0.3">
      <c r="I4597" t="s">
        <v>12446</v>
      </c>
      <c r="J4597" t="s">
        <v>2078</v>
      </c>
    </row>
    <row r="4598" spans="9:10" x14ac:dyDescent="0.3">
      <c r="I4598" t="s">
        <v>12447</v>
      </c>
      <c r="J4598" t="s">
        <v>2078</v>
      </c>
    </row>
    <row r="4599" spans="9:10" x14ac:dyDescent="0.3">
      <c r="I4599" t="s">
        <v>12448</v>
      </c>
      <c r="J4599" t="s">
        <v>2079</v>
      </c>
    </row>
    <row r="4600" spans="9:10" x14ac:dyDescent="0.3">
      <c r="I4600" t="s">
        <v>12449</v>
      </c>
      <c r="J4600">
        <v>0</v>
      </c>
    </row>
    <row r="4601" spans="9:10" x14ac:dyDescent="0.3">
      <c r="I4601" t="s">
        <v>12450</v>
      </c>
    </row>
    <row r="4602" spans="9:10" x14ac:dyDescent="0.3">
      <c r="I4602" t="s">
        <v>12451</v>
      </c>
      <c r="J4602" t="s">
        <v>2080</v>
      </c>
    </row>
    <row r="4603" spans="9:10" x14ac:dyDescent="0.3">
      <c r="I4603" t="s">
        <v>12452</v>
      </c>
      <c r="J4603" t="s">
        <v>2081</v>
      </c>
    </row>
    <row r="4604" spans="9:10" x14ac:dyDescent="0.3">
      <c r="I4604" t="s">
        <v>12453</v>
      </c>
      <c r="J4604" t="s">
        <v>2081</v>
      </c>
    </row>
    <row r="4605" spans="9:10" x14ac:dyDescent="0.3">
      <c r="I4605" t="s">
        <v>12454</v>
      </c>
      <c r="J4605" t="s">
        <v>2082</v>
      </c>
    </row>
    <row r="4606" spans="9:10" x14ac:dyDescent="0.3">
      <c r="I4606" t="s">
        <v>12455</v>
      </c>
      <c r="J4606" t="s">
        <v>2083</v>
      </c>
    </row>
    <row r="4607" spans="9:10" x14ac:dyDescent="0.3">
      <c r="I4607" t="s">
        <v>12456</v>
      </c>
      <c r="J4607" t="s">
        <v>2083</v>
      </c>
    </row>
    <row r="4608" spans="9:10" x14ac:dyDescent="0.3">
      <c r="I4608" t="s">
        <v>12457</v>
      </c>
      <c r="J4608" t="s">
        <v>2083</v>
      </c>
    </row>
    <row r="4609" spans="9:10" x14ac:dyDescent="0.3">
      <c r="I4609" t="s">
        <v>12458</v>
      </c>
      <c r="J4609" t="s">
        <v>2083</v>
      </c>
    </row>
    <row r="4610" spans="9:10" x14ac:dyDescent="0.3">
      <c r="I4610" t="s">
        <v>12459</v>
      </c>
      <c r="J4610" t="s">
        <v>2083</v>
      </c>
    </row>
    <row r="4611" spans="9:10" x14ac:dyDescent="0.3">
      <c r="I4611" t="s">
        <v>12460</v>
      </c>
      <c r="J4611" t="s">
        <v>2083</v>
      </c>
    </row>
    <row r="4612" spans="9:10" x14ac:dyDescent="0.3">
      <c r="I4612" t="s">
        <v>12461</v>
      </c>
      <c r="J4612" t="s">
        <v>2083</v>
      </c>
    </row>
    <row r="4613" spans="9:10" x14ac:dyDescent="0.3">
      <c r="I4613" t="s">
        <v>12462</v>
      </c>
      <c r="J4613" t="s">
        <v>2083</v>
      </c>
    </row>
    <row r="4614" spans="9:10" x14ac:dyDescent="0.3">
      <c r="I4614" t="s">
        <v>12463</v>
      </c>
      <c r="J4614" t="s">
        <v>2083</v>
      </c>
    </row>
    <row r="4615" spans="9:10" x14ac:dyDescent="0.3">
      <c r="I4615" t="s">
        <v>12464</v>
      </c>
      <c r="J4615" t="s">
        <v>2083</v>
      </c>
    </row>
    <row r="4616" spans="9:10" x14ac:dyDescent="0.3">
      <c r="I4616" t="s">
        <v>12465</v>
      </c>
    </row>
    <row r="4617" spans="9:10" x14ac:dyDescent="0.3">
      <c r="I4617" t="s">
        <v>12466</v>
      </c>
    </row>
    <row r="4618" spans="9:10" x14ac:dyDescent="0.3">
      <c r="I4618" t="s">
        <v>12467</v>
      </c>
      <c r="J4618" t="s">
        <v>2084</v>
      </c>
    </row>
    <row r="4619" spans="9:10" x14ac:dyDescent="0.3">
      <c r="I4619" t="s">
        <v>12468</v>
      </c>
      <c r="J4619" t="s">
        <v>467</v>
      </c>
    </row>
    <row r="4620" spans="9:10" x14ac:dyDescent="0.3">
      <c r="I4620" t="s">
        <v>12468</v>
      </c>
      <c r="J4620" t="s">
        <v>467</v>
      </c>
    </row>
    <row r="4621" spans="9:10" x14ac:dyDescent="0.3">
      <c r="I4621" t="s">
        <v>12469</v>
      </c>
      <c r="J4621" t="s">
        <v>467</v>
      </c>
    </row>
    <row r="4622" spans="9:10" x14ac:dyDescent="0.3">
      <c r="I4622" t="s">
        <v>12468</v>
      </c>
      <c r="J4622" t="s">
        <v>467</v>
      </c>
    </row>
    <row r="4623" spans="9:10" x14ac:dyDescent="0.3">
      <c r="I4623" t="s">
        <v>12468</v>
      </c>
      <c r="J4623" t="s">
        <v>467</v>
      </c>
    </row>
    <row r="4624" spans="9:10" x14ac:dyDescent="0.3">
      <c r="I4624" t="s">
        <v>12470</v>
      </c>
      <c r="J4624" t="s">
        <v>467</v>
      </c>
    </row>
    <row r="4625" spans="9:10" x14ac:dyDescent="0.3">
      <c r="I4625" t="s">
        <v>12470</v>
      </c>
      <c r="J4625" t="s">
        <v>467</v>
      </c>
    </row>
    <row r="4626" spans="9:10" x14ac:dyDescent="0.3">
      <c r="I4626" t="s">
        <v>466</v>
      </c>
      <c r="J4626" t="s">
        <v>467</v>
      </c>
    </row>
    <row r="4627" spans="9:10" x14ac:dyDescent="0.3">
      <c r="I4627" t="s">
        <v>12471</v>
      </c>
      <c r="J4627" t="s">
        <v>467</v>
      </c>
    </row>
    <row r="4628" spans="9:10" x14ac:dyDescent="0.3">
      <c r="I4628" t="s">
        <v>12472</v>
      </c>
      <c r="J4628" t="s">
        <v>2085</v>
      </c>
    </row>
    <row r="4629" spans="9:10" x14ac:dyDescent="0.3">
      <c r="I4629" t="s">
        <v>12472</v>
      </c>
      <c r="J4629" t="s">
        <v>2085</v>
      </c>
    </row>
    <row r="4630" spans="9:10" x14ac:dyDescent="0.3">
      <c r="I4630" t="s">
        <v>12473</v>
      </c>
    </row>
    <row r="4631" spans="9:10" x14ac:dyDescent="0.3">
      <c r="I4631" t="s">
        <v>12474</v>
      </c>
      <c r="J4631" t="s">
        <v>2086</v>
      </c>
    </row>
    <row r="4632" spans="9:10" x14ac:dyDescent="0.3">
      <c r="I4632" t="s">
        <v>12475</v>
      </c>
      <c r="J4632" t="s">
        <v>2087</v>
      </c>
    </row>
    <row r="4633" spans="9:10" x14ac:dyDescent="0.3">
      <c r="I4633" t="s">
        <v>12476</v>
      </c>
      <c r="J4633" t="s">
        <v>2088</v>
      </c>
    </row>
    <row r="4634" spans="9:10" x14ac:dyDescent="0.3">
      <c r="I4634" t="s">
        <v>12477</v>
      </c>
      <c r="J4634" t="s">
        <v>2089</v>
      </c>
    </row>
    <row r="4635" spans="9:10" x14ac:dyDescent="0.3">
      <c r="I4635" t="s">
        <v>12478</v>
      </c>
      <c r="J4635" t="s">
        <v>2089</v>
      </c>
    </row>
    <row r="4636" spans="9:10" x14ac:dyDescent="0.3">
      <c r="I4636" t="s">
        <v>12479</v>
      </c>
      <c r="J4636" t="s">
        <v>2090</v>
      </c>
    </row>
    <row r="4637" spans="9:10" x14ac:dyDescent="0.3">
      <c r="I4637" t="s">
        <v>12480</v>
      </c>
    </row>
    <row r="4638" spans="9:10" x14ac:dyDescent="0.3">
      <c r="I4638" t="s">
        <v>12480</v>
      </c>
    </row>
    <row r="4639" spans="9:10" x14ac:dyDescent="0.3">
      <c r="I4639" t="s">
        <v>12480</v>
      </c>
    </row>
    <row r="4640" spans="9:10" x14ac:dyDescent="0.3">
      <c r="I4640" t="s">
        <v>12481</v>
      </c>
    </row>
    <row r="4641" spans="9:10" x14ac:dyDescent="0.3">
      <c r="I4641" t="s">
        <v>12482</v>
      </c>
    </row>
    <row r="4642" spans="9:10" x14ac:dyDescent="0.3">
      <c r="I4642" t="s">
        <v>12482</v>
      </c>
    </row>
    <row r="4643" spans="9:10" x14ac:dyDescent="0.3">
      <c r="I4643" t="s">
        <v>11762</v>
      </c>
      <c r="J4643" t="s">
        <v>2091</v>
      </c>
    </row>
    <row r="4644" spans="9:10" x14ac:dyDescent="0.3">
      <c r="I4644" t="s">
        <v>12483</v>
      </c>
      <c r="J4644" t="s">
        <v>2092</v>
      </c>
    </row>
    <row r="4645" spans="9:10" x14ac:dyDescent="0.3">
      <c r="I4645" t="s">
        <v>12483</v>
      </c>
      <c r="J4645" t="s">
        <v>2092</v>
      </c>
    </row>
    <row r="4646" spans="9:10" x14ac:dyDescent="0.3">
      <c r="I4646" t="s">
        <v>12483</v>
      </c>
      <c r="J4646" t="s">
        <v>2092</v>
      </c>
    </row>
    <row r="4647" spans="9:10" x14ac:dyDescent="0.3">
      <c r="I4647" t="s">
        <v>12483</v>
      </c>
      <c r="J4647" t="s">
        <v>2092</v>
      </c>
    </row>
    <row r="4648" spans="9:10" x14ac:dyDescent="0.3">
      <c r="I4648" t="s">
        <v>12483</v>
      </c>
      <c r="J4648" t="s">
        <v>2092</v>
      </c>
    </row>
    <row r="4649" spans="9:10" x14ac:dyDescent="0.3">
      <c r="I4649" t="s">
        <v>12483</v>
      </c>
      <c r="J4649" t="s">
        <v>2092</v>
      </c>
    </row>
    <row r="4650" spans="9:10" x14ac:dyDescent="0.3">
      <c r="I4650" t="s">
        <v>12484</v>
      </c>
      <c r="J4650" t="s">
        <v>2093</v>
      </c>
    </row>
    <row r="4651" spans="9:10" x14ac:dyDescent="0.3">
      <c r="I4651" t="s">
        <v>12484</v>
      </c>
      <c r="J4651" t="s">
        <v>2093</v>
      </c>
    </row>
    <row r="4652" spans="9:10" x14ac:dyDescent="0.3">
      <c r="I4652" t="s">
        <v>12484</v>
      </c>
      <c r="J4652" t="s">
        <v>2093</v>
      </c>
    </row>
    <row r="4653" spans="9:10" x14ac:dyDescent="0.3">
      <c r="I4653" t="s">
        <v>12484</v>
      </c>
      <c r="J4653" t="s">
        <v>2093</v>
      </c>
    </row>
    <row r="4654" spans="9:10" x14ac:dyDescent="0.3">
      <c r="I4654" t="s">
        <v>12484</v>
      </c>
      <c r="J4654" t="s">
        <v>2093</v>
      </c>
    </row>
    <row r="4655" spans="9:10" x14ac:dyDescent="0.3">
      <c r="I4655" t="s">
        <v>12485</v>
      </c>
      <c r="J4655" t="s">
        <v>2093</v>
      </c>
    </row>
    <row r="4656" spans="9:10" x14ac:dyDescent="0.3">
      <c r="I4656" t="s">
        <v>12486</v>
      </c>
      <c r="J4656" t="s">
        <v>2094</v>
      </c>
    </row>
    <row r="4657" spans="9:10" x14ac:dyDescent="0.3">
      <c r="I4657" t="s">
        <v>12486</v>
      </c>
      <c r="J4657" t="s">
        <v>2094</v>
      </c>
    </row>
    <row r="4658" spans="9:10" x14ac:dyDescent="0.3">
      <c r="I4658" t="s">
        <v>12486</v>
      </c>
      <c r="J4658" t="s">
        <v>2094</v>
      </c>
    </row>
    <row r="4659" spans="9:10" x14ac:dyDescent="0.3">
      <c r="I4659" t="s">
        <v>12486</v>
      </c>
      <c r="J4659" t="s">
        <v>2094</v>
      </c>
    </row>
    <row r="4660" spans="9:10" x14ac:dyDescent="0.3">
      <c r="I4660" t="s">
        <v>12486</v>
      </c>
      <c r="J4660" t="s">
        <v>2094</v>
      </c>
    </row>
    <row r="4661" spans="9:10" x14ac:dyDescent="0.3">
      <c r="I4661" t="s">
        <v>12487</v>
      </c>
    </row>
    <row r="4662" spans="9:10" x14ac:dyDescent="0.3">
      <c r="I4662" t="s">
        <v>12488</v>
      </c>
      <c r="J4662" t="s">
        <v>2095</v>
      </c>
    </row>
    <row r="4663" spans="9:10" x14ac:dyDescent="0.3">
      <c r="I4663" t="s">
        <v>12489</v>
      </c>
      <c r="J4663" t="s">
        <v>2096</v>
      </c>
    </row>
    <row r="4664" spans="9:10" x14ac:dyDescent="0.3">
      <c r="I4664" t="s">
        <v>12490</v>
      </c>
      <c r="J4664" t="s">
        <v>2096</v>
      </c>
    </row>
    <row r="4665" spans="9:10" x14ac:dyDescent="0.3">
      <c r="I4665" t="s">
        <v>12490</v>
      </c>
      <c r="J4665" t="s">
        <v>2096</v>
      </c>
    </row>
    <row r="4666" spans="9:10" x14ac:dyDescent="0.3">
      <c r="I4666" t="s">
        <v>12491</v>
      </c>
      <c r="J4666" t="s">
        <v>2097</v>
      </c>
    </row>
    <row r="4667" spans="9:10" x14ac:dyDescent="0.3">
      <c r="I4667" t="s">
        <v>12492</v>
      </c>
    </row>
    <row r="4668" spans="9:10" x14ac:dyDescent="0.3">
      <c r="I4668" t="s">
        <v>12493</v>
      </c>
      <c r="J4668" t="s">
        <v>2098</v>
      </c>
    </row>
    <row r="4669" spans="9:10" x14ac:dyDescent="0.3">
      <c r="I4669" t="s">
        <v>12493</v>
      </c>
      <c r="J4669" t="s">
        <v>2098</v>
      </c>
    </row>
    <row r="4670" spans="9:10" x14ac:dyDescent="0.3">
      <c r="I4670" t="s">
        <v>12493</v>
      </c>
      <c r="J4670" t="s">
        <v>2098</v>
      </c>
    </row>
    <row r="4671" spans="9:10" x14ac:dyDescent="0.3">
      <c r="I4671" t="s">
        <v>12493</v>
      </c>
      <c r="J4671" t="s">
        <v>2098</v>
      </c>
    </row>
    <row r="4672" spans="9:10" x14ac:dyDescent="0.3">
      <c r="I4672" t="s">
        <v>12494</v>
      </c>
      <c r="J4672" t="s">
        <v>2098</v>
      </c>
    </row>
    <row r="4673" spans="9:10" x14ac:dyDescent="0.3">
      <c r="I4673" t="s">
        <v>12495</v>
      </c>
      <c r="J4673" t="s">
        <v>2099</v>
      </c>
    </row>
    <row r="4674" spans="9:10" x14ac:dyDescent="0.3">
      <c r="I4674" t="s">
        <v>12496</v>
      </c>
      <c r="J4674" t="s">
        <v>2100</v>
      </c>
    </row>
    <row r="4675" spans="9:10" x14ac:dyDescent="0.3">
      <c r="I4675" t="s">
        <v>12497</v>
      </c>
      <c r="J4675" t="s">
        <v>2101</v>
      </c>
    </row>
    <row r="4676" spans="9:10" x14ac:dyDescent="0.3">
      <c r="I4676" t="s">
        <v>12498</v>
      </c>
    </row>
    <row r="4677" spans="9:10" x14ac:dyDescent="0.3">
      <c r="I4677" t="s">
        <v>12499</v>
      </c>
      <c r="J4677" t="s">
        <v>2102</v>
      </c>
    </row>
    <row r="4678" spans="9:10" x14ac:dyDescent="0.3">
      <c r="I4678" t="s">
        <v>12500</v>
      </c>
      <c r="J4678" t="s">
        <v>2102</v>
      </c>
    </row>
    <row r="4679" spans="9:10" x14ac:dyDescent="0.3">
      <c r="I4679" t="s">
        <v>12499</v>
      </c>
      <c r="J4679" t="s">
        <v>2102</v>
      </c>
    </row>
    <row r="4680" spans="9:10" x14ac:dyDescent="0.3">
      <c r="I4680" t="s">
        <v>12499</v>
      </c>
      <c r="J4680" t="s">
        <v>2102</v>
      </c>
    </row>
    <row r="4681" spans="9:10" x14ac:dyDescent="0.3">
      <c r="I4681" t="s">
        <v>12501</v>
      </c>
      <c r="J4681" t="s">
        <v>2103</v>
      </c>
    </row>
    <row r="4682" spans="9:10" x14ac:dyDescent="0.3">
      <c r="I4682" t="s">
        <v>12501</v>
      </c>
      <c r="J4682" t="s">
        <v>2103</v>
      </c>
    </row>
    <row r="4683" spans="9:10" x14ac:dyDescent="0.3">
      <c r="I4683" t="s">
        <v>12502</v>
      </c>
      <c r="J4683" t="s">
        <v>2104</v>
      </c>
    </row>
    <row r="4684" spans="9:10" x14ac:dyDescent="0.3">
      <c r="I4684" t="s">
        <v>12503</v>
      </c>
      <c r="J4684" t="s">
        <v>2104</v>
      </c>
    </row>
    <row r="4685" spans="9:10" x14ac:dyDescent="0.3">
      <c r="I4685" t="s">
        <v>12504</v>
      </c>
      <c r="J4685" t="s">
        <v>2105</v>
      </c>
    </row>
    <row r="4686" spans="9:10" x14ac:dyDescent="0.3">
      <c r="I4686" t="s">
        <v>12504</v>
      </c>
      <c r="J4686" t="s">
        <v>2105</v>
      </c>
    </row>
    <row r="4687" spans="9:10" x14ac:dyDescent="0.3">
      <c r="I4687" t="s">
        <v>12504</v>
      </c>
      <c r="J4687" t="s">
        <v>2105</v>
      </c>
    </row>
    <row r="4688" spans="9:10" x14ac:dyDescent="0.3">
      <c r="I4688" t="s">
        <v>12504</v>
      </c>
      <c r="J4688" t="s">
        <v>2105</v>
      </c>
    </row>
    <row r="4689" spans="9:10" x14ac:dyDescent="0.3">
      <c r="I4689" t="s">
        <v>12504</v>
      </c>
      <c r="J4689" t="s">
        <v>2105</v>
      </c>
    </row>
    <row r="4690" spans="9:10" x14ac:dyDescent="0.3">
      <c r="I4690" t="s">
        <v>12505</v>
      </c>
      <c r="J4690" t="s">
        <v>2106</v>
      </c>
    </row>
    <row r="4691" spans="9:10" x14ac:dyDescent="0.3">
      <c r="I4691" t="s">
        <v>12505</v>
      </c>
      <c r="J4691" t="s">
        <v>2106</v>
      </c>
    </row>
    <row r="4692" spans="9:10" x14ac:dyDescent="0.3">
      <c r="I4692" t="s">
        <v>12506</v>
      </c>
      <c r="J4692" t="s">
        <v>2106</v>
      </c>
    </row>
    <row r="4693" spans="9:10" x14ac:dyDescent="0.3">
      <c r="I4693" t="s">
        <v>12506</v>
      </c>
      <c r="J4693" t="s">
        <v>2106</v>
      </c>
    </row>
    <row r="4694" spans="9:10" x14ac:dyDescent="0.3">
      <c r="I4694" t="s">
        <v>12507</v>
      </c>
      <c r="J4694" t="s">
        <v>2107</v>
      </c>
    </row>
    <row r="4695" spans="9:10" x14ac:dyDescent="0.3">
      <c r="I4695" t="s">
        <v>509</v>
      </c>
      <c r="J4695" t="s">
        <v>510</v>
      </c>
    </row>
    <row r="4696" spans="9:10" x14ac:dyDescent="0.3">
      <c r="I4696" t="s">
        <v>509</v>
      </c>
      <c r="J4696" t="s">
        <v>510</v>
      </c>
    </row>
    <row r="4697" spans="9:10" x14ac:dyDescent="0.3">
      <c r="I4697" t="s">
        <v>509</v>
      </c>
      <c r="J4697" t="s">
        <v>510</v>
      </c>
    </row>
    <row r="4698" spans="9:10" x14ac:dyDescent="0.3">
      <c r="I4698" t="s">
        <v>12508</v>
      </c>
    </row>
    <row r="4699" spans="9:10" x14ac:dyDescent="0.3">
      <c r="I4699" t="s">
        <v>12509</v>
      </c>
      <c r="J4699" t="s">
        <v>2108</v>
      </c>
    </row>
    <row r="4700" spans="9:10" x14ac:dyDescent="0.3">
      <c r="I4700" t="s">
        <v>12510</v>
      </c>
      <c r="J4700" t="s">
        <v>2108</v>
      </c>
    </row>
    <row r="4701" spans="9:10" x14ac:dyDescent="0.3">
      <c r="I4701" t="s">
        <v>12509</v>
      </c>
      <c r="J4701" t="s">
        <v>2108</v>
      </c>
    </row>
    <row r="4702" spans="9:10" x14ac:dyDescent="0.3">
      <c r="I4702" t="s">
        <v>12509</v>
      </c>
      <c r="J4702" t="s">
        <v>2108</v>
      </c>
    </row>
    <row r="4703" spans="9:10" x14ac:dyDescent="0.3">
      <c r="I4703" t="s">
        <v>12509</v>
      </c>
      <c r="J4703" t="s">
        <v>2108</v>
      </c>
    </row>
    <row r="4704" spans="9:10" x14ac:dyDescent="0.3">
      <c r="I4704" t="s">
        <v>12511</v>
      </c>
      <c r="J4704" t="s">
        <v>2108</v>
      </c>
    </row>
    <row r="4705" spans="9:10" x14ac:dyDescent="0.3">
      <c r="I4705" t="s">
        <v>12510</v>
      </c>
      <c r="J4705" t="s">
        <v>2108</v>
      </c>
    </row>
    <row r="4706" spans="9:10" x14ac:dyDescent="0.3">
      <c r="I4706" t="s">
        <v>12509</v>
      </c>
      <c r="J4706" t="s">
        <v>2108</v>
      </c>
    </row>
    <row r="4707" spans="9:10" x14ac:dyDescent="0.3">
      <c r="I4707" t="s">
        <v>12510</v>
      </c>
      <c r="J4707" t="s">
        <v>2108</v>
      </c>
    </row>
    <row r="4708" spans="9:10" x14ac:dyDescent="0.3">
      <c r="I4708" t="s">
        <v>12510</v>
      </c>
      <c r="J4708" t="s">
        <v>2108</v>
      </c>
    </row>
    <row r="4709" spans="9:10" x14ac:dyDescent="0.3">
      <c r="I4709" t="s">
        <v>12509</v>
      </c>
      <c r="J4709" t="s">
        <v>2108</v>
      </c>
    </row>
    <row r="4710" spans="9:10" x14ac:dyDescent="0.3">
      <c r="I4710" t="s">
        <v>12509</v>
      </c>
      <c r="J4710" t="s">
        <v>2108</v>
      </c>
    </row>
    <row r="4711" spans="9:10" x14ac:dyDescent="0.3">
      <c r="I4711" t="s">
        <v>12510</v>
      </c>
      <c r="J4711" t="s">
        <v>2108</v>
      </c>
    </row>
    <row r="4712" spans="9:10" x14ac:dyDescent="0.3">
      <c r="I4712" t="s">
        <v>12512</v>
      </c>
      <c r="J4712" t="s">
        <v>2109</v>
      </c>
    </row>
    <row r="4713" spans="9:10" x14ac:dyDescent="0.3">
      <c r="I4713" t="s">
        <v>12513</v>
      </c>
      <c r="J4713" t="s">
        <v>2109</v>
      </c>
    </row>
    <row r="4714" spans="9:10" x14ac:dyDescent="0.3">
      <c r="I4714" t="s">
        <v>12514</v>
      </c>
      <c r="J4714" t="s">
        <v>2109</v>
      </c>
    </row>
    <row r="4715" spans="9:10" x14ac:dyDescent="0.3">
      <c r="I4715" t="s">
        <v>12515</v>
      </c>
      <c r="J4715" t="s">
        <v>2109</v>
      </c>
    </row>
    <row r="4716" spans="9:10" x14ac:dyDescent="0.3">
      <c r="I4716" t="s">
        <v>12516</v>
      </c>
    </row>
    <row r="4717" spans="9:10" x14ac:dyDescent="0.3">
      <c r="I4717" t="s">
        <v>12517</v>
      </c>
    </row>
    <row r="4718" spans="9:10" x14ac:dyDescent="0.3">
      <c r="I4718" t="s">
        <v>12518</v>
      </c>
      <c r="J4718" t="s">
        <v>2110</v>
      </c>
    </row>
    <row r="4719" spans="9:10" x14ac:dyDescent="0.3">
      <c r="I4719" t="s">
        <v>12518</v>
      </c>
      <c r="J4719" t="s">
        <v>2110</v>
      </c>
    </row>
    <row r="4720" spans="9:10" x14ac:dyDescent="0.3">
      <c r="I4720" t="s">
        <v>12518</v>
      </c>
      <c r="J4720" t="s">
        <v>2110</v>
      </c>
    </row>
    <row r="4721" spans="9:10" x14ac:dyDescent="0.3">
      <c r="I4721" t="s">
        <v>12518</v>
      </c>
      <c r="J4721" t="s">
        <v>2110</v>
      </c>
    </row>
    <row r="4722" spans="9:10" x14ac:dyDescent="0.3">
      <c r="I4722" t="s">
        <v>12518</v>
      </c>
      <c r="J4722" t="s">
        <v>2110</v>
      </c>
    </row>
    <row r="4723" spans="9:10" x14ac:dyDescent="0.3">
      <c r="I4723" t="s">
        <v>12519</v>
      </c>
      <c r="J4723" t="s">
        <v>2111</v>
      </c>
    </row>
    <row r="4724" spans="9:10" x14ac:dyDescent="0.3">
      <c r="I4724" t="s">
        <v>12520</v>
      </c>
      <c r="J4724" t="s">
        <v>2111</v>
      </c>
    </row>
    <row r="4725" spans="9:10" x14ac:dyDescent="0.3">
      <c r="I4725" t="s">
        <v>12519</v>
      </c>
      <c r="J4725" t="s">
        <v>2111</v>
      </c>
    </row>
    <row r="4726" spans="9:10" x14ac:dyDescent="0.3">
      <c r="I4726" t="s">
        <v>12519</v>
      </c>
      <c r="J4726" t="s">
        <v>2111</v>
      </c>
    </row>
    <row r="4727" spans="9:10" x14ac:dyDescent="0.3">
      <c r="I4727" t="s">
        <v>12521</v>
      </c>
      <c r="J4727" t="s">
        <v>2111</v>
      </c>
    </row>
    <row r="4728" spans="9:10" x14ac:dyDescent="0.3">
      <c r="I4728" t="s">
        <v>12520</v>
      </c>
      <c r="J4728" t="s">
        <v>2111</v>
      </c>
    </row>
    <row r="4729" spans="9:10" x14ac:dyDescent="0.3">
      <c r="I4729" t="s">
        <v>12519</v>
      </c>
      <c r="J4729" t="s">
        <v>2111</v>
      </c>
    </row>
    <row r="4730" spans="9:10" x14ac:dyDescent="0.3">
      <c r="I4730" t="s">
        <v>12522</v>
      </c>
    </row>
    <row r="4731" spans="9:10" x14ac:dyDescent="0.3">
      <c r="I4731" t="s">
        <v>12523</v>
      </c>
    </row>
    <row r="4732" spans="9:10" x14ac:dyDescent="0.3">
      <c r="I4732" t="s">
        <v>12524</v>
      </c>
      <c r="J4732" t="s">
        <v>2112</v>
      </c>
    </row>
    <row r="4733" spans="9:10" x14ac:dyDescent="0.3">
      <c r="I4733" t="s">
        <v>12525</v>
      </c>
      <c r="J4733" t="s">
        <v>2113</v>
      </c>
    </row>
    <row r="4734" spans="9:10" x14ac:dyDescent="0.3">
      <c r="I4734" t="s">
        <v>12526</v>
      </c>
      <c r="J4734" t="s">
        <v>2114</v>
      </c>
    </row>
    <row r="4735" spans="9:10" x14ac:dyDescent="0.3">
      <c r="I4735" t="s">
        <v>12527</v>
      </c>
      <c r="J4735" t="s">
        <v>2115</v>
      </c>
    </row>
    <row r="4736" spans="9:10" x14ac:dyDescent="0.3">
      <c r="I4736" t="s">
        <v>12527</v>
      </c>
      <c r="J4736" t="s">
        <v>2115</v>
      </c>
    </row>
    <row r="4737" spans="9:10" x14ac:dyDescent="0.3">
      <c r="I4737" t="s">
        <v>12527</v>
      </c>
      <c r="J4737" t="s">
        <v>2115</v>
      </c>
    </row>
    <row r="4738" spans="9:10" x14ac:dyDescent="0.3">
      <c r="I4738" t="s">
        <v>12528</v>
      </c>
      <c r="J4738" t="s">
        <v>2115</v>
      </c>
    </row>
    <row r="4739" spans="9:10" x14ac:dyDescent="0.3">
      <c r="I4739" t="s">
        <v>12527</v>
      </c>
      <c r="J4739" t="s">
        <v>2115</v>
      </c>
    </row>
    <row r="4740" spans="9:10" x14ac:dyDescent="0.3">
      <c r="I4740" t="s">
        <v>12529</v>
      </c>
      <c r="J4740" t="s">
        <v>2116</v>
      </c>
    </row>
    <row r="4741" spans="9:10" x14ac:dyDescent="0.3">
      <c r="I4741" t="s">
        <v>12529</v>
      </c>
      <c r="J4741" t="s">
        <v>2116</v>
      </c>
    </row>
    <row r="4742" spans="9:10" x14ac:dyDescent="0.3">
      <c r="I4742" t="s">
        <v>12529</v>
      </c>
      <c r="J4742" t="s">
        <v>2116</v>
      </c>
    </row>
    <row r="4743" spans="9:10" x14ac:dyDescent="0.3">
      <c r="I4743" t="s">
        <v>12530</v>
      </c>
      <c r="J4743" t="s">
        <v>2117</v>
      </c>
    </row>
    <row r="4744" spans="9:10" x14ac:dyDescent="0.3">
      <c r="I4744" t="s">
        <v>12530</v>
      </c>
      <c r="J4744" t="s">
        <v>2117</v>
      </c>
    </row>
    <row r="4745" spans="9:10" x14ac:dyDescent="0.3">
      <c r="I4745" t="s">
        <v>12530</v>
      </c>
      <c r="J4745" t="s">
        <v>2117</v>
      </c>
    </row>
    <row r="4746" spans="9:10" x14ac:dyDescent="0.3">
      <c r="I4746" t="s">
        <v>12531</v>
      </c>
    </row>
    <row r="4747" spans="9:10" x14ac:dyDescent="0.3">
      <c r="I4747" t="s">
        <v>12532</v>
      </c>
      <c r="J4747" t="s">
        <v>2118</v>
      </c>
    </row>
    <row r="4748" spans="9:10" x14ac:dyDescent="0.3">
      <c r="I4748" t="s">
        <v>12533</v>
      </c>
    </row>
    <row r="4749" spans="9:10" x14ac:dyDescent="0.3">
      <c r="I4749" t="s">
        <v>12534</v>
      </c>
      <c r="J4749" t="s">
        <v>2119</v>
      </c>
    </row>
    <row r="4750" spans="9:10" x14ac:dyDescent="0.3">
      <c r="I4750" t="s">
        <v>12535</v>
      </c>
      <c r="J4750" t="s">
        <v>2119</v>
      </c>
    </row>
    <row r="4751" spans="9:10" x14ac:dyDescent="0.3">
      <c r="I4751" t="s">
        <v>12536</v>
      </c>
      <c r="J4751" t="s">
        <v>550</v>
      </c>
    </row>
    <row r="4752" spans="9:10" x14ac:dyDescent="0.3">
      <c r="I4752" t="s">
        <v>12536</v>
      </c>
      <c r="J4752" t="s">
        <v>550</v>
      </c>
    </row>
    <row r="4753" spans="9:10" x14ac:dyDescent="0.3">
      <c r="I4753" t="s">
        <v>12536</v>
      </c>
      <c r="J4753" t="s">
        <v>550</v>
      </c>
    </row>
    <row r="4754" spans="9:10" x14ac:dyDescent="0.3">
      <c r="I4754" t="s">
        <v>12536</v>
      </c>
      <c r="J4754" t="s">
        <v>550</v>
      </c>
    </row>
    <row r="4755" spans="9:10" x14ac:dyDescent="0.3">
      <c r="I4755" t="s">
        <v>12537</v>
      </c>
      <c r="J4755" t="s">
        <v>554</v>
      </c>
    </row>
    <row r="4756" spans="9:10" x14ac:dyDescent="0.3">
      <c r="I4756" t="s">
        <v>12538</v>
      </c>
      <c r="J4756" t="s">
        <v>554</v>
      </c>
    </row>
    <row r="4757" spans="9:10" x14ac:dyDescent="0.3">
      <c r="I4757" t="s">
        <v>12539</v>
      </c>
      <c r="J4757" t="s">
        <v>2120</v>
      </c>
    </row>
    <row r="4758" spans="9:10" x14ac:dyDescent="0.3">
      <c r="I4758" t="s">
        <v>12539</v>
      </c>
      <c r="J4758" t="s">
        <v>2120</v>
      </c>
    </row>
    <row r="4759" spans="9:10" x14ac:dyDescent="0.3">
      <c r="I4759" t="s">
        <v>12540</v>
      </c>
    </row>
    <row r="4760" spans="9:10" x14ac:dyDescent="0.3">
      <c r="I4760" t="s">
        <v>12541</v>
      </c>
    </row>
    <row r="4761" spans="9:10" x14ac:dyDescent="0.3">
      <c r="I4761" t="s">
        <v>12542</v>
      </c>
      <c r="J4761" t="s">
        <v>2121</v>
      </c>
    </row>
    <row r="4762" spans="9:10" x14ac:dyDescent="0.3">
      <c r="I4762" t="s">
        <v>12543</v>
      </c>
    </row>
    <row r="4763" spans="9:10" x14ac:dyDescent="0.3">
      <c r="I4763" t="s">
        <v>12544</v>
      </c>
    </row>
    <row r="4764" spans="9:10" x14ac:dyDescent="0.3">
      <c r="I4764" t="s">
        <v>12544</v>
      </c>
    </row>
    <row r="4765" spans="9:10" x14ac:dyDescent="0.3">
      <c r="I4765" t="s">
        <v>12545</v>
      </c>
    </row>
    <row r="4766" spans="9:10" x14ac:dyDescent="0.3">
      <c r="I4766" t="s">
        <v>12546</v>
      </c>
      <c r="J4766" t="s">
        <v>2122</v>
      </c>
    </row>
    <row r="4767" spans="9:10" x14ac:dyDescent="0.3">
      <c r="I4767" t="s">
        <v>12547</v>
      </c>
      <c r="J4767" t="s">
        <v>2122</v>
      </c>
    </row>
    <row r="4768" spans="9:10" x14ac:dyDescent="0.3">
      <c r="I4768" t="s">
        <v>12548</v>
      </c>
      <c r="J4768" t="s">
        <v>2122</v>
      </c>
    </row>
    <row r="4769" spans="9:10" x14ac:dyDescent="0.3">
      <c r="I4769" t="s">
        <v>12549</v>
      </c>
      <c r="J4769" t="s">
        <v>2122</v>
      </c>
    </row>
    <row r="4770" spans="9:10" x14ac:dyDescent="0.3">
      <c r="I4770" t="s">
        <v>12548</v>
      </c>
      <c r="J4770" t="s">
        <v>2122</v>
      </c>
    </row>
    <row r="4771" spans="9:10" x14ac:dyDescent="0.3">
      <c r="I4771" t="s">
        <v>12547</v>
      </c>
      <c r="J4771" t="s">
        <v>2122</v>
      </c>
    </row>
    <row r="4772" spans="9:10" x14ac:dyDescent="0.3">
      <c r="I4772" t="s">
        <v>12550</v>
      </c>
      <c r="J4772" t="s">
        <v>2123</v>
      </c>
    </row>
    <row r="4773" spans="9:10" x14ac:dyDescent="0.3">
      <c r="I4773" t="s">
        <v>12551</v>
      </c>
      <c r="J4773" t="s">
        <v>2124</v>
      </c>
    </row>
    <row r="4774" spans="9:10" x14ac:dyDescent="0.3">
      <c r="I4774" t="s">
        <v>12551</v>
      </c>
      <c r="J4774" t="s">
        <v>2124</v>
      </c>
    </row>
    <row r="4775" spans="9:10" x14ac:dyDescent="0.3">
      <c r="I4775" t="s">
        <v>12551</v>
      </c>
      <c r="J4775" t="s">
        <v>2124</v>
      </c>
    </row>
    <row r="4776" spans="9:10" x14ac:dyDescent="0.3">
      <c r="I4776" t="s">
        <v>12552</v>
      </c>
      <c r="J4776" t="s">
        <v>2125</v>
      </c>
    </row>
    <row r="4777" spans="9:10" x14ac:dyDescent="0.3">
      <c r="I4777" t="s">
        <v>12553</v>
      </c>
      <c r="J4777" t="s">
        <v>2126</v>
      </c>
    </row>
    <row r="4778" spans="9:10" x14ac:dyDescent="0.3">
      <c r="I4778" t="s">
        <v>12554</v>
      </c>
      <c r="J4778" t="s">
        <v>2126</v>
      </c>
    </row>
    <row r="4779" spans="9:10" x14ac:dyDescent="0.3">
      <c r="I4779" t="s">
        <v>12555</v>
      </c>
      <c r="J4779" t="s">
        <v>2127</v>
      </c>
    </row>
    <row r="4780" spans="9:10" x14ac:dyDescent="0.3">
      <c r="I4780" t="s">
        <v>12556</v>
      </c>
      <c r="J4780" t="s">
        <v>2127</v>
      </c>
    </row>
    <row r="4781" spans="9:10" x14ac:dyDescent="0.3">
      <c r="I4781" t="s">
        <v>12556</v>
      </c>
      <c r="J4781" t="s">
        <v>2127</v>
      </c>
    </row>
    <row r="4782" spans="9:10" x14ac:dyDescent="0.3">
      <c r="I4782" t="s">
        <v>12555</v>
      </c>
      <c r="J4782" t="s">
        <v>2127</v>
      </c>
    </row>
    <row r="4783" spans="9:10" x14ac:dyDescent="0.3">
      <c r="I4783" t="s">
        <v>12557</v>
      </c>
      <c r="J4783" t="s">
        <v>2127</v>
      </c>
    </row>
    <row r="4784" spans="9:10" x14ac:dyDescent="0.3">
      <c r="I4784" t="s">
        <v>12558</v>
      </c>
      <c r="J4784" t="s">
        <v>2128</v>
      </c>
    </row>
    <row r="4785" spans="9:10" x14ac:dyDescent="0.3">
      <c r="I4785" t="s">
        <v>12559</v>
      </c>
      <c r="J4785" t="s">
        <v>2129</v>
      </c>
    </row>
    <row r="4786" spans="9:10" x14ac:dyDescent="0.3">
      <c r="I4786" t="s">
        <v>12560</v>
      </c>
      <c r="J4786" t="s">
        <v>2129</v>
      </c>
    </row>
    <row r="4787" spans="9:10" x14ac:dyDescent="0.3">
      <c r="I4787" t="s">
        <v>12561</v>
      </c>
      <c r="J4787" t="s">
        <v>2130</v>
      </c>
    </row>
    <row r="4788" spans="9:10" x14ac:dyDescent="0.3">
      <c r="I4788" t="s">
        <v>12562</v>
      </c>
      <c r="J4788" t="s">
        <v>2131</v>
      </c>
    </row>
    <row r="4789" spans="9:10" x14ac:dyDescent="0.3">
      <c r="I4789" t="s">
        <v>12563</v>
      </c>
      <c r="J4789" t="s">
        <v>2131</v>
      </c>
    </row>
    <row r="4790" spans="9:10" x14ac:dyDescent="0.3">
      <c r="I4790" t="s">
        <v>12564</v>
      </c>
      <c r="J4790" t="s">
        <v>2132</v>
      </c>
    </row>
    <row r="4791" spans="9:10" x14ac:dyDescent="0.3">
      <c r="I4791" t="s">
        <v>12564</v>
      </c>
      <c r="J4791" t="s">
        <v>2132</v>
      </c>
    </row>
    <row r="4792" spans="9:10" x14ac:dyDescent="0.3">
      <c r="I4792" t="s">
        <v>12564</v>
      </c>
      <c r="J4792" t="s">
        <v>2132</v>
      </c>
    </row>
    <row r="4793" spans="9:10" x14ac:dyDescent="0.3">
      <c r="I4793" t="s">
        <v>12564</v>
      </c>
      <c r="J4793" t="s">
        <v>2132</v>
      </c>
    </row>
    <row r="4794" spans="9:10" x14ac:dyDescent="0.3">
      <c r="I4794" t="s">
        <v>12565</v>
      </c>
      <c r="J4794" t="s">
        <v>2133</v>
      </c>
    </row>
    <row r="4795" spans="9:10" x14ac:dyDescent="0.3">
      <c r="I4795" t="s">
        <v>12565</v>
      </c>
      <c r="J4795" t="s">
        <v>2133</v>
      </c>
    </row>
    <row r="4796" spans="9:10" x14ac:dyDescent="0.3">
      <c r="I4796" t="s">
        <v>12566</v>
      </c>
      <c r="J4796" t="s">
        <v>2134</v>
      </c>
    </row>
    <row r="4797" spans="9:10" x14ac:dyDescent="0.3">
      <c r="I4797" t="s">
        <v>12566</v>
      </c>
      <c r="J4797" t="s">
        <v>2134</v>
      </c>
    </row>
    <row r="4798" spans="9:10" x14ac:dyDescent="0.3">
      <c r="I4798" t="s">
        <v>12567</v>
      </c>
    </row>
    <row r="4799" spans="9:10" x14ac:dyDescent="0.3">
      <c r="I4799" t="s">
        <v>12568</v>
      </c>
    </row>
    <row r="4800" spans="9:10" x14ac:dyDescent="0.3">
      <c r="I4800" t="s">
        <v>12569</v>
      </c>
    </row>
    <row r="4801" spans="9:10" x14ac:dyDescent="0.3">
      <c r="I4801" t="s">
        <v>12570</v>
      </c>
    </row>
    <row r="4802" spans="9:10" x14ac:dyDescent="0.3">
      <c r="I4802" t="s">
        <v>12571</v>
      </c>
      <c r="J4802" t="s">
        <v>2135</v>
      </c>
    </row>
    <row r="4803" spans="9:10" x14ac:dyDescent="0.3">
      <c r="I4803" t="s">
        <v>12572</v>
      </c>
      <c r="J4803" t="s">
        <v>2136</v>
      </c>
    </row>
    <row r="4804" spans="9:10" x14ac:dyDescent="0.3">
      <c r="I4804" t="s">
        <v>12572</v>
      </c>
      <c r="J4804" t="s">
        <v>2136</v>
      </c>
    </row>
    <row r="4805" spans="9:10" x14ac:dyDescent="0.3">
      <c r="I4805" t="s">
        <v>12573</v>
      </c>
      <c r="J4805" t="s">
        <v>2136</v>
      </c>
    </row>
    <row r="4806" spans="9:10" x14ac:dyDescent="0.3">
      <c r="I4806" t="s">
        <v>12573</v>
      </c>
      <c r="J4806" t="s">
        <v>2136</v>
      </c>
    </row>
    <row r="4807" spans="9:10" x14ac:dyDescent="0.3">
      <c r="I4807" t="s">
        <v>12574</v>
      </c>
      <c r="J4807" t="s">
        <v>2136</v>
      </c>
    </row>
    <row r="4808" spans="9:10" x14ac:dyDescent="0.3">
      <c r="I4808" t="s">
        <v>12572</v>
      </c>
      <c r="J4808" t="s">
        <v>2136</v>
      </c>
    </row>
    <row r="4809" spans="9:10" x14ac:dyDescent="0.3">
      <c r="I4809" t="s">
        <v>12572</v>
      </c>
      <c r="J4809" t="s">
        <v>2136</v>
      </c>
    </row>
    <row r="4810" spans="9:10" x14ac:dyDescent="0.3">
      <c r="I4810" t="s">
        <v>12575</v>
      </c>
      <c r="J4810" t="s">
        <v>2137</v>
      </c>
    </row>
    <row r="4811" spans="9:10" x14ac:dyDescent="0.3">
      <c r="I4811" t="s">
        <v>12576</v>
      </c>
      <c r="J4811" t="s">
        <v>2138</v>
      </c>
    </row>
    <row r="4812" spans="9:10" x14ac:dyDescent="0.3">
      <c r="I4812" t="s">
        <v>12577</v>
      </c>
      <c r="J4812" t="s">
        <v>2138</v>
      </c>
    </row>
    <row r="4813" spans="9:10" x14ac:dyDescent="0.3">
      <c r="I4813" t="s">
        <v>12578</v>
      </c>
      <c r="J4813" t="s">
        <v>2139</v>
      </c>
    </row>
    <row r="4814" spans="9:10" x14ac:dyDescent="0.3">
      <c r="I4814" t="s">
        <v>12579</v>
      </c>
      <c r="J4814" t="s">
        <v>2139</v>
      </c>
    </row>
    <row r="4815" spans="9:10" x14ac:dyDescent="0.3">
      <c r="I4815" t="s">
        <v>12580</v>
      </c>
      <c r="J4815" t="s">
        <v>2140</v>
      </c>
    </row>
    <row r="4816" spans="9:10" x14ac:dyDescent="0.3">
      <c r="I4816" t="s">
        <v>12581</v>
      </c>
    </row>
    <row r="4817" spans="9:10" x14ac:dyDescent="0.3">
      <c r="I4817" t="s">
        <v>12582</v>
      </c>
      <c r="J4817" t="s">
        <v>2141</v>
      </c>
    </row>
    <row r="4818" spans="9:10" x14ac:dyDescent="0.3">
      <c r="I4818" t="s">
        <v>12582</v>
      </c>
      <c r="J4818" t="s">
        <v>2141</v>
      </c>
    </row>
    <row r="4819" spans="9:10" x14ac:dyDescent="0.3">
      <c r="I4819" t="s">
        <v>12582</v>
      </c>
      <c r="J4819" t="s">
        <v>2141</v>
      </c>
    </row>
    <row r="4820" spans="9:10" x14ac:dyDescent="0.3">
      <c r="I4820" t="s">
        <v>12582</v>
      </c>
      <c r="J4820" t="s">
        <v>2141</v>
      </c>
    </row>
    <row r="4821" spans="9:10" x14ac:dyDescent="0.3">
      <c r="I4821" t="s">
        <v>12583</v>
      </c>
    </row>
    <row r="4822" spans="9:10" x14ac:dyDescent="0.3">
      <c r="I4822" t="s">
        <v>12584</v>
      </c>
    </row>
    <row r="4823" spans="9:10" x14ac:dyDescent="0.3">
      <c r="I4823" t="s">
        <v>12585</v>
      </c>
    </row>
    <row r="4824" spans="9:10" x14ac:dyDescent="0.3">
      <c r="I4824" t="s">
        <v>12586</v>
      </c>
      <c r="J4824" t="s">
        <v>2142</v>
      </c>
    </row>
    <row r="4825" spans="9:10" x14ac:dyDescent="0.3">
      <c r="I4825" t="s">
        <v>12587</v>
      </c>
      <c r="J4825" t="s">
        <v>2143</v>
      </c>
    </row>
    <row r="4826" spans="9:10" x14ac:dyDescent="0.3">
      <c r="I4826" t="s">
        <v>12588</v>
      </c>
    </row>
    <row r="4827" spans="9:10" x14ac:dyDescent="0.3">
      <c r="I4827" t="s">
        <v>12589</v>
      </c>
      <c r="J4827" t="s">
        <v>2144</v>
      </c>
    </row>
    <row r="4828" spans="9:10" x14ac:dyDescent="0.3">
      <c r="I4828" t="s">
        <v>12590</v>
      </c>
    </row>
    <row r="4829" spans="9:10" x14ac:dyDescent="0.3">
      <c r="I4829" t="s">
        <v>12591</v>
      </c>
      <c r="J4829" t="s">
        <v>2145</v>
      </c>
    </row>
    <row r="4830" spans="9:10" x14ac:dyDescent="0.3">
      <c r="I4830" t="s">
        <v>12592</v>
      </c>
      <c r="J4830" t="s">
        <v>2146</v>
      </c>
    </row>
    <row r="4831" spans="9:10" x14ac:dyDescent="0.3">
      <c r="I4831" t="s">
        <v>12593</v>
      </c>
      <c r="J4831" t="s">
        <v>2146</v>
      </c>
    </row>
    <row r="4832" spans="9:10" x14ac:dyDescent="0.3">
      <c r="I4832" t="s">
        <v>12593</v>
      </c>
      <c r="J4832" t="s">
        <v>2146</v>
      </c>
    </row>
    <row r="4833" spans="9:10" x14ac:dyDescent="0.3">
      <c r="I4833" t="s">
        <v>12593</v>
      </c>
      <c r="J4833" t="s">
        <v>2146</v>
      </c>
    </row>
    <row r="4834" spans="9:10" x14ac:dyDescent="0.3">
      <c r="I4834" t="s">
        <v>12594</v>
      </c>
      <c r="J4834" t="s">
        <v>2147</v>
      </c>
    </row>
    <row r="4835" spans="9:10" x14ac:dyDescent="0.3">
      <c r="I4835" t="s">
        <v>12594</v>
      </c>
      <c r="J4835" t="s">
        <v>2147</v>
      </c>
    </row>
    <row r="4836" spans="9:10" x14ac:dyDescent="0.3">
      <c r="I4836" t="s">
        <v>12594</v>
      </c>
      <c r="J4836" t="s">
        <v>2147</v>
      </c>
    </row>
    <row r="4837" spans="9:10" x14ac:dyDescent="0.3">
      <c r="I4837" t="s">
        <v>12595</v>
      </c>
    </row>
    <row r="4838" spans="9:10" x14ac:dyDescent="0.3">
      <c r="I4838" t="s">
        <v>12596</v>
      </c>
      <c r="J4838" t="s">
        <v>868</v>
      </c>
    </row>
    <row r="4839" spans="9:10" x14ac:dyDescent="0.3">
      <c r="I4839" t="s">
        <v>12596</v>
      </c>
      <c r="J4839" t="s">
        <v>868</v>
      </c>
    </row>
    <row r="4840" spans="9:10" x14ac:dyDescent="0.3">
      <c r="I4840" t="s">
        <v>12596</v>
      </c>
      <c r="J4840" t="s">
        <v>868</v>
      </c>
    </row>
    <row r="4841" spans="9:10" x14ac:dyDescent="0.3">
      <c r="I4841" t="s">
        <v>12597</v>
      </c>
    </row>
    <row r="4842" spans="9:10" x14ac:dyDescent="0.3">
      <c r="I4842" t="s">
        <v>12597</v>
      </c>
    </row>
    <row r="4843" spans="9:10" x14ac:dyDescent="0.3">
      <c r="I4843" t="s">
        <v>12597</v>
      </c>
    </row>
    <row r="4844" spans="9:10" x14ac:dyDescent="0.3">
      <c r="I4844" t="s">
        <v>12597</v>
      </c>
    </row>
    <row r="4845" spans="9:10" x14ac:dyDescent="0.3">
      <c r="I4845" t="s">
        <v>12598</v>
      </c>
      <c r="J4845" t="s">
        <v>2148</v>
      </c>
    </row>
    <row r="4846" spans="9:10" x14ac:dyDescent="0.3">
      <c r="I4846" t="s">
        <v>12599</v>
      </c>
      <c r="J4846" t="s">
        <v>2149</v>
      </c>
    </row>
    <row r="4847" spans="9:10" x14ac:dyDescent="0.3">
      <c r="I4847" t="s">
        <v>12600</v>
      </c>
    </row>
    <row r="4848" spans="9:10" x14ac:dyDescent="0.3">
      <c r="I4848" t="s">
        <v>12601</v>
      </c>
    </row>
    <row r="4849" spans="9:10" x14ac:dyDescent="0.3">
      <c r="I4849" t="s">
        <v>12602</v>
      </c>
      <c r="J4849" t="s">
        <v>2150</v>
      </c>
    </row>
    <row r="4850" spans="9:10" x14ac:dyDescent="0.3">
      <c r="I4850" t="s">
        <v>12603</v>
      </c>
    </row>
    <row r="4851" spans="9:10" x14ac:dyDescent="0.3">
      <c r="I4851" t="s">
        <v>12604</v>
      </c>
      <c r="J4851" t="s">
        <v>2151</v>
      </c>
    </row>
    <row r="4852" spans="9:10" x14ac:dyDescent="0.3">
      <c r="I4852" t="s">
        <v>12605</v>
      </c>
      <c r="J4852" t="s">
        <v>2152</v>
      </c>
    </row>
    <row r="4853" spans="9:10" x14ac:dyDescent="0.3">
      <c r="I4853" t="s">
        <v>12605</v>
      </c>
      <c r="J4853" t="s">
        <v>2152</v>
      </c>
    </row>
    <row r="4854" spans="9:10" x14ac:dyDescent="0.3">
      <c r="I4854" t="s">
        <v>12605</v>
      </c>
      <c r="J4854" t="s">
        <v>2152</v>
      </c>
    </row>
    <row r="4855" spans="9:10" x14ac:dyDescent="0.3">
      <c r="I4855" t="s">
        <v>12605</v>
      </c>
      <c r="J4855" t="s">
        <v>2152</v>
      </c>
    </row>
    <row r="4856" spans="9:10" x14ac:dyDescent="0.3">
      <c r="I4856" t="s">
        <v>12606</v>
      </c>
    </row>
    <row r="4857" spans="9:10" x14ac:dyDescent="0.3">
      <c r="I4857" t="s">
        <v>12607</v>
      </c>
    </row>
    <row r="4858" spans="9:10" x14ac:dyDescent="0.3">
      <c r="I4858" t="s">
        <v>12608</v>
      </c>
      <c r="J4858" t="s">
        <v>2153</v>
      </c>
    </row>
    <row r="4859" spans="9:10" x14ac:dyDescent="0.3">
      <c r="I4859" t="s">
        <v>12609</v>
      </c>
    </row>
    <row r="4860" spans="9:10" x14ac:dyDescent="0.3">
      <c r="I4860" t="s">
        <v>12610</v>
      </c>
      <c r="J4860" t="s">
        <v>2154</v>
      </c>
    </row>
    <row r="4861" spans="9:10" x14ac:dyDescent="0.3">
      <c r="I4861" t="s">
        <v>12610</v>
      </c>
      <c r="J4861" t="s">
        <v>2154</v>
      </c>
    </row>
    <row r="4862" spans="9:10" x14ac:dyDescent="0.3">
      <c r="I4862" t="s">
        <v>12611</v>
      </c>
      <c r="J4862" t="s">
        <v>2155</v>
      </c>
    </row>
    <row r="4863" spans="9:10" x14ac:dyDescent="0.3">
      <c r="I4863" t="s">
        <v>12612</v>
      </c>
      <c r="J4863" t="s">
        <v>2155</v>
      </c>
    </row>
    <row r="4864" spans="9:10" x14ac:dyDescent="0.3">
      <c r="I4864" t="s">
        <v>12612</v>
      </c>
      <c r="J4864" t="s">
        <v>2155</v>
      </c>
    </row>
    <row r="4865" spans="9:10" x14ac:dyDescent="0.3">
      <c r="I4865" t="s">
        <v>12612</v>
      </c>
      <c r="J4865" t="s">
        <v>2155</v>
      </c>
    </row>
    <row r="4866" spans="9:10" x14ac:dyDescent="0.3">
      <c r="I4866" t="s">
        <v>12612</v>
      </c>
      <c r="J4866" t="s">
        <v>2155</v>
      </c>
    </row>
    <row r="4867" spans="9:10" x14ac:dyDescent="0.3">
      <c r="I4867" t="s">
        <v>12612</v>
      </c>
      <c r="J4867" t="s">
        <v>2155</v>
      </c>
    </row>
    <row r="4868" spans="9:10" x14ac:dyDescent="0.3">
      <c r="I4868" t="s">
        <v>12612</v>
      </c>
      <c r="J4868" t="s">
        <v>2155</v>
      </c>
    </row>
    <row r="4869" spans="9:10" x14ac:dyDescent="0.3">
      <c r="I4869" t="s">
        <v>12612</v>
      </c>
      <c r="J4869" t="s">
        <v>2155</v>
      </c>
    </row>
    <row r="4870" spans="9:10" x14ac:dyDescent="0.3">
      <c r="I4870" t="s">
        <v>12613</v>
      </c>
      <c r="J4870" t="s">
        <v>2155</v>
      </c>
    </row>
    <row r="4871" spans="9:10" x14ac:dyDescent="0.3">
      <c r="I4871" t="s">
        <v>12611</v>
      </c>
      <c r="J4871" t="s">
        <v>2155</v>
      </c>
    </row>
    <row r="4872" spans="9:10" x14ac:dyDescent="0.3">
      <c r="I4872" t="s">
        <v>12614</v>
      </c>
      <c r="J4872" t="s">
        <v>2156</v>
      </c>
    </row>
    <row r="4873" spans="9:10" x14ac:dyDescent="0.3">
      <c r="I4873" t="s">
        <v>12614</v>
      </c>
      <c r="J4873" t="s">
        <v>2156</v>
      </c>
    </row>
    <row r="4874" spans="9:10" x14ac:dyDescent="0.3">
      <c r="I4874" t="s">
        <v>12614</v>
      </c>
      <c r="J4874" t="s">
        <v>2156</v>
      </c>
    </row>
    <row r="4875" spans="9:10" x14ac:dyDescent="0.3">
      <c r="I4875" t="s">
        <v>12615</v>
      </c>
      <c r="J4875" t="s">
        <v>2156</v>
      </c>
    </row>
    <row r="4876" spans="9:10" x14ac:dyDescent="0.3">
      <c r="I4876" t="s">
        <v>12616</v>
      </c>
    </row>
    <row r="4877" spans="9:10" x14ac:dyDescent="0.3">
      <c r="I4877" t="s">
        <v>12617</v>
      </c>
    </row>
    <row r="4878" spans="9:10" x14ac:dyDescent="0.3">
      <c r="I4878" t="s">
        <v>12618</v>
      </c>
      <c r="J4878" t="s">
        <v>2157</v>
      </c>
    </row>
    <row r="4879" spans="9:10" x14ac:dyDescent="0.3">
      <c r="I4879" t="s">
        <v>12618</v>
      </c>
      <c r="J4879" t="s">
        <v>2157</v>
      </c>
    </row>
    <row r="4880" spans="9:10" x14ac:dyDescent="0.3">
      <c r="I4880" t="s">
        <v>12619</v>
      </c>
      <c r="J4880" t="s">
        <v>2157</v>
      </c>
    </row>
    <row r="4881" spans="9:10" x14ac:dyDescent="0.3">
      <c r="I4881" t="s">
        <v>12620</v>
      </c>
      <c r="J4881" t="s">
        <v>2157</v>
      </c>
    </row>
    <row r="4882" spans="9:10" x14ac:dyDescent="0.3">
      <c r="I4882" t="s">
        <v>12621</v>
      </c>
      <c r="J4882" t="s">
        <v>2158</v>
      </c>
    </row>
    <row r="4883" spans="9:10" x14ac:dyDescent="0.3">
      <c r="I4883" t="s">
        <v>12622</v>
      </c>
      <c r="J4883" t="s">
        <v>2158</v>
      </c>
    </row>
    <row r="4884" spans="9:10" x14ac:dyDescent="0.3">
      <c r="I4884" t="s">
        <v>12623</v>
      </c>
      <c r="J4884" t="s">
        <v>2159</v>
      </c>
    </row>
    <row r="4885" spans="9:10" x14ac:dyDescent="0.3">
      <c r="I4885" t="s">
        <v>12624</v>
      </c>
      <c r="J4885" t="s">
        <v>2160</v>
      </c>
    </row>
    <row r="4886" spans="9:10" x14ac:dyDescent="0.3">
      <c r="I4886" t="s">
        <v>12625</v>
      </c>
      <c r="J4886" t="s">
        <v>2161</v>
      </c>
    </row>
    <row r="4887" spans="9:10" x14ac:dyDescent="0.3">
      <c r="I4887" t="s">
        <v>12626</v>
      </c>
      <c r="J4887" t="s">
        <v>2162</v>
      </c>
    </row>
    <row r="4888" spans="9:10" x14ac:dyDescent="0.3">
      <c r="I4888" t="s">
        <v>12627</v>
      </c>
      <c r="J4888" t="s">
        <v>2162</v>
      </c>
    </row>
    <row r="4889" spans="9:10" x14ac:dyDescent="0.3">
      <c r="I4889" t="s">
        <v>12627</v>
      </c>
      <c r="J4889" t="s">
        <v>2162</v>
      </c>
    </row>
    <row r="4890" spans="9:10" x14ac:dyDescent="0.3">
      <c r="I4890" t="s">
        <v>12628</v>
      </c>
      <c r="J4890" t="s">
        <v>2163</v>
      </c>
    </row>
    <row r="4891" spans="9:10" x14ac:dyDescent="0.3">
      <c r="I4891" t="s">
        <v>12628</v>
      </c>
      <c r="J4891" t="s">
        <v>2163</v>
      </c>
    </row>
    <row r="4892" spans="9:10" x14ac:dyDescent="0.3">
      <c r="I4892" t="s">
        <v>12628</v>
      </c>
      <c r="J4892" t="s">
        <v>2163</v>
      </c>
    </row>
    <row r="4893" spans="9:10" x14ac:dyDescent="0.3">
      <c r="I4893" t="s">
        <v>12628</v>
      </c>
      <c r="J4893" t="s">
        <v>2163</v>
      </c>
    </row>
    <row r="4894" spans="9:10" x14ac:dyDescent="0.3">
      <c r="I4894" t="s">
        <v>12628</v>
      </c>
      <c r="J4894" t="s">
        <v>2163</v>
      </c>
    </row>
    <row r="4895" spans="9:10" x14ac:dyDescent="0.3">
      <c r="I4895" t="s">
        <v>12628</v>
      </c>
      <c r="J4895" t="s">
        <v>2163</v>
      </c>
    </row>
    <row r="4896" spans="9:10" x14ac:dyDescent="0.3">
      <c r="I4896" t="s">
        <v>12628</v>
      </c>
      <c r="J4896" t="s">
        <v>2163</v>
      </c>
    </row>
    <row r="4897" spans="9:10" x14ac:dyDescent="0.3">
      <c r="I4897" t="s">
        <v>12629</v>
      </c>
    </row>
    <row r="4898" spans="9:10" x14ac:dyDescent="0.3">
      <c r="I4898" t="s">
        <v>12629</v>
      </c>
    </row>
    <row r="4899" spans="9:10" x14ac:dyDescent="0.3">
      <c r="I4899" t="s">
        <v>12630</v>
      </c>
      <c r="J4899" t="s">
        <v>2164</v>
      </c>
    </row>
    <row r="4900" spans="9:10" x14ac:dyDescent="0.3">
      <c r="I4900" t="s">
        <v>12631</v>
      </c>
    </row>
    <row r="4901" spans="9:10" x14ac:dyDescent="0.3">
      <c r="I4901" t="s">
        <v>12632</v>
      </c>
      <c r="J4901" t="s">
        <v>2165</v>
      </c>
    </row>
    <row r="4902" spans="9:10" x14ac:dyDescent="0.3">
      <c r="I4902" t="s">
        <v>12633</v>
      </c>
      <c r="J4902" t="s">
        <v>2165</v>
      </c>
    </row>
    <row r="4903" spans="9:10" x14ac:dyDescent="0.3">
      <c r="I4903" t="s">
        <v>12634</v>
      </c>
    </row>
    <row r="4904" spans="9:10" x14ac:dyDescent="0.3">
      <c r="I4904" t="s">
        <v>12635</v>
      </c>
      <c r="J4904">
        <v>0</v>
      </c>
    </row>
    <row r="4905" spans="9:10" x14ac:dyDescent="0.3">
      <c r="I4905" t="s">
        <v>12636</v>
      </c>
    </row>
    <row r="4906" spans="9:10" x14ac:dyDescent="0.3">
      <c r="I4906" t="s">
        <v>12637</v>
      </c>
      <c r="J4906" t="s">
        <v>2045</v>
      </c>
    </row>
    <row r="4907" spans="9:10" x14ac:dyDescent="0.3">
      <c r="I4907" t="s">
        <v>12638</v>
      </c>
      <c r="J4907" t="s">
        <v>2166</v>
      </c>
    </row>
    <row r="4908" spans="9:10" x14ac:dyDescent="0.3">
      <c r="I4908" t="s">
        <v>12638</v>
      </c>
      <c r="J4908" t="s">
        <v>2166</v>
      </c>
    </row>
    <row r="4909" spans="9:10" x14ac:dyDescent="0.3">
      <c r="I4909" t="s">
        <v>12639</v>
      </c>
      <c r="J4909" t="s">
        <v>2166</v>
      </c>
    </row>
    <row r="4910" spans="9:10" x14ac:dyDescent="0.3">
      <c r="I4910" t="s">
        <v>12638</v>
      </c>
      <c r="J4910" t="s">
        <v>2166</v>
      </c>
    </row>
    <row r="4911" spans="9:10" x14ac:dyDescent="0.3">
      <c r="I4911" t="s">
        <v>12638</v>
      </c>
      <c r="J4911" t="s">
        <v>2166</v>
      </c>
    </row>
    <row r="4912" spans="9:10" x14ac:dyDescent="0.3">
      <c r="I4912" t="s">
        <v>12640</v>
      </c>
      <c r="J4912" t="s">
        <v>2167</v>
      </c>
    </row>
    <row r="4913" spans="9:10" x14ac:dyDescent="0.3">
      <c r="I4913" t="s">
        <v>12640</v>
      </c>
      <c r="J4913" t="s">
        <v>2167</v>
      </c>
    </row>
    <row r="4914" spans="9:10" x14ac:dyDescent="0.3">
      <c r="I4914" t="s">
        <v>12640</v>
      </c>
      <c r="J4914" t="s">
        <v>2167</v>
      </c>
    </row>
    <row r="4915" spans="9:10" x14ac:dyDescent="0.3">
      <c r="I4915" t="s">
        <v>12640</v>
      </c>
      <c r="J4915" t="s">
        <v>2167</v>
      </c>
    </row>
    <row r="4916" spans="9:10" x14ac:dyDescent="0.3">
      <c r="I4916" t="s">
        <v>12641</v>
      </c>
      <c r="J4916" t="s">
        <v>2168</v>
      </c>
    </row>
    <row r="4917" spans="9:10" x14ac:dyDescent="0.3">
      <c r="I4917" t="s">
        <v>12641</v>
      </c>
      <c r="J4917" t="s">
        <v>2168</v>
      </c>
    </row>
    <row r="4918" spans="9:10" x14ac:dyDescent="0.3">
      <c r="I4918" t="s">
        <v>12642</v>
      </c>
    </row>
    <row r="4919" spans="9:10" x14ac:dyDescent="0.3">
      <c r="I4919" t="s">
        <v>12642</v>
      </c>
    </row>
    <row r="4920" spans="9:10" x14ac:dyDescent="0.3">
      <c r="I4920" t="s">
        <v>12643</v>
      </c>
      <c r="J4920" t="s">
        <v>2169</v>
      </c>
    </row>
    <row r="4921" spans="9:10" x14ac:dyDescent="0.3">
      <c r="I4921" t="s">
        <v>12644</v>
      </c>
      <c r="J4921" t="s">
        <v>2169</v>
      </c>
    </row>
    <row r="4922" spans="9:10" x14ac:dyDescent="0.3">
      <c r="I4922" t="s">
        <v>12645</v>
      </c>
      <c r="J4922" t="s">
        <v>2170</v>
      </c>
    </row>
    <row r="4923" spans="9:10" x14ac:dyDescent="0.3">
      <c r="I4923" t="s">
        <v>12645</v>
      </c>
      <c r="J4923" t="s">
        <v>2170</v>
      </c>
    </row>
    <row r="4924" spans="9:10" x14ac:dyDescent="0.3">
      <c r="I4924" t="s">
        <v>12646</v>
      </c>
      <c r="J4924" t="s">
        <v>2171</v>
      </c>
    </row>
    <row r="4925" spans="9:10" x14ac:dyDescent="0.3">
      <c r="I4925" t="s">
        <v>12646</v>
      </c>
      <c r="J4925" t="s">
        <v>2171</v>
      </c>
    </row>
    <row r="4926" spans="9:10" x14ac:dyDescent="0.3">
      <c r="I4926" t="s">
        <v>12647</v>
      </c>
      <c r="J4926" t="s">
        <v>2172</v>
      </c>
    </row>
    <row r="4927" spans="9:10" x14ac:dyDescent="0.3">
      <c r="I4927" t="s">
        <v>12648</v>
      </c>
      <c r="J4927" t="s">
        <v>2172</v>
      </c>
    </row>
    <row r="4928" spans="9:10" x14ac:dyDescent="0.3">
      <c r="I4928" t="s">
        <v>12649</v>
      </c>
      <c r="J4928" t="s">
        <v>2173</v>
      </c>
    </row>
    <row r="4929" spans="9:10" x14ac:dyDescent="0.3">
      <c r="I4929" t="s">
        <v>12650</v>
      </c>
    </row>
    <row r="4930" spans="9:10" x14ac:dyDescent="0.3">
      <c r="I4930" t="s">
        <v>12651</v>
      </c>
      <c r="J4930" t="s">
        <v>2174</v>
      </c>
    </row>
    <row r="4931" spans="9:10" x14ac:dyDescent="0.3">
      <c r="I4931" t="s">
        <v>12652</v>
      </c>
      <c r="J4931" t="s">
        <v>2174</v>
      </c>
    </row>
    <row r="4932" spans="9:10" x14ac:dyDescent="0.3">
      <c r="I4932" t="s">
        <v>12652</v>
      </c>
      <c r="J4932" t="s">
        <v>2174</v>
      </c>
    </row>
    <row r="4933" spans="9:10" x14ac:dyDescent="0.3">
      <c r="I4933" t="s">
        <v>12652</v>
      </c>
      <c r="J4933" t="s">
        <v>2174</v>
      </c>
    </row>
    <row r="4934" spans="9:10" x14ac:dyDescent="0.3">
      <c r="I4934" t="s">
        <v>12652</v>
      </c>
      <c r="J4934" t="s">
        <v>2174</v>
      </c>
    </row>
    <row r="4935" spans="9:10" x14ac:dyDescent="0.3">
      <c r="I4935" t="s">
        <v>12652</v>
      </c>
      <c r="J4935" t="s">
        <v>2174</v>
      </c>
    </row>
    <row r="4936" spans="9:10" x14ac:dyDescent="0.3">
      <c r="I4936" t="s">
        <v>12652</v>
      </c>
      <c r="J4936" t="s">
        <v>2174</v>
      </c>
    </row>
    <row r="4937" spans="9:10" x14ac:dyDescent="0.3">
      <c r="I4937" t="s">
        <v>12653</v>
      </c>
      <c r="J4937" t="s">
        <v>2175</v>
      </c>
    </row>
    <row r="4938" spans="9:10" x14ac:dyDescent="0.3">
      <c r="I4938" t="s">
        <v>12653</v>
      </c>
      <c r="J4938" t="s">
        <v>2175</v>
      </c>
    </row>
    <row r="4939" spans="9:10" x14ac:dyDescent="0.3">
      <c r="I4939" t="s">
        <v>12653</v>
      </c>
      <c r="J4939" t="s">
        <v>2175</v>
      </c>
    </row>
    <row r="4940" spans="9:10" x14ac:dyDescent="0.3">
      <c r="I4940" t="s">
        <v>12654</v>
      </c>
      <c r="J4940" t="s">
        <v>2176</v>
      </c>
    </row>
    <row r="4941" spans="9:10" x14ac:dyDescent="0.3">
      <c r="I4941" t="s">
        <v>12654</v>
      </c>
      <c r="J4941" t="s">
        <v>2176</v>
      </c>
    </row>
    <row r="4942" spans="9:10" x14ac:dyDescent="0.3">
      <c r="I4942" t="s">
        <v>12655</v>
      </c>
      <c r="J4942" t="s">
        <v>2177</v>
      </c>
    </row>
    <row r="4943" spans="9:10" x14ac:dyDescent="0.3">
      <c r="I4943" t="s">
        <v>12656</v>
      </c>
      <c r="J4943" t="s">
        <v>2177</v>
      </c>
    </row>
    <row r="4944" spans="9:10" x14ac:dyDescent="0.3">
      <c r="I4944" t="s">
        <v>12657</v>
      </c>
      <c r="J4944" t="s">
        <v>2178</v>
      </c>
    </row>
    <row r="4945" spans="9:10" x14ac:dyDescent="0.3">
      <c r="I4945" t="s">
        <v>12658</v>
      </c>
      <c r="J4945" t="s">
        <v>2178</v>
      </c>
    </row>
    <row r="4946" spans="9:10" x14ac:dyDescent="0.3">
      <c r="I4946" t="s">
        <v>12659</v>
      </c>
      <c r="J4946" t="s">
        <v>2178</v>
      </c>
    </row>
    <row r="4947" spans="9:10" x14ac:dyDescent="0.3">
      <c r="I4947" t="s">
        <v>12657</v>
      </c>
      <c r="J4947" t="s">
        <v>2178</v>
      </c>
    </row>
    <row r="4948" spans="9:10" x14ac:dyDescent="0.3">
      <c r="I4948" t="s">
        <v>12660</v>
      </c>
      <c r="J4948" t="s">
        <v>2179</v>
      </c>
    </row>
    <row r="4949" spans="9:10" x14ac:dyDescent="0.3">
      <c r="I4949" t="s">
        <v>12661</v>
      </c>
      <c r="J4949" t="s">
        <v>2180</v>
      </c>
    </row>
    <row r="4950" spans="9:10" x14ac:dyDescent="0.3">
      <c r="I4950" t="s">
        <v>12662</v>
      </c>
      <c r="J4950" t="s">
        <v>2181</v>
      </c>
    </row>
    <row r="4951" spans="9:10" x14ac:dyDescent="0.3">
      <c r="I4951" t="s">
        <v>12662</v>
      </c>
      <c r="J4951" t="s">
        <v>2181</v>
      </c>
    </row>
    <row r="4952" spans="9:10" x14ac:dyDescent="0.3">
      <c r="I4952" t="s">
        <v>12662</v>
      </c>
      <c r="J4952" t="s">
        <v>2181</v>
      </c>
    </row>
    <row r="4953" spans="9:10" x14ac:dyDescent="0.3">
      <c r="I4953" t="s">
        <v>12663</v>
      </c>
    </row>
    <row r="4954" spans="9:10" x14ac:dyDescent="0.3">
      <c r="I4954" t="s">
        <v>12663</v>
      </c>
    </row>
    <row r="4955" spans="9:10" x14ac:dyDescent="0.3">
      <c r="I4955" t="s">
        <v>12664</v>
      </c>
      <c r="J4955" t="s">
        <v>2182</v>
      </c>
    </row>
    <row r="4956" spans="9:10" x14ac:dyDescent="0.3">
      <c r="I4956" t="s">
        <v>12665</v>
      </c>
      <c r="J4956" t="s">
        <v>2183</v>
      </c>
    </row>
    <row r="4957" spans="9:10" x14ac:dyDescent="0.3">
      <c r="I4957" t="s">
        <v>12666</v>
      </c>
      <c r="J4957" t="s">
        <v>2184</v>
      </c>
    </row>
    <row r="4958" spans="9:10" x14ac:dyDescent="0.3">
      <c r="I4958" t="s">
        <v>12667</v>
      </c>
      <c r="J4958">
        <v>0</v>
      </c>
    </row>
    <row r="4959" spans="9:10" x14ac:dyDescent="0.3">
      <c r="I4959" t="s">
        <v>12668</v>
      </c>
      <c r="J4959" t="s">
        <v>2185</v>
      </c>
    </row>
    <row r="4960" spans="9:10" x14ac:dyDescent="0.3">
      <c r="I4960" t="s">
        <v>12668</v>
      </c>
      <c r="J4960" t="s">
        <v>2185</v>
      </c>
    </row>
    <row r="4961" spans="9:10" x14ac:dyDescent="0.3">
      <c r="I4961" t="s">
        <v>12668</v>
      </c>
      <c r="J4961" t="s">
        <v>2185</v>
      </c>
    </row>
    <row r="4962" spans="9:10" x14ac:dyDescent="0.3">
      <c r="I4962" t="s">
        <v>12669</v>
      </c>
      <c r="J4962" t="s">
        <v>2185</v>
      </c>
    </row>
    <row r="4963" spans="9:10" x14ac:dyDescent="0.3">
      <c r="I4963" t="s">
        <v>12668</v>
      </c>
      <c r="J4963" t="s">
        <v>2185</v>
      </c>
    </row>
    <row r="4964" spans="9:10" x14ac:dyDescent="0.3">
      <c r="I4964" t="s">
        <v>12668</v>
      </c>
      <c r="J4964" t="s">
        <v>2185</v>
      </c>
    </row>
    <row r="4965" spans="9:10" x14ac:dyDescent="0.3">
      <c r="I4965" t="s">
        <v>12670</v>
      </c>
      <c r="J4965" t="s">
        <v>2185</v>
      </c>
    </row>
    <row r="4966" spans="9:10" x14ac:dyDescent="0.3">
      <c r="I4966" t="s">
        <v>12671</v>
      </c>
      <c r="J4966" t="s">
        <v>2186</v>
      </c>
    </row>
    <row r="4967" spans="9:10" x14ac:dyDescent="0.3">
      <c r="I4967" t="s">
        <v>12672</v>
      </c>
      <c r="J4967" t="s">
        <v>2186</v>
      </c>
    </row>
    <row r="4968" spans="9:10" x14ac:dyDescent="0.3">
      <c r="I4968" t="s">
        <v>12672</v>
      </c>
      <c r="J4968" t="s">
        <v>2186</v>
      </c>
    </row>
    <row r="4969" spans="9:10" x14ac:dyDescent="0.3">
      <c r="I4969" t="s">
        <v>12673</v>
      </c>
      <c r="J4969" t="s">
        <v>2187</v>
      </c>
    </row>
    <row r="4970" spans="9:10" x14ac:dyDescent="0.3">
      <c r="I4970" t="s">
        <v>12673</v>
      </c>
      <c r="J4970" t="s">
        <v>2187</v>
      </c>
    </row>
    <row r="4971" spans="9:10" x14ac:dyDescent="0.3">
      <c r="I4971" t="s">
        <v>12674</v>
      </c>
    </row>
    <row r="4972" spans="9:10" x14ac:dyDescent="0.3">
      <c r="I4972" t="s">
        <v>12674</v>
      </c>
    </row>
    <row r="4973" spans="9:10" x14ac:dyDescent="0.3">
      <c r="I4973" t="s">
        <v>12674</v>
      </c>
    </row>
    <row r="4974" spans="9:10" x14ac:dyDescent="0.3">
      <c r="I4974" t="s">
        <v>12674</v>
      </c>
    </row>
    <row r="4975" spans="9:10" x14ac:dyDescent="0.3">
      <c r="I4975" t="s">
        <v>12675</v>
      </c>
      <c r="J4975" t="s">
        <v>2188</v>
      </c>
    </row>
    <row r="4976" spans="9:10" x14ac:dyDescent="0.3">
      <c r="I4976" t="s">
        <v>12676</v>
      </c>
      <c r="J4976" t="s">
        <v>2189</v>
      </c>
    </row>
    <row r="4977" spans="9:10" x14ac:dyDescent="0.3">
      <c r="I4977" t="s">
        <v>12677</v>
      </c>
      <c r="J4977" t="s">
        <v>2189</v>
      </c>
    </row>
    <row r="4978" spans="9:10" x14ac:dyDescent="0.3">
      <c r="I4978" t="s">
        <v>12678</v>
      </c>
      <c r="J4978" t="s">
        <v>2190</v>
      </c>
    </row>
    <row r="4979" spans="9:10" x14ac:dyDescent="0.3">
      <c r="I4979" t="s">
        <v>12678</v>
      </c>
      <c r="J4979" t="s">
        <v>2190</v>
      </c>
    </row>
    <row r="4980" spans="9:10" x14ac:dyDescent="0.3">
      <c r="I4980" t="s">
        <v>12679</v>
      </c>
    </row>
    <row r="4981" spans="9:10" x14ac:dyDescent="0.3">
      <c r="I4981" t="s">
        <v>12680</v>
      </c>
      <c r="J4981" t="s">
        <v>2191</v>
      </c>
    </row>
    <row r="4982" spans="9:10" x14ac:dyDescent="0.3">
      <c r="I4982" t="s">
        <v>12680</v>
      </c>
      <c r="J4982" t="s">
        <v>2191</v>
      </c>
    </row>
    <row r="4983" spans="9:10" x14ac:dyDescent="0.3">
      <c r="I4983" t="s">
        <v>12681</v>
      </c>
      <c r="J4983" t="s">
        <v>2192</v>
      </c>
    </row>
    <row r="4984" spans="9:10" x14ac:dyDescent="0.3">
      <c r="I4984" t="s">
        <v>12682</v>
      </c>
      <c r="J4984" t="s">
        <v>2193</v>
      </c>
    </row>
    <row r="4985" spans="9:10" x14ac:dyDescent="0.3">
      <c r="I4985" t="s">
        <v>12683</v>
      </c>
    </row>
    <row r="4986" spans="9:10" x14ac:dyDescent="0.3">
      <c r="I4986" t="s">
        <v>12684</v>
      </c>
    </row>
    <row r="4987" spans="9:10" x14ac:dyDescent="0.3">
      <c r="I4987" t="s">
        <v>12685</v>
      </c>
      <c r="J4987" t="s">
        <v>2194</v>
      </c>
    </row>
    <row r="4988" spans="9:10" x14ac:dyDescent="0.3">
      <c r="I4988" t="s">
        <v>12686</v>
      </c>
      <c r="J4988" t="s">
        <v>2194</v>
      </c>
    </row>
    <row r="4989" spans="9:10" x14ac:dyDescent="0.3">
      <c r="I4989" t="s">
        <v>12686</v>
      </c>
      <c r="J4989" t="s">
        <v>2194</v>
      </c>
    </row>
    <row r="4990" spans="9:10" x14ac:dyDescent="0.3">
      <c r="I4990" t="s">
        <v>12687</v>
      </c>
      <c r="J4990" t="s">
        <v>2195</v>
      </c>
    </row>
    <row r="4991" spans="9:10" x14ac:dyDescent="0.3">
      <c r="I4991" t="s">
        <v>12688</v>
      </c>
    </row>
    <row r="4992" spans="9:10" x14ac:dyDescent="0.3">
      <c r="I4992" t="s">
        <v>12689</v>
      </c>
    </row>
    <row r="4993" spans="9:10" x14ac:dyDescent="0.3">
      <c r="I4993" t="s">
        <v>12689</v>
      </c>
    </row>
    <row r="4994" spans="9:10" x14ac:dyDescent="0.3">
      <c r="I4994" t="s">
        <v>12689</v>
      </c>
    </row>
    <row r="4995" spans="9:10" x14ac:dyDescent="0.3">
      <c r="I4995" t="s">
        <v>12689</v>
      </c>
    </row>
    <row r="4996" spans="9:10" x14ac:dyDescent="0.3">
      <c r="I4996" t="s">
        <v>12690</v>
      </c>
    </row>
    <row r="4997" spans="9:10" x14ac:dyDescent="0.3">
      <c r="I4997" t="s">
        <v>12691</v>
      </c>
    </row>
    <row r="4998" spans="9:10" x14ac:dyDescent="0.3">
      <c r="I4998" t="s">
        <v>12692</v>
      </c>
      <c r="J4998" t="s">
        <v>2196</v>
      </c>
    </row>
    <row r="4999" spans="9:10" x14ac:dyDescent="0.3">
      <c r="I4999" t="s">
        <v>12692</v>
      </c>
      <c r="J4999" t="s">
        <v>2196</v>
      </c>
    </row>
    <row r="5000" spans="9:10" x14ac:dyDescent="0.3">
      <c r="I5000" t="s">
        <v>12693</v>
      </c>
    </row>
    <row r="5001" spans="9:10" x14ac:dyDescent="0.3">
      <c r="I5001" t="s">
        <v>12694</v>
      </c>
    </row>
    <row r="5002" spans="9:10" x14ac:dyDescent="0.3">
      <c r="I5002" t="s">
        <v>12695</v>
      </c>
      <c r="J5002" t="s">
        <v>2197</v>
      </c>
    </row>
    <row r="5003" spans="9:10" x14ac:dyDescent="0.3">
      <c r="I5003" t="s">
        <v>12695</v>
      </c>
      <c r="J5003" t="s">
        <v>2197</v>
      </c>
    </row>
    <row r="5004" spans="9:10" x14ac:dyDescent="0.3">
      <c r="I5004" t="s">
        <v>12696</v>
      </c>
      <c r="J5004" t="s">
        <v>2198</v>
      </c>
    </row>
    <row r="5005" spans="9:10" x14ac:dyDescent="0.3">
      <c r="I5005" t="s">
        <v>12697</v>
      </c>
      <c r="J5005" t="s">
        <v>2198</v>
      </c>
    </row>
    <row r="5006" spans="9:10" x14ac:dyDescent="0.3">
      <c r="I5006" t="s">
        <v>12698</v>
      </c>
      <c r="J5006" t="s">
        <v>2045</v>
      </c>
    </row>
    <row r="5007" spans="9:10" x14ac:dyDescent="0.3">
      <c r="I5007" t="s">
        <v>12699</v>
      </c>
      <c r="J5007" t="s">
        <v>2199</v>
      </c>
    </row>
    <row r="5008" spans="9:10" x14ac:dyDescent="0.3">
      <c r="I5008" t="s">
        <v>12699</v>
      </c>
      <c r="J5008" t="s">
        <v>2199</v>
      </c>
    </row>
    <row r="5009" spans="9:10" x14ac:dyDescent="0.3">
      <c r="I5009" t="s">
        <v>12699</v>
      </c>
      <c r="J5009" t="s">
        <v>2199</v>
      </c>
    </row>
    <row r="5010" spans="9:10" x14ac:dyDescent="0.3">
      <c r="I5010" t="s">
        <v>12699</v>
      </c>
      <c r="J5010" t="s">
        <v>2199</v>
      </c>
    </row>
    <row r="5011" spans="9:10" x14ac:dyDescent="0.3">
      <c r="I5011" t="s">
        <v>12700</v>
      </c>
      <c r="J5011" t="s">
        <v>2200</v>
      </c>
    </row>
    <row r="5012" spans="9:10" x14ac:dyDescent="0.3">
      <c r="I5012" t="s">
        <v>12700</v>
      </c>
      <c r="J5012" t="s">
        <v>2200</v>
      </c>
    </row>
    <row r="5013" spans="9:10" x14ac:dyDescent="0.3">
      <c r="I5013" t="s">
        <v>12700</v>
      </c>
      <c r="J5013" t="s">
        <v>2200</v>
      </c>
    </row>
    <row r="5014" spans="9:10" x14ac:dyDescent="0.3">
      <c r="I5014" t="s">
        <v>12701</v>
      </c>
      <c r="J5014" t="s">
        <v>2201</v>
      </c>
    </row>
    <row r="5015" spans="9:10" x14ac:dyDescent="0.3">
      <c r="I5015" t="s">
        <v>12701</v>
      </c>
      <c r="J5015" t="s">
        <v>2201</v>
      </c>
    </row>
    <row r="5016" spans="9:10" x14ac:dyDescent="0.3">
      <c r="I5016" t="s">
        <v>12701</v>
      </c>
      <c r="J5016" t="s">
        <v>2201</v>
      </c>
    </row>
    <row r="5017" spans="9:10" x14ac:dyDescent="0.3">
      <c r="I5017" t="s">
        <v>12701</v>
      </c>
      <c r="J5017" t="s">
        <v>2201</v>
      </c>
    </row>
    <row r="5018" spans="9:10" x14ac:dyDescent="0.3">
      <c r="I5018" t="s">
        <v>12701</v>
      </c>
      <c r="J5018" t="s">
        <v>2201</v>
      </c>
    </row>
    <row r="5019" spans="9:10" x14ac:dyDescent="0.3">
      <c r="I5019" t="s">
        <v>12702</v>
      </c>
      <c r="J5019" t="s">
        <v>2201</v>
      </c>
    </row>
    <row r="5020" spans="9:10" x14ac:dyDescent="0.3">
      <c r="I5020" t="s">
        <v>12703</v>
      </c>
      <c r="J5020" t="s">
        <v>2202</v>
      </c>
    </row>
    <row r="5021" spans="9:10" x14ac:dyDescent="0.3">
      <c r="I5021" t="s">
        <v>12704</v>
      </c>
    </row>
    <row r="5022" spans="9:10" x14ac:dyDescent="0.3">
      <c r="I5022" t="s">
        <v>12705</v>
      </c>
    </row>
    <row r="5023" spans="9:10" x14ac:dyDescent="0.3">
      <c r="I5023" t="s">
        <v>12706</v>
      </c>
      <c r="J5023" t="s">
        <v>2203</v>
      </c>
    </row>
    <row r="5024" spans="9:10" x14ac:dyDescent="0.3">
      <c r="I5024" t="s">
        <v>12707</v>
      </c>
      <c r="J5024" t="s">
        <v>2203</v>
      </c>
    </row>
    <row r="5025" spans="9:10" x14ac:dyDescent="0.3">
      <c r="I5025" t="s">
        <v>12708</v>
      </c>
      <c r="J5025" t="s">
        <v>2203</v>
      </c>
    </row>
    <row r="5026" spans="9:10" x14ac:dyDescent="0.3">
      <c r="I5026" t="s">
        <v>12709</v>
      </c>
      <c r="J5026" t="s">
        <v>2203</v>
      </c>
    </row>
    <row r="5027" spans="9:10" x14ac:dyDescent="0.3">
      <c r="I5027" t="s">
        <v>12709</v>
      </c>
      <c r="J5027" t="s">
        <v>2203</v>
      </c>
    </row>
    <row r="5028" spans="9:10" x14ac:dyDescent="0.3">
      <c r="I5028" t="s">
        <v>12709</v>
      </c>
      <c r="J5028" t="s">
        <v>2203</v>
      </c>
    </row>
    <row r="5029" spans="9:10" x14ac:dyDescent="0.3">
      <c r="I5029" t="s">
        <v>12709</v>
      </c>
      <c r="J5029" t="s">
        <v>2203</v>
      </c>
    </row>
    <row r="5030" spans="9:10" x14ac:dyDescent="0.3">
      <c r="I5030" t="s">
        <v>12710</v>
      </c>
      <c r="J5030" t="s">
        <v>2203</v>
      </c>
    </row>
    <row r="5031" spans="9:10" x14ac:dyDescent="0.3">
      <c r="I5031" t="s">
        <v>12711</v>
      </c>
      <c r="J5031" t="s">
        <v>2203</v>
      </c>
    </row>
    <row r="5032" spans="9:10" x14ac:dyDescent="0.3">
      <c r="I5032" t="s">
        <v>12712</v>
      </c>
      <c r="J5032" t="s">
        <v>2203</v>
      </c>
    </row>
    <row r="5033" spans="9:10" x14ac:dyDescent="0.3">
      <c r="I5033" t="s">
        <v>12713</v>
      </c>
      <c r="J5033" t="s">
        <v>2203</v>
      </c>
    </row>
    <row r="5034" spans="9:10" x14ac:dyDescent="0.3">
      <c r="I5034" t="s">
        <v>12714</v>
      </c>
      <c r="J5034" t="s">
        <v>2203</v>
      </c>
    </row>
    <row r="5035" spans="9:10" x14ac:dyDescent="0.3">
      <c r="I5035" t="s">
        <v>12715</v>
      </c>
      <c r="J5035" t="s">
        <v>2203</v>
      </c>
    </row>
    <row r="5036" spans="9:10" x14ac:dyDescent="0.3">
      <c r="I5036" t="s">
        <v>12716</v>
      </c>
      <c r="J5036" t="s">
        <v>2203</v>
      </c>
    </row>
    <row r="5037" spans="9:10" x14ac:dyDescent="0.3">
      <c r="I5037" t="s">
        <v>12707</v>
      </c>
      <c r="J5037" t="s">
        <v>2203</v>
      </c>
    </row>
    <row r="5038" spans="9:10" x14ac:dyDescent="0.3">
      <c r="I5038" t="s">
        <v>12707</v>
      </c>
      <c r="J5038" t="s">
        <v>2203</v>
      </c>
    </row>
    <row r="5039" spans="9:10" x14ac:dyDescent="0.3">
      <c r="I5039" t="s">
        <v>12707</v>
      </c>
      <c r="J5039" t="s">
        <v>2203</v>
      </c>
    </row>
    <row r="5040" spans="9:10" x14ac:dyDescent="0.3">
      <c r="I5040" t="s">
        <v>12707</v>
      </c>
      <c r="J5040" t="s">
        <v>2203</v>
      </c>
    </row>
    <row r="5041" spans="9:10" x14ac:dyDescent="0.3">
      <c r="I5041" t="s">
        <v>12717</v>
      </c>
      <c r="J5041" t="s">
        <v>2203</v>
      </c>
    </row>
    <row r="5042" spans="9:10" x14ac:dyDescent="0.3">
      <c r="I5042" t="s">
        <v>12718</v>
      </c>
      <c r="J5042" t="s">
        <v>2203</v>
      </c>
    </row>
    <row r="5043" spans="9:10" x14ac:dyDescent="0.3">
      <c r="I5043" t="s">
        <v>12719</v>
      </c>
      <c r="J5043" t="s">
        <v>2203</v>
      </c>
    </row>
    <row r="5044" spans="9:10" x14ac:dyDescent="0.3">
      <c r="I5044" t="s">
        <v>12720</v>
      </c>
      <c r="J5044" t="s">
        <v>2203</v>
      </c>
    </row>
    <row r="5045" spans="9:10" x14ac:dyDescent="0.3">
      <c r="I5045" t="s">
        <v>12721</v>
      </c>
      <c r="J5045" t="s">
        <v>2203</v>
      </c>
    </row>
    <row r="5046" spans="9:10" x14ac:dyDescent="0.3">
      <c r="I5046" t="s">
        <v>12707</v>
      </c>
      <c r="J5046" t="s">
        <v>2203</v>
      </c>
    </row>
    <row r="5047" spans="9:10" x14ac:dyDescent="0.3">
      <c r="I5047" t="s">
        <v>12722</v>
      </c>
      <c r="J5047" t="s">
        <v>2203</v>
      </c>
    </row>
    <row r="5048" spans="9:10" x14ac:dyDescent="0.3">
      <c r="I5048" t="s">
        <v>12723</v>
      </c>
      <c r="J5048" t="s">
        <v>2203</v>
      </c>
    </row>
    <row r="5049" spans="9:10" x14ac:dyDescent="0.3">
      <c r="I5049" t="s">
        <v>12724</v>
      </c>
      <c r="J5049" t="s">
        <v>2203</v>
      </c>
    </row>
    <row r="5050" spans="9:10" x14ac:dyDescent="0.3">
      <c r="I5050" t="s">
        <v>12725</v>
      </c>
      <c r="J5050" t="s">
        <v>2204</v>
      </c>
    </row>
    <row r="5051" spans="9:10" x14ac:dyDescent="0.3">
      <c r="I5051" t="s">
        <v>12726</v>
      </c>
      <c r="J5051" t="s">
        <v>2205</v>
      </c>
    </row>
    <row r="5052" spans="9:10" x14ac:dyDescent="0.3">
      <c r="I5052" t="s">
        <v>12726</v>
      </c>
      <c r="J5052" t="s">
        <v>2205</v>
      </c>
    </row>
    <row r="5053" spans="9:10" x14ac:dyDescent="0.3">
      <c r="I5053" t="s">
        <v>12726</v>
      </c>
      <c r="J5053" t="s">
        <v>2205</v>
      </c>
    </row>
    <row r="5054" spans="9:10" x14ac:dyDescent="0.3">
      <c r="I5054" t="s">
        <v>12726</v>
      </c>
      <c r="J5054" t="s">
        <v>2205</v>
      </c>
    </row>
    <row r="5055" spans="9:10" x14ac:dyDescent="0.3">
      <c r="I5055" t="s">
        <v>12726</v>
      </c>
      <c r="J5055" t="s">
        <v>2205</v>
      </c>
    </row>
    <row r="5056" spans="9:10" x14ac:dyDescent="0.3">
      <c r="I5056" t="s">
        <v>12727</v>
      </c>
      <c r="J5056" t="s">
        <v>2205</v>
      </c>
    </row>
    <row r="5057" spans="9:10" x14ac:dyDescent="0.3">
      <c r="I5057" t="s">
        <v>12728</v>
      </c>
      <c r="J5057" t="s">
        <v>2206</v>
      </c>
    </row>
    <row r="5058" spans="9:10" x14ac:dyDescent="0.3">
      <c r="I5058" t="s">
        <v>12728</v>
      </c>
      <c r="J5058" t="s">
        <v>2206</v>
      </c>
    </row>
    <row r="5059" spans="9:10" x14ac:dyDescent="0.3">
      <c r="I5059" t="s">
        <v>12728</v>
      </c>
      <c r="J5059" t="s">
        <v>2206</v>
      </c>
    </row>
    <row r="5060" spans="9:10" x14ac:dyDescent="0.3">
      <c r="I5060" t="s">
        <v>12728</v>
      </c>
      <c r="J5060" t="s">
        <v>2206</v>
      </c>
    </row>
    <row r="5061" spans="9:10" x14ac:dyDescent="0.3">
      <c r="I5061" t="s">
        <v>12728</v>
      </c>
      <c r="J5061" t="s">
        <v>2206</v>
      </c>
    </row>
    <row r="5062" spans="9:10" x14ac:dyDescent="0.3">
      <c r="I5062" t="s">
        <v>12728</v>
      </c>
      <c r="J5062" t="s">
        <v>2206</v>
      </c>
    </row>
    <row r="5063" spans="9:10" x14ac:dyDescent="0.3">
      <c r="I5063" t="s">
        <v>12728</v>
      </c>
      <c r="J5063" t="s">
        <v>2206</v>
      </c>
    </row>
    <row r="5064" spans="9:10" x14ac:dyDescent="0.3">
      <c r="I5064" t="s">
        <v>12728</v>
      </c>
      <c r="J5064" t="s">
        <v>2206</v>
      </c>
    </row>
    <row r="5065" spans="9:10" x14ac:dyDescent="0.3">
      <c r="I5065" t="s">
        <v>12728</v>
      </c>
      <c r="J5065" t="s">
        <v>2206</v>
      </c>
    </row>
    <row r="5066" spans="9:10" x14ac:dyDescent="0.3">
      <c r="I5066" t="s">
        <v>12729</v>
      </c>
      <c r="J5066" t="s">
        <v>2207</v>
      </c>
    </row>
    <row r="5067" spans="9:10" x14ac:dyDescent="0.3">
      <c r="I5067" t="s">
        <v>12729</v>
      </c>
      <c r="J5067" t="s">
        <v>2207</v>
      </c>
    </row>
    <row r="5068" spans="9:10" x14ac:dyDescent="0.3">
      <c r="I5068" t="s">
        <v>12730</v>
      </c>
      <c r="J5068" t="s">
        <v>2208</v>
      </c>
    </row>
    <row r="5069" spans="9:10" x14ac:dyDescent="0.3">
      <c r="I5069" t="s">
        <v>12730</v>
      </c>
      <c r="J5069" t="s">
        <v>2208</v>
      </c>
    </row>
    <row r="5070" spans="9:10" x14ac:dyDescent="0.3">
      <c r="I5070" t="s">
        <v>12730</v>
      </c>
      <c r="J5070" t="s">
        <v>2208</v>
      </c>
    </row>
    <row r="5071" spans="9:10" x14ac:dyDescent="0.3">
      <c r="I5071" t="s">
        <v>12730</v>
      </c>
      <c r="J5071" t="s">
        <v>2208</v>
      </c>
    </row>
    <row r="5072" spans="9:10" x14ac:dyDescent="0.3">
      <c r="I5072" t="s">
        <v>12730</v>
      </c>
      <c r="J5072" t="s">
        <v>2208</v>
      </c>
    </row>
    <row r="5073" spans="9:10" x14ac:dyDescent="0.3">
      <c r="I5073" t="s">
        <v>12731</v>
      </c>
    </row>
    <row r="5074" spans="9:10" x14ac:dyDescent="0.3">
      <c r="I5074" t="s">
        <v>12732</v>
      </c>
      <c r="J5074" t="s">
        <v>2209</v>
      </c>
    </row>
    <row r="5075" spans="9:10" x14ac:dyDescent="0.3">
      <c r="I5075" t="s">
        <v>12733</v>
      </c>
      <c r="J5075" t="s">
        <v>2209</v>
      </c>
    </row>
    <row r="5076" spans="9:10" x14ac:dyDescent="0.3">
      <c r="I5076" t="s">
        <v>12734</v>
      </c>
      <c r="J5076" t="s">
        <v>2210</v>
      </c>
    </row>
    <row r="5077" spans="9:10" x14ac:dyDescent="0.3">
      <c r="I5077" t="s">
        <v>12735</v>
      </c>
    </row>
    <row r="5078" spans="9:10" x14ac:dyDescent="0.3">
      <c r="I5078" t="s">
        <v>12736</v>
      </c>
    </row>
    <row r="5079" spans="9:10" x14ac:dyDescent="0.3">
      <c r="I5079" t="s">
        <v>12737</v>
      </c>
      <c r="J5079" t="s">
        <v>2211</v>
      </c>
    </row>
    <row r="5080" spans="9:10" x14ac:dyDescent="0.3">
      <c r="I5080" t="s">
        <v>12738</v>
      </c>
      <c r="J5080" t="s">
        <v>2211</v>
      </c>
    </row>
    <row r="5081" spans="9:10" x14ac:dyDescent="0.3">
      <c r="I5081" t="s">
        <v>12739</v>
      </c>
      <c r="J5081" t="s">
        <v>2211</v>
      </c>
    </row>
    <row r="5082" spans="9:10" x14ac:dyDescent="0.3">
      <c r="I5082" t="s">
        <v>12738</v>
      </c>
      <c r="J5082" t="s">
        <v>2211</v>
      </c>
    </row>
    <row r="5083" spans="9:10" x14ac:dyDescent="0.3">
      <c r="I5083" t="s">
        <v>12740</v>
      </c>
      <c r="J5083" t="s">
        <v>2212</v>
      </c>
    </row>
    <row r="5084" spans="9:10" x14ac:dyDescent="0.3">
      <c r="I5084" t="s">
        <v>12741</v>
      </c>
      <c r="J5084" t="s">
        <v>2212</v>
      </c>
    </row>
    <row r="5085" spans="9:10" x14ac:dyDescent="0.3">
      <c r="I5085" t="s">
        <v>12742</v>
      </c>
      <c r="J5085" t="s">
        <v>2213</v>
      </c>
    </row>
    <row r="5086" spans="9:10" x14ac:dyDescent="0.3">
      <c r="I5086" t="s">
        <v>12743</v>
      </c>
      <c r="J5086" t="s">
        <v>2213</v>
      </c>
    </row>
    <row r="5087" spans="9:10" x14ac:dyDescent="0.3">
      <c r="I5087" t="s">
        <v>12743</v>
      </c>
      <c r="J5087" t="s">
        <v>2213</v>
      </c>
    </row>
    <row r="5088" spans="9:10" x14ac:dyDescent="0.3">
      <c r="I5088" t="s">
        <v>12744</v>
      </c>
    </row>
    <row r="5089" spans="9:10" x14ac:dyDescent="0.3">
      <c r="I5089" t="s">
        <v>12745</v>
      </c>
      <c r="J5089" t="s">
        <v>2214</v>
      </c>
    </row>
    <row r="5090" spans="9:10" x14ac:dyDescent="0.3">
      <c r="I5090" t="s">
        <v>12746</v>
      </c>
      <c r="J5090" t="s">
        <v>2215</v>
      </c>
    </row>
    <row r="5091" spans="9:10" x14ac:dyDescent="0.3">
      <c r="I5091" t="s">
        <v>12747</v>
      </c>
    </row>
    <row r="5092" spans="9:10" x14ac:dyDescent="0.3">
      <c r="I5092" t="s">
        <v>12748</v>
      </c>
      <c r="J5092" t="s">
        <v>2216</v>
      </c>
    </row>
    <row r="5093" spans="9:10" x14ac:dyDescent="0.3">
      <c r="I5093" t="s">
        <v>12749</v>
      </c>
      <c r="J5093" t="s">
        <v>2216</v>
      </c>
    </row>
    <row r="5094" spans="9:10" x14ac:dyDescent="0.3">
      <c r="I5094" t="s">
        <v>12750</v>
      </c>
      <c r="J5094" t="s">
        <v>2217</v>
      </c>
    </row>
    <row r="5095" spans="9:10" x14ac:dyDescent="0.3">
      <c r="I5095" t="s">
        <v>12751</v>
      </c>
      <c r="J5095" t="s">
        <v>2218</v>
      </c>
    </row>
    <row r="5096" spans="9:10" x14ac:dyDescent="0.3">
      <c r="I5096" t="s">
        <v>12752</v>
      </c>
      <c r="J5096" t="s">
        <v>2219</v>
      </c>
    </row>
    <row r="5097" spans="9:10" x14ac:dyDescent="0.3">
      <c r="I5097" t="s">
        <v>12753</v>
      </c>
      <c r="J5097" t="s">
        <v>2219</v>
      </c>
    </row>
    <row r="5098" spans="9:10" x14ac:dyDescent="0.3">
      <c r="I5098" t="s">
        <v>12754</v>
      </c>
      <c r="J5098" t="s">
        <v>2219</v>
      </c>
    </row>
    <row r="5099" spans="9:10" x14ac:dyDescent="0.3">
      <c r="I5099" t="s">
        <v>12755</v>
      </c>
      <c r="J5099" t="s">
        <v>2220</v>
      </c>
    </row>
    <row r="5100" spans="9:10" x14ac:dyDescent="0.3">
      <c r="I5100" t="s">
        <v>12756</v>
      </c>
      <c r="J5100" t="s">
        <v>2221</v>
      </c>
    </row>
    <row r="5101" spans="9:10" x14ac:dyDescent="0.3">
      <c r="I5101" t="s">
        <v>12757</v>
      </c>
    </row>
    <row r="5102" spans="9:10" x14ac:dyDescent="0.3">
      <c r="I5102" t="s">
        <v>12758</v>
      </c>
      <c r="J5102" t="s">
        <v>155</v>
      </c>
    </row>
    <row r="5103" spans="9:10" x14ac:dyDescent="0.3">
      <c r="I5103" t="s">
        <v>12759</v>
      </c>
    </row>
    <row r="5104" spans="9:10" x14ac:dyDescent="0.3">
      <c r="I5104" t="s">
        <v>12760</v>
      </c>
    </row>
    <row r="5105" spans="9:10" x14ac:dyDescent="0.3">
      <c r="I5105" t="s">
        <v>12761</v>
      </c>
      <c r="J5105" t="s">
        <v>2222</v>
      </c>
    </row>
    <row r="5106" spans="9:10" x14ac:dyDescent="0.3">
      <c r="I5106" t="s">
        <v>12762</v>
      </c>
      <c r="J5106" t="s">
        <v>2222</v>
      </c>
    </row>
    <row r="5107" spans="9:10" x14ac:dyDescent="0.3">
      <c r="I5107" t="s">
        <v>12762</v>
      </c>
      <c r="J5107" t="s">
        <v>2222</v>
      </c>
    </row>
    <row r="5108" spans="9:10" x14ac:dyDescent="0.3">
      <c r="I5108" t="s">
        <v>12763</v>
      </c>
    </row>
    <row r="5109" spans="9:10" x14ac:dyDescent="0.3">
      <c r="I5109" t="s">
        <v>12764</v>
      </c>
    </row>
    <row r="5110" spans="9:10" x14ac:dyDescent="0.3">
      <c r="I5110" t="s">
        <v>12765</v>
      </c>
      <c r="J5110" t="s">
        <v>2223</v>
      </c>
    </row>
    <row r="5111" spans="9:10" x14ac:dyDescent="0.3">
      <c r="I5111" t="s">
        <v>12766</v>
      </c>
      <c r="J5111">
        <v>0</v>
      </c>
    </row>
    <row r="5112" spans="9:10" x14ac:dyDescent="0.3">
      <c r="I5112" t="s">
        <v>12767</v>
      </c>
    </row>
    <row r="5113" spans="9:10" x14ac:dyDescent="0.3">
      <c r="I5113" t="s">
        <v>12768</v>
      </c>
      <c r="J5113" t="s">
        <v>2224</v>
      </c>
    </row>
    <row r="5114" spans="9:10" x14ac:dyDescent="0.3">
      <c r="I5114" t="s">
        <v>12769</v>
      </c>
      <c r="J5114" t="s">
        <v>2225</v>
      </c>
    </row>
    <row r="5115" spans="9:10" x14ac:dyDescent="0.3">
      <c r="I5115" t="s">
        <v>12770</v>
      </c>
    </row>
    <row r="5116" spans="9:10" x14ac:dyDescent="0.3">
      <c r="I5116" t="s">
        <v>12771</v>
      </c>
      <c r="J5116" t="s">
        <v>2226</v>
      </c>
    </row>
    <row r="5117" spans="9:10" x14ac:dyDescent="0.3">
      <c r="I5117" t="s">
        <v>12772</v>
      </c>
    </row>
    <row r="5118" spans="9:10" x14ac:dyDescent="0.3">
      <c r="I5118" t="s">
        <v>12773</v>
      </c>
      <c r="J5118" t="s">
        <v>2227</v>
      </c>
    </row>
    <row r="5119" spans="9:10" x14ac:dyDescent="0.3">
      <c r="I5119" t="s">
        <v>12774</v>
      </c>
      <c r="J5119" t="s">
        <v>2228</v>
      </c>
    </row>
    <row r="5120" spans="9:10" x14ac:dyDescent="0.3">
      <c r="I5120" t="s">
        <v>12775</v>
      </c>
    </row>
    <row r="5121" spans="9:10" x14ac:dyDescent="0.3">
      <c r="I5121" t="s">
        <v>12776</v>
      </c>
      <c r="J5121" t="s">
        <v>2229</v>
      </c>
    </row>
    <row r="5122" spans="9:10" x14ac:dyDescent="0.3">
      <c r="I5122" t="s">
        <v>12777</v>
      </c>
      <c r="J5122" t="s">
        <v>2230</v>
      </c>
    </row>
    <row r="5123" spans="9:10" x14ac:dyDescent="0.3">
      <c r="I5123" t="s">
        <v>12778</v>
      </c>
    </row>
    <row r="5124" spans="9:10" x14ac:dyDescent="0.3">
      <c r="I5124" t="s">
        <v>12779</v>
      </c>
      <c r="J5124" t="s">
        <v>2231</v>
      </c>
    </row>
    <row r="5125" spans="9:10" x14ac:dyDescent="0.3">
      <c r="I5125" t="s">
        <v>12780</v>
      </c>
      <c r="J5125" t="s">
        <v>2232</v>
      </c>
    </row>
    <row r="5126" spans="9:10" x14ac:dyDescent="0.3">
      <c r="I5126" t="s">
        <v>12781</v>
      </c>
      <c r="J5126" t="s">
        <v>2232</v>
      </c>
    </row>
    <row r="5127" spans="9:10" x14ac:dyDescent="0.3">
      <c r="I5127" t="s">
        <v>12780</v>
      </c>
      <c r="J5127" t="s">
        <v>2232</v>
      </c>
    </row>
    <row r="5128" spans="9:10" x14ac:dyDescent="0.3">
      <c r="I5128" t="s">
        <v>12782</v>
      </c>
      <c r="J5128" t="s">
        <v>2232</v>
      </c>
    </row>
    <row r="5129" spans="9:10" x14ac:dyDescent="0.3">
      <c r="I5129" t="s">
        <v>12783</v>
      </c>
      <c r="J5129" t="s">
        <v>2232</v>
      </c>
    </row>
    <row r="5130" spans="9:10" x14ac:dyDescent="0.3">
      <c r="I5130" t="s">
        <v>12784</v>
      </c>
      <c r="J5130" t="s">
        <v>2232</v>
      </c>
    </row>
    <row r="5131" spans="9:10" x14ac:dyDescent="0.3">
      <c r="I5131" t="s">
        <v>12785</v>
      </c>
      <c r="J5131" t="s">
        <v>2233</v>
      </c>
    </row>
    <row r="5132" spans="9:10" x14ac:dyDescent="0.3">
      <c r="I5132" t="s">
        <v>12786</v>
      </c>
      <c r="J5132" t="s">
        <v>2233</v>
      </c>
    </row>
    <row r="5133" spans="9:10" x14ac:dyDescent="0.3">
      <c r="I5133" t="s">
        <v>12787</v>
      </c>
      <c r="J5133" t="s">
        <v>2233</v>
      </c>
    </row>
    <row r="5134" spans="9:10" x14ac:dyDescent="0.3">
      <c r="I5134" t="s">
        <v>12788</v>
      </c>
      <c r="J5134" t="s">
        <v>2234</v>
      </c>
    </row>
    <row r="5135" spans="9:10" x14ac:dyDescent="0.3">
      <c r="I5135" t="s">
        <v>12789</v>
      </c>
      <c r="J5135" t="s">
        <v>2235</v>
      </c>
    </row>
    <row r="5136" spans="9:10" x14ac:dyDescent="0.3">
      <c r="I5136" t="s">
        <v>12790</v>
      </c>
      <c r="J5136" t="s">
        <v>2236</v>
      </c>
    </row>
    <row r="5137" spans="9:10" x14ac:dyDescent="0.3">
      <c r="I5137" t="s">
        <v>12791</v>
      </c>
      <c r="J5137" t="s">
        <v>2237</v>
      </c>
    </row>
    <row r="5138" spans="9:10" x14ac:dyDescent="0.3">
      <c r="I5138" t="s">
        <v>12792</v>
      </c>
      <c r="J5138" t="s">
        <v>2238</v>
      </c>
    </row>
    <row r="5139" spans="9:10" x14ac:dyDescent="0.3">
      <c r="I5139" t="s">
        <v>12793</v>
      </c>
      <c r="J5139" t="s">
        <v>2239</v>
      </c>
    </row>
    <row r="5140" spans="9:10" x14ac:dyDescent="0.3">
      <c r="I5140" t="s">
        <v>12794</v>
      </c>
    </row>
    <row r="5141" spans="9:10" x14ac:dyDescent="0.3">
      <c r="I5141" t="s">
        <v>12795</v>
      </c>
    </row>
    <row r="5142" spans="9:10" x14ac:dyDescent="0.3">
      <c r="I5142" t="s">
        <v>12796</v>
      </c>
    </row>
    <row r="5143" spans="9:10" x14ac:dyDescent="0.3">
      <c r="I5143" t="s">
        <v>12797</v>
      </c>
      <c r="J5143" t="s">
        <v>2240</v>
      </c>
    </row>
    <row r="5144" spans="9:10" x14ac:dyDescent="0.3">
      <c r="I5144" t="s">
        <v>12798</v>
      </c>
    </row>
    <row r="5145" spans="9:10" x14ac:dyDescent="0.3">
      <c r="I5145" t="s">
        <v>12799</v>
      </c>
      <c r="J5145" t="s">
        <v>2241</v>
      </c>
    </row>
    <row r="5146" spans="9:10" x14ac:dyDescent="0.3">
      <c r="I5146" t="s">
        <v>12800</v>
      </c>
      <c r="J5146" t="s">
        <v>2242</v>
      </c>
    </row>
    <row r="5147" spans="9:10" x14ac:dyDescent="0.3">
      <c r="I5147" t="s">
        <v>12801</v>
      </c>
      <c r="J5147" t="s">
        <v>2243</v>
      </c>
    </row>
    <row r="5148" spans="9:10" x14ac:dyDescent="0.3">
      <c r="I5148" t="s">
        <v>12802</v>
      </c>
      <c r="J5148" t="s">
        <v>2244</v>
      </c>
    </row>
    <row r="5149" spans="9:10" x14ac:dyDescent="0.3">
      <c r="I5149" t="s">
        <v>12803</v>
      </c>
      <c r="J5149" t="s">
        <v>2245</v>
      </c>
    </row>
    <row r="5150" spans="9:10" x14ac:dyDescent="0.3">
      <c r="I5150" t="s">
        <v>12804</v>
      </c>
      <c r="J5150" t="s">
        <v>2246</v>
      </c>
    </row>
    <row r="5151" spans="9:10" x14ac:dyDescent="0.3">
      <c r="I5151" t="s">
        <v>12805</v>
      </c>
      <c r="J5151" t="s">
        <v>2247</v>
      </c>
    </row>
    <row r="5152" spans="9:10" x14ac:dyDescent="0.3">
      <c r="I5152" t="s">
        <v>12806</v>
      </c>
      <c r="J5152" t="s">
        <v>1852</v>
      </c>
    </row>
    <row r="5153" spans="9:10" x14ac:dyDescent="0.3">
      <c r="I5153" t="s">
        <v>12807</v>
      </c>
    </row>
    <row r="5154" spans="9:10" x14ac:dyDescent="0.3">
      <c r="I5154" t="s">
        <v>12808</v>
      </c>
    </row>
    <row r="5155" spans="9:10" x14ac:dyDescent="0.3">
      <c r="I5155" t="s">
        <v>12809</v>
      </c>
      <c r="J5155" t="s">
        <v>2248</v>
      </c>
    </row>
    <row r="5156" spans="9:10" x14ac:dyDescent="0.3">
      <c r="I5156" t="s">
        <v>12810</v>
      </c>
      <c r="J5156" t="s">
        <v>2248</v>
      </c>
    </row>
    <row r="5157" spans="9:10" x14ac:dyDescent="0.3">
      <c r="I5157" t="s">
        <v>12811</v>
      </c>
      <c r="J5157" t="s">
        <v>2249</v>
      </c>
    </row>
    <row r="5158" spans="9:10" x14ac:dyDescent="0.3">
      <c r="I5158" t="s">
        <v>12812</v>
      </c>
      <c r="J5158" t="s">
        <v>2250</v>
      </c>
    </row>
    <row r="5159" spans="9:10" x14ac:dyDescent="0.3">
      <c r="I5159" t="s">
        <v>12813</v>
      </c>
      <c r="J5159" t="s">
        <v>111</v>
      </c>
    </row>
    <row r="5160" spans="9:10" x14ac:dyDescent="0.3">
      <c r="I5160" t="s">
        <v>12814</v>
      </c>
      <c r="J5160" t="s">
        <v>111</v>
      </c>
    </row>
    <row r="5161" spans="9:10" x14ac:dyDescent="0.3">
      <c r="I5161" t="s">
        <v>12815</v>
      </c>
      <c r="J5161" t="s">
        <v>113</v>
      </c>
    </row>
    <row r="5162" spans="9:10" x14ac:dyDescent="0.3">
      <c r="I5162" t="s">
        <v>12815</v>
      </c>
      <c r="J5162" t="s">
        <v>113</v>
      </c>
    </row>
    <row r="5163" spans="9:10" x14ac:dyDescent="0.3">
      <c r="I5163" t="s">
        <v>12816</v>
      </c>
      <c r="J5163" t="s">
        <v>113</v>
      </c>
    </row>
    <row r="5164" spans="9:10" x14ac:dyDescent="0.3">
      <c r="I5164" t="s">
        <v>12817</v>
      </c>
      <c r="J5164" t="s">
        <v>114</v>
      </c>
    </row>
    <row r="5165" spans="9:10" x14ac:dyDescent="0.3">
      <c r="I5165" t="s">
        <v>12818</v>
      </c>
      <c r="J5165" t="s">
        <v>887</v>
      </c>
    </row>
    <row r="5166" spans="9:10" x14ac:dyDescent="0.3">
      <c r="I5166" t="s">
        <v>12819</v>
      </c>
    </row>
    <row r="5167" spans="9:10" x14ac:dyDescent="0.3">
      <c r="I5167" t="s">
        <v>12820</v>
      </c>
      <c r="J5167" t="s">
        <v>2251</v>
      </c>
    </row>
    <row r="5168" spans="9:10" x14ac:dyDescent="0.3">
      <c r="I5168" t="s">
        <v>12821</v>
      </c>
      <c r="J5168" t="s">
        <v>2252</v>
      </c>
    </row>
    <row r="5169" spans="9:10" x14ac:dyDescent="0.3">
      <c r="I5169" t="s">
        <v>12822</v>
      </c>
    </row>
    <row r="5170" spans="9:10" x14ac:dyDescent="0.3">
      <c r="I5170" t="s">
        <v>12823</v>
      </c>
      <c r="J5170" t="s">
        <v>2253</v>
      </c>
    </row>
    <row r="5171" spans="9:10" x14ac:dyDescent="0.3">
      <c r="I5171" t="s">
        <v>12824</v>
      </c>
      <c r="J5171" t="s">
        <v>2254</v>
      </c>
    </row>
    <row r="5172" spans="9:10" x14ac:dyDescent="0.3">
      <c r="I5172" t="s">
        <v>12825</v>
      </c>
      <c r="J5172" t="s">
        <v>2254</v>
      </c>
    </row>
    <row r="5173" spans="9:10" x14ac:dyDescent="0.3">
      <c r="I5173" t="s">
        <v>12825</v>
      </c>
      <c r="J5173" t="s">
        <v>2254</v>
      </c>
    </row>
    <row r="5174" spans="9:10" x14ac:dyDescent="0.3">
      <c r="I5174" t="s">
        <v>12826</v>
      </c>
      <c r="J5174" t="s">
        <v>2254</v>
      </c>
    </row>
    <row r="5175" spans="9:10" x14ac:dyDescent="0.3">
      <c r="I5175" t="s">
        <v>12827</v>
      </c>
      <c r="J5175" t="s">
        <v>2254</v>
      </c>
    </row>
    <row r="5176" spans="9:10" x14ac:dyDescent="0.3">
      <c r="I5176" t="s">
        <v>12825</v>
      </c>
      <c r="J5176" t="s">
        <v>2254</v>
      </c>
    </row>
    <row r="5177" spans="9:10" x14ac:dyDescent="0.3">
      <c r="I5177" t="s">
        <v>12828</v>
      </c>
    </row>
    <row r="5178" spans="9:10" x14ac:dyDescent="0.3">
      <c r="I5178" t="s">
        <v>12829</v>
      </c>
      <c r="J5178" t="s">
        <v>2255</v>
      </c>
    </row>
    <row r="5179" spans="9:10" x14ac:dyDescent="0.3">
      <c r="I5179" t="s">
        <v>12830</v>
      </c>
      <c r="J5179" t="s">
        <v>2255</v>
      </c>
    </row>
    <row r="5180" spans="9:10" x14ac:dyDescent="0.3">
      <c r="I5180" t="s">
        <v>12829</v>
      </c>
      <c r="J5180" t="s">
        <v>2255</v>
      </c>
    </row>
    <row r="5181" spans="9:10" x14ac:dyDescent="0.3">
      <c r="I5181" t="s">
        <v>12831</v>
      </c>
      <c r="J5181" t="s">
        <v>2256</v>
      </c>
    </row>
    <row r="5182" spans="9:10" x14ac:dyDescent="0.3">
      <c r="I5182" t="s">
        <v>12831</v>
      </c>
      <c r="J5182" t="s">
        <v>2256</v>
      </c>
    </row>
    <row r="5183" spans="9:10" x14ac:dyDescent="0.3">
      <c r="I5183" t="s">
        <v>12832</v>
      </c>
      <c r="J5183" t="s">
        <v>2257</v>
      </c>
    </row>
    <row r="5184" spans="9:10" x14ac:dyDescent="0.3">
      <c r="I5184" t="s">
        <v>12833</v>
      </c>
    </row>
    <row r="5185" spans="9:10" x14ac:dyDescent="0.3">
      <c r="I5185" t="s">
        <v>12834</v>
      </c>
      <c r="J5185" t="s">
        <v>2258</v>
      </c>
    </row>
    <row r="5186" spans="9:10" x14ac:dyDescent="0.3">
      <c r="I5186" t="s">
        <v>12835</v>
      </c>
    </row>
    <row r="5187" spans="9:10" x14ac:dyDescent="0.3">
      <c r="I5187" t="s">
        <v>12836</v>
      </c>
    </row>
    <row r="5188" spans="9:10" x14ac:dyDescent="0.3">
      <c r="I5188" t="s">
        <v>12837</v>
      </c>
      <c r="J5188" t="s">
        <v>2259</v>
      </c>
    </row>
    <row r="5189" spans="9:10" x14ac:dyDescent="0.3">
      <c r="I5189" t="s">
        <v>12838</v>
      </c>
      <c r="J5189" t="s">
        <v>151</v>
      </c>
    </row>
    <row r="5190" spans="9:10" x14ac:dyDescent="0.3">
      <c r="I5190" t="s">
        <v>12839</v>
      </c>
    </row>
    <row r="5191" spans="9:10" x14ac:dyDescent="0.3">
      <c r="I5191" t="s">
        <v>12840</v>
      </c>
    </row>
    <row r="5192" spans="9:10" x14ac:dyDescent="0.3">
      <c r="I5192" t="s">
        <v>12841</v>
      </c>
      <c r="J5192" t="s">
        <v>2260</v>
      </c>
    </row>
    <row r="5193" spans="9:10" x14ac:dyDescent="0.3">
      <c r="I5193" t="s">
        <v>12842</v>
      </c>
      <c r="J5193" t="s">
        <v>2261</v>
      </c>
    </row>
    <row r="5194" spans="9:10" x14ac:dyDescent="0.3">
      <c r="I5194" t="s">
        <v>12843</v>
      </c>
      <c r="J5194" t="s">
        <v>2262</v>
      </c>
    </row>
    <row r="5195" spans="9:10" x14ac:dyDescent="0.3">
      <c r="I5195" t="s">
        <v>12844</v>
      </c>
      <c r="J5195">
        <v>0</v>
      </c>
    </row>
    <row r="5196" spans="9:10" x14ac:dyDescent="0.3">
      <c r="I5196" t="s">
        <v>12845</v>
      </c>
      <c r="J5196" t="s">
        <v>2263</v>
      </c>
    </row>
    <row r="5197" spans="9:10" x14ac:dyDescent="0.3">
      <c r="I5197" t="s">
        <v>12846</v>
      </c>
      <c r="J5197" t="s">
        <v>2263</v>
      </c>
    </row>
    <row r="5198" spans="9:10" x14ac:dyDescent="0.3">
      <c r="I5198" t="s">
        <v>12847</v>
      </c>
    </row>
    <row r="5199" spans="9:10" x14ac:dyDescent="0.3">
      <c r="I5199" t="s">
        <v>12848</v>
      </c>
    </row>
    <row r="5200" spans="9:10" x14ac:dyDescent="0.3">
      <c r="I5200" t="s">
        <v>12849</v>
      </c>
      <c r="J5200" t="s">
        <v>885</v>
      </c>
    </row>
    <row r="5201" spans="9:10" x14ac:dyDescent="0.3">
      <c r="I5201" t="s">
        <v>12850</v>
      </c>
      <c r="J5201" t="s">
        <v>885</v>
      </c>
    </row>
    <row r="5202" spans="9:10" x14ac:dyDescent="0.3">
      <c r="I5202" t="s">
        <v>12851</v>
      </c>
      <c r="J5202" t="s">
        <v>2264</v>
      </c>
    </row>
    <row r="5203" spans="9:10" x14ac:dyDescent="0.3">
      <c r="I5203" t="s">
        <v>12852</v>
      </c>
    </row>
    <row r="5204" spans="9:10" x14ac:dyDescent="0.3">
      <c r="I5204" t="s">
        <v>12853</v>
      </c>
      <c r="J5204" t="s">
        <v>112</v>
      </c>
    </row>
    <row r="5205" spans="9:10" x14ac:dyDescent="0.3">
      <c r="I5205" t="s">
        <v>12854</v>
      </c>
      <c r="J5205" t="s">
        <v>886</v>
      </c>
    </row>
    <row r="5206" spans="9:10" x14ac:dyDescent="0.3">
      <c r="I5206" t="s">
        <v>12855</v>
      </c>
      <c r="J5206" t="s">
        <v>115</v>
      </c>
    </row>
    <row r="5207" spans="9:10" x14ac:dyDescent="0.3">
      <c r="I5207" t="s">
        <v>12856</v>
      </c>
      <c r="J5207" t="s">
        <v>115</v>
      </c>
    </row>
    <row r="5208" spans="9:10" x14ac:dyDescent="0.3">
      <c r="I5208" t="s">
        <v>12857</v>
      </c>
      <c r="J5208" t="s">
        <v>116</v>
      </c>
    </row>
    <row r="5209" spans="9:10" x14ac:dyDescent="0.3">
      <c r="I5209" t="s">
        <v>12857</v>
      </c>
      <c r="J5209" t="s">
        <v>116</v>
      </c>
    </row>
    <row r="5210" spans="9:10" x14ac:dyDescent="0.3">
      <c r="I5210" t="s">
        <v>12858</v>
      </c>
      <c r="J5210" t="s">
        <v>2265</v>
      </c>
    </row>
    <row r="5211" spans="9:10" x14ac:dyDescent="0.3">
      <c r="I5211" t="s">
        <v>12858</v>
      </c>
      <c r="J5211" t="s">
        <v>2265</v>
      </c>
    </row>
    <row r="5212" spans="9:10" x14ac:dyDescent="0.3">
      <c r="I5212" t="s">
        <v>12859</v>
      </c>
    </row>
    <row r="5213" spans="9:10" x14ac:dyDescent="0.3">
      <c r="I5213" t="s">
        <v>12860</v>
      </c>
      <c r="J5213" t="s">
        <v>2266</v>
      </c>
    </row>
    <row r="5214" spans="9:10" x14ac:dyDescent="0.3">
      <c r="I5214" t="s">
        <v>12861</v>
      </c>
      <c r="J5214" t="s">
        <v>2266</v>
      </c>
    </row>
    <row r="5215" spans="9:10" x14ac:dyDescent="0.3">
      <c r="I5215" t="s">
        <v>12862</v>
      </c>
      <c r="J5215" t="s">
        <v>2267</v>
      </c>
    </row>
    <row r="5216" spans="9:10" x14ac:dyDescent="0.3">
      <c r="I5216" t="s">
        <v>12863</v>
      </c>
      <c r="J5216" t="s">
        <v>2268</v>
      </c>
    </row>
    <row r="5217" spans="9:10" x14ac:dyDescent="0.3">
      <c r="I5217" t="s">
        <v>12864</v>
      </c>
      <c r="J5217" t="s">
        <v>2269</v>
      </c>
    </row>
    <row r="5218" spans="9:10" x14ac:dyDescent="0.3">
      <c r="I5218" t="s">
        <v>12865</v>
      </c>
      <c r="J5218" t="s">
        <v>2270</v>
      </c>
    </row>
    <row r="5219" spans="9:10" x14ac:dyDescent="0.3">
      <c r="I5219" t="s">
        <v>12866</v>
      </c>
      <c r="J5219" t="s">
        <v>2271</v>
      </c>
    </row>
    <row r="5220" spans="9:10" x14ac:dyDescent="0.3">
      <c r="I5220" t="s">
        <v>153</v>
      </c>
      <c r="J5220" t="s">
        <v>154</v>
      </c>
    </row>
    <row r="5221" spans="9:10" x14ac:dyDescent="0.3">
      <c r="I5221" t="s">
        <v>12867</v>
      </c>
      <c r="J5221" t="s">
        <v>2272</v>
      </c>
    </row>
    <row r="5222" spans="9:10" x14ac:dyDescent="0.3">
      <c r="I5222" t="s">
        <v>12868</v>
      </c>
      <c r="J5222" t="s">
        <v>2273</v>
      </c>
    </row>
    <row r="5223" spans="9:10" x14ac:dyDescent="0.3">
      <c r="I5223" t="s">
        <v>12869</v>
      </c>
      <c r="J5223" t="s">
        <v>2274</v>
      </c>
    </row>
    <row r="5224" spans="9:10" x14ac:dyDescent="0.3">
      <c r="I5224" t="s">
        <v>12870</v>
      </c>
    </row>
    <row r="5225" spans="9:10" x14ac:dyDescent="0.3">
      <c r="I5225" t="s">
        <v>12871</v>
      </c>
      <c r="J5225" t="s">
        <v>2275</v>
      </c>
    </row>
    <row r="5226" spans="9:10" x14ac:dyDescent="0.3">
      <c r="I5226" t="s">
        <v>12872</v>
      </c>
    </row>
    <row r="5227" spans="9:10" x14ac:dyDescent="0.3">
      <c r="I5227" t="s">
        <v>12873</v>
      </c>
      <c r="J5227" t="s">
        <v>2276</v>
      </c>
    </row>
    <row r="5228" spans="9:10" x14ac:dyDescent="0.3">
      <c r="I5228" t="s">
        <v>12874</v>
      </c>
    </row>
    <row r="5229" spans="9:10" x14ac:dyDescent="0.3">
      <c r="I5229" t="s">
        <v>12875</v>
      </c>
      <c r="J5229" t="s">
        <v>2277</v>
      </c>
    </row>
    <row r="5230" spans="9:10" x14ac:dyDescent="0.3">
      <c r="I5230" t="s">
        <v>12876</v>
      </c>
    </row>
    <row r="5231" spans="9:10" x14ac:dyDescent="0.3">
      <c r="I5231" t="s">
        <v>12877</v>
      </c>
      <c r="J5231" s="155" t="s">
        <v>2278</v>
      </c>
    </row>
    <row r="5232" spans="9:10" x14ac:dyDescent="0.3">
      <c r="I5232" t="s">
        <v>12878</v>
      </c>
      <c r="J5232" s="155" t="s">
        <v>2278</v>
      </c>
    </row>
    <row r="5233" spans="9:10" x14ac:dyDescent="0.3">
      <c r="I5233" t="s">
        <v>12879</v>
      </c>
      <c r="J5233" t="s">
        <v>2279</v>
      </c>
    </row>
    <row r="5234" spans="9:10" x14ac:dyDescent="0.3">
      <c r="I5234" t="s">
        <v>12879</v>
      </c>
      <c r="J5234" t="s">
        <v>2279</v>
      </c>
    </row>
    <row r="5235" spans="9:10" x14ac:dyDescent="0.3">
      <c r="I5235" t="s">
        <v>12880</v>
      </c>
      <c r="J5235">
        <v>0</v>
      </c>
    </row>
    <row r="5236" spans="9:10" x14ac:dyDescent="0.3">
      <c r="I5236" t="s">
        <v>12881</v>
      </c>
    </row>
    <row r="5237" spans="9:10" x14ac:dyDescent="0.3">
      <c r="I5237" t="s">
        <v>12882</v>
      </c>
    </row>
    <row r="5238" spans="9:10" x14ac:dyDescent="0.3">
      <c r="I5238" t="s">
        <v>12883</v>
      </c>
      <c r="J5238" t="s">
        <v>2280</v>
      </c>
    </row>
    <row r="5239" spans="9:10" x14ac:dyDescent="0.3">
      <c r="I5239" t="s">
        <v>12884</v>
      </c>
      <c r="J5239" t="s">
        <v>2280</v>
      </c>
    </row>
    <row r="5240" spans="9:10" x14ac:dyDescent="0.3">
      <c r="I5240" t="s">
        <v>12885</v>
      </c>
    </row>
    <row r="5241" spans="9:10" x14ac:dyDescent="0.3">
      <c r="I5241" t="s">
        <v>12886</v>
      </c>
      <c r="J5241">
        <v>0</v>
      </c>
    </row>
    <row r="5242" spans="9:10" x14ac:dyDescent="0.3">
      <c r="I5242" t="s">
        <v>12887</v>
      </c>
      <c r="J5242" t="s">
        <v>2281</v>
      </c>
    </row>
    <row r="5243" spans="9:10" x14ac:dyDescent="0.3">
      <c r="I5243" t="s">
        <v>12888</v>
      </c>
      <c r="J5243" t="s">
        <v>2282</v>
      </c>
    </row>
    <row r="5244" spans="9:10" x14ac:dyDescent="0.3">
      <c r="I5244" t="s">
        <v>12889</v>
      </c>
      <c r="J5244" t="s">
        <v>2282</v>
      </c>
    </row>
    <row r="5245" spans="9:10" x14ac:dyDescent="0.3">
      <c r="I5245" t="s">
        <v>12890</v>
      </c>
    </row>
    <row r="5246" spans="9:10" x14ac:dyDescent="0.3">
      <c r="I5246" t="s">
        <v>12891</v>
      </c>
      <c r="J5246" t="s">
        <v>2283</v>
      </c>
    </row>
    <row r="5247" spans="9:10" x14ac:dyDescent="0.3">
      <c r="I5247" t="s">
        <v>12892</v>
      </c>
    </row>
    <row r="5248" spans="9:10" x14ac:dyDescent="0.3">
      <c r="I5248" t="s">
        <v>12893</v>
      </c>
      <c r="J5248" t="s">
        <v>2284</v>
      </c>
    </row>
    <row r="5249" spans="9:10" x14ac:dyDescent="0.3">
      <c r="I5249" t="s">
        <v>12894</v>
      </c>
    </row>
    <row r="5250" spans="9:10" x14ac:dyDescent="0.3">
      <c r="I5250" t="s">
        <v>12895</v>
      </c>
    </row>
    <row r="5251" spans="9:10" x14ac:dyDescent="0.3">
      <c r="I5251" t="s">
        <v>12896</v>
      </c>
      <c r="J5251" t="s">
        <v>2285</v>
      </c>
    </row>
    <row r="5252" spans="9:10" x14ac:dyDescent="0.3">
      <c r="I5252" t="s">
        <v>12897</v>
      </c>
      <c r="J5252" t="s">
        <v>2285</v>
      </c>
    </row>
    <row r="5253" spans="9:10" x14ac:dyDescent="0.3">
      <c r="I5253" t="s">
        <v>12898</v>
      </c>
    </row>
    <row r="5254" spans="9:10" x14ac:dyDescent="0.3">
      <c r="I5254" t="s">
        <v>12899</v>
      </c>
    </row>
    <row r="5255" spans="9:10" x14ac:dyDescent="0.3">
      <c r="I5255" t="s">
        <v>12900</v>
      </c>
    </row>
    <row r="5256" spans="9:10" x14ac:dyDescent="0.3">
      <c r="I5256" t="s">
        <v>12901</v>
      </c>
    </row>
    <row r="5257" spans="9:10" x14ac:dyDescent="0.3">
      <c r="I5257" t="s">
        <v>12902</v>
      </c>
    </row>
    <row r="5258" spans="9:10" x14ac:dyDescent="0.3">
      <c r="I5258" t="s">
        <v>12903</v>
      </c>
    </row>
    <row r="5259" spans="9:10" x14ac:dyDescent="0.3">
      <c r="I5259" t="s">
        <v>12904</v>
      </c>
      <c r="J5259" t="s">
        <v>2045</v>
      </c>
    </row>
    <row r="5260" spans="9:10" x14ac:dyDescent="0.3">
      <c r="I5260" t="s">
        <v>12905</v>
      </c>
      <c r="J5260" t="s">
        <v>2286</v>
      </c>
    </row>
    <row r="5261" spans="9:10" x14ac:dyDescent="0.3">
      <c r="I5261" t="s">
        <v>12906</v>
      </c>
    </row>
    <row r="5262" spans="9:10" x14ac:dyDescent="0.3">
      <c r="I5262" t="s">
        <v>12907</v>
      </c>
    </row>
    <row r="5263" spans="9:10" x14ac:dyDescent="0.3">
      <c r="I5263" t="s">
        <v>12908</v>
      </c>
      <c r="J5263" t="s">
        <v>2287</v>
      </c>
    </row>
    <row r="5264" spans="9:10" x14ac:dyDescent="0.3">
      <c r="I5264" t="s">
        <v>12909</v>
      </c>
      <c r="J5264" t="s">
        <v>2288</v>
      </c>
    </row>
    <row r="5265" spans="9:10" x14ac:dyDescent="0.3">
      <c r="I5265" t="s">
        <v>12910</v>
      </c>
      <c r="J5265" t="s">
        <v>2288</v>
      </c>
    </row>
    <row r="5266" spans="9:10" x14ac:dyDescent="0.3">
      <c r="I5266" t="s">
        <v>12911</v>
      </c>
      <c r="J5266" t="s">
        <v>2289</v>
      </c>
    </row>
    <row r="5267" spans="9:10" x14ac:dyDescent="0.3">
      <c r="I5267" t="s">
        <v>12912</v>
      </c>
      <c r="J5267" t="s">
        <v>2289</v>
      </c>
    </row>
    <row r="5268" spans="9:10" x14ac:dyDescent="0.3">
      <c r="I5268" t="s">
        <v>12913</v>
      </c>
    </row>
    <row r="5269" spans="9:10" x14ac:dyDescent="0.3">
      <c r="I5269" t="s">
        <v>12914</v>
      </c>
      <c r="J5269" t="s">
        <v>2290</v>
      </c>
    </row>
    <row r="5270" spans="9:10" x14ac:dyDescent="0.3">
      <c r="I5270" t="s">
        <v>12915</v>
      </c>
      <c r="J5270" t="s">
        <v>2290</v>
      </c>
    </row>
    <row r="5271" spans="9:10" x14ac:dyDescent="0.3">
      <c r="I5271" t="s">
        <v>12916</v>
      </c>
      <c r="J5271" t="s">
        <v>185</v>
      </c>
    </row>
    <row r="5272" spans="9:10" x14ac:dyDescent="0.3">
      <c r="I5272" t="s">
        <v>12917</v>
      </c>
      <c r="J5272" t="s">
        <v>2291</v>
      </c>
    </row>
    <row r="5273" spans="9:10" x14ac:dyDescent="0.3">
      <c r="I5273" t="s">
        <v>12918</v>
      </c>
      <c r="J5273" t="s">
        <v>2292</v>
      </c>
    </row>
    <row r="5274" spans="9:10" x14ac:dyDescent="0.3">
      <c r="I5274" t="s">
        <v>12919</v>
      </c>
      <c r="J5274">
        <v>0</v>
      </c>
    </row>
    <row r="5275" spans="9:10" x14ac:dyDescent="0.3">
      <c r="I5275" t="s">
        <v>12920</v>
      </c>
    </row>
    <row r="5276" spans="9:10" x14ac:dyDescent="0.3">
      <c r="I5276" t="s">
        <v>12921</v>
      </c>
      <c r="J5276" t="s">
        <v>2293</v>
      </c>
    </row>
    <row r="5277" spans="9:10" x14ac:dyDescent="0.3">
      <c r="I5277" t="s">
        <v>12922</v>
      </c>
    </row>
    <row r="5278" spans="9:10" x14ac:dyDescent="0.3">
      <c r="I5278" t="s">
        <v>12923</v>
      </c>
      <c r="J5278" t="s">
        <v>2294</v>
      </c>
    </row>
    <row r="5279" spans="9:10" x14ac:dyDescent="0.3">
      <c r="I5279" t="s">
        <v>12924</v>
      </c>
      <c r="J5279" t="s">
        <v>2295</v>
      </c>
    </row>
    <row r="5280" spans="9:10" x14ac:dyDescent="0.3">
      <c r="I5280" t="s">
        <v>12925</v>
      </c>
      <c r="J5280" t="s">
        <v>2296</v>
      </c>
    </row>
    <row r="5281" spans="9:10" x14ac:dyDescent="0.3">
      <c r="I5281" t="s">
        <v>12926</v>
      </c>
      <c r="J5281" t="s">
        <v>2297</v>
      </c>
    </row>
    <row r="5282" spans="9:10" x14ac:dyDescent="0.3">
      <c r="I5282" t="s">
        <v>12927</v>
      </c>
      <c r="J5282" t="s">
        <v>2298</v>
      </c>
    </row>
    <row r="5283" spans="9:10" x14ac:dyDescent="0.3">
      <c r="I5283" t="s">
        <v>12928</v>
      </c>
      <c r="J5283" t="s">
        <v>2298</v>
      </c>
    </row>
    <row r="5284" spans="9:10" x14ac:dyDescent="0.3">
      <c r="I5284" t="s">
        <v>12929</v>
      </c>
      <c r="J5284" t="s">
        <v>2299</v>
      </c>
    </row>
    <row r="5285" spans="9:10" x14ac:dyDescent="0.3">
      <c r="I5285" t="s">
        <v>12930</v>
      </c>
      <c r="J5285" t="s">
        <v>2300</v>
      </c>
    </row>
    <row r="5286" spans="9:10" x14ac:dyDescent="0.3">
      <c r="I5286" t="s">
        <v>12931</v>
      </c>
      <c r="J5286" t="s">
        <v>2300</v>
      </c>
    </row>
    <row r="5287" spans="9:10" x14ac:dyDescent="0.3">
      <c r="I5287" t="s">
        <v>12932</v>
      </c>
      <c r="J5287" t="s">
        <v>2301</v>
      </c>
    </row>
    <row r="5288" spans="9:10" x14ac:dyDescent="0.3">
      <c r="I5288" t="s">
        <v>12932</v>
      </c>
      <c r="J5288" t="s">
        <v>2301</v>
      </c>
    </row>
    <row r="5289" spans="9:10" x14ac:dyDescent="0.3">
      <c r="I5289" t="s">
        <v>12932</v>
      </c>
      <c r="J5289" t="s">
        <v>2301</v>
      </c>
    </row>
    <row r="5290" spans="9:10" x14ac:dyDescent="0.3">
      <c r="I5290" t="s">
        <v>12933</v>
      </c>
    </row>
    <row r="5291" spans="9:10" x14ac:dyDescent="0.3">
      <c r="I5291" t="s">
        <v>12934</v>
      </c>
    </row>
    <row r="5292" spans="9:10" x14ac:dyDescent="0.3">
      <c r="I5292" t="s">
        <v>12935</v>
      </c>
      <c r="J5292" t="s">
        <v>2302</v>
      </c>
    </row>
    <row r="5293" spans="9:10" x14ac:dyDescent="0.3">
      <c r="I5293" t="s">
        <v>12936</v>
      </c>
      <c r="J5293">
        <v>0</v>
      </c>
    </row>
    <row r="5294" spans="9:10" x14ac:dyDescent="0.3">
      <c r="I5294" t="s">
        <v>12937</v>
      </c>
      <c r="J5294" t="s">
        <v>2303</v>
      </c>
    </row>
    <row r="5295" spans="9:10" x14ac:dyDescent="0.3">
      <c r="I5295" t="s">
        <v>12938</v>
      </c>
      <c r="J5295" t="s">
        <v>2303</v>
      </c>
    </row>
    <row r="5296" spans="9:10" x14ac:dyDescent="0.3">
      <c r="I5296" t="s">
        <v>12939</v>
      </c>
      <c r="J5296" t="s">
        <v>2303</v>
      </c>
    </row>
    <row r="5297" spans="9:10" x14ac:dyDescent="0.3">
      <c r="I5297" t="s">
        <v>12938</v>
      </c>
      <c r="J5297" t="s">
        <v>2303</v>
      </c>
    </row>
    <row r="5298" spans="9:10" x14ac:dyDescent="0.3">
      <c r="I5298" t="s">
        <v>12940</v>
      </c>
      <c r="J5298" t="s">
        <v>2304</v>
      </c>
    </row>
    <row r="5299" spans="9:10" x14ac:dyDescent="0.3">
      <c r="I5299" t="s">
        <v>12941</v>
      </c>
      <c r="J5299" t="s">
        <v>2304</v>
      </c>
    </row>
    <row r="5300" spans="9:10" x14ac:dyDescent="0.3">
      <c r="I5300" t="s">
        <v>12941</v>
      </c>
      <c r="J5300" t="s">
        <v>2304</v>
      </c>
    </row>
    <row r="5301" spans="9:10" x14ac:dyDescent="0.3">
      <c r="I5301" t="s">
        <v>12940</v>
      </c>
      <c r="J5301" t="s">
        <v>2304</v>
      </c>
    </row>
    <row r="5302" spans="9:10" x14ac:dyDescent="0.3">
      <c r="I5302" t="s">
        <v>12942</v>
      </c>
      <c r="J5302" t="s">
        <v>2304</v>
      </c>
    </row>
    <row r="5303" spans="9:10" x14ac:dyDescent="0.3">
      <c r="I5303" t="s">
        <v>12941</v>
      </c>
      <c r="J5303" t="s">
        <v>2304</v>
      </c>
    </row>
    <row r="5304" spans="9:10" x14ac:dyDescent="0.3">
      <c r="I5304" t="s">
        <v>12943</v>
      </c>
      <c r="J5304" t="s">
        <v>2305</v>
      </c>
    </row>
    <row r="5305" spans="9:10" x14ac:dyDescent="0.3">
      <c r="I5305" t="s">
        <v>12944</v>
      </c>
      <c r="J5305" t="s">
        <v>2306</v>
      </c>
    </row>
    <row r="5306" spans="9:10" x14ac:dyDescent="0.3">
      <c r="I5306" t="s">
        <v>12945</v>
      </c>
    </row>
    <row r="5307" spans="9:10" x14ac:dyDescent="0.3">
      <c r="I5307" t="s">
        <v>12946</v>
      </c>
      <c r="J5307" t="s">
        <v>2307</v>
      </c>
    </row>
    <row r="5308" spans="9:10" x14ac:dyDescent="0.3">
      <c r="I5308" t="s">
        <v>12947</v>
      </c>
      <c r="J5308" t="s">
        <v>2308</v>
      </c>
    </row>
    <row r="5309" spans="9:10" x14ac:dyDescent="0.3">
      <c r="I5309" t="s">
        <v>12948</v>
      </c>
      <c r="J5309" t="s">
        <v>2308</v>
      </c>
    </row>
    <row r="5310" spans="9:10" x14ac:dyDescent="0.3">
      <c r="I5310" t="s">
        <v>12949</v>
      </c>
      <c r="J5310" t="s">
        <v>2309</v>
      </c>
    </row>
    <row r="5311" spans="9:10" x14ac:dyDescent="0.3">
      <c r="I5311" t="s">
        <v>12950</v>
      </c>
      <c r="J5311" t="s">
        <v>2310</v>
      </c>
    </row>
    <row r="5312" spans="9:10" x14ac:dyDescent="0.3">
      <c r="I5312" t="s">
        <v>12951</v>
      </c>
    </row>
    <row r="5313" spans="9:10" x14ac:dyDescent="0.3">
      <c r="I5313" t="s">
        <v>12952</v>
      </c>
      <c r="J5313" t="s">
        <v>2311</v>
      </c>
    </row>
    <row r="5314" spans="9:10" x14ac:dyDescent="0.3">
      <c r="I5314" t="s">
        <v>12953</v>
      </c>
    </row>
    <row r="5315" spans="9:10" x14ac:dyDescent="0.3">
      <c r="I5315" t="s">
        <v>12954</v>
      </c>
      <c r="J5315" t="s">
        <v>2312</v>
      </c>
    </row>
    <row r="5316" spans="9:10" x14ac:dyDescent="0.3">
      <c r="I5316" t="s">
        <v>12955</v>
      </c>
      <c r="J5316" t="s">
        <v>2312</v>
      </c>
    </row>
    <row r="5317" spans="9:10" x14ac:dyDescent="0.3">
      <c r="I5317" t="s">
        <v>12956</v>
      </c>
      <c r="J5317" t="s">
        <v>2312</v>
      </c>
    </row>
    <row r="5318" spans="9:10" x14ac:dyDescent="0.3">
      <c r="I5318" t="s">
        <v>12957</v>
      </c>
      <c r="J5318" t="s">
        <v>2313</v>
      </c>
    </row>
    <row r="5319" spans="9:10" x14ac:dyDescent="0.3">
      <c r="I5319" t="s">
        <v>12957</v>
      </c>
      <c r="J5319" t="s">
        <v>2313</v>
      </c>
    </row>
    <row r="5320" spans="9:10" x14ac:dyDescent="0.3">
      <c r="I5320" t="s">
        <v>12957</v>
      </c>
      <c r="J5320" t="s">
        <v>2313</v>
      </c>
    </row>
    <row r="5321" spans="9:10" x14ac:dyDescent="0.3">
      <c r="I5321" t="s">
        <v>12957</v>
      </c>
      <c r="J5321" t="s">
        <v>2313</v>
      </c>
    </row>
    <row r="5322" spans="9:10" x14ac:dyDescent="0.3">
      <c r="I5322" t="s">
        <v>12957</v>
      </c>
      <c r="J5322" t="s">
        <v>2313</v>
      </c>
    </row>
    <row r="5323" spans="9:10" x14ac:dyDescent="0.3">
      <c r="I5323" t="s">
        <v>12957</v>
      </c>
      <c r="J5323" t="s">
        <v>2313</v>
      </c>
    </row>
    <row r="5324" spans="9:10" x14ac:dyDescent="0.3">
      <c r="I5324" t="s">
        <v>12957</v>
      </c>
      <c r="J5324" t="s">
        <v>2313</v>
      </c>
    </row>
    <row r="5325" spans="9:10" x14ac:dyDescent="0.3">
      <c r="I5325" t="s">
        <v>12957</v>
      </c>
      <c r="J5325" t="s">
        <v>2313</v>
      </c>
    </row>
    <row r="5326" spans="9:10" x14ac:dyDescent="0.3">
      <c r="I5326" t="s">
        <v>12958</v>
      </c>
    </row>
    <row r="5327" spans="9:10" x14ac:dyDescent="0.3">
      <c r="I5327" t="s">
        <v>12959</v>
      </c>
      <c r="J5327" t="s">
        <v>2314</v>
      </c>
    </row>
    <row r="5328" spans="9:10" x14ac:dyDescent="0.3">
      <c r="I5328" t="s">
        <v>12960</v>
      </c>
      <c r="J5328" t="s">
        <v>2315</v>
      </c>
    </row>
    <row r="5329" spans="9:10" x14ac:dyDescent="0.3">
      <c r="I5329" t="s">
        <v>12961</v>
      </c>
      <c r="J5329" t="s">
        <v>2316</v>
      </c>
    </row>
    <row r="5330" spans="9:10" x14ac:dyDescent="0.3">
      <c r="I5330" t="s">
        <v>12962</v>
      </c>
      <c r="J5330" t="s">
        <v>2316</v>
      </c>
    </row>
    <row r="5331" spans="9:10" x14ac:dyDescent="0.3">
      <c r="I5331" t="s">
        <v>12963</v>
      </c>
    </row>
    <row r="5332" spans="9:10" x14ac:dyDescent="0.3">
      <c r="I5332" t="s">
        <v>12964</v>
      </c>
      <c r="J5332" t="s">
        <v>2317</v>
      </c>
    </row>
    <row r="5333" spans="9:10" x14ac:dyDescent="0.3">
      <c r="I5333" t="s">
        <v>12965</v>
      </c>
      <c r="J5333" t="s">
        <v>2317</v>
      </c>
    </row>
    <row r="5334" spans="9:10" x14ac:dyDescent="0.3">
      <c r="I5334" t="s">
        <v>12966</v>
      </c>
      <c r="J5334" t="s">
        <v>2318</v>
      </c>
    </row>
    <row r="5335" spans="9:10" x14ac:dyDescent="0.3">
      <c r="I5335" t="s">
        <v>12967</v>
      </c>
      <c r="J5335" t="s">
        <v>2319</v>
      </c>
    </row>
    <row r="5336" spans="9:10" x14ac:dyDescent="0.3">
      <c r="I5336" t="s">
        <v>12968</v>
      </c>
      <c r="J5336" t="s">
        <v>2319</v>
      </c>
    </row>
    <row r="5337" spans="9:10" x14ac:dyDescent="0.3">
      <c r="I5337" t="s">
        <v>12969</v>
      </c>
      <c r="J5337" t="s">
        <v>2320</v>
      </c>
    </row>
    <row r="5338" spans="9:10" x14ac:dyDescent="0.3">
      <c r="I5338" t="s">
        <v>12970</v>
      </c>
      <c r="J5338" t="s">
        <v>2320</v>
      </c>
    </row>
    <row r="5339" spans="9:10" x14ac:dyDescent="0.3">
      <c r="I5339" t="s">
        <v>12971</v>
      </c>
      <c r="J5339" t="s">
        <v>2321</v>
      </c>
    </row>
    <row r="5340" spans="9:10" x14ac:dyDescent="0.3">
      <c r="I5340" t="s">
        <v>12972</v>
      </c>
      <c r="J5340" t="s">
        <v>2322</v>
      </c>
    </row>
    <row r="5341" spans="9:10" x14ac:dyDescent="0.3">
      <c r="I5341" t="s">
        <v>12973</v>
      </c>
      <c r="J5341" t="s">
        <v>2323</v>
      </c>
    </row>
    <row r="5342" spans="9:10" x14ac:dyDescent="0.3">
      <c r="I5342" t="s">
        <v>12974</v>
      </c>
      <c r="J5342" t="s">
        <v>2324</v>
      </c>
    </row>
    <row r="5343" spans="9:10" x14ac:dyDescent="0.3">
      <c r="I5343" t="s">
        <v>12975</v>
      </c>
      <c r="J5343" t="s">
        <v>2325</v>
      </c>
    </row>
    <row r="5344" spans="9:10" x14ac:dyDescent="0.3">
      <c r="I5344" t="s">
        <v>12976</v>
      </c>
      <c r="J5344" t="s">
        <v>2326</v>
      </c>
    </row>
    <row r="5345" spans="9:10" x14ac:dyDescent="0.3">
      <c r="I5345" t="s">
        <v>12976</v>
      </c>
      <c r="J5345" t="s">
        <v>2326</v>
      </c>
    </row>
    <row r="5346" spans="9:10" x14ac:dyDescent="0.3">
      <c r="I5346" t="s">
        <v>12976</v>
      </c>
      <c r="J5346" t="s">
        <v>2326</v>
      </c>
    </row>
    <row r="5347" spans="9:10" x14ac:dyDescent="0.3">
      <c r="I5347" t="s">
        <v>12976</v>
      </c>
      <c r="J5347" t="s">
        <v>2326</v>
      </c>
    </row>
    <row r="5348" spans="9:10" x14ac:dyDescent="0.3">
      <c r="I5348" t="s">
        <v>12976</v>
      </c>
      <c r="J5348" t="s">
        <v>2326</v>
      </c>
    </row>
    <row r="5349" spans="9:10" x14ac:dyDescent="0.3">
      <c r="I5349" t="s">
        <v>12976</v>
      </c>
      <c r="J5349" t="s">
        <v>2326</v>
      </c>
    </row>
    <row r="5350" spans="9:10" x14ac:dyDescent="0.3">
      <c r="I5350" t="s">
        <v>12977</v>
      </c>
      <c r="J5350" t="s">
        <v>2326</v>
      </c>
    </row>
    <row r="5351" spans="9:10" x14ac:dyDescent="0.3">
      <c r="I5351" t="s">
        <v>12976</v>
      </c>
      <c r="J5351" t="s">
        <v>2326</v>
      </c>
    </row>
    <row r="5352" spans="9:10" x14ac:dyDescent="0.3">
      <c r="I5352" t="s">
        <v>12976</v>
      </c>
      <c r="J5352" t="s">
        <v>2326</v>
      </c>
    </row>
    <row r="5353" spans="9:10" x14ac:dyDescent="0.3">
      <c r="I5353" t="s">
        <v>12978</v>
      </c>
      <c r="J5353" t="s">
        <v>2327</v>
      </c>
    </row>
    <row r="5354" spans="9:10" x14ac:dyDescent="0.3">
      <c r="I5354" t="s">
        <v>12979</v>
      </c>
      <c r="J5354" t="s">
        <v>2328</v>
      </c>
    </row>
    <row r="5355" spans="9:10" x14ac:dyDescent="0.3">
      <c r="I5355" t="s">
        <v>12979</v>
      </c>
      <c r="J5355" t="s">
        <v>2328</v>
      </c>
    </row>
    <row r="5356" spans="9:10" x14ac:dyDescent="0.3">
      <c r="I5356" t="s">
        <v>12979</v>
      </c>
      <c r="J5356" t="s">
        <v>2328</v>
      </c>
    </row>
    <row r="5357" spans="9:10" x14ac:dyDescent="0.3">
      <c r="I5357" t="s">
        <v>12979</v>
      </c>
      <c r="J5357" t="s">
        <v>2328</v>
      </c>
    </row>
    <row r="5358" spans="9:10" x14ac:dyDescent="0.3">
      <c r="I5358" t="s">
        <v>12979</v>
      </c>
      <c r="J5358" t="s">
        <v>2328</v>
      </c>
    </row>
    <row r="5359" spans="9:10" x14ac:dyDescent="0.3">
      <c r="I5359" t="s">
        <v>12980</v>
      </c>
      <c r="J5359" t="s">
        <v>2329</v>
      </c>
    </row>
    <row r="5360" spans="9:10" x14ac:dyDescent="0.3">
      <c r="I5360" t="s">
        <v>12981</v>
      </c>
    </row>
    <row r="5361" spans="9:10" x14ac:dyDescent="0.3">
      <c r="I5361" t="s">
        <v>12982</v>
      </c>
    </row>
    <row r="5362" spans="9:10" x14ac:dyDescent="0.3">
      <c r="I5362" t="s">
        <v>12983</v>
      </c>
      <c r="J5362" t="s">
        <v>2330</v>
      </c>
    </row>
    <row r="5363" spans="9:10" x14ac:dyDescent="0.3">
      <c r="I5363" t="s">
        <v>12984</v>
      </c>
    </row>
    <row r="5364" spans="9:10" x14ac:dyDescent="0.3">
      <c r="I5364" t="s">
        <v>12985</v>
      </c>
      <c r="J5364" t="s">
        <v>2331</v>
      </c>
    </row>
    <row r="5365" spans="9:10" x14ac:dyDescent="0.3">
      <c r="I5365" t="s">
        <v>12986</v>
      </c>
      <c r="J5365" t="s">
        <v>2331</v>
      </c>
    </row>
    <row r="5366" spans="9:10" x14ac:dyDescent="0.3">
      <c r="I5366" t="s">
        <v>12987</v>
      </c>
      <c r="J5366" t="s">
        <v>2332</v>
      </c>
    </row>
    <row r="5367" spans="9:10" x14ac:dyDescent="0.3">
      <c r="I5367" t="s">
        <v>12988</v>
      </c>
      <c r="J5367" t="s">
        <v>2333</v>
      </c>
    </row>
    <row r="5368" spans="9:10" x14ac:dyDescent="0.3">
      <c r="I5368" t="s">
        <v>12988</v>
      </c>
      <c r="J5368" t="s">
        <v>2333</v>
      </c>
    </row>
    <row r="5369" spans="9:10" x14ac:dyDescent="0.3">
      <c r="I5369" t="s">
        <v>12989</v>
      </c>
      <c r="J5369" t="s">
        <v>2334</v>
      </c>
    </row>
    <row r="5370" spans="9:10" x14ac:dyDescent="0.3">
      <c r="I5370" t="s">
        <v>12990</v>
      </c>
      <c r="J5370" t="s">
        <v>2335</v>
      </c>
    </row>
    <row r="5371" spans="9:10" x14ac:dyDescent="0.3">
      <c r="I5371" t="s">
        <v>12991</v>
      </c>
      <c r="J5371" t="s">
        <v>2336</v>
      </c>
    </row>
    <row r="5372" spans="9:10" x14ac:dyDescent="0.3">
      <c r="I5372" t="s">
        <v>12991</v>
      </c>
      <c r="J5372" t="s">
        <v>2336</v>
      </c>
    </row>
    <row r="5373" spans="9:10" x14ac:dyDescent="0.3">
      <c r="I5373" t="s">
        <v>12991</v>
      </c>
      <c r="J5373" t="s">
        <v>2336</v>
      </c>
    </row>
    <row r="5374" spans="9:10" x14ac:dyDescent="0.3">
      <c r="I5374" t="s">
        <v>12991</v>
      </c>
      <c r="J5374" t="s">
        <v>2336</v>
      </c>
    </row>
    <row r="5375" spans="9:10" x14ac:dyDescent="0.3">
      <c r="I5375" t="s">
        <v>12991</v>
      </c>
      <c r="J5375" t="s">
        <v>2336</v>
      </c>
    </row>
    <row r="5376" spans="9:10" x14ac:dyDescent="0.3">
      <c r="I5376" t="s">
        <v>12992</v>
      </c>
      <c r="J5376" t="s">
        <v>2337</v>
      </c>
    </row>
    <row r="5377" spans="9:10" x14ac:dyDescent="0.3">
      <c r="I5377" t="s">
        <v>12993</v>
      </c>
      <c r="J5377" t="s">
        <v>2338</v>
      </c>
    </row>
    <row r="5378" spans="9:10" x14ac:dyDescent="0.3">
      <c r="I5378" t="s">
        <v>12993</v>
      </c>
      <c r="J5378" t="s">
        <v>2338</v>
      </c>
    </row>
    <row r="5379" spans="9:10" x14ac:dyDescent="0.3">
      <c r="I5379" t="s">
        <v>12994</v>
      </c>
    </row>
    <row r="5380" spans="9:10" x14ac:dyDescent="0.3">
      <c r="I5380" t="s">
        <v>12995</v>
      </c>
      <c r="J5380" t="s">
        <v>2339</v>
      </c>
    </row>
    <row r="5381" spans="9:10" x14ac:dyDescent="0.3">
      <c r="I5381" t="s">
        <v>12996</v>
      </c>
      <c r="J5381" t="s">
        <v>2339</v>
      </c>
    </row>
    <row r="5382" spans="9:10" x14ac:dyDescent="0.3">
      <c r="I5382" t="s">
        <v>12997</v>
      </c>
      <c r="J5382" t="s">
        <v>2045</v>
      </c>
    </row>
    <row r="5383" spans="9:10" x14ac:dyDescent="0.3">
      <c r="I5383" t="s">
        <v>12998</v>
      </c>
    </row>
    <row r="5384" spans="9:10" x14ac:dyDescent="0.3">
      <c r="I5384" t="s">
        <v>12999</v>
      </c>
      <c r="J5384">
        <v>0</v>
      </c>
    </row>
    <row r="5385" spans="9:10" x14ac:dyDescent="0.3">
      <c r="I5385" t="s">
        <v>13000</v>
      </c>
    </row>
    <row r="5386" spans="9:10" x14ac:dyDescent="0.3">
      <c r="I5386" t="s">
        <v>13001</v>
      </c>
      <c r="J5386" t="s">
        <v>2045</v>
      </c>
    </row>
    <row r="5387" spans="9:10" x14ac:dyDescent="0.3">
      <c r="I5387" t="s">
        <v>13002</v>
      </c>
      <c r="J5387" t="s">
        <v>2340</v>
      </c>
    </row>
    <row r="5388" spans="9:10" x14ac:dyDescent="0.3">
      <c r="I5388" t="s">
        <v>13003</v>
      </c>
      <c r="J5388" t="s">
        <v>2341</v>
      </c>
    </row>
    <row r="5389" spans="9:10" x14ac:dyDescent="0.3">
      <c r="I5389" t="s">
        <v>13004</v>
      </c>
      <c r="J5389" t="s">
        <v>2342</v>
      </c>
    </row>
    <row r="5390" spans="9:10" x14ac:dyDescent="0.3">
      <c r="I5390" t="s">
        <v>13005</v>
      </c>
    </row>
    <row r="5391" spans="9:10" x14ac:dyDescent="0.3">
      <c r="I5391" t="s">
        <v>13006</v>
      </c>
      <c r="J5391" t="s">
        <v>2343</v>
      </c>
    </row>
    <row r="5392" spans="9:10" x14ac:dyDescent="0.3">
      <c r="I5392" t="s">
        <v>13006</v>
      </c>
      <c r="J5392" t="s">
        <v>2343</v>
      </c>
    </row>
    <row r="5393" spans="9:10" x14ac:dyDescent="0.3">
      <c r="I5393" t="s">
        <v>13006</v>
      </c>
      <c r="J5393" t="s">
        <v>2343</v>
      </c>
    </row>
    <row r="5394" spans="9:10" x14ac:dyDescent="0.3">
      <c r="I5394" t="s">
        <v>13007</v>
      </c>
      <c r="J5394">
        <v>0</v>
      </c>
    </row>
    <row r="5395" spans="9:10" x14ac:dyDescent="0.3">
      <c r="I5395" t="s">
        <v>13008</v>
      </c>
    </row>
    <row r="5396" spans="9:10" x14ac:dyDescent="0.3">
      <c r="I5396" t="s">
        <v>13009</v>
      </c>
      <c r="J5396" t="s">
        <v>2344</v>
      </c>
    </row>
    <row r="5397" spans="9:10" x14ac:dyDescent="0.3">
      <c r="I5397" t="s">
        <v>13010</v>
      </c>
      <c r="J5397" t="s">
        <v>2345</v>
      </c>
    </row>
    <row r="5398" spans="9:10" x14ac:dyDescent="0.3">
      <c r="I5398" t="s">
        <v>13011</v>
      </c>
      <c r="J5398">
        <v>0</v>
      </c>
    </row>
    <row r="5399" spans="9:10" x14ac:dyDescent="0.3">
      <c r="I5399" t="s">
        <v>13012</v>
      </c>
    </row>
    <row r="5400" spans="9:10" x14ac:dyDescent="0.3">
      <c r="I5400" t="s">
        <v>13013</v>
      </c>
    </row>
    <row r="5401" spans="9:10" x14ac:dyDescent="0.3">
      <c r="I5401" t="s">
        <v>13014</v>
      </c>
      <c r="J5401" t="s">
        <v>2045</v>
      </c>
    </row>
    <row r="5402" spans="9:10" x14ac:dyDescent="0.3">
      <c r="I5402" t="s">
        <v>13015</v>
      </c>
    </row>
    <row r="5403" spans="9:10" x14ac:dyDescent="0.3">
      <c r="I5403" t="s">
        <v>13016</v>
      </c>
      <c r="J5403" t="s">
        <v>2346</v>
      </c>
    </row>
    <row r="5404" spans="9:10" x14ac:dyDescent="0.3">
      <c r="I5404" t="s">
        <v>13017</v>
      </c>
      <c r="J5404" t="s">
        <v>2347</v>
      </c>
    </row>
    <row r="5405" spans="9:10" x14ac:dyDescent="0.3">
      <c r="I5405" t="s">
        <v>13018</v>
      </c>
    </row>
    <row r="5406" spans="9:10" x14ac:dyDescent="0.3">
      <c r="I5406" t="s">
        <v>13019</v>
      </c>
    </row>
    <row r="5407" spans="9:10" x14ac:dyDescent="0.3">
      <c r="I5407" t="s">
        <v>13020</v>
      </c>
    </row>
    <row r="5408" spans="9:10" x14ac:dyDescent="0.3">
      <c r="I5408" t="s">
        <v>13021</v>
      </c>
      <c r="J5408" t="s">
        <v>2348</v>
      </c>
    </row>
    <row r="5409" spans="9:10" x14ac:dyDescent="0.3">
      <c r="I5409" t="s">
        <v>13021</v>
      </c>
      <c r="J5409" t="s">
        <v>2348</v>
      </c>
    </row>
    <row r="5410" spans="9:10" x14ac:dyDescent="0.3">
      <c r="I5410" t="s">
        <v>13022</v>
      </c>
      <c r="J5410" t="s">
        <v>2349</v>
      </c>
    </row>
    <row r="5411" spans="9:10" x14ac:dyDescent="0.3">
      <c r="I5411" t="s">
        <v>13023</v>
      </c>
      <c r="J5411" t="s">
        <v>2350</v>
      </c>
    </row>
    <row r="5412" spans="9:10" x14ac:dyDescent="0.3">
      <c r="I5412" t="s">
        <v>13024</v>
      </c>
      <c r="J5412" t="s">
        <v>2350</v>
      </c>
    </row>
    <row r="5413" spans="9:10" x14ac:dyDescent="0.3">
      <c r="I5413" t="s">
        <v>13025</v>
      </c>
      <c r="J5413" t="s">
        <v>2351</v>
      </c>
    </row>
    <row r="5414" spans="9:10" x14ac:dyDescent="0.3">
      <c r="I5414" t="s">
        <v>13026</v>
      </c>
      <c r="J5414" t="s">
        <v>2352</v>
      </c>
    </row>
    <row r="5415" spans="9:10" x14ac:dyDescent="0.3">
      <c r="I5415" t="s">
        <v>13027</v>
      </c>
      <c r="J5415" t="s">
        <v>2353</v>
      </c>
    </row>
    <row r="5416" spans="9:10" x14ac:dyDescent="0.3">
      <c r="I5416" t="s">
        <v>13028</v>
      </c>
      <c r="J5416" t="s">
        <v>2354</v>
      </c>
    </row>
    <row r="5417" spans="9:10" x14ac:dyDescent="0.3">
      <c r="I5417" t="s">
        <v>13029</v>
      </c>
      <c r="J5417" t="s">
        <v>2355</v>
      </c>
    </row>
    <row r="5418" spans="9:10" x14ac:dyDescent="0.3">
      <c r="I5418" t="s">
        <v>13030</v>
      </c>
      <c r="J5418" t="s">
        <v>2356</v>
      </c>
    </row>
    <row r="5419" spans="9:10" x14ac:dyDescent="0.3">
      <c r="I5419" t="s">
        <v>13031</v>
      </c>
      <c r="J5419" t="s">
        <v>2357</v>
      </c>
    </row>
    <row r="5420" spans="9:10" x14ac:dyDescent="0.3">
      <c r="I5420" t="s">
        <v>13032</v>
      </c>
      <c r="J5420" t="s">
        <v>2358</v>
      </c>
    </row>
    <row r="5421" spans="9:10" x14ac:dyDescent="0.3">
      <c r="I5421" t="s">
        <v>13033</v>
      </c>
      <c r="J5421" t="s">
        <v>2359</v>
      </c>
    </row>
    <row r="5422" spans="9:10" x14ac:dyDescent="0.3">
      <c r="I5422" t="s">
        <v>13034</v>
      </c>
      <c r="J5422" t="s">
        <v>2360</v>
      </c>
    </row>
    <row r="5423" spans="9:10" x14ac:dyDescent="0.3">
      <c r="I5423" t="s">
        <v>13034</v>
      </c>
      <c r="J5423" t="s">
        <v>2360</v>
      </c>
    </row>
    <row r="5424" spans="9:10" x14ac:dyDescent="0.3">
      <c r="I5424" t="s">
        <v>13034</v>
      </c>
      <c r="J5424" t="s">
        <v>2360</v>
      </c>
    </row>
    <row r="5425" spans="9:10" x14ac:dyDescent="0.3">
      <c r="I5425" t="s">
        <v>13034</v>
      </c>
      <c r="J5425" t="s">
        <v>2360</v>
      </c>
    </row>
    <row r="5426" spans="9:10" x14ac:dyDescent="0.3">
      <c r="I5426" t="s">
        <v>13035</v>
      </c>
      <c r="J5426" t="s">
        <v>2360</v>
      </c>
    </row>
    <row r="5427" spans="9:10" x14ac:dyDescent="0.3">
      <c r="I5427" t="s">
        <v>13036</v>
      </c>
      <c r="J5427" t="s">
        <v>2361</v>
      </c>
    </row>
    <row r="5428" spans="9:10" x14ac:dyDescent="0.3">
      <c r="I5428" t="s">
        <v>13037</v>
      </c>
    </row>
    <row r="5429" spans="9:10" x14ac:dyDescent="0.3">
      <c r="I5429" t="s">
        <v>13038</v>
      </c>
      <c r="J5429" t="s">
        <v>2362</v>
      </c>
    </row>
    <row r="5430" spans="9:10" x14ac:dyDescent="0.3">
      <c r="I5430" t="s">
        <v>13038</v>
      </c>
      <c r="J5430" t="s">
        <v>2362</v>
      </c>
    </row>
    <row r="5431" spans="9:10" x14ac:dyDescent="0.3">
      <c r="I5431" t="s">
        <v>13039</v>
      </c>
      <c r="J5431" t="s">
        <v>2363</v>
      </c>
    </row>
    <row r="5432" spans="9:10" x14ac:dyDescent="0.3">
      <c r="I5432" t="s">
        <v>13040</v>
      </c>
      <c r="J5432" t="s">
        <v>2363</v>
      </c>
    </row>
    <row r="5433" spans="9:10" x14ac:dyDescent="0.3">
      <c r="I5433" t="s">
        <v>13041</v>
      </c>
      <c r="J5433" t="s">
        <v>2363</v>
      </c>
    </row>
    <row r="5434" spans="9:10" x14ac:dyDescent="0.3">
      <c r="I5434" t="s">
        <v>13042</v>
      </c>
      <c r="J5434" t="s">
        <v>2363</v>
      </c>
    </row>
    <row r="5435" spans="9:10" x14ac:dyDescent="0.3">
      <c r="I5435" t="s">
        <v>13043</v>
      </c>
      <c r="J5435" t="s">
        <v>2364</v>
      </c>
    </row>
    <row r="5436" spans="9:10" x14ac:dyDescent="0.3">
      <c r="I5436" t="s">
        <v>13044</v>
      </c>
      <c r="J5436" t="s">
        <v>2365</v>
      </c>
    </row>
    <row r="5437" spans="9:10" x14ac:dyDescent="0.3">
      <c r="I5437" t="s">
        <v>13045</v>
      </c>
      <c r="J5437" t="s">
        <v>2366</v>
      </c>
    </row>
    <row r="5438" spans="9:10" x14ac:dyDescent="0.3">
      <c r="I5438" t="s">
        <v>13046</v>
      </c>
      <c r="J5438" t="s">
        <v>2367</v>
      </c>
    </row>
    <row r="5439" spans="9:10" x14ac:dyDescent="0.3">
      <c r="I5439" t="s">
        <v>13047</v>
      </c>
      <c r="J5439" t="s">
        <v>2368</v>
      </c>
    </row>
    <row r="5440" spans="9:10" x14ac:dyDescent="0.3">
      <c r="I5440" t="s">
        <v>13047</v>
      </c>
      <c r="J5440" t="s">
        <v>2368</v>
      </c>
    </row>
    <row r="5441" spans="9:10" x14ac:dyDescent="0.3">
      <c r="I5441" t="s">
        <v>13048</v>
      </c>
      <c r="J5441" t="s">
        <v>2368</v>
      </c>
    </row>
    <row r="5442" spans="9:10" x14ac:dyDescent="0.3">
      <c r="I5442" t="s">
        <v>13049</v>
      </c>
      <c r="J5442" t="s">
        <v>2368</v>
      </c>
    </row>
    <row r="5443" spans="9:10" x14ac:dyDescent="0.3">
      <c r="I5443" t="s">
        <v>13048</v>
      </c>
      <c r="J5443" t="s">
        <v>2368</v>
      </c>
    </row>
    <row r="5444" spans="9:10" x14ac:dyDescent="0.3">
      <c r="I5444" t="s">
        <v>13047</v>
      </c>
      <c r="J5444" t="s">
        <v>2368</v>
      </c>
    </row>
    <row r="5445" spans="9:10" x14ac:dyDescent="0.3">
      <c r="I5445" t="s">
        <v>13050</v>
      </c>
      <c r="J5445" t="s">
        <v>2368</v>
      </c>
    </row>
    <row r="5446" spans="9:10" x14ac:dyDescent="0.3">
      <c r="I5446" t="s">
        <v>13051</v>
      </c>
      <c r="J5446" t="s">
        <v>2369</v>
      </c>
    </row>
    <row r="5447" spans="9:10" x14ac:dyDescent="0.3">
      <c r="I5447" t="s">
        <v>13052</v>
      </c>
      <c r="J5447" t="s">
        <v>2370</v>
      </c>
    </row>
    <row r="5448" spans="9:10" x14ac:dyDescent="0.3">
      <c r="I5448" t="s">
        <v>13053</v>
      </c>
      <c r="J5448" t="s">
        <v>2371</v>
      </c>
    </row>
    <row r="5449" spans="9:10" x14ac:dyDescent="0.3">
      <c r="I5449" t="s">
        <v>13054</v>
      </c>
      <c r="J5449" t="s">
        <v>2372</v>
      </c>
    </row>
    <row r="5450" spans="9:10" x14ac:dyDescent="0.3">
      <c r="I5450" t="s">
        <v>13054</v>
      </c>
      <c r="J5450" t="s">
        <v>2372</v>
      </c>
    </row>
    <row r="5451" spans="9:10" x14ac:dyDescent="0.3">
      <c r="I5451" t="s">
        <v>13055</v>
      </c>
      <c r="J5451" t="s">
        <v>2373</v>
      </c>
    </row>
    <row r="5452" spans="9:10" x14ac:dyDescent="0.3">
      <c r="I5452" t="s">
        <v>13055</v>
      </c>
      <c r="J5452" t="s">
        <v>2373</v>
      </c>
    </row>
    <row r="5453" spans="9:10" x14ac:dyDescent="0.3">
      <c r="I5453" t="s">
        <v>13056</v>
      </c>
      <c r="J5453" t="s">
        <v>2374</v>
      </c>
    </row>
    <row r="5454" spans="9:10" x14ac:dyDescent="0.3">
      <c r="I5454" t="s">
        <v>13057</v>
      </c>
      <c r="J5454" t="s">
        <v>2375</v>
      </c>
    </row>
    <row r="5455" spans="9:10" x14ac:dyDescent="0.3">
      <c r="I5455" t="s">
        <v>13057</v>
      </c>
      <c r="J5455" t="s">
        <v>2375</v>
      </c>
    </row>
    <row r="5456" spans="9:10" x14ac:dyDescent="0.3">
      <c r="I5456" t="s">
        <v>13058</v>
      </c>
      <c r="J5456" t="s">
        <v>2376</v>
      </c>
    </row>
    <row r="5457" spans="9:10" x14ac:dyDescent="0.3">
      <c r="I5457" t="s">
        <v>13059</v>
      </c>
    </row>
    <row r="5458" spans="9:10" x14ac:dyDescent="0.3">
      <c r="I5458" t="s">
        <v>13060</v>
      </c>
      <c r="J5458" t="s">
        <v>2377</v>
      </c>
    </row>
    <row r="5459" spans="9:10" x14ac:dyDescent="0.3">
      <c r="I5459" t="s">
        <v>13061</v>
      </c>
      <c r="J5459" t="s">
        <v>553</v>
      </c>
    </row>
    <row r="5460" spans="9:10" x14ac:dyDescent="0.3">
      <c r="I5460" t="s">
        <v>13062</v>
      </c>
    </row>
    <row r="5461" spans="9:10" x14ac:dyDescent="0.3">
      <c r="I5461" t="s">
        <v>13063</v>
      </c>
      <c r="J5461" t="s">
        <v>2378</v>
      </c>
    </row>
    <row r="5462" spans="9:10" x14ac:dyDescent="0.3">
      <c r="I5462" t="s">
        <v>13064</v>
      </c>
      <c r="J5462" t="s">
        <v>2378</v>
      </c>
    </row>
    <row r="5463" spans="9:10" x14ac:dyDescent="0.3">
      <c r="I5463" t="s">
        <v>13065</v>
      </c>
    </row>
    <row r="5464" spans="9:10" x14ac:dyDescent="0.3">
      <c r="I5464" t="s">
        <v>13066</v>
      </c>
    </row>
    <row r="5465" spans="9:10" x14ac:dyDescent="0.3">
      <c r="I5465" t="s">
        <v>13067</v>
      </c>
      <c r="J5465" t="s">
        <v>2379</v>
      </c>
    </row>
    <row r="5466" spans="9:10" x14ac:dyDescent="0.3">
      <c r="I5466" t="s">
        <v>13068</v>
      </c>
      <c r="J5466" s="155" t="s">
        <v>2380</v>
      </c>
    </row>
    <row r="5467" spans="9:10" x14ac:dyDescent="0.3">
      <c r="I5467" t="s">
        <v>13069</v>
      </c>
      <c r="J5467" t="s">
        <v>2381</v>
      </c>
    </row>
    <row r="5468" spans="9:10" x14ac:dyDescent="0.3">
      <c r="I5468" t="s">
        <v>13070</v>
      </c>
      <c r="J5468" t="s">
        <v>2382</v>
      </c>
    </row>
    <row r="5469" spans="9:10" x14ac:dyDescent="0.3">
      <c r="I5469" t="s">
        <v>13070</v>
      </c>
      <c r="J5469" t="s">
        <v>2382</v>
      </c>
    </row>
    <row r="5470" spans="9:10" x14ac:dyDescent="0.3">
      <c r="I5470" t="s">
        <v>13071</v>
      </c>
    </row>
    <row r="5471" spans="9:10" x14ac:dyDescent="0.3">
      <c r="I5471" t="s">
        <v>13072</v>
      </c>
      <c r="J5471">
        <v>0</v>
      </c>
    </row>
    <row r="5472" spans="9:10" x14ac:dyDescent="0.3">
      <c r="I5472" t="s">
        <v>13073</v>
      </c>
      <c r="J5472" t="s">
        <v>2383</v>
      </c>
    </row>
    <row r="5473" spans="9:10" x14ac:dyDescent="0.3">
      <c r="I5473" t="s">
        <v>13074</v>
      </c>
    </row>
    <row r="5474" spans="9:10" x14ac:dyDescent="0.3">
      <c r="I5474" t="s">
        <v>13075</v>
      </c>
    </row>
    <row r="5475" spans="9:10" x14ac:dyDescent="0.3">
      <c r="I5475" t="s">
        <v>13076</v>
      </c>
      <c r="J5475" t="s">
        <v>2384</v>
      </c>
    </row>
    <row r="5476" spans="9:10" x14ac:dyDescent="0.3">
      <c r="I5476" t="s">
        <v>13077</v>
      </c>
    </row>
    <row r="5477" spans="9:10" x14ac:dyDescent="0.3">
      <c r="I5477" t="s">
        <v>13078</v>
      </c>
    </row>
    <row r="5478" spans="9:10" x14ac:dyDescent="0.3">
      <c r="I5478" t="s">
        <v>13079</v>
      </c>
      <c r="J5478" t="s">
        <v>2385</v>
      </c>
    </row>
    <row r="5479" spans="9:10" x14ac:dyDescent="0.3">
      <c r="I5479" t="s">
        <v>13079</v>
      </c>
      <c r="J5479" t="s">
        <v>2385</v>
      </c>
    </row>
    <row r="5480" spans="9:10" x14ac:dyDescent="0.3">
      <c r="I5480" t="s">
        <v>13080</v>
      </c>
      <c r="J5480" t="s">
        <v>2385</v>
      </c>
    </row>
    <row r="5481" spans="9:10" x14ac:dyDescent="0.3">
      <c r="I5481" t="s">
        <v>13079</v>
      </c>
      <c r="J5481" t="s">
        <v>2385</v>
      </c>
    </row>
    <row r="5482" spans="9:10" x14ac:dyDescent="0.3">
      <c r="I5482" t="s">
        <v>13081</v>
      </c>
      <c r="J5482" t="s">
        <v>2386</v>
      </c>
    </row>
    <row r="5483" spans="9:10" x14ac:dyDescent="0.3">
      <c r="I5483" t="s">
        <v>13082</v>
      </c>
    </row>
    <row r="5484" spans="9:10" x14ac:dyDescent="0.3">
      <c r="I5484" t="s">
        <v>13083</v>
      </c>
      <c r="J5484" t="s">
        <v>2387</v>
      </c>
    </row>
    <row r="5485" spans="9:10" x14ac:dyDescent="0.3">
      <c r="I5485" t="s">
        <v>13084</v>
      </c>
    </row>
    <row r="5486" spans="9:10" x14ac:dyDescent="0.3">
      <c r="I5486" t="s">
        <v>13085</v>
      </c>
    </row>
    <row r="5487" spans="9:10" x14ac:dyDescent="0.3">
      <c r="I5487" t="s">
        <v>13086</v>
      </c>
    </row>
    <row r="5488" spans="9:10" x14ac:dyDescent="0.3">
      <c r="I5488" t="s">
        <v>13087</v>
      </c>
    </row>
    <row r="5489" spans="9:10" x14ac:dyDescent="0.3">
      <c r="I5489" t="s">
        <v>13088</v>
      </c>
      <c r="J5489" t="s">
        <v>2388</v>
      </c>
    </row>
    <row r="5490" spans="9:10" x14ac:dyDescent="0.3">
      <c r="I5490" t="s">
        <v>13089</v>
      </c>
      <c r="J5490" t="s">
        <v>2388</v>
      </c>
    </row>
    <row r="5491" spans="9:10" x14ac:dyDescent="0.3">
      <c r="I5491" t="s">
        <v>13090</v>
      </c>
      <c r="J5491" t="s">
        <v>2389</v>
      </c>
    </row>
    <row r="5492" spans="9:10" x14ac:dyDescent="0.3">
      <c r="I5492" t="s">
        <v>13091</v>
      </c>
      <c r="J5492" t="s">
        <v>2390</v>
      </c>
    </row>
    <row r="5493" spans="9:10" x14ac:dyDescent="0.3">
      <c r="I5493" t="s">
        <v>13092</v>
      </c>
      <c r="J5493" t="s">
        <v>2390</v>
      </c>
    </row>
    <row r="5494" spans="9:10" x14ac:dyDescent="0.3">
      <c r="I5494" t="s">
        <v>13093</v>
      </c>
      <c r="J5494" t="s">
        <v>2391</v>
      </c>
    </row>
    <row r="5495" spans="9:10" x14ac:dyDescent="0.3">
      <c r="I5495" t="s">
        <v>13094</v>
      </c>
    </row>
    <row r="5496" spans="9:10" x14ac:dyDescent="0.3">
      <c r="I5496" t="s">
        <v>13095</v>
      </c>
      <c r="J5496" t="s">
        <v>2392</v>
      </c>
    </row>
    <row r="5497" spans="9:10" x14ac:dyDescent="0.3">
      <c r="I5497" t="s">
        <v>13096</v>
      </c>
      <c r="J5497" t="s">
        <v>2392</v>
      </c>
    </row>
    <row r="5498" spans="9:10" x14ac:dyDescent="0.3">
      <c r="I5498" t="s">
        <v>13097</v>
      </c>
      <c r="J5498" t="s">
        <v>2392</v>
      </c>
    </row>
    <row r="5499" spans="9:10" x14ac:dyDescent="0.3">
      <c r="I5499" t="s">
        <v>13098</v>
      </c>
      <c r="J5499" t="s">
        <v>2393</v>
      </c>
    </row>
    <row r="5500" spans="9:10" x14ac:dyDescent="0.3">
      <c r="I5500" t="s">
        <v>13098</v>
      </c>
      <c r="J5500" t="s">
        <v>2393</v>
      </c>
    </row>
    <row r="5501" spans="9:10" x14ac:dyDescent="0.3">
      <c r="I5501" t="s">
        <v>13099</v>
      </c>
      <c r="J5501" t="s">
        <v>2394</v>
      </c>
    </row>
    <row r="5502" spans="9:10" x14ac:dyDescent="0.3">
      <c r="I5502" t="s">
        <v>13100</v>
      </c>
      <c r="J5502" t="s">
        <v>2395</v>
      </c>
    </row>
    <row r="5503" spans="9:10" x14ac:dyDescent="0.3">
      <c r="I5503" t="s">
        <v>13101</v>
      </c>
      <c r="J5503" t="s">
        <v>2396</v>
      </c>
    </row>
    <row r="5504" spans="9:10" x14ac:dyDescent="0.3">
      <c r="I5504" t="s">
        <v>13102</v>
      </c>
      <c r="J5504" t="s">
        <v>2396</v>
      </c>
    </row>
    <row r="5505" spans="9:10" x14ac:dyDescent="0.3">
      <c r="I5505" t="s">
        <v>13103</v>
      </c>
    </row>
    <row r="5506" spans="9:10" x14ac:dyDescent="0.3">
      <c r="I5506" t="s">
        <v>13104</v>
      </c>
    </row>
    <row r="5507" spans="9:10" x14ac:dyDescent="0.3">
      <c r="I5507" t="s">
        <v>13105</v>
      </c>
      <c r="J5507" t="s">
        <v>2397</v>
      </c>
    </row>
    <row r="5508" spans="9:10" x14ac:dyDescent="0.3">
      <c r="I5508" t="s">
        <v>13105</v>
      </c>
      <c r="J5508" t="s">
        <v>2397</v>
      </c>
    </row>
    <row r="5509" spans="9:10" x14ac:dyDescent="0.3">
      <c r="I5509" t="s">
        <v>13106</v>
      </c>
    </row>
    <row r="5510" spans="9:10" x14ac:dyDescent="0.3">
      <c r="I5510" t="s">
        <v>13107</v>
      </c>
      <c r="J5510" t="s">
        <v>2398</v>
      </c>
    </row>
    <row r="5511" spans="9:10" x14ac:dyDescent="0.3">
      <c r="I5511" t="s">
        <v>13108</v>
      </c>
      <c r="J5511" t="s">
        <v>2399</v>
      </c>
    </row>
    <row r="5512" spans="9:10" x14ac:dyDescent="0.3">
      <c r="I5512" t="s">
        <v>13109</v>
      </c>
      <c r="J5512" t="s">
        <v>2399</v>
      </c>
    </row>
    <row r="5513" spans="9:10" x14ac:dyDescent="0.3">
      <c r="I5513" t="s">
        <v>13110</v>
      </c>
    </row>
    <row r="5514" spans="9:10" x14ac:dyDescent="0.3">
      <c r="I5514" t="s">
        <v>13111</v>
      </c>
    </row>
    <row r="5515" spans="9:10" x14ac:dyDescent="0.3">
      <c r="I5515" t="s">
        <v>13112</v>
      </c>
      <c r="J5515" t="s">
        <v>2400</v>
      </c>
    </row>
    <row r="5516" spans="9:10" x14ac:dyDescent="0.3">
      <c r="I5516" t="s">
        <v>13113</v>
      </c>
      <c r="J5516" t="s">
        <v>2400</v>
      </c>
    </row>
    <row r="5517" spans="9:10" x14ac:dyDescent="0.3">
      <c r="I5517" t="s">
        <v>13114</v>
      </c>
      <c r="J5517" t="s">
        <v>2400</v>
      </c>
    </row>
    <row r="5518" spans="9:10" x14ac:dyDescent="0.3">
      <c r="I5518" t="s">
        <v>13115</v>
      </c>
      <c r="J5518" t="s">
        <v>2400</v>
      </c>
    </row>
    <row r="5519" spans="9:10" x14ac:dyDescent="0.3">
      <c r="I5519" t="s">
        <v>13116</v>
      </c>
      <c r="J5519" t="s">
        <v>2400</v>
      </c>
    </row>
    <row r="5520" spans="9:10" x14ac:dyDescent="0.3">
      <c r="I5520" t="s">
        <v>13117</v>
      </c>
      <c r="J5520" t="s">
        <v>2401</v>
      </c>
    </row>
    <row r="5521" spans="9:10" x14ac:dyDescent="0.3">
      <c r="I5521" t="s">
        <v>13118</v>
      </c>
      <c r="J5521" t="s">
        <v>2401</v>
      </c>
    </row>
    <row r="5522" spans="9:10" x14ac:dyDescent="0.3">
      <c r="I5522" t="s">
        <v>13119</v>
      </c>
      <c r="J5522" t="s">
        <v>2401</v>
      </c>
    </row>
    <row r="5523" spans="9:10" x14ac:dyDescent="0.3">
      <c r="I5523" t="s">
        <v>13120</v>
      </c>
      <c r="J5523" t="s">
        <v>2401</v>
      </c>
    </row>
    <row r="5524" spans="9:10" x14ac:dyDescent="0.3">
      <c r="I5524" t="s">
        <v>13121</v>
      </c>
      <c r="J5524" t="s">
        <v>2402</v>
      </c>
    </row>
    <row r="5525" spans="9:10" x14ac:dyDescent="0.3">
      <c r="I5525" t="s">
        <v>13122</v>
      </c>
      <c r="J5525" t="s">
        <v>2403</v>
      </c>
    </row>
    <row r="5526" spans="9:10" x14ac:dyDescent="0.3">
      <c r="I5526" t="s">
        <v>13123</v>
      </c>
      <c r="J5526" t="s">
        <v>2403</v>
      </c>
    </row>
    <row r="5527" spans="9:10" x14ac:dyDescent="0.3">
      <c r="I5527" t="s">
        <v>13124</v>
      </c>
      <c r="J5527" t="s">
        <v>2403</v>
      </c>
    </row>
    <row r="5528" spans="9:10" x14ac:dyDescent="0.3">
      <c r="I5528" t="s">
        <v>13125</v>
      </c>
      <c r="J5528" t="s">
        <v>2403</v>
      </c>
    </row>
    <row r="5529" spans="9:10" x14ac:dyDescent="0.3">
      <c r="I5529" t="s">
        <v>13126</v>
      </c>
      <c r="J5529" t="s">
        <v>2403</v>
      </c>
    </row>
    <row r="5530" spans="9:10" x14ac:dyDescent="0.3">
      <c r="I5530" t="s">
        <v>13127</v>
      </c>
      <c r="J5530" t="s">
        <v>2403</v>
      </c>
    </row>
    <row r="5531" spans="9:10" x14ac:dyDescent="0.3">
      <c r="I5531" t="s">
        <v>13128</v>
      </c>
      <c r="J5531" t="s">
        <v>2403</v>
      </c>
    </row>
    <row r="5532" spans="9:10" x14ac:dyDescent="0.3">
      <c r="I5532" t="s">
        <v>13129</v>
      </c>
      <c r="J5532" t="s">
        <v>2403</v>
      </c>
    </row>
    <row r="5533" spans="9:10" x14ac:dyDescent="0.3">
      <c r="I5533" t="s">
        <v>13130</v>
      </c>
      <c r="J5533" t="s">
        <v>2403</v>
      </c>
    </row>
    <row r="5534" spans="9:10" x14ac:dyDescent="0.3">
      <c r="I5534" t="s">
        <v>13131</v>
      </c>
      <c r="J5534" t="s">
        <v>2403</v>
      </c>
    </row>
    <row r="5535" spans="9:10" x14ac:dyDescent="0.3">
      <c r="I5535" t="s">
        <v>13132</v>
      </c>
      <c r="J5535" t="s">
        <v>2403</v>
      </c>
    </row>
    <row r="5536" spans="9:10" x14ac:dyDescent="0.3">
      <c r="I5536" t="s">
        <v>13127</v>
      </c>
      <c r="J5536" t="s">
        <v>2403</v>
      </c>
    </row>
    <row r="5537" spans="9:10" x14ac:dyDescent="0.3">
      <c r="I5537" t="s">
        <v>13133</v>
      </c>
      <c r="J5537" t="s">
        <v>2403</v>
      </c>
    </row>
    <row r="5538" spans="9:10" x14ac:dyDescent="0.3">
      <c r="I5538" t="s">
        <v>13134</v>
      </c>
      <c r="J5538" t="s">
        <v>2403</v>
      </c>
    </row>
    <row r="5539" spans="9:10" x14ac:dyDescent="0.3">
      <c r="I5539" t="s">
        <v>13135</v>
      </c>
      <c r="J5539" t="s">
        <v>2403</v>
      </c>
    </row>
    <row r="5540" spans="9:10" x14ac:dyDescent="0.3">
      <c r="I5540" t="s">
        <v>13136</v>
      </c>
      <c r="J5540" t="s">
        <v>2404</v>
      </c>
    </row>
    <row r="5541" spans="9:10" x14ac:dyDescent="0.3">
      <c r="I5541" t="s">
        <v>13137</v>
      </c>
      <c r="J5541" t="s">
        <v>2405</v>
      </c>
    </row>
    <row r="5542" spans="9:10" x14ac:dyDescent="0.3">
      <c r="I5542" t="s">
        <v>13138</v>
      </c>
      <c r="J5542" t="s">
        <v>2406</v>
      </c>
    </row>
    <row r="5543" spans="9:10" x14ac:dyDescent="0.3">
      <c r="I5543" t="s">
        <v>13138</v>
      </c>
      <c r="J5543" t="s">
        <v>2406</v>
      </c>
    </row>
    <row r="5544" spans="9:10" x14ac:dyDescent="0.3">
      <c r="I5544" t="s">
        <v>13139</v>
      </c>
      <c r="J5544" t="s">
        <v>2407</v>
      </c>
    </row>
    <row r="5545" spans="9:10" x14ac:dyDescent="0.3">
      <c r="I5545" t="s">
        <v>13140</v>
      </c>
      <c r="J5545" t="s">
        <v>2407</v>
      </c>
    </row>
    <row r="5546" spans="9:10" x14ac:dyDescent="0.3">
      <c r="I5546" t="s">
        <v>13140</v>
      </c>
      <c r="J5546" t="s">
        <v>2407</v>
      </c>
    </row>
    <row r="5547" spans="9:10" x14ac:dyDescent="0.3">
      <c r="I5547" t="s">
        <v>13141</v>
      </c>
      <c r="J5547" t="s">
        <v>2408</v>
      </c>
    </row>
    <row r="5548" spans="9:10" x14ac:dyDescent="0.3">
      <c r="I5548" t="s">
        <v>13142</v>
      </c>
      <c r="J5548" t="s">
        <v>2409</v>
      </c>
    </row>
    <row r="5549" spans="9:10" x14ac:dyDescent="0.3">
      <c r="I5549" t="s">
        <v>13143</v>
      </c>
      <c r="J5549" t="s">
        <v>2409</v>
      </c>
    </row>
    <row r="5550" spans="9:10" x14ac:dyDescent="0.3">
      <c r="I5550" t="s">
        <v>13144</v>
      </c>
      <c r="J5550" t="s">
        <v>2410</v>
      </c>
    </row>
    <row r="5551" spans="9:10" x14ac:dyDescent="0.3">
      <c r="I5551" t="s">
        <v>13145</v>
      </c>
      <c r="J5551" t="s">
        <v>2411</v>
      </c>
    </row>
    <row r="5552" spans="9:10" x14ac:dyDescent="0.3">
      <c r="I5552" t="s">
        <v>13146</v>
      </c>
      <c r="J5552" t="s">
        <v>2412</v>
      </c>
    </row>
    <row r="5553" spans="9:10" x14ac:dyDescent="0.3">
      <c r="I5553" t="s">
        <v>13147</v>
      </c>
      <c r="J5553" t="s">
        <v>2412</v>
      </c>
    </row>
    <row r="5554" spans="9:10" x14ac:dyDescent="0.3">
      <c r="I5554" t="s">
        <v>13148</v>
      </c>
      <c r="J5554" t="s">
        <v>2413</v>
      </c>
    </row>
    <row r="5555" spans="9:10" x14ac:dyDescent="0.3">
      <c r="I5555" t="s">
        <v>13149</v>
      </c>
      <c r="J5555" t="s">
        <v>2413</v>
      </c>
    </row>
    <row r="5556" spans="9:10" x14ac:dyDescent="0.3">
      <c r="I5556" t="s">
        <v>13150</v>
      </c>
    </row>
    <row r="5557" spans="9:10" x14ac:dyDescent="0.3">
      <c r="I5557" t="s">
        <v>13151</v>
      </c>
      <c r="J5557" t="s">
        <v>2414</v>
      </c>
    </row>
    <row r="5558" spans="9:10" x14ac:dyDescent="0.3">
      <c r="I5558" t="s">
        <v>13152</v>
      </c>
      <c r="J5558" t="s">
        <v>2415</v>
      </c>
    </row>
    <row r="5559" spans="9:10" x14ac:dyDescent="0.3">
      <c r="I5559" t="s">
        <v>13153</v>
      </c>
    </row>
    <row r="5560" spans="9:10" x14ac:dyDescent="0.3">
      <c r="I5560" t="s">
        <v>13154</v>
      </c>
      <c r="J5560" t="s">
        <v>2416</v>
      </c>
    </row>
    <row r="5561" spans="9:10" x14ac:dyDescent="0.3">
      <c r="I5561" t="s">
        <v>13154</v>
      </c>
      <c r="J5561" t="s">
        <v>2416</v>
      </c>
    </row>
    <row r="5562" spans="9:10" x14ac:dyDescent="0.3">
      <c r="I5562" t="s">
        <v>13155</v>
      </c>
      <c r="J5562" t="s">
        <v>2417</v>
      </c>
    </row>
    <row r="5563" spans="9:10" x14ac:dyDescent="0.3">
      <c r="I5563" t="s">
        <v>13156</v>
      </c>
    </row>
    <row r="5564" spans="9:10" x14ac:dyDescent="0.3">
      <c r="I5564" t="s">
        <v>13157</v>
      </c>
      <c r="J5564" t="s">
        <v>2418</v>
      </c>
    </row>
    <row r="5565" spans="9:10" x14ac:dyDescent="0.3">
      <c r="I5565" t="s">
        <v>13158</v>
      </c>
      <c r="J5565">
        <v>0</v>
      </c>
    </row>
    <row r="5566" spans="9:10" x14ac:dyDescent="0.3">
      <c r="I5566" t="s">
        <v>13159</v>
      </c>
      <c r="J5566" t="s">
        <v>2045</v>
      </c>
    </row>
    <row r="5567" spans="9:10" x14ac:dyDescent="0.3">
      <c r="I5567" t="s">
        <v>13160</v>
      </c>
      <c r="J5567" t="s">
        <v>2419</v>
      </c>
    </row>
    <row r="5568" spans="9:10" x14ac:dyDescent="0.3">
      <c r="I5568" t="s">
        <v>13161</v>
      </c>
    </row>
    <row r="5569" spans="9:10" x14ac:dyDescent="0.3">
      <c r="I5569" t="s">
        <v>13162</v>
      </c>
    </row>
    <row r="5570" spans="9:10" x14ac:dyDescent="0.3">
      <c r="I5570" t="s">
        <v>13163</v>
      </c>
    </row>
    <row r="5571" spans="9:10" x14ac:dyDescent="0.3">
      <c r="I5571" t="s">
        <v>13164</v>
      </c>
      <c r="J5571" t="s">
        <v>2420</v>
      </c>
    </row>
    <row r="5572" spans="9:10" x14ac:dyDescent="0.3">
      <c r="I5572" t="s">
        <v>13164</v>
      </c>
      <c r="J5572" t="s">
        <v>2420</v>
      </c>
    </row>
    <row r="5573" spans="9:10" x14ac:dyDescent="0.3">
      <c r="I5573" t="s">
        <v>13165</v>
      </c>
      <c r="J5573" t="s">
        <v>2421</v>
      </c>
    </row>
    <row r="5574" spans="9:10" x14ac:dyDescent="0.3">
      <c r="I5574" t="s">
        <v>13166</v>
      </c>
    </row>
    <row r="5575" spans="9:10" x14ac:dyDescent="0.3">
      <c r="I5575" t="s">
        <v>13167</v>
      </c>
      <c r="J5575" t="s">
        <v>2422</v>
      </c>
    </row>
    <row r="5576" spans="9:10" x14ac:dyDescent="0.3">
      <c r="I5576" t="s">
        <v>13168</v>
      </c>
      <c r="J5576" t="s">
        <v>2423</v>
      </c>
    </row>
    <row r="5577" spans="9:10" x14ac:dyDescent="0.3">
      <c r="I5577" t="s">
        <v>13168</v>
      </c>
      <c r="J5577" t="s">
        <v>2423</v>
      </c>
    </row>
    <row r="5578" spans="9:10" x14ac:dyDescent="0.3">
      <c r="I5578" t="s">
        <v>13168</v>
      </c>
      <c r="J5578" t="s">
        <v>2423</v>
      </c>
    </row>
    <row r="5579" spans="9:10" x14ac:dyDescent="0.3">
      <c r="I5579" t="s">
        <v>13169</v>
      </c>
    </row>
    <row r="5580" spans="9:10" x14ac:dyDescent="0.3">
      <c r="I5580" t="s">
        <v>13170</v>
      </c>
    </row>
    <row r="5581" spans="9:10" x14ac:dyDescent="0.3">
      <c r="I5581" t="s">
        <v>13171</v>
      </c>
      <c r="J5581" t="s">
        <v>2424</v>
      </c>
    </row>
    <row r="5582" spans="9:10" x14ac:dyDescent="0.3">
      <c r="I5582" t="s">
        <v>13172</v>
      </c>
      <c r="J5582" t="s">
        <v>2425</v>
      </c>
    </row>
    <row r="5583" spans="9:10" x14ac:dyDescent="0.3">
      <c r="I5583" t="s">
        <v>13172</v>
      </c>
      <c r="J5583" t="s">
        <v>2425</v>
      </c>
    </row>
    <row r="5584" spans="9:10" x14ac:dyDescent="0.3">
      <c r="I5584" t="s">
        <v>13173</v>
      </c>
      <c r="J5584" t="s">
        <v>2426</v>
      </c>
    </row>
    <row r="5585" spans="9:10" x14ac:dyDescent="0.3">
      <c r="I5585" t="s">
        <v>13174</v>
      </c>
    </row>
    <row r="5586" spans="9:10" x14ac:dyDescent="0.3">
      <c r="I5586" t="s">
        <v>13175</v>
      </c>
      <c r="J5586" t="s">
        <v>819</v>
      </c>
    </row>
    <row r="5587" spans="9:10" x14ac:dyDescent="0.3">
      <c r="I5587" t="s">
        <v>13176</v>
      </c>
      <c r="J5587" t="s">
        <v>819</v>
      </c>
    </row>
    <row r="5588" spans="9:10" x14ac:dyDescent="0.3">
      <c r="I5588" t="s">
        <v>13175</v>
      </c>
      <c r="J5588" t="s">
        <v>819</v>
      </c>
    </row>
    <row r="5589" spans="9:10" x14ac:dyDescent="0.3">
      <c r="I5589" t="s">
        <v>13177</v>
      </c>
      <c r="J5589" t="s">
        <v>2427</v>
      </c>
    </row>
    <row r="5590" spans="9:10" x14ac:dyDescent="0.3">
      <c r="I5590" t="s">
        <v>13177</v>
      </c>
      <c r="J5590" t="s">
        <v>2427</v>
      </c>
    </row>
    <row r="5591" spans="9:10" x14ac:dyDescent="0.3">
      <c r="I5591" t="s">
        <v>13178</v>
      </c>
      <c r="J5591" t="s">
        <v>2427</v>
      </c>
    </row>
    <row r="5592" spans="9:10" x14ac:dyDescent="0.3">
      <c r="I5592" t="s">
        <v>13177</v>
      </c>
      <c r="J5592" t="s">
        <v>2427</v>
      </c>
    </row>
    <row r="5593" spans="9:10" x14ac:dyDescent="0.3">
      <c r="I5593" t="s">
        <v>13179</v>
      </c>
    </row>
    <row r="5594" spans="9:10" x14ac:dyDescent="0.3">
      <c r="I5594" t="s">
        <v>13180</v>
      </c>
    </row>
    <row r="5595" spans="9:10" x14ac:dyDescent="0.3">
      <c r="I5595" t="s">
        <v>13181</v>
      </c>
      <c r="J5595" t="s">
        <v>2428</v>
      </c>
    </row>
    <row r="5596" spans="9:10" x14ac:dyDescent="0.3">
      <c r="I5596" t="s">
        <v>13182</v>
      </c>
      <c r="J5596" t="s">
        <v>2428</v>
      </c>
    </row>
    <row r="5597" spans="9:10" x14ac:dyDescent="0.3">
      <c r="I5597" t="s">
        <v>13183</v>
      </c>
      <c r="J5597">
        <v>0</v>
      </c>
    </row>
    <row r="5598" spans="9:10" x14ac:dyDescent="0.3">
      <c r="I5598" t="s">
        <v>13184</v>
      </c>
      <c r="J5598" t="s">
        <v>2429</v>
      </c>
    </row>
    <row r="5599" spans="9:10" x14ac:dyDescent="0.3">
      <c r="I5599" t="s">
        <v>13185</v>
      </c>
      <c r="J5599" t="s">
        <v>2430</v>
      </c>
    </row>
    <row r="5600" spans="9:10" x14ac:dyDescent="0.3">
      <c r="I5600" t="s">
        <v>13186</v>
      </c>
      <c r="J5600" t="s">
        <v>2431</v>
      </c>
    </row>
    <row r="5601" spans="9:10" x14ac:dyDescent="0.3">
      <c r="I5601" t="s">
        <v>13186</v>
      </c>
      <c r="J5601" t="s">
        <v>2431</v>
      </c>
    </row>
    <row r="5602" spans="9:10" x14ac:dyDescent="0.3">
      <c r="I5602" t="s">
        <v>13187</v>
      </c>
    </row>
    <row r="5603" spans="9:10" x14ac:dyDescent="0.3">
      <c r="I5603" t="s">
        <v>13188</v>
      </c>
      <c r="J5603" t="s">
        <v>2432</v>
      </c>
    </row>
    <row r="5604" spans="9:10" x14ac:dyDescent="0.3">
      <c r="I5604" t="s">
        <v>13189</v>
      </c>
      <c r="J5604" t="s">
        <v>2433</v>
      </c>
    </row>
    <row r="5605" spans="9:10" x14ac:dyDescent="0.3">
      <c r="I5605" t="s">
        <v>13190</v>
      </c>
      <c r="J5605" t="s">
        <v>2434</v>
      </c>
    </row>
    <row r="5606" spans="9:10" x14ac:dyDescent="0.3">
      <c r="I5606" t="s">
        <v>13191</v>
      </c>
    </row>
    <row r="5607" spans="9:10" x14ac:dyDescent="0.3">
      <c r="I5607" t="s">
        <v>13192</v>
      </c>
    </row>
    <row r="5608" spans="9:10" x14ac:dyDescent="0.3">
      <c r="I5608" t="s">
        <v>13193</v>
      </c>
    </row>
    <row r="5609" spans="9:10" x14ac:dyDescent="0.3">
      <c r="I5609" t="s">
        <v>13194</v>
      </c>
      <c r="J5609" t="s">
        <v>2435</v>
      </c>
    </row>
    <row r="5610" spans="9:10" x14ac:dyDescent="0.3">
      <c r="I5610" t="s">
        <v>13195</v>
      </c>
      <c r="J5610" t="s">
        <v>2436</v>
      </c>
    </row>
    <row r="5611" spans="9:10" x14ac:dyDescent="0.3">
      <c r="I5611" t="s">
        <v>13196</v>
      </c>
    </row>
    <row r="5612" spans="9:10" x14ac:dyDescent="0.3">
      <c r="I5612" t="s">
        <v>13197</v>
      </c>
    </row>
    <row r="5613" spans="9:10" x14ac:dyDescent="0.3">
      <c r="I5613" t="s">
        <v>13198</v>
      </c>
      <c r="J5613" t="s">
        <v>2437</v>
      </c>
    </row>
    <row r="5614" spans="9:10" x14ac:dyDescent="0.3">
      <c r="I5614" t="s">
        <v>13199</v>
      </c>
      <c r="J5614" t="s">
        <v>2437</v>
      </c>
    </row>
    <row r="5615" spans="9:10" x14ac:dyDescent="0.3">
      <c r="I5615" t="s">
        <v>13200</v>
      </c>
      <c r="J5615" t="s">
        <v>2438</v>
      </c>
    </row>
    <row r="5616" spans="9:10" x14ac:dyDescent="0.3">
      <c r="I5616" t="s">
        <v>13201</v>
      </c>
    </row>
    <row r="5617" spans="9:10" x14ac:dyDescent="0.3">
      <c r="I5617" t="s">
        <v>13202</v>
      </c>
      <c r="J5617" t="s">
        <v>2439</v>
      </c>
    </row>
    <row r="5618" spans="9:10" x14ac:dyDescent="0.3">
      <c r="I5618" t="s">
        <v>13202</v>
      </c>
      <c r="J5618" t="s">
        <v>2439</v>
      </c>
    </row>
    <row r="5619" spans="9:10" x14ac:dyDescent="0.3">
      <c r="I5619" t="s">
        <v>13203</v>
      </c>
      <c r="J5619" t="s">
        <v>2439</v>
      </c>
    </row>
    <row r="5620" spans="9:10" x14ac:dyDescent="0.3">
      <c r="I5620" t="s">
        <v>13202</v>
      </c>
      <c r="J5620" t="s">
        <v>2439</v>
      </c>
    </row>
    <row r="5621" spans="9:10" x14ac:dyDescent="0.3">
      <c r="I5621" t="s">
        <v>13204</v>
      </c>
      <c r="J5621" t="s">
        <v>2440</v>
      </c>
    </row>
    <row r="5622" spans="9:10" x14ac:dyDescent="0.3">
      <c r="I5622" t="s">
        <v>13205</v>
      </c>
    </row>
    <row r="5623" spans="9:10" x14ac:dyDescent="0.3">
      <c r="I5623" t="s">
        <v>13206</v>
      </c>
      <c r="J5623" t="s">
        <v>2441</v>
      </c>
    </row>
    <row r="5624" spans="9:10" x14ac:dyDescent="0.3">
      <c r="I5624" t="s">
        <v>13207</v>
      </c>
    </row>
    <row r="5625" spans="9:10" x14ac:dyDescent="0.3">
      <c r="I5625" t="s">
        <v>13208</v>
      </c>
      <c r="J5625" t="s">
        <v>2442</v>
      </c>
    </row>
    <row r="5626" spans="9:10" x14ac:dyDescent="0.3">
      <c r="I5626" t="s">
        <v>13209</v>
      </c>
      <c r="J5626" t="s">
        <v>2443</v>
      </c>
    </row>
    <row r="5627" spans="9:10" x14ac:dyDescent="0.3">
      <c r="I5627" t="s">
        <v>13210</v>
      </c>
      <c r="J5627" t="s">
        <v>2443</v>
      </c>
    </row>
    <row r="5628" spans="9:10" x14ac:dyDescent="0.3">
      <c r="I5628" t="s">
        <v>13210</v>
      </c>
      <c r="J5628" t="s">
        <v>2443</v>
      </c>
    </row>
    <row r="5629" spans="9:10" x14ac:dyDescent="0.3">
      <c r="I5629" t="s">
        <v>13211</v>
      </c>
      <c r="J5629" t="s">
        <v>2444</v>
      </c>
    </row>
    <row r="5630" spans="9:10" x14ac:dyDescent="0.3">
      <c r="I5630" t="s">
        <v>13212</v>
      </c>
    </row>
    <row r="5631" spans="9:10" x14ac:dyDescent="0.3">
      <c r="I5631" t="s">
        <v>13213</v>
      </c>
      <c r="J5631" t="s">
        <v>2445</v>
      </c>
    </row>
    <row r="5632" spans="9:10" x14ac:dyDescent="0.3">
      <c r="I5632" t="s">
        <v>13214</v>
      </c>
    </row>
    <row r="5633" spans="9:10" x14ac:dyDescent="0.3">
      <c r="I5633" t="s">
        <v>13215</v>
      </c>
    </row>
    <row r="5634" spans="9:10" x14ac:dyDescent="0.3">
      <c r="I5634" t="s">
        <v>13216</v>
      </c>
      <c r="J5634" t="s">
        <v>2446</v>
      </c>
    </row>
    <row r="5635" spans="9:10" x14ac:dyDescent="0.3">
      <c r="I5635" t="s">
        <v>13217</v>
      </c>
      <c r="J5635" t="s">
        <v>2447</v>
      </c>
    </row>
    <row r="5636" spans="9:10" x14ac:dyDescent="0.3">
      <c r="I5636" t="s">
        <v>13218</v>
      </c>
      <c r="J5636" t="s">
        <v>2447</v>
      </c>
    </row>
    <row r="5637" spans="9:10" x14ac:dyDescent="0.3">
      <c r="I5637" t="s">
        <v>13219</v>
      </c>
      <c r="J5637" t="s">
        <v>2447</v>
      </c>
    </row>
    <row r="5638" spans="9:10" x14ac:dyDescent="0.3">
      <c r="I5638" t="s">
        <v>13220</v>
      </c>
      <c r="J5638" t="s">
        <v>2447</v>
      </c>
    </row>
    <row r="5639" spans="9:10" x14ac:dyDescent="0.3">
      <c r="I5639" t="s">
        <v>13218</v>
      </c>
      <c r="J5639" t="s">
        <v>2447</v>
      </c>
    </row>
    <row r="5640" spans="9:10" x14ac:dyDescent="0.3">
      <c r="I5640" t="s">
        <v>13221</v>
      </c>
      <c r="J5640" t="s">
        <v>2447</v>
      </c>
    </row>
    <row r="5641" spans="9:10" x14ac:dyDescent="0.3">
      <c r="I5641" t="s">
        <v>13222</v>
      </c>
      <c r="J5641" t="s">
        <v>2448</v>
      </c>
    </row>
    <row r="5642" spans="9:10" x14ac:dyDescent="0.3">
      <c r="I5642" t="s">
        <v>13223</v>
      </c>
      <c r="J5642" t="s">
        <v>2449</v>
      </c>
    </row>
    <row r="5643" spans="9:10" x14ac:dyDescent="0.3">
      <c r="I5643" t="s">
        <v>13224</v>
      </c>
      <c r="J5643" t="s">
        <v>2449</v>
      </c>
    </row>
    <row r="5644" spans="9:10" x14ac:dyDescent="0.3">
      <c r="I5644" t="s">
        <v>13225</v>
      </c>
      <c r="J5644" t="s">
        <v>2450</v>
      </c>
    </row>
    <row r="5645" spans="9:10" x14ac:dyDescent="0.3">
      <c r="I5645" t="s">
        <v>13226</v>
      </c>
    </row>
    <row r="5646" spans="9:10" x14ac:dyDescent="0.3">
      <c r="I5646" t="s">
        <v>13227</v>
      </c>
      <c r="J5646" t="s">
        <v>2451</v>
      </c>
    </row>
    <row r="5647" spans="9:10" x14ac:dyDescent="0.3">
      <c r="I5647" t="s">
        <v>13228</v>
      </c>
      <c r="J5647" t="s">
        <v>2452</v>
      </c>
    </row>
    <row r="5648" spans="9:10" x14ac:dyDescent="0.3">
      <c r="I5648" t="s">
        <v>13228</v>
      </c>
      <c r="J5648" t="s">
        <v>2452</v>
      </c>
    </row>
    <row r="5649" spans="9:10" x14ac:dyDescent="0.3">
      <c r="I5649" t="s">
        <v>13228</v>
      </c>
      <c r="J5649" t="s">
        <v>2452</v>
      </c>
    </row>
    <row r="5650" spans="9:10" x14ac:dyDescent="0.3">
      <c r="I5650" t="s">
        <v>13228</v>
      </c>
      <c r="J5650" t="s">
        <v>2452</v>
      </c>
    </row>
    <row r="5651" spans="9:10" x14ac:dyDescent="0.3">
      <c r="I5651" t="s">
        <v>13228</v>
      </c>
      <c r="J5651" t="s">
        <v>2452</v>
      </c>
    </row>
    <row r="5652" spans="9:10" x14ac:dyDescent="0.3">
      <c r="I5652" t="s">
        <v>13229</v>
      </c>
    </row>
    <row r="5653" spans="9:10" x14ac:dyDescent="0.3">
      <c r="I5653" t="s">
        <v>13230</v>
      </c>
      <c r="J5653" t="s">
        <v>2045</v>
      </c>
    </row>
    <row r="5654" spans="9:10" x14ac:dyDescent="0.3">
      <c r="I5654" t="s">
        <v>13231</v>
      </c>
    </row>
    <row r="5655" spans="9:10" x14ac:dyDescent="0.3">
      <c r="I5655" t="s">
        <v>13232</v>
      </c>
    </row>
    <row r="5656" spans="9:10" x14ac:dyDescent="0.3">
      <c r="I5656" t="s">
        <v>13233</v>
      </c>
    </row>
    <row r="5657" spans="9:10" x14ac:dyDescent="0.3">
      <c r="I5657" t="s">
        <v>13234</v>
      </c>
      <c r="J5657" t="s">
        <v>259</v>
      </c>
    </row>
    <row r="5658" spans="9:10" x14ac:dyDescent="0.3">
      <c r="I5658" t="s">
        <v>13235</v>
      </c>
      <c r="J5658" t="s">
        <v>259</v>
      </c>
    </row>
    <row r="5659" spans="9:10" x14ac:dyDescent="0.3">
      <c r="I5659" t="s">
        <v>13236</v>
      </c>
    </row>
    <row r="5660" spans="9:10" x14ac:dyDescent="0.3">
      <c r="I5660" t="s">
        <v>13237</v>
      </c>
      <c r="J5660" t="s">
        <v>2453</v>
      </c>
    </row>
    <row r="5661" spans="9:10" x14ac:dyDescent="0.3">
      <c r="I5661" t="s">
        <v>13238</v>
      </c>
    </row>
    <row r="5662" spans="9:10" x14ac:dyDescent="0.3">
      <c r="I5662" t="s">
        <v>13239</v>
      </c>
      <c r="J5662" t="s">
        <v>2454</v>
      </c>
    </row>
    <row r="5663" spans="9:10" x14ac:dyDescent="0.3">
      <c r="I5663" t="s">
        <v>13240</v>
      </c>
      <c r="J5663" t="s">
        <v>2455</v>
      </c>
    </row>
    <row r="5664" spans="9:10" x14ac:dyDescent="0.3">
      <c r="I5664" t="s">
        <v>13241</v>
      </c>
      <c r="J5664" t="s">
        <v>2456</v>
      </c>
    </row>
    <row r="5665" spans="9:10" x14ac:dyDescent="0.3">
      <c r="I5665" t="s">
        <v>13242</v>
      </c>
      <c r="J5665">
        <v>0</v>
      </c>
    </row>
    <row r="5666" spans="9:10" x14ac:dyDescent="0.3">
      <c r="I5666" t="s">
        <v>13243</v>
      </c>
    </row>
    <row r="5667" spans="9:10" x14ac:dyDescent="0.3">
      <c r="I5667" t="s">
        <v>13244</v>
      </c>
    </row>
    <row r="5668" spans="9:10" x14ac:dyDescent="0.3">
      <c r="I5668" t="s">
        <v>13244</v>
      </c>
    </row>
    <row r="5669" spans="9:10" x14ac:dyDescent="0.3">
      <c r="I5669" t="s">
        <v>13245</v>
      </c>
    </row>
    <row r="5670" spans="9:10" x14ac:dyDescent="0.3">
      <c r="I5670" t="s">
        <v>13246</v>
      </c>
      <c r="J5670" t="s">
        <v>2457</v>
      </c>
    </row>
    <row r="5671" spans="9:10" x14ac:dyDescent="0.3">
      <c r="I5671" t="s">
        <v>13247</v>
      </c>
      <c r="J5671" t="s">
        <v>2458</v>
      </c>
    </row>
    <row r="5672" spans="9:10" x14ac:dyDescent="0.3">
      <c r="I5672" t="s">
        <v>13248</v>
      </c>
      <c r="J5672" t="s">
        <v>2459</v>
      </c>
    </row>
    <row r="5673" spans="9:10" x14ac:dyDescent="0.3">
      <c r="I5673" t="s">
        <v>13249</v>
      </c>
      <c r="J5673" t="s">
        <v>2460</v>
      </c>
    </row>
    <row r="5674" spans="9:10" x14ac:dyDescent="0.3">
      <c r="I5674" t="s">
        <v>13249</v>
      </c>
      <c r="J5674" t="s">
        <v>2460</v>
      </c>
    </row>
    <row r="5675" spans="9:10" x14ac:dyDescent="0.3">
      <c r="I5675" t="s">
        <v>13250</v>
      </c>
      <c r="J5675" t="s">
        <v>2461</v>
      </c>
    </row>
    <row r="5676" spans="9:10" x14ac:dyDescent="0.3">
      <c r="I5676" t="s">
        <v>13251</v>
      </c>
      <c r="J5676" t="s">
        <v>2462</v>
      </c>
    </row>
    <row r="5677" spans="9:10" x14ac:dyDescent="0.3">
      <c r="I5677" t="s">
        <v>13252</v>
      </c>
    </row>
    <row r="5678" spans="9:10" x14ac:dyDescent="0.3">
      <c r="I5678" t="s">
        <v>13253</v>
      </c>
      <c r="J5678" t="s">
        <v>2463</v>
      </c>
    </row>
    <row r="5679" spans="9:10" x14ac:dyDescent="0.3">
      <c r="I5679" t="s">
        <v>13254</v>
      </c>
      <c r="J5679" t="s">
        <v>2464</v>
      </c>
    </row>
    <row r="5680" spans="9:10" x14ac:dyDescent="0.3">
      <c r="I5680" t="s">
        <v>13255</v>
      </c>
    </row>
    <row r="5681" spans="9:10" x14ac:dyDescent="0.3">
      <c r="I5681" t="s">
        <v>13256</v>
      </c>
      <c r="J5681" t="s">
        <v>2045</v>
      </c>
    </row>
    <row r="5682" spans="9:10" x14ac:dyDescent="0.3">
      <c r="I5682" t="s">
        <v>13257</v>
      </c>
      <c r="J5682" t="s">
        <v>2465</v>
      </c>
    </row>
    <row r="5683" spans="9:10" x14ac:dyDescent="0.3">
      <c r="I5683" t="s">
        <v>13258</v>
      </c>
      <c r="J5683" t="s">
        <v>2465</v>
      </c>
    </row>
    <row r="5684" spans="9:10" x14ac:dyDescent="0.3">
      <c r="I5684" t="s">
        <v>13258</v>
      </c>
      <c r="J5684" t="s">
        <v>2465</v>
      </c>
    </row>
    <row r="5685" spans="9:10" x14ac:dyDescent="0.3">
      <c r="I5685" t="s">
        <v>13258</v>
      </c>
      <c r="J5685" t="s">
        <v>2465</v>
      </c>
    </row>
    <row r="5686" spans="9:10" x14ac:dyDescent="0.3">
      <c r="I5686" t="s">
        <v>13259</v>
      </c>
      <c r="J5686" t="s">
        <v>2466</v>
      </c>
    </row>
    <row r="5687" spans="9:10" x14ac:dyDescent="0.3">
      <c r="I5687" t="s">
        <v>13260</v>
      </c>
      <c r="J5687" t="s">
        <v>2467</v>
      </c>
    </row>
    <row r="5688" spans="9:10" x14ac:dyDescent="0.3">
      <c r="I5688" t="s">
        <v>13261</v>
      </c>
    </row>
    <row r="5689" spans="9:10" x14ac:dyDescent="0.3">
      <c r="I5689" t="s">
        <v>13262</v>
      </c>
      <c r="J5689">
        <v>0</v>
      </c>
    </row>
    <row r="5690" spans="9:10" x14ac:dyDescent="0.3">
      <c r="I5690" t="s">
        <v>13263</v>
      </c>
      <c r="J5690" t="s">
        <v>2468</v>
      </c>
    </row>
    <row r="5691" spans="9:10" x14ac:dyDescent="0.3">
      <c r="I5691" t="s">
        <v>13264</v>
      </c>
    </row>
    <row r="5692" spans="9:10" x14ac:dyDescent="0.3">
      <c r="I5692" t="s">
        <v>13265</v>
      </c>
      <c r="J5692" t="s">
        <v>2469</v>
      </c>
    </row>
    <row r="5693" spans="9:10" x14ac:dyDescent="0.3">
      <c r="I5693" t="s">
        <v>13266</v>
      </c>
    </row>
    <row r="5694" spans="9:10" x14ac:dyDescent="0.3">
      <c r="I5694" t="s">
        <v>13267</v>
      </c>
    </row>
    <row r="5695" spans="9:10" x14ac:dyDescent="0.3">
      <c r="I5695" t="s">
        <v>13268</v>
      </c>
    </row>
    <row r="5696" spans="9:10" x14ac:dyDescent="0.3">
      <c r="I5696" t="s">
        <v>13269</v>
      </c>
    </row>
    <row r="5697" spans="9:10" x14ac:dyDescent="0.3">
      <c r="I5697" t="s">
        <v>13270</v>
      </c>
    </row>
    <row r="5698" spans="9:10" x14ac:dyDescent="0.3">
      <c r="I5698" t="s">
        <v>13271</v>
      </c>
      <c r="J5698">
        <v>0</v>
      </c>
    </row>
    <row r="5699" spans="9:10" x14ac:dyDescent="0.3">
      <c r="I5699" t="s">
        <v>13272</v>
      </c>
    </row>
    <row r="5700" spans="9:10" x14ac:dyDescent="0.3">
      <c r="I5700" t="s">
        <v>13273</v>
      </c>
    </row>
    <row r="5701" spans="9:10" x14ac:dyDescent="0.3">
      <c r="I5701" t="s">
        <v>13274</v>
      </c>
    </row>
    <row r="5702" spans="9:10" x14ac:dyDescent="0.3">
      <c r="I5702" t="s">
        <v>13275</v>
      </c>
      <c r="J5702" t="s">
        <v>2470</v>
      </c>
    </row>
    <row r="5703" spans="9:10" x14ac:dyDescent="0.3">
      <c r="I5703" t="s">
        <v>13276</v>
      </c>
      <c r="J5703" t="s">
        <v>2471</v>
      </c>
    </row>
    <row r="5704" spans="9:10" x14ac:dyDescent="0.3">
      <c r="I5704" t="s">
        <v>13276</v>
      </c>
      <c r="J5704" t="s">
        <v>2471</v>
      </c>
    </row>
    <row r="5705" spans="9:10" x14ac:dyDescent="0.3">
      <c r="I5705" t="s">
        <v>13277</v>
      </c>
    </row>
    <row r="5706" spans="9:10" x14ac:dyDescent="0.3">
      <c r="I5706" t="s">
        <v>13278</v>
      </c>
    </row>
    <row r="5707" spans="9:10" x14ac:dyDescent="0.3">
      <c r="I5707" t="s">
        <v>13279</v>
      </c>
      <c r="J5707" t="s">
        <v>2472</v>
      </c>
    </row>
    <row r="5708" spans="9:10" x14ac:dyDescent="0.3">
      <c r="I5708" t="s">
        <v>13279</v>
      </c>
      <c r="J5708" t="s">
        <v>2472</v>
      </c>
    </row>
    <row r="5709" spans="9:10" x14ac:dyDescent="0.3">
      <c r="I5709" t="s">
        <v>13280</v>
      </c>
      <c r="J5709" t="s">
        <v>2473</v>
      </c>
    </row>
    <row r="5710" spans="9:10" x14ac:dyDescent="0.3">
      <c r="I5710" t="s">
        <v>13281</v>
      </c>
    </row>
    <row r="5711" spans="9:10" x14ac:dyDescent="0.3">
      <c r="I5711" t="s">
        <v>13282</v>
      </c>
      <c r="J5711" t="s">
        <v>2474</v>
      </c>
    </row>
    <row r="5712" spans="9:10" x14ac:dyDescent="0.3">
      <c r="I5712" t="s">
        <v>13283</v>
      </c>
      <c r="J5712" t="s">
        <v>2475</v>
      </c>
    </row>
    <row r="5713" spans="9:10" x14ac:dyDescent="0.3">
      <c r="I5713" t="s">
        <v>13284</v>
      </c>
      <c r="J5713" t="s">
        <v>2475</v>
      </c>
    </row>
    <row r="5714" spans="9:10" x14ac:dyDescent="0.3">
      <c r="I5714" t="s">
        <v>13285</v>
      </c>
    </row>
    <row r="5715" spans="9:10" x14ac:dyDescent="0.3">
      <c r="I5715" t="s">
        <v>13286</v>
      </c>
      <c r="J5715" t="s">
        <v>2476</v>
      </c>
    </row>
    <row r="5716" spans="9:10" x14ac:dyDescent="0.3">
      <c r="I5716" t="s">
        <v>13287</v>
      </c>
      <c r="J5716" t="s">
        <v>226</v>
      </c>
    </row>
    <row r="5717" spans="9:10" x14ac:dyDescent="0.3">
      <c r="I5717" t="s">
        <v>13288</v>
      </c>
      <c r="J5717" t="s">
        <v>2477</v>
      </c>
    </row>
    <row r="5718" spans="9:10" x14ac:dyDescent="0.3">
      <c r="I5718" t="s">
        <v>13288</v>
      </c>
      <c r="J5718" t="s">
        <v>2477</v>
      </c>
    </row>
    <row r="5719" spans="9:10" x14ac:dyDescent="0.3">
      <c r="I5719" t="s">
        <v>13289</v>
      </c>
      <c r="J5719" t="s">
        <v>2477</v>
      </c>
    </row>
    <row r="5720" spans="9:10" x14ac:dyDescent="0.3">
      <c r="I5720" t="s">
        <v>13290</v>
      </c>
      <c r="J5720" t="s">
        <v>2478</v>
      </c>
    </row>
    <row r="5721" spans="9:10" x14ac:dyDescent="0.3">
      <c r="I5721" t="s">
        <v>13291</v>
      </c>
    </row>
    <row r="5722" spans="9:10" x14ac:dyDescent="0.3">
      <c r="I5722" t="s">
        <v>13292</v>
      </c>
      <c r="J5722" t="s">
        <v>2479</v>
      </c>
    </row>
    <row r="5723" spans="9:10" x14ac:dyDescent="0.3">
      <c r="I5723" t="s">
        <v>13292</v>
      </c>
      <c r="J5723" t="s">
        <v>2479</v>
      </c>
    </row>
    <row r="5724" spans="9:10" x14ac:dyDescent="0.3">
      <c r="I5724" t="s">
        <v>13292</v>
      </c>
      <c r="J5724" t="s">
        <v>2479</v>
      </c>
    </row>
    <row r="5725" spans="9:10" x14ac:dyDescent="0.3">
      <c r="I5725" t="s">
        <v>13293</v>
      </c>
      <c r="J5725">
        <v>0</v>
      </c>
    </row>
    <row r="5726" spans="9:10" x14ac:dyDescent="0.3">
      <c r="I5726" t="s">
        <v>13294</v>
      </c>
    </row>
    <row r="5727" spans="9:10" x14ac:dyDescent="0.3">
      <c r="I5727" t="s">
        <v>13295</v>
      </c>
      <c r="J5727">
        <v>0</v>
      </c>
    </row>
    <row r="5728" spans="9:10" x14ac:dyDescent="0.3">
      <c r="I5728" t="s">
        <v>13296</v>
      </c>
      <c r="J5728" t="s">
        <v>2480</v>
      </c>
    </row>
    <row r="5729" spans="9:10" x14ac:dyDescent="0.3">
      <c r="I5729" t="s">
        <v>13297</v>
      </c>
    </row>
    <row r="5730" spans="9:10" x14ac:dyDescent="0.3">
      <c r="I5730" t="s">
        <v>13298</v>
      </c>
    </row>
    <row r="5731" spans="9:10" x14ac:dyDescent="0.3">
      <c r="I5731" t="s">
        <v>13299</v>
      </c>
    </row>
    <row r="5732" spans="9:10" x14ac:dyDescent="0.3">
      <c r="I5732" t="s">
        <v>13300</v>
      </c>
      <c r="J5732" t="s">
        <v>2481</v>
      </c>
    </row>
    <row r="5733" spans="9:10" x14ac:dyDescent="0.3">
      <c r="I5733" t="s">
        <v>13301</v>
      </c>
      <c r="J5733" t="s">
        <v>2481</v>
      </c>
    </row>
    <row r="5734" spans="9:10" x14ac:dyDescent="0.3">
      <c r="I5734" t="s">
        <v>13302</v>
      </c>
      <c r="J5734" t="s">
        <v>309</v>
      </c>
    </row>
    <row r="5735" spans="9:10" x14ac:dyDescent="0.3">
      <c r="I5735" t="s">
        <v>13303</v>
      </c>
      <c r="J5735" t="s">
        <v>2482</v>
      </c>
    </row>
    <row r="5736" spans="9:10" x14ac:dyDescent="0.3">
      <c r="I5736" t="s">
        <v>13304</v>
      </c>
      <c r="J5736" t="s">
        <v>2482</v>
      </c>
    </row>
    <row r="5737" spans="9:10" x14ac:dyDescent="0.3">
      <c r="I5737" t="s">
        <v>13305</v>
      </c>
    </row>
    <row r="5738" spans="9:10" x14ac:dyDescent="0.3">
      <c r="I5738" t="s">
        <v>13306</v>
      </c>
    </row>
    <row r="5739" spans="9:10" x14ac:dyDescent="0.3">
      <c r="I5739" t="s">
        <v>13307</v>
      </c>
      <c r="J5739" t="s">
        <v>2045</v>
      </c>
    </row>
    <row r="5740" spans="9:10" x14ac:dyDescent="0.3">
      <c r="I5740" t="s">
        <v>13308</v>
      </c>
      <c r="J5740" t="s">
        <v>2483</v>
      </c>
    </row>
    <row r="5741" spans="9:10" x14ac:dyDescent="0.3">
      <c r="I5741" t="s">
        <v>13309</v>
      </c>
      <c r="J5741" t="s">
        <v>2484</v>
      </c>
    </row>
    <row r="5742" spans="9:10" x14ac:dyDescent="0.3">
      <c r="I5742" t="s">
        <v>13310</v>
      </c>
    </row>
    <row r="5743" spans="9:10" x14ac:dyDescent="0.3">
      <c r="I5743" t="s">
        <v>13311</v>
      </c>
      <c r="J5743" t="s">
        <v>2045</v>
      </c>
    </row>
    <row r="5744" spans="9:10" x14ac:dyDescent="0.3">
      <c r="I5744" t="s">
        <v>13312</v>
      </c>
    </row>
    <row r="5745" spans="9:10" x14ac:dyDescent="0.3">
      <c r="I5745" t="s">
        <v>13313</v>
      </c>
      <c r="J5745" t="s">
        <v>2485</v>
      </c>
    </row>
    <row r="5746" spans="9:10" x14ac:dyDescent="0.3">
      <c r="I5746" t="s">
        <v>13314</v>
      </c>
      <c r="J5746" t="s">
        <v>2485</v>
      </c>
    </row>
    <row r="5747" spans="9:10" x14ac:dyDescent="0.3">
      <c r="I5747" t="s">
        <v>13313</v>
      </c>
      <c r="J5747" t="s">
        <v>2485</v>
      </c>
    </row>
    <row r="5748" spans="9:10" x14ac:dyDescent="0.3">
      <c r="I5748" t="s">
        <v>13313</v>
      </c>
      <c r="J5748" t="s">
        <v>2485</v>
      </c>
    </row>
    <row r="5749" spans="9:10" x14ac:dyDescent="0.3">
      <c r="I5749" t="s">
        <v>13313</v>
      </c>
      <c r="J5749" t="s">
        <v>2485</v>
      </c>
    </row>
    <row r="5750" spans="9:10" x14ac:dyDescent="0.3">
      <c r="I5750" t="s">
        <v>13313</v>
      </c>
      <c r="J5750" t="s">
        <v>2485</v>
      </c>
    </row>
    <row r="5751" spans="9:10" x14ac:dyDescent="0.3">
      <c r="I5751" t="s">
        <v>13315</v>
      </c>
      <c r="J5751" t="s">
        <v>2486</v>
      </c>
    </row>
    <row r="5752" spans="9:10" x14ac:dyDescent="0.3">
      <c r="I5752" t="s">
        <v>13316</v>
      </c>
      <c r="J5752" t="s">
        <v>2045</v>
      </c>
    </row>
    <row r="5753" spans="9:10" x14ac:dyDescent="0.3">
      <c r="I5753" t="s">
        <v>13317</v>
      </c>
    </row>
    <row r="5754" spans="9:10" x14ac:dyDescent="0.3">
      <c r="I5754" t="s">
        <v>13318</v>
      </c>
    </row>
    <row r="5755" spans="9:10" x14ac:dyDescent="0.3">
      <c r="I5755" t="s">
        <v>13319</v>
      </c>
      <c r="J5755" t="s">
        <v>2487</v>
      </c>
    </row>
    <row r="5756" spans="9:10" x14ac:dyDescent="0.3">
      <c r="I5756" t="s">
        <v>13320</v>
      </c>
      <c r="J5756" t="s">
        <v>2045</v>
      </c>
    </row>
    <row r="5757" spans="9:10" x14ac:dyDescent="0.3">
      <c r="I5757" t="s">
        <v>13321</v>
      </c>
    </row>
    <row r="5758" spans="9:10" x14ac:dyDescent="0.3">
      <c r="I5758" t="s">
        <v>13322</v>
      </c>
      <c r="J5758" t="s">
        <v>2488</v>
      </c>
    </row>
    <row r="5759" spans="9:10" x14ac:dyDescent="0.3">
      <c r="I5759" t="s">
        <v>13323</v>
      </c>
      <c r="J5759" t="s">
        <v>2488</v>
      </c>
    </row>
    <row r="5760" spans="9:10" x14ac:dyDescent="0.3">
      <c r="I5760" t="s">
        <v>13322</v>
      </c>
      <c r="J5760" t="s">
        <v>2488</v>
      </c>
    </row>
    <row r="5761" spans="9:10" x14ac:dyDescent="0.3">
      <c r="I5761" t="s">
        <v>13324</v>
      </c>
      <c r="J5761" t="s">
        <v>2045</v>
      </c>
    </row>
    <row r="5762" spans="9:10" x14ac:dyDescent="0.3">
      <c r="I5762" t="s">
        <v>13325</v>
      </c>
      <c r="J5762" t="s">
        <v>2489</v>
      </c>
    </row>
    <row r="5763" spans="9:10" x14ac:dyDescent="0.3">
      <c r="I5763" t="s">
        <v>13326</v>
      </c>
    </row>
    <row r="5764" spans="9:10" x14ac:dyDescent="0.3">
      <c r="I5764" t="s">
        <v>13327</v>
      </c>
    </row>
    <row r="5765" spans="9:10" x14ac:dyDescent="0.3">
      <c r="I5765" t="s">
        <v>13328</v>
      </c>
      <c r="J5765" t="s">
        <v>2490</v>
      </c>
    </row>
    <row r="5766" spans="9:10" x14ac:dyDescent="0.3">
      <c r="I5766" t="s">
        <v>13329</v>
      </c>
    </row>
    <row r="5767" spans="9:10" x14ac:dyDescent="0.3">
      <c r="I5767" t="s">
        <v>13330</v>
      </c>
    </row>
    <row r="5768" spans="9:10" x14ac:dyDescent="0.3">
      <c r="I5768" t="s">
        <v>13331</v>
      </c>
      <c r="J5768" t="s">
        <v>2491</v>
      </c>
    </row>
    <row r="5769" spans="9:10" x14ac:dyDescent="0.3">
      <c r="I5769" t="s">
        <v>13332</v>
      </c>
      <c r="J5769" t="s">
        <v>2491</v>
      </c>
    </row>
    <row r="5770" spans="9:10" x14ac:dyDescent="0.3">
      <c r="I5770" t="s">
        <v>13333</v>
      </c>
    </row>
    <row r="5771" spans="9:10" x14ac:dyDescent="0.3">
      <c r="I5771" t="s">
        <v>13334</v>
      </c>
      <c r="J5771" t="s">
        <v>2492</v>
      </c>
    </row>
    <row r="5772" spans="9:10" x14ac:dyDescent="0.3">
      <c r="I5772" t="s">
        <v>13334</v>
      </c>
      <c r="J5772" t="s">
        <v>2492</v>
      </c>
    </row>
    <row r="5773" spans="9:10" x14ac:dyDescent="0.3">
      <c r="I5773" t="s">
        <v>13335</v>
      </c>
      <c r="J5773" t="s">
        <v>2492</v>
      </c>
    </row>
    <row r="5774" spans="9:10" x14ac:dyDescent="0.3">
      <c r="I5774" t="s">
        <v>13334</v>
      </c>
      <c r="J5774" t="s">
        <v>2492</v>
      </c>
    </row>
    <row r="5775" spans="9:10" x14ac:dyDescent="0.3">
      <c r="I5775" t="s">
        <v>13334</v>
      </c>
      <c r="J5775" t="s">
        <v>2492</v>
      </c>
    </row>
    <row r="5776" spans="9:10" x14ac:dyDescent="0.3">
      <c r="I5776" t="s">
        <v>13336</v>
      </c>
    </row>
    <row r="5777" spans="9:10" x14ac:dyDescent="0.3">
      <c r="I5777" t="s">
        <v>13337</v>
      </c>
    </row>
    <row r="5778" spans="9:10" x14ac:dyDescent="0.3">
      <c r="I5778" t="s">
        <v>13338</v>
      </c>
      <c r="J5778" t="s">
        <v>2493</v>
      </c>
    </row>
    <row r="5779" spans="9:10" x14ac:dyDescent="0.3">
      <c r="I5779" t="s">
        <v>13339</v>
      </c>
      <c r="J5779" t="s">
        <v>2494</v>
      </c>
    </row>
    <row r="5780" spans="9:10" x14ac:dyDescent="0.3">
      <c r="I5780" t="s">
        <v>13340</v>
      </c>
    </row>
    <row r="5781" spans="9:10" x14ac:dyDescent="0.3">
      <c r="I5781" t="s">
        <v>13341</v>
      </c>
    </row>
    <row r="5782" spans="9:10" x14ac:dyDescent="0.3">
      <c r="I5782" t="s">
        <v>13342</v>
      </c>
      <c r="J5782" t="s">
        <v>2495</v>
      </c>
    </row>
    <row r="5783" spans="9:10" x14ac:dyDescent="0.3">
      <c r="I5783" t="s">
        <v>13342</v>
      </c>
      <c r="J5783" t="s">
        <v>2495</v>
      </c>
    </row>
    <row r="5784" spans="9:10" x14ac:dyDescent="0.3">
      <c r="I5784" t="s">
        <v>13343</v>
      </c>
    </row>
    <row r="5785" spans="9:10" x14ac:dyDescent="0.3">
      <c r="I5785" t="s">
        <v>13344</v>
      </c>
    </row>
    <row r="5786" spans="9:10" x14ac:dyDescent="0.3">
      <c r="I5786" t="s">
        <v>13345</v>
      </c>
      <c r="J5786" t="s">
        <v>2496</v>
      </c>
    </row>
    <row r="5787" spans="9:10" x14ac:dyDescent="0.3">
      <c r="I5787" t="s">
        <v>13345</v>
      </c>
      <c r="J5787" t="s">
        <v>2496</v>
      </c>
    </row>
    <row r="5788" spans="9:10" x14ac:dyDescent="0.3">
      <c r="I5788" t="s">
        <v>13346</v>
      </c>
    </row>
    <row r="5789" spans="9:10" x14ac:dyDescent="0.3">
      <c r="I5789" t="s">
        <v>13347</v>
      </c>
      <c r="J5789" t="s">
        <v>2497</v>
      </c>
    </row>
    <row r="5790" spans="9:10" x14ac:dyDescent="0.3">
      <c r="I5790" t="s">
        <v>13348</v>
      </c>
      <c r="J5790" t="s">
        <v>2497</v>
      </c>
    </row>
    <row r="5791" spans="9:10" x14ac:dyDescent="0.3">
      <c r="I5791" t="s">
        <v>13349</v>
      </c>
    </row>
    <row r="5792" spans="9:10" x14ac:dyDescent="0.3">
      <c r="I5792" t="s">
        <v>13350</v>
      </c>
      <c r="J5792" t="s">
        <v>2498</v>
      </c>
    </row>
    <row r="5793" spans="9:10" x14ac:dyDescent="0.3">
      <c r="I5793" t="s">
        <v>13351</v>
      </c>
    </row>
    <row r="5794" spans="9:10" x14ac:dyDescent="0.3">
      <c r="I5794" t="s">
        <v>13352</v>
      </c>
    </row>
    <row r="5795" spans="9:10" x14ac:dyDescent="0.3">
      <c r="I5795" t="s">
        <v>13353</v>
      </c>
    </row>
    <row r="5796" spans="9:10" x14ac:dyDescent="0.3">
      <c r="I5796" t="s">
        <v>13354</v>
      </c>
    </row>
    <row r="5797" spans="9:10" x14ac:dyDescent="0.3">
      <c r="I5797" t="s">
        <v>13355</v>
      </c>
    </row>
    <row r="5798" spans="9:10" x14ac:dyDescent="0.3">
      <c r="I5798" t="s">
        <v>13356</v>
      </c>
    </row>
    <row r="5799" spans="9:10" x14ac:dyDescent="0.3">
      <c r="I5799" t="s">
        <v>13357</v>
      </c>
      <c r="J5799">
        <v>0</v>
      </c>
    </row>
    <row r="5800" spans="9:10" x14ac:dyDescent="0.3">
      <c r="I5800" t="s">
        <v>13358</v>
      </c>
    </row>
    <row r="5801" spans="9:10" x14ac:dyDescent="0.3">
      <c r="I5801" t="s">
        <v>13359</v>
      </c>
      <c r="J5801" t="s">
        <v>2499</v>
      </c>
    </row>
    <row r="5802" spans="9:10" x14ac:dyDescent="0.3">
      <c r="I5802" t="s">
        <v>13360</v>
      </c>
      <c r="J5802" t="s">
        <v>2500</v>
      </c>
    </row>
    <row r="5803" spans="9:10" x14ac:dyDescent="0.3">
      <c r="I5803" t="s">
        <v>13361</v>
      </c>
      <c r="J5803" t="s">
        <v>2501</v>
      </c>
    </row>
    <row r="5804" spans="9:10" x14ac:dyDescent="0.3">
      <c r="I5804" t="s">
        <v>13362</v>
      </c>
      <c r="J5804" t="s">
        <v>2501</v>
      </c>
    </row>
    <row r="5805" spans="9:10" x14ac:dyDescent="0.3">
      <c r="I5805" t="s">
        <v>13363</v>
      </c>
      <c r="J5805" t="s">
        <v>2502</v>
      </c>
    </row>
    <row r="5806" spans="9:10" x14ac:dyDescent="0.3">
      <c r="I5806" t="s">
        <v>13364</v>
      </c>
      <c r="J5806" t="s">
        <v>2503</v>
      </c>
    </row>
    <row r="5807" spans="9:10" x14ac:dyDescent="0.3">
      <c r="I5807" t="s">
        <v>13364</v>
      </c>
      <c r="J5807" t="s">
        <v>2503</v>
      </c>
    </row>
    <row r="5808" spans="9:10" x14ac:dyDescent="0.3">
      <c r="I5808" t="s">
        <v>13365</v>
      </c>
      <c r="J5808" t="s">
        <v>2504</v>
      </c>
    </row>
    <row r="5809" spans="9:10" x14ac:dyDescent="0.3">
      <c r="I5809" t="s">
        <v>13365</v>
      </c>
      <c r="J5809" t="s">
        <v>2504</v>
      </c>
    </row>
    <row r="5810" spans="9:10" x14ac:dyDescent="0.3">
      <c r="I5810" t="s">
        <v>13366</v>
      </c>
    </row>
    <row r="5811" spans="9:10" x14ac:dyDescent="0.3">
      <c r="I5811" t="s">
        <v>13367</v>
      </c>
      <c r="J5811" t="s">
        <v>2505</v>
      </c>
    </row>
    <row r="5812" spans="9:10" x14ac:dyDescent="0.3">
      <c r="I5812" t="s">
        <v>13368</v>
      </c>
    </row>
    <row r="5813" spans="9:10" x14ac:dyDescent="0.3">
      <c r="I5813" t="s">
        <v>13369</v>
      </c>
    </row>
    <row r="5814" spans="9:10" x14ac:dyDescent="0.3">
      <c r="I5814" t="s">
        <v>13370</v>
      </c>
    </row>
    <row r="5815" spans="9:10" x14ac:dyDescent="0.3">
      <c r="I5815" t="s">
        <v>13371</v>
      </c>
    </row>
    <row r="5816" spans="9:10" x14ac:dyDescent="0.3">
      <c r="I5816" t="s">
        <v>13372</v>
      </c>
      <c r="J5816" t="s">
        <v>2506</v>
      </c>
    </row>
    <row r="5817" spans="9:10" x14ac:dyDescent="0.3">
      <c r="I5817" t="s">
        <v>13373</v>
      </c>
      <c r="J5817" t="s">
        <v>2506</v>
      </c>
    </row>
    <row r="5818" spans="9:10" x14ac:dyDescent="0.3">
      <c r="I5818" t="s">
        <v>13373</v>
      </c>
      <c r="J5818" t="s">
        <v>2506</v>
      </c>
    </row>
    <row r="5819" spans="9:10" x14ac:dyDescent="0.3">
      <c r="I5819" t="s">
        <v>13373</v>
      </c>
      <c r="J5819" t="s">
        <v>2506</v>
      </c>
    </row>
    <row r="5820" spans="9:10" x14ac:dyDescent="0.3">
      <c r="I5820" t="s">
        <v>13374</v>
      </c>
      <c r="J5820" t="s">
        <v>657</v>
      </c>
    </row>
    <row r="5821" spans="9:10" x14ac:dyDescent="0.3">
      <c r="I5821" t="s">
        <v>13375</v>
      </c>
      <c r="J5821" t="s">
        <v>2507</v>
      </c>
    </row>
    <row r="5822" spans="9:10" x14ac:dyDescent="0.3">
      <c r="I5822" t="s">
        <v>13376</v>
      </c>
      <c r="J5822" t="s">
        <v>2508</v>
      </c>
    </row>
    <row r="5823" spans="9:10" x14ac:dyDescent="0.3">
      <c r="I5823" t="s">
        <v>13376</v>
      </c>
      <c r="J5823" t="s">
        <v>2508</v>
      </c>
    </row>
    <row r="5824" spans="9:10" x14ac:dyDescent="0.3">
      <c r="I5824" t="s">
        <v>13377</v>
      </c>
      <c r="J5824">
        <v>0</v>
      </c>
    </row>
    <row r="5825" spans="9:10" x14ac:dyDescent="0.3">
      <c r="I5825" t="s">
        <v>13378</v>
      </c>
      <c r="J5825" t="s">
        <v>2509</v>
      </c>
    </row>
    <row r="5826" spans="9:10" x14ac:dyDescent="0.3">
      <c r="I5826" t="s">
        <v>13379</v>
      </c>
      <c r="J5826" t="s">
        <v>376</v>
      </c>
    </row>
    <row r="5827" spans="9:10" x14ac:dyDescent="0.3">
      <c r="I5827" t="s">
        <v>13380</v>
      </c>
      <c r="J5827" t="s">
        <v>2510</v>
      </c>
    </row>
    <row r="5828" spans="9:10" x14ac:dyDescent="0.3">
      <c r="I5828" t="s">
        <v>13381</v>
      </c>
    </row>
    <row r="5829" spans="9:10" x14ac:dyDescent="0.3">
      <c r="I5829" t="s">
        <v>13382</v>
      </c>
    </row>
    <row r="5830" spans="9:10" x14ac:dyDescent="0.3">
      <c r="I5830" t="s">
        <v>13383</v>
      </c>
      <c r="J5830" t="s">
        <v>2511</v>
      </c>
    </row>
    <row r="5831" spans="9:10" x14ac:dyDescent="0.3">
      <c r="I5831" t="s">
        <v>13384</v>
      </c>
      <c r="J5831" t="s">
        <v>2511</v>
      </c>
    </row>
    <row r="5832" spans="9:10" x14ac:dyDescent="0.3">
      <c r="I5832" t="s">
        <v>13385</v>
      </c>
      <c r="J5832" t="s">
        <v>496</v>
      </c>
    </row>
    <row r="5833" spans="9:10" x14ac:dyDescent="0.3">
      <c r="I5833" t="s">
        <v>13386</v>
      </c>
      <c r="J5833" t="s">
        <v>2045</v>
      </c>
    </row>
    <row r="5834" spans="9:10" x14ac:dyDescent="0.3">
      <c r="I5834" t="s">
        <v>13387</v>
      </c>
      <c r="J5834" t="s">
        <v>2512</v>
      </c>
    </row>
    <row r="5835" spans="9:10" x14ac:dyDescent="0.3">
      <c r="I5835" t="s">
        <v>13388</v>
      </c>
    </row>
    <row r="5836" spans="9:10" x14ac:dyDescent="0.3">
      <c r="I5836" t="s">
        <v>13389</v>
      </c>
    </row>
    <row r="5837" spans="9:10" x14ac:dyDescent="0.3">
      <c r="I5837" t="s">
        <v>13390</v>
      </c>
    </row>
    <row r="5838" spans="9:10" x14ac:dyDescent="0.3">
      <c r="I5838" t="s">
        <v>13391</v>
      </c>
    </row>
    <row r="5839" spans="9:10" x14ac:dyDescent="0.3">
      <c r="I5839" t="s">
        <v>13392</v>
      </c>
      <c r="J5839" t="s">
        <v>2513</v>
      </c>
    </row>
    <row r="5840" spans="9:10" x14ac:dyDescent="0.3">
      <c r="I5840" t="s">
        <v>13393</v>
      </c>
    </row>
    <row r="5841" spans="9:10" x14ac:dyDescent="0.3">
      <c r="I5841" t="s">
        <v>13394</v>
      </c>
    </row>
    <row r="5842" spans="9:10" x14ac:dyDescent="0.3">
      <c r="I5842" t="s">
        <v>13395</v>
      </c>
    </row>
    <row r="5843" spans="9:10" x14ac:dyDescent="0.3">
      <c r="I5843" t="s">
        <v>13396</v>
      </c>
      <c r="J5843">
        <v>0</v>
      </c>
    </row>
    <row r="5844" spans="9:10" x14ac:dyDescent="0.3">
      <c r="I5844" t="s">
        <v>13397</v>
      </c>
    </row>
    <row r="5845" spans="9:10" x14ac:dyDescent="0.3">
      <c r="I5845" t="s">
        <v>13398</v>
      </c>
      <c r="J5845" t="s">
        <v>2514</v>
      </c>
    </row>
    <row r="5846" spans="9:10" x14ac:dyDescent="0.3">
      <c r="I5846" t="s">
        <v>13399</v>
      </c>
      <c r="J5846" t="s">
        <v>2514</v>
      </c>
    </row>
    <row r="5847" spans="9:10" x14ac:dyDescent="0.3">
      <c r="I5847" t="s">
        <v>13398</v>
      </c>
      <c r="J5847" t="s">
        <v>2514</v>
      </c>
    </row>
    <row r="5848" spans="9:10" x14ac:dyDescent="0.3">
      <c r="I5848" t="s">
        <v>13400</v>
      </c>
      <c r="J5848" t="s">
        <v>387</v>
      </c>
    </row>
    <row r="5849" spans="9:10" x14ac:dyDescent="0.3">
      <c r="I5849" t="s">
        <v>13401</v>
      </c>
    </row>
    <row r="5850" spans="9:10" x14ac:dyDescent="0.3">
      <c r="I5850" t="s">
        <v>13402</v>
      </c>
      <c r="J5850" t="s">
        <v>2515</v>
      </c>
    </row>
    <row r="5851" spans="9:10" x14ac:dyDescent="0.3">
      <c r="I5851" t="s">
        <v>13403</v>
      </c>
    </row>
    <row r="5852" spans="9:10" x14ac:dyDescent="0.3">
      <c r="I5852" t="s">
        <v>13404</v>
      </c>
    </row>
    <row r="5853" spans="9:10" x14ac:dyDescent="0.3">
      <c r="I5853" t="s">
        <v>13405</v>
      </c>
      <c r="J5853" t="s">
        <v>2516</v>
      </c>
    </row>
    <row r="5854" spans="9:10" x14ac:dyDescent="0.3">
      <c r="I5854" t="s">
        <v>13406</v>
      </c>
      <c r="J5854" t="s">
        <v>2516</v>
      </c>
    </row>
    <row r="5855" spans="9:10" x14ac:dyDescent="0.3">
      <c r="I5855" t="s">
        <v>13407</v>
      </c>
    </row>
    <row r="5856" spans="9:10" x14ac:dyDescent="0.3">
      <c r="I5856" t="s">
        <v>13408</v>
      </c>
      <c r="J5856" t="s">
        <v>2517</v>
      </c>
    </row>
    <row r="5857" spans="9:10" x14ac:dyDescent="0.3">
      <c r="I5857" t="s">
        <v>13408</v>
      </c>
      <c r="J5857" t="s">
        <v>2517</v>
      </c>
    </row>
    <row r="5858" spans="9:10" x14ac:dyDescent="0.3">
      <c r="I5858" t="s">
        <v>13409</v>
      </c>
    </row>
    <row r="5859" spans="9:10" x14ac:dyDescent="0.3">
      <c r="I5859" t="s">
        <v>13410</v>
      </c>
      <c r="J5859" t="s">
        <v>2518</v>
      </c>
    </row>
    <row r="5860" spans="9:10" x14ac:dyDescent="0.3">
      <c r="I5860" t="s">
        <v>13411</v>
      </c>
    </row>
    <row r="5861" spans="9:10" x14ac:dyDescent="0.3">
      <c r="I5861" t="s">
        <v>13412</v>
      </c>
      <c r="J5861" t="s">
        <v>2519</v>
      </c>
    </row>
    <row r="5862" spans="9:10" x14ac:dyDescent="0.3">
      <c r="I5862" t="s">
        <v>13413</v>
      </c>
      <c r="J5862" t="s">
        <v>2520</v>
      </c>
    </row>
    <row r="5863" spans="9:10" x14ac:dyDescent="0.3">
      <c r="I5863" t="s">
        <v>13414</v>
      </c>
      <c r="J5863" t="s">
        <v>2520</v>
      </c>
    </row>
    <row r="5864" spans="9:10" x14ac:dyDescent="0.3">
      <c r="I5864" t="s">
        <v>13415</v>
      </c>
      <c r="J5864" t="s">
        <v>2520</v>
      </c>
    </row>
    <row r="5865" spans="9:10" x14ac:dyDescent="0.3">
      <c r="I5865" t="s">
        <v>13416</v>
      </c>
      <c r="J5865" t="s">
        <v>2520</v>
      </c>
    </row>
    <row r="5866" spans="9:10" x14ac:dyDescent="0.3">
      <c r="I5866" t="s">
        <v>13415</v>
      </c>
      <c r="J5866" t="s">
        <v>2520</v>
      </c>
    </row>
    <row r="5867" spans="9:10" x14ac:dyDescent="0.3">
      <c r="I5867" t="s">
        <v>13417</v>
      </c>
      <c r="J5867" t="s">
        <v>2520</v>
      </c>
    </row>
    <row r="5868" spans="9:10" x14ac:dyDescent="0.3">
      <c r="I5868" t="s">
        <v>13418</v>
      </c>
      <c r="J5868" t="s">
        <v>2520</v>
      </c>
    </row>
    <row r="5869" spans="9:10" x14ac:dyDescent="0.3">
      <c r="I5869" t="s">
        <v>13419</v>
      </c>
      <c r="J5869" t="s">
        <v>2520</v>
      </c>
    </row>
    <row r="5870" spans="9:10" x14ac:dyDescent="0.3">
      <c r="I5870" t="s">
        <v>13420</v>
      </c>
      <c r="J5870" t="s">
        <v>2520</v>
      </c>
    </row>
    <row r="5871" spans="9:10" x14ac:dyDescent="0.3">
      <c r="I5871" t="s">
        <v>13421</v>
      </c>
      <c r="J5871" t="s">
        <v>2520</v>
      </c>
    </row>
    <row r="5872" spans="9:10" x14ac:dyDescent="0.3">
      <c r="I5872" t="s">
        <v>13422</v>
      </c>
      <c r="J5872" t="s">
        <v>2520</v>
      </c>
    </row>
    <row r="5873" spans="9:10" x14ac:dyDescent="0.3">
      <c r="I5873" t="s">
        <v>13416</v>
      </c>
      <c r="J5873" t="s">
        <v>2520</v>
      </c>
    </row>
    <row r="5874" spans="9:10" x14ac:dyDescent="0.3">
      <c r="I5874" t="s">
        <v>13423</v>
      </c>
      <c r="J5874" t="s">
        <v>2520</v>
      </c>
    </row>
    <row r="5875" spans="9:10" x14ac:dyDescent="0.3">
      <c r="I5875" t="s">
        <v>13424</v>
      </c>
      <c r="J5875" t="s">
        <v>2520</v>
      </c>
    </row>
    <row r="5876" spans="9:10" x14ac:dyDescent="0.3">
      <c r="I5876" t="s">
        <v>13425</v>
      </c>
      <c r="J5876" t="s">
        <v>2520</v>
      </c>
    </row>
    <row r="5877" spans="9:10" x14ac:dyDescent="0.3">
      <c r="I5877" t="s">
        <v>13426</v>
      </c>
      <c r="J5877" t="s">
        <v>2520</v>
      </c>
    </row>
    <row r="5878" spans="9:10" x14ac:dyDescent="0.3">
      <c r="I5878" t="s">
        <v>13427</v>
      </c>
      <c r="J5878" t="s">
        <v>2521</v>
      </c>
    </row>
    <row r="5879" spans="9:10" x14ac:dyDescent="0.3">
      <c r="I5879" t="s">
        <v>13428</v>
      </c>
    </row>
    <row r="5880" spans="9:10" x14ac:dyDescent="0.3">
      <c r="I5880" t="s">
        <v>13429</v>
      </c>
      <c r="J5880" t="s">
        <v>2522</v>
      </c>
    </row>
    <row r="5881" spans="9:10" x14ac:dyDescent="0.3">
      <c r="I5881" t="s">
        <v>13429</v>
      </c>
      <c r="J5881" t="s">
        <v>2522</v>
      </c>
    </row>
    <row r="5882" spans="9:10" x14ac:dyDescent="0.3">
      <c r="I5882" t="s">
        <v>13430</v>
      </c>
      <c r="J5882" t="s">
        <v>2523</v>
      </c>
    </row>
    <row r="5883" spans="9:10" x14ac:dyDescent="0.3">
      <c r="I5883" t="s">
        <v>13430</v>
      </c>
      <c r="J5883" t="s">
        <v>2523</v>
      </c>
    </row>
    <row r="5884" spans="9:10" x14ac:dyDescent="0.3">
      <c r="I5884" t="s">
        <v>13431</v>
      </c>
      <c r="J5884" t="s">
        <v>2524</v>
      </c>
    </row>
    <row r="5885" spans="9:10" x14ac:dyDescent="0.3">
      <c r="I5885" t="s">
        <v>13431</v>
      </c>
      <c r="J5885" t="s">
        <v>2524</v>
      </c>
    </row>
    <row r="5886" spans="9:10" x14ac:dyDescent="0.3">
      <c r="I5886" t="s">
        <v>13432</v>
      </c>
      <c r="J5886" t="s">
        <v>2525</v>
      </c>
    </row>
    <row r="5887" spans="9:10" x14ac:dyDescent="0.3">
      <c r="I5887" t="s">
        <v>13432</v>
      </c>
      <c r="J5887" t="s">
        <v>2525</v>
      </c>
    </row>
    <row r="5888" spans="9:10" x14ac:dyDescent="0.3">
      <c r="I5888" t="s">
        <v>13433</v>
      </c>
      <c r="J5888" t="s">
        <v>2526</v>
      </c>
    </row>
    <row r="5889" spans="9:10" x14ac:dyDescent="0.3">
      <c r="I5889" t="s">
        <v>13433</v>
      </c>
      <c r="J5889" t="s">
        <v>2526</v>
      </c>
    </row>
    <row r="5890" spans="9:10" x14ac:dyDescent="0.3">
      <c r="I5890" t="s">
        <v>13434</v>
      </c>
      <c r="J5890" t="s">
        <v>2527</v>
      </c>
    </row>
    <row r="5891" spans="9:10" x14ac:dyDescent="0.3">
      <c r="I5891" t="s">
        <v>13434</v>
      </c>
      <c r="J5891" t="s">
        <v>2527</v>
      </c>
    </row>
    <row r="5892" spans="9:10" x14ac:dyDescent="0.3">
      <c r="I5892" t="s">
        <v>13435</v>
      </c>
    </row>
    <row r="5893" spans="9:10" x14ac:dyDescent="0.3">
      <c r="I5893" t="s">
        <v>13436</v>
      </c>
    </row>
    <row r="5894" spans="9:10" x14ac:dyDescent="0.3">
      <c r="I5894" t="s">
        <v>13437</v>
      </c>
    </row>
    <row r="5895" spans="9:10" x14ac:dyDescent="0.3">
      <c r="I5895" t="s">
        <v>13438</v>
      </c>
      <c r="J5895" t="s">
        <v>2528</v>
      </c>
    </row>
    <row r="5896" spans="9:10" x14ac:dyDescent="0.3">
      <c r="I5896" t="s">
        <v>13439</v>
      </c>
      <c r="J5896" t="s">
        <v>2529</v>
      </c>
    </row>
    <row r="5897" spans="9:10" x14ac:dyDescent="0.3">
      <c r="I5897" t="s">
        <v>13440</v>
      </c>
      <c r="J5897" t="s">
        <v>2529</v>
      </c>
    </row>
    <row r="5898" spans="9:10" x14ac:dyDescent="0.3">
      <c r="I5898" t="s">
        <v>13441</v>
      </c>
      <c r="J5898" t="s">
        <v>1054</v>
      </c>
    </row>
    <row r="5899" spans="9:10" x14ac:dyDescent="0.3">
      <c r="I5899" t="s">
        <v>13441</v>
      </c>
      <c r="J5899" t="s">
        <v>1054</v>
      </c>
    </row>
    <row r="5900" spans="9:10" x14ac:dyDescent="0.3">
      <c r="I5900" t="s">
        <v>13442</v>
      </c>
    </row>
    <row r="5901" spans="9:10" x14ac:dyDescent="0.3">
      <c r="I5901" t="s">
        <v>13443</v>
      </c>
    </row>
    <row r="5902" spans="9:10" x14ac:dyDescent="0.3">
      <c r="I5902" t="s">
        <v>13444</v>
      </c>
      <c r="J5902" t="s">
        <v>2530</v>
      </c>
    </row>
    <row r="5903" spans="9:10" x14ac:dyDescent="0.3">
      <c r="I5903" t="s">
        <v>13445</v>
      </c>
    </row>
    <row r="5904" spans="9:10" x14ac:dyDescent="0.3">
      <c r="I5904" t="s">
        <v>13446</v>
      </c>
      <c r="J5904" t="s">
        <v>2531</v>
      </c>
    </row>
    <row r="5905" spans="9:10" x14ac:dyDescent="0.3">
      <c r="I5905" t="s">
        <v>13447</v>
      </c>
    </row>
    <row r="5906" spans="9:10" x14ac:dyDescent="0.3">
      <c r="I5906" t="s">
        <v>13448</v>
      </c>
    </row>
    <row r="5907" spans="9:10" x14ac:dyDescent="0.3">
      <c r="I5907" t="s">
        <v>13449</v>
      </c>
      <c r="J5907" t="s">
        <v>1054</v>
      </c>
    </row>
    <row r="5908" spans="9:10" x14ac:dyDescent="0.3">
      <c r="I5908" t="s">
        <v>13450</v>
      </c>
    </row>
    <row r="5909" spans="9:10" x14ac:dyDescent="0.3">
      <c r="I5909" t="s">
        <v>13451</v>
      </c>
    </row>
    <row r="5910" spans="9:10" x14ac:dyDescent="0.3">
      <c r="I5910" t="s">
        <v>13452</v>
      </c>
      <c r="J5910" t="s">
        <v>2532</v>
      </c>
    </row>
    <row r="5911" spans="9:10" x14ac:dyDescent="0.3">
      <c r="I5911" t="s">
        <v>13452</v>
      </c>
      <c r="J5911" t="s">
        <v>2532</v>
      </c>
    </row>
    <row r="5912" spans="9:10" x14ac:dyDescent="0.3">
      <c r="I5912" t="s">
        <v>13453</v>
      </c>
    </row>
    <row r="5913" spans="9:10" x14ac:dyDescent="0.3">
      <c r="I5913" t="s">
        <v>13454</v>
      </c>
      <c r="J5913" t="s">
        <v>2533</v>
      </c>
    </row>
    <row r="5914" spans="9:10" x14ac:dyDescent="0.3">
      <c r="I5914" t="s">
        <v>13455</v>
      </c>
    </row>
    <row r="5915" spans="9:10" x14ac:dyDescent="0.3">
      <c r="I5915" t="s">
        <v>13456</v>
      </c>
      <c r="J5915" t="s">
        <v>1054</v>
      </c>
    </row>
    <row r="5916" spans="9:10" x14ac:dyDescent="0.3">
      <c r="I5916" t="s">
        <v>13457</v>
      </c>
      <c r="J5916" t="s">
        <v>1054</v>
      </c>
    </row>
    <row r="5917" spans="9:10" x14ac:dyDescent="0.3">
      <c r="I5917" t="s">
        <v>13458</v>
      </c>
      <c r="J5917" t="s">
        <v>1054</v>
      </c>
    </row>
    <row r="5918" spans="9:10" x14ac:dyDescent="0.3">
      <c r="I5918" t="s">
        <v>13459</v>
      </c>
      <c r="J5918" t="s">
        <v>2534</v>
      </c>
    </row>
    <row r="5919" spans="9:10" x14ac:dyDescent="0.3">
      <c r="I5919" t="s">
        <v>13460</v>
      </c>
      <c r="J5919" t="s">
        <v>2535</v>
      </c>
    </row>
    <row r="5920" spans="9:10" x14ac:dyDescent="0.3">
      <c r="I5920" t="s">
        <v>13460</v>
      </c>
      <c r="J5920" t="s">
        <v>2535</v>
      </c>
    </row>
    <row r="5921" spans="9:10" x14ac:dyDescent="0.3">
      <c r="I5921" t="s">
        <v>13461</v>
      </c>
      <c r="J5921" t="s">
        <v>2536</v>
      </c>
    </row>
    <row r="5922" spans="9:10" x14ac:dyDescent="0.3">
      <c r="I5922" t="s">
        <v>13462</v>
      </c>
    </row>
    <row r="5923" spans="9:10" x14ac:dyDescent="0.3">
      <c r="I5923" t="s">
        <v>13463</v>
      </c>
      <c r="J5923" t="s">
        <v>2537</v>
      </c>
    </row>
    <row r="5924" spans="9:10" x14ac:dyDescent="0.3">
      <c r="I5924" t="s">
        <v>13464</v>
      </c>
    </row>
    <row r="5925" spans="9:10" x14ac:dyDescent="0.3">
      <c r="I5925" t="s">
        <v>13465</v>
      </c>
      <c r="J5925" t="s">
        <v>2538</v>
      </c>
    </row>
    <row r="5926" spans="9:10" x14ac:dyDescent="0.3">
      <c r="I5926" t="s">
        <v>13466</v>
      </c>
    </row>
    <row r="5927" spans="9:10" x14ac:dyDescent="0.3">
      <c r="I5927" t="s">
        <v>13467</v>
      </c>
    </row>
    <row r="5928" spans="9:10" x14ac:dyDescent="0.3">
      <c r="I5928" t="s">
        <v>13468</v>
      </c>
      <c r="J5928" t="s">
        <v>2539</v>
      </c>
    </row>
    <row r="5929" spans="9:10" x14ac:dyDescent="0.3">
      <c r="I5929" t="s">
        <v>13469</v>
      </c>
      <c r="J5929" t="s">
        <v>2540</v>
      </c>
    </row>
    <row r="5930" spans="9:10" x14ac:dyDescent="0.3">
      <c r="I5930" t="s">
        <v>13470</v>
      </c>
      <c r="J5930" t="s">
        <v>2541</v>
      </c>
    </row>
    <row r="5931" spans="9:10" x14ac:dyDescent="0.3">
      <c r="I5931" t="s">
        <v>13471</v>
      </c>
    </row>
    <row r="5932" spans="9:10" x14ac:dyDescent="0.3">
      <c r="I5932" t="s">
        <v>13472</v>
      </c>
      <c r="J5932" t="s">
        <v>393</v>
      </c>
    </row>
    <row r="5933" spans="9:10" x14ac:dyDescent="0.3">
      <c r="I5933" t="s">
        <v>13473</v>
      </c>
      <c r="J5933" t="s">
        <v>393</v>
      </c>
    </row>
    <row r="5934" spans="9:10" x14ac:dyDescent="0.3">
      <c r="I5934" t="s">
        <v>13472</v>
      </c>
      <c r="J5934" t="s">
        <v>393</v>
      </c>
    </row>
    <row r="5935" spans="9:10" x14ac:dyDescent="0.3">
      <c r="I5935" t="s">
        <v>13474</v>
      </c>
      <c r="J5935" t="s">
        <v>393</v>
      </c>
    </row>
    <row r="5936" spans="9:10" x14ac:dyDescent="0.3">
      <c r="I5936" t="s">
        <v>13472</v>
      </c>
      <c r="J5936" t="s">
        <v>393</v>
      </c>
    </row>
    <row r="5937" spans="9:10" x14ac:dyDescent="0.3">
      <c r="I5937" t="s">
        <v>13475</v>
      </c>
      <c r="J5937" t="s">
        <v>2542</v>
      </c>
    </row>
    <row r="5938" spans="9:10" x14ac:dyDescent="0.3">
      <c r="I5938" t="s">
        <v>13476</v>
      </c>
    </row>
    <row r="5939" spans="9:10" x14ac:dyDescent="0.3">
      <c r="I5939" t="s">
        <v>13477</v>
      </c>
    </row>
    <row r="5940" spans="9:10" x14ac:dyDescent="0.3">
      <c r="I5940" t="s">
        <v>13478</v>
      </c>
    </row>
    <row r="5941" spans="9:10" x14ac:dyDescent="0.3">
      <c r="I5941" t="s">
        <v>13479</v>
      </c>
    </row>
    <row r="5942" spans="9:10" x14ac:dyDescent="0.3">
      <c r="I5942" t="s">
        <v>13480</v>
      </c>
    </row>
    <row r="5943" spans="9:10" x14ac:dyDescent="0.3">
      <c r="I5943" t="s">
        <v>13481</v>
      </c>
      <c r="J5943" t="s">
        <v>2543</v>
      </c>
    </row>
    <row r="5944" spans="9:10" x14ac:dyDescent="0.3">
      <c r="I5944" t="s">
        <v>13482</v>
      </c>
      <c r="J5944" t="s">
        <v>2544</v>
      </c>
    </row>
    <row r="5945" spans="9:10" x14ac:dyDescent="0.3">
      <c r="I5945" t="s">
        <v>13483</v>
      </c>
      <c r="J5945" t="s">
        <v>2544</v>
      </c>
    </row>
    <row r="5946" spans="9:10" x14ac:dyDescent="0.3">
      <c r="I5946" t="s">
        <v>13484</v>
      </c>
      <c r="J5946" t="s">
        <v>2544</v>
      </c>
    </row>
    <row r="5947" spans="9:10" x14ac:dyDescent="0.3">
      <c r="I5947" t="s">
        <v>13484</v>
      </c>
      <c r="J5947" t="s">
        <v>2544</v>
      </c>
    </row>
    <row r="5948" spans="9:10" x14ac:dyDescent="0.3">
      <c r="I5948" t="s">
        <v>13484</v>
      </c>
      <c r="J5948" t="s">
        <v>2544</v>
      </c>
    </row>
    <row r="5949" spans="9:10" x14ac:dyDescent="0.3">
      <c r="I5949" t="s">
        <v>13484</v>
      </c>
      <c r="J5949" t="s">
        <v>2544</v>
      </c>
    </row>
    <row r="5950" spans="9:10" x14ac:dyDescent="0.3">
      <c r="I5950" t="s">
        <v>13484</v>
      </c>
      <c r="J5950" t="s">
        <v>2544</v>
      </c>
    </row>
    <row r="5951" spans="9:10" x14ac:dyDescent="0.3">
      <c r="I5951" t="s">
        <v>13485</v>
      </c>
      <c r="J5951" t="s">
        <v>2545</v>
      </c>
    </row>
    <row r="5952" spans="9:10" x14ac:dyDescent="0.3">
      <c r="I5952" t="s">
        <v>13486</v>
      </c>
      <c r="J5952" t="s">
        <v>2546</v>
      </c>
    </row>
    <row r="5953" spans="9:10" x14ac:dyDescent="0.3">
      <c r="I5953" t="s">
        <v>13486</v>
      </c>
      <c r="J5953" t="s">
        <v>2546</v>
      </c>
    </row>
    <row r="5954" spans="9:10" x14ac:dyDescent="0.3">
      <c r="I5954" t="s">
        <v>13487</v>
      </c>
    </row>
    <row r="5955" spans="9:10" x14ac:dyDescent="0.3">
      <c r="I5955" t="s">
        <v>13488</v>
      </c>
      <c r="J5955" t="s">
        <v>446</v>
      </c>
    </row>
    <row r="5956" spans="9:10" x14ac:dyDescent="0.3">
      <c r="I5956" t="s">
        <v>13489</v>
      </c>
      <c r="J5956" t="s">
        <v>2547</v>
      </c>
    </row>
    <row r="5957" spans="9:10" x14ac:dyDescent="0.3">
      <c r="I5957" t="s">
        <v>13490</v>
      </c>
    </row>
    <row r="5958" spans="9:10" x14ac:dyDescent="0.3">
      <c r="I5958" t="s">
        <v>13491</v>
      </c>
      <c r="J5958" t="s">
        <v>2548</v>
      </c>
    </row>
    <row r="5959" spans="9:10" x14ac:dyDescent="0.3">
      <c r="I5959" t="s">
        <v>13492</v>
      </c>
      <c r="J5959" t="s">
        <v>2549</v>
      </c>
    </row>
    <row r="5960" spans="9:10" x14ac:dyDescent="0.3">
      <c r="I5960" t="s">
        <v>13493</v>
      </c>
      <c r="J5960" t="s">
        <v>2550</v>
      </c>
    </row>
    <row r="5961" spans="9:10" x14ac:dyDescent="0.3">
      <c r="I5961" t="s">
        <v>13494</v>
      </c>
      <c r="J5961" t="s">
        <v>421</v>
      </c>
    </row>
    <row r="5962" spans="9:10" x14ac:dyDescent="0.3">
      <c r="I5962" t="s">
        <v>13495</v>
      </c>
    </row>
    <row r="5963" spans="9:10" x14ac:dyDescent="0.3">
      <c r="I5963" t="s">
        <v>13496</v>
      </c>
      <c r="J5963" t="s">
        <v>898</v>
      </c>
    </row>
    <row r="5964" spans="9:10" x14ac:dyDescent="0.3">
      <c r="I5964" t="s">
        <v>13497</v>
      </c>
    </row>
    <row r="5965" spans="9:10" x14ac:dyDescent="0.3">
      <c r="I5965" t="s">
        <v>13498</v>
      </c>
      <c r="J5965" t="s">
        <v>2551</v>
      </c>
    </row>
    <row r="5966" spans="9:10" x14ac:dyDescent="0.3">
      <c r="I5966" t="s">
        <v>13499</v>
      </c>
    </row>
    <row r="5967" spans="9:10" x14ac:dyDescent="0.3">
      <c r="I5967" t="s">
        <v>13500</v>
      </c>
      <c r="J5967" t="s">
        <v>2552</v>
      </c>
    </row>
    <row r="5968" spans="9:10" x14ac:dyDescent="0.3">
      <c r="I5968" t="s">
        <v>13501</v>
      </c>
      <c r="J5968" t="s">
        <v>2553</v>
      </c>
    </row>
    <row r="5969" spans="9:10" x14ac:dyDescent="0.3">
      <c r="I5969" t="s">
        <v>13501</v>
      </c>
      <c r="J5969" t="s">
        <v>2553</v>
      </c>
    </row>
    <row r="5970" spans="9:10" x14ac:dyDescent="0.3">
      <c r="I5970" t="s">
        <v>13501</v>
      </c>
      <c r="J5970" t="s">
        <v>2553</v>
      </c>
    </row>
    <row r="5971" spans="9:10" x14ac:dyDescent="0.3">
      <c r="I5971" t="s">
        <v>13502</v>
      </c>
      <c r="J5971" t="s">
        <v>2554</v>
      </c>
    </row>
    <row r="5972" spans="9:10" x14ac:dyDescent="0.3">
      <c r="I5972" t="s">
        <v>13503</v>
      </c>
      <c r="J5972" t="s">
        <v>420</v>
      </c>
    </row>
    <row r="5973" spans="9:10" x14ac:dyDescent="0.3">
      <c r="I5973" t="s">
        <v>13504</v>
      </c>
    </row>
    <row r="5974" spans="9:10" x14ac:dyDescent="0.3">
      <c r="I5974" t="s">
        <v>13505</v>
      </c>
      <c r="J5974" t="s">
        <v>2555</v>
      </c>
    </row>
    <row r="5975" spans="9:10" x14ac:dyDescent="0.3">
      <c r="I5975" t="s">
        <v>13506</v>
      </c>
      <c r="J5975" t="s">
        <v>2556</v>
      </c>
    </row>
    <row r="5976" spans="9:10" x14ac:dyDescent="0.3">
      <c r="I5976" t="s">
        <v>13507</v>
      </c>
      <c r="J5976" t="s">
        <v>2557</v>
      </c>
    </row>
    <row r="5977" spans="9:10" x14ac:dyDescent="0.3">
      <c r="I5977" t="s">
        <v>13508</v>
      </c>
      <c r="J5977" t="s">
        <v>2557</v>
      </c>
    </row>
    <row r="5978" spans="9:10" x14ac:dyDescent="0.3">
      <c r="I5978" t="s">
        <v>13509</v>
      </c>
    </row>
    <row r="5979" spans="9:10" x14ac:dyDescent="0.3">
      <c r="I5979" t="s">
        <v>13510</v>
      </c>
      <c r="J5979" t="s">
        <v>2558</v>
      </c>
    </row>
    <row r="5980" spans="9:10" x14ac:dyDescent="0.3">
      <c r="I5980" t="s">
        <v>13510</v>
      </c>
      <c r="J5980" t="s">
        <v>2558</v>
      </c>
    </row>
    <row r="5981" spans="9:10" x14ac:dyDescent="0.3">
      <c r="I5981" t="s">
        <v>13511</v>
      </c>
      <c r="J5981" t="s">
        <v>418</v>
      </c>
    </row>
    <row r="5982" spans="9:10" x14ac:dyDescent="0.3">
      <c r="I5982" t="s">
        <v>13512</v>
      </c>
      <c r="J5982" t="s">
        <v>2559</v>
      </c>
    </row>
    <row r="5983" spans="9:10" x14ac:dyDescent="0.3">
      <c r="I5983" t="s">
        <v>13512</v>
      </c>
      <c r="J5983" t="s">
        <v>2559</v>
      </c>
    </row>
    <row r="5984" spans="9:10" x14ac:dyDescent="0.3">
      <c r="I5984" t="s">
        <v>13513</v>
      </c>
      <c r="J5984" t="s">
        <v>2559</v>
      </c>
    </row>
    <row r="5985" spans="9:10" x14ac:dyDescent="0.3">
      <c r="I5985" t="s">
        <v>13512</v>
      </c>
      <c r="J5985" t="s">
        <v>2559</v>
      </c>
    </row>
    <row r="5986" spans="9:10" x14ac:dyDescent="0.3">
      <c r="I5986" t="s">
        <v>13514</v>
      </c>
      <c r="J5986" t="s">
        <v>2559</v>
      </c>
    </row>
    <row r="5987" spans="9:10" x14ac:dyDescent="0.3">
      <c r="I5987" t="s">
        <v>13515</v>
      </c>
    </row>
    <row r="5988" spans="9:10" x14ac:dyDescent="0.3">
      <c r="I5988" t="s">
        <v>13516</v>
      </c>
      <c r="J5988" t="s">
        <v>419</v>
      </c>
    </row>
    <row r="5989" spans="9:10" x14ac:dyDescent="0.3">
      <c r="I5989" t="s">
        <v>13517</v>
      </c>
      <c r="J5989" t="s">
        <v>2560</v>
      </c>
    </row>
    <row r="5990" spans="9:10" x14ac:dyDescent="0.3">
      <c r="I5990" t="s">
        <v>13517</v>
      </c>
      <c r="J5990" t="s">
        <v>2560</v>
      </c>
    </row>
    <row r="5991" spans="9:10" x14ac:dyDescent="0.3">
      <c r="I5991" t="s">
        <v>13517</v>
      </c>
      <c r="J5991" t="s">
        <v>2560</v>
      </c>
    </row>
    <row r="5992" spans="9:10" x14ac:dyDescent="0.3">
      <c r="I5992" t="s">
        <v>13518</v>
      </c>
      <c r="J5992" t="s">
        <v>2561</v>
      </c>
    </row>
    <row r="5993" spans="9:10" x14ac:dyDescent="0.3">
      <c r="I5993" t="s">
        <v>13519</v>
      </c>
      <c r="J5993" t="s">
        <v>2562</v>
      </c>
    </row>
    <row r="5994" spans="9:10" x14ac:dyDescent="0.3">
      <c r="I5994" t="s">
        <v>13520</v>
      </c>
    </row>
    <row r="5995" spans="9:10" x14ac:dyDescent="0.3">
      <c r="I5995" t="s">
        <v>13521</v>
      </c>
      <c r="J5995" t="s">
        <v>2563</v>
      </c>
    </row>
    <row r="5996" spans="9:10" x14ac:dyDescent="0.3">
      <c r="I5996" t="s">
        <v>13521</v>
      </c>
      <c r="J5996" t="s">
        <v>2563</v>
      </c>
    </row>
    <row r="5997" spans="9:10" x14ac:dyDescent="0.3">
      <c r="I5997" t="s">
        <v>13521</v>
      </c>
      <c r="J5997" t="s">
        <v>2563</v>
      </c>
    </row>
    <row r="5998" spans="9:10" x14ac:dyDescent="0.3">
      <c r="I5998" t="s">
        <v>13522</v>
      </c>
      <c r="J5998" t="s">
        <v>2564</v>
      </c>
    </row>
    <row r="5999" spans="9:10" x14ac:dyDescent="0.3">
      <c r="I5999" t="s">
        <v>13523</v>
      </c>
      <c r="J5999" t="s">
        <v>2564</v>
      </c>
    </row>
    <row r="6000" spans="9:10" x14ac:dyDescent="0.3">
      <c r="I6000" t="s">
        <v>13523</v>
      </c>
      <c r="J6000" t="s">
        <v>2564</v>
      </c>
    </row>
    <row r="6001" spans="9:10" x14ac:dyDescent="0.3">
      <c r="I6001" t="s">
        <v>13524</v>
      </c>
    </row>
    <row r="6002" spans="9:10" x14ac:dyDescent="0.3">
      <c r="I6002" t="s">
        <v>13525</v>
      </c>
    </row>
    <row r="6003" spans="9:10" x14ac:dyDescent="0.3">
      <c r="I6003" t="s">
        <v>13526</v>
      </c>
      <c r="J6003" t="s">
        <v>2565</v>
      </c>
    </row>
    <row r="6004" spans="9:10" x14ac:dyDescent="0.3">
      <c r="I6004" t="s">
        <v>13526</v>
      </c>
      <c r="J6004" t="s">
        <v>2565</v>
      </c>
    </row>
    <row r="6005" spans="9:10" x14ac:dyDescent="0.3">
      <c r="I6005" t="s">
        <v>13527</v>
      </c>
      <c r="J6005" t="s">
        <v>2566</v>
      </c>
    </row>
    <row r="6006" spans="9:10" x14ac:dyDescent="0.3">
      <c r="I6006" t="s">
        <v>13528</v>
      </c>
      <c r="J6006" t="s">
        <v>2567</v>
      </c>
    </row>
    <row r="6007" spans="9:10" x14ac:dyDescent="0.3">
      <c r="I6007" t="s">
        <v>13529</v>
      </c>
      <c r="J6007" t="s">
        <v>2568</v>
      </c>
    </row>
    <row r="6008" spans="9:10" x14ac:dyDescent="0.3">
      <c r="I6008" t="s">
        <v>13530</v>
      </c>
      <c r="J6008" t="s">
        <v>2569</v>
      </c>
    </row>
    <row r="6009" spans="9:10" x14ac:dyDescent="0.3">
      <c r="I6009" t="s">
        <v>13531</v>
      </c>
      <c r="J6009" t="s">
        <v>2569</v>
      </c>
    </row>
    <row r="6010" spans="9:10" x14ac:dyDescent="0.3">
      <c r="I6010" t="s">
        <v>13532</v>
      </c>
    </row>
    <row r="6011" spans="9:10" x14ac:dyDescent="0.3">
      <c r="I6011" t="s">
        <v>13533</v>
      </c>
      <c r="J6011" t="s">
        <v>2570</v>
      </c>
    </row>
    <row r="6012" spans="9:10" x14ac:dyDescent="0.3">
      <c r="I6012" t="s">
        <v>13534</v>
      </c>
      <c r="J6012">
        <v>0</v>
      </c>
    </row>
    <row r="6013" spans="9:10" x14ac:dyDescent="0.3">
      <c r="I6013" t="s">
        <v>13535</v>
      </c>
      <c r="J6013" t="s">
        <v>2571</v>
      </c>
    </row>
    <row r="6014" spans="9:10" x14ac:dyDescent="0.3">
      <c r="I6014" t="s">
        <v>13536</v>
      </c>
      <c r="J6014" t="s">
        <v>2572</v>
      </c>
    </row>
    <row r="6015" spans="9:10" x14ac:dyDescent="0.3">
      <c r="I6015" t="s">
        <v>13537</v>
      </c>
      <c r="J6015" t="s">
        <v>2573</v>
      </c>
    </row>
    <row r="6016" spans="9:10" x14ac:dyDescent="0.3">
      <c r="I6016" t="s">
        <v>13538</v>
      </c>
      <c r="J6016" t="s">
        <v>2574</v>
      </c>
    </row>
    <row r="6017" spans="9:10" x14ac:dyDescent="0.3">
      <c r="I6017" t="s">
        <v>13539</v>
      </c>
      <c r="J6017" t="s">
        <v>2574</v>
      </c>
    </row>
    <row r="6018" spans="9:10" x14ac:dyDescent="0.3">
      <c r="I6018" t="s">
        <v>13540</v>
      </c>
      <c r="J6018" t="s">
        <v>2575</v>
      </c>
    </row>
    <row r="6019" spans="9:10" x14ac:dyDescent="0.3">
      <c r="I6019" t="s">
        <v>13541</v>
      </c>
    </row>
    <row r="6020" spans="9:10" x14ac:dyDescent="0.3">
      <c r="I6020" t="s">
        <v>13542</v>
      </c>
      <c r="J6020" t="s">
        <v>2576</v>
      </c>
    </row>
    <row r="6021" spans="9:10" x14ac:dyDescent="0.3">
      <c r="I6021" t="s">
        <v>13543</v>
      </c>
      <c r="J6021" t="s">
        <v>2576</v>
      </c>
    </row>
    <row r="6022" spans="9:10" x14ac:dyDescent="0.3">
      <c r="I6022" t="s">
        <v>13542</v>
      </c>
      <c r="J6022" t="s">
        <v>2576</v>
      </c>
    </row>
    <row r="6023" spans="9:10" x14ac:dyDescent="0.3">
      <c r="I6023" t="s">
        <v>13542</v>
      </c>
      <c r="J6023" t="s">
        <v>2576</v>
      </c>
    </row>
    <row r="6024" spans="9:10" x14ac:dyDescent="0.3">
      <c r="I6024" t="s">
        <v>13544</v>
      </c>
      <c r="J6024" t="s">
        <v>2577</v>
      </c>
    </row>
    <row r="6025" spans="9:10" x14ac:dyDescent="0.3">
      <c r="I6025" t="s">
        <v>13545</v>
      </c>
    </row>
    <row r="6026" spans="9:10" x14ac:dyDescent="0.3">
      <c r="I6026" t="s">
        <v>13545</v>
      </c>
    </row>
    <row r="6027" spans="9:10" x14ac:dyDescent="0.3">
      <c r="I6027" t="s">
        <v>13546</v>
      </c>
      <c r="J6027" t="s">
        <v>2578</v>
      </c>
    </row>
    <row r="6028" spans="9:10" x14ac:dyDescent="0.3">
      <c r="I6028" t="s">
        <v>13547</v>
      </c>
      <c r="J6028" t="s">
        <v>2579</v>
      </c>
    </row>
    <row r="6029" spans="9:10" x14ac:dyDescent="0.3">
      <c r="I6029" t="s">
        <v>13548</v>
      </c>
      <c r="J6029" t="s">
        <v>2580</v>
      </c>
    </row>
    <row r="6030" spans="9:10" x14ac:dyDescent="0.3">
      <c r="I6030" t="s">
        <v>13548</v>
      </c>
      <c r="J6030" t="s">
        <v>2580</v>
      </c>
    </row>
    <row r="6031" spans="9:10" x14ac:dyDescent="0.3">
      <c r="I6031" t="s">
        <v>13549</v>
      </c>
    </row>
    <row r="6032" spans="9:10" x14ac:dyDescent="0.3">
      <c r="I6032" t="s">
        <v>13550</v>
      </c>
      <c r="J6032" t="s">
        <v>2581</v>
      </c>
    </row>
    <row r="6033" spans="9:10" x14ac:dyDescent="0.3">
      <c r="I6033" t="s">
        <v>13550</v>
      </c>
      <c r="J6033" t="s">
        <v>2581</v>
      </c>
    </row>
    <row r="6034" spans="9:10" x14ac:dyDescent="0.3">
      <c r="I6034" t="s">
        <v>13551</v>
      </c>
      <c r="J6034" t="s">
        <v>2582</v>
      </c>
    </row>
    <row r="6035" spans="9:10" x14ac:dyDescent="0.3">
      <c r="I6035" t="s">
        <v>13552</v>
      </c>
      <c r="J6035" t="s">
        <v>2583</v>
      </c>
    </row>
    <row r="6036" spans="9:10" x14ac:dyDescent="0.3">
      <c r="I6036" t="s">
        <v>13553</v>
      </c>
    </row>
    <row r="6037" spans="9:10" x14ac:dyDescent="0.3">
      <c r="I6037" t="s">
        <v>13554</v>
      </c>
      <c r="J6037" t="s">
        <v>2584</v>
      </c>
    </row>
    <row r="6038" spans="9:10" x14ac:dyDescent="0.3">
      <c r="I6038" t="s">
        <v>13554</v>
      </c>
      <c r="J6038" t="s">
        <v>2584</v>
      </c>
    </row>
    <row r="6039" spans="9:10" x14ac:dyDescent="0.3">
      <c r="I6039" t="s">
        <v>13555</v>
      </c>
      <c r="J6039" t="s">
        <v>2585</v>
      </c>
    </row>
    <row r="6040" spans="9:10" x14ac:dyDescent="0.3">
      <c r="I6040" t="s">
        <v>13556</v>
      </c>
      <c r="J6040" t="s">
        <v>2585</v>
      </c>
    </row>
    <row r="6041" spans="9:10" x14ac:dyDescent="0.3">
      <c r="I6041" t="s">
        <v>13557</v>
      </c>
      <c r="J6041" t="s">
        <v>2586</v>
      </c>
    </row>
    <row r="6042" spans="9:10" x14ac:dyDescent="0.3">
      <c r="I6042" t="s">
        <v>13558</v>
      </c>
      <c r="J6042" t="s">
        <v>2587</v>
      </c>
    </row>
    <row r="6043" spans="9:10" x14ac:dyDescent="0.3">
      <c r="I6043" t="s">
        <v>13558</v>
      </c>
      <c r="J6043" t="s">
        <v>2587</v>
      </c>
    </row>
    <row r="6044" spans="9:10" x14ac:dyDescent="0.3">
      <c r="I6044" t="s">
        <v>13559</v>
      </c>
    </row>
    <row r="6045" spans="9:10" x14ac:dyDescent="0.3">
      <c r="I6045" t="s">
        <v>13560</v>
      </c>
      <c r="J6045" t="s">
        <v>2588</v>
      </c>
    </row>
    <row r="6046" spans="9:10" x14ac:dyDescent="0.3">
      <c r="I6046" t="s">
        <v>13561</v>
      </c>
    </row>
    <row r="6047" spans="9:10" x14ac:dyDescent="0.3">
      <c r="I6047" t="s">
        <v>13562</v>
      </c>
      <c r="J6047" t="s">
        <v>2589</v>
      </c>
    </row>
    <row r="6048" spans="9:10" x14ac:dyDescent="0.3">
      <c r="I6048" t="s">
        <v>13563</v>
      </c>
      <c r="J6048" t="s">
        <v>2589</v>
      </c>
    </row>
    <row r="6049" spans="9:10" x14ac:dyDescent="0.3">
      <c r="I6049" t="s">
        <v>13564</v>
      </c>
    </row>
    <row r="6050" spans="9:10" x14ac:dyDescent="0.3">
      <c r="I6050" t="s">
        <v>13565</v>
      </c>
      <c r="J6050">
        <v>0</v>
      </c>
    </row>
    <row r="6051" spans="9:10" x14ac:dyDescent="0.3">
      <c r="I6051" t="s">
        <v>13566</v>
      </c>
      <c r="J6051" t="s">
        <v>2590</v>
      </c>
    </row>
    <row r="6052" spans="9:10" x14ac:dyDescent="0.3">
      <c r="I6052" t="s">
        <v>13567</v>
      </c>
    </row>
    <row r="6053" spans="9:10" x14ac:dyDescent="0.3">
      <c r="I6053" t="s">
        <v>13568</v>
      </c>
      <c r="J6053" t="s">
        <v>2591</v>
      </c>
    </row>
    <row r="6054" spans="9:10" x14ac:dyDescent="0.3">
      <c r="I6054" t="s">
        <v>13569</v>
      </c>
    </row>
    <row r="6055" spans="9:10" x14ac:dyDescent="0.3">
      <c r="I6055" t="s">
        <v>13570</v>
      </c>
      <c r="J6055" t="s">
        <v>2592</v>
      </c>
    </row>
    <row r="6056" spans="9:10" x14ac:dyDescent="0.3">
      <c r="I6056" t="s">
        <v>13571</v>
      </c>
    </row>
    <row r="6057" spans="9:10" x14ac:dyDescent="0.3">
      <c r="I6057" t="s">
        <v>13572</v>
      </c>
      <c r="J6057" t="s">
        <v>2593</v>
      </c>
    </row>
    <row r="6058" spans="9:10" x14ac:dyDescent="0.3">
      <c r="I6058" t="s">
        <v>13573</v>
      </c>
      <c r="J6058" t="s">
        <v>2594</v>
      </c>
    </row>
    <row r="6059" spans="9:10" x14ac:dyDescent="0.3">
      <c r="I6059" t="s">
        <v>13574</v>
      </c>
    </row>
    <row r="6060" spans="9:10" x14ac:dyDescent="0.3">
      <c r="I6060" t="s">
        <v>13575</v>
      </c>
      <c r="J6060" t="s">
        <v>2595</v>
      </c>
    </row>
    <row r="6061" spans="9:10" x14ac:dyDescent="0.3">
      <c r="I6061" t="s">
        <v>13576</v>
      </c>
      <c r="J6061" t="s">
        <v>2596</v>
      </c>
    </row>
    <row r="6062" spans="9:10" x14ac:dyDescent="0.3">
      <c r="I6062" t="s">
        <v>13576</v>
      </c>
      <c r="J6062" t="s">
        <v>2596</v>
      </c>
    </row>
    <row r="6063" spans="9:10" x14ac:dyDescent="0.3">
      <c r="I6063" t="s">
        <v>13577</v>
      </c>
    </row>
    <row r="6064" spans="9:10" x14ac:dyDescent="0.3">
      <c r="I6064" t="s">
        <v>13578</v>
      </c>
      <c r="J6064" t="s">
        <v>2597</v>
      </c>
    </row>
    <row r="6065" spans="9:10" x14ac:dyDescent="0.3">
      <c r="I6065" t="s">
        <v>13579</v>
      </c>
      <c r="J6065">
        <v>0</v>
      </c>
    </row>
    <row r="6066" spans="9:10" x14ac:dyDescent="0.3">
      <c r="I6066" t="s">
        <v>13580</v>
      </c>
    </row>
    <row r="6067" spans="9:10" x14ac:dyDescent="0.3">
      <c r="I6067" t="s">
        <v>13581</v>
      </c>
      <c r="J6067" t="s">
        <v>2598</v>
      </c>
    </row>
    <row r="6068" spans="9:10" x14ac:dyDescent="0.3">
      <c r="I6068" t="s">
        <v>13582</v>
      </c>
      <c r="J6068" t="s">
        <v>2599</v>
      </c>
    </row>
    <row r="6069" spans="9:10" x14ac:dyDescent="0.3">
      <c r="I6069" t="s">
        <v>13582</v>
      </c>
      <c r="J6069" t="s">
        <v>2599</v>
      </c>
    </row>
    <row r="6070" spans="9:10" x14ac:dyDescent="0.3">
      <c r="I6070" t="s">
        <v>13582</v>
      </c>
      <c r="J6070" t="s">
        <v>2599</v>
      </c>
    </row>
    <row r="6071" spans="9:10" x14ac:dyDescent="0.3">
      <c r="I6071" t="s">
        <v>13582</v>
      </c>
      <c r="J6071" t="s">
        <v>2599</v>
      </c>
    </row>
    <row r="6072" spans="9:10" x14ac:dyDescent="0.3">
      <c r="I6072" t="s">
        <v>13582</v>
      </c>
      <c r="J6072" t="s">
        <v>2599</v>
      </c>
    </row>
    <row r="6073" spans="9:10" x14ac:dyDescent="0.3">
      <c r="I6073" t="s">
        <v>13582</v>
      </c>
      <c r="J6073" t="s">
        <v>2599</v>
      </c>
    </row>
    <row r="6074" spans="9:10" x14ac:dyDescent="0.3">
      <c r="I6074" t="s">
        <v>13582</v>
      </c>
      <c r="J6074" t="s">
        <v>2599</v>
      </c>
    </row>
    <row r="6075" spans="9:10" x14ac:dyDescent="0.3">
      <c r="I6075" t="s">
        <v>13582</v>
      </c>
      <c r="J6075" t="s">
        <v>2599</v>
      </c>
    </row>
    <row r="6076" spans="9:10" x14ac:dyDescent="0.3">
      <c r="I6076" t="s">
        <v>13582</v>
      </c>
      <c r="J6076" t="s">
        <v>2599</v>
      </c>
    </row>
    <row r="6077" spans="9:10" x14ac:dyDescent="0.3">
      <c r="I6077" t="s">
        <v>13583</v>
      </c>
    </row>
    <row r="6078" spans="9:10" x14ac:dyDescent="0.3">
      <c r="I6078" t="s">
        <v>13584</v>
      </c>
      <c r="J6078" t="s">
        <v>2600</v>
      </c>
    </row>
    <row r="6079" spans="9:10" x14ac:dyDescent="0.3">
      <c r="I6079" t="s">
        <v>13585</v>
      </c>
      <c r="J6079" t="s">
        <v>2601</v>
      </c>
    </row>
    <row r="6080" spans="9:10" x14ac:dyDescent="0.3">
      <c r="I6080" t="s">
        <v>13586</v>
      </c>
      <c r="J6080" t="s">
        <v>2602</v>
      </c>
    </row>
    <row r="6081" spans="9:10" x14ac:dyDescent="0.3">
      <c r="I6081" t="s">
        <v>13587</v>
      </c>
      <c r="J6081" t="s">
        <v>2603</v>
      </c>
    </row>
    <row r="6082" spans="9:10" x14ac:dyDescent="0.3">
      <c r="I6082" t="s">
        <v>13587</v>
      </c>
      <c r="J6082" t="s">
        <v>2603</v>
      </c>
    </row>
    <row r="6083" spans="9:10" x14ac:dyDescent="0.3">
      <c r="I6083" t="s">
        <v>13587</v>
      </c>
      <c r="J6083" t="s">
        <v>2603</v>
      </c>
    </row>
    <row r="6084" spans="9:10" x14ac:dyDescent="0.3">
      <c r="I6084" t="s">
        <v>13588</v>
      </c>
    </row>
    <row r="6085" spans="9:10" x14ac:dyDescent="0.3">
      <c r="I6085" t="s">
        <v>13589</v>
      </c>
      <c r="J6085" t="s">
        <v>2604</v>
      </c>
    </row>
    <row r="6086" spans="9:10" x14ac:dyDescent="0.3">
      <c r="I6086" t="s">
        <v>13590</v>
      </c>
      <c r="J6086" t="s">
        <v>2605</v>
      </c>
    </row>
    <row r="6087" spans="9:10" x14ac:dyDescent="0.3">
      <c r="I6087" t="s">
        <v>13591</v>
      </c>
      <c r="J6087" t="s">
        <v>2606</v>
      </c>
    </row>
    <row r="6088" spans="9:10" x14ac:dyDescent="0.3">
      <c r="I6088" t="s">
        <v>13592</v>
      </c>
    </row>
    <row r="6089" spans="9:10" x14ac:dyDescent="0.3">
      <c r="I6089" t="s">
        <v>13593</v>
      </c>
      <c r="J6089" t="s">
        <v>2607</v>
      </c>
    </row>
    <row r="6090" spans="9:10" x14ac:dyDescent="0.3">
      <c r="I6090" t="s">
        <v>13594</v>
      </c>
    </row>
    <row r="6091" spans="9:10" x14ac:dyDescent="0.3">
      <c r="I6091" t="s">
        <v>13595</v>
      </c>
      <c r="J6091" t="s">
        <v>2608</v>
      </c>
    </row>
    <row r="6092" spans="9:10" x14ac:dyDescent="0.3">
      <c r="I6092" t="s">
        <v>13596</v>
      </c>
      <c r="J6092" t="s">
        <v>2608</v>
      </c>
    </row>
    <row r="6093" spans="9:10" x14ac:dyDescent="0.3">
      <c r="I6093" t="s">
        <v>13597</v>
      </c>
      <c r="J6093" t="s">
        <v>2609</v>
      </c>
    </row>
    <row r="6094" spans="9:10" x14ac:dyDescent="0.3">
      <c r="I6094" t="s">
        <v>13598</v>
      </c>
      <c r="J6094" t="s">
        <v>2609</v>
      </c>
    </row>
    <row r="6095" spans="9:10" x14ac:dyDescent="0.3">
      <c r="I6095" t="s">
        <v>13599</v>
      </c>
      <c r="J6095" t="s">
        <v>2610</v>
      </c>
    </row>
    <row r="6096" spans="9:10" x14ac:dyDescent="0.3">
      <c r="I6096" t="s">
        <v>13600</v>
      </c>
      <c r="J6096" t="s">
        <v>2610</v>
      </c>
    </row>
    <row r="6097" spans="9:10" x14ac:dyDescent="0.3">
      <c r="I6097" t="s">
        <v>13601</v>
      </c>
      <c r="J6097" t="s">
        <v>2611</v>
      </c>
    </row>
    <row r="6098" spans="9:10" x14ac:dyDescent="0.3">
      <c r="I6098" t="s">
        <v>13601</v>
      </c>
      <c r="J6098" t="s">
        <v>2611</v>
      </c>
    </row>
    <row r="6099" spans="9:10" x14ac:dyDescent="0.3">
      <c r="I6099" t="s">
        <v>13602</v>
      </c>
      <c r="J6099" t="s">
        <v>2612</v>
      </c>
    </row>
    <row r="6100" spans="9:10" x14ac:dyDescent="0.3">
      <c r="I6100" t="s">
        <v>13603</v>
      </c>
      <c r="J6100" t="s">
        <v>2613</v>
      </c>
    </row>
    <row r="6101" spans="9:10" x14ac:dyDescent="0.3">
      <c r="I6101" t="s">
        <v>13604</v>
      </c>
      <c r="J6101" t="s">
        <v>2614</v>
      </c>
    </row>
    <row r="6102" spans="9:10" x14ac:dyDescent="0.3">
      <c r="I6102" t="s">
        <v>13605</v>
      </c>
      <c r="J6102" t="s">
        <v>2615</v>
      </c>
    </row>
    <row r="6103" spans="9:10" x14ac:dyDescent="0.3">
      <c r="I6103" t="s">
        <v>13606</v>
      </c>
      <c r="J6103" t="s">
        <v>2615</v>
      </c>
    </row>
    <row r="6104" spans="9:10" x14ac:dyDescent="0.3">
      <c r="I6104" t="s">
        <v>13607</v>
      </c>
      <c r="J6104" t="s">
        <v>2615</v>
      </c>
    </row>
    <row r="6105" spans="9:10" x14ac:dyDescent="0.3">
      <c r="I6105" t="s">
        <v>13608</v>
      </c>
      <c r="J6105" t="s">
        <v>2616</v>
      </c>
    </row>
    <row r="6106" spans="9:10" x14ac:dyDescent="0.3">
      <c r="I6106" t="s">
        <v>13609</v>
      </c>
      <c r="J6106" t="s">
        <v>2617</v>
      </c>
    </row>
    <row r="6107" spans="9:10" x14ac:dyDescent="0.3">
      <c r="I6107" t="s">
        <v>13610</v>
      </c>
    </row>
    <row r="6108" spans="9:10" x14ac:dyDescent="0.3">
      <c r="I6108" t="s">
        <v>13611</v>
      </c>
    </row>
    <row r="6109" spans="9:10" x14ac:dyDescent="0.3">
      <c r="I6109" t="s">
        <v>13612</v>
      </c>
    </row>
    <row r="6110" spans="9:10" x14ac:dyDescent="0.3">
      <c r="I6110" t="s">
        <v>13613</v>
      </c>
    </row>
    <row r="6111" spans="9:10" x14ac:dyDescent="0.3">
      <c r="I6111" t="s">
        <v>13614</v>
      </c>
    </row>
    <row r="6112" spans="9:10" x14ac:dyDescent="0.3">
      <c r="I6112" t="s">
        <v>13615</v>
      </c>
      <c r="J6112" t="s">
        <v>2618</v>
      </c>
    </row>
    <row r="6113" spans="9:10" x14ac:dyDescent="0.3">
      <c r="I6113" t="s">
        <v>13616</v>
      </c>
      <c r="J6113" t="s">
        <v>752</v>
      </c>
    </row>
    <row r="6114" spans="9:10" x14ac:dyDescent="0.3">
      <c r="I6114" t="s">
        <v>13616</v>
      </c>
      <c r="J6114" t="s">
        <v>752</v>
      </c>
    </row>
    <row r="6115" spans="9:10" x14ac:dyDescent="0.3">
      <c r="I6115" t="s">
        <v>13616</v>
      </c>
      <c r="J6115" t="s">
        <v>752</v>
      </c>
    </row>
    <row r="6116" spans="9:10" x14ac:dyDescent="0.3">
      <c r="I6116" t="s">
        <v>13617</v>
      </c>
      <c r="J6116" t="s">
        <v>752</v>
      </c>
    </row>
    <row r="6117" spans="9:10" x14ac:dyDescent="0.3">
      <c r="I6117" t="s">
        <v>13618</v>
      </c>
      <c r="J6117" t="s">
        <v>2619</v>
      </c>
    </row>
    <row r="6118" spans="9:10" x14ac:dyDescent="0.3">
      <c r="I6118" t="s">
        <v>13619</v>
      </c>
      <c r="J6118" t="s">
        <v>2620</v>
      </c>
    </row>
    <row r="6119" spans="9:10" x14ac:dyDescent="0.3">
      <c r="I6119" t="s">
        <v>13619</v>
      </c>
      <c r="J6119" t="s">
        <v>2620</v>
      </c>
    </row>
    <row r="6120" spans="9:10" x14ac:dyDescent="0.3">
      <c r="I6120" t="s">
        <v>13620</v>
      </c>
      <c r="J6120" t="s">
        <v>2621</v>
      </c>
    </row>
    <row r="6121" spans="9:10" x14ac:dyDescent="0.3">
      <c r="I6121" t="s">
        <v>13621</v>
      </c>
    </row>
    <row r="6122" spans="9:10" x14ac:dyDescent="0.3">
      <c r="I6122" t="s">
        <v>13622</v>
      </c>
      <c r="J6122" t="s">
        <v>2622</v>
      </c>
    </row>
    <row r="6123" spans="9:10" x14ac:dyDescent="0.3">
      <c r="I6123" t="s">
        <v>13623</v>
      </c>
      <c r="J6123" t="s">
        <v>2623</v>
      </c>
    </row>
    <row r="6124" spans="9:10" x14ac:dyDescent="0.3">
      <c r="I6124" t="s">
        <v>13624</v>
      </c>
      <c r="J6124" t="s">
        <v>2623</v>
      </c>
    </row>
    <row r="6125" spans="9:10" x14ac:dyDescent="0.3">
      <c r="I6125" t="s">
        <v>13625</v>
      </c>
      <c r="J6125" t="s">
        <v>2624</v>
      </c>
    </row>
    <row r="6126" spans="9:10" x14ac:dyDescent="0.3">
      <c r="I6126" t="s">
        <v>13626</v>
      </c>
      <c r="J6126" t="s">
        <v>2625</v>
      </c>
    </row>
    <row r="6127" spans="9:10" x14ac:dyDescent="0.3">
      <c r="I6127" t="s">
        <v>13627</v>
      </c>
      <c r="J6127" t="s">
        <v>2626</v>
      </c>
    </row>
    <row r="6128" spans="9:10" x14ac:dyDescent="0.3">
      <c r="I6128" t="s">
        <v>13628</v>
      </c>
      <c r="J6128" t="s">
        <v>2627</v>
      </c>
    </row>
    <row r="6129" spans="9:10" x14ac:dyDescent="0.3">
      <c r="I6129" t="s">
        <v>13629</v>
      </c>
      <c r="J6129" t="s">
        <v>2628</v>
      </c>
    </row>
    <row r="6130" spans="9:10" x14ac:dyDescent="0.3">
      <c r="I6130" t="s">
        <v>13630</v>
      </c>
    </row>
    <row r="6131" spans="9:10" x14ac:dyDescent="0.3">
      <c r="I6131" t="s">
        <v>13631</v>
      </c>
    </row>
    <row r="6132" spans="9:10" x14ac:dyDescent="0.3">
      <c r="I6132" t="s">
        <v>13632</v>
      </c>
      <c r="J6132" t="s">
        <v>2629</v>
      </c>
    </row>
    <row r="6133" spans="9:10" x14ac:dyDescent="0.3">
      <c r="I6133" t="s">
        <v>13632</v>
      </c>
      <c r="J6133" t="s">
        <v>2629</v>
      </c>
    </row>
    <row r="6134" spans="9:10" x14ac:dyDescent="0.3">
      <c r="I6134" t="s">
        <v>13633</v>
      </c>
      <c r="J6134" t="s">
        <v>2629</v>
      </c>
    </row>
    <row r="6135" spans="9:10" x14ac:dyDescent="0.3">
      <c r="I6135" t="s">
        <v>13634</v>
      </c>
      <c r="J6135" t="s">
        <v>2630</v>
      </c>
    </row>
    <row r="6136" spans="9:10" x14ac:dyDescent="0.3">
      <c r="I6136" t="s">
        <v>13635</v>
      </c>
      <c r="J6136" t="s">
        <v>2630</v>
      </c>
    </row>
    <row r="6137" spans="9:10" x14ac:dyDescent="0.3">
      <c r="I6137" t="s">
        <v>13636</v>
      </c>
      <c r="J6137" t="s">
        <v>2631</v>
      </c>
    </row>
    <row r="6138" spans="9:10" x14ac:dyDescent="0.3">
      <c r="I6138" t="s">
        <v>13637</v>
      </c>
      <c r="J6138" t="s">
        <v>2632</v>
      </c>
    </row>
    <row r="6139" spans="9:10" x14ac:dyDescent="0.3">
      <c r="I6139" t="s">
        <v>13638</v>
      </c>
      <c r="J6139" t="s">
        <v>2632</v>
      </c>
    </row>
    <row r="6140" spans="9:10" x14ac:dyDescent="0.3">
      <c r="I6140" t="s">
        <v>13639</v>
      </c>
      <c r="J6140" t="s">
        <v>2632</v>
      </c>
    </row>
    <row r="6141" spans="9:10" x14ac:dyDescent="0.3">
      <c r="I6141" t="s">
        <v>13640</v>
      </c>
      <c r="J6141" t="s">
        <v>2632</v>
      </c>
    </row>
    <row r="6142" spans="9:10" x14ac:dyDescent="0.3">
      <c r="I6142" t="s">
        <v>13637</v>
      </c>
      <c r="J6142" t="s">
        <v>2632</v>
      </c>
    </row>
    <row r="6143" spans="9:10" x14ac:dyDescent="0.3">
      <c r="I6143" t="s">
        <v>13641</v>
      </c>
      <c r="J6143" t="s">
        <v>2632</v>
      </c>
    </row>
    <row r="6144" spans="9:10" x14ac:dyDescent="0.3">
      <c r="I6144" t="s">
        <v>13642</v>
      </c>
      <c r="J6144" t="s">
        <v>2633</v>
      </c>
    </row>
    <row r="6145" spans="9:10" x14ac:dyDescent="0.3">
      <c r="I6145" t="s">
        <v>13643</v>
      </c>
    </row>
    <row r="6146" spans="9:10" x14ac:dyDescent="0.3">
      <c r="I6146" t="s">
        <v>13644</v>
      </c>
      <c r="J6146" t="s">
        <v>2634</v>
      </c>
    </row>
    <row r="6147" spans="9:10" x14ac:dyDescent="0.3">
      <c r="I6147" t="s">
        <v>13645</v>
      </c>
      <c r="J6147" t="s">
        <v>2635</v>
      </c>
    </row>
    <row r="6148" spans="9:10" x14ac:dyDescent="0.3">
      <c r="I6148" t="s">
        <v>13646</v>
      </c>
      <c r="J6148" t="s">
        <v>2635</v>
      </c>
    </row>
    <row r="6149" spans="9:10" x14ac:dyDescent="0.3">
      <c r="I6149" t="s">
        <v>13647</v>
      </c>
      <c r="J6149" t="s">
        <v>2636</v>
      </c>
    </row>
    <row r="6150" spans="9:10" x14ac:dyDescent="0.3">
      <c r="I6150" t="s">
        <v>13648</v>
      </c>
      <c r="J6150" t="s">
        <v>2636</v>
      </c>
    </row>
    <row r="6151" spans="9:10" x14ac:dyDescent="0.3">
      <c r="I6151" t="s">
        <v>13649</v>
      </c>
      <c r="J6151" t="s">
        <v>2637</v>
      </c>
    </row>
    <row r="6152" spans="9:10" x14ac:dyDescent="0.3">
      <c r="I6152" t="s">
        <v>13650</v>
      </c>
      <c r="J6152" t="s">
        <v>2638</v>
      </c>
    </row>
    <row r="6153" spans="9:10" x14ac:dyDescent="0.3">
      <c r="I6153" t="s">
        <v>13651</v>
      </c>
    </row>
    <row r="6154" spans="9:10" x14ac:dyDescent="0.3">
      <c r="I6154" t="s">
        <v>13652</v>
      </c>
      <c r="J6154" t="s">
        <v>2639</v>
      </c>
    </row>
    <row r="6155" spans="9:10" x14ac:dyDescent="0.3">
      <c r="I6155" t="s">
        <v>13653</v>
      </c>
      <c r="J6155" t="s">
        <v>2640</v>
      </c>
    </row>
    <row r="6156" spans="9:10" x14ac:dyDescent="0.3">
      <c r="I6156" t="s">
        <v>13654</v>
      </c>
      <c r="J6156" t="s">
        <v>2641</v>
      </c>
    </row>
    <row r="6157" spans="9:10" x14ac:dyDescent="0.3">
      <c r="I6157" t="s">
        <v>13655</v>
      </c>
      <c r="J6157" t="s">
        <v>2642</v>
      </c>
    </row>
    <row r="6158" spans="9:10" x14ac:dyDescent="0.3">
      <c r="I6158" t="s">
        <v>13656</v>
      </c>
      <c r="J6158" t="s">
        <v>2642</v>
      </c>
    </row>
    <row r="6159" spans="9:10" x14ac:dyDescent="0.3">
      <c r="I6159" t="s">
        <v>13657</v>
      </c>
      <c r="J6159" t="s">
        <v>2642</v>
      </c>
    </row>
    <row r="6160" spans="9:10" x14ac:dyDescent="0.3">
      <c r="I6160" t="s">
        <v>13658</v>
      </c>
      <c r="J6160" t="s">
        <v>2643</v>
      </c>
    </row>
    <row r="6161" spans="9:10" x14ac:dyDescent="0.3">
      <c r="I6161" t="s">
        <v>13659</v>
      </c>
      <c r="J6161" t="s">
        <v>2643</v>
      </c>
    </row>
    <row r="6162" spans="9:10" x14ac:dyDescent="0.3">
      <c r="I6162" t="s">
        <v>13660</v>
      </c>
      <c r="J6162" t="s">
        <v>2644</v>
      </c>
    </row>
    <row r="6163" spans="9:10" x14ac:dyDescent="0.3">
      <c r="I6163" t="s">
        <v>13661</v>
      </c>
      <c r="J6163" t="s">
        <v>2645</v>
      </c>
    </row>
    <row r="6164" spans="9:10" x14ac:dyDescent="0.3">
      <c r="I6164" t="s">
        <v>13662</v>
      </c>
    </row>
    <row r="6165" spans="9:10" x14ac:dyDescent="0.3">
      <c r="I6165" t="s">
        <v>13663</v>
      </c>
    </row>
    <row r="6166" spans="9:10" x14ac:dyDescent="0.3">
      <c r="I6166" t="s">
        <v>13664</v>
      </c>
      <c r="J6166" t="s">
        <v>2646</v>
      </c>
    </row>
    <row r="6167" spans="9:10" x14ac:dyDescent="0.3">
      <c r="I6167" t="s">
        <v>13665</v>
      </c>
    </row>
    <row r="6168" spans="9:10" x14ac:dyDescent="0.3">
      <c r="I6168" t="s">
        <v>13666</v>
      </c>
    </row>
    <row r="6169" spans="9:10" x14ac:dyDescent="0.3">
      <c r="I6169" t="s">
        <v>13667</v>
      </c>
      <c r="J6169" t="s">
        <v>2647</v>
      </c>
    </row>
    <row r="6170" spans="9:10" x14ac:dyDescent="0.3">
      <c r="I6170" t="s">
        <v>13668</v>
      </c>
    </row>
    <row r="6171" spans="9:10" x14ac:dyDescent="0.3">
      <c r="I6171" t="s">
        <v>13669</v>
      </c>
    </row>
    <row r="6172" spans="9:10" x14ac:dyDescent="0.3">
      <c r="I6172" t="s">
        <v>13670</v>
      </c>
    </row>
    <row r="6173" spans="9:10" x14ac:dyDescent="0.3">
      <c r="I6173" t="s">
        <v>13671</v>
      </c>
    </row>
    <row r="6174" spans="9:10" x14ac:dyDescent="0.3">
      <c r="I6174" t="s">
        <v>13672</v>
      </c>
    </row>
    <row r="6175" spans="9:10" x14ac:dyDescent="0.3">
      <c r="I6175" t="s">
        <v>13673</v>
      </c>
    </row>
    <row r="6176" spans="9:10" x14ac:dyDescent="0.3">
      <c r="I6176" t="s">
        <v>13674</v>
      </c>
    </row>
    <row r="6177" spans="9:10" x14ac:dyDescent="0.3">
      <c r="I6177" t="s">
        <v>13675</v>
      </c>
    </row>
    <row r="6178" spans="9:10" x14ac:dyDescent="0.3">
      <c r="I6178" t="s">
        <v>13676</v>
      </c>
    </row>
    <row r="6179" spans="9:10" x14ac:dyDescent="0.3">
      <c r="I6179" t="s">
        <v>13677</v>
      </c>
    </row>
    <row r="6180" spans="9:10" x14ac:dyDescent="0.3">
      <c r="I6180" t="s">
        <v>13678</v>
      </c>
      <c r="J6180" t="s">
        <v>2648</v>
      </c>
    </row>
    <row r="6181" spans="9:10" x14ac:dyDescent="0.3">
      <c r="I6181" t="s">
        <v>13679</v>
      </c>
    </row>
    <row r="6182" spans="9:10" x14ac:dyDescent="0.3">
      <c r="I6182" t="s">
        <v>13680</v>
      </c>
    </row>
    <row r="6183" spans="9:10" x14ac:dyDescent="0.3">
      <c r="I6183" t="s">
        <v>13681</v>
      </c>
      <c r="J6183" t="s">
        <v>124</v>
      </c>
    </row>
    <row r="6184" spans="9:10" x14ac:dyDescent="0.3">
      <c r="I6184" t="s">
        <v>13682</v>
      </c>
      <c r="J6184" t="s">
        <v>124</v>
      </c>
    </row>
    <row r="6185" spans="9:10" x14ac:dyDescent="0.3">
      <c r="I6185" t="s">
        <v>13683</v>
      </c>
      <c r="J6185" t="s">
        <v>2649</v>
      </c>
    </row>
    <row r="6186" spans="9:10" x14ac:dyDescent="0.3">
      <c r="I6186" t="s">
        <v>13684</v>
      </c>
      <c r="J6186" t="s">
        <v>2649</v>
      </c>
    </row>
    <row r="6187" spans="9:10" x14ac:dyDescent="0.3">
      <c r="I6187" t="s">
        <v>13685</v>
      </c>
    </row>
    <row r="6188" spans="9:10" x14ac:dyDescent="0.3">
      <c r="I6188" t="s">
        <v>13686</v>
      </c>
    </row>
    <row r="6189" spans="9:10" x14ac:dyDescent="0.3">
      <c r="I6189" t="s">
        <v>13687</v>
      </c>
      <c r="J6189" t="s">
        <v>2650</v>
      </c>
    </row>
    <row r="6190" spans="9:10" x14ac:dyDescent="0.3">
      <c r="I6190" t="s">
        <v>13688</v>
      </c>
    </row>
    <row r="6191" spans="9:10" x14ac:dyDescent="0.3">
      <c r="I6191" t="s">
        <v>13689</v>
      </c>
    </row>
    <row r="6192" spans="9:10" x14ac:dyDescent="0.3">
      <c r="I6192" t="s">
        <v>13690</v>
      </c>
    </row>
    <row r="6193" spans="9:10" x14ac:dyDescent="0.3">
      <c r="I6193" t="s">
        <v>13691</v>
      </c>
    </row>
    <row r="6194" spans="9:10" x14ac:dyDescent="0.3">
      <c r="I6194" t="s">
        <v>13692</v>
      </c>
    </row>
    <row r="6195" spans="9:10" x14ac:dyDescent="0.3">
      <c r="I6195" t="s">
        <v>13693</v>
      </c>
      <c r="J6195" t="s">
        <v>218</v>
      </c>
    </row>
    <row r="6196" spans="9:10" x14ac:dyDescent="0.3">
      <c r="I6196" t="s">
        <v>13694</v>
      </c>
      <c r="J6196" t="s">
        <v>218</v>
      </c>
    </row>
    <row r="6197" spans="9:10" x14ac:dyDescent="0.3">
      <c r="I6197" t="s">
        <v>13695</v>
      </c>
      <c r="J6197" t="s">
        <v>218</v>
      </c>
    </row>
    <row r="6198" spans="9:10" x14ac:dyDescent="0.3">
      <c r="I6198" t="s">
        <v>13694</v>
      </c>
      <c r="J6198" t="s">
        <v>218</v>
      </c>
    </row>
    <row r="6199" spans="9:10" x14ac:dyDescent="0.3">
      <c r="I6199" t="s">
        <v>13696</v>
      </c>
      <c r="J6199" t="s">
        <v>2651</v>
      </c>
    </row>
    <row r="6200" spans="9:10" x14ac:dyDescent="0.3">
      <c r="I6200" t="s">
        <v>13697</v>
      </c>
      <c r="J6200" t="s">
        <v>2651</v>
      </c>
    </row>
    <row r="6201" spans="9:10" x14ac:dyDescent="0.3">
      <c r="I6201" t="s">
        <v>13698</v>
      </c>
      <c r="J6201" t="s">
        <v>2652</v>
      </c>
    </row>
    <row r="6202" spans="9:10" x14ac:dyDescent="0.3">
      <c r="I6202" t="s">
        <v>13699</v>
      </c>
      <c r="J6202" t="s">
        <v>2653</v>
      </c>
    </row>
    <row r="6203" spans="9:10" x14ac:dyDescent="0.3">
      <c r="I6203" t="s">
        <v>13700</v>
      </c>
      <c r="J6203" t="s">
        <v>2654</v>
      </c>
    </row>
    <row r="6204" spans="9:10" x14ac:dyDescent="0.3">
      <c r="I6204" t="s">
        <v>13700</v>
      </c>
      <c r="J6204" t="s">
        <v>2654</v>
      </c>
    </row>
    <row r="6205" spans="9:10" x14ac:dyDescent="0.3">
      <c r="I6205" t="s">
        <v>13701</v>
      </c>
    </row>
    <row r="6206" spans="9:10" x14ac:dyDescent="0.3">
      <c r="I6206" t="s">
        <v>13702</v>
      </c>
    </row>
    <row r="6207" spans="9:10" x14ac:dyDescent="0.3">
      <c r="I6207" t="s">
        <v>13703</v>
      </c>
    </row>
    <row r="6208" spans="9:10" x14ac:dyDescent="0.3">
      <c r="I6208" t="s">
        <v>13704</v>
      </c>
    </row>
    <row r="6209" spans="9:10" x14ac:dyDescent="0.3">
      <c r="I6209" t="s">
        <v>13705</v>
      </c>
    </row>
    <row r="6210" spans="9:10" x14ac:dyDescent="0.3">
      <c r="I6210" t="s">
        <v>13706</v>
      </c>
      <c r="J6210" t="s">
        <v>2655</v>
      </c>
    </row>
    <row r="6211" spans="9:10" x14ac:dyDescent="0.3">
      <c r="I6211" t="s">
        <v>13707</v>
      </c>
    </row>
    <row r="6212" spans="9:10" x14ac:dyDescent="0.3">
      <c r="I6212" t="s">
        <v>13708</v>
      </c>
    </row>
    <row r="6213" spans="9:10" x14ac:dyDescent="0.3">
      <c r="I6213" t="s">
        <v>13709</v>
      </c>
    </row>
    <row r="6214" spans="9:10" x14ac:dyDescent="0.3">
      <c r="I6214" t="s">
        <v>13710</v>
      </c>
    </row>
    <row r="6215" spans="9:10" x14ac:dyDescent="0.3">
      <c r="I6215" t="s">
        <v>13711</v>
      </c>
    </row>
    <row r="6216" spans="9:10" x14ac:dyDescent="0.3">
      <c r="I6216" t="s">
        <v>13712</v>
      </c>
    </row>
    <row r="6217" spans="9:10" x14ac:dyDescent="0.3">
      <c r="I6217" t="s">
        <v>13713</v>
      </c>
    </row>
    <row r="6218" spans="9:10" x14ac:dyDescent="0.3">
      <c r="I6218" t="s">
        <v>13714</v>
      </c>
    </row>
    <row r="6219" spans="9:10" x14ac:dyDescent="0.3">
      <c r="I6219" t="s">
        <v>13715</v>
      </c>
    </row>
    <row r="6220" spans="9:10" x14ac:dyDescent="0.3">
      <c r="I6220" t="s">
        <v>13716</v>
      </c>
    </row>
    <row r="6221" spans="9:10" x14ac:dyDescent="0.3">
      <c r="I6221" t="s">
        <v>13717</v>
      </c>
    </row>
    <row r="6222" spans="9:10" x14ac:dyDescent="0.3">
      <c r="I6222" t="s">
        <v>13718</v>
      </c>
      <c r="J6222" t="s">
        <v>2656</v>
      </c>
    </row>
    <row r="6223" spans="9:10" x14ac:dyDescent="0.3">
      <c r="I6223" t="s">
        <v>13719</v>
      </c>
      <c r="J6223" t="s">
        <v>2657</v>
      </c>
    </row>
    <row r="6224" spans="9:10" x14ac:dyDescent="0.3">
      <c r="I6224" t="s">
        <v>13720</v>
      </c>
    </row>
    <row r="6225" spans="9:10" x14ac:dyDescent="0.3">
      <c r="I6225" t="s">
        <v>13721</v>
      </c>
    </row>
    <row r="6226" spans="9:10" x14ac:dyDescent="0.3">
      <c r="I6226" t="s">
        <v>13722</v>
      </c>
    </row>
    <row r="6227" spans="9:10" x14ac:dyDescent="0.3">
      <c r="I6227" t="s">
        <v>13723</v>
      </c>
    </row>
    <row r="6228" spans="9:10" x14ac:dyDescent="0.3">
      <c r="I6228" t="s">
        <v>13724</v>
      </c>
    </row>
    <row r="6229" spans="9:10" x14ac:dyDescent="0.3">
      <c r="I6229" t="s">
        <v>13725</v>
      </c>
    </row>
    <row r="6230" spans="9:10" x14ac:dyDescent="0.3">
      <c r="I6230" t="s">
        <v>13726</v>
      </c>
    </row>
    <row r="6231" spans="9:10" x14ac:dyDescent="0.3">
      <c r="I6231" t="s">
        <v>13727</v>
      </c>
    </row>
    <row r="6232" spans="9:10" x14ac:dyDescent="0.3">
      <c r="I6232" t="s">
        <v>13728</v>
      </c>
    </row>
    <row r="6233" spans="9:10" x14ac:dyDescent="0.3">
      <c r="I6233" t="s">
        <v>13729</v>
      </c>
    </row>
    <row r="6234" spans="9:10" x14ac:dyDescent="0.3">
      <c r="I6234" t="s">
        <v>13730</v>
      </c>
    </row>
    <row r="6235" spans="9:10" x14ac:dyDescent="0.3">
      <c r="I6235" t="s">
        <v>13731</v>
      </c>
    </row>
    <row r="6236" spans="9:10" x14ac:dyDescent="0.3">
      <c r="I6236" t="s">
        <v>13732</v>
      </c>
      <c r="J6236" t="s">
        <v>2658</v>
      </c>
    </row>
    <row r="6237" spans="9:10" x14ac:dyDescent="0.3">
      <c r="I6237" t="s">
        <v>13733</v>
      </c>
      <c r="J6237" t="s">
        <v>2658</v>
      </c>
    </row>
    <row r="6238" spans="9:10" x14ac:dyDescent="0.3">
      <c r="I6238" t="s">
        <v>13734</v>
      </c>
    </row>
    <row r="6239" spans="9:10" x14ac:dyDescent="0.3">
      <c r="I6239" t="s">
        <v>13735</v>
      </c>
    </row>
    <row r="6240" spans="9:10" x14ac:dyDescent="0.3">
      <c r="I6240" t="s">
        <v>13736</v>
      </c>
      <c r="J6240" t="s">
        <v>2659</v>
      </c>
    </row>
    <row r="6241" spans="9:10" x14ac:dyDescent="0.3">
      <c r="I6241" t="s">
        <v>13737</v>
      </c>
      <c r="J6241" t="s">
        <v>2659</v>
      </c>
    </row>
    <row r="6242" spans="9:10" x14ac:dyDescent="0.3">
      <c r="I6242" t="s">
        <v>13738</v>
      </c>
      <c r="J6242" t="s">
        <v>2660</v>
      </c>
    </row>
    <row r="6243" spans="9:10" x14ac:dyDescent="0.3">
      <c r="I6243" t="s">
        <v>13739</v>
      </c>
      <c r="J6243" t="s">
        <v>2661</v>
      </c>
    </row>
    <row r="6244" spans="9:10" x14ac:dyDescent="0.3">
      <c r="I6244" t="s">
        <v>13740</v>
      </c>
      <c r="J6244" t="s">
        <v>2662</v>
      </c>
    </row>
    <row r="6245" spans="9:10" x14ac:dyDescent="0.3">
      <c r="I6245" t="s">
        <v>13741</v>
      </c>
    </row>
    <row r="6246" spans="9:10" x14ac:dyDescent="0.3">
      <c r="I6246" t="s">
        <v>13742</v>
      </c>
    </row>
    <row r="6247" spans="9:10" x14ac:dyDescent="0.3">
      <c r="I6247" t="s">
        <v>13743</v>
      </c>
    </row>
    <row r="6248" spans="9:10" x14ac:dyDescent="0.3">
      <c r="I6248" t="s">
        <v>13744</v>
      </c>
    </row>
    <row r="6249" spans="9:10" x14ac:dyDescent="0.3">
      <c r="I6249" t="s">
        <v>13745</v>
      </c>
      <c r="J6249" t="s">
        <v>2663</v>
      </c>
    </row>
    <row r="6250" spans="9:10" x14ac:dyDescent="0.3">
      <c r="I6250" t="s">
        <v>13746</v>
      </c>
    </row>
    <row r="6251" spans="9:10" x14ac:dyDescent="0.3">
      <c r="I6251" t="s">
        <v>13747</v>
      </c>
      <c r="J6251" t="s">
        <v>2664</v>
      </c>
    </row>
    <row r="6252" spans="9:10" x14ac:dyDescent="0.3">
      <c r="I6252" t="s">
        <v>13748</v>
      </c>
      <c r="J6252" t="s">
        <v>2664</v>
      </c>
    </row>
    <row r="6253" spans="9:10" x14ac:dyDescent="0.3">
      <c r="I6253" t="s">
        <v>13749</v>
      </c>
    </row>
    <row r="6254" spans="9:10" x14ac:dyDescent="0.3">
      <c r="I6254" t="s">
        <v>13750</v>
      </c>
    </row>
    <row r="6255" spans="9:10" x14ac:dyDescent="0.3">
      <c r="I6255" t="s">
        <v>13751</v>
      </c>
    </row>
    <row r="6256" spans="9:10" x14ac:dyDescent="0.3">
      <c r="I6256" t="s">
        <v>13752</v>
      </c>
    </row>
    <row r="6257" spans="9:10" x14ac:dyDescent="0.3">
      <c r="I6257" t="s">
        <v>13753</v>
      </c>
      <c r="J6257" t="s">
        <v>2665</v>
      </c>
    </row>
    <row r="6258" spans="9:10" x14ac:dyDescent="0.3">
      <c r="I6258" t="s">
        <v>13754</v>
      </c>
      <c r="J6258" t="s">
        <v>2666</v>
      </c>
    </row>
    <row r="6259" spans="9:10" x14ac:dyDescent="0.3">
      <c r="I6259" t="s">
        <v>13755</v>
      </c>
    </row>
    <row r="6260" spans="9:10" x14ac:dyDescent="0.3">
      <c r="I6260" t="s">
        <v>13756</v>
      </c>
    </row>
    <row r="6261" spans="9:10" x14ac:dyDescent="0.3">
      <c r="I6261" t="s">
        <v>13757</v>
      </c>
    </row>
    <row r="6262" spans="9:10" x14ac:dyDescent="0.3">
      <c r="I6262" t="s">
        <v>13758</v>
      </c>
      <c r="J6262" t="s">
        <v>2667</v>
      </c>
    </row>
    <row r="6263" spans="9:10" x14ac:dyDescent="0.3">
      <c r="I6263" t="s">
        <v>13759</v>
      </c>
      <c r="J6263" t="s">
        <v>2668</v>
      </c>
    </row>
    <row r="6264" spans="9:10" x14ac:dyDescent="0.3">
      <c r="I6264" t="s">
        <v>13760</v>
      </c>
      <c r="J6264" t="s">
        <v>2668</v>
      </c>
    </row>
    <row r="6265" spans="9:10" x14ac:dyDescent="0.3">
      <c r="I6265" t="s">
        <v>13760</v>
      </c>
      <c r="J6265" t="s">
        <v>2668</v>
      </c>
    </row>
    <row r="6266" spans="9:10" x14ac:dyDescent="0.3">
      <c r="I6266" t="s">
        <v>13761</v>
      </c>
    </row>
    <row r="6267" spans="9:10" x14ac:dyDescent="0.3">
      <c r="I6267" t="s">
        <v>13762</v>
      </c>
    </row>
    <row r="6268" spans="9:10" x14ac:dyDescent="0.3">
      <c r="I6268" t="s">
        <v>13763</v>
      </c>
    </row>
    <row r="6269" spans="9:10" x14ac:dyDescent="0.3">
      <c r="I6269" t="s">
        <v>13764</v>
      </c>
      <c r="J6269" t="s">
        <v>2669</v>
      </c>
    </row>
    <row r="6270" spans="9:10" x14ac:dyDescent="0.3">
      <c r="I6270" t="s">
        <v>13765</v>
      </c>
    </row>
    <row r="6271" spans="9:10" x14ac:dyDescent="0.3">
      <c r="I6271" t="s">
        <v>13766</v>
      </c>
    </row>
    <row r="6272" spans="9:10" x14ac:dyDescent="0.3">
      <c r="I6272" t="s">
        <v>13767</v>
      </c>
      <c r="J6272" t="s">
        <v>2670</v>
      </c>
    </row>
    <row r="6273" spans="9:10" x14ac:dyDescent="0.3">
      <c r="I6273" t="s">
        <v>13767</v>
      </c>
      <c r="J6273" t="s">
        <v>2670</v>
      </c>
    </row>
    <row r="6274" spans="9:10" x14ac:dyDescent="0.3">
      <c r="I6274" t="s">
        <v>13768</v>
      </c>
      <c r="J6274" t="s">
        <v>2671</v>
      </c>
    </row>
    <row r="6275" spans="9:10" x14ac:dyDescent="0.3">
      <c r="I6275" t="s">
        <v>13769</v>
      </c>
    </row>
    <row r="6276" spans="9:10" x14ac:dyDescent="0.3">
      <c r="I6276" t="s">
        <v>13770</v>
      </c>
      <c r="J6276" t="s">
        <v>2672</v>
      </c>
    </row>
    <row r="6277" spans="9:10" x14ac:dyDescent="0.3">
      <c r="I6277" t="s">
        <v>13771</v>
      </c>
    </row>
    <row r="6278" spans="9:10" x14ac:dyDescent="0.3">
      <c r="I6278" t="s">
        <v>13772</v>
      </c>
    </row>
    <row r="6279" spans="9:10" x14ac:dyDescent="0.3">
      <c r="I6279" t="s">
        <v>13773</v>
      </c>
    </row>
    <row r="6280" spans="9:10" x14ac:dyDescent="0.3">
      <c r="I6280" t="s">
        <v>13774</v>
      </c>
    </row>
    <row r="6281" spans="9:10" x14ac:dyDescent="0.3">
      <c r="I6281" t="s">
        <v>13775</v>
      </c>
    </row>
    <row r="6282" spans="9:10" x14ac:dyDescent="0.3">
      <c r="I6282" t="s">
        <v>13776</v>
      </c>
    </row>
    <row r="6283" spans="9:10" x14ac:dyDescent="0.3">
      <c r="I6283" t="s">
        <v>13777</v>
      </c>
    </row>
    <row r="6284" spans="9:10" x14ac:dyDescent="0.3">
      <c r="I6284" t="s">
        <v>13778</v>
      </c>
    </row>
    <row r="6285" spans="9:10" x14ac:dyDescent="0.3">
      <c r="I6285" t="s">
        <v>13779</v>
      </c>
    </row>
    <row r="6286" spans="9:10" x14ac:dyDescent="0.3">
      <c r="I6286" t="s">
        <v>13780</v>
      </c>
    </row>
    <row r="6287" spans="9:10" x14ac:dyDescent="0.3">
      <c r="I6287" t="s">
        <v>13781</v>
      </c>
    </row>
    <row r="6288" spans="9:10" x14ac:dyDescent="0.3">
      <c r="I6288" t="s">
        <v>13782</v>
      </c>
    </row>
    <row r="6289" spans="9:10" x14ac:dyDescent="0.3">
      <c r="I6289" t="s">
        <v>13783</v>
      </c>
    </row>
    <row r="6290" spans="9:10" x14ac:dyDescent="0.3">
      <c r="I6290" t="s">
        <v>13784</v>
      </c>
    </row>
    <row r="6291" spans="9:10" x14ac:dyDescent="0.3">
      <c r="I6291" t="s">
        <v>13785</v>
      </c>
    </row>
    <row r="6292" spans="9:10" x14ac:dyDescent="0.3">
      <c r="I6292" t="s">
        <v>13786</v>
      </c>
    </row>
    <row r="6293" spans="9:10" x14ac:dyDescent="0.3">
      <c r="I6293" t="s">
        <v>13787</v>
      </c>
    </row>
    <row r="6294" spans="9:10" x14ac:dyDescent="0.3">
      <c r="I6294" t="s">
        <v>13788</v>
      </c>
    </row>
    <row r="6295" spans="9:10" x14ac:dyDescent="0.3">
      <c r="I6295" t="s">
        <v>13789</v>
      </c>
    </row>
    <row r="6296" spans="9:10" x14ac:dyDescent="0.3">
      <c r="I6296" t="s">
        <v>13790</v>
      </c>
    </row>
    <row r="6297" spans="9:10" x14ac:dyDescent="0.3">
      <c r="I6297" t="s">
        <v>13791</v>
      </c>
    </row>
    <row r="6298" spans="9:10" x14ac:dyDescent="0.3">
      <c r="I6298" t="s">
        <v>13792</v>
      </c>
    </row>
    <row r="6299" spans="9:10" x14ac:dyDescent="0.3">
      <c r="I6299" t="s">
        <v>13793</v>
      </c>
    </row>
    <row r="6300" spans="9:10" x14ac:dyDescent="0.3">
      <c r="I6300" t="s">
        <v>13794</v>
      </c>
      <c r="J6300" t="s">
        <v>2673</v>
      </c>
    </row>
    <row r="6301" spans="9:10" x14ac:dyDescent="0.3">
      <c r="I6301" t="s">
        <v>13795</v>
      </c>
    </row>
    <row r="6302" spans="9:10" x14ac:dyDescent="0.3">
      <c r="I6302" t="s">
        <v>13796</v>
      </c>
    </row>
    <row r="6303" spans="9:10" x14ac:dyDescent="0.3">
      <c r="I6303" t="s">
        <v>13797</v>
      </c>
    </row>
    <row r="6304" spans="9:10" x14ac:dyDescent="0.3">
      <c r="I6304" t="s">
        <v>13798</v>
      </c>
    </row>
    <row r="6305" spans="9:10" x14ac:dyDescent="0.3">
      <c r="I6305" t="s">
        <v>13799</v>
      </c>
    </row>
    <row r="6306" spans="9:10" x14ac:dyDescent="0.3">
      <c r="I6306" t="s">
        <v>13800</v>
      </c>
    </row>
    <row r="6307" spans="9:10" x14ac:dyDescent="0.3">
      <c r="I6307" t="s">
        <v>13801</v>
      </c>
      <c r="J6307" t="s">
        <v>2674</v>
      </c>
    </row>
    <row r="6308" spans="9:10" x14ac:dyDescent="0.3">
      <c r="I6308" t="s">
        <v>13801</v>
      </c>
      <c r="J6308" t="s">
        <v>2674</v>
      </c>
    </row>
    <row r="6309" spans="9:10" x14ac:dyDescent="0.3">
      <c r="I6309" t="s">
        <v>13802</v>
      </c>
      <c r="J6309" t="s">
        <v>2675</v>
      </c>
    </row>
    <row r="6310" spans="9:10" x14ac:dyDescent="0.3">
      <c r="I6310" t="s">
        <v>13803</v>
      </c>
    </row>
    <row r="6311" spans="9:10" x14ac:dyDescent="0.3">
      <c r="I6311" t="s">
        <v>13804</v>
      </c>
    </row>
    <row r="6312" spans="9:10" x14ac:dyDescent="0.3">
      <c r="I6312" t="s">
        <v>13805</v>
      </c>
    </row>
    <row r="6313" spans="9:10" x14ac:dyDescent="0.3">
      <c r="I6313" t="s">
        <v>13806</v>
      </c>
    </row>
    <row r="6314" spans="9:10" x14ac:dyDescent="0.3">
      <c r="I6314" t="s">
        <v>13807</v>
      </c>
    </row>
    <row r="6315" spans="9:10" x14ac:dyDescent="0.3">
      <c r="I6315" t="s">
        <v>13808</v>
      </c>
    </row>
    <row r="6316" spans="9:10" x14ac:dyDescent="0.3">
      <c r="I6316" t="s">
        <v>13809</v>
      </c>
    </row>
    <row r="6317" spans="9:10" x14ac:dyDescent="0.3">
      <c r="I6317" t="s">
        <v>13810</v>
      </c>
    </row>
    <row r="6318" spans="9:10" x14ac:dyDescent="0.3">
      <c r="I6318" t="s">
        <v>13811</v>
      </c>
    </row>
    <row r="6319" spans="9:10" x14ac:dyDescent="0.3">
      <c r="I6319" t="s">
        <v>13812</v>
      </c>
    </row>
    <row r="6320" spans="9:10" x14ac:dyDescent="0.3">
      <c r="I6320" t="s">
        <v>13813</v>
      </c>
    </row>
    <row r="6321" spans="9:9" x14ac:dyDescent="0.3">
      <c r="I6321" t="s">
        <v>13814</v>
      </c>
    </row>
    <row r="6322" spans="9:9" x14ac:dyDescent="0.3">
      <c r="I6322" t="s">
        <v>13815</v>
      </c>
    </row>
    <row r="6323" spans="9:9" x14ac:dyDescent="0.3">
      <c r="I6323" t="s">
        <v>13816</v>
      </c>
    </row>
    <row r="6324" spans="9:9" x14ac:dyDescent="0.3">
      <c r="I6324" t="s">
        <v>13817</v>
      </c>
    </row>
    <row r="6325" spans="9:9" x14ac:dyDescent="0.3">
      <c r="I6325" t="s">
        <v>13818</v>
      </c>
    </row>
    <row r="6326" spans="9:9" x14ac:dyDescent="0.3">
      <c r="I6326" t="s">
        <v>13819</v>
      </c>
    </row>
    <row r="6327" spans="9:9" x14ac:dyDescent="0.3">
      <c r="I6327" t="s">
        <v>13820</v>
      </c>
    </row>
    <row r="6328" spans="9:9" x14ac:dyDescent="0.3">
      <c r="I6328" t="s">
        <v>13821</v>
      </c>
    </row>
    <row r="6329" spans="9:9" x14ac:dyDescent="0.3">
      <c r="I6329" t="s">
        <v>13822</v>
      </c>
    </row>
    <row r="6330" spans="9:9" x14ac:dyDescent="0.3">
      <c r="I6330" t="s">
        <v>13823</v>
      </c>
    </row>
    <row r="6331" spans="9:9" x14ac:dyDescent="0.3">
      <c r="I6331" t="s">
        <v>13824</v>
      </c>
    </row>
    <row r="6332" spans="9:9" x14ac:dyDescent="0.3">
      <c r="I6332" t="s">
        <v>13825</v>
      </c>
    </row>
    <row r="6333" spans="9:9" x14ac:dyDescent="0.3">
      <c r="I6333" t="s">
        <v>13826</v>
      </c>
    </row>
    <row r="6334" spans="9:9" x14ac:dyDescent="0.3">
      <c r="I6334" t="s">
        <v>13827</v>
      </c>
    </row>
    <row r="6335" spans="9:9" x14ac:dyDescent="0.3">
      <c r="I6335" t="s">
        <v>13828</v>
      </c>
    </row>
    <row r="6336" spans="9:9" x14ac:dyDescent="0.3">
      <c r="I6336" t="s">
        <v>13829</v>
      </c>
    </row>
    <row r="6337" spans="9:10" x14ac:dyDescent="0.3">
      <c r="I6337" t="s">
        <v>13830</v>
      </c>
    </row>
    <row r="6338" spans="9:10" x14ac:dyDescent="0.3">
      <c r="I6338" t="s">
        <v>13831</v>
      </c>
    </row>
    <row r="6339" spans="9:10" x14ac:dyDescent="0.3">
      <c r="I6339" t="s">
        <v>13832</v>
      </c>
    </row>
    <row r="6340" spans="9:10" x14ac:dyDescent="0.3">
      <c r="I6340" t="s">
        <v>13833</v>
      </c>
    </row>
    <row r="6341" spans="9:10" x14ac:dyDescent="0.3">
      <c r="I6341" t="s">
        <v>13834</v>
      </c>
    </row>
    <row r="6342" spans="9:10" x14ac:dyDescent="0.3">
      <c r="I6342" t="s">
        <v>13835</v>
      </c>
    </row>
    <row r="6343" spans="9:10" x14ac:dyDescent="0.3">
      <c r="I6343" t="s">
        <v>13836</v>
      </c>
    </row>
    <row r="6344" spans="9:10" x14ac:dyDescent="0.3">
      <c r="I6344" t="s">
        <v>13837</v>
      </c>
    </row>
    <row r="6345" spans="9:10" x14ac:dyDescent="0.3">
      <c r="I6345" t="s">
        <v>13838</v>
      </c>
    </row>
    <row r="6346" spans="9:10" x14ac:dyDescent="0.3">
      <c r="I6346" t="s">
        <v>13839</v>
      </c>
    </row>
    <row r="6347" spans="9:10" x14ac:dyDescent="0.3">
      <c r="I6347" t="s">
        <v>13840</v>
      </c>
      <c r="J6347" t="s">
        <v>2676</v>
      </c>
    </row>
    <row r="6348" spans="9:10" x14ac:dyDescent="0.3">
      <c r="I6348" t="s">
        <v>13840</v>
      </c>
      <c r="J6348" t="s">
        <v>2676</v>
      </c>
    </row>
    <row r="6349" spans="9:10" x14ac:dyDescent="0.3">
      <c r="I6349" t="s">
        <v>13841</v>
      </c>
    </row>
    <row r="6350" spans="9:10" x14ac:dyDescent="0.3">
      <c r="I6350" t="s">
        <v>13842</v>
      </c>
    </row>
    <row r="6351" spans="9:10" x14ac:dyDescent="0.3">
      <c r="I6351" t="s">
        <v>13843</v>
      </c>
    </row>
    <row r="6352" spans="9:10" x14ac:dyDescent="0.3">
      <c r="I6352" t="s">
        <v>13844</v>
      </c>
    </row>
    <row r="6353" spans="9:10" x14ac:dyDescent="0.3">
      <c r="I6353" t="s">
        <v>13845</v>
      </c>
    </row>
    <row r="6354" spans="9:10" x14ac:dyDescent="0.3">
      <c r="I6354" t="s">
        <v>13846</v>
      </c>
    </row>
    <row r="6355" spans="9:10" x14ac:dyDescent="0.3">
      <c r="I6355" t="s">
        <v>13847</v>
      </c>
    </row>
    <row r="6356" spans="9:10" x14ac:dyDescent="0.3">
      <c r="I6356" t="s">
        <v>13848</v>
      </c>
    </row>
    <row r="6357" spans="9:10" x14ac:dyDescent="0.3">
      <c r="I6357" t="s">
        <v>13849</v>
      </c>
      <c r="J6357" t="s">
        <v>2677</v>
      </c>
    </row>
    <row r="6358" spans="9:10" x14ac:dyDescent="0.3">
      <c r="I6358" t="s">
        <v>13850</v>
      </c>
      <c r="J6358" t="s">
        <v>2678</v>
      </c>
    </row>
    <row r="6359" spans="9:10" x14ac:dyDescent="0.3">
      <c r="I6359" t="s">
        <v>13850</v>
      </c>
      <c r="J6359" t="s">
        <v>2678</v>
      </c>
    </row>
    <row r="6360" spans="9:10" x14ac:dyDescent="0.3">
      <c r="I6360" t="s">
        <v>13851</v>
      </c>
    </row>
    <row r="6361" spans="9:10" x14ac:dyDescent="0.3">
      <c r="I6361" t="s">
        <v>13852</v>
      </c>
      <c r="J6361" t="s">
        <v>2679</v>
      </c>
    </row>
    <row r="6362" spans="9:10" x14ac:dyDescent="0.3">
      <c r="I6362" t="s">
        <v>13852</v>
      </c>
      <c r="J6362" t="s">
        <v>2679</v>
      </c>
    </row>
    <row r="6363" spans="9:10" x14ac:dyDescent="0.3">
      <c r="I6363" t="s">
        <v>13853</v>
      </c>
    </row>
    <row r="6364" spans="9:10" x14ac:dyDescent="0.3">
      <c r="I6364" t="s">
        <v>13854</v>
      </c>
    </row>
    <row r="6365" spans="9:10" x14ac:dyDescent="0.3">
      <c r="I6365" t="s">
        <v>13855</v>
      </c>
    </row>
    <row r="6366" spans="9:10" x14ac:dyDescent="0.3">
      <c r="I6366" t="s">
        <v>13856</v>
      </c>
    </row>
    <row r="6367" spans="9:10" x14ac:dyDescent="0.3">
      <c r="I6367" t="s">
        <v>13857</v>
      </c>
    </row>
    <row r="6368" spans="9:10" x14ac:dyDescent="0.3">
      <c r="I6368" t="s">
        <v>13858</v>
      </c>
    </row>
    <row r="6369" spans="9:10" x14ac:dyDescent="0.3">
      <c r="I6369" t="s">
        <v>13859</v>
      </c>
    </row>
    <row r="6370" spans="9:10" x14ac:dyDescent="0.3">
      <c r="I6370" t="s">
        <v>13860</v>
      </c>
    </row>
    <row r="6371" spans="9:10" x14ac:dyDescent="0.3">
      <c r="I6371" t="s">
        <v>13861</v>
      </c>
    </row>
    <row r="6372" spans="9:10" x14ac:dyDescent="0.3">
      <c r="I6372" t="s">
        <v>13862</v>
      </c>
    </row>
    <row r="6373" spans="9:10" x14ac:dyDescent="0.3">
      <c r="I6373" t="s">
        <v>13863</v>
      </c>
      <c r="J6373" t="s">
        <v>2680</v>
      </c>
    </row>
    <row r="6374" spans="9:10" x14ac:dyDescent="0.3">
      <c r="I6374" t="s">
        <v>13864</v>
      </c>
    </row>
    <row r="6375" spans="9:10" x14ac:dyDescent="0.3">
      <c r="I6375" t="s">
        <v>13865</v>
      </c>
    </row>
    <row r="6376" spans="9:10" x14ac:dyDescent="0.3">
      <c r="I6376" t="s">
        <v>13866</v>
      </c>
    </row>
    <row r="6377" spans="9:10" x14ac:dyDescent="0.3">
      <c r="I6377" t="s">
        <v>13867</v>
      </c>
    </row>
    <row r="6378" spans="9:10" x14ac:dyDescent="0.3">
      <c r="I6378" t="s">
        <v>13868</v>
      </c>
    </row>
    <row r="6379" spans="9:10" x14ac:dyDescent="0.3">
      <c r="I6379" t="s">
        <v>13869</v>
      </c>
      <c r="J6379" t="s">
        <v>2681</v>
      </c>
    </row>
    <row r="6380" spans="9:10" x14ac:dyDescent="0.3">
      <c r="I6380" t="s">
        <v>13869</v>
      </c>
      <c r="J6380" t="s">
        <v>2681</v>
      </c>
    </row>
    <row r="6381" spans="9:10" x14ac:dyDescent="0.3">
      <c r="I6381" t="s">
        <v>13870</v>
      </c>
    </row>
    <row r="6382" spans="9:10" x14ac:dyDescent="0.3">
      <c r="I6382" t="s">
        <v>13870</v>
      </c>
    </row>
    <row r="6383" spans="9:10" x14ac:dyDescent="0.3">
      <c r="I6383" t="s">
        <v>13871</v>
      </c>
    </row>
    <row r="6384" spans="9:10" x14ac:dyDescent="0.3">
      <c r="I6384" t="s">
        <v>13872</v>
      </c>
    </row>
    <row r="6385" spans="9:10" x14ac:dyDescent="0.3">
      <c r="I6385" t="s">
        <v>13873</v>
      </c>
    </row>
    <row r="6386" spans="9:10" x14ac:dyDescent="0.3">
      <c r="I6386" t="s">
        <v>13874</v>
      </c>
    </row>
    <row r="6387" spans="9:10" x14ac:dyDescent="0.3">
      <c r="I6387" t="s">
        <v>13875</v>
      </c>
    </row>
    <row r="6388" spans="9:10" x14ac:dyDescent="0.3">
      <c r="I6388" t="s">
        <v>13876</v>
      </c>
      <c r="J6388" t="s">
        <v>2682</v>
      </c>
    </row>
    <row r="6389" spans="9:10" x14ac:dyDescent="0.3">
      <c r="I6389" t="s">
        <v>13877</v>
      </c>
    </row>
    <row r="6390" spans="9:10" x14ac:dyDescent="0.3">
      <c r="I6390" t="s">
        <v>13878</v>
      </c>
    </row>
    <row r="6391" spans="9:10" x14ac:dyDescent="0.3">
      <c r="I6391" t="s">
        <v>13879</v>
      </c>
    </row>
    <row r="6392" spans="9:10" x14ac:dyDescent="0.3">
      <c r="I6392" t="s">
        <v>13880</v>
      </c>
    </row>
    <row r="6393" spans="9:10" x14ac:dyDescent="0.3">
      <c r="I6393" t="s">
        <v>13881</v>
      </c>
    </row>
    <row r="6394" spans="9:10" x14ac:dyDescent="0.3">
      <c r="I6394" t="s">
        <v>13882</v>
      </c>
      <c r="J6394" t="s">
        <v>2683</v>
      </c>
    </row>
    <row r="6395" spans="9:10" x14ac:dyDescent="0.3">
      <c r="I6395" t="s">
        <v>13883</v>
      </c>
    </row>
    <row r="6396" spans="9:10" x14ac:dyDescent="0.3">
      <c r="I6396" t="s">
        <v>13884</v>
      </c>
    </row>
    <row r="6397" spans="9:10" x14ac:dyDescent="0.3">
      <c r="I6397" t="s">
        <v>13885</v>
      </c>
    </row>
    <row r="6398" spans="9:10" x14ac:dyDescent="0.3">
      <c r="I6398" t="s">
        <v>13886</v>
      </c>
    </row>
    <row r="6399" spans="9:10" x14ac:dyDescent="0.3">
      <c r="I6399" t="s">
        <v>13887</v>
      </c>
    </row>
    <row r="6400" spans="9:10" x14ac:dyDescent="0.3">
      <c r="I6400" t="s">
        <v>13888</v>
      </c>
    </row>
    <row r="6401" spans="9:10" x14ac:dyDescent="0.3">
      <c r="I6401" t="s">
        <v>13889</v>
      </c>
      <c r="J6401" t="s">
        <v>2684</v>
      </c>
    </row>
    <row r="6402" spans="9:10" x14ac:dyDescent="0.3">
      <c r="I6402" t="s">
        <v>13890</v>
      </c>
    </row>
    <row r="6403" spans="9:10" x14ac:dyDescent="0.3">
      <c r="I6403" t="s">
        <v>13891</v>
      </c>
    </row>
    <row r="6404" spans="9:10" x14ac:dyDescent="0.3">
      <c r="I6404" t="s">
        <v>13892</v>
      </c>
    </row>
    <row r="6405" spans="9:10" x14ac:dyDescent="0.3">
      <c r="I6405" t="s">
        <v>13893</v>
      </c>
    </row>
    <row r="6406" spans="9:10" x14ac:dyDescent="0.3">
      <c r="I6406" t="s">
        <v>13894</v>
      </c>
    </row>
    <row r="6407" spans="9:10" x14ac:dyDescent="0.3">
      <c r="I6407" t="s">
        <v>13895</v>
      </c>
    </row>
    <row r="6408" spans="9:10" x14ac:dyDescent="0.3">
      <c r="I6408" t="s">
        <v>13896</v>
      </c>
    </row>
    <row r="6409" spans="9:10" x14ac:dyDescent="0.3">
      <c r="I6409" t="s">
        <v>13897</v>
      </c>
    </row>
    <row r="6410" spans="9:10" x14ac:dyDescent="0.3">
      <c r="I6410" t="s">
        <v>13898</v>
      </c>
    </row>
    <row r="6411" spans="9:10" x14ac:dyDescent="0.3">
      <c r="I6411" t="s">
        <v>13899</v>
      </c>
    </row>
    <row r="6412" spans="9:10" x14ac:dyDescent="0.3">
      <c r="I6412" t="s">
        <v>13900</v>
      </c>
    </row>
    <row r="6413" spans="9:10" x14ac:dyDescent="0.3">
      <c r="I6413" t="s">
        <v>13901</v>
      </c>
    </row>
    <row r="6414" spans="9:10" x14ac:dyDescent="0.3">
      <c r="I6414" t="s">
        <v>13902</v>
      </c>
    </row>
    <row r="6415" spans="9:10" x14ac:dyDescent="0.3">
      <c r="I6415" t="s">
        <v>13903</v>
      </c>
    </row>
    <row r="6416" spans="9:10" x14ac:dyDescent="0.3">
      <c r="I6416" t="s">
        <v>13904</v>
      </c>
    </row>
    <row r="6417" spans="9:10" x14ac:dyDescent="0.3">
      <c r="I6417" t="s">
        <v>13905</v>
      </c>
    </row>
    <row r="6418" spans="9:10" x14ac:dyDescent="0.3">
      <c r="I6418" t="s">
        <v>13906</v>
      </c>
    </row>
    <row r="6419" spans="9:10" x14ac:dyDescent="0.3">
      <c r="I6419" t="s">
        <v>13907</v>
      </c>
      <c r="J6419" t="s">
        <v>2685</v>
      </c>
    </row>
    <row r="6420" spans="9:10" x14ac:dyDescent="0.3">
      <c r="I6420" t="s">
        <v>13908</v>
      </c>
    </row>
    <row r="6421" spans="9:10" x14ac:dyDescent="0.3">
      <c r="I6421" t="s">
        <v>13909</v>
      </c>
    </row>
    <row r="6422" spans="9:10" x14ac:dyDescent="0.3">
      <c r="I6422" t="s">
        <v>13909</v>
      </c>
    </row>
    <row r="6423" spans="9:10" x14ac:dyDescent="0.3">
      <c r="I6423" t="s">
        <v>13910</v>
      </c>
    </row>
    <row r="6424" spans="9:10" x14ac:dyDescent="0.3">
      <c r="I6424" t="s">
        <v>13911</v>
      </c>
      <c r="J6424" t="s">
        <v>2686</v>
      </c>
    </row>
    <row r="6425" spans="9:10" x14ac:dyDescent="0.3">
      <c r="I6425" t="s">
        <v>13912</v>
      </c>
    </row>
    <row r="6426" spans="9:10" x14ac:dyDescent="0.3">
      <c r="I6426" t="s">
        <v>13913</v>
      </c>
      <c r="J6426" t="s">
        <v>2687</v>
      </c>
    </row>
    <row r="6427" spans="9:10" x14ac:dyDescent="0.3">
      <c r="I6427" t="s">
        <v>13914</v>
      </c>
      <c r="J6427" t="s">
        <v>2687</v>
      </c>
    </row>
    <row r="6428" spans="9:10" x14ac:dyDescent="0.3">
      <c r="I6428" t="s">
        <v>13915</v>
      </c>
      <c r="J6428" t="s">
        <v>2687</v>
      </c>
    </row>
    <row r="6429" spans="9:10" x14ac:dyDescent="0.3">
      <c r="I6429" t="s">
        <v>13916</v>
      </c>
    </row>
    <row r="6430" spans="9:10" x14ac:dyDescent="0.3">
      <c r="I6430" t="s">
        <v>13917</v>
      </c>
      <c r="J6430" t="s">
        <v>2688</v>
      </c>
    </row>
    <row r="6431" spans="9:10" x14ac:dyDescent="0.3">
      <c r="I6431" t="s">
        <v>13918</v>
      </c>
    </row>
    <row r="6432" spans="9:10" x14ac:dyDescent="0.3">
      <c r="I6432" t="s">
        <v>13919</v>
      </c>
      <c r="J6432" t="s">
        <v>2689</v>
      </c>
    </row>
    <row r="6433" spans="9:10" x14ac:dyDescent="0.3">
      <c r="I6433" t="s">
        <v>13920</v>
      </c>
    </row>
    <row r="6434" spans="9:10" x14ac:dyDescent="0.3">
      <c r="I6434" t="s">
        <v>13921</v>
      </c>
    </row>
    <row r="6435" spans="9:10" x14ac:dyDescent="0.3">
      <c r="I6435" t="s">
        <v>13922</v>
      </c>
    </row>
    <row r="6436" spans="9:10" x14ac:dyDescent="0.3">
      <c r="I6436" t="s">
        <v>13923</v>
      </c>
      <c r="J6436" t="s">
        <v>2690</v>
      </c>
    </row>
    <row r="6437" spans="9:10" x14ac:dyDescent="0.3">
      <c r="I6437" t="s">
        <v>13924</v>
      </c>
    </row>
    <row r="6438" spans="9:10" x14ac:dyDescent="0.3">
      <c r="I6438" t="s">
        <v>13925</v>
      </c>
    </row>
    <row r="6439" spans="9:10" x14ac:dyDescent="0.3">
      <c r="I6439" t="s">
        <v>13926</v>
      </c>
    </row>
    <row r="6440" spans="9:10" x14ac:dyDescent="0.3">
      <c r="I6440" t="s">
        <v>13927</v>
      </c>
    </row>
    <row r="6441" spans="9:10" x14ac:dyDescent="0.3">
      <c r="I6441" t="s">
        <v>13928</v>
      </c>
      <c r="J6441" t="s">
        <v>2691</v>
      </c>
    </row>
    <row r="6442" spans="9:10" x14ac:dyDescent="0.3">
      <c r="I6442" t="s">
        <v>13929</v>
      </c>
    </row>
    <row r="6443" spans="9:10" x14ac:dyDescent="0.3">
      <c r="I6443" t="s">
        <v>13930</v>
      </c>
    </row>
    <row r="6444" spans="9:10" x14ac:dyDescent="0.3">
      <c r="I6444" t="s">
        <v>13931</v>
      </c>
    </row>
    <row r="6445" spans="9:10" x14ac:dyDescent="0.3">
      <c r="I6445" t="s">
        <v>13932</v>
      </c>
      <c r="J6445" t="s">
        <v>2692</v>
      </c>
    </row>
    <row r="6446" spans="9:10" x14ac:dyDescent="0.3">
      <c r="I6446" t="s">
        <v>13933</v>
      </c>
    </row>
    <row r="6447" spans="9:10" x14ac:dyDescent="0.3">
      <c r="I6447" t="s">
        <v>13934</v>
      </c>
    </row>
    <row r="6448" spans="9:10" x14ac:dyDescent="0.3">
      <c r="I6448" t="s">
        <v>13935</v>
      </c>
    </row>
    <row r="6449" spans="9:10" x14ac:dyDescent="0.3">
      <c r="I6449" t="s">
        <v>13936</v>
      </c>
    </row>
    <row r="6450" spans="9:10" x14ac:dyDescent="0.3">
      <c r="I6450" t="s">
        <v>13937</v>
      </c>
    </row>
    <row r="6451" spans="9:10" x14ac:dyDescent="0.3">
      <c r="I6451" t="s">
        <v>13938</v>
      </c>
    </row>
    <row r="6452" spans="9:10" x14ac:dyDescent="0.3">
      <c r="I6452" t="s">
        <v>13939</v>
      </c>
    </row>
    <row r="6453" spans="9:10" x14ac:dyDescent="0.3">
      <c r="I6453" t="s">
        <v>13940</v>
      </c>
    </row>
    <row r="6454" spans="9:10" x14ac:dyDescent="0.3">
      <c r="I6454" t="s">
        <v>13941</v>
      </c>
    </row>
    <row r="6455" spans="9:10" x14ac:dyDescent="0.3">
      <c r="I6455" t="s">
        <v>13942</v>
      </c>
    </row>
    <row r="6456" spans="9:10" x14ac:dyDescent="0.3">
      <c r="I6456" t="s">
        <v>13943</v>
      </c>
    </row>
    <row r="6457" spans="9:10" x14ac:dyDescent="0.3">
      <c r="I6457" t="s">
        <v>13944</v>
      </c>
    </row>
    <row r="6458" spans="9:10" x14ac:dyDescent="0.3">
      <c r="I6458" t="s">
        <v>13945</v>
      </c>
    </row>
    <row r="6459" spans="9:10" x14ac:dyDescent="0.3">
      <c r="I6459" t="s">
        <v>13946</v>
      </c>
    </row>
    <row r="6460" spans="9:10" x14ac:dyDescent="0.3">
      <c r="I6460" t="s">
        <v>13947</v>
      </c>
    </row>
    <row r="6461" spans="9:10" x14ac:dyDescent="0.3">
      <c r="I6461" t="s">
        <v>13948</v>
      </c>
    </row>
    <row r="6462" spans="9:10" x14ac:dyDescent="0.3">
      <c r="I6462" t="s">
        <v>13949</v>
      </c>
      <c r="J6462" t="s">
        <v>2693</v>
      </c>
    </row>
    <row r="6463" spans="9:10" x14ac:dyDescent="0.3">
      <c r="I6463" t="s">
        <v>13950</v>
      </c>
    </row>
    <row r="6464" spans="9:10" x14ac:dyDescent="0.3">
      <c r="I6464" t="s">
        <v>13951</v>
      </c>
      <c r="J6464" t="s">
        <v>2694</v>
      </c>
    </row>
    <row r="6465" spans="9:10" x14ac:dyDescent="0.3">
      <c r="I6465" t="s">
        <v>13952</v>
      </c>
    </row>
    <row r="6466" spans="9:10" x14ac:dyDescent="0.3">
      <c r="I6466" t="s">
        <v>13953</v>
      </c>
      <c r="J6466" t="s">
        <v>2695</v>
      </c>
    </row>
    <row r="6467" spans="9:10" x14ac:dyDescent="0.3">
      <c r="I6467" t="s">
        <v>13954</v>
      </c>
    </row>
    <row r="6468" spans="9:10" x14ac:dyDescent="0.3">
      <c r="I6468" t="s">
        <v>13955</v>
      </c>
    </row>
    <row r="6469" spans="9:10" x14ac:dyDescent="0.3">
      <c r="I6469" t="s">
        <v>13956</v>
      </c>
    </row>
    <row r="6470" spans="9:10" x14ac:dyDescent="0.3">
      <c r="I6470" t="s">
        <v>13957</v>
      </c>
    </row>
    <row r="6471" spans="9:10" x14ac:dyDescent="0.3">
      <c r="I6471" t="s">
        <v>13957</v>
      </c>
    </row>
    <row r="6472" spans="9:10" x14ac:dyDescent="0.3">
      <c r="I6472" t="s">
        <v>13958</v>
      </c>
    </row>
    <row r="6473" spans="9:10" x14ac:dyDescent="0.3">
      <c r="I6473" t="s">
        <v>13959</v>
      </c>
    </row>
    <row r="6474" spans="9:10" x14ac:dyDescent="0.3">
      <c r="I6474" t="s">
        <v>13960</v>
      </c>
    </row>
    <row r="6475" spans="9:10" x14ac:dyDescent="0.3">
      <c r="I6475" t="s">
        <v>13961</v>
      </c>
      <c r="J6475" t="s">
        <v>2696</v>
      </c>
    </row>
    <row r="6476" spans="9:10" x14ac:dyDescent="0.3">
      <c r="I6476" t="s">
        <v>13962</v>
      </c>
      <c r="J6476" t="s">
        <v>2696</v>
      </c>
    </row>
    <row r="6477" spans="9:10" x14ac:dyDescent="0.3">
      <c r="I6477" t="s">
        <v>13963</v>
      </c>
      <c r="J6477" t="s">
        <v>2696</v>
      </c>
    </row>
    <row r="6478" spans="9:10" x14ac:dyDescent="0.3">
      <c r="I6478" t="s">
        <v>13962</v>
      </c>
      <c r="J6478" t="s">
        <v>2696</v>
      </c>
    </row>
    <row r="6479" spans="9:10" x14ac:dyDescent="0.3">
      <c r="I6479" t="s">
        <v>13964</v>
      </c>
      <c r="J6479" t="s">
        <v>2697</v>
      </c>
    </row>
    <row r="6480" spans="9:10" x14ac:dyDescent="0.3">
      <c r="I6480" t="s">
        <v>13965</v>
      </c>
      <c r="J6480" t="s">
        <v>2697</v>
      </c>
    </row>
    <row r="6481" spans="9:10" x14ac:dyDescent="0.3">
      <c r="I6481" t="s">
        <v>13966</v>
      </c>
      <c r="J6481" t="s">
        <v>2698</v>
      </c>
    </row>
    <row r="6482" spans="9:10" x14ac:dyDescent="0.3">
      <c r="I6482" t="s">
        <v>13967</v>
      </c>
      <c r="J6482" t="s">
        <v>2699</v>
      </c>
    </row>
    <row r="6483" spans="9:10" x14ac:dyDescent="0.3">
      <c r="I6483" t="s">
        <v>13968</v>
      </c>
    </row>
    <row r="6484" spans="9:10" x14ac:dyDescent="0.3">
      <c r="I6484" t="s">
        <v>13969</v>
      </c>
      <c r="J6484" t="s">
        <v>2700</v>
      </c>
    </row>
    <row r="6485" spans="9:10" x14ac:dyDescent="0.3">
      <c r="I6485" t="s">
        <v>13970</v>
      </c>
      <c r="J6485" t="s">
        <v>2700</v>
      </c>
    </row>
    <row r="6486" spans="9:10" x14ac:dyDescent="0.3">
      <c r="I6486" t="s">
        <v>13971</v>
      </c>
      <c r="J6486" t="s">
        <v>2700</v>
      </c>
    </row>
    <row r="6487" spans="9:10" x14ac:dyDescent="0.3">
      <c r="I6487" t="s">
        <v>13970</v>
      </c>
      <c r="J6487" t="s">
        <v>2700</v>
      </c>
    </row>
    <row r="6488" spans="9:10" x14ac:dyDescent="0.3">
      <c r="I6488" t="s">
        <v>13972</v>
      </c>
      <c r="J6488" t="s">
        <v>2701</v>
      </c>
    </row>
    <row r="6489" spans="9:10" x14ac:dyDescent="0.3">
      <c r="I6489" t="s">
        <v>13973</v>
      </c>
    </row>
    <row r="6490" spans="9:10" x14ac:dyDescent="0.3">
      <c r="I6490" t="s">
        <v>13974</v>
      </c>
    </row>
    <row r="6491" spans="9:10" x14ac:dyDescent="0.3">
      <c r="I6491" t="s">
        <v>13975</v>
      </c>
    </row>
    <row r="6492" spans="9:10" x14ac:dyDescent="0.3">
      <c r="I6492" t="s">
        <v>13976</v>
      </c>
      <c r="J6492" t="s">
        <v>2702</v>
      </c>
    </row>
    <row r="6493" spans="9:10" x14ac:dyDescent="0.3">
      <c r="I6493" t="s">
        <v>13977</v>
      </c>
    </row>
    <row r="6494" spans="9:10" x14ac:dyDescent="0.3">
      <c r="I6494" t="s">
        <v>13978</v>
      </c>
    </row>
    <row r="6495" spans="9:10" x14ac:dyDescent="0.3">
      <c r="I6495" t="s">
        <v>13979</v>
      </c>
    </row>
    <row r="6496" spans="9:10" x14ac:dyDescent="0.3">
      <c r="I6496" t="s">
        <v>13980</v>
      </c>
      <c r="J6496" t="s">
        <v>2703</v>
      </c>
    </row>
    <row r="6497" spans="9:10" x14ac:dyDescent="0.3">
      <c r="I6497" t="s">
        <v>13981</v>
      </c>
    </row>
    <row r="6498" spans="9:10" x14ac:dyDescent="0.3">
      <c r="I6498" t="s">
        <v>13982</v>
      </c>
    </row>
    <row r="6499" spans="9:10" x14ac:dyDescent="0.3">
      <c r="I6499" t="s">
        <v>13983</v>
      </c>
    </row>
    <row r="6500" spans="9:10" x14ac:dyDescent="0.3">
      <c r="I6500" t="s">
        <v>13984</v>
      </c>
    </row>
    <row r="6501" spans="9:10" x14ac:dyDescent="0.3">
      <c r="I6501" t="s">
        <v>13985</v>
      </c>
    </row>
    <row r="6502" spans="9:10" x14ac:dyDescent="0.3">
      <c r="I6502" t="s">
        <v>13984</v>
      </c>
    </row>
    <row r="6503" spans="9:10" x14ac:dyDescent="0.3">
      <c r="I6503" t="s">
        <v>13986</v>
      </c>
    </row>
    <row r="6504" spans="9:10" x14ac:dyDescent="0.3">
      <c r="I6504" t="s">
        <v>13987</v>
      </c>
    </row>
    <row r="6505" spans="9:10" x14ac:dyDescent="0.3">
      <c r="I6505" t="s">
        <v>13987</v>
      </c>
    </row>
    <row r="6506" spans="9:10" x14ac:dyDescent="0.3">
      <c r="I6506" t="s">
        <v>13988</v>
      </c>
    </row>
    <row r="6507" spans="9:10" x14ac:dyDescent="0.3">
      <c r="I6507" t="s">
        <v>13989</v>
      </c>
    </row>
    <row r="6508" spans="9:10" x14ac:dyDescent="0.3">
      <c r="I6508" t="s">
        <v>13989</v>
      </c>
    </row>
    <row r="6509" spans="9:10" x14ac:dyDescent="0.3">
      <c r="I6509" t="s">
        <v>13990</v>
      </c>
    </row>
    <row r="6510" spans="9:10" x14ac:dyDescent="0.3">
      <c r="I6510" t="s">
        <v>13991</v>
      </c>
    </row>
    <row r="6511" spans="9:10" x14ac:dyDescent="0.3">
      <c r="I6511" t="s">
        <v>13992</v>
      </c>
      <c r="J6511" t="s">
        <v>2704</v>
      </c>
    </row>
    <row r="6512" spans="9:10" x14ac:dyDescent="0.3">
      <c r="I6512" t="s">
        <v>13993</v>
      </c>
      <c r="J6512" t="s">
        <v>2704</v>
      </c>
    </row>
    <row r="6513" spans="9:10" x14ac:dyDescent="0.3">
      <c r="I6513" t="s">
        <v>13994</v>
      </c>
      <c r="J6513" t="s">
        <v>2705</v>
      </c>
    </row>
    <row r="6514" spans="9:10" x14ac:dyDescent="0.3">
      <c r="I6514" t="s">
        <v>13994</v>
      </c>
      <c r="J6514" t="s">
        <v>2705</v>
      </c>
    </row>
    <row r="6515" spans="9:10" x14ac:dyDescent="0.3">
      <c r="I6515" t="s">
        <v>13995</v>
      </c>
    </row>
    <row r="6516" spans="9:10" x14ac:dyDescent="0.3">
      <c r="I6516" t="s">
        <v>13996</v>
      </c>
    </row>
    <row r="6517" spans="9:10" x14ac:dyDescent="0.3">
      <c r="I6517" t="s">
        <v>13997</v>
      </c>
    </row>
    <row r="6518" spans="9:10" x14ac:dyDescent="0.3">
      <c r="I6518" t="s">
        <v>13997</v>
      </c>
    </row>
    <row r="6519" spans="9:10" x14ac:dyDescent="0.3">
      <c r="I6519" t="s">
        <v>13998</v>
      </c>
    </row>
    <row r="6520" spans="9:10" x14ac:dyDescent="0.3">
      <c r="I6520" t="s">
        <v>13999</v>
      </c>
      <c r="J6520" t="s">
        <v>2706</v>
      </c>
    </row>
    <row r="6521" spans="9:10" x14ac:dyDescent="0.3">
      <c r="I6521" t="s">
        <v>14000</v>
      </c>
    </row>
    <row r="6522" spans="9:10" x14ac:dyDescent="0.3">
      <c r="I6522" t="s">
        <v>14001</v>
      </c>
    </row>
    <row r="6523" spans="9:10" x14ac:dyDescent="0.3">
      <c r="I6523" t="s">
        <v>14002</v>
      </c>
    </row>
    <row r="6524" spans="9:10" x14ac:dyDescent="0.3">
      <c r="I6524" t="s">
        <v>14003</v>
      </c>
    </row>
    <row r="6525" spans="9:10" x14ac:dyDescent="0.3">
      <c r="I6525" t="s">
        <v>14004</v>
      </c>
    </row>
    <row r="6526" spans="9:10" x14ac:dyDescent="0.3">
      <c r="I6526" t="s">
        <v>14005</v>
      </c>
    </row>
    <row r="6527" spans="9:10" x14ac:dyDescent="0.3">
      <c r="I6527" t="s">
        <v>14006</v>
      </c>
    </row>
    <row r="6528" spans="9:10" x14ac:dyDescent="0.3">
      <c r="I6528" t="s">
        <v>14007</v>
      </c>
    </row>
    <row r="6529" spans="9:10" x14ac:dyDescent="0.3">
      <c r="I6529" t="s">
        <v>14008</v>
      </c>
    </row>
    <row r="6530" spans="9:10" x14ac:dyDescent="0.3">
      <c r="I6530" t="s">
        <v>14009</v>
      </c>
      <c r="J6530" t="s">
        <v>2707</v>
      </c>
    </row>
    <row r="6531" spans="9:10" x14ac:dyDescent="0.3">
      <c r="I6531" t="s">
        <v>14010</v>
      </c>
    </row>
    <row r="6532" spans="9:10" x14ac:dyDescent="0.3">
      <c r="I6532" t="s">
        <v>14011</v>
      </c>
      <c r="J6532" t="s">
        <v>2708</v>
      </c>
    </row>
    <row r="6533" spans="9:10" x14ac:dyDescent="0.3">
      <c r="I6533" t="s">
        <v>14012</v>
      </c>
    </row>
    <row r="6534" spans="9:10" x14ac:dyDescent="0.3">
      <c r="I6534" t="s">
        <v>14013</v>
      </c>
    </row>
    <row r="6535" spans="9:10" x14ac:dyDescent="0.3">
      <c r="I6535" t="s">
        <v>14014</v>
      </c>
    </row>
    <row r="6536" spans="9:10" x14ac:dyDescent="0.3">
      <c r="I6536" t="s">
        <v>14015</v>
      </c>
    </row>
    <row r="6537" spans="9:10" x14ac:dyDescent="0.3">
      <c r="I6537" t="s">
        <v>14016</v>
      </c>
    </row>
    <row r="6538" spans="9:10" x14ac:dyDescent="0.3">
      <c r="I6538" t="s">
        <v>14017</v>
      </c>
    </row>
    <row r="6539" spans="9:10" x14ac:dyDescent="0.3">
      <c r="I6539" t="s">
        <v>14018</v>
      </c>
    </row>
    <row r="6540" spans="9:10" x14ac:dyDescent="0.3">
      <c r="I6540" t="s">
        <v>14019</v>
      </c>
    </row>
    <row r="6541" spans="9:10" x14ac:dyDescent="0.3">
      <c r="I6541" t="s">
        <v>14020</v>
      </c>
    </row>
    <row r="6542" spans="9:10" x14ac:dyDescent="0.3">
      <c r="I6542" t="s">
        <v>14021</v>
      </c>
    </row>
    <row r="6543" spans="9:10" x14ac:dyDescent="0.3">
      <c r="I6543" t="s">
        <v>14022</v>
      </c>
    </row>
    <row r="6544" spans="9:10" x14ac:dyDescent="0.3">
      <c r="I6544" t="s">
        <v>14023</v>
      </c>
    </row>
    <row r="6545" spans="9:10" x14ac:dyDescent="0.3">
      <c r="I6545" t="s">
        <v>14024</v>
      </c>
    </row>
    <row r="6546" spans="9:10" x14ac:dyDescent="0.3">
      <c r="I6546" t="s">
        <v>14025</v>
      </c>
    </row>
    <row r="6547" spans="9:10" x14ac:dyDescent="0.3">
      <c r="I6547" t="s">
        <v>14026</v>
      </c>
      <c r="J6547" t="s">
        <v>2709</v>
      </c>
    </row>
    <row r="6548" spans="9:10" x14ac:dyDescent="0.3">
      <c r="I6548" t="s">
        <v>14027</v>
      </c>
      <c r="J6548" t="s">
        <v>2709</v>
      </c>
    </row>
    <row r="6549" spans="9:10" x14ac:dyDescent="0.3">
      <c r="I6549" t="s">
        <v>14028</v>
      </c>
    </row>
    <row r="6550" spans="9:10" x14ac:dyDescent="0.3">
      <c r="I6550" t="s">
        <v>14029</v>
      </c>
      <c r="J6550" t="s">
        <v>2710</v>
      </c>
    </row>
    <row r="6551" spans="9:10" x14ac:dyDescent="0.3">
      <c r="I6551" t="s">
        <v>14029</v>
      </c>
      <c r="J6551" t="s">
        <v>2710</v>
      </c>
    </row>
    <row r="6552" spans="9:10" x14ac:dyDescent="0.3">
      <c r="I6552" t="s">
        <v>14030</v>
      </c>
      <c r="J6552" t="s">
        <v>2711</v>
      </c>
    </row>
    <row r="6553" spans="9:10" x14ac:dyDescent="0.3">
      <c r="I6553" t="s">
        <v>14031</v>
      </c>
    </row>
    <row r="6554" spans="9:10" x14ac:dyDescent="0.3">
      <c r="I6554" t="s">
        <v>14032</v>
      </c>
    </row>
    <row r="6555" spans="9:10" x14ac:dyDescent="0.3">
      <c r="I6555" t="s">
        <v>14033</v>
      </c>
    </row>
    <row r="6556" spans="9:10" x14ac:dyDescent="0.3">
      <c r="I6556" t="s">
        <v>14034</v>
      </c>
    </row>
    <row r="6557" spans="9:10" x14ac:dyDescent="0.3">
      <c r="I6557" t="s">
        <v>14035</v>
      </c>
    </row>
    <row r="6558" spans="9:10" x14ac:dyDescent="0.3">
      <c r="I6558" t="s">
        <v>14036</v>
      </c>
      <c r="J6558" t="s">
        <v>2712</v>
      </c>
    </row>
    <row r="6559" spans="9:10" x14ac:dyDescent="0.3">
      <c r="I6559" t="s">
        <v>14037</v>
      </c>
    </row>
    <row r="6560" spans="9:10" x14ac:dyDescent="0.3">
      <c r="I6560" t="s">
        <v>14038</v>
      </c>
    </row>
    <row r="6561" spans="9:10" x14ac:dyDescent="0.3">
      <c r="I6561" t="s">
        <v>14039</v>
      </c>
      <c r="J6561" t="s">
        <v>2713</v>
      </c>
    </row>
    <row r="6562" spans="9:10" x14ac:dyDescent="0.3">
      <c r="I6562" t="s">
        <v>14040</v>
      </c>
    </row>
    <row r="6563" spans="9:10" x14ac:dyDescent="0.3">
      <c r="I6563" t="s">
        <v>14041</v>
      </c>
    </row>
    <row r="6564" spans="9:10" x14ac:dyDescent="0.3">
      <c r="I6564" t="s">
        <v>14042</v>
      </c>
    </row>
    <row r="6565" spans="9:10" x14ac:dyDescent="0.3">
      <c r="I6565" t="s">
        <v>14043</v>
      </c>
      <c r="J6565" t="s">
        <v>2714</v>
      </c>
    </row>
    <row r="6566" spans="9:10" x14ac:dyDescent="0.3">
      <c r="I6566" t="s">
        <v>14044</v>
      </c>
    </row>
    <row r="6567" spans="9:10" x14ac:dyDescent="0.3">
      <c r="I6567" t="s">
        <v>14045</v>
      </c>
    </row>
    <row r="6568" spans="9:10" x14ac:dyDescent="0.3">
      <c r="I6568" t="s">
        <v>14046</v>
      </c>
    </row>
    <row r="6569" spans="9:10" x14ac:dyDescent="0.3">
      <c r="I6569" t="s">
        <v>14047</v>
      </c>
    </row>
    <row r="6570" spans="9:10" x14ac:dyDescent="0.3">
      <c r="I6570" t="s">
        <v>14048</v>
      </c>
      <c r="J6570" t="s">
        <v>2715</v>
      </c>
    </row>
    <row r="6571" spans="9:10" x14ac:dyDescent="0.3">
      <c r="I6571" t="s">
        <v>14049</v>
      </c>
    </row>
    <row r="6572" spans="9:10" x14ac:dyDescent="0.3">
      <c r="I6572" t="s">
        <v>14050</v>
      </c>
    </row>
    <row r="6573" spans="9:10" x14ac:dyDescent="0.3">
      <c r="I6573" t="s">
        <v>14051</v>
      </c>
    </row>
    <row r="6574" spans="9:10" x14ac:dyDescent="0.3">
      <c r="I6574" t="s">
        <v>14052</v>
      </c>
      <c r="J6574" t="s">
        <v>2045</v>
      </c>
    </row>
    <row r="6575" spans="9:10" x14ac:dyDescent="0.3">
      <c r="I6575" t="s">
        <v>14053</v>
      </c>
    </row>
    <row r="6576" spans="9:10" x14ac:dyDescent="0.3">
      <c r="I6576" t="s">
        <v>14054</v>
      </c>
      <c r="J6576" t="s">
        <v>2716</v>
      </c>
    </row>
    <row r="6577" spans="9:10" x14ac:dyDescent="0.3">
      <c r="I6577" t="s">
        <v>14055</v>
      </c>
      <c r="J6577" t="s">
        <v>2045</v>
      </c>
    </row>
    <row r="6578" spans="9:10" x14ac:dyDescent="0.3">
      <c r="I6578" t="s">
        <v>14056</v>
      </c>
    </row>
    <row r="6579" spans="9:10" x14ac:dyDescent="0.3">
      <c r="I6579" t="s">
        <v>14057</v>
      </c>
    </row>
    <row r="6580" spans="9:10" x14ac:dyDescent="0.3">
      <c r="I6580" t="s">
        <v>14058</v>
      </c>
    </row>
    <row r="6581" spans="9:10" x14ac:dyDescent="0.3">
      <c r="I6581" t="s">
        <v>14059</v>
      </c>
      <c r="J6581" t="s">
        <v>2717</v>
      </c>
    </row>
    <row r="6582" spans="9:10" x14ac:dyDescent="0.3">
      <c r="I6582" t="s">
        <v>14060</v>
      </c>
      <c r="J6582" t="s">
        <v>2718</v>
      </c>
    </row>
    <row r="6583" spans="9:10" x14ac:dyDescent="0.3">
      <c r="I6583" t="s">
        <v>14061</v>
      </c>
      <c r="J6583" t="s">
        <v>2719</v>
      </c>
    </row>
    <row r="6584" spans="9:10" x14ac:dyDescent="0.3">
      <c r="I6584" t="s">
        <v>14062</v>
      </c>
      <c r="J6584" t="s">
        <v>2720</v>
      </c>
    </row>
    <row r="6585" spans="9:10" x14ac:dyDescent="0.3">
      <c r="I6585" t="s">
        <v>14063</v>
      </c>
      <c r="J6585" t="s">
        <v>2721</v>
      </c>
    </row>
    <row r="6586" spans="9:10" x14ac:dyDescent="0.3">
      <c r="I6586" t="s">
        <v>14064</v>
      </c>
      <c r="J6586" t="s">
        <v>2722</v>
      </c>
    </row>
    <row r="6587" spans="9:10" x14ac:dyDescent="0.3">
      <c r="I6587" t="s">
        <v>14065</v>
      </c>
    </row>
    <row r="6588" spans="9:10" x14ac:dyDescent="0.3">
      <c r="I6588" t="s">
        <v>14066</v>
      </c>
      <c r="J6588" t="s">
        <v>2723</v>
      </c>
    </row>
    <row r="6589" spans="9:10" x14ac:dyDescent="0.3">
      <c r="I6589" t="s">
        <v>14067</v>
      </c>
      <c r="J6589" t="s">
        <v>2724</v>
      </c>
    </row>
    <row r="6590" spans="9:10" x14ac:dyDescent="0.3">
      <c r="I6590" t="s">
        <v>14068</v>
      </c>
      <c r="J6590">
        <v>0</v>
      </c>
    </row>
    <row r="6591" spans="9:10" x14ac:dyDescent="0.3">
      <c r="I6591" t="s">
        <v>14069</v>
      </c>
    </row>
    <row r="6592" spans="9:10" x14ac:dyDescent="0.3">
      <c r="I6592" t="s">
        <v>14070</v>
      </c>
    </row>
    <row r="6593" spans="9:10" x14ac:dyDescent="0.3">
      <c r="I6593" t="s">
        <v>14071</v>
      </c>
      <c r="J6593" t="s">
        <v>2725</v>
      </c>
    </row>
    <row r="6594" spans="9:10" x14ac:dyDescent="0.3">
      <c r="I6594" t="s">
        <v>14072</v>
      </c>
      <c r="J6594" t="s">
        <v>2726</v>
      </c>
    </row>
    <row r="6595" spans="9:10" x14ac:dyDescent="0.3">
      <c r="I6595" t="s">
        <v>14073</v>
      </c>
      <c r="J6595" t="s">
        <v>2727</v>
      </c>
    </row>
    <row r="6596" spans="9:10" x14ac:dyDescent="0.3">
      <c r="I6596" t="s">
        <v>14074</v>
      </c>
    </row>
    <row r="6597" spans="9:10" x14ac:dyDescent="0.3">
      <c r="I6597" t="s">
        <v>14075</v>
      </c>
      <c r="J6597" t="s">
        <v>2728</v>
      </c>
    </row>
    <row r="6598" spans="9:10" x14ac:dyDescent="0.3">
      <c r="I6598" t="s">
        <v>14076</v>
      </c>
    </row>
    <row r="6599" spans="9:10" x14ac:dyDescent="0.3">
      <c r="I6599" t="s">
        <v>14077</v>
      </c>
      <c r="J6599">
        <v>0</v>
      </c>
    </row>
    <row r="6600" spans="9:10" x14ac:dyDescent="0.3">
      <c r="I6600" t="s">
        <v>14078</v>
      </c>
      <c r="J6600" t="s">
        <v>2729</v>
      </c>
    </row>
    <row r="6601" spans="9:10" x14ac:dyDescent="0.3">
      <c r="I6601" t="s">
        <v>14079</v>
      </c>
    </row>
    <row r="6602" spans="9:10" x14ac:dyDescent="0.3">
      <c r="I6602" t="s">
        <v>14080</v>
      </c>
      <c r="J6602" t="s">
        <v>2730</v>
      </c>
    </row>
    <row r="6603" spans="9:10" x14ac:dyDescent="0.3">
      <c r="I6603" t="s">
        <v>14081</v>
      </c>
      <c r="J6603" t="s">
        <v>2731</v>
      </c>
    </row>
    <row r="6604" spans="9:10" x14ac:dyDescent="0.3">
      <c r="I6604" t="s">
        <v>14082</v>
      </c>
      <c r="J6604" t="s">
        <v>2731</v>
      </c>
    </row>
    <row r="6605" spans="9:10" x14ac:dyDescent="0.3">
      <c r="I6605" t="s">
        <v>14083</v>
      </c>
      <c r="J6605" t="s">
        <v>2732</v>
      </c>
    </row>
    <row r="6606" spans="9:10" x14ac:dyDescent="0.3">
      <c r="I6606" t="s">
        <v>14084</v>
      </c>
    </row>
    <row r="6607" spans="9:10" x14ac:dyDescent="0.3">
      <c r="I6607" t="s">
        <v>14085</v>
      </c>
      <c r="J6607" t="s">
        <v>2733</v>
      </c>
    </row>
    <row r="6608" spans="9:10" x14ac:dyDescent="0.3">
      <c r="I6608" t="s">
        <v>14086</v>
      </c>
      <c r="J6608" t="s">
        <v>2734</v>
      </c>
    </row>
    <row r="6609" spans="9:10" x14ac:dyDescent="0.3">
      <c r="I6609" t="s">
        <v>14087</v>
      </c>
      <c r="J6609" t="s">
        <v>2735</v>
      </c>
    </row>
    <row r="6610" spans="9:10" x14ac:dyDescent="0.3">
      <c r="I6610" t="s">
        <v>14088</v>
      </c>
      <c r="J6610" t="s">
        <v>2735</v>
      </c>
    </row>
    <row r="6611" spans="9:10" x14ac:dyDescent="0.3">
      <c r="I6611" t="s">
        <v>14089</v>
      </c>
      <c r="J6611" t="s">
        <v>2736</v>
      </c>
    </row>
    <row r="6612" spans="9:10" x14ac:dyDescent="0.3">
      <c r="I6612" t="s">
        <v>14090</v>
      </c>
      <c r="J6612" t="s">
        <v>2736</v>
      </c>
    </row>
    <row r="6613" spans="9:10" x14ac:dyDescent="0.3">
      <c r="I6613" t="s">
        <v>14091</v>
      </c>
    </row>
    <row r="6614" spans="9:10" x14ac:dyDescent="0.3">
      <c r="I6614" t="s">
        <v>14092</v>
      </c>
      <c r="J6614" t="s">
        <v>2737</v>
      </c>
    </row>
    <row r="6615" spans="9:10" x14ac:dyDescent="0.3">
      <c r="I6615" t="s">
        <v>14093</v>
      </c>
    </row>
    <row r="6616" spans="9:10" x14ac:dyDescent="0.3">
      <c r="I6616" t="s">
        <v>14094</v>
      </c>
      <c r="J6616" t="s">
        <v>2738</v>
      </c>
    </row>
    <row r="6617" spans="9:10" x14ac:dyDescent="0.3">
      <c r="I6617" t="s">
        <v>14095</v>
      </c>
      <c r="J6617" t="s">
        <v>2739</v>
      </c>
    </row>
    <row r="6618" spans="9:10" x14ac:dyDescent="0.3">
      <c r="I6618" t="s">
        <v>14096</v>
      </c>
      <c r="J6618" t="s">
        <v>2739</v>
      </c>
    </row>
    <row r="6619" spans="9:10" x14ac:dyDescent="0.3">
      <c r="I6619" t="s">
        <v>14096</v>
      </c>
      <c r="J6619" t="s">
        <v>2739</v>
      </c>
    </row>
    <row r="6620" spans="9:10" x14ac:dyDescent="0.3">
      <c r="I6620" t="s">
        <v>14095</v>
      </c>
      <c r="J6620" t="s">
        <v>2739</v>
      </c>
    </row>
    <row r="6621" spans="9:10" x14ac:dyDescent="0.3">
      <c r="I6621" t="s">
        <v>14097</v>
      </c>
      <c r="J6621" t="s">
        <v>2740</v>
      </c>
    </row>
    <row r="6622" spans="9:10" x14ac:dyDescent="0.3">
      <c r="I6622" t="s">
        <v>14098</v>
      </c>
      <c r="J6622" t="s">
        <v>2741</v>
      </c>
    </row>
    <row r="6623" spans="9:10" x14ac:dyDescent="0.3">
      <c r="I6623" t="s">
        <v>14098</v>
      </c>
      <c r="J6623" t="s">
        <v>2741</v>
      </c>
    </row>
    <row r="6624" spans="9:10" x14ac:dyDescent="0.3">
      <c r="I6624" t="s">
        <v>14098</v>
      </c>
      <c r="J6624" t="s">
        <v>2741</v>
      </c>
    </row>
    <row r="6625" spans="9:10" x14ac:dyDescent="0.3">
      <c r="I6625" t="s">
        <v>14099</v>
      </c>
      <c r="J6625" t="s">
        <v>2742</v>
      </c>
    </row>
    <row r="6626" spans="9:10" x14ac:dyDescent="0.3">
      <c r="I6626" t="s">
        <v>14100</v>
      </c>
    </row>
    <row r="6627" spans="9:10" x14ac:dyDescent="0.3">
      <c r="I6627" t="s">
        <v>14101</v>
      </c>
      <c r="J6627" t="s">
        <v>2743</v>
      </c>
    </row>
    <row r="6628" spans="9:10" x14ac:dyDescent="0.3">
      <c r="I6628" t="s">
        <v>14102</v>
      </c>
      <c r="J6628" t="s">
        <v>2744</v>
      </c>
    </row>
    <row r="6629" spans="9:10" x14ac:dyDescent="0.3">
      <c r="I6629" t="s">
        <v>14103</v>
      </c>
      <c r="J6629" t="s">
        <v>2745</v>
      </c>
    </row>
    <row r="6630" spans="9:10" x14ac:dyDescent="0.3">
      <c r="I6630" t="s">
        <v>14104</v>
      </c>
      <c r="J6630" t="s">
        <v>2746</v>
      </c>
    </row>
    <row r="6631" spans="9:10" x14ac:dyDescent="0.3">
      <c r="I6631" t="s">
        <v>14105</v>
      </c>
    </row>
    <row r="6632" spans="9:10" x14ac:dyDescent="0.3">
      <c r="I6632" t="s">
        <v>14106</v>
      </c>
      <c r="J6632" t="s">
        <v>2747</v>
      </c>
    </row>
    <row r="6633" spans="9:10" x14ac:dyDescent="0.3">
      <c r="I6633" t="s">
        <v>14107</v>
      </c>
    </row>
    <row r="6634" spans="9:10" x14ac:dyDescent="0.3">
      <c r="I6634" t="s">
        <v>14108</v>
      </c>
      <c r="J6634" t="s">
        <v>2748</v>
      </c>
    </row>
    <row r="6635" spans="9:10" x14ac:dyDescent="0.3">
      <c r="I6635" t="s">
        <v>14108</v>
      </c>
      <c r="J6635" t="s">
        <v>2748</v>
      </c>
    </row>
    <row r="6636" spans="9:10" x14ac:dyDescent="0.3">
      <c r="I6636" t="s">
        <v>14108</v>
      </c>
      <c r="J6636" t="s">
        <v>2748</v>
      </c>
    </row>
    <row r="6637" spans="9:10" x14ac:dyDescent="0.3">
      <c r="I6637" t="s">
        <v>14109</v>
      </c>
      <c r="J6637" t="s">
        <v>2749</v>
      </c>
    </row>
    <row r="6638" spans="9:10" x14ac:dyDescent="0.3">
      <c r="I6638" t="s">
        <v>14110</v>
      </c>
      <c r="J6638" t="s">
        <v>2750</v>
      </c>
    </row>
    <row r="6639" spans="9:10" x14ac:dyDescent="0.3">
      <c r="I6639" t="s">
        <v>14111</v>
      </c>
      <c r="J6639" t="s">
        <v>2750</v>
      </c>
    </row>
    <row r="6640" spans="9:10" x14ac:dyDescent="0.3">
      <c r="I6640" t="s">
        <v>14112</v>
      </c>
      <c r="J6640" t="s">
        <v>2750</v>
      </c>
    </row>
    <row r="6641" spans="9:10" x14ac:dyDescent="0.3">
      <c r="I6641" t="s">
        <v>14112</v>
      </c>
      <c r="J6641" t="s">
        <v>2750</v>
      </c>
    </row>
    <row r="6642" spans="9:10" x14ac:dyDescent="0.3">
      <c r="I6642" t="s">
        <v>14113</v>
      </c>
    </row>
    <row r="6643" spans="9:10" x14ac:dyDescent="0.3">
      <c r="I6643" t="s">
        <v>14114</v>
      </c>
    </row>
    <row r="6644" spans="9:10" x14ac:dyDescent="0.3">
      <c r="I6644" t="s">
        <v>14115</v>
      </c>
      <c r="J6644" t="s">
        <v>2751</v>
      </c>
    </row>
    <row r="6645" spans="9:10" x14ac:dyDescent="0.3">
      <c r="I6645" t="s">
        <v>14116</v>
      </c>
      <c r="J6645">
        <v>0</v>
      </c>
    </row>
    <row r="6646" spans="9:10" x14ac:dyDescent="0.3">
      <c r="I6646" t="s">
        <v>14117</v>
      </c>
    </row>
    <row r="6647" spans="9:10" x14ac:dyDescent="0.3">
      <c r="I6647" t="s">
        <v>14118</v>
      </c>
      <c r="J6647" t="s">
        <v>2752</v>
      </c>
    </row>
    <row r="6648" spans="9:10" x14ac:dyDescent="0.3">
      <c r="I6648" t="s">
        <v>14119</v>
      </c>
    </row>
    <row r="6649" spans="9:10" x14ac:dyDescent="0.3">
      <c r="I6649" t="s">
        <v>14120</v>
      </c>
      <c r="J6649" t="s">
        <v>2753</v>
      </c>
    </row>
    <row r="6650" spans="9:10" x14ac:dyDescent="0.3">
      <c r="I6650" t="s">
        <v>14121</v>
      </c>
    </row>
    <row r="6651" spans="9:10" x14ac:dyDescent="0.3">
      <c r="I6651" t="s">
        <v>14122</v>
      </c>
    </row>
    <row r="6652" spans="9:10" x14ac:dyDescent="0.3">
      <c r="I6652" t="s">
        <v>14123</v>
      </c>
      <c r="J6652" t="s">
        <v>2754</v>
      </c>
    </row>
    <row r="6653" spans="9:10" x14ac:dyDescent="0.3">
      <c r="I6653" t="s">
        <v>14124</v>
      </c>
    </row>
    <row r="6654" spans="9:10" x14ac:dyDescent="0.3">
      <c r="I6654" t="s">
        <v>14125</v>
      </c>
    </row>
    <row r="6655" spans="9:10" x14ac:dyDescent="0.3">
      <c r="I6655" t="s">
        <v>14126</v>
      </c>
      <c r="J6655">
        <v>0</v>
      </c>
    </row>
    <row r="6656" spans="9:10" x14ac:dyDescent="0.3">
      <c r="I6656" t="s">
        <v>14127</v>
      </c>
      <c r="J6656" t="s">
        <v>2755</v>
      </c>
    </row>
    <row r="6657" spans="9:10" x14ac:dyDescent="0.3">
      <c r="I6657" t="s">
        <v>14128</v>
      </c>
      <c r="J6657" t="s">
        <v>2755</v>
      </c>
    </row>
    <row r="6658" spans="9:10" x14ac:dyDescent="0.3">
      <c r="I6658" t="s">
        <v>14129</v>
      </c>
      <c r="J6658">
        <v>0</v>
      </c>
    </row>
    <row r="6659" spans="9:10" x14ac:dyDescent="0.3">
      <c r="I6659" t="s">
        <v>14130</v>
      </c>
      <c r="J6659" t="s">
        <v>2756</v>
      </c>
    </row>
    <row r="6660" spans="9:10" x14ac:dyDescent="0.3">
      <c r="I6660" t="s">
        <v>14131</v>
      </c>
      <c r="J6660" t="s">
        <v>2756</v>
      </c>
    </row>
    <row r="6661" spans="9:10" x14ac:dyDescent="0.3">
      <c r="I6661" t="s">
        <v>14132</v>
      </c>
      <c r="J6661" t="s">
        <v>2757</v>
      </c>
    </row>
    <row r="6662" spans="9:10" x14ac:dyDescent="0.3">
      <c r="I6662" t="s">
        <v>14133</v>
      </c>
      <c r="J6662" t="s">
        <v>2758</v>
      </c>
    </row>
    <row r="6663" spans="9:10" x14ac:dyDescent="0.3">
      <c r="I6663" t="s">
        <v>14133</v>
      </c>
      <c r="J6663" t="s">
        <v>2758</v>
      </c>
    </row>
    <row r="6664" spans="9:10" x14ac:dyDescent="0.3">
      <c r="I6664" t="s">
        <v>14134</v>
      </c>
      <c r="J6664" t="s">
        <v>2758</v>
      </c>
    </row>
    <row r="6665" spans="9:10" x14ac:dyDescent="0.3">
      <c r="I6665" t="s">
        <v>14135</v>
      </c>
      <c r="J6665" t="s">
        <v>2758</v>
      </c>
    </row>
    <row r="6666" spans="9:10" x14ac:dyDescent="0.3">
      <c r="I6666" t="s">
        <v>14133</v>
      </c>
      <c r="J6666" t="s">
        <v>2758</v>
      </c>
    </row>
    <row r="6667" spans="9:10" x14ac:dyDescent="0.3">
      <c r="I6667" t="s">
        <v>14136</v>
      </c>
      <c r="J6667" t="s">
        <v>2759</v>
      </c>
    </row>
    <row r="6668" spans="9:10" x14ac:dyDescent="0.3">
      <c r="I6668" t="s">
        <v>14137</v>
      </c>
      <c r="J6668" t="s">
        <v>2760</v>
      </c>
    </row>
    <row r="6669" spans="9:10" x14ac:dyDescent="0.3">
      <c r="I6669" t="s">
        <v>14138</v>
      </c>
      <c r="J6669" t="s">
        <v>2761</v>
      </c>
    </row>
    <row r="6670" spans="9:10" x14ac:dyDescent="0.3">
      <c r="I6670" t="s">
        <v>14139</v>
      </c>
      <c r="J6670" t="s">
        <v>2762</v>
      </c>
    </row>
    <row r="6671" spans="9:10" x14ac:dyDescent="0.3">
      <c r="I6671" t="s">
        <v>14140</v>
      </c>
      <c r="J6671" t="s">
        <v>2763</v>
      </c>
    </row>
    <row r="6672" spans="9:10" x14ac:dyDescent="0.3">
      <c r="I6672" t="s">
        <v>14141</v>
      </c>
      <c r="J6672" t="s">
        <v>2764</v>
      </c>
    </row>
    <row r="6673" spans="9:10" x14ac:dyDescent="0.3">
      <c r="I6673" t="s">
        <v>14142</v>
      </c>
      <c r="J6673" t="s">
        <v>2765</v>
      </c>
    </row>
    <row r="6674" spans="9:10" x14ac:dyDescent="0.3">
      <c r="I6674" t="s">
        <v>14143</v>
      </c>
      <c r="J6674" t="s">
        <v>2766</v>
      </c>
    </row>
    <row r="6675" spans="9:10" x14ac:dyDescent="0.3">
      <c r="I6675" t="s">
        <v>14144</v>
      </c>
      <c r="J6675" t="s">
        <v>2767</v>
      </c>
    </row>
    <row r="6676" spans="9:10" x14ac:dyDescent="0.3">
      <c r="I6676" t="s">
        <v>14145</v>
      </c>
      <c r="J6676" t="s">
        <v>2767</v>
      </c>
    </row>
    <row r="6677" spans="9:10" x14ac:dyDescent="0.3">
      <c r="I6677" t="s">
        <v>14145</v>
      </c>
      <c r="J6677" t="s">
        <v>2767</v>
      </c>
    </row>
    <row r="6678" spans="9:10" x14ac:dyDescent="0.3">
      <c r="I6678" t="s">
        <v>14145</v>
      </c>
      <c r="J6678" t="s">
        <v>2767</v>
      </c>
    </row>
    <row r="6679" spans="9:10" x14ac:dyDescent="0.3">
      <c r="I6679" t="s">
        <v>14146</v>
      </c>
      <c r="J6679" t="s">
        <v>2768</v>
      </c>
    </row>
    <row r="6680" spans="9:10" x14ac:dyDescent="0.3">
      <c r="I6680" t="s">
        <v>14147</v>
      </c>
      <c r="J6680" t="s">
        <v>2768</v>
      </c>
    </row>
    <row r="6681" spans="9:10" x14ac:dyDescent="0.3">
      <c r="I6681" t="s">
        <v>14148</v>
      </c>
      <c r="J6681" t="s">
        <v>1054</v>
      </c>
    </row>
    <row r="6682" spans="9:10" x14ac:dyDescent="0.3">
      <c r="I6682" t="s">
        <v>14149</v>
      </c>
      <c r="J6682">
        <v>0</v>
      </c>
    </row>
    <row r="6683" spans="9:10" x14ac:dyDescent="0.3">
      <c r="I6683" t="s">
        <v>14150</v>
      </c>
    </row>
    <row r="6684" spans="9:10" x14ac:dyDescent="0.3">
      <c r="I6684" t="s">
        <v>14151</v>
      </c>
      <c r="J6684" t="s">
        <v>2102</v>
      </c>
    </row>
    <row r="6685" spans="9:10" x14ac:dyDescent="0.3">
      <c r="I6685" t="s">
        <v>14152</v>
      </c>
    </row>
    <row r="6686" spans="9:10" x14ac:dyDescent="0.3">
      <c r="I6686" t="s">
        <v>14153</v>
      </c>
      <c r="J6686">
        <v>0</v>
      </c>
    </row>
    <row r="6687" spans="9:10" x14ac:dyDescent="0.3">
      <c r="I6687" t="s">
        <v>14154</v>
      </c>
      <c r="J6687" t="s">
        <v>2769</v>
      </c>
    </row>
    <row r="6688" spans="9:10" x14ac:dyDescent="0.3">
      <c r="I6688" t="s">
        <v>14155</v>
      </c>
      <c r="J6688" t="s">
        <v>2769</v>
      </c>
    </row>
    <row r="6689" spans="9:10" x14ac:dyDescent="0.3">
      <c r="I6689" t="s">
        <v>14156</v>
      </c>
    </row>
    <row r="6690" spans="9:10" x14ac:dyDescent="0.3">
      <c r="I6690" t="s">
        <v>14157</v>
      </c>
      <c r="J6690" t="s">
        <v>2770</v>
      </c>
    </row>
    <row r="6691" spans="9:10" x14ac:dyDescent="0.3">
      <c r="I6691" t="s">
        <v>14158</v>
      </c>
      <c r="J6691" t="s">
        <v>2770</v>
      </c>
    </row>
    <row r="6692" spans="9:10" x14ac:dyDescent="0.3">
      <c r="I6692" t="s">
        <v>14159</v>
      </c>
      <c r="J6692" t="s">
        <v>2771</v>
      </c>
    </row>
    <row r="6693" spans="9:10" x14ac:dyDescent="0.3">
      <c r="I6693" t="s">
        <v>14160</v>
      </c>
    </row>
    <row r="6694" spans="9:10" x14ac:dyDescent="0.3">
      <c r="I6694" t="s">
        <v>14161</v>
      </c>
      <c r="J6694" t="s">
        <v>2772</v>
      </c>
    </row>
    <row r="6695" spans="9:10" x14ac:dyDescent="0.3">
      <c r="I6695" t="s">
        <v>14162</v>
      </c>
    </row>
    <row r="6696" spans="9:10" x14ac:dyDescent="0.3">
      <c r="I6696" t="s">
        <v>14163</v>
      </c>
      <c r="J6696" t="s">
        <v>2773</v>
      </c>
    </row>
    <row r="6697" spans="9:10" x14ac:dyDescent="0.3">
      <c r="I6697" t="s">
        <v>14164</v>
      </c>
      <c r="J6697" t="s">
        <v>2774</v>
      </c>
    </row>
    <row r="6698" spans="9:10" x14ac:dyDescent="0.3">
      <c r="I6698" t="s">
        <v>14165</v>
      </c>
      <c r="J6698" t="s">
        <v>2775</v>
      </c>
    </row>
    <row r="6699" spans="9:10" x14ac:dyDescent="0.3">
      <c r="I6699" t="s">
        <v>14166</v>
      </c>
    </row>
    <row r="6700" spans="9:10" x14ac:dyDescent="0.3">
      <c r="I6700" t="s">
        <v>14167</v>
      </c>
    </row>
    <row r="6701" spans="9:10" x14ac:dyDescent="0.3">
      <c r="I6701" t="s">
        <v>14168</v>
      </c>
      <c r="J6701">
        <v>0</v>
      </c>
    </row>
    <row r="6702" spans="9:10" x14ac:dyDescent="0.3">
      <c r="I6702" t="s">
        <v>14169</v>
      </c>
      <c r="J6702" t="s">
        <v>2776</v>
      </c>
    </row>
    <row r="6703" spans="9:10" x14ac:dyDescent="0.3">
      <c r="I6703" t="s">
        <v>14170</v>
      </c>
      <c r="J6703" t="s">
        <v>2045</v>
      </c>
    </row>
    <row r="6704" spans="9:10" x14ac:dyDescent="0.3">
      <c r="I6704" t="s">
        <v>14171</v>
      </c>
      <c r="J6704" t="s">
        <v>2777</v>
      </c>
    </row>
    <row r="6705" spans="9:10" x14ac:dyDescent="0.3">
      <c r="I6705" t="s">
        <v>14172</v>
      </c>
    </row>
    <row r="6706" spans="9:10" x14ac:dyDescent="0.3">
      <c r="I6706" t="s">
        <v>14173</v>
      </c>
      <c r="J6706" t="s">
        <v>541</v>
      </c>
    </row>
    <row r="6707" spans="9:10" x14ac:dyDescent="0.3">
      <c r="I6707" t="s">
        <v>14174</v>
      </c>
      <c r="J6707" t="s">
        <v>2778</v>
      </c>
    </row>
    <row r="6708" spans="9:10" x14ac:dyDescent="0.3">
      <c r="I6708" t="s">
        <v>14175</v>
      </c>
      <c r="J6708" t="s">
        <v>2779</v>
      </c>
    </row>
    <row r="6709" spans="9:10" x14ac:dyDescent="0.3">
      <c r="I6709" t="s">
        <v>14176</v>
      </c>
    </row>
    <row r="6710" spans="9:10" x14ac:dyDescent="0.3">
      <c r="I6710" t="s">
        <v>14177</v>
      </c>
    </row>
    <row r="6711" spans="9:10" x14ac:dyDescent="0.3">
      <c r="I6711" t="s">
        <v>14178</v>
      </c>
    </row>
    <row r="6712" spans="9:10" x14ac:dyDescent="0.3">
      <c r="I6712" t="s">
        <v>14179</v>
      </c>
    </row>
    <row r="6713" spans="9:10" x14ac:dyDescent="0.3">
      <c r="I6713" t="s">
        <v>14180</v>
      </c>
    </row>
    <row r="6714" spans="9:10" x14ac:dyDescent="0.3">
      <c r="I6714" t="s">
        <v>14181</v>
      </c>
    </row>
    <row r="6715" spans="9:10" x14ac:dyDescent="0.3">
      <c r="I6715" t="s">
        <v>14182</v>
      </c>
      <c r="J6715">
        <v>0</v>
      </c>
    </row>
    <row r="6716" spans="9:10" x14ac:dyDescent="0.3">
      <c r="I6716" t="s">
        <v>14183</v>
      </c>
      <c r="J6716">
        <v>0</v>
      </c>
    </row>
    <row r="6717" spans="9:10" x14ac:dyDescent="0.3">
      <c r="I6717" t="s">
        <v>14184</v>
      </c>
    </row>
    <row r="6718" spans="9:10" x14ac:dyDescent="0.3">
      <c r="I6718" t="s">
        <v>14185</v>
      </c>
    </row>
    <row r="6719" spans="9:10" x14ac:dyDescent="0.3">
      <c r="I6719" t="s">
        <v>14186</v>
      </c>
      <c r="J6719" t="s">
        <v>2780</v>
      </c>
    </row>
    <row r="6720" spans="9:10" x14ac:dyDescent="0.3">
      <c r="I6720" t="s">
        <v>14187</v>
      </c>
    </row>
    <row r="6721" spans="9:10" x14ac:dyDescent="0.3">
      <c r="I6721" t="s">
        <v>14188</v>
      </c>
      <c r="J6721" t="s">
        <v>2781</v>
      </c>
    </row>
    <row r="6722" spans="9:10" x14ac:dyDescent="0.3">
      <c r="I6722" t="s">
        <v>14189</v>
      </c>
      <c r="J6722" t="s">
        <v>2782</v>
      </c>
    </row>
    <row r="6723" spans="9:10" x14ac:dyDescent="0.3">
      <c r="I6723" t="s">
        <v>14190</v>
      </c>
    </row>
    <row r="6724" spans="9:10" x14ac:dyDescent="0.3">
      <c r="I6724" t="s">
        <v>14191</v>
      </c>
      <c r="J6724" t="s">
        <v>2783</v>
      </c>
    </row>
    <row r="6725" spans="9:10" x14ac:dyDescent="0.3">
      <c r="I6725" t="s">
        <v>14192</v>
      </c>
    </row>
    <row r="6726" spans="9:10" x14ac:dyDescent="0.3">
      <c r="I6726" t="s">
        <v>14193</v>
      </c>
    </row>
    <row r="6727" spans="9:10" x14ac:dyDescent="0.3">
      <c r="I6727" t="s">
        <v>14193</v>
      </c>
    </row>
    <row r="6728" spans="9:10" x14ac:dyDescent="0.3">
      <c r="I6728" t="s">
        <v>14194</v>
      </c>
    </row>
    <row r="6729" spans="9:10" x14ac:dyDescent="0.3">
      <c r="I6729" t="s">
        <v>14195</v>
      </c>
    </row>
    <row r="6730" spans="9:10" x14ac:dyDescent="0.3">
      <c r="I6730" t="s">
        <v>14196</v>
      </c>
      <c r="J6730" t="s">
        <v>2045</v>
      </c>
    </row>
    <row r="6731" spans="9:10" x14ac:dyDescent="0.3">
      <c r="I6731" t="s">
        <v>14197</v>
      </c>
      <c r="J6731" t="s">
        <v>2784</v>
      </c>
    </row>
    <row r="6732" spans="9:10" x14ac:dyDescent="0.3">
      <c r="I6732" t="s">
        <v>14198</v>
      </c>
    </row>
    <row r="6733" spans="9:10" x14ac:dyDescent="0.3">
      <c r="I6733" t="s">
        <v>14199</v>
      </c>
    </row>
    <row r="6734" spans="9:10" x14ac:dyDescent="0.3">
      <c r="I6734" t="s">
        <v>14200</v>
      </c>
      <c r="J6734" t="s">
        <v>2045</v>
      </c>
    </row>
    <row r="6735" spans="9:10" x14ac:dyDescent="0.3">
      <c r="I6735" t="s">
        <v>14201</v>
      </c>
      <c r="J6735" t="s">
        <v>2785</v>
      </c>
    </row>
    <row r="6736" spans="9:10" x14ac:dyDescent="0.3">
      <c r="I6736" t="s">
        <v>14202</v>
      </c>
      <c r="J6736" t="s">
        <v>2786</v>
      </c>
    </row>
    <row r="6737" spans="9:10" x14ac:dyDescent="0.3">
      <c r="I6737" t="s">
        <v>14202</v>
      </c>
      <c r="J6737" t="s">
        <v>2786</v>
      </c>
    </row>
    <row r="6738" spans="9:10" x14ac:dyDescent="0.3">
      <c r="I6738" t="s">
        <v>14203</v>
      </c>
    </row>
    <row r="6739" spans="9:10" x14ac:dyDescent="0.3">
      <c r="I6739" t="s">
        <v>14204</v>
      </c>
      <c r="J6739" t="s">
        <v>2787</v>
      </c>
    </row>
    <row r="6740" spans="9:10" x14ac:dyDescent="0.3">
      <c r="I6740" t="s">
        <v>14204</v>
      </c>
      <c r="J6740" t="s">
        <v>2787</v>
      </c>
    </row>
    <row r="6741" spans="9:10" x14ac:dyDescent="0.3">
      <c r="I6741" t="s">
        <v>14205</v>
      </c>
      <c r="J6741" t="s">
        <v>2788</v>
      </c>
    </row>
    <row r="6742" spans="9:10" x14ac:dyDescent="0.3">
      <c r="I6742" t="s">
        <v>14206</v>
      </c>
    </row>
    <row r="6743" spans="9:10" x14ac:dyDescent="0.3">
      <c r="I6743" t="s">
        <v>14207</v>
      </c>
    </row>
    <row r="6744" spans="9:10" x14ac:dyDescent="0.3">
      <c r="I6744" t="s">
        <v>14208</v>
      </c>
      <c r="J6744" t="s">
        <v>2789</v>
      </c>
    </row>
    <row r="6745" spans="9:10" x14ac:dyDescent="0.3">
      <c r="I6745" t="s">
        <v>14209</v>
      </c>
      <c r="J6745" t="s">
        <v>680</v>
      </c>
    </row>
    <row r="6746" spans="9:10" x14ac:dyDescent="0.3">
      <c r="I6746" t="s">
        <v>14210</v>
      </c>
      <c r="J6746">
        <v>0</v>
      </c>
    </row>
    <row r="6747" spans="9:10" x14ac:dyDescent="0.3">
      <c r="I6747" t="s">
        <v>14211</v>
      </c>
      <c r="J6747" t="s">
        <v>2790</v>
      </c>
    </row>
    <row r="6748" spans="9:10" x14ac:dyDescent="0.3">
      <c r="I6748" t="s">
        <v>14212</v>
      </c>
      <c r="J6748" t="s">
        <v>2791</v>
      </c>
    </row>
    <row r="6749" spans="9:10" x14ac:dyDescent="0.3">
      <c r="I6749" t="s">
        <v>14213</v>
      </c>
    </row>
    <row r="6750" spans="9:10" x14ac:dyDescent="0.3">
      <c r="I6750" t="s">
        <v>14214</v>
      </c>
      <c r="J6750" t="s">
        <v>2792</v>
      </c>
    </row>
    <row r="6751" spans="9:10" x14ac:dyDescent="0.3">
      <c r="I6751" t="s">
        <v>14215</v>
      </c>
      <c r="J6751" t="s">
        <v>2793</v>
      </c>
    </row>
    <row r="6752" spans="9:10" x14ac:dyDescent="0.3">
      <c r="I6752" t="s">
        <v>14216</v>
      </c>
      <c r="J6752">
        <v>0</v>
      </c>
    </row>
    <row r="6753" spans="9:10" x14ac:dyDescent="0.3">
      <c r="I6753" t="s">
        <v>14217</v>
      </c>
      <c r="J6753" t="s">
        <v>2794</v>
      </c>
    </row>
    <row r="6754" spans="9:10" x14ac:dyDescent="0.3">
      <c r="I6754" t="s">
        <v>14217</v>
      </c>
      <c r="J6754" t="s">
        <v>2794</v>
      </c>
    </row>
    <row r="6755" spans="9:10" x14ac:dyDescent="0.3">
      <c r="I6755" t="s">
        <v>14218</v>
      </c>
      <c r="J6755" t="s">
        <v>2794</v>
      </c>
    </row>
    <row r="6756" spans="9:10" x14ac:dyDescent="0.3">
      <c r="I6756" t="s">
        <v>14219</v>
      </c>
    </row>
    <row r="6757" spans="9:10" x14ac:dyDescent="0.3">
      <c r="I6757" t="s">
        <v>14220</v>
      </c>
      <c r="J6757" t="s">
        <v>543</v>
      </c>
    </row>
    <row r="6758" spans="9:10" x14ac:dyDescent="0.3">
      <c r="I6758" t="s">
        <v>14221</v>
      </c>
    </row>
    <row r="6759" spans="9:10" x14ac:dyDescent="0.3">
      <c r="I6759" t="s">
        <v>14222</v>
      </c>
    </row>
    <row r="6760" spans="9:10" x14ac:dyDescent="0.3">
      <c r="I6760" t="s">
        <v>14223</v>
      </c>
      <c r="J6760" t="s">
        <v>2795</v>
      </c>
    </row>
    <row r="6761" spans="9:10" x14ac:dyDescent="0.3">
      <c r="I6761" t="s">
        <v>14224</v>
      </c>
      <c r="J6761" t="s">
        <v>2796</v>
      </c>
    </row>
    <row r="6762" spans="9:10" x14ac:dyDescent="0.3">
      <c r="I6762" t="s">
        <v>14225</v>
      </c>
      <c r="J6762">
        <v>0</v>
      </c>
    </row>
    <row r="6763" spans="9:10" x14ac:dyDescent="0.3">
      <c r="I6763" t="s">
        <v>14226</v>
      </c>
    </row>
    <row r="6764" spans="9:10" x14ac:dyDescent="0.3">
      <c r="I6764" t="s">
        <v>14227</v>
      </c>
    </row>
    <row r="6765" spans="9:10" x14ac:dyDescent="0.3">
      <c r="I6765" t="s">
        <v>14228</v>
      </c>
    </row>
    <row r="6766" spans="9:10" x14ac:dyDescent="0.3">
      <c r="I6766" t="s">
        <v>14229</v>
      </c>
    </row>
    <row r="6767" spans="9:10" x14ac:dyDescent="0.3">
      <c r="I6767" t="s">
        <v>14230</v>
      </c>
      <c r="J6767">
        <v>0</v>
      </c>
    </row>
    <row r="6768" spans="9:10" x14ac:dyDescent="0.3">
      <c r="I6768" t="s">
        <v>14231</v>
      </c>
      <c r="J6768" t="s">
        <v>2797</v>
      </c>
    </row>
    <row r="6769" spans="9:10" x14ac:dyDescent="0.3">
      <c r="I6769" t="s">
        <v>14232</v>
      </c>
      <c r="J6769" t="s">
        <v>2798</v>
      </c>
    </row>
    <row r="6770" spans="9:10" x14ac:dyDescent="0.3">
      <c r="I6770" t="s">
        <v>14233</v>
      </c>
      <c r="J6770" t="s">
        <v>2798</v>
      </c>
    </row>
    <row r="6771" spans="9:10" x14ac:dyDescent="0.3">
      <c r="I6771" t="s">
        <v>14234</v>
      </c>
    </row>
    <row r="6772" spans="9:10" x14ac:dyDescent="0.3">
      <c r="I6772" t="s">
        <v>14235</v>
      </c>
    </row>
    <row r="6773" spans="9:10" x14ac:dyDescent="0.3">
      <c r="I6773" t="s">
        <v>14236</v>
      </c>
    </row>
    <row r="6774" spans="9:10" x14ac:dyDescent="0.3">
      <c r="I6774" t="s">
        <v>14237</v>
      </c>
      <c r="J6774" t="s">
        <v>579</v>
      </c>
    </row>
    <row r="6775" spans="9:10" x14ac:dyDescent="0.3">
      <c r="I6775" t="s">
        <v>14238</v>
      </c>
      <c r="J6775" t="s">
        <v>579</v>
      </c>
    </row>
    <row r="6776" spans="9:10" x14ac:dyDescent="0.3">
      <c r="I6776" t="s">
        <v>14239</v>
      </c>
      <c r="J6776" t="s">
        <v>2799</v>
      </c>
    </row>
    <row r="6777" spans="9:10" x14ac:dyDescent="0.3">
      <c r="I6777" t="s">
        <v>14239</v>
      </c>
      <c r="J6777" t="s">
        <v>2799</v>
      </c>
    </row>
    <row r="6778" spans="9:10" x14ac:dyDescent="0.3">
      <c r="I6778" t="s">
        <v>14240</v>
      </c>
      <c r="J6778" t="s">
        <v>2800</v>
      </c>
    </row>
    <row r="6779" spans="9:10" x14ac:dyDescent="0.3">
      <c r="I6779" t="s">
        <v>14241</v>
      </c>
      <c r="J6779" t="s">
        <v>2801</v>
      </c>
    </row>
    <row r="6780" spans="9:10" x14ac:dyDescent="0.3">
      <c r="I6780" t="s">
        <v>14242</v>
      </c>
      <c r="J6780" t="s">
        <v>2801</v>
      </c>
    </row>
    <row r="6781" spans="9:10" x14ac:dyDescent="0.3">
      <c r="I6781" t="s">
        <v>14243</v>
      </c>
      <c r="J6781" t="s">
        <v>2801</v>
      </c>
    </row>
    <row r="6782" spans="9:10" x14ac:dyDescent="0.3">
      <c r="I6782" t="s">
        <v>14244</v>
      </c>
      <c r="J6782" t="s">
        <v>2802</v>
      </c>
    </row>
    <row r="6783" spans="9:10" x14ac:dyDescent="0.3">
      <c r="I6783" t="s">
        <v>14245</v>
      </c>
      <c r="J6783" t="s">
        <v>2802</v>
      </c>
    </row>
    <row r="6784" spans="9:10" x14ac:dyDescent="0.3">
      <c r="I6784" t="s">
        <v>14246</v>
      </c>
      <c r="J6784" t="s">
        <v>2803</v>
      </c>
    </row>
    <row r="6785" spans="9:10" x14ac:dyDescent="0.3">
      <c r="I6785" t="s">
        <v>14246</v>
      </c>
      <c r="J6785" t="s">
        <v>2803</v>
      </c>
    </row>
    <row r="6786" spans="9:10" x14ac:dyDescent="0.3">
      <c r="I6786" t="s">
        <v>14247</v>
      </c>
      <c r="J6786" t="s">
        <v>2804</v>
      </c>
    </row>
    <row r="6787" spans="9:10" x14ac:dyDescent="0.3">
      <c r="I6787" t="s">
        <v>14248</v>
      </c>
      <c r="J6787" t="s">
        <v>2805</v>
      </c>
    </row>
    <row r="6788" spans="9:10" x14ac:dyDescent="0.3">
      <c r="I6788" t="s">
        <v>14249</v>
      </c>
      <c r="J6788" t="s">
        <v>2805</v>
      </c>
    </row>
    <row r="6789" spans="9:10" x14ac:dyDescent="0.3">
      <c r="I6789" t="s">
        <v>14250</v>
      </c>
      <c r="J6789" t="s">
        <v>2805</v>
      </c>
    </row>
    <row r="6790" spans="9:10" x14ac:dyDescent="0.3">
      <c r="I6790" t="s">
        <v>14250</v>
      </c>
      <c r="J6790" t="s">
        <v>2805</v>
      </c>
    </row>
    <row r="6791" spans="9:10" x14ac:dyDescent="0.3">
      <c r="I6791" t="s">
        <v>14250</v>
      </c>
      <c r="J6791" t="s">
        <v>2805</v>
      </c>
    </row>
    <row r="6792" spans="9:10" x14ac:dyDescent="0.3">
      <c r="I6792" t="s">
        <v>14250</v>
      </c>
      <c r="J6792" t="s">
        <v>2805</v>
      </c>
    </row>
    <row r="6793" spans="9:10" x14ac:dyDescent="0.3">
      <c r="I6793" t="s">
        <v>14251</v>
      </c>
      <c r="J6793" t="s">
        <v>2805</v>
      </c>
    </row>
    <row r="6794" spans="9:10" x14ac:dyDescent="0.3">
      <c r="I6794" t="s">
        <v>14250</v>
      </c>
      <c r="J6794" t="s">
        <v>2805</v>
      </c>
    </row>
    <row r="6795" spans="9:10" x14ac:dyDescent="0.3">
      <c r="I6795" t="s">
        <v>14252</v>
      </c>
      <c r="J6795" t="s">
        <v>2805</v>
      </c>
    </row>
    <row r="6796" spans="9:10" x14ac:dyDescent="0.3">
      <c r="I6796" t="s">
        <v>14253</v>
      </c>
      <c r="J6796" t="s">
        <v>2805</v>
      </c>
    </row>
    <row r="6797" spans="9:10" x14ac:dyDescent="0.3">
      <c r="I6797" t="s">
        <v>14254</v>
      </c>
      <c r="J6797" t="s">
        <v>2805</v>
      </c>
    </row>
    <row r="6798" spans="9:10" x14ac:dyDescent="0.3">
      <c r="I6798" t="s">
        <v>14255</v>
      </c>
      <c r="J6798" t="s">
        <v>2805</v>
      </c>
    </row>
    <row r="6799" spans="9:10" x14ac:dyDescent="0.3">
      <c r="I6799" t="s">
        <v>14250</v>
      </c>
      <c r="J6799" t="s">
        <v>2805</v>
      </c>
    </row>
    <row r="6800" spans="9:10" x14ac:dyDescent="0.3">
      <c r="I6800" t="s">
        <v>14256</v>
      </c>
      <c r="J6800" t="s">
        <v>2805</v>
      </c>
    </row>
    <row r="6801" spans="9:10" x14ac:dyDescent="0.3">
      <c r="I6801" t="s">
        <v>14257</v>
      </c>
      <c r="J6801" t="s">
        <v>2805</v>
      </c>
    </row>
    <row r="6802" spans="9:10" x14ac:dyDescent="0.3">
      <c r="I6802" t="s">
        <v>14258</v>
      </c>
      <c r="J6802" t="s">
        <v>2805</v>
      </c>
    </row>
    <row r="6803" spans="9:10" x14ac:dyDescent="0.3">
      <c r="I6803" t="s">
        <v>14259</v>
      </c>
      <c r="J6803" t="s">
        <v>2805</v>
      </c>
    </row>
    <row r="6804" spans="9:10" x14ac:dyDescent="0.3">
      <c r="I6804" t="s">
        <v>14250</v>
      </c>
      <c r="J6804" t="s">
        <v>2805</v>
      </c>
    </row>
    <row r="6805" spans="9:10" x14ac:dyDescent="0.3">
      <c r="I6805" t="s">
        <v>14250</v>
      </c>
      <c r="J6805" t="s">
        <v>2805</v>
      </c>
    </row>
    <row r="6806" spans="9:10" x14ac:dyDescent="0.3">
      <c r="I6806" t="s">
        <v>14250</v>
      </c>
      <c r="J6806" t="s">
        <v>2805</v>
      </c>
    </row>
    <row r="6807" spans="9:10" x14ac:dyDescent="0.3">
      <c r="I6807" t="s">
        <v>14250</v>
      </c>
      <c r="J6807" t="s">
        <v>2805</v>
      </c>
    </row>
    <row r="6808" spans="9:10" x14ac:dyDescent="0.3">
      <c r="I6808" t="s">
        <v>14250</v>
      </c>
      <c r="J6808" t="s">
        <v>2805</v>
      </c>
    </row>
    <row r="6809" spans="9:10" x14ac:dyDescent="0.3">
      <c r="I6809" t="s">
        <v>14250</v>
      </c>
      <c r="J6809" t="s">
        <v>2805</v>
      </c>
    </row>
    <row r="6810" spans="9:10" x14ac:dyDescent="0.3">
      <c r="I6810" t="s">
        <v>14250</v>
      </c>
      <c r="J6810" t="s">
        <v>2805</v>
      </c>
    </row>
    <row r="6811" spans="9:10" x14ac:dyDescent="0.3">
      <c r="I6811" t="s">
        <v>14250</v>
      </c>
      <c r="J6811" t="s">
        <v>2805</v>
      </c>
    </row>
    <row r="6812" spans="9:10" x14ac:dyDescent="0.3">
      <c r="I6812" t="s">
        <v>14260</v>
      </c>
      <c r="J6812" t="s">
        <v>2805</v>
      </c>
    </row>
    <row r="6813" spans="9:10" x14ac:dyDescent="0.3">
      <c r="I6813" t="s">
        <v>14261</v>
      </c>
      <c r="J6813" t="s">
        <v>2805</v>
      </c>
    </row>
    <row r="6814" spans="9:10" x14ac:dyDescent="0.3">
      <c r="I6814" t="s">
        <v>14262</v>
      </c>
    </row>
    <row r="6815" spans="9:10" x14ac:dyDescent="0.3">
      <c r="I6815" t="s">
        <v>14263</v>
      </c>
    </row>
    <row r="6816" spans="9:10" x14ac:dyDescent="0.3">
      <c r="I6816" t="s">
        <v>14264</v>
      </c>
    </row>
    <row r="6817" spans="9:10" x14ac:dyDescent="0.3">
      <c r="I6817" t="s">
        <v>14265</v>
      </c>
      <c r="J6817" t="s">
        <v>2806</v>
      </c>
    </row>
    <row r="6818" spans="9:10" x14ac:dyDescent="0.3">
      <c r="I6818" t="s">
        <v>14265</v>
      </c>
      <c r="J6818" t="s">
        <v>2806</v>
      </c>
    </row>
    <row r="6819" spans="9:10" x14ac:dyDescent="0.3">
      <c r="I6819" t="s">
        <v>14266</v>
      </c>
    </row>
    <row r="6820" spans="9:10" x14ac:dyDescent="0.3">
      <c r="I6820" t="s">
        <v>14267</v>
      </c>
    </row>
    <row r="6821" spans="9:10" x14ac:dyDescent="0.3">
      <c r="I6821" t="s">
        <v>14268</v>
      </c>
      <c r="J6821" t="s">
        <v>2807</v>
      </c>
    </row>
    <row r="6822" spans="9:10" x14ac:dyDescent="0.3">
      <c r="I6822" t="s">
        <v>14269</v>
      </c>
    </row>
    <row r="6823" spans="9:10" x14ac:dyDescent="0.3">
      <c r="I6823" t="s">
        <v>14270</v>
      </c>
      <c r="J6823" t="s">
        <v>2808</v>
      </c>
    </row>
    <row r="6824" spans="9:10" x14ac:dyDescent="0.3">
      <c r="I6824" t="s">
        <v>14271</v>
      </c>
      <c r="J6824" t="s">
        <v>2809</v>
      </c>
    </row>
    <row r="6825" spans="9:10" x14ac:dyDescent="0.3">
      <c r="I6825" t="s">
        <v>14272</v>
      </c>
      <c r="J6825" t="s">
        <v>2810</v>
      </c>
    </row>
    <row r="6826" spans="9:10" x14ac:dyDescent="0.3">
      <c r="I6826" t="s">
        <v>14273</v>
      </c>
      <c r="J6826" t="s">
        <v>2811</v>
      </c>
    </row>
    <row r="6827" spans="9:10" x14ac:dyDescent="0.3">
      <c r="I6827" t="s">
        <v>14274</v>
      </c>
    </row>
    <row r="6828" spans="9:10" x14ac:dyDescent="0.3">
      <c r="I6828" t="s">
        <v>14275</v>
      </c>
      <c r="J6828" t="s">
        <v>2812</v>
      </c>
    </row>
    <row r="6829" spans="9:10" x14ac:dyDescent="0.3">
      <c r="I6829" t="s">
        <v>14276</v>
      </c>
      <c r="J6829" t="s">
        <v>2812</v>
      </c>
    </row>
    <row r="6830" spans="9:10" x14ac:dyDescent="0.3">
      <c r="I6830" t="s">
        <v>14277</v>
      </c>
      <c r="J6830" t="s">
        <v>2812</v>
      </c>
    </row>
    <row r="6831" spans="9:10" x14ac:dyDescent="0.3">
      <c r="I6831" t="s">
        <v>14278</v>
      </c>
      <c r="J6831" t="s">
        <v>2813</v>
      </c>
    </row>
    <row r="6832" spans="9:10" x14ac:dyDescent="0.3">
      <c r="I6832" t="s">
        <v>14279</v>
      </c>
      <c r="J6832" t="s">
        <v>2814</v>
      </c>
    </row>
    <row r="6833" spans="9:10" x14ac:dyDescent="0.3">
      <c r="I6833" t="s">
        <v>14279</v>
      </c>
      <c r="J6833" t="s">
        <v>2814</v>
      </c>
    </row>
    <row r="6834" spans="9:10" x14ac:dyDescent="0.3">
      <c r="I6834" t="s">
        <v>14280</v>
      </c>
      <c r="J6834" t="s">
        <v>2814</v>
      </c>
    </row>
    <row r="6835" spans="9:10" x14ac:dyDescent="0.3">
      <c r="I6835" t="s">
        <v>14279</v>
      </c>
      <c r="J6835" t="s">
        <v>2814</v>
      </c>
    </row>
    <row r="6836" spans="9:10" x14ac:dyDescent="0.3">
      <c r="I6836" t="s">
        <v>14279</v>
      </c>
      <c r="J6836" t="s">
        <v>2814</v>
      </c>
    </row>
    <row r="6837" spans="9:10" x14ac:dyDescent="0.3">
      <c r="I6837" t="s">
        <v>14281</v>
      </c>
    </row>
    <row r="6838" spans="9:10" x14ac:dyDescent="0.3">
      <c r="I6838" t="s">
        <v>14282</v>
      </c>
      <c r="J6838" t="s">
        <v>2815</v>
      </c>
    </row>
    <row r="6839" spans="9:10" x14ac:dyDescent="0.3">
      <c r="I6839" t="s">
        <v>14283</v>
      </c>
      <c r="J6839" t="s">
        <v>2816</v>
      </c>
    </row>
    <row r="6840" spans="9:10" x14ac:dyDescent="0.3">
      <c r="I6840" t="s">
        <v>14284</v>
      </c>
      <c r="J6840" t="s">
        <v>2817</v>
      </c>
    </row>
    <row r="6841" spans="9:10" x14ac:dyDescent="0.3">
      <c r="I6841" t="s">
        <v>14285</v>
      </c>
      <c r="J6841" t="s">
        <v>2818</v>
      </c>
    </row>
    <row r="6842" spans="9:10" x14ac:dyDescent="0.3">
      <c r="I6842" t="s">
        <v>14286</v>
      </c>
      <c r="J6842" t="s">
        <v>2819</v>
      </c>
    </row>
    <row r="6843" spans="9:10" x14ac:dyDescent="0.3">
      <c r="I6843" t="s">
        <v>14287</v>
      </c>
    </row>
    <row r="6844" spans="9:10" x14ac:dyDescent="0.3">
      <c r="I6844" t="s">
        <v>14288</v>
      </c>
      <c r="J6844" t="s">
        <v>2820</v>
      </c>
    </row>
    <row r="6845" spans="9:10" x14ac:dyDescent="0.3">
      <c r="I6845" t="s">
        <v>14289</v>
      </c>
      <c r="J6845" t="s">
        <v>2045</v>
      </c>
    </row>
    <row r="6846" spans="9:10" x14ac:dyDescent="0.3">
      <c r="I6846" t="s">
        <v>14290</v>
      </c>
    </row>
    <row r="6847" spans="9:10" x14ac:dyDescent="0.3">
      <c r="I6847" t="s">
        <v>14291</v>
      </c>
    </row>
    <row r="6848" spans="9:10" x14ac:dyDescent="0.3">
      <c r="I6848" t="s">
        <v>14292</v>
      </c>
    </row>
    <row r="6849" spans="9:10" x14ac:dyDescent="0.3">
      <c r="I6849" t="s">
        <v>14293</v>
      </c>
      <c r="J6849" t="s">
        <v>2821</v>
      </c>
    </row>
    <row r="6850" spans="9:10" x14ac:dyDescent="0.3">
      <c r="I6850" t="s">
        <v>14294</v>
      </c>
      <c r="J6850" t="s">
        <v>2822</v>
      </c>
    </row>
    <row r="6851" spans="9:10" x14ac:dyDescent="0.3">
      <c r="I6851" t="s">
        <v>14295</v>
      </c>
    </row>
    <row r="6852" spans="9:10" x14ac:dyDescent="0.3">
      <c r="I6852" t="s">
        <v>14296</v>
      </c>
    </row>
    <row r="6853" spans="9:10" x14ac:dyDescent="0.3">
      <c r="I6853" t="s">
        <v>14297</v>
      </c>
      <c r="J6853" t="s">
        <v>2823</v>
      </c>
    </row>
    <row r="6854" spans="9:10" x14ac:dyDescent="0.3">
      <c r="I6854" t="s">
        <v>14298</v>
      </c>
    </row>
    <row r="6855" spans="9:10" x14ac:dyDescent="0.3">
      <c r="I6855" t="s">
        <v>14299</v>
      </c>
      <c r="J6855" t="s">
        <v>2824</v>
      </c>
    </row>
    <row r="6856" spans="9:10" x14ac:dyDescent="0.3">
      <c r="I6856" t="s">
        <v>14300</v>
      </c>
      <c r="J6856" t="s">
        <v>2825</v>
      </c>
    </row>
    <row r="6857" spans="9:10" x14ac:dyDescent="0.3">
      <c r="I6857" t="s">
        <v>14301</v>
      </c>
      <c r="J6857" t="s">
        <v>2825</v>
      </c>
    </row>
    <row r="6858" spans="9:10" x14ac:dyDescent="0.3">
      <c r="I6858" t="s">
        <v>14302</v>
      </c>
      <c r="J6858" t="s">
        <v>2826</v>
      </c>
    </row>
    <row r="6859" spans="9:10" x14ac:dyDescent="0.3">
      <c r="I6859" t="s">
        <v>14303</v>
      </c>
      <c r="J6859" t="s">
        <v>2827</v>
      </c>
    </row>
    <row r="6860" spans="9:10" x14ac:dyDescent="0.3">
      <c r="I6860" t="s">
        <v>14304</v>
      </c>
      <c r="J6860" t="s">
        <v>2828</v>
      </c>
    </row>
    <row r="6861" spans="9:10" x14ac:dyDescent="0.3">
      <c r="I6861" t="s">
        <v>14305</v>
      </c>
    </row>
    <row r="6862" spans="9:10" x14ac:dyDescent="0.3">
      <c r="I6862" t="s">
        <v>14306</v>
      </c>
      <c r="J6862" t="s">
        <v>2045</v>
      </c>
    </row>
    <row r="6863" spans="9:10" x14ac:dyDescent="0.3">
      <c r="I6863" t="s">
        <v>14307</v>
      </c>
      <c r="J6863" t="s">
        <v>2829</v>
      </c>
    </row>
    <row r="6864" spans="9:10" x14ac:dyDescent="0.3">
      <c r="I6864" t="s">
        <v>14308</v>
      </c>
    </row>
    <row r="6865" spans="9:10" x14ac:dyDescent="0.3">
      <c r="I6865" t="s">
        <v>14309</v>
      </c>
    </row>
    <row r="6866" spans="9:10" x14ac:dyDescent="0.3">
      <c r="I6866" t="s">
        <v>14310</v>
      </c>
    </row>
    <row r="6867" spans="9:10" x14ac:dyDescent="0.3">
      <c r="I6867" t="s">
        <v>14311</v>
      </c>
    </row>
    <row r="6868" spans="9:10" x14ac:dyDescent="0.3">
      <c r="I6868" t="s">
        <v>14312</v>
      </c>
      <c r="J6868" t="s">
        <v>2830</v>
      </c>
    </row>
    <row r="6869" spans="9:10" x14ac:dyDescent="0.3">
      <c r="I6869" t="s">
        <v>14313</v>
      </c>
    </row>
    <row r="6870" spans="9:10" x14ac:dyDescent="0.3">
      <c r="I6870" t="s">
        <v>14314</v>
      </c>
    </row>
    <row r="6871" spans="9:10" x14ac:dyDescent="0.3">
      <c r="I6871" t="s">
        <v>14315</v>
      </c>
      <c r="J6871" t="s">
        <v>2831</v>
      </c>
    </row>
    <row r="6872" spans="9:10" x14ac:dyDescent="0.3">
      <c r="I6872" t="s">
        <v>14315</v>
      </c>
      <c r="J6872" t="s">
        <v>2831</v>
      </c>
    </row>
    <row r="6873" spans="9:10" x14ac:dyDescent="0.3">
      <c r="I6873" t="s">
        <v>14316</v>
      </c>
      <c r="J6873" t="s">
        <v>2832</v>
      </c>
    </row>
    <row r="6874" spans="9:10" x14ac:dyDescent="0.3">
      <c r="I6874" t="s">
        <v>14317</v>
      </c>
      <c r="J6874" t="s">
        <v>2832</v>
      </c>
    </row>
    <row r="6875" spans="9:10" x14ac:dyDescent="0.3">
      <c r="I6875" t="s">
        <v>14318</v>
      </c>
    </row>
    <row r="6876" spans="9:10" x14ac:dyDescent="0.3">
      <c r="I6876" t="s">
        <v>14319</v>
      </c>
    </row>
    <row r="6877" spans="9:10" x14ac:dyDescent="0.3">
      <c r="I6877" t="s">
        <v>14320</v>
      </c>
      <c r="J6877" t="s">
        <v>2833</v>
      </c>
    </row>
    <row r="6878" spans="9:10" x14ac:dyDescent="0.3">
      <c r="I6878" t="s">
        <v>14321</v>
      </c>
      <c r="J6878" t="s">
        <v>2834</v>
      </c>
    </row>
    <row r="6879" spans="9:10" x14ac:dyDescent="0.3">
      <c r="I6879" t="s">
        <v>14322</v>
      </c>
      <c r="J6879" t="s">
        <v>2835</v>
      </c>
    </row>
    <row r="6880" spans="9:10" x14ac:dyDescent="0.3">
      <c r="I6880" t="s">
        <v>14322</v>
      </c>
      <c r="J6880" t="s">
        <v>2835</v>
      </c>
    </row>
    <row r="6881" spans="9:10" x14ac:dyDescent="0.3">
      <c r="I6881" t="s">
        <v>14323</v>
      </c>
    </row>
    <row r="6882" spans="9:10" x14ac:dyDescent="0.3">
      <c r="I6882" t="s">
        <v>14324</v>
      </c>
      <c r="J6882" t="s">
        <v>2836</v>
      </c>
    </row>
    <row r="6883" spans="9:10" x14ac:dyDescent="0.3">
      <c r="I6883" t="s">
        <v>14325</v>
      </c>
      <c r="J6883" t="s">
        <v>2836</v>
      </c>
    </row>
    <row r="6884" spans="9:10" x14ac:dyDescent="0.3">
      <c r="I6884" t="s">
        <v>14326</v>
      </c>
      <c r="J6884" t="s">
        <v>2837</v>
      </c>
    </row>
    <row r="6885" spans="9:10" x14ac:dyDescent="0.3">
      <c r="I6885" t="s">
        <v>14327</v>
      </c>
    </row>
    <row r="6886" spans="9:10" x14ac:dyDescent="0.3">
      <c r="I6886" t="s">
        <v>14328</v>
      </c>
      <c r="J6886" t="s">
        <v>2838</v>
      </c>
    </row>
    <row r="6887" spans="9:10" x14ac:dyDescent="0.3">
      <c r="I6887" t="s">
        <v>14329</v>
      </c>
      <c r="J6887" t="s">
        <v>2839</v>
      </c>
    </row>
    <row r="6888" spans="9:10" x14ac:dyDescent="0.3">
      <c r="I6888" t="s">
        <v>14330</v>
      </c>
      <c r="J6888" t="s">
        <v>2839</v>
      </c>
    </row>
    <row r="6889" spans="9:10" x14ac:dyDescent="0.3">
      <c r="I6889" t="s">
        <v>14331</v>
      </c>
      <c r="J6889" t="s">
        <v>2840</v>
      </c>
    </row>
    <row r="6890" spans="9:10" x14ac:dyDescent="0.3">
      <c r="I6890" t="s">
        <v>14332</v>
      </c>
    </row>
    <row r="6891" spans="9:10" x14ac:dyDescent="0.3">
      <c r="I6891" t="s">
        <v>14333</v>
      </c>
    </row>
    <row r="6892" spans="9:10" x14ac:dyDescent="0.3">
      <c r="I6892" t="s">
        <v>14334</v>
      </c>
    </row>
    <row r="6893" spans="9:10" x14ac:dyDescent="0.3">
      <c r="I6893" t="s">
        <v>14335</v>
      </c>
    </row>
    <row r="6894" spans="9:10" x14ac:dyDescent="0.3">
      <c r="I6894" t="s">
        <v>14336</v>
      </c>
      <c r="J6894" t="s">
        <v>2841</v>
      </c>
    </row>
    <row r="6895" spans="9:10" x14ac:dyDescent="0.3">
      <c r="I6895" t="s">
        <v>14337</v>
      </c>
    </row>
    <row r="6896" spans="9:10" x14ac:dyDescent="0.3">
      <c r="I6896" t="s">
        <v>14338</v>
      </c>
    </row>
    <row r="6897" spans="9:10" x14ac:dyDescent="0.3">
      <c r="I6897" t="s">
        <v>14339</v>
      </c>
    </row>
    <row r="6898" spans="9:10" x14ac:dyDescent="0.3">
      <c r="I6898" t="s">
        <v>14340</v>
      </c>
      <c r="J6898" t="s">
        <v>2842</v>
      </c>
    </row>
    <row r="6899" spans="9:10" x14ac:dyDescent="0.3">
      <c r="I6899" t="s">
        <v>14341</v>
      </c>
      <c r="J6899">
        <v>0</v>
      </c>
    </row>
    <row r="6900" spans="9:10" x14ac:dyDescent="0.3">
      <c r="I6900" t="s">
        <v>14342</v>
      </c>
    </row>
    <row r="6901" spans="9:10" x14ac:dyDescent="0.3">
      <c r="I6901" t="s">
        <v>14343</v>
      </c>
      <c r="J6901" t="s">
        <v>2843</v>
      </c>
    </row>
    <row r="6902" spans="9:10" x14ac:dyDescent="0.3">
      <c r="I6902" t="s">
        <v>14344</v>
      </c>
      <c r="J6902" t="s">
        <v>2844</v>
      </c>
    </row>
    <row r="6903" spans="9:10" x14ac:dyDescent="0.3">
      <c r="I6903" t="s">
        <v>14345</v>
      </c>
    </row>
    <row r="6904" spans="9:10" x14ac:dyDescent="0.3">
      <c r="I6904" t="s">
        <v>14346</v>
      </c>
    </row>
    <row r="6905" spans="9:10" x14ac:dyDescent="0.3">
      <c r="I6905" t="s">
        <v>14347</v>
      </c>
    </row>
    <row r="6906" spans="9:10" x14ac:dyDescent="0.3">
      <c r="I6906" t="s">
        <v>14348</v>
      </c>
      <c r="J6906" t="s">
        <v>2845</v>
      </c>
    </row>
    <row r="6907" spans="9:10" x14ac:dyDescent="0.3">
      <c r="I6907" t="s">
        <v>14349</v>
      </c>
    </row>
    <row r="6908" spans="9:10" x14ac:dyDescent="0.3">
      <c r="I6908" t="s">
        <v>14350</v>
      </c>
      <c r="J6908" t="s">
        <v>857</v>
      </c>
    </row>
    <row r="6909" spans="9:10" x14ac:dyDescent="0.3">
      <c r="I6909" t="s">
        <v>14351</v>
      </c>
      <c r="J6909" t="s">
        <v>2846</v>
      </c>
    </row>
    <row r="6910" spans="9:10" x14ac:dyDescent="0.3">
      <c r="I6910" t="s">
        <v>14352</v>
      </c>
      <c r="J6910" t="s">
        <v>2847</v>
      </c>
    </row>
    <row r="6911" spans="9:10" x14ac:dyDescent="0.3">
      <c r="I6911" t="s">
        <v>14353</v>
      </c>
      <c r="J6911" t="s">
        <v>2847</v>
      </c>
    </row>
    <row r="6912" spans="9:10" x14ac:dyDescent="0.3">
      <c r="I6912" t="s">
        <v>14354</v>
      </c>
      <c r="J6912" t="s">
        <v>2848</v>
      </c>
    </row>
    <row r="6913" spans="9:10" x14ac:dyDescent="0.3">
      <c r="I6913" t="s">
        <v>631</v>
      </c>
      <c r="J6913" t="s">
        <v>632</v>
      </c>
    </row>
    <row r="6914" spans="9:10" x14ac:dyDescent="0.3">
      <c r="I6914" t="s">
        <v>631</v>
      </c>
      <c r="J6914" t="s">
        <v>632</v>
      </c>
    </row>
    <row r="6915" spans="9:10" x14ac:dyDescent="0.3">
      <c r="I6915" t="s">
        <v>14355</v>
      </c>
      <c r="J6915" t="s">
        <v>2849</v>
      </c>
    </row>
    <row r="6916" spans="9:10" x14ac:dyDescent="0.3">
      <c r="I6916" t="s">
        <v>14356</v>
      </c>
    </row>
    <row r="6917" spans="9:10" x14ac:dyDescent="0.3">
      <c r="I6917" t="s">
        <v>14357</v>
      </c>
      <c r="J6917" t="s">
        <v>2850</v>
      </c>
    </row>
    <row r="6918" spans="9:10" x14ac:dyDescent="0.3">
      <c r="I6918" t="s">
        <v>14357</v>
      </c>
      <c r="J6918" t="s">
        <v>2850</v>
      </c>
    </row>
    <row r="6919" spans="9:10" x14ac:dyDescent="0.3">
      <c r="I6919" t="s">
        <v>14358</v>
      </c>
    </row>
    <row r="6920" spans="9:10" x14ac:dyDescent="0.3">
      <c r="I6920" t="s">
        <v>14359</v>
      </c>
      <c r="J6920" t="s">
        <v>2851</v>
      </c>
    </row>
    <row r="6921" spans="9:10" x14ac:dyDescent="0.3">
      <c r="I6921" t="s">
        <v>14360</v>
      </c>
    </row>
    <row r="6922" spans="9:10" x14ac:dyDescent="0.3">
      <c r="I6922" t="s">
        <v>14361</v>
      </c>
      <c r="J6922" t="s">
        <v>2852</v>
      </c>
    </row>
    <row r="6923" spans="9:10" x14ac:dyDescent="0.3">
      <c r="I6923" t="s">
        <v>14361</v>
      </c>
      <c r="J6923" t="s">
        <v>2852</v>
      </c>
    </row>
    <row r="6924" spans="9:10" x14ac:dyDescent="0.3">
      <c r="I6924" t="s">
        <v>14361</v>
      </c>
      <c r="J6924" t="s">
        <v>2852</v>
      </c>
    </row>
    <row r="6925" spans="9:10" x14ac:dyDescent="0.3">
      <c r="I6925" t="s">
        <v>14362</v>
      </c>
      <c r="J6925" t="s">
        <v>2852</v>
      </c>
    </row>
    <row r="6926" spans="9:10" x14ac:dyDescent="0.3">
      <c r="I6926" t="s">
        <v>14363</v>
      </c>
      <c r="J6926">
        <v>0</v>
      </c>
    </row>
    <row r="6927" spans="9:10" x14ac:dyDescent="0.3">
      <c r="I6927" t="s">
        <v>14364</v>
      </c>
      <c r="J6927" t="s">
        <v>2853</v>
      </c>
    </row>
    <row r="6928" spans="9:10" x14ac:dyDescent="0.3">
      <c r="I6928" t="s">
        <v>14365</v>
      </c>
    </row>
    <row r="6929" spans="9:10" x14ac:dyDescent="0.3">
      <c r="I6929" t="s">
        <v>14366</v>
      </c>
      <c r="J6929" t="s">
        <v>2854</v>
      </c>
    </row>
    <row r="6930" spans="9:10" x14ac:dyDescent="0.3">
      <c r="I6930" t="s">
        <v>14367</v>
      </c>
    </row>
    <row r="6931" spans="9:10" x14ac:dyDescent="0.3">
      <c r="I6931" t="s">
        <v>14368</v>
      </c>
      <c r="J6931" t="s">
        <v>2855</v>
      </c>
    </row>
    <row r="6932" spans="9:10" x14ac:dyDescent="0.3">
      <c r="I6932" t="s">
        <v>14369</v>
      </c>
    </row>
    <row r="6933" spans="9:10" x14ac:dyDescent="0.3">
      <c r="I6933" t="s">
        <v>14370</v>
      </c>
      <c r="J6933">
        <v>0</v>
      </c>
    </row>
    <row r="6934" spans="9:10" x14ac:dyDescent="0.3">
      <c r="I6934" t="s">
        <v>14371</v>
      </c>
      <c r="J6934" t="s">
        <v>2856</v>
      </c>
    </row>
    <row r="6935" spans="9:10" x14ac:dyDescent="0.3">
      <c r="I6935" t="s">
        <v>14371</v>
      </c>
      <c r="J6935" t="s">
        <v>2856</v>
      </c>
    </row>
    <row r="6936" spans="9:10" x14ac:dyDescent="0.3">
      <c r="I6936" t="s">
        <v>14372</v>
      </c>
      <c r="J6936" t="s">
        <v>2856</v>
      </c>
    </row>
    <row r="6937" spans="9:10" x14ac:dyDescent="0.3">
      <c r="I6937" t="s">
        <v>14372</v>
      </c>
      <c r="J6937" t="s">
        <v>2856</v>
      </c>
    </row>
    <row r="6938" spans="9:10" x14ac:dyDescent="0.3">
      <c r="I6938" t="s">
        <v>14373</v>
      </c>
      <c r="J6938" t="s">
        <v>2857</v>
      </c>
    </row>
    <row r="6939" spans="9:10" x14ac:dyDescent="0.3">
      <c r="I6939" t="s">
        <v>14374</v>
      </c>
      <c r="J6939" t="s">
        <v>2857</v>
      </c>
    </row>
    <row r="6940" spans="9:10" x14ac:dyDescent="0.3">
      <c r="I6940" t="s">
        <v>14375</v>
      </c>
      <c r="J6940" t="s">
        <v>2857</v>
      </c>
    </row>
    <row r="6941" spans="9:10" x14ac:dyDescent="0.3">
      <c r="I6941" t="s">
        <v>14376</v>
      </c>
      <c r="J6941" t="s">
        <v>2858</v>
      </c>
    </row>
    <row r="6942" spans="9:10" x14ac:dyDescent="0.3">
      <c r="I6942" t="s">
        <v>14377</v>
      </c>
    </row>
    <row r="6943" spans="9:10" x14ac:dyDescent="0.3">
      <c r="I6943" t="s">
        <v>14377</v>
      </c>
    </row>
    <row r="6944" spans="9:10" x14ac:dyDescent="0.3">
      <c r="I6944" t="s">
        <v>14378</v>
      </c>
      <c r="J6944" t="s">
        <v>2859</v>
      </c>
    </row>
    <row r="6945" spans="9:10" x14ac:dyDescent="0.3">
      <c r="I6945" t="s">
        <v>14379</v>
      </c>
    </row>
    <row r="6946" spans="9:10" x14ac:dyDescent="0.3">
      <c r="I6946" t="s">
        <v>14380</v>
      </c>
    </row>
    <row r="6947" spans="9:10" x14ac:dyDescent="0.3">
      <c r="I6947" t="s">
        <v>14381</v>
      </c>
      <c r="J6947" t="s">
        <v>2860</v>
      </c>
    </row>
    <row r="6948" spans="9:10" x14ac:dyDescent="0.3">
      <c r="I6948" t="s">
        <v>14382</v>
      </c>
      <c r="J6948" t="s">
        <v>2861</v>
      </c>
    </row>
    <row r="6949" spans="9:10" x14ac:dyDescent="0.3">
      <c r="I6949" t="s">
        <v>14382</v>
      </c>
      <c r="J6949" t="s">
        <v>2861</v>
      </c>
    </row>
    <row r="6950" spans="9:10" x14ac:dyDescent="0.3">
      <c r="I6950" t="s">
        <v>14383</v>
      </c>
      <c r="J6950" t="s">
        <v>2861</v>
      </c>
    </row>
    <row r="6951" spans="9:10" x14ac:dyDescent="0.3">
      <c r="I6951" t="s">
        <v>14384</v>
      </c>
    </row>
    <row r="6952" spans="9:10" x14ac:dyDescent="0.3">
      <c r="I6952" t="s">
        <v>14385</v>
      </c>
      <c r="J6952" t="s">
        <v>2862</v>
      </c>
    </row>
    <row r="6953" spans="9:10" x14ac:dyDescent="0.3">
      <c r="I6953" t="s">
        <v>14386</v>
      </c>
      <c r="J6953" t="s">
        <v>2863</v>
      </c>
    </row>
    <row r="6954" spans="9:10" x14ac:dyDescent="0.3">
      <c r="I6954" t="s">
        <v>14387</v>
      </c>
      <c r="J6954" t="s">
        <v>2864</v>
      </c>
    </row>
    <row r="6955" spans="9:10" x14ac:dyDescent="0.3">
      <c r="I6955" t="s">
        <v>14388</v>
      </c>
      <c r="J6955" t="s">
        <v>2865</v>
      </c>
    </row>
    <row r="6956" spans="9:10" x14ac:dyDescent="0.3">
      <c r="I6956" t="s">
        <v>14389</v>
      </c>
      <c r="J6956" t="s">
        <v>2866</v>
      </c>
    </row>
    <row r="6957" spans="9:10" x14ac:dyDescent="0.3">
      <c r="I6957" t="s">
        <v>14390</v>
      </c>
      <c r="J6957" t="s">
        <v>2867</v>
      </c>
    </row>
    <row r="6958" spans="9:10" x14ac:dyDescent="0.3">
      <c r="I6958" t="s">
        <v>14391</v>
      </c>
      <c r="J6958" t="s">
        <v>2868</v>
      </c>
    </row>
    <row r="6959" spans="9:10" x14ac:dyDescent="0.3">
      <c r="I6959" t="s">
        <v>14392</v>
      </c>
      <c r="J6959" t="s">
        <v>2869</v>
      </c>
    </row>
    <row r="6960" spans="9:10" x14ac:dyDescent="0.3">
      <c r="I6960" t="s">
        <v>14393</v>
      </c>
      <c r="J6960" t="s">
        <v>2870</v>
      </c>
    </row>
    <row r="6961" spans="9:10" x14ac:dyDescent="0.3">
      <c r="I6961" t="s">
        <v>14394</v>
      </c>
      <c r="J6961" t="s">
        <v>2871</v>
      </c>
    </row>
    <row r="6962" spans="9:10" x14ac:dyDescent="0.3">
      <c r="I6962" t="s">
        <v>14395</v>
      </c>
      <c r="J6962" t="s">
        <v>2872</v>
      </c>
    </row>
    <row r="6963" spans="9:10" x14ac:dyDescent="0.3">
      <c r="I6963" t="s">
        <v>14396</v>
      </c>
      <c r="J6963" t="s">
        <v>2873</v>
      </c>
    </row>
    <row r="6964" spans="9:10" x14ac:dyDescent="0.3">
      <c r="I6964" t="s">
        <v>14397</v>
      </c>
      <c r="J6964" t="s">
        <v>2874</v>
      </c>
    </row>
    <row r="6965" spans="9:10" x14ac:dyDescent="0.3">
      <c r="I6965" t="s">
        <v>14398</v>
      </c>
      <c r="J6965" t="s">
        <v>2875</v>
      </c>
    </row>
    <row r="6966" spans="9:10" x14ac:dyDescent="0.3">
      <c r="I6966" t="s">
        <v>14399</v>
      </c>
      <c r="J6966" t="s">
        <v>2876</v>
      </c>
    </row>
    <row r="6967" spans="9:10" x14ac:dyDescent="0.3">
      <c r="I6967" t="s">
        <v>14400</v>
      </c>
      <c r="J6967" t="s">
        <v>2877</v>
      </c>
    </row>
    <row r="6968" spans="9:10" x14ac:dyDescent="0.3">
      <c r="I6968" t="s">
        <v>14401</v>
      </c>
      <c r="J6968" t="s">
        <v>2878</v>
      </c>
    </row>
    <row r="6969" spans="9:10" x14ac:dyDescent="0.3">
      <c r="I6969" t="s">
        <v>14402</v>
      </c>
      <c r="J6969" t="s">
        <v>2879</v>
      </c>
    </row>
    <row r="6970" spans="9:10" x14ac:dyDescent="0.3">
      <c r="I6970" t="s">
        <v>14403</v>
      </c>
      <c r="J6970" t="s">
        <v>2880</v>
      </c>
    </row>
    <row r="6971" spans="9:10" x14ac:dyDescent="0.3">
      <c r="I6971" t="s">
        <v>14404</v>
      </c>
      <c r="J6971" t="s">
        <v>2881</v>
      </c>
    </row>
    <row r="6972" spans="9:10" x14ac:dyDescent="0.3">
      <c r="I6972" t="s">
        <v>14405</v>
      </c>
      <c r="J6972" t="s">
        <v>2882</v>
      </c>
    </row>
    <row r="6973" spans="9:10" x14ac:dyDescent="0.3">
      <c r="I6973" t="s">
        <v>14406</v>
      </c>
      <c r="J6973" t="s">
        <v>2883</v>
      </c>
    </row>
    <row r="6974" spans="9:10" x14ac:dyDescent="0.3">
      <c r="I6974" t="s">
        <v>14407</v>
      </c>
      <c r="J6974" t="s">
        <v>2884</v>
      </c>
    </row>
    <row r="6975" spans="9:10" x14ac:dyDescent="0.3">
      <c r="I6975" t="s">
        <v>14408</v>
      </c>
      <c r="J6975" t="s">
        <v>2885</v>
      </c>
    </row>
    <row r="6976" spans="9:10" x14ac:dyDescent="0.3">
      <c r="I6976" t="s">
        <v>14409</v>
      </c>
      <c r="J6976" t="s">
        <v>2886</v>
      </c>
    </row>
    <row r="6977" spans="9:10" x14ac:dyDescent="0.3">
      <c r="I6977" t="s">
        <v>14410</v>
      </c>
      <c r="J6977" t="s">
        <v>2887</v>
      </c>
    </row>
    <row r="6978" spans="9:10" x14ac:dyDescent="0.3">
      <c r="I6978" t="s">
        <v>14411</v>
      </c>
      <c r="J6978" s="155" t="s">
        <v>2888</v>
      </c>
    </row>
    <row r="6979" spans="9:10" x14ac:dyDescent="0.3">
      <c r="I6979" t="s">
        <v>14412</v>
      </c>
      <c r="J6979" t="s">
        <v>2889</v>
      </c>
    </row>
    <row r="6980" spans="9:10" x14ac:dyDescent="0.3">
      <c r="I6980" t="s">
        <v>14413</v>
      </c>
      <c r="J6980" t="s">
        <v>2890</v>
      </c>
    </row>
    <row r="6981" spans="9:10" x14ac:dyDescent="0.3">
      <c r="I6981" t="s">
        <v>14414</v>
      </c>
    </row>
    <row r="6982" spans="9:10" x14ac:dyDescent="0.3">
      <c r="I6982" t="s">
        <v>14415</v>
      </c>
      <c r="J6982" t="s">
        <v>2891</v>
      </c>
    </row>
    <row r="6983" spans="9:10" x14ac:dyDescent="0.3">
      <c r="I6983" t="s">
        <v>14416</v>
      </c>
      <c r="J6983" t="s">
        <v>2891</v>
      </c>
    </row>
    <row r="6984" spans="9:10" x14ac:dyDescent="0.3">
      <c r="I6984" t="s">
        <v>14417</v>
      </c>
    </row>
    <row r="6985" spans="9:10" x14ac:dyDescent="0.3">
      <c r="I6985" t="s">
        <v>14418</v>
      </c>
    </row>
    <row r="6986" spans="9:10" x14ac:dyDescent="0.3">
      <c r="I6986" t="s">
        <v>14419</v>
      </c>
      <c r="J6986" t="s">
        <v>2892</v>
      </c>
    </row>
    <row r="6987" spans="9:10" x14ac:dyDescent="0.3">
      <c r="I6987" t="s">
        <v>14420</v>
      </c>
      <c r="J6987" t="s">
        <v>2893</v>
      </c>
    </row>
    <row r="6988" spans="9:10" x14ac:dyDescent="0.3">
      <c r="I6988" t="s">
        <v>14421</v>
      </c>
      <c r="J6988" t="s">
        <v>2894</v>
      </c>
    </row>
    <row r="6989" spans="9:10" x14ac:dyDescent="0.3">
      <c r="I6989" t="s">
        <v>14422</v>
      </c>
      <c r="J6989" t="s">
        <v>2895</v>
      </c>
    </row>
    <row r="6990" spans="9:10" x14ac:dyDescent="0.3">
      <c r="I6990" t="s">
        <v>14423</v>
      </c>
      <c r="J6990" t="s">
        <v>2896</v>
      </c>
    </row>
    <row r="6991" spans="9:10" x14ac:dyDescent="0.3">
      <c r="I6991" t="s">
        <v>14423</v>
      </c>
      <c r="J6991" t="s">
        <v>2896</v>
      </c>
    </row>
    <row r="6992" spans="9:10" x14ac:dyDescent="0.3">
      <c r="I6992" t="s">
        <v>14424</v>
      </c>
      <c r="J6992" t="s">
        <v>2897</v>
      </c>
    </row>
    <row r="6993" spans="9:10" x14ac:dyDescent="0.3">
      <c r="I6993" t="s">
        <v>14425</v>
      </c>
      <c r="J6993" t="s">
        <v>2898</v>
      </c>
    </row>
    <row r="6994" spans="9:10" x14ac:dyDescent="0.3">
      <c r="I6994" t="s">
        <v>14426</v>
      </c>
      <c r="J6994" t="s">
        <v>2899</v>
      </c>
    </row>
    <row r="6995" spans="9:10" x14ac:dyDescent="0.3">
      <c r="I6995" t="s">
        <v>14427</v>
      </c>
      <c r="J6995" t="s">
        <v>2900</v>
      </c>
    </row>
    <row r="6996" spans="9:10" x14ac:dyDescent="0.3">
      <c r="I6996" t="s">
        <v>14428</v>
      </c>
      <c r="J6996" t="s">
        <v>2901</v>
      </c>
    </row>
    <row r="6997" spans="9:10" x14ac:dyDescent="0.3">
      <c r="I6997" t="s">
        <v>14429</v>
      </c>
      <c r="J6997" t="s">
        <v>2902</v>
      </c>
    </row>
    <row r="6998" spans="9:10" x14ac:dyDescent="0.3">
      <c r="I6998" t="s">
        <v>14430</v>
      </c>
      <c r="J6998" t="s">
        <v>2903</v>
      </c>
    </row>
    <row r="6999" spans="9:10" x14ac:dyDescent="0.3">
      <c r="I6999" t="s">
        <v>14431</v>
      </c>
    </row>
    <row r="7000" spans="9:10" x14ac:dyDescent="0.3">
      <c r="I7000" t="s">
        <v>14432</v>
      </c>
    </row>
    <row r="7001" spans="9:10" x14ac:dyDescent="0.3">
      <c r="I7001" t="s">
        <v>14433</v>
      </c>
      <c r="J7001" t="s">
        <v>2904</v>
      </c>
    </row>
    <row r="7002" spans="9:10" x14ac:dyDescent="0.3">
      <c r="I7002" t="s">
        <v>14434</v>
      </c>
      <c r="J7002" t="s">
        <v>2905</v>
      </c>
    </row>
    <row r="7003" spans="9:10" x14ac:dyDescent="0.3">
      <c r="I7003" t="s">
        <v>14435</v>
      </c>
      <c r="J7003" t="s">
        <v>623</v>
      </c>
    </row>
    <row r="7004" spans="9:10" x14ac:dyDescent="0.3">
      <c r="I7004" t="s">
        <v>14436</v>
      </c>
      <c r="J7004" t="s">
        <v>2906</v>
      </c>
    </row>
    <row r="7005" spans="9:10" x14ac:dyDescent="0.3">
      <c r="I7005" t="s">
        <v>14437</v>
      </c>
    </row>
    <row r="7006" spans="9:10" x14ac:dyDescent="0.3">
      <c r="I7006" t="s">
        <v>14438</v>
      </c>
    </row>
    <row r="7007" spans="9:10" x14ac:dyDescent="0.3">
      <c r="I7007" t="s">
        <v>14439</v>
      </c>
      <c r="J7007" t="s">
        <v>2907</v>
      </c>
    </row>
    <row r="7008" spans="9:10" x14ac:dyDescent="0.3">
      <c r="I7008" t="s">
        <v>14439</v>
      </c>
      <c r="J7008" t="s">
        <v>2907</v>
      </c>
    </row>
    <row r="7009" spans="9:10" x14ac:dyDescent="0.3">
      <c r="I7009" t="s">
        <v>14439</v>
      </c>
      <c r="J7009" t="s">
        <v>2907</v>
      </c>
    </row>
    <row r="7010" spans="9:10" x14ac:dyDescent="0.3">
      <c r="I7010" t="s">
        <v>14439</v>
      </c>
      <c r="J7010" t="s">
        <v>2907</v>
      </c>
    </row>
    <row r="7011" spans="9:10" x14ac:dyDescent="0.3">
      <c r="I7011" t="s">
        <v>14439</v>
      </c>
      <c r="J7011" t="s">
        <v>2907</v>
      </c>
    </row>
    <row r="7012" spans="9:10" x14ac:dyDescent="0.3">
      <c r="I7012" t="s">
        <v>14439</v>
      </c>
      <c r="J7012" t="s">
        <v>2907</v>
      </c>
    </row>
    <row r="7013" spans="9:10" x14ac:dyDescent="0.3">
      <c r="I7013" t="s">
        <v>14439</v>
      </c>
      <c r="J7013" t="s">
        <v>2907</v>
      </c>
    </row>
    <row r="7014" spans="9:10" x14ac:dyDescent="0.3">
      <c r="I7014" t="s">
        <v>14440</v>
      </c>
    </row>
    <row r="7015" spans="9:10" x14ac:dyDescent="0.3">
      <c r="I7015" t="s">
        <v>14441</v>
      </c>
    </row>
    <row r="7016" spans="9:10" x14ac:dyDescent="0.3">
      <c r="I7016" t="s">
        <v>14442</v>
      </c>
    </row>
    <row r="7017" spans="9:10" x14ac:dyDescent="0.3">
      <c r="I7017" t="s">
        <v>14443</v>
      </c>
      <c r="J7017" t="s">
        <v>2908</v>
      </c>
    </row>
    <row r="7018" spans="9:10" x14ac:dyDescent="0.3">
      <c r="I7018" t="s">
        <v>14444</v>
      </c>
      <c r="J7018" t="s">
        <v>2909</v>
      </c>
    </row>
    <row r="7019" spans="9:10" x14ac:dyDescent="0.3">
      <c r="I7019" t="s">
        <v>14444</v>
      </c>
      <c r="J7019" t="s">
        <v>2909</v>
      </c>
    </row>
    <row r="7020" spans="9:10" x14ac:dyDescent="0.3">
      <c r="I7020" t="s">
        <v>14445</v>
      </c>
      <c r="J7020" t="s">
        <v>2910</v>
      </c>
    </row>
    <row r="7021" spans="9:10" x14ac:dyDescent="0.3">
      <c r="I7021" t="s">
        <v>14445</v>
      </c>
      <c r="J7021" t="s">
        <v>2910</v>
      </c>
    </row>
    <row r="7022" spans="9:10" x14ac:dyDescent="0.3">
      <c r="I7022" t="s">
        <v>14446</v>
      </c>
    </row>
    <row r="7023" spans="9:10" x14ac:dyDescent="0.3">
      <c r="I7023" t="s">
        <v>14447</v>
      </c>
    </row>
    <row r="7024" spans="9:10" x14ac:dyDescent="0.3">
      <c r="I7024" t="s">
        <v>14448</v>
      </c>
    </row>
    <row r="7025" spans="9:10" x14ac:dyDescent="0.3">
      <c r="I7025" t="s">
        <v>14449</v>
      </c>
      <c r="J7025" t="s">
        <v>2911</v>
      </c>
    </row>
    <row r="7026" spans="9:10" x14ac:dyDescent="0.3">
      <c r="I7026" t="s">
        <v>14450</v>
      </c>
      <c r="J7026" t="s">
        <v>2911</v>
      </c>
    </row>
    <row r="7027" spans="9:10" x14ac:dyDescent="0.3">
      <c r="I7027" t="s">
        <v>14450</v>
      </c>
      <c r="J7027" t="s">
        <v>2911</v>
      </c>
    </row>
    <row r="7028" spans="9:10" x14ac:dyDescent="0.3">
      <c r="I7028" t="s">
        <v>14450</v>
      </c>
      <c r="J7028" t="s">
        <v>2911</v>
      </c>
    </row>
    <row r="7029" spans="9:10" x14ac:dyDescent="0.3">
      <c r="I7029" t="s">
        <v>14449</v>
      </c>
      <c r="J7029" t="s">
        <v>2911</v>
      </c>
    </row>
    <row r="7030" spans="9:10" x14ac:dyDescent="0.3">
      <c r="I7030" t="s">
        <v>14449</v>
      </c>
      <c r="J7030" t="s">
        <v>2911</v>
      </c>
    </row>
    <row r="7031" spans="9:10" x14ac:dyDescent="0.3">
      <c r="I7031" t="s">
        <v>14449</v>
      </c>
      <c r="J7031" t="s">
        <v>2911</v>
      </c>
    </row>
    <row r="7032" spans="9:10" x14ac:dyDescent="0.3">
      <c r="I7032" t="s">
        <v>14450</v>
      </c>
      <c r="J7032" t="s">
        <v>2911</v>
      </c>
    </row>
    <row r="7033" spans="9:10" x14ac:dyDescent="0.3">
      <c r="I7033" t="s">
        <v>14450</v>
      </c>
      <c r="J7033" t="s">
        <v>2911</v>
      </c>
    </row>
    <row r="7034" spans="9:10" x14ac:dyDescent="0.3">
      <c r="I7034" t="s">
        <v>14449</v>
      </c>
      <c r="J7034" t="s">
        <v>2911</v>
      </c>
    </row>
    <row r="7035" spans="9:10" x14ac:dyDescent="0.3">
      <c r="I7035" t="s">
        <v>14451</v>
      </c>
      <c r="J7035" t="s">
        <v>2912</v>
      </c>
    </row>
    <row r="7036" spans="9:10" x14ac:dyDescent="0.3">
      <c r="I7036" t="s">
        <v>14452</v>
      </c>
      <c r="J7036" t="s">
        <v>2912</v>
      </c>
    </row>
    <row r="7037" spans="9:10" x14ac:dyDescent="0.3">
      <c r="I7037" t="s">
        <v>14453</v>
      </c>
      <c r="J7037" t="s">
        <v>2913</v>
      </c>
    </row>
    <row r="7038" spans="9:10" x14ac:dyDescent="0.3">
      <c r="I7038" t="s">
        <v>14454</v>
      </c>
      <c r="J7038" t="s">
        <v>2913</v>
      </c>
    </row>
    <row r="7039" spans="9:10" x14ac:dyDescent="0.3">
      <c r="I7039" t="s">
        <v>14455</v>
      </c>
      <c r="J7039" t="s">
        <v>2914</v>
      </c>
    </row>
    <row r="7040" spans="9:10" x14ac:dyDescent="0.3">
      <c r="I7040" t="s">
        <v>14456</v>
      </c>
    </row>
    <row r="7041" spans="9:10" x14ac:dyDescent="0.3">
      <c r="I7041" t="s">
        <v>14457</v>
      </c>
    </row>
    <row r="7042" spans="9:10" x14ac:dyDescent="0.3">
      <c r="I7042" t="s">
        <v>14458</v>
      </c>
      <c r="J7042" t="s">
        <v>2915</v>
      </c>
    </row>
    <row r="7043" spans="9:10" x14ac:dyDescent="0.3">
      <c r="I7043" t="s">
        <v>14459</v>
      </c>
    </row>
    <row r="7044" spans="9:10" x14ac:dyDescent="0.3">
      <c r="I7044" t="s">
        <v>14460</v>
      </c>
      <c r="J7044" t="s">
        <v>2916</v>
      </c>
    </row>
    <row r="7045" spans="9:10" x14ac:dyDescent="0.3">
      <c r="I7045" t="s">
        <v>14461</v>
      </c>
      <c r="J7045" t="s">
        <v>2917</v>
      </c>
    </row>
    <row r="7046" spans="9:10" x14ac:dyDescent="0.3">
      <c r="I7046" t="s">
        <v>14462</v>
      </c>
      <c r="J7046" t="s">
        <v>2918</v>
      </c>
    </row>
    <row r="7047" spans="9:10" x14ac:dyDescent="0.3">
      <c r="I7047" t="s">
        <v>14463</v>
      </c>
      <c r="J7047" t="s">
        <v>2919</v>
      </c>
    </row>
    <row r="7048" spans="9:10" x14ac:dyDescent="0.3">
      <c r="I7048" t="s">
        <v>14464</v>
      </c>
      <c r="J7048" t="s">
        <v>2920</v>
      </c>
    </row>
    <row r="7049" spans="9:10" x14ac:dyDescent="0.3">
      <c r="I7049" t="s">
        <v>14465</v>
      </c>
      <c r="J7049" t="s">
        <v>2921</v>
      </c>
    </row>
    <row r="7050" spans="9:10" x14ac:dyDescent="0.3">
      <c r="I7050" t="s">
        <v>14466</v>
      </c>
    </row>
    <row r="7051" spans="9:10" x14ac:dyDescent="0.3">
      <c r="I7051" t="s">
        <v>14467</v>
      </c>
      <c r="J7051" t="s">
        <v>2922</v>
      </c>
    </row>
    <row r="7052" spans="9:10" x14ac:dyDescent="0.3">
      <c r="I7052" t="s">
        <v>14468</v>
      </c>
      <c r="J7052" t="s">
        <v>2922</v>
      </c>
    </row>
    <row r="7053" spans="9:10" x14ac:dyDescent="0.3">
      <c r="I7053" t="s">
        <v>14469</v>
      </c>
    </row>
    <row r="7054" spans="9:10" x14ac:dyDescent="0.3">
      <c r="I7054" t="s">
        <v>14470</v>
      </c>
      <c r="J7054" t="s">
        <v>620</v>
      </c>
    </row>
    <row r="7055" spans="9:10" x14ac:dyDescent="0.3">
      <c r="I7055" t="s">
        <v>14471</v>
      </c>
      <c r="J7055" t="s">
        <v>620</v>
      </c>
    </row>
    <row r="7056" spans="9:10" x14ac:dyDescent="0.3">
      <c r="I7056" t="s">
        <v>14472</v>
      </c>
      <c r="J7056" t="s">
        <v>2923</v>
      </c>
    </row>
    <row r="7057" spans="9:10" x14ac:dyDescent="0.3">
      <c r="I7057" t="s">
        <v>14473</v>
      </c>
      <c r="J7057" t="s">
        <v>2924</v>
      </c>
    </row>
    <row r="7058" spans="9:10" x14ac:dyDescent="0.3">
      <c r="I7058" t="s">
        <v>14474</v>
      </c>
    </row>
    <row r="7059" spans="9:10" x14ac:dyDescent="0.3">
      <c r="I7059" t="s">
        <v>14475</v>
      </c>
      <c r="J7059" t="s">
        <v>2925</v>
      </c>
    </row>
    <row r="7060" spans="9:10" x14ac:dyDescent="0.3">
      <c r="I7060" t="s">
        <v>14476</v>
      </c>
      <c r="J7060" t="s">
        <v>2925</v>
      </c>
    </row>
    <row r="7061" spans="9:10" x14ac:dyDescent="0.3">
      <c r="I7061" t="s">
        <v>14477</v>
      </c>
    </row>
    <row r="7062" spans="9:10" x14ac:dyDescent="0.3">
      <c r="I7062" t="s">
        <v>14478</v>
      </c>
    </row>
    <row r="7063" spans="9:10" x14ac:dyDescent="0.3">
      <c r="I7063" t="s">
        <v>14479</v>
      </c>
      <c r="J7063" t="s">
        <v>2045</v>
      </c>
    </row>
    <row r="7064" spans="9:10" x14ac:dyDescent="0.3">
      <c r="I7064" t="s">
        <v>14480</v>
      </c>
    </row>
    <row r="7065" spans="9:10" x14ac:dyDescent="0.3">
      <c r="I7065" t="s">
        <v>14481</v>
      </c>
    </row>
    <row r="7066" spans="9:10" x14ac:dyDescent="0.3">
      <c r="I7066" t="s">
        <v>14482</v>
      </c>
    </row>
    <row r="7067" spans="9:10" x14ac:dyDescent="0.3">
      <c r="I7067" t="s">
        <v>14483</v>
      </c>
    </row>
    <row r="7068" spans="9:10" x14ac:dyDescent="0.3">
      <c r="I7068" t="s">
        <v>14484</v>
      </c>
    </row>
    <row r="7069" spans="9:10" x14ac:dyDescent="0.3">
      <c r="I7069" t="s">
        <v>14485</v>
      </c>
    </row>
    <row r="7070" spans="9:10" x14ac:dyDescent="0.3">
      <c r="I7070" t="s">
        <v>14486</v>
      </c>
    </row>
    <row r="7071" spans="9:10" x14ac:dyDescent="0.3">
      <c r="I7071" t="s">
        <v>14487</v>
      </c>
    </row>
    <row r="7072" spans="9:10" x14ac:dyDescent="0.3">
      <c r="I7072" t="s">
        <v>14488</v>
      </c>
    </row>
    <row r="7073" spans="9:10" x14ac:dyDescent="0.3">
      <c r="I7073" t="s">
        <v>14489</v>
      </c>
      <c r="J7073" t="s">
        <v>2926</v>
      </c>
    </row>
    <row r="7074" spans="9:10" x14ac:dyDescent="0.3">
      <c r="I7074" t="s">
        <v>14490</v>
      </c>
    </row>
    <row r="7075" spans="9:10" x14ac:dyDescent="0.3">
      <c r="I7075" t="s">
        <v>14491</v>
      </c>
      <c r="J7075" t="s">
        <v>2927</v>
      </c>
    </row>
    <row r="7076" spans="9:10" x14ac:dyDescent="0.3">
      <c r="I7076" t="s">
        <v>14492</v>
      </c>
    </row>
    <row r="7077" spans="9:10" x14ac:dyDescent="0.3">
      <c r="I7077" t="s">
        <v>14493</v>
      </c>
    </row>
    <row r="7078" spans="9:10" x14ac:dyDescent="0.3">
      <c r="I7078" t="s">
        <v>14494</v>
      </c>
      <c r="J7078" t="s">
        <v>2928</v>
      </c>
    </row>
    <row r="7079" spans="9:10" x14ac:dyDescent="0.3">
      <c r="I7079" t="s">
        <v>14495</v>
      </c>
    </row>
    <row r="7080" spans="9:10" x14ac:dyDescent="0.3">
      <c r="I7080" t="s">
        <v>14496</v>
      </c>
    </row>
    <row r="7081" spans="9:10" x14ac:dyDescent="0.3">
      <c r="I7081" t="s">
        <v>14497</v>
      </c>
    </row>
    <row r="7082" spans="9:10" x14ac:dyDescent="0.3">
      <c r="I7082" t="s">
        <v>14498</v>
      </c>
    </row>
    <row r="7083" spans="9:10" x14ac:dyDescent="0.3">
      <c r="I7083" t="s">
        <v>14499</v>
      </c>
    </row>
    <row r="7084" spans="9:10" x14ac:dyDescent="0.3">
      <c r="I7084" t="s">
        <v>14500</v>
      </c>
    </row>
    <row r="7085" spans="9:10" x14ac:dyDescent="0.3">
      <c r="I7085" t="s">
        <v>14501</v>
      </c>
    </row>
    <row r="7086" spans="9:10" x14ac:dyDescent="0.3">
      <c r="I7086" t="s">
        <v>14502</v>
      </c>
    </row>
    <row r="7087" spans="9:10" x14ac:dyDescent="0.3">
      <c r="I7087" t="s">
        <v>14503</v>
      </c>
    </row>
    <row r="7088" spans="9:10" x14ac:dyDescent="0.3">
      <c r="I7088" t="s">
        <v>14504</v>
      </c>
    </row>
    <row r="7089" spans="9:10" x14ac:dyDescent="0.3">
      <c r="I7089" t="s">
        <v>14505</v>
      </c>
      <c r="J7089" t="s">
        <v>2929</v>
      </c>
    </row>
    <row r="7090" spans="9:10" x14ac:dyDescent="0.3">
      <c r="I7090" t="s">
        <v>14506</v>
      </c>
    </row>
    <row r="7091" spans="9:10" x14ac:dyDescent="0.3">
      <c r="I7091" t="s">
        <v>14507</v>
      </c>
    </row>
    <row r="7092" spans="9:10" x14ac:dyDescent="0.3">
      <c r="I7092" t="s">
        <v>14508</v>
      </c>
      <c r="J7092" t="s">
        <v>2930</v>
      </c>
    </row>
    <row r="7093" spans="9:10" x14ac:dyDescent="0.3">
      <c r="I7093" t="s">
        <v>14509</v>
      </c>
      <c r="J7093">
        <v>0</v>
      </c>
    </row>
    <row r="7094" spans="9:10" x14ac:dyDescent="0.3">
      <c r="I7094" t="s">
        <v>14510</v>
      </c>
    </row>
    <row r="7095" spans="9:10" x14ac:dyDescent="0.3">
      <c r="I7095" t="s">
        <v>14511</v>
      </c>
      <c r="J7095" t="s">
        <v>2931</v>
      </c>
    </row>
    <row r="7096" spans="9:10" x14ac:dyDescent="0.3">
      <c r="I7096" t="s">
        <v>14512</v>
      </c>
    </row>
    <row r="7097" spans="9:10" x14ac:dyDescent="0.3">
      <c r="I7097" t="s">
        <v>14513</v>
      </c>
    </row>
    <row r="7098" spans="9:10" x14ac:dyDescent="0.3">
      <c r="I7098" t="s">
        <v>14514</v>
      </c>
      <c r="J7098" t="s">
        <v>2932</v>
      </c>
    </row>
    <row r="7099" spans="9:10" x14ac:dyDescent="0.3">
      <c r="I7099" t="s">
        <v>14515</v>
      </c>
      <c r="J7099" t="s">
        <v>2932</v>
      </c>
    </row>
    <row r="7100" spans="9:10" x14ac:dyDescent="0.3">
      <c r="I7100" t="s">
        <v>14516</v>
      </c>
    </row>
    <row r="7101" spans="9:10" x14ac:dyDescent="0.3">
      <c r="I7101" t="s">
        <v>14517</v>
      </c>
      <c r="J7101" t="s">
        <v>2933</v>
      </c>
    </row>
    <row r="7102" spans="9:10" x14ac:dyDescent="0.3">
      <c r="I7102" t="s">
        <v>14518</v>
      </c>
      <c r="J7102" t="s">
        <v>2934</v>
      </c>
    </row>
    <row r="7103" spans="9:10" x14ac:dyDescent="0.3">
      <c r="I7103" t="s">
        <v>14519</v>
      </c>
      <c r="J7103" t="s">
        <v>2935</v>
      </c>
    </row>
    <row r="7104" spans="9:10" x14ac:dyDescent="0.3">
      <c r="I7104" t="s">
        <v>14520</v>
      </c>
      <c r="J7104" t="s">
        <v>2936</v>
      </c>
    </row>
    <row r="7105" spans="9:10" x14ac:dyDescent="0.3">
      <c r="I7105" t="s">
        <v>14521</v>
      </c>
      <c r="J7105" t="s">
        <v>2937</v>
      </c>
    </row>
    <row r="7106" spans="9:10" x14ac:dyDescent="0.3">
      <c r="I7106" t="s">
        <v>14522</v>
      </c>
      <c r="J7106" t="s">
        <v>2938</v>
      </c>
    </row>
    <row r="7107" spans="9:10" x14ac:dyDescent="0.3">
      <c r="I7107" t="s">
        <v>14523</v>
      </c>
      <c r="J7107" t="s">
        <v>2939</v>
      </c>
    </row>
    <row r="7108" spans="9:10" x14ac:dyDescent="0.3">
      <c r="I7108" t="s">
        <v>14524</v>
      </c>
      <c r="J7108" t="s">
        <v>2940</v>
      </c>
    </row>
    <row r="7109" spans="9:10" x14ac:dyDescent="0.3">
      <c r="I7109" t="s">
        <v>14525</v>
      </c>
      <c r="J7109" t="s">
        <v>2941</v>
      </c>
    </row>
    <row r="7110" spans="9:10" x14ac:dyDescent="0.3">
      <c r="I7110" t="s">
        <v>14526</v>
      </c>
      <c r="J7110" t="s">
        <v>2942</v>
      </c>
    </row>
    <row r="7111" spans="9:10" x14ac:dyDescent="0.3">
      <c r="I7111" t="s">
        <v>14527</v>
      </c>
      <c r="J7111" t="s">
        <v>2943</v>
      </c>
    </row>
    <row r="7112" spans="9:10" x14ac:dyDescent="0.3">
      <c r="I7112" t="s">
        <v>14528</v>
      </c>
      <c r="J7112" t="s">
        <v>2944</v>
      </c>
    </row>
    <row r="7113" spans="9:10" x14ac:dyDescent="0.3">
      <c r="I7113" t="s">
        <v>14529</v>
      </c>
      <c r="J7113" t="s">
        <v>2945</v>
      </c>
    </row>
    <row r="7114" spans="9:10" x14ac:dyDescent="0.3">
      <c r="I7114" t="s">
        <v>14530</v>
      </c>
      <c r="J7114" t="s">
        <v>2946</v>
      </c>
    </row>
    <row r="7115" spans="9:10" x14ac:dyDescent="0.3">
      <c r="I7115" t="s">
        <v>14531</v>
      </c>
      <c r="J7115" t="s">
        <v>2947</v>
      </c>
    </row>
    <row r="7116" spans="9:10" x14ac:dyDescent="0.3">
      <c r="I7116" t="s">
        <v>14532</v>
      </c>
      <c r="J7116" t="s">
        <v>2948</v>
      </c>
    </row>
    <row r="7117" spans="9:10" x14ac:dyDescent="0.3">
      <c r="I7117" t="s">
        <v>14533</v>
      </c>
      <c r="J7117" t="s">
        <v>2949</v>
      </c>
    </row>
    <row r="7118" spans="9:10" x14ac:dyDescent="0.3">
      <c r="I7118" t="s">
        <v>14534</v>
      </c>
      <c r="J7118" t="s">
        <v>2950</v>
      </c>
    </row>
    <row r="7119" spans="9:10" x14ac:dyDescent="0.3">
      <c r="I7119" t="s">
        <v>14535</v>
      </c>
      <c r="J7119" t="s">
        <v>2951</v>
      </c>
    </row>
    <row r="7120" spans="9:10" x14ac:dyDescent="0.3">
      <c r="I7120" t="s">
        <v>14536</v>
      </c>
      <c r="J7120" t="s">
        <v>2951</v>
      </c>
    </row>
    <row r="7121" spans="9:10" x14ac:dyDescent="0.3">
      <c r="I7121" t="s">
        <v>14537</v>
      </c>
      <c r="J7121" t="s">
        <v>2952</v>
      </c>
    </row>
    <row r="7122" spans="9:10" x14ac:dyDescent="0.3">
      <c r="I7122" t="s">
        <v>14538</v>
      </c>
      <c r="J7122" t="s">
        <v>2953</v>
      </c>
    </row>
    <row r="7123" spans="9:10" x14ac:dyDescent="0.3">
      <c r="I7123" t="s">
        <v>14539</v>
      </c>
      <c r="J7123" t="s">
        <v>2954</v>
      </c>
    </row>
    <row r="7124" spans="9:10" x14ac:dyDescent="0.3">
      <c r="I7124" t="s">
        <v>14540</v>
      </c>
      <c r="J7124" t="s">
        <v>2955</v>
      </c>
    </row>
    <row r="7125" spans="9:10" x14ac:dyDescent="0.3">
      <c r="I7125" t="s">
        <v>14541</v>
      </c>
      <c r="J7125" t="s">
        <v>2956</v>
      </c>
    </row>
    <row r="7126" spans="9:10" x14ac:dyDescent="0.3">
      <c r="I7126" t="s">
        <v>14542</v>
      </c>
      <c r="J7126" t="s">
        <v>2957</v>
      </c>
    </row>
    <row r="7127" spans="9:10" x14ac:dyDescent="0.3">
      <c r="I7127" t="s">
        <v>14543</v>
      </c>
      <c r="J7127" t="s">
        <v>2958</v>
      </c>
    </row>
    <row r="7128" spans="9:10" x14ac:dyDescent="0.3">
      <c r="I7128" t="s">
        <v>14544</v>
      </c>
      <c r="J7128" t="s">
        <v>2959</v>
      </c>
    </row>
    <row r="7129" spans="9:10" x14ac:dyDescent="0.3">
      <c r="I7129" t="s">
        <v>14545</v>
      </c>
      <c r="J7129" t="s">
        <v>2960</v>
      </c>
    </row>
    <row r="7130" spans="9:10" x14ac:dyDescent="0.3">
      <c r="I7130" t="s">
        <v>14546</v>
      </c>
      <c r="J7130" t="s">
        <v>2961</v>
      </c>
    </row>
    <row r="7131" spans="9:10" x14ac:dyDescent="0.3">
      <c r="I7131" t="s">
        <v>14547</v>
      </c>
      <c r="J7131" t="s">
        <v>2962</v>
      </c>
    </row>
    <row r="7132" spans="9:10" x14ac:dyDescent="0.3">
      <c r="I7132" t="s">
        <v>14548</v>
      </c>
      <c r="J7132" t="s">
        <v>2963</v>
      </c>
    </row>
    <row r="7133" spans="9:10" x14ac:dyDescent="0.3">
      <c r="I7133" t="s">
        <v>14549</v>
      </c>
      <c r="J7133" t="s">
        <v>2964</v>
      </c>
    </row>
    <row r="7134" spans="9:10" x14ac:dyDescent="0.3">
      <c r="I7134" t="s">
        <v>14550</v>
      </c>
      <c r="J7134" t="s">
        <v>2965</v>
      </c>
    </row>
    <row r="7135" spans="9:10" x14ac:dyDescent="0.3">
      <c r="I7135" t="s">
        <v>14551</v>
      </c>
      <c r="J7135" t="s">
        <v>2966</v>
      </c>
    </row>
    <row r="7136" spans="9:10" x14ac:dyDescent="0.3">
      <c r="I7136" t="s">
        <v>14552</v>
      </c>
    </row>
    <row r="7137" spans="9:10" x14ac:dyDescent="0.3">
      <c r="I7137" t="s">
        <v>14553</v>
      </c>
    </row>
    <row r="7138" spans="9:10" x14ac:dyDescent="0.3">
      <c r="I7138" t="s">
        <v>14554</v>
      </c>
      <c r="J7138">
        <v>0</v>
      </c>
    </row>
    <row r="7139" spans="9:10" x14ac:dyDescent="0.3">
      <c r="I7139" t="s">
        <v>14555</v>
      </c>
      <c r="J7139">
        <v>0</v>
      </c>
    </row>
    <row r="7140" spans="9:10" x14ac:dyDescent="0.3">
      <c r="I7140" t="s">
        <v>14556</v>
      </c>
      <c r="J7140" t="s">
        <v>2967</v>
      </c>
    </row>
    <row r="7141" spans="9:10" x14ac:dyDescent="0.3">
      <c r="I7141" t="s">
        <v>14556</v>
      </c>
      <c r="J7141" t="s">
        <v>2967</v>
      </c>
    </row>
    <row r="7142" spans="9:10" x14ac:dyDescent="0.3">
      <c r="I7142" t="s">
        <v>14557</v>
      </c>
      <c r="J7142" t="s">
        <v>2968</v>
      </c>
    </row>
    <row r="7143" spans="9:10" x14ac:dyDescent="0.3">
      <c r="I7143" t="s">
        <v>14558</v>
      </c>
      <c r="J7143" t="s">
        <v>2969</v>
      </c>
    </row>
    <row r="7144" spans="9:10" x14ac:dyDescent="0.3">
      <c r="I7144" t="s">
        <v>14558</v>
      </c>
      <c r="J7144" t="s">
        <v>2969</v>
      </c>
    </row>
    <row r="7145" spans="9:10" x14ac:dyDescent="0.3">
      <c r="I7145" t="s">
        <v>14558</v>
      </c>
      <c r="J7145" t="s">
        <v>2969</v>
      </c>
    </row>
    <row r="7146" spans="9:10" x14ac:dyDescent="0.3">
      <c r="I7146" t="s">
        <v>14559</v>
      </c>
      <c r="J7146" t="s">
        <v>2970</v>
      </c>
    </row>
    <row r="7147" spans="9:10" x14ac:dyDescent="0.3">
      <c r="I7147" t="s">
        <v>14560</v>
      </c>
      <c r="J7147" t="s">
        <v>2971</v>
      </c>
    </row>
    <row r="7148" spans="9:10" x14ac:dyDescent="0.3">
      <c r="I7148" t="s">
        <v>14561</v>
      </c>
    </row>
    <row r="7149" spans="9:10" x14ac:dyDescent="0.3">
      <c r="I7149" t="s">
        <v>14562</v>
      </c>
      <c r="J7149" t="s">
        <v>2972</v>
      </c>
    </row>
    <row r="7150" spans="9:10" x14ac:dyDescent="0.3">
      <c r="I7150" t="s">
        <v>14563</v>
      </c>
      <c r="J7150" t="s">
        <v>2973</v>
      </c>
    </row>
    <row r="7151" spans="9:10" x14ac:dyDescent="0.3">
      <c r="I7151" t="s">
        <v>14564</v>
      </c>
      <c r="J7151" t="s">
        <v>2973</v>
      </c>
    </row>
    <row r="7152" spans="9:10" x14ac:dyDescent="0.3">
      <c r="I7152" t="s">
        <v>14565</v>
      </c>
    </row>
    <row r="7153" spans="9:10" x14ac:dyDescent="0.3">
      <c r="I7153" t="s">
        <v>14566</v>
      </c>
      <c r="J7153" t="s">
        <v>883</v>
      </c>
    </row>
    <row r="7154" spans="9:10" x14ac:dyDescent="0.3">
      <c r="I7154" t="s">
        <v>14567</v>
      </c>
      <c r="J7154" t="s">
        <v>883</v>
      </c>
    </row>
    <row r="7155" spans="9:10" x14ac:dyDescent="0.3">
      <c r="I7155" t="s">
        <v>14568</v>
      </c>
    </row>
    <row r="7156" spans="9:10" x14ac:dyDescent="0.3">
      <c r="I7156" t="s">
        <v>14569</v>
      </c>
      <c r="J7156" t="s">
        <v>157</v>
      </c>
    </row>
    <row r="7157" spans="9:10" x14ac:dyDescent="0.3">
      <c r="I7157" t="s">
        <v>14569</v>
      </c>
      <c r="J7157" t="s">
        <v>157</v>
      </c>
    </row>
    <row r="7158" spans="9:10" x14ac:dyDescent="0.3">
      <c r="I7158" t="s">
        <v>14569</v>
      </c>
      <c r="J7158" t="s">
        <v>157</v>
      </c>
    </row>
    <row r="7159" spans="9:10" x14ac:dyDescent="0.3">
      <c r="I7159" t="s">
        <v>14570</v>
      </c>
      <c r="J7159" t="s">
        <v>2974</v>
      </c>
    </row>
    <row r="7160" spans="9:10" x14ac:dyDescent="0.3">
      <c r="I7160" t="s">
        <v>14571</v>
      </c>
    </row>
    <row r="7161" spans="9:10" x14ac:dyDescent="0.3">
      <c r="I7161" t="s">
        <v>14572</v>
      </c>
      <c r="J7161" t="s">
        <v>2975</v>
      </c>
    </row>
    <row r="7162" spans="9:10" x14ac:dyDescent="0.3">
      <c r="I7162" t="s">
        <v>14572</v>
      </c>
      <c r="J7162" t="s">
        <v>2975</v>
      </c>
    </row>
    <row r="7163" spans="9:10" x14ac:dyDescent="0.3">
      <c r="I7163" t="s">
        <v>14573</v>
      </c>
      <c r="J7163" t="s">
        <v>2976</v>
      </c>
    </row>
    <row r="7164" spans="9:10" x14ac:dyDescent="0.3">
      <c r="I7164" t="s">
        <v>14574</v>
      </c>
    </row>
    <row r="7165" spans="9:10" x14ac:dyDescent="0.3">
      <c r="I7165" t="s">
        <v>14575</v>
      </c>
    </row>
    <row r="7166" spans="9:10" x14ac:dyDescent="0.3">
      <c r="I7166" t="s">
        <v>14576</v>
      </c>
      <c r="J7166" t="s">
        <v>2045</v>
      </c>
    </row>
    <row r="7167" spans="9:10" x14ac:dyDescent="0.3">
      <c r="I7167" t="s">
        <v>14577</v>
      </c>
    </row>
    <row r="7168" spans="9:10" x14ac:dyDescent="0.3">
      <c r="I7168" t="s">
        <v>14578</v>
      </c>
    </row>
    <row r="7169" spans="9:10" x14ac:dyDescent="0.3">
      <c r="I7169" t="s">
        <v>14579</v>
      </c>
    </row>
    <row r="7170" spans="9:10" x14ac:dyDescent="0.3">
      <c r="I7170" t="s">
        <v>14580</v>
      </c>
      <c r="J7170" t="s">
        <v>2977</v>
      </c>
    </row>
    <row r="7171" spans="9:10" x14ac:dyDescent="0.3">
      <c r="I7171" t="s">
        <v>14580</v>
      </c>
      <c r="J7171" t="s">
        <v>2977</v>
      </c>
    </row>
    <row r="7172" spans="9:10" x14ac:dyDescent="0.3">
      <c r="I7172" t="s">
        <v>14581</v>
      </c>
      <c r="J7172" t="s">
        <v>2978</v>
      </c>
    </row>
    <row r="7173" spans="9:10" x14ac:dyDescent="0.3">
      <c r="I7173" t="s">
        <v>14582</v>
      </c>
      <c r="J7173" t="s">
        <v>2979</v>
      </c>
    </row>
    <row r="7174" spans="9:10" x14ac:dyDescent="0.3">
      <c r="I7174" t="s">
        <v>14583</v>
      </c>
      <c r="J7174" t="s">
        <v>2980</v>
      </c>
    </row>
    <row r="7175" spans="9:10" x14ac:dyDescent="0.3">
      <c r="I7175" t="s">
        <v>14584</v>
      </c>
      <c r="J7175" t="s">
        <v>2980</v>
      </c>
    </row>
    <row r="7176" spans="9:10" x14ac:dyDescent="0.3">
      <c r="I7176" t="s">
        <v>14585</v>
      </c>
      <c r="J7176" t="s">
        <v>2981</v>
      </c>
    </row>
    <row r="7177" spans="9:10" x14ac:dyDescent="0.3">
      <c r="I7177" t="s">
        <v>14586</v>
      </c>
      <c r="J7177" t="s">
        <v>2982</v>
      </c>
    </row>
    <row r="7178" spans="9:10" x14ac:dyDescent="0.3">
      <c r="I7178" t="s">
        <v>14587</v>
      </c>
    </row>
    <row r="7179" spans="9:10" x14ac:dyDescent="0.3">
      <c r="I7179" t="s">
        <v>14588</v>
      </c>
    </row>
    <row r="7180" spans="9:10" x14ac:dyDescent="0.3">
      <c r="I7180" t="s">
        <v>14589</v>
      </c>
    </row>
    <row r="7181" spans="9:10" x14ac:dyDescent="0.3">
      <c r="I7181" t="s">
        <v>14590</v>
      </c>
      <c r="J7181" t="s">
        <v>2983</v>
      </c>
    </row>
    <row r="7182" spans="9:10" x14ac:dyDescent="0.3">
      <c r="I7182" t="s">
        <v>14591</v>
      </c>
      <c r="J7182" t="s">
        <v>2984</v>
      </c>
    </row>
    <row r="7183" spans="9:10" x14ac:dyDescent="0.3">
      <c r="I7183" t="s">
        <v>14592</v>
      </c>
      <c r="J7183" t="s">
        <v>2985</v>
      </c>
    </row>
    <row r="7184" spans="9:10" x14ac:dyDescent="0.3">
      <c r="I7184" t="s">
        <v>14593</v>
      </c>
      <c r="J7184" t="s">
        <v>2986</v>
      </c>
    </row>
    <row r="7185" spans="9:10" x14ac:dyDescent="0.3">
      <c r="I7185" t="s">
        <v>14594</v>
      </c>
      <c r="J7185" t="s">
        <v>2986</v>
      </c>
    </row>
    <row r="7186" spans="9:10" x14ac:dyDescent="0.3">
      <c r="I7186" t="s">
        <v>14595</v>
      </c>
      <c r="J7186" t="s">
        <v>2987</v>
      </c>
    </row>
    <row r="7187" spans="9:10" x14ac:dyDescent="0.3">
      <c r="I7187" t="s">
        <v>14596</v>
      </c>
      <c r="J7187" t="s">
        <v>2987</v>
      </c>
    </row>
    <row r="7188" spans="9:10" x14ac:dyDescent="0.3">
      <c r="I7188" t="s">
        <v>14597</v>
      </c>
      <c r="J7188" t="s">
        <v>2988</v>
      </c>
    </row>
    <row r="7189" spans="9:10" x14ac:dyDescent="0.3">
      <c r="I7189" t="s">
        <v>14598</v>
      </c>
      <c r="J7189" t="s">
        <v>2989</v>
      </c>
    </row>
    <row r="7190" spans="9:10" x14ac:dyDescent="0.3">
      <c r="I7190" t="s">
        <v>14599</v>
      </c>
      <c r="J7190" t="s">
        <v>2045</v>
      </c>
    </row>
    <row r="7191" spans="9:10" x14ac:dyDescent="0.3">
      <c r="I7191" t="s">
        <v>14600</v>
      </c>
      <c r="J7191" t="s">
        <v>2045</v>
      </c>
    </row>
    <row r="7192" spans="9:10" x14ac:dyDescent="0.3">
      <c r="I7192" t="s">
        <v>14601</v>
      </c>
    </row>
    <row r="7193" spans="9:10" x14ac:dyDescent="0.3">
      <c r="I7193" t="s">
        <v>14602</v>
      </c>
      <c r="J7193" t="s">
        <v>2990</v>
      </c>
    </row>
    <row r="7194" spans="9:10" x14ac:dyDescent="0.3">
      <c r="I7194" t="s">
        <v>14602</v>
      </c>
      <c r="J7194" t="s">
        <v>2990</v>
      </c>
    </row>
    <row r="7195" spans="9:10" x14ac:dyDescent="0.3">
      <c r="I7195" t="s">
        <v>14603</v>
      </c>
      <c r="J7195" t="s">
        <v>2991</v>
      </c>
    </row>
    <row r="7196" spans="9:10" x14ac:dyDescent="0.3">
      <c r="I7196" t="s">
        <v>14604</v>
      </c>
    </row>
    <row r="7197" spans="9:10" x14ac:dyDescent="0.3">
      <c r="I7197" t="s">
        <v>14605</v>
      </c>
    </row>
    <row r="7198" spans="9:10" x14ac:dyDescent="0.3">
      <c r="I7198" t="s">
        <v>14606</v>
      </c>
      <c r="J7198" t="s">
        <v>2992</v>
      </c>
    </row>
    <row r="7199" spans="9:10" x14ac:dyDescent="0.3">
      <c r="I7199" t="s">
        <v>14607</v>
      </c>
      <c r="J7199" t="s">
        <v>2993</v>
      </c>
    </row>
    <row r="7200" spans="9:10" x14ac:dyDescent="0.3">
      <c r="I7200" t="s">
        <v>14608</v>
      </c>
    </row>
    <row r="7201" spans="9:10" x14ac:dyDescent="0.3">
      <c r="I7201" t="s">
        <v>14609</v>
      </c>
    </row>
    <row r="7202" spans="9:10" x14ac:dyDescent="0.3">
      <c r="I7202" t="s">
        <v>14610</v>
      </c>
    </row>
    <row r="7203" spans="9:10" x14ac:dyDescent="0.3">
      <c r="I7203" t="s">
        <v>14611</v>
      </c>
    </row>
    <row r="7204" spans="9:10" x14ac:dyDescent="0.3">
      <c r="I7204" t="s">
        <v>14612</v>
      </c>
      <c r="J7204" t="s">
        <v>2994</v>
      </c>
    </row>
    <row r="7205" spans="9:10" x14ac:dyDescent="0.3">
      <c r="I7205" t="s">
        <v>14612</v>
      </c>
      <c r="J7205" t="s">
        <v>2994</v>
      </c>
    </row>
    <row r="7206" spans="9:10" x14ac:dyDescent="0.3">
      <c r="I7206" t="s">
        <v>14613</v>
      </c>
      <c r="J7206" t="s">
        <v>2995</v>
      </c>
    </row>
    <row r="7207" spans="9:10" x14ac:dyDescent="0.3">
      <c r="I7207" t="s">
        <v>14614</v>
      </c>
      <c r="J7207" t="s">
        <v>2996</v>
      </c>
    </row>
    <row r="7208" spans="9:10" x14ac:dyDescent="0.3">
      <c r="I7208" t="s">
        <v>14615</v>
      </c>
      <c r="J7208" t="s">
        <v>166</v>
      </c>
    </row>
    <row r="7209" spans="9:10" x14ac:dyDescent="0.3">
      <c r="I7209" t="s">
        <v>14616</v>
      </c>
      <c r="J7209" t="s">
        <v>2997</v>
      </c>
    </row>
    <row r="7210" spans="9:10" x14ac:dyDescent="0.3">
      <c r="I7210" t="s">
        <v>14617</v>
      </c>
      <c r="J7210" t="s">
        <v>692</v>
      </c>
    </row>
    <row r="7211" spans="9:10" x14ac:dyDescent="0.3">
      <c r="I7211" t="s">
        <v>14618</v>
      </c>
      <c r="J7211" t="s">
        <v>2998</v>
      </c>
    </row>
    <row r="7212" spans="9:10" x14ac:dyDescent="0.3">
      <c r="I7212" t="s">
        <v>14619</v>
      </c>
      <c r="J7212" t="s">
        <v>2999</v>
      </c>
    </row>
    <row r="7213" spans="9:10" x14ac:dyDescent="0.3">
      <c r="I7213" t="s">
        <v>14620</v>
      </c>
      <c r="J7213" t="s">
        <v>2045</v>
      </c>
    </row>
    <row r="7214" spans="9:10" x14ac:dyDescent="0.3">
      <c r="I7214" t="s">
        <v>14621</v>
      </c>
      <c r="J7214" t="s">
        <v>2045</v>
      </c>
    </row>
    <row r="7215" spans="9:10" x14ac:dyDescent="0.3">
      <c r="I7215" t="s">
        <v>14622</v>
      </c>
    </row>
    <row r="7216" spans="9:10" x14ac:dyDescent="0.3">
      <c r="I7216" t="s">
        <v>14623</v>
      </c>
      <c r="J7216" t="s">
        <v>3000</v>
      </c>
    </row>
    <row r="7217" spans="9:10" x14ac:dyDescent="0.3">
      <c r="I7217" t="s">
        <v>14623</v>
      </c>
      <c r="J7217" t="s">
        <v>3000</v>
      </c>
    </row>
    <row r="7218" spans="9:10" x14ac:dyDescent="0.3">
      <c r="I7218" t="s">
        <v>14624</v>
      </c>
      <c r="J7218" t="s">
        <v>3001</v>
      </c>
    </row>
    <row r="7219" spans="9:10" x14ac:dyDescent="0.3">
      <c r="I7219" t="s">
        <v>14625</v>
      </c>
    </row>
    <row r="7220" spans="9:10" x14ac:dyDescent="0.3">
      <c r="I7220" t="s">
        <v>14626</v>
      </c>
    </row>
    <row r="7221" spans="9:10" x14ac:dyDescent="0.3">
      <c r="I7221" t="s">
        <v>14627</v>
      </c>
    </row>
    <row r="7222" spans="9:10" x14ac:dyDescent="0.3">
      <c r="I7222" t="s">
        <v>14628</v>
      </c>
      <c r="J7222" t="s">
        <v>3002</v>
      </c>
    </row>
    <row r="7223" spans="9:10" x14ac:dyDescent="0.3">
      <c r="I7223" t="s">
        <v>14628</v>
      </c>
      <c r="J7223" t="s">
        <v>3002</v>
      </c>
    </row>
    <row r="7224" spans="9:10" x14ac:dyDescent="0.3">
      <c r="I7224" t="s">
        <v>14629</v>
      </c>
      <c r="J7224" t="s">
        <v>3003</v>
      </c>
    </row>
    <row r="7225" spans="9:10" x14ac:dyDescent="0.3">
      <c r="I7225" t="s">
        <v>14630</v>
      </c>
      <c r="J7225" t="s">
        <v>3003</v>
      </c>
    </row>
    <row r="7226" spans="9:10" x14ac:dyDescent="0.3">
      <c r="I7226" t="s">
        <v>14631</v>
      </c>
      <c r="J7226" t="s">
        <v>3004</v>
      </c>
    </row>
    <row r="7227" spans="9:10" x14ac:dyDescent="0.3">
      <c r="I7227" t="s">
        <v>14631</v>
      </c>
      <c r="J7227" t="s">
        <v>3004</v>
      </c>
    </row>
    <row r="7228" spans="9:10" x14ac:dyDescent="0.3">
      <c r="I7228" t="s">
        <v>14631</v>
      </c>
      <c r="J7228" t="s">
        <v>3004</v>
      </c>
    </row>
    <row r="7229" spans="9:10" x14ac:dyDescent="0.3">
      <c r="I7229" t="s">
        <v>14632</v>
      </c>
      <c r="J7229" t="s">
        <v>3005</v>
      </c>
    </row>
    <row r="7230" spans="9:10" x14ac:dyDescent="0.3">
      <c r="I7230" t="s">
        <v>14633</v>
      </c>
      <c r="J7230" t="s">
        <v>3005</v>
      </c>
    </row>
    <row r="7231" spans="9:10" x14ac:dyDescent="0.3">
      <c r="I7231" t="s">
        <v>14634</v>
      </c>
    </row>
    <row r="7232" spans="9:10" x14ac:dyDescent="0.3">
      <c r="I7232" t="s">
        <v>14635</v>
      </c>
    </row>
    <row r="7233" spans="9:10" x14ac:dyDescent="0.3">
      <c r="I7233" t="s">
        <v>14636</v>
      </c>
    </row>
    <row r="7234" spans="9:10" x14ac:dyDescent="0.3">
      <c r="I7234" t="s">
        <v>14637</v>
      </c>
      <c r="J7234" t="s">
        <v>3006</v>
      </c>
    </row>
    <row r="7235" spans="9:10" x14ac:dyDescent="0.3">
      <c r="I7235" t="s">
        <v>14638</v>
      </c>
      <c r="J7235" t="s">
        <v>668</v>
      </c>
    </row>
    <row r="7236" spans="9:10" x14ac:dyDescent="0.3">
      <c r="I7236" t="s">
        <v>14638</v>
      </c>
      <c r="J7236" t="s">
        <v>668</v>
      </c>
    </row>
    <row r="7237" spans="9:10" x14ac:dyDescent="0.3">
      <c r="I7237" t="s">
        <v>14638</v>
      </c>
      <c r="J7237" t="s">
        <v>668</v>
      </c>
    </row>
    <row r="7238" spans="9:10" x14ac:dyDescent="0.3">
      <c r="I7238" t="s">
        <v>14638</v>
      </c>
      <c r="J7238" t="s">
        <v>668</v>
      </c>
    </row>
    <row r="7239" spans="9:10" x14ac:dyDescent="0.3">
      <c r="I7239" t="s">
        <v>14638</v>
      </c>
      <c r="J7239" t="s">
        <v>668</v>
      </c>
    </row>
    <row r="7240" spans="9:10" x14ac:dyDescent="0.3">
      <c r="I7240" t="s">
        <v>14638</v>
      </c>
      <c r="J7240" t="s">
        <v>668</v>
      </c>
    </row>
    <row r="7241" spans="9:10" x14ac:dyDescent="0.3">
      <c r="I7241" t="s">
        <v>14638</v>
      </c>
      <c r="J7241" t="s">
        <v>668</v>
      </c>
    </row>
    <row r="7242" spans="9:10" x14ac:dyDescent="0.3">
      <c r="I7242" t="s">
        <v>14639</v>
      </c>
      <c r="J7242">
        <v>0</v>
      </c>
    </row>
    <row r="7243" spans="9:10" x14ac:dyDescent="0.3">
      <c r="I7243" t="s">
        <v>14640</v>
      </c>
      <c r="J7243">
        <v>0</v>
      </c>
    </row>
    <row r="7244" spans="9:10" x14ac:dyDescent="0.3">
      <c r="I7244" t="s">
        <v>14641</v>
      </c>
      <c r="J7244" t="s">
        <v>3007</v>
      </c>
    </row>
    <row r="7245" spans="9:10" x14ac:dyDescent="0.3">
      <c r="I7245" t="s">
        <v>14642</v>
      </c>
      <c r="J7245" t="s">
        <v>674</v>
      </c>
    </row>
    <row r="7246" spans="9:10" x14ac:dyDescent="0.3">
      <c r="I7246" t="s">
        <v>14643</v>
      </c>
    </row>
    <row r="7247" spans="9:10" x14ac:dyDescent="0.3">
      <c r="I7247" t="s">
        <v>14644</v>
      </c>
      <c r="J7247" t="s">
        <v>3008</v>
      </c>
    </row>
    <row r="7248" spans="9:10" x14ac:dyDescent="0.3">
      <c r="I7248" t="s">
        <v>14645</v>
      </c>
      <c r="J7248" t="s">
        <v>3009</v>
      </c>
    </row>
    <row r="7249" spans="9:10" x14ac:dyDescent="0.3">
      <c r="I7249" t="s">
        <v>14646</v>
      </c>
      <c r="J7249" t="s">
        <v>3010</v>
      </c>
    </row>
    <row r="7250" spans="9:10" x14ac:dyDescent="0.3">
      <c r="I7250" t="s">
        <v>14647</v>
      </c>
    </row>
    <row r="7251" spans="9:10" x14ac:dyDescent="0.3">
      <c r="I7251" t="s">
        <v>14648</v>
      </c>
    </row>
    <row r="7252" spans="9:10" x14ac:dyDescent="0.3">
      <c r="I7252" t="s">
        <v>14649</v>
      </c>
      <c r="J7252" t="s">
        <v>3011</v>
      </c>
    </row>
    <row r="7253" spans="9:10" x14ac:dyDescent="0.3">
      <c r="I7253" t="s">
        <v>14650</v>
      </c>
    </row>
    <row r="7254" spans="9:10" x14ac:dyDescent="0.3">
      <c r="I7254" t="s">
        <v>14651</v>
      </c>
      <c r="J7254" t="s">
        <v>3012</v>
      </c>
    </row>
    <row r="7255" spans="9:10" x14ac:dyDescent="0.3">
      <c r="I7255" t="s">
        <v>14652</v>
      </c>
      <c r="J7255" t="s">
        <v>3013</v>
      </c>
    </row>
    <row r="7256" spans="9:10" x14ac:dyDescent="0.3">
      <c r="I7256" t="s">
        <v>14653</v>
      </c>
      <c r="J7256" t="s">
        <v>755</v>
      </c>
    </row>
    <row r="7257" spans="9:10" x14ac:dyDescent="0.3">
      <c r="I7257" t="s">
        <v>14654</v>
      </c>
      <c r="J7257" t="s">
        <v>3014</v>
      </c>
    </row>
    <row r="7258" spans="9:10" x14ac:dyDescent="0.3">
      <c r="I7258" t="s">
        <v>14655</v>
      </c>
      <c r="J7258" t="s">
        <v>445</v>
      </c>
    </row>
    <row r="7259" spans="9:10" x14ac:dyDescent="0.3">
      <c r="I7259" t="s">
        <v>14655</v>
      </c>
      <c r="J7259" t="s">
        <v>445</v>
      </c>
    </row>
    <row r="7260" spans="9:10" x14ac:dyDescent="0.3">
      <c r="I7260" t="s">
        <v>14656</v>
      </c>
    </row>
    <row r="7261" spans="9:10" x14ac:dyDescent="0.3">
      <c r="I7261" t="s">
        <v>14657</v>
      </c>
      <c r="J7261" t="s">
        <v>3015</v>
      </c>
    </row>
    <row r="7262" spans="9:10" x14ac:dyDescent="0.3">
      <c r="I7262" t="s">
        <v>14658</v>
      </c>
    </row>
    <row r="7263" spans="9:10" x14ac:dyDescent="0.3">
      <c r="I7263" t="s">
        <v>14659</v>
      </c>
    </row>
    <row r="7264" spans="9:10" x14ac:dyDescent="0.3">
      <c r="I7264" t="s">
        <v>14660</v>
      </c>
    </row>
    <row r="7265" spans="9:10" x14ac:dyDescent="0.3">
      <c r="I7265" t="s">
        <v>14661</v>
      </c>
    </row>
    <row r="7266" spans="9:10" x14ac:dyDescent="0.3">
      <c r="I7266" t="s">
        <v>14662</v>
      </c>
    </row>
    <row r="7267" spans="9:10" x14ac:dyDescent="0.3">
      <c r="I7267" t="s">
        <v>14663</v>
      </c>
      <c r="J7267" t="s">
        <v>3016</v>
      </c>
    </row>
    <row r="7268" spans="9:10" x14ac:dyDescent="0.3">
      <c r="I7268" t="s">
        <v>14664</v>
      </c>
      <c r="J7268" t="s">
        <v>3017</v>
      </c>
    </row>
    <row r="7269" spans="9:10" x14ac:dyDescent="0.3">
      <c r="I7269" t="s">
        <v>14665</v>
      </c>
    </row>
    <row r="7270" spans="9:10" x14ac:dyDescent="0.3">
      <c r="I7270" t="s">
        <v>14666</v>
      </c>
    </row>
    <row r="7271" spans="9:10" x14ac:dyDescent="0.3">
      <c r="I7271" t="s">
        <v>14667</v>
      </c>
      <c r="J7271" t="s">
        <v>3018</v>
      </c>
    </row>
    <row r="7272" spans="9:10" x14ac:dyDescent="0.3">
      <c r="I7272" t="s">
        <v>14668</v>
      </c>
    </row>
    <row r="7273" spans="9:10" x14ac:dyDescent="0.3">
      <c r="I7273" t="s">
        <v>14669</v>
      </c>
    </row>
    <row r="7274" spans="9:10" x14ac:dyDescent="0.3">
      <c r="I7274" t="s">
        <v>14670</v>
      </c>
      <c r="J7274" t="s">
        <v>3019</v>
      </c>
    </row>
    <row r="7275" spans="9:10" x14ac:dyDescent="0.3">
      <c r="I7275" t="s">
        <v>14671</v>
      </c>
      <c r="J7275" t="s">
        <v>3020</v>
      </c>
    </row>
    <row r="7276" spans="9:10" x14ac:dyDescent="0.3">
      <c r="I7276" t="s">
        <v>14672</v>
      </c>
      <c r="J7276" t="s">
        <v>3021</v>
      </c>
    </row>
    <row r="7277" spans="9:10" x14ac:dyDescent="0.3">
      <c r="I7277" t="s">
        <v>14673</v>
      </c>
      <c r="J7277" t="s">
        <v>3022</v>
      </c>
    </row>
    <row r="7278" spans="9:10" x14ac:dyDescent="0.3">
      <c r="I7278" t="s">
        <v>14674</v>
      </c>
    </row>
    <row r="7279" spans="9:10" x14ac:dyDescent="0.3">
      <c r="I7279" t="s">
        <v>14675</v>
      </c>
    </row>
    <row r="7280" spans="9:10" x14ac:dyDescent="0.3">
      <c r="I7280" t="s">
        <v>14676</v>
      </c>
    </row>
    <row r="7281" spans="9:10" x14ac:dyDescent="0.3">
      <c r="I7281" t="s">
        <v>14677</v>
      </c>
    </row>
    <row r="7282" spans="9:10" x14ac:dyDescent="0.3">
      <c r="I7282" t="s">
        <v>14678</v>
      </c>
    </row>
    <row r="7283" spans="9:10" x14ac:dyDescent="0.3">
      <c r="I7283" t="s">
        <v>14679</v>
      </c>
    </row>
    <row r="7284" spans="9:10" x14ac:dyDescent="0.3">
      <c r="I7284" t="s">
        <v>14680</v>
      </c>
    </row>
    <row r="7285" spans="9:10" x14ac:dyDescent="0.3">
      <c r="I7285" t="s">
        <v>14681</v>
      </c>
    </row>
    <row r="7286" spans="9:10" x14ac:dyDescent="0.3">
      <c r="I7286" t="s">
        <v>14682</v>
      </c>
      <c r="J7286" t="s">
        <v>3023</v>
      </c>
    </row>
    <row r="7287" spans="9:10" x14ac:dyDescent="0.3">
      <c r="I7287" t="s">
        <v>14683</v>
      </c>
    </row>
    <row r="7288" spans="9:10" x14ac:dyDescent="0.3">
      <c r="I7288" t="s">
        <v>14684</v>
      </c>
    </row>
    <row r="7289" spans="9:10" x14ac:dyDescent="0.3">
      <c r="I7289" t="s">
        <v>14685</v>
      </c>
    </row>
    <row r="7290" spans="9:10" x14ac:dyDescent="0.3">
      <c r="I7290" t="s">
        <v>14686</v>
      </c>
      <c r="J7290" t="s">
        <v>2045</v>
      </c>
    </row>
    <row r="7291" spans="9:10" x14ac:dyDescent="0.3">
      <c r="I7291" t="s">
        <v>14687</v>
      </c>
    </row>
    <row r="7292" spans="9:10" x14ac:dyDescent="0.3">
      <c r="I7292" t="s">
        <v>14688</v>
      </c>
      <c r="J7292" t="s">
        <v>3024</v>
      </c>
    </row>
    <row r="7293" spans="9:10" x14ac:dyDescent="0.3">
      <c r="I7293" t="s">
        <v>14689</v>
      </c>
    </row>
    <row r="7294" spans="9:10" x14ac:dyDescent="0.3">
      <c r="I7294" t="s">
        <v>14690</v>
      </c>
    </row>
    <row r="7295" spans="9:10" x14ac:dyDescent="0.3">
      <c r="I7295" t="s">
        <v>14690</v>
      </c>
    </row>
    <row r="7296" spans="9:10" x14ac:dyDescent="0.3">
      <c r="I7296" t="s">
        <v>14691</v>
      </c>
    </row>
    <row r="7297" spans="9:10" x14ac:dyDescent="0.3">
      <c r="I7297" t="s">
        <v>14692</v>
      </c>
    </row>
    <row r="7298" spans="9:10" x14ac:dyDescent="0.3">
      <c r="I7298" t="s">
        <v>14693</v>
      </c>
      <c r="J7298" t="s">
        <v>3025</v>
      </c>
    </row>
    <row r="7299" spans="9:10" x14ac:dyDescent="0.3">
      <c r="I7299" t="s">
        <v>14694</v>
      </c>
      <c r="J7299" t="s">
        <v>3026</v>
      </c>
    </row>
    <row r="7300" spans="9:10" x14ac:dyDescent="0.3">
      <c r="I7300" t="s">
        <v>14694</v>
      </c>
      <c r="J7300" t="s">
        <v>3026</v>
      </c>
    </row>
    <row r="7301" spans="9:10" x14ac:dyDescent="0.3">
      <c r="I7301" t="s">
        <v>14695</v>
      </c>
      <c r="J7301" t="s">
        <v>3026</v>
      </c>
    </row>
    <row r="7302" spans="9:10" x14ac:dyDescent="0.3">
      <c r="I7302" t="s">
        <v>14695</v>
      </c>
      <c r="J7302" t="s">
        <v>3026</v>
      </c>
    </row>
    <row r="7303" spans="9:10" x14ac:dyDescent="0.3">
      <c r="I7303" t="s">
        <v>14696</v>
      </c>
      <c r="J7303" t="s">
        <v>704</v>
      </c>
    </row>
    <row r="7304" spans="9:10" x14ac:dyDescent="0.3">
      <c r="I7304" t="s">
        <v>14697</v>
      </c>
      <c r="J7304" t="s">
        <v>704</v>
      </c>
    </row>
    <row r="7305" spans="9:10" x14ac:dyDescent="0.3">
      <c r="I7305" t="s">
        <v>14696</v>
      </c>
      <c r="J7305" t="s">
        <v>704</v>
      </c>
    </row>
    <row r="7306" spans="9:10" x14ac:dyDescent="0.3">
      <c r="I7306" t="s">
        <v>14698</v>
      </c>
      <c r="J7306" t="s">
        <v>3027</v>
      </c>
    </row>
    <row r="7307" spans="9:10" x14ac:dyDescent="0.3">
      <c r="I7307" t="s">
        <v>14699</v>
      </c>
      <c r="J7307" t="s">
        <v>3028</v>
      </c>
    </row>
    <row r="7308" spans="9:10" x14ac:dyDescent="0.3">
      <c r="I7308" t="s">
        <v>14700</v>
      </c>
      <c r="J7308" t="s">
        <v>705</v>
      </c>
    </row>
    <row r="7309" spans="9:10" x14ac:dyDescent="0.3">
      <c r="I7309" t="s">
        <v>14701</v>
      </c>
      <c r="J7309" t="s">
        <v>3029</v>
      </c>
    </row>
    <row r="7310" spans="9:10" x14ac:dyDescent="0.3">
      <c r="I7310" t="s">
        <v>14702</v>
      </c>
      <c r="J7310" t="s">
        <v>3030</v>
      </c>
    </row>
    <row r="7311" spans="9:10" x14ac:dyDescent="0.3">
      <c r="I7311" t="s">
        <v>14703</v>
      </c>
      <c r="J7311" t="s">
        <v>3031</v>
      </c>
    </row>
    <row r="7312" spans="9:10" x14ac:dyDescent="0.3">
      <c r="I7312" t="s">
        <v>14704</v>
      </c>
    </row>
    <row r="7313" spans="9:10" x14ac:dyDescent="0.3">
      <c r="I7313" t="s">
        <v>14705</v>
      </c>
      <c r="J7313" t="s">
        <v>3032</v>
      </c>
    </row>
    <row r="7314" spans="9:10" x14ac:dyDescent="0.3">
      <c r="I7314" t="s">
        <v>14706</v>
      </c>
      <c r="J7314" t="s">
        <v>3033</v>
      </c>
    </row>
    <row r="7315" spans="9:10" x14ac:dyDescent="0.3">
      <c r="I7315" t="s">
        <v>14706</v>
      </c>
      <c r="J7315" t="s">
        <v>3033</v>
      </c>
    </row>
    <row r="7316" spans="9:10" x14ac:dyDescent="0.3">
      <c r="I7316" t="s">
        <v>14707</v>
      </c>
      <c r="J7316" t="s">
        <v>3033</v>
      </c>
    </row>
    <row r="7317" spans="9:10" x14ac:dyDescent="0.3">
      <c r="I7317" t="s">
        <v>14708</v>
      </c>
    </row>
    <row r="7318" spans="9:10" x14ac:dyDescent="0.3">
      <c r="I7318" t="s">
        <v>14709</v>
      </c>
    </row>
    <row r="7319" spans="9:10" x14ac:dyDescent="0.3">
      <c r="I7319" t="s">
        <v>14710</v>
      </c>
    </row>
    <row r="7320" spans="9:10" x14ac:dyDescent="0.3">
      <c r="I7320" t="s">
        <v>14711</v>
      </c>
    </row>
    <row r="7321" spans="9:10" x14ac:dyDescent="0.3">
      <c r="I7321" t="s">
        <v>14712</v>
      </c>
      <c r="J7321" t="s">
        <v>3034</v>
      </c>
    </row>
    <row r="7322" spans="9:10" x14ac:dyDescent="0.3">
      <c r="I7322" t="s">
        <v>14713</v>
      </c>
      <c r="J7322" t="s">
        <v>3035</v>
      </c>
    </row>
    <row r="7323" spans="9:10" x14ac:dyDescent="0.3">
      <c r="I7323" t="s">
        <v>14714</v>
      </c>
      <c r="J7323" t="s">
        <v>3036</v>
      </c>
    </row>
    <row r="7324" spans="9:10" x14ac:dyDescent="0.3">
      <c r="I7324" t="s">
        <v>14715</v>
      </c>
      <c r="J7324" t="s">
        <v>3036</v>
      </c>
    </row>
    <row r="7325" spans="9:10" x14ac:dyDescent="0.3">
      <c r="I7325" t="s">
        <v>14716</v>
      </c>
      <c r="J7325" t="s">
        <v>3036</v>
      </c>
    </row>
    <row r="7326" spans="9:10" x14ac:dyDescent="0.3">
      <c r="I7326" t="s">
        <v>14717</v>
      </c>
      <c r="J7326" t="s">
        <v>3036</v>
      </c>
    </row>
    <row r="7327" spans="9:10" x14ac:dyDescent="0.3">
      <c r="I7327" t="s">
        <v>14718</v>
      </c>
      <c r="J7327">
        <v>0</v>
      </c>
    </row>
    <row r="7328" spans="9:10" x14ac:dyDescent="0.3">
      <c r="I7328" t="s">
        <v>14719</v>
      </c>
    </row>
    <row r="7329" spans="9:10" x14ac:dyDescent="0.3">
      <c r="I7329" t="s">
        <v>14720</v>
      </c>
    </row>
    <row r="7330" spans="9:10" x14ac:dyDescent="0.3">
      <c r="I7330" t="s">
        <v>14721</v>
      </c>
      <c r="J7330" t="s">
        <v>3037</v>
      </c>
    </row>
    <row r="7331" spans="9:10" x14ac:dyDescent="0.3">
      <c r="I7331" t="s">
        <v>14722</v>
      </c>
      <c r="J7331" t="s">
        <v>3038</v>
      </c>
    </row>
    <row r="7332" spans="9:10" x14ac:dyDescent="0.3">
      <c r="I7332" t="s">
        <v>14723</v>
      </c>
      <c r="J7332" t="s">
        <v>3038</v>
      </c>
    </row>
    <row r="7333" spans="9:10" x14ac:dyDescent="0.3">
      <c r="I7333" t="s">
        <v>14724</v>
      </c>
    </row>
    <row r="7334" spans="9:10" x14ac:dyDescent="0.3">
      <c r="I7334" t="s">
        <v>14725</v>
      </c>
      <c r="J7334" t="s">
        <v>3039</v>
      </c>
    </row>
    <row r="7335" spans="9:10" x14ac:dyDescent="0.3">
      <c r="I7335" t="s">
        <v>14726</v>
      </c>
      <c r="J7335" t="s">
        <v>3040</v>
      </c>
    </row>
    <row r="7336" spans="9:10" x14ac:dyDescent="0.3">
      <c r="I7336" t="s">
        <v>14727</v>
      </c>
    </row>
    <row r="7337" spans="9:10" x14ac:dyDescent="0.3">
      <c r="I7337" t="s">
        <v>14728</v>
      </c>
      <c r="J7337" t="s">
        <v>3041</v>
      </c>
    </row>
    <row r="7338" spans="9:10" x14ac:dyDescent="0.3">
      <c r="I7338" t="s">
        <v>14729</v>
      </c>
      <c r="J7338" t="s">
        <v>3041</v>
      </c>
    </row>
    <row r="7339" spans="9:10" x14ac:dyDescent="0.3">
      <c r="I7339" t="s">
        <v>14730</v>
      </c>
    </row>
    <row r="7340" spans="9:10" x14ac:dyDescent="0.3">
      <c r="I7340" t="s">
        <v>14731</v>
      </c>
      <c r="J7340" t="s">
        <v>3042</v>
      </c>
    </row>
    <row r="7341" spans="9:10" x14ac:dyDescent="0.3">
      <c r="I7341" t="s">
        <v>14732</v>
      </c>
      <c r="J7341" t="s">
        <v>3043</v>
      </c>
    </row>
    <row r="7342" spans="9:10" x14ac:dyDescent="0.3">
      <c r="I7342" t="s">
        <v>14733</v>
      </c>
    </row>
    <row r="7343" spans="9:10" x14ac:dyDescent="0.3">
      <c r="I7343" t="s">
        <v>14734</v>
      </c>
      <c r="J7343" t="s">
        <v>3044</v>
      </c>
    </row>
    <row r="7344" spans="9:10" x14ac:dyDescent="0.3">
      <c r="I7344" t="s">
        <v>14735</v>
      </c>
    </row>
    <row r="7345" spans="9:10" x14ac:dyDescent="0.3">
      <c r="I7345" t="s">
        <v>14736</v>
      </c>
      <c r="J7345" t="s">
        <v>3045</v>
      </c>
    </row>
    <row r="7346" spans="9:10" x14ac:dyDescent="0.3">
      <c r="I7346" t="s">
        <v>14737</v>
      </c>
    </row>
    <row r="7347" spans="9:10" x14ac:dyDescent="0.3">
      <c r="I7347" t="s">
        <v>14738</v>
      </c>
      <c r="J7347" t="s">
        <v>3046</v>
      </c>
    </row>
    <row r="7348" spans="9:10" x14ac:dyDescent="0.3">
      <c r="I7348" t="s">
        <v>14739</v>
      </c>
      <c r="J7348" t="s">
        <v>3047</v>
      </c>
    </row>
    <row r="7349" spans="9:10" x14ac:dyDescent="0.3">
      <c r="I7349" t="s">
        <v>14740</v>
      </c>
      <c r="J7349" t="s">
        <v>3048</v>
      </c>
    </row>
    <row r="7350" spans="9:10" x14ac:dyDescent="0.3">
      <c r="I7350" t="s">
        <v>14741</v>
      </c>
      <c r="J7350" t="s">
        <v>3049</v>
      </c>
    </row>
    <row r="7351" spans="9:10" x14ac:dyDescent="0.3">
      <c r="I7351" t="s">
        <v>14742</v>
      </c>
      <c r="J7351" t="s">
        <v>3050</v>
      </c>
    </row>
    <row r="7352" spans="9:10" x14ac:dyDescent="0.3">
      <c r="I7352" t="s">
        <v>14743</v>
      </c>
      <c r="J7352" t="s">
        <v>3051</v>
      </c>
    </row>
    <row r="7353" spans="9:10" x14ac:dyDescent="0.3">
      <c r="I7353" t="s">
        <v>14744</v>
      </c>
      <c r="J7353" t="s">
        <v>3052</v>
      </c>
    </row>
    <row r="7354" spans="9:10" x14ac:dyDescent="0.3">
      <c r="I7354" t="s">
        <v>14745</v>
      </c>
    </row>
    <row r="7355" spans="9:10" x14ac:dyDescent="0.3">
      <c r="I7355" t="s">
        <v>14746</v>
      </c>
      <c r="J7355" t="s">
        <v>3053</v>
      </c>
    </row>
    <row r="7356" spans="9:10" x14ac:dyDescent="0.3">
      <c r="I7356" t="s">
        <v>14747</v>
      </c>
      <c r="J7356" t="s">
        <v>3054</v>
      </c>
    </row>
    <row r="7357" spans="9:10" x14ac:dyDescent="0.3">
      <c r="I7357" t="s">
        <v>14748</v>
      </c>
    </row>
    <row r="7358" spans="9:10" x14ac:dyDescent="0.3">
      <c r="I7358" t="s">
        <v>14749</v>
      </c>
    </row>
    <row r="7359" spans="9:10" x14ac:dyDescent="0.3">
      <c r="I7359" t="s">
        <v>14750</v>
      </c>
    </row>
    <row r="7360" spans="9:10" x14ac:dyDescent="0.3">
      <c r="I7360" t="s">
        <v>14751</v>
      </c>
    </row>
    <row r="7361" spans="9:10" x14ac:dyDescent="0.3">
      <c r="I7361" t="s">
        <v>14752</v>
      </c>
    </row>
    <row r="7362" spans="9:10" x14ac:dyDescent="0.3">
      <c r="I7362" t="s">
        <v>14753</v>
      </c>
      <c r="J7362">
        <v>0</v>
      </c>
    </row>
    <row r="7363" spans="9:10" x14ac:dyDescent="0.3">
      <c r="I7363" t="s">
        <v>14754</v>
      </c>
      <c r="J7363" t="s">
        <v>3055</v>
      </c>
    </row>
    <row r="7364" spans="9:10" x14ac:dyDescent="0.3">
      <c r="I7364" t="s">
        <v>14755</v>
      </c>
    </row>
    <row r="7365" spans="9:10" x14ac:dyDescent="0.3">
      <c r="I7365" t="s">
        <v>14756</v>
      </c>
    </row>
    <row r="7366" spans="9:10" x14ac:dyDescent="0.3">
      <c r="I7366" t="s">
        <v>14757</v>
      </c>
      <c r="J7366" t="s">
        <v>3056</v>
      </c>
    </row>
    <row r="7367" spans="9:10" x14ac:dyDescent="0.3">
      <c r="I7367" t="s">
        <v>14758</v>
      </c>
      <c r="J7367" t="s">
        <v>3057</v>
      </c>
    </row>
    <row r="7368" spans="9:10" x14ac:dyDescent="0.3">
      <c r="I7368" t="s">
        <v>14759</v>
      </c>
      <c r="J7368" t="s">
        <v>1943</v>
      </c>
    </row>
    <row r="7369" spans="9:10" x14ac:dyDescent="0.3">
      <c r="I7369" t="s">
        <v>14760</v>
      </c>
    </row>
    <row r="7370" spans="9:10" x14ac:dyDescent="0.3">
      <c r="I7370" t="s">
        <v>14761</v>
      </c>
      <c r="J7370" t="s">
        <v>3058</v>
      </c>
    </row>
    <row r="7371" spans="9:10" x14ac:dyDescent="0.3">
      <c r="I7371" t="s">
        <v>14762</v>
      </c>
      <c r="J7371" t="s">
        <v>3058</v>
      </c>
    </row>
    <row r="7372" spans="9:10" x14ac:dyDescent="0.3">
      <c r="I7372" t="s">
        <v>14763</v>
      </c>
      <c r="J7372" t="s">
        <v>3059</v>
      </c>
    </row>
    <row r="7373" spans="9:10" x14ac:dyDescent="0.3">
      <c r="I7373" t="s">
        <v>14764</v>
      </c>
      <c r="J7373" t="s">
        <v>3060</v>
      </c>
    </row>
    <row r="7374" spans="9:10" x14ac:dyDescent="0.3">
      <c r="I7374" t="s">
        <v>14765</v>
      </c>
      <c r="J7374" t="s">
        <v>3061</v>
      </c>
    </row>
    <row r="7375" spans="9:10" x14ac:dyDescent="0.3">
      <c r="I7375" t="s">
        <v>14766</v>
      </c>
    </row>
    <row r="7376" spans="9:10" x14ac:dyDescent="0.3">
      <c r="I7376" t="s">
        <v>14767</v>
      </c>
      <c r="J7376" t="s">
        <v>3062</v>
      </c>
    </row>
    <row r="7377" spans="9:10" x14ac:dyDescent="0.3">
      <c r="I7377" t="s">
        <v>14768</v>
      </c>
    </row>
    <row r="7378" spans="9:10" x14ac:dyDescent="0.3">
      <c r="I7378" t="s">
        <v>14769</v>
      </c>
    </row>
    <row r="7379" spans="9:10" x14ac:dyDescent="0.3">
      <c r="I7379" t="s">
        <v>14770</v>
      </c>
    </row>
    <row r="7380" spans="9:10" x14ac:dyDescent="0.3">
      <c r="I7380" t="s">
        <v>14771</v>
      </c>
      <c r="J7380" t="s">
        <v>3063</v>
      </c>
    </row>
    <row r="7381" spans="9:10" x14ac:dyDescent="0.3">
      <c r="I7381" t="s">
        <v>14772</v>
      </c>
      <c r="J7381" t="s">
        <v>3064</v>
      </c>
    </row>
    <row r="7382" spans="9:10" x14ac:dyDescent="0.3">
      <c r="I7382" t="s">
        <v>14773</v>
      </c>
      <c r="J7382" t="s">
        <v>716</v>
      </c>
    </row>
    <row r="7383" spans="9:10" x14ac:dyDescent="0.3">
      <c r="I7383" t="s">
        <v>14774</v>
      </c>
    </row>
    <row r="7384" spans="9:10" x14ac:dyDescent="0.3">
      <c r="I7384" t="s">
        <v>14775</v>
      </c>
    </row>
    <row r="7385" spans="9:10" x14ac:dyDescent="0.3">
      <c r="I7385" t="s">
        <v>14776</v>
      </c>
    </row>
    <row r="7386" spans="9:10" x14ac:dyDescent="0.3">
      <c r="I7386" t="s">
        <v>14777</v>
      </c>
    </row>
    <row r="7387" spans="9:10" x14ac:dyDescent="0.3">
      <c r="I7387" t="s">
        <v>14778</v>
      </c>
    </row>
    <row r="7388" spans="9:10" x14ac:dyDescent="0.3">
      <c r="I7388" t="s">
        <v>14779</v>
      </c>
      <c r="J7388" s="155" t="s">
        <v>3065</v>
      </c>
    </row>
    <row r="7389" spans="9:10" x14ac:dyDescent="0.3">
      <c r="I7389" t="s">
        <v>14780</v>
      </c>
      <c r="J7389" s="155" t="s">
        <v>3065</v>
      </c>
    </row>
    <row r="7390" spans="9:10" x14ac:dyDescent="0.3">
      <c r="I7390" t="s">
        <v>14781</v>
      </c>
      <c r="J7390" s="155" t="s">
        <v>3065</v>
      </c>
    </row>
    <row r="7391" spans="9:10" x14ac:dyDescent="0.3">
      <c r="I7391" t="s">
        <v>14782</v>
      </c>
      <c r="J7391" s="155" t="s">
        <v>3065</v>
      </c>
    </row>
    <row r="7392" spans="9:10" x14ac:dyDescent="0.3">
      <c r="I7392" t="s">
        <v>14783</v>
      </c>
      <c r="J7392" s="155" t="s">
        <v>3065</v>
      </c>
    </row>
    <row r="7393" spans="9:10" x14ac:dyDescent="0.3">
      <c r="I7393" t="s">
        <v>14784</v>
      </c>
      <c r="J7393" s="155" t="s">
        <v>3065</v>
      </c>
    </row>
    <row r="7394" spans="9:10" x14ac:dyDescent="0.3">
      <c r="I7394" t="s">
        <v>14785</v>
      </c>
      <c r="J7394" s="155" t="s">
        <v>3065</v>
      </c>
    </row>
    <row r="7395" spans="9:10" x14ac:dyDescent="0.3">
      <c r="I7395" t="s">
        <v>14786</v>
      </c>
      <c r="J7395" s="155" t="s">
        <v>3065</v>
      </c>
    </row>
    <row r="7396" spans="9:10" x14ac:dyDescent="0.3">
      <c r="I7396" t="s">
        <v>14787</v>
      </c>
      <c r="J7396" s="155" t="s">
        <v>3065</v>
      </c>
    </row>
    <row r="7397" spans="9:10" x14ac:dyDescent="0.3">
      <c r="I7397" t="s">
        <v>14788</v>
      </c>
      <c r="J7397" s="155" t="s">
        <v>3065</v>
      </c>
    </row>
    <row r="7398" spans="9:10" x14ac:dyDescent="0.3">
      <c r="I7398" t="s">
        <v>14789</v>
      </c>
      <c r="J7398" t="s">
        <v>3066</v>
      </c>
    </row>
    <row r="7399" spans="9:10" x14ac:dyDescent="0.3">
      <c r="I7399" t="s">
        <v>14790</v>
      </c>
    </row>
    <row r="7400" spans="9:10" x14ac:dyDescent="0.3">
      <c r="I7400" t="s">
        <v>14791</v>
      </c>
    </row>
    <row r="7401" spans="9:10" x14ac:dyDescent="0.3">
      <c r="I7401" t="s">
        <v>14792</v>
      </c>
      <c r="J7401" t="s">
        <v>3067</v>
      </c>
    </row>
    <row r="7402" spans="9:10" x14ac:dyDescent="0.3">
      <c r="I7402" t="s">
        <v>14793</v>
      </c>
      <c r="J7402" t="s">
        <v>3068</v>
      </c>
    </row>
    <row r="7403" spans="9:10" x14ac:dyDescent="0.3">
      <c r="I7403" t="s">
        <v>14794</v>
      </c>
      <c r="J7403" t="s">
        <v>3069</v>
      </c>
    </row>
    <row r="7404" spans="9:10" x14ac:dyDescent="0.3">
      <c r="I7404" t="s">
        <v>14795</v>
      </c>
      <c r="J7404" t="s">
        <v>3070</v>
      </c>
    </row>
    <row r="7405" spans="9:10" x14ac:dyDescent="0.3">
      <c r="I7405" t="s">
        <v>14796</v>
      </c>
    </row>
    <row r="7406" spans="9:10" x14ac:dyDescent="0.3">
      <c r="I7406" t="s">
        <v>14797</v>
      </c>
      <c r="J7406" t="s">
        <v>3071</v>
      </c>
    </row>
    <row r="7407" spans="9:10" x14ac:dyDescent="0.3">
      <c r="I7407" t="s">
        <v>14798</v>
      </c>
    </row>
    <row r="7408" spans="9:10" x14ac:dyDescent="0.3">
      <c r="I7408" t="s">
        <v>14799</v>
      </c>
      <c r="J7408" t="s">
        <v>3072</v>
      </c>
    </row>
    <row r="7409" spans="9:10" x14ac:dyDescent="0.3">
      <c r="I7409" t="s">
        <v>14800</v>
      </c>
    </row>
    <row r="7410" spans="9:10" x14ac:dyDescent="0.3">
      <c r="I7410" t="s">
        <v>14801</v>
      </c>
    </row>
    <row r="7411" spans="9:10" x14ac:dyDescent="0.3">
      <c r="I7411" t="s">
        <v>14802</v>
      </c>
      <c r="J7411" t="s">
        <v>3073</v>
      </c>
    </row>
    <row r="7412" spans="9:10" x14ac:dyDescent="0.3">
      <c r="I7412" t="s">
        <v>14803</v>
      </c>
      <c r="J7412" t="s">
        <v>3073</v>
      </c>
    </row>
    <row r="7413" spans="9:10" x14ac:dyDescent="0.3">
      <c r="I7413" t="s">
        <v>14804</v>
      </c>
      <c r="J7413" t="s">
        <v>3074</v>
      </c>
    </row>
    <row r="7414" spans="9:10" x14ac:dyDescent="0.3">
      <c r="I7414" t="s">
        <v>14805</v>
      </c>
      <c r="J7414" t="s">
        <v>3075</v>
      </c>
    </row>
    <row r="7415" spans="9:10" x14ac:dyDescent="0.3">
      <c r="I7415" t="s">
        <v>14806</v>
      </c>
      <c r="J7415" t="s">
        <v>3076</v>
      </c>
    </row>
    <row r="7416" spans="9:10" x14ac:dyDescent="0.3">
      <c r="I7416" t="s">
        <v>14807</v>
      </c>
    </row>
    <row r="7417" spans="9:10" x14ac:dyDescent="0.3">
      <c r="I7417" t="s">
        <v>14808</v>
      </c>
      <c r="J7417" t="s">
        <v>3077</v>
      </c>
    </row>
    <row r="7418" spans="9:10" x14ac:dyDescent="0.3">
      <c r="I7418" t="s">
        <v>14809</v>
      </c>
      <c r="J7418" t="s">
        <v>3077</v>
      </c>
    </row>
    <row r="7419" spans="9:10" x14ac:dyDescent="0.3">
      <c r="I7419" t="s">
        <v>14810</v>
      </c>
      <c r="J7419" t="s">
        <v>3077</v>
      </c>
    </row>
    <row r="7420" spans="9:10" x14ac:dyDescent="0.3">
      <c r="I7420" t="s">
        <v>14810</v>
      </c>
      <c r="J7420" t="s">
        <v>3077</v>
      </c>
    </row>
    <row r="7421" spans="9:10" x14ac:dyDescent="0.3">
      <c r="I7421" t="s">
        <v>14811</v>
      </c>
    </row>
    <row r="7422" spans="9:10" x14ac:dyDescent="0.3">
      <c r="I7422" t="s">
        <v>14812</v>
      </c>
      <c r="J7422" t="s">
        <v>3078</v>
      </c>
    </row>
    <row r="7423" spans="9:10" x14ac:dyDescent="0.3">
      <c r="I7423" t="s">
        <v>14813</v>
      </c>
    </row>
    <row r="7424" spans="9:10" x14ac:dyDescent="0.3">
      <c r="I7424" t="s">
        <v>14814</v>
      </c>
    </row>
    <row r="7425" spans="9:10" x14ac:dyDescent="0.3">
      <c r="I7425" t="s">
        <v>14815</v>
      </c>
      <c r="J7425" t="s">
        <v>3079</v>
      </c>
    </row>
    <row r="7426" spans="9:10" x14ac:dyDescent="0.3">
      <c r="I7426" t="s">
        <v>14816</v>
      </c>
    </row>
    <row r="7427" spans="9:10" x14ac:dyDescent="0.3">
      <c r="I7427" t="s">
        <v>14817</v>
      </c>
      <c r="J7427" t="s">
        <v>3080</v>
      </c>
    </row>
    <row r="7428" spans="9:10" x14ac:dyDescent="0.3">
      <c r="I7428" t="s">
        <v>14818</v>
      </c>
    </row>
    <row r="7429" spans="9:10" x14ac:dyDescent="0.3">
      <c r="I7429" t="s">
        <v>14819</v>
      </c>
      <c r="J7429" t="s">
        <v>3081</v>
      </c>
    </row>
    <row r="7430" spans="9:10" x14ac:dyDescent="0.3">
      <c r="I7430" t="s">
        <v>14819</v>
      </c>
      <c r="J7430" t="s">
        <v>3081</v>
      </c>
    </row>
    <row r="7431" spans="9:10" x14ac:dyDescent="0.3">
      <c r="I7431" t="s">
        <v>14820</v>
      </c>
    </row>
    <row r="7432" spans="9:10" x14ac:dyDescent="0.3">
      <c r="I7432" t="s">
        <v>14821</v>
      </c>
      <c r="J7432">
        <v>0</v>
      </c>
    </row>
    <row r="7433" spans="9:10" x14ac:dyDescent="0.3">
      <c r="I7433" t="s">
        <v>14822</v>
      </c>
      <c r="J7433" t="s">
        <v>3082</v>
      </c>
    </row>
    <row r="7434" spans="9:10" x14ac:dyDescent="0.3">
      <c r="I7434" t="s">
        <v>14823</v>
      </c>
      <c r="J7434" t="s">
        <v>2045</v>
      </c>
    </row>
    <row r="7435" spans="9:10" x14ac:dyDescent="0.3">
      <c r="I7435" t="s">
        <v>14824</v>
      </c>
      <c r="J7435" t="s">
        <v>3083</v>
      </c>
    </row>
    <row r="7436" spans="9:10" x14ac:dyDescent="0.3">
      <c r="I7436" t="s">
        <v>14825</v>
      </c>
      <c r="J7436" t="s">
        <v>3084</v>
      </c>
    </row>
    <row r="7437" spans="9:10" x14ac:dyDescent="0.3">
      <c r="I7437" t="s">
        <v>14826</v>
      </c>
      <c r="J7437" t="s">
        <v>3085</v>
      </c>
    </row>
    <row r="7438" spans="9:10" x14ac:dyDescent="0.3">
      <c r="I7438" t="s">
        <v>14827</v>
      </c>
      <c r="J7438" t="s">
        <v>3086</v>
      </c>
    </row>
    <row r="7439" spans="9:10" x14ac:dyDescent="0.3">
      <c r="I7439" t="s">
        <v>14828</v>
      </c>
      <c r="J7439" t="s">
        <v>3087</v>
      </c>
    </row>
    <row r="7440" spans="9:10" x14ac:dyDescent="0.3">
      <c r="I7440" t="s">
        <v>14829</v>
      </c>
      <c r="J7440" t="s">
        <v>3088</v>
      </c>
    </row>
    <row r="7441" spans="9:10" x14ac:dyDescent="0.3">
      <c r="I7441" t="s">
        <v>14830</v>
      </c>
      <c r="J7441" t="s">
        <v>3089</v>
      </c>
    </row>
    <row r="7442" spans="9:10" x14ac:dyDescent="0.3">
      <c r="I7442" t="s">
        <v>14831</v>
      </c>
    </row>
    <row r="7443" spans="9:10" x14ac:dyDescent="0.3">
      <c r="I7443" t="s">
        <v>14832</v>
      </c>
    </row>
    <row r="7444" spans="9:10" x14ac:dyDescent="0.3">
      <c r="I7444" t="s">
        <v>14833</v>
      </c>
      <c r="J7444" t="s">
        <v>3090</v>
      </c>
    </row>
    <row r="7445" spans="9:10" x14ac:dyDescent="0.3">
      <c r="I7445" t="s">
        <v>14834</v>
      </c>
      <c r="J7445" t="s">
        <v>750</v>
      </c>
    </row>
    <row r="7446" spans="9:10" x14ac:dyDescent="0.3">
      <c r="I7446" t="s">
        <v>14834</v>
      </c>
      <c r="J7446" t="s">
        <v>750</v>
      </c>
    </row>
    <row r="7447" spans="9:10" x14ac:dyDescent="0.3">
      <c r="I7447" t="s">
        <v>14834</v>
      </c>
      <c r="J7447" t="s">
        <v>750</v>
      </c>
    </row>
    <row r="7448" spans="9:10" x14ac:dyDescent="0.3">
      <c r="I7448" t="s">
        <v>14835</v>
      </c>
      <c r="J7448" t="s">
        <v>750</v>
      </c>
    </row>
    <row r="7449" spans="9:10" x14ac:dyDescent="0.3">
      <c r="I7449" t="s">
        <v>14834</v>
      </c>
      <c r="J7449" t="s">
        <v>750</v>
      </c>
    </row>
    <row r="7450" spans="9:10" x14ac:dyDescent="0.3">
      <c r="I7450" t="s">
        <v>749</v>
      </c>
      <c r="J7450" t="s">
        <v>750</v>
      </c>
    </row>
    <row r="7451" spans="9:10" x14ac:dyDescent="0.3">
      <c r="I7451" t="s">
        <v>14836</v>
      </c>
      <c r="J7451" t="s">
        <v>3091</v>
      </c>
    </row>
    <row r="7452" spans="9:10" x14ac:dyDescent="0.3">
      <c r="I7452" t="s">
        <v>14837</v>
      </c>
      <c r="J7452" t="s">
        <v>3092</v>
      </c>
    </row>
    <row r="7453" spans="9:10" x14ac:dyDescent="0.3">
      <c r="I7453" t="s">
        <v>14838</v>
      </c>
      <c r="J7453" t="s">
        <v>3092</v>
      </c>
    </row>
    <row r="7454" spans="9:10" x14ac:dyDescent="0.3">
      <c r="I7454" t="s">
        <v>14839</v>
      </c>
    </row>
    <row r="7455" spans="9:10" x14ac:dyDescent="0.3">
      <c r="I7455" t="s">
        <v>14840</v>
      </c>
      <c r="J7455" t="s">
        <v>3093</v>
      </c>
    </row>
    <row r="7456" spans="9:10" x14ac:dyDescent="0.3">
      <c r="I7456" t="s">
        <v>14841</v>
      </c>
    </row>
    <row r="7457" spans="9:10" x14ac:dyDescent="0.3">
      <c r="I7457" t="s">
        <v>14842</v>
      </c>
      <c r="J7457" t="s">
        <v>963</v>
      </c>
    </row>
    <row r="7458" spans="9:10" x14ac:dyDescent="0.3">
      <c r="I7458" t="s">
        <v>14842</v>
      </c>
      <c r="J7458" t="s">
        <v>963</v>
      </c>
    </row>
    <row r="7459" spans="9:10" x14ac:dyDescent="0.3">
      <c r="I7459" t="s">
        <v>14842</v>
      </c>
      <c r="J7459" t="s">
        <v>963</v>
      </c>
    </row>
    <row r="7460" spans="9:10" x14ac:dyDescent="0.3">
      <c r="I7460" t="s">
        <v>14842</v>
      </c>
      <c r="J7460" t="s">
        <v>963</v>
      </c>
    </row>
    <row r="7461" spans="9:10" x14ac:dyDescent="0.3">
      <c r="I7461" t="s">
        <v>14842</v>
      </c>
      <c r="J7461" t="s">
        <v>963</v>
      </c>
    </row>
    <row r="7462" spans="9:10" x14ac:dyDescent="0.3">
      <c r="I7462" t="s">
        <v>14843</v>
      </c>
    </row>
    <row r="7463" spans="9:10" x14ac:dyDescent="0.3">
      <c r="I7463" t="s">
        <v>14844</v>
      </c>
    </row>
    <row r="7464" spans="9:10" x14ac:dyDescent="0.3">
      <c r="I7464" t="s">
        <v>14845</v>
      </c>
    </row>
    <row r="7465" spans="9:10" x14ac:dyDescent="0.3">
      <c r="I7465" t="s">
        <v>14846</v>
      </c>
      <c r="J7465" t="s">
        <v>2045</v>
      </c>
    </row>
    <row r="7466" spans="9:10" x14ac:dyDescent="0.3">
      <c r="I7466" t="s">
        <v>14847</v>
      </c>
      <c r="J7466" t="s">
        <v>3094</v>
      </c>
    </row>
    <row r="7467" spans="9:10" x14ac:dyDescent="0.3">
      <c r="I7467" t="s">
        <v>14848</v>
      </c>
    </row>
    <row r="7468" spans="9:10" x14ac:dyDescent="0.3">
      <c r="I7468" t="s">
        <v>14849</v>
      </c>
      <c r="J7468" t="s">
        <v>3095</v>
      </c>
    </row>
    <row r="7469" spans="9:10" x14ac:dyDescent="0.3">
      <c r="I7469" t="s">
        <v>14850</v>
      </c>
      <c r="J7469" t="s">
        <v>3095</v>
      </c>
    </row>
    <row r="7470" spans="9:10" x14ac:dyDescent="0.3">
      <c r="I7470" t="s">
        <v>14851</v>
      </c>
      <c r="J7470" t="s">
        <v>3096</v>
      </c>
    </row>
    <row r="7471" spans="9:10" x14ac:dyDescent="0.3">
      <c r="I7471" t="s">
        <v>14852</v>
      </c>
    </row>
    <row r="7472" spans="9:10" x14ac:dyDescent="0.3">
      <c r="I7472" t="s">
        <v>14853</v>
      </c>
    </row>
    <row r="7473" spans="9:10" x14ac:dyDescent="0.3">
      <c r="I7473" t="s">
        <v>14854</v>
      </c>
    </row>
    <row r="7474" spans="9:10" x14ac:dyDescent="0.3">
      <c r="I7474" t="s">
        <v>14855</v>
      </c>
    </row>
    <row r="7475" spans="9:10" x14ac:dyDescent="0.3">
      <c r="I7475" t="s">
        <v>14856</v>
      </c>
    </row>
    <row r="7476" spans="9:10" x14ac:dyDescent="0.3">
      <c r="I7476" t="s">
        <v>14857</v>
      </c>
    </row>
    <row r="7477" spans="9:10" x14ac:dyDescent="0.3">
      <c r="I7477" t="s">
        <v>14858</v>
      </c>
      <c r="J7477" t="s">
        <v>3097</v>
      </c>
    </row>
    <row r="7478" spans="9:10" x14ac:dyDescent="0.3">
      <c r="I7478" t="s">
        <v>14859</v>
      </c>
    </row>
    <row r="7479" spans="9:10" x14ac:dyDescent="0.3">
      <c r="I7479" t="s">
        <v>14860</v>
      </c>
    </row>
    <row r="7480" spans="9:10" x14ac:dyDescent="0.3">
      <c r="I7480" t="s">
        <v>14861</v>
      </c>
    </row>
    <row r="7481" spans="9:10" x14ac:dyDescent="0.3">
      <c r="I7481" t="s">
        <v>14862</v>
      </c>
    </row>
    <row r="7482" spans="9:10" x14ac:dyDescent="0.3">
      <c r="I7482" t="s">
        <v>14863</v>
      </c>
      <c r="J7482">
        <v>0</v>
      </c>
    </row>
    <row r="7483" spans="9:10" x14ac:dyDescent="0.3">
      <c r="I7483" t="s">
        <v>14864</v>
      </c>
    </row>
    <row r="7484" spans="9:10" x14ac:dyDescent="0.3">
      <c r="I7484" t="s">
        <v>14865</v>
      </c>
    </row>
    <row r="7485" spans="9:10" x14ac:dyDescent="0.3">
      <c r="I7485" t="s">
        <v>14866</v>
      </c>
    </row>
    <row r="7486" spans="9:10" x14ac:dyDescent="0.3">
      <c r="I7486" t="s">
        <v>14867</v>
      </c>
      <c r="J7486" t="s">
        <v>3098</v>
      </c>
    </row>
    <row r="7487" spans="9:10" x14ac:dyDescent="0.3">
      <c r="I7487" t="s">
        <v>14868</v>
      </c>
      <c r="J7487" t="s">
        <v>3098</v>
      </c>
    </row>
    <row r="7488" spans="9:10" x14ac:dyDescent="0.3">
      <c r="I7488" t="s">
        <v>14869</v>
      </c>
    </row>
    <row r="7489" spans="9:10" x14ac:dyDescent="0.3">
      <c r="I7489" t="s">
        <v>14870</v>
      </c>
      <c r="J7489" t="s">
        <v>3099</v>
      </c>
    </row>
    <row r="7490" spans="9:10" x14ac:dyDescent="0.3">
      <c r="I7490" t="s">
        <v>14871</v>
      </c>
    </row>
    <row r="7491" spans="9:10" x14ac:dyDescent="0.3">
      <c r="I7491" t="s">
        <v>14872</v>
      </c>
      <c r="J7491">
        <v>0</v>
      </c>
    </row>
    <row r="7492" spans="9:10" x14ac:dyDescent="0.3">
      <c r="I7492" t="s">
        <v>14873</v>
      </c>
      <c r="J7492" t="s">
        <v>3100</v>
      </c>
    </row>
    <row r="7493" spans="9:10" x14ac:dyDescent="0.3">
      <c r="I7493" t="s">
        <v>14874</v>
      </c>
      <c r="J7493" t="s">
        <v>3101</v>
      </c>
    </row>
    <row r="7494" spans="9:10" x14ac:dyDescent="0.3">
      <c r="I7494" t="s">
        <v>14875</v>
      </c>
      <c r="J7494" t="s">
        <v>2045</v>
      </c>
    </row>
    <row r="7495" spans="9:10" x14ac:dyDescent="0.3">
      <c r="I7495" t="s">
        <v>14876</v>
      </c>
      <c r="J7495">
        <v>0</v>
      </c>
    </row>
    <row r="7496" spans="9:10" x14ac:dyDescent="0.3">
      <c r="I7496" t="s">
        <v>14877</v>
      </c>
      <c r="J7496" t="s">
        <v>3102</v>
      </c>
    </row>
    <row r="7497" spans="9:10" x14ac:dyDescent="0.3">
      <c r="I7497" t="s">
        <v>14878</v>
      </c>
    </row>
    <row r="7498" spans="9:10" x14ac:dyDescent="0.3">
      <c r="I7498" t="s">
        <v>14879</v>
      </c>
    </row>
    <row r="7499" spans="9:10" x14ac:dyDescent="0.3">
      <c r="I7499" t="s">
        <v>14880</v>
      </c>
    </row>
    <row r="7500" spans="9:10" x14ac:dyDescent="0.3">
      <c r="I7500" t="s">
        <v>14881</v>
      </c>
      <c r="J7500" t="s">
        <v>3103</v>
      </c>
    </row>
    <row r="7501" spans="9:10" x14ac:dyDescent="0.3">
      <c r="I7501" t="s">
        <v>14882</v>
      </c>
    </row>
    <row r="7502" spans="9:10" x14ac:dyDescent="0.3">
      <c r="I7502" t="s">
        <v>14883</v>
      </c>
    </row>
    <row r="7503" spans="9:10" x14ac:dyDescent="0.3">
      <c r="I7503" t="s">
        <v>14884</v>
      </c>
      <c r="J7503" t="s">
        <v>3104</v>
      </c>
    </row>
    <row r="7504" spans="9:10" x14ac:dyDescent="0.3">
      <c r="I7504" t="s">
        <v>14885</v>
      </c>
      <c r="J7504" t="s">
        <v>3105</v>
      </c>
    </row>
    <row r="7505" spans="9:10" x14ac:dyDescent="0.3">
      <c r="I7505" t="s">
        <v>14885</v>
      </c>
      <c r="J7505" t="s">
        <v>3105</v>
      </c>
    </row>
    <row r="7506" spans="9:10" x14ac:dyDescent="0.3">
      <c r="I7506" t="s">
        <v>14886</v>
      </c>
    </row>
    <row r="7507" spans="9:10" x14ac:dyDescent="0.3">
      <c r="I7507" t="s">
        <v>14887</v>
      </c>
    </row>
    <row r="7508" spans="9:10" x14ac:dyDescent="0.3">
      <c r="I7508" t="s">
        <v>14888</v>
      </c>
      <c r="J7508" t="s">
        <v>3106</v>
      </c>
    </row>
    <row r="7509" spans="9:10" x14ac:dyDescent="0.3">
      <c r="I7509" t="s">
        <v>14888</v>
      </c>
      <c r="J7509" t="s">
        <v>3106</v>
      </c>
    </row>
    <row r="7510" spans="9:10" x14ac:dyDescent="0.3">
      <c r="I7510" t="s">
        <v>14889</v>
      </c>
    </row>
    <row r="7511" spans="9:10" x14ac:dyDescent="0.3">
      <c r="I7511" t="s">
        <v>14890</v>
      </c>
    </row>
    <row r="7512" spans="9:10" x14ac:dyDescent="0.3">
      <c r="I7512" t="s">
        <v>14891</v>
      </c>
      <c r="J7512" t="s">
        <v>3107</v>
      </c>
    </row>
    <row r="7513" spans="9:10" x14ac:dyDescent="0.3">
      <c r="I7513" t="s">
        <v>14892</v>
      </c>
    </row>
    <row r="7514" spans="9:10" x14ac:dyDescent="0.3">
      <c r="I7514" t="s">
        <v>14893</v>
      </c>
      <c r="J7514" t="s">
        <v>452</v>
      </c>
    </row>
    <row r="7515" spans="9:10" x14ac:dyDescent="0.3">
      <c r="I7515" t="s">
        <v>14893</v>
      </c>
      <c r="J7515" t="s">
        <v>452</v>
      </c>
    </row>
    <row r="7516" spans="9:10" x14ac:dyDescent="0.3">
      <c r="I7516" t="s">
        <v>14894</v>
      </c>
      <c r="J7516" t="s">
        <v>265</v>
      </c>
    </row>
    <row r="7517" spans="9:10" x14ac:dyDescent="0.3">
      <c r="I7517" t="s">
        <v>14895</v>
      </c>
    </row>
    <row r="7518" spans="9:10" x14ac:dyDescent="0.3">
      <c r="I7518" t="s">
        <v>14896</v>
      </c>
      <c r="J7518" t="s">
        <v>3108</v>
      </c>
    </row>
    <row r="7519" spans="9:10" x14ac:dyDescent="0.3">
      <c r="I7519" t="s">
        <v>14897</v>
      </c>
    </row>
    <row r="7520" spans="9:10" x14ac:dyDescent="0.3">
      <c r="I7520" t="s">
        <v>14898</v>
      </c>
    </row>
    <row r="7521" spans="9:10" x14ac:dyDescent="0.3">
      <c r="I7521" t="s">
        <v>14899</v>
      </c>
    </row>
    <row r="7522" spans="9:10" x14ac:dyDescent="0.3">
      <c r="I7522" t="s">
        <v>14900</v>
      </c>
      <c r="J7522" t="s">
        <v>3109</v>
      </c>
    </row>
    <row r="7523" spans="9:10" x14ac:dyDescent="0.3">
      <c r="I7523" t="s">
        <v>14901</v>
      </c>
      <c r="J7523" t="s">
        <v>3110</v>
      </c>
    </row>
    <row r="7524" spans="9:10" x14ac:dyDescent="0.3">
      <c r="I7524" t="s">
        <v>14902</v>
      </c>
    </row>
    <row r="7525" spans="9:10" x14ac:dyDescent="0.3">
      <c r="I7525" t="s">
        <v>14903</v>
      </c>
    </row>
    <row r="7526" spans="9:10" x14ac:dyDescent="0.3">
      <c r="I7526" t="s">
        <v>14904</v>
      </c>
    </row>
    <row r="7527" spans="9:10" x14ac:dyDescent="0.3">
      <c r="I7527" t="s">
        <v>14905</v>
      </c>
    </row>
    <row r="7528" spans="9:10" x14ac:dyDescent="0.3">
      <c r="I7528" t="s">
        <v>14906</v>
      </c>
      <c r="J7528" t="s">
        <v>3111</v>
      </c>
    </row>
    <row r="7529" spans="9:10" x14ac:dyDescent="0.3">
      <c r="I7529" t="s">
        <v>14907</v>
      </c>
    </row>
    <row r="7530" spans="9:10" x14ac:dyDescent="0.3">
      <c r="I7530" t="s">
        <v>14908</v>
      </c>
    </row>
    <row r="7531" spans="9:10" x14ac:dyDescent="0.3">
      <c r="I7531" t="s">
        <v>14909</v>
      </c>
      <c r="J7531" t="s">
        <v>3112</v>
      </c>
    </row>
    <row r="7532" spans="9:10" x14ac:dyDescent="0.3">
      <c r="I7532" t="s">
        <v>14910</v>
      </c>
      <c r="J7532" t="s">
        <v>3112</v>
      </c>
    </row>
    <row r="7533" spans="9:10" x14ac:dyDescent="0.3">
      <c r="I7533" t="s">
        <v>14911</v>
      </c>
    </row>
    <row r="7534" spans="9:10" x14ac:dyDescent="0.3">
      <c r="I7534" t="s">
        <v>14912</v>
      </c>
    </row>
    <row r="7535" spans="9:10" x14ac:dyDescent="0.3">
      <c r="I7535" t="s">
        <v>14913</v>
      </c>
      <c r="J7535" t="s">
        <v>3113</v>
      </c>
    </row>
    <row r="7536" spans="9:10" x14ac:dyDescent="0.3">
      <c r="I7536" t="s">
        <v>14914</v>
      </c>
    </row>
    <row r="7537" spans="9:10" x14ac:dyDescent="0.3">
      <c r="I7537" t="s">
        <v>14915</v>
      </c>
    </row>
    <row r="7538" spans="9:10" x14ac:dyDescent="0.3">
      <c r="I7538" t="s">
        <v>14916</v>
      </c>
    </row>
    <row r="7539" spans="9:10" x14ac:dyDescent="0.3">
      <c r="I7539" t="s">
        <v>14917</v>
      </c>
      <c r="J7539" t="s">
        <v>3114</v>
      </c>
    </row>
    <row r="7540" spans="9:10" x14ac:dyDescent="0.3">
      <c r="I7540" t="s">
        <v>14917</v>
      </c>
      <c r="J7540" t="s">
        <v>3114</v>
      </c>
    </row>
    <row r="7541" spans="9:10" x14ac:dyDescent="0.3">
      <c r="I7541" t="s">
        <v>14918</v>
      </c>
      <c r="J7541" t="s">
        <v>3115</v>
      </c>
    </row>
    <row r="7542" spans="9:10" x14ac:dyDescent="0.3">
      <c r="I7542" t="s">
        <v>14919</v>
      </c>
    </row>
    <row r="7543" spans="9:10" x14ac:dyDescent="0.3">
      <c r="I7543" t="s">
        <v>14920</v>
      </c>
      <c r="J7543" t="s">
        <v>3116</v>
      </c>
    </row>
    <row r="7544" spans="9:10" x14ac:dyDescent="0.3">
      <c r="I7544" t="s">
        <v>14921</v>
      </c>
    </row>
    <row r="7545" spans="9:10" x14ac:dyDescent="0.3">
      <c r="I7545" t="s">
        <v>14922</v>
      </c>
      <c r="J7545" t="s">
        <v>3117</v>
      </c>
    </row>
    <row r="7546" spans="9:10" x14ac:dyDescent="0.3">
      <c r="I7546" t="s">
        <v>14923</v>
      </c>
      <c r="J7546" t="s">
        <v>3118</v>
      </c>
    </row>
    <row r="7547" spans="9:10" x14ac:dyDescent="0.3">
      <c r="I7547" t="s">
        <v>14924</v>
      </c>
      <c r="J7547" t="s">
        <v>3119</v>
      </c>
    </row>
    <row r="7548" spans="9:10" x14ac:dyDescent="0.3">
      <c r="I7548" t="s">
        <v>14925</v>
      </c>
    </row>
    <row r="7549" spans="9:10" x14ac:dyDescent="0.3">
      <c r="I7549" t="s">
        <v>14926</v>
      </c>
    </row>
    <row r="7550" spans="9:10" x14ac:dyDescent="0.3">
      <c r="I7550" t="s">
        <v>14927</v>
      </c>
      <c r="J7550" t="s">
        <v>3120</v>
      </c>
    </row>
    <row r="7551" spans="9:10" x14ac:dyDescent="0.3">
      <c r="I7551" t="s">
        <v>14928</v>
      </c>
    </row>
    <row r="7552" spans="9:10" x14ac:dyDescent="0.3">
      <c r="I7552" t="s">
        <v>14929</v>
      </c>
    </row>
    <row r="7553" spans="9:10" x14ac:dyDescent="0.3">
      <c r="I7553" t="s">
        <v>14930</v>
      </c>
    </row>
    <row r="7554" spans="9:10" x14ac:dyDescent="0.3">
      <c r="I7554" t="s">
        <v>14931</v>
      </c>
      <c r="J7554" t="s">
        <v>3121</v>
      </c>
    </row>
    <row r="7555" spans="9:10" x14ac:dyDescent="0.3">
      <c r="I7555" t="s">
        <v>14932</v>
      </c>
    </row>
    <row r="7556" spans="9:10" x14ac:dyDescent="0.3">
      <c r="I7556" t="s">
        <v>14933</v>
      </c>
    </row>
    <row r="7557" spans="9:10" x14ac:dyDescent="0.3">
      <c r="I7557" t="s">
        <v>14934</v>
      </c>
      <c r="J7557" t="s">
        <v>3122</v>
      </c>
    </row>
    <row r="7558" spans="9:10" x14ac:dyDescent="0.3">
      <c r="I7558" t="s">
        <v>14935</v>
      </c>
      <c r="J7558" t="s">
        <v>3122</v>
      </c>
    </row>
    <row r="7559" spans="9:10" x14ac:dyDescent="0.3">
      <c r="I7559" t="s">
        <v>14936</v>
      </c>
    </row>
    <row r="7560" spans="9:10" x14ac:dyDescent="0.3">
      <c r="I7560" t="s">
        <v>14937</v>
      </c>
    </row>
    <row r="7561" spans="9:10" x14ac:dyDescent="0.3">
      <c r="I7561" t="s">
        <v>14938</v>
      </c>
    </row>
    <row r="7562" spans="9:10" x14ac:dyDescent="0.3">
      <c r="I7562" t="s">
        <v>14939</v>
      </c>
      <c r="J7562">
        <v>0</v>
      </c>
    </row>
    <row r="7563" spans="9:10" x14ac:dyDescent="0.3">
      <c r="I7563" t="s">
        <v>14940</v>
      </c>
    </row>
    <row r="7564" spans="9:10" x14ac:dyDescent="0.3">
      <c r="I7564" t="s">
        <v>14941</v>
      </c>
    </row>
    <row r="7565" spans="9:10" x14ac:dyDescent="0.3">
      <c r="I7565" t="s">
        <v>14942</v>
      </c>
    </row>
    <row r="7566" spans="9:10" x14ac:dyDescent="0.3">
      <c r="I7566" t="s">
        <v>14943</v>
      </c>
    </row>
    <row r="7567" spans="9:10" x14ac:dyDescent="0.3">
      <c r="I7567" t="s">
        <v>14944</v>
      </c>
    </row>
    <row r="7568" spans="9:10" x14ac:dyDescent="0.3">
      <c r="I7568" t="s">
        <v>14945</v>
      </c>
      <c r="J7568" t="s">
        <v>3123</v>
      </c>
    </row>
    <row r="7569" spans="9:10" x14ac:dyDescent="0.3">
      <c r="I7569" t="s">
        <v>14946</v>
      </c>
    </row>
    <row r="7570" spans="9:10" x14ac:dyDescent="0.3">
      <c r="I7570" t="s">
        <v>14947</v>
      </c>
      <c r="J7570" t="s">
        <v>3124</v>
      </c>
    </row>
    <row r="7571" spans="9:10" x14ac:dyDescent="0.3">
      <c r="I7571" t="s">
        <v>14948</v>
      </c>
      <c r="J7571" t="s">
        <v>3124</v>
      </c>
    </row>
    <row r="7572" spans="9:10" x14ac:dyDescent="0.3">
      <c r="I7572" t="s">
        <v>14949</v>
      </c>
    </row>
    <row r="7573" spans="9:10" x14ac:dyDescent="0.3">
      <c r="I7573" t="s">
        <v>14950</v>
      </c>
      <c r="J7573" t="s">
        <v>3125</v>
      </c>
    </row>
    <row r="7574" spans="9:10" x14ac:dyDescent="0.3">
      <c r="I7574" t="s">
        <v>14951</v>
      </c>
      <c r="J7574" t="s">
        <v>3126</v>
      </c>
    </row>
    <row r="7575" spans="9:10" x14ac:dyDescent="0.3">
      <c r="I7575" t="s">
        <v>14951</v>
      </c>
      <c r="J7575" t="s">
        <v>3126</v>
      </c>
    </row>
    <row r="7576" spans="9:10" x14ac:dyDescent="0.3">
      <c r="I7576" t="s">
        <v>14951</v>
      </c>
      <c r="J7576" t="s">
        <v>3126</v>
      </c>
    </row>
    <row r="7577" spans="9:10" x14ac:dyDescent="0.3">
      <c r="I7577" t="s">
        <v>14952</v>
      </c>
      <c r="J7577" t="s">
        <v>3127</v>
      </c>
    </row>
    <row r="7578" spans="9:10" x14ac:dyDescent="0.3">
      <c r="I7578" t="s">
        <v>14953</v>
      </c>
    </row>
    <row r="7579" spans="9:10" x14ac:dyDescent="0.3">
      <c r="I7579" t="s">
        <v>14954</v>
      </c>
      <c r="J7579" t="s">
        <v>3128</v>
      </c>
    </row>
    <row r="7580" spans="9:10" x14ac:dyDescent="0.3">
      <c r="I7580" t="s">
        <v>14954</v>
      </c>
      <c r="J7580" t="s">
        <v>3128</v>
      </c>
    </row>
    <row r="7581" spans="9:10" x14ac:dyDescent="0.3">
      <c r="I7581" t="s">
        <v>14955</v>
      </c>
    </row>
    <row r="7582" spans="9:10" x14ac:dyDescent="0.3">
      <c r="I7582" t="s">
        <v>14956</v>
      </c>
    </row>
    <row r="7583" spans="9:10" x14ac:dyDescent="0.3">
      <c r="I7583" t="s">
        <v>14957</v>
      </c>
      <c r="J7583" t="s">
        <v>3129</v>
      </c>
    </row>
    <row r="7584" spans="9:10" x14ac:dyDescent="0.3">
      <c r="I7584" t="s">
        <v>14958</v>
      </c>
      <c r="J7584" t="s">
        <v>3130</v>
      </c>
    </row>
    <row r="7585" spans="9:10" x14ac:dyDescent="0.3">
      <c r="I7585" t="s">
        <v>14959</v>
      </c>
      <c r="J7585" t="s">
        <v>3131</v>
      </c>
    </row>
    <row r="7586" spans="9:10" x14ac:dyDescent="0.3">
      <c r="I7586" t="s">
        <v>14960</v>
      </c>
      <c r="J7586" t="s">
        <v>3131</v>
      </c>
    </row>
    <row r="7587" spans="9:10" x14ac:dyDescent="0.3">
      <c r="I7587" t="s">
        <v>14961</v>
      </c>
    </row>
    <row r="7588" spans="9:10" x14ac:dyDescent="0.3">
      <c r="I7588" t="s">
        <v>14962</v>
      </c>
    </row>
    <row r="7589" spans="9:10" x14ac:dyDescent="0.3">
      <c r="I7589" t="s">
        <v>14963</v>
      </c>
      <c r="J7589" t="s">
        <v>3132</v>
      </c>
    </row>
    <row r="7590" spans="9:10" x14ac:dyDescent="0.3">
      <c r="I7590" t="s">
        <v>14964</v>
      </c>
      <c r="J7590" t="s">
        <v>3133</v>
      </c>
    </row>
    <row r="7591" spans="9:10" x14ac:dyDescent="0.3">
      <c r="I7591" t="s">
        <v>14965</v>
      </c>
      <c r="J7591" t="s">
        <v>3134</v>
      </c>
    </row>
    <row r="7592" spans="9:10" x14ac:dyDescent="0.3">
      <c r="I7592" t="s">
        <v>14966</v>
      </c>
      <c r="J7592">
        <v>0</v>
      </c>
    </row>
    <row r="7593" spans="9:10" x14ac:dyDescent="0.3">
      <c r="I7593" t="s">
        <v>14967</v>
      </c>
    </row>
    <row r="7594" spans="9:10" x14ac:dyDescent="0.3">
      <c r="I7594" t="s">
        <v>14968</v>
      </c>
    </row>
    <row r="7595" spans="9:10" x14ac:dyDescent="0.3">
      <c r="I7595" t="s">
        <v>14969</v>
      </c>
      <c r="J7595">
        <v>0</v>
      </c>
    </row>
    <row r="7596" spans="9:10" x14ac:dyDescent="0.3">
      <c r="I7596" t="s">
        <v>14970</v>
      </c>
      <c r="J7596" t="s">
        <v>3135</v>
      </c>
    </row>
    <row r="7597" spans="9:10" x14ac:dyDescent="0.3">
      <c r="I7597" t="s">
        <v>14971</v>
      </c>
      <c r="J7597" t="s">
        <v>3135</v>
      </c>
    </row>
    <row r="7598" spans="9:10" x14ac:dyDescent="0.3">
      <c r="I7598" t="s">
        <v>14972</v>
      </c>
    </row>
    <row r="7599" spans="9:10" x14ac:dyDescent="0.3">
      <c r="I7599" t="s">
        <v>14973</v>
      </c>
      <c r="J7599" t="s">
        <v>2045</v>
      </c>
    </row>
    <row r="7600" spans="9:10" x14ac:dyDescent="0.3">
      <c r="I7600" t="s">
        <v>14974</v>
      </c>
    </row>
    <row r="7601" spans="9:10" x14ac:dyDescent="0.3">
      <c r="I7601" t="s">
        <v>14975</v>
      </c>
      <c r="J7601" t="s">
        <v>3136</v>
      </c>
    </row>
    <row r="7602" spans="9:10" x14ac:dyDescent="0.3">
      <c r="I7602" t="s">
        <v>14976</v>
      </c>
      <c r="J7602" t="s">
        <v>3137</v>
      </c>
    </row>
    <row r="7603" spans="9:10" x14ac:dyDescent="0.3">
      <c r="I7603" t="s">
        <v>14977</v>
      </c>
      <c r="J7603">
        <v>0</v>
      </c>
    </row>
    <row r="7604" spans="9:10" x14ac:dyDescent="0.3">
      <c r="I7604" t="s">
        <v>14978</v>
      </c>
    </row>
    <row r="7605" spans="9:10" x14ac:dyDescent="0.3">
      <c r="I7605" t="s">
        <v>14979</v>
      </c>
      <c r="J7605" t="s">
        <v>3138</v>
      </c>
    </row>
    <row r="7606" spans="9:10" x14ac:dyDescent="0.3">
      <c r="I7606" t="s">
        <v>14980</v>
      </c>
    </row>
    <row r="7607" spans="9:10" x14ac:dyDescent="0.3">
      <c r="I7607" t="s">
        <v>14981</v>
      </c>
    </row>
    <row r="7608" spans="9:10" x14ac:dyDescent="0.3">
      <c r="I7608" t="s">
        <v>14982</v>
      </c>
    </row>
    <row r="7609" spans="9:10" x14ac:dyDescent="0.3">
      <c r="I7609" t="s">
        <v>14983</v>
      </c>
    </row>
    <row r="7610" spans="9:10" x14ac:dyDescent="0.3">
      <c r="I7610" t="s">
        <v>14984</v>
      </c>
      <c r="J7610" t="s">
        <v>3139</v>
      </c>
    </row>
    <row r="7611" spans="9:10" x14ac:dyDescent="0.3">
      <c r="I7611" t="s">
        <v>14985</v>
      </c>
      <c r="J7611" t="s">
        <v>3140</v>
      </c>
    </row>
    <row r="7612" spans="9:10" x14ac:dyDescent="0.3">
      <c r="I7612" t="s">
        <v>14986</v>
      </c>
      <c r="J7612" t="s">
        <v>3140</v>
      </c>
    </row>
    <row r="7613" spans="9:10" x14ac:dyDescent="0.3">
      <c r="I7613" t="s">
        <v>14985</v>
      </c>
      <c r="J7613" t="s">
        <v>3140</v>
      </c>
    </row>
    <row r="7614" spans="9:10" x14ac:dyDescent="0.3">
      <c r="I7614" t="s">
        <v>14987</v>
      </c>
      <c r="J7614" t="s">
        <v>3140</v>
      </c>
    </row>
    <row r="7615" spans="9:10" x14ac:dyDescent="0.3">
      <c r="I7615" t="s">
        <v>14988</v>
      </c>
    </row>
    <row r="7616" spans="9:10" x14ac:dyDescent="0.3">
      <c r="I7616" t="s">
        <v>14989</v>
      </c>
    </row>
    <row r="7617" spans="9:10" x14ac:dyDescent="0.3">
      <c r="I7617" t="s">
        <v>14990</v>
      </c>
      <c r="J7617">
        <v>0</v>
      </c>
    </row>
    <row r="7618" spans="9:10" x14ac:dyDescent="0.3">
      <c r="I7618" t="s">
        <v>14990</v>
      </c>
      <c r="J7618">
        <v>0</v>
      </c>
    </row>
    <row r="7619" spans="9:10" x14ac:dyDescent="0.3">
      <c r="I7619" t="s">
        <v>14991</v>
      </c>
      <c r="J7619" t="s">
        <v>3141</v>
      </c>
    </row>
    <row r="7620" spans="9:10" x14ac:dyDescent="0.3">
      <c r="I7620" t="s">
        <v>14992</v>
      </c>
      <c r="J7620" t="s">
        <v>3142</v>
      </c>
    </row>
    <row r="7621" spans="9:10" x14ac:dyDescent="0.3">
      <c r="I7621" t="s">
        <v>14993</v>
      </c>
    </row>
    <row r="7622" spans="9:10" x14ac:dyDescent="0.3">
      <c r="I7622" t="s">
        <v>14994</v>
      </c>
    </row>
    <row r="7623" spans="9:10" x14ac:dyDescent="0.3">
      <c r="I7623" t="s">
        <v>14995</v>
      </c>
      <c r="J7623" t="s">
        <v>3143</v>
      </c>
    </row>
    <row r="7624" spans="9:10" x14ac:dyDescent="0.3">
      <c r="I7624" t="s">
        <v>14996</v>
      </c>
    </row>
    <row r="7625" spans="9:10" x14ac:dyDescent="0.3">
      <c r="I7625" t="s">
        <v>14997</v>
      </c>
      <c r="J7625" t="s">
        <v>3144</v>
      </c>
    </row>
    <row r="7626" spans="9:10" x14ac:dyDescent="0.3">
      <c r="I7626" t="s">
        <v>14997</v>
      </c>
      <c r="J7626" t="s">
        <v>3144</v>
      </c>
    </row>
    <row r="7627" spans="9:10" x14ac:dyDescent="0.3">
      <c r="I7627" t="s">
        <v>14998</v>
      </c>
      <c r="J7627" t="s">
        <v>3144</v>
      </c>
    </row>
    <row r="7628" spans="9:10" x14ac:dyDescent="0.3">
      <c r="I7628" t="s">
        <v>14999</v>
      </c>
      <c r="J7628" t="s">
        <v>3145</v>
      </c>
    </row>
    <row r="7629" spans="9:10" x14ac:dyDescent="0.3">
      <c r="I7629" t="s">
        <v>15000</v>
      </c>
      <c r="J7629" t="s">
        <v>3145</v>
      </c>
    </row>
    <row r="7630" spans="9:10" x14ac:dyDescent="0.3">
      <c r="I7630" t="s">
        <v>15001</v>
      </c>
      <c r="J7630" t="s">
        <v>3146</v>
      </c>
    </row>
    <row r="7631" spans="9:10" x14ac:dyDescent="0.3">
      <c r="I7631" t="s">
        <v>15002</v>
      </c>
    </row>
    <row r="7632" spans="9:10" x14ac:dyDescent="0.3">
      <c r="I7632" t="s">
        <v>15003</v>
      </c>
    </row>
    <row r="7633" spans="9:10" x14ac:dyDescent="0.3">
      <c r="I7633" t="s">
        <v>15004</v>
      </c>
    </row>
    <row r="7634" spans="9:10" x14ac:dyDescent="0.3">
      <c r="I7634" t="s">
        <v>15005</v>
      </c>
      <c r="J7634" t="s">
        <v>3147</v>
      </c>
    </row>
    <row r="7635" spans="9:10" x14ac:dyDescent="0.3">
      <c r="I7635" t="s">
        <v>15006</v>
      </c>
    </row>
    <row r="7636" spans="9:10" x14ac:dyDescent="0.3">
      <c r="I7636" t="s">
        <v>15007</v>
      </c>
      <c r="J7636" t="s">
        <v>3148</v>
      </c>
    </row>
    <row r="7637" spans="9:10" x14ac:dyDescent="0.3">
      <c r="I7637" t="s">
        <v>15008</v>
      </c>
      <c r="J7637" t="s">
        <v>3149</v>
      </c>
    </row>
    <row r="7638" spans="9:10" x14ac:dyDescent="0.3">
      <c r="I7638" t="s">
        <v>15009</v>
      </c>
      <c r="J7638" t="s">
        <v>3149</v>
      </c>
    </row>
    <row r="7639" spans="9:10" x14ac:dyDescent="0.3">
      <c r="I7639" t="s">
        <v>15010</v>
      </c>
      <c r="J7639" t="s">
        <v>3149</v>
      </c>
    </row>
    <row r="7640" spans="9:10" x14ac:dyDescent="0.3">
      <c r="I7640" t="s">
        <v>15011</v>
      </c>
      <c r="J7640" t="s">
        <v>3149</v>
      </c>
    </row>
    <row r="7641" spans="9:10" x14ac:dyDescent="0.3">
      <c r="I7641" t="s">
        <v>15012</v>
      </c>
    </row>
    <row r="7642" spans="9:10" x14ac:dyDescent="0.3">
      <c r="I7642" t="s">
        <v>15013</v>
      </c>
      <c r="J7642" t="s">
        <v>3150</v>
      </c>
    </row>
    <row r="7643" spans="9:10" x14ac:dyDescent="0.3">
      <c r="I7643" t="s">
        <v>15014</v>
      </c>
    </row>
    <row r="7644" spans="9:10" x14ac:dyDescent="0.3">
      <c r="I7644" t="s">
        <v>15015</v>
      </c>
      <c r="J7644" t="s">
        <v>3151</v>
      </c>
    </row>
    <row r="7645" spans="9:10" x14ac:dyDescent="0.3">
      <c r="I7645" t="s">
        <v>15015</v>
      </c>
      <c r="J7645" t="s">
        <v>3151</v>
      </c>
    </row>
    <row r="7646" spans="9:10" x14ac:dyDescent="0.3">
      <c r="I7646" t="s">
        <v>15016</v>
      </c>
    </row>
    <row r="7647" spans="9:10" x14ac:dyDescent="0.3">
      <c r="I7647" t="s">
        <v>15017</v>
      </c>
    </row>
    <row r="7648" spans="9:10" x14ac:dyDescent="0.3">
      <c r="I7648" t="s">
        <v>15018</v>
      </c>
      <c r="J7648" t="s">
        <v>3152</v>
      </c>
    </row>
    <row r="7649" spans="9:10" x14ac:dyDescent="0.3">
      <c r="I7649" t="s">
        <v>15019</v>
      </c>
    </row>
    <row r="7650" spans="9:10" x14ac:dyDescent="0.3">
      <c r="I7650" t="s">
        <v>15020</v>
      </c>
    </row>
    <row r="7651" spans="9:10" x14ac:dyDescent="0.3">
      <c r="I7651" t="s">
        <v>15021</v>
      </c>
    </row>
    <row r="7652" spans="9:10" x14ac:dyDescent="0.3">
      <c r="I7652" t="s">
        <v>15022</v>
      </c>
    </row>
    <row r="7653" spans="9:10" x14ac:dyDescent="0.3">
      <c r="I7653" t="s">
        <v>15023</v>
      </c>
      <c r="J7653" t="s">
        <v>812</v>
      </c>
    </row>
    <row r="7654" spans="9:10" x14ac:dyDescent="0.3">
      <c r="I7654" t="s">
        <v>15023</v>
      </c>
      <c r="J7654" t="s">
        <v>812</v>
      </c>
    </row>
    <row r="7655" spans="9:10" x14ac:dyDescent="0.3">
      <c r="I7655" t="s">
        <v>15024</v>
      </c>
      <c r="J7655" t="s">
        <v>3153</v>
      </c>
    </row>
    <row r="7656" spans="9:10" x14ac:dyDescent="0.3">
      <c r="I7656" t="s">
        <v>15025</v>
      </c>
      <c r="J7656" t="s">
        <v>3154</v>
      </c>
    </row>
    <row r="7657" spans="9:10" x14ac:dyDescent="0.3">
      <c r="I7657" t="s">
        <v>15025</v>
      </c>
      <c r="J7657" t="s">
        <v>3154</v>
      </c>
    </row>
    <row r="7658" spans="9:10" x14ac:dyDescent="0.3">
      <c r="I7658" t="s">
        <v>15025</v>
      </c>
      <c r="J7658" t="s">
        <v>3154</v>
      </c>
    </row>
    <row r="7659" spans="9:10" x14ac:dyDescent="0.3">
      <c r="I7659" t="s">
        <v>15026</v>
      </c>
      <c r="J7659" t="s">
        <v>3155</v>
      </c>
    </row>
    <row r="7660" spans="9:10" x14ac:dyDescent="0.3">
      <c r="I7660" t="s">
        <v>15027</v>
      </c>
      <c r="J7660" t="s">
        <v>3155</v>
      </c>
    </row>
    <row r="7661" spans="9:10" x14ac:dyDescent="0.3">
      <c r="I7661" t="s">
        <v>15028</v>
      </c>
      <c r="J7661" t="s">
        <v>3156</v>
      </c>
    </row>
    <row r="7662" spans="9:10" x14ac:dyDescent="0.3">
      <c r="I7662" t="s">
        <v>15029</v>
      </c>
      <c r="J7662" t="s">
        <v>3156</v>
      </c>
    </row>
    <row r="7663" spans="9:10" x14ac:dyDescent="0.3">
      <c r="I7663" t="s">
        <v>15030</v>
      </c>
      <c r="J7663" t="s">
        <v>3157</v>
      </c>
    </row>
    <row r="7664" spans="9:10" x14ac:dyDescent="0.3">
      <c r="I7664" t="s">
        <v>15031</v>
      </c>
      <c r="J7664" t="s">
        <v>3157</v>
      </c>
    </row>
    <row r="7665" spans="9:10" x14ac:dyDescent="0.3">
      <c r="I7665" t="s">
        <v>15032</v>
      </c>
      <c r="J7665" t="s">
        <v>3158</v>
      </c>
    </row>
    <row r="7666" spans="9:10" x14ac:dyDescent="0.3">
      <c r="I7666" t="s">
        <v>15033</v>
      </c>
      <c r="J7666" t="s">
        <v>3159</v>
      </c>
    </row>
    <row r="7667" spans="9:10" x14ac:dyDescent="0.3">
      <c r="I7667" t="s">
        <v>15034</v>
      </c>
      <c r="J7667" t="s">
        <v>3160</v>
      </c>
    </row>
    <row r="7668" spans="9:10" x14ac:dyDescent="0.3">
      <c r="I7668" t="s">
        <v>15035</v>
      </c>
      <c r="J7668" t="s">
        <v>3160</v>
      </c>
    </row>
    <row r="7669" spans="9:10" x14ac:dyDescent="0.3">
      <c r="I7669" t="s">
        <v>15034</v>
      </c>
      <c r="J7669" t="s">
        <v>3160</v>
      </c>
    </row>
    <row r="7670" spans="9:10" x14ac:dyDescent="0.3">
      <c r="I7670" t="s">
        <v>15036</v>
      </c>
      <c r="J7670" t="s">
        <v>3161</v>
      </c>
    </row>
    <row r="7671" spans="9:10" x14ac:dyDescent="0.3">
      <c r="I7671" t="s">
        <v>15037</v>
      </c>
      <c r="J7671" t="s">
        <v>3162</v>
      </c>
    </row>
    <row r="7672" spans="9:10" x14ac:dyDescent="0.3">
      <c r="I7672" t="s">
        <v>15037</v>
      </c>
      <c r="J7672" t="s">
        <v>3162</v>
      </c>
    </row>
    <row r="7673" spans="9:10" x14ac:dyDescent="0.3">
      <c r="I7673" t="s">
        <v>15038</v>
      </c>
      <c r="J7673" t="s">
        <v>3163</v>
      </c>
    </row>
    <row r="7674" spans="9:10" x14ac:dyDescent="0.3">
      <c r="I7674" t="s">
        <v>15039</v>
      </c>
      <c r="J7674" t="s">
        <v>3163</v>
      </c>
    </row>
    <row r="7675" spans="9:10" x14ac:dyDescent="0.3">
      <c r="I7675" t="s">
        <v>15040</v>
      </c>
      <c r="J7675" t="s">
        <v>3164</v>
      </c>
    </row>
    <row r="7676" spans="9:10" x14ac:dyDescent="0.3">
      <c r="I7676" t="s">
        <v>15041</v>
      </c>
      <c r="J7676" t="s">
        <v>3165</v>
      </c>
    </row>
    <row r="7677" spans="9:10" x14ac:dyDescent="0.3">
      <c r="I7677" t="s">
        <v>15042</v>
      </c>
      <c r="J7677" t="s">
        <v>3166</v>
      </c>
    </row>
    <row r="7678" spans="9:10" x14ac:dyDescent="0.3">
      <c r="I7678" t="s">
        <v>15043</v>
      </c>
      <c r="J7678" t="s">
        <v>3167</v>
      </c>
    </row>
    <row r="7679" spans="9:10" x14ac:dyDescent="0.3">
      <c r="I7679" t="s">
        <v>15044</v>
      </c>
      <c r="J7679" t="s">
        <v>3167</v>
      </c>
    </row>
    <row r="7680" spans="9:10" x14ac:dyDescent="0.3">
      <c r="I7680" t="s">
        <v>15045</v>
      </c>
      <c r="J7680" t="s">
        <v>3168</v>
      </c>
    </row>
    <row r="7681" spans="9:10" x14ac:dyDescent="0.3">
      <c r="I7681" t="s">
        <v>15046</v>
      </c>
      <c r="J7681" t="s">
        <v>3169</v>
      </c>
    </row>
    <row r="7682" spans="9:10" x14ac:dyDescent="0.3">
      <c r="I7682" t="s">
        <v>15046</v>
      </c>
      <c r="J7682" t="s">
        <v>3169</v>
      </c>
    </row>
    <row r="7683" spans="9:10" x14ac:dyDescent="0.3">
      <c r="I7683" t="s">
        <v>15047</v>
      </c>
      <c r="J7683" t="s">
        <v>3169</v>
      </c>
    </row>
    <row r="7684" spans="9:10" x14ac:dyDescent="0.3">
      <c r="I7684" t="s">
        <v>15048</v>
      </c>
      <c r="J7684" t="s">
        <v>3169</v>
      </c>
    </row>
    <row r="7685" spans="9:10" x14ac:dyDescent="0.3">
      <c r="I7685" t="s">
        <v>15048</v>
      </c>
      <c r="J7685" t="s">
        <v>3169</v>
      </c>
    </row>
    <row r="7686" spans="9:10" x14ac:dyDescent="0.3">
      <c r="I7686" t="s">
        <v>15049</v>
      </c>
      <c r="J7686" t="s">
        <v>3169</v>
      </c>
    </row>
    <row r="7687" spans="9:10" x14ac:dyDescent="0.3">
      <c r="I7687" t="s">
        <v>15050</v>
      </c>
    </row>
    <row r="7688" spans="9:10" x14ac:dyDescent="0.3">
      <c r="I7688" t="s">
        <v>15051</v>
      </c>
    </row>
    <row r="7689" spans="9:10" x14ac:dyDescent="0.3">
      <c r="I7689" t="s">
        <v>15052</v>
      </c>
    </row>
    <row r="7690" spans="9:10" x14ac:dyDescent="0.3">
      <c r="I7690" t="s">
        <v>15053</v>
      </c>
    </row>
    <row r="7691" spans="9:10" x14ac:dyDescent="0.3">
      <c r="I7691" t="s">
        <v>15054</v>
      </c>
    </row>
    <row r="7692" spans="9:10" x14ac:dyDescent="0.3">
      <c r="I7692" t="s">
        <v>15055</v>
      </c>
    </row>
    <row r="7693" spans="9:10" x14ac:dyDescent="0.3">
      <c r="I7693" t="s">
        <v>15056</v>
      </c>
    </row>
    <row r="7694" spans="9:10" x14ac:dyDescent="0.3">
      <c r="I7694" t="s">
        <v>15057</v>
      </c>
      <c r="J7694" t="s">
        <v>3170</v>
      </c>
    </row>
    <row r="7695" spans="9:10" x14ac:dyDescent="0.3">
      <c r="I7695" t="s">
        <v>15058</v>
      </c>
      <c r="J7695" t="s">
        <v>3170</v>
      </c>
    </row>
    <row r="7696" spans="9:10" x14ac:dyDescent="0.3">
      <c r="I7696" t="s">
        <v>15059</v>
      </c>
      <c r="J7696" t="s">
        <v>2082</v>
      </c>
    </row>
    <row r="7697" spans="9:10" x14ac:dyDescent="0.3">
      <c r="I7697" t="s">
        <v>15060</v>
      </c>
      <c r="J7697" t="s">
        <v>2082</v>
      </c>
    </row>
    <row r="7698" spans="9:10" x14ac:dyDescent="0.3">
      <c r="I7698" t="s">
        <v>15061</v>
      </c>
      <c r="J7698" t="s">
        <v>2082</v>
      </c>
    </row>
    <row r="7699" spans="9:10" x14ac:dyDescent="0.3">
      <c r="I7699" t="s">
        <v>15062</v>
      </c>
      <c r="J7699" t="s">
        <v>2082</v>
      </c>
    </row>
    <row r="7700" spans="9:10" x14ac:dyDescent="0.3">
      <c r="I7700" t="s">
        <v>15063</v>
      </c>
      <c r="J7700" t="s">
        <v>2082</v>
      </c>
    </row>
    <row r="7701" spans="9:10" x14ac:dyDescent="0.3">
      <c r="I7701" t="s">
        <v>15064</v>
      </c>
      <c r="J7701" t="s">
        <v>2082</v>
      </c>
    </row>
    <row r="7702" spans="9:10" x14ac:dyDescent="0.3">
      <c r="I7702" t="s">
        <v>15065</v>
      </c>
      <c r="J7702" t="s">
        <v>2082</v>
      </c>
    </row>
    <row r="7703" spans="9:10" x14ac:dyDescent="0.3">
      <c r="I7703" t="s">
        <v>15066</v>
      </c>
      <c r="J7703" t="s">
        <v>2082</v>
      </c>
    </row>
    <row r="7704" spans="9:10" x14ac:dyDescent="0.3">
      <c r="I7704" t="s">
        <v>15067</v>
      </c>
      <c r="J7704" t="s">
        <v>2082</v>
      </c>
    </row>
    <row r="7705" spans="9:10" x14ac:dyDescent="0.3">
      <c r="I7705" t="s">
        <v>15068</v>
      </c>
      <c r="J7705" t="s">
        <v>2082</v>
      </c>
    </row>
    <row r="7706" spans="9:10" x14ac:dyDescent="0.3">
      <c r="I7706" t="s">
        <v>15069</v>
      </c>
    </row>
    <row r="7707" spans="9:10" x14ac:dyDescent="0.3">
      <c r="I7707" t="s">
        <v>15070</v>
      </c>
      <c r="J7707" t="s">
        <v>3171</v>
      </c>
    </row>
    <row r="7708" spans="9:10" x14ac:dyDescent="0.3">
      <c r="I7708" t="s">
        <v>15071</v>
      </c>
      <c r="J7708" t="s">
        <v>3172</v>
      </c>
    </row>
    <row r="7709" spans="9:10" x14ac:dyDescent="0.3">
      <c r="I7709" t="s">
        <v>15072</v>
      </c>
      <c r="J7709" t="s">
        <v>3173</v>
      </c>
    </row>
    <row r="7710" spans="9:10" x14ac:dyDescent="0.3">
      <c r="I7710" t="s">
        <v>15073</v>
      </c>
      <c r="J7710" t="s">
        <v>3174</v>
      </c>
    </row>
    <row r="7711" spans="9:10" x14ac:dyDescent="0.3">
      <c r="I7711" t="s">
        <v>15074</v>
      </c>
    </row>
    <row r="7712" spans="9:10" x14ac:dyDescent="0.3">
      <c r="I7712" t="s">
        <v>15075</v>
      </c>
    </row>
    <row r="7713" spans="9:10" x14ac:dyDescent="0.3">
      <c r="I7713" t="s">
        <v>15076</v>
      </c>
      <c r="J7713" t="s">
        <v>3175</v>
      </c>
    </row>
    <row r="7714" spans="9:10" x14ac:dyDescent="0.3">
      <c r="I7714" t="s">
        <v>15076</v>
      </c>
      <c r="J7714" t="s">
        <v>3175</v>
      </c>
    </row>
    <row r="7715" spans="9:10" x14ac:dyDescent="0.3">
      <c r="I7715" t="s">
        <v>15076</v>
      </c>
      <c r="J7715" t="s">
        <v>3175</v>
      </c>
    </row>
    <row r="7716" spans="9:10" x14ac:dyDescent="0.3">
      <c r="I7716" t="s">
        <v>15077</v>
      </c>
      <c r="J7716" t="s">
        <v>3176</v>
      </c>
    </row>
    <row r="7717" spans="9:10" x14ac:dyDescent="0.3">
      <c r="I7717" t="s">
        <v>15078</v>
      </c>
    </row>
    <row r="7718" spans="9:10" x14ac:dyDescent="0.3">
      <c r="I7718" t="s">
        <v>15079</v>
      </c>
      <c r="J7718" t="s">
        <v>3177</v>
      </c>
    </row>
    <row r="7719" spans="9:10" x14ac:dyDescent="0.3">
      <c r="I7719" t="s">
        <v>15080</v>
      </c>
      <c r="J7719" t="s">
        <v>3178</v>
      </c>
    </row>
    <row r="7720" spans="9:10" x14ac:dyDescent="0.3">
      <c r="I7720" t="s">
        <v>15081</v>
      </c>
      <c r="J7720" t="s">
        <v>3178</v>
      </c>
    </row>
    <row r="7721" spans="9:10" x14ac:dyDescent="0.3">
      <c r="I7721" t="s">
        <v>15082</v>
      </c>
      <c r="J7721" t="s">
        <v>3179</v>
      </c>
    </row>
    <row r="7722" spans="9:10" x14ac:dyDescent="0.3">
      <c r="I7722" t="s">
        <v>15083</v>
      </c>
    </row>
    <row r="7723" spans="9:10" x14ac:dyDescent="0.3">
      <c r="I7723" t="s">
        <v>15084</v>
      </c>
    </row>
    <row r="7724" spans="9:10" x14ac:dyDescent="0.3">
      <c r="I7724" t="s">
        <v>15085</v>
      </c>
    </row>
    <row r="7725" spans="9:10" x14ac:dyDescent="0.3">
      <c r="I7725" t="s">
        <v>15086</v>
      </c>
    </row>
    <row r="7726" spans="9:10" x14ac:dyDescent="0.3">
      <c r="I7726" t="s">
        <v>15087</v>
      </c>
      <c r="J7726" t="s">
        <v>3180</v>
      </c>
    </row>
    <row r="7727" spans="9:10" x14ac:dyDescent="0.3">
      <c r="I7727" t="s">
        <v>15088</v>
      </c>
      <c r="J7727" t="s">
        <v>3180</v>
      </c>
    </row>
    <row r="7728" spans="9:10" x14ac:dyDescent="0.3">
      <c r="I7728" t="s">
        <v>15089</v>
      </c>
    </row>
    <row r="7729" spans="9:10" x14ac:dyDescent="0.3">
      <c r="I7729" t="s">
        <v>15090</v>
      </c>
      <c r="J7729" t="s">
        <v>3181</v>
      </c>
    </row>
    <row r="7730" spans="9:10" x14ac:dyDescent="0.3">
      <c r="I7730" t="s">
        <v>15091</v>
      </c>
    </row>
    <row r="7731" spans="9:10" x14ac:dyDescent="0.3">
      <c r="I7731" t="s">
        <v>15092</v>
      </c>
      <c r="J7731" t="s">
        <v>3182</v>
      </c>
    </row>
    <row r="7732" spans="9:10" x14ac:dyDescent="0.3">
      <c r="I7732" t="s">
        <v>15093</v>
      </c>
      <c r="J7732" t="s">
        <v>3183</v>
      </c>
    </row>
    <row r="7733" spans="9:10" x14ac:dyDescent="0.3">
      <c r="I7733" t="s">
        <v>15094</v>
      </c>
    </row>
    <row r="7734" spans="9:10" x14ac:dyDescent="0.3">
      <c r="I7734" t="s">
        <v>15095</v>
      </c>
    </row>
    <row r="7735" spans="9:10" x14ac:dyDescent="0.3">
      <c r="I7735" t="s">
        <v>15096</v>
      </c>
    </row>
    <row r="7736" spans="9:10" x14ac:dyDescent="0.3">
      <c r="I7736" t="s">
        <v>15097</v>
      </c>
      <c r="J7736" t="s">
        <v>3184</v>
      </c>
    </row>
    <row r="7737" spans="9:10" x14ac:dyDescent="0.3">
      <c r="I7737" t="s">
        <v>15098</v>
      </c>
      <c r="J7737" t="s">
        <v>3184</v>
      </c>
    </row>
    <row r="7738" spans="9:10" x14ac:dyDescent="0.3">
      <c r="I7738" t="s">
        <v>15099</v>
      </c>
      <c r="J7738" t="s">
        <v>3185</v>
      </c>
    </row>
    <row r="7739" spans="9:10" x14ac:dyDescent="0.3">
      <c r="I7739" t="s">
        <v>15100</v>
      </c>
      <c r="J7739" t="s">
        <v>3186</v>
      </c>
    </row>
    <row r="7740" spans="9:10" x14ac:dyDescent="0.3">
      <c r="I7740" t="s">
        <v>15101</v>
      </c>
    </row>
    <row r="7741" spans="9:10" x14ac:dyDescent="0.3">
      <c r="I7741" t="s">
        <v>15102</v>
      </c>
    </row>
    <row r="7742" spans="9:10" x14ac:dyDescent="0.3">
      <c r="I7742" t="s">
        <v>15103</v>
      </c>
    </row>
    <row r="7743" spans="9:10" x14ac:dyDescent="0.3">
      <c r="I7743" t="s">
        <v>15104</v>
      </c>
      <c r="J7743" t="s">
        <v>785</v>
      </c>
    </row>
    <row r="7744" spans="9:10" x14ac:dyDescent="0.3">
      <c r="I7744" t="s">
        <v>15105</v>
      </c>
    </row>
    <row r="7745" spans="9:10" x14ac:dyDescent="0.3">
      <c r="I7745" t="s">
        <v>15106</v>
      </c>
      <c r="J7745" t="s">
        <v>3187</v>
      </c>
    </row>
    <row r="7746" spans="9:10" x14ac:dyDescent="0.3">
      <c r="I7746" t="s">
        <v>15107</v>
      </c>
      <c r="J7746" t="s">
        <v>3188</v>
      </c>
    </row>
    <row r="7747" spans="9:10" x14ac:dyDescent="0.3">
      <c r="I7747" t="s">
        <v>15108</v>
      </c>
      <c r="J7747" t="s">
        <v>3189</v>
      </c>
    </row>
    <row r="7748" spans="9:10" x14ac:dyDescent="0.3">
      <c r="I7748" t="s">
        <v>15109</v>
      </c>
      <c r="J7748" t="s">
        <v>3190</v>
      </c>
    </row>
    <row r="7749" spans="9:10" x14ac:dyDescent="0.3">
      <c r="I7749" t="s">
        <v>15110</v>
      </c>
      <c r="J7749" t="s">
        <v>3191</v>
      </c>
    </row>
    <row r="7750" spans="9:10" x14ac:dyDescent="0.3">
      <c r="I7750" t="s">
        <v>15111</v>
      </c>
    </row>
    <row r="7751" spans="9:10" x14ac:dyDescent="0.3">
      <c r="I7751" t="s">
        <v>15112</v>
      </c>
    </row>
    <row r="7752" spans="9:10" x14ac:dyDescent="0.3">
      <c r="I7752" t="s">
        <v>15113</v>
      </c>
      <c r="J7752" t="s">
        <v>801</v>
      </c>
    </row>
    <row r="7753" spans="9:10" x14ac:dyDescent="0.3">
      <c r="I7753" t="s">
        <v>15113</v>
      </c>
      <c r="J7753" t="s">
        <v>801</v>
      </c>
    </row>
    <row r="7754" spans="9:10" x14ac:dyDescent="0.3">
      <c r="I7754" t="s">
        <v>15114</v>
      </c>
      <c r="J7754">
        <v>0</v>
      </c>
    </row>
    <row r="7755" spans="9:10" x14ac:dyDescent="0.3">
      <c r="I7755" t="s">
        <v>15115</v>
      </c>
    </row>
    <row r="7756" spans="9:10" x14ac:dyDescent="0.3">
      <c r="I7756" t="s">
        <v>15116</v>
      </c>
    </row>
    <row r="7757" spans="9:10" x14ac:dyDescent="0.3">
      <c r="I7757" t="s">
        <v>15117</v>
      </c>
    </row>
    <row r="7758" spans="9:10" x14ac:dyDescent="0.3">
      <c r="I7758" t="s">
        <v>15118</v>
      </c>
      <c r="J7758" t="s">
        <v>3192</v>
      </c>
    </row>
    <row r="7759" spans="9:10" x14ac:dyDescent="0.3">
      <c r="I7759" t="s">
        <v>15119</v>
      </c>
      <c r="J7759" t="s">
        <v>3192</v>
      </c>
    </row>
    <row r="7760" spans="9:10" x14ac:dyDescent="0.3">
      <c r="I7760" t="s">
        <v>15120</v>
      </c>
      <c r="J7760" t="s">
        <v>3193</v>
      </c>
    </row>
    <row r="7761" spans="9:10" x14ac:dyDescent="0.3">
      <c r="I7761" t="s">
        <v>15121</v>
      </c>
      <c r="J7761">
        <v>0</v>
      </c>
    </row>
    <row r="7762" spans="9:10" x14ac:dyDescent="0.3">
      <c r="I7762" t="s">
        <v>15122</v>
      </c>
      <c r="J7762" t="s">
        <v>3194</v>
      </c>
    </row>
    <row r="7763" spans="9:10" x14ac:dyDescent="0.3">
      <c r="I7763" t="s">
        <v>15122</v>
      </c>
      <c r="J7763" t="s">
        <v>3194</v>
      </c>
    </row>
    <row r="7764" spans="9:10" x14ac:dyDescent="0.3">
      <c r="I7764" t="s">
        <v>15123</v>
      </c>
    </row>
    <row r="7765" spans="9:10" x14ac:dyDescent="0.3">
      <c r="I7765" t="s">
        <v>15124</v>
      </c>
    </row>
    <row r="7766" spans="9:10" x14ac:dyDescent="0.3">
      <c r="I7766" t="s">
        <v>15125</v>
      </c>
    </row>
    <row r="7767" spans="9:10" x14ac:dyDescent="0.3">
      <c r="I7767" t="s">
        <v>15126</v>
      </c>
    </row>
    <row r="7768" spans="9:10" x14ac:dyDescent="0.3">
      <c r="I7768" t="s">
        <v>15127</v>
      </c>
      <c r="J7768" t="s">
        <v>3195</v>
      </c>
    </row>
    <row r="7769" spans="9:10" x14ac:dyDescent="0.3">
      <c r="I7769" t="s">
        <v>15128</v>
      </c>
      <c r="J7769" t="s">
        <v>3195</v>
      </c>
    </row>
    <row r="7770" spans="9:10" x14ac:dyDescent="0.3">
      <c r="I7770" t="s">
        <v>15129</v>
      </c>
    </row>
    <row r="7771" spans="9:10" x14ac:dyDescent="0.3">
      <c r="I7771" t="s">
        <v>15130</v>
      </c>
      <c r="J7771">
        <v>0</v>
      </c>
    </row>
    <row r="7772" spans="9:10" x14ac:dyDescent="0.3">
      <c r="I7772" t="s">
        <v>15131</v>
      </c>
      <c r="J7772" t="s">
        <v>3196</v>
      </c>
    </row>
    <row r="7773" spans="9:10" x14ac:dyDescent="0.3">
      <c r="I7773" t="s">
        <v>15132</v>
      </c>
      <c r="J7773" t="s">
        <v>3197</v>
      </c>
    </row>
    <row r="7774" spans="9:10" x14ac:dyDescent="0.3">
      <c r="I7774" t="s">
        <v>15132</v>
      </c>
      <c r="J7774" t="s">
        <v>3197</v>
      </c>
    </row>
    <row r="7775" spans="9:10" x14ac:dyDescent="0.3">
      <c r="I7775" t="s">
        <v>15133</v>
      </c>
      <c r="J7775" t="s">
        <v>3198</v>
      </c>
    </row>
    <row r="7776" spans="9:10" x14ac:dyDescent="0.3">
      <c r="I7776" t="s">
        <v>15133</v>
      </c>
      <c r="J7776" t="s">
        <v>3198</v>
      </c>
    </row>
    <row r="7777" spans="9:10" x14ac:dyDescent="0.3">
      <c r="I7777" t="s">
        <v>15134</v>
      </c>
      <c r="J7777" t="s">
        <v>3199</v>
      </c>
    </row>
    <row r="7778" spans="9:10" x14ac:dyDescent="0.3">
      <c r="I7778" t="s">
        <v>15135</v>
      </c>
    </row>
    <row r="7779" spans="9:10" x14ac:dyDescent="0.3">
      <c r="I7779" t="s">
        <v>15135</v>
      </c>
    </row>
    <row r="7780" spans="9:10" x14ac:dyDescent="0.3">
      <c r="I7780" t="s">
        <v>15136</v>
      </c>
      <c r="J7780" t="s">
        <v>1835</v>
      </c>
    </row>
    <row r="7781" spans="9:10" x14ac:dyDescent="0.3">
      <c r="I7781" t="s">
        <v>15136</v>
      </c>
      <c r="J7781" t="s">
        <v>1835</v>
      </c>
    </row>
    <row r="7782" spans="9:10" x14ac:dyDescent="0.3">
      <c r="I7782" t="s">
        <v>15137</v>
      </c>
      <c r="J7782" t="s">
        <v>3200</v>
      </c>
    </row>
    <row r="7783" spans="9:10" x14ac:dyDescent="0.3">
      <c r="I7783" t="s">
        <v>15138</v>
      </c>
      <c r="J7783" t="s">
        <v>3201</v>
      </c>
    </row>
    <row r="7784" spans="9:10" x14ac:dyDescent="0.3">
      <c r="I7784" t="s">
        <v>15139</v>
      </c>
      <c r="J7784" t="s">
        <v>3201</v>
      </c>
    </row>
    <row r="7785" spans="9:10" x14ac:dyDescent="0.3">
      <c r="I7785" t="s">
        <v>15140</v>
      </c>
      <c r="J7785" t="s">
        <v>3202</v>
      </c>
    </row>
    <row r="7786" spans="9:10" x14ac:dyDescent="0.3">
      <c r="I7786" t="s">
        <v>15140</v>
      </c>
      <c r="J7786" t="s">
        <v>3202</v>
      </c>
    </row>
    <row r="7787" spans="9:10" x14ac:dyDescent="0.3">
      <c r="I7787" t="s">
        <v>15141</v>
      </c>
      <c r="J7787" t="s">
        <v>3203</v>
      </c>
    </row>
    <row r="7788" spans="9:10" x14ac:dyDescent="0.3">
      <c r="I7788" t="s">
        <v>15142</v>
      </c>
      <c r="J7788" t="s">
        <v>3204</v>
      </c>
    </row>
    <row r="7789" spans="9:10" x14ac:dyDescent="0.3">
      <c r="I7789" t="s">
        <v>15143</v>
      </c>
      <c r="J7789" t="s">
        <v>3205</v>
      </c>
    </row>
    <row r="7790" spans="9:10" x14ac:dyDescent="0.3">
      <c r="I7790" t="s">
        <v>15144</v>
      </c>
      <c r="J7790" t="s">
        <v>3206</v>
      </c>
    </row>
    <row r="7791" spans="9:10" x14ac:dyDescent="0.3">
      <c r="I7791" t="s">
        <v>15145</v>
      </c>
      <c r="J7791" t="s">
        <v>3206</v>
      </c>
    </row>
    <row r="7792" spans="9:10" x14ac:dyDescent="0.3">
      <c r="I7792" t="s">
        <v>15144</v>
      </c>
      <c r="J7792" t="s">
        <v>3206</v>
      </c>
    </row>
    <row r="7793" spans="9:10" x14ac:dyDescent="0.3">
      <c r="I7793" t="s">
        <v>15146</v>
      </c>
    </row>
    <row r="7794" spans="9:10" x14ac:dyDescent="0.3">
      <c r="I7794" t="s">
        <v>15147</v>
      </c>
      <c r="J7794" t="s">
        <v>3207</v>
      </c>
    </row>
    <row r="7795" spans="9:10" x14ac:dyDescent="0.3">
      <c r="I7795" t="s">
        <v>15148</v>
      </c>
    </row>
    <row r="7796" spans="9:10" x14ac:dyDescent="0.3">
      <c r="I7796" t="s">
        <v>15149</v>
      </c>
      <c r="J7796" t="s">
        <v>3208</v>
      </c>
    </row>
    <row r="7797" spans="9:10" x14ac:dyDescent="0.3">
      <c r="I7797" t="s">
        <v>15150</v>
      </c>
      <c r="J7797" t="s">
        <v>3209</v>
      </c>
    </row>
    <row r="7798" spans="9:10" x14ac:dyDescent="0.3">
      <c r="I7798" t="s">
        <v>15151</v>
      </c>
      <c r="J7798" t="s">
        <v>3210</v>
      </c>
    </row>
    <row r="7799" spans="9:10" x14ac:dyDescent="0.3">
      <c r="I7799" t="s">
        <v>15152</v>
      </c>
    </row>
    <row r="7800" spans="9:10" x14ac:dyDescent="0.3">
      <c r="I7800" t="s">
        <v>15153</v>
      </c>
    </row>
    <row r="7801" spans="9:10" x14ac:dyDescent="0.3">
      <c r="I7801" t="s">
        <v>15154</v>
      </c>
      <c r="J7801" t="s">
        <v>3211</v>
      </c>
    </row>
    <row r="7802" spans="9:10" x14ac:dyDescent="0.3">
      <c r="I7802" t="s">
        <v>15155</v>
      </c>
      <c r="J7802" t="s">
        <v>3211</v>
      </c>
    </row>
    <row r="7803" spans="9:10" x14ac:dyDescent="0.3">
      <c r="I7803" t="s">
        <v>15156</v>
      </c>
      <c r="J7803" t="s">
        <v>3212</v>
      </c>
    </row>
    <row r="7804" spans="9:10" x14ac:dyDescent="0.3">
      <c r="I7804" t="s">
        <v>15157</v>
      </c>
      <c r="J7804" t="s">
        <v>3213</v>
      </c>
    </row>
    <row r="7805" spans="9:10" x14ac:dyDescent="0.3">
      <c r="I7805" t="s">
        <v>15158</v>
      </c>
      <c r="J7805" t="s">
        <v>928</v>
      </c>
    </row>
    <row r="7806" spans="9:10" x14ac:dyDescent="0.3">
      <c r="I7806" t="s">
        <v>15159</v>
      </c>
      <c r="J7806" t="s">
        <v>3214</v>
      </c>
    </row>
    <row r="7807" spans="9:10" x14ac:dyDescent="0.3">
      <c r="I7807" t="s">
        <v>15160</v>
      </c>
      <c r="J7807" t="s">
        <v>3215</v>
      </c>
    </row>
    <row r="7808" spans="9:10" x14ac:dyDescent="0.3">
      <c r="I7808" t="s">
        <v>15161</v>
      </c>
      <c r="J7808" t="s">
        <v>3216</v>
      </c>
    </row>
    <row r="7809" spans="9:10" x14ac:dyDescent="0.3">
      <c r="I7809" t="s">
        <v>15162</v>
      </c>
      <c r="J7809" t="s">
        <v>3217</v>
      </c>
    </row>
    <row r="7810" spans="9:10" x14ac:dyDescent="0.3">
      <c r="I7810" t="s">
        <v>15163</v>
      </c>
      <c r="J7810" t="s">
        <v>3218</v>
      </c>
    </row>
    <row r="7811" spans="9:10" x14ac:dyDescent="0.3">
      <c r="I7811" t="s">
        <v>15164</v>
      </c>
      <c r="J7811" t="s">
        <v>3219</v>
      </c>
    </row>
    <row r="7812" spans="9:10" x14ac:dyDescent="0.3">
      <c r="I7812" t="s">
        <v>15165</v>
      </c>
      <c r="J7812" t="s">
        <v>3220</v>
      </c>
    </row>
    <row r="7813" spans="9:10" x14ac:dyDescent="0.3">
      <c r="I7813" t="s">
        <v>15166</v>
      </c>
      <c r="J7813" t="s">
        <v>3221</v>
      </c>
    </row>
    <row r="7814" spans="9:10" x14ac:dyDescent="0.3">
      <c r="I7814" t="s">
        <v>15167</v>
      </c>
    </row>
    <row r="7815" spans="9:10" x14ac:dyDescent="0.3">
      <c r="I7815" t="s">
        <v>15168</v>
      </c>
      <c r="J7815" t="s">
        <v>727</v>
      </c>
    </row>
    <row r="7816" spans="9:10" x14ac:dyDescent="0.3">
      <c r="I7816" t="s">
        <v>15168</v>
      </c>
      <c r="J7816" t="s">
        <v>727</v>
      </c>
    </row>
    <row r="7817" spans="9:10" x14ac:dyDescent="0.3">
      <c r="I7817" t="s">
        <v>15168</v>
      </c>
      <c r="J7817" t="s">
        <v>727</v>
      </c>
    </row>
    <row r="7818" spans="9:10" x14ac:dyDescent="0.3">
      <c r="I7818" t="s">
        <v>15169</v>
      </c>
      <c r="J7818" t="s">
        <v>3222</v>
      </c>
    </row>
    <row r="7819" spans="9:10" x14ac:dyDescent="0.3">
      <c r="I7819" t="s">
        <v>15170</v>
      </c>
      <c r="J7819" t="s">
        <v>3223</v>
      </c>
    </row>
    <row r="7820" spans="9:10" x14ac:dyDescent="0.3">
      <c r="I7820" t="s">
        <v>15171</v>
      </c>
      <c r="J7820" t="s">
        <v>3224</v>
      </c>
    </row>
    <row r="7821" spans="9:10" x14ac:dyDescent="0.3">
      <c r="I7821" t="s">
        <v>15172</v>
      </c>
      <c r="J7821" t="s">
        <v>3225</v>
      </c>
    </row>
    <row r="7822" spans="9:10" x14ac:dyDescent="0.3">
      <c r="I7822" t="s">
        <v>15173</v>
      </c>
      <c r="J7822" t="s">
        <v>3226</v>
      </c>
    </row>
    <row r="7823" spans="9:10" x14ac:dyDescent="0.3">
      <c r="I7823" t="s">
        <v>15174</v>
      </c>
      <c r="J7823" t="s">
        <v>258</v>
      </c>
    </row>
    <row r="7824" spans="9:10" x14ac:dyDescent="0.3">
      <c r="I7824" t="s">
        <v>15174</v>
      </c>
      <c r="J7824" t="s">
        <v>258</v>
      </c>
    </row>
    <row r="7825" spans="9:10" x14ac:dyDescent="0.3">
      <c r="I7825" t="s">
        <v>15175</v>
      </c>
      <c r="J7825" t="s">
        <v>258</v>
      </c>
    </row>
    <row r="7826" spans="9:10" x14ac:dyDescent="0.3">
      <c r="I7826" t="s">
        <v>15176</v>
      </c>
      <c r="J7826" t="s">
        <v>3227</v>
      </c>
    </row>
    <row r="7827" spans="9:10" x14ac:dyDescent="0.3">
      <c r="I7827" t="s">
        <v>15177</v>
      </c>
      <c r="J7827" t="s">
        <v>264</v>
      </c>
    </row>
    <row r="7828" spans="9:10" x14ac:dyDescent="0.3">
      <c r="I7828" t="s">
        <v>15178</v>
      </c>
      <c r="J7828" t="s">
        <v>268</v>
      </c>
    </row>
    <row r="7829" spans="9:10" x14ac:dyDescent="0.3">
      <c r="I7829" t="s">
        <v>15178</v>
      </c>
      <c r="J7829" t="s">
        <v>268</v>
      </c>
    </row>
    <row r="7830" spans="9:10" x14ac:dyDescent="0.3">
      <c r="I7830" t="s">
        <v>15179</v>
      </c>
      <c r="J7830" t="s">
        <v>260</v>
      </c>
    </row>
    <row r="7831" spans="9:10" x14ac:dyDescent="0.3">
      <c r="I7831" t="s">
        <v>15179</v>
      </c>
      <c r="J7831" t="s">
        <v>260</v>
      </c>
    </row>
    <row r="7832" spans="9:10" x14ac:dyDescent="0.3">
      <c r="I7832" t="s">
        <v>15180</v>
      </c>
      <c r="J7832" t="s">
        <v>260</v>
      </c>
    </row>
    <row r="7833" spans="9:10" x14ac:dyDescent="0.3">
      <c r="I7833" t="s">
        <v>15180</v>
      </c>
      <c r="J7833" t="s">
        <v>260</v>
      </c>
    </row>
    <row r="7834" spans="9:10" x14ac:dyDescent="0.3">
      <c r="I7834" t="s">
        <v>15181</v>
      </c>
    </row>
    <row r="7835" spans="9:10" x14ac:dyDescent="0.3">
      <c r="I7835" t="s">
        <v>15182</v>
      </c>
      <c r="J7835" t="s">
        <v>289</v>
      </c>
    </row>
    <row r="7836" spans="9:10" x14ac:dyDescent="0.3">
      <c r="I7836" t="s">
        <v>15182</v>
      </c>
      <c r="J7836" t="s">
        <v>289</v>
      </c>
    </row>
    <row r="7837" spans="9:10" x14ac:dyDescent="0.3">
      <c r="I7837" t="s">
        <v>15183</v>
      </c>
      <c r="J7837" t="s">
        <v>3228</v>
      </c>
    </row>
    <row r="7838" spans="9:10" x14ac:dyDescent="0.3">
      <c r="I7838" t="s">
        <v>15184</v>
      </c>
      <c r="J7838" t="s">
        <v>3229</v>
      </c>
    </row>
    <row r="7839" spans="9:10" x14ac:dyDescent="0.3">
      <c r="I7839" t="s">
        <v>15185</v>
      </c>
      <c r="J7839" t="s">
        <v>3230</v>
      </c>
    </row>
    <row r="7840" spans="9:10" x14ac:dyDescent="0.3">
      <c r="I7840" t="s">
        <v>15186</v>
      </c>
      <c r="J7840" t="s">
        <v>3231</v>
      </c>
    </row>
    <row r="7841" spans="9:10" x14ac:dyDescent="0.3">
      <c r="I7841" t="s">
        <v>15187</v>
      </c>
      <c r="J7841" t="s">
        <v>3232</v>
      </c>
    </row>
    <row r="7842" spans="9:10" x14ac:dyDescent="0.3">
      <c r="I7842" t="s">
        <v>15188</v>
      </c>
      <c r="J7842" t="s">
        <v>143</v>
      </c>
    </row>
    <row r="7843" spans="9:10" x14ac:dyDescent="0.3">
      <c r="I7843" t="s">
        <v>15189</v>
      </c>
      <c r="J7843" t="s">
        <v>306</v>
      </c>
    </row>
    <row r="7844" spans="9:10" x14ac:dyDescent="0.3">
      <c r="I7844" t="s">
        <v>15190</v>
      </c>
      <c r="J7844" t="s">
        <v>306</v>
      </c>
    </row>
    <row r="7845" spans="9:10" x14ac:dyDescent="0.3">
      <c r="I7845" t="s">
        <v>15191</v>
      </c>
      <c r="J7845" t="s">
        <v>3233</v>
      </c>
    </row>
    <row r="7846" spans="9:10" x14ac:dyDescent="0.3">
      <c r="I7846" t="s">
        <v>15192</v>
      </c>
      <c r="J7846" t="s">
        <v>3233</v>
      </c>
    </row>
    <row r="7847" spans="9:10" x14ac:dyDescent="0.3">
      <c r="I7847" t="s">
        <v>15193</v>
      </c>
      <c r="J7847" t="s">
        <v>3234</v>
      </c>
    </row>
    <row r="7848" spans="9:10" x14ac:dyDescent="0.3">
      <c r="I7848" t="s">
        <v>15193</v>
      </c>
      <c r="J7848" t="s">
        <v>3234</v>
      </c>
    </row>
    <row r="7849" spans="9:10" x14ac:dyDescent="0.3">
      <c r="I7849" t="s">
        <v>15193</v>
      </c>
      <c r="J7849" t="s">
        <v>3234</v>
      </c>
    </row>
    <row r="7850" spans="9:10" x14ac:dyDescent="0.3">
      <c r="I7850" t="s">
        <v>15194</v>
      </c>
      <c r="J7850" t="s">
        <v>316</v>
      </c>
    </row>
    <row r="7851" spans="9:10" x14ac:dyDescent="0.3">
      <c r="I7851" t="s">
        <v>15195</v>
      </c>
      <c r="J7851" t="s">
        <v>3235</v>
      </c>
    </row>
    <row r="7852" spans="9:10" x14ac:dyDescent="0.3">
      <c r="I7852" t="s">
        <v>15196</v>
      </c>
      <c r="J7852" t="s">
        <v>892</v>
      </c>
    </row>
    <row r="7853" spans="9:10" x14ac:dyDescent="0.3">
      <c r="I7853" t="s">
        <v>15196</v>
      </c>
      <c r="J7853" t="s">
        <v>892</v>
      </c>
    </row>
    <row r="7854" spans="9:10" x14ac:dyDescent="0.3">
      <c r="I7854" t="s">
        <v>15197</v>
      </c>
      <c r="J7854" t="s">
        <v>3236</v>
      </c>
    </row>
    <row r="7855" spans="9:10" x14ac:dyDescent="0.3">
      <c r="I7855" t="s">
        <v>15198</v>
      </c>
      <c r="J7855" t="s">
        <v>3237</v>
      </c>
    </row>
    <row r="7856" spans="9:10" x14ac:dyDescent="0.3">
      <c r="I7856" t="s">
        <v>15198</v>
      </c>
      <c r="J7856" t="s">
        <v>3237</v>
      </c>
    </row>
    <row r="7857" spans="9:10" x14ac:dyDescent="0.3">
      <c r="I7857" t="s">
        <v>15199</v>
      </c>
      <c r="J7857" t="s">
        <v>123</v>
      </c>
    </row>
    <row r="7858" spans="9:10" x14ac:dyDescent="0.3">
      <c r="I7858" t="s">
        <v>15200</v>
      </c>
      <c r="J7858" t="s">
        <v>123</v>
      </c>
    </row>
    <row r="7859" spans="9:10" x14ac:dyDescent="0.3">
      <c r="I7859" t="s">
        <v>15201</v>
      </c>
      <c r="J7859" t="s">
        <v>132</v>
      </c>
    </row>
    <row r="7860" spans="9:10" x14ac:dyDescent="0.3">
      <c r="I7860" t="s">
        <v>15202</v>
      </c>
    </row>
    <row r="7861" spans="9:10" x14ac:dyDescent="0.3">
      <c r="I7861" t="s">
        <v>15203</v>
      </c>
      <c r="J7861" t="s">
        <v>3238</v>
      </c>
    </row>
    <row r="7862" spans="9:10" x14ac:dyDescent="0.3">
      <c r="I7862" t="s">
        <v>15204</v>
      </c>
      <c r="J7862" t="s">
        <v>3239</v>
      </c>
    </row>
    <row r="7863" spans="9:10" x14ac:dyDescent="0.3">
      <c r="I7863" t="s">
        <v>15205</v>
      </c>
      <c r="J7863" t="s">
        <v>3239</v>
      </c>
    </row>
    <row r="7864" spans="9:10" x14ac:dyDescent="0.3">
      <c r="I7864" t="s">
        <v>15206</v>
      </c>
      <c r="J7864" t="s">
        <v>3240</v>
      </c>
    </row>
    <row r="7865" spans="9:10" x14ac:dyDescent="0.3">
      <c r="I7865" t="s">
        <v>15206</v>
      </c>
      <c r="J7865" t="s">
        <v>3240</v>
      </c>
    </row>
    <row r="7866" spans="9:10" x14ac:dyDescent="0.3">
      <c r="I7866" t="s">
        <v>15207</v>
      </c>
      <c r="J7866" t="s">
        <v>3241</v>
      </c>
    </row>
    <row r="7867" spans="9:10" x14ac:dyDescent="0.3">
      <c r="I7867" t="s">
        <v>15208</v>
      </c>
      <c r="J7867" t="s">
        <v>3241</v>
      </c>
    </row>
    <row r="7868" spans="9:10" x14ac:dyDescent="0.3">
      <c r="I7868" t="s">
        <v>588</v>
      </c>
      <c r="J7868" t="s">
        <v>3241</v>
      </c>
    </row>
    <row r="7869" spans="9:10" x14ac:dyDescent="0.3">
      <c r="I7869" t="s">
        <v>15208</v>
      </c>
      <c r="J7869" t="s">
        <v>3241</v>
      </c>
    </row>
    <row r="7870" spans="9:10" x14ac:dyDescent="0.3">
      <c r="I7870" t="s">
        <v>588</v>
      </c>
      <c r="J7870" t="s">
        <v>3241</v>
      </c>
    </row>
    <row r="7871" spans="9:10" x14ac:dyDescent="0.3">
      <c r="I7871" t="s">
        <v>15208</v>
      </c>
      <c r="J7871" t="s">
        <v>3241</v>
      </c>
    </row>
    <row r="7872" spans="9:10" x14ac:dyDescent="0.3">
      <c r="I7872" t="s">
        <v>15209</v>
      </c>
      <c r="J7872" t="s">
        <v>141</v>
      </c>
    </row>
    <row r="7873" spans="9:10" x14ac:dyDescent="0.3">
      <c r="I7873" t="s">
        <v>15209</v>
      </c>
      <c r="J7873" t="s">
        <v>141</v>
      </c>
    </row>
    <row r="7874" spans="9:10" x14ac:dyDescent="0.3">
      <c r="I7874" t="s">
        <v>15209</v>
      </c>
      <c r="J7874" t="s">
        <v>141</v>
      </c>
    </row>
    <row r="7875" spans="9:10" x14ac:dyDescent="0.3">
      <c r="I7875" t="s">
        <v>15209</v>
      </c>
      <c r="J7875" t="s">
        <v>141</v>
      </c>
    </row>
    <row r="7876" spans="9:10" x14ac:dyDescent="0.3">
      <c r="I7876" t="s">
        <v>15210</v>
      </c>
      <c r="J7876" t="s">
        <v>145</v>
      </c>
    </row>
    <row r="7877" spans="9:10" x14ac:dyDescent="0.3">
      <c r="I7877" t="s">
        <v>15210</v>
      </c>
      <c r="J7877" t="s">
        <v>145</v>
      </c>
    </row>
    <row r="7878" spans="9:10" x14ac:dyDescent="0.3">
      <c r="I7878" t="s">
        <v>15211</v>
      </c>
      <c r="J7878" t="s">
        <v>145</v>
      </c>
    </row>
    <row r="7879" spans="9:10" x14ac:dyDescent="0.3">
      <c r="I7879" t="s">
        <v>15212</v>
      </c>
      <c r="J7879" t="s">
        <v>3242</v>
      </c>
    </row>
    <row r="7880" spans="9:10" x14ac:dyDescent="0.3">
      <c r="I7880" t="s">
        <v>15213</v>
      </c>
      <c r="J7880" t="s">
        <v>3243</v>
      </c>
    </row>
    <row r="7881" spans="9:10" x14ac:dyDescent="0.3">
      <c r="I7881" t="s">
        <v>15214</v>
      </c>
      <c r="J7881" t="s">
        <v>3244</v>
      </c>
    </row>
    <row r="7882" spans="9:10" x14ac:dyDescent="0.3">
      <c r="I7882" t="s">
        <v>15215</v>
      </c>
      <c r="J7882" t="s">
        <v>3245</v>
      </c>
    </row>
    <row r="7883" spans="9:10" x14ac:dyDescent="0.3">
      <c r="I7883" t="s">
        <v>15216</v>
      </c>
      <c r="J7883" t="s">
        <v>3246</v>
      </c>
    </row>
    <row r="7884" spans="9:10" x14ac:dyDescent="0.3">
      <c r="I7884" t="s">
        <v>15217</v>
      </c>
      <c r="J7884" t="s">
        <v>198</v>
      </c>
    </row>
    <row r="7885" spans="9:10" x14ac:dyDescent="0.3">
      <c r="I7885" t="s">
        <v>15218</v>
      </c>
      <c r="J7885" t="s">
        <v>198</v>
      </c>
    </row>
    <row r="7886" spans="9:10" x14ac:dyDescent="0.3">
      <c r="I7886" t="s">
        <v>15218</v>
      </c>
      <c r="J7886" t="s">
        <v>198</v>
      </c>
    </row>
    <row r="7887" spans="9:10" x14ac:dyDescent="0.3">
      <c r="I7887" t="s">
        <v>15218</v>
      </c>
      <c r="J7887" t="s">
        <v>198</v>
      </c>
    </row>
    <row r="7888" spans="9:10" x14ac:dyDescent="0.3">
      <c r="I7888" t="s">
        <v>15219</v>
      </c>
      <c r="J7888" t="s">
        <v>3247</v>
      </c>
    </row>
    <row r="7889" spans="9:10" x14ac:dyDescent="0.3">
      <c r="I7889" t="s">
        <v>15220</v>
      </c>
      <c r="J7889" t="s">
        <v>3248</v>
      </c>
    </row>
    <row r="7890" spans="9:10" x14ac:dyDescent="0.3">
      <c r="I7890" t="s">
        <v>15221</v>
      </c>
      <c r="J7890" t="s">
        <v>209</v>
      </c>
    </row>
    <row r="7891" spans="9:10" x14ac:dyDescent="0.3">
      <c r="I7891" t="s">
        <v>15222</v>
      </c>
      <c r="J7891" t="s">
        <v>3249</v>
      </c>
    </row>
    <row r="7892" spans="9:10" x14ac:dyDescent="0.3">
      <c r="I7892" t="s">
        <v>15223</v>
      </c>
      <c r="J7892" t="s">
        <v>3249</v>
      </c>
    </row>
    <row r="7893" spans="9:10" x14ac:dyDescent="0.3">
      <c r="I7893" t="s">
        <v>15224</v>
      </c>
      <c r="J7893" t="s">
        <v>3249</v>
      </c>
    </row>
    <row r="7894" spans="9:10" x14ac:dyDescent="0.3">
      <c r="I7894" t="s">
        <v>15224</v>
      </c>
      <c r="J7894" t="s">
        <v>3249</v>
      </c>
    </row>
    <row r="7895" spans="9:10" x14ac:dyDescent="0.3">
      <c r="I7895" t="s">
        <v>15224</v>
      </c>
      <c r="J7895" t="s">
        <v>3249</v>
      </c>
    </row>
    <row r="7896" spans="9:10" x14ac:dyDescent="0.3">
      <c r="I7896" t="s">
        <v>15224</v>
      </c>
      <c r="J7896" t="s">
        <v>3249</v>
      </c>
    </row>
    <row r="7897" spans="9:10" x14ac:dyDescent="0.3">
      <c r="I7897" t="s">
        <v>15225</v>
      </c>
      <c r="J7897" t="s">
        <v>3249</v>
      </c>
    </row>
    <row r="7898" spans="9:10" x14ac:dyDescent="0.3">
      <c r="I7898" t="s">
        <v>15226</v>
      </c>
      <c r="J7898" t="s">
        <v>3249</v>
      </c>
    </row>
    <row r="7899" spans="9:10" x14ac:dyDescent="0.3">
      <c r="I7899" t="s">
        <v>15227</v>
      </c>
      <c r="J7899" t="s">
        <v>3250</v>
      </c>
    </row>
    <row r="7900" spans="9:10" x14ac:dyDescent="0.3">
      <c r="I7900" t="s">
        <v>15228</v>
      </c>
      <c r="J7900" t="s">
        <v>3250</v>
      </c>
    </row>
    <row r="7901" spans="9:10" x14ac:dyDescent="0.3">
      <c r="I7901" t="s">
        <v>15229</v>
      </c>
      <c r="J7901" t="s">
        <v>3250</v>
      </c>
    </row>
    <row r="7902" spans="9:10" x14ac:dyDescent="0.3">
      <c r="I7902" t="s">
        <v>15230</v>
      </c>
      <c r="J7902" t="s">
        <v>3251</v>
      </c>
    </row>
    <row r="7903" spans="9:10" x14ac:dyDescent="0.3">
      <c r="I7903" t="s">
        <v>15230</v>
      </c>
      <c r="J7903" t="s">
        <v>3251</v>
      </c>
    </row>
    <row r="7904" spans="9:10" x14ac:dyDescent="0.3">
      <c r="I7904" t="s">
        <v>15231</v>
      </c>
      <c r="J7904" t="s">
        <v>330</v>
      </c>
    </row>
    <row r="7905" spans="9:10" x14ac:dyDescent="0.3">
      <c r="I7905" t="s">
        <v>15232</v>
      </c>
      <c r="J7905" t="s">
        <v>332</v>
      </c>
    </row>
    <row r="7906" spans="9:10" x14ac:dyDescent="0.3">
      <c r="I7906" t="s">
        <v>15233</v>
      </c>
      <c r="J7906" t="s">
        <v>920</v>
      </c>
    </row>
    <row r="7907" spans="9:10" x14ac:dyDescent="0.3">
      <c r="I7907" t="s">
        <v>15234</v>
      </c>
      <c r="J7907" t="s">
        <v>800</v>
      </c>
    </row>
    <row r="7908" spans="9:10" x14ac:dyDescent="0.3">
      <c r="I7908" t="s">
        <v>15234</v>
      </c>
      <c r="J7908" t="s">
        <v>800</v>
      </c>
    </row>
    <row r="7909" spans="9:10" x14ac:dyDescent="0.3">
      <c r="I7909" t="s">
        <v>15235</v>
      </c>
      <c r="J7909" t="s">
        <v>919</v>
      </c>
    </row>
    <row r="7910" spans="9:10" x14ac:dyDescent="0.3">
      <c r="I7910" t="s">
        <v>15236</v>
      </c>
      <c r="J7910" t="s">
        <v>3252</v>
      </c>
    </row>
    <row r="7911" spans="9:10" x14ac:dyDescent="0.3">
      <c r="I7911" t="s">
        <v>15237</v>
      </c>
      <c r="J7911" t="s">
        <v>3253</v>
      </c>
    </row>
    <row r="7912" spans="9:10" x14ac:dyDescent="0.3">
      <c r="I7912" t="s">
        <v>15238</v>
      </c>
      <c r="J7912" t="s">
        <v>3253</v>
      </c>
    </row>
    <row r="7913" spans="9:10" x14ac:dyDescent="0.3">
      <c r="I7913" t="s">
        <v>15239</v>
      </c>
      <c r="J7913" t="s">
        <v>3254</v>
      </c>
    </row>
    <row r="7914" spans="9:10" x14ac:dyDescent="0.3">
      <c r="I7914" t="s">
        <v>15240</v>
      </c>
      <c r="J7914" t="s">
        <v>790</v>
      </c>
    </row>
    <row r="7915" spans="9:10" x14ac:dyDescent="0.3">
      <c r="I7915" t="s">
        <v>15240</v>
      </c>
      <c r="J7915" t="s">
        <v>790</v>
      </c>
    </row>
    <row r="7916" spans="9:10" x14ac:dyDescent="0.3">
      <c r="I7916" t="s">
        <v>15240</v>
      </c>
      <c r="J7916" t="s">
        <v>790</v>
      </c>
    </row>
    <row r="7917" spans="9:10" x14ac:dyDescent="0.3">
      <c r="I7917" t="s">
        <v>15240</v>
      </c>
      <c r="J7917" t="s">
        <v>790</v>
      </c>
    </row>
    <row r="7918" spans="9:10" x14ac:dyDescent="0.3">
      <c r="I7918" t="s">
        <v>15241</v>
      </c>
      <c r="J7918" t="s">
        <v>3255</v>
      </c>
    </row>
    <row r="7919" spans="9:10" x14ac:dyDescent="0.3">
      <c r="I7919" t="s">
        <v>15242</v>
      </c>
      <c r="J7919" t="s">
        <v>916</v>
      </c>
    </row>
    <row r="7920" spans="9:10" x14ac:dyDescent="0.3">
      <c r="I7920" t="s">
        <v>15242</v>
      </c>
      <c r="J7920" t="s">
        <v>916</v>
      </c>
    </row>
    <row r="7921" spans="9:10" x14ac:dyDescent="0.3">
      <c r="I7921" t="s">
        <v>15243</v>
      </c>
      <c r="J7921" t="s">
        <v>3256</v>
      </c>
    </row>
    <row r="7922" spans="9:10" x14ac:dyDescent="0.3">
      <c r="I7922" t="s">
        <v>782</v>
      </c>
      <c r="J7922" t="s">
        <v>783</v>
      </c>
    </row>
    <row r="7923" spans="9:10" x14ac:dyDescent="0.3">
      <c r="I7923" t="s">
        <v>15244</v>
      </c>
      <c r="J7923" t="s">
        <v>777</v>
      </c>
    </row>
    <row r="7924" spans="9:10" x14ac:dyDescent="0.3">
      <c r="I7924" t="s">
        <v>15244</v>
      </c>
      <c r="J7924" t="s">
        <v>777</v>
      </c>
    </row>
    <row r="7925" spans="9:10" x14ac:dyDescent="0.3">
      <c r="I7925" t="s">
        <v>788</v>
      </c>
      <c r="J7925" t="s">
        <v>789</v>
      </c>
    </row>
    <row r="7926" spans="9:10" x14ac:dyDescent="0.3">
      <c r="I7926" t="s">
        <v>15245</v>
      </c>
      <c r="J7926" t="s">
        <v>3257</v>
      </c>
    </row>
    <row r="7927" spans="9:10" x14ac:dyDescent="0.3">
      <c r="I7927" t="s">
        <v>15246</v>
      </c>
      <c r="J7927" t="s">
        <v>3258</v>
      </c>
    </row>
    <row r="7928" spans="9:10" x14ac:dyDescent="0.3">
      <c r="I7928" t="s">
        <v>15247</v>
      </c>
      <c r="J7928" t="s">
        <v>3259</v>
      </c>
    </row>
    <row r="7929" spans="9:10" x14ac:dyDescent="0.3">
      <c r="I7929" t="s">
        <v>15248</v>
      </c>
      <c r="J7929" t="s">
        <v>3260</v>
      </c>
    </row>
    <row r="7930" spans="9:10" x14ac:dyDescent="0.3">
      <c r="I7930" t="s">
        <v>15249</v>
      </c>
      <c r="J7930" t="s">
        <v>3261</v>
      </c>
    </row>
    <row r="7931" spans="9:10" x14ac:dyDescent="0.3">
      <c r="I7931" t="s">
        <v>15250</v>
      </c>
      <c r="J7931" t="s">
        <v>3262</v>
      </c>
    </row>
    <row r="7932" spans="9:10" x14ac:dyDescent="0.3">
      <c r="I7932" t="s">
        <v>15251</v>
      </c>
      <c r="J7932" t="s">
        <v>773</v>
      </c>
    </row>
    <row r="7933" spans="9:10" x14ac:dyDescent="0.3">
      <c r="I7933" t="s">
        <v>15252</v>
      </c>
      <c r="J7933" t="s">
        <v>313</v>
      </c>
    </row>
    <row r="7934" spans="9:10" x14ac:dyDescent="0.3">
      <c r="I7934" t="s">
        <v>15253</v>
      </c>
      <c r="J7934" t="s">
        <v>764</v>
      </c>
    </row>
    <row r="7935" spans="9:10" x14ac:dyDescent="0.3">
      <c r="I7935" t="s">
        <v>15254</v>
      </c>
      <c r="J7935" t="s">
        <v>763</v>
      </c>
    </row>
    <row r="7936" spans="9:10" x14ac:dyDescent="0.3">
      <c r="I7936" t="s">
        <v>15255</v>
      </c>
      <c r="J7936" t="s">
        <v>762</v>
      </c>
    </row>
    <row r="7937" spans="9:10" x14ac:dyDescent="0.3">
      <c r="I7937" t="s">
        <v>15255</v>
      </c>
      <c r="J7937" t="s">
        <v>762</v>
      </c>
    </row>
    <row r="7938" spans="9:10" x14ac:dyDescent="0.3">
      <c r="I7938" t="s">
        <v>15255</v>
      </c>
      <c r="J7938" t="s">
        <v>762</v>
      </c>
    </row>
    <row r="7939" spans="9:10" x14ac:dyDescent="0.3">
      <c r="I7939" t="s">
        <v>15256</v>
      </c>
      <c r="J7939" t="s">
        <v>761</v>
      </c>
    </row>
    <row r="7940" spans="9:10" x14ac:dyDescent="0.3">
      <c r="I7940" t="s">
        <v>15257</v>
      </c>
      <c r="J7940" t="s">
        <v>761</v>
      </c>
    </row>
    <row r="7941" spans="9:10" x14ac:dyDescent="0.3">
      <c r="I7941" t="s">
        <v>15258</v>
      </c>
      <c r="J7941" t="s">
        <v>3263</v>
      </c>
    </row>
    <row r="7942" spans="9:10" x14ac:dyDescent="0.3">
      <c r="I7942" t="s">
        <v>15259</v>
      </c>
      <c r="J7942" t="s">
        <v>759</v>
      </c>
    </row>
    <row r="7943" spans="9:10" x14ac:dyDescent="0.3">
      <c r="I7943" t="s">
        <v>15260</v>
      </c>
      <c r="J7943" t="s">
        <v>758</v>
      </c>
    </row>
    <row r="7944" spans="9:10" x14ac:dyDescent="0.3">
      <c r="I7944" t="s">
        <v>15260</v>
      </c>
      <c r="J7944" t="s">
        <v>758</v>
      </c>
    </row>
    <row r="7945" spans="9:10" x14ac:dyDescent="0.3">
      <c r="I7945" t="s">
        <v>15261</v>
      </c>
      <c r="J7945" t="s">
        <v>753</v>
      </c>
    </row>
    <row r="7946" spans="9:10" x14ac:dyDescent="0.3">
      <c r="I7946" t="s">
        <v>15261</v>
      </c>
      <c r="J7946" t="s">
        <v>753</v>
      </c>
    </row>
    <row r="7947" spans="9:10" x14ac:dyDescent="0.3">
      <c r="I7947" t="s">
        <v>15262</v>
      </c>
      <c r="J7947" t="s">
        <v>753</v>
      </c>
    </row>
    <row r="7948" spans="9:10" x14ac:dyDescent="0.3">
      <c r="I7948" t="s">
        <v>739</v>
      </c>
      <c r="J7948" t="s">
        <v>740</v>
      </c>
    </row>
    <row r="7949" spans="9:10" x14ac:dyDescent="0.3">
      <c r="I7949" t="s">
        <v>15263</v>
      </c>
      <c r="J7949" t="s">
        <v>3264</v>
      </c>
    </row>
    <row r="7950" spans="9:10" x14ac:dyDescent="0.3">
      <c r="I7950" t="s">
        <v>15264</v>
      </c>
      <c r="J7950" t="s">
        <v>713</v>
      </c>
    </row>
    <row r="7951" spans="9:10" x14ac:dyDescent="0.3">
      <c r="I7951" t="s">
        <v>15265</v>
      </c>
      <c r="J7951" t="s">
        <v>711</v>
      </c>
    </row>
    <row r="7952" spans="9:10" x14ac:dyDescent="0.3">
      <c r="I7952" t="s">
        <v>15265</v>
      </c>
      <c r="J7952" t="s">
        <v>711</v>
      </c>
    </row>
    <row r="7953" spans="9:10" x14ac:dyDescent="0.3">
      <c r="I7953" t="s">
        <v>15266</v>
      </c>
      <c r="J7953" t="s">
        <v>707</v>
      </c>
    </row>
    <row r="7954" spans="9:10" x14ac:dyDescent="0.3">
      <c r="I7954" t="s">
        <v>15266</v>
      </c>
      <c r="J7954" t="s">
        <v>707</v>
      </c>
    </row>
    <row r="7955" spans="9:10" x14ac:dyDescent="0.3">
      <c r="I7955" t="s">
        <v>15267</v>
      </c>
      <c r="J7955" t="s">
        <v>3265</v>
      </c>
    </row>
    <row r="7956" spans="9:10" x14ac:dyDescent="0.3">
      <c r="I7956" t="s">
        <v>15268</v>
      </c>
      <c r="J7956" t="s">
        <v>3266</v>
      </c>
    </row>
    <row r="7957" spans="9:10" x14ac:dyDescent="0.3">
      <c r="I7957" t="s">
        <v>15269</v>
      </c>
      <c r="J7957" t="s">
        <v>691</v>
      </c>
    </row>
    <row r="7958" spans="9:10" x14ac:dyDescent="0.3">
      <c r="I7958" t="s">
        <v>15270</v>
      </c>
      <c r="J7958" t="s">
        <v>691</v>
      </c>
    </row>
    <row r="7959" spans="9:10" x14ac:dyDescent="0.3">
      <c r="I7959" t="s">
        <v>15271</v>
      </c>
      <c r="J7959" t="s">
        <v>691</v>
      </c>
    </row>
    <row r="7960" spans="9:10" x14ac:dyDescent="0.3">
      <c r="I7960" t="s">
        <v>15272</v>
      </c>
      <c r="J7960" t="s">
        <v>691</v>
      </c>
    </row>
    <row r="7961" spans="9:10" x14ac:dyDescent="0.3">
      <c r="I7961" t="s">
        <v>15273</v>
      </c>
      <c r="J7961" t="s">
        <v>3267</v>
      </c>
    </row>
    <row r="7962" spans="9:10" x14ac:dyDescent="0.3">
      <c r="I7962" t="s">
        <v>15274</v>
      </c>
      <c r="J7962" t="s">
        <v>351</v>
      </c>
    </row>
    <row r="7963" spans="9:10" x14ac:dyDescent="0.3">
      <c r="I7963" t="s">
        <v>15275</v>
      </c>
      <c r="J7963" t="s">
        <v>351</v>
      </c>
    </row>
    <row r="7964" spans="9:10" x14ac:dyDescent="0.3">
      <c r="I7964" t="s">
        <v>15275</v>
      </c>
      <c r="J7964" t="s">
        <v>351</v>
      </c>
    </row>
    <row r="7965" spans="9:10" x14ac:dyDescent="0.3">
      <c r="I7965" t="s">
        <v>15276</v>
      </c>
      <c r="J7965" t="s">
        <v>352</v>
      </c>
    </row>
    <row r="7966" spans="9:10" x14ac:dyDescent="0.3">
      <c r="I7966" t="s">
        <v>15277</v>
      </c>
      <c r="J7966" t="s">
        <v>679</v>
      </c>
    </row>
    <row r="7967" spans="9:10" x14ac:dyDescent="0.3">
      <c r="I7967" t="s">
        <v>15278</v>
      </c>
      <c r="J7967" t="s">
        <v>677</v>
      </c>
    </row>
    <row r="7968" spans="9:10" x14ac:dyDescent="0.3">
      <c r="I7968" t="s">
        <v>15279</v>
      </c>
      <c r="J7968" t="s">
        <v>911</v>
      </c>
    </row>
    <row r="7969" spans="9:10" x14ac:dyDescent="0.3">
      <c r="I7969" t="s">
        <v>15280</v>
      </c>
      <c r="J7969" t="s">
        <v>672</v>
      </c>
    </row>
    <row r="7970" spans="9:10" x14ac:dyDescent="0.3">
      <c r="I7970" t="s">
        <v>15281</v>
      </c>
      <c r="J7970" t="s">
        <v>3268</v>
      </c>
    </row>
    <row r="7971" spans="9:10" x14ac:dyDescent="0.3">
      <c r="I7971" t="s">
        <v>15282</v>
      </c>
      <c r="J7971" t="s">
        <v>3269</v>
      </c>
    </row>
    <row r="7972" spans="9:10" x14ac:dyDescent="0.3">
      <c r="I7972" t="s">
        <v>15283</v>
      </c>
      <c r="J7972" t="s">
        <v>3270</v>
      </c>
    </row>
    <row r="7973" spans="9:10" x14ac:dyDescent="0.3">
      <c r="I7973" t="s">
        <v>15284</v>
      </c>
      <c r="J7973" t="s">
        <v>3271</v>
      </c>
    </row>
    <row r="7974" spans="9:10" x14ac:dyDescent="0.3">
      <c r="I7974" t="s">
        <v>15285</v>
      </c>
      <c r="J7974" t="s">
        <v>3272</v>
      </c>
    </row>
    <row r="7975" spans="9:10" x14ac:dyDescent="0.3">
      <c r="I7975" t="s">
        <v>15286</v>
      </c>
      <c r="J7975" t="s">
        <v>3273</v>
      </c>
    </row>
    <row r="7976" spans="9:10" x14ac:dyDescent="0.3">
      <c r="I7976" t="s">
        <v>15287</v>
      </c>
      <c r="J7976" t="s">
        <v>3273</v>
      </c>
    </row>
    <row r="7977" spans="9:10" x14ac:dyDescent="0.3">
      <c r="I7977" t="s">
        <v>15288</v>
      </c>
      <c r="J7977" t="s">
        <v>820</v>
      </c>
    </row>
    <row r="7978" spans="9:10" x14ac:dyDescent="0.3">
      <c r="I7978" t="s">
        <v>15289</v>
      </c>
      <c r="J7978" t="s">
        <v>820</v>
      </c>
    </row>
    <row r="7979" spans="9:10" x14ac:dyDescent="0.3">
      <c r="I7979" t="s">
        <v>15290</v>
      </c>
      <c r="J7979" t="s">
        <v>820</v>
      </c>
    </row>
    <row r="7980" spans="9:10" x14ac:dyDescent="0.3">
      <c r="I7980" t="s">
        <v>15291</v>
      </c>
      <c r="J7980" t="s">
        <v>820</v>
      </c>
    </row>
    <row r="7981" spans="9:10" x14ac:dyDescent="0.3">
      <c r="I7981" t="s">
        <v>15292</v>
      </c>
      <c r="J7981" s="155" t="s">
        <v>364</v>
      </c>
    </row>
    <row r="7982" spans="9:10" x14ac:dyDescent="0.3">
      <c r="I7982" t="s">
        <v>15292</v>
      </c>
      <c r="J7982" s="155" t="s">
        <v>364</v>
      </c>
    </row>
    <row r="7983" spans="9:10" x14ac:dyDescent="0.3">
      <c r="I7983" t="s">
        <v>15292</v>
      </c>
      <c r="J7983" s="155" t="s">
        <v>364</v>
      </c>
    </row>
    <row r="7984" spans="9:10" x14ac:dyDescent="0.3">
      <c r="I7984" t="s">
        <v>15293</v>
      </c>
      <c r="J7984" t="s">
        <v>3274</v>
      </c>
    </row>
    <row r="7985" spans="9:10" x14ac:dyDescent="0.3">
      <c r="I7985" t="s">
        <v>15294</v>
      </c>
      <c r="J7985" t="s">
        <v>3275</v>
      </c>
    </row>
    <row r="7986" spans="9:10" x14ac:dyDescent="0.3">
      <c r="I7986" t="s">
        <v>15295</v>
      </c>
      <c r="J7986" t="s">
        <v>3276</v>
      </c>
    </row>
    <row r="7987" spans="9:10" x14ac:dyDescent="0.3">
      <c r="I7987" t="s">
        <v>15296</v>
      </c>
    </row>
    <row r="7988" spans="9:10" x14ac:dyDescent="0.3">
      <c r="I7988" t="s">
        <v>15297</v>
      </c>
      <c r="J7988" t="s">
        <v>3277</v>
      </c>
    </row>
    <row r="7989" spans="9:10" x14ac:dyDescent="0.3">
      <c r="I7989" t="s">
        <v>15298</v>
      </c>
      <c r="J7989" t="s">
        <v>3277</v>
      </c>
    </row>
    <row r="7990" spans="9:10" x14ac:dyDescent="0.3">
      <c r="I7990" t="s">
        <v>15299</v>
      </c>
      <c r="J7990" t="s">
        <v>3278</v>
      </c>
    </row>
    <row r="7991" spans="9:10" x14ac:dyDescent="0.3">
      <c r="I7991" t="s">
        <v>15300</v>
      </c>
      <c r="J7991" t="s">
        <v>626</v>
      </c>
    </row>
    <row r="7992" spans="9:10" x14ac:dyDescent="0.3">
      <c r="I7992" t="s">
        <v>15301</v>
      </c>
      <c r="J7992" t="s">
        <v>3279</v>
      </c>
    </row>
    <row r="7993" spans="9:10" x14ac:dyDescent="0.3">
      <c r="I7993" t="s">
        <v>15301</v>
      </c>
      <c r="J7993" t="s">
        <v>3279</v>
      </c>
    </row>
    <row r="7994" spans="9:10" x14ac:dyDescent="0.3">
      <c r="I7994" t="s">
        <v>15302</v>
      </c>
      <c r="J7994" t="s">
        <v>3280</v>
      </c>
    </row>
    <row r="7995" spans="9:10" x14ac:dyDescent="0.3">
      <c r="I7995" t="s">
        <v>15303</v>
      </c>
      <c r="J7995" t="s">
        <v>3281</v>
      </c>
    </row>
    <row r="7996" spans="9:10" x14ac:dyDescent="0.3">
      <c r="I7996" t="s">
        <v>15304</v>
      </c>
      <c r="J7996" t="s">
        <v>3282</v>
      </c>
    </row>
    <row r="7997" spans="9:10" x14ac:dyDescent="0.3">
      <c r="I7997" t="s">
        <v>15305</v>
      </c>
      <c r="J7997" t="s">
        <v>3283</v>
      </c>
    </row>
    <row r="7998" spans="9:10" x14ac:dyDescent="0.3">
      <c r="I7998" t="s">
        <v>15306</v>
      </c>
      <c r="J7998" t="s">
        <v>3283</v>
      </c>
    </row>
    <row r="7999" spans="9:10" x14ac:dyDescent="0.3">
      <c r="I7999" t="s">
        <v>15307</v>
      </c>
      <c r="J7999" t="s">
        <v>3284</v>
      </c>
    </row>
    <row r="8000" spans="9:10" x14ac:dyDescent="0.3">
      <c r="I8000" t="s">
        <v>15307</v>
      </c>
      <c r="J8000" t="s">
        <v>3284</v>
      </c>
    </row>
    <row r="8001" spans="9:10" x14ac:dyDescent="0.3">
      <c r="I8001" t="s">
        <v>15307</v>
      </c>
      <c r="J8001" t="s">
        <v>3284</v>
      </c>
    </row>
    <row r="8002" spans="9:10" x14ac:dyDescent="0.3">
      <c r="I8002" t="s">
        <v>15307</v>
      </c>
      <c r="J8002" t="s">
        <v>3284</v>
      </c>
    </row>
    <row r="8003" spans="9:10" x14ac:dyDescent="0.3">
      <c r="I8003" t="s">
        <v>15307</v>
      </c>
      <c r="J8003" t="s">
        <v>3284</v>
      </c>
    </row>
    <row r="8004" spans="9:10" x14ac:dyDescent="0.3">
      <c r="I8004" t="s">
        <v>15307</v>
      </c>
      <c r="J8004" t="s">
        <v>3284</v>
      </c>
    </row>
    <row r="8005" spans="9:10" x14ac:dyDescent="0.3">
      <c r="I8005" t="s">
        <v>15308</v>
      </c>
      <c r="J8005" t="s">
        <v>3285</v>
      </c>
    </row>
    <row r="8006" spans="9:10" x14ac:dyDescent="0.3">
      <c r="I8006" t="s">
        <v>15309</v>
      </c>
      <c r="J8006" t="s">
        <v>3286</v>
      </c>
    </row>
    <row r="8007" spans="9:10" x14ac:dyDescent="0.3">
      <c r="I8007" t="s">
        <v>15309</v>
      </c>
      <c r="J8007" t="s">
        <v>3286</v>
      </c>
    </row>
    <row r="8008" spans="9:10" x14ac:dyDescent="0.3">
      <c r="I8008" t="s">
        <v>15310</v>
      </c>
      <c r="J8008" t="s">
        <v>3287</v>
      </c>
    </row>
    <row r="8009" spans="9:10" x14ac:dyDescent="0.3">
      <c r="I8009" t="s">
        <v>15311</v>
      </c>
      <c r="J8009" t="s">
        <v>3288</v>
      </c>
    </row>
    <row r="8010" spans="9:10" x14ac:dyDescent="0.3">
      <c r="I8010" t="s">
        <v>15311</v>
      </c>
      <c r="J8010" t="s">
        <v>3288</v>
      </c>
    </row>
    <row r="8011" spans="9:10" x14ac:dyDescent="0.3">
      <c r="I8011" t="s">
        <v>15312</v>
      </c>
      <c r="J8011" t="s">
        <v>440</v>
      </c>
    </row>
    <row r="8012" spans="9:10" x14ac:dyDescent="0.3">
      <c r="I8012" t="s">
        <v>15313</v>
      </c>
      <c r="J8012" t="s">
        <v>440</v>
      </c>
    </row>
    <row r="8013" spans="9:10" x14ac:dyDescent="0.3">
      <c r="I8013" t="s">
        <v>15314</v>
      </c>
      <c r="J8013" t="s">
        <v>3289</v>
      </c>
    </row>
    <row r="8014" spans="9:10" x14ac:dyDescent="0.3">
      <c r="I8014" t="s">
        <v>15315</v>
      </c>
      <c r="J8014" t="s">
        <v>612</v>
      </c>
    </row>
    <row r="8015" spans="9:10" x14ac:dyDescent="0.3">
      <c r="I8015" t="s">
        <v>15316</v>
      </c>
      <c r="J8015" t="s">
        <v>3290</v>
      </c>
    </row>
    <row r="8016" spans="9:10" x14ac:dyDescent="0.3">
      <c r="I8016" t="s">
        <v>15317</v>
      </c>
      <c r="J8016" t="s">
        <v>611</v>
      </c>
    </row>
    <row r="8017" spans="9:10" x14ac:dyDescent="0.3">
      <c r="I8017" t="s">
        <v>15318</v>
      </c>
      <c r="J8017" t="s">
        <v>611</v>
      </c>
    </row>
    <row r="8018" spans="9:10" x14ac:dyDescent="0.3">
      <c r="I8018" t="s">
        <v>15319</v>
      </c>
      <c r="J8018" t="s">
        <v>3291</v>
      </c>
    </row>
    <row r="8019" spans="9:10" x14ac:dyDescent="0.3">
      <c r="I8019" t="s">
        <v>15320</v>
      </c>
      <c r="J8019" t="s">
        <v>3292</v>
      </c>
    </row>
    <row r="8020" spans="9:10" x14ac:dyDescent="0.3">
      <c r="I8020" t="s">
        <v>15320</v>
      </c>
      <c r="J8020" t="s">
        <v>3292</v>
      </c>
    </row>
    <row r="8021" spans="9:10" x14ac:dyDescent="0.3">
      <c r="I8021" t="s">
        <v>15321</v>
      </c>
      <c r="J8021" t="s">
        <v>585</v>
      </c>
    </row>
    <row r="8022" spans="9:10" x14ac:dyDescent="0.3">
      <c r="I8022" t="s">
        <v>15322</v>
      </c>
      <c r="J8022" t="s">
        <v>3293</v>
      </c>
    </row>
    <row r="8023" spans="9:10" x14ac:dyDescent="0.3">
      <c r="I8023" t="s">
        <v>15323</v>
      </c>
      <c r="J8023" t="s">
        <v>580</v>
      </c>
    </row>
    <row r="8024" spans="9:10" x14ac:dyDescent="0.3">
      <c r="I8024" t="s">
        <v>15324</v>
      </c>
      <c r="J8024" t="s">
        <v>577</v>
      </c>
    </row>
    <row r="8025" spans="9:10" x14ac:dyDescent="0.3">
      <c r="I8025" t="s">
        <v>15325</v>
      </c>
      <c r="J8025" t="s">
        <v>577</v>
      </c>
    </row>
    <row r="8026" spans="9:10" x14ac:dyDescent="0.3">
      <c r="I8026" t="s">
        <v>15326</v>
      </c>
      <c r="J8026" t="s">
        <v>576</v>
      </c>
    </row>
    <row r="8027" spans="9:10" x14ac:dyDescent="0.3">
      <c r="I8027" t="s">
        <v>15327</v>
      </c>
      <c r="J8027" t="s">
        <v>575</v>
      </c>
    </row>
    <row r="8028" spans="9:10" x14ac:dyDescent="0.3">
      <c r="I8028" t="s">
        <v>15328</v>
      </c>
      <c r="J8028" t="s">
        <v>575</v>
      </c>
    </row>
    <row r="8029" spans="9:10" x14ac:dyDescent="0.3">
      <c r="I8029" t="s">
        <v>15329</v>
      </c>
      <c r="J8029" t="s">
        <v>575</v>
      </c>
    </row>
    <row r="8030" spans="9:10" x14ac:dyDescent="0.3">
      <c r="I8030" t="s">
        <v>15330</v>
      </c>
      <c r="J8030" t="s">
        <v>569</v>
      </c>
    </row>
    <row r="8031" spans="9:10" x14ac:dyDescent="0.3">
      <c r="I8031" t="s">
        <v>15330</v>
      </c>
      <c r="J8031" t="s">
        <v>569</v>
      </c>
    </row>
    <row r="8032" spans="9:10" x14ac:dyDescent="0.3">
      <c r="I8032" t="s">
        <v>15330</v>
      </c>
      <c r="J8032" t="s">
        <v>569</v>
      </c>
    </row>
    <row r="8033" spans="9:10" x14ac:dyDescent="0.3">
      <c r="I8033" t="s">
        <v>15330</v>
      </c>
      <c r="J8033" t="s">
        <v>569</v>
      </c>
    </row>
    <row r="8034" spans="9:10" x14ac:dyDescent="0.3">
      <c r="I8034" t="s">
        <v>15331</v>
      </c>
      <c r="J8034" t="s">
        <v>3294</v>
      </c>
    </row>
    <row r="8035" spans="9:10" x14ac:dyDescent="0.3">
      <c r="I8035" t="s">
        <v>15332</v>
      </c>
      <c r="J8035" t="s">
        <v>565</v>
      </c>
    </row>
    <row r="8036" spans="9:10" x14ac:dyDescent="0.3">
      <c r="I8036" t="s">
        <v>15332</v>
      </c>
      <c r="J8036" t="s">
        <v>565</v>
      </c>
    </row>
    <row r="8037" spans="9:10" x14ac:dyDescent="0.3">
      <c r="I8037" t="s">
        <v>15333</v>
      </c>
      <c r="J8037" t="s">
        <v>3295</v>
      </c>
    </row>
    <row r="8038" spans="9:10" x14ac:dyDescent="0.3">
      <c r="I8038" t="s">
        <v>15334</v>
      </c>
      <c r="J8038" t="s">
        <v>3295</v>
      </c>
    </row>
    <row r="8039" spans="9:10" x14ac:dyDescent="0.3">
      <c r="I8039" t="s">
        <v>551</v>
      </c>
      <c r="J8039" t="s">
        <v>552</v>
      </c>
    </row>
    <row r="8040" spans="9:10" x14ac:dyDescent="0.3">
      <c r="I8040" t="s">
        <v>15335</v>
      </c>
      <c r="J8040" t="s">
        <v>3296</v>
      </c>
    </row>
    <row r="8041" spans="9:10" x14ac:dyDescent="0.3">
      <c r="I8041" t="s">
        <v>15336</v>
      </c>
      <c r="J8041" t="s">
        <v>3297</v>
      </c>
    </row>
    <row r="8042" spans="9:10" x14ac:dyDescent="0.3">
      <c r="I8042" t="s">
        <v>15337</v>
      </c>
      <c r="J8042" t="s">
        <v>525</v>
      </c>
    </row>
    <row r="8043" spans="9:10" x14ac:dyDescent="0.3">
      <c r="I8043" t="s">
        <v>15337</v>
      </c>
      <c r="J8043" t="s">
        <v>525</v>
      </c>
    </row>
    <row r="8044" spans="9:10" x14ac:dyDescent="0.3">
      <c r="I8044" t="s">
        <v>15338</v>
      </c>
      <c r="J8044" t="s">
        <v>367</v>
      </c>
    </row>
    <row r="8045" spans="9:10" x14ac:dyDescent="0.3">
      <c r="I8045" t="s">
        <v>15339</v>
      </c>
      <c r="J8045" t="s">
        <v>517</v>
      </c>
    </row>
    <row r="8046" spans="9:10" x14ac:dyDescent="0.3">
      <c r="I8046" t="s">
        <v>15340</v>
      </c>
      <c r="J8046" t="s">
        <v>517</v>
      </c>
    </row>
    <row r="8047" spans="9:10" x14ac:dyDescent="0.3">
      <c r="I8047" t="s">
        <v>15341</v>
      </c>
      <c r="J8047" t="s">
        <v>3298</v>
      </c>
    </row>
    <row r="8048" spans="9:10" x14ac:dyDescent="0.3">
      <c r="I8048" t="s">
        <v>15342</v>
      </c>
      <c r="J8048" t="s">
        <v>3299</v>
      </c>
    </row>
    <row r="8049" spans="9:10" x14ac:dyDescent="0.3">
      <c r="I8049" t="s">
        <v>15342</v>
      </c>
      <c r="J8049" t="s">
        <v>3299</v>
      </c>
    </row>
    <row r="8050" spans="9:10" x14ac:dyDescent="0.3">
      <c r="I8050" t="s">
        <v>15343</v>
      </c>
      <c r="J8050" t="s">
        <v>3300</v>
      </c>
    </row>
    <row r="8051" spans="9:10" x14ac:dyDescent="0.3">
      <c r="I8051" t="s">
        <v>15344</v>
      </c>
      <c r="J8051" t="s">
        <v>900</v>
      </c>
    </row>
    <row r="8052" spans="9:10" x14ac:dyDescent="0.3">
      <c r="I8052" t="s">
        <v>15344</v>
      </c>
      <c r="J8052" t="s">
        <v>900</v>
      </c>
    </row>
    <row r="8053" spans="9:10" x14ac:dyDescent="0.3">
      <c r="I8053" t="s">
        <v>15345</v>
      </c>
      <c r="J8053" t="s">
        <v>3301</v>
      </c>
    </row>
    <row r="8054" spans="9:10" x14ac:dyDescent="0.3">
      <c r="I8054" t="s">
        <v>15346</v>
      </c>
      <c r="J8054">
        <v>0</v>
      </c>
    </row>
    <row r="8055" spans="9:10" x14ac:dyDescent="0.3">
      <c r="I8055" t="s">
        <v>15347</v>
      </c>
      <c r="J8055" t="s">
        <v>465</v>
      </c>
    </row>
    <row r="8056" spans="9:10" x14ac:dyDescent="0.3">
      <c r="I8056" t="s">
        <v>15348</v>
      </c>
      <c r="J8056" t="s">
        <v>465</v>
      </c>
    </row>
    <row r="8057" spans="9:10" x14ac:dyDescent="0.3">
      <c r="I8057" t="s">
        <v>15349</v>
      </c>
      <c r="J8057" t="s">
        <v>3302</v>
      </c>
    </row>
    <row r="8058" spans="9:10" x14ac:dyDescent="0.3">
      <c r="I8058" t="s">
        <v>15350</v>
      </c>
      <c r="J8058" t="s">
        <v>3303</v>
      </c>
    </row>
    <row r="8059" spans="9:10" x14ac:dyDescent="0.3">
      <c r="I8059" t="s">
        <v>15350</v>
      </c>
      <c r="J8059" t="s">
        <v>3303</v>
      </c>
    </row>
    <row r="8060" spans="9:10" x14ac:dyDescent="0.3">
      <c r="I8060" t="s">
        <v>15351</v>
      </c>
      <c r="J8060" t="s">
        <v>3303</v>
      </c>
    </row>
    <row r="8061" spans="9:10" x14ac:dyDescent="0.3">
      <c r="I8061" t="s">
        <v>15352</v>
      </c>
      <c r="J8061" t="s">
        <v>483</v>
      </c>
    </row>
    <row r="8062" spans="9:10" x14ac:dyDescent="0.3">
      <c r="I8062" t="s">
        <v>15352</v>
      </c>
      <c r="J8062" t="s">
        <v>483</v>
      </c>
    </row>
    <row r="8063" spans="9:10" x14ac:dyDescent="0.3">
      <c r="I8063" t="s">
        <v>15353</v>
      </c>
      <c r="J8063" t="s">
        <v>3304</v>
      </c>
    </row>
    <row r="8064" spans="9:10" x14ac:dyDescent="0.3">
      <c r="I8064" t="s">
        <v>15354</v>
      </c>
      <c r="J8064" t="s">
        <v>3305</v>
      </c>
    </row>
    <row r="8065" spans="9:10" x14ac:dyDescent="0.3">
      <c r="I8065" t="s">
        <v>15355</v>
      </c>
      <c r="J8065" t="s">
        <v>3305</v>
      </c>
    </row>
    <row r="8066" spans="9:10" x14ac:dyDescent="0.3">
      <c r="I8066" t="s">
        <v>15356</v>
      </c>
      <c r="J8066" t="s">
        <v>495</v>
      </c>
    </row>
    <row r="8067" spans="9:10" x14ac:dyDescent="0.3">
      <c r="I8067" t="s">
        <v>15356</v>
      </c>
      <c r="J8067" t="s">
        <v>495</v>
      </c>
    </row>
    <row r="8068" spans="9:10" x14ac:dyDescent="0.3">
      <c r="I8068" t="s">
        <v>15356</v>
      </c>
      <c r="J8068" t="s">
        <v>495</v>
      </c>
    </row>
    <row r="8069" spans="9:10" x14ac:dyDescent="0.3">
      <c r="I8069" t="s">
        <v>15357</v>
      </c>
      <c r="J8069" t="s">
        <v>495</v>
      </c>
    </row>
    <row r="8070" spans="9:10" x14ac:dyDescent="0.3">
      <c r="I8070" t="s">
        <v>15356</v>
      </c>
      <c r="J8070" t="s">
        <v>495</v>
      </c>
    </row>
    <row r="8071" spans="9:10" x14ac:dyDescent="0.3">
      <c r="I8071" t="s">
        <v>15358</v>
      </c>
      <c r="J8071" t="s">
        <v>3306</v>
      </c>
    </row>
    <row r="8072" spans="9:10" x14ac:dyDescent="0.3">
      <c r="I8072" t="s">
        <v>15359</v>
      </c>
      <c r="J8072" t="s">
        <v>3307</v>
      </c>
    </row>
    <row r="8073" spans="9:10" x14ac:dyDescent="0.3">
      <c r="I8073" t="s">
        <v>15360</v>
      </c>
      <c r="J8073" t="s">
        <v>3308</v>
      </c>
    </row>
    <row r="8074" spans="9:10" x14ac:dyDescent="0.3">
      <c r="I8074" t="s">
        <v>15361</v>
      </c>
      <c r="J8074" t="s">
        <v>195</v>
      </c>
    </row>
    <row r="8075" spans="9:10" x14ac:dyDescent="0.3">
      <c r="I8075" t="s">
        <v>15362</v>
      </c>
      <c r="J8075" t="s">
        <v>3309</v>
      </c>
    </row>
    <row r="8076" spans="9:10" x14ac:dyDescent="0.3">
      <c r="I8076" t="s">
        <v>15363</v>
      </c>
      <c r="J8076" t="s">
        <v>277</v>
      </c>
    </row>
    <row r="8077" spans="9:10" x14ac:dyDescent="0.3">
      <c r="I8077" t="s">
        <v>15364</v>
      </c>
      <c r="J8077" t="s">
        <v>277</v>
      </c>
    </row>
    <row r="8078" spans="9:10" x14ac:dyDescent="0.3">
      <c r="I8078" t="s">
        <v>15365</v>
      </c>
      <c r="J8078" t="s">
        <v>3310</v>
      </c>
    </row>
    <row r="8079" spans="9:10" x14ac:dyDescent="0.3">
      <c r="I8079" t="s">
        <v>15366</v>
      </c>
      <c r="J8079" t="s">
        <v>3310</v>
      </c>
    </row>
    <row r="8080" spans="9:10" x14ac:dyDescent="0.3">
      <c r="I8080" t="s">
        <v>15367</v>
      </c>
      <c r="J8080" t="s">
        <v>703</v>
      </c>
    </row>
    <row r="8081" spans="9:10" x14ac:dyDescent="0.3">
      <c r="I8081" t="s">
        <v>15368</v>
      </c>
      <c r="J8081" t="s">
        <v>3311</v>
      </c>
    </row>
    <row r="8082" spans="9:10" x14ac:dyDescent="0.3">
      <c r="I8082" t="s">
        <v>15369</v>
      </c>
      <c r="J8082" t="s">
        <v>3312</v>
      </c>
    </row>
    <row r="8083" spans="9:10" x14ac:dyDescent="0.3">
      <c r="I8083" t="s">
        <v>15370</v>
      </c>
      <c r="J8083" t="s">
        <v>3313</v>
      </c>
    </row>
    <row r="8084" spans="9:10" x14ac:dyDescent="0.3">
      <c r="I8084" t="s">
        <v>15371</v>
      </c>
      <c r="J8084" t="s">
        <v>3314</v>
      </c>
    </row>
    <row r="8085" spans="9:10" x14ac:dyDescent="0.3">
      <c r="I8085" t="s">
        <v>15372</v>
      </c>
      <c r="J8085" t="s">
        <v>188</v>
      </c>
    </row>
    <row r="8086" spans="9:10" x14ac:dyDescent="0.3">
      <c r="I8086" t="s">
        <v>15373</v>
      </c>
      <c r="J8086" t="s">
        <v>244</v>
      </c>
    </row>
    <row r="8087" spans="9:10" x14ac:dyDescent="0.3">
      <c r="I8087" t="s">
        <v>15374</v>
      </c>
      <c r="J8087" t="s">
        <v>244</v>
      </c>
    </row>
    <row r="8088" spans="9:10" x14ac:dyDescent="0.3">
      <c r="I8088" t="s">
        <v>15375</v>
      </c>
      <c r="J8088" t="s">
        <v>435</v>
      </c>
    </row>
    <row r="8089" spans="9:10" x14ac:dyDescent="0.3">
      <c r="I8089" t="s">
        <v>15376</v>
      </c>
      <c r="J8089" t="s">
        <v>435</v>
      </c>
    </row>
    <row r="8090" spans="9:10" x14ac:dyDescent="0.3">
      <c r="I8090" t="s">
        <v>15377</v>
      </c>
      <c r="J8090" t="s">
        <v>3315</v>
      </c>
    </row>
    <row r="8091" spans="9:10" x14ac:dyDescent="0.3">
      <c r="I8091" t="s">
        <v>15378</v>
      </c>
      <c r="J8091" t="s">
        <v>3316</v>
      </c>
    </row>
    <row r="8092" spans="9:10" x14ac:dyDescent="0.3">
      <c r="I8092" t="s">
        <v>15379</v>
      </c>
      <c r="J8092" t="s">
        <v>583</v>
      </c>
    </row>
    <row r="8093" spans="9:10" x14ac:dyDescent="0.3">
      <c r="I8093" t="s">
        <v>15380</v>
      </c>
      <c r="J8093" t="s">
        <v>836</v>
      </c>
    </row>
    <row r="8094" spans="9:10" x14ac:dyDescent="0.3">
      <c r="I8094" t="s">
        <v>15381</v>
      </c>
      <c r="J8094" t="s">
        <v>3317</v>
      </c>
    </row>
    <row r="8095" spans="9:10" x14ac:dyDescent="0.3">
      <c r="I8095" t="s">
        <v>15382</v>
      </c>
      <c r="J8095" t="s">
        <v>628</v>
      </c>
    </row>
    <row r="8096" spans="9:10" x14ac:dyDescent="0.3">
      <c r="I8096" t="s">
        <v>15382</v>
      </c>
      <c r="J8096" t="s">
        <v>628</v>
      </c>
    </row>
    <row r="8097" spans="9:10" x14ac:dyDescent="0.3">
      <c r="I8097" t="s">
        <v>15383</v>
      </c>
      <c r="J8097" t="s">
        <v>628</v>
      </c>
    </row>
    <row r="8098" spans="9:10" x14ac:dyDescent="0.3">
      <c r="I8098" t="s">
        <v>15384</v>
      </c>
      <c r="J8098" t="s">
        <v>3318</v>
      </c>
    </row>
    <row r="8099" spans="9:10" x14ac:dyDescent="0.3">
      <c r="I8099" t="s">
        <v>15385</v>
      </c>
    </row>
    <row r="8100" spans="9:10" x14ac:dyDescent="0.3">
      <c r="I8100" t="s">
        <v>15386</v>
      </c>
      <c r="J8100" t="s">
        <v>3319</v>
      </c>
    </row>
    <row r="8101" spans="9:10" x14ac:dyDescent="0.3">
      <c r="I8101" t="s">
        <v>15386</v>
      </c>
      <c r="J8101" t="s">
        <v>3319</v>
      </c>
    </row>
    <row r="8102" spans="9:10" x14ac:dyDescent="0.3">
      <c r="I8102" t="s">
        <v>15387</v>
      </c>
      <c r="J8102" t="s">
        <v>337</v>
      </c>
    </row>
    <row r="8103" spans="9:10" x14ac:dyDescent="0.3">
      <c r="I8103" t="s">
        <v>15387</v>
      </c>
      <c r="J8103" t="s">
        <v>337</v>
      </c>
    </row>
    <row r="8104" spans="9:10" x14ac:dyDescent="0.3">
      <c r="I8104" t="s">
        <v>15388</v>
      </c>
      <c r="J8104" t="s">
        <v>3320</v>
      </c>
    </row>
    <row r="8105" spans="9:10" x14ac:dyDescent="0.3">
      <c r="I8105" t="s">
        <v>15389</v>
      </c>
      <c r="J8105" t="s">
        <v>3321</v>
      </c>
    </row>
    <row r="8106" spans="9:10" x14ac:dyDescent="0.3">
      <c r="I8106" t="s">
        <v>15390</v>
      </c>
      <c r="J8106" t="s">
        <v>3322</v>
      </c>
    </row>
    <row r="8107" spans="9:10" x14ac:dyDescent="0.3">
      <c r="I8107" t="s">
        <v>15391</v>
      </c>
      <c r="J8107" t="s">
        <v>3323</v>
      </c>
    </row>
    <row r="8108" spans="9:10" x14ac:dyDescent="0.3">
      <c r="I8108" t="s">
        <v>15392</v>
      </c>
      <c r="J8108" t="s">
        <v>931</v>
      </c>
    </row>
    <row r="8109" spans="9:10" x14ac:dyDescent="0.3">
      <c r="I8109" t="s">
        <v>15393</v>
      </c>
      <c r="J8109" t="s">
        <v>3324</v>
      </c>
    </row>
    <row r="8110" spans="9:10" x14ac:dyDescent="0.3">
      <c r="I8110" t="s">
        <v>15394</v>
      </c>
      <c r="J8110" t="s">
        <v>3324</v>
      </c>
    </row>
    <row r="8111" spans="9:10" x14ac:dyDescent="0.3">
      <c r="I8111" t="s">
        <v>15395</v>
      </c>
      <c r="J8111" t="s">
        <v>3324</v>
      </c>
    </row>
    <row r="8112" spans="9:10" x14ac:dyDescent="0.3">
      <c r="I8112" t="s">
        <v>15395</v>
      </c>
      <c r="J8112" t="s">
        <v>3324</v>
      </c>
    </row>
    <row r="8113" spans="9:10" x14ac:dyDescent="0.3">
      <c r="I8113" t="s">
        <v>15396</v>
      </c>
      <c r="J8113" t="s">
        <v>431</v>
      </c>
    </row>
    <row r="8114" spans="9:10" x14ac:dyDescent="0.3">
      <c r="I8114" t="s">
        <v>15397</v>
      </c>
      <c r="J8114" t="s">
        <v>431</v>
      </c>
    </row>
    <row r="8115" spans="9:10" x14ac:dyDescent="0.3">
      <c r="I8115" t="s">
        <v>15398</v>
      </c>
      <c r="J8115" t="s">
        <v>431</v>
      </c>
    </row>
    <row r="8116" spans="9:10" x14ac:dyDescent="0.3">
      <c r="I8116" t="s">
        <v>15396</v>
      </c>
      <c r="J8116" t="s">
        <v>431</v>
      </c>
    </row>
    <row r="8117" spans="9:10" x14ac:dyDescent="0.3">
      <c r="I8117" t="s">
        <v>15399</v>
      </c>
      <c r="J8117" t="s">
        <v>3325</v>
      </c>
    </row>
    <row r="8118" spans="9:10" x14ac:dyDescent="0.3">
      <c r="I8118" t="s">
        <v>15400</v>
      </c>
      <c r="J8118" t="s">
        <v>3325</v>
      </c>
    </row>
    <row r="8119" spans="9:10" x14ac:dyDescent="0.3">
      <c r="I8119" t="s">
        <v>15401</v>
      </c>
      <c r="J8119" t="s">
        <v>3325</v>
      </c>
    </row>
    <row r="8120" spans="9:10" x14ac:dyDescent="0.3">
      <c r="I8120" t="s">
        <v>15402</v>
      </c>
      <c r="J8120" t="s">
        <v>3325</v>
      </c>
    </row>
    <row r="8121" spans="9:10" x14ac:dyDescent="0.3">
      <c r="I8121" t="s">
        <v>15401</v>
      </c>
      <c r="J8121" t="s">
        <v>3325</v>
      </c>
    </row>
    <row r="8122" spans="9:10" x14ac:dyDescent="0.3">
      <c r="I8122" t="s">
        <v>15403</v>
      </c>
      <c r="J8122" t="s">
        <v>522</v>
      </c>
    </row>
    <row r="8123" spans="9:10" x14ac:dyDescent="0.3">
      <c r="I8123" t="s">
        <v>15404</v>
      </c>
      <c r="J8123" t="s">
        <v>339</v>
      </c>
    </row>
    <row r="8124" spans="9:10" x14ac:dyDescent="0.3">
      <c r="I8124" t="s">
        <v>15405</v>
      </c>
      <c r="J8124" t="s">
        <v>3326</v>
      </c>
    </row>
    <row r="8125" spans="9:10" x14ac:dyDescent="0.3">
      <c r="I8125" t="s">
        <v>15406</v>
      </c>
      <c r="J8125" t="s">
        <v>3326</v>
      </c>
    </row>
    <row r="8126" spans="9:10" x14ac:dyDescent="0.3">
      <c r="I8126" t="s">
        <v>15407</v>
      </c>
      <c r="J8126" t="s">
        <v>656</v>
      </c>
    </row>
    <row r="8127" spans="9:10" x14ac:dyDescent="0.3">
      <c r="I8127" t="s">
        <v>15408</v>
      </c>
      <c r="J8127" t="s">
        <v>3327</v>
      </c>
    </row>
    <row r="8128" spans="9:10" x14ac:dyDescent="0.3">
      <c r="I8128" t="s">
        <v>15409</v>
      </c>
      <c r="J8128" t="s">
        <v>694</v>
      </c>
    </row>
    <row r="8129" spans="9:10" x14ac:dyDescent="0.3">
      <c r="I8129" t="s">
        <v>15410</v>
      </c>
      <c r="J8129" t="s">
        <v>694</v>
      </c>
    </row>
    <row r="8130" spans="9:10" x14ac:dyDescent="0.3">
      <c r="I8130" t="s">
        <v>15409</v>
      </c>
      <c r="J8130" t="s">
        <v>694</v>
      </c>
    </row>
    <row r="8131" spans="9:10" x14ac:dyDescent="0.3">
      <c r="I8131" t="s">
        <v>15409</v>
      </c>
      <c r="J8131" t="s">
        <v>694</v>
      </c>
    </row>
    <row r="8132" spans="9:10" x14ac:dyDescent="0.3">
      <c r="I8132" t="s">
        <v>15409</v>
      </c>
      <c r="J8132" t="s">
        <v>694</v>
      </c>
    </row>
    <row r="8133" spans="9:10" x14ac:dyDescent="0.3">
      <c r="I8133" t="s">
        <v>15409</v>
      </c>
      <c r="J8133" t="s">
        <v>694</v>
      </c>
    </row>
    <row r="8134" spans="9:10" x14ac:dyDescent="0.3">
      <c r="I8134" t="s">
        <v>15410</v>
      </c>
      <c r="J8134" t="s">
        <v>694</v>
      </c>
    </row>
    <row r="8135" spans="9:10" x14ac:dyDescent="0.3">
      <c r="I8135" t="s">
        <v>15411</v>
      </c>
      <c r="J8135" t="s">
        <v>694</v>
      </c>
    </row>
    <row r="8136" spans="9:10" x14ac:dyDescent="0.3">
      <c r="I8136" t="s">
        <v>15409</v>
      </c>
      <c r="J8136" t="s">
        <v>694</v>
      </c>
    </row>
    <row r="8137" spans="9:10" x14ac:dyDescent="0.3">
      <c r="I8137" t="s">
        <v>15412</v>
      </c>
      <c r="J8137" t="s">
        <v>694</v>
      </c>
    </row>
    <row r="8138" spans="9:10" x14ac:dyDescent="0.3">
      <c r="I8138" t="s">
        <v>15413</v>
      </c>
      <c r="J8138" t="s">
        <v>694</v>
      </c>
    </row>
    <row r="8139" spans="9:10" x14ac:dyDescent="0.3">
      <c r="I8139" t="s">
        <v>15409</v>
      </c>
      <c r="J8139" t="s">
        <v>694</v>
      </c>
    </row>
    <row r="8140" spans="9:10" x14ac:dyDescent="0.3">
      <c r="I8140" t="s">
        <v>15409</v>
      </c>
      <c r="J8140" t="s">
        <v>694</v>
      </c>
    </row>
    <row r="8141" spans="9:10" x14ac:dyDescent="0.3">
      <c r="I8141" t="s">
        <v>15409</v>
      </c>
      <c r="J8141" t="s">
        <v>694</v>
      </c>
    </row>
    <row r="8142" spans="9:10" x14ac:dyDescent="0.3">
      <c r="I8142" t="s">
        <v>15409</v>
      </c>
      <c r="J8142" t="s">
        <v>694</v>
      </c>
    </row>
    <row r="8143" spans="9:10" x14ac:dyDescent="0.3">
      <c r="I8143" t="s">
        <v>15414</v>
      </c>
      <c r="J8143" t="s">
        <v>558</v>
      </c>
    </row>
    <row r="8144" spans="9:10" x14ac:dyDescent="0.3">
      <c r="I8144" t="s">
        <v>15415</v>
      </c>
      <c r="J8144" t="s">
        <v>558</v>
      </c>
    </row>
    <row r="8145" spans="9:10" x14ac:dyDescent="0.3">
      <c r="I8145" t="s">
        <v>15415</v>
      </c>
      <c r="J8145" t="s">
        <v>558</v>
      </c>
    </row>
    <row r="8146" spans="9:10" x14ac:dyDescent="0.3">
      <c r="I8146" t="s">
        <v>15415</v>
      </c>
      <c r="J8146" t="s">
        <v>558</v>
      </c>
    </row>
    <row r="8147" spans="9:10" x14ac:dyDescent="0.3">
      <c r="I8147" t="s">
        <v>15414</v>
      </c>
      <c r="J8147" t="s">
        <v>558</v>
      </c>
    </row>
    <row r="8148" spans="9:10" x14ac:dyDescent="0.3">
      <c r="I8148" t="s">
        <v>15415</v>
      </c>
      <c r="J8148" t="s">
        <v>558</v>
      </c>
    </row>
    <row r="8149" spans="9:10" x14ac:dyDescent="0.3">
      <c r="I8149" t="s">
        <v>15416</v>
      </c>
      <c r="J8149" t="s">
        <v>558</v>
      </c>
    </row>
    <row r="8150" spans="9:10" x14ac:dyDescent="0.3">
      <c r="I8150" t="s">
        <v>15415</v>
      </c>
      <c r="J8150" t="s">
        <v>558</v>
      </c>
    </row>
    <row r="8151" spans="9:10" x14ac:dyDescent="0.3">
      <c r="I8151" t="s">
        <v>15417</v>
      </c>
      <c r="J8151" t="s">
        <v>875</v>
      </c>
    </row>
    <row r="8152" spans="9:10" x14ac:dyDescent="0.3">
      <c r="I8152" t="s">
        <v>15418</v>
      </c>
      <c r="J8152" t="s">
        <v>875</v>
      </c>
    </row>
    <row r="8153" spans="9:10" x14ac:dyDescent="0.3">
      <c r="I8153" t="s">
        <v>15417</v>
      </c>
      <c r="J8153" t="s">
        <v>875</v>
      </c>
    </row>
    <row r="8154" spans="9:10" x14ac:dyDescent="0.3">
      <c r="I8154" t="s">
        <v>15419</v>
      </c>
      <c r="J8154" t="s">
        <v>875</v>
      </c>
    </row>
    <row r="8155" spans="9:10" x14ac:dyDescent="0.3">
      <c r="I8155" t="s">
        <v>15419</v>
      </c>
      <c r="J8155" t="s">
        <v>875</v>
      </c>
    </row>
    <row r="8156" spans="9:10" x14ac:dyDescent="0.3">
      <c r="I8156" t="s">
        <v>15420</v>
      </c>
      <c r="J8156" t="s">
        <v>875</v>
      </c>
    </row>
    <row r="8157" spans="9:10" x14ac:dyDescent="0.3">
      <c r="I8157" t="s">
        <v>15421</v>
      </c>
      <c r="J8157" t="s">
        <v>3328</v>
      </c>
    </row>
    <row r="8158" spans="9:10" x14ac:dyDescent="0.3">
      <c r="I8158" t="s">
        <v>15422</v>
      </c>
      <c r="J8158" t="s">
        <v>3328</v>
      </c>
    </row>
    <row r="8159" spans="9:10" x14ac:dyDescent="0.3">
      <c r="I8159" t="s">
        <v>15423</v>
      </c>
      <c r="J8159" t="s">
        <v>3328</v>
      </c>
    </row>
    <row r="8160" spans="9:10" x14ac:dyDescent="0.3">
      <c r="I8160" t="s">
        <v>15424</v>
      </c>
      <c r="J8160" t="s">
        <v>3328</v>
      </c>
    </row>
    <row r="8161" spans="9:10" x14ac:dyDescent="0.3">
      <c r="I8161" t="s">
        <v>15425</v>
      </c>
      <c r="J8161" t="s">
        <v>255</v>
      </c>
    </row>
    <row r="8162" spans="9:10" x14ac:dyDescent="0.3">
      <c r="I8162" t="s">
        <v>15425</v>
      </c>
      <c r="J8162" t="s">
        <v>255</v>
      </c>
    </row>
    <row r="8163" spans="9:10" x14ac:dyDescent="0.3">
      <c r="I8163" t="s">
        <v>15425</v>
      </c>
      <c r="J8163" t="s">
        <v>255</v>
      </c>
    </row>
    <row r="8164" spans="9:10" x14ac:dyDescent="0.3">
      <c r="I8164" t="s">
        <v>15425</v>
      </c>
      <c r="J8164" t="s">
        <v>255</v>
      </c>
    </row>
    <row r="8165" spans="9:10" x14ac:dyDescent="0.3">
      <c r="I8165" t="s">
        <v>15425</v>
      </c>
      <c r="J8165" t="s">
        <v>255</v>
      </c>
    </row>
    <row r="8166" spans="9:10" x14ac:dyDescent="0.3">
      <c r="I8166" t="s">
        <v>15426</v>
      </c>
      <c r="J8166" t="s">
        <v>255</v>
      </c>
    </row>
    <row r="8167" spans="9:10" x14ac:dyDescent="0.3">
      <c r="I8167" t="s">
        <v>15427</v>
      </c>
      <c r="J8167" t="s">
        <v>507</v>
      </c>
    </row>
    <row r="8168" spans="9:10" x14ac:dyDescent="0.3">
      <c r="I8168" t="s">
        <v>15428</v>
      </c>
      <c r="J8168" t="s">
        <v>367</v>
      </c>
    </row>
    <row r="8169" spans="9:10" x14ac:dyDescent="0.3">
      <c r="I8169" t="s">
        <v>15428</v>
      </c>
      <c r="J8169" t="s">
        <v>367</v>
      </c>
    </row>
    <row r="8170" spans="9:10" x14ac:dyDescent="0.3">
      <c r="I8170" t="s">
        <v>15428</v>
      </c>
      <c r="J8170" t="s">
        <v>367</v>
      </c>
    </row>
    <row r="8171" spans="9:10" x14ac:dyDescent="0.3">
      <c r="I8171" t="s">
        <v>15428</v>
      </c>
      <c r="J8171" t="s">
        <v>367</v>
      </c>
    </row>
    <row r="8172" spans="9:10" x14ac:dyDescent="0.3">
      <c r="I8172" t="s">
        <v>15428</v>
      </c>
      <c r="J8172" t="s">
        <v>367</v>
      </c>
    </row>
    <row r="8173" spans="9:10" x14ac:dyDescent="0.3">
      <c r="I8173" t="s">
        <v>15429</v>
      </c>
      <c r="J8173" t="s">
        <v>367</v>
      </c>
    </row>
    <row r="8174" spans="9:10" x14ac:dyDescent="0.3">
      <c r="I8174" t="s">
        <v>15428</v>
      </c>
      <c r="J8174" t="s">
        <v>367</v>
      </c>
    </row>
    <row r="8175" spans="9:10" x14ac:dyDescent="0.3">
      <c r="I8175" t="s">
        <v>15430</v>
      </c>
      <c r="J8175" t="s">
        <v>246</v>
      </c>
    </row>
    <row r="8176" spans="9:10" x14ac:dyDescent="0.3">
      <c r="I8176" t="s">
        <v>15431</v>
      </c>
      <c r="J8176" t="s">
        <v>246</v>
      </c>
    </row>
    <row r="8177" spans="9:10" x14ac:dyDescent="0.3">
      <c r="I8177" t="s">
        <v>15432</v>
      </c>
      <c r="J8177" t="s">
        <v>246</v>
      </c>
    </row>
    <row r="8178" spans="9:10" x14ac:dyDescent="0.3">
      <c r="I8178" t="s">
        <v>15433</v>
      </c>
      <c r="J8178" t="s">
        <v>246</v>
      </c>
    </row>
    <row r="8179" spans="9:10" x14ac:dyDescent="0.3">
      <c r="I8179" t="s">
        <v>15434</v>
      </c>
      <c r="J8179" t="s">
        <v>246</v>
      </c>
    </row>
    <row r="8180" spans="9:10" x14ac:dyDescent="0.3">
      <c r="I8180" t="s">
        <v>15435</v>
      </c>
      <c r="J8180" t="s">
        <v>246</v>
      </c>
    </row>
    <row r="8181" spans="9:10" x14ac:dyDescent="0.3">
      <c r="I8181" t="s">
        <v>15435</v>
      </c>
      <c r="J8181" t="s">
        <v>246</v>
      </c>
    </row>
    <row r="8182" spans="9:10" x14ac:dyDescent="0.3">
      <c r="I8182" t="s">
        <v>15435</v>
      </c>
      <c r="J8182" t="s">
        <v>246</v>
      </c>
    </row>
    <row r="8183" spans="9:10" x14ac:dyDescent="0.3">
      <c r="I8183" t="s">
        <v>247</v>
      </c>
      <c r="J8183" t="s">
        <v>246</v>
      </c>
    </row>
    <row r="8184" spans="9:10" x14ac:dyDescent="0.3">
      <c r="I8184" t="s">
        <v>15435</v>
      </c>
      <c r="J8184" t="s">
        <v>246</v>
      </c>
    </row>
    <row r="8185" spans="9:10" x14ac:dyDescent="0.3">
      <c r="I8185" t="s">
        <v>15435</v>
      </c>
      <c r="J8185" t="s">
        <v>246</v>
      </c>
    </row>
    <row r="8186" spans="9:10" x14ac:dyDescent="0.3">
      <c r="I8186" t="s">
        <v>247</v>
      </c>
      <c r="J8186" t="s">
        <v>246</v>
      </c>
    </row>
    <row r="8187" spans="9:10" x14ac:dyDescent="0.3">
      <c r="I8187" t="s">
        <v>15435</v>
      </c>
      <c r="J8187" t="s">
        <v>246</v>
      </c>
    </row>
    <row r="8188" spans="9:10" x14ac:dyDescent="0.3">
      <c r="I8188" t="s">
        <v>15435</v>
      </c>
      <c r="J8188" t="s">
        <v>246</v>
      </c>
    </row>
    <row r="8189" spans="9:10" x14ac:dyDescent="0.3">
      <c r="I8189" t="s">
        <v>15435</v>
      </c>
      <c r="J8189" t="s">
        <v>246</v>
      </c>
    </row>
    <row r="8190" spans="9:10" x14ac:dyDescent="0.3">
      <c r="I8190" t="s">
        <v>15435</v>
      </c>
      <c r="J8190" t="s">
        <v>246</v>
      </c>
    </row>
    <row r="8191" spans="9:10" x14ac:dyDescent="0.3">
      <c r="I8191" t="s">
        <v>15435</v>
      </c>
      <c r="J8191" t="s">
        <v>246</v>
      </c>
    </row>
    <row r="8192" spans="9:10" x14ac:dyDescent="0.3">
      <c r="I8192" t="s">
        <v>247</v>
      </c>
      <c r="J8192" t="s">
        <v>246</v>
      </c>
    </row>
    <row r="8193" spans="9:10" x14ac:dyDescent="0.3">
      <c r="I8193" t="s">
        <v>15436</v>
      </c>
      <c r="J8193" t="s">
        <v>246</v>
      </c>
    </row>
    <row r="8194" spans="9:10" x14ac:dyDescent="0.3">
      <c r="I8194" t="s">
        <v>15437</v>
      </c>
      <c r="J8194" t="s">
        <v>246</v>
      </c>
    </row>
    <row r="8195" spans="9:10" x14ac:dyDescent="0.3">
      <c r="I8195" t="s">
        <v>15438</v>
      </c>
      <c r="J8195" t="s">
        <v>246</v>
      </c>
    </row>
    <row r="8196" spans="9:10" x14ac:dyDescent="0.3">
      <c r="I8196" t="s">
        <v>15439</v>
      </c>
      <c r="J8196" t="s">
        <v>246</v>
      </c>
    </row>
    <row r="8197" spans="9:10" x14ac:dyDescent="0.3">
      <c r="I8197" t="s">
        <v>15440</v>
      </c>
      <c r="J8197" t="s">
        <v>246</v>
      </c>
    </row>
    <row r="8198" spans="9:10" x14ac:dyDescent="0.3">
      <c r="I8198" t="s">
        <v>15441</v>
      </c>
      <c r="J8198" t="s">
        <v>246</v>
      </c>
    </row>
    <row r="8199" spans="9:10" x14ac:dyDescent="0.3">
      <c r="I8199" t="s">
        <v>15442</v>
      </c>
      <c r="J8199" t="s">
        <v>246</v>
      </c>
    </row>
    <row r="8200" spans="9:10" x14ac:dyDescent="0.3">
      <c r="I8200" t="s">
        <v>15443</v>
      </c>
      <c r="J8200" t="s">
        <v>246</v>
      </c>
    </row>
    <row r="8201" spans="9:10" x14ac:dyDescent="0.3">
      <c r="I8201" t="s">
        <v>15435</v>
      </c>
      <c r="J8201" t="s">
        <v>246</v>
      </c>
    </row>
    <row r="8202" spans="9:10" x14ac:dyDescent="0.3">
      <c r="I8202" t="s">
        <v>15444</v>
      </c>
      <c r="J8202" t="s">
        <v>246</v>
      </c>
    </row>
    <row r="8203" spans="9:10" x14ac:dyDescent="0.3">
      <c r="I8203" t="s">
        <v>15445</v>
      </c>
      <c r="J8203" t="s">
        <v>246</v>
      </c>
    </row>
    <row r="8204" spans="9:10" x14ac:dyDescent="0.3">
      <c r="I8204" t="s">
        <v>15435</v>
      </c>
      <c r="J8204" t="s">
        <v>246</v>
      </c>
    </row>
    <row r="8205" spans="9:10" x14ac:dyDescent="0.3">
      <c r="I8205" t="s">
        <v>15435</v>
      </c>
      <c r="J8205" t="s">
        <v>246</v>
      </c>
    </row>
    <row r="8206" spans="9:10" x14ac:dyDescent="0.3">
      <c r="I8206" t="s">
        <v>15435</v>
      </c>
      <c r="J8206" t="s">
        <v>246</v>
      </c>
    </row>
    <row r="8207" spans="9:10" x14ac:dyDescent="0.3">
      <c r="I8207" t="s">
        <v>15435</v>
      </c>
      <c r="J8207" t="s">
        <v>246</v>
      </c>
    </row>
    <row r="8208" spans="9:10" x14ac:dyDescent="0.3">
      <c r="I8208" t="s">
        <v>15435</v>
      </c>
      <c r="J8208" t="s">
        <v>246</v>
      </c>
    </row>
    <row r="8209" spans="9:10" x14ac:dyDescent="0.3">
      <c r="I8209" t="s">
        <v>15435</v>
      </c>
      <c r="J8209" t="s">
        <v>246</v>
      </c>
    </row>
    <row r="8210" spans="9:10" x14ac:dyDescent="0.3">
      <c r="I8210" t="s">
        <v>15435</v>
      </c>
      <c r="J8210" t="s">
        <v>246</v>
      </c>
    </row>
    <row r="8211" spans="9:10" x14ac:dyDescent="0.3">
      <c r="I8211" t="s">
        <v>15435</v>
      </c>
      <c r="J8211" t="s">
        <v>246</v>
      </c>
    </row>
    <row r="8212" spans="9:10" x14ac:dyDescent="0.3">
      <c r="I8212" t="s">
        <v>15435</v>
      </c>
      <c r="J8212" t="s">
        <v>246</v>
      </c>
    </row>
    <row r="8213" spans="9:10" x14ac:dyDescent="0.3">
      <c r="I8213" t="s">
        <v>15435</v>
      </c>
      <c r="J8213" t="s">
        <v>246</v>
      </c>
    </row>
    <row r="8214" spans="9:10" x14ac:dyDescent="0.3">
      <c r="I8214" t="s">
        <v>15435</v>
      </c>
      <c r="J8214" t="s">
        <v>246</v>
      </c>
    </row>
    <row r="8215" spans="9:10" x14ac:dyDescent="0.3">
      <c r="I8215" t="s">
        <v>15435</v>
      </c>
      <c r="J8215" t="s">
        <v>246</v>
      </c>
    </row>
    <row r="8216" spans="9:10" x14ac:dyDescent="0.3">
      <c r="I8216" t="s">
        <v>15435</v>
      </c>
      <c r="J8216" t="s">
        <v>246</v>
      </c>
    </row>
    <row r="8217" spans="9:10" x14ac:dyDescent="0.3">
      <c r="I8217" t="s">
        <v>15435</v>
      </c>
      <c r="J8217" t="s">
        <v>246</v>
      </c>
    </row>
    <row r="8218" spans="9:10" x14ac:dyDescent="0.3">
      <c r="I8218" t="s">
        <v>15435</v>
      </c>
      <c r="J8218" t="s">
        <v>246</v>
      </c>
    </row>
    <row r="8219" spans="9:10" x14ac:dyDescent="0.3">
      <c r="I8219" t="s">
        <v>15435</v>
      </c>
      <c r="J8219" t="s">
        <v>246</v>
      </c>
    </row>
    <row r="8220" spans="9:10" x14ac:dyDescent="0.3">
      <c r="I8220" t="s">
        <v>15435</v>
      </c>
      <c r="J8220" t="s">
        <v>246</v>
      </c>
    </row>
    <row r="8221" spans="9:10" x14ac:dyDescent="0.3">
      <c r="I8221" t="s">
        <v>15435</v>
      </c>
      <c r="J8221" t="s">
        <v>246</v>
      </c>
    </row>
    <row r="8222" spans="9:10" x14ac:dyDescent="0.3">
      <c r="I8222" t="s">
        <v>15435</v>
      </c>
      <c r="J8222" t="s">
        <v>246</v>
      </c>
    </row>
    <row r="8223" spans="9:10" x14ac:dyDescent="0.3">
      <c r="I8223" t="s">
        <v>15435</v>
      </c>
      <c r="J8223" t="s">
        <v>246</v>
      </c>
    </row>
    <row r="8224" spans="9:10" x14ac:dyDescent="0.3">
      <c r="I8224" t="s">
        <v>15435</v>
      </c>
      <c r="J8224" t="s">
        <v>246</v>
      </c>
    </row>
    <row r="8225" spans="9:10" x14ac:dyDescent="0.3">
      <c r="I8225" t="s">
        <v>15435</v>
      </c>
      <c r="J8225" t="s">
        <v>246</v>
      </c>
    </row>
    <row r="8226" spans="9:10" x14ac:dyDescent="0.3">
      <c r="I8226" t="s">
        <v>15435</v>
      </c>
      <c r="J8226" t="s">
        <v>246</v>
      </c>
    </row>
    <row r="8227" spans="9:10" x14ac:dyDescent="0.3">
      <c r="I8227" t="s">
        <v>15446</v>
      </c>
      <c r="J8227" t="s">
        <v>246</v>
      </c>
    </row>
    <row r="8228" spans="9:10" x14ac:dyDescent="0.3">
      <c r="I8228" t="s">
        <v>247</v>
      </c>
      <c r="J8228" t="s">
        <v>246</v>
      </c>
    </row>
    <row r="8229" spans="9:10" x14ac:dyDescent="0.3">
      <c r="I8229" t="s">
        <v>15447</v>
      </c>
      <c r="J8229" t="s">
        <v>246</v>
      </c>
    </row>
    <row r="8230" spans="9:10" x14ac:dyDescent="0.3">
      <c r="I8230" t="s">
        <v>15448</v>
      </c>
      <c r="J8230" t="s">
        <v>246</v>
      </c>
    </row>
    <row r="8231" spans="9:10" x14ac:dyDescent="0.3">
      <c r="I8231" t="s">
        <v>15449</v>
      </c>
      <c r="J8231" t="s">
        <v>246</v>
      </c>
    </row>
    <row r="8232" spans="9:10" x14ac:dyDescent="0.3">
      <c r="I8232" t="s">
        <v>15450</v>
      </c>
      <c r="J8232" t="s">
        <v>246</v>
      </c>
    </row>
    <row r="8233" spans="9:10" x14ac:dyDescent="0.3">
      <c r="I8233" t="s">
        <v>15451</v>
      </c>
      <c r="J8233" t="s">
        <v>246</v>
      </c>
    </row>
    <row r="8234" spans="9:10" x14ac:dyDescent="0.3">
      <c r="I8234" t="s">
        <v>15452</v>
      </c>
      <c r="J8234" t="s">
        <v>246</v>
      </c>
    </row>
    <row r="8235" spans="9:10" x14ac:dyDescent="0.3">
      <c r="I8235" t="s">
        <v>15453</v>
      </c>
      <c r="J8235" t="s">
        <v>246</v>
      </c>
    </row>
    <row r="8236" spans="9:10" x14ac:dyDescent="0.3">
      <c r="I8236" t="s">
        <v>15435</v>
      </c>
      <c r="J8236" t="s">
        <v>246</v>
      </c>
    </row>
    <row r="8237" spans="9:10" x14ac:dyDescent="0.3">
      <c r="I8237" t="s">
        <v>15435</v>
      </c>
      <c r="J8237" t="s">
        <v>246</v>
      </c>
    </row>
    <row r="8238" spans="9:10" x14ac:dyDescent="0.3">
      <c r="I8238" t="s">
        <v>15454</v>
      </c>
      <c r="J8238" t="s">
        <v>246</v>
      </c>
    </row>
    <row r="8239" spans="9:10" x14ac:dyDescent="0.3">
      <c r="I8239" t="s">
        <v>15435</v>
      </c>
      <c r="J8239" t="s">
        <v>246</v>
      </c>
    </row>
    <row r="8240" spans="9:10" x14ac:dyDescent="0.3">
      <c r="I8240" t="s">
        <v>15455</v>
      </c>
      <c r="J8240" t="s">
        <v>246</v>
      </c>
    </row>
    <row r="8241" spans="9:10" x14ac:dyDescent="0.3">
      <c r="I8241" t="s">
        <v>15435</v>
      </c>
      <c r="J8241" t="s">
        <v>246</v>
      </c>
    </row>
    <row r="8242" spans="9:10" x14ac:dyDescent="0.3">
      <c r="I8242" t="s">
        <v>15447</v>
      </c>
      <c r="J8242" t="s">
        <v>246</v>
      </c>
    </row>
    <row r="8243" spans="9:10" x14ac:dyDescent="0.3">
      <c r="I8243" t="s">
        <v>247</v>
      </c>
      <c r="J8243" t="s">
        <v>246</v>
      </c>
    </row>
    <row r="8244" spans="9:10" x14ac:dyDescent="0.3">
      <c r="I8244" t="s">
        <v>15435</v>
      </c>
      <c r="J8244" t="s">
        <v>246</v>
      </c>
    </row>
    <row r="8245" spans="9:10" x14ac:dyDescent="0.3">
      <c r="I8245" t="s">
        <v>15436</v>
      </c>
      <c r="J8245" t="s">
        <v>246</v>
      </c>
    </row>
    <row r="8246" spans="9:10" x14ac:dyDescent="0.3">
      <c r="I8246" t="s">
        <v>15455</v>
      </c>
      <c r="J8246" t="s">
        <v>246</v>
      </c>
    </row>
    <row r="8247" spans="9:10" x14ac:dyDescent="0.3">
      <c r="I8247" t="s">
        <v>15435</v>
      </c>
      <c r="J8247" t="s">
        <v>246</v>
      </c>
    </row>
    <row r="8248" spans="9:10" x14ac:dyDescent="0.3">
      <c r="I8248" t="s">
        <v>15456</v>
      </c>
      <c r="J8248" t="s">
        <v>246</v>
      </c>
    </row>
    <row r="8249" spans="9:10" x14ac:dyDescent="0.3">
      <c r="I8249" t="s">
        <v>15456</v>
      </c>
      <c r="J8249" t="s">
        <v>246</v>
      </c>
    </row>
    <row r="8250" spans="9:10" x14ac:dyDescent="0.3">
      <c r="I8250" t="s">
        <v>15456</v>
      </c>
      <c r="J8250" t="s">
        <v>246</v>
      </c>
    </row>
    <row r="8251" spans="9:10" x14ac:dyDescent="0.3">
      <c r="I8251" t="s">
        <v>15456</v>
      </c>
      <c r="J8251" t="s">
        <v>246</v>
      </c>
    </row>
    <row r="8252" spans="9:10" x14ac:dyDescent="0.3">
      <c r="I8252" t="s">
        <v>15456</v>
      </c>
      <c r="J8252" t="s">
        <v>246</v>
      </c>
    </row>
    <row r="8253" spans="9:10" x14ac:dyDescent="0.3">
      <c r="I8253" t="s">
        <v>15435</v>
      </c>
      <c r="J8253" t="s">
        <v>246</v>
      </c>
    </row>
    <row r="8254" spans="9:10" x14ac:dyDescent="0.3">
      <c r="I8254" t="s">
        <v>15455</v>
      </c>
      <c r="J8254" t="s">
        <v>246</v>
      </c>
    </row>
    <row r="8255" spans="9:10" x14ac:dyDescent="0.3">
      <c r="I8255" t="s">
        <v>15456</v>
      </c>
      <c r="J8255" t="s">
        <v>246</v>
      </c>
    </row>
    <row r="8256" spans="9:10" x14ac:dyDescent="0.3">
      <c r="I8256" t="s">
        <v>15457</v>
      </c>
      <c r="J8256" t="s">
        <v>246</v>
      </c>
    </row>
    <row r="8257" spans="9:10" x14ac:dyDescent="0.3">
      <c r="I8257" t="s">
        <v>15455</v>
      </c>
      <c r="J8257" t="s">
        <v>246</v>
      </c>
    </row>
    <row r="8258" spans="9:10" x14ac:dyDescent="0.3">
      <c r="I8258" t="s">
        <v>15458</v>
      </c>
      <c r="J8258" t="s">
        <v>246</v>
      </c>
    </row>
    <row r="8259" spans="9:10" x14ac:dyDescent="0.3">
      <c r="I8259" t="s">
        <v>15435</v>
      </c>
      <c r="J8259" t="s">
        <v>246</v>
      </c>
    </row>
    <row r="8260" spans="9:10" x14ac:dyDescent="0.3">
      <c r="I8260" t="s">
        <v>15459</v>
      </c>
      <c r="J8260" t="s">
        <v>246</v>
      </c>
    </row>
    <row r="8261" spans="9:10" x14ac:dyDescent="0.3">
      <c r="I8261" t="s">
        <v>15460</v>
      </c>
      <c r="J8261" t="s">
        <v>481</v>
      </c>
    </row>
    <row r="8262" spans="9:10" x14ac:dyDescent="0.3">
      <c r="I8262" t="s">
        <v>15461</v>
      </c>
      <c r="J8262" t="s">
        <v>481</v>
      </c>
    </row>
    <row r="8263" spans="9:10" x14ac:dyDescent="0.3">
      <c r="I8263" t="s">
        <v>15462</v>
      </c>
      <c r="J8263" t="s">
        <v>481</v>
      </c>
    </row>
    <row r="8264" spans="9:10" x14ac:dyDescent="0.3">
      <c r="I8264" t="s">
        <v>15463</v>
      </c>
      <c r="J8264" t="s">
        <v>481</v>
      </c>
    </row>
    <row r="8265" spans="9:10" x14ac:dyDescent="0.3">
      <c r="I8265" t="s">
        <v>15464</v>
      </c>
      <c r="J8265" t="s">
        <v>481</v>
      </c>
    </row>
    <row r="8266" spans="9:10" x14ac:dyDescent="0.3">
      <c r="I8266" t="s">
        <v>15464</v>
      </c>
      <c r="J8266" t="s">
        <v>481</v>
      </c>
    </row>
    <row r="8267" spans="9:10" x14ac:dyDescent="0.3">
      <c r="I8267" t="s">
        <v>15465</v>
      </c>
      <c r="J8267" t="s">
        <v>189</v>
      </c>
    </row>
    <row r="8268" spans="9:10" x14ac:dyDescent="0.3">
      <c r="I8268" t="s">
        <v>15466</v>
      </c>
      <c r="J8268" t="s">
        <v>189</v>
      </c>
    </row>
    <row r="8269" spans="9:10" x14ac:dyDescent="0.3">
      <c r="I8269" t="s">
        <v>15467</v>
      </c>
      <c r="J8269" t="s">
        <v>229</v>
      </c>
    </row>
    <row r="8270" spans="9:10" x14ac:dyDescent="0.3">
      <c r="I8270" t="s">
        <v>15468</v>
      </c>
      <c r="J8270" t="s">
        <v>229</v>
      </c>
    </row>
    <row r="8271" spans="9:10" x14ac:dyDescent="0.3">
      <c r="I8271" t="s">
        <v>15469</v>
      </c>
      <c r="J8271" t="s">
        <v>725</v>
      </c>
    </row>
    <row r="8272" spans="9:10" x14ac:dyDescent="0.3">
      <c r="I8272" t="s">
        <v>15470</v>
      </c>
      <c r="J8272" t="s">
        <v>725</v>
      </c>
    </row>
    <row r="8273" spans="9:10" x14ac:dyDescent="0.3">
      <c r="I8273" t="s">
        <v>15469</v>
      </c>
      <c r="J8273" t="s">
        <v>725</v>
      </c>
    </row>
    <row r="8274" spans="9:10" x14ac:dyDescent="0.3">
      <c r="I8274" t="s">
        <v>15469</v>
      </c>
      <c r="J8274" t="s">
        <v>725</v>
      </c>
    </row>
    <row r="8275" spans="9:10" x14ac:dyDescent="0.3">
      <c r="I8275" t="s">
        <v>15471</v>
      </c>
      <c r="J8275" t="s">
        <v>725</v>
      </c>
    </row>
    <row r="8276" spans="9:10" x14ac:dyDescent="0.3">
      <c r="I8276" t="s">
        <v>15469</v>
      </c>
      <c r="J8276" t="s">
        <v>725</v>
      </c>
    </row>
    <row r="8277" spans="9:10" x14ac:dyDescent="0.3">
      <c r="I8277" t="s">
        <v>15469</v>
      </c>
      <c r="J8277" t="s">
        <v>725</v>
      </c>
    </row>
    <row r="8278" spans="9:10" x14ac:dyDescent="0.3">
      <c r="I8278" t="s">
        <v>15472</v>
      </c>
      <c r="J8278" t="s">
        <v>725</v>
      </c>
    </row>
    <row r="8279" spans="9:10" x14ac:dyDescent="0.3">
      <c r="I8279" t="s">
        <v>15472</v>
      </c>
      <c r="J8279" t="s">
        <v>725</v>
      </c>
    </row>
    <row r="8280" spans="9:10" x14ac:dyDescent="0.3">
      <c r="I8280" t="s">
        <v>15472</v>
      </c>
      <c r="J8280" t="s">
        <v>725</v>
      </c>
    </row>
    <row r="8281" spans="9:10" x14ac:dyDescent="0.3">
      <c r="I8281" t="s">
        <v>15472</v>
      </c>
      <c r="J8281" t="s">
        <v>725</v>
      </c>
    </row>
    <row r="8282" spans="9:10" x14ac:dyDescent="0.3">
      <c r="I8282" t="s">
        <v>15472</v>
      </c>
      <c r="J8282" t="s">
        <v>725</v>
      </c>
    </row>
    <row r="8283" spans="9:10" x14ac:dyDescent="0.3">
      <c r="I8283" t="s">
        <v>15472</v>
      </c>
      <c r="J8283" t="s">
        <v>725</v>
      </c>
    </row>
    <row r="8284" spans="9:10" x14ac:dyDescent="0.3">
      <c r="I8284" t="s">
        <v>15472</v>
      </c>
      <c r="J8284" t="s">
        <v>725</v>
      </c>
    </row>
    <row r="8285" spans="9:10" x14ac:dyDescent="0.3">
      <c r="I8285" t="s">
        <v>15472</v>
      </c>
      <c r="J8285" t="s">
        <v>725</v>
      </c>
    </row>
    <row r="8286" spans="9:10" x14ac:dyDescent="0.3">
      <c r="I8286" t="s">
        <v>15472</v>
      </c>
      <c r="J8286" t="s">
        <v>725</v>
      </c>
    </row>
    <row r="8287" spans="9:10" x14ac:dyDescent="0.3">
      <c r="I8287" t="s">
        <v>724</v>
      </c>
      <c r="J8287" t="s">
        <v>725</v>
      </c>
    </row>
    <row r="8288" spans="9:10" x14ac:dyDescent="0.3">
      <c r="I8288" t="s">
        <v>15469</v>
      </c>
      <c r="J8288" t="s">
        <v>725</v>
      </c>
    </row>
    <row r="8289" spans="9:10" x14ac:dyDescent="0.3">
      <c r="I8289" t="s">
        <v>15472</v>
      </c>
      <c r="J8289" t="s">
        <v>725</v>
      </c>
    </row>
    <row r="8290" spans="9:10" x14ac:dyDescent="0.3">
      <c r="I8290" t="s">
        <v>15472</v>
      </c>
      <c r="J8290" t="s">
        <v>725</v>
      </c>
    </row>
    <row r="8291" spans="9:10" x14ac:dyDescent="0.3">
      <c r="I8291" t="s">
        <v>15469</v>
      </c>
      <c r="J8291" t="s">
        <v>725</v>
      </c>
    </row>
    <row r="8292" spans="9:10" x14ac:dyDescent="0.3">
      <c r="I8292" t="s">
        <v>15472</v>
      </c>
      <c r="J8292" t="s">
        <v>725</v>
      </c>
    </row>
    <row r="8293" spans="9:10" x14ac:dyDescent="0.3">
      <c r="I8293" t="s">
        <v>15472</v>
      </c>
      <c r="J8293" t="s">
        <v>725</v>
      </c>
    </row>
    <row r="8294" spans="9:10" x14ac:dyDescent="0.3">
      <c r="I8294" t="s">
        <v>724</v>
      </c>
      <c r="J8294" t="s">
        <v>725</v>
      </c>
    </row>
    <row r="8295" spans="9:10" x14ac:dyDescent="0.3">
      <c r="I8295" t="s">
        <v>724</v>
      </c>
      <c r="J8295" t="s">
        <v>725</v>
      </c>
    </row>
    <row r="8296" spans="9:10" x14ac:dyDescent="0.3">
      <c r="I8296" t="s">
        <v>15469</v>
      </c>
      <c r="J8296" t="s">
        <v>725</v>
      </c>
    </row>
    <row r="8297" spans="9:10" x14ac:dyDescent="0.3">
      <c r="I8297" t="s">
        <v>15469</v>
      </c>
      <c r="J8297" t="s">
        <v>725</v>
      </c>
    </row>
    <row r="8298" spans="9:10" x14ac:dyDescent="0.3">
      <c r="I8298" t="s">
        <v>15469</v>
      </c>
      <c r="J8298" t="s">
        <v>725</v>
      </c>
    </row>
    <row r="8299" spans="9:10" x14ac:dyDescent="0.3">
      <c r="I8299" t="s">
        <v>15469</v>
      </c>
      <c r="J8299" t="s">
        <v>725</v>
      </c>
    </row>
    <row r="8300" spans="9:10" x14ac:dyDescent="0.3">
      <c r="I8300" t="s">
        <v>15473</v>
      </c>
      <c r="J8300" t="s">
        <v>682</v>
      </c>
    </row>
    <row r="8301" spans="9:10" x14ac:dyDescent="0.3">
      <c r="I8301" t="s">
        <v>15474</v>
      </c>
      <c r="J8301" t="s">
        <v>3329</v>
      </c>
    </row>
    <row r="8302" spans="9:10" x14ac:dyDescent="0.3">
      <c r="I8302" t="s">
        <v>15475</v>
      </c>
      <c r="J8302" t="s">
        <v>3330</v>
      </c>
    </row>
    <row r="8303" spans="9:10" x14ac:dyDescent="0.3">
      <c r="I8303" t="s">
        <v>15476</v>
      </c>
      <c r="J8303" t="s">
        <v>734</v>
      </c>
    </row>
    <row r="8304" spans="9:10" x14ac:dyDescent="0.3">
      <c r="I8304" t="s">
        <v>15477</v>
      </c>
      <c r="J8304" t="s">
        <v>734</v>
      </c>
    </row>
    <row r="8305" spans="9:10" x14ac:dyDescent="0.3">
      <c r="I8305" t="s">
        <v>15478</v>
      </c>
      <c r="J8305" t="s">
        <v>3331</v>
      </c>
    </row>
    <row r="8306" spans="9:10" x14ac:dyDescent="0.3">
      <c r="I8306" t="s">
        <v>15479</v>
      </c>
      <c r="J8306" t="s">
        <v>3332</v>
      </c>
    </row>
    <row r="8307" spans="9:10" x14ac:dyDescent="0.3">
      <c r="I8307" t="s">
        <v>15480</v>
      </c>
      <c r="J8307" t="s">
        <v>3332</v>
      </c>
    </row>
    <row r="8308" spans="9:10" x14ac:dyDescent="0.3">
      <c r="I8308" t="s">
        <v>15479</v>
      </c>
      <c r="J8308" t="s">
        <v>3332</v>
      </c>
    </row>
    <row r="8309" spans="9:10" x14ac:dyDescent="0.3">
      <c r="I8309" t="s">
        <v>15479</v>
      </c>
      <c r="J8309" t="s">
        <v>3332</v>
      </c>
    </row>
    <row r="8310" spans="9:10" x14ac:dyDescent="0.3">
      <c r="I8310" t="s">
        <v>15479</v>
      </c>
      <c r="J8310" t="s">
        <v>3332</v>
      </c>
    </row>
    <row r="8311" spans="9:10" x14ac:dyDescent="0.3">
      <c r="I8311" t="s">
        <v>15481</v>
      </c>
      <c r="J8311" t="s">
        <v>3332</v>
      </c>
    </row>
    <row r="8312" spans="9:10" x14ac:dyDescent="0.3">
      <c r="I8312" t="s">
        <v>15479</v>
      </c>
      <c r="J8312" t="s">
        <v>3332</v>
      </c>
    </row>
    <row r="8313" spans="9:10" x14ac:dyDescent="0.3">
      <c r="I8313" t="s">
        <v>15482</v>
      </c>
      <c r="J8313" t="s">
        <v>3332</v>
      </c>
    </row>
    <row r="8314" spans="9:10" x14ac:dyDescent="0.3">
      <c r="I8314" t="s">
        <v>15483</v>
      </c>
      <c r="J8314" t="s">
        <v>3332</v>
      </c>
    </row>
    <row r="8315" spans="9:10" x14ac:dyDescent="0.3">
      <c r="I8315" t="s">
        <v>15484</v>
      </c>
      <c r="J8315" t="s">
        <v>3332</v>
      </c>
    </row>
    <row r="8316" spans="9:10" x14ac:dyDescent="0.3">
      <c r="I8316" t="s">
        <v>15479</v>
      </c>
      <c r="J8316" t="s">
        <v>3332</v>
      </c>
    </row>
    <row r="8317" spans="9:10" x14ac:dyDescent="0.3">
      <c r="I8317" t="s">
        <v>15482</v>
      </c>
      <c r="J8317" t="s">
        <v>3332</v>
      </c>
    </row>
    <row r="8318" spans="9:10" x14ac:dyDescent="0.3">
      <c r="I8318" t="s">
        <v>15479</v>
      </c>
      <c r="J8318" t="s">
        <v>3332</v>
      </c>
    </row>
    <row r="8319" spans="9:10" x14ac:dyDescent="0.3">
      <c r="I8319" t="s">
        <v>15479</v>
      </c>
      <c r="J8319" t="s">
        <v>3332</v>
      </c>
    </row>
    <row r="8320" spans="9:10" x14ac:dyDescent="0.3">
      <c r="I8320" t="s">
        <v>15485</v>
      </c>
      <c r="J8320" t="s">
        <v>3333</v>
      </c>
    </row>
    <row r="8321" spans="9:10" x14ac:dyDescent="0.3">
      <c r="I8321" t="s">
        <v>15486</v>
      </c>
      <c r="J8321" t="s">
        <v>3334</v>
      </c>
    </row>
    <row r="8322" spans="9:10" x14ac:dyDescent="0.3">
      <c r="I8322" t="s">
        <v>15487</v>
      </c>
      <c r="J8322" t="s">
        <v>357</v>
      </c>
    </row>
    <row r="8323" spans="9:10" x14ac:dyDescent="0.3">
      <c r="I8323" t="s">
        <v>15488</v>
      </c>
      <c r="J8323" t="s">
        <v>3335</v>
      </c>
    </row>
    <row r="8324" spans="9:10" x14ac:dyDescent="0.3">
      <c r="I8324" t="s">
        <v>15489</v>
      </c>
      <c r="J8324" t="s">
        <v>3336</v>
      </c>
    </row>
    <row r="8325" spans="9:10" x14ac:dyDescent="0.3">
      <c r="I8325" t="s">
        <v>15490</v>
      </c>
      <c r="J8325" t="s">
        <v>3337</v>
      </c>
    </row>
    <row r="8326" spans="9:10" x14ac:dyDescent="0.3">
      <c r="I8326" t="s">
        <v>15491</v>
      </c>
    </row>
    <row r="8327" spans="9:10" x14ac:dyDescent="0.3">
      <c r="I8327" t="s">
        <v>15492</v>
      </c>
      <c r="J8327" t="s">
        <v>3338</v>
      </c>
    </row>
    <row r="8328" spans="9:10" x14ac:dyDescent="0.3">
      <c r="I8328" t="s">
        <v>15493</v>
      </c>
      <c r="J8328" t="s">
        <v>3338</v>
      </c>
    </row>
    <row r="8329" spans="9:10" x14ac:dyDescent="0.3">
      <c r="I8329" t="s">
        <v>15494</v>
      </c>
      <c r="J8329" t="s">
        <v>402</v>
      </c>
    </row>
    <row r="8330" spans="9:10" x14ac:dyDescent="0.3">
      <c r="I8330" t="s">
        <v>15494</v>
      </c>
      <c r="J8330" t="s">
        <v>402</v>
      </c>
    </row>
    <row r="8331" spans="9:10" x14ac:dyDescent="0.3">
      <c r="I8331" t="s">
        <v>15495</v>
      </c>
      <c r="J8331" t="s">
        <v>3339</v>
      </c>
    </row>
    <row r="8332" spans="9:10" x14ac:dyDescent="0.3">
      <c r="I8332" t="s">
        <v>15496</v>
      </c>
      <c r="J8332" t="s">
        <v>557</v>
      </c>
    </row>
    <row r="8333" spans="9:10" x14ac:dyDescent="0.3">
      <c r="I8333" t="s">
        <v>15497</v>
      </c>
      <c r="J8333" t="s">
        <v>3340</v>
      </c>
    </row>
    <row r="8334" spans="9:10" x14ac:dyDescent="0.3">
      <c r="I8334" t="s">
        <v>15498</v>
      </c>
    </row>
    <row r="8335" spans="9:10" x14ac:dyDescent="0.3">
      <c r="I8335" t="s">
        <v>15499</v>
      </c>
      <c r="J8335" t="s">
        <v>3341</v>
      </c>
    </row>
    <row r="8336" spans="9:10" x14ac:dyDescent="0.3">
      <c r="I8336" t="s">
        <v>15500</v>
      </c>
      <c r="J8336" t="s">
        <v>3341</v>
      </c>
    </row>
    <row r="8337" spans="9:10" x14ac:dyDescent="0.3">
      <c r="I8337" t="s">
        <v>15501</v>
      </c>
      <c r="J8337" t="s">
        <v>3342</v>
      </c>
    </row>
    <row r="8338" spans="9:10" x14ac:dyDescent="0.3">
      <c r="I8338" t="s">
        <v>15502</v>
      </c>
      <c r="J8338" t="s">
        <v>3342</v>
      </c>
    </row>
    <row r="8339" spans="9:10" x14ac:dyDescent="0.3">
      <c r="I8339" t="s">
        <v>15503</v>
      </c>
      <c r="J8339" t="s">
        <v>3342</v>
      </c>
    </row>
    <row r="8340" spans="9:10" x14ac:dyDescent="0.3">
      <c r="I8340" t="s">
        <v>15503</v>
      </c>
      <c r="J8340" t="s">
        <v>3342</v>
      </c>
    </row>
    <row r="8341" spans="9:10" x14ac:dyDescent="0.3">
      <c r="I8341" t="s">
        <v>15504</v>
      </c>
    </row>
    <row r="8342" spans="9:10" x14ac:dyDescent="0.3">
      <c r="I8342" t="s">
        <v>15505</v>
      </c>
      <c r="J8342" t="s">
        <v>3343</v>
      </c>
    </row>
    <row r="8343" spans="9:10" x14ac:dyDescent="0.3">
      <c r="I8343" t="s">
        <v>15506</v>
      </c>
      <c r="J8343" t="s">
        <v>3343</v>
      </c>
    </row>
    <row r="8344" spans="9:10" x14ac:dyDescent="0.3">
      <c r="I8344" t="s">
        <v>15505</v>
      </c>
      <c r="J8344" t="s">
        <v>3343</v>
      </c>
    </row>
    <row r="8345" spans="9:10" x14ac:dyDescent="0.3">
      <c r="I8345" t="s">
        <v>15507</v>
      </c>
      <c r="J8345" t="s">
        <v>3344</v>
      </c>
    </row>
    <row r="8346" spans="9:10" x14ac:dyDescent="0.3">
      <c r="I8346" t="s">
        <v>15508</v>
      </c>
      <c r="J8346" t="s">
        <v>3345</v>
      </c>
    </row>
    <row r="8347" spans="9:10" x14ac:dyDescent="0.3">
      <c r="I8347" t="s">
        <v>15508</v>
      </c>
      <c r="J8347" t="s">
        <v>3345</v>
      </c>
    </row>
    <row r="8348" spans="9:10" x14ac:dyDescent="0.3">
      <c r="I8348" t="s">
        <v>15508</v>
      </c>
      <c r="J8348" t="s">
        <v>3345</v>
      </c>
    </row>
    <row r="8349" spans="9:10" x14ac:dyDescent="0.3">
      <c r="I8349" t="s">
        <v>15509</v>
      </c>
      <c r="J8349" t="s">
        <v>3346</v>
      </c>
    </row>
    <row r="8350" spans="9:10" x14ac:dyDescent="0.3">
      <c r="I8350" t="s">
        <v>15510</v>
      </c>
      <c r="J8350" t="s">
        <v>3347</v>
      </c>
    </row>
    <row r="8351" spans="9:10" x14ac:dyDescent="0.3">
      <c r="I8351" t="s">
        <v>15511</v>
      </c>
      <c r="J8351" t="s">
        <v>780</v>
      </c>
    </row>
    <row r="8352" spans="9:10" x14ac:dyDescent="0.3">
      <c r="I8352" t="s">
        <v>15512</v>
      </c>
      <c r="J8352" t="s">
        <v>780</v>
      </c>
    </row>
    <row r="8353" spans="9:10" x14ac:dyDescent="0.3">
      <c r="I8353" t="s">
        <v>15513</v>
      </c>
      <c r="J8353" t="s">
        <v>780</v>
      </c>
    </row>
    <row r="8354" spans="9:10" x14ac:dyDescent="0.3">
      <c r="I8354" t="s">
        <v>15514</v>
      </c>
      <c r="J8354" t="s">
        <v>780</v>
      </c>
    </row>
    <row r="8355" spans="9:10" x14ac:dyDescent="0.3">
      <c r="I8355" t="s">
        <v>15512</v>
      </c>
      <c r="J8355" t="s">
        <v>780</v>
      </c>
    </row>
    <row r="8356" spans="9:10" x14ac:dyDescent="0.3">
      <c r="I8356" t="s">
        <v>15515</v>
      </c>
      <c r="J8356" t="s">
        <v>780</v>
      </c>
    </row>
    <row r="8357" spans="9:10" x14ac:dyDescent="0.3">
      <c r="I8357" t="s">
        <v>15511</v>
      </c>
      <c r="J8357" t="s">
        <v>780</v>
      </c>
    </row>
    <row r="8358" spans="9:10" x14ac:dyDescent="0.3">
      <c r="I8358" t="s">
        <v>779</v>
      </c>
      <c r="J8358" t="s">
        <v>780</v>
      </c>
    </row>
    <row r="8359" spans="9:10" x14ac:dyDescent="0.3">
      <c r="I8359" t="s">
        <v>15512</v>
      </c>
      <c r="J8359" t="s">
        <v>780</v>
      </c>
    </row>
    <row r="8360" spans="9:10" x14ac:dyDescent="0.3">
      <c r="I8360" t="s">
        <v>15512</v>
      </c>
      <c r="J8360" t="s">
        <v>780</v>
      </c>
    </row>
    <row r="8361" spans="9:10" x14ac:dyDescent="0.3">
      <c r="I8361" t="s">
        <v>15516</v>
      </c>
      <c r="J8361" t="s">
        <v>780</v>
      </c>
    </row>
    <row r="8362" spans="9:10" x14ac:dyDescent="0.3">
      <c r="I8362" t="s">
        <v>15512</v>
      </c>
      <c r="J8362" t="s">
        <v>780</v>
      </c>
    </row>
    <row r="8363" spans="9:10" x14ac:dyDescent="0.3">
      <c r="I8363" t="s">
        <v>15517</v>
      </c>
      <c r="J8363" t="s">
        <v>780</v>
      </c>
    </row>
    <row r="8364" spans="9:10" x14ac:dyDescent="0.3">
      <c r="I8364" t="s">
        <v>15512</v>
      </c>
      <c r="J8364" t="s">
        <v>780</v>
      </c>
    </row>
    <row r="8365" spans="9:10" x14ac:dyDescent="0.3">
      <c r="I8365" t="s">
        <v>15512</v>
      </c>
      <c r="J8365" t="s">
        <v>780</v>
      </c>
    </row>
    <row r="8366" spans="9:10" x14ac:dyDescent="0.3">
      <c r="I8366" t="s">
        <v>15518</v>
      </c>
      <c r="J8366" t="s">
        <v>3348</v>
      </c>
    </row>
    <row r="8367" spans="9:10" x14ac:dyDescent="0.3">
      <c r="I8367" t="s">
        <v>15519</v>
      </c>
      <c r="J8367" t="s">
        <v>3349</v>
      </c>
    </row>
    <row r="8368" spans="9:10" x14ac:dyDescent="0.3">
      <c r="I8368" t="s">
        <v>15520</v>
      </c>
      <c r="J8368" t="s">
        <v>3350</v>
      </c>
    </row>
    <row r="8369" spans="9:10" x14ac:dyDescent="0.3">
      <c r="I8369" t="s">
        <v>15521</v>
      </c>
      <c r="J8369" t="s">
        <v>3351</v>
      </c>
    </row>
    <row r="8370" spans="9:10" x14ac:dyDescent="0.3">
      <c r="I8370" t="s">
        <v>15521</v>
      </c>
      <c r="J8370" t="s">
        <v>3351</v>
      </c>
    </row>
    <row r="8371" spans="9:10" x14ac:dyDescent="0.3">
      <c r="I8371" t="s">
        <v>15521</v>
      </c>
      <c r="J8371" t="s">
        <v>3351</v>
      </c>
    </row>
    <row r="8372" spans="9:10" x14ac:dyDescent="0.3">
      <c r="I8372" t="s">
        <v>15522</v>
      </c>
      <c r="J8372" t="s">
        <v>3351</v>
      </c>
    </row>
    <row r="8373" spans="9:10" x14ac:dyDescent="0.3">
      <c r="I8373" t="s">
        <v>15521</v>
      </c>
      <c r="J8373" t="s">
        <v>3351</v>
      </c>
    </row>
    <row r="8374" spans="9:10" x14ac:dyDescent="0.3">
      <c r="I8374" t="s">
        <v>15521</v>
      </c>
      <c r="J8374" t="s">
        <v>3351</v>
      </c>
    </row>
    <row r="8375" spans="9:10" x14ac:dyDescent="0.3">
      <c r="I8375" t="s">
        <v>15521</v>
      </c>
      <c r="J8375" t="s">
        <v>3351</v>
      </c>
    </row>
    <row r="8376" spans="9:10" x14ac:dyDescent="0.3">
      <c r="I8376" t="s">
        <v>15521</v>
      </c>
      <c r="J8376" t="s">
        <v>3351</v>
      </c>
    </row>
    <row r="8377" spans="9:10" x14ac:dyDescent="0.3">
      <c r="I8377" t="s">
        <v>15523</v>
      </c>
      <c r="J8377" t="s">
        <v>3351</v>
      </c>
    </row>
    <row r="8378" spans="9:10" x14ac:dyDescent="0.3">
      <c r="I8378" t="s">
        <v>15524</v>
      </c>
      <c r="J8378" t="s">
        <v>3352</v>
      </c>
    </row>
    <row r="8379" spans="9:10" x14ac:dyDescent="0.3">
      <c r="I8379" t="s">
        <v>15525</v>
      </c>
      <c r="J8379" t="s">
        <v>3352</v>
      </c>
    </row>
    <row r="8380" spans="9:10" x14ac:dyDescent="0.3">
      <c r="I8380" t="s">
        <v>15526</v>
      </c>
      <c r="J8380" t="s">
        <v>484</v>
      </c>
    </row>
    <row r="8381" spans="9:10" x14ac:dyDescent="0.3">
      <c r="I8381" t="s">
        <v>15526</v>
      </c>
      <c r="J8381" t="s">
        <v>484</v>
      </c>
    </row>
    <row r="8382" spans="9:10" x14ac:dyDescent="0.3">
      <c r="I8382" t="s">
        <v>15527</v>
      </c>
      <c r="J8382" t="s">
        <v>3353</v>
      </c>
    </row>
    <row r="8383" spans="9:10" x14ac:dyDescent="0.3">
      <c r="I8383" t="s">
        <v>15528</v>
      </c>
      <c r="J8383" t="s">
        <v>3354</v>
      </c>
    </row>
    <row r="8384" spans="9:10" x14ac:dyDescent="0.3">
      <c r="I8384" t="s">
        <v>15529</v>
      </c>
      <c r="J8384" t="s">
        <v>485</v>
      </c>
    </row>
    <row r="8385" spans="9:10" x14ac:dyDescent="0.3">
      <c r="I8385" t="s">
        <v>15530</v>
      </c>
      <c r="J8385" t="s">
        <v>3355</v>
      </c>
    </row>
    <row r="8386" spans="9:10" x14ac:dyDescent="0.3">
      <c r="I8386" t="s">
        <v>15531</v>
      </c>
      <c r="J8386" t="s">
        <v>3356</v>
      </c>
    </row>
    <row r="8387" spans="9:10" x14ac:dyDescent="0.3">
      <c r="I8387" t="s">
        <v>15532</v>
      </c>
      <c r="J8387" t="s">
        <v>3356</v>
      </c>
    </row>
    <row r="8388" spans="9:10" x14ac:dyDescent="0.3">
      <c r="I8388" t="s">
        <v>15533</v>
      </c>
      <c r="J8388" t="s">
        <v>3357</v>
      </c>
    </row>
    <row r="8389" spans="9:10" x14ac:dyDescent="0.3">
      <c r="I8389" t="s">
        <v>15534</v>
      </c>
      <c r="J8389" t="s">
        <v>3358</v>
      </c>
    </row>
    <row r="8390" spans="9:10" x14ac:dyDescent="0.3">
      <c r="I8390" t="s">
        <v>15535</v>
      </c>
      <c r="J8390" t="s">
        <v>3359</v>
      </c>
    </row>
    <row r="8391" spans="9:10" x14ac:dyDescent="0.3">
      <c r="I8391" t="s">
        <v>15536</v>
      </c>
    </row>
    <row r="8392" spans="9:10" x14ac:dyDescent="0.3">
      <c r="I8392" t="s">
        <v>15537</v>
      </c>
      <c r="J8392" t="s">
        <v>3360</v>
      </c>
    </row>
    <row r="8393" spans="9:10" x14ac:dyDescent="0.3">
      <c r="I8393" t="s">
        <v>15538</v>
      </c>
      <c r="J8393" t="s">
        <v>3361</v>
      </c>
    </row>
    <row r="8394" spans="9:10" x14ac:dyDescent="0.3">
      <c r="I8394" t="s">
        <v>15539</v>
      </c>
      <c r="J8394" t="s">
        <v>962</v>
      </c>
    </row>
    <row r="8395" spans="9:10" x14ac:dyDescent="0.3">
      <c r="I8395" t="s">
        <v>15540</v>
      </c>
      <c r="J8395" t="s">
        <v>3362</v>
      </c>
    </row>
    <row r="8396" spans="9:10" x14ac:dyDescent="0.3">
      <c r="I8396" t="s">
        <v>15541</v>
      </c>
      <c r="J8396" t="s">
        <v>3363</v>
      </c>
    </row>
    <row r="8397" spans="9:10" x14ac:dyDescent="0.3">
      <c r="I8397" t="s">
        <v>15542</v>
      </c>
      <c r="J8397" t="s">
        <v>3364</v>
      </c>
    </row>
    <row r="8398" spans="9:10" x14ac:dyDescent="0.3">
      <c r="I8398" t="s">
        <v>15543</v>
      </c>
      <c r="J8398" t="s">
        <v>3365</v>
      </c>
    </row>
    <row r="8399" spans="9:10" x14ac:dyDescent="0.3">
      <c r="I8399" t="s">
        <v>15544</v>
      </c>
      <c r="J8399" t="s">
        <v>3366</v>
      </c>
    </row>
    <row r="8400" spans="9:10" x14ac:dyDescent="0.3">
      <c r="I8400" t="s">
        <v>15545</v>
      </c>
      <c r="J8400" t="s">
        <v>3367</v>
      </c>
    </row>
    <row r="8401" spans="9:10" x14ac:dyDescent="0.3">
      <c r="I8401" t="s">
        <v>15546</v>
      </c>
      <c r="J8401" t="s">
        <v>3368</v>
      </c>
    </row>
    <row r="8402" spans="9:10" x14ac:dyDescent="0.3">
      <c r="I8402" t="s">
        <v>15547</v>
      </c>
      <c r="J8402" t="s">
        <v>3369</v>
      </c>
    </row>
    <row r="8403" spans="9:10" x14ac:dyDescent="0.3">
      <c r="I8403" t="s">
        <v>15548</v>
      </c>
      <c r="J8403" t="s">
        <v>3370</v>
      </c>
    </row>
    <row r="8404" spans="9:10" x14ac:dyDescent="0.3">
      <c r="I8404" t="s">
        <v>15549</v>
      </c>
      <c r="J8404" t="s">
        <v>3371</v>
      </c>
    </row>
    <row r="8405" spans="9:10" x14ac:dyDescent="0.3">
      <c r="I8405" t="s">
        <v>15550</v>
      </c>
      <c r="J8405" t="s">
        <v>3372</v>
      </c>
    </row>
    <row r="8406" spans="9:10" x14ac:dyDescent="0.3">
      <c r="I8406" t="s">
        <v>15551</v>
      </c>
      <c r="J8406" t="s">
        <v>3373</v>
      </c>
    </row>
    <row r="8407" spans="9:10" x14ac:dyDescent="0.3">
      <c r="I8407" t="s">
        <v>15552</v>
      </c>
      <c r="J8407" t="s">
        <v>3374</v>
      </c>
    </row>
    <row r="8408" spans="9:10" x14ac:dyDescent="0.3">
      <c r="I8408" t="s">
        <v>15553</v>
      </c>
      <c r="J8408" t="s">
        <v>210</v>
      </c>
    </row>
    <row r="8409" spans="9:10" x14ac:dyDescent="0.3">
      <c r="I8409" t="s">
        <v>15553</v>
      </c>
      <c r="J8409" t="s">
        <v>210</v>
      </c>
    </row>
    <row r="8410" spans="9:10" x14ac:dyDescent="0.3">
      <c r="I8410" t="s">
        <v>15554</v>
      </c>
      <c r="J8410" t="s">
        <v>3375</v>
      </c>
    </row>
    <row r="8411" spans="9:10" x14ac:dyDescent="0.3">
      <c r="I8411" t="s">
        <v>15555</v>
      </c>
      <c r="J8411" t="s">
        <v>3376</v>
      </c>
    </row>
    <row r="8412" spans="9:10" x14ac:dyDescent="0.3">
      <c r="I8412" t="s">
        <v>15556</v>
      </c>
      <c r="J8412" t="s">
        <v>3376</v>
      </c>
    </row>
    <row r="8413" spans="9:10" x14ac:dyDescent="0.3">
      <c r="I8413" t="s">
        <v>15557</v>
      </c>
      <c r="J8413" t="s">
        <v>3377</v>
      </c>
    </row>
    <row r="8414" spans="9:10" x14ac:dyDescent="0.3">
      <c r="I8414" t="s">
        <v>15558</v>
      </c>
    </row>
    <row r="8415" spans="9:10" x14ac:dyDescent="0.3">
      <c r="I8415" t="s">
        <v>15559</v>
      </c>
    </row>
    <row r="8416" spans="9:10" x14ac:dyDescent="0.3">
      <c r="I8416" t="s">
        <v>15560</v>
      </c>
      <c r="J8416" t="s">
        <v>3378</v>
      </c>
    </row>
    <row r="8417" spans="9:10" x14ac:dyDescent="0.3">
      <c r="I8417" t="s">
        <v>15561</v>
      </c>
      <c r="J8417" t="s">
        <v>3379</v>
      </c>
    </row>
    <row r="8418" spans="9:10" x14ac:dyDescent="0.3">
      <c r="I8418" t="s">
        <v>15562</v>
      </c>
      <c r="J8418" t="s">
        <v>3380</v>
      </c>
    </row>
    <row r="8419" spans="9:10" x14ac:dyDescent="0.3">
      <c r="I8419" t="s">
        <v>15563</v>
      </c>
      <c r="J8419" t="s">
        <v>3381</v>
      </c>
    </row>
    <row r="8420" spans="9:10" x14ac:dyDescent="0.3">
      <c r="I8420" t="s">
        <v>15564</v>
      </c>
      <c r="J8420" t="s">
        <v>474</v>
      </c>
    </row>
    <row r="8421" spans="9:10" x14ac:dyDescent="0.3">
      <c r="I8421" t="s">
        <v>15565</v>
      </c>
      <c r="J8421" t="s">
        <v>937</v>
      </c>
    </row>
    <row r="8422" spans="9:10" x14ac:dyDescent="0.3">
      <c r="I8422" t="s">
        <v>15566</v>
      </c>
      <c r="J8422" t="s">
        <v>469</v>
      </c>
    </row>
    <row r="8423" spans="9:10" x14ac:dyDescent="0.3">
      <c r="I8423" t="s">
        <v>15567</v>
      </c>
      <c r="J8423" t="s">
        <v>469</v>
      </c>
    </row>
    <row r="8424" spans="9:10" x14ac:dyDescent="0.3">
      <c r="I8424" t="s">
        <v>15568</v>
      </c>
      <c r="J8424" t="s">
        <v>469</v>
      </c>
    </row>
    <row r="8425" spans="9:10" x14ac:dyDescent="0.3">
      <c r="I8425" t="s">
        <v>15569</v>
      </c>
      <c r="J8425" t="s">
        <v>469</v>
      </c>
    </row>
    <row r="8426" spans="9:10" x14ac:dyDescent="0.3">
      <c r="I8426" t="s">
        <v>15570</v>
      </c>
      <c r="J8426" t="s">
        <v>190</v>
      </c>
    </row>
    <row r="8427" spans="9:10" x14ac:dyDescent="0.3">
      <c r="I8427" t="s">
        <v>15571</v>
      </c>
      <c r="J8427" t="s">
        <v>3382</v>
      </c>
    </row>
    <row r="8428" spans="9:10" x14ac:dyDescent="0.3">
      <c r="I8428" t="s">
        <v>15572</v>
      </c>
      <c r="J8428" t="s">
        <v>3383</v>
      </c>
    </row>
    <row r="8429" spans="9:10" x14ac:dyDescent="0.3">
      <c r="I8429" t="s">
        <v>15573</v>
      </c>
      <c r="J8429" t="s">
        <v>422</v>
      </c>
    </row>
    <row r="8430" spans="9:10" x14ac:dyDescent="0.3">
      <c r="I8430" t="s">
        <v>15574</v>
      </c>
      <c r="J8430" t="s">
        <v>424</v>
      </c>
    </row>
    <row r="8431" spans="9:10" x14ac:dyDescent="0.3">
      <c r="I8431" t="s">
        <v>15575</v>
      </c>
      <c r="J8431" t="s">
        <v>3384</v>
      </c>
    </row>
    <row r="8432" spans="9:10" x14ac:dyDescent="0.3">
      <c r="I8432" t="s">
        <v>15576</v>
      </c>
      <c r="J8432" t="s">
        <v>747</v>
      </c>
    </row>
    <row r="8433" spans="9:10" x14ac:dyDescent="0.3">
      <c r="I8433" t="s">
        <v>15577</v>
      </c>
      <c r="J8433" t="s">
        <v>747</v>
      </c>
    </row>
    <row r="8434" spans="9:10" x14ac:dyDescent="0.3">
      <c r="I8434" t="s">
        <v>15578</v>
      </c>
      <c r="J8434" t="s">
        <v>747</v>
      </c>
    </row>
    <row r="8435" spans="9:10" x14ac:dyDescent="0.3">
      <c r="I8435" t="s">
        <v>15579</v>
      </c>
      <c r="J8435" t="s">
        <v>851</v>
      </c>
    </row>
    <row r="8436" spans="9:10" x14ac:dyDescent="0.3">
      <c r="I8436" t="s">
        <v>15580</v>
      </c>
      <c r="J8436" t="s">
        <v>531</v>
      </c>
    </row>
    <row r="8437" spans="9:10" x14ac:dyDescent="0.3">
      <c r="I8437" t="s">
        <v>15581</v>
      </c>
      <c r="J8437" t="s">
        <v>531</v>
      </c>
    </row>
    <row r="8438" spans="9:10" x14ac:dyDescent="0.3">
      <c r="I8438" t="s">
        <v>15582</v>
      </c>
      <c r="J8438" t="s">
        <v>3385</v>
      </c>
    </row>
    <row r="8439" spans="9:10" x14ac:dyDescent="0.3">
      <c r="I8439" t="s">
        <v>15583</v>
      </c>
      <c r="J8439" t="s">
        <v>3386</v>
      </c>
    </row>
    <row r="8440" spans="9:10" x14ac:dyDescent="0.3">
      <c r="I8440" t="s">
        <v>15584</v>
      </c>
      <c r="J8440" t="s">
        <v>3387</v>
      </c>
    </row>
    <row r="8441" spans="9:10" x14ac:dyDescent="0.3">
      <c r="I8441" t="s">
        <v>15585</v>
      </c>
      <c r="J8441" t="s">
        <v>3388</v>
      </c>
    </row>
    <row r="8442" spans="9:10" x14ac:dyDescent="0.3">
      <c r="I8442" t="s">
        <v>15586</v>
      </c>
      <c r="J8442" t="s">
        <v>3389</v>
      </c>
    </row>
    <row r="8443" spans="9:10" x14ac:dyDescent="0.3">
      <c r="I8443" t="s">
        <v>15587</v>
      </c>
      <c r="J8443" t="s">
        <v>3390</v>
      </c>
    </row>
    <row r="8444" spans="9:10" x14ac:dyDescent="0.3">
      <c r="I8444" t="s">
        <v>15587</v>
      </c>
      <c r="J8444" t="s">
        <v>3390</v>
      </c>
    </row>
    <row r="8445" spans="9:10" x14ac:dyDescent="0.3">
      <c r="I8445" t="s">
        <v>15587</v>
      </c>
      <c r="J8445" t="s">
        <v>3390</v>
      </c>
    </row>
    <row r="8446" spans="9:10" x14ac:dyDescent="0.3">
      <c r="I8446" t="s">
        <v>15587</v>
      </c>
      <c r="J8446" t="s">
        <v>3390</v>
      </c>
    </row>
    <row r="8447" spans="9:10" x14ac:dyDescent="0.3">
      <c r="I8447" t="s">
        <v>15588</v>
      </c>
      <c r="J8447" t="s">
        <v>3391</v>
      </c>
    </row>
    <row r="8448" spans="9:10" x14ac:dyDescent="0.3">
      <c r="I8448" t="s">
        <v>15589</v>
      </c>
      <c r="J8448" t="s">
        <v>3392</v>
      </c>
    </row>
    <row r="8449" spans="9:10" x14ac:dyDescent="0.3">
      <c r="I8449" t="s">
        <v>15590</v>
      </c>
      <c r="J8449" t="s">
        <v>3393</v>
      </c>
    </row>
    <row r="8450" spans="9:10" x14ac:dyDescent="0.3">
      <c r="I8450" t="s">
        <v>15591</v>
      </c>
      <c r="J8450" t="s">
        <v>3394</v>
      </c>
    </row>
    <row r="8451" spans="9:10" x14ac:dyDescent="0.3">
      <c r="I8451" t="s">
        <v>15592</v>
      </c>
      <c r="J8451" t="s">
        <v>3395</v>
      </c>
    </row>
    <row r="8452" spans="9:10" x14ac:dyDescent="0.3">
      <c r="I8452" t="s">
        <v>15593</v>
      </c>
      <c r="J8452" t="s">
        <v>3396</v>
      </c>
    </row>
    <row r="8453" spans="9:10" x14ac:dyDescent="0.3">
      <c r="I8453" t="s">
        <v>15594</v>
      </c>
      <c r="J8453" t="s">
        <v>3397</v>
      </c>
    </row>
    <row r="8454" spans="9:10" x14ac:dyDescent="0.3">
      <c r="I8454" t="s">
        <v>15595</v>
      </c>
      <c r="J8454" t="s">
        <v>3398</v>
      </c>
    </row>
    <row r="8455" spans="9:10" x14ac:dyDescent="0.3">
      <c r="I8455" t="s">
        <v>15596</v>
      </c>
      <c r="J8455" t="s">
        <v>3399</v>
      </c>
    </row>
    <row r="8456" spans="9:10" x14ac:dyDescent="0.3">
      <c r="I8456" t="s">
        <v>15597</v>
      </c>
      <c r="J8456" t="s">
        <v>3400</v>
      </c>
    </row>
    <row r="8457" spans="9:10" x14ac:dyDescent="0.3">
      <c r="I8457" t="s">
        <v>15598</v>
      </c>
      <c r="J8457" t="s">
        <v>3401</v>
      </c>
    </row>
    <row r="8458" spans="9:10" x14ac:dyDescent="0.3">
      <c r="I8458" t="s">
        <v>15599</v>
      </c>
      <c r="J8458" t="s">
        <v>3402</v>
      </c>
    </row>
    <row r="8459" spans="9:10" x14ac:dyDescent="0.3">
      <c r="I8459" t="s">
        <v>15599</v>
      </c>
      <c r="J8459" t="s">
        <v>3402</v>
      </c>
    </row>
    <row r="8460" spans="9:10" x14ac:dyDescent="0.3">
      <c r="I8460" t="s">
        <v>15599</v>
      </c>
      <c r="J8460" t="s">
        <v>3402</v>
      </c>
    </row>
    <row r="8461" spans="9:10" x14ac:dyDescent="0.3">
      <c r="I8461" t="s">
        <v>15600</v>
      </c>
      <c r="J8461" t="s">
        <v>3403</v>
      </c>
    </row>
    <row r="8462" spans="9:10" x14ac:dyDescent="0.3">
      <c r="I8462" t="s">
        <v>15601</v>
      </c>
      <c r="J8462" t="s">
        <v>3404</v>
      </c>
    </row>
    <row r="8463" spans="9:10" x14ac:dyDescent="0.3">
      <c r="I8463" t="s">
        <v>15602</v>
      </c>
      <c r="J8463" t="s">
        <v>3405</v>
      </c>
    </row>
    <row r="8464" spans="9:10" x14ac:dyDescent="0.3">
      <c r="I8464" t="s">
        <v>15603</v>
      </c>
      <c r="J8464" t="s">
        <v>3406</v>
      </c>
    </row>
    <row r="8465" spans="9:10" x14ac:dyDescent="0.3">
      <c r="I8465" t="s">
        <v>15604</v>
      </c>
    </row>
    <row r="8466" spans="9:10" x14ac:dyDescent="0.3">
      <c r="I8466" t="s">
        <v>15605</v>
      </c>
      <c r="J8466" t="s">
        <v>3407</v>
      </c>
    </row>
    <row r="8467" spans="9:10" x14ac:dyDescent="0.3">
      <c r="I8467" t="s">
        <v>15606</v>
      </c>
      <c r="J8467" t="s">
        <v>3408</v>
      </c>
    </row>
    <row r="8468" spans="9:10" x14ac:dyDescent="0.3">
      <c r="I8468" t="s">
        <v>15607</v>
      </c>
      <c r="J8468" t="s">
        <v>3409</v>
      </c>
    </row>
    <row r="8469" spans="9:10" x14ac:dyDescent="0.3">
      <c r="I8469" t="s">
        <v>15608</v>
      </c>
      <c r="J8469" t="s">
        <v>3410</v>
      </c>
    </row>
    <row r="8470" spans="9:10" x14ac:dyDescent="0.3">
      <c r="I8470" t="s">
        <v>15609</v>
      </c>
      <c r="J8470" t="s">
        <v>3411</v>
      </c>
    </row>
    <row r="8471" spans="9:10" x14ac:dyDescent="0.3">
      <c r="I8471" t="s">
        <v>15610</v>
      </c>
      <c r="J8471" t="s">
        <v>3412</v>
      </c>
    </row>
    <row r="8472" spans="9:10" x14ac:dyDescent="0.3">
      <c r="I8472" t="s">
        <v>15611</v>
      </c>
      <c r="J8472" t="s">
        <v>3413</v>
      </c>
    </row>
    <row r="8473" spans="9:10" x14ac:dyDescent="0.3">
      <c r="I8473" t="s">
        <v>15612</v>
      </c>
      <c r="J8473" t="s">
        <v>3414</v>
      </c>
    </row>
    <row r="8474" spans="9:10" x14ac:dyDescent="0.3">
      <c r="I8474" t="s">
        <v>15613</v>
      </c>
      <c r="J8474" t="s">
        <v>3415</v>
      </c>
    </row>
    <row r="8475" spans="9:10" x14ac:dyDescent="0.3">
      <c r="I8475" t="s">
        <v>15613</v>
      </c>
      <c r="J8475" t="s">
        <v>3415</v>
      </c>
    </row>
    <row r="8476" spans="9:10" x14ac:dyDescent="0.3">
      <c r="I8476" t="s">
        <v>15613</v>
      </c>
      <c r="J8476" t="s">
        <v>3415</v>
      </c>
    </row>
    <row r="8477" spans="9:10" x14ac:dyDescent="0.3">
      <c r="I8477" t="s">
        <v>15614</v>
      </c>
      <c r="J8477" t="s">
        <v>3416</v>
      </c>
    </row>
    <row r="8478" spans="9:10" x14ac:dyDescent="0.3">
      <c r="I8478" t="s">
        <v>15615</v>
      </c>
      <c r="J8478" t="s">
        <v>3417</v>
      </c>
    </row>
    <row r="8479" spans="9:10" x14ac:dyDescent="0.3">
      <c r="I8479" t="s">
        <v>15616</v>
      </c>
      <c r="J8479" t="s">
        <v>3418</v>
      </c>
    </row>
    <row r="8480" spans="9:10" x14ac:dyDescent="0.3">
      <c r="I8480" t="s">
        <v>15617</v>
      </c>
      <c r="J8480" t="s">
        <v>3419</v>
      </c>
    </row>
    <row r="8481" spans="9:10" x14ac:dyDescent="0.3">
      <c r="I8481" t="s">
        <v>15618</v>
      </c>
      <c r="J8481" t="s">
        <v>3420</v>
      </c>
    </row>
    <row r="8482" spans="9:10" x14ac:dyDescent="0.3">
      <c r="I8482" t="s">
        <v>15619</v>
      </c>
      <c r="J8482" t="s">
        <v>3421</v>
      </c>
    </row>
    <row r="8483" spans="9:10" x14ac:dyDescent="0.3">
      <c r="I8483" t="s">
        <v>15620</v>
      </c>
      <c r="J8483" t="s">
        <v>3422</v>
      </c>
    </row>
    <row r="8484" spans="9:10" x14ac:dyDescent="0.3">
      <c r="I8484" t="s">
        <v>15620</v>
      </c>
      <c r="J8484" t="s">
        <v>3422</v>
      </c>
    </row>
    <row r="8485" spans="9:10" x14ac:dyDescent="0.3">
      <c r="I8485" t="s">
        <v>15620</v>
      </c>
      <c r="J8485" t="s">
        <v>3422</v>
      </c>
    </row>
    <row r="8486" spans="9:10" x14ac:dyDescent="0.3">
      <c r="I8486" t="s">
        <v>15621</v>
      </c>
      <c r="J8486" t="s">
        <v>3423</v>
      </c>
    </row>
    <row r="8487" spans="9:10" x14ac:dyDescent="0.3">
      <c r="I8487" t="s">
        <v>15622</v>
      </c>
      <c r="J8487" t="s">
        <v>3424</v>
      </c>
    </row>
    <row r="8488" spans="9:10" x14ac:dyDescent="0.3">
      <c r="I8488" t="s">
        <v>15623</v>
      </c>
      <c r="J8488" t="s">
        <v>3425</v>
      </c>
    </row>
    <row r="8489" spans="9:10" x14ac:dyDescent="0.3">
      <c r="I8489" t="s">
        <v>15624</v>
      </c>
      <c r="J8489" t="s">
        <v>3426</v>
      </c>
    </row>
    <row r="8490" spans="9:10" x14ac:dyDescent="0.3">
      <c r="I8490" t="s">
        <v>15625</v>
      </c>
      <c r="J8490" t="s">
        <v>3427</v>
      </c>
    </row>
    <row r="8491" spans="9:10" x14ac:dyDescent="0.3">
      <c r="I8491" t="s">
        <v>15626</v>
      </c>
      <c r="J8491" t="s">
        <v>3428</v>
      </c>
    </row>
    <row r="8492" spans="9:10" x14ac:dyDescent="0.3">
      <c r="I8492" t="s">
        <v>15627</v>
      </c>
      <c r="J8492" t="s">
        <v>3429</v>
      </c>
    </row>
    <row r="8493" spans="9:10" x14ac:dyDescent="0.3">
      <c r="I8493" t="s">
        <v>15628</v>
      </c>
      <c r="J8493" t="s">
        <v>3429</v>
      </c>
    </row>
    <row r="8494" spans="9:10" x14ac:dyDescent="0.3">
      <c r="I8494" t="s">
        <v>15629</v>
      </c>
      <c r="J8494" t="s">
        <v>731</v>
      </c>
    </row>
    <row r="8495" spans="9:10" x14ac:dyDescent="0.3">
      <c r="I8495" t="s">
        <v>15629</v>
      </c>
      <c r="J8495" t="s">
        <v>731</v>
      </c>
    </row>
    <row r="8496" spans="9:10" x14ac:dyDescent="0.3">
      <c r="I8496" t="s">
        <v>15630</v>
      </c>
      <c r="J8496" t="s">
        <v>3430</v>
      </c>
    </row>
    <row r="8497" spans="9:10" x14ac:dyDescent="0.3">
      <c r="I8497" t="s">
        <v>15631</v>
      </c>
      <c r="J8497" t="s">
        <v>3431</v>
      </c>
    </row>
    <row r="8498" spans="9:10" x14ac:dyDescent="0.3">
      <c r="I8498" t="s">
        <v>15631</v>
      </c>
      <c r="J8498" t="s">
        <v>3431</v>
      </c>
    </row>
    <row r="8499" spans="9:10" x14ac:dyDescent="0.3">
      <c r="I8499" t="s">
        <v>15632</v>
      </c>
      <c r="J8499" t="s">
        <v>3432</v>
      </c>
    </row>
    <row r="8500" spans="9:10" x14ac:dyDescent="0.3">
      <c r="I8500" t="s">
        <v>15633</v>
      </c>
      <c r="J8500" t="s">
        <v>3432</v>
      </c>
    </row>
    <row r="8501" spans="9:10" x14ac:dyDescent="0.3">
      <c r="I8501" t="s">
        <v>15634</v>
      </c>
    </row>
    <row r="8502" spans="9:10" x14ac:dyDescent="0.3">
      <c r="I8502" t="s">
        <v>15635</v>
      </c>
      <c r="J8502" t="s">
        <v>3433</v>
      </c>
    </row>
    <row r="8503" spans="9:10" x14ac:dyDescent="0.3">
      <c r="I8503" t="s">
        <v>15636</v>
      </c>
    </row>
    <row r="8504" spans="9:10" x14ac:dyDescent="0.3">
      <c r="I8504" t="s">
        <v>15637</v>
      </c>
      <c r="J8504" t="s">
        <v>3434</v>
      </c>
    </row>
    <row r="8505" spans="9:10" x14ac:dyDescent="0.3">
      <c r="I8505" t="s">
        <v>15638</v>
      </c>
      <c r="J8505" t="s">
        <v>3435</v>
      </c>
    </row>
    <row r="8506" spans="9:10" x14ac:dyDescent="0.3">
      <c r="I8506" t="s">
        <v>15639</v>
      </c>
    </row>
    <row r="8507" spans="9:10" x14ac:dyDescent="0.3">
      <c r="I8507" t="s">
        <v>15640</v>
      </c>
    </row>
    <row r="8508" spans="9:10" x14ac:dyDescent="0.3">
      <c r="I8508" t="s">
        <v>15641</v>
      </c>
      <c r="J8508" t="s">
        <v>536</v>
      </c>
    </row>
    <row r="8509" spans="9:10" x14ac:dyDescent="0.3">
      <c r="I8509" t="s">
        <v>535</v>
      </c>
      <c r="J8509" t="s">
        <v>536</v>
      </c>
    </row>
    <row r="8510" spans="9:10" x14ac:dyDescent="0.3">
      <c r="I8510" t="s">
        <v>535</v>
      </c>
      <c r="J8510" t="s">
        <v>536</v>
      </c>
    </row>
    <row r="8511" spans="9:10" x14ac:dyDescent="0.3">
      <c r="I8511" t="s">
        <v>15642</v>
      </c>
      <c r="J8511" t="s">
        <v>536</v>
      </c>
    </row>
    <row r="8512" spans="9:10" x14ac:dyDescent="0.3">
      <c r="I8512" t="s">
        <v>15643</v>
      </c>
      <c r="J8512" t="s">
        <v>3436</v>
      </c>
    </row>
    <row r="8513" spans="9:10" x14ac:dyDescent="0.3">
      <c r="I8513" t="s">
        <v>15644</v>
      </c>
      <c r="J8513" t="s">
        <v>478</v>
      </c>
    </row>
    <row r="8514" spans="9:10" x14ac:dyDescent="0.3">
      <c r="I8514" t="s">
        <v>15644</v>
      </c>
      <c r="J8514" t="s">
        <v>478</v>
      </c>
    </row>
    <row r="8515" spans="9:10" x14ac:dyDescent="0.3">
      <c r="I8515" t="s">
        <v>15645</v>
      </c>
      <c r="J8515" t="s">
        <v>3437</v>
      </c>
    </row>
    <row r="8516" spans="9:10" x14ac:dyDescent="0.3">
      <c r="I8516" t="s">
        <v>15646</v>
      </c>
      <c r="J8516" t="s">
        <v>3438</v>
      </c>
    </row>
    <row r="8517" spans="9:10" x14ac:dyDescent="0.3">
      <c r="I8517" t="s">
        <v>15647</v>
      </c>
      <c r="J8517" t="s">
        <v>3439</v>
      </c>
    </row>
    <row r="8518" spans="9:10" x14ac:dyDescent="0.3">
      <c r="I8518" t="s">
        <v>15648</v>
      </c>
      <c r="J8518" t="s">
        <v>3439</v>
      </c>
    </row>
    <row r="8519" spans="9:10" x14ac:dyDescent="0.3">
      <c r="I8519" t="s">
        <v>15649</v>
      </c>
      <c r="J8519" t="s">
        <v>3440</v>
      </c>
    </row>
    <row r="8520" spans="9:10" x14ac:dyDescent="0.3">
      <c r="I8520" t="s">
        <v>15650</v>
      </c>
      <c r="J8520" t="s">
        <v>906</v>
      </c>
    </row>
    <row r="8521" spans="9:10" x14ac:dyDescent="0.3">
      <c r="I8521" t="s">
        <v>15651</v>
      </c>
      <c r="J8521" t="s">
        <v>906</v>
      </c>
    </row>
    <row r="8522" spans="9:10" x14ac:dyDescent="0.3">
      <c r="I8522" t="s">
        <v>15652</v>
      </c>
      <c r="J8522" t="s">
        <v>3441</v>
      </c>
    </row>
    <row r="8523" spans="9:10" x14ac:dyDescent="0.3">
      <c r="I8523" t="s">
        <v>15653</v>
      </c>
      <c r="J8523" t="s">
        <v>3442</v>
      </c>
    </row>
    <row r="8524" spans="9:10" x14ac:dyDescent="0.3">
      <c r="I8524" t="s">
        <v>15654</v>
      </c>
      <c r="J8524" t="s">
        <v>3443</v>
      </c>
    </row>
    <row r="8525" spans="9:10" x14ac:dyDescent="0.3">
      <c r="I8525" t="s">
        <v>15655</v>
      </c>
      <c r="J8525" t="s">
        <v>741</v>
      </c>
    </row>
    <row r="8526" spans="9:10" x14ac:dyDescent="0.3">
      <c r="I8526" t="s">
        <v>15656</v>
      </c>
      <c r="J8526" t="s">
        <v>3444</v>
      </c>
    </row>
    <row r="8527" spans="9:10" x14ac:dyDescent="0.3">
      <c r="I8527" t="s">
        <v>15657</v>
      </c>
      <c r="J8527" t="s">
        <v>412</v>
      </c>
    </row>
    <row r="8528" spans="9:10" x14ac:dyDescent="0.3">
      <c r="I8528" t="s">
        <v>15658</v>
      </c>
      <c r="J8528" t="s">
        <v>3445</v>
      </c>
    </row>
    <row r="8529" spans="9:10" x14ac:dyDescent="0.3">
      <c r="I8529" t="s">
        <v>15659</v>
      </c>
      <c r="J8529" t="s">
        <v>917</v>
      </c>
    </row>
    <row r="8530" spans="9:10" x14ac:dyDescent="0.3">
      <c r="I8530" t="s">
        <v>15660</v>
      </c>
      <c r="J8530" t="s">
        <v>344</v>
      </c>
    </row>
    <row r="8531" spans="9:10" x14ac:dyDescent="0.3">
      <c r="I8531" t="s">
        <v>15660</v>
      </c>
      <c r="J8531" t="s">
        <v>344</v>
      </c>
    </row>
    <row r="8532" spans="9:10" x14ac:dyDescent="0.3">
      <c r="I8532" t="s">
        <v>15661</v>
      </c>
      <c r="J8532" t="s">
        <v>3446</v>
      </c>
    </row>
    <row r="8533" spans="9:10" x14ac:dyDescent="0.3">
      <c r="I8533" t="s">
        <v>15662</v>
      </c>
      <c r="J8533" t="s">
        <v>3446</v>
      </c>
    </row>
    <row r="8534" spans="9:10" x14ac:dyDescent="0.3">
      <c r="I8534" t="s">
        <v>15663</v>
      </c>
      <c r="J8534" t="s">
        <v>3447</v>
      </c>
    </row>
    <row r="8535" spans="9:10" x14ac:dyDescent="0.3">
      <c r="I8535" t="s">
        <v>15664</v>
      </c>
      <c r="J8535" t="s">
        <v>3448</v>
      </c>
    </row>
    <row r="8536" spans="9:10" x14ac:dyDescent="0.3">
      <c r="I8536" t="s">
        <v>15665</v>
      </c>
      <c r="J8536" t="s">
        <v>3449</v>
      </c>
    </row>
    <row r="8537" spans="9:10" x14ac:dyDescent="0.3">
      <c r="I8537" t="s">
        <v>15666</v>
      </c>
      <c r="J8537" t="s">
        <v>545</v>
      </c>
    </row>
    <row r="8538" spans="9:10" x14ac:dyDescent="0.3">
      <c r="I8538" t="s">
        <v>15667</v>
      </c>
      <c r="J8538" t="s">
        <v>545</v>
      </c>
    </row>
    <row r="8539" spans="9:10" x14ac:dyDescent="0.3">
      <c r="I8539" t="s">
        <v>15668</v>
      </c>
      <c r="J8539" t="s">
        <v>545</v>
      </c>
    </row>
    <row r="8540" spans="9:10" x14ac:dyDescent="0.3">
      <c r="I8540" t="s">
        <v>15666</v>
      </c>
      <c r="J8540" t="s">
        <v>545</v>
      </c>
    </row>
    <row r="8541" spans="9:10" x14ac:dyDescent="0.3">
      <c r="I8541" t="s">
        <v>15669</v>
      </c>
      <c r="J8541" t="s">
        <v>545</v>
      </c>
    </row>
    <row r="8542" spans="9:10" x14ac:dyDescent="0.3">
      <c r="I8542" t="s">
        <v>15668</v>
      </c>
      <c r="J8542" t="s">
        <v>545</v>
      </c>
    </row>
    <row r="8543" spans="9:10" x14ac:dyDescent="0.3">
      <c r="I8543" t="s">
        <v>15667</v>
      </c>
      <c r="J8543" t="s">
        <v>545</v>
      </c>
    </row>
    <row r="8544" spans="9:10" x14ac:dyDescent="0.3">
      <c r="I8544" t="s">
        <v>15670</v>
      </c>
      <c r="J8544" t="s">
        <v>545</v>
      </c>
    </row>
    <row r="8545" spans="9:10" x14ac:dyDescent="0.3">
      <c r="I8545" t="s">
        <v>15671</v>
      </c>
      <c r="J8545" t="s">
        <v>545</v>
      </c>
    </row>
    <row r="8546" spans="9:10" x14ac:dyDescent="0.3">
      <c r="I8546" t="s">
        <v>15666</v>
      </c>
      <c r="J8546" t="s">
        <v>545</v>
      </c>
    </row>
    <row r="8547" spans="9:10" x14ac:dyDescent="0.3">
      <c r="I8547" t="s">
        <v>15666</v>
      </c>
      <c r="J8547" t="s">
        <v>545</v>
      </c>
    </row>
    <row r="8548" spans="9:10" x14ac:dyDescent="0.3">
      <c r="I8548" t="s">
        <v>15672</v>
      </c>
      <c r="J8548" t="s">
        <v>545</v>
      </c>
    </row>
    <row r="8549" spans="9:10" x14ac:dyDescent="0.3">
      <c r="I8549" t="s">
        <v>544</v>
      </c>
      <c r="J8549" t="s">
        <v>545</v>
      </c>
    </row>
    <row r="8550" spans="9:10" x14ac:dyDescent="0.3">
      <c r="I8550" t="s">
        <v>15673</v>
      </c>
      <c r="J8550" t="s">
        <v>545</v>
      </c>
    </row>
    <row r="8551" spans="9:10" x14ac:dyDescent="0.3">
      <c r="I8551" t="s">
        <v>15674</v>
      </c>
      <c r="J8551" t="s">
        <v>545</v>
      </c>
    </row>
    <row r="8552" spans="9:10" x14ac:dyDescent="0.3">
      <c r="I8552" t="s">
        <v>15675</v>
      </c>
      <c r="J8552" t="s">
        <v>545</v>
      </c>
    </row>
    <row r="8553" spans="9:10" x14ac:dyDescent="0.3">
      <c r="I8553" t="s">
        <v>15676</v>
      </c>
      <c r="J8553" t="s">
        <v>545</v>
      </c>
    </row>
    <row r="8554" spans="9:10" x14ac:dyDescent="0.3">
      <c r="I8554" t="s">
        <v>544</v>
      </c>
      <c r="J8554" t="s">
        <v>545</v>
      </c>
    </row>
    <row r="8555" spans="9:10" x14ac:dyDescent="0.3">
      <c r="I8555" t="s">
        <v>15677</v>
      </c>
      <c r="J8555" t="s">
        <v>545</v>
      </c>
    </row>
    <row r="8556" spans="9:10" x14ac:dyDescent="0.3">
      <c r="I8556" t="s">
        <v>15673</v>
      </c>
      <c r="J8556" t="s">
        <v>545</v>
      </c>
    </row>
    <row r="8557" spans="9:10" x14ac:dyDescent="0.3">
      <c r="I8557" t="s">
        <v>15678</v>
      </c>
      <c r="J8557" t="s">
        <v>648</v>
      </c>
    </row>
    <row r="8558" spans="9:10" x14ac:dyDescent="0.3">
      <c r="I8558" t="s">
        <v>15679</v>
      </c>
      <c r="J8558" t="s">
        <v>3450</v>
      </c>
    </row>
    <row r="8559" spans="9:10" x14ac:dyDescent="0.3">
      <c r="I8559" t="s">
        <v>15680</v>
      </c>
      <c r="J8559" t="s">
        <v>437</v>
      </c>
    </row>
    <row r="8560" spans="9:10" x14ac:dyDescent="0.3">
      <c r="I8560" t="s">
        <v>15681</v>
      </c>
      <c r="J8560" t="s">
        <v>437</v>
      </c>
    </row>
    <row r="8561" spans="9:10" x14ac:dyDescent="0.3">
      <c r="I8561" t="s">
        <v>15680</v>
      </c>
      <c r="J8561" t="s">
        <v>437</v>
      </c>
    </row>
    <row r="8562" spans="9:10" x14ac:dyDescent="0.3">
      <c r="I8562" t="s">
        <v>15682</v>
      </c>
      <c r="J8562" t="s">
        <v>423</v>
      </c>
    </row>
    <row r="8563" spans="9:10" x14ac:dyDescent="0.3">
      <c r="I8563" t="s">
        <v>15683</v>
      </c>
      <c r="J8563" t="s">
        <v>3451</v>
      </c>
    </row>
    <row r="8564" spans="9:10" x14ac:dyDescent="0.3">
      <c r="I8564" t="s">
        <v>15684</v>
      </c>
    </row>
    <row r="8565" spans="9:10" x14ac:dyDescent="0.3">
      <c r="I8565" t="s">
        <v>15685</v>
      </c>
      <c r="J8565" t="s">
        <v>3452</v>
      </c>
    </row>
    <row r="8566" spans="9:10" x14ac:dyDescent="0.3">
      <c r="I8566" t="s">
        <v>15686</v>
      </c>
      <c r="J8566" t="s">
        <v>3452</v>
      </c>
    </row>
    <row r="8567" spans="9:10" x14ac:dyDescent="0.3">
      <c r="I8567" t="s">
        <v>15685</v>
      </c>
      <c r="J8567" t="s">
        <v>3452</v>
      </c>
    </row>
    <row r="8568" spans="9:10" x14ac:dyDescent="0.3">
      <c r="I8568" t="s">
        <v>15687</v>
      </c>
      <c r="J8568" t="s">
        <v>3453</v>
      </c>
    </row>
    <row r="8569" spans="9:10" x14ac:dyDescent="0.3">
      <c r="I8569" t="s">
        <v>15688</v>
      </c>
      <c r="J8569" t="s">
        <v>429</v>
      </c>
    </row>
    <row r="8570" spans="9:10" x14ac:dyDescent="0.3">
      <c r="I8570" t="s">
        <v>15689</v>
      </c>
      <c r="J8570" t="s">
        <v>3454</v>
      </c>
    </row>
    <row r="8571" spans="9:10" x14ac:dyDescent="0.3">
      <c r="I8571" t="s">
        <v>15690</v>
      </c>
      <c r="J8571" t="s">
        <v>3455</v>
      </c>
    </row>
    <row r="8572" spans="9:10" x14ac:dyDescent="0.3">
      <c r="I8572" t="s">
        <v>327</v>
      </c>
      <c r="J8572" t="s">
        <v>328</v>
      </c>
    </row>
    <row r="8573" spans="9:10" x14ac:dyDescent="0.3">
      <c r="I8573" t="s">
        <v>15691</v>
      </c>
      <c r="J8573" t="s">
        <v>3456</v>
      </c>
    </row>
    <row r="8574" spans="9:10" x14ac:dyDescent="0.3">
      <c r="I8574" t="s">
        <v>15692</v>
      </c>
      <c r="J8574" t="s">
        <v>3457</v>
      </c>
    </row>
    <row r="8575" spans="9:10" x14ac:dyDescent="0.3">
      <c r="I8575" t="s">
        <v>15693</v>
      </c>
      <c r="J8575" t="s">
        <v>3458</v>
      </c>
    </row>
    <row r="8576" spans="9:10" x14ac:dyDescent="0.3">
      <c r="I8576" t="s">
        <v>15693</v>
      </c>
      <c r="J8576" t="s">
        <v>3458</v>
      </c>
    </row>
    <row r="8577" spans="9:10" x14ac:dyDescent="0.3">
      <c r="I8577" t="s">
        <v>15693</v>
      </c>
      <c r="J8577" t="s">
        <v>3458</v>
      </c>
    </row>
    <row r="8578" spans="9:10" x14ac:dyDescent="0.3">
      <c r="I8578" t="s">
        <v>15694</v>
      </c>
      <c r="J8578" t="s">
        <v>3459</v>
      </c>
    </row>
    <row r="8579" spans="9:10" x14ac:dyDescent="0.3">
      <c r="I8579" t="s">
        <v>15694</v>
      </c>
      <c r="J8579" t="s">
        <v>3459</v>
      </c>
    </row>
    <row r="8580" spans="9:10" x14ac:dyDescent="0.3">
      <c r="I8580" t="s">
        <v>15695</v>
      </c>
      <c r="J8580" t="s">
        <v>542</v>
      </c>
    </row>
    <row r="8581" spans="9:10" x14ac:dyDescent="0.3">
      <c r="I8581" t="s">
        <v>15696</v>
      </c>
      <c r="J8581" t="s">
        <v>3460</v>
      </c>
    </row>
    <row r="8582" spans="9:10" x14ac:dyDescent="0.3">
      <c r="I8582" t="s">
        <v>15697</v>
      </c>
      <c r="J8582" t="s">
        <v>3461</v>
      </c>
    </row>
    <row r="8583" spans="9:10" x14ac:dyDescent="0.3">
      <c r="I8583" t="s">
        <v>15698</v>
      </c>
      <c r="J8583" t="s">
        <v>3462</v>
      </c>
    </row>
    <row r="8584" spans="9:10" x14ac:dyDescent="0.3">
      <c r="I8584" t="s">
        <v>15699</v>
      </c>
      <c r="J8584" t="s">
        <v>389</v>
      </c>
    </row>
    <row r="8585" spans="9:10" x14ac:dyDescent="0.3">
      <c r="I8585" t="s">
        <v>15700</v>
      </c>
      <c r="J8585" t="s">
        <v>389</v>
      </c>
    </row>
    <row r="8586" spans="9:10" x14ac:dyDescent="0.3">
      <c r="I8586" t="s">
        <v>15701</v>
      </c>
      <c r="J8586" t="s">
        <v>3463</v>
      </c>
    </row>
    <row r="8587" spans="9:10" x14ac:dyDescent="0.3">
      <c r="I8587" t="s">
        <v>15702</v>
      </c>
      <c r="J8587" t="s">
        <v>326</v>
      </c>
    </row>
    <row r="8588" spans="9:10" x14ac:dyDescent="0.3">
      <c r="I8588" t="s">
        <v>15703</v>
      </c>
      <c r="J8588" t="s">
        <v>3464</v>
      </c>
    </row>
    <row r="8589" spans="9:10" x14ac:dyDescent="0.3">
      <c r="I8589" t="s">
        <v>15704</v>
      </c>
      <c r="J8589" t="s">
        <v>927</v>
      </c>
    </row>
    <row r="8590" spans="9:10" x14ac:dyDescent="0.3">
      <c r="I8590" t="s">
        <v>15705</v>
      </c>
      <c r="J8590" t="s">
        <v>391</v>
      </c>
    </row>
    <row r="8591" spans="9:10" x14ac:dyDescent="0.3">
      <c r="I8591" t="s">
        <v>15706</v>
      </c>
      <c r="J8591" t="s">
        <v>3465</v>
      </c>
    </row>
    <row r="8592" spans="9:10" x14ac:dyDescent="0.3">
      <c r="I8592" t="s">
        <v>15707</v>
      </c>
      <c r="J8592" t="s">
        <v>392</v>
      </c>
    </row>
    <row r="8593" spans="9:10" x14ac:dyDescent="0.3">
      <c r="I8593" t="s">
        <v>15708</v>
      </c>
      <c r="J8593" t="s">
        <v>3466</v>
      </c>
    </row>
    <row r="8594" spans="9:10" x14ac:dyDescent="0.3">
      <c r="I8594" t="s">
        <v>15709</v>
      </c>
      <c r="J8594" t="s">
        <v>3467</v>
      </c>
    </row>
    <row r="8595" spans="9:10" x14ac:dyDescent="0.3">
      <c r="I8595" t="s">
        <v>15710</v>
      </c>
      <c r="J8595" t="s">
        <v>3468</v>
      </c>
    </row>
    <row r="8596" spans="9:10" x14ac:dyDescent="0.3">
      <c r="I8596" t="s">
        <v>15711</v>
      </c>
      <c r="J8596" t="s">
        <v>3469</v>
      </c>
    </row>
    <row r="8597" spans="9:10" x14ac:dyDescent="0.3">
      <c r="I8597" t="s">
        <v>15712</v>
      </c>
      <c r="J8597" t="s">
        <v>934</v>
      </c>
    </row>
    <row r="8598" spans="9:10" x14ac:dyDescent="0.3">
      <c r="I8598" t="s">
        <v>15713</v>
      </c>
      <c r="J8598" t="s">
        <v>427</v>
      </c>
    </row>
    <row r="8599" spans="9:10" x14ac:dyDescent="0.3">
      <c r="I8599" t="s">
        <v>15714</v>
      </c>
      <c r="J8599" t="s">
        <v>3470</v>
      </c>
    </row>
    <row r="8600" spans="9:10" x14ac:dyDescent="0.3">
      <c r="I8600" t="s">
        <v>15715</v>
      </c>
      <c r="J8600" t="s">
        <v>430</v>
      </c>
    </row>
    <row r="8601" spans="9:10" x14ac:dyDescent="0.3">
      <c r="I8601" t="s">
        <v>560</v>
      </c>
      <c r="J8601" t="s">
        <v>561</v>
      </c>
    </row>
    <row r="8602" spans="9:10" x14ac:dyDescent="0.3">
      <c r="I8602" t="s">
        <v>560</v>
      </c>
      <c r="J8602" t="s">
        <v>561</v>
      </c>
    </row>
    <row r="8603" spans="9:10" x14ac:dyDescent="0.3">
      <c r="I8603" t="s">
        <v>560</v>
      </c>
      <c r="J8603" t="s">
        <v>561</v>
      </c>
    </row>
    <row r="8604" spans="9:10" x14ac:dyDescent="0.3">
      <c r="I8604" t="s">
        <v>684</v>
      </c>
      <c r="J8604" t="s">
        <v>685</v>
      </c>
    </row>
    <row r="8605" spans="9:10" x14ac:dyDescent="0.3">
      <c r="I8605" t="s">
        <v>684</v>
      </c>
      <c r="J8605" t="s">
        <v>685</v>
      </c>
    </row>
    <row r="8606" spans="9:10" x14ac:dyDescent="0.3">
      <c r="I8606" t="s">
        <v>15716</v>
      </c>
      <c r="J8606" t="s">
        <v>685</v>
      </c>
    </row>
    <row r="8607" spans="9:10" x14ac:dyDescent="0.3">
      <c r="I8607" t="s">
        <v>15717</v>
      </c>
      <c r="J8607" t="s">
        <v>706</v>
      </c>
    </row>
    <row r="8608" spans="9:10" x14ac:dyDescent="0.3">
      <c r="I8608" t="s">
        <v>15717</v>
      </c>
      <c r="J8608" t="s">
        <v>706</v>
      </c>
    </row>
    <row r="8609" spans="9:10" x14ac:dyDescent="0.3">
      <c r="I8609" t="s">
        <v>15718</v>
      </c>
      <c r="J8609" t="s">
        <v>706</v>
      </c>
    </row>
    <row r="8610" spans="9:10" x14ac:dyDescent="0.3">
      <c r="I8610" t="s">
        <v>15719</v>
      </c>
      <c r="J8610" t="s">
        <v>3471</v>
      </c>
    </row>
    <row r="8611" spans="9:10" x14ac:dyDescent="0.3">
      <c r="I8611" t="s">
        <v>15720</v>
      </c>
      <c r="J8611" t="s">
        <v>3472</v>
      </c>
    </row>
    <row r="8612" spans="9:10" x14ac:dyDescent="0.3">
      <c r="I8612" t="s">
        <v>15721</v>
      </c>
      <c r="J8612" t="s">
        <v>3473</v>
      </c>
    </row>
    <row r="8613" spans="9:10" x14ac:dyDescent="0.3">
      <c r="I8613" t="s">
        <v>15722</v>
      </c>
      <c r="J8613" t="s">
        <v>3474</v>
      </c>
    </row>
    <row r="8614" spans="9:10" x14ac:dyDescent="0.3">
      <c r="I8614" t="s">
        <v>15723</v>
      </c>
      <c r="J8614" t="s">
        <v>3475</v>
      </c>
    </row>
    <row r="8615" spans="9:10" x14ac:dyDescent="0.3">
      <c r="I8615" t="s">
        <v>15724</v>
      </c>
      <c r="J8615" t="s">
        <v>3476</v>
      </c>
    </row>
    <row r="8616" spans="9:10" x14ac:dyDescent="0.3">
      <c r="I8616" t="s">
        <v>15725</v>
      </c>
      <c r="J8616" t="s">
        <v>3477</v>
      </c>
    </row>
    <row r="8617" spans="9:10" x14ac:dyDescent="0.3">
      <c r="I8617" t="s">
        <v>15726</v>
      </c>
      <c r="J8617" t="s">
        <v>3478</v>
      </c>
    </row>
    <row r="8618" spans="9:10" x14ac:dyDescent="0.3">
      <c r="I8618" t="s">
        <v>15727</v>
      </c>
      <c r="J8618" t="s">
        <v>893</v>
      </c>
    </row>
    <row r="8619" spans="9:10" x14ac:dyDescent="0.3">
      <c r="I8619" t="s">
        <v>15728</v>
      </c>
      <c r="J8619" t="s">
        <v>893</v>
      </c>
    </row>
    <row r="8620" spans="9:10" x14ac:dyDescent="0.3">
      <c r="I8620" t="s">
        <v>15729</v>
      </c>
      <c r="J8620" t="s">
        <v>117</v>
      </c>
    </row>
    <row r="8621" spans="9:10" x14ac:dyDescent="0.3">
      <c r="I8621" t="s">
        <v>15729</v>
      </c>
      <c r="J8621" t="s">
        <v>117</v>
      </c>
    </row>
    <row r="8622" spans="9:10" x14ac:dyDescent="0.3">
      <c r="I8622" t="s">
        <v>15730</v>
      </c>
      <c r="J8622" t="s">
        <v>571</v>
      </c>
    </row>
    <row r="8623" spans="9:10" x14ac:dyDescent="0.3">
      <c r="I8623" t="s">
        <v>15731</v>
      </c>
      <c r="J8623" t="s">
        <v>571</v>
      </c>
    </row>
    <row r="8624" spans="9:10" x14ac:dyDescent="0.3">
      <c r="I8624" t="s">
        <v>15730</v>
      </c>
      <c r="J8624" t="s">
        <v>571</v>
      </c>
    </row>
    <row r="8625" spans="9:10" x14ac:dyDescent="0.3">
      <c r="I8625" t="s">
        <v>199</v>
      </c>
      <c r="J8625" t="s">
        <v>200</v>
      </c>
    </row>
    <row r="8626" spans="9:10" x14ac:dyDescent="0.3">
      <c r="I8626" t="s">
        <v>15732</v>
      </c>
      <c r="J8626" t="s">
        <v>3479</v>
      </c>
    </row>
    <row r="8627" spans="9:10" x14ac:dyDescent="0.3">
      <c r="I8627" t="s">
        <v>136</v>
      </c>
      <c r="J8627" t="s">
        <v>137</v>
      </c>
    </row>
    <row r="8628" spans="9:10" x14ac:dyDescent="0.3">
      <c r="I8628" t="s">
        <v>404</v>
      </c>
      <c r="J8628" t="s">
        <v>405</v>
      </c>
    </row>
    <row r="8629" spans="9:10" x14ac:dyDescent="0.3">
      <c r="I8629" t="s">
        <v>15733</v>
      </c>
      <c r="J8629" t="s">
        <v>3480</v>
      </c>
    </row>
    <row r="8630" spans="9:10" x14ac:dyDescent="0.3">
      <c r="I8630" t="s">
        <v>15734</v>
      </c>
      <c r="J8630" t="s">
        <v>3480</v>
      </c>
    </row>
    <row r="8631" spans="9:10" x14ac:dyDescent="0.3">
      <c r="I8631" t="s">
        <v>15735</v>
      </c>
      <c r="J8631" t="s">
        <v>3481</v>
      </c>
    </row>
    <row r="8632" spans="9:10" x14ac:dyDescent="0.3">
      <c r="I8632" t="s">
        <v>15736</v>
      </c>
      <c r="J8632" t="s">
        <v>3482</v>
      </c>
    </row>
    <row r="8633" spans="9:10" x14ac:dyDescent="0.3">
      <c r="I8633" t="s">
        <v>15737</v>
      </c>
      <c r="J8633" t="s">
        <v>3483</v>
      </c>
    </row>
    <row r="8634" spans="9:10" x14ac:dyDescent="0.3">
      <c r="I8634" t="s">
        <v>15738</v>
      </c>
      <c r="J8634" t="s">
        <v>3484</v>
      </c>
    </row>
    <row r="8635" spans="9:10" x14ac:dyDescent="0.3">
      <c r="I8635" t="s">
        <v>15739</v>
      </c>
      <c r="J8635" t="s">
        <v>3485</v>
      </c>
    </row>
    <row r="8636" spans="9:10" x14ac:dyDescent="0.3">
      <c r="I8636" t="s">
        <v>15740</v>
      </c>
      <c r="J8636" t="s">
        <v>3485</v>
      </c>
    </row>
    <row r="8637" spans="9:10" x14ac:dyDescent="0.3">
      <c r="I8637" t="s">
        <v>15741</v>
      </c>
      <c r="J8637" t="s">
        <v>3486</v>
      </c>
    </row>
    <row r="8638" spans="9:10" x14ac:dyDescent="0.3">
      <c r="I8638" t="s">
        <v>15742</v>
      </c>
      <c r="J8638" t="s">
        <v>138</v>
      </c>
    </row>
    <row r="8639" spans="9:10" x14ac:dyDescent="0.3">
      <c r="I8639" t="s">
        <v>15743</v>
      </c>
      <c r="J8639" t="s">
        <v>728</v>
      </c>
    </row>
    <row r="8640" spans="9:10" x14ac:dyDescent="0.3">
      <c r="I8640" t="s">
        <v>15744</v>
      </c>
      <c r="J8640" t="s">
        <v>651</v>
      </c>
    </row>
    <row r="8641" spans="9:10" x14ac:dyDescent="0.3">
      <c r="I8641" t="s">
        <v>15745</v>
      </c>
      <c r="J8641" t="s">
        <v>651</v>
      </c>
    </row>
    <row r="8642" spans="9:10" x14ac:dyDescent="0.3">
      <c r="I8642" t="s">
        <v>15746</v>
      </c>
      <c r="J8642" t="s">
        <v>3487</v>
      </c>
    </row>
    <row r="8643" spans="9:10" x14ac:dyDescent="0.3">
      <c r="I8643" t="s">
        <v>15747</v>
      </c>
      <c r="J8643" t="s">
        <v>3487</v>
      </c>
    </row>
    <row r="8644" spans="9:10" x14ac:dyDescent="0.3">
      <c r="I8644" t="s">
        <v>15748</v>
      </c>
      <c r="J8644" t="s">
        <v>3487</v>
      </c>
    </row>
    <row r="8645" spans="9:10" x14ac:dyDescent="0.3">
      <c r="I8645" t="s">
        <v>15749</v>
      </c>
      <c r="J8645" t="s">
        <v>3487</v>
      </c>
    </row>
    <row r="8646" spans="9:10" x14ac:dyDescent="0.3">
      <c r="I8646" t="s">
        <v>15750</v>
      </c>
      <c r="J8646" t="s">
        <v>3487</v>
      </c>
    </row>
    <row r="8647" spans="9:10" x14ac:dyDescent="0.3">
      <c r="I8647" t="s">
        <v>15751</v>
      </c>
      <c r="J8647" t="s">
        <v>3487</v>
      </c>
    </row>
    <row r="8648" spans="9:10" x14ac:dyDescent="0.3">
      <c r="I8648" t="s">
        <v>15752</v>
      </c>
      <c r="J8648" t="s">
        <v>1374</v>
      </c>
    </row>
    <row r="8649" spans="9:10" x14ac:dyDescent="0.3">
      <c r="I8649" t="s">
        <v>15753</v>
      </c>
      <c r="J8649" t="s">
        <v>3488</v>
      </c>
    </row>
    <row r="8650" spans="9:10" x14ac:dyDescent="0.3">
      <c r="I8650" t="s">
        <v>15754</v>
      </c>
      <c r="J8650" t="s">
        <v>3489</v>
      </c>
    </row>
    <row r="8651" spans="9:10" x14ac:dyDescent="0.3">
      <c r="I8651" t="s">
        <v>15755</v>
      </c>
      <c r="J8651" t="s">
        <v>859</v>
      </c>
    </row>
    <row r="8652" spans="9:10" x14ac:dyDescent="0.3">
      <c r="I8652" t="s">
        <v>15756</v>
      </c>
      <c r="J8652" t="s">
        <v>859</v>
      </c>
    </row>
    <row r="8653" spans="9:10" x14ac:dyDescent="0.3">
      <c r="I8653" t="s">
        <v>15757</v>
      </c>
      <c r="J8653" t="s">
        <v>3490</v>
      </c>
    </row>
    <row r="8654" spans="9:10" x14ac:dyDescent="0.3">
      <c r="I8654" t="s">
        <v>15758</v>
      </c>
      <c r="J8654" t="s">
        <v>3491</v>
      </c>
    </row>
    <row r="8655" spans="9:10" x14ac:dyDescent="0.3">
      <c r="I8655" t="s">
        <v>15759</v>
      </c>
      <c r="J8655" t="s">
        <v>3491</v>
      </c>
    </row>
    <row r="8656" spans="9:10" x14ac:dyDescent="0.3">
      <c r="I8656" t="s">
        <v>15760</v>
      </c>
      <c r="J8656" t="s">
        <v>3491</v>
      </c>
    </row>
    <row r="8657" spans="9:10" x14ac:dyDescent="0.3">
      <c r="I8657" t="s">
        <v>15761</v>
      </c>
      <c r="J8657" t="s">
        <v>3492</v>
      </c>
    </row>
    <row r="8658" spans="9:10" x14ac:dyDescent="0.3">
      <c r="I8658" t="s">
        <v>15762</v>
      </c>
      <c r="J8658" t="s">
        <v>312</v>
      </c>
    </row>
    <row r="8659" spans="9:10" x14ac:dyDescent="0.3">
      <c r="I8659" t="s">
        <v>15763</v>
      </c>
      <c r="J8659" t="s">
        <v>3493</v>
      </c>
    </row>
    <row r="8660" spans="9:10" x14ac:dyDescent="0.3">
      <c r="I8660" t="s">
        <v>15764</v>
      </c>
      <c r="J8660" t="s">
        <v>3494</v>
      </c>
    </row>
    <row r="8661" spans="9:10" x14ac:dyDescent="0.3">
      <c r="I8661" t="s">
        <v>15765</v>
      </c>
      <c r="J8661" t="s">
        <v>223</v>
      </c>
    </row>
    <row r="8662" spans="9:10" x14ac:dyDescent="0.3">
      <c r="I8662" t="s">
        <v>15766</v>
      </c>
      <c r="J8662" t="s">
        <v>223</v>
      </c>
    </row>
    <row r="8663" spans="9:10" x14ac:dyDescent="0.3">
      <c r="I8663" t="s">
        <v>15767</v>
      </c>
      <c r="J8663" t="s">
        <v>223</v>
      </c>
    </row>
    <row r="8664" spans="9:10" x14ac:dyDescent="0.3">
      <c r="I8664" t="s">
        <v>15768</v>
      </c>
      <c r="J8664" t="s">
        <v>223</v>
      </c>
    </row>
    <row r="8665" spans="9:10" x14ac:dyDescent="0.3">
      <c r="I8665" t="s">
        <v>15769</v>
      </c>
      <c r="J8665" t="s">
        <v>223</v>
      </c>
    </row>
    <row r="8666" spans="9:10" x14ac:dyDescent="0.3">
      <c r="I8666" t="s">
        <v>15770</v>
      </c>
      <c r="J8666" t="s">
        <v>3495</v>
      </c>
    </row>
    <row r="8667" spans="9:10" x14ac:dyDescent="0.3">
      <c r="I8667" t="s">
        <v>15771</v>
      </c>
      <c r="J8667" t="s">
        <v>3495</v>
      </c>
    </row>
    <row r="8668" spans="9:10" x14ac:dyDescent="0.3">
      <c r="I8668" t="s">
        <v>15772</v>
      </c>
      <c r="J8668" t="s">
        <v>3495</v>
      </c>
    </row>
    <row r="8669" spans="9:10" x14ac:dyDescent="0.3">
      <c r="I8669" t="s">
        <v>15773</v>
      </c>
      <c r="J8669" t="s">
        <v>224</v>
      </c>
    </row>
    <row r="8670" spans="9:10" x14ac:dyDescent="0.3">
      <c r="I8670" t="s">
        <v>15774</v>
      </c>
      <c r="J8670" t="s">
        <v>3496</v>
      </c>
    </row>
    <row r="8671" spans="9:10" x14ac:dyDescent="0.3">
      <c r="I8671" t="s">
        <v>15775</v>
      </c>
      <c r="J8671" t="s">
        <v>3496</v>
      </c>
    </row>
    <row r="8672" spans="9:10" x14ac:dyDescent="0.3">
      <c r="I8672" t="s">
        <v>15776</v>
      </c>
      <c r="J8672" t="s">
        <v>3497</v>
      </c>
    </row>
    <row r="8673" spans="9:10" x14ac:dyDescent="0.3">
      <c r="I8673" t="s">
        <v>15777</v>
      </c>
      <c r="J8673" t="s">
        <v>3498</v>
      </c>
    </row>
    <row r="8674" spans="9:10" x14ac:dyDescent="0.3">
      <c r="I8674" t="s">
        <v>15778</v>
      </c>
      <c r="J8674" t="s">
        <v>3499</v>
      </c>
    </row>
    <row r="8675" spans="9:10" x14ac:dyDescent="0.3">
      <c r="I8675" t="s">
        <v>15779</v>
      </c>
      <c r="J8675" t="s">
        <v>3500</v>
      </c>
    </row>
    <row r="8676" spans="9:10" x14ac:dyDescent="0.3">
      <c r="I8676" t="s">
        <v>15780</v>
      </c>
      <c r="J8676" t="s">
        <v>3501</v>
      </c>
    </row>
    <row r="8677" spans="9:10" x14ac:dyDescent="0.3">
      <c r="I8677" t="s">
        <v>15781</v>
      </c>
    </row>
    <row r="8678" spans="9:10" x14ac:dyDescent="0.3">
      <c r="I8678" t="s">
        <v>15782</v>
      </c>
      <c r="J8678" t="s">
        <v>3502</v>
      </c>
    </row>
    <row r="8679" spans="9:10" x14ac:dyDescent="0.3">
      <c r="I8679" t="s">
        <v>15783</v>
      </c>
      <c r="J8679" t="s">
        <v>3503</v>
      </c>
    </row>
    <row r="8680" spans="9:10" x14ac:dyDescent="0.3">
      <c r="I8680" t="s">
        <v>15784</v>
      </c>
      <c r="J8680" t="s">
        <v>3504</v>
      </c>
    </row>
    <row r="8681" spans="9:10" x14ac:dyDescent="0.3">
      <c r="I8681" t="s">
        <v>15785</v>
      </c>
      <c r="J8681" t="s">
        <v>3505</v>
      </c>
    </row>
    <row r="8682" spans="9:10" x14ac:dyDescent="0.3">
      <c r="I8682" t="s">
        <v>15786</v>
      </c>
      <c r="J8682" t="s">
        <v>3506</v>
      </c>
    </row>
    <row r="8683" spans="9:10" x14ac:dyDescent="0.3">
      <c r="I8683" t="s">
        <v>15787</v>
      </c>
      <c r="J8683" t="s">
        <v>3507</v>
      </c>
    </row>
    <row r="8684" spans="9:10" x14ac:dyDescent="0.3">
      <c r="I8684" t="s">
        <v>15788</v>
      </c>
      <c r="J8684" t="s">
        <v>3507</v>
      </c>
    </row>
    <row r="8685" spans="9:10" x14ac:dyDescent="0.3">
      <c r="I8685" t="s">
        <v>15789</v>
      </c>
    </row>
    <row r="8686" spans="9:10" x14ac:dyDescent="0.3">
      <c r="I8686" t="s">
        <v>15790</v>
      </c>
      <c r="J8686" t="s">
        <v>3508</v>
      </c>
    </row>
    <row r="8687" spans="9:10" x14ac:dyDescent="0.3">
      <c r="I8687" t="s">
        <v>15791</v>
      </c>
      <c r="J8687" t="s">
        <v>3509</v>
      </c>
    </row>
    <row r="8688" spans="9:10" x14ac:dyDescent="0.3">
      <c r="I8688" t="s">
        <v>15792</v>
      </c>
      <c r="J8688" t="s">
        <v>3510</v>
      </c>
    </row>
    <row r="8689" spans="9:10" x14ac:dyDescent="0.3">
      <c r="I8689" t="s">
        <v>15793</v>
      </c>
      <c r="J8689" t="s">
        <v>3511</v>
      </c>
    </row>
    <row r="8690" spans="9:10" x14ac:dyDescent="0.3">
      <c r="I8690" t="s">
        <v>15793</v>
      </c>
      <c r="J8690" t="s">
        <v>3511</v>
      </c>
    </row>
    <row r="8691" spans="9:10" x14ac:dyDescent="0.3">
      <c r="I8691" t="s">
        <v>15794</v>
      </c>
      <c r="J8691" t="s">
        <v>3512</v>
      </c>
    </row>
    <row r="8692" spans="9:10" x14ac:dyDescent="0.3">
      <c r="I8692" t="s">
        <v>15795</v>
      </c>
      <c r="J8692" t="s">
        <v>3512</v>
      </c>
    </row>
    <row r="8693" spans="9:10" x14ac:dyDescent="0.3">
      <c r="I8693" t="s">
        <v>15796</v>
      </c>
      <c r="J8693" t="s">
        <v>3513</v>
      </c>
    </row>
    <row r="8694" spans="9:10" x14ac:dyDescent="0.3">
      <c r="I8694" t="s">
        <v>15797</v>
      </c>
      <c r="J8694" t="s">
        <v>3513</v>
      </c>
    </row>
    <row r="8695" spans="9:10" x14ac:dyDescent="0.3">
      <c r="I8695" t="s">
        <v>15798</v>
      </c>
      <c r="J8695" t="s">
        <v>3514</v>
      </c>
    </row>
    <row r="8696" spans="9:10" x14ac:dyDescent="0.3">
      <c r="I8696" t="s">
        <v>15798</v>
      </c>
      <c r="J8696" t="s">
        <v>3514</v>
      </c>
    </row>
    <row r="8697" spans="9:10" x14ac:dyDescent="0.3">
      <c r="I8697" t="s">
        <v>15799</v>
      </c>
    </row>
    <row r="8698" spans="9:10" x14ac:dyDescent="0.3">
      <c r="I8698" t="s">
        <v>15799</v>
      </c>
    </row>
    <row r="8699" spans="9:10" x14ac:dyDescent="0.3">
      <c r="I8699" t="s">
        <v>15800</v>
      </c>
      <c r="J8699" t="s">
        <v>3515</v>
      </c>
    </row>
    <row r="8700" spans="9:10" x14ac:dyDescent="0.3">
      <c r="I8700" t="s">
        <v>15801</v>
      </c>
    </row>
    <row r="8701" spans="9:10" x14ac:dyDescent="0.3">
      <c r="I8701" t="s">
        <v>15802</v>
      </c>
    </row>
    <row r="8702" spans="9:10" x14ac:dyDescent="0.3">
      <c r="I8702" t="s">
        <v>15803</v>
      </c>
    </row>
    <row r="8703" spans="9:10" x14ac:dyDescent="0.3">
      <c r="I8703" t="s">
        <v>15804</v>
      </c>
      <c r="J8703" t="s">
        <v>3516</v>
      </c>
    </row>
    <row r="8704" spans="9:10" x14ac:dyDescent="0.3">
      <c r="I8704" t="s">
        <v>15804</v>
      </c>
      <c r="J8704" t="s">
        <v>3516</v>
      </c>
    </row>
    <row r="8705" spans="9:10" x14ac:dyDescent="0.3">
      <c r="I8705" t="s">
        <v>15805</v>
      </c>
      <c r="J8705" t="s">
        <v>3516</v>
      </c>
    </row>
    <row r="8706" spans="9:10" x14ac:dyDescent="0.3">
      <c r="I8706" t="s">
        <v>15804</v>
      </c>
      <c r="J8706" t="s">
        <v>3516</v>
      </c>
    </row>
    <row r="8707" spans="9:10" x14ac:dyDescent="0.3">
      <c r="I8707" t="s">
        <v>15806</v>
      </c>
      <c r="J8707" t="s">
        <v>286</v>
      </c>
    </row>
    <row r="8708" spans="9:10" x14ac:dyDescent="0.3">
      <c r="I8708" t="s">
        <v>15807</v>
      </c>
      <c r="J8708" t="s">
        <v>3517</v>
      </c>
    </row>
    <row r="8709" spans="9:10" x14ac:dyDescent="0.3">
      <c r="I8709" t="s">
        <v>15808</v>
      </c>
      <c r="J8709" t="s">
        <v>826</v>
      </c>
    </row>
    <row r="8710" spans="9:10" x14ac:dyDescent="0.3">
      <c r="I8710" t="s">
        <v>15808</v>
      </c>
      <c r="J8710" t="s">
        <v>826</v>
      </c>
    </row>
    <row r="8711" spans="9:10" x14ac:dyDescent="0.3">
      <c r="I8711" t="s">
        <v>15808</v>
      </c>
      <c r="J8711" t="s">
        <v>826</v>
      </c>
    </row>
    <row r="8712" spans="9:10" x14ac:dyDescent="0.3">
      <c r="I8712" t="s">
        <v>15809</v>
      </c>
      <c r="J8712" t="s">
        <v>3518</v>
      </c>
    </row>
    <row r="8713" spans="9:10" x14ac:dyDescent="0.3">
      <c r="I8713" t="s">
        <v>15810</v>
      </c>
      <c r="J8713" t="s">
        <v>3519</v>
      </c>
    </row>
    <row r="8714" spans="9:10" x14ac:dyDescent="0.3">
      <c r="I8714" t="s">
        <v>15811</v>
      </c>
    </row>
    <row r="8715" spans="9:10" x14ac:dyDescent="0.3">
      <c r="I8715" t="s">
        <v>15812</v>
      </c>
    </row>
    <row r="8716" spans="9:10" x14ac:dyDescent="0.3">
      <c r="I8716" t="s">
        <v>15813</v>
      </c>
    </row>
    <row r="8717" spans="9:10" x14ac:dyDescent="0.3">
      <c r="I8717" t="s">
        <v>15814</v>
      </c>
    </row>
    <row r="8718" spans="9:10" x14ac:dyDescent="0.3">
      <c r="I8718" t="s">
        <v>15815</v>
      </c>
    </row>
    <row r="8719" spans="9:10" x14ac:dyDescent="0.3">
      <c r="I8719" t="s">
        <v>15816</v>
      </c>
    </row>
    <row r="8720" spans="9:10" x14ac:dyDescent="0.3">
      <c r="I8720" t="s">
        <v>15817</v>
      </c>
      <c r="J8720" t="s">
        <v>3520</v>
      </c>
    </row>
    <row r="8721" spans="9:10" x14ac:dyDescent="0.3">
      <c r="I8721" t="s">
        <v>15818</v>
      </c>
    </row>
    <row r="8722" spans="9:10" x14ac:dyDescent="0.3">
      <c r="I8722" t="s">
        <v>15819</v>
      </c>
      <c r="J8722" t="s">
        <v>3521</v>
      </c>
    </row>
    <row r="8723" spans="9:10" x14ac:dyDescent="0.3">
      <c r="I8723" t="s">
        <v>15820</v>
      </c>
    </row>
    <row r="8724" spans="9:10" x14ac:dyDescent="0.3">
      <c r="I8724" t="s">
        <v>15821</v>
      </c>
      <c r="J8724" t="s">
        <v>3522</v>
      </c>
    </row>
    <row r="8725" spans="9:10" x14ac:dyDescent="0.3">
      <c r="I8725" t="s">
        <v>15822</v>
      </c>
      <c r="J8725" t="s">
        <v>105</v>
      </c>
    </row>
    <row r="8726" spans="9:10" x14ac:dyDescent="0.3">
      <c r="I8726" t="s">
        <v>15823</v>
      </c>
      <c r="J8726" t="s">
        <v>105</v>
      </c>
    </row>
    <row r="8727" spans="9:10" x14ac:dyDescent="0.3">
      <c r="I8727" t="s">
        <v>15822</v>
      </c>
      <c r="J8727" t="s">
        <v>105</v>
      </c>
    </row>
    <row r="8728" spans="9:10" x14ac:dyDescent="0.3">
      <c r="I8728" t="s">
        <v>15824</v>
      </c>
      <c r="J8728" t="s">
        <v>3523</v>
      </c>
    </row>
    <row r="8729" spans="9:10" x14ac:dyDescent="0.3">
      <c r="I8729" t="s">
        <v>15825</v>
      </c>
      <c r="J8729">
        <v>0</v>
      </c>
    </row>
    <row r="8730" spans="9:10" x14ac:dyDescent="0.3">
      <c r="I8730" t="s">
        <v>15826</v>
      </c>
      <c r="J8730" t="s">
        <v>3524</v>
      </c>
    </row>
    <row r="8731" spans="9:10" x14ac:dyDescent="0.3">
      <c r="I8731" t="s">
        <v>15827</v>
      </c>
      <c r="J8731" t="s">
        <v>723</v>
      </c>
    </row>
    <row r="8732" spans="9:10" x14ac:dyDescent="0.3">
      <c r="I8732" t="s">
        <v>15828</v>
      </c>
      <c r="J8732" t="s">
        <v>794</v>
      </c>
    </row>
    <row r="8733" spans="9:10" x14ac:dyDescent="0.3">
      <c r="I8733" t="s">
        <v>15828</v>
      </c>
      <c r="J8733" t="s">
        <v>794</v>
      </c>
    </row>
    <row r="8734" spans="9:10" x14ac:dyDescent="0.3">
      <c r="I8734" t="s">
        <v>15829</v>
      </c>
      <c r="J8734" t="s">
        <v>3525</v>
      </c>
    </row>
    <row r="8735" spans="9:10" x14ac:dyDescent="0.3">
      <c r="I8735" t="s">
        <v>15830</v>
      </c>
      <c r="J8735" t="s">
        <v>3526</v>
      </c>
    </row>
    <row r="8736" spans="9:10" x14ac:dyDescent="0.3">
      <c r="I8736" t="s">
        <v>15831</v>
      </c>
    </row>
    <row r="8737" spans="9:10" x14ac:dyDescent="0.3">
      <c r="I8737" t="s">
        <v>15832</v>
      </c>
    </row>
    <row r="8738" spans="9:10" x14ac:dyDescent="0.3">
      <c r="I8738" t="s">
        <v>15833</v>
      </c>
      <c r="J8738" t="s">
        <v>3527</v>
      </c>
    </row>
    <row r="8739" spans="9:10" x14ac:dyDescent="0.3">
      <c r="I8739" t="s">
        <v>15834</v>
      </c>
      <c r="J8739" t="s">
        <v>3528</v>
      </c>
    </row>
    <row r="8740" spans="9:10" x14ac:dyDescent="0.3">
      <c r="I8740" t="s">
        <v>15835</v>
      </c>
    </row>
    <row r="8741" spans="9:10" x14ac:dyDescent="0.3">
      <c r="I8741" t="s">
        <v>15836</v>
      </c>
      <c r="J8741" t="s">
        <v>3529</v>
      </c>
    </row>
    <row r="8742" spans="9:10" x14ac:dyDescent="0.3">
      <c r="I8742" t="s">
        <v>15837</v>
      </c>
    </row>
    <row r="8743" spans="9:10" x14ac:dyDescent="0.3">
      <c r="I8743" t="s">
        <v>15838</v>
      </c>
      <c r="J8743" t="s">
        <v>3530</v>
      </c>
    </row>
    <row r="8744" spans="9:10" x14ac:dyDescent="0.3">
      <c r="I8744" t="s">
        <v>15839</v>
      </c>
      <c r="J8744" t="s">
        <v>3531</v>
      </c>
    </row>
    <row r="8745" spans="9:10" x14ac:dyDescent="0.3">
      <c r="I8745" t="s">
        <v>15840</v>
      </c>
      <c r="J8745" t="s">
        <v>3532</v>
      </c>
    </row>
    <row r="8746" spans="9:10" x14ac:dyDescent="0.3">
      <c r="I8746" t="s">
        <v>15841</v>
      </c>
      <c r="J8746" t="s">
        <v>3533</v>
      </c>
    </row>
    <row r="8747" spans="9:10" x14ac:dyDescent="0.3">
      <c r="I8747" t="s">
        <v>15842</v>
      </c>
      <c r="J8747" t="s">
        <v>3534</v>
      </c>
    </row>
    <row r="8748" spans="9:10" x14ac:dyDescent="0.3">
      <c r="I8748" t="s">
        <v>15843</v>
      </c>
      <c r="J8748" t="s">
        <v>3535</v>
      </c>
    </row>
    <row r="8749" spans="9:10" x14ac:dyDescent="0.3">
      <c r="I8749" t="s">
        <v>15844</v>
      </c>
      <c r="J8749" t="s">
        <v>3536</v>
      </c>
    </row>
    <row r="8750" spans="9:10" x14ac:dyDescent="0.3">
      <c r="I8750" t="s">
        <v>15845</v>
      </c>
      <c r="J8750" t="s">
        <v>3537</v>
      </c>
    </row>
    <row r="8751" spans="9:10" x14ac:dyDescent="0.3">
      <c r="I8751" t="s">
        <v>15846</v>
      </c>
      <c r="J8751" t="s">
        <v>3538</v>
      </c>
    </row>
    <row r="8752" spans="9:10" x14ac:dyDescent="0.3">
      <c r="I8752" t="s">
        <v>15847</v>
      </c>
      <c r="J8752" t="s">
        <v>3539</v>
      </c>
    </row>
    <row r="8753" spans="9:10" x14ac:dyDescent="0.3">
      <c r="I8753" t="s">
        <v>15848</v>
      </c>
      <c r="J8753" t="s">
        <v>3540</v>
      </c>
    </row>
    <row r="8754" spans="9:10" x14ac:dyDescent="0.3">
      <c r="I8754" t="s">
        <v>15849</v>
      </c>
      <c r="J8754" t="s">
        <v>3541</v>
      </c>
    </row>
    <row r="8755" spans="9:10" x14ac:dyDescent="0.3">
      <c r="I8755" t="s">
        <v>15850</v>
      </c>
      <c r="J8755" t="s">
        <v>3542</v>
      </c>
    </row>
    <row r="8756" spans="9:10" x14ac:dyDescent="0.3">
      <c r="I8756" t="s">
        <v>15851</v>
      </c>
      <c r="J8756" t="s">
        <v>3542</v>
      </c>
    </row>
    <row r="8757" spans="9:10" x14ac:dyDescent="0.3">
      <c r="I8757" t="s">
        <v>15852</v>
      </c>
      <c r="J8757" t="s">
        <v>3543</v>
      </c>
    </row>
    <row r="8758" spans="9:10" x14ac:dyDescent="0.3">
      <c r="I8758" t="s">
        <v>15853</v>
      </c>
      <c r="J8758" t="s">
        <v>3544</v>
      </c>
    </row>
    <row r="8759" spans="9:10" x14ac:dyDescent="0.3">
      <c r="I8759" t="s">
        <v>15854</v>
      </c>
      <c r="J8759" t="s">
        <v>3545</v>
      </c>
    </row>
    <row r="8760" spans="9:10" x14ac:dyDescent="0.3">
      <c r="I8760" t="s">
        <v>15855</v>
      </c>
      <c r="J8760" t="s">
        <v>3546</v>
      </c>
    </row>
    <row r="8761" spans="9:10" x14ac:dyDescent="0.3">
      <c r="I8761" t="s">
        <v>15856</v>
      </c>
      <c r="J8761" t="s">
        <v>3547</v>
      </c>
    </row>
    <row r="8762" spans="9:10" x14ac:dyDescent="0.3">
      <c r="I8762" t="s">
        <v>15857</v>
      </c>
      <c r="J8762" t="s">
        <v>3548</v>
      </c>
    </row>
    <row r="8763" spans="9:10" x14ac:dyDescent="0.3">
      <c r="I8763" t="s">
        <v>15858</v>
      </c>
      <c r="J8763" t="s">
        <v>3549</v>
      </c>
    </row>
    <row r="8764" spans="9:10" x14ac:dyDescent="0.3">
      <c r="I8764" t="s">
        <v>15859</v>
      </c>
    </row>
    <row r="8765" spans="9:10" x14ac:dyDescent="0.3">
      <c r="I8765" t="s">
        <v>15860</v>
      </c>
      <c r="J8765" t="s">
        <v>3550</v>
      </c>
    </row>
    <row r="8766" spans="9:10" x14ac:dyDescent="0.3">
      <c r="I8766" t="s">
        <v>15861</v>
      </c>
      <c r="J8766" t="s">
        <v>3551</v>
      </c>
    </row>
    <row r="8767" spans="9:10" x14ac:dyDescent="0.3">
      <c r="I8767" t="s">
        <v>15862</v>
      </c>
      <c r="J8767" t="s">
        <v>3546</v>
      </c>
    </row>
    <row r="8768" spans="9:10" x14ac:dyDescent="0.3">
      <c r="I8768" t="s">
        <v>15863</v>
      </c>
      <c r="J8768" t="s">
        <v>3546</v>
      </c>
    </row>
    <row r="8769" spans="9:10" x14ac:dyDescent="0.3">
      <c r="I8769" t="s">
        <v>15864</v>
      </c>
      <c r="J8769" t="s">
        <v>3552</v>
      </c>
    </row>
    <row r="8770" spans="9:10" x14ac:dyDescent="0.3">
      <c r="I8770" t="s">
        <v>15865</v>
      </c>
      <c r="J8770" t="s">
        <v>3552</v>
      </c>
    </row>
    <row r="8771" spans="9:10" x14ac:dyDescent="0.3">
      <c r="I8771" t="s">
        <v>15866</v>
      </c>
    </row>
    <row r="8772" spans="9:10" x14ac:dyDescent="0.3">
      <c r="I8772" t="s">
        <v>15867</v>
      </c>
      <c r="J8772" t="s">
        <v>3553</v>
      </c>
    </row>
    <row r="8773" spans="9:10" x14ac:dyDescent="0.3">
      <c r="I8773" t="s">
        <v>15868</v>
      </c>
      <c r="J8773" t="s">
        <v>3554</v>
      </c>
    </row>
    <row r="8774" spans="9:10" x14ac:dyDescent="0.3">
      <c r="I8774" t="s">
        <v>15869</v>
      </c>
    </row>
    <row r="8775" spans="9:10" x14ac:dyDescent="0.3">
      <c r="I8775" t="s">
        <v>15869</v>
      </c>
    </row>
    <row r="8776" spans="9:10" x14ac:dyDescent="0.3">
      <c r="I8776" t="s">
        <v>15870</v>
      </c>
    </row>
    <row r="8777" spans="9:10" x14ac:dyDescent="0.3">
      <c r="I8777" t="s">
        <v>15871</v>
      </c>
    </row>
    <row r="8778" spans="9:10" x14ac:dyDescent="0.3">
      <c r="I8778" t="s">
        <v>15872</v>
      </c>
    </row>
    <row r="8779" spans="9:10" x14ac:dyDescent="0.3">
      <c r="I8779" t="s">
        <v>15873</v>
      </c>
    </row>
    <row r="8780" spans="9:10" x14ac:dyDescent="0.3">
      <c r="I8780" t="s">
        <v>15874</v>
      </c>
    </row>
    <row r="8781" spans="9:10" x14ac:dyDescent="0.3">
      <c r="I8781" t="s">
        <v>15875</v>
      </c>
      <c r="J8781" t="s">
        <v>3555</v>
      </c>
    </row>
    <row r="8782" spans="9:10" x14ac:dyDescent="0.3">
      <c r="I8782" t="s">
        <v>15876</v>
      </c>
      <c r="J8782" t="s">
        <v>3556</v>
      </c>
    </row>
    <row r="8783" spans="9:10" x14ac:dyDescent="0.3">
      <c r="I8783" t="s">
        <v>15877</v>
      </c>
      <c r="J8783" t="s">
        <v>3557</v>
      </c>
    </row>
    <row r="8784" spans="9:10" x14ac:dyDescent="0.3">
      <c r="I8784" t="s">
        <v>15878</v>
      </c>
    </row>
    <row r="8785" spans="9:10" x14ac:dyDescent="0.3">
      <c r="I8785" t="s">
        <v>15879</v>
      </c>
    </row>
    <row r="8786" spans="9:10" x14ac:dyDescent="0.3">
      <c r="I8786" t="s">
        <v>15880</v>
      </c>
    </row>
    <row r="8787" spans="9:10" x14ac:dyDescent="0.3">
      <c r="I8787" t="s">
        <v>15881</v>
      </c>
    </row>
    <row r="8788" spans="9:10" x14ac:dyDescent="0.3">
      <c r="I8788" t="s">
        <v>15882</v>
      </c>
    </row>
    <row r="8789" spans="9:10" x14ac:dyDescent="0.3">
      <c r="I8789" t="s">
        <v>15883</v>
      </c>
    </row>
    <row r="8790" spans="9:10" x14ac:dyDescent="0.3">
      <c r="I8790" t="s">
        <v>15884</v>
      </c>
      <c r="J8790" t="s">
        <v>3558</v>
      </c>
    </row>
    <row r="8791" spans="9:10" x14ac:dyDescent="0.3">
      <c r="I8791" t="s">
        <v>15885</v>
      </c>
    </row>
    <row r="8792" spans="9:10" x14ac:dyDescent="0.3">
      <c r="I8792" t="s">
        <v>15886</v>
      </c>
    </row>
    <row r="8793" spans="9:10" x14ac:dyDescent="0.3">
      <c r="I8793" t="s">
        <v>15887</v>
      </c>
    </row>
    <row r="8794" spans="9:10" x14ac:dyDescent="0.3">
      <c r="I8794" t="s">
        <v>15888</v>
      </c>
      <c r="J8794" t="s">
        <v>3559</v>
      </c>
    </row>
    <row r="8795" spans="9:10" x14ac:dyDescent="0.3">
      <c r="I8795" t="s">
        <v>15889</v>
      </c>
      <c r="J8795" t="s">
        <v>3559</v>
      </c>
    </row>
    <row r="8796" spans="9:10" x14ac:dyDescent="0.3">
      <c r="I8796" t="s">
        <v>15890</v>
      </c>
      <c r="J8796" t="s">
        <v>3559</v>
      </c>
    </row>
    <row r="8797" spans="9:10" x14ac:dyDescent="0.3">
      <c r="I8797" t="s">
        <v>15891</v>
      </c>
      <c r="J8797" t="s">
        <v>3560</v>
      </c>
    </row>
    <row r="8798" spans="9:10" x14ac:dyDescent="0.3">
      <c r="I8798" t="s">
        <v>15892</v>
      </c>
      <c r="J8798" t="s">
        <v>3561</v>
      </c>
    </row>
    <row r="8799" spans="9:10" x14ac:dyDescent="0.3">
      <c r="I8799" t="s">
        <v>15893</v>
      </c>
    </row>
    <row r="8800" spans="9:10" x14ac:dyDescent="0.3">
      <c r="I8800" t="s">
        <v>15894</v>
      </c>
      <c r="J8800" t="s">
        <v>3562</v>
      </c>
    </row>
    <row r="8801" spans="9:10" x14ac:dyDescent="0.3">
      <c r="I8801" t="s">
        <v>15894</v>
      </c>
      <c r="J8801" t="s">
        <v>3562</v>
      </c>
    </row>
    <row r="8802" spans="9:10" x14ac:dyDescent="0.3">
      <c r="I8802" t="s">
        <v>15895</v>
      </c>
      <c r="J8802" t="s">
        <v>3563</v>
      </c>
    </row>
    <row r="8803" spans="9:10" x14ac:dyDescent="0.3">
      <c r="I8803" t="s">
        <v>15896</v>
      </c>
      <c r="J8803" t="s">
        <v>3564</v>
      </c>
    </row>
    <row r="8804" spans="9:10" x14ac:dyDescent="0.3">
      <c r="I8804" t="s">
        <v>15897</v>
      </c>
      <c r="J8804" t="s">
        <v>3565</v>
      </c>
    </row>
    <row r="8805" spans="9:10" x14ac:dyDescent="0.3">
      <c r="I8805" t="s">
        <v>15898</v>
      </c>
      <c r="J8805" t="s">
        <v>3566</v>
      </c>
    </row>
    <row r="8806" spans="9:10" x14ac:dyDescent="0.3">
      <c r="I8806" t="s">
        <v>15899</v>
      </c>
      <c r="J8806" t="s">
        <v>202</v>
      </c>
    </row>
    <row r="8807" spans="9:10" x14ac:dyDescent="0.3">
      <c r="I8807" t="s">
        <v>15900</v>
      </c>
    </row>
    <row r="8808" spans="9:10" x14ac:dyDescent="0.3">
      <c r="I8808" t="s">
        <v>15901</v>
      </c>
      <c r="J8808">
        <v>0</v>
      </c>
    </row>
    <row r="8809" spans="9:10" x14ac:dyDescent="0.3">
      <c r="I8809" t="s">
        <v>15902</v>
      </c>
      <c r="J8809" t="s">
        <v>3567</v>
      </c>
    </row>
    <row r="8810" spans="9:10" x14ac:dyDescent="0.3">
      <c r="I8810" t="s">
        <v>15903</v>
      </c>
      <c r="J8810" t="s">
        <v>3568</v>
      </c>
    </row>
    <row r="8811" spans="9:10" x14ac:dyDescent="0.3">
      <c r="I8811" t="s">
        <v>15904</v>
      </c>
      <c r="J8811" t="s">
        <v>3568</v>
      </c>
    </row>
    <row r="8812" spans="9:10" x14ac:dyDescent="0.3">
      <c r="I8812" t="s">
        <v>15905</v>
      </c>
      <c r="J8812" t="s">
        <v>3568</v>
      </c>
    </row>
    <row r="8813" spans="9:10" x14ac:dyDescent="0.3">
      <c r="I8813" t="s">
        <v>15906</v>
      </c>
    </row>
    <row r="8814" spans="9:10" x14ac:dyDescent="0.3">
      <c r="I8814" t="s">
        <v>15907</v>
      </c>
      <c r="J8814" t="s">
        <v>3569</v>
      </c>
    </row>
    <row r="8815" spans="9:10" x14ac:dyDescent="0.3">
      <c r="I8815" t="s">
        <v>15908</v>
      </c>
    </row>
    <row r="8816" spans="9:10" x14ac:dyDescent="0.3">
      <c r="I8816" t="s">
        <v>15909</v>
      </c>
    </row>
    <row r="8817" spans="9:10" x14ac:dyDescent="0.3">
      <c r="I8817" t="s">
        <v>15910</v>
      </c>
      <c r="J8817" t="s">
        <v>3570</v>
      </c>
    </row>
    <row r="8818" spans="9:10" x14ac:dyDescent="0.3">
      <c r="I8818" t="s">
        <v>15911</v>
      </c>
    </row>
    <row r="8819" spans="9:10" x14ac:dyDescent="0.3">
      <c r="I8819" t="s">
        <v>15912</v>
      </c>
      <c r="J8819" t="s">
        <v>787</v>
      </c>
    </row>
    <row r="8820" spans="9:10" x14ac:dyDescent="0.3">
      <c r="I8820" t="s">
        <v>15913</v>
      </c>
      <c r="J8820" t="s">
        <v>787</v>
      </c>
    </row>
    <row r="8821" spans="9:10" x14ac:dyDescent="0.3">
      <c r="I8821" t="s">
        <v>15914</v>
      </c>
      <c r="J8821" t="s">
        <v>914</v>
      </c>
    </row>
    <row r="8822" spans="9:10" x14ac:dyDescent="0.3">
      <c r="I8822" t="s">
        <v>15914</v>
      </c>
      <c r="J8822" t="s">
        <v>914</v>
      </c>
    </row>
    <row r="8823" spans="9:10" x14ac:dyDescent="0.3">
      <c r="I8823" t="s">
        <v>15915</v>
      </c>
      <c r="J8823" t="s">
        <v>3571</v>
      </c>
    </row>
    <row r="8824" spans="9:10" x14ac:dyDescent="0.3">
      <c r="I8824" t="s">
        <v>15916</v>
      </c>
      <c r="J8824" t="s">
        <v>913</v>
      </c>
    </row>
    <row r="8825" spans="9:10" x14ac:dyDescent="0.3">
      <c r="I8825" t="s">
        <v>15917</v>
      </c>
    </row>
    <row r="8826" spans="9:10" x14ac:dyDescent="0.3">
      <c r="I8826" t="s">
        <v>15918</v>
      </c>
      <c r="J8826" t="s">
        <v>3572</v>
      </c>
    </row>
    <row r="8827" spans="9:10" x14ac:dyDescent="0.3">
      <c r="I8827" t="s">
        <v>15919</v>
      </c>
    </row>
    <row r="8828" spans="9:10" x14ac:dyDescent="0.3">
      <c r="I8828" t="s">
        <v>15919</v>
      </c>
    </row>
    <row r="8829" spans="9:10" x14ac:dyDescent="0.3">
      <c r="I8829" t="s">
        <v>15920</v>
      </c>
      <c r="J8829" t="s">
        <v>3573</v>
      </c>
    </row>
    <row r="8830" spans="9:10" x14ac:dyDescent="0.3">
      <c r="I8830" t="s">
        <v>15921</v>
      </c>
      <c r="J8830" t="s">
        <v>3574</v>
      </c>
    </row>
    <row r="8831" spans="9:10" x14ac:dyDescent="0.3">
      <c r="I8831" t="s">
        <v>15922</v>
      </c>
    </row>
    <row r="8832" spans="9:10" x14ac:dyDescent="0.3">
      <c r="I8832" t="s">
        <v>15923</v>
      </c>
      <c r="J8832" t="s">
        <v>3575</v>
      </c>
    </row>
    <row r="8833" spans="9:10" x14ac:dyDescent="0.3">
      <c r="I8833" t="s">
        <v>15924</v>
      </c>
    </row>
    <row r="8834" spans="9:10" x14ac:dyDescent="0.3">
      <c r="I8834" t="s">
        <v>15925</v>
      </c>
    </row>
    <row r="8835" spans="9:10" x14ac:dyDescent="0.3">
      <c r="I8835" t="s">
        <v>15926</v>
      </c>
      <c r="J8835" t="s">
        <v>3576</v>
      </c>
    </row>
    <row r="8836" spans="9:10" x14ac:dyDescent="0.3">
      <c r="I8836" t="s">
        <v>15927</v>
      </c>
    </row>
    <row r="8837" spans="9:10" x14ac:dyDescent="0.3">
      <c r="I8837" t="s">
        <v>15928</v>
      </c>
      <c r="J8837" t="s">
        <v>3577</v>
      </c>
    </row>
    <row r="8838" spans="9:10" x14ac:dyDescent="0.3">
      <c r="I8838" t="s">
        <v>15929</v>
      </c>
    </row>
    <row r="8839" spans="9:10" x14ac:dyDescent="0.3">
      <c r="I8839" t="s">
        <v>15930</v>
      </c>
    </row>
    <row r="8840" spans="9:10" x14ac:dyDescent="0.3">
      <c r="I8840" t="s">
        <v>15931</v>
      </c>
    </row>
    <row r="8841" spans="9:10" x14ac:dyDescent="0.3">
      <c r="I8841" t="s">
        <v>15932</v>
      </c>
    </row>
    <row r="8842" spans="9:10" x14ac:dyDescent="0.3">
      <c r="I8842" t="s">
        <v>15933</v>
      </c>
      <c r="J8842" t="s">
        <v>3578</v>
      </c>
    </row>
    <row r="8843" spans="9:10" x14ac:dyDescent="0.3">
      <c r="I8843" t="s">
        <v>15934</v>
      </c>
    </row>
    <row r="8844" spans="9:10" x14ac:dyDescent="0.3">
      <c r="I8844" t="s">
        <v>15935</v>
      </c>
    </row>
    <row r="8845" spans="9:10" x14ac:dyDescent="0.3">
      <c r="I8845" t="s">
        <v>15936</v>
      </c>
    </row>
    <row r="8846" spans="9:10" x14ac:dyDescent="0.3">
      <c r="I8846" t="s">
        <v>15937</v>
      </c>
    </row>
    <row r="8847" spans="9:10" x14ac:dyDescent="0.3">
      <c r="I8847" t="s">
        <v>15938</v>
      </c>
    </row>
    <row r="8848" spans="9:10" x14ac:dyDescent="0.3">
      <c r="I8848" t="s">
        <v>15939</v>
      </c>
      <c r="J8848" t="s">
        <v>3579</v>
      </c>
    </row>
    <row r="8849" spans="9:10" x14ac:dyDescent="0.3">
      <c r="I8849" t="s">
        <v>15940</v>
      </c>
      <c r="J8849" t="s">
        <v>3580</v>
      </c>
    </row>
    <row r="8850" spans="9:10" x14ac:dyDescent="0.3">
      <c r="I8850" t="s">
        <v>15941</v>
      </c>
    </row>
    <row r="8851" spans="9:10" x14ac:dyDescent="0.3">
      <c r="I8851" t="s">
        <v>15942</v>
      </c>
    </row>
    <row r="8852" spans="9:10" x14ac:dyDescent="0.3">
      <c r="I8852" t="s">
        <v>15943</v>
      </c>
    </row>
    <row r="8853" spans="9:10" x14ac:dyDescent="0.3">
      <c r="I8853" t="s">
        <v>15944</v>
      </c>
    </row>
    <row r="8854" spans="9:10" x14ac:dyDescent="0.3">
      <c r="I8854" t="s">
        <v>15945</v>
      </c>
      <c r="J8854" t="s">
        <v>217</v>
      </c>
    </row>
    <row r="8855" spans="9:10" x14ac:dyDescent="0.3">
      <c r="I8855" t="s">
        <v>15946</v>
      </c>
      <c r="J8855" t="s">
        <v>217</v>
      </c>
    </row>
    <row r="8856" spans="9:10" x14ac:dyDescent="0.3">
      <c r="I8856" t="s">
        <v>15947</v>
      </c>
      <c r="J8856" t="s">
        <v>3581</v>
      </c>
    </row>
    <row r="8857" spans="9:10" x14ac:dyDescent="0.3">
      <c r="I8857" t="s">
        <v>15947</v>
      </c>
      <c r="J8857" t="s">
        <v>3581</v>
      </c>
    </row>
    <row r="8858" spans="9:10" x14ac:dyDescent="0.3">
      <c r="I8858" t="s">
        <v>15948</v>
      </c>
      <c r="J8858" t="s">
        <v>3581</v>
      </c>
    </row>
    <row r="8859" spans="9:10" x14ac:dyDescent="0.3">
      <c r="I8859" t="s">
        <v>15949</v>
      </c>
      <c r="J8859" t="s">
        <v>3582</v>
      </c>
    </row>
    <row r="8860" spans="9:10" x14ac:dyDescent="0.3">
      <c r="I8860" t="s">
        <v>15950</v>
      </c>
    </row>
    <row r="8861" spans="9:10" x14ac:dyDescent="0.3">
      <c r="I8861" t="s">
        <v>15951</v>
      </c>
      <c r="J8861" t="s">
        <v>3583</v>
      </c>
    </row>
    <row r="8862" spans="9:10" x14ac:dyDescent="0.3">
      <c r="I8862" t="s">
        <v>15952</v>
      </c>
    </row>
    <row r="8863" spans="9:10" x14ac:dyDescent="0.3">
      <c r="I8863" t="s">
        <v>15953</v>
      </c>
      <c r="J8863" t="s">
        <v>3584</v>
      </c>
    </row>
    <row r="8864" spans="9:10" x14ac:dyDescent="0.3">
      <c r="I8864" t="s">
        <v>15954</v>
      </c>
    </row>
    <row r="8865" spans="9:10" x14ac:dyDescent="0.3">
      <c r="I8865" t="s">
        <v>15955</v>
      </c>
    </row>
    <row r="8866" spans="9:10" x14ac:dyDescent="0.3">
      <c r="I8866" t="s">
        <v>15956</v>
      </c>
      <c r="J8866" t="s">
        <v>3585</v>
      </c>
    </row>
    <row r="8867" spans="9:10" x14ac:dyDescent="0.3">
      <c r="I8867" t="s">
        <v>15957</v>
      </c>
      <c r="J8867" t="s">
        <v>3586</v>
      </c>
    </row>
    <row r="8868" spans="9:10" x14ac:dyDescent="0.3">
      <c r="I8868" t="s">
        <v>15958</v>
      </c>
      <c r="J8868" t="s">
        <v>3586</v>
      </c>
    </row>
    <row r="8869" spans="9:10" x14ac:dyDescent="0.3">
      <c r="I8869" t="s">
        <v>15959</v>
      </c>
      <c r="J8869" t="s">
        <v>3586</v>
      </c>
    </row>
    <row r="8870" spans="9:10" x14ac:dyDescent="0.3">
      <c r="I8870" t="s">
        <v>15959</v>
      </c>
      <c r="J8870" t="s">
        <v>3586</v>
      </c>
    </row>
    <row r="8871" spans="9:10" x14ac:dyDescent="0.3">
      <c r="I8871" t="s">
        <v>15960</v>
      </c>
      <c r="J8871" t="s">
        <v>3586</v>
      </c>
    </row>
    <row r="8872" spans="9:10" x14ac:dyDescent="0.3">
      <c r="I8872" t="s">
        <v>15961</v>
      </c>
      <c r="J8872" t="s">
        <v>3586</v>
      </c>
    </row>
    <row r="8873" spans="9:10" x14ac:dyDescent="0.3">
      <c r="I8873" t="s">
        <v>15962</v>
      </c>
      <c r="J8873" t="s">
        <v>3586</v>
      </c>
    </row>
    <row r="8874" spans="9:10" x14ac:dyDescent="0.3">
      <c r="I8874" t="s">
        <v>15963</v>
      </c>
      <c r="J8874" t="s">
        <v>3586</v>
      </c>
    </row>
    <row r="8875" spans="9:10" x14ac:dyDescent="0.3">
      <c r="I8875" t="s">
        <v>15964</v>
      </c>
      <c r="J8875" t="s">
        <v>3586</v>
      </c>
    </row>
    <row r="8876" spans="9:10" x14ac:dyDescent="0.3">
      <c r="I8876" t="s">
        <v>15965</v>
      </c>
      <c r="J8876" t="s">
        <v>3586</v>
      </c>
    </row>
    <row r="8877" spans="9:10" x14ac:dyDescent="0.3">
      <c r="I8877" t="s">
        <v>15966</v>
      </c>
      <c r="J8877" t="s">
        <v>3586</v>
      </c>
    </row>
    <row r="8878" spans="9:10" x14ac:dyDescent="0.3">
      <c r="I8878" t="s">
        <v>15967</v>
      </c>
      <c r="J8878" t="s">
        <v>3586</v>
      </c>
    </row>
    <row r="8879" spans="9:10" x14ac:dyDescent="0.3">
      <c r="I8879" t="s">
        <v>15968</v>
      </c>
      <c r="J8879" t="s">
        <v>3586</v>
      </c>
    </row>
    <row r="8880" spans="9:10" x14ac:dyDescent="0.3">
      <c r="I8880" t="s">
        <v>15969</v>
      </c>
      <c r="J8880" t="s">
        <v>3586</v>
      </c>
    </row>
    <row r="8881" spans="9:10" x14ac:dyDescent="0.3">
      <c r="I8881" t="s">
        <v>15970</v>
      </c>
      <c r="J8881" t="s">
        <v>3587</v>
      </c>
    </row>
    <row r="8882" spans="9:10" x14ac:dyDescent="0.3">
      <c r="I8882" t="s">
        <v>15971</v>
      </c>
      <c r="J8882" t="s">
        <v>3588</v>
      </c>
    </row>
    <row r="8883" spans="9:10" x14ac:dyDescent="0.3">
      <c r="I8883" t="s">
        <v>15972</v>
      </c>
      <c r="J8883" t="s">
        <v>901</v>
      </c>
    </row>
    <row r="8884" spans="9:10" x14ac:dyDescent="0.3">
      <c r="I8884" t="s">
        <v>15973</v>
      </c>
    </row>
    <row r="8885" spans="9:10" x14ac:dyDescent="0.3">
      <c r="I8885" t="s">
        <v>15974</v>
      </c>
    </row>
    <row r="8886" spans="9:10" x14ac:dyDescent="0.3">
      <c r="I8886" t="s">
        <v>15975</v>
      </c>
      <c r="J8886" t="s">
        <v>2045</v>
      </c>
    </row>
    <row r="8887" spans="9:10" x14ac:dyDescent="0.3">
      <c r="I8887" t="s">
        <v>15976</v>
      </c>
      <c r="J8887" t="s">
        <v>3589</v>
      </c>
    </row>
    <row r="8888" spans="9:10" x14ac:dyDescent="0.3">
      <c r="I8888" t="s">
        <v>15977</v>
      </c>
      <c r="J8888" t="s">
        <v>3590</v>
      </c>
    </row>
    <row r="8889" spans="9:10" x14ac:dyDescent="0.3">
      <c r="I8889" t="s">
        <v>15978</v>
      </c>
    </row>
    <row r="8890" spans="9:10" x14ac:dyDescent="0.3">
      <c r="I8890" t="s">
        <v>15979</v>
      </c>
    </row>
    <row r="8891" spans="9:10" x14ac:dyDescent="0.3">
      <c r="I8891" t="s">
        <v>15980</v>
      </c>
      <c r="J8891" t="s">
        <v>3591</v>
      </c>
    </row>
    <row r="8892" spans="9:10" x14ac:dyDescent="0.3">
      <c r="I8892" t="s">
        <v>15981</v>
      </c>
      <c r="J8892" t="s">
        <v>3591</v>
      </c>
    </row>
    <row r="8893" spans="9:10" x14ac:dyDescent="0.3">
      <c r="I8893" t="s">
        <v>15982</v>
      </c>
      <c r="J8893" t="s">
        <v>3591</v>
      </c>
    </row>
    <row r="8894" spans="9:10" x14ac:dyDescent="0.3">
      <c r="I8894" t="s">
        <v>15983</v>
      </c>
      <c r="J8894" t="s">
        <v>3591</v>
      </c>
    </row>
    <row r="8895" spans="9:10" x14ac:dyDescent="0.3">
      <c r="I8895" t="s">
        <v>15984</v>
      </c>
      <c r="J8895" t="s">
        <v>3591</v>
      </c>
    </row>
    <row r="8896" spans="9:10" x14ac:dyDescent="0.3">
      <c r="I8896" t="s">
        <v>15985</v>
      </c>
      <c r="J8896" t="s">
        <v>3591</v>
      </c>
    </row>
    <row r="8897" spans="9:10" x14ac:dyDescent="0.3">
      <c r="I8897" t="s">
        <v>15986</v>
      </c>
      <c r="J8897" t="s">
        <v>3591</v>
      </c>
    </row>
    <row r="8898" spans="9:10" x14ac:dyDescent="0.3">
      <c r="I8898" t="s">
        <v>15987</v>
      </c>
      <c r="J8898" t="s">
        <v>3592</v>
      </c>
    </row>
    <row r="8899" spans="9:10" x14ac:dyDescent="0.3">
      <c r="I8899" t="s">
        <v>15988</v>
      </c>
      <c r="J8899" t="s">
        <v>3592</v>
      </c>
    </row>
    <row r="8900" spans="9:10" x14ac:dyDescent="0.3">
      <c r="I8900" t="s">
        <v>15989</v>
      </c>
      <c r="J8900" t="s">
        <v>3592</v>
      </c>
    </row>
    <row r="8901" spans="9:10" x14ac:dyDescent="0.3">
      <c r="I8901" t="s">
        <v>15990</v>
      </c>
      <c r="J8901" t="s">
        <v>3593</v>
      </c>
    </row>
    <row r="8902" spans="9:10" x14ac:dyDescent="0.3">
      <c r="I8902" t="s">
        <v>15991</v>
      </c>
      <c r="J8902" t="s">
        <v>3593</v>
      </c>
    </row>
    <row r="8903" spans="9:10" x14ac:dyDescent="0.3">
      <c r="I8903" t="s">
        <v>15992</v>
      </c>
      <c r="J8903" t="s">
        <v>3594</v>
      </c>
    </row>
    <row r="8904" spans="9:10" x14ac:dyDescent="0.3">
      <c r="I8904" t="s">
        <v>15992</v>
      </c>
      <c r="J8904" t="s">
        <v>3594</v>
      </c>
    </row>
    <row r="8905" spans="9:10" x14ac:dyDescent="0.3">
      <c r="I8905" t="s">
        <v>15993</v>
      </c>
      <c r="J8905" t="s">
        <v>3595</v>
      </c>
    </row>
    <row r="8906" spans="9:10" x14ac:dyDescent="0.3">
      <c r="I8906" t="s">
        <v>15994</v>
      </c>
      <c r="J8906" t="s">
        <v>3595</v>
      </c>
    </row>
    <row r="8907" spans="9:10" x14ac:dyDescent="0.3">
      <c r="I8907" t="s">
        <v>15995</v>
      </c>
      <c r="J8907" t="s">
        <v>3596</v>
      </c>
    </row>
    <row r="8908" spans="9:10" x14ac:dyDescent="0.3">
      <c r="I8908" t="s">
        <v>15996</v>
      </c>
    </row>
    <row r="8909" spans="9:10" x14ac:dyDescent="0.3">
      <c r="I8909" t="s">
        <v>15997</v>
      </c>
      <c r="J8909" t="s">
        <v>3597</v>
      </c>
    </row>
    <row r="8910" spans="9:10" x14ac:dyDescent="0.3">
      <c r="I8910" t="s">
        <v>15998</v>
      </c>
      <c r="J8910" t="s">
        <v>3598</v>
      </c>
    </row>
    <row r="8911" spans="9:10" x14ac:dyDescent="0.3">
      <c r="I8911" t="s">
        <v>15999</v>
      </c>
      <c r="J8911" t="s">
        <v>3599</v>
      </c>
    </row>
    <row r="8912" spans="9:10" x14ac:dyDescent="0.3">
      <c r="I8912" t="s">
        <v>16000</v>
      </c>
      <c r="J8912" t="s">
        <v>3600</v>
      </c>
    </row>
    <row r="8913" spans="9:10" x14ac:dyDescent="0.3">
      <c r="I8913" t="s">
        <v>16001</v>
      </c>
      <c r="J8913" t="s">
        <v>3601</v>
      </c>
    </row>
    <row r="8914" spans="9:10" x14ac:dyDescent="0.3">
      <c r="I8914" t="s">
        <v>16002</v>
      </c>
      <c r="J8914" t="s">
        <v>3602</v>
      </c>
    </row>
    <row r="8915" spans="9:10" x14ac:dyDescent="0.3">
      <c r="I8915" t="s">
        <v>16003</v>
      </c>
      <c r="J8915" t="s">
        <v>3603</v>
      </c>
    </row>
    <row r="8916" spans="9:10" x14ac:dyDescent="0.3">
      <c r="I8916" t="s">
        <v>16004</v>
      </c>
      <c r="J8916" t="s">
        <v>3603</v>
      </c>
    </row>
    <row r="8917" spans="9:10" x14ac:dyDescent="0.3">
      <c r="I8917" t="s">
        <v>16005</v>
      </c>
    </row>
    <row r="8918" spans="9:10" x14ac:dyDescent="0.3">
      <c r="I8918" t="s">
        <v>16006</v>
      </c>
      <c r="J8918" t="s">
        <v>3604</v>
      </c>
    </row>
    <row r="8919" spans="9:10" x14ac:dyDescent="0.3">
      <c r="I8919" t="s">
        <v>16007</v>
      </c>
      <c r="J8919" t="s">
        <v>3605</v>
      </c>
    </row>
    <row r="8920" spans="9:10" x14ac:dyDescent="0.3">
      <c r="I8920" t="s">
        <v>16007</v>
      </c>
      <c r="J8920" t="s">
        <v>3605</v>
      </c>
    </row>
    <row r="8921" spans="9:10" x14ac:dyDescent="0.3">
      <c r="I8921" t="s">
        <v>16007</v>
      </c>
      <c r="J8921" t="s">
        <v>3605</v>
      </c>
    </row>
    <row r="8922" spans="9:10" x14ac:dyDescent="0.3">
      <c r="I8922" t="s">
        <v>16007</v>
      </c>
      <c r="J8922" t="s">
        <v>3605</v>
      </c>
    </row>
    <row r="8923" spans="9:10" x14ac:dyDescent="0.3">
      <c r="I8923" t="s">
        <v>16008</v>
      </c>
    </row>
    <row r="8924" spans="9:10" x14ac:dyDescent="0.3">
      <c r="I8924" t="s">
        <v>16009</v>
      </c>
      <c r="J8924" t="s">
        <v>3606</v>
      </c>
    </row>
    <row r="8925" spans="9:10" x14ac:dyDescent="0.3">
      <c r="I8925" t="s">
        <v>16010</v>
      </c>
      <c r="J8925" t="s">
        <v>3606</v>
      </c>
    </row>
    <row r="8926" spans="9:10" x14ac:dyDescent="0.3">
      <c r="I8926" t="s">
        <v>16011</v>
      </c>
    </row>
    <row r="8927" spans="9:10" x14ac:dyDescent="0.3">
      <c r="I8927" t="s">
        <v>16012</v>
      </c>
      <c r="J8927" t="s">
        <v>3607</v>
      </c>
    </row>
    <row r="8928" spans="9:10" x14ac:dyDescent="0.3">
      <c r="I8928" t="s">
        <v>16012</v>
      </c>
      <c r="J8928" t="s">
        <v>3607</v>
      </c>
    </row>
    <row r="8929" spans="9:10" x14ac:dyDescent="0.3">
      <c r="I8929" t="s">
        <v>16013</v>
      </c>
      <c r="J8929" t="s">
        <v>3608</v>
      </c>
    </row>
    <row r="8930" spans="9:10" x14ac:dyDescent="0.3">
      <c r="I8930" t="s">
        <v>16014</v>
      </c>
    </row>
    <row r="8931" spans="9:10" x14ac:dyDescent="0.3">
      <c r="I8931" t="s">
        <v>16015</v>
      </c>
      <c r="J8931" t="s">
        <v>3609</v>
      </c>
    </row>
    <row r="8932" spans="9:10" x14ac:dyDescent="0.3">
      <c r="I8932" t="s">
        <v>16016</v>
      </c>
      <c r="J8932" t="s">
        <v>3609</v>
      </c>
    </row>
    <row r="8933" spans="9:10" x14ac:dyDescent="0.3">
      <c r="I8933" t="s">
        <v>16017</v>
      </c>
      <c r="J8933" t="s">
        <v>3610</v>
      </c>
    </row>
    <row r="8934" spans="9:10" x14ac:dyDescent="0.3">
      <c r="I8934" t="s">
        <v>16018</v>
      </c>
      <c r="J8934" t="s">
        <v>3610</v>
      </c>
    </row>
    <row r="8935" spans="9:10" x14ac:dyDescent="0.3">
      <c r="I8935" t="s">
        <v>16019</v>
      </c>
    </row>
    <row r="8936" spans="9:10" x14ac:dyDescent="0.3">
      <c r="I8936" t="s">
        <v>16020</v>
      </c>
      <c r="J8936" t="s">
        <v>3611</v>
      </c>
    </row>
    <row r="8937" spans="9:10" x14ac:dyDescent="0.3">
      <c r="I8937" t="s">
        <v>16021</v>
      </c>
      <c r="J8937" t="s">
        <v>3611</v>
      </c>
    </row>
    <row r="8938" spans="9:10" x14ac:dyDescent="0.3">
      <c r="I8938" t="s">
        <v>16022</v>
      </c>
    </row>
    <row r="8939" spans="9:10" x14ac:dyDescent="0.3">
      <c r="I8939" t="s">
        <v>16023</v>
      </c>
    </row>
    <row r="8940" spans="9:10" x14ac:dyDescent="0.3">
      <c r="I8940" t="s">
        <v>16024</v>
      </c>
    </row>
    <row r="8941" spans="9:10" x14ac:dyDescent="0.3">
      <c r="I8941" t="s">
        <v>16025</v>
      </c>
      <c r="J8941" t="s">
        <v>3612</v>
      </c>
    </row>
    <row r="8942" spans="9:10" x14ac:dyDescent="0.3">
      <c r="I8942" t="s">
        <v>16026</v>
      </c>
      <c r="J8942" t="s">
        <v>3613</v>
      </c>
    </row>
    <row r="8943" spans="9:10" x14ac:dyDescent="0.3">
      <c r="I8943" t="s">
        <v>16027</v>
      </c>
      <c r="J8943" t="s">
        <v>3613</v>
      </c>
    </row>
    <row r="8944" spans="9:10" x14ac:dyDescent="0.3">
      <c r="I8944" t="s">
        <v>16028</v>
      </c>
      <c r="J8944" t="s">
        <v>3613</v>
      </c>
    </row>
    <row r="8945" spans="9:10" x14ac:dyDescent="0.3">
      <c r="I8945" t="s">
        <v>16029</v>
      </c>
      <c r="J8945" t="s">
        <v>902</v>
      </c>
    </row>
    <row r="8946" spans="9:10" x14ac:dyDescent="0.3">
      <c r="I8946" t="s">
        <v>16030</v>
      </c>
      <c r="J8946" t="s">
        <v>3614</v>
      </c>
    </row>
    <row r="8947" spans="9:10" x14ac:dyDescent="0.3">
      <c r="I8947" t="s">
        <v>16031</v>
      </c>
    </row>
    <row r="8948" spans="9:10" x14ac:dyDescent="0.3">
      <c r="I8948" t="s">
        <v>16032</v>
      </c>
      <c r="J8948" t="s">
        <v>3615</v>
      </c>
    </row>
    <row r="8949" spans="9:10" x14ac:dyDescent="0.3">
      <c r="I8949" t="s">
        <v>16033</v>
      </c>
    </row>
    <row r="8950" spans="9:10" x14ac:dyDescent="0.3">
      <c r="I8950" t="s">
        <v>16034</v>
      </c>
    </row>
    <row r="8951" spans="9:10" x14ac:dyDescent="0.3">
      <c r="I8951" t="s">
        <v>16035</v>
      </c>
      <c r="J8951" t="s">
        <v>3616</v>
      </c>
    </row>
    <row r="8952" spans="9:10" x14ac:dyDescent="0.3">
      <c r="I8952" t="s">
        <v>16036</v>
      </c>
      <c r="J8952" t="s">
        <v>3617</v>
      </c>
    </row>
    <row r="8953" spans="9:10" x14ac:dyDescent="0.3">
      <c r="I8953" t="s">
        <v>16037</v>
      </c>
      <c r="J8953" t="s">
        <v>3618</v>
      </c>
    </row>
    <row r="8954" spans="9:10" x14ac:dyDescent="0.3">
      <c r="I8954" t="s">
        <v>16038</v>
      </c>
      <c r="J8954" t="s">
        <v>3619</v>
      </c>
    </row>
    <row r="8955" spans="9:10" x14ac:dyDescent="0.3">
      <c r="I8955" t="s">
        <v>16039</v>
      </c>
    </row>
    <row r="8956" spans="9:10" x14ac:dyDescent="0.3">
      <c r="I8956" t="s">
        <v>16040</v>
      </c>
    </row>
    <row r="8957" spans="9:10" x14ac:dyDescent="0.3">
      <c r="I8957" t="s">
        <v>16041</v>
      </c>
    </row>
    <row r="8958" spans="9:10" x14ac:dyDescent="0.3">
      <c r="I8958" t="s">
        <v>16042</v>
      </c>
      <c r="J8958" t="s">
        <v>3620</v>
      </c>
    </row>
    <row r="8959" spans="9:10" x14ac:dyDescent="0.3">
      <c r="I8959" t="s">
        <v>16043</v>
      </c>
      <c r="J8959" t="s">
        <v>3621</v>
      </c>
    </row>
    <row r="8960" spans="9:10" x14ac:dyDescent="0.3">
      <c r="I8960" t="s">
        <v>16044</v>
      </c>
    </row>
    <row r="8961" spans="9:10" x14ac:dyDescent="0.3">
      <c r="I8961" t="s">
        <v>16045</v>
      </c>
      <c r="J8961" t="s">
        <v>715</v>
      </c>
    </row>
    <row r="8962" spans="9:10" x14ac:dyDescent="0.3">
      <c r="I8962" t="s">
        <v>16046</v>
      </c>
      <c r="J8962" t="s">
        <v>3622</v>
      </c>
    </row>
    <row r="8963" spans="9:10" x14ac:dyDescent="0.3">
      <c r="I8963" t="s">
        <v>16046</v>
      </c>
      <c r="J8963" t="s">
        <v>3622</v>
      </c>
    </row>
    <row r="8964" spans="9:10" x14ac:dyDescent="0.3">
      <c r="I8964" t="s">
        <v>16047</v>
      </c>
      <c r="J8964" t="s">
        <v>2045</v>
      </c>
    </row>
    <row r="8965" spans="9:10" x14ac:dyDescent="0.3">
      <c r="I8965" t="s">
        <v>16048</v>
      </c>
      <c r="J8965" t="s">
        <v>2045</v>
      </c>
    </row>
    <row r="8966" spans="9:10" x14ac:dyDescent="0.3">
      <c r="I8966" t="s">
        <v>16049</v>
      </c>
    </row>
    <row r="8967" spans="9:10" x14ac:dyDescent="0.3">
      <c r="I8967" t="s">
        <v>16050</v>
      </c>
    </row>
    <row r="8968" spans="9:10" x14ac:dyDescent="0.3">
      <c r="I8968" t="s">
        <v>16051</v>
      </c>
    </row>
    <row r="8969" spans="9:10" x14ac:dyDescent="0.3">
      <c r="I8969" t="s">
        <v>16052</v>
      </c>
    </row>
    <row r="8970" spans="9:10" x14ac:dyDescent="0.3">
      <c r="I8970" t="s">
        <v>16053</v>
      </c>
    </row>
    <row r="8971" spans="9:10" x14ac:dyDescent="0.3">
      <c r="I8971" t="s">
        <v>16054</v>
      </c>
    </row>
    <row r="8972" spans="9:10" x14ac:dyDescent="0.3">
      <c r="I8972" t="s">
        <v>16055</v>
      </c>
    </row>
    <row r="8973" spans="9:10" x14ac:dyDescent="0.3">
      <c r="I8973" t="s">
        <v>16056</v>
      </c>
      <c r="J8973" t="s">
        <v>3623</v>
      </c>
    </row>
    <row r="8974" spans="9:10" x14ac:dyDescent="0.3">
      <c r="I8974" t="s">
        <v>16057</v>
      </c>
    </row>
    <row r="8975" spans="9:10" x14ac:dyDescent="0.3">
      <c r="I8975" t="s">
        <v>16058</v>
      </c>
      <c r="J8975" t="s">
        <v>3624</v>
      </c>
    </row>
    <row r="8976" spans="9:10" x14ac:dyDescent="0.3">
      <c r="I8976" t="s">
        <v>16059</v>
      </c>
      <c r="J8976" t="s">
        <v>3625</v>
      </c>
    </row>
    <row r="8977" spans="9:10" x14ac:dyDescent="0.3">
      <c r="I8977" t="s">
        <v>16060</v>
      </c>
      <c r="J8977" t="s">
        <v>3626</v>
      </c>
    </row>
    <row r="8978" spans="9:10" x14ac:dyDescent="0.3">
      <c r="I8978" t="s">
        <v>16061</v>
      </c>
      <c r="J8978" t="s">
        <v>3627</v>
      </c>
    </row>
    <row r="8979" spans="9:10" x14ac:dyDescent="0.3">
      <c r="I8979" t="s">
        <v>16062</v>
      </c>
    </row>
    <row r="8980" spans="9:10" x14ac:dyDescent="0.3">
      <c r="I8980" t="s">
        <v>16063</v>
      </c>
    </row>
    <row r="8981" spans="9:10" x14ac:dyDescent="0.3">
      <c r="I8981" t="s">
        <v>16064</v>
      </c>
      <c r="J8981" t="s">
        <v>3628</v>
      </c>
    </row>
    <row r="8982" spans="9:10" x14ac:dyDescent="0.3">
      <c r="I8982" t="s">
        <v>16065</v>
      </c>
    </row>
    <row r="8983" spans="9:10" x14ac:dyDescent="0.3">
      <c r="I8983" t="s">
        <v>16066</v>
      </c>
      <c r="J8983" t="s">
        <v>3629</v>
      </c>
    </row>
    <row r="8984" spans="9:10" x14ac:dyDescent="0.3">
      <c r="I8984" t="s">
        <v>16067</v>
      </c>
      <c r="J8984" t="s">
        <v>3630</v>
      </c>
    </row>
    <row r="8985" spans="9:10" x14ac:dyDescent="0.3">
      <c r="I8985" t="s">
        <v>16068</v>
      </c>
      <c r="J8985" t="s">
        <v>3631</v>
      </c>
    </row>
    <row r="8986" spans="9:10" x14ac:dyDescent="0.3">
      <c r="I8986" t="s">
        <v>16069</v>
      </c>
    </row>
    <row r="8987" spans="9:10" x14ac:dyDescent="0.3">
      <c r="I8987" t="s">
        <v>16070</v>
      </c>
      <c r="J8987" t="s">
        <v>3632</v>
      </c>
    </row>
    <row r="8988" spans="9:10" x14ac:dyDescent="0.3">
      <c r="I8988" t="s">
        <v>16071</v>
      </c>
      <c r="J8988" t="s">
        <v>3633</v>
      </c>
    </row>
    <row r="8989" spans="9:10" x14ac:dyDescent="0.3">
      <c r="I8989" t="s">
        <v>16072</v>
      </c>
    </row>
    <row r="8990" spans="9:10" x14ac:dyDescent="0.3">
      <c r="I8990" t="s">
        <v>16073</v>
      </c>
    </row>
    <row r="8991" spans="9:10" x14ac:dyDescent="0.3">
      <c r="I8991" t="s">
        <v>16074</v>
      </c>
    </row>
    <row r="8992" spans="9:10" x14ac:dyDescent="0.3">
      <c r="I8992" t="s">
        <v>16075</v>
      </c>
    </row>
    <row r="8993" spans="9:10" x14ac:dyDescent="0.3">
      <c r="I8993" t="s">
        <v>16076</v>
      </c>
      <c r="J8993" t="s">
        <v>3634</v>
      </c>
    </row>
    <row r="8994" spans="9:10" x14ac:dyDescent="0.3">
      <c r="I8994" t="s">
        <v>16077</v>
      </c>
    </row>
    <row r="8995" spans="9:10" x14ac:dyDescent="0.3">
      <c r="I8995" t="s">
        <v>16078</v>
      </c>
      <c r="J8995" t="s">
        <v>3635</v>
      </c>
    </row>
    <row r="8996" spans="9:10" x14ac:dyDescent="0.3">
      <c r="I8996" t="s">
        <v>16079</v>
      </c>
      <c r="J8996" t="s">
        <v>3636</v>
      </c>
    </row>
    <row r="8997" spans="9:10" x14ac:dyDescent="0.3">
      <c r="I8997" t="s">
        <v>16080</v>
      </c>
      <c r="J8997" t="s">
        <v>3637</v>
      </c>
    </row>
    <row r="8998" spans="9:10" x14ac:dyDescent="0.3">
      <c r="I8998" t="s">
        <v>16081</v>
      </c>
    </row>
    <row r="8999" spans="9:10" x14ac:dyDescent="0.3">
      <c r="I8999" t="s">
        <v>16082</v>
      </c>
    </row>
    <row r="9000" spans="9:10" x14ac:dyDescent="0.3">
      <c r="I9000" t="s">
        <v>16083</v>
      </c>
    </row>
    <row r="9001" spans="9:10" x14ac:dyDescent="0.3">
      <c r="I9001" t="s">
        <v>16084</v>
      </c>
      <c r="J9001" t="s">
        <v>475</v>
      </c>
    </row>
    <row r="9002" spans="9:10" x14ac:dyDescent="0.3">
      <c r="I9002" t="s">
        <v>16085</v>
      </c>
      <c r="J9002" t="s">
        <v>475</v>
      </c>
    </row>
    <row r="9003" spans="9:10" x14ac:dyDescent="0.3">
      <c r="I9003" t="s">
        <v>16086</v>
      </c>
    </row>
    <row r="9004" spans="9:10" x14ac:dyDescent="0.3">
      <c r="I9004" t="s">
        <v>16087</v>
      </c>
      <c r="J9004" t="s">
        <v>3638</v>
      </c>
    </row>
    <row r="9005" spans="9:10" x14ac:dyDescent="0.3">
      <c r="I9005" t="s">
        <v>16088</v>
      </c>
      <c r="J9005" t="s">
        <v>3638</v>
      </c>
    </row>
    <row r="9006" spans="9:10" x14ac:dyDescent="0.3">
      <c r="I9006" t="s">
        <v>16089</v>
      </c>
      <c r="J9006" t="s">
        <v>3638</v>
      </c>
    </row>
    <row r="9007" spans="9:10" x14ac:dyDescent="0.3">
      <c r="I9007" t="s">
        <v>16090</v>
      </c>
    </row>
    <row r="9008" spans="9:10" x14ac:dyDescent="0.3">
      <c r="I9008" t="s">
        <v>16091</v>
      </c>
      <c r="J9008" t="s">
        <v>3639</v>
      </c>
    </row>
    <row r="9009" spans="9:10" x14ac:dyDescent="0.3">
      <c r="I9009" t="s">
        <v>16092</v>
      </c>
    </row>
    <row r="9010" spans="9:10" x14ac:dyDescent="0.3">
      <c r="I9010" t="s">
        <v>16093</v>
      </c>
    </row>
    <row r="9011" spans="9:10" x14ac:dyDescent="0.3">
      <c r="I9011" t="s">
        <v>16094</v>
      </c>
    </row>
    <row r="9012" spans="9:10" x14ac:dyDescent="0.3">
      <c r="I9012" t="s">
        <v>16095</v>
      </c>
    </row>
    <row r="9013" spans="9:10" x14ac:dyDescent="0.3">
      <c r="I9013" t="s">
        <v>16096</v>
      </c>
      <c r="J9013" t="s">
        <v>3640</v>
      </c>
    </row>
    <row r="9014" spans="9:10" x14ac:dyDescent="0.3">
      <c r="I9014" t="s">
        <v>16096</v>
      </c>
      <c r="J9014" t="s">
        <v>3640</v>
      </c>
    </row>
    <row r="9015" spans="9:10" x14ac:dyDescent="0.3">
      <c r="I9015" t="s">
        <v>16097</v>
      </c>
      <c r="J9015" t="s">
        <v>3640</v>
      </c>
    </row>
    <row r="9016" spans="9:10" x14ac:dyDescent="0.3">
      <c r="I9016" t="s">
        <v>16098</v>
      </c>
      <c r="J9016" t="s">
        <v>3640</v>
      </c>
    </row>
    <row r="9017" spans="9:10" x14ac:dyDescent="0.3">
      <c r="I9017" t="s">
        <v>16099</v>
      </c>
      <c r="J9017" t="s">
        <v>3641</v>
      </c>
    </row>
    <row r="9018" spans="9:10" x14ac:dyDescent="0.3">
      <c r="I9018" t="s">
        <v>16100</v>
      </c>
      <c r="J9018" t="s">
        <v>3641</v>
      </c>
    </row>
    <row r="9019" spans="9:10" x14ac:dyDescent="0.3">
      <c r="I9019" t="s">
        <v>16101</v>
      </c>
      <c r="J9019" t="s">
        <v>3642</v>
      </c>
    </row>
    <row r="9020" spans="9:10" x14ac:dyDescent="0.3">
      <c r="I9020" t="s">
        <v>16102</v>
      </c>
      <c r="J9020" t="s">
        <v>3643</v>
      </c>
    </row>
    <row r="9021" spans="9:10" x14ac:dyDescent="0.3">
      <c r="I9021" t="s">
        <v>16103</v>
      </c>
      <c r="J9021" t="s">
        <v>3643</v>
      </c>
    </row>
    <row r="9022" spans="9:10" x14ac:dyDescent="0.3">
      <c r="I9022" t="s">
        <v>16104</v>
      </c>
      <c r="J9022" t="s">
        <v>3644</v>
      </c>
    </row>
    <row r="9023" spans="9:10" x14ac:dyDescent="0.3">
      <c r="I9023" t="s">
        <v>16105</v>
      </c>
      <c r="J9023" t="s">
        <v>3645</v>
      </c>
    </row>
    <row r="9024" spans="9:10" x14ac:dyDescent="0.3">
      <c r="I9024" t="s">
        <v>16106</v>
      </c>
      <c r="J9024" t="s">
        <v>3646</v>
      </c>
    </row>
    <row r="9025" spans="9:10" x14ac:dyDescent="0.3">
      <c r="I9025" t="s">
        <v>16107</v>
      </c>
    </row>
    <row r="9026" spans="9:10" x14ac:dyDescent="0.3">
      <c r="I9026" t="s">
        <v>16108</v>
      </c>
      <c r="J9026" t="s">
        <v>3647</v>
      </c>
    </row>
    <row r="9027" spans="9:10" x14ac:dyDescent="0.3">
      <c r="I9027" t="s">
        <v>16109</v>
      </c>
      <c r="J9027" t="s">
        <v>3648</v>
      </c>
    </row>
    <row r="9028" spans="9:10" x14ac:dyDescent="0.3">
      <c r="I9028" t="s">
        <v>16110</v>
      </c>
    </row>
    <row r="9029" spans="9:10" x14ac:dyDescent="0.3">
      <c r="I9029" t="s">
        <v>16111</v>
      </c>
      <c r="J9029" t="s">
        <v>139</v>
      </c>
    </row>
    <row r="9030" spans="9:10" x14ac:dyDescent="0.3">
      <c r="I9030" t="s">
        <v>16112</v>
      </c>
      <c r="J9030" t="s">
        <v>3649</v>
      </c>
    </row>
    <row r="9031" spans="9:10" x14ac:dyDescent="0.3">
      <c r="I9031" t="s">
        <v>16113</v>
      </c>
      <c r="J9031" t="s">
        <v>476</v>
      </c>
    </row>
    <row r="9032" spans="9:10" x14ac:dyDescent="0.3">
      <c r="I9032" t="s">
        <v>16114</v>
      </c>
      <c r="J9032" t="s">
        <v>476</v>
      </c>
    </row>
    <row r="9033" spans="9:10" x14ac:dyDescent="0.3">
      <c r="I9033" t="s">
        <v>16113</v>
      </c>
      <c r="J9033" t="s">
        <v>476</v>
      </c>
    </row>
    <row r="9034" spans="9:10" x14ac:dyDescent="0.3">
      <c r="I9034" t="s">
        <v>477</v>
      </c>
      <c r="J9034" t="s">
        <v>476</v>
      </c>
    </row>
    <row r="9035" spans="9:10" x14ac:dyDescent="0.3">
      <c r="I9035" t="s">
        <v>16113</v>
      </c>
      <c r="J9035" t="s">
        <v>476</v>
      </c>
    </row>
    <row r="9036" spans="9:10" x14ac:dyDescent="0.3">
      <c r="I9036" t="s">
        <v>16113</v>
      </c>
      <c r="J9036" t="s">
        <v>476</v>
      </c>
    </row>
    <row r="9037" spans="9:10" x14ac:dyDescent="0.3">
      <c r="I9037" t="s">
        <v>16113</v>
      </c>
      <c r="J9037" t="s">
        <v>476</v>
      </c>
    </row>
    <row r="9038" spans="9:10" x14ac:dyDescent="0.3">
      <c r="I9038" t="s">
        <v>16115</v>
      </c>
      <c r="J9038" t="s">
        <v>476</v>
      </c>
    </row>
    <row r="9039" spans="9:10" x14ac:dyDescent="0.3">
      <c r="I9039" t="s">
        <v>477</v>
      </c>
      <c r="J9039" t="s">
        <v>476</v>
      </c>
    </row>
    <row r="9040" spans="9:10" x14ac:dyDescent="0.3">
      <c r="I9040" t="s">
        <v>16116</v>
      </c>
      <c r="J9040" t="s">
        <v>476</v>
      </c>
    </row>
    <row r="9041" spans="9:10" x14ac:dyDescent="0.3">
      <c r="I9041" t="s">
        <v>16117</v>
      </c>
      <c r="J9041" t="s">
        <v>476</v>
      </c>
    </row>
    <row r="9042" spans="9:10" x14ac:dyDescent="0.3">
      <c r="I9042" t="s">
        <v>16118</v>
      </c>
      <c r="J9042" t="s">
        <v>476</v>
      </c>
    </row>
    <row r="9043" spans="9:10" x14ac:dyDescent="0.3">
      <c r="I9043" t="s">
        <v>16119</v>
      </c>
      <c r="J9043" t="s">
        <v>476</v>
      </c>
    </row>
    <row r="9044" spans="9:10" x14ac:dyDescent="0.3">
      <c r="I9044" t="s">
        <v>16120</v>
      </c>
      <c r="J9044" t="s">
        <v>476</v>
      </c>
    </row>
    <row r="9045" spans="9:10" x14ac:dyDescent="0.3">
      <c r="I9045" t="s">
        <v>16113</v>
      </c>
      <c r="J9045" t="s">
        <v>476</v>
      </c>
    </row>
    <row r="9046" spans="9:10" x14ac:dyDescent="0.3">
      <c r="I9046" t="s">
        <v>16121</v>
      </c>
      <c r="J9046" t="s">
        <v>476</v>
      </c>
    </row>
    <row r="9047" spans="9:10" x14ac:dyDescent="0.3">
      <c r="I9047" t="s">
        <v>16113</v>
      </c>
      <c r="J9047" t="s">
        <v>476</v>
      </c>
    </row>
    <row r="9048" spans="9:10" x14ac:dyDescent="0.3">
      <c r="I9048" t="s">
        <v>16122</v>
      </c>
      <c r="J9048" t="s">
        <v>476</v>
      </c>
    </row>
    <row r="9049" spans="9:10" x14ac:dyDescent="0.3">
      <c r="I9049" t="s">
        <v>16123</v>
      </c>
      <c r="J9049" t="s">
        <v>476</v>
      </c>
    </row>
    <row r="9050" spans="9:10" x14ac:dyDescent="0.3">
      <c r="I9050" t="s">
        <v>16113</v>
      </c>
      <c r="J9050" t="s">
        <v>476</v>
      </c>
    </row>
    <row r="9051" spans="9:10" x14ac:dyDescent="0.3">
      <c r="I9051" t="s">
        <v>477</v>
      </c>
      <c r="J9051" t="s">
        <v>476</v>
      </c>
    </row>
    <row r="9052" spans="9:10" x14ac:dyDescent="0.3">
      <c r="I9052" t="s">
        <v>16124</v>
      </c>
      <c r="J9052" t="s">
        <v>476</v>
      </c>
    </row>
    <row r="9053" spans="9:10" x14ac:dyDescent="0.3">
      <c r="I9053" t="s">
        <v>16125</v>
      </c>
      <c r="J9053" t="s">
        <v>476</v>
      </c>
    </row>
    <row r="9054" spans="9:10" x14ac:dyDescent="0.3">
      <c r="I9054" t="s">
        <v>16126</v>
      </c>
      <c r="J9054" t="s">
        <v>476</v>
      </c>
    </row>
    <row r="9055" spans="9:10" x14ac:dyDescent="0.3">
      <c r="I9055" t="s">
        <v>16115</v>
      </c>
      <c r="J9055" t="s">
        <v>476</v>
      </c>
    </row>
    <row r="9056" spans="9:10" x14ac:dyDescent="0.3">
      <c r="I9056" t="s">
        <v>16125</v>
      </c>
      <c r="J9056" t="s">
        <v>476</v>
      </c>
    </row>
    <row r="9057" spans="9:10" x14ac:dyDescent="0.3">
      <c r="I9057" t="s">
        <v>16127</v>
      </c>
      <c r="J9057" t="s">
        <v>476</v>
      </c>
    </row>
    <row r="9058" spans="9:10" x14ac:dyDescent="0.3">
      <c r="I9058" t="s">
        <v>16128</v>
      </c>
      <c r="J9058" t="s">
        <v>476</v>
      </c>
    </row>
    <row r="9059" spans="9:10" x14ac:dyDescent="0.3">
      <c r="I9059" t="s">
        <v>16115</v>
      </c>
      <c r="J9059" t="s">
        <v>476</v>
      </c>
    </row>
    <row r="9060" spans="9:10" x14ac:dyDescent="0.3">
      <c r="I9060" t="s">
        <v>16115</v>
      </c>
      <c r="J9060" t="s">
        <v>476</v>
      </c>
    </row>
    <row r="9061" spans="9:10" x14ac:dyDescent="0.3">
      <c r="I9061" t="s">
        <v>16115</v>
      </c>
      <c r="J9061" t="s">
        <v>476</v>
      </c>
    </row>
    <row r="9062" spans="9:10" x14ac:dyDescent="0.3">
      <c r="I9062" t="s">
        <v>16115</v>
      </c>
      <c r="J9062" t="s">
        <v>476</v>
      </c>
    </row>
    <row r="9063" spans="9:10" x14ac:dyDescent="0.3">
      <c r="I9063" t="s">
        <v>16115</v>
      </c>
      <c r="J9063" t="s">
        <v>476</v>
      </c>
    </row>
    <row r="9064" spans="9:10" x14ac:dyDescent="0.3">
      <c r="I9064" t="s">
        <v>16115</v>
      </c>
      <c r="J9064" t="s">
        <v>476</v>
      </c>
    </row>
    <row r="9065" spans="9:10" x14ac:dyDescent="0.3">
      <c r="I9065" t="s">
        <v>16129</v>
      </c>
      <c r="J9065" t="s">
        <v>476</v>
      </c>
    </row>
    <row r="9066" spans="9:10" x14ac:dyDescent="0.3">
      <c r="I9066" t="s">
        <v>16113</v>
      </c>
      <c r="J9066" t="s">
        <v>476</v>
      </c>
    </row>
    <row r="9067" spans="9:10" x14ac:dyDescent="0.3">
      <c r="I9067" t="s">
        <v>16113</v>
      </c>
      <c r="J9067" t="s">
        <v>476</v>
      </c>
    </row>
    <row r="9068" spans="9:10" x14ac:dyDescent="0.3">
      <c r="I9068" t="s">
        <v>16115</v>
      </c>
      <c r="J9068" t="s">
        <v>476</v>
      </c>
    </row>
    <row r="9069" spans="9:10" x14ac:dyDescent="0.3">
      <c r="I9069" t="s">
        <v>16115</v>
      </c>
      <c r="J9069" t="s">
        <v>476</v>
      </c>
    </row>
    <row r="9070" spans="9:10" x14ac:dyDescent="0.3">
      <c r="I9070" t="s">
        <v>16113</v>
      </c>
      <c r="J9070" t="s">
        <v>476</v>
      </c>
    </row>
    <row r="9071" spans="9:10" x14ac:dyDescent="0.3">
      <c r="I9071" t="s">
        <v>16130</v>
      </c>
      <c r="J9071" t="s">
        <v>476</v>
      </c>
    </row>
    <row r="9072" spans="9:10" x14ac:dyDescent="0.3">
      <c r="I9072" t="s">
        <v>16115</v>
      </c>
      <c r="J9072" t="s">
        <v>476</v>
      </c>
    </row>
    <row r="9073" spans="9:10" x14ac:dyDescent="0.3">
      <c r="I9073" t="s">
        <v>16113</v>
      </c>
      <c r="J9073" t="s">
        <v>476</v>
      </c>
    </row>
    <row r="9074" spans="9:10" x14ac:dyDescent="0.3">
      <c r="I9074" t="s">
        <v>16113</v>
      </c>
      <c r="J9074" t="s">
        <v>476</v>
      </c>
    </row>
    <row r="9075" spans="9:10" x14ac:dyDescent="0.3">
      <c r="I9075" t="s">
        <v>16113</v>
      </c>
      <c r="J9075" t="s">
        <v>476</v>
      </c>
    </row>
    <row r="9076" spans="9:10" x14ac:dyDescent="0.3">
      <c r="I9076" t="s">
        <v>16113</v>
      </c>
      <c r="J9076" t="s">
        <v>476</v>
      </c>
    </row>
    <row r="9077" spans="9:10" x14ac:dyDescent="0.3">
      <c r="I9077" t="s">
        <v>16115</v>
      </c>
      <c r="J9077" t="s">
        <v>476</v>
      </c>
    </row>
    <row r="9078" spans="9:10" x14ac:dyDescent="0.3">
      <c r="I9078" t="s">
        <v>16113</v>
      </c>
      <c r="J9078" t="s">
        <v>476</v>
      </c>
    </row>
    <row r="9079" spans="9:10" x14ac:dyDescent="0.3">
      <c r="I9079" t="s">
        <v>16113</v>
      </c>
      <c r="J9079" t="s">
        <v>476</v>
      </c>
    </row>
    <row r="9080" spans="9:10" x14ac:dyDescent="0.3">
      <c r="I9080" t="s">
        <v>16113</v>
      </c>
      <c r="J9080" t="s">
        <v>476</v>
      </c>
    </row>
    <row r="9081" spans="9:10" x14ac:dyDescent="0.3">
      <c r="I9081" t="s">
        <v>16113</v>
      </c>
      <c r="J9081" t="s">
        <v>476</v>
      </c>
    </row>
    <row r="9082" spans="9:10" x14ac:dyDescent="0.3">
      <c r="I9082" t="s">
        <v>477</v>
      </c>
      <c r="J9082" t="s">
        <v>476</v>
      </c>
    </row>
    <row r="9083" spans="9:10" x14ac:dyDescent="0.3">
      <c r="I9083" t="s">
        <v>16113</v>
      </c>
      <c r="J9083" t="s">
        <v>476</v>
      </c>
    </row>
    <row r="9084" spans="9:10" x14ac:dyDescent="0.3">
      <c r="I9084" t="s">
        <v>477</v>
      </c>
      <c r="J9084" t="s">
        <v>476</v>
      </c>
    </row>
    <row r="9085" spans="9:10" x14ac:dyDescent="0.3">
      <c r="I9085" t="s">
        <v>16115</v>
      </c>
      <c r="J9085" t="s">
        <v>476</v>
      </c>
    </row>
    <row r="9086" spans="9:10" x14ac:dyDescent="0.3">
      <c r="I9086" t="s">
        <v>16115</v>
      </c>
      <c r="J9086" t="s">
        <v>476</v>
      </c>
    </row>
    <row r="9087" spans="9:10" x14ac:dyDescent="0.3">
      <c r="I9087" t="s">
        <v>16115</v>
      </c>
      <c r="J9087" t="s">
        <v>476</v>
      </c>
    </row>
    <row r="9088" spans="9:10" x14ac:dyDescent="0.3">
      <c r="I9088" t="s">
        <v>16115</v>
      </c>
      <c r="J9088" t="s">
        <v>476</v>
      </c>
    </row>
    <row r="9089" spans="9:10" x14ac:dyDescent="0.3">
      <c r="I9089" t="s">
        <v>16115</v>
      </c>
      <c r="J9089" t="s">
        <v>476</v>
      </c>
    </row>
    <row r="9090" spans="9:10" x14ac:dyDescent="0.3">
      <c r="I9090" t="s">
        <v>16115</v>
      </c>
      <c r="J9090" t="s">
        <v>476</v>
      </c>
    </row>
    <row r="9091" spans="9:10" x14ac:dyDescent="0.3">
      <c r="I9091" t="s">
        <v>16115</v>
      </c>
      <c r="J9091" t="s">
        <v>476</v>
      </c>
    </row>
    <row r="9092" spans="9:10" x14ac:dyDescent="0.3">
      <c r="I9092" t="s">
        <v>16115</v>
      </c>
      <c r="J9092" t="s">
        <v>476</v>
      </c>
    </row>
    <row r="9093" spans="9:10" x14ac:dyDescent="0.3">
      <c r="I9093" t="s">
        <v>16115</v>
      </c>
      <c r="J9093" t="s">
        <v>476</v>
      </c>
    </row>
    <row r="9094" spans="9:10" x14ac:dyDescent="0.3">
      <c r="I9094" t="s">
        <v>16115</v>
      </c>
      <c r="J9094" t="s">
        <v>476</v>
      </c>
    </row>
    <row r="9095" spans="9:10" x14ac:dyDescent="0.3">
      <c r="I9095" t="s">
        <v>16115</v>
      </c>
      <c r="J9095" t="s">
        <v>476</v>
      </c>
    </row>
    <row r="9096" spans="9:10" x14ac:dyDescent="0.3">
      <c r="I9096" t="s">
        <v>16115</v>
      </c>
      <c r="J9096" t="s">
        <v>476</v>
      </c>
    </row>
    <row r="9097" spans="9:10" x14ac:dyDescent="0.3">
      <c r="I9097" t="s">
        <v>16113</v>
      </c>
      <c r="J9097" t="s">
        <v>476</v>
      </c>
    </row>
    <row r="9098" spans="9:10" x14ac:dyDescent="0.3">
      <c r="I9098" t="s">
        <v>16115</v>
      </c>
      <c r="J9098" t="s">
        <v>476</v>
      </c>
    </row>
    <row r="9099" spans="9:10" x14ac:dyDescent="0.3">
      <c r="I9099" t="s">
        <v>16113</v>
      </c>
      <c r="J9099" t="s">
        <v>476</v>
      </c>
    </row>
    <row r="9100" spans="9:10" x14ac:dyDescent="0.3">
      <c r="I9100" t="s">
        <v>16115</v>
      </c>
      <c r="J9100" t="s">
        <v>476</v>
      </c>
    </row>
    <row r="9101" spans="9:10" x14ac:dyDescent="0.3">
      <c r="I9101" t="s">
        <v>16113</v>
      </c>
      <c r="J9101" t="s">
        <v>476</v>
      </c>
    </row>
    <row r="9102" spans="9:10" x14ac:dyDescent="0.3">
      <c r="I9102" t="s">
        <v>16129</v>
      </c>
      <c r="J9102" t="s">
        <v>476</v>
      </c>
    </row>
    <row r="9103" spans="9:10" x14ac:dyDescent="0.3">
      <c r="I9103" t="s">
        <v>16113</v>
      </c>
      <c r="J9103" t="s">
        <v>476</v>
      </c>
    </row>
    <row r="9104" spans="9:10" x14ac:dyDescent="0.3">
      <c r="I9104" t="s">
        <v>16115</v>
      </c>
      <c r="J9104" t="s">
        <v>476</v>
      </c>
    </row>
    <row r="9105" spans="9:10" x14ac:dyDescent="0.3">
      <c r="I9105" t="s">
        <v>16113</v>
      </c>
      <c r="J9105" t="s">
        <v>476</v>
      </c>
    </row>
    <row r="9106" spans="9:10" x14ac:dyDescent="0.3">
      <c r="I9106" t="s">
        <v>16113</v>
      </c>
      <c r="J9106" t="s">
        <v>476</v>
      </c>
    </row>
    <row r="9107" spans="9:10" x14ac:dyDescent="0.3">
      <c r="I9107" t="s">
        <v>16113</v>
      </c>
      <c r="J9107" t="s">
        <v>476</v>
      </c>
    </row>
    <row r="9108" spans="9:10" x14ac:dyDescent="0.3">
      <c r="I9108" t="s">
        <v>16131</v>
      </c>
      <c r="J9108" t="s">
        <v>476</v>
      </c>
    </row>
    <row r="9109" spans="9:10" x14ac:dyDescent="0.3">
      <c r="I9109" t="s">
        <v>16113</v>
      </c>
      <c r="J9109" t="s">
        <v>476</v>
      </c>
    </row>
    <row r="9110" spans="9:10" x14ac:dyDescent="0.3">
      <c r="I9110" t="s">
        <v>16132</v>
      </c>
      <c r="J9110" t="s">
        <v>476</v>
      </c>
    </row>
    <row r="9111" spans="9:10" x14ac:dyDescent="0.3">
      <c r="I9111" t="s">
        <v>16113</v>
      </c>
      <c r="J9111" t="s">
        <v>476</v>
      </c>
    </row>
    <row r="9112" spans="9:10" x14ac:dyDescent="0.3">
      <c r="I9112" t="s">
        <v>16133</v>
      </c>
      <c r="J9112" t="s">
        <v>476</v>
      </c>
    </row>
    <row r="9113" spans="9:10" x14ac:dyDescent="0.3">
      <c r="I9113" t="s">
        <v>16134</v>
      </c>
      <c r="J9113" t="s">
        <v>476</v>
      </c>
    </row>
    <row r="9114" spans="9:10" x14ac:dyDescent="0.3">
      <c r="I9114" t="s">
        <v>16135</v>
      </c>
      <c r="J9114" t="s">
        <v>476</v>
      </c>
    </row>
    <row r="9115" spans="9:10" x14ac:dyDescent="0.3">
      <c r="I9115" t="s">
        <v>16113</v>
      </c>
      <c r="J9115" t="s">
        <v>476</v>
      </c>
    </row>
    <row r="9116" spans="9:10" x14ac:dyDescent="0.3">
      <c r="I9116" t="s">
        <v>16134</v>
      </c>
      <c r="J9116" t="s">
        <v>476</v>
      </c>
    </row>
    <row r="9117" spans="9:10" x14ac:dyDescent="0.3">
      <c r="I9117" t="s">
        <v>16113</v>
      </c>
      <c r="J9117" t="s">
        <v>476</v>
      </c>
    </row>
    <row r="9118" spans="9:10" x14ac:dyDescent="0.3">
      <c r="I9118" t="s">
        <v>16113</v>
      </c>
      <c r="J9118" t="s">
        <v>476</v>
      </c>
    </row>
    <row r="9119" spans="9:10" x14ac:dyDescent="0.3">
      <c r="I9119" t="s">
        <v>16113</v>
      </c>
      <c r="J9119" t="s">
        <v>476</v>
      </c>
    </row>
    <row r="9120" spans="9:10" x14ac:dyDescent="0.3">
      <c r="I9120" t="s">
        <v>16129</v>
      </c>
      <c r="J9120" t="s">
        <v>476</v>
      </c>
    </row>
    <row r="9121" spans="9:10" x14ac:dyDescent="0.3">
      <c r="I9121" t="s">
        <v>16115</v>
      </c>
      <c r="J9121" t="s">
        <v>476</v>
      </c>
    </row>
    <row r="9122" spans="9:10" x14ac:dyDescent="0.3">
      <c r="I9122" t="s">
        <v>16113</v>
      </c>
      <c r="J9122" t="s">
        <v>476</v>
      </c>
    </row>
    <row r="9123" spans="9:10" x14ac:dyDescent="0.3">
      <c r="I9123" t="s">
        <v>16115</v>
      </c>
      <c r="J9123" t="s">
        <v>476</v>
      </c>
    </row>
    <row r="9124" spans="9:10" x14ac:dyDescent="0.3">
      <c r="I9124" t="s">
        <v>16115</v>
      </c>
      <c r="J9124" t="s">
        <v>476</v>
      </c>
    </row>
    <row r="9125" spans="9:10" x14ac:dyDescent="0.3">
      <c r="I9125" t="s">
        <v>16113</v>
      </c>
      <c r="J9125" t="s">
        <v>476</v>
      </c>
    </row>
    <row r="9126" spans="9:10" x14ac:dyDescent="0.3">
      <c r="I9126" t="s">
        <v>16113</v>
      </c>
      <c r="J9126" t="s">
        <v>476</v>
      </c>
    </row>
    <row r="9127" spans="9:10" x14ac:dyDescent="0.3">
      <c r="I9127" t="s">
        <v>16115</v>
      </c>
      <c r="J9127" t="s">
        <v>476</v>
      </c>
    </row>
    <row r="9128" spans="9:10" x14ac:dyDescent="0.3">
      <c r="I9128" t="s">
        <v>16133</v>
      </c>
      <c r="J9128" t="s">
        <v>476</v>
      </c>
    </row>
    <row r="9129" spans="9:10" x14ac:dyDescent="0.3">
      <c r="I9129" t="s">
        <v>16136</v>
      </c>
      <c r="J9129" t="s">
        <v>476</v>
      </c>
    </row>
    <row r="9130" spans="9:10" x14ac:dyDescent="0.3">
      <c r="I9130" t="s">
        <v>16137</v>
      </c>
      <c r="J9130" t="s">
        <v>476</v>
      </c>
    </row>
    <row r="9131" spans="9:10" x14ac:dyDescent="0.3">
      <c r="I9131" t="s">
        <v>16113</v>
      </c>
      <c r="J9131" t="s">
        <v>476</v>
      </c>
    </row>
    <row r="9132" spans="9:10" x14ac:dyDescent="0.3">
      <c r="I9132" t="s">
        <v>16131</v>
      </c>
      <c r="J9132" t="s">
        <v>476</v>
      </c>
    </row>
    <row r="9133" spans="9:10" x14ac:dyDescent="0.3">
      <c r="I9133" t="s">
        <v>16113</v>
      </c>
      <c r="J9133" t="s">
        <v>476</v>
      </c>
    </row>
    <row r="9134" spans="9:10" x14ac:dyDescent="0.3">
      <c r="I9134" t="s">
        <v>16113</v>
      </c>
      <c r="J9134" t="s">
        <v>476</v>
      </c>
    </row>
    <row r="9135" spans="9:10" x14ac:dyDescent="0.3">
      <c r="I9135" t="s">
        <v>16134</v>
      </c>
      <c r="J9135" t="s">
        <v>476</v>
      </c>
    </row>
    <row r="9136" spans="9:10" x14ac:dyDescent="0.3">
      <c r="I9136" t="s">
        <v>16115</v>
      </c>
      <c r="J9136" t="s">
        <v>476</v>
      </c>
    </row>
    <row r="9137" spans="9:10" x14ac:dyDescent="0.3">
      <c r="I9137" t="s">
        <v>16115</v>
      </c>
      <c r="J9137" t="s">
        <v>476</v>
      </c>
    </row>
    <row r="9138" spans="9:10" x14ac:dyDescent="0.3">
      <c r="I9138" t="s">
        <v>16115</v>
      </c>
      <c r="J9138" t="s">
        <v>476</v>
      </c>
    </row>
    <row r="9139" spans="9:10" x14ac:dyDescent="0.3">
      <c r="I9139" t="s">
        <v>16129</v>
      </c>
      <c r="J9139" t="s">
        <v>476</v>
      </c>
    </row>
    <row r="9140" spans="9:10" x14ac:dyDescent="0.3">
      <c r="I9140" t="s">
        <v>16115</v>
      </c>
      <c r="J9140" t="s">
        <v>476</v>
      </c>
    </row>
    <row r="9141" spans="9:10" x14ac:dyDescent="0.3">
      <c r="I9141" t="s">
        <v>16115</v>
      </c>
      <c r="J9141" t="s">
        <v>476</v>
      </c>
    </row>
    <row r="9142" spans="9:10" x14ac:dyDescent="0.3">
      <c r="I9142" t="s">
        <v>16115</v>
      </c>
      <c r="J9142" t="s">
        <v>476</v>
      </c>
    </row>
    <row r="9143" spans="9:10" x14ac:dyDescent="0.3">
      <c r="I9143" t="s">
        <v>16115</v>
      </c>
      <c r="J9143" t="s">
        <v>476</v>
      </c>
    </row>
    <row r="9144" spans="9:10" x14ac:dyDescent="0.3">
      <c r="I9144" t="s">
        <v>16138</v>
      </c>
    </row>
    <row r="9145" spans="9:10" x14ac:dyDescent="0.3">
      <c r="I9145" t="s">
        <v>16139</v>
      </c>
      <c r="J9145" t="s">
        <v>3650</v>
      </c>
    </row>
    <row r="9146" spans="9:10" x14ac:dyDescent="0.3">
      <c r="I9146" t="s">
        <v>16140</v>
      </c>
    </row>
    <row r="9147" spans="9:10" x14ac:dyDescent="0.3">
      <c r="I9147" t="s">
        <v>16141</v>
      </c>
    </row>
    <row r="9148" spans="9:10" x14ac:dyDescent="0.3">
      <c r="I9148" t="s">
        <v>16142</v>
      </c>
    </row>
    <row r="9149" spans="9:10" x14ac:dyDescent="0.3">
      <c r="I9149" t="s">
        <v>16143</v>
      </c>
    </row>
    <row r="9150" spans="9:10" x14ac:dyDescent="0.3">
      <c r="I9150" t="s">
        <v>16144</v>
      </c>
      <c r="J9150" t="s">
        <v>3651</v>
      </c>
    </row>
    <row r="9151" spans="9:10" x14ac:dyDescent="0.3">
      <c r="I9151" t="s">
        <v>16145</v>
      </c>
    </row>
    <row r="9152" spans="9:10" x14ac:dyDescent="0.3">
      <c r="I9152" t="s">
        <v>16146</v>
      </c>
      <c r="J9152" t="s">
        <v>3652</v>
      </c>
    </row>
    <row r="9153" spans="9:10" x14ac:dyDescent="0.3">
      <c r="I9153" t="s">
        <v>16147</v>
      </c>
      <c r="J9153">
        <v>0</v>
      </c>
    </row>
    <row r="9154" spans="9:10" x14ac:dyDescent="0.3">
      <c r="I9154" t="s">
        <v>16148</v>
      </c>
    </row>
    <row r="9155" spans="9:10" x14ac:dyDescent="0.3">
      <c r="I9155" t="s">
        <v>16149</v>
      </c>
    </row>
    <row r="9156" spans="9:10" x14ac:dyDescent="0.3">
      <c r="I9156" t="s">
        <v>16150</v>
      </c>
      <c r="J9156" t="s">
        <v>3653</v>
      </c>
    </row>
    <row r="9157" spans="9:10" x14ac:dyDescent="0.3">
      <c r="I9157" t="s">
        <v>16151</v>
      </c>
      <c r="J9157" t="s">
        <v>3653</v>
      </c>
    </row>
    <row r="9158" spans="9:10" x14ac:dyDescent="0.3">
      <c r="I9158" t="s">
        <v>16151</v>
      </c>
      <c r="J9158" t="s">
        <v>3653</v>
      </c>
    </row>
    <row r="9159" spans="9:10" x14ac:dyDescent="0.3">
      <c r="I9159" t="s">
        <v>16152</v>
      </c>
    </row>
    <row r="9160" spans="9:10" x14ac:dyDescent="0.3">
      <c r="I9160" t="s">
        <v>16152</v>
      </c>
    </row>
    <row r="9161" spans="9:10" x14ac:dyDescent="0.3">
      <c r="I9161" t="s">
        <v>16153</v>
      </c>
    </row>
    <row r="9162" spans="9:10" x14ac:dyDescent="0.3">
      <c r="I9162" t="s">
        <v>16154</v>
      </c>
    </row>
    <row r="9163" spans="9:10" x14ac:dyDescent="0.3">
      <c r="I9163" t="s">
        <v>16155</v>
      </c>
    </row>
    <row r="9164" spans="9:10" x14ac:dyDescent="0.3">
      <c r="I9164" t="s">
        <v>16156</v>
      </c>
      <c r="J9164" t="s">
        <v>3654</v>
      </c>
    </row>
    <row r="9165" spans="9:10" x14ac:dyDescent="0.3">
      <c r="I9165" t="s">
        <v>16157</v>
      </c>
    </row>
    <row r="9166" spans="9:10" x14ac:dyDescent="0.3">
      <c r="I9166" t="s">
        <v>16158</v>
      </c>
      <c r="J9166" t="s">
        <v>3655</v>
      </c>
    </row>
    <row r="9167" spans="9:10" x14ac:dyDescent="0.3">
      <c r="I9167" t="s">
        <v>16159</v>
      </c>
    </row>
    <row r="9168" spans="9:10" x14ac:dyDescent="0.3">
      <c r="I9168" t="s">
        <v>16160</v>
      </c>
      <c r="J9168" t="s">
        <v>3656</v>
      </c>
    </row>
    <row r="9169" spans="9:10" x14ac:dyDescent="0.3">
      <c r="I9169" t="s">
        <v>16161</v>
      </c>
    </row>
    <row r="9170" spans="9:10" x14ac:dyDescent="0.3">
      <c r="I9170" t="s">
        <v>16162</v>
      </c>
    </row>
    <row r="9171" spans="9:10" x14ac:dyDescent="0.3">
      <c r="I9171" t="s">
        <v>16163</v>
      </c>
    </row>
    <row r="9172" spans="9:10" x14ac:dyDescent="0.3">
      <c r="I9172" t="s">
        <v>16164</v>
      </c>
      <c r="J9172" t="s">
        <v>426</v>
      </c>
    </row>
    <row r="9173" spans="9:10" x14ac:dyDescent="0.3">
      <c r="I9173" t="s">
        <v>16164</v>
      </c>
      <c r="J9173" t="s">
        <v>426</v>
      </c>
    </row>
    <row r="9174" spans="9:10" x14ac:dyDescent="0.3">
      <c r="I9174" t="s">
        <v>16165</v>
      </c>
    </row>
    <row r="9175" spans="9:10" x14ac:dyDescent="0.3">
      <c r="I9175" t="s">
        <v>16166</v>
      </c>
      <c r="J9175" t="s">
        <v>3657</v>
      </c>
    </row>
    <row r="9176" spans="9:10" x14ac:dyDescent="0.3">
      <c r="I9176" t="s">
        <v>16167</v>
      </c>
      <c r="J9176" t="s">
        <v>3657</v>
      </c>
    </row>
    <row r="9177" spans="9:10" x14ac:dyDescent="0.3">
      <c r="I9177" t="s">
        <v>16168</v>
      </c>
      <c r="J9177" t="s">
        <v>3658</v>
      </c>
    </row>
    <row r="9178" spans="9:10" x14ac:dyDescent="0.3">
      <c r="I9178" t="s">
        <v>16169</v>
      </c>
    </row>
    <row r="9179" spans="9:10" x14ac:dyDescent="0.3">
      <c r="I9179" t="s">
        <v>16170</v>
      </c>
    </row>
    <row r="9180" spans="9:10" x14ac:dyDescent="0.3">
      <c r="I9180" t="s">
        <v>16171</v>
      </c>
    </row>
    <row r="9181" spans="9:10" x14ac:dyDescent="0.3">
      <c r="I9181" t="s">
        <v>16172</v>
      </c>
      <c r="J9181" t="s">
        <v>3659</v>
      </c>
    </row>
    <row r="9182" spans="9:10" x14ac:dyDescent="0.3">
      <c r="I9182" t="s">
        <v>16173</v>
      </c>
      <c r="J9182" t="s">
        <v>3660</v>
      </c>
    </row>
    <row r="9183" spans="9:10" x14ac:dyDescent="0.3">
      <c r="I9183" t="s">
        <v>16174</v>
      </c>
      <c r="J9183" t="s">
        <v>3660</v>
      </c>
    </row>
    <row r="9184" spans="9:10" x14ac:dyDescent="0.3">
      <c r="I9184" t="s">
        <v>16173</v>
      </c>
      <c r="J9184" t="s">
        <v>3660</v>
      </c>
    </row>
    <row r="9185" spans="9:10" x14ac:dyDescent="0.3">
      <c r="I9185" t="s">
        <v>16175</v>
      </c>
    </row>
    <row r="9186" spans="9:10" x14ac:dyDescent="0.3">
      <c r="I9186" t="s">
        <v>16176</v>
      </c>
      <c r="J9186" t="s">
        <v>3661</v>
      </c>
    </row>
    <row r="9187" spans="9:10" x14ac:dyDescent="0.3">
      <c r="I9187" t="s">
        <v>16176</v>
      </c>
      <c r="J9187" t="s">
        <v>3661</v>
      </c>
    </row>
    <row r="9188" spans="9:10" x14ac:dyDescent="0.3">
      <c r="I9188" t="s">
        <v>16177</v>
      </c>
    </row>
    <row r="9189" spans="9:10" x14ac:dyDescent="0.3">
      <c r="I9189" t="s">
        <v>16178</v>
      </c>
    </row>
    <row r="9190" spans="9:10" x14ac:dyDescent="0.3">
      <c r="I9190" t="s">
        <v>16179</v>
      </c>
    </row>
    <row r="9191" spans="9:10" x14ac:dyDescent="0.3">
      <c r="I9191" t="s">
        <v>16180</v>
      </c>
      <c r="J9191" t="s">
        <v>3662</v>
      </c>
    </row>
    <row r="9192" spans="9:10" x14ac:dyDescent="0.3">
      <c r="I9192" t="s">
        <v>16181</v>
      </c>
      <c r="J9192" t="s">
        <v>3663</v>
      </c>
    </row>
    <row r="9193" spans="9:10" x14ac:dyDescent="0.3">
      <c r="I9193" t="s">
        <v>16182</v>
      </c>
      <c r="J9193" t="s">
        <v>3664</v>
      </c>
    </row>
    <row r="9194" spans="9:10" x14ac:dyDescent="0.3">
      <c r="I9194" t="s">
        <v>16183</v>
      </c>
    </row>
    <row r="9195" spans="9:10" x14ac:dyDescent="0.3">
      <c r="I9195" t="s">
        <v>16184</v>
      </c>
      <c r="J9195" t="s">
        <v>3665</v>
      </c>
    </row>
    <row r="9196" spans="9:10" x14ac:dyDescent="0.3">
      <c r="I9196" t="s">
        <v>16185</v>
      </c>
    </row>
    <row r="9197" spans="9:10" x14ac:dyDescent="0.3">
      <c r="I9197" t="s">
        <v>16186</v>
      </c>
      <c r="J9197" t="s">
        <v>775</v>
      </c>
    </row>
    <row r="9198" spans="9:10" x14ac:dyDescent="0.3">
      <c r="I9198" t="s">
        <v>16187</v>
      </c>
      <c r="J9198" t="s">
        <v>3666</v>
      </c>
    </row>
    <row r="9199" spans="9:10" x14ac:dyDescent="0.3">
      <c r="I9199" t="s">
        <v>16188</v>
      </c>
      <c r="J9199" t="s">
        <v>3666</v>
      </c>
    </row>
    <row r="9200" spans="9:10" x14ac:dyDescent="0.3">
      <c r="I9200" t="s">
        <v>16189</v>
      </c>
    </row>
    <row r="9201" spans="9:10" x14ac:dyDescent="0.3">
      <c r="I9201" t="s">
        <v>16190</v>
      </c>
    </row>
    <row r="9202" spans="9:10" x14ac:dyDescent="0.3">
      <c r="I9202" t="s">
        <v>16191</v>
      </c>
      <c r="J9202" t="s">
        <v>3667</v>
      </c>
    </row>
    <row r="9203" spans="9:10" x14ac:dyDescent="0.3">
      <c r="I9203" t="s">
        <v>16192</v>
      </c>
    </row>
    <row r="9204" spans="9:10" x14ac:dyDescent="0.3">
      <c r="I9204" t="s">
        <v>16193</v>
      </c>
      <c r="J9204" t="s">
        <v>3668</v>
      </c>
    </row>
    <row r="9205" spans="9:10" x14ac:dyDescent="0.3">
      <c r="I9205" t="s">
        <v>16194</v>
      </c>
      <c r="J9205" t="s">
        <v>3669</v>
      </c>
    </row>
    <row r="9206" spans="9:10" x14ac:dyDescent="0.3">
      <c r="I9206" t="s">
        <v>16195</v>
      </c>
    </row>
    <row r="9207" spans="9:10" x14ac:dyDescent="0.3">
      <c r="I9207" t="s">
        <v>16196</v>
      </c>
    </row>
    <row r="9208" spans="9:10" x14ac:dyDescent="0.3">
      <c r="I9208" t="s">
        <v>16197</v>
      </c>
      <c r="J9208" t="s">
        <v>3670</v>
      </c>
    </row>
    <row r="9209" spans="9:10" x14ac:dyDescent="0.3">
      <c r="I9209" t="s">
        <v>16198</v>
      </c>
      <c r="J9209" t="s">
        <v>3671</v>
      </c>
    </row>
    <row r="9210" spans="9:10" x14ac:dyDescent="0.3">
      <c r="I9210" t="s">
        <v>16199</v>
      </c>
      <c r="J9210" t="s">
        <v>3672</v>
      </c>
    </row>
    <row r="9211" spans="9:10" x14ac:dyDescent="0.3">
      <c r="I9211" t="s">
        <v>16200</v>
      </c>
      <c r="J9211" t="s">
        <v>3673</v>
      </c>
    </row>
    <row r="9212" spans="9:10" x14ac:dyDescent="0.3">
      <c r="I9212" t="s">
        <v>16201</v>
      </c>
      <c r="J9212" t="s">
        <v>3674</v>
      </c>
    </row>
    <row r="9213" spans="9:10" x14ac:dyDescent="0.3">
      <c r="I9213" t="s">
        <v>16202</v>
      </c>
      <c r="J9213" t="s">
        <v>3675</v>
      </c>
    </row>
    <row r="9214" spans="9:10" x14ac:dyDescent="0.3">
      <c r="I9214" t="s">
        <v>16203</v>
      </c>
      <c r="J9214" t="s">
        <v>215</v>
      </c>
    </row>
    <row r="9215" spans="9:10" x14ac:dyDescent="0.3">
      <c r="I9215" t="s">
        <v>16204</v>
      </c>
      <c r="J9215" t="s">
        <v>215</v>
      </c>
    </row>
    <row r="9216" spans="9:10" x14ac:dyDescent="0.3">
      <c r="I9216" t="s">
        <v>16204</v>
      </c>
      <c r="J9216" t="s">
        <v>215</v>
      </c>
    </row>
    <row r="9217" spans="9:10" x14ac:dyDescent="0.3">
      <c r="I9217" t="s">
        <v>16205</v>
      </c>
      <c r="J9217" t="s">
        <v>3676</v>
      </c>
    </row>
    <row r="9218" spans="9:10" x14ac:dyDescent="0.3">
      <c r="I9218" t="s">
        <v>16206</v>
      </c>
      <c r="J9218" t="s">
        <v>3677</v>
      </c>
    </row>
    <row r="9219" spans="9:10" x14ac:dyDescent="0.3">
      <c r="I9219" t="s">
        <v>16207</v>
      </c>
      <c r="J9219" t="s">
        <v>930</v>
      </c>
    </row>
    <row r="9220" spans="9:10" x14ac:dyDescent="0.3">
      <c r="I9220" t="s">
        <v>16208</v>
      </c>
      <c r="J9220" t="s">
        <v>3678</v>
      </c>
    </row>
    <row r="9221" spans="9:10" x14ac:dyDescent="0.3">
      <c r="I9221" t="s">
        <v>16209</v>
      </c>
      <c r="J9221" t="s">
        <v>3679</v>
      </c>
    </row>
    <row r="9222" spans="9:10" x14ac:dyDescent="0.3">
      <c r="I9222" t="s">
        <v>16209</v>
      </c>
      <c r="J9222" t="s">
        <v>3679</v>
      </c>
    </row>
    <row r="9223" spans="9:10" x14ac:dyDescent="0.3">
      <c r="I9223" t="s">
        <v>16210</v>
      </c>
      <c r="J9223" t="s">
        <v>3679</v>
      </c>
    </row>
    <row r="9224" spans="9:10" x14ac:dyDescent="0.3">
      <c r="I9224" t="s">
        <v>16209</v>
      </c>
      <c r="J9224" t="s">
        <v>3679</v>
      </c>
    </row>
    <row r="9225" spans="9:10" x14ac:dyDescent="0.3">
      <c r="I9225" t="s">
        <v>16211</v>
      </c>
      <c r="J9225" t="s">
        <v>3680</v>
      </c>
    </row>
    <row r="9226" spans="9:10" x14ac:dyDescent="0.3">
      <c r="I9226" t="s">
        <v>16212</v>
      </c>
      <c r="J9226" t="s">
        <v>3681</v>
      </c>
    </row>
    <row r="9227" spans="9:10" x14ac:dyDescent="0.3">
      <c r="I9227" t="s">
        <v>16213</v>
      </c>
      <c r="J9227" t="s">
        <v>462</v>
      </c>
    </row>
    <row r="9228" spans="9:10" x14ac:dyDescent="0.3">
      <c r="I9228" t="s">
        <v>16214</v>
      </c>
      <c r="J9228" t="s">
        <v>462</v>
      </c>
    </row>
    <row r="9229" spans="9:10" x14ac:dyDescent="0.3">
      <c r="I9229" t="s">
        <v>16215</v>
      </c>
      <c r="J9229" t="s">
        <v>462</v>
      </c>
    </row>
    <row r="9230" spans="9:10" x14ac:dyDescent="0.3">
      <c r="I9230" t="s">
        <v>16216</v>
      </c>
      <c r="J9230" t="s">
        <v>462</v>
      </c>
    </row>
    <row r="9231" spans="9:10" x14ac:dyDescent="0.3">
      <c r="I9231" t="s">
        <v>16217</v>
      </c>
      <c r="J9231" t="s">
        <v>462</v>
      </c>
    </row>
    <row r="9232" spans="9:10" x14ac:dyDescent="0.3">
      <c r="I9232" t="s">
        <v>16218</v>
      </c>
      <c r="J9232" t="s">
        <v>462</v>
      </c>
    </row>
    <row r="9233" spans="9:10" x14ac:dyDescent="0.3">
      <c r="I9233" t="s">
        <v>16219</v>
      </c>
      <c r="J9233" t="s">
        <v>462</v>
      </c>
    </row>
    <row r="9234" spans="9:10" x14ac:dyDescent="0.3">
      <c r="I9234" t="s">
        <v>16215</v>
      </c>
      <c r="J9234" t="s">
        <v>462</v>
      </c>
    </row>
    <row r="9235" spans="9:10" x14ac:dyDescent="0.3">
      <c r="I9235" t="s">
        <v>16215</v>
      </c>
      <c r="J9235" t="s">
        <v>462</v>
      </c>
    </row>
    <row r="9236" spans="9:10" x14ac:dyDescent="0.3">
      <c r="I9236" t="s">
        <v>16220</v>
      </c>
      <c r="J9236" t="s">
        <v>462</v>
      </c>
    </row>
    <row r="9237" spans="9:10" x14ac:dyDescent="0.3">
      <c r="I9237" t="s">
        <v>16221</v>
      </c>
      <c r="J9237" t="s">
        <v>3682</v>
      </c>
    </row>
    <row r="9238" spans="9:10" x14ac:dyDescent="0.3">
      <c r="I9238" t="s">
        <v>16222</v>
      </c>
      <c r="J9238" t="s">
        <v>3683</v>
      </c>
    </row>
    <row r="9239" spans="9:10" x14ac:dyDescent="0.3">
      <c r="I9239" t="s">
        <v>16223</v>
      </c>
      <c r="J9239" t="s">
        <v>3684</v>
      </c>
    </row>
    <row r="9240" spans="9:10" x14ac:dyDescent="0.3">
      <c r="I9240" t="s">
        <v>16224</v>
      </c>
    </row>
    <row r="9241" spans="9:10" x14ac:dyDescent="0.3">
      <c r="I9241" t="s">
        <v>16225</v>
      </c>
    </row>
    <row r="9242" spans="9:10" x14ac:dyDescent="0.3">
      <c r="I9242" t="s">
        <v>16226</v>
      </c>
    </row>
    <row r="9243" spans="9:10" x14ac:dyDescent="0.3">
      <c r="I9243" t="s">
        <v>16227</v>
      </c>
    </row>
    <row r="9244" spans="9:10" x14ac:dyDescent="0.3">
      <c r="I9244" t="s">
        <v>16228</v>
      </c>
      <c r="J9244" t="s">
        <v>3685</v>
      </c>
    </row>
    <row r="9245" spans="9:10" x14ac:dyDescent="0.3">
      <c r="I9245" t="s">
        <v>16229</v>
      </c>
    </row>
    <row r="9246" spans="9:10" x14ac:dyDescent="0.3">
      <c r="I9246" t="s">
        <v>16230</v>
      </c>
    </row>
    <row r="9247" spans="9:10" x14ac:dyDescent="0.3">
      <c r="I9247" t="s">
        <v>16231</v>
      </c>
    </row>
    <row r="9248" spans="9:10" x14ac:dyDescent="0.3">
      <c r="I9248" t="s">
        <v>16232</v>
      </c>
      <c r="J9248" t="s">
        <v>3686</v>
      </c>
    </row>
    <row r="9249" spans="9:10" x14ac:dyDescent="0.3">
      <c r="I9249" t="s">
        <v>16233</v>
      </c>
      <c r="J9249" t="s">
        <v>3687</v>
      </c>
    </row>
    <row r="9250" spans="9:10" x14ac:dyDescent="0.3">
      <c r="I9250" t="s">
        <v>16234</v>
      </c>
    </row>
    <row r="9251" spans="9:10" x14ac:dyDescent="0.3">
      <c r="I9251" t="s">
        <v>16235</v>
      </c>
    </row>
    <row r="9252" spans="9:10" x14ac:dyDescent="0.3">
      <c r="I9252" t="s">
        <v>16236</v>
      </c>
    </row>
    <row r="9253" spans="9:10" x14ac:dyDescent="0.3">
      <c r="I9253" t="s">
        <v>16237</v>
      </c>
      <c r="J9253" t="s">
        <v>813</v>
      </c>
    </row>
    <row r="9254" spans="9:10" x14ac:dyDescent="0.3">
      <c r="I9254" t="s">
        <v>16238</v>
      </c>
      <c r="J9254" t="s">
        <v>470</v>
      </c>
    </row>
    <row r="9255" spans="9:10" x14ac:dyDescent="0.3">
      <c r="I9255" t="s">
        <v>16239</v>
      </c>
      <c r="J9255" t="s">
        <v>470</v>
      </c>
    </row>
    <row r="9256" spans="9:10" x14ac:dyDescent="0.3">
      <c r="I9256" t="s">
        <v>16240</v>
      </c>
      <c r="J9256" t="s">
        <v>3688</v>
      </c>
    </row>
    <row r="9257" spans="9:10" x14ac:dyDescent="0.3">
      <c r="I9257" t="s">
        <v>16241</v>
      </c>
      <c r="J9257" t="s">
        <v>938</v>
      </c>
    </row>
    <row r="9258" spans="9:10" x14ac:dyDescent="0.3">
      <c r="I9258" t="s">
        <v>16242</v>
      </c>
      <c r="J9258" t="s">
        <v>938</v>
      </c>
    </row>
    <row r="9259" spans="9:10" x14ac:dyDescent="0.3">
      <c r="I9259" t="s">
        <v>16243</v>
      </c>
      <c r="J9259" t="s">
        <v>978</v>
      </c>
    </row>
    <row r="9260" spans="9:10" x14ac:dyDescent="0.3">
      <c r="I9260" t="s">
        <v>16244</v>
      </c>
      <c r="J9260" t="s">
        <v>3016</v>
      </c>
    </row>
    <row r="9261" spans="9:10" x14ac:dyDescent="0.3">
      <c r="I9261" t="s">
        <v>16245</v>
      </c>
      <c r="J9261" t="s">
        <v>3016</v>
      </c>
    </row>
    <row r="9262" spans="9:10" x14ac:dyDescent="0.3">
      <c r="I9262" t="s">
        <v>16246</v>
      </c>
      <c r="J9262" t="s">
        <v>3689</v>
      </c>
    </row>
    <row r="9263" spans="9:10" x14ac:dyDescent="0.3">
      <c r="I9263" t="s">
        <v>16247</v>
      </c>
      <c r="J9263" t="s">
        <v>3690</v>
      </c>
    </row>
    <row r="9264" spans="9:10" x14ac:dyDescent="0.3">
      <c r="I9264" t="s">
        <v>16248</v>
      </c>
      <c r="J9264" t="s">
        <v>3691</v>
      </c>
    </row>
    <row r="9265" spans="9:10" x14ac:dyDescent="0.3">
      <c r="I9265" t="s">
        <v>16249</v>
      </c>
      <c r="J9265" t="s">
        <v>3691</v>
      </c>
    </row>
    <row r="9266" spans="9:10" x14ac:dyDescent="0.3">
      <c r="I9266" t="s">
        <v>16249</v>
      </c>
      <c r="J9266" t="s">
        <v>3691</v>
      </c>
    </row>
    <row r="9267" spans="9:10" x14ac:dyDescent="0.3">
      <c r="I9267" t="s">
        <v>16250</v>
      </c>
      <c r="J9267" t="s">
        <v>3692</v>
      </c>
    </row>
    <row r="9268" spans="9:10" x14ac:dyDescent="0.3">
      <c r="I9268" t="s">
        <v>16250</v>
      </c>
      <c r="J9268" t="s">
        <v>3692</v>
      </c>
    </row>
    <row r="9269" spans="9:10" x14ac:dyDescent="0.3">
      <c r="I9269" t="s">
        <v>16251</v>
      </c>
      <c r="J9269" t="s">
        <v>3693</v>
      </c>
    </row>
    <row r="9270" spans="9:10" x14ac:dyDescent="0.3">
      <c r="I9270" t="s">
        <v>16251</v>
      </c>
      <c r="J9270" t="s">
        <v>3693</v>
      </c>
    </row>
    <row r="9271" spans="9:10" x14ac:dyDescent="0.3">
      <c r="I9271" t="s">
        <v>16252</v>
      </c>
      <c r="J9271" t="s">
        <v>3693</v>
      </c>
    </row>
    <row r="9272" spans="9:10" x14ac:dyDescent="0.3">
      <c r="I9272" t="s">
        <v>16252</v>
      </c>
      <c r="J9272" t="s">
        <v>3693</v>
      </c>
    </row>
    <row r="9273" spans="9:10" x14ac:dyDescent="0.3">
      <c r="I9273" t="s">
        <v>16252</v>
      </c>
      <c r="J9273" t="s">
        <v>3693</v>
      </c>
    </row>
    <row r="9274" spans="9:10" x14ac:dyDescent="0.3">
      <c r="I9274" t="s">
        <v>16253</v>
      </c>
      <c r="J9274" t="s">
        <v>3693</v>
      </c>
    </row>
    <row r="9275" spans="9:10" x14ac:dyDescent="0.3">
      <c r="I9275" t="s">
        <v>16254</v>
      </c>
      <c r="J9275" t="s">
        <v>3694</v>
      </c>
    </row>
    <row r="9276" spans="9:10" x14ac:dyDescent="0.3">
      <c r="I9276" t="s">
        <v>16255</v>
      </c>
      <c r="J9276" t="s">
        <v>2045</v>
      </c>
    </row>
    <row r="9277" spans="9:10" x14ac:dyDescent="0.3">
      <c r="I9277" t="s">
        <v>16256</v>
      </c>
    </row>
    <row r="9278" spans="9:10" x14ac:dyDescent="0.3">
      <c r="I9278" t="s">
        <v>16257</v>
      </c>
    </row>
    <row r="9279" spans="9:10" x14ac:dyDescent="0.3">
      <c r="I9279" t="s">
        <v>16258</v>
      </c>
      <c r="J9279" t="s">
        <v>3695</v>
      </c>
    </row>
    <row r="9280" spans="9:10" x14ac:dyDescent="0.3">
      <c r="I9280" t="s">
        <v>16259</v>
      </c>
    </row>
    <row r="9281" spans="9:10" x14ac:dyDescent="0.3">
      <c r="I9281" t="s">
        <v>16260</v>
      </c>
      <c r="J9281" t="s">
        <v>3696</v>
      </c>
    </row>
    <row r="9282" spans="9:10" x14ac:dyDescent="0.3">
      <c r="I9282" t="s">
        <v>16261</v>
      </c>
      <c r="J9282" t="s">
        <v>3696</v>
      </c>
    </row>
    <row r="9283" spans="9:10" x14ac:dyDescent="0.3">
      <c r="I9283" t="s">
        <v>16262</v>
      </c>
      <c r="J9283" t="s">
        <v>3697</v>
      </c>
    </row>
    <row r="9284" spans="9:10" x14ac:dyDescent="0.3">
      <c r="I9284" t="s">
        <v>16263</v>
      </c>
      <c r="J9284" t="s">
        <v>3698</v>
      </c>
    </row>
    <row r="9285" spans="9:10" x14ac:dyDescent="0.3">
      <c r="I9285" t="s">
        <v>16264</v>
      </c>
    </row>
    <row r="9286" spans="9:10" x14ac:dyDescent="0.3">
      <c r="I9286" t="s">
        <v>16265</v>
      </c>
      <c r="J9286" t="s">
        <v>3699</v>
      </c>
    </row>
    <row r="9287" spans="9:10" x14ac:dyDescent="0.3">
      <c r="I9287" t="s">
        <v>16266</v>
      </c>
      <c r="J9287" t="s">
        <v>3700</v>
      </c>
    </row>
    <row r="9288" spans="9:10" x14ac:dyDescent="0.3">
      <c r="I9288" t="s">
        <v>16267</v>
      </c>
    </row>
    <row r="9289" spans="9:10" x14ac:dyDescent="0.3">
      <c r="I9289" t="s">
        <v>16268</v>
      </c>
      <c r="J9289" t="s">
        <v>3701</v>
      </c>
    </row>
    <row r="9290" spans="9:10" x14ac:dyDescent="0.3">
      <c r="I9290" t="s">
        <v>16269</v>
      </c>
      <c r="J9290" t="s">
        <v>3702</v>
      </c>
    </row>
    <row r="9291" spans="9:10" x14ac:dyDescent="0.3">
      <c r="I9291" t="s">
        <v>16270</v>
      </c>
      <c r="J9291" t="s">
        <v>3702</v>
      </c>
    </row>
    <row r="9292" spans="9:10" x14ac:dyDescent="0.3">
      <c r="I9292" t="s">
        <v>16270</v>
      </c>
      <c r="J9292" t="s">
        <v>3702</v>
      </c>
    </row>
    <row r="9293" spans="9:10" x14ac:dyDescent="0.3">
      <c r="I9293" t="s">
        <v>16271</v>
      </c>
      <c r="J9293" t="s">
        <v>3702</v>
      </c>
    </row>
    <row r="9294" spans="9:10" x14ac:dyDescent="0.3">
      <c r="I9294" t="s">
        <v>16272</v>
      </c>
    </row>
    <row r="9295" spans="9:10" x14ac:dyDescent="0.3">
      <c r="I9295" t="s">
        <v>16273</v>
      </c>
      <c r="J9295" t="s">
        <v>3703</v>
      </c>
    </row>
    <row r="9296" spans="9:10" x14ac:dyDescent="0.3">
      <c r="I9296" t="s">
        <v>16274</v>
      </c>
      <c r="J9296" t="s">
        <v>3704</v>
      </c>
    </row>
    <row r="9297" spans="9:10" x14ac:dyDescent="0.3">
      <c r="I9297" t="s">
        <v>16274</v>
      </c>
      <c r="J9297" t="s">
        <v>3704</v>
      </c>
    </row>
    <row r="9298" spans="9:10" x14ac:dyDescent="0.3">
      <c r="I9298" t="s">
        <v>16275</v>
      </c>
      <c r="J9298" t="s">
        <v>3705</v>
      </c>
    </row>
    <row r="9299" spans="9:10" x14ac:dyDescent="0.3">
      <c r="I9299" t="s">
        <v>16276</v>
      </c>
      <c r="J9299" t="s">
        <v>3705</v>
      </c>
    </row>
    <row r="9300" spans="9:10" x14ac:dyDescent="0.3">
      <c r="I9300" t="s">
        <v>16275</v>
      </c>
      <c r="J9300" t="s">
        <v>3705</v>
      </c>
    </row>
    <row r="9301" spans="9:10" x14ac:dyDescent="0.3">
      <c r="I9301" t="s">
        <v>16277</v>
      </c>
      <c r="J9301" t="s">
        <v>3706</v>
      </c>
    </row>
    <row r="9302" spans="9:10" x14ac:dyDescent="0.3">
      <c r="I9302" t="s">
        <v>16278</v>
      </c>
      <c r="J9302" t="s">
        <v>3707</v>
      </c>
    </row>
    <row r="9303" spans="9:10" x14ac:dyDescent="0.3">
      <c r="I9303" t="s">
        <v>16279</v>
      </c>
      <c r="J9303" t="s">
        <v>3708</v>
      </c>
    </row>
    <row r="9304" spans="9:10" x14ac:dyDescent="0.3">
      <c r="I9304" t="s">
        <v>16280</v>
      </c>
      <c r="J9304" t="s">
        <v>3709</v>
      </c>
    </row>
    <row r="9305" spans="9:10" x14ac:dyDescent="0.3">
      <c r="I9305" t="s">
        <v>16281</v>
      </c>
      <c r="J9305" t="s">
        <v>3710</v>
      </c>
    </row>
    <row r="9306" spans="9:10" x14ac:dyDescent="0.3">
      <c r="I9306" t="s">
        <v>16282</v>
      </c>
      <c r="J9306" t="s">
        <v>3711</v>
      </c>
    </row>
    <row r="9307" spans="9:10" x14ac:dyDescent="0.3">
      <c r="I9307" t="s">
        <v>16283</v>
      </c>
      <c r="J9307" t="s">
        <v>3712</v>
      </c>
    </row>
    <row r="9308" spans="9:10" x14ac:dyDescent="0.3">
      <c r="I9308" t="s">
        <v>16284</v>
      </c>
      <c r="J9308" t="s">
        <v>3713</v>
      </c>
    </row>
    <row r="9309" spans="9:10" x14ac:dyDescent="0.3">
      <c r="I9309" t="s">
        <v>16285</v>
      </c>
      <c r="J9309" t="s">
        <v>3713</v>
      </c>
    </row>
    <row r="9310" spans="9:10" x14ac:dyDescent="0.3">
      <c r="I9310" t="s">
        <v>16286</v>
      </c>
      <c r="J9310" t="s">
        <v>3714</v>
      </c>
    </row>
    <row r="9311" spans="9:10" x14ac:dyDescent="0.3">
      <c r="I9311" t="s">
        <v>16287</v>
      </c>
      <c r="J9311" t="s">
        <v>3715</v>
      </c>
    </row>
    <row r="9312" spans="9:10" x14ac:dyDescent="0.3">
      <c r="I9312" t="s">
        <v>16288</v>
      </c>
      <c r="J9312" t="s">
        <v>3716</v>
      </c>
    </row>
    <row r="9313" spans="9:10" x14ac:dyDescent="0.3">
      <c r="I9313" t="s">
        <v>16289</v>
      </c>
      <c r="J9313" t="s">
        <v>3717</v>
      </c>
    </row>
    <row r="9314" spans="9:10" x14ac:dyDescent="0.3">
      <c r="I9314" t="s">
        <v>16290</v>
      </c>
      <c r="J9314" t="s">
        <v>3717</v>
      </c>
    </row>
    <row r="9315" spans="9:10" x14ac:dyDescent="0.3">
      <c r="I9315" t="s">
        <v>16290</v>
      </c>
      <c r="J9315" t="s">
        <v>3717</v>
      </c>
    </row>
    <row r="9316" spans="9:10" x14ac:dyDescent="0.3">
      <c r="I9316" t="s">
        <v>16291</v>
      </c>
      <c r="J9316" t="s">
        <v>3718</v>
      </c>
    </row>
    <row r="9317" spans="9:10" x14ac:dyDescent="0.3">
      <c r="I9317" t="s">
        <v>16292</v>
      </c>
      <c r="J9317" t="s">
        <v>651</v>
      </c>
    </row>
    <row r="9318" spans="9:10" x14ac:dyDescent="0.3">
      <c r="I9318" t="s">
        <v>16293</v>
      </c>
      <c r="J9318" t="s">
        <v>3719</v>
      </c>
    </row>
    <row r="9319" spans="9:10" x14ac:dyDescent="0.3">
      <c r="I9319" t="s">
        <v>16294</v>
      </c>
      <c r="J9319" t="s">
        <v>3720</v>
      </c>
    </row>
    <row r="9320" spans="9:10" x14ac:dyDescent="0.3">
      <c r="I9320" t="s">
        <v>16295</v>
      </c>
      <c r="J9320" t="s">
        <v>3721</v>
      </c>
    </row>
    <row r="9321" spans="9:10" x14ac:dyDescent="0.3">
      <c r="I9321" t="s">
        <v>16296</v>
      </c>
      <c r="J9321" t="s">
        <v>3722</v>
      </c>
    </row>
    <row r="9322" spans="9:10" x14ac:dyDescent="0.3">
      <c r="I9322" t="s">
        <v>16297</v>
      </c>
      <c r="J9322" t="s">
        <v>3723</v>
      </c>
    </row>
    <row r="9323" spans="9:10" x14ac:dyDescent="0.3">
      <c r="I9323" t="s">
        <v>16298</v>
      </c>
      <c r="J9323" t="s">
        <v>3724</v>
      </c>
    </row>
    <row r="9324" spans="9:10" x14ac:dyDescent="0.3">
      <c r="I9324" t="s">
        <v>16299</v>
      </c>
      <c r="J9324" t="s">
        <v>3725</v>
      </c>
    </row>
    <row r="9325" spans="9:10" x14ac:dyDescent="0.3">
      <c r="I9325" t="s">
        <v>16300</v>
      </c>
      <c r="J9325" t="s">
        <v>322</v>
      </c>
    </row>
    <row r="9326" spans="9:10" x14ac:dyDescent="0.3">
      <c r="I9326" t="s">
        <v>16300</v>
      </c>
      <c r="J9326" t="s">
        <v>322</v>
      </c>
    </row>
    <row r="9327" spans="9:10" x14ac:dyDescent="0.3">
      <c r="I9327" t="s">
        <v>16301</v>
      </c>
      <c r="J9327" t="s">
        <v>324</v>
      </c>
    </row>
    <row r="9328" spans="9:10" x14ac:dyDescent="0.3">
      <c r="I9328" t="s">
        <v>16301</v>
      </c>
      <c r="J9328" t="s">
        <v>324</v>
      </c>
    </row>
    <row r="9329" spans="9:10" x14ac:dyDescent="0.3">
      <c r="I9329" t="s">
        <v>16302</v>
      </c>
      <c r="J9329" t="s">
        <v>3726</v>
      </c>
    </row>
    <row r="9330" spans="9:10" x14ac:dyDescent="0.3">
      <c r="I9330" t="s">
        <v>16303</v>
      </c>
      <c r="J9330" t="s">
        <v>3727</v>
      </c>
    </row>
    <row r="9331" spans="9:10" x14ac:dyDescent="0.3">
      <c r="I9331" t="s">
        <v>16303</v>
      </c>
      <c r="J9331" t="s">
        <v>3727</v>
      </c>
    </row>
    <row r="9332" spans="9:10" x14ac:dyDescent="0.3">
      <c r="I9332" t="s">
        <v>16304</v>
      </c>
    </row>
    <row r="9333" spans="9:10" x14ac:dyDescent="0.3">
      <c r="I9333" t="s">
        <v>16305</v>
      </c>
    </row>
    <row r="9334" spans="9:10" x14ac:dyDescent="0.3">
      <c r="I9334" t="s">
        <v>16306</v>
      </c>
    </row>
    <row r="9335" spans="9:10" x14ac:dyDescent="0.3">
      <c r="I9335" t="s">
        <v>16307</v>
      </c>
    </row>
    <row r="9336" spans="9:10" x14ac:dyDescent="0.3">
      <c r="I9336" t="s">
        <v>16308</v>
      </c>
    </row>
    <row r="9337" spans="9:10" x14ac:dyDescent="0.3">
      <c r="I9337" t="s">
        <v>16309</v>
      </c>
      <c r="J9337" t="s">
        <v>3728</v>
      </c>
    </row>
    <row r="9338" spans="9:10" x14ac:dyDescent="0.3">
      <c r="I9338" t="s">
        <v>16310</v>
      </c>
      <c r="J9338" t="s">
        <v>3729</v>
      </c>
    </row>
    <row r="9339" spans="9:10" x14ac:dyDescent="0.3">
      <c r="I9339" t="s">
        <v>16311</v>
      </c>
      <c r="J9339" t="s">
        <v>3730</v>
      </c>
    </row>
    <row r="9340" spans="9:10" x14ac:dyDescent="0.3">
      <c r="I9340" t="s">
        <v>16312</v>
      </c>
      <c r="J9340" t="s">
        <v>3731</v>
      </c>
    </row>
    <row r="9341" spans="9:10" x14ac:dyDescent="0.3">
      <c r="I9341" t="s">
        <v>16313</v>
      </c>
      <c r="J9341" t="s">
        <v>3732</v>
      </c>
    </row>
    <row r="9342" spans="9:10" x14ac:dyDescent="0.3">
      <c r="I9342" t="s">
        <v>16314</v>
      </c>
      <c r="J9342" t="s">
        <v>3732</v>
      </c>
    </row>
    <row r="9343" spans="9:10" x14ac:dyDescent="0.3">
      <c r="I9343" t="s">
        <v>16315</v>
      </c>
    </row>
    <row r="9344" spans="9:10" x14ac:dyDescent="0.3">
      <c r="I9344" t="s">
        <v>16316</v>
      </c>
    </row>
    <row r="9345" spans="9:10" x14ac:dyDescent="0.3">
      <c r="I9345" t="s">
        <v>16317</v>
      </c>
      <c r="J9345" t="s">
        <v>3733</v>
      </c>
    </row>
    <row r="9346" spans="9:10" x14ac:dyDescent="0.3">
      <c r="I9346" t="s">
        <v>16318</v>
      </c>
      <c r="J9346" t="s">
        <v>3734</v>
      </c>
    </row>
    <row r="9347" spans="9:10" x14ac:dyDescent="0.3">
      <c r="I9347" t="s">
        <v>16318</v>
      </c>
      <c r="J9347" t="s">
        <v>3734</v>
      </c>
    </row>
    <row r="9348" spans="9:10" x14ac:dyDescent="0.3">
      <c r="I9348" t="s">
        <v>16319</v>
      </c>
      <c r="J9348" t="s">
        <v>3735</v>
      </c>
    </row>
    <row r="9349" spans="9:10" x14ac:dyDescent="0.3">
      <c r="I9349" t="s">
        <v>16320</v>
      </c>
    </row>
    <row r="9350" spans="9:10" x14ac:dyDescent="0.3">
      <c r="I9350" t="s">
        <v>16321</v>
      </c>
    </row>
    <row r="9351" spans="9:10" x14ac:dyDescent="0.3">
      <c r="I9351" t="s">
        <v>16322</v>
      </c>
      <c r="J9351" t="s">
        <v>3736</v>
      </c>
    </row>
    <row r="9352" spans="9:10" x14ac:dyDescent="0.3">
      <c r="I9352" t="s">
        <v>16322</v>
      </c>
      <c r="J9352" t="s">
        <v>3736</v>
      </c>
    </row>
    <row r="9353" spans="9:10" x14ac:dyDescent="0.3">
      <c r="I9353" t="s">
        <v>16323</v>
      </c>
      <c r="J9353" t="s">
        <v>3737</v>
      </c>
    </row>
    <row r="9354" spans="9:10" x14ac:dyDescent="0.3">
      <c r="I9354" t="s">
        <v>16324</v>
      </c>
      <c r="J9354" t="s">
        <v>3737</v>
      </c>
    </row>
    <row r="9355" spans="9:10" x14ac:dyDescent="0.3">
      <c r="I9355" t="s">
        <v>16325</v>
      </c>
      <c r="J9355" t="s">
        <v>3738</v>
      </c>
    </row>
    <row r="9356" spans="9:10" x14ac:dyDescent="0.3">
      <c r="I9356" t="s">
        <v>16326</v>
      </c>
      <c r="J9356" t="s">
        <v>3739</v>
      </c>
    </row>
    <row r="9357" spans="9:10" x14ac:dyDescent="0.3">
      <c r="I9357" t="s">
        <v>16327</v>
      </c>
      <c r="J9357" t="s">
        <v>3740</v>
      </c>
    </row>
    <row r="9358" spans="9:10" x14ac:dyDescent="0.3">
      <c r="I9358" t="s">
        <v>16328</v>
      </c>
      <c r="J9358" t="s">
        <v>3741</v>
      </c>
    </row>
    <row r="9359" spans="9:10" x14ac:dyDescent="0.3">
      <c r="I9359" t="s">
        <v>16329</v>
      </c>
      <c r="J9359" t="s">
        <v>3742</v>
      </c>
    </row>
    <row r="9360" spans="9:10" x14ac:dyDescent="0.3">
      <c r="I9360" t="s">
        <v>16330</v>
      </c>
      <c r="J9360" t="s">
        <v>3743</v>
      </c>
    </row>
    <row r="9361" spans="9:10" x14ac:dyDescent="0.3">
      <c r="I9361" t="s">
        <v>16331</v>
      </c>
    </row>
    <row r="9362" spans="9:10" x14ac:dyDescent="0.3">
      <c r="I9362" t="s">
        <v>16331</v>
      </c>
    </row>
    <row r="9363" spans="9:10" x14ac:dyDescent="0.3">
      <c r="I9363" t="s">
        <v>16332</v>
      </c>
      <c r="J9363" t="s">
        <v>3744</v>
      </c>
    </row>
    <row r="9364" spans="9:10" x14ac:dyDescent="0.3">
      <c r="I9364" t="s">
        <v>16333</v>
      </c>
      <c r="J9364" t="s">
        <v>3745</v>
      </c>
    </row>
    <row r="9365" spans="9:10" x14ac:dyDescent="0.3">
      <c r="I9365" t="s">
        <v>16334</v>
      </c>
      <c r="J9365" t="s">
        <v>3746</v>
      </c>
    </row>
    <row r="9366" spans="9:10" x14ac:dyDescent="0.3">
      <c r="I9366" t="s">
        <v>16335</v>
      </c>
    </row>
    <row r="9367" spans="9:10" x14ac:dyDescent="0.3">
      <c r="I9367" t="s">
        <v>16336</v>
      </c>
      <c r="J9367" t="s">
        <v>3747</v>
      </c>
    </row>
    <row r="9368" spans="9:10" x14ac:dyDescent="0.3">
      <c r="I9368" t="s">
        <v>16337</v>
      </c>
    </row>
    <row r="9369" spans="9:10" x14ac:dyDescent="0.3">
      <c r="I9369" t="s">
        <v>16338</v>
      </c>
    </row>
    <row r="9370" spans="9:10" x14ac:dyDescent="0.3">
      <c r="I9370" t="s">
        <v>16339</v>
      </c>
      <c r="J9370" t="s">
        <v>3748</v>
      </c>
    </row>
    <row r="9371" spans="9:10" x14ac:dyDescent="0.3">
      <c r="I9371" t="s">
        <v>16340</v>
      </c>
      <c r="J9371" t="s">
        <v>3749</v>
      </c>
    </row>
    <row r="9372" spans="9:10" x14ac:dyDescent="0.3">
      <c r="I9372" t="s">
        <v>16341</v>
      </c>
    </row>
    <row r="9373" spans="9:10" x14ac:dyDescent="0.3">
      <c r="I9373" t="s">
        <v>16342</v>
      </c>
    </row>
    <row r="9374" spans="9:10" x14ac:dyDescent="0.3">
      <c r="I9374" t="s">
        <v>16343</v>
      </c>
    </row>
    <row r="9375" spans="9:10" x14ac:dyDescent="0.3">
      <c r="I9375" t="s">
        <v>16344</v>
      </c>
      <c r="J9375" t="s">
        <v>3750</v>
      </c>
    </row>
    <row r="9376" spans="9:10" x14ac:dyDescent="0.3">
      <c r="I9376" t="s">
        <v>16345</v>
      </c>
      <c r="J9376" t="s">
        <v>3751</v>
      </c>
    </row>
    <row r="9377" spans="9:10" x14ac:dyDescent="0.3">
      <c r="I9377" t="s">
        <v>16345</v>
      </c>
      <c r="J9377" t="s">
        <v>3751</v>
      </c>
    </row>
    <row r="9378" spans="9:10" x14ac:dyDescent="0.3">
      <c r="I9378" t="s">
        <v>16346</v>
      </c>
      <c r="J9378" t="s">
        <v>3752</v>
      </c>
    </row>
    <row r="9379" spans="9:10" x14ac:dyDescent="0.3">
      <c r="I9379" t="s">
        <v>16346</v>
      </c>
      <c r="J9379" t="s">
        <v>3752</v>
      </c>
    </row>
    <row r="9380" spans="9:10" x14ac:dyDescent="0.3">
      <c r="I9380" t="s">
        <v>16347</v>
      </c>
    </row>
    <row r="9381" spans="9:10" x14ac:dyDescent="0.3">
      <c r="I9381" t="s">
        <v>16348</v>
      </c>
    </row>
    <row r="9382" spans="9:10" x14ac:dyDescent="0.3">
      <c r="I9382" t="s">
        <v>16349</v>
      </c>
    </row>
    <row r="9383" spans="9:10" x14ac:dyDescent="0.3">
      <c r="I9383" t="s">
        <v>16350</v>
      </c>
    </row>
    <row r="9384" spans="9:10" x14ac:dyDescent="0.3">
      <c r="I9384" t="s">
        <v>16351</v>
      </c>
    </row>
    <row r="9385" spans="9:10" x14ac:dyDescent="0.3">
      <c r="I9385" t="s">
        <v>16352</v>
      </c>
    </row>
    <row r="9386" spans="9:10" x14ac:dyDescent="0.3">
      <c r="I9386" t="s">
        <v>16353</v>
      </c>
    </row>
    <row r="9387" spans="9:10" x14ac:dyDescent="0.3">
      <c r="I9387" t="s">
        <v>16354</v>
      </c>
    </row>
    <row r="9388" spans="9:10" x14ac:dyDescent="0.3">
      <c r="I9388" t="s">
        <v>16355</v>
      </c>
    </row>
    <row r="9389" spans="9:10" x14ac:dyDescent="0.3">
      <c r="I9389" t="s">
        <v>16356</v>
      </c>
      <c r="J9389" t="s">
        <v>3753</v>
      </c>
    </row>
    <row r="9390" spans="9:10" x14ac:dyDescent="0.3">
      <c r="I9390" t="s">
        <v>16357</v>
      </c>
      <c r="J9390" t="s">
        <v>3754</v>
      </c>
    </row>
    <row r="9391" spans="9:10" x14ac:dyDescent="0.3">
      <c r="I9391" t="s">
        <v>16358</v>
      </c>
      <c r="J9391" t="s">
        <v>3754</v>
      </c>
    </row>
    <row r="9392" spans="9:10" x14ac:dyDescent="0.3">
      <c r="I9392" t="s">
        <v>16359</v>
      </c>
      <c r="J9392" t="s">
        <v>3754</v>
      </c>
    </row>
    <row r="9393" spans="9:10" x14ac:dyDescent="0.3">
      <c r="I9393" t="s">
        <v>16360</v>
      </c>
    </row>
    <row r="9394" spans="9:10" x14ac:dyDescent="0.3">
      <c r="I9394" t="s">
        <v>16361</v>
      </c>
      <c r="J9394" t="s">
        <v>3755</v>
      </c>
    </row>
    <row r="9395" spans="9:10" x14ac:dyDescent="0.3">
      <c r="I9395" t="s">
        <v>16362</v>
      </c>
      <c r="J9395" t="s">
        <v>3756</v>
      </c>
    </row>
    <row r="9396" spans="9:10" x14ac:dyDescent="0.3">
      <c r="I9396" t="s">
        <v>16363</v>
      </c>
    </row>
    <row r="9397" spans="9:10" x14ac:dyDescent="0.3">
      <c r="I9397" t="s">
        <v>16364</v>
      </c>
    </row>
    <row r="9398" spans="9:10" x14ac:dyDescent="0.3">
      <c r="I9398" t="s">
        <v>16365</v>
      </c>
      <c r="J9398" s="155" t="s">
        <v>3757</v>
      </c>
    </row>
    <row r="9399" spans="9:10" x14ac:dyDescent="0.3">
      <c r="I9399" t="s">
        <v>16366</v>
      </c>
    </row>
    <row r="9400" spans="9:10" x14ac:dyDescent="0.3">
      <c r="I9400" t="s">
        <v>16367</v>
      </c>
      <c r="J9400" t="s">
        <v>3758</v>
      </c>
    </row>
    <row r="9401" spans="9:10" x14ac:dyDescent="0.3">
      <c r="I9401" t="s">
        <v>16368</v>
      </c>
      <c r="J9401" t="s">
        <v>3758</v>
      </c>
    </row>
    <row r="9402" spans="9:10" x14ac:dyDescent="0.3">
      <c r="I9402" t="s">
        <v>16368</v>
      </c>
      <c r="J9402" t="s">
        <v>3758</v>
      </c>
    </row>
    <row r="9403" spans="9:10" x14ac:dyDescent="0.3">
      <c r="I9403" t="s">
        <v>16367</v>
      </c>
      <c r="J9403" t="s">
        <v>3758</v>
      </c>
    </row>
    <row r="9404" spans="9:10" x14ac:dyDescent="0.3">
      <c r="I9404" t="s">
        <v>16369</v>
      </c>
      <c r="J9404" t="s">
        <v>3759</v>
      </c>
    </row>
    <row r="9405" spans="9:10" x14ac:dyDescent="0.3">
      <c r="I9405" t="s">
        <v>16370</v>
      </c>
    </row>
    <row r="9406" spans="9:10" x14ac:dyDescent="0.3">
      <c r="I9406" t="s">
        <v>16371</v>
      </c>
    </row>
    <row r="9407" spans="9:10" x14ac:dyDescent="0.3">
      <c r="I9407" t="s">
        <v>16372</v>
      </c>
    </row>
    <row r="9408" spans="9:10" x14ac:dyDescent="0.3">
      <c r="I9408" t="s">
        <v>16373</v>
      </c>
    </row>
    <row r="9409" spans="9:10" x14ac:dyDescent="0.3">
      <c r="I9409" t="s">
        <v>16374</v>
      </c>
      <c r="J9409" t="s">
        <v>3760</v>
      </c>
    </row>
    <row r="9410" spans="9:10" x14ac:dyDescent="0.3">
      <c r="I9410" t="s">
        <v>16375</v>
      </c>
      <c r="J9410" t="s">
        <v>3761</v>
      </c>
    </row>
    <row r="9411" spans="9:10" x14ac:dyDescent="0.3">
      <c r="I9411" t="s">
        <v>16376</v>
      </c>
      <c r="J9411" t="s">
        <v>3762</v>
      </c>
    </row>
    <row r="9412" spans="9:10" x14ac:dyDescent="0.3">
      <c r="I9412" t="s">
        <v>16377</v>
      </c>
      <c r="J9412" t="s">
        <v>3763</v>
      </c>
    </row>
    <row r="9413" spans="9:10" x14ac:dyDescent="0.3">
      <c r="I9413" t="s">
        <v>16378</v>
      </c>
    </row>
    <row r="9414" spans="9:10" x14ac:dyDescent="0.3">
      <c r="I9414" t="s">
        <v>16379</v>
      </c>
      <c r="J9414" t="s">
        <v>3764</v>
      </c>
    </row>
    <row r="9415" spans="9:10" x14ac:dyDescent="0.3">
      <c r="I9415" t="s">
        <v>16380</v>
      </c>
      <c r="J9415" t="s">
        <v>3765</v>
      </c>
    </row>
    <row r="9416" spans="9:10" x14ac:dyDescent="0.3">
      <c r="I9416" t="s">
        <v>16381</v>
      </c>
      <c r="J9416" t="s">
        <v>3766</v>
      </c>
    </row>
    <row r="9417" spans="9:10" x14ac:dyDescent="0.3">
      <c r="I9417" t="s">
        <v>16382</v>
      </c>
      <c r="J9417" t="s">
        <v>3767</v>
      </c>
    </row>
    <row r="9418" spans="9:10" x14ac:dyDescent="0.3">
      <c r="I9418" t="s">
        <v>16382</v>
      </c>
      <c r="J9418" t="s">
        <v>3767</v>
      </c>
    </row>
    <row r="9419" spans="9:10" x14ac:dyDescent="0.3">
      <c r="I9419" t="s">
        <v>16383</v>
      </c>
      <c r="J9419" t="s">
        <v>3767</v>
      </c>
    </row>
    <row r="9420" spans="9:10" x14ac:dyDescent="0.3">
      <c r="I9420" t="s">
        <v>16384</v>
      </c>
      <c r="J9420" t="s">
        <v>3768</v>
      </c>
    </row>
    <row r="9421" spans="9:10" x14ac:dyDescent="0.3">
      <c r="I9421" t="s">
        <v>16385</v>
      </c>
      <c r="J9421" t="s">
        <v>3769</v>
      </c>
    </row>
    <row r="9422" spans="9:10" x14ac:dyDescent="0.3">
      <c r="I9422" t="s">
        <v>16386</v>
      </c>
      <c r="J9422" t="s">
        <v>3769</v>
      </c>
    </row>
    <row r="9423" spans="9:10" x14ac:dyDescent="0.3">
      <c r="I9423" t="s">
        <v>16387</v>
      </c>
    </row>
    <row r="9424" spans="9:10" x14ac:dyDescent="0.3">
      <c r="I9424" t="s">
        <v>16388</v>
      </c>
      <c r="J9424" t="s">
        <v>3770</v>
      </c>
    </row>
    <row r="9425" spans="9:10" x14ac:dyDescent="0.3">
      <c r="I9425" t="s">
        <v>16389</v>
      </c>
      <c r="J9425" t="s">
        <v>3771</v>
      </c>
    </row>
    <row r="9426" spans="9:10" x14ac:dyDescent="0.3">
      <c r="I9426" t="s">
        <v>16389</v>
      </c>
      <c r="J9426" t="s">
        <v>3771</v>
      </c>
    </row>
    <row r="9427" spans="9:10" x14ac:dyDescent="0.3">
      <c r="I9427" t="s">
        <v>16390</v>
      </c>
      <c r="J9427">
        <v>0</v>
      </c>
    </row>
    <row r="9428" spans="9:10" x14ac:dyDescent="0.3">
      <c r="I9428" t="s">
        <v>16391</v>
      </c>
      <c r="J9428" t="s">
        <v>3772</v>
      </c>
    </row>
    <row r="9429" spans="9:10" x14ac:dyDescent="0.3">
      <c r="I9429" t="s">
        <v>16392</v>
      </c>
      <c r="J9429" t="s">
        <v>3773</v>
      </c>
    </row>
    <row r="9430" spans="9:10" x14ac:dyDescent="0.3">
      <c r="I9430" t="s">
        <v>16393</v>
      </c>
      <c r="J9430" t="s">
        <v>3774</v>
      </c>
    </row>
    <row r="9431" spans="9:10" x14ac:dyDescent="0.3">
      <c r="I9431" t="s">
        <v>16394</v>
      </c>
    </row>
    <row r="9432" spans="9:10" x14ac:dyDescent="0.3">
      <c r="I9432" t="s">
        <v>16395</v>
      </c>
      <c r="J9432" t="s">
        <v>3775</v>
      </c>
    </row>
    <row r="9433" spans="9:10" x14ac:dyDescent="0.3">
      <c r="I9433" t="s">
        <v>16396</v>
      </c>
      <c r="J9433" t="s">
        <v>3776</v>
      </c>
    </row>
    <row r="9434" spans="9:10" x14ac:dyDescent="0.3">
      <c r="I9434" t="s">
        <v>16397</v>
      </c>
      <c r="J9434" t="s">
        <v>3777</v>
      </c>
    </row>
    <row r="9435" spans="9:10" x14ac:dyDescent="0.3">
      <c r="I9435" t="s">
        <v>16398</v>
      </c>
      <c r="J9435" t="s">
        <v>3778</v>
      </c>
    </row>
    <row r="9436" spans="9:10" x14ac:dyDescent="0.3">
      <c r="I9436" t="s">
        <v>16399</v>
      </c>
      <c r="J9436" t="s">
        <v>3779</v>
      </c>
    </row>
    <row r="9437" spans="9:10" x14ac:dyDescent="0.3">
      <c r="I9437" t="s">
        <v>16400</v>
      </c>
    </row>
    <row r="9438" spans="9:10" x14ac:dyDescent="0.3">
      <c r="I9438" t="s">
        <v>16401</v>
      </c>
      <c r="J9438" t="s">
        <v>3780</v>
      </c>
    </row>
    <row r="9439" spans="9:10" x14ac:dyDescent="0.3">
      <c r="I9439" t="s">
        <v>16402</v>
      </c>
      <c r="J9439" t="s">
        <v>3781</v>
      </c>
    </row>
    <row r="9440" spans="9:10" x14ac:dyDescent="0.3">
      <c r="I9440" t="s">
        <v>16403</v>
      </c>
      <c r="J9440" t="s">
        <v>3782</v>
      </c>
    </row>
    <row r="9441" spans="9:10" x14ac:dyDescent="0.3">
      <c r="I9441" t="s">
        <v>16404</v>
      </c>
      <c r="J9441" t="s">
        <v>3783</v>
      </c>
    </row>
    <row r="9442" spans="9:10" x14ac:dyDescent="0.3">
      <c r="I9442" t="s">
        <v>16405</v>
      </c>
      <c r="J9442" t="s">
        <v>810</v>
      </c>
    </row>
    <row r="9443" spans="9:10" x14ac:dyDescent="0.3">
      <c r="I9443" t="s">
        <v>16406</v>
      </c>
      <c r="J9443" t="s">
        <v>3784</v>
      </c>
    </row>
    <row r="9444" spans="9:10" x14ac:dyDescent="0.3">
      <c r="I9444" t="s">
        <v>16407</v>
      </c>
      <c r="J9444" t="s">
        <v>3785</v>
      </c>
    </row>
    <row r="9445" spans="9:10" x14ac:dyDescent="0.3">
      <c r="I9445" t="s">
        <v>16408</v>
      </c>
      <c r="J9445" t="s">
        <v>3786</v>
      </c>
    </row>
    <row r="9446" spans="9:10" x14ac:dyDescent="0.3">
      <c r="I9446" t="s">
        <v>16409</v>
      </c>
      <c r="J9446" t="s">
        <v>3787</v>
      </c>
    </row>
    <row r="9447" spans="9:10" x14ac:dyDescent="0.3">
      <c r="I9447" t="s">
        <v>16410</v>
      </c>
    </row>
    <row r="9448" spans="9:10" x14ac:dyDescent="0.3">
      <c r="I9448" t="s">
        <v>16411</v>
      </c>
    </row>
    <row r="9449" spans="9:10" x14ac:dyDescent="0.3">
      <c r="I9449" t="s">
        <v>16412</v>
      </c>
    </row>
    <row r="9450" spans="9:10" x14ac:dyDescent="0.3">
      <c r="I9450" t="s">
        <v>16413</v>
      </c>
      <c r="J9450" t="s">
        <v>3788</v>
      </c>
    </row>
    <row r="9451" spans="9:10" x14ac:dyDescent="0.3">
      <c r="I9451" t="s">
        <v>16414</v>
      </c>
      <c r="J9451" t="s">
        <v>3788</v>
      </c>
    </row>
    <row r="9452" spans="9:10" x14ac:dyDescent="0.3">
      <c r="I9452" t="s">
        <v>16413</v>
      </c>
      <c r="J9452" t="s">
        <v>3788</v>
      </c>
    </row>
    <row r="9453" spans="9:10" x14ac:dyDescent="0.3">
      <c r="I9453" t="s">
        <v>16415</v>
      </c>
      <c r="J9453" t="s">
        <v>3789</v>
      </c>
    </row>
    <row r="9454" spans="9:10" x14ac:dyDescent="0.3">
      <c r="I9454" t="s">
        <v>16416</v>
      </c>
      <c r="J9454" t="s">
        <v>3790</v>
      </c>
    </row>
    <row r="9455" spans="9:10" x14ac:dyDescent="0.3">
      <c r="I9455" t="s">
        <v>16417</v>
      </c>
    </row>
    <row r="9456" spans="9:10" x14ac:dyDescent="0.3">
      <c r="I9456" t="s">
        <v>16418</v>
      </c>
      <c r="J9456" t="s">
        <v>3791</v>
      </c>
    </row>
    <row r="9457" spans="9:10" x14ac:dyDescent="0.3">
      <c r="I9457" t="s">
        <v>16419</v>
      </c>
    </row>
    <row r="9458" spans="9:10" x14ac:dyDescent="0.3">
      <c r="I9458" t="s">
        <v>16420</v>
      </c>
      <c r="J9458" t="s">
        <v>3792</v>
      </c>
    </row>
    <row r="9459" spans="9:10" x14ac:dyDescent="0.3">
      <c r="I9459" t="s">
        <v>16421</v>
      </c>
      <c r="J9459" t="s">
        <v>3793</v>
      </c>
    </row>
    <row r="9460" spans="9:10" x14ac:dyDescent="0.3">
      <c r="I9460" t="s">
        <v>16422</v>
      </c>
      <c r="J9460" t="s">
        <v>3794</v>
      </c>
    </row>
    <row r="9461" spans="9:10" x14ac:dyDescent="0.3">
      <c r="I9461" t="s">
        <v>16423</v>
      </c>
    </row>
    <row r="9462" spans="9:10" x14ac:dyDescent="0.3">
      <c r="I9462" t="s">
        <v>16423</v>
      </c>
    </row>
    <row r="9463" spans="9:10" x14ac:dyDescent="0.3">
      <c r="I9463" t="s">
        <v>16424</v>
      </c>
    </row>
    <row r="9464" spans="9:10" x14ac:dyDescent="0.3">
      <c r="I9464" t="s">
        <v>16425</v>
      </c>
      <c r="J9464" t="s">
        <v>3795</v>
      </c>
    </row>
    <row r="9465" spans="9:10" x14ac:dyDescent="0.3">
      <c r="I9465" t="s">
        <v>16425</v>
      </c>
      <c r="J9465" t="s">
        <v>3795</v>
      </c>
    </row>
    <row r="9466" spans="9:10" x14ac:dyDescent="0.3">
      <c r="I9466" t="s">
        <v>16426</v>
      </c>
      <c r="J9466" t="s">
        <v>629</v>
      </c>
    </row>
    <row r="9467" spans="9:10" x14ac:dyDescent="0.3">
      <c r="I9467" t="s">
        <v>16427</v>
      </c>
      <c r="J9467" t="s">
        <v>3796</v>
      </c>
    </row>
    <row r="9468" spans="9:10" x14ac:dyDescent="0.3">
      <c r="I9468" t="s">
        <v>16381</v>
      </c>
      <c r="J9468" t="s">
        <v>3796</v>
      </c>
    </row>
    <row r="9469" spans="9:10" x14ac:dyDescent="0.3">
      <c r="I9469" t="s">
        <v>16428</v>
      </c>
      <c r="J9469" t="s">
        <v>3796</v>
      </c>
    </row>
    <row r="9470" spans="9:10" x14ac:dyDescent="0.3">
      <c r="I9470" t="s">
        <v>16429</v>
      </c>
      <c r="J9470" t="s">
        <v>3797</v>
      </c>
    </row>
    <row r="9471" spans="9:10" x14ac:dyDescent="0.3">
      <c r="I9471" t="s">
        <v>16430</v>
      </c>
      <c r="J9471" t="s">
        <v>3798</v>
      </c>
    </row>
    <row r="9472" spans="9:10" x14ac:dyDescent="0.3">
      <c r="I9472" t="s">
        <v>16431</v>
      </c>
      <c r="J9472" t="s">
        <v>3799</v>
      </c>
    </row>
    <row r="9473" spans="9:10" x14ac:dyDescent="0.3">
      <c r="I9473" t="s">
        <v>16431</v>
      </c>
      <c r="J9473" t="s">
        <v>3799</v>
      </c>
    </row>
    <row r="9474" spans="9:10" x14ac:dyDescent="0.3">
      <c r="I9474" t="s">
        <v>16432</v>
      </c>
      <c r="J9474" t="s">
        <v>3800</v>
      </c>
    </row>
    <row r="9475" spans="9:10" x14ac:dyDescent="0.3">
      <c r="I9475" t="s">
        <v>16432</v>
      </c>
      <c r="J9475" t="s">
        <v>3800</v>
      </c>
    </row>
    <row r="9476" spans="9:10" x14ac:dyDescent="0.3">
      <c r="I9476" t="s">
        <v>16433</v>
      </c>
    </row>
    <row r="9477" spans="9:10" x14ac:dyDescent="0.3">
      <c r="I9477" t="s">
        <v>16434</v>
      </c>
    </row>
    <row r="9478" spans="9:10" x14ac:dyDescent="0.3">
      <c r="I9478" t="s">
        <v>16435</v>
      </c>
      <c r="J9478" t="s">
        <v>3801</v>
      </c>
    </row>
    <row r="9479" spans="9:10" x14ac:dyDescent="0.3">
      <c r="I9479" t="s">
        <v>16436</v>
      </c>
      <c r="J9479" t="s">
        <v>2045</v>
      </c>
    </row>
    <row r="9480" spans="9:10" x14ac:dyDescent="0.3">
      <c r="I9480" t="s">
        <v>16437</v>
      </c>
      <c r="J9480" t="s">
        <v>3802</v>
      </c>
    </row>
    <row r="9481" spans="9:10" x14ac:dyDescent="0.3">
      <c r="I9481" t="s">
        <v>16438</v>
      </c>
    </row>
    <row r="9482" spans="9:10" x14ac:dyDescent="0.3">
      <c r="I9482" t="s">
        <v>16439</v>
      </c>
      <c r="J9482" t="s">
        <v>3803</v>
      </c>
    </row>
    <row r="9483" spans="9:10" x14ac:dyDescent="0.3">
      <c r="I9483" t="s">
        <v>16440</v>
      </c>
      <c r="J9483" t="s">
        <v>3804</v>
      </c>
    </row>
    <row r="9484" spans="9:10" x14ac:dyDescent="0.3">
      <c r="I9484" t="s">
        <v>16441</v>
      </c>
      <c r="J9484" t="s">
        <v>2045</v>
      </c>
    </row>
    <row r="9485" spans="9:10" x14ac:dyDescent="0.3">
      <c r="I9485" t="s">
        <v>16442</v>
      </c>
      <c r="J9485" t="s">
        <v>3805</v>
      </c>
    </row>
    <row r="9486" spans="9:10" x14ac:dyDescent="0.3">
      <c r="I9486" t="s">
        <v>16443</v>
      </c>
      <c r="J9486" t="s">
        <v>3806</v>
      </c>
    </row>
    <row r="9487" spans="9:10" x14ac:dyDescent="0.3">
      <c r="I9487" t="s">
        <v>16444</v>
      </c>
    </row>
    <row r="9488" spans="9:10" x14ac:dyDescent="0.3">
      <c r="I9488" t="s">
        <v>16445</v>
      </c>
    </row>
    <row r="9489" spans="9:10" x14ac:dyDescent="0.3">
      <c r="I9489" t="s">
        <v>16446</v>
      </c>
    </row>
    <row r="9490" spans="9:10" x14ac:dyDescent="0.3">
      <c r="I9490" t="s">
        <v>16447</v>
      </c>
      <c r="J9490" t="s">
        <v>3807</v>
      </c>
    </row>
    <row r="9491" spans="9:10" x14ac:dyDescent="0.3">
      <c r="I9491" t="s">
        <v>16448</v>
      </c>
      <c r="J9491" t="s">
        <v>3808</v>
      </c>
    </row>
    <row r="9492" spans="9:10" x14ac:dyDescent="0.3">
      <c r="I9492" t="s">
        <v>16449</v>
      </c>
      <c r="J9492" t="s">
        <v>3809</v>
      </c>
    </row>
    <row r="9493" spans="9:10" x14ac:dyDescent="0.3">
      <c r="I9493" t="s">
        <v>16450</v>
      </c>
    </row>
    <row r="9494" spans="9:10" x14ac:dyDescent="0.3">
      <c r="I9494" t="s">
        <v>16451</v>
      </c>
    </row>
    <row r="9495" spans="9:10" x14ac:dyDescent="0.3">
      <c r="I9495" t="s">
        <v>16452</v>
      </c>
      <c r="J9495" t="s">
        <v>3810</v>
      </c>
    </row>
    <row r="9496" spans="9:10" x14ac:dyDescent="0.3">
      <c r="I9496" t="s">
        <v>16453</v>
      </c>
      <c r="J9496" t="s">
        <v>354</v>
      </c>
    </row>
    <row r="9497" spans="9:10" x14ac:dyDescent="0.3">
      <c r="I9497" t="s">
        <v>16454</v>
      </c>
      <c r="J9497" t="s">
        <v>3811</v>
      </c>
    </row>
    <row r="9498" spans="9:10" x14ac:dyDescent="0.3">
      <c r="I9498" t="s">
        <v>16455</v>
      </c>
      <c r="J9498" t="s">
        <v>3811</v>
      </c>
    </row>
    <row r="9499" spans="9:10" x14ac:dyDescent="0.3">
      <c r="I9499" t="s">
        <v>16456</v>
      </c>
      <c r="J9499" t="s">
        <v>3811</v>
      </c>
    </row>
    <row r="9500" spans="9:10" x14ac:dyDescent="0.3">
      <c r="I9500" t="s">
        <v>16457</v>
      </c>
      <c r="J9500" t="s">
        <v>3811</v>
      </c>
    </row>
    <row r="9501" spans="9:10" x14ac:dyDescent="0.3">
      <c r="I9501" t="s">
        <v>16458</v>
      </c>
      <c r="J9501" t="s">
        <v>3811</v>
      </c>
    </row>
    <row r="9502" spans="9:10" x14ac:dyDescent="0.3">
      <c r="I9502" t="s">
        <v>16459</v>
      </c>
      <c r="J9502" t="s">
        <v>3812</v>
      </c>
    </row>
    <row r="9503" spans="9:10" x14ac:dyDescent="0.3">
      <c r="I9503" t="s">
        <v>16460</v>
      </c>
      <c r="J9503" t="s">
        <v>3813</v>
      </c>
    </row>
    <row r="9504" spans="9:10" x14ac:dyDescent="0.3">
      <c r="I9504" t="s">
        <v>16461</v>
      </c>
      <c r="J9504" t="s">
        <v>3814</v>
      </c>
    </row>
    <row r="9505" spans="9:10" x14ac:dyDescent="0.3">
      <c r="I9505" t="s">
        <v>16462</v>
      </c>
      <c r="J9505" t="s">
        <v>3815</v>
      </c>
    </row>
    <row r="9506" spans="9:10" x14ac:dyDescent="0.3">
      <c r="I9506" t="s">
        <v>16462</v>
      </c>
      <c r="J9506" t="s">
        <v>3815</v>
      </c>
    </row>
    <row r="9507" spans="9:10" x14ac:dyDescent="0.3">
      <c r="I9507" t="s">
        <v>16463</v>
      </c>
    </row>
    <row r="9508" spans="9:10" x14ac:dyDescent="0.3">
      <c r="I9508" t="s">
        <v>16464</v>
      </c>
    </row>
    <row r="9509" spans="9:10" x14ac:dyDescent="0.3">
      <c r="I9509" t="s">
        <v>16465</v>
      </c>
      <c r="J9509" t="s">
        <v>3816</v>
      </c>
    </row>
    <row r="9510" spans="9:10" x14ac:dyDescent="0.3">
      <c r="I9510" t="s">
        <v>16466</v>
      </c>
      <c r="J9510" t="s">
        <v>3376</v>
      </c>
    </row>
    <row r="9511" spans="9:10" x14ac:dyDescent="0.3">
      <c r="I9511" t="s">
        <v>16467</v>
      </c>
    </row>
    <row r="9512" spans="9:10" x14ac:dyDescent="0.3">
      <c r="I9512" t="s">
        <v>16468</v>
      </c>
      <c r="J9512" t="s">
        <v>3817</v>
      </c>
    </row>
    <row r="9513" spans="9:10" x14ac:dyDescent="0.3">
      <c r="I9513" t="s">
        <v>16469</v>
      </c>
    </row>
    <row r="9514" spans="9:10" x14ac:dyDescent="0.3">
      <c r="I9514" t="s">
        <v>16470</v>
      </c>
      <c r="J9514" t="s">
        <v>3818</v>
      </c>
    </row>
    <row r="9515" spans="9:10" x14ac:dyDescent="0.3">
      <c r="I9515" t="s">
        <v>16471</v>
      </c>
    </row>
    <row r="9516" spans="9:10" x14ac:dyDescent="0.3">
      <c r="I9516" t="s">
        <v>16472</v>
      </c>
      <c r="J9516" t="s">
        <v>3819</v>
      </c>
    </row>
    <row r="9517" spans="9:10" x14ac:dyDescent="0.3">
      <c r="I9517" t="s">
        <v>16473</v>
      </c>
      <c r="J9517" t="s">
        <v>3820</v>
      </c>
    </row>
    <row r="9518" spans="9:10" x14ac:dyDescent="0.3">
      <c r="I9518" t="s">
        <v>16474</v>
      </c>
      <c r="J9518" t="s">
        <v>3821</v>
      </c>
    </row>
    <row r="9519" spans="9:10" x14ac:dyDescent="0.3">
      <c r="I9519" t="s">
        <v>16475</v>
      </c>
    </row>
    <row r="9520" spans="9:10" x14ac:dyDescent="0.3">
      <c r="I9520" t="s">
        <v>16476</v>
      </c>
    </row>
    <row r="9521" spans="9:10" x14ac:dyDescent="0.3">
      <c r="I9521" t="s">
        <v>16477</v>
      </c>
    </row>
    <row r="9522" spans="9:10" x14ac:dyDescent="0.3">
      <c r="I9522" t="s">
        <v>16478</v>
      </c>
      <c r="J9522" t="s">
        <v>3822</v>
      </c>
    </row>
    <row r="9523" spans="9:10" x14ac:dyDescent="0.3">
      <c r="I9523" t="s">
        <v>16478</v>
      </c>
      <c r="J9523" t="s">
        <v>3822</v>
      </c>
    </row>
    <row r="9524" spans="9:10" x14ac:dyDescent="0.3">
      <c r="I9524" t="s">
        <v>16478</v>
      </c>
      <c r="J9524" t="s">
        <v>3822</v>
      </c>
    </row>
    <row r="9525" spans="9:10" x14ac:dyDescent="0.3">
      <c r="I9525" t="s">
        <v>16479</v>
      </c>
      <c r="J9525" t="s">
        <v>3823</v>
      </c>
    </row>
    <row r="9526" spans="9:10" x14ac:dyDescent="0.3">
      <c r="I9526" t="s">
        <v>16480</v>
      </c>
      <c r="J9526" t="s">
        <v>3824</v>
      </c>
    </row>
    <row r="9527" spans="9:10" x14ac:dyDescent="0.3">
      <c r="I9527" t="s">
        <v>16480</v>
      </c>
      <c r="J9527" t="s">
        <v>3824</v>
      </c>
    </row>
    <row r="9528" spans="9:10" x14ac:dyDescent="0.3">
      <c r="I9528" t="s">
        <v>16481</v>
      </c>
    </row>
    <row r="9529" spans="9:10" x14ac:dyDescent="0.3">
      <c r="I9529" t="s">
        <v>16482</v>
      </c>
    </row>
    <row r="9530" spans="9:10" x14ac:dyDescent="0.3">
      <c r="I9530" t="s">
        <v>16483</v>
      </c>
      <c r="J9530" t="s">
        <v>3825</v>
      </c>
    </row>
    <row r="9531" spans="9:10" x14ac:dyDescent="0.3">
      <c r="I9531" t="s">
        <v>16483</v>
      </c>
      <c r="J9531" t="s">
        <v>3825</v>
      </c>
    </row>
    <row r="9532" spans="9:10" x14ac:dyDescent="0.3">
      <c r="I9532" t="s">
        <v>16484</v>
      </c>
      <c r="J9532" t="s">
        <v>3825</v>
      </c>
    </row>
    <row r="9533" spans="9:10" x14ac:dyDescent="0.3">
      <c r="I9533" t="s">
        <v>16485</v>
      </c>
      <c r="J9533" t="s">
        <v>3826</v>
      </c>
    </row>
    <row r="9534" spans="9:10" x14ac:dyDescent="0.3">
      <c r="I9534" t="s">
        <v>16485</v>
      </c>
      <c r="J9534" t="s">
        <v>3826</v>
      </c>
    </row>
    <row r="9535" spans="9:10" x14ac:dyDescent="0.3">
      <c r="I9535" t="s">
        <v>16486</v>
      </c>
      <c r="J9535" t="s">
        <v>3827</v>
      </c>
    </row>
    <row r="9536" spans="9:10" x14ac:dyDescent="0.3">
      <c r="I9536" t="s">
        <v>16487</v>
      </c>
      <c r="J9536" t="s">
        <v>3827</v>
      </c>
    </row>
    <row r="9537" spans="9:10" x14ac:dyDescent="0.3">
      <c r="I9537" t="s">
        <v>16488</v>
      </c>
      <c r="J9537" t="s">
        <v>3828</v>
      </c>
    </row>
    <row r="9538" spans="9:10" x14ac:dyDescent="0.3">
      <c r="I9538" t="s">
        <v>16489</v>
      </c>
    </row>
    <row r="9539" spans="9:10" x14ac:dyDescent="0.3">
      <c r="I9539" t="s">
        <v>16490</v>
      </c>
    </row>
    <row r="9540" spans="9:10" x14ac:dyDescent="0.3">
      <c r="I9540" t="s">
        <v>16491</v>
      </c>
      <c r="J9540">
        <v>0</v>
      </c>
    </row>
    <row r="9541" spans="9:10" x14ac:dyDescent="0.3">
      <c r="I9541" t="s">
        <v>16492</v>
      </c>
      <c r="J9541" t="s">
        <v>3829</v>
      </c>
    </row>
    <row r="9542" spans="9:10" x14ac:dyDescent="0.3">
      <c r="I9542" t="s">
        <v>16492</v>
      </c>
      <c r="J9542" t="s">
        <v>3829</v>
      </c>
    </row>
    <row r="9543" spans="9:10" x14ac:dyDescent="0.3">
      <c r="I9543" t="s">
        <v>16492</v>
      </c>
      <c r="J9543" t="s">
        <v>3829</v>
      </c>
    </row>
    <row r="9544" spans="9:10" x14ac:dyDescent="0.3">
      <c r="I9544" t="s">
        <v>16492</v>
      </c>
      <c r="J9544" t="s">
        <v>3829</v>
      </c>
    </row>
    <row r="9545" spans="9:10" x14ac:dyDescent="0.3">
      <c r="I9545" t="s">
        <v>16493</v>
      </c>
      <c r="J9545" t="s">
        <v>3830</v>
      </c>
    </row>
    <row r="9546" spans="9:10" x14ac:dyDescent="0.3">
      <c r="I9546" t="s">
        <v>16494</v>
      </c>
    </row>
    <row r="9547" spans="9:10" x14ac:dyDescent="0.3">
      <c r="I9547" t="s">
        <v>16495</v>
      </c>
      <c r="J9547" t="s">
        <v>3831</v>
      </c>
    </row>
    <row r="9548" spans="9:10" x14ac:dyDescent="0.3">
      <c r="I9548" t="s">
        <v>16496</v>
      </c>
    </row>
    <row r="9549" spans="9:10" x14ac:dyDescent="0.3">
      <c r="I9549" t="s">
        <v>16497</v>
      </c>
      <c r="J9549" t="s">
        <v>3832</v>
      </c>
    </row>
    <row r="9550" spans="9:10" x14ac:dyDescent="0.3">
      <c r="I9550" t="s">
        <v>16498</v>
      </c>
      <c r="J9550" t="s">
        <v>3832</v>
      </c>
    </row>
    <row r="9551" spans="9:10" x14ac:dyDescent="0.3">
      <c r="I9551" t="s">
        <v>16499</v>
      </c>
    </row>
    <row r="9552" spans="9:10" x14ac:dyDescent="0.3">
      <c r="I9552" t="s">
        <v>16500</v>
      </c>
    </row>
    <row r="9553" spans="9:10" x14ac:dyDescent="0.3">
      <c r="I9553" t="s">
        <v>16501</v>
      </c>
    </row>
    <row r="9554" spans="9:10" x14ac:dyDescent="0.3">
      <c r="I9554" t="s">
        <v>16502</v>
      </c>
      <c r="J9554" t="s">
        <v>3833</v>
      </c>
    </row>
    <row r="9555" spans="9:10" x14ac:dyDescent="0.3">
      <c r="I9555" t="s">
        <v>16503</v>
      </c>
      <c r="J9555" t="s">
        <v>479</v>
      </c>
    </row>
    <row r="9556" spans="9:10" x14ac:dyDescent="0.3">
      <c r="I9556" t="s">
        <v>16503</v>
      </c>
      <c r="J9556" t="s">
        <v>479</v>
      </c>
    </row>
    <row r="9557" spans="9:10" x14ac:dyDescent="0.3">
      <c r="I9557" t="s">
        <v>16504</v>
      </c>
      <c r="J9557" t="s">
        <v>479</v>
      </c>
    </row>
    <row r="9558" spans="9:10" x14ac:dyDescent="0.3">
      <c r="I9558" t="s">
        <v>16505</v>
      </c>
      <c r="J9558" t="s">
        <v>479</v>
      </c>
    </row>
    <row r="9559" spans="9:10" x14ac:dyDescent="0.3">
      <c r="I9559" t="s">
        <v>16506</v>
      </c>
    </row>
    <row r="9560" spans="9:10" x14ac:dyDescent="0.3">
      <c r="I9560" t="s">
        <v>16507</v>
      </c>
    </row>
    <row r="9561" spans="9:10" x14ac:dyDescent="0.3">
      <c r="I9561" t="s">
        <v>16508</v>
      </c>
      <c r="J9561" t="s">
        <v>3834</v>
      </c>
    </row>
    <row r="9562" spans="9:10" x14ac:dyDescent="0.3">
      <c r="I9562" t="s">
        <v>16509</v>
      </c>
      <c r="J9562" t="s">
        <v>3835</v>
      </c>
    </row>
    <row r="9563" spans="9:10" x14ac:dyDescent="0.3">
      <c r="I9563" t="s">
        <v>16509</v>
      </c>
      <c r="J9563" t="s">
        <v>3835</v>
      </c>
    </row>
    <row r="9564" spans="9:10" x14ac:dyDescent="0.3">
      <c r="I9564" t="s">
        <v>16510</v>
      </c>
    </row>
    <row r="9565" spans="9:10" x14ac:dyDescent="0.3">
      <c r="I9565" t="s">
        <v>16511</v>
      </c>
    </row>
    <row r="9566" spans="9:10" x14ac:dyDescent="0.3">
      <c r="I9566" t="s">
        <v>16512</v>
      </c>
    </row>
    <row r="9567" spans="9:10" x14ac:dyDescent="0.3">
      <c r="I9567" t="s">
        <v>16513</v>
      </c>
      <c r="J9567" t="s">
        <v>3836</v>
      </c>
    </row>
    <row r="9568" spans="9:10" x14ac:dyDescent="0.3">
      <c r="I9568" t="s">
        <v>16514</v>
      </c>
      <c r="J9568" t="s">
        <v>3837</v>
      </c>
    </row>
    <row r="9569" spans="9:10" x14ac:dyDescent="0.3">
      <c r="I9569" t="s">
        <v>16515</v>
      </c>
    </row>
    <row r="9570" spans="9:10" x14ac:dyDescent="0.3">
      <c r="I9570" t="s">
        <v>16516</v>
      </c>
      <c r="J9570" t="s">
        <v>3838</v>
      </c>
    </row>
    <row r="9571" spans="9:10" x14ac:dyDescent="0.3">
      <c r="I9571" t="s">
        <v>16517</v>
      </c>
      <c r="J9571" t="s">
        <v>3838</v>
      </c>
    </row>
    <row r="9572" spans="9:10" x14ac:dyDescent="0.3">
      <c r="I9572" t="s">
        <v>16518</v>
      </c>
    </row>
    <row r="9573" spans="9:10" x14ac:dyDescent="0.3">
      <c r="I9573" t="s">
        <v>16519</v>
      </c>
      <c r="J9573" t="s">
        <v>3839</v>
      </c>
    </row>
    <row r="9574" spans="9:10" x14ac:dyDescent="0.3">
      <c r="I9574" t="s">
        <v>16520</v>
      </c>
      <c r="J9574" t="s">
        <v>3840</v>
      </c>
    </row>
    <row r="9575" spans="9:10" x14ac:dyDescent="0.3">
      <c r="I9575" t="s">
        <v>16521</v>
      </c>
    </row>
    <row r="9576" spans="9:10" x14ac:dyDescent="0.3">
      <c r="I9576" t="s">
        <v>16522</v>
      </c>
    </row>
    <row r="9577" spans="9:10" x14ac:dyDescent="0.3">
      <c r="I9577" t="s">
        <v>16523</v>
      </c>
      <c r="J9577" t="s">
        <v>3841</v>
      </c>
    </row>
    <row r="9578" spans="9:10" x14ac:dyDescent="0.3">
      <c r="I9578" t="s">
        <v>16524</v>
      </c>
    </row>
    <row r="9579" spans="9:10" x14ac:dyDescent="0.3">
      <c r="I9579" t="s">
        <v>16525</v>
      </c>
      <c r="J9579" t="s">
        <v>3842</v>
      </c>
    </row>
    <row r="9580" spans="9:10" x14ac:dyDescent="0.3">
      <c r="I9580" t="s">
        <v>16525</v>
      </c>
      <c r="J9580" t="s">
        <v>3842</v>
      </c>
    </row>
    <row r="9581" spans="9:10" x14ac:dyDescent="0.3">
      <c r="I9581" t="s">
        <v>16526</v>
      </c>
      <c r="J9581" t="s">
        <v>3843</v>
      </c>
    </row>
    <row r="9582" spans="9:10" x14ac:dyDescent="0.3">
      <c r="I9582" t="s">
        <v>16527</v>
      </c>
      <c r="J9582" t="s">
        <v>3844</v>
      </c>
    </row>
    <row r="9583" spans="9:10" x14ac:dyDescent="0.3">
      <c r="I9583" t="s">
        <v>16528</v>
      </c>
      <c r="J9583" t="s">
        <v>147</v>
      </c>
    </row>
    <row r="9584" spans="9:10" x14ac:dyDescent="0.3">
      <c r="I9584" t="s">
        <v>16529</v>
      </c>
      <c r="J9584" t="s">
        <v>147</v>
      </c>
    </row>
    <row r="9585" spans="9:10" x14ac:dyDescent="0.3">
      <c r="I9585" t="s">
        <v>16529</v>
      </c>
      <c r="J9585" t="s">
        <v>147</v>
      </c>
    </row>
    <row r="9586" spans="9:10" x14ac:dyDescent="0.3">
      <c r="I9586" t="s">
        <v>16530</v>
      </c>
    </row>
    <row r="9587" spans="9:10" x14ac:dyDescent="0.3">
      <c r="I9587" t="s">
        <v>16531</v>
      </c>
    </row>
    <row r="9588" spans="9:10" x14ac:dyDescent="0.3">
      <c r="I9588" t="s">
        <v>16532</v>
      </c>
    </row>
    <row r="9589" spans="9:10" x14ac:dyDescent="0.3">
      <c r="I9589" t="s">
        <v>16533</v>
      </c>
    </row>
    <row r="9590" spans="9:10" x14ac:dyDescent="0.3">
      <c r="I9590" t="s">
        <v>16534</v>
      </c>
    </row>
    <row r="9591" spans="9:10" x14ac:dyDescent="0.3">
      <c r="I9591" t="s">
        <v>16535</v>
      </c>
    </row>
    <row r="9592" spans="9:10" x14ac:dyDescent="0.3">
      <c r="I9592" t="s">
        <v>16536</v>
      </c>
    </row>
    <row r="9593" spans="9:10" x14ac:dyDescent="0.3">
      <c r="I9593" t="s">
        <v>16537</v>
      </c>
    </row>
    <row r="9594" spans="9:10" x14ac:dyDescent="0.3">
      <c r="I9594" t="s">
        <v>16538</v>
      </c>
      <c r="J9594" t="s">
        <v>3845</v>
      </c>
    </row>
    <row r="9595" spans="9:10" x14ac:dyDescent="0.3">
      <c r="I9595" t="s">
        <v>16539</v>
      </c>
      <c r="J9595" t="s">
        <v>3846</v>
      </c>
    </row>
    <row r="9596" spans="9:10" x14ac:dyDescent="0.3">
      <c r="I9596" t="s">
        <v>16540</v>
      </c>
      <c r="J9596" t="s">
        <v>3846</v>
      </c>
    </row>
    <row r="9597" spans="9:10" x14ac:dyDescent="0.3">
      <c r="I9597" t="s">
        <v>16541</v>
      </c>
      <c r="J9597" t="s">
        <v>3847</v>
      </c>
    </row>
    <row r="9598" spans="9:10" x14ac:dyDescent="0.3">
      <c r="I9598" t="s">
        <v>16542</v>
      </c>
      <c r="J9598" t="s">
        <v>3847</v>
      </c>
    </row>
    <row r="9599" spans="9:10" x14ac:dyDescent="0.3">
      <c r="I9599" t="s">
        <v>16542</v>
      </c>
      <c r="J9599" t="s">
        <v>3847</v>
      </c>
    </row>
    <row r="9600" spans="9:10" x14ac:dyDescent="0.3">
      <c r="I9600" t="s">
        <v>16543</v>
      </c>
      <c r="J9600" t="s">
        <v>3848</v>
      </c>
    </row>
    <row r="9601" spans="9:10" x14ac:dyDescent="0.3">
      <c r="I9601" t="s">
        <v>16544</v>
      </c>
    </row>
    <row r="9602" spans="9:10" x14ac:dyDescent="0.3">
      <c r="I9602" t="s">
        <v>16545</v>
      </c>
      <c r="J9602" t="s">
        <v>3849</v>
      </c>
    </row>
    <row r="9603" spans="9:10" x14ac:dyDescent="0.3">
      <c r="I9603" t="s">
        <v>16546</v>
      </c>
      <c r="J9603" t="s">
        <v>3849</v>
      </c>
    </row>
    <row r="9604" spans="9:10" x14ac:dyDescent="0.3">
      <c r="I9604" t="s">
        <v>16547</v>
      </c>
      <c r="J9604" t="s">
        <v>3849</v>
      </c>
    </row>
    <row r="9605" spans="9:10" x14ac:dyDescent="0.3">
      <c r="I9605" t="s">
        <v>16548</v>
      </c>
      <c r="J9605" t="s">
        <v>3850</v>
      </c>
    </row>
    <row r="9606" spans="9:10" x14ac:dyDescent="0.3">
      <c r="I9606" t="s">
        <v>16549</v>
      </c>
      <c r="J9606" t="s">
        <v>3851</v>
      </c>
    </row>
    <row r="9607" spans="9:10" x14ac:dyDescent="0.3">
      <c r="I9607" t="s">
        <v>16550</v>
      </c>
    </row>
    <row r="9608" spans="9:10" x14ac:dyDescent="0.3">
      <c r="I9608" t="s">
        <v>16551</v>
      </c>
    </row>
    <row r="9609" spans="9:10" x14ac:dyDescent="0.3">
      <c r="I9609" t="s">
        <v>16552</v>
      </c>
    </row>
    <row r="9610" spans="9:10" x14ac:dyDescent="0.3">
      <c r="I9610" t="s">
        <v>16553</v>
      </c>
    </row>
    <row r="9611" spans="9:10" x14ac:dyDescent="0.3">
      <c r="I9611" t="s">
        <v>16554</v>
      </c>
    </row>
    <row r="9612" spans="9:10" x14ac:dyDescent="0.3">
      <c r="I9612" t="s">
        <v>16555</v>
      </c>
    </row>
    <row r="9613" spans="9:10" x14ac:dyDescent="0.3">
      <c r="I9613" t="s">
        <v>16556</v>
      </c>
    </row>
    <row r="9614" spans="9:10" x14ac:dyDescent="0.3">
      <c r="I9614" t="s">
        <v>16557</v>
      </c>
    </row>
    <row r="9615" spans="9:10" x14ac:dyDescent="0.3">
      <c r="I9615" t="s">
        <v>16558</v>
      </c>
    </row>
    <row r="9616" spans="9:10" x14ac:dyDescent="0.3">
      <c r="I9616" t="s">
        <v>16559</v>
      </c>
    </row>
    <row r="9617" spans="9:10" x14ac:dyDescent="0.3">
      <c r="I9617" t="s">
        <v>16560</v>
      </c>
    </row>
    <row r="9618" spans="9:10" x14ac:dyDescent="0.3">
      <c r="I9618" t="s">
        <v>16561</v>
      </c>
    </row>
    <row r="9619" spans="9:10" x14ac:dyDescent="0.3">
      <c r="I9619" t="s">
        <v>16562</v>
      </c>
      <c r="J9619" t="s">
        <v>3852</v>
      </c>
    </row>
    <row r="9620" spans="9:10" x14ac:dyDescent="0.3">
      <c r="I9620" t="s">
        <v>16563</v>
      </c>
    </row>
    <row r="9621" spans="9:10" x14ac:dyDescent="0.3">
      <c r="I9621" t="s">
        <v>16564</v>
      </c>
      <c r="J9621" t="s">
        <v>3853</v>
      </c>
    </row>
    <row r="9622" spans="9:10" x14ac:dyDescent="0.3">
      <c r="I9622" t="s">
        <v>16565</v>
      </c>
      <c r="J9622" t="s">
        <v>3854</v>
      </c>
    </row>
    <row r="9623" spans="9:10" x14ac:dyDescent="0.3">
      <c r="I9623" t="s">
        <v>16566</v>
      </c>
    </row>
    <row r="9624" spans="9:10" x14ac:dyDescent="0.3">
      <c r="I9624" t="s">
        <v>16567</v>
      </c>
    </row>
    <row r="9625" spans="9:10" x14ac:dyDescent="0.3">
      <c r="I9625" t="s">
        <v>16568</v>
      </c>
    </row>
    <row r="9626" spans="9:10" x14ac:dyDescent="0.3">
      <c r="I9626" t="s">
        <v>16569</v>
      </c>
    </row>
    <row r="9627" spans="9:10" x14ac:dyDescent="0.3">
      <c r="I9627" t="s">
        <v>16570</v>
      </c>
      <c r="J9627" t="s">
        <v>3855</v>
      </c>
    </row>
    <row r="9628" spans="9:10" x14ac:dyDescent="0.3">
      <c r="I9628" t="s">
        <v>16571</v>
      </c>
      <c r="J9628" t="s">
        <v>3856</v>
      </c>
    </row>
    <row r="9629" spans="9:10" x14ac:dyDescent="0.3">
      <c r="I9629" t="s">
        <v>16572</v>
      </c>
      <c r="J9629" t="s">
        <v>3857</v>
      </c>
    </row>
    <row r="9630" spans="9:10" x14ac:dyDescent="0.3">
      <c r="I9630" t="s">
        <v>16573</v>
      </c>
      <c r="J9630" t="s">
        <v>3858</v>
      </c>
    </row>
    <row r="9631" spans="9:10" x14ac:dyDescent="0.3">
      <c r="I9631" t="s">
        <v>16574</v>
      </c>
      <c r="J9631" t="s">
        <v>2082</v>
      </c>
    </row>
    <row r="9632" spans="9:10" x14ac:dyDescent="0.3">
      <c r="I9632" t="s">
        <v>16575</v>
      </c>
      <c r="J9632" t="s">
        <v>2082</v>
      </c>
    </row>
    <row r="9633" spans="9:10" x14ac:dyDescent="0.3">
      <c r="I9633" t="s">
        <v>16576</v>
      </c>
      <c r="J9633" t="s">
        <v>2082</v>
      </c>
    </row>
    <row r="9634" spans="9:10" x14ac:dyDescent="0.3">
      <c r="I9634" t="s">
        <v>16576</v>
      </c>
      <c r="J9634" t="s">
        <v>2082</v>
      </c>
    </row>
    <row r="9635" spans="9:10" x14ac:dyDescent="0.3">
      <c r="I9635" t="s">
        <v>16577</v>
      </c>
    </row>
    <row r="9636" spans="9:10" x14ac:dyDescent="0.3">
      <c r="I9636" t="s">
        <v>16578</v>
      </c>
    </row>
    <row r="9637" spans="9:10" x14ac:dyDescent="0.3">
      <c r="I9637" t="s">
        <v>16579</v>
      </c>
    </row>
    <row r="9638" spans="9:10" x14ac:dyDescent="0.3">
      <c r="I9638" t="s">
        <v>16580</v>
      </c>
      <c r="J9638" t="s">
        <v>896</v>
      </c>
    </row>
    <row r="9639" spans="9:10" x14ac:dyDescent="0.3">
      <c r="I9639" t="s">
        <v>16581</v>
      </c>
      <c r="J9639" t="s">
        <v>3859</v>
      </c>
    </row>
    <row r="9640" spans="9:10" x14ac:dyDescent="0.3">
      <c r="I9640" t="s">
        <v>16582</v>
      </c>
      <c r="J9640" t="s">
        <v>3860</v>
      </c>
    </row>
    <row r="9641" spans="9:10" x14ac:dyDescent="0.3">
      <c r="I9641" t="s">
        <v>16583</v>
      </c>
    </row>
    <row r="9642" spans="9:10" x14ac:dyDescent="0.3">
      <c r="I9642" t="s">
        <v>16584</v>
      </c>
      <c r="J9642" t="s">
        <v>3861</v>
      </c>
    </row>
    <row r="9643" spans="9:10" x14ac:dyDescent="0.3">
      <c r="I9643" t="s">
        <v>16585</v>
      </c>
    </row>
    <row r="9644" spans="9:10" x14ac:dyDescent="0.3">
      <c r="I9644" t="s">
        <v>16586</v>
      </c>
      <c r="J9644" t="s">
        <v>3862</v>
      </c>
    </row>
    <row r="9645" spans="9:10" x14ac:dyDescent="0.3">
      <c r="I9645" t="s">
        <v>16586</v>
      </c>
      <c r="J9645" t="s">
        <v>3862</v>
      </c>
    </row>
    <row r="9646" spans="9:10" x14ac:dyDescent="0.3">
      <c r="I9646" t="s">
        <v>16587</v>
      </c>
    </row>
    <row r="9647" spans="9:10" x14ac:dyDescent="0.3">
      <c r="I9647" t="s">
        <v>16588</v>
      </c>
    </row>
    <row r="9648" spans="9:10" x14ac:dyDescent="0.3">
      <c r="I9648" t="s">
        <v>16589</v>
      </c>
    </row>
    <row r="9649" spans="9:10" x14ac:dyDescent="0.3">
      <c r="I9649" t="s">
        <v>16590</v>
      </c>
      <c r="J9649" t="s">
        <v>3863</v>
      </c>
    </row>
    <row r="9650" spans="9:10" x14ac:dyDescent="0.3">
      <c r="I9650" t="s">
        <v>16591</v>
      </c>
    </row>
    <row r="9651" spans="9:10" x14ac:dyDescent="0.3">
      <c r="I9651" t="s">
        <v>16592</v>
      </c>
    </row>
    <row r="9652" spans="9:10" x14ac:dyDescent="0.3">
      <c r="I9652" t="s">
        <v>16593</v>
      </c>
      <c r="J9652" t="s">
        <v>3864</v>
      </c>
    </row>
    <row r="9653" spans="9:10" x14ac:dyDescent="0.3">
      <c r="I9653" t="s">
        <v>16594</v>
      </c>
      <c r="J9653" t="s">
        <v>3865</v>
      </c>
    </row>
    <row r="9654" spans="9:10" x14ac:dyDescent="0.3">
      <c r="I9654" t="s">
        <v>16595</v>
      </c>
      <c r="J9654" t="s">
        <v>3866</v>
      </c>
    </row>
    <row r="9655" spans="9:10" x14ac:dyDescent="0.3">
      <c r="I9655" t="s">
        <v>16596</v>
      </c>
      <c r="J9655" t="s">
        <v>3867</v>
      </c>
    </row>
    <row r="9656" spans="9:10" x14ac:dyDescent="0.3">
      <c r="I9656" t="s">
        <v>16597</v>
      </c>
      <c r="J9656" t="s">
        <v>3868</v>
      </c>
    </row>
    <row r="9657" spans="9:10" x14ac:dyDescent="0.3">
      <c r="I9657" t="s">
        <v>16598</v>
      </c>
      <c r="J9657" t="s">
        <v>3868</v>
      </c>
    </row>
    <row r="9658" spans="9:10" x14ac:dyDescent="0.3">
      <c r="I9658" t="s">
        <v>16599</v>
      </c>
      <c r="J9658" t="s">
        <v>3869</v>
      </c>
    </row>
    <row r="9659" spans="9:10" x14ac:dyDescent="0.3">
      <c r="I9659" t="s">
        <v>16600</v>
      </c>
      <c r="J9659" t="s">
        <v>3869</v>
      </c>
    </row>
    <row r="9660" spans="9:10" x14ac:dyDescent="0.3">
      <c r="I9660" t="s">
        <v>16601</v>
      </c>
      <c r="J9660" t="s">
        <v>3869</v>
      </c>
    </row>
    <row r="9661" spans="9:10" x14ac:dyDescent="0.3">
      <c r="I9661" t="s">
        <v>16602</v>
      </c>
      <c r="J9661" t="s">
        <v>3870</v>
      </c>
    </row>
    <row r="9662" spans="9:10" x14ac:dyDescent="0.3">
      <c r="I9662" t="s">
        <v>16603</v>
      </c>
      <c r="J9662" t="s">
        <v>3871</v>
      </c>
    </row>
    <row r="9663" spans="9:10" x14ac:dyDescent="0.3">
      <c r="I9663" t="s">
        <v>15848</v>
      </c>
      <c r="J9663">
        <v>0</v>
      </c>
    </row>
    <row r="9664" spans="9:10" x14ac:dyDescent="0.3">
      <c r="I9664" t="s">
        <v>16604</v>
      </c>
      <c r="J9664">
        <v>0</v>
      </c>
    </row>
    <row r="9665" spans="9:10" x14ac:dyDescent="0.3">
      <c r="I9665" t="s">
        <v>16605</v>
      </c>
      <c r="J9665" t="s">
        <v>3872</v>
      </c>
    </row>
    <row r="9666" spans="9:10" x14ac:dyDescent="0.3">
      <c r="I9666" t="s">
        <v>16606</v>
      </c>
      <c r="J9666" t="s">
        <v>3873</v>
      </c>
    </row>
    <row r="9667" spans="9:10" x14ac:dyDescent="0.3">
      <c r="I9667" t="s">
        <v>16607</v>
      </c>
      <c r="J9667" t="s">
        <v>3874</v>
      </c>
    </row>
    <row r="9668" spans="9:10" x14ac:dyDescent="0.3">
      <c r="I9668" t="s">
        <v>16608</v>
      </c>
      <c r="J9668" t="s">
        <v>3875</v>
      </c>
    </row>
    <row r="9669" spans="9:10" x14ac:dyDescent="0.3">
      <c r="I9669" t="s">
        <v>16609</v>
      </c>
      <c r="J9669" t="s">
        <v>3876</v>
      </c>
    </row>
    <row r="9670" spans="9:10" x14ac:dyDescent="0.3">
      <c r="I9670" t="s">
        <v>16610</v>
      </c>
      <c r="J9670" t="s">
        <v>3877</v>
      </c>
    </row>
    <row r="9671" spans="9:10" x14ac:dyDescent="0.3">
      <c r="I9671" t="s">
        <v>16611</v>
      </c>
    </row>
    <row r="9672" spans="9:10" x14ac:dyDescent="0.3">
      <c r="I9672" t="s">
        <v>16612</v>
      </c>
    </row>
    <row r="9673" spans="9:10" x14ac:dyDescent="0.3">
      <c r="I9673" t="s">
        <v>16613</v>
      </c>
      <c r="J9673" t="s">
        <v>3878</v>
      </c>
    </row>
    <row r="9674" spans="9:10" x14ac:dyDescent="0.3">
      <c r="I9674" t="s">
        <v>16614</v>
      </c>
      <c r="J9674" t="s">
        <v>3879</v>
      </c>
    </row>
    <row r="9675" spans="9:10" x14ac:dyDescent="0.3">
      <c r="I9675" t="s">
        <v>16614</v>
      </c>
      <c r="J9675" t="s">
        <v>3879</v>
      </c>
    </row>
    <row r="9676" spans="9:10" x14ac:dyDescent="0.3">
      <c r="I9676" t="s">
        <v>16614</v>
      </c>
      <c r="J9676" t="s">
        <v>3879</v>
      </c>
    </row>
    <row r="9677" spans="9:10" x14ac:dyDescent="0.3">
      <c r="I9677" t="s">
        <v>16614</v>
      </c>
      <c r="J9677" t="s">
        <v>3879</v>
      </c>
    </row>
    <row r="9678" spans="9:10" x14ac:dyDescent="0.3">
      <c r="I9678" t="s">
        <v>16614</v>
      </c>
      <c r="J9678" t="s">
        <v>3879</v>
      </c>
    </row>
    <row r="9679" spans="9:10" x14ac:dyDescent="0.3">
      <c r="I9679" t="s">
        <v>16615</v>
      </c>
      <c r="J9679" t="s">
        <v>3880</v>
      </c>
    </row>
    <row r="9680" spans="9:10" x14ac:dyDescent="0.3">
      <c r="I9680" t="s">
        <v>16615</v>
      </c>
      <c r="J9680" t="s">
        <v>3880</v>
      </c>
    </row>
    <row r="9681" spans="9:10" x14ac:dyDescent="0.3">
      <c r="I9681" t="s">
        <v>16616</v>
      </c>
    </row>
    <row r="9682" spans="9:10" x14ac:dyDescent="0.3">
      <c r="I9682" t="s">
        <v>16617</v>
      </c>
      <c r="J9682" t="s">
        <v>3881</v>
      </c>
    </row>
    <row r="9683" spans="9:10" x14ac:dyDescent="0.3">
      <c r="I9683" t="s">
        <v>16618</v>
      </c>
      <c r="J9683" t="s">
        <v>3882</v>
      </c>
    </row>
    <row r="9684" spans="9:10" x14ac:dyDescent="0.3">
      <c r="I9684" t="s">
        <v>16619</v>
      </c>
      <c r="J9684" t="s">
        <v>3883</v>
      </c>
    </row>
    <row r="9685" spans="9:10" x14ac:dyDescent="0.3">
      <c r="I9685" t="s">
        <v>16620</v>
      </c>
      <c r="J9685" t="s">
        <v>3884</v>
      </c>
    </row>
    <row r="9686" spans="9:10" x14ac:dyDescent="0.3">
      <c r="I9686" t="s">
        <v>16621</v>
      </c>
    </row>
    <row r="9687" spans="9:10" x14ac:dyDescent="0.3">
      <c r="I9687" t="s">
        <v>16622</v>
      </c>
    </row>
    <row r="9688" spans="9:10" x14ac:dyDescent="0.3">
      <c r="I9688" t="s">
        <v>16623</v>
      </c>
      <c r="J9688" t="s">
        <v>3885</v>
      </c>
    </row>
    <row r="9689" spans="9:10" x14ac:dyDescent="0.3">
      <c r="I9689" t="s">
        <v>16624</v>
      </c>
      <c r="J9689" t="s">
        <v>3886</v>
      </c>
    </row>
    <row r="9690" spans="9:10" x14ac:dyDescent="0.3">
      <c r="I9690" t="s">
        <v>16625</v>
      </c>
      <c r="J9690" t="s">
        <v>3886</v>
      </c>
    </row>
    <row r="9691" spans="9:10" x14ac:dyDescent="0.3">
      <c r="I9691" t="s">
        <v>16626</v>
      </c>
      <c r="J9691" t="s">
        <v>3886</v>
      </c>
    </row>
    <row r="9692" spans="9:10" x14ac:dyDescent="0.3">
      <c r="I9692" t="s">
        <v>16625</v>
      </c>
      <c r="J9692" t="s">
        <v>3886</v>
      </c>
    </row>
    <row r="9693" spans="9:10" x14ac:dyDescent="0.3">
      <c r="I9693" t="s">
        <v>16627</v>
      </c>
      <c r="J9693" t="s">
        <v>3886</v>
      </c>
    </row>
    <row r="9694" spans="9:10" x14ac:dyDescent="0.3">
      <c r="I9694" t="s">
        <v>16628</v>
      </c>
      <c r="J9694" t="s">
        <v>3887</v>
      </c>
    </row>
    <row r="9695" spans="9:10" x14ac:dyDescent="0.3">
      <c r="I9695" t="s">
        <v>16629</v>
      </c>
      <c r="J9695" t="s">
        <v>3887</v>
      </c>
    </row>
    <row r="9696" spans="9:10" x14ac:dyDescent="0.3">
      <c r="I9696" t="s">
        <v>16630</v>
      </c>
    </row>
    <row r="9697" spans="9:10" x14ac:dyDescent="0.3">
      <c r="I9697" t="s">
        <v>16631</v>
      </c>
      <c r="J9697" t="s">
        <v>3888</v>
      </c>
    </row>
    <row r="9698" spans="9:10" x14ac:dyDescent="0.3">
      <c r="I9698" t="s">
        <v>16632</v>
      </c>
      <c r="J9698" t="s">
        <v>3889</v>
      </c>
    </row>
    <row r="9699" spans="9:10" x14ac:dyDescent="0.3">
      <c r="I9699" t="s">
        <v>16633</v>
      </c>
      <c r="J9699" t="s">
        <v>3890</v>
      </c>
    </row>
    <row r="9700" spans="9:10" x14ac:dyDescent="0.3">
      <c r="I9700" t="s">
        <v>16633</v>
      </c>
      <c r="J9700" t="s">
        <v>3890</v>
      </c>
    </row>
    <row r="9701" spans="9:10" x14ac:dyDescent="0.3">
      <c r="I9701" t="s">
        <v>16634</v>
      </c>
      <c r="J9701">
        <v>0</v>
      </c>
    </row>
    <row r="9702" spans="9:10" x14ac:dyDescent="0.3">
      <c r="I9702" t="s">
        <v>16635</v>
      </c>
    </row>
    <row r="9703" spans="9:10" x14ac:dyDescent="0.3">
      <c r="I9703" t="s">
        <v>16636</v>
      </c>
      <c r="J9703" t="s">
        <v>3891</v>
      </c>
    </row>
    <row r="9704" spans="9:10" x14ac:dyDescent="0.3">
      <c r="I9704" t="s">
        <v>16636</v>
      </c>
      <c r="J9704" t="s">
        <v>3891</v>
      </c>
    </row>
    <row r="9705" spans="9:10" x14ac:dyDescent="0.3">
      <c r="I9705" t="s">
        <v>16637</v>
      </c>
      <c r="J9705" t="s">
        <v>3892</v>
      </c>
    </row>
    <row r="9706" spans="9:10" x14ac:dyDescent="0.3">
      <c r="I9706" t="s">
        <v>16638</v>
      </c>
      <c r="J9706" t="s">
        <v>3892</v>
      </c>
    </row>
    <row r="9707" spans="9:10" x14ac:dyDescent="0.3">
      <c r="I9707" t="s">
        <v>16639</v>
      </c>
      <c r="J9707" t="s">
        <v>3893</v>
      </c>
    </row>
    <row r="9708" spans="9:10" x14ac:dyDescent="0.3">
      <c r="I9708" t="s">
        <v>16640</v>
      </c>
      <c r="J9708" t="s">
        <v>502</v>
      </c>
    </row>
    <row r="9709" spans="9:10" x14ac:dyDescent="0.3">
      <c r="I9709" t="s">
        <v>16641</v>
      </c>
      <c r="J9709" t="s">
        <v>3894</v>
      </c>
    </row>
    <row r="9710" spans="9:10" x14ac:dyDescent="0.3">
      <c r="I9710" t="s">
        <v>16642</v>
      </c>
      <c r="J9710" t="s">
        <v>614</v>
      </c>
    </row>
    <row r="9711" spans="9:10" x14ac:dyDescent="0.3">
      <c r="I9711" t="s">
        <v>16642</v>
      </c>
      <c r="J9711" t="s">
        <v>614</v>
      </c>
    </row>
    <row r="9712" spans="9:10" x14ac:dyDescent="0.3">
      <c r="I9712" t="s">
        <v>16643</v>
      </c>
      <c r="J9712" t="s">
        <v>3895</v>
      </c>
    </row>
    <row r="9713" spans="9:10" x14ac:dyDescent="0.3">
      <c r="I9713" t="s">
        <v>16644</v>
      </c>
      <c r="J9713" t="s">
        <v>3895</v>
      </c>
    </row>
    <row r="9714" spans="9:10" x14ac:dyDescent="0.3">
      <c r="I9714" t="s">
        <v>16645</v>
      </c>
      <c r="J9714" t="s">
        <v>3896</v>
      </c>
    </row>
    <row r="9715" spans="9:10" x14ac:dyDescent="0.3">
      <c r="I9715" t="s">
        <v>16646</v>
      </c>
      <c r="J9715" t="s">
        <v>3897</v>
      </c>
    </row>
    <row r="9716" spans="9:10" x14ac:dyDescent="0.3">
      <c r="I9716" t="s">
        <v>16647</v>
      </c>
      <c r="J9716" t="s">
        <v>3898</v>
      </c>
    </row>
    <row r="9717" spans="9:10" x14ac:dyDescent="0.3">
      <c r="I9717" t="s">
        <v>16648</v>
      </c>
      <c r="J9717" t="s">
        <v>3899</v>
      </c>
    </row>
    <row r="9718" spans="9:10" x14ac:dyDescent="0.3">
      <c r="I9718" t="s">
        <v>16649</v>
      </c>
      <c r="J9718" t="s">
        <v>3900</v>
      </c>
    </row>
    <row r="9719" spans="9:10" x14ac:dyDescent="0.3">
      <c r="I9719" t="s">
        <v>16650</v>
      </c>
    </row>
    <row r="9720" spans="9:10" x14ac:dyDescent="0.3">
      <c r="I9720" t="s">
        <v>16651</v>
      </c>
      <c r="J9720" t="s">
        <v>3901</v>
      </c>
    </row>
    <row r="9721" spans="9:10" x14ac:dyDescent="0.3">
      <c r="I9721" t="s">
        <v>16651</v>
      </c>
      <c r="J9721" t="s">
        <v>3901</v>
      </c>
    </row>
    <row r="9722" spans="9:10" x14ac:dyDescent="0.3">
      <c r="I9722" t="s">
        <v>16651</v>
      </c>
      <c r="J9722" t="s">
        <v>3901</v>
      </c>
    </row>
    <row r="9723" spans="9:10" x14ac:dyDescent="0.3">
      <c r="I9723" t="s">
        <v>16652</v>
      </c>
      <c r="J9723" t="s">
        <v>3901</v>
      </c>
    </row>
    <row r="9724" spans="9:10" x14ac:dyDescent="0.3">
      <c r="I9724" t="s">
        <v>16653</v>
      </c>
      <c r="J9724" t="s">
        <v>3902</v>
      </c>
    </row>
    <row r="9725" spans="9:10" x14ac:dyDescent="0.3">
      <c r="I9725" t="s">
        <v>16654</v>
      </c>
      <c r="J9725" t="s">
        <v>3902</v>
      </c>
    </row>
    <row r="9726" spans="9:10" x14ac:dyDescent="0.3">
      <c r="I9726" t="s">
        <v>16655</v>
      </c>
      <c r="J9726" t="s">
        <v>3902</v>
      </c>
    </row>
    <row r="9727" spans="9:10" x14ac:dyDescent="0.3">
      <c r="I9727" t="s">
        <v>16656</v>
      </c>
      <c r="J9727" t="s">
        <v>3902</v>
      </c>
    </row>
    <row r="9728" spans="9:10" x14ac:dyDescent="0.3">
      <c r="I9728" t="s">
        <v>16655</v>
      </c>
      <c r="J9728" t="s">
        <v>3902</v>
      </c>
    </row>
    <row r="9729" spans="9:10" x14ac:dyDescent="0.3">
      <c r="I9729" t="s">
        <v>16657</v>
      </c>
      <c r="J9729" t="s">
        <v>665</v>
      </c>
    </row>
    <row r="9730" spans="9:10" x14ac:dyDescent="0.3">
      <c r="I9730" t="s">
        <v>16657</v>
      </c>
      <c r="J9730" t="s">
        <v>665</v>
      </c>
    </row>
    <row r="9731" spans="9:10" x14ac:dyDescent="0.3">
      <c r="I9731" t="s">
        <v>16657</v>
      </c>
      <c r="J9731" t="s">
        <v>665</v>
      </c>
    </row>
    <row r="9732" spans="9:10" x14ac:dyDescent="0.3">
      <c r="I9732" t="s">
        <v>16658</v>
      </c>
      <c r="J9732" t="s">
        <v>666</v>
      </c>
    </row>
    <row r="9733" spans="9:10" x14ac:dyDescent="0.3">
      <c r="I9733" t="s">
        <v>16658</v>
      </c>
      <c r="J9733" t="s">
        <v>666</v>
      </c>
    </row>
    <row r="9734" spans="9:10" x14ac:dyDescent="0.3">
      <c r="I9734" t="s">
        <v>16658</v>
      </c>
      <c r="J9734" t="s">
        <v>666</v>
      </c>
    </row>
    <row r="9735" spans="9:10" x14ac:dyDescent="0.3">
      <c r="I9735" t="s">
        <v>16659</v>
      </c>
      <c r="J9735" t="s">
        <v>3903</v>
      </c>
    </row>
    <row r="9736" spans="9:10" x14ac:dyDescent="0.3">
      <c r="I9736" t="s">
        <v>16660</v>
      </c>
      <c r="J9736" t="s">
        <v>3903</v>
      </c>
    </row>
    <row r="9737" spans="9:10" x14ac:dyDescent="0.3">
      <c r="I9737" t="s">
        <v>16661</v>
      </c>
      <c r="J9737" t="s">
        <v>3904</v>
      </c>
    </row>
    <row r="9738" spans="9:10" x14ac:dyDescent="0.3">
      <c r="I9738" t="s">
        <v>16662</v>
      </c>
      <c r="J9738" t="s">
        <v>3904</v>
      </c>
    </row>
    <row r="9739" spans="9:10" x14ac:dyDescent="0.3">
      <c r="I9739" t="s">
        <v>16663</v>
      </c>
      <c r="J9739" t="s">
        <v>3904</v>
      </c>
    </row>
    <row r="9740" spans="9:10" x14ac:dyDescent="0.3">
      <c r="I9740" t="s">
        <v>16663</v>
      </c>
      <c r="J9740" t="s">
        <v>3904</v>
      </c>
    </row>
    <row r="9741" spans="9:10" x14ac:dyDescent="0.3">
      <c r="I9741" t="s">
        <v>16664</v>
      </c>
      <c r="J9741" t="s">
        <v>3904</v>
      </c>
    </row>
    <row r="9742" spans="9:10" x14ac:dyDescent="0.3">
      <c r="I9742" t="s">
        <v>16665</v>
      </c>
      <c r="J9742" t="s">
        <v>3904</v>
      </c>
    </row>
    <row r="9743" spans="9:10" x14ac:dyDescent="0.3">
      <c r="I9743" t="s">
        <v>16663</v>
      </c>
      <c r="J9743" t="s">
        <v>3904</v>
      </c>
    </row>
    <row r="9744" spans="9:10" x14ac:dyDescent="0.3">
      <c r="I9744" t="s">
        <v>16665</v>
      </c>
      <c r="J9744" t="s">
        <v>3904</v>
      </c>
    </row>
    <row r="9745" spans="9:10" x14ac:dyDescent="0.3">
      <c r="I9745" t="s">
        <v>16666</v>
      </c>
      <c r="J9745" t="s">
        <v>3904</v>
      </c>
    </row>
    <row r="9746" spans="9:10" x14ac:dyDescent="0.3">
      <c r="I9746" t="s">
        <v>16667</v>
      </c>
      <c r="J9746" t="s">
        <v>3905</v>
      </c>
    </row>
    <row r="9747" spans="9:10" x14ac:dyDescent="0.3">
      <c r="I9747" t="s">
        <v>16668</v>
      </c>
      <c r="J9747" t="s">
        <v>3905</v>
      </c>
    </row>
    <row r="9748" spans="9:10" x14ac:dyDescent="0.3">
      <c r="I9748" t="s">
        <v>16667</v>
      </c>
      <c r="J9748" t="s">
        <v>3905</v>
      </c>
    </row>
    <row r="9749" spans="9:10" x14ac:dyDescent="0.3">
      <c r="I9749" t="s">
        <v>16669</v>
      </c>
      <c r="J9749" t="s">
        <v>3906</v>
      </c>
    </row>
    <row r="9750" spans="9:10" x14ac:dyDescent="0.3">
      <c r="I9750" t="s">
        <v>16669</v>
      </c>
      <c r="J9750" t="s">
        <v>3906</v>
      </c>
    </row>
    <row r="9751" spans="9:10" x14ac:dyDescent="0.3">
      <c r="I9751" t="s">
        <v>16670</v>
      </c>
      <c r="J9751" t="s">
        <v>3907</v>
      </c>
    </row>
    <row r="9752" spans="9:10" x14ac:dyDescent="0.3">
      <c r="I9752" t="s">
        <v>16671</v>
      </c>
      <c r="J9752" t="s">
        <v>3908</v>
      </c>
    </row>
    <row r="9753" spans="9:10" x14ac:dyDescent="0.3">
      <c r="I9753" t="s">
        <v>16672</v>
      </c>
      <c r="J9753" t="s">
        <v>3909</v>
      </c>
    </row>
    <row r="9754" spans="9:10" x14ac:dyDescent="0.3">
      <c r="I9754" t="s">
        <v>16672</v>
      </c>
      <c r="J9754" t="s">
        <v>3909</v>
      </c>
    </row>
    <row r="9755" spans="9:10" x14ac:dyDescent="0.3">
      <c r="I9755" t="s">
        <v>16673</v>
      </c>
      <c r="J9755">
        <v>0</v>
      </c>
    </row>
    <row r="9756" spans="9:10" x14ac:dyDescent="0.3">
      <c r="I9756" t="s">
        <v>16674</v>
      </c>
      <c r="J9756" t="s">
        <v>3910</v>
      </c>
    </row>
    <row r="9757" spans="9:10" x14ac:dyDescent="0.3">
      <c r="I9757" t="s">
        <v>16675</v>
      </c>
    </row>
    <row r="9758" spans="9:10" x14ac:dyDescent="0.3">
      <c r="I9758" t="s">
        <v>16676</v>
      </c>
      <c r="J9758" t="s">
        <v>3911</v>
      </c>
    </row>
    <row r="9759" spans="9:10" x14ac:dyDescent="0.3">
      <c r="I9759" t="s">
        <v>16677</v>
      </c>
      <c r="J9759" t="s">
        <v>3911</v>
      </c>
    </row>
    <row r="9760" spans="9:10" x14ac:dyDescent="0.3">
      <c r="I9760" t="s">
        <v>16678</v>
      </c>
      <c r="J9760" t="s">
        <v>3912</v>
      </c>
    </row>
    <row r="9761" spans="9:10" x14ac:dyDescent="0.3">
      <c r="I9761" t="s">
        <v>16678</v>
      </c>
      <c r="J9761" t="s">
        <v>3912</v>
      </c>
    </row>
    <row r="9762" spans="9:10" x14ac:dyDescent="0.3">
      <c r="I9762" t="s">
        <v>16679</v>
      </c>
      <c r="J9762" t="s">
        <v>3913</v>
      </c>
    </row>
    <row r="9763" spans="9:10" x14ac:dyDescent="0.3">
      <c r="I9763" t="s">
        <v>16680</v>
      </c>
    </row>
    <row r="9764" spans="9:10" x14ac:dyDescent="0.3">
      <c r="I9764" t="s">
        <v>16681</v>
      </c>
    </row>
    <row r="9765" spans="9:10" x14ac:dyDescent="0.3">
      <c r="I9765" t="s">
        <v>16682</v>
      </c>
      <c r="J9765" t="s">
        <v>3914</v>
      </c>
    </row>
    <row r="9766" spans="9:10" x14ac:dyDescent="0.3">
      <c r="I9766" t="s">
        <v>16682</v>
      </c>
      <c r="J9766" t="s">
        <v>3914</v>
      </c>
    </row>
    <row r="9767" spans="9:10" x14ac:dyDescent="0.3">
      <c r="I9767" t="s">
        <v>16683</v>
      </c>
      <c r="J9767" t="s">
        <v>3914</v>
      </c>
    </row>
    <row r="9768" spans="9:10" x14ac:dyDescent="0.3">
      <c r="I9768" t="s">
        <v>16683</v>
      </c>
      <c r="J9768" t="s">
        <v>3914</v>
      </c>
    </row>
    <row r="9769" spans="9:10" x14ac:dyDescent="0.3">
      <c r="I9769" t="s">
        <v>16683</v>
      </c>
      <c r="J9769" t="s">
        <v>3914</v>
      </c>
    </row>
    <row r="9770" spans="9:10" x14ac:dyDescent="0.3">
      <c r="I9770" t="s">
        <v>16684</v>
      </c>
      <c r="J9770" t="s">
        <v>3915</v>
      </c>
    </row>
    <row r="9771" spans="9:10" x14ac:dyDescent="0.3">
      <c r="I9771" t="s">
        <v>16685</v>
      </c>
      <c r="J9771" t="s">
        <v>3916</v>
      </c>
    </row>
    <row r="9772" spans="9:10" x14ac:dyDescent="0.3">
      <c r="I9772" t="s">
        <v>16686</v>
      </c>
      <c r="J9772" t="s">
        <v>3917</v>
      </c>
    </row>
    <row r="9773" spans="9:10" x14ac:dyDescent="0.3">
      <c r="I9773" t="s">
        <v>16687</v>
      </c>
      <c r="J9773" t="s">
        <v>3918</v>
      </c>
    </row>
    <row r="9774" spans="9:10" x14ac:dyDescent="0.3">
      <c r="I9774" t="s">
        <v>16688</v>
      </c>
      <c r="J9774" t="s">
        <v>3919</v>
      </c>
    </row>
    <row r="9775" spans="9:10" x14ac:dyDescent="0.3">
      <c r="I9775" t="s">
        <v>16689</v>
      </c>
      <c r="J9775" t="s">
        <v>3920</v>
      </c>
    </row>
    <row r="9776" spans="9:10" x14ac:dyDescent="0.3">
      <c r="I9776" t="s">
        <v>16690</v>
      </c>
      <c r="J9776" t="s">
        <v>3921</v>
      </c>
    </row>
    <row r="9777" spans="9:10" x14ac:dyDescent="0.3">
      <c r="I9777" t="s">
        <v>16691</v>
      </c>
      <c r="J9777" t="s">
        <v>3922</v>
      </c>
    </row>
    <row r="9778" spans="9:10" x14ac:dyDescent="0.3">
      <c r="I9778" t="s">
        <v>16692</v>
      </c>
      <c r="J9778" t="s">
        <v>3923</v>
      </c>
    </row>
    <row r="9779" spans="9:10" x14ac:dyDescent="0.3">
      <c r="I9779" t="s">
        <v>16693</v>
      </c>
    </row>
    <row r="9780" spans="9:10" x14ac:dyDescent="0.3">
      <c r="I9780" t="s">
        <v>16694</v>
      </c>
      <c r="J9780" t="s">
        <v>3924</v>
      </c>
    </row>
    <row r="9781" spans="9:10" x14ac:dyDescent="0.3">
      <c r="I9781" t="s">
        <v>16695</v>
      </c>
    </row>
    <row r="9782" spans="9:10" x14ac:dyDescent="0.3">
      <c r="I9782" t="s">
        <v>16696</v>
      </c>
      <c r="J9782" t="s">
        <v>3925</v>
      </c>
    </row>
    <row r="9783" spans="9:10" x14ac:dyDescent="0.3">
      <c r="I9783" t="s">
        <v>16697</v>
      </c>
      <c r="J9783" t="s">
        <v>3926</v>
      </c>
    </row>
    <row r="9784" spans="9:10" x14ac:dyDescent="0.3">
      <c r="I9784" t="s">
        <v>16698</v>
      </c>
      <c r="J9784" t="s">
        <v>3927</v>
      </c>
    </row>
    <row r="9785" spans="9:10" x14ac:dyDescent="0.3">
      <c r="I9785" t="s">
        <v>16699</v>
      </c>
      <c r="J9785" t="s">
        <v>3928</v>
      </c>
    </row>
    <row r="9786" spans="9:10" x14ac:dyDescent="0.3">
      <c r="I9786" t="s">
        <v>16700</v>
      </c>
    </row>
    <row r="9787" spans="9:10" x14ac:dyDescent="0.3">
      <c r="I9787" t="s">
        <v>16701</v>
      </c>
      <c r="J9787" t="s">
        <v>3929</v>
      </c>
    </row>
    <row r="9788" spans="9:10" x14ac:dyDescent="0.3">
      <c r="I9788" t="s">
        <v>16702</v>
      </c>
      <c r="J9788" t="s">
        <v>3929</v>
      </c>
    </row>
    <row r="9789" spans="9:10" x14ac:dyDescent="0.3">
      <c r="I9789" t="s">
        <v>16702</v>
      </c>
      <c r="J9789" t="s">
        <v>3929</v>
      </c>
    </row>
    <row r="9790" spans="9:10" x14ac:dyDescent="0.3">
      <c r="I9790" t="s">
        <v>16703</v>
      </c>
      <c r="J9790" t="s">
        <v>3930</v>
      </c>
    </row>
    <row r="9791" spans="9:10" x14ac:dyDescent="0.3">
      <c r="I9791" t="s">
        <v>16703</v>
      </c>
      <c r="J9791" t="s">
        <v>3930</v>
      </c>
    </row>
    <row r="9792" spans="9:10" x14ac:dyDescent="0.3">
      <c r="I9792" t="s">
        <v>16703</v>
      </c>
      <c r="J9792" t="s">
        <v>3930</v>
      </c>
    </row>
    <row r="9793" spans="9:10" x14ac:dyDescent="0.3">
      <c r="I9793" t="s">
        <v>16703</v>
      </c>
      <c r="J9793" t="s">
        <v>3930</v>
      </c>
    </row>
    <row r="9794" spans="9:10" x14ac:dyDescent="0.3">
      <c r="I9794" t="s">
        <v>16703</v>
      </c>
      <c r="J9794" t="s">
        <v>3930</v>
      </c>
    </row>
    <row r="9795" spans="9:10" x14ac:dyDescent="0.3">
      <c r="I9795" t="s">
        <v>16704</v>
      </c>
      <c r="J9795" t="s">
        <v>3930</v>
      </c>
    </row>
    <row r="9796" spans="9:10" x14ac:dyDescent="0.3">
      <c r="I9796" t="s">
        <v>16703</v>
      </c>
      <c r="J9796" t="s">
        <v>3930</v>
      </c>
    </row>
    <row r="9797" spans="9:10" x14ac:dyDescent="0.3">
      <c r="I9797" t="s">
        <v>16703</v>
      </c>
      <c r="J9797" t="s">
        <v>3930</v>
      </c>
    </row>
    <row r="9798" spans="9:10" x14ac:dyDescent="0.3">
      <c r="I9798" t="s">
        <v>16703</v>
      </c>
      <c r="J9798" t="s">
        <v>3930</v>
      </c>
    </row>
    <row r="9799" spans="9:10" x14ac:dyDescent="0.3">
      <c r="I9799" t="s">
        <v>16703</v>
      </c>
      <c r="J9799" t="s">
        <v>3930</v>
      </c>
    </row>
    <row r="9800" spans="9:10" x14ac:dyDescent="0.3">
      <c r="I9800" t="s">
        <v>16703</v>
      </c>
      <c r="J9800" t="s">
        <v>3930</v>
      </c>
    </row>
    <row r="9801" spans="9:10" x14ac:dyDescent="0.3">
      <c r="I9801" t="s">
        <v>16703</v>
      </c>
      <c r="J9801" t="s">
        <v>3930</v>
      </c>
    </row>
    <row r="9802" spans="9:10" x14ac:dyDescent="0.3">
      <c r="I9802" t="s">
        <v>16703</v>
      </c>
      <c r="J9802" t="s">
        <v>3930</v>
      </c>
    </row>
    <row r="9803" spans="9:10" x14ac:dyDescent="0.3">
      <c r="I9803" t="s">
        <v>16705</v>
      </c>
      <c r="J9803" t="s">
        <v>3930</v>
      </c>
    </row>
    <row r="9804" spans="9:10" x14ac:dyDescent="0.3">
      <c r="I9804" t="s">
        <v>16703</v>
      </c>
      <c r="J9804" t="s">
        <v>3930</v>
      </c>
    </row>
    <row r="9805" spans="9:10" x14ac:dyDescent="0.3">
      <c r="I9805" t="s">
        <v>16706</v>
      </c>
      <c r="J9805" t="s">
        <v>899</v>
      </c>
    </row>
    <row r="9806" spans="9:10" x14ac:dyDescent="0.3">
      <c r="I9806" t="s">
        <v>16706</v>
      </c>
      <c r="J9806" t="s">
        <v>899</v>
      </c>
    </row>
    <row r="9807" spans="9:10" x14ac:dyDescent="0.3">
      <c r="I9807" t="s">
        <v>16707</v>
      </c>
    </row>
    <row r="9808" spans="9:10" x14ac:dyDescent="0.3">
      <c r="I9808" t="s">
        <v>16708</v>
      </c>
    </row>
    <row r="9809" spans="9:10" x14ac:dyDescent="0.3">
      <c r="I9809" t="s">
        <v>16709</v>
      </c>
      <c r="J9809" t="s">
        <v>3931</v>
      </c>
    </row>
    <row r="9810" spans="9:10" x14ac:dyDescent="0.3">
      <c r="I9810" t="s">
        <v>16710</v>
      </c>
    </row>
    <row r="9811" spans="9:10" x14ac:dyDescent="0.3">
      <c r="I9811" t="s">
        <v>16711</v>
      </c>
      <c r="J9811" t="s">
        <v>3932</v>
      </c>
    </row>
    <row r="9812" spans="9:10" x14ac:dyDescent="0.3">
      <c r="I9812" t="s">
        <v>16712</v>
      </c>
      <c r="J9812" t="s">
        <v>3933</v>
      </c>
    </row>
    <row r="9813" spans="9:10" x14ac:dyDescent="0.3">
      <c r="I9813" t="s">
        <v>16712</v>
      </c>
      <c r="J9813" t="s">
        <v>3933</v>
      </c>
    </row>
    <row r="9814" spans="9:10" x14ac:dyDescent="0.3">
      <c r="I9814" t="s">
        <v>16713</v>
      </c>
      <c r="J9814" t="s">
        <v>3934</v>
      </c>
    </row>
    <row r="9815" spans="9:10" x14ac:dyDescent="0.3">
      <c r="I9815" t="s">
        <v>16714</v>
      </c>
      <c r="J9815" t="s">
        <v>3935</v>
      </c>
    </row>
    <row r="9816" spans="9:10" x14ac:dyDescent="0.3">
      <c r="I9816" t="s">
        <v>16715</v>
      </c>
      <c r="J9816" t="s">
        <v>3935</v>
      </c>
    </row>
    <row r="9817" spans="9:10" x14ac:dyDescent="0.3">
      <c r="I9817" t="s">
        <v>16716</v>
      </c>
      <c r="J9817" t="s">
        <v>3936</v>
      </c>
    </row>
    <row r="9818" spans="9:10" x14ac:dyDescent="0.3">
      <c r="I9818" t="s">
        <v>16717</v>
      </c>
      <c r="J9818" t="s">
        <v>3936</v>
      </c>
    </row>
    <row r="9819" spans="9:10" x14ac:dyDescent="0.3">
      <c r="I9819" t="s">
        <v>16717</v>
      </c>
      <c r="J9819" t="s">
        <v>3936</v>
      </c>
    </row>
    <row r="9820" spans="9:10" x14ac:dyDescent="0.3">
      <c r="I9820" t="s">
        <v>16718</v>
      </c>
      <c r="J9820" t="s">
        <v>3937</v>
      </c>
    </row>
    <row r="9821" spans="9:10" x14ac:dyDescent="0.3">
      <c r="I9821" t="s">
        <v>16718</v>
      </c>
      <c r="J9821" t="s">
        <v>3937</v>
      </c>
    </row>
    <row r="9822" spans="9:10" x14ac:dyDescent="0.3">
      <c r="I9822" t="s">
        <v>16719</v>
      </c>
      <c r="J9822" t="s">
        <v>3938</v>
      </c>
    </row>
    <row r="9823" spans="9:10" x14ac:dyDescent="0.3">
      <c r="I9823" t="s">
        <v>16720</v>
      </c>
      <c r="J9823" t="s">
        <v>3939</v>
      </c>
    </row>
    <row r="9824" spans="9:10" x14ac:dyDescent="0.3">
      <c r="I9824" t="s">
        <v>16721</v>
      </c>
      <c r="J9824" t="s">
        <v>3939</v>
      </c>
    </row>
    <row r="9825" spans="9:10" x14ac:dyDescent="0.3">
      <c r="I9825" t="s">
        <v>16722</v>
      </c>
      <c r="J9825" t="s">
        <v>3939</v>
      </c>
    </row>
    <row r="9826" spans="9:10" x14ac:dyDescent="0.3">
      <c r="I9826" t="s">
        <v>16723</v>
      </c>
      <c r="J9826" t="s">
        <v>3940</v>
      </c>
    </row>
    <row r="9827" spans="9:10" x14ac:dyDescent="0.3">
      <c r="I9827" t="s">
        <v>16724</v>
      </c>
      <c r="J9827" t="s">
        <v>3940</v>
      </c>
    </row>
    <row r="9828" spans="9:10" x14ac:dyDescent="0.3">
      <c r="I9828" t="s">
        <v>16725</v>
      </c>
      <c r="J9828" t="s">
        <v>3941</v>
      </c>
    </row>
    <row r="9829" spans="9:10" x14ac:dyDescent="0.3">
      <c r="I9829" t="s">
        <v>16726</v>
      </c>
      <c r="J9829" t="s">
        <v>3942</v>
      </c>
    </row>
    <row r="9830" spans="9:10" x14ac:dyDescent="0.3">
      <c r="I9830" t="s">
        <v>16727</v>
      </c>
      <c r="J9830" t="s">
        <v>3943</v>
      </c>
    </row>
    <row r="9831" spans="9:10" x14ac:dyDescent="0.3">
      <c r="I9831" t="s">
        <v>16728</v>
      </c>
      <c r="J9831" t="s">
        <v>3943</v>
      </c>
    </row>
    <row r="9832" spans="9:10" x14ac:dyDescent="0.3">
      <c r="I9832" t="s">
        <v>16729</v>
      </c>
      <c r="J9832" t="s">
        <v>3943</v>
      </c>
    </row>
    <row r="9833" spans="9:10" x14ac:dyDescent="0.3">
      <c r="I9833" t="s">
        <v>16730</v>
      </c>
      <c r="J9833" t="s">
        <v>3943</v>
      </c>
    </row>
    <row r="9834" spans="9:10" x14ac:dyDescent="0.3">
      <c r="I9834" t="s">
        <v>16731</v>
      </c>
      <c r="J9834" t="s">
        <v>3944</v>
      </c>
    </row>
    <row r="9835" spans="9:10" x14ac:dyDescent="0.3">
      <c r="I9835" t="s">
        <v>16731</v>
      </c>
      <c r="J9835" t="s">
        <v>3944</v>
      </c>
    </row>
    <row r="9836" spans="9:10" x14ac:dyDescent="0.3">
      <c r="I9836" t="s">
        <v>16732</v>
      </c>
      <c r="J9836" t="s">
        <v>3945</v>
      </c>
    </row>
    <row r="9837" spans="9:10" x14ac:dyDescent="0.3">
      <c r="I9837" t="s">
        <v>16733</v>
      </c>
      <c r="J9837" t="s">
        <v>3945</v>
      </c>
    </row>
    <row r="9838" spans="9:10" x14ac:dyDescent="0.3">
      <c r="I9838" t="s">
        <v>16734</v>
      </c>
      <c r="J9838" t="s">
        <v>3945</v>
      </c>
    </row>
    <row r="9839" spans="9:10" x14ac:dyDescent="0.3">
      <c r="I9839" t="s">
        <v>16735</v>
      </c>
      <c r="J9839" t="s">
        <v>3946</v>
      </c>
    </row>
    <row r="9840" spans="9:10" x14ac:dyDescent="0.3">
      <c r="I9840" t="s">
        <v>16735</v>
      </c>
      <c r="J9840" t="s">
        <v>3946</v>
      </c>
    </row>
    <row r="9841" spans="9:10" x14ac:dyDescent="0.3">
      <c r="I9841" t="s">
        <v>16735</v>
      </c>
      <c r="J9841" t="s">
        <v>3946</v>
      </c>
    </row>
    <row r="9842" spans="9:10" x14ac:dyDescent="0.3">
      <c r="I9842" t="s">
        <v>16735</v>
      </c>
      <c r="J9842" t="s">
        <v>3946</v>
      </c>
    </row>
    <row r="9843" spans="9:10" x14ac:dyDescent="0.3">
      <c r="I9843" t="s">
        <v>16735</v>
      </c>
      <c r="J9843" t="s">
        <v>3946</v>
      </c>
    </row>
    <row r="9844" spans="9:10" x14ac:dyDescent="0.3">
      <c r="I9844" t="s">
        <v>16735</v>
      </c>
      <c r="J9844" t="s">
        <v>3946</v>
      </c>
    </row>
    <row r="9845" spans="9:10" x14ac:dyDescent="0.3">
      <c r="I9845" t="s">
        <v>16736</v>
      </c>
      <c r="J9845" t="s">
        <v>3946</v>
      </c>
    </row>
    <row r="9846" spans="9:10" x14ac:dyDescent="0.3">
      <c r="I9846" t="s">
        <v>16737</v>
      </c>
      <c r="J9846" t="s">
        <v>3946</v>
      </c>
    </row>
    <row r="9847" spans="9:10" x14ac:dyDescent="0.3">
      <c r="I9847" t="s">
        <v>16738</v>
      </c>
      <c r="J9847" t="s">
        <v>3946</v>
      </c>
    </row>
    <row r="9848" spans="9:10" x14ac:dyDescent="0.3">
      <c r="I9848" t="s">
        <v>16735</v>
      </c>
      <c r="J9848" t="s">
        <v>3946</v>
      </c>
    </row>
    <row r="9849" spans="9:10" x14ac:dyDescent="0.3">
      <c r="I9849" t="s">
        <v>16735</v>
      </c>
      <c r="J9849" t="s">
        <v>3946</v>
      </c>
    </row>
    <row r="9850" spans="9:10" x14ac:dyDescent="0.3">
      <c r="I9850" t="s">
        <v>16739</v>
      </c>
      <c r="J9850" t="s">
        <v>3946</v>
      </c>
    </row>
    <row r="9851" spans="9:10" x14ac:dyDescent="0.3">
      <c r="I9851" t="s">
        <v>16735</v>
      </c>
      <c r="J9851" t="s">
        <v>3946</v>
      </c>
    </row>
    <row r="9852" spans="9:10" x14ac:dyDescent="0.3">
      <c r="I9852" t="s">
        <v>16735</v>
      </c>
      <c r="J9852" t="s">
        <v>3946</v>
      </c>
    </row>
    <row r="9853" spans="9:10" x14ac:dyDescent="0.3">
      <c r="I9853" t="s">
        <v>16735</v>
      </c>
      <c r="J9853" t="s">
        <v>3946</v>
      </c>
    </row>
    <row r="9854" spans="9:10" x14ac:dyDescent="0.3">
      <c r="I9854" t="s">
        <v>16735</v>
      </c>
      <c r="J9854" t="s">
        <v>3946</v>
      </c>
    </row>
    <row r="9855" spans="9:10" x14ac:dyDescent="0.3">
      <c r="I9855" t="s">
        <v>16740</v>
      </c>
      <c r="J9855" t="s">
        <v>3946</v>
      </c>
    </row>
    <row r="9856" spans="9:10" x14ac:dyDescent="0.3">
      <c r="I9856" t="s">
        <v>16741</v>
      </c>
      <c r="J9856" t="s">
        <v>3946</v>
      </c>
    </row>
    <row r="9857" spans="9:10" x14ac:dyDescent="0.3">
      <c r="I9857" t="s">
        <v>16735</v>
      </c>
      <c r="J9857" t="s">
        <v>3946</v>
      </c>
    </row>
    <row r="9858" spans="9:10" x14ac:dyDescent="0.3">
      <c r="I9858" t="s">
        <v>16735</v>
      </c>
      <c r="J9858" t="s">
        <v>3946</v>
      </c>
    </row>
    <row r="9859" spans="9:10" x14ac:dyDescent="0.3">
      <c r="I9859" t="s">
        <v>16735</v>
      </c>
      <c r="J9859" t="s">
        <v>3946</v>
      </c>
    </row>
    <row r="9860" spans="9:10" x14ac:dyDescent="0.3">
      <c r="I9860" t="s">
        <v>16735</v>
      </c>
      <c r="J9860" t="s">
        <v>3946</v>
      </c>
    </row>
    <row r="9861" spans="9:10" x14ac:dyDescent="0.3">
      <c r="I9861" t="s">
        <v>16742</v>
      </c>
      <c r="J9861" t="s">
        <v>3946</v>
      </c>
    </row>
    <row r="9862" spans="9:10" x14ac:dyDescent="0.3">
      <c r="I9862" t="s">
        <v>16743</v>
      </c>
      <c r="J9862" t="s">
        <v>3946</v>
      </c>
    </row>
    <row r="9863" spans="9:10" x14ac:dyDescent="0.3">
      <c r="I9863" t="s">
        <v>16735</v>
      </c>
      <c r="J9863" t="s">
        <v>3946</v>
      </c>
    </row>
    <row r="9864" spans="9:10" x14ac:dyDescent="0.3">
      <c r="I9864" t="s">
        <v>16735</v>
      </c>
      <c r="J9864" t="s">
        <v>3946</v>
      </c>
    </row>
    <row r="9865" spans="9:10" x14ac:dyDescent="0.3">
      <c r="I9865" t="s">
        <v>16735</v>
      </c>
      <c r="J9865" t="s">
        <v>3946</v>
      </c>
    </row>
    <row r="9866" spans="9:10" x14ac:dyDescent="0.3">
      <c r="I9866" t="s">
        <v>16735</v>
      </c>
      <c r="J9866" t="s">
        <v>3946</v>
      </c>
    </row>
    <row r="9867" spans="9:10" x14ac:dyDescent="0.3">
      <c r="I9867" t="s">
        <v>16735</v>
      </c>
      <c r="J9867" t="s">
        <v>3946</v>
      </c>
    </row>
    <row r="9868" spans="9:10" x14ac:dyDescent="0.3">
      <c r="I9868" t="s">
        <v>16735</v>
      </c>
      <c r="J9868" t="s">
        <v>3946</v>
      </c>
    </row>
    <row r="9869" spans="9:10" x14ac:dyDescent="0.3">
      <c r="I9869" t="s">
        <v>16735</v>
      </c>
      <c r="J9869" t="s">
        <v>3946</v>
      </c>
    </row>
    <row r="9870" spans="9:10" x14ac:dyDescent="0.3">
      <c r="I9870" t="s">
        <v>16735</v>
      </c>
      <c r="J9870" t="s">
        <v>3946</v>
      </c>
    </row>
    <row r="9871" spans="9:10" x14ac:dyDescent="0.3">
      <c r="I9871" t="s">
        <v>16735</v>
      </c>
      <c r="J9871" t="s">
        <v>3946</v>
      </c>
    </row>
    <row r="9872" spans="9:10" x14ac:dyDescent="0.3">
      <c r="I9872" t="s">
        <v>16735</v>
      </c>
      <c r="J9872" t="s">
        <v>3946</v>
      </c>
    </row>
    <row r="9873" spans="9:10" x14ac:dyDescent="0.3">
      <c r="I9873" t="s">
        <v>16735</v>
      </c>
      <c r="J9873" t="s">
        <v>3946</v>
      </c>
    </row>
    <row r="9874" spans="9:10" x14ac:dyDescent="0.3">
      <c r="I9874" t="s">
        <v>16735</v>
      </c>
      <c r="J9874" t="s">
        <v>3946</v>
      </c>
    </row>
    <row r="9875" spans="9:10" x14ac:dyDescent="0.3">
      <c r="I9875" t="s">
        <v>16735</v>
      </c>
      <c r="J9875" t="s">
        <v>3946</v>
      </c>
    </row>
    <row r="9876" spans="9:10" x14ac:dyDescent="0.3">
      <c r="I9876" t="s">
        <v>16735</v>
      </c>
      <c r="J9876" t="s">
        <v>3946</v>
      </c>
    </row>
    <row r="9877" spans="9:10" x14ac:dyDescent="0.3">
      <c r="I9877" t="s">
        <v>16735</v>
      </c>
      <c r="J9877" t="s">
        <v>3946</v>
      </c>
    </row>
    <row r="9878" spans="9:10" x14ac:dyDescent="0.3">
      <c r="I9878" t="s">
        <v>16735</v>
      </c>
      <c r="J9878" t="s">
        <v>3946</v>
      </c>
    </row>
    <row r="9879" spans="9:10" x14ac:dyDescent="0.3">
      <c r="I9879" t="s">
        <v>16735</v>
      </c>
      <c r="J9879" t="s">
        <v>3946</v>
      </c>
    </row>
    <row r="9880" spans="9:10" x14ac:dyDescent="0.3">
      <c r="I9880" t="s">
        <v>16744</v>
      </c>
      <c r="J9880" t="s">
        <v>3946</v>
      </c>
    </row>
    <row r="9881" spans="9:10" x14ac:dyDescent="0.3">
      <c r="I9881" t="s">
        <v>16735</v>
      </c>
      <c r="J9881" t="s">
        <v>3946</v>
      </c>
    </row>
    <row r="9882" spans="9:10" x14ac:dyDescent="0.3">
      <c r="I9882" t="s">
        <v>16745</v>
      </c>
      <c r="J9882" t="s">
        <v>3946</v>
      </c>
    </row>
    <row r="9883" spans="9:10" x14ac:dyDescent="0.3">
      <c r="I9883" t="s">
        <v>16746</v>
      </c>
      <c r="J9883" t="s">
        <v>3946</v>
      </c>
    </row>
    <row r="9884" spans="9:10" x14ac:dyDescent="0.3">
      <c r="I9884" t="s">
        <v>16747</v>
      </c>
      <c r="J9884" t="s">
        <v>3946</v>
      </c>
    </row>
    <row r="9885" spans="9:10" x14ac:dyDescent="0.3">
      <c r="I9885" t="s">
        <v>16748</v>
      </c>
      <c r="J9885" t="s">
        <v>3946</v>
      </c>
    </row>
    <row r="9886" spans="9:10" x14ac:dyDescent="0.3">
      <c r="I9886" t="s">
        <v>16749</v>
      </c>
      <c r="J9886" t="s">
        <v>3946</v>
      </c>
    </row>
    <row r="9887" spans="9:10" x14ac:dyDescent="0.3">
      <c r="I9887" t="s">
        <v>16735</v>
      </c>
      <c r="J9887" t="s">
        <v>3946</v>
      </c>
    </row>
    <row r="9888" spans="9:10" x14ac:dyDescent="0.3">
      <c r="I9888" t="s">
        <v>16750</v>
      </c>
      <c r="J9888" t="s">
        <v>3946</v>
      </c>
    </row>
    <row r="9889" spans="9:10" x14ac:dyDescent="0.3">
      <c r="I9889" t="s">
        <v>16751</v>
      </c>
      <c r="J9889" t="s">
        <v>3946</v>
      </c>
    </row>
    <row r="9890" spans="9:10" x14ac:dyDescent="0.3">
      <c r="I9890" t="s">
        <v>16752</v>
      </c>
      <c r="J9890" t="s">
        <v>3946</v>
      </c>
    </row>
    <row r="9891" spans="9:10" x14ac:dyDescent="0.3">
      <c r="I9891" t="s">
        <v>16753</v>
      </c>
      <c r="J9891" t="s">
        <v>3946</v>
      </c>
    </row>
    <row r="9892" spans="9:10" x14ac:dyDescent="0.3">
      <c r="I9892" t="s">
        <v>16754</v>
      </c>
      <c r="J9892" t="s">
        <v>3946</v>
      </c>
    </row>
    <row r="9893" spans="9:10" x14ac:dyDescent="0.3">
      <c r="I9893" t="s">
        <v>16735</v>
      </c>
      <c r="J9893" t="s">
        <v>3946</v>
      </c>
    </row>
    <row r="9894" spans="9:10" x14ac:dyDescent="0.3">
      <c r="I9894" t="s">
        <v>16755</v>
      </c>
      <c r="J9894" t="s">
        <v>3946</v>
      </c>
    </row>
    <row r="9895" spans="9:10" x14ac:dyDescent="0.3">
      <c r="I9895" t="s">
        <v>16751</v>
      </c>
      <c r="J9895" t="s">
        <v>3946</v>
      </c>
    </row>
    <row r="9896" spans="9:10" x14ac:dyDescent="0.3">
      <c r="I9896" t="s">
        <v>16745</v>
      </c>
      <c r="J9896" t="s">
        <v>3946</v>
      </c>
    </row>
    <row r="9897" spans="9:10" x14ac:dyDescent="0.3">
      <c r="I9897" t="s">
        <v>16756</v>
      </c>
      <c r="J9897" t="s">
        <v>3946</v>
      </c>
    </row>
    <row r="9898" spans="9:10" x14ac:dyDescent="0.3">
      <c r="I9898" t="s">
        <v>16757</v>
      </c>
      <c r="J9898" t="s">
        <v>3946</v>
      </c>
    </row>
    <row r="9899" spans="9:10" x14ac:dyDescent="0.3">
      <c r="I9899" t="s">
        <v>16758</v>
      </c>
      <c r="J9899" t="s">
        <v>3946</v>
      </c>
    </row>
    <row r="9900" spans="9:10" x14ac:dyDescent="0.3">
      <c r="I9900" t="s">
        <v>16735</v>
      </c>
      <c r="J9900" t="s">
        <v>3946</v>
      </c>
    </row>
    <row r="9901" spans="9:10" x14ac:dyDescent="0.3">
      <c r="I9901" t="s">
        <v>16735</v>
      </c>
      <c r="J9901" t="s">
        <v>3946</v>
      </c>
    </row>
    <row r="9902" spans="9:10" x14ac:dyDescent="0.3">
      <c r="I9902" t="s">
        <v>16735</v>
      </c>
      <c r="J9902" t="s">
        <v>3946</v>
      </c>
    </row>
    <row r="9903" spans="9:10" x14ac:dyDescent="0.3">
      <c r="I9903" t="s">
        <v>16735</v>
      </c>
      <c r="J9903" t="s">
        <v>3946</v>
      </c>
    </row>
    <row r="9904" spans="9:10" x14ac:dyDescent="0.3">
      <c r="I9904" t="s">
        <v>16735</v>
      </c>
      <c r="J9904" t="s">
        <v>3946</v>
      </c>
    </row>
    <row r="9905" spans="9:10" x14ac:dyDescent="0.3">
      <c r="I9905" t="s">
        <v>16735</v>
      </c>
      <c r="J9905" t="s">
        <v>3946</v>
      </c>
    </row>
    <row r="9906" spans="9:10" x14ac:dyDescent="0.3">
      <c r="I9906" t="s">
        <v>16735</v>
      </c>
      <c r="J9906" t="s">
        <v>3946</v>
      </c>
    </row>
    <row r="9907" spans="9:10" x14ac:dyDescent="0.3">
      <c r="I9907" t="s">
        <v>16759</v>
      </c>
      <c r="J9907" t="s">
        <v>3946</v>
      </c>
    </row>
    <row r="9908" spans="9:10" x14ac:dyDescent="0.3">
      <c r="I9908" t="s">
        <v>16735</v>
      </c>
      <c r="J9908" t="s">
        <v>3946</v>
      </c>
    </row>
    <row r="9909" spans="9:10" x14ac:dyDescent="0.3">
      <c r="I9909" t="s">
        <v>16735</v>
      </c>
      <c r="J9909" t="s">
        <v>3946</v>
      </c>
    </row>
    <row r="9910" spans="9:10" x14ac:dyDescent="0.3">
      <c r="I9910" t="s">
        <v>16735</v>
      </c>
      <c r="J9910" t="s">
        <v>3946</v>
      </c>
    </row>
    <row r="9911" spans="9:10" x14ac:dyDescent="0.3">
      <c r="I9911" t="s">
        <v>16735</v>
      </c>
      <c r="J9911" t="s">
        <v>3946</v>
      </c>
    </row>
    <row r="9912" spans="9:10" x14ac:dyDescent="0.3">
      <c r="I9912" t="s">
        <v>16760</v>
      </c>
      <c r="J9912" t="s">
        <v>3946</v>
      </c>
    </row>
    <row r="9913" spans="9:10" x14ac:dyDescent="0.3">
      <c r="I9913" t="s">
        <v>16761</v>
      </c>
      <c r="J9913" t="s">
        <v>3946</v>
      </c>
    </row>
    <row r="9914" spans="9:10" x14ac:dyDescent="0.3">
      <c r="I9914" t="s">
        <v>16735</v>
      </c>
      <c r="J9914" t="s">
        <v>3946</v>
      </c>
    </row>
    <row r="9915" spans="9:10" x14ac:dyDescent="0.3">
      <c r="I9915" t="s">
        <v>16762</v>
      </c>
      <c r="J9915" t="s">
        <v>3946</v>
      </c>
    </row>
    <row r="9916" spans="9:10" x14ac:dyDescent="0.3">
      <c r="I9916" t="s">
        <v>16735</v>
      </c>
      <c r="J9916" t="s">
        <v>3946</v>
      </c>
    </row>
    <row r="9917" spans="9:10" x14ac:dyDescent="0.3">
      <c r="I9917" t="s">
        <v>16735</v>
      </c>
      <c r="J9917" t="s">
        <v>3946</v>
      </c>
    </row>
    <row r="9918" spans="9:10" x14ac:dyDescent="0.3">
      <c r="I9918" t="s">
        <v>16760</v>
      </c>
      <c r="J9918" t="s">
        <v>3946</v>
      </c>
    </row>
    <row r="9919" spans="9:10" x14ac:dyDescent="0.3">
      <c r="I9919" t="s">
        <v>16735</v>
      </c>
      <c r="J9919" t="s">
        <v>3946</v>
      </c>
    </row>
    <row r="9920" spans="9:10" x14ac:dyDescent="0.3">
      <c r="I9920" t="s">
        <v>16735</v>
      </c>
      <c r="J9920" t="s">
        <v>3946</v>
      </c>
    </row>
    <row r="9921" spans="9:10" x14ac:dyDescent="0.3">
      <c r="I9921" t="s">
        <v>16735</v>
      </c>
      <c r="J9921" t="s">
        <v>3946</v>
      </c>
    </row>
    <row r="9922" spans="9:10" x14ac:dyDescent="0.3">
      <c r="I9922" t="s">
        <v>16735</v>
      </c>
      <c r="J9922" t="s">
        <v>3946</v>
      </c>
    </row>
    <row r="9923" spans="9:10" x14ac:dyDescent="0.3">
      <c r="I9923" t="s">
        <v>16735</v>
      </c>
      <c r="J9923" t="s">
        <v>3946</v>
      </c>
    </row>
    <row r="9924" spans="9:10" x14ac:dyDescent="0.3">
      <c r="I9924" t="s">
        <v>16735</v>
      </c>
      <c r="J9924" t="s">
        <v>3946</v>
      </c>
    </row>
    <row r="9925" spans="9:10" x14ac:dyDescent="0.3">
      <c r="I9925" t="s">
        <v>16735</v>
      </c>
      <c r="J9925" t="s">
        <v>3946</v>
      </c>
    </row>
    <row r="9926" spans="9:10" x14ac:dyDescent="0.3">
      <c r="I9926" t="s">
        <v>16735</v>
      </c>
      <c r="J9926" t="s">
        <v>3946</v>
      </c>
    </row>
    <row r="9927" spans="9:10" x14ac:dyDescent="0.3">
      <c r="I9927" t="s">
        <v>16735</v>
      </c>
      <c r="J9927" t="s">
        <v>3946</v>
      </c>
    </row>
    <row r="9928" spans="9:10" x14ac:dyDescent="0.3">
      <c r="I9928" t="s">
        <v>16735</v>
      </c>
      <c r="J9928" t="s">
        <v>3946</v>
      </c>
    </row>
    <row r="9929" spans="9:10" x14ac:dyDescent="0.3">
      <c r="I9929" t="s">
        <v>16735</v>
      </c>
      <c r="J9929" t="s">
        <v>3946</v>
      </c>
    </row>
    <row r="9930" spans="9:10" x14ac:dyDescent="0.3">
      <c r="I9930" t="s">
        <v>16735</v>
      </c>
      <c r="J9930" t="s">
        <v>3946</v>
      </c>
    </row>
    <row r="9931" spans="9:10" x14ac:dyDescent="0.3">
      <c r="I9931" t="s">
        <v>16763</v>
      </c>
      <c r="J9931" t="s">
        <v>3947</v>
      </c>
    </row>
    <row r="9932" spans="9:10" x14ac:dyDescent="0.3">
      <c r="I9932" t="s">
        <v>16764</v>
      </c>
      <c r="J9932" t="s">
        <v>3948</v>
      </c>
    </row>
    <row r="9933" spans="9:10" x14ac:dyDescent="0.3">
      <c r="I9933" t="s">
        <v>16765</v>
      </c>
      <c r="J9933" t="s">
        <v>3949</v>
      </c>
    </row>
    <row r="9934" spans="9:10" x14ac:dyDescent="0.3">
      <c r="I9934" t="s">
        <v>16766</v>
      </c>
      <c r="J9934" t="s">
        <v>3949</v>
      </c>
    </row>
    <row r="9935" spans="9:10" x14ac:dyDescent="0.3">
      <c r="I9935" t="s">
        <v>16767</v>
      </c>
      <c r="J9935" t="s">
        <v>3949</v>
      </c>
    </row>
    <row r="9936" spans="9:10" x14ac:dyDescent="0.3">
      <c r="I9936" t="s">
        <v>16768</v>
      </c>
      <c r="J9936" t="s">
        <v>3950</v>
      </c>
    </row>
    <row r="9937" spans="9:10" x14ac:dyDescent="0.3">
      <c r="I9937" t="s">
        <v>16768</v>
      </c>
      <c r="J9937" t="s">
        <v>3950</v>
      </c>
    </row>
    <row r="9938" spans="9:10" x14ac:dyDescent="0.3">
      <c r="I9938" t="s">
        <v>16768</v>
      </c>
      <c r="J9938" t="s">
        <v>3950</v>
      </c>
    </row>
    <row r="9939" spans="9:10" x14ac:dyDescent="0.3">
      <c r="I9939" t="s">
        <v>16768</v>
      </c>
      <c r="J9939" t="s">
        <v>3950</v>
      </c>
    </row>
    <row r="9940" spans="9:10" x14ac:dyDescent="0.3">
      <c r="I9940" t="s">
        <v>16768</v>
      </c>
      <c r="J9940" t="s">
        <v>3950</v>
      </c>
    </row>
    <row r="9941" spans="9:10" x14ac:dyDescent="0.3">
      <c r="I9941" t="s">
        <v>16768</v>
      </c>
      <c r="J9941" t="s">
        <v>3950</v>
      </c>
    </row>
    <row r="9942" spans="9:10" x14ac:dyDescent="0.3">
      <c r="I9942" t="s">
        <v>16768</v>
      </c>
      <c r="J9942" t="s">
        <v>3950</v>
      </c>
    </row>
    <row r="9943" spans="9:10" x14ac:dyDescent="0.3">
      <c r="I9943" t="s">
        <v>16768</v>
      </c>
      <c r="J9943" t="s">
        <v>3950</v>
      </c>
    </row>
    <row r="9944" spans="9:10" x14ac:dyDescent="0.3">
      <c r="I9944" t="s">
        <v>16768</v>
      </c>
      <c r="J9944" t="s">
        <v>3950</v>
      </c>
    </row>
    <row r="9945" spans="9:10" x14ac:dyDescent="0.3">
      <c r="I9945" t="s">
        <v>16769</v>
      </c>
      <c r="J9945" t="s">
        <v>3950</v>
      </c>
    </row>
    <row r="9946" spans="9:10" x14ac:dyDescent="0.3">
      <c r="I9946" t="s">
        <v>16770</v>
      </c>
      <c r="J9946" t="s">
        <v>3950</v>
      </c>
    </row>
    <row r="9947" spans="9:10" x14ac:dyDescent="0.3">
      <c r="I9947" t="s">
        <v>16771</v>
      </c>
      <c r="J9947" t="s">
        <v>3950</v>
      </c>
    </row>
    <row r="9948" spans="9:10" x14ac:dyDescent="0.3">
      <c r="I9948" t="s">
        <v>16772</v>
      </c>
      <c r="J9948" t="s">
        <v>3950</v>
      </c>
    </row>
    <row r="9949" spans="9:10" x14ac:dyDescent="0.3">
      <c r="I9949" t="s">
        <v>16768</v>
      </c>
      <c r="J9949" t="s">
        <v>3950</v>
      </c>
    </row>
    <row r="9950" spans="9:10" x14ac:dyDescent="0.3">
      <c r="I9950" t="s">
        <v>16768</v>
      </c>
      <c r="J9950" t="s">
        <v>3950</v>
      </c>
    </row>
    <row r="9951" spans="9:10" x14ac:dyDescent="0.3">
      <c r="I9951" t="s">
        <v>16768</v>
      </c>
      <c r="J9951" t="s">
        <v>3950</v>
      </c>
    </row>
    <row r="9952" spans="9:10" x14ac:dyDescent="0.3">
      <c r="I9952" t="s">
        <v>16768</v>
      </c>
      <c r="J9952" t="s">
        <v>3950</v>
      </c>
    </row>
    <row r="9953" spans="9:10" x14ac:dyDescent="0.3">
      <c r="I9953" t="s">
        <v>16768</v>
      </c>
      <c r="J9953" t="s">
        <v>3950</v>
      </c>
    </row>
    <row r="9954" spans="9:10" x14ac:dyDescent="0.3">
      <c r="I9954" t="s">
        <v>16768</v>
      </c>
      <c r="J9954" t="s">
        <v>3950</v>
      </c>
    </row>
    <row r="9955" spans="9:10" x14ac:dyDescent="0.3">
      <c r="I9955" t="s">
        <v>16773</v>
      </c>
      <c r="J9955" t="s">
        <v>3951</v>
      </c>
    </row>
    <row r="9956" spans="9:10" x14ac:dyDescent="0.3">
      <c r="I9956" t="s">
        <v>16773</v>
      </c>
      <c r="J9956" t="s">
        <v>3951</v>
      </c>
    </row>
    <row r="9957" spans="9:10" x14ac:dyDescent="0.3">
      <c r="I9957" t="s">
        <v>16773</v>
      </c>
      <c r="J9957" t="s">
        <v>3951</v>
      </c>
    </row>
    <row r="9958" spans="9:10" x14ac:dyDescent="0.3">
      <c r="I9958" t="s">
        <v>16773</v>
      </c>
      <c r="J9958" t="s">
        <v>3951</v>
      </c>
    </row>
    <row r="9959" spans="9:10" x14ac:dyDescent="0.3">
      <c r="I9959" t="s">
        <v>16773</v>
      </c>
      <c r="J9959" t="s">
        <v>3951</v>
      </c>
    </row>
    <row r="9960" spans="9:10" x14ac:dyDescent="0.3">
      <c r="I9960" t="s">
        <v>16773</v>
      </c>
      <c r="J9960" t="s">
        <v>3951</v>
      </c>
    </row>
    <row r="9961" spans="9:10" x14ac:dyDescent="0.3">
      <c r="I9961" t="s">
        <v>16773</v>
      </c>
      <c r="J9961" t="s">
        <v>3951</v>
      </c>
    </row>
    <row r="9962" spans="9:10" x14ac:dyDescent="0.3">
      <c r="I9962" t="s">
        <v>16773</v>
      </c>
      <c r="J9962" t="s">
        <v>3951</v>
      </c>
    </row>
    <row r="9963" spans="9:10" x14ac:dyDescent="0.3">
      <c r="I9963" t="s">
        <v>16773</v>
      </c>
      <c r="J9963" t="s">
        <v>3951</v>
      </c>
    </row>
    <row r="9964" spans="9:10" x14ac:dyDescent="0.3">
      <c r="I9964" t="s">
        <v>16773</v>
      </c>
      <c r="J9964" t="s">
        <v>3951</v>
      </c>
    </row>
    <row r="9965" spans="9:10" x14ac:dyDescent="0.3">
      <c r="I9965" t="s">
        <v>16773</v>
      </c>
      <c r="J9965" t="s">
        <v>3951</v>
      </c>
    </row>
    <row r="9966" spans="9:10" x14ac:dyDescent="0.3">
      <c r="I9966" t="s">
        <v>16773</v>
      </c>
      <c r="J9966" t="s">
        <v>3951</v>
      </c>
    </row>
    <row r="9967" spans="9:10" x14ac:dyDescent="0.3">
      <c r="I9967" t="s">
        <v>16773</v>
      </c>
      <c r="J9967" t="s">
        <v>3951</v>
      </c>
    </row>
    <row r="9968" spans="9:10" x14ac:dyDescent="0.3">
      <c r="I9968" t="s">
        <v>16773</v>
      </c>
      <c r="J9968" t="s">
        <v>3951</v>
      </c>
    </row>
    <row r="9969" spans="9:10" x14ac:dyDescent="0.3">
      <c r="I9969" t="s">
        <v>16773</v>
      </c>
      <c r="J9969" t="s">
        <v>3951</v>
      </c>
    </row>
    <row r="9970" spans="9:10" x14ac:dyDescent="0.3">
      <c r="I9970" t="s">
        <v>16773</v>
      </c>
      <c r="J9970" t="s">
        <v>3951</v>
      </c>
    </row>
    <row r="9971" spans="9:10" x14ac:dyDescent="0.3">
      <c r="I9971" t="s">
        <v>16773</v>
      </c>
      <c r="J9971" t="s">
        <v>3951</v>
      </c>
    </row>
    <row r="9972" spans="9:10" x14ac:dyDescent="0.3">
      <c r="I9972" t="s">
        <v>16773</v>
      </c>
      <c r="J9972" t="s">
        <v>3951</v>
      </c>
    </row>
    <row r="9973" spans="9:10" x14ac:dyDescent="0.3">
      <c r="I9973" t="s">
        <v>16774</v>
      </c>
      <c r="J9973" t="s">
        <v>3952</v>
      </c>
    </row>
    <row r="9974" spans="9:10" x14ac:dyDescent="0.3">
      <c r="I9974" t="s">
        <v>16775</v>
      </c>
      <c r="J9974" t="s">
        <v>3952</v>
      </c>
    </row>
    <row r="9975" spans="9:10" x14ac:dyDescent="0.3">
      <c r="I9975" t="s">
        <v>16776</v>
      </c>
      <c r="J9975" t="s">
        <v>3952</v>
      </c>
    </row>
    <row r="9976" spans="9:10" x14ac:dyDescent="0.3">
      <c r="I9976" t="s">
        <v>16777</v>
      </c>
      <c r="J9976" t="s">
        <v>3953</v>
      </c>
    </row>
    <row r="9977" spans="9:10" x14ac:dyDescent="0.3">
      <c r="I9977" t="s">
        <v>16778</v>
      </c>
      <c r="J9977" t="s">
        <v>3954</v>
      </c>
    </row>
    <row r="9978" spans="9:10" x14ac:dyDescent="0.3">
      <c r="I9978" t="s">
        <v>16779</v>
      </c>
      <c r="J9978" t="s">
        <v>3955</v>
      </c>
    </row>
    <row r="9979" spans="9:10" x14ac:dyDescent="0.3">
      <c r="I9979" t="s">
        <v>16780</v>
      </c>
      <c r="J9979" t="s">
        <v>3955</v>
      </c>
    </row>
    <row r="9980" spans="9:10" x14ac:dyDescent="0.3">
      <c r="I9980" t="s">
        <v>16781</v>
      </c>
      <c r="J9980" t="s">
        <v>3956</v>
      </c>
    </row>
    <row r="9981" spans="9:10" x14ac:dyDescent="0.3">
      <c r="I9981" t="s">
        <v>16782</v>
      </c>
      <c r="J9981" t="s">
        <v>3957</v>
      </c>
    </row>
    <row r="9982" spans="9:10" x14ac:dyDescent="0.3">
      <c r="I9982" t="s">
        <v>16783</v>
      </c>
    </row>
    <row r="9983" spans="9:10" x14ac:dyDescent="0.3">
      <c r="I9983" t="s">
        <v>16784</v>
      </c>
      <c r="J9983" t="s">
        <v>3958</v>
      </c>
    </row>
    <row r="9984" spans="9:10" x14ac:dyDescent="0.3">
      <c r="I9984" t="s">
        <v>16785</v>
      </c>
      <c r="J9984" t="s">
        <v>3958</v>
      </c>
    </row>
    <row r="9985" spans="9:10" x14ac:dyDescent="0.3">
      <c r="I9985" t="s">
        <v>16784</v>
      </c>
      <c r="J9985" t="s">
        <v>3958</v>
      </c>
    </row>
    <row r="9986" spans="9:10" x14ac:dyDescent="0.3">
      <c r="I9986" t="s">
        <v>16786</v>
      </c>
      <c r="J9986" t="s">
        <v>3958</v>
      </c>
    </row>
    <row r="9987" spans="9:10" x14ac:dyDescent="0.3">
      <c r="I9987" t="s">
        <v>16787</v>
      </c>
      <c r="J9987" t="s">
        <v>3958</v>
      </c>
    </row>
    <row r="9988" spans="9:10" x14ac:dyDescent="0.3">
      <c r="I9988" t="s">
        <v>16786</v>
      </c>
      <c r="J9988" t="s">
        <v>3958</v>
      </c>
    </row>
    <row r="9989" spans="9:10" x14ac:dyDescent="0.3">
      <c r="I9989" t="s">
        <v>16788</v>
      </c>
      <c r="J9989" t="s">
        <v>3958</v>
      </c>
    </row>
    <row r="9990" spans="9:10" x14ac:dyDescent="0.3">
      <c r="I9990" t="s">
        <v>16789</v>
      </c>
      <c r="J9990" t="s">
        <v>3958</v>
      </c>
    </row>
    <row r="9991" spans="9:10" x14ac:dyDescent="0.3">
      <c r="I9991" t="s">
        <v>16790</v>
      </c>
    </row>
    <row r="9992" spans="9:10" x14ac:dyDescent="0.3">
      <c r="I9992" t="s">
        <v>16791</v>
      </c>
    </row>
    <row r="9993" spans="9:10" x14ac:dyDescent="0.3">
      <c r="I9993" t="s">
        <v>16792</v>
      </c>
      <c r="J9993" t="s">
        <v>3959</v>
      </c>
    </row>
    <row r="9994" spans="9:10" x14ac:dyDescent="0.3">
      <c r="I9994" t="s">
        <v>16792</v>
      </c>
      <c r="J9994" t="s">
        <v>3959</v>
      </c>
    </row>
    <row r="9995" spans="9:10" x14ac:dyDescent="0.3">
      <c r="I9995" t="s">
        <v>16793</v>
      </c>
      <c r="J9995" t="s">
        <v>3960</v>
      </c>
    </row>
    <row r="9996" spans="9:10" x14ac:dyDescent="0.3">
      <c r="I9996" t="s">
        <v>16794</v>
      </c>
      <c r="J9996" t="s">
        <v>3961</v>
      </c>
    </row>
    <row r="9997" spans="9:10" x14ac:dyDescent="0.3">
      <c r="I9997" t="s">
        <v>16795</v>
      </c>
      <c r="J9997" t="s">
        <v>3961</v>
      </c>
    </row>
    <row r="9998" spans="9:10" x14ac:dyDescent="0.3">
      <c r="I9998" t="s">
        <v>16796</v>
      </c>
      <c r="J9998" t="s">
        <v>3961</v>
      </c>
    </row>
    <row r="9999" spans="9:10" x14ac:dyDescent="0.3">
      <c r="I9999" t="s">
        <v>16797</v>
      </c>
      <c r="J9999" t="s">
        <v>3961</v>
      </c>
    </row>
    <row r="10000" spans="9:10" x14ac:dyDescent="0.3">
      <c r="I10000" t="s">
        <v>16798</v>
      </c>
      <c r="J10000" t="s">
        <v>3961</v>
      </c>
    </row>
    <row r="10001" spans="9:10" x14ac:dyDescent="0.3">
      <c r="I10001" t="s">
        <v>16799</v>
      </c>
      <c r="J10001" t="s">
        <v>592</v>
      </c>
    </row>
    <row r="10002" spans="9:10" x14ac:dyDescent="0.3">
      <c r="I10002" t="s">
        <v>16799</v>
      </c>
      <c r="J10002" t="s">
        <v>592</v>
      </c>
    </row>
    <row r="10003" spans="9:10" x14ac:dyDescent="0.3">
      <c r="I10003" t="s">
        <v>16800</v>
      </c>
      <c r="J10003" t="s">
        <v>3962</v>
      </c>
    </row>
    <row r="10004" spans="9:10" x14ac:dyDescent="0.3">
      <c r="I10004" t="s">
        <v>16800</v>
      </c>
      <c r="J10004" t="s">
        <v>3962</v>
      </c>
    </row>
    <row r="10005" spans="9:10" x14ac:dyDescent="0.3">
      <c r="I10005" t="s">
        <v>16801</v>
      </c>
      <c r="J10005" t="s">
        <v>3963</v>
      </c>
    </row>
    <row r="10006" spans="9:10" x14ac:dyDescent="0.3">
      <c r="I10006" t="s">
        <v>16802</v>
      </c>
      <c r="J10006" t="s">
        <v>3964</v>
      </c>
    </row>
    <row r="10007" spans="9:10" x14ac:dyDescent="0.3">
      <c r="I10007" t="s">
        <v>16803</v>
      </c>
      <c r="J10007" t="s">
        <v>3965</v>
      </c>
    </row>
    <row r="10008" spans="9:10" x14ac:dyDescent="0.3">
      <c r="I10008" t="s">
        <v>16804</v>
      </c>
      <c r="J10008" t="s">
        <v>3965</v>
      </c>
    </row>
    <row r="10009" spans="9:10" x14ac:dyDescent="0.3">
      <c r="I10009" t="s">
        <v>16805</v>
      </c>
      <c r="J10009" t="s">
        <v>3965</v>
      </c>
    </row>
    <row r="10010" spans="9:10" x14ac:dyDescent="0.3">
      <c r="I10010" t="s">
        <v>16806</v>
      </c>
    </row>
    <row r="10011" spans="9:10" x14ac:dyDescent="0.3">
      <c r="I10011" t="s">
        <v>16807</v>
      </c>
    </row>
    <row r="10012" spans="9:10" x14ac:dyDescent="0.3">
      <c r="I10012" t="s">
        <v>16808</v>
      </c>
      <c r="J10012" t="s">
        <v>3966</v>
      </c>
    </row>
    <row r="10013" spans="9:10" x14ac:dyDescent="0.3">
      <c r="I10013" t="s">
        <v>16809</v>
      </c>
      <c r="J10013" t="s">
        <v>3967</v>
      </c>
    </row>
    <row r="10014" spans="9:10" x14ac:dyDescent="0.3">
      <c r="I10014" t="s">
        <v>16810</v>
      </c>
      <c r="J10014" t="s">
        <v>3968</v>
      </c>
    </row>
    <row r="10015" spans="9:10" x14ac:dyDescent="0.3">
      <c r="I10015" t="s">
        <v>16810</v>
      </c>
      <c r="J10015" t="s">
        <v>3968</v>
      </c>
    </row>
    <row r="10016" spans="9:10" x14ac:dyDescent="0.3">
      <c r="I10016" t="s">
        <v>16811</v>
      </c>
      <c r="J10016" t="s">
        <v>3969</v>
      </c>
    </row>
    <row r="10017" spans="9:10" x14ac:dyDescent="0.3">
      <c r="I10017" t="s">
        <v>16811</v>
      </c>
      <c r="J10017" t="s">
        <v>3969</v>
      </c>
    </row>
    <row r="10018" spans="9:10" x14ac:dyDescent="0.3">
      <c r="I10018" t="s">
        <v>16812</v>
      </c>
    </row>
    <row r="10019" spans="9:10" x14ac:dyDescent="0.3">
      <c r="I10019" t="s">
        <v>16813</v>
      </c>
      <c r="J10019" t="s">
        <v>3970</v>
      </c>
    </row>
    <row r="10020" spans="9:10" x14ac:dyDescent="0.3">
      <c r="I10020" t="s">
        <v>16813</v>
      </c>
      <c r="J10020" t="s">
        <v>3970</v>
      </c>
    </row>
    <row r="10021" spans="9:10" x14ac:dyDescent="0.3">
      <c r="I10021" t="s">
        <v>16814</v>
      </c>
      <c r="J10021" t="s">
        <v>3971</v>
      </c>
    </row>
    <row r="10022" spans="9:10" x14ac:dyDescent="0.3">
      <c r="I10022" t="s">
        <v>16815</v>
      </c>
      <c r="J10022" t="s">
        <v>3972</v>
      </c>
    </row>
    <row r="10023" spans="9:10" x14ac:dyDescent="0.3">
      <c r="I10023" t="s">
        <v>16816</v>
      </c>
    </row>
    <row r="10024" spans="9:10" x14ac:dyDescent="0.3">
      <c r="I10024" t="s">
        <v>16817</v>
      </c>
      <c r="J10024" t="s">
        <v>3973</v>
      </c>
    </row>
    <row r="10025" spans="9:10" x14ac:dyDescent="0.3">
      <c r="I10025" t="s">
        <v>16818</v>
      </c>
      <c r="J10025" t="s">
        <v>3974</v>
      </c>
    </row>
    <row r="10026" spans="9:10" x14ac:dyDescent="0.3">
      <c r="I10026" t="s">
        <v>16819</v>
      </c>
      <c r="J10026" t="s">
        <v>3975</v>
      </c>
    </row>
    <row r="10027" spans="9:10" x14ac:dyDescent="0.3">
      <c r="I10027" t="s">
        <v>16820</v>
      </c>
      <c r="J10027" t="s">
        <v>3976</v>
      </c>
    </row>
    <row r="10028" spans="9:10" x14ac:dyDescent="0.3">
      <c r="I10028" t="s">
        <v>16821</v>
      </c>
      <c r="J10028" t="s">
        <v>3977</v>
      </c>
    </row>
    <row r="10029" spans="9:10" x14ac:dyDescent="0.3">
      <c r="I10029" t="s">
        <v>16822</v>
      </c>
      <c r="J10029">
        <v>0</v>
      </c>
    </row>
    <row r="10030" spans="9:10" x14ac:dyDescent="0.3">
      <c r="I10030" t="s">
        <v>16823</v>
      </c>
      <c r="J10030">
        <v>0</v>
      </c>
    </row>
    <row r="10031" spans="9:10" x14ac:dyDescent="0.3">
      <c r="I10031" t="s">
        <v>16824</v>
      </c>
      <c r="J10031">
        <v>0</v>
      </c>
    </row>
    <row r="10032" spans="9:10" x14ac:dyDescent="0.3">
      <c r="I10032" t="s">
        <v>16825</v>
      </c>
      <c r="J10032">
        <v>0</v>
      </c>
    </row>
    <row r="10033" spans="9:10" x14ac:dyDescent="0.3">
      <c r="I10033" t="s">
        <v>16826</v>
      </c>
      <c r="J10033">
        <v>0</v>
      </c>
    </row>
    <row r="10034" spans="9:10" x14ac:dyDescent="0.3">
      <c r="I10034" t="s">
        <v>16827</v>
      </c>
      <c r="J10034">
        <v>0</v>
      </c>
    </row>
    <row r="10035" spans="9:10" x14ac:dyDescent="0.3">
      <c r="I10035" t="s">
        <v>16828</v>
      </c>
      <c r="J10035" t="s">
        <v>3978</v>
      </c>
    </row>
    <row r="10036" spans="9:10" x14ac:dyDescent="0.3">
      <c r="I10036" t="s">
        <v>16829</v>
      </c>
      <c r="J10036" t="s">
        <v>3979</v>
      </c>
    </row>
    <row r="10037" spans="9:10" x14ac:dyDescent="0.3">
      <c r="I10037" t="s">
        <v>16830</v>
      </c>
    </row>
    <row r="10038" spans="9:10" x14ac:dyDescent="0.3">
      <c r="I10038" t="s">
        <v>16831</v>
      </c>
      <c r="J10038" t="s">
        <v>3980</v>
      </c>
    </row>
    <row r="10039" spans="9:10" x14ac:dyDescent="0.3">
      <c r="I10039" t="s">
        <v>16832</v>
      </c>
    </row>
    <row r="10040" spans="9:10" x14ac:dyDescent="0.3">
      <c r="I10040" t="s">
        <v>16833</v>
      </c>
    </row>
    <row r="10041" spans="9:10" x14ac:dyDescent="0.3">
      <c r="I10041" t="s">
        <v>16834</v>
      </c>
    </row>
    <row r="10042" spans="9:10" x14ac:dyDescent="0.3">
      <c r="I10042" t="s">
        <v>16835</v>
      </c>
      <c r="J10042" t="s">
        <v>3981</v>
      </c>
    </row>
    <row r="10043" spans="9:10" x14ac:dyDescent="0.3">
      <c r="I10043" t="s">
        <v>16835</v>
      </c>
      <c r="J10043" t="s">
        <v>3981</v>
      </c>
    </row>
    <row r="10044" spans="9:10" x14ac:dyDescent="0.3">
      <c r="I10044" t="s">
        <v>16836</v>
      </c>
      <c r="J10044" t="s">
        <v>3982</v>
      </c>
    </row>
    <row r="10045" spans="9:10" x14ac:dyDescent="0.3">
      <c r="I10045" t="s">
        <v>16837</v>
      </c>
      <c r="J10045" t="s">
        <v>3982</v>
      </c>
    </row>
    <row r="10046" spans="9:10" x14ac:dyDescent="0.3">
      <c r="I10046" t="s">
        <v>16838</v>
      </c>
    </row>
    <row r="10047" spans="9:10" x14ac:dyDescent="0.3">
      <c r="I10047" t="s">
        <v>16839</v>
      </c>
      <c r="J10047" t="s">
        <v>3983</v>
      </c>
    </row>
    <row r="10048" spans="9:10" x14ac:dyDescent="0.3">
      <c r="I10048" t="s">
        <v>16839</v>
      </c>
      <c r="J10048" t="s">
        <v>3983</v>
      </c>
    </row>
    <row r="10049" spans="9:10" x14ac:dyDescent="0.3">
      <c r="I10049" t="s">
        <v>16840</v>
      </c>
      <c r="J10049" t="s">
        <v>3984</v>
      </c>
    </row>
    <row r="10050" spans="9:10" x14ac:dyDescent="0.3">
      <c r="I10050" t="s">
        <v>16840</v>
      </c>
      <c r="J10050" t="s">
        <v>3984</v>
      </c>
    </row>
    <row r="10051" spans="9:10" x14ac:dyDescent="0.3">
      <c r="I10051" t="s">
        <v>16840</v>
      </c>
      <c r="J10051" t="s">
        <v>3984</v>
      </c>
    </row>
    <row r="10052" spans="9:10" x14ac:dyDescent="0.3">
      <c r="I10052" t="s">
        <v>16840</v>
      </c>
      <c r="J10052" t="s">
        <v>3984</v>
      </c>
    </row>
    <row r="10053" spans="9:10" x14ac:dyDescent="0.3">
      <c r="I10053" t="s">
        <v>16841</v>
      </c>
      <c r="J10053" t="s">
        <v>3985</v>
      </c>
    </row>
    <row r="10054" spans="9:10" x14ac:dyDescent="0.3">
      <c r="I10054" t="s">
        <v>16841</v>
      </c>
      <c r="J10054" t="s">
        <v>3985</v>
      </c>
    </row>
    <row r="10055" spans="9:10" x14ac:dyDescent="0.3">
      <c r="I10055" t="s">
        <v>16841</v>
      </c>
      <c r="J10055" t="s">
        <v>3985</v>
      </c>
    </row>
    <row r="10056" spans="9:10" x14ac:dyDescent="0.3">
      <c r="I10056" t="s">
        <v>16841</v>
      </c>
      <c r="J10056" t="s">
        <v>3985</v>
      </c>
    </row>
    <row r="10057" spans="9:10" x14ac:dyDescent="0.3">
      <c r="I10057" t="s">
        <v>16841</v>
      </c>
      <c r="J10057" t="s">
        <v>3985</v>
      </c>
    </row>
    <row r="10058" spans="9:10" x14ac:dyDescent="0.3">
      <c r="I10058" t="s">
        <v>16841</v>
      </c>
      <c r="J10058" t="s">
        <v>3985</v>
      </c>
    </row>
    <row r="10059" spans="9:10" x14ac:dyDescent="0.3">
      <c r="I10059" t="s">
        <v>16842</v>
      </c>
      <c r="J10059" t="s">
        <v>3986</v>
      </c>
    </row>
    <row r="10060" spans="9:10" x14ac:dyDescent="0.3">
      <c r="I10060" t="s">
        <v>16843</v>
      </c>
      <c r="J10060" t="s">
        <v>3986</v>
      </c>
    </row>
    <row r="10061" spans="9:10" x14ac:dyDescent="0.3">
      <c r="I10061" t="s">
        <v>16844</v>
      </c>
      <c r="J10061" t="s">
        <v>3987</v>
      </c>
    </row>
    <row r="10062" spans="9:10" x14ac:dyDescent="0.3">
      <c r="I10062" t="s">
        <v>16845</v>
      </c>
      <c r="J10062" t="s">
        <v>3988</v>
      </c>
    </row>
    <row r="10063" spans="9:10" x14ac:dyDescent="0.3">
      <c r="I10063" t="s">
        <v>16846</v>
      </c>
      <c r="J10063" t="s">
        <v>3988</v>
      </c>
    </row>
    <row r="10064" spans="9:10" x14ac:dyDescent="0.3">
      <c r="I10064" t="s">
        <v>16847</v>
      </c>
    </row>
    <row r="10065" spans="9:10" x14ac:dyDescent="0.3">
      <c r="I10065" t="s">
        <v>16848</v>
      </c>
      <c r="J10065" t="s">
        <v>3989</v>
      </c>
    </row>
    <row r="10066" spans="9:10" x14ac:dyDescent="0.3">
      <c r="I10066" t="s">
        <v>16849</v>
      </c>
    </row>
    <row r="10067" spans="9:10" x14ac:dyDescent="0.3">
      <c r="I10067" t="s">
        <v>16850</v>
      </c>
    </row>
    <row r="10068" spans="9:10" x14ac:dyDescent="0.3">
      <c r="I10068" t="s">
        <v>16851</v>
      </c>
      <c r="J10068" t="s">
        <v>3990</v>
      </c>
    </row>
    <row r="10069" spans="9:10" x14ac:dyDescent="0.3">
      <c r="I10069" t="s">
        <v>16852</v>
      </c>
      <c r="J10069" t="s">
        <v>907</v>
      </c>
    </row>
    <row r="10070" spans="9:10" x14ac:dyDescent="0.3">
      <c r="I10070" t="s">
        <v>16853</v>
      </c>
      <c r="J10070" t="s">
        <v>3991</v>
      </c>
    </row>
    <row r="10071" spans="9:10" x14ac:dyDescent="0.3">
      <c r="I10071" t="s">
        <v>16854</v>
      </c>
      <c r="J10071" t="s">
        <v>3992</v>
      </c>
    </row>
    <row r="10072" spans="9:10" x14ac:dyDescent="0.3">
      <c r="I10072" t="s">
        <v>16855</v>
      </c>
      <c r="J10072" t="s">
        <v>3993</v>
      </c>
    </row>
    <row r="10073" spans="9:10" x14ac:dyDescent="0.3">
      <c r="I10073" t="s">
        <v>16856</v>
      </c>
    </row>
    <row r="10074" spans="9:10" x14ac:dyDescent="0.3">
      <c r="I10074" t="s">
        <v>16857</v>
      </c>
      <c r="J10074" t="s">
        <v>3994</v>
      </c>
    </row>
    <row r="10075" spans="9:10" x14ac:dyDescent="0.3">
      <c r="I10075" t="s">
        <v>16858</v>
      </c>
      <c r="J10075" t="s">
        <v>314</v>
      </c>
    </row>
    <row r="10076" spans="9:10" x14ac:dyDescent="0.3">
      <c r="I10076" t="s">
        <v>16859</v>
      </c>
    </row>
    <row r="10077" spans="9:10" x14ac:dyDescent="0.3">
      <c r="I10077" t="s">
        <v>16860</v>
      </c>
      <c r="J10077" t="s">
        <v>3995</v>
      </c>
    </row>
    <row r="10078" spans="9:10" x14ac:dyDescent="0.3">
      <c r="I10078" t="s">
        <v>16860</v>
      </c>
      <c r="J10078" t="s">
        <v>3995</v>
      </c>
    </row>
    <row r="10079" spans="9:10" x14ac:dyDescent="0.3">
      <c r="I10079" t="s">
        <v>16861</v>
      </c>
    </row>
    <row r="10080" spans="9:10" x14ac:dyDescent="0.3">
      <c r="I10080" t="s">
        <v>16861</v>
      </c>
    </row>
    <row r="10081" spans="9:10" x14ac:dyDescent="0.3">
      <c r="I10081" t="s">
        <v>16861</v>
      </c>
    </row>
    <row r="10082" spans="9:10" x14ac:dyDescent="0.3">
      <c r="I10082" t="s">
        <v>16862</v>
      </c>
      <c r="J10082" t="s">
        <v>3996</v>
      </c>
    </row>
    <row r="10083" spans="9:10" x14ac:dyDescent="0.3">
      <c r="I10083" t="s">
        <v>16863</v>
      </c>
      <c r="J10083" t="s">
        <v>3997</v>
      </c>
    </row>
    <row r="10084" spans="9:10" x14ac:dyDescent="0.3">
      <c r="I10084" t="s">
        <v>16864</v>
      </c>
      <c r="J10084" t="s">
        <v>3997</v>
      </c>
    </row>
    <row r="10085" spans="9:10" x14ac:dyDescent="0.3">
      <c r="I10085" t="s">
        <v>16863</v>
      </c>
      <c r="J10085" t="s">
        <v>3997</v>
      </c>
    </row>
    <row r="10086" spans="9:10" x14ac:dyDescent="0.3">
      <c r="I10086" t="s">
        <v>16863</v>
      </c>
      <c r="J10086" t="s">
        <v>3997</v>
      </c>
    </row>
    <row r="10087" spans="9:10" x14ac:dyDescent="0.3">
      <c r="I10087" t="s">
        <v>16865</v>
      </c>
      <c r="J10087" t="s">
        <v>3998</v>
      </c>
    </row>
    <row r="10088" spans="9:10" x14ac:dyDescent="0.3">
      <c r="I10088" t="s">
        <v>16866</v>
      </c>
      <c r="J10088" t="s">
        <v>3999</v>
      </c>
    </row>
    <row r="10089" spans="9:10" x14ac:dyDescent="0.3">
      <c r="I10089" t="s">
        <v>16866</v>
      </c>
      <c r="J10089" t="s">
        <v>3999</v>
      </c>
    </row>
    <row r="10090" spans="9:10" x14ac:dyDescent="0.3">
      <c r="I10090" t="s">
        <v>16867</v>
      </c>
      <c r="J10090" t="s">
        <v>4000</v>
      </c>
    </row>
    <row r="10091" spans="9:10" x14ac:dyDescent="0.3">
      <c r="I10091" t="s">
        <v>16867</v>
      </c>
      <c r="J10091" t="s">
        <v>4000</v>
      </c>
    </row>
    <row r="10092" spans="9:10" x14ac:dyDescent="0.3">
      <c r="I10092" t="s">
        <v>16868</v>
      </c>
      <c r="J10092" t="s">
        <v>4001</v>
      </c>
    </row>
    <row r="10093" spans="9:10" x14ac:dyDescent="0.3">
      <c r="I10093" t="s">
        <v>16869</v>
      </c>
      <c r="J10093" t="s">
        <v>4002</v>
      </c>
    </row>
    <row r="10094" spans="9:10" x14ac:dyDescent="0.3">
      <c r="I10094" t="s">
        <v>16870</v>
      </c>
      <c r="J10094" t="s">
        <v>4002</v>
      </c>
    </row>
    <row r="10095" spans="9:10" x14ac:dyDescent="0.3">
      <c r="I10095" t="s">
        <v>16871</v>
      </c>
      <c r="J10095" t="s">
        <v>4003</v>
      </c>
    </row>
    <row r="10096" spans="9:10" x14ac:dyDescent="0.3">
      <c r="I10096" t="s">
        <v>16871</v>
      </c>
      <c r="J10096" t="s">
        <v>4003</v>
      </c>
    </row>
    <row r="10097" spans="9:10" x14ac:dyDescent="0.3">
      <c r="I10097" t="s">
        <v>16872</v>
      </c>
      <c r="J10097" t="s">
        <v>4003</v>
      </c>
    </row>
    <row r="10098" spans="9:10" x14ac:dyDescent="0.3">
      <c r="I10098" t="s">
        <v>16871</v>
      </c>
      <c r="J10098" t="s">
        <v>4003</v>
      </c>
    </row>
    <row r="10099" spans="9:10" x14ac:dyDescent="0.3">
      <c r="I10099" t="s">
        <v>16873</v>
      </c>
      <c r="J10099" t="s">
        <v>4004</v>
      </c>
    </row>
    <row r="10100" spans="9:10" x14ac:dyDescent="0.3">
      <c r="I10100" t="s">
        <v>16874</v>
      </c>
      <c r="J10100" t="s">
        <v>4005</v>
      </c>
    </row>
    <row r="10101" spans="9:10" x14ac:dyDescent="0.3">
      <c r="I10101" t="s">
        <v>16875</v>
      </c>
      <c r="J10101" t="s">
        <v>4006</v>
      </c>
    </row>
    <row r="10102" spans="9:10" x14ac:dyDescent="0.3">
      <c r="I10102" t="s">
        <v>16876</v>
      </c>
      <c r="J10102" t="s">
        <v>4007</v>
      </c>
    </row>
    <row r="10103" spans="9:10" x14ac:dyDescent="0.3">
      <c r="I10103" t="s">
        <v>16877</v>
      </c>
      <c r="J10103" t="s">
        <v>4007</v>
      </c>
    </row>
    <row r="10104" spans="9:10" x14ac:dyDescent="0.3">
      <c r="I10104" t="s">
        <v>16878</v>
      </c>
      <c r="J10104" t="s">
        <v>4007</v>
      </c>
    </row>
    <row r="10105" spans="9:10" x14ac:dyDescent="0.3">
      <c r="I10105" t="s">
        <v>16879</v>
      </c>
      <c r="J10105" t="s">
        <v>4007</v>
      </c>
    </row>
    <row r="10106" spans="9:10" x14ac:dyDescent="0.3">
      <c r="I10106" t="s">
        <v>16876</v>
      </c>
      <c r="J10106" t="s">
        <v>4007</v>
      </c>
    </row>
    <row r="10107" spans="9:10" x14ac:dyDescent="0.3">
      <c r="I10107" t="s">
        <v>16880</v>
      </c>
      <c r="J10107" t="s">
        <v>4007</v>
      </c>
    </row>
    <row r="10108" spans="9:10" x14ac:dyDescent="0.3">
      <c r="I10108" t="s">
        <v>16881</v>
      </c>
    </row>
    <row r="10109" spans="9:10" x14ac:dyDescent="0.3">
      <c r="I10109" t="s">
        <v>16882</v>
      </c>
    </row>
    <row r="10110" spans="9:10" x14ac:dyDescent="0.3">
      <c r="I10110" t="s">
        <v>16882</v>
      </c>
    </row>
    <row r="10111" spans="9:10" x14ac:dyDescent="0.3">
      <c r="I10111" t="s">
        <v>16883</v>
      </c>
      <c r="J10111" t="s">
        <v>4008</v>
      </c>
    </row>
    <row r="10112" spans="9:10" x14ac:dyDescent="0.3">
      <c r="I10112" t="s">
        <v>16884</v>
      </c>
    </row>
    <row r="10113" spans="9:10" x14ac:dyDescent="0.3">
      <c r="I10113" t="s">
        <v>16885</v>
      </c>
      <c r="J10113" t="s">
        <v>4009</v>
      </c>
    </row>
    <row r="10114" spans="9:10" x14ac:dyDescent="0.3">
      <c r="I10114" t="s">
        <v>16885</v>
      </c>
      <c r="J10114" t="s">
        <v>4009</v>
      </c>
    </row>
    <row r="10115" spans="9:10" x14ac:dyDescent="0.3">
      <c r="I10115" t="s">
        <v>16886</v>
      </c>
    </row>
    <row r="10116" spans="9:10" x14ac:dyDescent="0.3">
      <c r="I10116" t="s">
        <v>16887</v>
      </c>
      <c r="J10116" t="s">
        <v>4010</v>
      </c>
    </row>
    <row r="10117" spans="9:10" x14ac:dyDescent="0.3">
      <c r="I10117" t="s">
        <v>16888</v>
      </c>
      <c r="J10117" t="s">
        <v>4011</v>
      </c>
    </row>
    <row r="10118" spans="9:10" x14ac:dyDescent="0.3">
      <c r="I10118" t="s">
        <v>16889</v>
      </c>
      <c r="J10118" t="s">
        <v>4011</v>
      </c>
    </row>
    <row r="10119" spans="9:10" x14ac:dyDescent="0.3">
      <c r="I10119" t="s">
        <v>16890</v>
      </c>
      <c r="J10119" t="s">
        <v>4011</v>
      </c>
    </row>
    <row r="10120" spans="9:10" x14ac:dyDescent="0.3">
      <c r="I10120" t="s">
        <v>16891</v>
      </c>
      <c r="J10120" t="s">
        <v>4011</v>
      </c>
    </row>
    <row r="10121" spans="9:10" x14ac:dyDescent="0.3">
      <c r="I10121" t="s">
        <v>16892</v>
      </c>
      <c r="J10121" t="s">
        <v>4011</v>
      </c>
    </row>
    <row r="10122" spans="9:10" x14ac:dyDescent="0.3">
      <c r="I10122" t="s">
        <v>16893</v>
      </c>
      <c r="J10122" t="s">
        <v>4011</v>
      </c>
    </row>
    <row r="10123" spans="9:10" x14ac:dyDescent="0.3">
      <c r="I10123" t="s">
        <v>16894</v>
      </c>
      <c r="J10123" t="s">
        <v>4011</v>
      </c>
    </row>
    <row r="10124" spans="9:10" x14ac:dyDescent="0.3">
      <c r="I10124" t="s">
        <v>16895</v>
      </c>
      <c r="J10124" t="s">
        <v>4011</v>
      </c>
    </row>
    <row r="10125" spans="9:10" x14ac:dyDescent="0.3">
      <c r="I10125" t="s">
        <v>16896</v>
      </c>
      <c r="J10125" t="s">
        <v>4011</v>
      </c>
    </row>
    <row r="10126" spans="9:10" x14ac:dyDescent="0.3">
      <c r="I10126" t="s">
        <v>16897</v>
      </c>
      <c r="J10126" t="s">
        <v>4011</v>
      </c>
    </row>
    <row r="10127" spans="9:10" x14ac:dyDescent="0.3">
      <c r="I10127" t="s">
        <v>16898</v>
      </c>
      <c r="J10127" t="s">
        <v>4011</v>
      </c>
    </row>
    <row r="10128" spans="9:10" x14ac:dyDescent="0.3">
      <c r="I10128" t="s">
        <v>16899</v>
      </c>
      <c r="J10128" t="s">
        <v>4011</v>
      </c>
    </row>
    <row r="10129" spans="9:10" x14ac:dyDescent="0.3">
      <c r="I10129" t="s">
        <v>16900</v>
      </c>
      <c r="J10129" t="s">
        <v>4011</v>
      </c>
    </row>
    <row r="10130" spans="9:10" x14ac:dyDescent="0.3">
      <c r="I10130" t="s">
        <v>16901</v>
      </c>
      <c r="J10130" t="s">
        <v>4011</v>
      </c>
    </row>
    <row r="10131" spans="9:10" x14ac:dyDescent="0.3">
      <c r="I10131" t="s">
        <v>16896</v>
      </c>
      <c r="J10131" t="s">
        <v>4011</v>
      </c>
    </row>
    <row r="10132" spans="9:10" x14ac:dyDescent="0.3">
      <c r="I10132" t="s">
        <v>16902</v>
      </c>
      <c r="J10132" t="s">
        <v>4011</v>
      </c>
    </row>
    <row r="10133" spans="9:10" x14ac:dyDescent="0.3">
      <c r="I10133" t="s">
        <v>16896</v>
      </c>
      <c r="J10133" t="s">
        <v>4011</v>
      </c>
    </row>
    <row r="10134" spans="9:10" x14ac:dyDescent="0.3">
      <c r="I10134" t="s">
        <v>16903</v>
      </c>
      <c r="J10134" t="s">
        <v>4011</v>
      </c>
    </row>
    <row r="10135" spans="9:10" x14ac:dyDescent="0.3">
      <c r="I10135" t="s">
        <v>16904</v>
      </c>
      <c r="J10135" t="s">
        <v>4011</v>
      </c>
    </row>
    <row r="10136" spans="9:10" x14ac:dyDescent="0.3">
      <c r="I10136" t="s">
        <v>16896</v>
      </c>
      <c r="J10136" t="s">
        <v>4011</v>
      </c>
    </row>
    <row r="10137" spans="9:10" x14ac:dyDescent="0.3">
      <c r="I10137" t="s">
        <v>16896</v>
      </c>
      <c r="J10137" t="s">
        <v>4011</v>
      </c>
    </row>
    <row r="10138" spans="9:10" x14ac:dyDescent="0.3">
      <c r="I10138" t="s">
        <v>16896</v>
      </c>
      <c r="J10138" t="s">
        <v>4011</v>
      </c>
    </row>
    <row r="10139" spans="9:10" x14ac:dyDescent="0.3">
      <c r="I10139" t="s">
        <v>16896</v>
      </c>
      <c r="J10139" t="s">
        <v>4011</v>
      </c>
    </row>
    <row r="10140" spans="9:10" x14ac:dyDescent="0.3">
      <c r="I10140" t="s">
        <v>16896</v>
      </c>
      <c r="J10140" t="s">
        <v>4011</v>
      </c>
    </row>
    <row r="10141" spans="9:10" x14ac:dyDescent="0.3">
      <c r="I10141" t="s">
        <v>16896</v>
      </c>
      <c r="J10141" t="s">
        <v>4011</v>
      </c>
    </row>
    <row r="10142" spans="9:10" x14ac:dyDescent="0.3">
      <c r="I10142" t="s">
        <v>16896</v>
      </c>
      <c r="J10142" t="s">
        <v>4011</v>
      </c>
    </row>
    <row r="10143" spans="9:10" x14ac:dyDescent="0.3">
      <c r="I10143" t="s">
        <v>16905</v>
      </c>
      <c r="J10143" t="s">
        <v>4011</v>
      </c>
    </row>
    <row r="10144" spans="9:10" x14ac:dyDescent="0.3">
      <c r="I10144" t="s">
        <v>16896</v>
      </c>
      <c r="J10144" t="s">
        <v>4011</v>
      </c>
    </row>
    <row r="10145" spans="9:10" x14ac:dyDescent="0.3">
      <c r="I10145" t="s">
        <v>16896</v>
      </c>
      <c r="J10145" t="s">
        <v>4011</v>
      </c>
    </row>
    <row r="10146" spans="9:10" x14ac:dyDescent="0.3">
      <c r="I10146" t="s">
        <v>16896</v>
      </c>
      <c r="J10146" t="s">
        <v>4011</v>
      </c>
    </row>
    <row r="10147" spans="9:10" x14ac:dyDescent="0.3">
      <c r="I10147" t="s">
        <v>16896</v>
      </c>
      <c r="J10147" t="s">
        <v>4011</v>
      </c>
    </row>
    <row r="10148" spans="9:10" x14ac:dyDescent="0.3">
      <c r="I10148" t="s">
        <v>16896</v>
      </c>
      <c r="J10148" t="s">
        <v>4011</v>
      </c>
    </row>
    <row r="10149" spans="9:10" x14ac:dyDescent="0.3">
      <c r="I10149" t="s">
        <v>16896</v>
      </c>
      <c r="J10149" t="s">
        <v>4011</v>
      </c>
    </row>
    <row r="10150" spans="9:10" x14ac:dyDescent="0.3">
      <c r="I10150" t="s">
        <v>16906</v>
      </c>
      <c r="J10150" t="s">
        <v>4011</v>
      </c>
    </row>
    <row r="10151" spans="9:10" x14ac:dyDescent="0.3">
      <c r="I10151" t="s">
        <v>16907</v>
      </c>
      <c r="J10151" t="s">
        <v>4011</v>
      </c>
    </row>
    <row r="10152" spans="9:10" x14ac:dyDescent="0.3">
      <c r="I10152" t="s">
        <v>16908</v>
      </c>
      <c r="J10152" t="s">
        <v>4011</v>
      </c>
    </row>
    <row r="10153" spans="9:10" x14ac:dyDescent="0.3">
      <c r="I10153" t="s">
        <v>16909</v>
      </c>
      <c r="J10153" t="s">
        <v>4011</v>
      </c>
    </row>
    <row r="10154" spans="9:10" x14ac:dyDescent="0.3">
      <c r="I10154" t="s">
        <v>16910</v>
      </c>
      <c r="J10154" t="s">
        <v>4011</v>
      </c>
    </row>
    <row r="10155" spans="9:10" x14ac:dyDescent="0.3">
      <c r="I10155" t="s">
        <v>16911</v>
      </c>
      <c r="J10155" t="s">
        <v>4011</v>
      </c>
    </row>
    <row r="10156" spans="9:10" x14ac:dyDescent="0.3">
      <c r="I10156" t="s">
        <v>16912</v>
      </c>
      <c r="J10156" t="s">
        <v>4011</v>
      </c>
    </row>
    <row r="10157" spans="9:10" x14ac:dyDescent="0.3">
      <c r="I10157" t="s">
        <v>16913</v>
      </c>
      <c r="J10157" t="s">
        <v>4011</v>
      </c>
    </row>
    <row r="10158" spans="9:10" x14ac:dyDescent="0.3">
      <c r="I10158" t="s">
        <v>16914</v>
      </c>
      <c r="J10158" t="s">
        <v>4011</v>
      </c>
    </row>
    <row r="10159" spans="9:10" x14ac:dyDescent="0.3">
      <c r="I10159" t="s">
        <v>16915</v>
      </c>
      <c r="J10159" t="s">
        <v>4011</v>
      </c>
    </row>
    <row r="10160" spans="9:10" x14ac:dyDescent="0.3">
      <c r="I10160" t="s">
        <v>16896</v>
      </c>
      <c r="J10160" t="s">
        <v>4011</v>
      </c>
    </row>
    <row r="10161" spans="9:10" x14ac:dyDescent="0.3">
      <c r="I10161" t="s">
        <v>16896</v>
      </c>
      <c r="J10161" t="s">
        <v>4011</v>
      </c>
    </row>
    <row r="10162" spans="9:10" x14ac:dyDescent="0.3">
      <c r="I10162" t="s">
        <v>16896</v>
      </c>
      <c r="J10162" t="s">
        <v>4011</v>
      </c>
    </row>
    <row r="10163" spans="9:10" x14ac:dyDescent="0.3">
      <c r="I10163" t="s">
        <v>16896</v>
      </c>
      <c r="J10163" t="s">
        <v>4011</v>
      </c>
    </row>
    <row r="10164" spans="9:10" x14ac:dyDescent="0.3">
      <c r="I10164" t="s">
        <v>16896</v>
      </c>
      <c r="J10164" t="s">
        <v>4011</v>
      </c>
    </row>
    <row r="10165" spans="9:10" x14ac:dyDescent="0.3">
      <c r="I10165" t="s">
        <v>16896</v>
      </c>
      <c r="J10165" t="s">
        <v>4011</v>
      </c>
    </row>
    <row r="10166" spans="9:10" x14ac:dyDescent="0.3">
      <c r="I10166" t="s">
        <v>16896</v>
      </c>
      <c r="J10166" t="s">
        <v>4011</v>
      </c>
    </row>
    <row r="10167" spans="9:10" x14ac:dyDescent="0.3">
      <c r="I10167" t="s">
        <v>16896</v>
      </c>
      <c r="J10167" t="s">
        <v>4011</v>
      </c>
    </row>
    <row r="10168" spans="9:10" x14ac:dyDescent="0.3">
      <c r="I10168" t="s">
        <v>16896</v>
      </c>
      <c r="J10168" t="s">
        <v>4011</v>
      </c>
    </row>
    <row r="10169" spans="9:10" x14ac:dyDescent="0.3">
      <c r="I10169" t="s">
        <v>16896</v>
      </c>
      <c r="J10169" t="s">
        <v>4011</v>
      </c>
    </row>
    <row r="10170" spans="9:10" x14ac:dyDescent="0.3">
      <c r="I10170" t="s">
        <v>16896</v>
      </c>
      <c r="J10170" t="s">
        <v>4011</v>
      </c>
    </row>
    <row r="10171" spans="9:10" x14ac:dyDescent="0.3">
      <c r="I10171" t="s">
        <v>16896</v>
      </c>
      <c r="J10171" t="s">
        <v>4011</v>
      </c>
    </row>
    <row r="10172" spans="9:10" x14ac:dyDescent="0.3">
      <c r="I10172" t="s">
        <v>16896</v>
      </c>
      <c r="J10172" t="s">
        <v>4011</v>
      </c>
    </row>
    <row r="10173" spans="9:10" x14ac:dyDescent="0.3">
      <c r="I10173" t="s">
        <v>16896</v>
      </c>
      <c r="J10173" t="s">
        <v>4011</v>
      </c>
    </row>
    <row r="10174" spans="9:10" x14ac:dyDescent="0.3">
      <c r="I10174" t="s">
        <v>16896</v>
      </c>
      <c r="J10174" t="s">
        <v>4011</v>
      </c>
    </row>
    <row r="10175" spans="9:10" x14ac:dyDescent="0.3">
      <c r="I10175" t="s">
        <v>16896</v>
      </c>
      <c r="J10175" t="s">
        <v>4011</v>
      </c>
    </row>
    <row r="10176" spans="9:10" x14ac:dyDescent="0.3">
      <c r="I10176" t="s">
        <v>16896</v>
      </c>
      <c r="J10176" t="s">
        <v>4011</v>
      </c>
    </row>
    <row r="10177" spans="9:10" x14ac:dyDescent="0.3">
      <c r="I10177" t="s">
        <v>16896</v>
      </c>
      <c r="J10177" t="s">
        <v>4011</v>
      </c>
    </row>
    <row r="10178" spans="9:10" x14ac:dyDescent="0.3">
      <c r="I10178" t="s">
        <v>16896</v>
      </c>
      <c r="J10178" t="s">
        <v>4011</v>
      </c>
    </row>
    <row r="10179" spans="9:10" x14ac:dyDescent="0.3">
      <c r="I10179" t="s">
        <v>16896</v>
      </c>
      <c r="J10179" t="s">
        <v>4011</v>
      </c>
    </row>
    <row r="10180" spans="9:10" x14ac:dyDescent="0.3">
      <c r="I10180" t="s">
        <v>16896</v>
      </c>
      <c r="J10180" t="s">
        <v>4011</v>
      </c>
    </row>
    <row r="10181" spans="9:10" x14ac:dyDescent="0.3">
      <c r="I10181" t="s">
        <v>16905</v>
      </c>
      <c r="J10181" t="s">
        <v>4011</v>
      </c>
    </row>
    <row r="10182" spans="9:10" x14ac:dyDescent="0.3">
      <c r="I10182" t="s">
        <v>16896</v>
      </c>
      <c r="J10182" t="s">
        <v>4011</v>
      </c>
    </row>
    <row r="10183" spans="9:10" x14ac:dyDescent="0.3">
      <c r="I10183" t="s">
        <v>16916</v>
      </c>
      <c r="J10183" t="s">
        <v>4011</v>
      </c>
    </row>
    <row r="10184" spans="9:10" x14ac:dyDescent="0.3">
      <c r="I10184" t="s">
        <v>16917</v>
      </c>
      <c r="J10184" t="s">
        <v>4011</v>
      </c>
    </row>
    <row r="10185" spans="9:10" x14ac:dyDescent="0.3">
      <c r="I10185" t="s">
        <v>16896</v>
      </c>
      <c r="J10185" t="s">
        <v>4011</v>
      </c>
    </row>
    <row r="10186" spans="9:10" x14ac:dyDescent="0.3">
      <c r="I10186" t="s">
        <v>16918</v>
      </c>
      <c r="J10186" t="s">
        <v>4011</v>
      </c>
    </row>
    <row r="10187" spans="9:10" x14ac:dyDescent="0.3">
      <c r="I10187" t="s">
        <v>16919</v>
      </c>
      <c r="J10187" t="s">
        <v>4011</v>
      </c>
    </row>
    <row r="10188" spans="9:10" x14ac:dyDescent="0.3">
      <c r="I10188" t="s">
        <v>16920</v>
      </c>
      <c r="J10188" t="s">
        <v>4011</v>
      </c>
    </row>
    <row r="10189" spans="9:10" x14ac:dyDescent="0.3">
      <c r="I10189" t="s">
        <v>16896</v>
      </c>
      <c r="J10189" t="s">
        <v>4011</v>
      </c>
    </row>
    <row r="10190" spans="9:10" x14ac:dyDescent="0.3">
      <c r="I10190" t="s">
        <v>16896</v>
      </c>
      <c r="J10190" t="s">
        <v>4011</v>
      </c>
    </row>
    <row r="10191" spans="9:10" x14ac:dyDescent="0.3">
      <c r="I10191" t="s">
        <v>16896</v>
      </c>
      <c r="J10191" t="s">
        <v>4011</v>
      </c>
    </row>
    <row r="10192" spans="9:10" x14ac:dyDescent="0.3">
      <c r="I10192" t="s">
        <v>16896</v>
      </c>
      <c r="J10192" t="s">
        <v>4011</v>
      </c>
    </row>
    <row r="10193" spans="9:10" x14ac:dyDescent="0.3">
      <c r="I10193" t="s">
        <v>16921</v>
      </c>
      <c r="J10193" t="s">
        <v>4011</v>
      </c>
    </row>
    <row r="10194" spans="9:10" x14ac:dyDescent="0.3">
      <c r="I10194" t="s">
        <v>16896</v>
      </c>
      <c r="J10194" t="s">
        <v>4011</v>
      </c>
    </row>
    <row r="10195" spans="9:10" x14ac:dyDescent="0.3">
      <c r="I10195" t="s">
        <v>16896</v>
      </c>
      <c r="J10195" t="s">
        <v>4011</v>
      </c>
    </row>
    <row r="10196" spans="9:10" x14ac:dyDescent="0.3">
      <c r="I10196" t="s">
        <v>16896</v>
      </c>
      <c r="J10196" t="s">
        <v>4011</v>
      </c>
    </row>
    <row r="10197" spans="9:10" x14ac:dyDescent="0.3">
      <c r="I10197" t="s">
        <v>16922</v>
      </c>
      <c r="J10197" t="s">
        <v>4011</v>
      </c>
    </row>
    <row r="10198" spans="9:10" x14ac:dyDescent="0.3">
      <c r="I10198" t="s">
        <v>16896</v>
      </c>
      <c r="J10198" t="s">
        <v>4011</v>
      </c>
    </row>
    <row r="10199" spans="9:10" x14ac:dyDescent="0.3">
      <c r="I10199" t="s">
        <v>16923</v>
      </c>
      <c r="J10199" t="s">
        <v>4012</v>
      </c>
    </row>
    <row r="10200" spans="9:10" x14ac:dyDescent="0.3">
      <c r="I10200" t="s">
        <v>16924</v>
      </c>
    </row>
    <row r="10201" spans="9:10" x14ac:dyDescent="0.3">
      <c r="I10201" t="s">
        <v>16925</v>
      </c>
    </row>
    <row r="10202" spans="9:10" x14ac:dyDescent="0.3">
      <c r="I10202" t="s">
        <v>16926</v>
      </c>
    </row>
    <row r="10203" spans="9:10" x14ac:dyDescent="0.3">
      <c r="I10203" t="s">
        <v>16927</v>
      </c>
    </row>
    <row r="10204" spans="9:10" x14ac:dyDescent="0.3">
      <c r="I10204" t="s">
        <v>16928</v>
      </c>
      <c r="J10204" t="s">
        <v>4013</v>
      </c>
    </row>
    <row r="10205" spans="9:10" x14ac:dyDescent="0.3">
      <c r="I10205" t="s">
        <v>16929</v>
      </c>
      <c r="J10205" t="s">
        <v>4014</v>
      </c>
    </row>
    <row r="10206" spans="9:10" x14ac:dyDescent="0.3">
      <c r="I10206" t="s">
        <v>16929</v>
      </c>
      <c r="J10206" t="s">
        <v>4014</v>
      </c>
    </row>
    <row r="10207" spans="9:10" x14ac:dyDescent="0.3">
      <c r="I10207" t="s">
        <v>16930</v>
      </c>
      <c r="J10207" t="s">
        <v>4015</v>
      </c>
    </row>
    <row r="10208" spans="9:10" x14ac:dyDescent="0.3">
      <c r="I10208" t="s">
        <v>16931</v>
      </c>
      <c r="J10208" t="s">
        <v>4016</v>
      </c>
    </row>
    <row r="10209" spans="9:10" x14ac:dyDescent="0.3">
      <c r="I10209" t="s">
        <v>16931</v>
      </c>
      <c r="J10209" t="s">
        <v>4016</v>
      </c>
    </row>
    <row r="10210" spans="9:10" x14ac:dyDescent="0.3">
      <c r="I10210" t="s">
        <v>16932</v>
      </c>
      <c r="J10210" t="s">
        <v>4017</v>
      </c>
    </row>
    <row r="10211" spans="9:10" x14ac:dyDescent="0.3">
      <c r="I10211" t="s">
        <v>16933</v>
      </c>
      <c r="J10211" t="s">
        <v>4017</v>
      </c>
    </row>
    <row r="10212" spans="9:10" x14ac:dyDescent="0.3">
      <c r="I10212" t="s">
        <v>16934</v>
      </c>
    </row>
    <row r="10213" spans="9:10" x14ac:dyDescent="0.3">
      <c r="I10213" t="s">
        <v>16934</v>
      </c>
    </row>
    <row r="10214" spans="9:10" x14ac:dyDescent="0.3">
      <c r="I10214" t="s">
        <v>16934</v>
      </c>
    </row>
    <row r="10215" spans="9:10" x14ac:dyDescent="0.3">
      <c r="I10215" t="s">
        <v>16934</v>
      </c>
    </row>
    <row r="10216" spans="9:10" x14ac:dyDescent="0.3">
      <c r="I10216" t="s">
        <v>16934</v>
      </c>
    </row>
    <row r="10217" spans="9:10" x14ac:dyDescent="0.3">
      <c r="I10217" t="s">
        <v>16935</v>
      </c>
      <c r="J10217" t="s">
        <v>4018</v>
      </c>
    </row>
    <row r="10218" spans="9:10" x14ac:dyDescent="0.3">
      <c r="I10218" t="s">
        <v>16936</v>
      </c>
      <c r="J10218" t="s">
        <v>4018</v>
      </c>
    </row>
    <row r="10219" spans="9:10" x14ac:dyDescent="0.3">
      <c r="I10219" t="s">
        <v>16937</v>
      </c>
      <c r="J10219" t="s">
        <v>4019</v>
      </c>
    </row>
    <row r="10220" spans="9:10" x14ac:dyDescent="0.3">
      <c r="I10220" t="s">
        <v>16938</v>
      </c>
      <c r="J10220" t="s">
        <v>4019</v>
      </c>
    </row>
    <row r="10221" spans="9:10" x14ac:dyDescent="0.3">
      <c r="I10221" t="s">
        <v>16939</v>
      </c>
      <c r="J10221" t="s">
        <v>4019</v>
      </c>
    </row>
    <row r="10222" spans="9:10" x14ac:dyDescent="0.3">
      <c r="I10222" t="s">
        <v>16939</v>
      </c>
      <c r="J10222" t="s">
        <v>4019</v>
      </c>
    </row>
    <row r="10223" spans="9:10" x14ac:dyDescent="0.3">
      <c r="I10223" t="s">
        <v>16940</v>
      </c>
      <c r="J10223" t="s">
        <v>4019</v>
      </c>
    </row>
    <row r="10224" spans="9:10" x14ac:dyDescent="0.3">
      <c r="I10224" t="s">
        <v>16941</v>
      </c>
      <c r="J10224" t="s">
        <v>4019</v>
      </c>
    </row>
    <row r="10225" spans="9:10" x14ac:dyDescent="0.3">
      <c r="I10225" t="s">
        <v>16938</v>
      </c>
      <c r="J10225" t="s">
        <v>4019</v>
      </c>
    </row>
    <row r="10226" spans="9:10" x14ac:dyDescent="0.3">
      <c r="I10226" t="s">
        <v>16940</v>
      </c>
      <c r="J10226" t="s">
        <v>4019</v>
      </c>
    </row>
    <row r="10227" spans="9:10" x14ac:dyDescent="0.3">
      <c r="I10227" t="s">
        <v>16942</v>
      </c>
      <c r="J10227" t="s">
        <v>4019</v>
      </c>
    </row>
    <row r="10228" spans="9:10" x14ac:dyDescent="0.3">
      <c r="I10228" t="s">
        <v>16943</v>
      </c>
      <c r="J10228" t="s">
        <v>4019</v>
      </c>
    </row>
    <row r="10229" spans="9:10" x14ac:dyDescent="0.3">
      <c r="I10229" t="s">
        <v>16940</v>
      </c>
      <c r="J10229" t="s">
        <v>4019</v>
      </c>
    </row>
    <row r="10230" spans="9:10" x14ac:dyDescent="0.3">
      <c r="I10230" t="s">
        <v>16940</v>
      </c>
      <c r="J10230" t="s">
        <v>4019</v>
      </c>
    </row>
    <row r="10231" spans="9:10" x14ac:dyDescent="0.3">
      <c r="I10231" t="s">
        <v>16940</v>
      </c>
      <c r="J10231" t="s">
        <v>4019</v>
      </c>
    </row>
    <row r="10232" spans="9:10" x14ac:dyDescent="0.3">
      <c r="I10232" t="s">
        <v>16940</v>
      </c>
      <c r="J10232" t="s">
        <v>4019</v>
      </c>
    </row>
    <row r="10233" spans="9:10" x14ac:dyDescent="0.3">
      <c r="I10233" t="s">
        <v>16940</v>
      </c>
      <c r="J10233" t="s">
        <v>4019</v>
      </c>
    </row>
    <row r="10234" spans="9:10" x14ac:dyDescent="0.3">
      <c r="I10234" t="s">
        <v>16940</v>
      </c>
      <c r="J10234" t="s">
        <v>4019</v>
      </c>
    </row>
    <row r="10235" spans="9:10" x14ac:dyDescent="0.3">
      <c r="I10235" t="s">
        <v>16940</v>
      </c>
      <c r="J10235" t="s">
        <v>4019</v>
      </c>
    </row>
    <row r="10236" spans="9:10" x14ac:dyDescent="0.3">
      <c r="I10236" t="s">
        <v>16944</v>
      </c>
      <c r="J10236" t="s">
        <v>4019</v>
      </c>
    </row>
    <row r="10237" spans="9:10" x14ac:dyDescent="0.3">
      <c r="I10237" t="s">
        <v>16945</v>
      </c>
      <c r="J10237" t="s">
        <v>4019</v>
      </c>
    </row>
    <row r="10238" spans="9:10" x14ac:dyDescent="0.3">
      <c r="I10238" t="s">
        <v>16946</v>
      </c>
      <c r="J10238" t="s">
        <v>4020</v>
      </c>
    </row>
    <row r="10239" spans="9:10" x14ac:dyDescent="0.3">
      <c r="I10239" t="s">
        <v>16947</v>
      </c>
      <c r="J10239" t="s">
        <v>4020</v>
      </c>
    </row>
    <row r="10240" spans="9:10" x14ac:dyDescent="0.3">
      <c r="I10240" t="s">
        <v>16947</v>
      </c>
      <c r="J10240" t="s">
        <v>4020</v>
      </c>
    </row>
    <row r="10241" spans="9:10" x14ac:dyDescent="0.3">
      <c r="I10241" t="s">
        <v>16948</v>
      </c>
      <c r="J10241" t="s">
        <v>4021</v>
      </c>
    </row>
    <row r="10242" spans="9:10" x14ac:dyDescent="0.3">
      <c r="I10242" t="s">
        <v>16949</v>
      </c>
      <c r="J10242" t="s">
        <v>4022</v>
      </c>
    </row>
    <row r="10243" spans="9:10" x14ac:dyDescent="0.3">
      <c r="I10243" t="s">
        <v>16950</v>
      </c>
      <c r="J10243" t="s">
        <v>4023</v>
      </c>
    </row>
    <row r="10244" spans="9:10" x14ac:dyDescent="0.3">
      <c r="I10244" t="s">
        <v>16951</v>
      </c>
      <c r="J10244" t="s">
        <v>4024</v>
      </c>
    </row>
    <row r="10245" spans="9:10" x14ac:dyDescent="0.3">
      <c r="I10245" t="s">
        <v>16952</v>
      </c>
      <c r="J10245" t="s">
        <v>4025</v>
      </c>
    </row>
    <row r="10246" spans="9:10" x14ac:dyDescent="0.3">
      <c r="I10246" t="s">
        <v>16953</v>
      </c>
      <c r="J10246" t="s">
        <v>4026</v>
      </c>
    </row>
    <row r="10247" spans="9:10" x14ac:dyDescent="0.3">
      <c r="I10247" t="s">
        <v>16954</v>
      </c>
      <c r="J10247">
        <v>0</v>
      </c>
    </row>
    <row r="10248" spans="9:10" x14ac:dyDescent="0.3">
      <c r="I10248" t="s">
        <v>16955</v>
      </c>
    </row>
    <row r="10249" spans="9:10" x14ac:dyDescent="0.3">
      <c r="I10249" t="s">
        <v>16956</v>
      </c>
    </row>
    <row r="10250" spans="9:10" x14ac:dyDescent="0.3">
      <c r="I10250" t="s">
        <v>16957</v>
      </c>
      <c r="J10250" t="s">
        <v>4027</v>
      </c>
    </row>
    <row r="10251" spans="9:10" x14ac:dyDescent="0.3">
      <c r="I10251" t="s">
        <v>16958</v>
      </c>
    </row>
    <row r="10252" spans="9:10" x14ac:dyDescent="0.3">
      <c r="I10252" t="s">
        <v>16959</v>
      </c>
    </row>
    <row r="10253" spans="9:10" x14ac:dyDescent="0.3">
      <c r="I10253" t="s">
        <v>16960</v>
      </c>
      <c r="J10253" t="s">
        <v>4028</v>
      </c>
    </row>
    <row r="10254" spans="9:10" x14ac:dyDescent="0.3">
      <c r="I10254" t="s">
        <v>16961</v>
      </c>
      <c r="J10254" t="s">
        <v>4028</v>
      </c>
    </row>
    <row r="10255" spans="9:10" x14ac:dyDescent="0.3">
      <c r="I10255" t="s">
        <v>16962</v>
      </c>
      <c r="J10255" t="s">
        <v>4028</v>
      </c>
    </row>
    <row r="10256" spans="9:10" x14ac:dyDescent="0.3">
      <c r="I10256" t="s">
        <v>16963</v>
      </c>
      <c r="J10256" t="s">
        <v>4028</v>
      </c>
    </row>
    <row r="10257" spans="9:10" x14ac:dyDescent="0.3">
      <c r="I10257" t="s">
        <v>16964</v>
      </c>
      <c r="J10257" t="s">
        <v>4028</v>
      </c>
    </row>
    <row r="10258" spans="9:10" x14ac:dyDescent="0.3">
      <c r="I10258" t="s">
        <v>16965</v>
      </c>
      <c r="J10258" t="s">
        <v>4029</v>
      </c>
    </row>
    <row r="10259" spans="9:10" x14ac:dyDescent="0.3">
      <c r="I10259" t="s">
        <v>16966</v>
      </c>
      <c r="J10259" t="s">
        <v>4029</v>
      </c>
    </row>
    <row r="10260" spans="9:10" x14ac:dyDescent="0.3">
      <c r="I10260" t="s">
        <v>16967</v>
      </c>
      <c r="J10260" t="s">
        <v>4029</v>
      </c>
    </row>
    <row r="10261" spans="9:10" x14ac:dyDescent="0.3">
      <c r="I10261" t="s">
        <v>16968</v>
      </c>
      <c r="J10261" t="s">
        <v>4030</v>
      </c>
    </row>
    <row r="10262" spans="9:10" x14ac:dyDescent="0.3">
      <c r="I10262" t="s">
        <v>16969</v>
      </c>
      <c r="J10262" t="s">
        <v>4031</v>
      </c>
    </row>
    <row r="10263" spans="9:10" x14ac:dyDescent="0.3">
      <c r="I10263" t="s">
        <v>16970</v>
      </c>
      <c r="J10263">
        <v>0</v>
      </c>
    </row>
    <row r="10264" spans="9:10" x14ac:dyDescent="0.3">
      <c r="I10264" t="s">
        <v>16971</v>
      </c>
    </row>
    <row r="10265" spans="9:10" x14ac:dyDescent="0.3">
      <c r="I10265" t="s">
        <v>16972</v>
      </c>
      <c r="J10265">
        <v>0</v>
      </c>
    </row>
    <row r="10266" spans="9:10" x14ac:dyDescent="0.3">
      <c r="I10266" t="s">
        <v>16973</v>
      </c>
    </row>
    <row r="10267" spans="9:10" x14ac:dyDescent="0.3">
      <c r="I10267" t="s">
        <v>16974</v>
      </c>
      <c r="J10267" t="s">
        <v>4032</v>
      </c>
    </row>
    <row r="10268" spans="9:10" x14ac:dyDescent="0.3">
      <c r="I10268" t="s">
        <v>16975</v>
      </c>
    </row>
    <row r="10269" spans="9:10" x14ac:dyDescent="0.3">
      <c r="I10269" t="s">
        <v>16976</v>
      </c>
    </row>
    <row r="10270" spans="9:10" x14ac:dyDescent="0.3">
      <c r="I10270" t="s">
        <v>16977</v>
      </c>
      <c r="J10270" t="s">
        <v>4033</v>
      </c>
    </row>
    <row r="10271" spans="9:10" x14ac:dyDescent="0.3">
      <c r="I10271" t="s">
        <v>16977</v>
      </c>
      <c r="J10271" t="s">
        <v>4033</v>
      </c>
    </row>
    <row r="10272" spans="9:10" x14ac:dyDescent="0.3">
      <c r="I10272" t="s">
        <v>16978</v>
      </c>
      <c r="J10272" t="s">
        <v>4034</v>
      </c>
    </row>
    <row r="10273" spans="9:10" x14ac:dyDescent="0.3">
      <c r="I10273" t="s">
        <v>16979</v>
      </c>
      <c r="J10273" t="s">
        <v>4035</v>
      </c>
    </row>
    <row r="10274" spans="9:10" x14ac:dyDescent="0.3">
      <c r="I10274" t="s">
        <v>16979</v>
      </c>
      <c r="J10274" t="s">
        <v>4035</v>
      </c>
    </row>
    <row r="10275" spans="9:10" x14ac:dyDescent="0.3">
      <c r="I10275" t="s">
        <v>16980</v>
      </c>
      <c r="J10275" t="s">
        <v>4035</v>
      </c>
    </row>
    <row r="10276" spans="9:10" x14ac:dyDescent="0.3">
      <c r="I10276" t="s">
        <v>16979</v>
      </c>
      <c r="J10276" t="s">
        <v>4035</v>
      </c>
    </row>
    <row r="10277" spans="9:10" x14ac:dyDescent="0.3">
      <c r="I10277" t="s">
        <v>16981</v>
      </c>
      <c r="J10277" t="s">
        <v>4036</v>
      </c>
    </row>
    <row r="10278" spans="9:10" x14ac:dyDescent="0.3">
      <c r="I10278" t="s">
        <v>16982</v>
      </c>
      <c r="J10278" t="s">
        <v>4037</v>
      </c>
    </row>
    <row r="10279" spans="9:10" x14ac:dyDescent="0.3">
      <c r="I10279" t="s">
        <v>16983</v>
      </c>
      <c r="J10279" t="s">
        <v>4038</v>
      </c>
    </row>
    <row r="10280" spans="9:10" x14ac:dyDescent="0.3">
      <c r="I10280" t="s">
        <v>16984</v>
      </c>
      <c r="J10280" t="s">
        <v>4039</v>
      </c>
    </row>
    <row r="10281" spans="9:10" x14ac:dyDescent="0.3">
      <c r="I10281" t="s">
        <v>16985</v>
      </c>
      <c r="J10281" t="s">
        <v>830</v>
      </c>
    </row>
    <row r="10282" spans="9:10" x14ac:dyDescent="0.3">
      <c r="I10282" t="s">
        <v>16986</v>
      </c>
      <c r="J10282" t="s">
        <v>830</v>
      </c>
    </row>
    <row r="10283" spans="9:10" x14ac:dyDescent="0.3">
      <c r="I10283" t="s">
        <v>16985</v>
      </c>
      <c r="J10283" t="s">
        <v>830</v>
      </c>
    </row>
    <row r="10284" spans="9:10" x14ac:dyDescent="0.3">
      <c r="I10284" t="s">
        <v>16987</v>
      </c>
      <c r="J10284" t="s">
        <v>4040</v>
      </c>
    </row>
    <row r="10285" spans="9:10" x14ac:dyDescent="0.3">
      <c r="I10285" t="s">
        <v>16987</v>
      </c>
      <c r="J10285" t="s">
        <v>4040</v>
      </c>
    </row>
    <row r="10286" spans="9:10" x14ac:dyDescent="0.3">
      <c r="I10286" t="s">
        <v>16988</v>
      </c>
      <c r="J10286" t="s">
        <v>4040</v>
      </c>
    </row>
    <row r="10287" spans="9:10" x14ac:dyDescent="0.3">
      <c r="I10287" t="s">
        <v>16989</v>
      </c>
      <c r="J10287" t="s">
        <v>4041</v>
      </c>
    </row>
    <row r="10288" spans="9:10" x14ac:dyDescent="0.3">
      <c r="I10288" t="s">
        <v>16989</v>
      </c>
      <c r="J10288" t="s">
        <v>4041</v>
      </c>
    </row>
    <row r="10289" spans="9:10" x14ac:dyDescent="0.3">
      <c r="I10289" t="s">
        <v>16990</v>
      </c>
      <c r="J10289" t="s">
        <v>4042</v>
      </c>
    </row>
    <row r="10290" spans="9:10" x14ac:dyDescent="0.3">
      <c r="I10290" t="s">
        <v>16991</v>
      </c>
      <c r="J10290" t="s">
        <v>4043</v>
      </c>
    </row>
    <row r="10291" spans="9:10" x14ac:dyDescent="0.3">
      <c r="I10291" t="s">
        <v>16992</v>
      </c>
      <c r="J10291" t="s">
        <v>4044</v>
      </c>
    </row>
    <row r="10292" spans="9:10" x14ac:dyDescent="0.3">
      <c r="I10292" t="s">
        <v>16993</v>
      </c>
      <c r="J10292" t="s">
        <v>4045</v>
      </c>
    </row>
    <row r="10293" spans="9:10" x14ac:dyDescent="0.3">
      <c r="I10293" t="s">
        <v>16994</v>
      </c>
      <c r="J10293" t="s">
        <v>4046</v>
      </c>
    </row>
    <row r="10294" spans="9:10" x14ac:dyDescent="0.3">
      <c r="I10294" t="s">
        <v>16995</v>
      </c>
      <c r="J10294" t="s">
        <v>4047</v>
      </c>
    </row>
    <row r="10295" spans="9:10" x14ac:dyDescent="0.3">
      <c r="I10295" t="s">
        <v>16996</v>
      </c>
      <c r="J10295" t="s">
        <v>4048</v>
      </c>
    </row>
    <row r="10296" spans="9:10" x14ac:dyDescent="0.3">
      <c r="I10296" t="s">
        <v>16997</v>
      </c>
      <c r="J10296" t="s">
        <v>4049</v>
      </c>
    </row>
    <row r="10297" spans="9:10" x14ac:dyDescent="0.3">
      <c r="I10297" t="s">
        <v>16998</v>
      </c>
      <c r="J10297" t="s">
        <v>4050</v>
      </c>
    </row>
    <row r="10298" spans="9:10" x14ac:dyDescent="0.3">
      <c r="I10298" t="s">
        <v>16999</v>
      </c>
      <c r="J10298" t="s">
        <v>4051</v>
      </c>
    </row>
    <row r="10299" spans="9:10" x14ac:dyDescent="0.3">
      <c r="I10299" t="s">
        <v>17000</v>
      </c>
      <c r="J10299" t="s">
        <v>4052</v>
      </c>
    </row>
    <row r="10300" spans="9:10" x14ac:dyDescent="0.3">
      <c r="I10300" t="s">
        <v>17001</v>
      </c>
      <c r="J10300" t="s">
        <v>4053</v>
      </c>
    </row>
    <row r="10301" spans="9:10" x14ac:dyDescent="0.3">
      <c r="I10301" t="s">
        <v>17002</v>
      </c>
      <c r="J10301" t="s">
        <v>4054</v>
      </c>
    </row>
    <row r="10302" spans="9:10" x14ac:dyDescent="0.3">
      <c r="I10302" t="s">
        <v>17003</v>
      </c>
      <c r="J10302" t="s">
        <v>4055</v>
      </c>
    </row>
    <row r="10303" spans="9:10" x14ac:dyDescent="0.3">
      <c r="I10303" t="s">
        <v>17004</v>
      </c>
      <c r="J10303" t="s">
        <v>4056</v>
      </c>
    </row>
    <row r="10304" spans="9:10" x14ac:dyDescent="0.3">
      <c r="I10304" t="s">
        <v>17005</v>
      </c>
      <c r="J10304" t="s">
        <v>4057</v>
      </c>
    </row>
    <row r="10305" spans="9:10" x14ac:dyDescent="0.3">
      <c r="I10305" t="s">
        <v>17006</v>
      </c>
      <c r="J10305" t="s">
        <v>4058</v>
      </c>
    </row>
    <row r="10306" spans="9:10" x14ac:dyDescent="0.3">
      <c r="I10306" t="s">
        <v>17007</v>
      </c>
      <c r="J10306" t="s">
        <v>817</v>
      </c>
    </row>
    <row r="10307" spans="9:10" x14ac:dyDescent="0.3">
      <c r="I10307" t="s">
        <v>17008</v>
      </c>
    </row>
    <row r="10308" spans="9:10" x14ac:dyDescent="0.3">
      <c r="I10308" t="s">
        <v>17008</v>
      </c>
    </row>
    <row r="10309" spans="9:10" x14ac:dyDescent="0.3">
      <c r="I10309" t="s">
        <v>17009</v>
      </c>
      <c r="J10309" t="s">
        <v>4059</v>
      </c>
    </row>
    <row r="10310" spans="9:10" x14ac:dyDescent="0.3">
      <c r="I10310" t="s">
        <v>17009</v>
      </c>
      <c r="J10310" t="s">
        <v>4059</v>
      </c>
    </row>
    <row r="10311" spans="9:10" x14ac:dyDescent="0.3">
      <c r="I10311" t="s">
        <v>17010</v>
      </c>
      <c r="J10311" t="s">
        <v>4060</v>
      </c>
    </row>
    <row r="10312" spans="9:10" x14ac:dyDescent="0.3">
      <c r="I10312" t="s">
        <v>17010</v>
      </c>
      <c r="J10312" t="s">
        <v>4060</v>
      </c>
    </row>
    <row r="10313" spans="9:10" x14ac:dyDescent="0.3">
      <c r="I10313" t="s">
        <v>17011</v>
      </c>
      <c r="J10313">
        <v>0</v>
      </c>
    </row>
    <row r="10314" spans="9:10" x14ac:dyDescent="0.3">
      <c r="I10314" t="s">
        <v>17012</v>
      </c>
      <c r="J10314" t="s">
        <v>4061</v>
      </c>
    </row>
    <row r="10315" spans="9:10" x14ac:dyDescent="0.3">
      <c r="I10315" t="s">
        <v>17013</v>
      </c>
    </row>
    <row r="10316" spans="9:10" x14ac:dyDescent="0.3">
      <c r="I10316" t="s">
        <v>17014</v>
      </c>
    </row>
    <row r="10317" spans="9:10" x14ac:dyDescent="0.3">
      <c r="I10317" t="s">
        <v>17015</v>
      </c>
      <c r="J10317" t="s">
        <v>4062</v>
      </c>
    </row>
    <row r="10318" spans="9:10" x14ac:dyDescent="0.3">
      <c r="I10318" t="s">
        <v>17016</v>
      </c>
    </row>
    <row r="10319" spans="9:10" x14ac:dyDescent="0.3">
      <c r="I10319" t="s">
        <v>17017</v>
      </c>
      <c r="J10319" t="s">
        <v>4063</v>
      </c>
    </row>
    <row r="10320" spans="9:10" x14ac:dyDescent="0.3">
      <c r="I10320" t="s">
        <v>17018</v>
      </c>
    </row>
    <row r="10321" spans="9:10" x14ac:dyDescent="0.3">
      <c r="I10321" t="s">
        <v>17019</v>
      </c>
      <c r="J10321" t="s">
        <v>4064</v>
      </c>
    </row>
    <row r="10322" spans="9:10" x14ac:dyDescent="0.3">
      <c r="I10322" t="s">
        <v>17020</v>
      </c>
      <c r="J10322" t="s">
        <v>4065</v>
      </c>
    </row>
    <row r="10323" spans="9:10" x14ac:dyDescent="0.3">
      <c r="I10323" t="s">
        <v>17020</v>
      </c>
      <c r="J10323" t="s">
        <v>4065</v>
      </c>
    </row>
    <row r="10324" spans="9:10" x14ac:dyDescent="0.3">
      <c r="I10324" t="s">
        <v>17020</v>
      </c>
      <c r="J10324" t="s">
        <v>4065</v>
      </c>
    </row>
    <row r="10325" spans="9:10" x14ac:dyDescent="0.3">
      <c r="I10325" t="s">
        <v>17021</v>
      </c>
      <c r="J10325" t="s">
        <v>4066</v>
      </c>
    </row>
    <row r="10326" spans="9:10" x14ac:dyDescent="0.3">
      <c r="I10326" t="s">
        <v>17022</v>
      </c>
      <c r="J10326" t="s">
        <v>4066</v>
      </c>
    </row>
    <row r="10327" spans="9:10" x14ac:dyDescent="0.3">
      <c r="I10327" t="s">
        <v>17023</v>
      </c>
    </row>
    <row r="10328" spans="9:10" x14ac:dyDescent="0.3">
      <c r="I10328" t="s">
        <v>17024</v>
      </c>
      <c r="J10328" t="s">
        <v>4067</v>
      </c>
    </row>
    <row r="10329" spans="9:10" x14ac:dyDescent="0.3">
      <c r="I10329" t="s">
        <v>17025</v>
      </c>
      <c r="J10329" t="s">
        <v>4068</v>
      </c>
    </row>
    <row r="10330" spans="9:10" x14ac:dyDescent="0.3">
      <c r="I10330" t="s">
        <v>17026</v>
      </c>
      <c r="J10330" t="s">
        <v>4069</v>
      </c>
    </row>
    <row r="10331" spans="9:10" x14ac:dyDescent="0.3">
      <c r="I10331" t="s">
        <v>17026</v>
      </c>
      <c r="J10331" t="s">
        <v>4069</v>
      </c>
    </row>
    <row r="10332" spans="9:10" x14ac:dyDescent="0.3">
      <c r="I10332" t="s">
        <v>17026</v>
      </c>
      <c r="J10332" t="s">
        <v>4069</v>
      </c>
    </row>
    <row r="10333" spans="9:10" x14ac:dyDescent="0.3">
      <c r="I10333" t="s">
        <v>17027</v>
      </c>
      <c r="J10333" t="s">
        <v>4070</v>
      </c>
    </row>
    <row r="10334" spans="9:10" x14ac:dyDescent="0.3">
      <c r="I10334" t="s">
        <v>17027</v>
      </c>
      <c r="J10334" t="s">
        <v>4070</v>
      </c>
    </row>
    <row r="10335" spans="9:10" x14ac:dyDescent="0.3">
      <c r="I10335" t="s">
        <v>17028</v>
      </c>
      <c r="J10335" t="s">
        <v>4070</v>
      </c>
    </row>
    <row r="10336" spans="9:10" x14ac:dyDescent="0.3">
      <c r="I10336" t="s">
        <v>17029</v>
      </c>
      <c r="J10336" t="s">
        <v>4071</v>
      </c>
    </row>
    <row r="10337" spans="9:10" x14ac:dyDescent="0.3">
      <c r="I10337" t="s">
        <v>17030</v>
      </c>
      <c r="J10337" t="s">
        <v>600</v>
      </c>
    </row>
    <row r="10338" spans="9:10" x14ac:dyDescent="0.3">
      <c r="I10338" t="s">
        <v>17031</v>
      </c>
      <c r="J10338" t="s">
        <v>601</v>
      </c>
    </row>
    <row r="10339" spans="9:10" x14ac:dyDescent="0.3">
      <c r="I10339" t="s">
        <v>17032</v>
      </c>
      <c r="J10339" t="s">
        <v>599</v>
      </c>
    </row>
    <row r="10340" spans="9:10" x14ac:dyDescent="0.3">
      <c r="I10340" t="s">
        <v>17033</v>
      </c>
      <c r="J10340" t="s">
        <v>4072</v>
      </c>
    </row>
    <row r="10341" spans="9:10" x14ac:dyDescent="0.3">
      <c r="I10341" t="s">
        <v>17034</v>
      </c>
      <c r="J10341" t="s">
        <v>4073</v>
      </c>
    </row>
    <row r="10342" spans="9:10" x14ac:dyDescent="0.3">
      <c r="I10342" t="s">
        <v>17035</v>
      </c>
      <c r="J10342" t="s">
        <v>4074</v>
      </c>
    </row>
    <row r="10343" spans="9:10" x14ac:dyDescent="0.3">
      <c r="I10343" t="s">
        <v>17036</v>
      </c>
      <c r="J10343" t="s">
        <v>4075</v>
      </c>
    </row>
    <row r="10344" spans="9:10" x14ac:dyDescent="0.3">
      <c r="I10344" t="s">
        <v>17037</v>
      </c>
      <c r="J10344" t="s">
        <v>4076</v>
      </c>
    </row>
    <row r="10345" spans="9:10" x14ac:dyDescent="0.3">
      <c r="I10345" t="s">
        <v>17037</v>
      </c>
      <c r="J10345" t="s">
        <v>4076</v>
      </c>
    </row>
    <row r="10346" spans="9:10" x14ac:dyDescent="0.3">
      <c r="I10346" t="s">
        <v>17038</v>
      </c>
      <c r="J10346" t="s">
        <v>4077</v>
      </c>
    </row>
    <row r="10347" spans="9:10" x14ac:dyDescent="0.3">
      <c r="I10347" t="s">
        <v>17039</v>
      </c>
      <c r="J10347" t="s">
        <v>4077</v>
      </c>
    </row>
    <row r="10348" spans="9:10" x14ac:dyDescent="0.3">
      <c r="I10348" t="s">
        <v>17039</v>
      </c>
      <c r="J10348" t="s">
        <v>4077</v>
      </c>
    </row>
    <row r="10349" spans="9:10" x14ac:dyDescent="0.3">
      <c r="I10349" t="s">
        <v>17039</v>
      </c>
      <c r="J10349" t="s">
        <v>4077</v>
      </c>
    </row>
    <row r="10350" spans="9:10" x14ac:dyDescent="0.3">
      <c r="I10350" t="s">
        <v>17039</v>
      </c>
      <c r="J10350" t="s">
        <v>4077</v>
      </c>
    </row>
    <row r="10351" spans="9:10" x14ac:dyDescent="0.3">
      <c r="I10351" t="s">
        <v>17040</v>
      </c>
      <c r="J10351" t="s">
        <v>4078</v>
      </c>
    </row>
    <row r="10352" spans="9:10" x14ac:dyDescent="0.3">
      <c r="I10352" t="s">
        <v>17040</v>
      </c>
      <c r="J10352" t="s">
        <v>4078</v>
      </c>
    </row>
    <row r="10353" spans="9:10" x14ac:dyDescent="0.3">
      <c r="I10353" t="s">
        <v>17040</v>
      </c>
      <c r="J10353" t="s">
        <v>4078</v>
      </c>
    </row>
    <row r="10354" spans="9:10" x14ac:dyDescent="0.3">
      <c r="I10354" t="s">
        <v>17040</v>
      </c>
      <c r="J10354" t="s">
        <v>4078</v>
      </c>
    </row>
    <row r="10355" spans="9:10" x14ac:dyDescent="0.3">
      <c r="I10355" t="s">
        <v>17041</v>
      </c>
      <c r="J10355" t="s">
        <v>4078</v>
      </c>
    </row>
    <row r="10356" spans="9:10" x14ac:dyDescent="0.3">
      <c r="I10356" t="s">
        <v>17042</v>
      </c>
      <c r="J10356" t="s">
        <v>4079</v>
      </c>
    </row>
    <row r="10357" spans="9:10" x14ac:dyDescent="0.3">
      <c r="I10357" t="s">
        <v>17042</v>
      </c>
      <c r="J10357" t="s">
        <v>4079</v>
      </c>
    </row>
    <row r="10358" spans="9:10" x14ac:dyDescent="0.3">
      <c r="I10358" t="s">
        <v>17042</v>
      </c>
      <c r="J10358" t="s">
        <v>4079</v>
      </c>
    </row>
    <row r="10359" spans="9:10" x14ac:dyDescent="0.3">
      <c r="I10359" t="s">
        <v>17042</v>
      </c>
      <c r="J10359" t="s">
        <v>4079</v>
      </c>
    </row>
    <row r="10360" spans="9:10" x14ac:dyDescent="0.3">
      <c r="I10360" t="s">
        <v>17043</v>
      </c>
      <c r="J10360" t="s">
        <v>4080</v>
      </c>
    </row>
    <row r="10361" spans="9:10" x14ac:dyDescent="0.3">
      <c r="I10361" t="s">
        <v>17044</v>
      </c>
      <c r="J10361" t="s">
        <v>4080</v>
      </c>
    </row>
    <row r="10362" spans="9:10" x14ac:dyDescent="0.3">
      <c r="I10362" t="s">
        <v>17045</v>
      </c>
      <c r="J10362" t="s">
        <v>4080</v>
      </c>
    </row>
    <row r="10363" spans="9:10" x14ac:dyDescent="0.3">
      <c r="I10363" t="s">
        <v>17046</v>
      </c>
      <c r="J10363" t="s">
        <v>4080</v>
      </c>
    </row>
    <row r="10364" spans="9:10" x14ac:dyDescent="0.3">
      <c r="I10364" t="s">
        <v>17047</v>
      </c>
      <c r="J10364" t="s">
        <v>4080</v>
      </c>
    </row>
    <row r="10365" spans="9:10" x14ac:dyDescent="0.3">
      <c r="I10365" t="s">
        <v>17043</v>
      </c>
      <c r="J10365" t="s">
        <v>4080</v>
      </c>
    </row>
    <row r="10366" spans="9:10" x14ac:dyDescent="0.3">
      <c r="I10366" t="s">
        <v>17043</v>
      </c>
      <c r="J10366" t="s">
        <v>4080</v>
      </c>
    </row>
    <row r="10367" spans="9:10" x14ac:dyDescent="0.3">
      <c r="I10367" t="s">
        <v>17048</v>
      </c>
      <c r="J10367" t="s">
        <v>4080</v>
      </c>
    </row>
    <row r="10368" spans="9:10" x14ac:dyDescent="0.3">
      <c r="I10368" t="s">
        <v>17049</v>
      </c>
      <c r="J10368" t="s">
        <v>4080</v>
      </c>
    </row>
    <row r="10369" spans="9:10" x14ac:dyDescent="0.3">
      <c r="I10369" t="s">
        <v>17050</v>
      </c>
      <c r="J10369" t="s">
        <v>4080</v>
      </c>
    </row>
    <row r="10370" spans="9:10" x14ac:dyDescent="0.3">
      <c r="I10370" t="s">
        <v>17050</v>
      </c>
      <c r="J10370" t="s">
        <v>4080</v>
      </c>
    </row>
    <row r="10371" spans="9:10" x14ac:dyDescent="0.3">
      <c r="I10371" t="s">
        <v>17050</v>
      </c>
      <c r="J10371" t="s">
        <v>4080</v>
      </c>
    </row>
    <row r="10372" spans="9:10" x14ac:dyDescent="0.3">
      <c r="I10372" t="s">
        <v>17051</v>
      </c>
      <c r="J10372" t="s">
        <v>4080</v>
      </c>
    </row>
    <row r="10373" spans="9:10" x14ac:dyDescent="0.3">
      <c r="I10373" t="s">
        <v>17052</v>
      </c>
      <c r="J10373" t="s">
        <v>4080</v>
      </c>
    </row>
    <row r="10374" spans="9:10" x14ac:dyDescent="0.3">
      <c r="I10374" t="s">
        <v>17053</v>
      </c>
      <c r="J10374" t="s">
        <v>4080</v>
      </c>
    </row>
    <row r="10375" spans="9:10" x14ac:dyDescent="0.3">
      <c r="I10375" t="s">
        <v>17054</v>
      </c>
      <c r="J10375" t="s">
        <v>4080</v>
      </c>
    </row>
    <row r="10376" spans="9:10" x14ac:dyDescent="0.3">
      <c r="I10376" t="s">
        <v>17055</v>
      </c>
      <c r="J10376" t="s">
        <v>4080</v>
      </c>
    </row>
    <row r="10377" spans="9:10" x14ac:dyDescent="0.3">
      <c r="I10377" t="s">
        <v>17056</v>
      </c>
      <c r="J10377" t="s">
        <v>4080</v>
      </c>
    </row>
    <row r="10378" spans="9:10" x14ac:dyDescent="0.3">
      <c r="I10378" t="s">
        <v>17057</v>
      </c>
      <c r="J10378" t="s">
        <v>4080</v>
      </c>
    </row>
    <row r="10379" spans="9:10" x14ac:dyDescent="0.3">
      <c r="I10379" t="s">
        <v>17043</v>
      </c>
      <c r="J10379" t="s">
        <v>4080</v>
      </c>
    </row>
    <row r="10380" spans="9:10" x14ac:dyDescent="0.3">
      <c r="I10380" t="s">
        <v>17043</v>
      </c>
      <c r="J10380" t="s">
        <v>4080</v>
      </c>
    </row>
    <row r="10381" spans="9:10" x14ac:dyDescent="0.3">
      <c r="I10381" t="s">
        <v>17043</v>
      </c>
      <c r="J10381" t="s">
        <v>4080</v>
      </c>
    </row>
    <row r="10382" spans="9:10" x14ac:dyDescent="0.3">
      <c r="I10382" t="s">
        <v>17043</v>
      </c>
      <c r="J10382" t="s">
        <v>4080</v>
      </c>
    </row>
    <row r="10383" spans="9:10" x14ac:dyDescent="0.3">
      <c r="I10383" t="s">
        <v>17043</v>
      </c>
      <c r="J10383" t="s">
        <v>4080</v>
      </c>
    </row>
    <row r="10384" spans="9:10" x14ac:dyDescent="0.3">
      <c r="I10384" t="s">
        <v>17043</v>
      </c>
      <c r="J10384" t="s">
        <v>4080</v>
      </c>
    </row>
    <row r="10385" spans="9:10" x14ac:dyDescent="0.3">
      <c r="I10385" t="s">
        <v>17043</v>
      </c>
      <c r="J10385" t="s">
        <v>4080</v>
      </c>
    </row>
    <row r="10386" spans="9:10" x14ac:dyDescent="0.3">
      <c r="I10386" t="s">
        <v>17043</v>
      </c>
      <c r="J10386" t="s">
        <v>4080</v>
      </c>
    </row>
    <row r="10387" spans="9:10" x14ac:dyDescent="0.3">
      <c r="I10387" t="s">
        <v>17058</v>
      </c>
      <c r="J10387" t="s">
        <v>4080</v>
      </c>
    </row>
    <row r="10388" spans="9:10" x14ac:dyDescent="0.3">
      <c r="I10388" t="s">
        <v>17043</v>
      </c>
      <c r="J10388" t="s">
        <v>4080</v>
      </c>
    </row>
    <row r="10389" spans="9:10" x14ac:dyDescent="0.3">
      <c r="I10389" t="s">
        <v>17059</v>
      </c>
      <c r="J10389" t="s">
        <v>4080</v>
      </c>
    </row>
    <row r="10390" spans="9:10" x14ac:dyDescent="0.3">
      <c r="I10390" t="s">
        <v>17060</v>
      </c>
      <c r="J10390" t="s">
        <v>4080</v>
      </c>
    </row>
    <row r="10391" spans="9:10" x14ac:dyDescent="0.3">
      <c r="I10391" t="s">
        <v>17050</v>
      </c>
      <c r="J10391" t="s">
        <v>4080</v>
      </c>
    </row>
    <row r="10392" spans="9:10" x14ac:dyDescent="0.3">
      <c r="I10392" t="s">
        <v>17050</v>
      </c>
      <c r="J10392" t="s">
        <v>4080</v>
      </c>
    </row>
    <row r="10393" spans="9:10" x14ac:dyDescent="0.3">
      <c r="I10393" t="s">
        <v>17043</v>
      </c>
      <c r="J10393" t="s">
        <v>4080</v>
      </c>
    </row>
    <row r="10394" spans="9:10" x14ac:dyDescent="0.3">
      <c r="I10394" t="s">
        <v>17061</v>
      </c>
    </row>
    <row r="10395" spans="9:10" x14ac:dyDescent="0.3">
      <c r="I10395" t="s">
        <v>17062</v>
      </c>
    </row>
    <row r="10396" spans="9:10" x14ac:dyDescent="0.3">
      <c r="I10396" t="s">
        <v>17063</v>
      </c>
      <c r="J10396" t="s">
        <v>4081</v>
      </c>
    </row>
    <row r="10397" spans="9:10" x14ac:dyDescent="0.3">
      <c r="I10397" t="s">
        <v>17064</v>
      </c>
    </row>
    <row r="10398" spans="9:10" x14ac:dyDescent="0.3">
      <c r="I10398" t="s">
        <v>17065</v>
      </c>
      <c r="J10398" t="s">
        <v>4082</v>
      </c>
    </row>
    <row r="10399" spans="9:10" x14ac:dyDescent="0.3">
      <c r="I10399" t="s">
        <v>17066</v>
      </c>
      <c r="J10399" t="s">
        <v>4083</v>
      </c>
    </row>
    <row r="10400" spans="9:10" x14ac:dyDescent="0.3">
      <c r="I10400" t="s">
        <v>17066</v>
      </c>
      <c r="J10400" t="s">
        <v>4083</v>
      </c>
    </row>
    <row r="10401" spans="9:10" x14ac:dyDescent="0.3">
      <c r="I10401" t="s">
        <v>17067</v>
      </c>
      <c r="J10401" t="s">
        <v>4084</v>
      </c>
    </row>
    <row r="10402" spans="9:10" x14ac:dyDescent="0.3">
      <c r="I10402" t="s">
        <v>17068</v>
      </c>
    </row>
    <row r="10403" spans="9:10" x14ac:dyDescent="0.3">
      <c r="I10403" t="s">
        <v>17069</v>
      </c>
      <c r="J10403" t="s">
        <v>4085</v>
      </c>
    </row>
    <row r="10404" spans="9:10" x14ac:dyDescent="0.3">
      <c r="I10404" t="s">
        <v>17070</v>
      </c>
      <c r="J10404" t="s">
        <v>4085</v>
      </c>
    </row>
    <row r="10405" spans="9:10" x14ac:dyDescent="0.3">
      <c r="I10405" t="s">
        <v>17071</v>
      </c>
      <c r="J10405" t="s">
        <v>4086</v>
      </c>
    </row>
    <row r="10406" spans="9:10" x14ac:dyDescent="0.3">
      <c r="I10406" t="s">
        <v>17072</v>
      </c>
      <c r="J10406" t="s">
        <v>4087</v>
      </c>
    </row>
    <row r="10407" spans="9:10" x14ac:dyDescent="0.3">
      <c r="I10407" t="s">
        <v>17073</v>
      </c>
      <c r="J10407" t="s">
        <v>4088</v>
      </c>
    </row>
    <row r="10408" spans="9:10" x14ac:dyDescent="0.3">
      <c r="I10408" t="s">
        <v>17074</v>
      </c>
      <c r="J10408" t="s">
        <v>4089</v>
      </c>
    </row>
    <row r="10409" spans="9:10" x14ac:dyDescent="0.3">
      <c r="I10409" t="s">
        <v>17075</v>
      </c>
      <c r="J10409" t="s">
        <v>4089</v>
      </c>
    </row>
    <row r="10410" spans="9:10" x14ac:dyDescent="0.3">
      <c r="I10410" t="s">
        <v>17074</v>
      </c>
      <c r="J10410" t="s">
        <v>4089</v>
      </c>
    </row>
    <row r="10411" spans="9:10" x14ac:dyDescent="0.3">
      <c r="I10411" t="s">
        <v>17074</v>
      </c>
      <c r="J10411" t="s">
        <v>4089</v>
      </c>
    </row>
    <row r="10412" spans="9:10" x14ac:dyDescent="0.3">
      <c r="I10412" t="s">
        <v>17076</v>
      </c>
      <c r="J10412" t="s">
        <v>4090</v>
      </c>
    </row>
    <row r="10413" spans="9:10" x14ac:dyDescent="0.3">
      <c r="I10413" t="s">
        <v>17077</v>
      </c>
      <c r="J10413" t="s">
        <v>4090</v>
      </c>
    </row>
    <row r="10414" spans="9:10" x14ac:dyDescent="0.3">
      <c r="I10414" t="s">
        <v>17078</v>
      </c>
      <c r="J10414" t="s">
        <v>4091</v>
      </c>
    </row>
    <row r="10415" spans="9:10" x14ac:dyDescent="0.3">
      <c r="I10415" t="s">
        <v>17079</v>
      </c>
      <c r="J10415" t="s">
        <v>4091</v>
      </c>
    </row>
    <row r="10416" spans="9:10" x14ac:dyDescent="0.3">
      <c r="I10416" t="s">
        <v>17080</v>
      </c>
      <c r="J10416" t="s">
        <v>4092</v>
      </c>
    </row>
    <row r="10417" spans="9:10" x14ac:dyDescent="0.3">
      <c r="I10417" t="s">
        <v>17081</v>
      </c>
      <c r="J10417" t="s">
        <v>4092</v>
      </c>
    </row>
    <row r="10418" spans="9:10" x14ac:dyDescent="0.3">
      <c r="I10418" t="s">
        <v>17082</v>
      </c>
      <c r="J10418" t="s">
        <v>4093</v>
      </c>
    </row>
    <row r="10419" spans="9:10" x14ac:dyDescent="0.3">
      <c r="I10419" t="s">
        <v>17082</v>
      </c>
      <c r="J10419" t="s">
        <v>4093</v>
      </c>
    </row>
    <row r="10420" spans="9:10" x14ac:dyDescent="0.3">
      <c r="I10420" t="s">
        <v>17083</v>
      </c>
      <c r="J10420" t="s">
        <v>276</v>
      </c>
    </row>
    <row r="10421" spans="9:10" x14ac:dyDescent="0.3">
      <c r="I10421" t="s">
        <v>17084</v>
      </c>
      <c r="J10421" t="s">
        <v>714</v>
      </c>
    </row>
    <row r="10422" spans="9:10" x14ac:dyDescent="0.3">
      <c r="I10422" t="s">
        <v>17085</v>
      </c>
      <c r="J10422" t="s">
        <v>4094</v>
      </c>
    </row>
    <row r="10423" spans="9:10" x14ac:dyDescent="0.3">
      <c r="I10423" t="s">
        <v>17086</v>
      </c>
      <c r="J10423" t="s">
        <v>4095</v>
      </c>
    </row>
    <row r="10424" spans="9:10" x14ac:dyDescent="0.3">
      <c r="I10424" t="s">
        <v>17087</v>
      </c>
    </row>
    <row r="10425" spans="9:10" x14ac:dyDescent="0.3">
      <c r="I10425" t="s">
        <v>17088</v>
      </c>
      <c r="J10425" t="s">
        <v>4096</v>
      </c>
    </row>
    <row r="10426" spans="9:10" x14ac:dyDescent="0.3">
      <c r="I10426" t="s">
        <v>17089</v>
      </c>
      <c r="J10426" t="s">
        <v>4097</v>
      </c>
    </row>
    <row r="10427" spans="9:10" x14ac:dyDescent="0.3">
      <c r="I10427" t="s">
        <v>17090</v>
      </c>
      <c r="J10427" t="s">
        <v>459</v>
      </c>
    </row>
    <row r="10428" spans="9:10" x14ac:dyDescent="0.3">
      <c r="I10428" t="s">
        <v>17091</v>
      </c>
      <c r="J10428" t="s">
        <v>459</v>
      </c>
    </row>
    <row r="10429" spans="9:10" x14ac:dyDescent="0.3">
      <c r="I10429" t="s">
        <v>17092</v>
      </c>
      <c r="J10429" t="s">
        <v>4098</v>
      </c>
    </row>
    <row r="10430" spans="9:10" x14ac:dyDescent="0.3">
      <c r="I10430" t="s">
        <v>17093</v>
      </c>
      <c r="J10430" t="s">
        <v>4099</v>
      </c>
    </row>
    <row r="10431" spans="9:10" x14ac:dyDescent="0.3">
      <c r="I10431" t="s">
        <v>17094</v>
      </c>
      <c r="J10431" t="s">
        <v>4100</v>
      </c>
    </row>
    <row r="10432" spans="9:10" x14ac:dyDescent="0.3">
      <c r="I10432" t="s">
        <v>17095</v>
      </c>
      <c r="J10432" t="s">
        <v>4101</v>
      </c>
    </row>
    <row r="10433" spans="9:10" x14ac:dyDescent="0.3">
      <c r="I10433" t="s">
        <v>17096</v>
      </c>
      <c r="J10433" t="s">
        <v>4102</v>
      </c>
    </row>
    <row r="10434" spans="9:10" x14ac:dyDescent="0.3">
      <c r="I10434" t="s">
        <v>17097</v>
      </c>
      <c r="J10434" t="s">
        <v>4103</v>
      </c>
    </row>
    <row r="10435" spans="9:10" x14ac:dyDescent="0.3">
      <c r="I10435" t="s">
        <v>17098</v>
      </c>
      <c r="J10435" t="s">
        <v>4104</v>
      </c>
    </row>
    <row r="10436" spans="9:10" x14ac:dyDescent="0.3">
      <c r="I10436" t="s">
        <v>17099</v>
      </c>
      <c r="J10436" t="s">
        <v>4104</v>
      </c>
    </row>
    <row r="10437" spans="9:10" x14ac:dyDescent="0.3">
      <c r="I10437" t="s">
        <v>17100</v>
      </c>
      <c r="J10437" t="s">
        <v>4104</v>
      </c>
    </row>
    <row r="10438" spans="9:10" x14ac:dyDescent="0.3">
      <c r="I10438" t="s">
        <v>17101</v>
      </c>
      <c r="J10438" t="s">
        <v>4105</v>
      </c>
    </row>
    <row r="10439" spans="9:10" x14ac:dyDescent="0.3">
      <c r="I10439" t="s">
        <v>17102</v>
      </c>
      <c r="J10439" t="s">
        <v>4106</v>
      </c>
    </row>
    <row r="10440" spans="9:10" x14ac:dyDescent="0.3">
      <c r="I10440" t="s">
        <v>17102</v>
      </c>
      <c r="J10440" t="s">
        <v>4106</v>
      </c>
    </row>
    <row r="10441" spans="9:10" x14ac:dyDescent="0.3">
      <c r="I10441" t="s">
        <v>17103</v>
      </c>
      <c r="J10441" t="s">
        <v>4107</v>
      </c>
    </row>
    <row r="10442" spans="9:10" x14ac:dyDescent="0.3">
      <c r="I10442" t="s">
        <v>17104</v>
      </c>
    </row>
    <row r="10443" spans="9:10" x14ac:dyDescent="0.3">
      <c r="I10443" t="s">
        <v>17105</v>
      </c>
      <c r="J10443" t="s">
        <v>4108</v>
      </c>
    </row>
    <row r="10444" spans="9:10" x14ac:dyDescent="0.3">
      <c r="I10444" t="s">
        <v>17106</v>
      </c>
      <c r="J10444" t="s">
        <v>4109</v>
      </c>
    </row>
    <row r="10445" spans="9:10" x14ac:dyDescent="0.3">
      <c r="I10445" t="s">
        <v>17107</v>
      </c>
      <c r="J10445" t="s">
        <v>4110</v>
      </c>
    </row>
    <row r="10446" spans="9:10" x14ac:dyDescent="0.3">
      <c r="I10446" t="s">
        <v>17108</v>
      </c>
      <c r="J10446" t="s">
        <v>4111</v>
      </c>
    </row>
    <row r="10447" spans="9:10" x14ac:dyDescent="0.3">
      <c r="I10447" t="s">
        <v>17109</v>
      </c>
      <c r="J10447" t="s">
        <v>4112</v>
      </c>
    </row>
    <row r="10448" spans="9:10" x14ac:dyDescent="0.3">
      <c r="I10448" t="s">
        <v>17110</v>
      </c>
    </row>
    <row r="10449" spans="9:10" x14ac:dyDescent="0.3">
      <c r="I10449" t="s">
        <v>17111</v>
      </c>
      <c r="J10449" t="s">
        <v>4113</v>
      </c>
    </row>
    <row r="10450" spans="9:10" x14ac:dyDescent="0.3">
      <c r="I10450" t="s">
        <v>17111</v>
      </c>
      <c r="J10450" t="s">
        <v>4113</v>
      </c>
    </row>
    <row r="10451" spans="9:10" x14ac:dyDescent="0.3">
      <c r="I10451" t="s">
        <v>17112</v>
      </c>
    </row>
    <row r="10452" spans="9:10" x14ac:dyDescent="0.3">
      <c r="I10452" t="s">
        <v>17113</v>
      </c>
      <c r="J10452" t="s">
        <v>4114</v>
      </c>
    </row>
    <row r="10453" spans="9:10" x14ac:dyDescent="0.3">
      <c r="I10453" t="s">
        <v>17114</v>
      </c>
      <c r="J10453" t="s">
        <v>4114</v>
      </c>
    </row>
    <row r="10454" spans="9:10" x14ac:dyDescent="0.3">
      <c r="I10454" t="s">
        <v>17115</v>
      </c>
      <c r="J10454" t="s">
        <v>4115</v>
      </c>
    </row>
    <row r="10455" spans="9:10" x14ac:dyDescent="0.3">
      <c r="I10455" t="s">
        <v>17116</v>
      </c>
      <c r="J10455" t="s">
        <v>4115</v>
      </c>
    </row>
    <row r="10456" spans="9:10" x14ac:dyDescent="0.3">
      <c r="I10456" t="s">
        <v>17116</v>
      </c>
      <c r="J10456" t="s">
        <v>4115</v>
      </c>
    </row>
    <row r="10457" spans="9:10" x14ac:dyDescent="0.3">
      <c r="I10457" t="s">
        <v>17116</v>
      </c>
      <c r="J10457" t="s">
        <v>4115</v>
      </c>
    </row>
    <row r="10458" spans="9:10" x14ac:dyDescent="0.3">
      <c r="I10458" t="s">
        <v>17116</v>
      </c>
      <c r="J10458" t="s">
        <v>4115</v>
      </c>
    </row>
    <row r="10459" spans="9:10" x14ac:dyDescent="0.3">
      <c r="I10459" t="s">
        <v>17116</v>
      </c>
      <c r="J10459" t="s">
        <v>4115</v>
      </c>
    </row>
    <row r="10460" spans="9:10" x14ac:dyDescent="0.3">
      <c r="I10460" t="s">
        <v>17116</v>
      </c>
      <c r="J10460" t="s">
        <v>4115</v>
      </c>
    </row>
    <row r="10461" spans="9:10" x14ac:dyDescent="0.3">
      <c r="I10461" t="s">
        <v>17116</v>
      </c>
      <c r="J10461" t="s">
        <v>4115</v>
      </c>
    </row>
    <row r="10462" spans="9:10" x14ac:dyDescent="0.3">
      <c r="I10462" t="s">
        <v>17115</v>
      </c>
      <c r="J10462" t="s">
        <v>4115</v>
      </c>
    </row>
    <row r="10463" spans="9:10" x14ac:dyDescent="0.3">
      <c r="I10463" t="s">
        <v>17117</v>
      </c>
      <c r="J10463" t="s">
        <v>4116</v>
      </c>
    </row>
    <row r="10464" spans="9:10" x14ac:dyDescent="0.3">
      <c r="I10464" t="s">
        <v>17118</v>
      </c>
      <c r="J10464" t="s">
        <v>4116</v>
      </c>
    </row>
    <row r="10465" spans="9:10" x14ac:dyDescent="0.3">
      <c r="I10465" t="s">
        <v>17119</v>
      </c>
      <c r="J10465" t="s">
        <v>4117</v>
      </c>
    </row>
    <row r="10466" spans="9:10" x14ac:dyDescent="0.3">
      <c r="I10466" t="s">
        <v>17119</v>
      </c>
      <c r="J10466" t="s">
        <v>4117</v>
      </c>
    </row>
    <row r="10467" spans="9:10" x14ac:dyDescent="0.3">
      <c r="I10467" t="s">
        <v>17120</v>
      </c>
      <c r="J10467" t="s">
        <v>4118</v>
      </c>
    </row>
    <row r="10468" spans="9:10" x14ac:dyDescent="0.3">
      <c r="I10468" t="s">
        <v>17121</v>
      </c>
      <c r="J10468" t="s">
        <v>4118</v>
      </c>
    </row>
    <row r="10469" spans="9:10" x14ac:dyDescent="0.3">
      <c r="I10469" t="s">
        <v>17122</v>
      </c>
      <c r="J10469" t="s">
        <v>4119</v>
      </c>
    </row>
    <row r="10470" spans="9:10" x14ac:dyDescent="0.3">
      <c r="I10470" t="s">
        <v>17123</v>
      </c>
      <c r="J10470" t="s">
        <v>4120</v>
      </c>
    </row>
    <row r="10471" spans="9:10" x14ac:dyDescent="0.3">
      <c r="I10471" t="s">
        <v>17124</v>
      </c>
      <c r="J10471" t="s">
        <v>4121</v>
      </c>
    </row>
    <row r="10472" spans="9:10" x14ac:dyDescent="0.3">
      <c r="I10472" t="s">
        <v>17125</v>
      </c>
      <c r="J10472" t="s">
        <v>4121</v>
      </c>
    </row>
    <row r="10473" spans="9:10" x14ac:dyDescent="0.3">
      <c r="I10473" t="s">
        <v>17125</v>
      </c>
      <c r="J10473" t="s">
        <v>4121</v>
      </c>
    </row>
    <row r="10474" spans="9:10" x14ac:dyDescent="0.3">
      <c r="I10474" t="s">
        <v>17125</v>
      </c>
      <c r="J10474" t="s">
        <v>4121</v>
      </c>
    </row>
    <row r="10475" spans="9:10" x14ac:dyDescent="0.3">
      <c r="I10475" t="s">
        <v>17126</v>
      </c>
    </row>
    <row r="10476" spans="9:10" x14ac:dyDescent="0.3">
      <c r="I10476" t="s">
        <v>17127</v>
      </c>
      <c r="J10476" t="s">
        <v>4122</v>
      </c>
    </row>
    <row r="10477" spans="9:10" x14ac:dyDescent="0.3">
      <c r="I10477" t="s">
        <v>17128</v>
      </c>
      <c r="J10477" t="s">
        <v>4123</v>
      </c>
    </row>
    <row r="10478" spans="9:10" x14ac:dyDescent="0.3">
      <c r="I10478" t="s">
        <v>17129</v>
      </c>
      <c r="J10478" t="s">
        <v>4123</v>
      </c>
    </row>
    <row r="10479" spans="9:10" x14ac:dyDescent="0.3">
      <c r="I10479" t="s">
        <v>17130</v>
      </c>
    </row>
    <row r="10480" spans="9:10" x14ac:dyDescent="0.3">
      <c r="I10480" t="s">
        <v>17131</v>
      </c>
      <c r="J10480" t="s">
        <v>4124</v>
      </c>
    </row>
    <row r="10481" spans="9:10" x14ac:dyDescent="0.3">
      <c r="I10481" t="s">
        <v>17132</v>
      </c>
      <c r="J10481" t="s">
        <v>4125</v>
      </c>
    </row>
    <row r="10482" spans="9:10" x14ac:dyDescent="0.3">
      <c r="I10482" t="s">
        <v>17132</v>
      </c>
      <c r="J10482" t="s">
        <v>4125</v>
      </c>
    </row>
    <row r="10483" spans="9:10" x14ac:dyDescent="0.3">
      <c r="I10483" t="s">
        <v>17133</v>
      </c>
      <c r="J10483" t="s">
        <v>4126</v>
      </c>
    </row>
    <row r="10484" spans="9:10" x14ac:dyDescent="0.3">
      <c r="I10484" t="s">
        <v>17133</v>
      </c>
      <c r="J10484" t="s">
        <v>4126</v>
      </c>
    </row>
    <row r="10485" spans="9:10" x14ac:dyDescent="0.3">
      <c r="I10485" t="s">
        <v>17134</v>
      </c>
      <c r="J10485" t="s">
        <v>4127</v>
      </c>
    </row>
    <row r="10486" spans="9:10" x14ac:dyDescent="0.3">
      <c r="I10486" t="s">
        <v>17135</v>
      </c>
      <c r="J10486" t="s">
        <v>4127</v>
      </c>
    </row>
    <row r="10487" spans="9:10" x14ac:dyDescent="0.3">
      <c r="I10487" t="s">
        <v>17135</v>
      </c>
      <c r="J10487" t="s">
        <v>4127</v>
      </c>
    </row>
    <row r="10488" spans="9:10" x14ac:dyDescent="0.3">
      <c r="I10488" t="s">
        <v>17136</v>
      </c>
      <c r="J10488" t="s">
        <v>4127</v>
      </c>
    </row>
    <row r="10489" spans="9:10" x14ac:dyDescent="0.3">
      <c r="I10489" t="s">
        <v>17137</v>
      </c>
      <c r="J10489" t="s">
        <v>4127</v>
      </c>
    </row>
    <row r="10490" spans="9:10" x14ac:dyDescent="0.3">
      <c r="I10490" t="s">
        <v>17137</v>
      </c>
      <c r="J10490" t="s">
        <v>4127</v>
      </c>
    </row>
    <row r="10491" spans="9:10" x14ac:dyDescent="0.3">
      <c r="I10491" t="s">
        <v>17136</v>
      </c>
      <c r="J10491" t="s">
        <v>4127</v>
      </c>
    </row>
    <row r="10492" spans="9:10" x14ac:dyDescent="0.3">
      <c r="I10492" t="s">
        <v>17138</v>
      </c>
      <c r="J10492" t="s">
        <v>4128</v>
      </c>
    </row>
    <row r="10493" spans="9:10" x14ac:dyDescent="0.3">
      <c r="I10493" t="s">
        <v>17139</v>
      </c>
      <c r="J10493" t="s">
        <v>4128</v>
      </c>
    </row>
    <row r="10494" spans="9:10" x14ac:dyDescent="0.3">
      <c r="I10494" t="s">
        <v>17138</v>
      </c>
      <c r="J10494" t="s">
        <v>4128</v>
      </c>
    </row>
    <row r="10495" spans="9:10" x14ac:dyDescent="0.3">
      <c r="I10495" t="s">
        <v>17138</v>
      </c>
      <c r="J10495" t="s">
        <v>4128</v>
      </c>
    </row>
    <row r="10496" spans="9:10" x14ac:dyDescent="0.3">
      <c r="I10496" t="s">
        <v>17138</v>
      </c>
      <c r="J10496" t="s">
        <v>4128</v>
      </c>
    </row>
    <row r="10497" spans="9:10" x14ac:dyDescent="0.3">
      <c r="I10497" t="s">
        <v>17138</v>
      </c>
      <c r="J10497" t="s">
        <v>4128</v>
      </c>
    </row>
    <row r="10498" spans="9:10" x14ac:dyDescent="0.3">
      <c r="I10498" t="s">
        <v>17140</v>
      </c>
      <c r="J10498" t="s">
        <v>4128</v>
      </c>
    </row>
    <row r="10499" spans="9:10" x14ac:dyDescent="0.3">
      <c r="I10499" t="s">
        <v>17138</v>
      </c>
      <c r="J10499" t="s">
        <v>4128</v>
      </c>
    </row>
    <row r="10500" spans="9:10" x14ac:dyDescent="0.3">
      <c r="I10500" t="s">
        <v>17138</v>
      </c>
      <c r="J10500" t="s">
        <v>4128</v>
      </c>
    </row>
    <row r="10501" spans="9:10" x14ac:dyDescent="0.3">
      <c r="I10501" t="s">
        <v>17138</v>
      </c>
      <c r="J10501" t="s">
        <v>4128</v>
      </c>
    </row>
    <row r="10502" spans="9:10" x14ac:dyDescent="0.3">
      <c r="I10502" t="s">
        <v>17141</v>
      </c>
      <c r="J10502" t="s">
        <v>4128</v>
      </c>
    </row>
    <row r="10503" spans="9:10" x14ac:dyDescent="0.3">
      <c r="I10503" t="s">
        <v>17138</v>
      </c>
      <c r="J10503" t="s">
        <v>4128</v>
      </c>
    </row>
    <row r="10504" spans="9:10" x14ac:dyDescent="0.3">
      <c r="I10504" t="s">
        <v>17138</v>
      </c>
      <c r="J10504" t="s">
        <v>4128</v>
      </c>
    </row>
    <row r="10505" spans="9:10" x14ac:dyDescent="0.3">
      <c r="I10505" t="s">
        <v>17138</v>
      </c>
      <c r="J10505" t="s">
        <v>4128</v>
      </c>
    </row>
    <row r="10506" spans="9:10" x14ac:dyDescent="0.3">
      <c r="I10506" t="s">
        <v>17138</v>
      </c>
      <c r="J10506" t="s">
        <v>4128</v>
      </c>
    </row>
    <row r="10507" spans="9:10" x14ac:dyDescent="0.3">
      <c r="I10507" t="s">
        <v>17138</v>
      </c>
      <c r="J10507" t="s">
        <v>4128</v>
      </c>
    </row>
    <row r="10508" spans="9:10" x14ac:dyDescent="0.3">
      <c r="I10508" t="s">
        <v>17138</v>
      </c>
      <c r="J10508" t="s">
        <v>4128</v>
      </c>
    </row>
    <row r="10509" spans="9:10" x14ac:dyDescent="0.3">
      <c r="I10509" t="s">
        <v>17138</v>
      </c>
      <c r="J10509" t="s">
        <v>4128</v>
      </c>
    </row>
    <row r="10510" spans="9:10" x14ac:dyDescent="0.3">
      <c r="I10510" t="s">
        <v>17138</v>
      </c>
      <c r="J10510" t="s">
        <v>4128</v>
      </c>
    </row>
    <row r="10511" spans="9:10" x14ac:dyDescent="0.3">
      <c r="I10511" t="s">
        <v>17138</v>
      </c>
      <c r="J10511" t="s">
        <v>4128</v>
      </c>
    </row>
    <row r="10512" spans="9:10" x14ac:dyDescent="0.3">
      <c r="I10512" t="s">
        <v>17142</v>
      </c>
      <c r="J10512" t="s">
        <v>4128</v>
      </c>
    </row>
    <row r="10513" spans="9:10" x14ac:dyDescent="0.3">
      <c r="I10513" t="s">
        <v>17143</v>
      </c>
      <c r="J10513" t="s">
        <v>4128</v>
      </c>
    </row>
    <row r="10514" spans="9:10" x14ac:dyDescent="0.3">
      <c r="I10514" t="s">
        <v>17144</v>
      </c>
      <c r="J10514" t="s">
        <v>4128</v>
      </c>
    </row>
    <row r="10515" spans="9:10" x14ac:dyDescent="0.3">
      <c r="I10515" t="s">
        <v>17138</v>
      </c>
      <c r="J10515" t="s">
        <v>4128</v>
      </c>
    </row>
    <row r="10516" spans="9:10" x14ac:dyDescent="0.3">
      <c r="I10516" t="s">
        <v>17145</v>
      </c>
      <c r="J10516" t="s">
        <v>4128</v>
      </c>
    </row>
    <row r="10517" spans="9:10" x14ac:dyDescent="0.3">
      <c r="I10517" t="s">
        <v>17138</v>
      </c>
      <c r="J10517" t="s">
        <v>4128</v>
      </c>
    </row>
    <row r="10518" spans="9:10" x14ac:dyDescent="0.3">
      <c r="I10518" t="s">
        <v>17146</v>
      </c>
      <c r="J10518" t="s">
        <v>4128</v>
      </c>
    </row>
    <row r="10519" spans="9:10" x14ac:dyDescent="0.3">
      <c r="I10519" t="s">
        <v>17147</v>
      </c>
      <c r="J10519" t="s">
        <v>4128</v>
      </c>
    </row>
    <row r="10520" spans="9:10" x14ac:dyDescent="0.3">
      <c r="I10520" t="s">
        <v>17148</v>
      </c>
      <c r="J10520" t="s">
        <v>4128</v>
      </c>
    </row>
    <row r="10521" spans="9:10" x14ac:dyDescent="0.3">
      <c r="I10521" t="s">
        <v>17149</v>
      </c>
      <c r="J10521" t="s">
        <v>4128</v>
      </c>
    </row>
    <row r="10522" spans="9:10" x14ac:dyDescent="0.3">
      <c r="I10522" t="s">
        <v>17138</v>
      </c>
      <c r="J10522" t="s">
        <v>4128</v>
      </c>
    </row>
    <row r="10523" spans="9:10" x14ac:dyDescent="0.3">
      <c r="I10523" t="s">
        <v>17138</v>
      </c>
      <c r="J10523" t="s">
        <v>4128</v>
      </c>
    </row>
    <row r="10524" spans="9:10" x14ac:dyDescent="0.3">
      <c r="I10524" t="s">
        <v>17150</v>
      </c>
      <c r="J10524" t="s">
        <v>4128</v>
      </c>
    </row>
    <row r="10525" spans="9:10" x14ac:dyDescent="0.3">
      <c r="I10525" t="s">
        <v>17138</v>
      </c>
      <c r="J10525" t="s">
        <v>4128</v>
      </c>
    </row>
    <row r="10526" spans="9:10" x14ac:dyDescent="0.3">
      <c r="I10526" t="s">
        <v>17150</v>
      </c>
      <c r="J10526" t="s">
        <v>4128</v>
      </c>
    </row>
    <row r="10527" spans="9:10" x14ac:dyDescent="0.3">
      <c r="I10527" t="s">
        <v>17150</v>
      </c>
      <c r="J10527" t="s">
        <v>4128</v>
      </c>
    </row>
    <row r="10528" spans="9:10" x14ac:dyDescent="0.3">
      <c r="I10528" t="s">
        <v>17150</v>
      </c>
      <c r="J10528" t="s">
        <v>4128</v>
      </c>
    </row>
    <row r="10529" spans="9:10" x14ac:dyDescent="0.3">
      <c r="I10529" t="s">
        <v>17138</v>
      </c>
      <c r="J10529" t="s">
        <v>4128</v>
      </c>
    </row>
    <row r="10530" spans="9:10" x14ac:dyDescent="0.3">
      <c r="I10530" t="s">
        <v>17138</v>
      </c>
      <c r="J10530" t="s">
        <v>4128</v>
      </c>
    </row>
    <row r="10531" spans="9:10" x14ac:dyDescent="0.3">
      <c r="I10531" t="s">
        <v>17138</v>
      </c>
      <c r="J10531" t="s">
        <v>4128</v>
      </c>
    </row>
    <row r="10532" spans="9:10" x14ac:dyDescent="0.3">
      <c r="I10532" t="s">
        <v>17138</v>
      </c>
      <c r="J10532" t="s">
        <v>4128</v>
      </c>
    </row>
    <row r="10533" spans="9:10" x14ac:dyDescent="0.3">
      <c r="I10533" t="s">
        <v>17138</v>
      </c>
      <c r="J10533" t="s">
        <v>4128</v>
      </c>
    </row>
    <row r="10534" spans="9:10" x14ac:dyDescent="0.3">
      <c r="I10534" t="s">
        <v>17138</v>
      </c>
      <c r="J10534" t="s">
        <v>4128</v>
      </c>
    </row>
    <row r="10535" spans="9:10" x14ac:dyDescent="0.3">
      <c r="I10535" t="s">
        <v>17138</v>
      </c>
      <c r="J10535" t="s">
        <v>4128</v>
      </c>
    </row>
    <row r="10536" spans="9:10" x14ac:dyDescent="0.3">
      <c r="I10536" t="s">
        <v>17138</v>
      </c>
      <c r="J10536" t="s">
        <v>4128</v>
      </c>
    </row>
    <row r="10537" spans="9:10" x14ac:dyDescent="0.3">
      <c r="I10537" t="s">
        <v>17138</v>
      </c>
      <c r="J10537" t="s">
        <v>4128</v>
      </c>
    </row>
    <row r="10538" spans="9:10" x14ac:dyDescent="0.3">
      <c r="I10538" t="s">
        <v>17138</v>
      </c>
      <c r="J10538" t="s">
        <v>4128</v>
      </c>
    </row>
    <row r="10539" spans="9:10" x14ac:dyDescent="0.3">
      <c r="I10539" t="s">
        <v>17138</v>
      </c>
      <c r="J10539" t="s">
        <v>4128</v>
      </c>
    </row>
    <row r="10540" spans="9:10" x14ac:dyDescent="0.3">
      <c r="I10540" t="s">
        <v>17138</v>
      </c>
      <c r="J10540" t="s">
        <v>4128</v>
      </c>
    </row>
    <row r="10541" spans="9:10" x14ac:dyDescent="0.3">
      <c r="I10541" t="s">
        <v>17138</v>
      </c>
      <c r="J10541" t="s">
        <v>4128</v>
      </c>
    </row>
    <row r="10542" spans="9:10" x14ac:dyDescent="0.3">
      <c r="I10542" t="s">
        <v>17151</v>
      </c>
      <c r="J10542" t="s">
        <v>4128</v>
      </c>
    </row>
    <row r="10543" spans="9:10" x14ac:dyDescent="0.3">
      <c r="I10543" t="s">
        <v>17138</v>
      </c>
      <c r="J10543" t="s">
        <v>4128</v>
      </c>
    </row>
    <row r="10544" spans="9:10" x14ac:dyDescent="0.3">
      <c r="I10544" t="s">
        <v>17138</v>
      </c>
      <c r="J10544" t="s">
        <v>4128</v>
      </c>
    </row>
    <row r="10545" spans="9:10" x14ac:dyDescent="0.3">
      <c r="I10545" t="s">
        <v>17152</v>
      </c>
      <c r="J10545" t="s">
        <v>4128</v>
      </c>
    </row>
    <row r="10546" spans="9:10" x14ac:dyDescent="0.3">
      <c r="I10546" t="s">
        <v>17138</v>
      </c>
      <c r="J10546" t="s">
        <v>4128</v>
      </c>
    </row>
    <row r="10547" spans="9:10" x14ac:dyDescent="0.3">
      <c r="I10547" t="s">
        <v>17138</v>
      </c>
      <c r="J10547" t="s">
        <v>4128</v>
      </c>
    </row>
    <row r="10548" spans="9:10" x14ac:dyDescent="0.3">
      <c r="I10548" t="s">
        <v>17138</v>
      </c>
      <c r="J10548" t="s">
        <v>4128</v>
      </c>
    </row>
    <row r="10549" spans="9:10" x14ac:dyDescent="0.3">
      <c r="I10549" t="s">
        <v>17138</v>
      </c>
      <c r="J10549" t="s">
        <v>4128</v>
      </c>
    </row>
    <row r="10550" spans="9:10" x14ac:dyDescent="0.3">
      <c r="I10550" t="s">
        <v>17138</v>
      </c>
      <c r="J10550" t="s">
        <v>4128</v>
      </c>
    </row>
    <row r="10551" spans="9:10" x14ac:dyDescent="0.3">
      <c r="I10551" t="s">
        <v>17153</v>
      </c>
      <c r="J10551" t="s">
        <v>4129</v>
      </c>
    </row>
    <row r="10552" spans="9:10" x14ac:dyDescent="0.3">
      <c r="I10552" t="s">
        <v>17154</v>
      </c>
      <c r="J10552" t="s">
        <v>4130</v>
      </c>
    </row>
    <row r="10553" spans="9:10" x14ac:dyDescent="0.3">
      <c r="I10553" t="s">
        <v>17155</v>
      </c>
      <c r="J10553" t="s">
        <v>4130</v>
      </c>
    </row>
    <row r="10554" spans="9:10" x14ac:dyDescent="0.3">
      <c r="I10554" t="s">
        <v>17156</v>
      </c>
      <c r="J10554" t="s">
        <v>4130</v>
      </c>
    </row>
    <row r="10555" spans="9:10" x14ac:dyDescent="0.3">
      <c r="I10555" t="s">
        <v>17157</v>
      </c>
      <c r="J10555" t="s">
        <v>4130</v>
      </c>
    </row>
    <row r="10556" spans="9:10" x14ac:dyDescent="0.3">
      <c r="I10556" t="s">
        <v>17158</v>
      </c>
      <c r="J10556" t="s">
        <v>4131</v>
      </c>
    </row>
    <row r="10557" spans="9:10" x14ac:dyDescent="0.3">
      <c r="I10557" t="s">
        <v>17159</v>
      </c>
      <c r="J10557" t="s">
        <v>4132</v>
      </c>
    </row>
    <row r="10558" spans="9:10" x14ac:dyDescent="0.3">
      <c r="I10558" t="s">
        <v>17159</v>
      </c>
      <c r="J10558" t="s">
        <v>4132</v>
      </c>
    </row>
    <row r="10559" spans="9:10" x14ac:dyDescent="0.3">
      <c r="I10559" t="s">
        <v>17160</v>
      </c>
      <c r="J10559" t="s">
        <v>4132</v>
      </c>
    </row>
    <row r="10560" spans="9:10" x14ac:dyDescent="0.3">
      <c r="I10560" t="s">
        <v>17161</v>
      </c>
      <c r="J10560" t="s">
        <v>4132</v>
      </c>
    </row>
    <row r="10561" spans="9:10" x14ac:dyDescent="0.3">
      <c r="I10561" t="s">
        <v>17162</v>
      </c>
      <c r="J10561" t="s">
        <v>4132</v>
      </c>
    </row>
    <row r="10562" spans="9:10" x14ac:dyDescent="0.3">
      <c r="I10562" t="s">
        <v>17163</v>
      </c>
      <c r="J10562" t="s">
        <v>4133</v>
      </c>
    </row>
    <row r="10563" spans="9:10" x14ac:dyDescent="0.3">
      <c r="I10563" t="s">
        <v>17164</v>
      </c>
      <c r="J10563" t="s">
        <v>4134</v>
      </c>
    </row>
    <row r="10564" spans="9:10" x14ac:dyDescent="0.3">
      <c r="I10564" t="s">
        <v>17165</v>
      </c>
      <c r="J10564" t="s">
        <v>4135</v>
      </c>
    </row>
    <row r="10565" spans="9:10" x14ac:dyDescent="0.3">
      <c r="I10565" t="s">
        <v>17166</v>
      </c>
      <c r="J10565" t="s">
        <v>4136</v>
      </c>
    </row>
    <row r="10566" spans="9:10" x14ac:dyDescent="0.3">
      <c r="I10566" t="s">
        <v>17167</v>
      </c>
      <c r="J10566" t="s">
        <v>4137</v>
      </c>
    </row>
    <row r="10567" spans="9:10" x14ac:dyDescent="0.3">
      <c r="I10567" t="s">
        <v>17168</v>
      </c>
    </row>
    <row r="10568" spans="9:10" x14ac:dyDescent="0.3">
      <c r="I10568" t="s">
        <v>17169</v>
      </c>
      <c r="J10568" t="s">
        <v>4138</v>
      </c>
    </row>
    <row r="10569" spans="9:10" x14ac:dyDescent="0.3">
      <c r="I10569" t="s">
        <v>17170</v>
      </c>
      <c r="J10569" t="s">
        <v>4139</v>
      </c>
    </row>
    <row r="10570" spans="9:10" x14ac:dyDescent="0.3">
      <c r="I10570" t="s">
        <v>17171</v>
      </c>
      <c r="J10570" t="s">
        <v>4140</v>
      </c>
    </row>
    <row r="10571" spans="9:10" x14ac:dyDescent="0.3">
      <c r="I10571" t="s">
        <v>17172</v>
      </c>
      <c r="J10571" t="s">
        <v>4141</v>
      </c>
    </row>
    <row r="10572" spans="9:10" x14ac:dyDescent="0.3">
      <c r="I10572" t="s">
        <v>17173</v>
      </c>
    </row>
    <row r="10573" spans="9:10" x14ac:dyDescent="0.3">
      <c r="I10573" t="s">
        <v>17173</v>
      </c>
    </row>
    <row r="10574" spans="9:10" x14ac:dyDescent="0.3">
      <c r="I10574" t="s">
        <v>17173</v>
      </c>
    </row>
    <row r="10575" spans="9:10" x14ac:dyDescent="0.3">
      <c r="I10575" t="s">
        <v>17173</v>
      </c>
    </row>
    <row r="10576" spans="9:10" x14ac:dyDescent="0.3">
      <c r="I10576" t="s">
        <v>17174</v>
      </c>
      <c r="J10576" t="s">
        <v>4142</v>
      </c>
    </row>
    <row r="10577" spans="9:10" x14ac:dyDescent="0.3">
      <c r="I10577" t="s">
        <v>17175</v>
      </c>
      <c r="J10577" t="s">
        <v>4142</v>
      </c>
    </row>
    <row r="10578" spans="9:10" x14ac:dyDescent="0.3">
      <c r="I10578" t="s">
        <v>17176</v>
      </c>
      <c r="J10578" t="s">
        <v>4139</v>
      </c>
    </row>
    <row r="10579" spans="9:10" x14ac:dyDescent="0.3">
      <c r="I10579" t="s">
        <v>17177</v>
      </c>
      <c r="J10579" t="s">
        <v>4143</v>
      </c>
    </row>
    <row r="10580" spans="9:10" x14ac:dyDescent="0.3">
      <c r="I10580" t="s">
        <v>17178</v>
      </c>
      <c r="J10580" t="s">
        <v>4143</v>
      </c>
    </row>
    <row r="10581" spans="9:10" x14ac:dyDescent="0.3">
      <c r="I10581" t="s">
        <v>17179</v>
      </c>
      <c r="J10581" t="s">
        <v>4144</v>
      </c>
    </row>
    <row r="10582" spans="9:10" x14ac:dyDescent="0.3">
      <c r="I10582" t="s">
        <v>17180</v>
      </c>
      <c r="J10582" t="s">
        <v>4145</v>
      </c>
    </row>
    <row r="10583" spans="9:10" x14ac:dyDescent="0.3">
      <c r="I10583" t="s">
        <v>17181</v>
      </c>
      <c r="J10583" t="s">
        <v>4146</v>
      </c>
    </row>
    <row r="10584" spans="9:10" x14ac:dyDescent="0.3">
      <c r="I10584" t="s">
        <v>17182</v>
      </c>
      <c r="J10584" t="s">
        <v>4146</v>
      </c>
    </row>
    <row r="10585" spans="9:10" x14ac:dyDescent="0.3">
      <c r="I10585" t="s">
        <v>17182</v>
      </c>
      <c r="J10585" t="s">
        <v>4146</v>
      </c>
    </row>
    <row r="10586" spans="9:10" x14ac:dyDescent="0.3">
      <c r="I10586" t="s">
        <v>17181</v>
      </c>
      <c r="J10586" t="s">
        <v>4146</v>
      </c>
    </row>
    <row r="10587" spans="9:10" x14ac:dyDescent="0.3">
      <c r="I10587" t="s">
        <v>17181</v>
      </c>
      <c r="J10587" t="s">
        <v>4146</v>
      </c>
    </row>
    <row r="10588" spans="9:10" x14ac:dyDescent="0.3">
      <c r="I10588" t="s">
        <v>17181</v>
      </c>
      <c r="J10588" t="s">
        <v>4146</v>
      </c>
    </row>
    <row r="10589" spans="9:10" x14ac:dyDescent="0.3">
      <c r="I10589" t="s">
        <v>17181</v>
      </c>
      <c r="J10589" t="s">
        <v>4146</v>
      </c>
    </row>
    <row r="10590" spans="9:10" x14ac:dyDescent="0.3">
      <c r="I10590" t="s">
        <v>17183</v>
      </c>
      <c r="J10590" t="s">
        <v>4146</v>
      </c>
    </row>
    <row r="10591" spans="9:10" x14ac:dyDescent="0.3">
      <c r="I10591" t="s">
        <v>17184</v>
      </c>
      <c r="J10591" t="s">
        <v>4146</v>
      </c>
    </row>
    <row r="10592" spans="9:10" x14ac:dyDescent="0.3">
      <c r="I10592" t="s">
        <v>17185</v>
      </c>
      <c r="J10592" t="s">
        <v>4146</v>
      </c>
    </row>
    <row r="10593" spans="9:10" x14ac:dyDescent="0.3">
      <c r="I10593" t="s">
        <v>17186</v>
      </c>
      <c r="J10593" t="s">
        <v>4147</v>
      </c>
    </row>
    <row r="10594" spans="9:10" x14ac:dyDescent="0.3">
      <c r="I10594" t="s">
        <v>17186</v>
      </c>
      <c r="J10594" t="s">
        <v>4147</v>
      </c>
    </row>
    <row r="10595" spans="9:10" x14ac:dyDescent="0.3">
      <c r="I10595" t="s">
        <v>17187</v>
      </c>
      <c r="J10595" t="s">
        <v>4148</v>
      </c>
    </row>
    <row r="10596" spans="9:10" x14ac:dyDescent="0.3">
      <c r="I10596" t="s">
        <v>17188</v>
      </c>
    </row>
    <row r="10597" spans="9:10" x14ac:dyDescent="0.3">
      <c r="I10597" t="s">
        <v>17189</v>
      </c>
    </row>
    <row r="10598" spans="9:10" x14ac:dyDescent="0.3">
      <c r="I10598" t="s">
        <v>17190</v>
      </c>
    </row>
    <row r="10599" spans="9:10" x14ac:dyDescent="0.3">
      <c r="I10599" t="s">
        <v>17191</v>
      </c>
    </row>
    <row r="10600" spans="9:10" x14ac:dyDescent="0.3">
      <c r="I10600" t="s">
        <v>17192</v>
      </c>
    </row>
    <row r="10601" spans="9:10" x14ac:dyDescent="0.3">
      <c r="I10601" t="s">
        <v>17193</v>
      </c>
    </row>
    <row r="10602" spans="9:10" x14ac:dyDescent="0.3">
      <c r="I10602" t="s">
        <v>17193</v>
      </c>
    </row>
    <row r="10603" spans="9:10" x14ac:dyDescent="0.3">
      <c r="I10603" t="s">
        <v>17194</v>
      </c>
    </row>
    <row r="10604" spans="9:10" x14ac:dyDescent="0.3">
      <c r="I10604" t="s">
        <v>17195</v>
      </c>
      <c r="J10604" t="s">
        <v>4149</v>
      </c>
    </row>
    <row r="10605" spans="9:10" x14ac:dyDescent="0.3">
      <c r="I10605" t="s">
        <v>17196</v>
      </c>
      <c r="J10605" t="s">
        <v>4150</v>
      </c>
    </row>
    <row r="10606" spans="9:10" x14ac:dyDescent="0.3">
      <c r="I10606" t="s">
        <v>17197</v>
      </c>
    </row>
    <row r="10607" spans="9:10" x14ac:dyDescent="0.3">
      <c r="I10607" t="s">
        <v>17198</v>
      </c>
      <c r="J10607" t="s">
        <v>4151</v>
      </c>
    </row>
    <row r="10608" spans="9:10" x14ac:dyDescent="0.3">
      <c r="I10608" t="s">
        <v>17198</v>
      </c>
      <c r="J10608" t="s">
        <v>4151</v>
      </c>
    </row>
    <row r="10609" spans="9:10" x14ac:dyDescent="0.3">
      <c r="I10609" t="s">
        <v>17199</v>
      </c>
      <c r="J10609" t="s">
        <v>486</v>
      </c>
    </row>
    <row r="10610" spans="9:10" x14ac:dyDescent="0.3">
      <c r="I10610" t="s">
        <v>17199</v>
      </c>
      <c r="J10610" t="s">
        <v>486</v>
      </c>
    </row>
    <row r="10611" spans="9:10" x14ac:dyDescent="0.3">
      <c r="I10611" t="s">
        <v>17200</v>
      </c>
    </row>
    <row r="10612" spans="9:10" x14ac:dyDescent="0.3">
      <c r="I10612" t="s">
        <v>17201</v>
      </c>
    </row>
    <row r="10613" spans="9:10" x14ac:dyDescent="0.3">
      <c r="I10613" t="s">
        <v>17202</v>
      </c>
    </row>
    <row r="10614" spans="9:10" x14ac:dyDescent="0.3">
      <c r="I10614" t="s">
        <v>17203</v>
      </c>
      <c r="J10614" t="s">
        <v>4152</v>
      </c>
    </row>
    <row r="10615" spans="9:10" x14ac:dyDescent="0.3">
      <c r="I10615" t="s">
        <v>17203</v>
      </c>
      <c r="J10615" t="s">
        <v>4152</v>
      </c>
    </row>
    <row r="10616" spans="9:10" x14ac:dyDescent="0.3">
      <c r="I10616" t="s">
        <v>17204</v>
      </c>
      <c r="J10616" t="s">
        <v>730</v>
      </c>
    </row>
    <row r="10617" spans="9:10" x14ac:dyDescent="0.3">
      <c r="I10617" t="s">
        <v>17204</v>
      </c>
      <c r="J10617" t="s">
        <v>730</v>
      </c>
    </row>
    <row r="10618" spans="9:10" x14ac:dyDescent="0.3">
      <c r="I10618" t="s">
        <v>17204</v>
      </c>
      <c r="J10618" t="s">
        <v>730</v>
      </c>
    </row>
    <row r="10619" spans="9:10" x14ac:dyDescent="0.3">
      <c r="I10619" t="s">
        <v>17204</v>
      </c>
      <c r="J10619" t="s">
        <v>730</v>
      </c>
    </row>
    <row r="10620" spans="9:10" x14ac:dyDescent="0.3">
      <c r="I10620" t="s">
        <v>17204</v>
      </c>
      <c r="J10620" t="s">
        <v>730</v>
      </c>
    </row>
    <row r="10621" spans="9:10" x14ac:dyDescent="0.3">
      <c r="I10621" t="s">
        <v>17205</v>
      </c>
      <c r="J10621" t="s">
        <v>730</v>
      </c>
    </row>
    <row r="10622" spans="9:10" x14ac:dyDescent="0.3">
      <c r="I10622" t="s">
        <v>17204</v>
      </c>
      <c r="J10622" t="s">
        <v>730</v>
      </c>
    </row>
    <row r="10623" spans="9:10" x14ac:dyDescent="0.3">
      <c r="I10623" t="s">
        <v>17206</v>
      </c>
      <c r="J10623" t="s">
        <v>4153</v>
      </c>
    </row>
    <row r="10624" spans="9:10" x14ac:dyDescent="0.3">
      <c r="I10624" t="s">
        <v>17207</v>
      </c>
      <c r="J10624" t="s">
        <v>4154</v>
      </c>
    </row>
    <row r="10625" spans="9:10" x14ac:dyDescent="0.3">
      <c r="I10625" t="s">
        <v>17207</v>
      </c>
      <c r="J10625" t="s">
        <v>4154</v>
      </c>
    </row>
    <row r="10626" spans="9:10" x14ac:dyDescent="0.3">
      <c r="I10626" t="s">
        <v>17207</v>
      </c>
      <c r="J10626" t="s">
        <v>4154</v>
      </c>
    </row>
    <row r="10627" spans="9:10" x14ac:dyDescent="0.3">
      <c r="I10627" t="s">
        <v>17207</v>
      </c>
      <c r="J10627" t="s">
        <v>4154</v>
      </c>
    </row>
    <row r="10628" spans="9:10" x14ac:dyDescent="0.3">
      <c r="I10628" t="s">
        <v>17208</v>
      </c>
    </row>
    <row r="10629" spans="9:10" x14ac:dyDescent="0.3">
      <c r="I10629" t="s">
        <v>17208</v>
      </c>
    </row>
    <row r="10630" spans="9:10" x14ac:dyDescent="0.3">
      <c r="I10630" t="s">
        <v>17209</v>
      </c>
      <c r="J10630" t="s">
        <v>4155</v>
      </c>
    </row>
    <row r="10631" spans="9:10" x14ac:dyDescent="0.3">
      <c r="I10631" t="s">
        <v>17209</v>
      </c>
      <c r="J10631" t="s">
        <v>4155</v>
      </c>
    </row>
    <row r="10632" spans="9:10" x14ac:dyDescent="0.3">
      <c r="I10632" t="s">
        <v>17209</v>
      </c>
      <c r="J10632" t="s">
        <v>4155</v>
      </c>
    </row>
    <row r="10633" spans="9:10" x14ac:dyDescent="0.3">
      <c r="I10633" t="s">
        <v>17209</v>
      </c>
      <c r="J10633" t="s">
        <v>4155</v>
      </c>
    </row>
    <row r="10634" spans="9:10" x14ac:dyDescent="0.3">
      <c r="I10634" t="s">
        <v>17209</v>
      </c>
      <c r="J10634" t="s">
        <v>4155</v>
      </c>
    </row>
    <row r="10635" spans="9:10" x14ac:dyDescent="0.3">
      <c r="I10635" t="s">
        <v>17210</v>
      </c>
      <c r="J10635" t="s">
        <v>487</v>
      </c>
    </row>
    <row r="10636" spans="9:10" x14ac:dyDescent="0.3">
      <c r="I10636" t="s">
        <v>17210</v>
      </c>
      <c r="J10636" t="s">
        <v>487</v>
      </c>
    </row>
    <row r="10637" spans="9:10" x14ac:dyDescent="0.3">
      <c r="I10637" t="s">
        <v>17210</v>
      </c>
      <c r="J10637" t="s">
        <v>487</v>
      </c>
    </row>
    <row r="10638" spans="9:10" x14ac:dyDescent="0.3">
      <c r="I10638" t="s">
        <v>17210</v>
      </c>
      <c r="J10638" t="s">
        <v>487</v>
      </c>
    </row>
    <row r="10639" spans="9:10" x14ac:dyDescent="0.3">
      <c r="I10639" t="s">
        <v>17210</v>
      </c>
      <c r="J10639" t="s">
        <v>487</v>
      </c>
    </row>
    <row r="10640" spans="9:10" x14ac:dyDescent="0.3">
      <c r="I10640" t="s">
        <v>17210</v>
      </c>
      <c r="J10640" t="s">
        <v>487</v>
      </c>
    </row>
    <row r="10641" spans="9:10" x14ac:dyDescent="0.3">
      <c r="I10641" t="s">
        <v>17211</v>
      </c>
    </row>
    <row r="10642" spans="9:10" x14ac:dyDescent="0.3">
      <c r="I10642" t="s">
        <v>17212</v>
      </c>
      <c r="J10642" t="s">
        <v>4156</v>
      </c>
    </row>
    <row r="10643" spans="9:10" x14ac:dyDescent="0.3">
      <c r="I10643" t="s">
        <v>17212</v>
      </c>
      <c r="J10643" t="s">
        <v>4156</v>
      </c>
    </row>
    <row r="10644" spans="9:10" x14ac:dyDescent="0.3">
      <c r="I10644" t="s">
        <v>17212</v>
      </c>
      <c r="J10644" t="s">
        <v>4156</v>
      </c>
    </row>
    <row r="10645" spans="9:10" x14ac:dyDescent="0.3">
      <c r="I10645" t="s">
        <v>17212</v>
      </c>
      <c r="J10645" t="s">
        <v>4156</v>
      </c>
    </row>
    <row r="10646" spans="9:10" x14ac:dyDescent="0.3">
      <c r="I10646" t="s">
        <v>17212</v>
      </c>
      <c r="J10646" t="s">
        <v>4156</v>
      </c>
    </row>
    <row r="10647" spans="9:10" x14ac:dyDescent="0.3">
      <c r="I10647" t="s">
        <v>17213</v>
      </c>
      <c r="J10647" t="s">
        <v>4156</v>
      </c>
    </row>
    <row r="10648" spans="9:10" x14ac:dyDescent="0.3">
      <c r="I10648" t="s">
        <v>17214</v>
      </c>
      <c r="J10648" t="s">
        <v>4157</v>
      </c>
    </row>
    <row r="10649" spans="9:10" x14ac:dyDescent="0.3">
      <c r="I10649" t="s">
        <v>17214</v>
      </c>
      <c r="J10649" t="s">
        <v>4157</v>
      </c>
    </row>
    <row r="10650" spans="9:10" x14ac:dyDescent="0.3">
      <c r="I10650" t="s">
        <v>17214</v>
      </c>
      <c r="J10650" t="s">
        <v>4157</v>
      </c>
    </row>
    <row r="10651" spans="9:10" x14ac:dyDescent="0.3">
      <c r="I10651" t="s">
        <v>17215</v>
      </c>
    </row>
    <row r="10652" spans="9:10" x14ac:dyDescent="0.3">
      <c r="I10652" t="s">
        <v>17216</v>
      </c>
    </row>
    <row r="10653" spans="9:10" x14ac:dyDescent="0.3">
      <c r="I10653" t="s">
        <v>17217</v>
      </c>
    </row>
    <row r="10654" spans="9:10" x14ac:dyDescent="0.3">
      <c r="I10654" t="s">
        <v>17218</v>
      </c>
    </row>
    <row r="10655" spans="9:10" x14ac:dyDescent="0.3">
      <c r="I10655" t="s">
        <v>17219</v>
      </c>
      <c r="J10655" t="s">
        <v>119</v>
      </c>
    </row>
    <row r="10656" spans="9:10" x14ac:dyDescent="0.3">
      <c r="I10656" t="s">
        <v>118</v>
      </c>
      <c r="J10656" t="s">
        <v>119</v>
      </c>
    </row>
    <row r="10657" spans="9:10" x14ac:dyDescent="0.3">
      <c r="I10657" t="s">
        <v>118</v>
      </c>
      <c r="J10657" t="s">
        <v>119</v>
      </c>
    </row>
    <row r="10658" spans="9:10" x14ac:dyDescent="0.3">
      <c r="I10658" t="s">
        <v>118</v>
      </c>
      <c r="J10658" t="s">
        <v>119</v>
      </c>
    </row>
    <row r="10659" spans="9:10" x14ac:dyDescent="0.3">
      <c r="I10659" t="s">
        <v>17220</v>
      </c>
      <c r="J10659" t="s">
        <v>119</v>
      </c>
    </row>
    <row r="10660" spans="9:10" x14ac:dyDescent="0.3">
      <c r="I10660" t="s">
        <v>17220</v>
      </c>
      <c r="J10660" t="s">
        <v>119</v>
      </c>
    </row>
    <row r="10661" spans="9:10" x14ac:dyDescent="0.3">
      <c r="I10661" t="s">
        <v>118</v>
      </c>
      <c r="J10661" t="s">
        <v>119</v>
      </c>
    </row>
    <row r="10662" spans="9:10" x14ac:dyDescent="0.3">
      <c r="I10662" t="s">
        <v>17221</v>
      </c>
    </row>
    <row r="10663" spans="9:10" x14ac:dyDescent="0.3">
      <c r="I10663" t="s">
        <v>17222</v>
      </c>
    </row>
    <row r="10664" spans="9:10" x14ac:dyDescent="0.3">
      <c r="I10664" t="s">
        <v>17223</v>
      </c>
      <c r="J10664" t="s">
        <v>4158</v>
      </c>
    </row>
    <row r="10665" spans="9:10" x14ac:dyDescent="0.3">
      <c r="I10665" t="s">
        <v>17223</v>
      </c>
      <c r="J10665" t="s">
        <v>4158</v>
      </c>
    </row>
    <row r="10666" spans="9:10" x14ac:dyDescent="0.3">
      <c r="I10666" t="s">
        <v>17223</v>
      </c>
      <c r="J10666" t="s">
        <v>4158</v>
      </c>
    </row>
    <row r="10667" spans="9:10" x14ac:dyDescent="0.3">
      <c r="I10667" t="s">
        <v>17224</v>
      </c>
      <c r="J10667" t="s">
        <v>2967</v>
      </c>
    </row>
    <row r="10668" spans="9:10" x14ac:dyDescent="0.3">
      <c r="I10668" t="s">
        <v>17224</v>
      </c>
      <c r="J10668" t="s">
        <v>2967</v>
      </c>
    </row>
    <row r="10669" spans="9:10" x14ac:dyDescent="0.3">
      <c r="I10669" t="s">
        <v>17225</v>
      </c>
      <c r="J10669" t="s">
        <v>4159</v>
      </c>
    </row>
    <row r="10670" spans="9:10" x14ac:dyDescent="0.3">
      <c r="I10670" t="s">
        <v>17226</v>
      </c>
      <c r="J10670" t="s">
        <v>4160</v>
      </c>
    </row>
    <row r="10671" spans="9:10" x14ac:dyDescent="0.3">
      <c r="I10671" t="s">
        <v>17226</v>
      </c>
      <c r="J10671" t="s">
        <v>4160</v>
      </c>
    </row>
    <row r="10672" spans="9:10" x14ac:dyDescent="0.3">
      <c r="I10672" t="s">
        <v>17227</v>
      </c>
      <c r="J10672" t="s">
        <v>4161</v>
      </c>
    </row>
    <row r="10673" spans="9:10" x14ac:dyDescent="0.3">
      <c r="I10673" t="s">
        <v>17228</v>
      </c>
      <c r="J10673" t="s">
        <v>4162</v>
      </c>
    </row>
    <row r="10674" spans="9:10" x14ac:dyDescent="0.3">
      <c r="I10674" t="s">
        <v>17228</v>
      </c>
      <c r="J10674" t="s">
        <v>4162</v>
      </c>
    </row>
    <row r="10675" spans="9:10" x14ac:dyDescent="0.3">
      <c r="I10675" t="s">
        <v>17228</v>
      </c>
      <c r="J10675" t="s">
        <v>4162</v>
      </c>
    </row>
    <row r="10676" spans="9:10" x14ac:dyDescent="0.3">
      <c r="I10676" t="s">
        <v>17228</v>
      </c>
      <c r="J10676" t="s">
        <v>4162</v>
      </c>
    </row>
    <row r="10677" spans="9:10" x14ac:dyDescent="0.3">
      <c r="I10677" t="s">
        <v>17228</v>
      </c>
      <c r="J10677" t="s">
        <v>4162</v>
      </c>
    </row>
    <row r="10678" spans="9:10" x14ac:dyDescent="0.3">
      <c r="I10678" t="s">
        <v>17228</v>
      </c>
      <c r="J10678" t="s">
        <v>4162</v>
      </c>
    </row>
    <row r="10679" spans="9:10" x14ac:dyDescent="0.3">
      <c r="I10679" t="s">
        <v>17229</v>
      </c>
      <c r="J10679" t="s">
        <v>4162</v>
      </c>
    </row>
    <row r="10680" spans="9:10" x14ac:dyDescent="0.3">
      <c r="I10680" t="s">
        <v>17228</v>
      </c>
      <c r="J10680" t="s">
        <v>4162</v>
      </c>
    </row>
    <row r="10681" spans="9:10" x14ac:dyDescent="0.3">
      <c r="I10681" t="s">
        <v>17228</v>
      </c>
      <c r="J10681" t="s">
        <v>4162</v>
      </c>
    </row>
    <row r="10682" spans="9:10" x14ac:dyDescent="0.3">
      <c r="I10682" t="s">
        <v>17228</v>
      </c>
      <c r="J10682" t="s">
        <v>4162</v>
      </c>
    </row>
    <row r="10683" spans="9:10" x14ac:dyDescent="0.3">
      <c r="I10683" t="s">
        <v>17230</v>
      </c>
      <c r="J10683" t="s">
        <v>4163</v>
      </c>
    </row>
    <row r="10684" spans="9:10" x14ac:dyDescent="0.3">
      <c r="I10684" t="s">
        <v>17230</v>
      </c>
      <c r="J10684" t="s">
        <v>4163</v>
      </c>
    </row>
    <row r="10685" spans="9:10" x14ac:dyDescent="0.3">
      <c r="I10685" t="s">
        <v>17231</v>
      </c>
      <c r="J10685" t="s">
        <v>4164</v>
      </c>
    </row>
    <row r="10686" spans="9:10" x14ac:dyDescent="0.3">
      <c r="I10686" t="s">
        <v>17231</v>
      </c>
      <c r="J10686" t="s">
        <v>4164</v>
      </c>
    </row>
    <row r="10687" spans="9:10" x14ac:dyDescent="0.3">
      <c r="I10687" t="s">
        <v>17232</v>
      </c>
      <c r="J10687" t="s">
        <v>4165</v>
      </c>
    </row>
    <row r="10688" spans="9:10" x14ac:dyDescent="0.3">
      <c r="I10688" t="s">
        <v>17232</v>
      </c>
      <c r="J10688" t="s">
        <v>4165</v>
      </c>
    </row>
    <row r="10689" spans="9:10" x14ac:dyDescent="0.3">
      <c r="I10689" t="s">
        <v>17233</v>
      </c>
      <c r="J10689" t="s">
        <v>4165</v>
      </c>
    </row>
    <row r="10690" spans="9:10" x14ac:dyDescent="0.3">
      <c r="I10690" t="s">
        <v>17232</v>
      </c>
      <c r="J10690" t="s">
        <v>4165</v>
      </c>
    </row>
    <row r="10691" spans="9:10" x14ac:dyDescent="0.3">
      <c r="I10691" t="s">
        <v>17232</v>
      </c>
      <c r="J10691" t="s">
        <v>4165</v>
      </c>
    </row>
    <row r="10692" spans="9:10" x14ac:dyDescent="0.3">
      <c r="I10692" t="s">
        <v>17232</v>
      </c>
      <c r="J10692" t="s">
        <v>4165</v>
      </c>
    </row>
    <row r="10693" spans="9:10" x14ac:dyDescent="0.3">
      <c r="I10693" t="s">
        <v>17232</v>
      </c>
      <c r="J10693" t="s">
        <v>4165</v>
      </c>
    </row>
    <row r="10694" spans="9:10" x14ac:dyDescent="0.3">
      <c r="I10694" t="s">
        <v>17234</v>
      </c>
    </row>
    <row r="10695" spans="9:10" x14ac:dyDescent="0.3">
      <c r="I10695" t="s">
        <v>17235</v>
      </c>
    </row>
    <row r="10696" spans="9:10" x14ac:dyDescent="0.3">
      <c r="I10696" t="s">
        <v>17236</v>
      </c>
    </row>
    <row r="10697" spans="9:10" x14ac:dyDescent="0.3">
      <c r="I10697" t="s">
        <v>17236</v>
      </c>
    </row>
    <row r="10698" spans="9:10" x14ac:dyDescent="0.3">
      <c r="I10698" t="s">
        <v>17236</v>
      </c>
    </row>
    <row r="10699" spans="9:10" x14ac:dyDescent="0.3">
      <c r="I10699" t="s">
        <v>17237</v>
      </c>
      <c r="J10699" t="s">
        <v>4166</v>
      </c>
    </row>
    <row r="10700" spans="9:10" x14ac:dyDescent="0.3">
      <c r="I10700" t="s">
        <v>17238</v>
      </c>
      <c r="J10700" t="s">
        <v>4167</v>
      </c>
    </row>
    <row r="10701" spans="9:10" x14ac:dyDescent="0.3">
      <c r="I10701" t="s">
        <v>17238</v>
      </c>
      <c r="J10701" t="s">
        <v>4167</v>
      </c>
    </row>
    <row r="10702" spans="9:10" x14ac:dyDescent="0.3">
      <c r="I10702" t="s">
        <v>17239</v>
      </c>
      <c r="J10702" t="s">
        <v>4168</v>
      </c>
    </row>
    <row r="10703" spans="9:10" x14ac:dyDescent="0.3">
      <c r="I10703" t="s">
        <v>17240</v>
      </c>
      <c r="J10703" t="s">
        <v>4169</v>
      </c>
    </row>
    <row r="10704" spans="9:10" x14ac:dyDescent="0.3">
      <c r="I10704" t="s">
        <v>17241</v>
      </c>
      <c r="J10704" t="s">
        <v>4169</v>
      </c>
    </row>
    <row r="10705" spans="9:10" x14ac:dyDescent="0.3">
      <c r="I10705" t="s">
        <v>17241</v>
      </c>
      <c r="J10705" t="s">
        <v>4169</v>
      </c>
    </row>
    <row r="10706" spans="9:10" x14ac:dyDescent="0.3">
      <c r="I10706" t="s">
        <v>17242</v>
      </c>
      <c r="J10706" t="s">
        <v>4170</v>
      </c>
    </row>
    <row r="10707" spans="9:10" x14ac:dyDescent="0.3">
      <c r="I10707" t="s">
        <v>17242</v>
      </c>
      <c r="J10707" t="s">
        <v>4170</v>
      </c>
    </row>
    <row r="10708" spans="9:10" x14ac:dyDescent="0.3">
      <c r="I10708" t="s">
        <v>17243</v>
      </c>
      <c r="J10708" t="s">
        <v>4171</v>
      </c>
    </row>
    <row r="10709" spans="9:10" x14ac:dyDescent="0.3">
      <c r="I10709" t="s">
        <v>17244</v>
      </c>
      <c r="J10709" t="s">
        <v>4171</v>
      </c>
    </row>
    <row r="10710" spans="9:10" x14ac:dyDescent="0.3">
      <c r="I10710" t="s">
        <v>17244</v>
      </c>
      <c r="J10710" t="s">
        <v>4171</v>
      </c>
    </row>
    <row r="10711" spans="9:10" x14ac:dyDescent="0.3">
      <c r="I10711" t="s">
        <v>17244</v>
      </c>
      <c r="J10711" t="s">
        <v>4171</v>
      </c>
    </row>
    <row r="10712" spans="9:10" x14ac:dyDescent="0.3">
      <c r="I10712" t="s">
        <v>17245</v>
      </c>
      <c r="J10712" t="s">
        <v>4171</v>
      </c>
    </row>
    <row r="10713" spans="9:10" x14ac:dyDescent="0.3">
      <c r="I10713" t="s">
        <v>17244</v>
      </c>
      <c r="J10713" t="s">
        <v>4171</v>
      </c>
    </row>
    <row r="10714" spans="9:10" x14ac:dyDescent="0.3">
      <c r="I10714" t="s">
        <v>17244</v>
      </c>
      <c r="J10714" t="s">
        <v>4171</v>
      </c>
    </row>
    <row r="10715" spans="9:10" x14ac:dyDescent="0.3">
      <c r="I10715" t="s">
        <v>17244</v>
      </c>
      <c r="J10715" t="s">
        <v>4171</v>
      </c>
    </row>
    <row r="10716" spans="9:10" x14ac:dyDescent="0.3">
      <c r="I10716" t="s">
        <v>17243</v>
      </c>
      <c r="J10716" t="s">
        <v>4171</v>
      </c>
    </row>
    <row r="10717" spans="9:10" x14ac:dyDescent="0.3">
      <c r="I10717" t="s">
        <v>17245</v>
      </c>
      <c r="J10717" t="s">
        <v>4171</v>
      </c>
    </row>
    <row r="10718" spans="9:10" x14ac:dyDescent="0.3">
      <c r="I10718" t="s">
        <v>17246</v>
      </c>
    </row>
    <row r="10719" spans="9:10" x14ac:dyDescent="0.3">
      <c r="I10719" t="s">
        <v>17247</v>
      </c>
    </row>
    <row r="10720" spans="9:10" x14ac:dyDescent="0.3">
      <c r="I10720" t="s">
        <v>17248</v>
      </c>
    </row>
    <row r="10721" spans="9:10" x14ac:dyDescent="0.3">
      <c r="I10721" t="s">
        <v>17249</v>
      </c>
      <c r="J10721" t="s">
        <v>4172</v>
      </c>
    </row>
    <row r="10722" spans="9:10" x14ac:dyDescent="0.3">
      <c r="I10722" t="s">
        <v>17250</v>
      </c>
      <c r="J10722" t="s">
        <v>4173</v>
      </c>
    </row>
    <row r="10723" spans="9:10" x14ac:dyDescent="0.3">
      <c r="I10723" t="s">
        <v>17250</v>
      </c>
      <c r="J10723" t="s">
        <v>4173</v>
      </c>
    </row>
    <row r="10724" spans="9:10" x14ac:dyDescent="0.3">
      <c r="I10724" t="s">
        <v>17250</v>
      </c>
      <c r="J10724" t="s">
        <v>4173</v>
      </c>
    </row>
    <row r="10725" spans="9:10" x14ac:dyDescent="0.3">
      <c r="I10725" t="s">
        <v>17250</v>
      </c>
      <c r="J10725" t="s">
        <v>4173</v>
      </c>
    </row>
    <row r="10726" spans="9:10" x14ac:dyDescent="0.3">
      <c r="I10726" t="s">
        <v>17251</v>
      </c>
      <c r="J10726" t="s">
        <v>4174</v>
      </c>
    </row>
    <row r="10727" spans="9:10" x14ac:dyDescent="0.3">
      <c r="I10727" t="s">
        <v>17252</v>
      </c>
      <c r="J10727" t="s">
        <v>4175</v>
      </c>
    </row>
    <row r="10728" spans="9:10" x14ac:dyDescent="0.3">
      <c r="I10728" t="s">
        <v>17253</v>
      </c>
      <c r="J10728" t="s">
        <v>4175</v>
      </c>
    </row>
    <row r="10729" spans="9:10" x14ac:dyDescent="0.3">
      <c r="I10729" t="s">
        <v>17253</v>
      </c>
      <c r="J10729" t="s">
        <v>4175</v>
      </c>
    </row>
    <row r="10730" spans="9:10" x14ac:dyDescent="0.3">
      <c r="I10730" t="s">
        <v>17253</v>
      </c>
      <c r="J10730" t="s">
        <v>4175</v>
      </c>
    </row>
    <row r="10731" spans="9:10" x14ac:dyDescent="0.3">
      <c r="I10731" t="s">
        <v>17254</v>
      </c>
      <c r="J10731" t="s">
        <v>4176</v>
      </c>
    </row>
    <row r="10732" spans="9:10" x14ac:dyDescent="0.3">
      <c r="I10732" t="s">
        <v>17255</v>
      </c>
    </row>
    <row r="10733" spans="9:10" x14ac:dyDescent="0.3">
      <c r="I10733" t="s">
        <v>17256</v>
      </c>
    </row>
    <row r="10734" spans="9:10" x14ac:dyDescent="0.3">
      <c r="I10734" t="s">
        <v>17257</v>
      </c>
    </row>
    <row r="10735" spans="9:10" x14ac:dyDescent="0.3">
      <c r="I10735" t="s">
        <v>17258</v>
      </c>
    </row>
    <row r="10736" spans="9:10" x14ac:dyDescent="0.3">
      <c r="I10736" t="s">
        <v>17259</v>
      </c>
      <c r="J10736" t="s">
        <v>4177</v>
      </c>
    </row>
    <row r="10737" spans="9:10" x14ac:dyDescent="0.3">
      <c r="I10737" t="s">
        <v>17260</v>
      </c>
      <c r="J10737" t="s">
        <v>4178</v>
      </c>
    </row>
    <row r="10738" spans="9:10" x14ac:dyDescent="0.3">
      <c r="I10738" t="s">
        <v>17261</v>
      </c>
      <c r="J10738" t="s">
        <v>4178</v>
      </c>
    </row>
    <row r="10739" spans="9:10" x14ac:dyDescent="0.3">
      <c r="I10739" t="s">
        <v>17262</v>
      </c>
    </row>
    <row r="10740" spans="9:10" x14ac:dyDescent="0.3">
      <c r="I10740" t="s">
        <v>17263</v>
      </c>
      <c r="J10740">
        <v>0</v>
      </c>
    </row>
    <row r="10741" spans="9:10" x14ac:dyDescent="0.3">
      <c r="I10741" t="s">
        <v>17263</v>
      </c>
      <c r="J10741">
        <v>0</v>
      </c>
    </row>
    <row r="10742" spans="9:10" x14ac:dyDescent="0.3">
      <c r="I10742" t="s">
        <v>17263</v>
      </c>
      <c r="J10742">
        <v>0</v>
      </c>
    </row>
    <row r="10743" spans="9:10" x14ac:dyDescent="0.3">
      <c r="I10743" t="s">
        <v>17263</v>
      </c>
      <c r="J10743">
        <v>0</v>
      </c>
    </row>
    <row r="10744" spans="9:10" x14ac:dyDescent="0.3">
      <c r="I10744" t="s">
        <v>17263</v>
      </c>
      <c r="J10744">
        <v>0</v>
      </c>
    </row>
    <row r="10745" spans="9:10" x14ac:dyDescent="0.3">
      <c r="I10745" t="s">
        <v>17264</v>
      </c>
      <c r="J10745" t="s">
        <v>4179</v>
      </c>
    </row>
    <row r="10746" spans="9:10" x14ac:dyDescent="0.3">
      <c r="I10746" t="s">
        <v>17265</v>
      </c>
      <c r="J10746" t="s">
        <v>4180</v>
      </c>
    </row>
    <row r="10747" spans="9:10" x14ac:dyDescent="0.3">
      <c r="I10747" t="s">
        <v>17265</v>
      </c>
      <c r="J10747" t="s">
        <v>4180</v>
      </c>
    </row>
    <row r="10748" spans="9:10" x14ac:dyDescent="0.3">
      <c r="I10748" t="s">
        <v>17266</v>
      </c>
      <c r="J10748" t="s">
        <v>4181</v>
      </c>
    </row>
    <row r="10749" spans="9:10" x14ac:dyDescent="0.3">
      <c r="I10749" t="s">
        <v>17266</v>
      </c>
      <c r="J10749" t="s">
        <v>4181</v>
      </c>
    </row>
    <row r="10750" spans="9:10" x14ac:dyDescent="0.3">
      <c r="I10750" t="s">
        <v>17267</v>
      </c>
      <c r="J10750" t="s">
        <v>4182</v>
      </c>
    </row>
    <row r="10751" spans="9:10" x14ac:dyDescent="0.3">
      <c r="I10751" t="s">
        <v>17268</v>
      </c>
      <c r="J10751" t="s">
        <v>4182</v>
      </c>
    </row>
    <row r="10752" spans="9:10" x14ac:dyDescent="0.3">
      <c r="I10752" t="s">
        <v>17268</v>
      </c>
      <c r="J10752" t="s">
        <v>4182</v>
      </c>
    </row>
    <row r="10753" spans="9:10" x14ac:dyDescent="0.3">
      <c r="I10753" t="s">
        <v>17268</v>
      </c>
      <c r="J10753" t="s">
        <v>4182</v>
      </c>
    </row>
    <row r="10754" spans="9:10" x14ac:dyDescent="0.3">
      <c r="I10754" t="s">
        <v>17268</v>
      </c>
      <c r="J10754" t="s">
        <v>4182</v>
      </c>
    </row>
    <row r="10755" spans="9:10" x14ac:dyDescent="0.3">
      <c r="I10755" t="s">
        <v>17268</v>
      </c>
      <c r="J10755" t="s">
        <v>4182</v>
      </c>
    </row>
    <row r="10756" spans="9:10" x14ac:dyDescent="0.3">
      <c r="I10756" t="s">
        <v>17268</v>
      </c>
      <c r="J10756" t="s">
        <v>4182</v>
      </c>
    </row>
    <row r="10757" spans="9:10" x14ac:dyDescent="0.3">
      <c r="I10757" t="s">
        <v>17269</v>
      </c>
      <c r="J10757" t="s">
        <v>4183</v>
      </c>
    </row>
    <row r="10758" spans="9:10" x14ac:dyDescent="0.3">
      <c r="I10758" t="s">
        <v>17270</v>
      </c>
      <c r="J10758" t="s">
        <v>4183</v>
      </c>
    </row>
    <row r="10759" spans="9:10" x14ac:dyDescent="0.3">
      <c r="I10759" t="s">
        <v>17271</v>
      </c>
      <c r="J10759" t="s">
        <v>4183</v>
      </c>
    </row>
    <row r="10760" spans="9:10" x14ac:dyDescent="0.3">
      <c r="I10760" t="s">
        <v>17272</v>
      </c>
      <c r="J10760" t="s">
        <v>4183</v>
      </c>
    </row>
    <row r="10761" spans="9:10" x14ac:dyDescent="0.3">
      <c r="I10761" t="s">
        <v>17273</v>
      </c>
      <c r="J10761" t="s">
        <v>4183</v>
      </c>
    </row>
    <row r="10762" spans="9:10" x14ac:dyDescent="0.3">
      <c r="I10762" t="s">
        <v>17274</v>
      </c>
      <c r="J10762" t="s">
        <v>4183</v>
      </c>
    </row>
    <row r="10763" spans="9:10" x14ac:dyDescent="0.3">
      <c r="I10763" t="s">
        <v>17275</v>
      </c>
      <c r="J10763" t="s">
        <v>4183</v>
      </c>
    </row>
    <row r="10764" spans="9:10" x14ac:dyDescent="0.3">
      <c r="I10764" t="s">
        <v>17275</v>
      </c>
      <c r="J10764" t="s">
        <v>4183</v>
      </c>
    </row>
    <row r="10765" spans="9:10" x14ac:dyDescent="0.3">
      <c r="I10765" t="s">
        <v>17275</v>
      </c>
      <c r="J10765" t="s">
        <v>4183</v>
      </c>
    </row>
    <row r="10766" spans="9:10" x14ac:dyDescent="0.3">
      <c r="I10766" t="s">
        <v>17275</v>
      </c>
      <c r="J10766" t="s">
        <v>4183</v>
      </c>
    </row>
    <row r="10767" spans="9:10" x14ac:dyDescent="0.3">
      <c r="I10767" t="s">
        <v>17271</v>
      </c>
      <c r="J10767" t="s">
        <v>4183</v>
      </c>
    </row>
    <row r="10768" spans="9:10" x14ac:dyDescent="0.3">
      <c r="I10768" t="s">
        <v>17276</v>
      </c>
      <c r="J10768" t="s">
        <v>4183</v>
      </c>
    </row>
    <row r="10769" spans="9:10" x14ac:dyDescent="0.3">
      <c r="I10769" t="s">
        <v>17270</v>
      </c>
      <c r="J10769" t="s">
        <v>4183</v>
      </c>
    </row>
    <row r="10770" spans="9:10" x14ac:dyDescent="0.3">
      <c r="I10770" t="s">
        <v>17269</v>
      </c>
      <c r="J10770" t="s">
        <v>4183</v>
      </c>
    </row>
    <row r="10771" spans="9:10" x14ac:dyDescent="0.3">
      <c r="I10771" t="s">
        <v>17277</v>
      </c>
      <c r="J10771" t="s">
        <v>4183</v>
      </c>
    </row>
    <row r="10772" spans="9:10" x14ac:dyDescent="0.3">
      <c r="I10772" t="s">
        <v>17275</v>
      </c>
      <c r="J10772" t="s">
        <v>4183</v>
      </c>
    </row>
    <row r="10773" spans="9:10" x14ac:dyDescent="0.3">
      <c r="I10773" t="s">
        <v>17275</v>
      </c>
      <c r="J10773" t="s">
        <v>4183</v>
      </c>
    </row>
    <row r="10774" spans="9:10" x14ac:dyDescent="0.3">
      <c r="I10774" t="s">
        <v>17275</v>
      </c>
      <c r="J10774" t="s">
        <v>4183</v>
      </c>
    </row>
    <row r="10775" spans="9:10" x14ac:dyDescent="0.3">
      <c r="I10775" t="s">
        <v>17278</v>
      </c>
      <c r="J10775" t="s">
        <v>4183</v>
      </c>
    </row>
    <row r="10776" spans="9:10" x14ac:dyDescent="0.3">
      <c r="I10776" t="s">
        <v>17275</v>
      </c>
      <c r="J10776" t="s">
        <v>4183</v>
      </c>
    </row>
    <row r="10777" spans="9:10" x14ac:dyDescent="0.3">
      <c r="I10777" t="s">
        <v>17275</v>
      </c>
      <c r="J10777" t="s">
        <v>4183</v>
      </c>
    </row>
    <row r="10778" spans="9:10" x14ac:dyDescent="0.3">
      <c r="I10778" t="s">
        <v>17275</v>
      </c>
      <c r="J10778" t="s">
        <v>4183</v>
      </c>
    </row>
    <row r="10779" spans="9:10" x14ac:dyDescent="0.3">
      <c r="I10779" t="s">
        <v>17279</v>
      </c>
      <c r="J10779" t="s">
        <v>4183</v>
      </c>
    </row>
    <row r="10780" spans="9:10" x14ac:dyDescent="0.3">
      <c r="I10780" t="s">
        <v>17272</v>
      </c>
      <c r="J10780" t="s">
        <v>4183</v>
      </c>
    </row>
    <row r="10781" spans="9:10" x14ac:dyDescent="0.3">
      <c r="I10781" t="s">
        <v>17275</v>
      </c>
      <c r="J10781" t="s">
        <v>4183</v>
      </c>
    </row>
    <row r="10782" spans="9:10" x14ac:dyDescent="0.3">
      <c r="I10782" t="s">
        <v>17280</v>
      </c>
    </row>
    <row r="10783" spans="9:10" x14ac:dyDescent="0.3">
      <c r="I10783" t="s">
        <v>17281</v>
      </c>
      <c r="J10783" t="s">
        <v>4184</v>
      </c>
    </row>
    <row r="10784" spans="9:10" x14ac:dyDescent="0.3">
      <c r="I10784" t="s">
        <v>17281</v>
      </c>
      <c r="J10784" t="s">
        <v>4184</v>
      </c>
    </row>
    <row r="10785" spans="9:10" x14ac:dyDescent="0.3">
      <c r="I10785" t="s">
        <v>17282</v>
      </c>
      <c r="J10785" t="s">
        <v>4185</v>
      </c>
    </row>
    <row r="10786" spans="9:10" x14ac:dyDescent="0.3">
      <c r="I10786" t="s">
        <v>17283</v>
      </c>
      <c r="J10786" t="s">
        <v>4185</v>
      </c>
    </row>
    <row r="10787" spans="9:10" x14ac:dyDescent="0.3">
      <c r="I10787" t="s">
        <v>17284</v>
      </c>
      <c r="J10787" t="s">
        <v>4185</v>
      </c>
    </row>
    <row r="10788" spans="9:10" x14ac:dyDescent="0.3">
      <c r="I10788" t="s">
        <v>17282</v>
      </c>
      <c r="J10788" t="s">
        <v>4185</v>
      </c>
    </row>
    <row r="10789" spans="9:10" x14ac:dyDescent="0.3">
      <c r="I10789" t="s">
        <v>17285</v>
      </c>
      <c r="J10789" t="s">
        <v>4186</v>
      </c>
    </row>
    <row r="10790" spans="9:10" x14ac:dyDescent="0.3">
      <c r="I10790" t="s">
        <v>17286</v>
      </c>
      <c r="J10790" t="s">
        <v>4186</v>
      </c>
    </row>
    <row r="10791" spans="9:10" x14ac:dyDescent="0.3">
      <c r="I10791" t="s">
        <v>17287</v>
      </c>
    </row>
    <row r="10792" spans="9:10" x14ac:dyDescent="0.3">
      <c r="I10792" t="s">
        <v>17288</v>
      </c>
    </row>
    <row r="10793" spans="9:10" x14ac:dyDescent="0.3">
      <c r="I10793" t="s">
        <v>17289</v>
      </c>
    </row>
    <row r="10794" spans="9:10" x14ac:dyDescent="0.3">
      <c r="I10794" t="s">
        <v>17289</v>
      </c>
    </row>
    <row r="10795" spans="9:10" x14ac:dyDescent="0.3">
      <c r="I10795" t="s">
        <v>17287</v>
      </c>
    </row>
    <row r="10796" spans="9:10" x14ac:dyDescent="0.3">
      <c r="I10796" t="s">
        <v>17289</v>
      </c>
    </row>
    <row r="10797" spans="9:10" x14ac:dyDescent="0.3">
      <c r="I10797" t="s">
        <v>17289</v>
      </c>
    </row>
    <row r="10798" spans="9:10" x14ac:dyDescent="0.3">
      <c r="I10798" t="s">
        <v>17289</v>
      </c>
    </row>
    <row r="10799" spans="9:10" x14ac:dyDescent="0.3">
      <c r="I10799" t="s">
        <v>17289</v>
      </c>
    </row>
    <row r="10800" spans="9:10" x14ac:dyDescent="0.3">
      <c r="I10800" t="s">
        <v>17290</v>
      </c>
      <c r="J10800" t="s">
        <v>4187</v>
      </c>
    </row>
    <row r="10801" spans="9:10" x14ac:dyDescent="0.3">
      <c r="I10801" t="s">
        <v>17290</v>
      </c>
      <c r="J10801" t="s">
        <v>4187</v>
      </c>
    </row>
    <row r="10802" spans="9:10" x14ac:dyDescent="0.3">
      <c r="I10802" t="s">
        <v>17291</v>
      </c>
    </row>
    <row r="10803" spans="9:10" x14ac:dyDescent="0.3">
      <c r="I10803" t="s">
        <v>17292</v>
      </c>
      <c r="J10803" t="s">
        <v>4188</v>
      </c>
    </row>
    <row r="10804" spans="9:10" x14ac:dyDescent="0.3">
      <c r="I10804" t="s">
        <v>17292</v>
      </c>
      <c r="J10804" t="s">
        <v>4188</v>
      </c>
    </row>
    <row r="10805" spans="9:10" x14ac:dyDescent="0.3">
      <c r="I10805" t="s">
        <v>17292</v>
      </c>
      <c r="J10805" t="s">
        <v>4188</v>
      </c>
    </row>
    <row r="10806" spans="9:10" x14ac:dyDescent="0.3">
      <c r="I10806" t="s">
        <v>17293</v>
      </c>
    </row>
    <row r="10807" spans="9:10" x14ac:dyDescent="0.3">
      <c r="I10807" t="s">
        <v>17293</v>
      </c>
    </row>
    <row r="10808" spans="9:10" x14ac:dyDescent="0.3">
      <c r="I10808" t="s">
        <v>17294</v>
      </c>
    </row>
    <row r="10809" spans="9:10" x14ac:dyDescent="0.3">
      <c r="I10809" t="s">
        <v>17295</v>
      </c>
    </row>
    <row r="10810" spans="9:10" x14ac:dyDescent="0.3">
      <c r="I10810" t="s">
        <v>17296</v>
      </c>
      <c r="J10810" t="s">
        <v>4189</v>
      </c>
    </row>
    <row r="10811" spans="9:10" x14ac:dyDescent="0.3">
      <c r="I10811" t="s">
        <v>17297</v>
      </c>
      <c r="J10811" t="s">
        <v>4190</v>
      </c>
    </row>
    <row r="10812" spans="9:10" x14ac:dyDescent="0.3">
      <c r="I10812" t="s">
        <v>17298</v>
      </c>
      <c r="J10812" t="s">
        <v>4190</v>
      </c>
    </row>
    <row r="10813" spans="9:10" x14ac:dyDescent="0.3">
      <c r="I10813" t="s">
        <v>17299</v>
      </c>
      <c r="J10813" t="s">
        <v>4190</v>
      </c>
    </row>
    <row r="10814" spans="9:10" x14ac:dyDescent="0.3">
      <c r="I10814" t="s">
        <v>17300</v>
      </c>
      <c r="J10814" t="s">
        <v>4190</v>
      </c>
    </row>
    <row r="10815" spans="9:10" x14ac:dyDescent="0.3">
      <c r="I10815" t="s">
        <v>17301</v>
      </c>
      <c r="J10815" t="s">
        <v>4191</v>
      </c>
    </row>
    <row r="10816" spans="9:10" x14ac:dyDescent="0.3">
      <c r="I10816" t="s">
        <v>17302</v>
      </c>
      <c r="J10816" t="s">
        <v>4192</v>
      </c>
    </row>
    <row r="10817" spans="9:10" x14ac:dyDescent="0.3">
      <c r="I10817" t="s">
        <v>17302</v>
      </c>
      <c r="J10817" t="s">
        <v>4192</v>
      </c>
    </row>
    <row r="10818" spans="9:10" x14ac:dyDescent="0.3">
      <c r="I10818" t="s">
        <v>17303</v>
      </c>
      <c r="J10818" t="s">
        <v>4193</v>
      </c>
    </row>
    <row r="10819" spans="9:10" x14ac:dyDescent="0.3">
      <c r="I10819" t="s">
        <v>17304</v>
      </c>
      <c r="J10819" t="s">
        <v>4193</v>
      </c>
    </row>
    <row r="10820" spans="9:10" x14ac:dyDescent="0.3">
      <c r="I10820" t="s">
        <v>17304</v>
      </c>
      <c r="J10820" t="s">
        <v>4193</v>
      </c>
    </row>
    <row r="10821" spans="9:10" x14ac:dyDescent="0.3">
      <c r="I10821" t="s">
        <v>17304</v>
      </c>
      <c r="J10821" t="s">
        <v>4193</v>
      </c>
    </row>
    <row r="10822" spans="9:10" x14ac:dyDescent="0.3">
      <c r="I10822" t="s">
        <v>17304</v>
      </c>
      <c r="J10822" t="s">
        <v>4193</v>
      </c>
    </row>
    <row r="10823" spans="9:10" x14ac:dyDescent="0.3">
      <c r="I10823" t="s">
        <v>17305</v>
      </c>
      <c r="J10823" t="s">
        <v>4194</v>
      </c>
    </row>
    <row r="10824" spans="9:10" x14ac:dyDescent="0.3">
      <c r="I10824" t="s">
        <v>17305</v>
      </c>
      <c r="J10824" t="s">
        <v>4194</v>
      </c>
    </row>
    <row r="10825" spans="9:10" x14ac:dyDescent="0.3">
      <c r="I10825" t="s">
        <v>17306</v>
      </c>
    </row>
    <row r="10826" spans="9:10" x14ac:dyDescent="0.3">
      <c r="I10826" t="s">
        <v>17307</v>
      </c>
    </row>
    <row r="10827" spans="9:10" x14ac:dyDescent="0.3">
      <c r="I10827" t="s">
        <v>17308</v>
      </c>
      <c r="J10827" t="s">
        <v>4195</v>
      </c>
    </row>
    <row r="10828" spans="9:10" x14ac:dyDescent="0.3">
      <c r="I10828" t="s">
        <v>17308</v>
      </c>
      <c r="J10828" t="s">
        <v>4195</v>
      </c>
    </row>
    <row r="10829" spans="9:10" x14ac:dyDescent="0.3">
      <c r="I10829" t="s">
        <v>17308</v>
      </c>
      <c r="J10829" t="s">
        <v>4195</v>
      </c>
    </row>
    <row r="10830" spans="9:10" x14ac:dyDescent="0.3">
      <c r="I10830" t="s">
        <v>17309</v>
      </c>
      <c r="J10830" t="s">
        <v>4196</v>
      </c>
    </row>
    <row r="10831" spans="9:10" x14ac:dyDescent="0.3">
      <c r="I10831" t="s">
        <v>17310</v>
      </c>
    </row>
    <row r="10832" spans="9:10" x14ac:dyDescent="0.3">
      <c r="I10832" t="s">
        <v>17310</v>
      </c>
    </row>
    <row r="10833" spans="9:10" x14ac:dyDescent="0.3">
      <c r="I10833" t="s">
        <v>17311</v>
      </c>
      <c r="J10833" t="s">
        <v>4197</v>
      </c>
    </row>
    <row r="10834" spans="9:10" x14ac:dyDescent="0.3">
      <c r="I10834" t="s">
        <v>17311</v>
      </c>
      <c r="J10834" t="s">
        <v>4197</v>
      </c>
    </row>
    <row r="10835" spans="9:10" x14ac:dyDescent="0.3">
      <c r="I10835" t="s">
        <v>17312</v>
      </c>
    </row>
    <row r="10836" spans="9:10" x14ac:dyDescent="0.3">
      <c r="I10836" t="s">
        <v>17313</v>
      </c>
      <c r="J10836" t="s">
        <v>4198</v>
      </c>
    </row>
    <row r="10837" spans="9:10" x14ac:dyDescent="0.3">
      <c r="I10837" t="s">
        <v>17314</v>
      </c>
    </row>
    <row r="10838" spans="9:10" x14ac:dyDescent="0.3">
      <c r="I10838" t="s">
        <v>17315</v>
      </c>
    </row>
    <row r="10839" spans="9:10" x14ac:dyDescent="0.3">
      <c r="I10839" t="s">
        <v>17315</v>
      </c>
    </row>
    <row r="10840" spans="9:10" x14ac:dyDescent="0.3">
      <c r="I10840" t="s">
        <v>17316</v>
      </c>
    </row>
    <row r="10841" spans="9:10" x14ac:dyDescent="0.3">
      <c r="I10841" t="s">
        <v>17317</v>
      </c>
      <c r="J10841" t="s">
        <v>4199</v>
      </c>
    </row>
    <row r="10842" spans="9:10" x14ac:dyDescent="0.3">
      <c r="I10842" t="s">
        <v>17318</v>
      </c>
      <c r="J10842" t="s">
        <v>4199</v>
      </c>
    </row>
    <row r="10843" spans="9:10" x14ac:dyDescent="0.3">
      <c r="I10843" t="s">
        <v>17319</v>
      </c>
      <c r="J10843" t="s">
        <v>4199</v>
      </c>
    </row>
    <row r="10844" spans="9:10" x14ac:dyDescent="0.3">
      <c r="I10844" t="s">
        <v>17318</v>
      </c>
      <c r="J10844" t="s">
        <v>4199</v>
      </c>
    </row>
    <row r="10845" spans="9:10" x14ac:dyDescent="0.3">
      <c r="I10845" t="s">
        <v>17320</v>
      </c>
    </row>
    <row r="10846" spans="9:10" x14ac:dyDescent="0.3">
      <c r="I10846" t="s">
        <v>17321</v>
      </c>
    </row>
    <row r="10847" spans="9:10" x14ac:dyDescent="0.3">
      <c r="I10847" t="s">
        <v>17322</v>
      </c>
      <c r="J10847" t="s">
        <v>4200</v>
      </c>
    </row>
    <row r="10848" spans="9:10" x14ac:dyDescent="0.3">
      <c r="I10848" t="s">
        <v>17322</v>
      </c>
      <c r="J10848" t="s">
        <v>4200</v>
      </c>
    </row>
    <row r="10849" spans="9:10" x14ac:dyDescent="0.3">
      <c r="I10849" t="s">
        <v>17322</v>
      </c>
      <c r="J10849" t="s">
        <v>4200</v>
      </c>
    </row>
    <row r="10850" spans="9:10" x14ac:dyDescent="0.3">
      <c r="I10850" t="s">
        <v>17322</v>
      </c>
      <c r="J10850" t="s">
        <v>4200</v>
      </c>
    </row>
    <row r="10851" spans="9:10" x14ac:dyDescent="0.3">
      <c r="I10851" t="s">
        <v>17322</v>
      </c>
      <c r="J10851" t="s">
        <v>4200</v>
      </c>
    </row>
    <row r="10852" spans="9:10" x14ac:dyDescent="0.3">
      <c r="I10852" t="s">
        <v>17322</v>
      </c>
      <c r="J10852" t="s">
        <v>4200</v>
      </c>
    </row>
    <row r="10853" spans="9:10" x14ac:dyDescent="0.3">
      <c r="I10853" t="s">
        <v>17322</v>
      </c>
      <c r="J10853" t="s">
        <v>4200</v>
      </c>
    </row>
    <row r="10854" spans="9:10" x14ac:dyDescent="0.3">
      <c r="I10854" t="s">
        <v>17322</v>
      </c>
      <c r="J10854" t="s">
        <v>4200</v>
      </c>
    </row>
    <row r="10855" spans="9:10" x14ac:dyDescent="0.3">
      <c r="I10855" t="s">
        <v>17323</v>
      </c>
    </row>
    <row r="10856" spans="9:10" x14ac:dyDescent="0.3">
      <c r="I10856" t="s">
        <v>17324</v>
      </c>
    </row>
    <row r="10857" spans="9:10" x14ac:dyDescent="0.3">
      <c r="I10857" t="s">
        <v>17324</v>
      </c>
    </row>
    <row r="10858" spans="9:10" x14ac:dyDescent="0.3">
      <c r="I10858" t="s">
        <v>17324</v>
      </c>
    </row>
    <row r="10859" spans="9:10" x14ac:dyDescent="0.3">
      <c r="I10859" t="s">
        <v>17325</v>
      </c>
    </row>
    <row r="10860" spans="9:10" x14ac:dyDescent="0.3">
      <c r="I10860" t="s">
        <v>17326</v>
      </c>
      <c r="J10860" t="s">
        <v>4201</v>
      </c>
    </row>
    <row r="10861" spans="9:10" x14ac:dyDescent="0.3">
      <c r="I10861" t="s">
        <v>17327</v>
      </c>
      <c r="J10861" t="s">
        <v>4201</v>
      </c>
    </row>
    <row r="10862" spans="9:10" x14ac:dyDescent="0.3">
      <c r="I10862" t="s">
        <v>17328</v>
      </c>
      <c r="J10862" t="s">
        <v>4201</v>
      </c>
    </row>
    <row r="10863" spans="9:10" x14ac:dyDescent="0.3">
      <c r="I10863" t="s">
        <v>17329</v>
      </c>
      <c r="J10863" t="s">
        <v>4201</v>
      </c>
    </row>
    <row r="10864" spans="9:10" x14ac:dyDescent="0.3">
      <c r="I10864" t="s">
        <v>17330</v>
      </c>
    </row>
    <row r="10865" spans="9:10" x14ac:dyDescent="0.3">
      <c r="I10865" t="s">
        <v>17331</v>
      </c>
    </row>
    <row r="10866" spans="9:10" x14ac:dyDescent="0.3">
      <c r="I10866" t="s">
        <v>17332</v>
      </c>
    </row>
    <row r="10867" spans="9:10" x14ac:dyDescent="0.3">
      <c r="I10867" t="s">
        <v>17332</v>
      </c>
    </row>
    <row r="10868" spans="9:10" x14ac:dyDescent="0.3">
      <c r="I10868" t="s">
        <v>17333</v>
      </c>
      <c r="J10868" t="s">
        <v>4202</v>
      </c>
    </row>
    <row r="10869" spans="9:10" x14ac:dyDescent="0.3">
      <c r="I10869" t="s">
        <v>17334</v>
      </c>
      <c r="J10869" t="s">
        <v>4202</v>
      </c>
    </row>
    <row r="10870" spans="9:10" x14ac:dyDescent="0.3">
      <c r="I10870" t="s">
        <v>17334</v>
      </c>
      <c r="J10870" t="s">
        <v>4202</v>
      </c>
    </row>
    <row r="10871" spans="9:10" x14ac:dyDescent="0.3">
      <c r="I10871" t="s">
        <v>17333</v>
      </c>
      <c r="J10871" t="s">
        <v>4202</v>
      </c>
    </row>
    <row r="10872" spans="9:10" x14ac:dyDescent="0.3">
      <c r="I10872" t="s">
        <v>17335</v>
      </c>
    </row>
    <row r="10873" spans="9:10" x14ac:dyDescent="0.3">
      <c r="I10873" t="s">
        <v>17336</v>
      </c>
      <c r="J10873" t="s">
        <v>4203</v>
      </c>
    </row>
    <row r="10874" spans="9:10" x14ac:dyDescent="0.3">
      <c r="I10874" t="s">
        <v>17336</v>
      </c>
      <c r="J10874" t="s">
        <v>4203</v>
      </c>
    </row>
    <row r="10875" spans="9:10" x14ac:dyDescent="0.3">
      <c r="I10875" t="s">
        <v>17336</v>
      </c>
      <c r="J10875" t="s">
        <v>4203</v>
      </c>
    </row>
    <row r="10876" spans="9:10" x14ac:dyDescent="0.3">
      <c r="I10876" t="s">
        <v>17337</v>
      </c>
      <c r="J10876" t="s">
        <v>4203</v>
      </c>
    </row>
    <row r="10877" spans="9:10" x14ac:dyDescent="0.3">
      <c r="I10877" t="s">
        <v>17338</v>
      </c>
      <c r="J10877" t="s">
        <v>4204</v>
      </c>
    </row>
    <row r="10878" spans="9:10" x14ac:dyDescent="0.3">
      <c r="I10878" t="s">
        <v>17339</v>
      </c>
      <c r="J10878" t="s">
        <v>4204</v>
      </c>
    </row>
    <row r="10879" spans="9:10" x14ac:dyDescent="0.3">
      <c r="I10879" t="s">
        <v>17340</v>
      </c>
    </row>
    <row r="10880" spans="9:10" x14ac:dyDescent="0.3">
      <c r="I10880" t="s">
        <v>17341</v>
      </c>
      <c r="J10880" t="s">
        <v>4205</v>
      </c>
    </row>
    <row r="10881" spans="9:10" x14ac:dyDescent="0.3">
      <c r="I10881" t="s">
        <v>17342</v>
      </c>
      <c r="J10881" t="s">
        <v>4205</v>
      </c>
    </row>
    <row r="10882" spans="9:10" x14ac:dyDescent="0.3">
      <c r="I10882" t="s">
        <v>17343</v>
      </c>
      <c r="J10882" t="s">
        <v>4205</v>
      </c>
    </row>
    <row r="10883" spans="9:10" x14ac:dyDescent="0.3">
      <c r="I10883" t="s">
        <v>17344</v>
      </c>
    </row>
    <row r="10884" spans="9:10" x14ac:dyDescent="0.3">
      <c r="I10884" t="s">
        <v>17345</v>
      </c>
      <c r="J10884" t="s">
        <v>4206</v>
      </c>
    </row>
    <row r="10885" spans="9:10" x14ac:dyDescent="0.3">
      <c r="I10885" t="s">
        <v>17346</v>
      </c>
      <c r="J10885" t="s">
        <v>4207</v>
      </c>
    </row>
    <row r="10886" spans="9:10" x14ac:dyDescent="0.3">
      <c r="I10886" t="s">
        <v>17347</v>
      </c>
      <c r="J10886" t="s">
        <v>4207</v>
      </c>
    </row>
    <row r="10887" spans="9:10" x14ac:dyDescent="0.3">
      <c r="I10887" t="s">
        <v>17346</v>
      </c>
      <c r="J10887" t="s">
        <v>4207</v>
      </c>
    </row>
    <row r="10888" spans="9:10" x14ac:dyDescent="0.3">
      <c r="I10888" t="s">
        <v>17348</v>
      </c>
    </row>
    <row r="10889" spans="9:10" x14ac:dyDescent="0.3">
      <c r="I10889" t="s">
        <v>17349</v>
      </c>
    </row>
    <row r="10890" spans="9:10" x14ac:dyDescent="0.3">
      <c r="I10890" t="s">
        <v>17350</v>
      </c>
    </row>
    <row r="10891" spans="9:10" x14ac:dyDescent="0.3">
      <c r="I10891" t="s">
        <v>17351</v>
      </c>
      <c r="J10891" t="s">
        <v>4208</v>
      </c>
    </row>
    <row r="10892" spans="9:10" x14ac:dyDescent="0.3">
      <c r="I10892" t="s">
        <v>17352</v>
      </c>
      <c r="J10892" t="s">
        <v>4208</v>
      </c>
    </row>
    <row r="10893" spans="9:10" x14ac:dyDescent="0.3">
      <c r="I10893" t="s">
        <v>17353</v>
      </c>
    </row>
    <row r="10894" spans="9:10" x14ac:dyDescent="0.3">
      <c r="I10894" t="s">
        <v>17353</v>
      </c>
    </row>
    <row r="10895" spans="9:10" x14ac:dyDescent="0.3">
      <c r="I10895" t="s">
        <v>17354</v>
      </c>
    </row>
    <row r="10896" spans="9:10" x14ac:dyDescent="0.3">
      <c r="I10896" t="s">
        <v>17355</v>
      </c>
      <c r="J10896" t="s">
        <v>4209</v>
      </c>
    </row>
    <row r="10897" spans="9:10" x14ac:dyDescent="0.3">
      <c r="I10897" t="s">
        <v>17356</v>
      </c>
      <c r="J10897" t="s">
        <v>4209</v>
      </c>
    </row>
    <row r="10898" spans="9:10" x14ac:dyDescent="0.3">
      <c r="I10898" t="s">
        <v>17357</v>
      </c>
      <c r="J10898" t="s">
        <v>4209</v>
      </c>
    </row>
    <row r="10899" spans="9:10" x14ac:dyDescent="0.3">
      <c r="I10899" t="s">
        <v>17358</v>
      </c>
      <c r="J10899" t="s">
        <v>4210</v>
      </c>
    </row>
    <row r="10900" spans="9:10" x14ac:dyDescent="0.3">
      <c r="I10900" t="s">
        <v>17359</v>
      </c>
      <c r="J10900" t="s">
        <v>4211</v>
      </c>
    </row>
    <row r="10901" spans="9:10" x14ac:dyDescent="0.3">
      <c r="I10901" t="s">
        <v>17360</v>
      </c>
      <c r="J10901" t="s">
        <v>4211</v>
      </c>
    </row>
    <row r="10902" spans="9:10" x14ac:dyDescent="0.3">
      <c r="I10902" t="s">
        <v>17361</v>
      </c>
      <c r="J10902" t="s">
        <v>4212</v>
      </c>
    </row>
    <row r="10903" spans="9:10" x14ac:dyDescent="0.3">
      <c r="I10903" t="s">
        <v>17362</v>
      </c>
      <c r="J10903" t="s">
        <v>4212</v>
      </c>
    </row>
    <row r="10904" spans="9:10" x14ac:dyDescent="0.3">
      <c r="I10904" t="s">
        <v>17363</v>
      </c>
      <c r="J10904" t="s">
        <v>4213</v>
      </c>
    </row>
    <row r="10905" spans="9:10" x14ac:dyDescent="0.3">
      <c r="I10905" t="s">
        <v>17364</v>
      </c>
      <c r="J10905" t="s">
        <v>4214</v>
      </c>
    </row>
    <row r="10906" spans="9:10" x14ac:dyDescent="0.3">
      <c r="I10906" t="s">
        <v>17365</v>
      </c>
      <c r="J10906" t="s">
        <v>4215</v>
      </c>
    </row>
    <row r="10907" spans="9:10" x14ac:dyDescent="0.3">
      <c r="I10907" t="s">
        <v>17366</v>
      </c>
    </row>
    <row r="10908" spans="9:10" x14ac:dyDescent="0.3">
      <c r="I10908" t="s">
        <v>17366</v>
      </c>
    </row>
    <row r="10909" spans="9:10" x14ac:dyDescent="0.3">
      <c r="I10909" t="s">
        <v>17366</v>
      </c>
    </row>
    <row r="10910" spans="9:10" x14ac:dyDescent="0.3">
      <c r="I10910" t="s">
        <v>17367</v>
      </c>
    </row>
    <row r="10911" spans="9:10" x14ac:dyDescent="0.3">
      <c r="I10911" t="s">
        <v>17367</v>
      </c>
    </row>
    <row r="10912" spans="9:10" x14ac:dyDescent="0.3">
      <c r="I10912" t="s">
        <v>17367</v>
      </c>
    </row>
    <row r="10913" spans="9:10" x14ac:dyDescent="0.3">
      <c r="I10913" t="s">
        <v>17367</v>
      </c>
    </row>
    <row r="10914" spans="9:10" x14ac:dyDescent="0.3">
      <c r="I10914" t="s">
        <v>17367</v>
      </c>
    </row>
    <row r="10915" spans="9:10" x14ac:dyDescent="0.3">
      <c r="I10915" t="s">
        <v>17367</v>
      </c>
    </row>
    <row r="10916" spans="9:10" x14ac:dyDescent="0.3">
      <c r="I10916" t="s">
        <v>17368</v>
      </c>
    </row>
    <row r="10917" spans="9:10" x14ac:dyDescent="0.3">
      <c r="I10917" t="s">
        <v>17368</v>
      </c>
    </row>
    <row r="10918" spans="9:10" x14ac:dyDescent="0.3">
      <c r="I10918" t="s">
        <v>17368</v>
      </c>
    </row>
    <row r="10919" spans="9:10" x14ac:dyDescent="0.3">
      <c r="I10919" t="s">
        <v>17369</v>
      </c>
    </row>
    <row r="10920" spans="9:10" x14ac:dyDescent="0.3">
      <c r="I10920" t="s">
        <v>17370</v>
      </c>
      <c r="J10920" t="s">
        <v>4216</v>
      </c>
    </row>
    <row r="10921" spans="9:10" x14ac:dyDescent="0.3">
      <c r="I10921" t="s">
        <v>17370</v>
      </c>
      <c r="J10921" t="s">
        <v>4216</v>
      </c>
    </row>
    <row r="10922" spans="9:10" x14ac:dyDescent="0.3">
      <c r="I10922" t="s">
        <v>17370</v>
      </c>
      <c r="J10922" t="s">
        <v>4216</v>
      </c>
    </row>
    <row r="10923" spans="9:10" x14ac:dyDescent="0.3">
      <c r="I10923" t="s">
        <v>17370</v>
      </c>
      <c r="J10923" t="s">
        <v>4216</v>
      </c>
    </row>
    <row r="10924" spans="9:10" x14ac:dyDescent="0.3">
      <c r="I10924" t="s">
        <v>17370</v>
      </c>
      <c r="J10924" t="s">
        <v>4216</v>
      </c>
    </row>
    <row r="10925" spans="9:10" x14ac:dyDescent="0.3">
      <c r="I10925" t="s">
        <v>17370</v>
      </c>
      <c r="J10925" t="s">
        <v>4216</v>
      </c>
    </row>
    <row r="10926" spans="9:10" x14ac:dyDescent="0.3">
      <c r="I10926" t="s">
        <v>17371</v>
      </c>
      <c r="J10926">
        <v>0</v>
      </c>
    </row>
    <row r="10927" spans="9:10" x14ac:dyDescent="0.3">
      <c r="I10927" t="s">
        <v>17371</v>
      </c>
      <c r="J10927">
        <v>0</v>
      </c>
    </row>
    <row r="10928" spans="9:10" x14ac:dyDescent="0.3">
      <c r="I10928" t="s">
        <v>17371</v>
      </c>
      <c r="J10928">
        <v>0</v>
      </c>
    </row>
    <row r="10929" spans="9:10" x14ac:dyDescent="0.3">
      <c r="I10929" t="s">
        <v>17372</v>
      </c>
      <c r="J10929" t="s">
        <v>4217</v>
      </c>
    </row>
    <row r="10930" spans="9:10" x14ac:dyDescent="0.3">
      <c r="I10930" t="s">
        <v>17373</v>
      </c>
      <c r="J10930" t="s">
        <v>4217</v>
      </c>
    </row>
    <row r="10931" spans="9:10" x14ac:dyDescent="0.3">
      <c r="I10931" t="s">
        <v>17374</v>
      </c>
    </row>
    <row r="10932" spans="9:10" x14ac:dyDescent="0.3">
      <c r="I10932" t="s">
        <v>17375</v>
      </c>
      <c r="J10932" t="s">
        <v>4218</v>
      </c>
    </row>
    <row r="10933" spans="9:10" x14ac:dyDescent="0.3">
      <c r="I10933" t="s">
        <v>17376</v>
      </c>
      <c r="J10933" t="s">
        <v>4219</v>
      </c>
    </row>
    <row r="10934" spans="9:10" x14ac:dyDescent="0.3">
      <c r="I10934" t="s">
        <v>17376</v>
      </c>
      <c r="J10934" t="s">
        <v>4219</v>
      </c>
    </row>
    <row r="10935" spans="9:10" x14ac:dyDescent="0.3">
      <c r="I10935" t="s">
        <v>17377</v>
      </c>
      <c r="J10935" t="s">
        <v>4219</v>
      </c>
    </row>
    <row r="10936" spans="9:10" x14ac:dyDescent="0.3">
      <c r="I10936" t="s">
        <v>17378</v>
      </c>
      <c r="J10936" t="s">
        <v>4220</v>
      </c>
    </row>
    <row r="10937" spans="9:10" x14ac:dyDescent="0.3">
      <c r="I10937" t="s">
        <v>17379</v>
      </c>
      <c r="J10937" t="s">
        <v>4221</v>
      </c>
    </row>
    <row r="10938" spans="9:10" x14ac:dyDescent="0.3">
      <c r="I10938" t="s">
        <v>17380</v>
      </c>
    </row>
    <row r="10939" spans="9:10" x14ac:dyDescent="0.3">
      <c r="I10939" t="s">
        <v>17381</v>
      </c>
      <c r="J10939" t="s">
        <v>4222</v>
      </c>
    </row>
    <row r="10940" spans="9:10" x14ac:dyDescent="0.3">
      <c r="I10940" t="s">
        <v>17382</v>
      </c>
      <c r="J10940" t="s">
        <v>4222</v>
      </c>
    </row>
    <row r="10941" spans="9:10" x14ac:dyDescent="0.3">
      <c r="I10941" t="s">
        <v>17383</v>
      </c>
      <c r="J10941" t="s">
        <v>4222</v>
      </c>
    </row>
    <row r="10942" spans="9:10" x14ac:dyDescent="0.3">
      <c r="I10942" t="s">
        <v>17384</v>
      </c>
      <c r="J10942" t="s">
        <v>4223</v>
      </c>
    </row>
    <row r="10943" spans="9:10" x14ac:dyDescent="0.3">
      <c r="I10943" t="s">
        <v>17384</v>
      </c>
      <c r="J10943" t="s">
        <v>4223</v>
      </c>
    </row>
    <row r="10944" spans="9:10" x14ac:dyDescent="0.3">
      <c r="I10944" t="s">
        <v>17384</v>
      </c>
      <c r="J10944" t="s">
        <v>4223</v>
      </c>
    </row>
    <row r="10945" spans="9:10" x14ac:dyDescent="0.3">
      <c r="I10945" t="s">
        <v>17385</v>
      </c>
      <c r="J10945" t="s">
        <v>4224</v>
      </c>
    </row>
    <row r="10946" spans="9:10" x14ac:dyDescent="0.3">
      <c r="I10946" t="s">
        <v>17385</v>
      </c>
      <c r="J10946" t="s">
        <v>4224</v>
      </c>
    </row>
    <row r="10947" spans="9:10" x14ac:dyDescent="0.3">
      <c r="I10947" t="s">
        <v>17385</v>
      </c>
      <c r="J10947" t="s">
        <v>4224</v>
      </c>
    </row>
    <row r="10948" spans="9:10" x14ac:dyDescent="0.3">
      <c r="I10948" t="s">
        <v>17386</v>
      </c>
      <c r="J10948" t="s">
        <v>4225</v>
      </c>
    </row>
    <row r="10949" spans="9:10" x14ac:dyDescent="0.3">
      <c r="I10949" t="s">
        <v>17387</v>
      </c>
    </row>
    <row r="10950" spans="9:10" x14ac:dyDescent="0.3">
      <c r="I10950" t="s">
        <v>17388</v>
      </c>
      <c r="J10950">
        <v>0</v>
      </c>
    </row>
    <row r="10951" spans="9:10" x14ac:dyDescent="0.3">
      <c r="I10951" t="s">
        <v>17388</v>
      </c>
      <c r="J10951">
        <v>0</v>
      </c>
    </row>
    <row r="10952" spans="9:10" x14ac:dyDescent="0.3">
      <c r="I10952" t="s">
        <v>17389</v>
      </c>
      <c r="J10952" t="s">
        <v>4226</v>
      </c>
    </row>
    <row r="10953" spans="9:10" x14ac:dyDescent="0.3">
      <c r="I10953" t="s">
        <v>17390</v>
      </c>
    </row>
    <row r="10954" spans="9:10" x14ac:dyDescent="0.3">
      <c r="I10954" t="s">
        <v>17391</v>
      </c>
    </row>
    <row r="10955" spans="9:10" x14ac:dyDescent="0.3">
      <c r="I10955" t="s">
        <v>17391</v>
      </c>
    </row>
    <row r="10956" spans="9:10" x14ac:dyDescent="0.3">
      <c r="I10956" t="s">
        <v>17392</v>
      </c>
      <c r="J10956" t="s">
        <v>4227</v>
      </c>
    </row>
    <row r="10957" spans="9:10" x14ac:dyDescent="0.3">
      <c r="I10957" t="s">
        <v>17392</v>
      </c>
      <c r="J10957" t="s">
        <v>4227</v>
      </c>
    </row>
    <row r="10958" spans="9:10" x14ac:dyDescent="0.3">
      <c r="I10958" t="s">
        <v>17393</v>
      </c>
      <c r="J10958" t="s">
        <v>4228</v>
      </c>
    </row>
    <row r="10959" spans="9:10" x14ac:dyDescent="0.3">
      <c r="I10959" t="s">
        <v>17394</v>
      </c>
      <c r="J10959" t="s">
        <v>4229</v>
      </c>
    </row>
    <row r="10960" spans="9:10" x14ac:dyDescent="0.3">
      <c r="I10960" t="s">
        <v>17395</v>
      </c>
      <c r="J10960" t="s">
        <v>4230</v>
      </c>
    </row>
    <row r="10961" spans="9:10" x14ac:dyDescent="0.3">
      <c r="I10961" t="s">
        <v>17396</v>
      </c>
      <c r="J10961" t="s">
        <v>4231</v>
      </c>
    </row>
    <row r="10962" spans="9:10" x14ac:dyDescent="0.3">
      <c r="I10962" t="s">
        <v>17396</v>
      </c>
      <c r="J10962" t="s">
        <v>4231</v>
      </c>
    </row>
    <row r="10963" spans="9:10" x14ac:dyDescent="0.3">
      <c r="I10963" t="s">
        <v>17396</v>
      </c>
      <c r="J10963" t="s">
        <v>4231</v>
      </c>
    </row>
    <row r="10964" spans="9:10" x14ac:dyDescent="0.3">
      <c r="I10964" t="s">
        <v>17396</v>
      </c>
      <c r="J10964" t="s">
        <v>4231</v>
      </c>
    </row>
    <row r="10965" spans="9:10" x14ac:dyDescent="0.3">
      <c r="I10965" t="s">
        <v>17397</v>
      </c>
    </row>
    <row r="10966" spans="9:10" x14ac:dyDescent="0.3">
      <c r="I10966" t="s">
        <v>17398</v>
      </c>
    </row>
    <row r="10967" spans="9:10" x14ac:dyDescent="0.3">
      <c r="I10967" t="s">
        <v>17399</v>
      </c>
      <c r="J10967" t="s">
        <v>4232</v>
      </c>
    </row>
    <row r="10968" spans="9:10" x14ac:dyDescent="0.3">
      <c r="I10968" t="s">
        <v>17400</v>
      </c>
      <c r="J10968" t="s">
        <v>4232</v>
      </c>
    </row>
    <row r="10969" spans="9:10" x14ac:dyDescent="0.3">
      <c r="I10969" t="s">
        <v>17399</v>
      </c>
      <c r="J10969" t="s">
        <v>4232</v>
      </c>
    </row>
    <row r="10970" spans="9:10" x14ac:dyDescent="0.3">
      <c r="I10970" t="s">
        <v>17399</v>
      </c>
      <c r="J10970" t="s">
        <v>4232</v>
      </c>
    </row>
    <row r="10971" spans="9:10" x14ac:dyDescent="0.3">
      <c r="I10971" t="s">
        <v>17401</v>
      </c>
      <c r="J10971" t="s">
        <v>841</v>
      </c>
    </row>
    <row r="10972" spans="9:10" x14ac:dyDescent="0.3">
      <c r="I10972" t="s">
        <v>17401</v>
      </c>
      <c r="J10972" t="s">
        <v>841</v>
      </c>
    </row>
    <row r="10973" spans="9:10" x14ac:dyDescent="0.3">
      <c r="I10973" t="s">
        <v>17401</v>
      </c>
      <c r="J10973" t="s">
        <v>841</v>
      </c>
    </row>
    <row r="10974" spans="9:10" x14ac:dyDescent="0.3">
      <c r="I10974" t="s">
        <v>17401</v>
      </c>
      <c r="J10974" t="s">
        <v>841</v>
      </c>
    </row>
    <row r="10975" spans="9:10" x14ac:dyDescent="0.3">
      <c r="I10975" t="s">
        <v>17402</v>
      </c>
      <c r="J10975" t="s">
        <v>4233</v>
      </c>
    </row>
    <row r="10976" spans="9:10" x14ac:dyDescent="0.3">
      <c r="I10976" t="s">
        <v>17403</v>
      </c>
      <c r="J10976" t="s">
        <v>4233</v>
      </c>
    </row>
    <row r="10977" spans="9:10" x14ac:dyDescent="0.3">
      <c r="I10977" t="s">
        <v>17404</v>
      </c>
      <c r="J10977" t="s">
        <v>4234</v>
      </c>
    </row>
    <row r="10978" spans="9:10" x14ac:dyDescent="0.3">
      <c r="I10978" t="s">
        <v>17404</v>
      </c>
      <c r="J10978" t="s">
        <v>4234</v>
      </c>
    </row>
    <row r="10979" spans="9:10" x14ac:dyDescent="0.3">
      <c r="I10979" t="s">
        <v>17405</v>
      </c>
      <c r="J10979" t="s">
        <v>4235</v>
      </c>
    </row>
    <row r="10980" spans="9:10" x14ac:dyDescent="0.3">
      <c r="I10980" t="s">
        <v>17406</v>
      </c>
    </row>
    <row r="10981" spans="9:10" x14ac:dyDescent="0.3">
      <c r="I10981" t="s">
        <v>17407</v>
      </c>
    </row>
    <row r="10982" spans="9:10" x14ac:dyDescent="0.3">
      <c r="I10982" t="s">
        <v>17408</v>
      </c>
      <c r="J10982" t="s">
        <v>4236</v>
      </c>
    </row>
    <row r="10983" spans="9:10" x14ac:dyDescent="0.3">
      <c r="I10983" t="s">
        <v>17408</v>
      </c>
      <c r="J10983" t="s">
        <v>4236</v>
      </c>
    </row>
    <row r="10984" spans="9:10" x14ac:dyDescent="0.3">
      <c r="I10984" t="s">
        <v>17408</v>
      </c>
      <c r="J10984" t="s">
        <v>4236</v>
      </c>
    </row>
    <row r="10985" spans="9:10" x14ac:dyDescent="0.3">
      <c r="I10985" t="s">
        <v>17409</v>
      </c>
      <c r="J10985" t="s">
        <v>4237</v>
      </c>
    </row>
    <row r="10986" spans="9:10" x14ac:dyDescent="0.3">
      <c r="I10986" t="s">
        <v>17410</v>
      </c>
      <c r="J10986" t="s">
        <v>4237</v>
      </c>
    </row>
    <row r="10987" spans="9:10" x14ac:dyDescent="0.3">
      <c r="I10987" t="s">
        <v>17411</v>
      </c>
      <c r="J10987" t="s">
        <v>4238</v>
      </c>
    </row>
    <row r="10988" spans="9:10" x14ac:dyDescent="0.3">
      <c r="I10988" t="s">
        <v>17412</v>
      </c>
      <c r="J10988" t="s">
        <v>4239</v>
      </c>
    </row>
    <row r="10989" spans="9:10" x14ac:dyDescent="0.3">
      <c r="I10989" t="s">
        <v>17412</v>
      </c>
      <c r="J10989" t="s">
        <v>4239</v>
      </c>
    </row>
    <row r="10990" spans="9:10" x14ac:dyDescent="0.3">
      <c r="I10990" t="s">
        <v>17413</v>
      </c>
      <c r="J10990" t="s">
        <v>4240</v>
      </c>
    </row>
    <row r="10991" spans="9:10" x14ac:dyDescent="0.3">
      <c r="I10991" t="s">
        <v>17413</v>
      </c>
      <c r="J10991" t="s">
        <v>4240</v>
      </c>
    </row>
    <row r="10992" spans="9:10" x14ac:dyDescent="0.3">
      <c r="I10992" t="s">
        <v>17414</v>
      </c>
      <c r="J10992" t="s">
        <v>4241</v>
      </c>
    </row>
    <row r="10993" spans="9:10" x14ac:dyDescent="0.3">
      <c r="I10993" t="s">
        <v>17414</v>
      </c>
      <c r="J10993" t="s">
        <v>4241</v>
      </c>
    </row>
    <row r="10994" spans="9:10" x14ac:dyDescent="0.3">
      <c r="I10994" t="s">
        <v>17415</v>
      </c>
      <c r="J10994" t="s">
        <v>4242</v>
      </c>
    </row>
    <row r="10995" spans="9:10" x14ac:dyDescent="0.3">
      <c r="I10995" t="s">
        <v>17416</v>
      </c>
      <c r="J10995" t="s">
        <v>4242</v>
      </c>
    </row>
    <row r="10996" spans="9:10" x14ac:dyDescent="0.3">
      <c r="I10996" t="s">
        <v>17415</v>
      </c>
      <c r="J10996" t="s">
        <v>4242</v>
      </c>
    </row>
    <row r="10997" spans="9:10" x14ac:dyDescent="0.3">
      <c r="I10997" t="s">
        <v>17417</v>
      </c>
      <c r="J10997" t="s">
        <v>4243</v>
      </c>
    </row>
    <row r="10998" spans="9:10" x14ac:dyDescent="0.3">
      <c r="I10998" t="s">
        <v>17418</v>
      </c>
      <c r="J10998" t="s">
        <v>4244</v>
      </c>
    </row>
    <row r="10999" spans="9:10" x14ac:dyDescent="0.3">
      <c r="I10999" t="s">
        <v>17418</v>
      </c>
      <c r="J10999" t="s">
        <v>4244</v>
      </c>
    </row>
    <row r="11000" spans="9:10" x14ac:dyDescent="0.3">
      <c r="I11000" t="s">
        <v>17418</v>
      </c>
      <c r="J11000" t="s">
        <v>4244</v>
      </c>
    </row>
    <row r="11001" spans="9:10" x14ac:dyDescent="0.3">
      <c r="I11001" t="s">
        <v>17419</v>
      </c>
    </row>
    <row r="11002" spans="9:10" x14ac:dyDescent="0.3">
      <c r="I11002" t="s">
        <v>17420</v>
      </c>
      <c r="J11002" t="s">
        <v>4245</v>
      </c>
    </row>
    <row r="11003" spans="9:10" x14ac:dyDescent="0.3">
      <c r="I11003" t="s">
        <v>17420</v>
      </c>
      <c r="J11003" t="s">
        <v>4245</v>
      </c>
    </row>
    <row r="11004" spans="9:10" x14ac:dyDescent="0.3">
      <c r="I11004" t="s">
        <v>17421</v>
      </c>
      <c r="J11004" t="s">
        <v>4246</v>
      </c>
    </row>
    <row r="11005" spans="9:10" x14ac:dyDescent="0.3">
      <c r="I11005" t="s">
        <v>17422</v>
      </c>
      <c r="J11005" t="s">
        <v>4246</v>
      </c>
    </row>
    <row r="11006" spans="9:10" x14ac:dyDescent="0.3">
      <c r="I11006" t="s">
        <v>17423</v>
      </c>
      <c r="J11006" t="s">
        <v>4246</v>
      </c>
    </row>
    <row r="11007" spans="9:10" x14ac:dyDescent="0.3">
      <c r="I11007" t="s">
        <v>17424</v>
      </c>
    </row>
    <row r="11008" spans="9:10" x14ac:dyDescent="0.3">
      <c r="I11008" t="s">
        <v>17425</v>
      </c>
    </row>
    <row r="11009" spans="9:10" x14ac:dyDescent="0.3">
      <c r="I11009" t="s">
        <v>17425</v>
      </c>
    </row>
    <row r="11010" spans="9:10" x14ac:dyDescent="0.3">
      <c r="I11010" t="s">
        <v>17426</v>
      </c>
    </row>
    <row r="11011" spans="9:10" x14ac:dyDescent="0.3">
      <c r="I11011" t="s">
        <v>17427</v>
      </c>
    </row>
    <row r="11012" spans="9:10" x14ac:dyDescent="0.3">
      <c r="I11012" t="s">
        <v>17428</v>
      </c>
      <c r="J11012" t="s">
        <v>4247</v>
      </c>
    </row>
    <row r="11013" spans="9:10" x14ac:dyDescent="0.3">
      <c r="I11013" t="s">
        <v>17429</v>
      </c>
      <c r="J11013" t="s">
        <v>4247</v>
      </c>
    </row>
    <row r="11014" spans="9:10" x14ac:dyDescent="0.3">
      <c r="I11014" t="s">
        <v>17430</v>
      </c>
      <c r="J11014" t="s">
        <v>4247</v>
      </c>
    </row>
    <row r="11015" spans="9:10" x14ac:dyDescent="0.3">
      <c r="I11015" t="s">
        <v>17428</v>
      </c>
      <c r="J11015" t="s">
        <v>4247</v>
      </c>
    </row>
    <row r="11016" spans="9:10" x14ac:dyDescent="0.3">
      <c r="I11016" t="s">
        <v>17431</v>
      </c>
    </row>
    <row r="11017" spans="9:10" x14ac:dyDescent="0.3">
      <c r="I11017" t="s">
        <v>17432</v>
      </c>
      <c r="J11017" t="s">
        <v>4248</v>
      </c>
    </row>
    <row r="11018" spans="9:10" x14ac:dyDescent="0.3">
      <c r="I11018" t="s">
        <v>17432</v>
      </c>
      <c r="J11018" t="s">
        <v>4248</v>
      </c>
    </row>
    <row r="11019" spans="9:10" x14ac:dyDescent="0.3">
      <c r="I11019" t="s">
        <v>17432</v>
      </c>
      <c r="J11019" t="s">
        <v>4248</v>
      </c>
    </row>
    <row r="11020" spans="9:10" x14ac:dyDescent="0.3">
      <c r="I11020" t="s">
        <v>17432</v>
      </c>
      <c r="J11020" t="s">
        <v>4248</v>
      </c>
    </row>
    <row r="11021" spans="9:10" x14ac:dyDescent="0.3">
      <c r="I11021" t="s">
        <v>17433</v>
      </c>
      <c r="J11021" t="s">
        <v>101</v>
      </c>
    </row>
    <row r="11022" spans="9:10" x14ac:dyDescent="0.3">
      <c r="I11022" t="s">
        <v>17433</v>
      </c>
      <c r="J11022" t="s">
        <v>101</v>
      </c>
    </row>
    <row r="11023" spans="9:10" x14ac:dyDescent="0.3">
      <c r="I11023" t="s">
        <v>17434</v>
      </c>
    </row>
    <row r="11024" spans="9:10" x14ac:dyDescent="0.3">
      <c r="I11024" t="s">
        <v>17434</v>
      </c>
    </row>
    <row r="11025" spans="9:10" x14ac:dyDescent="0.3">
      <c r="I11025" t="s">
        <v>17435</v>
      </c>
      <c r="J11025" t="s">
        <v>4249</v>
      </c>
    </row>
    <row r="11026" spans="9:10" x14ac:dyDescent="0.3">
      <c r="I11026" t="s">
        <v>17436</v>
      </c>
    </row>
    <row r="11027" spans="9:10" x14ac:dyDescent="0.3">
      <c r="I11027" t="s">
        <v>17437</v>
      </c>
      <c r="J11027" t="s">
        <v>4250</v>
      </c>
    </row>
    <row r="11028" spans="9:10" x14ac:dyDescent="0.3">
      <c r="I11028" t="s">
        <v>17437</v>
      </c>
      <c r="J11028" t="s">
        <v>4250</v>
      </c>
    </row>
    <row r="11029" spans="9:10" x14ac:dyDescent="0.3">
      <c r="I11029" t="s">
        <v>17438</v>
      </c>
      <c r="J11029" t="s">
        <v>4250</v>
      </c>
    </row>
    <row r="11030" spans="9:10" x14ac:dyDescent="0.3">
      <c r="I11030" t="s">
        <v>17438</v>
      </c>
      <c r="J11030" t="s">
        <v>4250</v>
      </c>
    </row>
    <row r="11031" spans="9:10" x14ac:dyDescent="0.3">
      <c r="I11031" t="s">
        <v>17437</v>
      </c>
      <c r="J11031" t="s">
        <v>4250</v>
      </c>
    </row>
    <row r="11032" spans="9:10" x14ac:dyDescent="0.3">
      <c r="I11032" t="s">
        <v>17439</v>
      </c>
      <c r="J11032" t="s">
        <v>4251</v>
      </c>
    </row>
    <row r="11033" spans="9:10" x14ac:dyDescent="0.3">
      <c r="I11033" t="s">
        <v>17440</v>
      </c>
    </row>
    <row r="11034" spans="9:10" x14ac:dyDescent="0.3">
      <c r="I11034" t="s">
        <v>17441</v>
      </c>
    </row>
    <row r="11035" spans="9:10" x14ac:dyDescent="0.3">
      <c r="I11035" t="s">
        <v>17442</v>
      </c>
    </row>
    <row r="11036" spans="9:10" x14ac:dyDescent="0.3">
      <c r="I11036" t="s">
        <v>17443</v>
      </c>
      <c r="J11036" t="s">
        <v>4252</v>
      </c>
    </row>
    <row r="11037" spans="9:10" x14ac:dyDescent="0.3">
      <c r="I11037" t="s">
        <v>17444</v>
      </c>
    </row>
    <row r="11038" spans="9:10" x14ac:dyDescent="0.3">
      <c r="I11038" t="s">
        <v>17444</v>
      </c>
    </row>
    <row r="11039" spans="9:10" x14ac:dyDescent="0.3">
      <c r="I11039" t="s">
        <v>17444</v>
      </c>
    </row>
    <row r="11040" spans="9:10" x14ac:dyDescent="0.3">
      <c r="I11040" t="s">
        <v>17444</v>
      </c>
    </row>
    <row r="11041" spans="9:10" x14ac:dyDescent="0.3">
      <c r="I11041" t="s">
        <v>17444</v>
      </c>
    </row>
    <row r="11042" spans="9:10" x14ac:dyDescent="0.3">
      <c r="I11042" t="s">
        <v>17444</v>
      </c>
    </row>
    <row r="11043" spans="9:10" x14ac:dyDescent="0.3">
      <c r="I11043" t="s">
        <v>17445</v>
      </c>
      <c r="J11043" t="s">
        <v>4253</v>
      </c>
    </row>
    <row r="11044" spans="9:10" x14ac:dyDescent="0.3">
      <c r="I11044" t="s">
        <v>17446</v>
      </c>
      <c r="J11044" t="s">
        <v>4254</v>
      </c>
    </row>
    <row r="11045" spans="9:10" x14ac:dyDescent="0.3">
      <c r="I11045" t="s">
        <v>17446</v>
      </c>
      <c r="J11045" t="s">
        <v>4254</v>
      </c>
    </row>
    <row r="11046" spans="9:10" x14ac:dyDescent="0.3">
      <c r="I11046" t="s">
        <v>17447</v>
      </c>
      <c r="J11046" t="s">
        <v>4254</v>
      </c>
    </row>
    <row r="11047" spans="9:10" x14ac:dyDescent="0.3">
      <c r="I11047" t="s">
        <v>17448</v>
      </c>
    </row>
    <row r="11048" spans="9:10" x14ac:dyDescent="0.3">
      <c r="I11048" t="s">
        <v>17449</v>
      </c>
    </row>
    <row r="11049" spans="9:10" x14ac:dyDescent="0.3">
      <c r="I11049" t="s">
        <v>17449</v>
      </c>
    </row>
    <row r="11050" spans="9:10" x14ac:dyDescent="0.3">
      <c r="I11050" t="s">
        <v>17450</v>
      </c>
      <c r="J11050" t="s">
        <v>4255</v>
      </c>
    </row>
    <row r="11051" spans="9:10" x14ac:dyDescent="0.3">
      <c r="I11051" t="s">
        <v>17451</v>
      </c>
      <c r="J11051" t="s">
        <v>4255</v>
      </c>
    </row>
    <row r="11052" spans="9:10" x14ac:dyDescent="0.3">
      <c r="I11052" t="s">
        <v>17450</v>
      </c>
      <c r="J11052" t="s">
        <v>4255</v>
      </c>
    </row>
    <row r="11053" spans="9:10" x14ac:dyDescent="0.3">
      <c r="I11053" t="s">
        <v>17450</v>
      </c>
      <c r="J11053" t="s">
        <v>4255</v>
      </c>
    </row>
    <row r="11054" spans="9:10" x14ac:dyDescent="0.3">
      <c r="I11054" t="s">
        <v>17452</v>
      </c>
      <c r="J11054" t="s">
        <v>4256</v>
      </c>
    </row>
    <row r="11055" spans="9:10" x14ac:dyDescent="0.3">
      <c r="I11055" t="s">
        <v>17452</v>
      </c>
      <c r="J11055" t="s">
        <v>4256</v>
      </c>
    </row>
    <row r="11056" spans="9:10" x14ac:dyDescent="0.3">
      <c r="I11056" t="s">
        <v>17453</v>
      </c>
      <c r="J11056" t="s">
        <v>4257</v>
      </c>
    </row>
    <row r="11057" spans="9:10" x14ac:dyDescent="0.3">
      <c r="I11057" t="s">
        <v>17453</v>
      </c>
      <c r="J11057" t="s">
        <v>4257</v>
      </c>
    </row>
    <row r="11058" spans="9:10" x14ac:dyDescent="0.3">
      <c r="I11058" t="s">
        <v>17454</v>
      </c>
      <c r="J11058">
        <v>0</v>
      </c>
    </row>
    <row r="11059" spans="9:10" x14ac:dyDescent="0.3">
      <c r="I11059" t="s">
        <v>12356</v>
      </c>
      <c r="J11059" t="s">
        <v>2030</v>
      </c>
    </row>
    <row r="11060" spans="9:10" x14ac:dyDescent="0.3">
      <c r="I11060" t="s">
        <v>17455</v>
      </c>
      <c r="J11060" t="s">
        <v>4258</v>
      </c>
    </row>
    <row r="11061" spans="9:10" x14ac:dyDescent="0.3">
      <c r="I11061" t="s">
        <v>17456</v>
      </c>
      <c r="J11061" t="s">
        <v>4258</v>
      </c>
    </row>
    <row r="11062" spans="9:10" x14ac:dyDescent="0.3">
      <c r="I11062" t="s">
        <v>17455</v>
      </c>
      <c r="J11062" t="s">
        <v>4258</v>
      </c>
    </row>
    <row r="11063" spans="9:10" x14ac:dyDescent="0.3">
      <c r="I11063" t="s">
        <v>17456</v>
      </c>
      <c r="J11063" t="s">
        <v>4258</v>
      </c>
    </row>
    <row r="11064" spans="9:10" x14ac:dyDescent="0.3">
      <c r="I11064" t="s">
        <v>17457</v>
      </c>
      <c r="J11064" t="s">
        <v>4259</v>
      </c>
    </row>
    <row r="11065" spans="9:10" x14ac:dyDescent="0.3">
      <c r="I11065" t="s">
        <v>17458</v>
      </c>
      <c r="J11065" t="s">
        <v>4259</v>
      </c>
    </row>
    <row r="11066" spans="9:10" x14ac:dyDescent="0.3">
      <c r="I11066" t="s">
        <v>17459</v>
      </c>
      <c r="J11066" t="s">
        <v>4260</v>
      </c>
    </row>
    <row r="11067" spans="9:10" x14ac:dyDescent="0.3">
      <c r="I11067" t="s">
        <v>17460</v>
      </c>
      <c r="J11067" t="s">
        <v>4261</v>
      </c>
    </row>
    <row r="11068" spans="9:10" x14ac:dyDescent="0.3">
      <c r="I11068" t="s">
        <v>17461</v>
      </c>
      <c r="J11068" t="s">
        <v>4262</v>
      </c>
    </row>
    <row r="11069" spans="9:10" x14ac:dyDescent="0.3">
      <c r="I11069" t="s">
        <v>17462</v>
      </c>
      <c r="J11069" t="s">
        <v>4262</v>
      </c>
    </row>
    <row r="11070" spans="9:10" x14ac:dyDescent="0.3">
      <c r="I11070" t="s">
        <v>17461</v>
      </c>
      <c r="J11070" t="s">
        <v>4262</v>
      </c>
    </row>
    <row r="11071" spans="9:10" x14ac:dyDescent="0.3">
      <c r="I11071" t="s">
        <v>17463</v>
      </c>
      <c r="J11071" t="s">
        <v>4263</v>
      </c>
    </row>
    <row r="11072" spans="9:10" x14ac:dyDescent="0.3">
      <c r="I11072" t="s">
        <v>17464</v>
      </c>
    </row>
    <row r="11073" spans="9:10" x14ac:dyDescent="0.3">
      <c r="I11073" t="s">
        <v>17465</v>
      </c>
      <c r="J11073" t="s">
        <v>4264</v>
      </c>
    </row>
    <row r="11074" spans="9:10" x14ac:dyDescent="0.3">
      <c r="I11074" t="s">
        <v>17465</v>
      </c>
      <c r="J11074" t="s">
        <v>4264</v>
      </c>
    </row>
    <row r="11075" spans="9:10" x14ac:dyDescent="0.3">
      <c r="I11075" t="s">
        <v>17465</v>
      </c>
      <c r="J11075" t="s">
        <v>4264</v>
      </c>
    </row>
    <row r="11076" spans="9:10" x14ac:dyDescent="0.3">
      <c r="I11076" t="s">
        <v>17465</v>
      </c>
      <c r="J11076" t="s">
        <v>4264</v>
      </c>
    </row>
    <row r="11077" spans="9:10" x14ac:dyDescent="0.3">
      <c r="I11077" t="s">
        <v>17466</v>
      </c>
      <c r="J11077" t="s">
        <v>4265</v>
      </c>
    </row>
    <row r="11078" spans="9:10" x14ac:dyDescent="0.3">
      <c r="I11078" t="s">
        <v>17467</v>
      </c>
      <c r="J11078" t="s">
        <v>4265</v>
      </c>
    </row>
    <row r="11079" spans="9:10" x14ac:dyDescent="0.3">
      <c r="I11079" t="s">
        <v>17468</v>
      </c>
      <c r="J11079" t="s">
        <v>929</v>
      </c>
    </row>
    <row r="11080" spans="9:10" x14ac:dyDescent="0.3">
      <c r="I11080" t="s">
        <v>17468</v>
      </c>
      <c r="J11080" t="s">
        <v>929</v>
      </c>
    </row>
    <row r="11081" spans="9:10" x14ac:dyDescent="0.3">
      <c r="I11081" t="s">
        <v>17468</v>
      </c>
      <c r="J11081" t="s">
        <v>929</v>
      </c>
    </row>
    <row r="11082" spans="9:10" x14ac:dyDescent="0.3">
      <c r="I11082" t="s">
        <v>17468</v>
      </c>
      <c r="J11082" t="s">
        <v>929</v>
      </c>
    </row>
    <row r="11083" spans="9:10" x14ac:dyDescent="0.3">
      <c r="I11083" t="s">
        <v>17469</v>
      </c>
      <c r="J11083" t="s">
        <v>4266</v>
      </c>
    </row>
    <row r="11084" spans="9:10" x14ac:dyDescent="0.3">
      <c r="I11084" t="s">
        <v>17469</v>
      </c>
      <c r="J11084" t="s">
        <v>4266</v>
      </c>
    </row>
    <row r="11085" spans="9:10" x14ac:dyDescent="0.3">
      <c r="I11085" t="s">
        <v>17470</v>
      </c>
      <c r="J11085" t="s">
        <v>4267</v>
      </c>
    </row>
    <row r="11086" spans="9:10" x14ac:dyDescent="0.3">
      <c r="I11086" t="s">
        <v>17471</v>
      </c>
      <c r="J11086" t="s">
        <v>4267</v>
      </c>
    </row>
    <row r="11087" spans="9:10" x14ac:dyDescent="0.3">
      <c r="I11087" t="s">
        <v>17472</v>
      </c>
      <c r="J11087" t="s">
        <v>4268</v>
      </c>
    </row>
    <row r="11088" spans="9:10" x14ac:dyDescent="0.3">
      <c r="I11088" t="s">
        <v>17472</v>
      </c>
      <c r="J11088" t="s">
        <v>4268</v>
      </c>
    </row>
    <row r="11089" spans="9:10" x14ac:dyDescent="0.3">
      <c r="I11089" t="s">
        <v>17472</v>
      </c>
      <c r="J11089" t="s">
        <v>4268</v>
      </c>
    </row>
    <row r="11090" spans="9:10" x14ac:dyDescent="0.3">
      <c r="I11090" t="s">
        <v>17473</v>
      </c>
    </row>
    <row r="11091" spans="9:10" x14ac:dyDescent="0.3">
      <c r="I11091" t="s">
        <v>17474</v>
      </c>
      <c r="J11091" t="s">
        <v>573</v>
      </c>
    </row>
    <row r="11092" spans="9:10" x14ac:dyDescent="0.3">
      <c r="I11092" t="s">
        <v>17475</v>
      </c>
      <c r="J11092" t="s">
        <v>4269</v>
      </c>
    </row>
    <row r="11093" spans="9:10" x14ac:dyDescent="0.3">
      <c r="I11093" t="s">
        <v>17476</v>
      </c>
    </row>
    <row r="11094" spans="9:10" x14ac:dyDescent="0.3">
      <c r="I11094" t="s">
        <v>17477</v>
      </c>
      <c r="J11094" t="s">
        <v>4270</v>
      </c>
    </row>
    <row r="11095" spans="9:10" x14ac:dyDescent="0.3">
      <c r="I11095" t="s">
        <v>17478</v>
      </c>
      <c r="J11095" t="s">
        <v>4271</v>
      </c>
    </row>
    <row r="11096" spans="9:10" x14ac:dyDescent="0.3">
      <c r="I11096" t="s">
        <v>17478</v>
      </c>
      <c r="J11096" t="s">
        <v>4271</v>
      </c>
    </row>
    <row r="11097" spans="9:10" x14ac:dyDescent="0.3">
      <c r="I11097" t="s">
        <v>17478</v>
      </c>
      <c r="J11097" t="s">
        <v>4271</v>
      </c>
    </row>
    <row r="11098" spans="9:10" x14ac:dyDescent="0.3">
      <c r="I11098" t="s">
        <v>17478</v>
      </c>
      <c r="J11098" t="s">
        <v>4271</v>
      </c>
    </row>
    <row r="11099" spans="9:10" x14ac:dyDescent="0.3">
      <c r="I11099" t="s">
        <v>17478</v>
      </c>
      <c r="J11099" t="s">
        <v>4271</v>
      </c>
    </row>
    <row r="11100" spans="9:10" x14ac:dyDescent="0.3">
      <c r="I11100" t="s">
        <v>17478</v>
      </c>
      <c r="J11100" t="s">
        <v>4271</v>
      </c>
    </row>
    <row r="11101" spans="9:10" x14ac:dyDescent="0.3">
      <c r="I11101" t="s">
        <v>17478</v>
      </c>
      <c r="J11101" t="s">
        <v>4271</v>
      </c>
    </row>
    <row r="11102" spans="9:10" x14ac:dyDescent="0.3">
      <c r="I11102" t="s">
        <v>17478</v>
      </c>
      <c r="J11102" t="s">
        <v>4271</v>
      </c>
    </row>
    <row r="11103" spans="9:10" x14ac:dyDescent="0.3">
      <c r="I11103" t="s">
        <v>17479</v>
      </c>
      <c r="J11103" t="s">
        <v>4272</v>
      </c>
    </row>
    <row r="11104" spans="9:10" x14ac:dyDescent="0.3">
      <c r="I11104" t="s">
        <v>17480</v>
      </c>
      <c r="J11104" t="s">
        <v>4273</v>
      </c>
    </row>
    <row r="11105" spans="9:10" x14ac:dyDescent="0.3">
      <c r="I11105" t="s">
        <v>17481</v>
      </c>
      <c r="J11105" t="s">
        <v>4273</v>
      </c>
    </row>
    <row r="11106" spans="9:10" x14ac:dyDescent="0.3">
      <c r="I11106" t="s">
        <v>17480</v>
      </c>
      <c r="J11106" t="s">
        <v>4273</v>
      </c>
    </row>
    <row r="11107" spans="9:10" x14ac:dyDescent="0.3">
      <c r="I11107" t="s">
        <v>17482</v>
      </c>
      <c r="J11107" t="s">
        <v>4274</v>
      </c>
    </row>
    <row r="11108" spans="9:10" x14ac:dyDescent="0.3">
      <c r="I11108" t="s">
        <v>17482</v>
      </c>
      <c r="J11108" t="s">
        <v>4274</v>
      </c>
    </row>
    <row r="11109" spans="9:10" x14ac:dyDescent="0.3">
      <c r="I11109" t="s">
        <v>17482</v>
      </c>
      <c r="J11109" t="s">
        <v>4274</v>
      </c>
    </row>
    <row r="11110" spans="9:10" x14ac:dyDescent="0.3">
      <c r="I11110" t="s">
        <v>17482</v>
      </c>
      <c r="J11110" t="s">
        <v>4274</v>
      </c>
    </row>
    <row r="11111" spans="9:10" x14ac:dyDescent="0.3">
      <c r="I11111" t="s">
        <v>17483</v>
      </c>
    </row>
    <row r="11112" spans="9:10" x14ac:dyDescent="0.3">
      <c r="I11112" t="s">
        <v>17483</v>
      </c>
    </row>
    <row r="11113" spans="9:10" x14ac:dyDescent="0.3">
      <c r="I11113" t="s">
        <v>17484</v>
      </c>
    </row>
    <row r="11114" spans="9:10" x14ac:dyDescent="0.3">
      <c r="I11114" t="s">
        <v>17485</v>
      </c>
    </row>
    <row r="11115" spans="9:10" x14ac:dyDescent="0.3">
      <c r="I11115" t="s">
        <v>17486</v>
      </c>
      <c r="J11115" t="s">
        <v>4275</v>
      </c>
    </row>
    <row r="11116" spans="9:10" x14ac:dyDescent="0.3">
      <c r="I11116" t="s">
        <v>17487</v>
      </c>
    </row>
    <row r="11117" spans="9:10" x14ac:dyDescent="0.3">
      <c r="I11117" t="s">
        <v>17487</v>
      </c>
    </row>
    <row r="11118" spans="9:10" x14ac:dyDescent="0.3">
      <c r="I11118" t="s">
        <v>17487</v>
      </c>
    </row>
    <row r="11119" spans="9:10" x14ac:dyDescent="0.3">
      <c r="I11119" t="s">
        <v>17488</v>
      </c>
      <c r="J11119" t="s">
        <v>4276</v>
      </c>
    </row>
    <row r="11120" spans="9:10" x14ac:dyDescent="0.3">
      <c r="I11120" t="s">
        <v>17488</v>
      </c>
      <c r="J11120" t="s">
        <v>4276</v>
      </c>
    </row>
    <row r="11121" spans="9:10" x14ac:dyDescent="0.3">
      <c r="I11121" t="s">
        <v>17489</v>
      </c>
      <c r="J11121" t="s">
        <v>4277</v>
      </c>
    </row>
    <row r="11122" spans="9:10" x14ac:dyDescent="0.3">
      <c r="I11122" t="s">
        <v>17490</v>
      </c>
      <c r="J11122" t="s">
        <v>4278</v>
      </c>
    </row>
    <row r="11123" spans="9:10" x14ac:dyDescent="0.3">
      <c r="I11123" t="s">
        <v>17491</v>
      </c>
      <c r="J11123" t="s">
        <v>4278</v>
      </c>
    </row>
    <row r="11124" spans="9:10" x14ac:dyDescent="0.3">
      <c r="I11124" t="s">
        <v>17492</v>
      </c>
      <c r="J11124" t="s">
        <v>4279</v>
      </c>
    </row>
    <row r="11125" spans="9:10" x14ac:dyDescent="0.3">
      <c r="I11125" t="s">
        <v>17493</v>
      </c>
      <c r="J11125" t="s">
        <v>4280</v>
      </c>
    </row>
    <row r="11126" spans="9:10" x14ac:dyDescent="0.3">
      <c r="I11126" t="s">
        <v>17494</v>
      </c>
      <c r="J11126" t="s">
        <v>4280</v>
      </c>
    </row>
    <row r="11127" spans="9:10" x14ac:dyDescent="0.3">
      <c r="I11127" t="s">
        <v>17495</v>
      </c>
      <c r="J11127" t="s">
        <v>4280</v>
      </c>
    </row>
    <row r="11128" spans="9:10" x14ac:dyDescent="0.3">
      <c r="I11128" t="s">
        <v>17494</v>
      </c>
      <c r="J11128" t="s">
        <v>4280</v>
      </c>
    </row>
    <row r="11129" spans="9:10" x14ac:dyDescent="0.3">
      <c r="I11129" t="s">
        <v>17496</v>
      </c>
      <c r="J11129" t="s">
        <v>4280</v>
      </c>
    </row>
    <row r="11130" spans="9:10" x14ac:dyDescent="0.3">
      <c r="I11130" t="s">
        <v>17494</v>
      </c>
      <c r="J11130" t="s">
        <v>4280</v>
      </c>
    </row>
    <row r="11131" spans="9:10" x14ac:dyDescent="0.3">
      <c r="I11131" t="s">
        <v>17497</v>
      </c>
      <c r="J11131" t="s">
        <v>4281</v>
      </c>
    </row>
    <row r="11132" spans="9:10" x14ac:dyDescent="0.3">
      <c r="I11132" t="s">
        <v>17498</v>
      </c>
    </row>
    <row r="11133" spans="9:10" x14ac:dyDescent="0.3">
      <c r="I11133" t="s">
        <v>17498</v>
      </c>
    </row>
    <row r="11134" spans="9:10" x14ac:dyDescent="0.3">
      <c r="I11134" t="s">
        <v>17499</v>
      </c>
      <c r="J11134" t="s">
        <v>4282</v>
      </c>
    </row>
    <row r="11135" spans="9:10" x14ac:dyDescent="0.3">
      <c r="I11135" t="s">
        <v>17499</v>
      </c>
      <c r="J11135" t="s">
        <v>4282</v>
      </c>
    </row>
    <row r="11136" spans="9:10" x14ac:dyDescent="0.3">
      <c r="I11136" t="s">
        <v>17500</v>
      </c>
    </row>
    <row r="11137" spans="9:10" x14ac:dyDescent="0.3">
      <c r="I11137" t="s">
        <v>17501</v>
      </c>
      <c r="J11137" t="s">
        <v>4283</v>
      </c>
    </row>
    <row r="11138" spans="9:10" x14ac:dyDescent="0.3">
      <c r="I11138" t="s">
        <v>17502</v>
      </c>
    </row>
    <row r="11139" spans="9:10" x14ac:dyDescent="0.3">
      <c r="I11139" t="s">
        <v>17502</v>
      </c>
    </row>
    <row r="11140" spans="9:10" x14ac:dyDescent="0.3">
      <c r="I11140" t="s">
        <v>17503</v>
      </c>
      <c r="J11140" t="s">
        <v>4284</v>
      </c>
    </row>
    <row r="11141" spans="9:10" x14ac:dyDescent="0.3">
      <c r="I11141" t="s">
        <v>17504</v>
      </c>
    </row>
    <row r="11142" spans="9:10" x14ac:dyDescent="0.3">
      <c r="I11142" t="s">
        <v>17505</v>
      </c>
    </row>
    <row r="11143" spans="9:10" x14ac:dyDescent="0.3">
      <c r="I11143" t="s">
        <v>17506</v>
      </c>
      <c r="J11143" t="s">
        <v>4285</v>
      </c>
    </row>
    <row r="11144" spans="9:10" x14ac:dyDescent="0.3">
      <c r="I11144" t="s">
        <v>17507</v>
      </c>
      <c r="J11144" t="s">
        <v>4285</v>
      </c>
    </row>
    <row r="11145" spans="9:10" x14ac:dyDescent="0.3">
      <c r="I11145" t="s">
        <v>17506</v>
      </c>
      <c r="J11145" t="s">
        <v>4285</v>
      </c>
    </row>
    <row r="11146" spans="9:10" x14ac:dyDescent="0.3">
      <c r="I11146" t="s">
        <v>17506</v>
      </c>
      <c r="J11146" t="s">
        <v>4285</v>
      </c>
    </row>
    <row r="11147" spans="9:10" x14ac:dyDescent="0.3">
      <c r="I11147" t="s">
        <v>17508</v>
      </c>
    </row>
    <row r="11148" spans="9:10" x14ac:dyDescent="0.3">
      <c r="I11148" t="s">
        <v>17508</v>
      </c>
    </row>
    <row r="11149" spans="9:10" x14ac:dyDescent="0.3">
      <c r="I11149" t="s">
        <v>17508</v>
      </c>
    </row>
    <row r="11150" spans="9:10" x14ac:dyDescent="0.3">
      <c r="I11150" t="s">
        <v>17508</v>
      </c>
    </row>
    <row r="11151" spans="9:10" x14ac:dyDescent="0.3">
      <c r="I11151" t="s">
        <v>17508</v>
      </c>
    </row>
    <row r="11152" spans="9:10" x14ac:dyDescent="0.3">
      <c r="I11152" t="s">
        <v>17509</v>
      </c>
    </row>
    <row r="11153" spans="9:10" x14ac:dyDescent="0.3">
      <c r="I11153" t="s">
        <v>17510</v>
      </c>
    </row>
    <row r="11154" spans="9:10" x14ac:dyDescent="0.3">
      <c r="I11154" t="s">
        <v>17511</v>
      </c>
    </row>
    <row r="11155" spans="9:10" x14ac:dyDescent="0.3">
      <c r="I11155" t="s">
        <v>17512</v>
      </c>
      <c r="J11155" t="s">
        <v>4285</v>
      </c>
    </row>
    <row r="11156" spans="9:10" x14ac:dyDescent="0.3">
      <c r="I11156" t="s">
        <v>17512</v>
      </c>
      <c r="J11156" t="s">
        <v>4285</v>
      </c>
    </row>
    <row r="11157" spans="9:10" x14ac:dyDescent="0.3">
      <c r="I11157" t="s">
        <v>17512</v>
      </c>
      <c r="J11157" t="s">
        <v>4285</v>
      </c>
    </row>
    <row r="11158" spans="9:10" x14ac:dyDescent="0.3">
      <c r="I11158" t="s">
        <v>17512</v>
      </c>
      <c r="J11158" t="s">
        <v>4285</v>
      </c>
    </row>
    <row r="11159" spans="9:10" x14ac:dyDescent="0.3">
      <c r="I11159" t="s">
        <v>17512</v>
      </c>
      <c r="J11159" t="s">
        <v>4285</v>
      </c>
    </row>
    <row r="11160" spans="9:10" x14ac:dyDescent="0.3">
      <c r="I11160" t="s">
        <v>17512</v>
      </c>
      <c r="J11160" t="s">
        <v>4285</v>
      </c>
    </row>
    <row r="11161" spans="9:10" x14ac:dyDescent="0.3">
      <c r="I11161" t="s">
        <v>17512</v>
      </c>
      <c r="J11161" t="s">
        <v>4285</v>
      </c>
    </row>
    <row r="11162" spans="9:10" x14ac:dyDescent="0.3">
      <c r="I11162" t="s">
        <v>17513</v>
      </c>
      <c r="J11162" t="s">
        <v>4286</v>
      </c>
    </row>
    <row r="11163" spans="9:10" x14ac:dyDescent="0.3">
      <c r="I11163" t="s">
        <v>17513</v>
      </c>
      <c r="J11163" t="s">
        <v>4286</v>
      </c>
    </row>
    <row r="11164" spans="9:10" x14ac:dyDescent="0.3">
      <c r="I11164" t="s">
        <v>17514</v>
      </c>
    </row>
    <row r="11165" spans="9:10" x14ac:dyDescent="0.3">
      <c r="I11165" t="s">
        <v>17515</v>
      </c>
    </row>
    <row r="11166" spans="9:10" x14ac:dyDescent="0.3">
      <c r="I11166" t="s">
        <v>17515</v>
      </c>
    </row>
    <row r="11167" spans="9:10" x14ac:dyDescent="0.3">
      <c r="I11167" t="s">
        <v>17515</v>
      </c>
    </row>
    <row r="11168" spans="9:10" x14ac:dyDescent="0.3">
      <c r="I11168" t="s">
        <v>17516</v>
      </c>
      <c r="J11168" t="s">
        <v>4287</v>
      </c>
    </row>
    <row r="11169" spans="9:10" x14ac:dyDescent="0.3">
      <c r="I11169" t="s">
        <v>17517</v>
      </c>
      <c r="J11169" t="s">
        <v>4287</v>
      </c>
    </row>
    <row r="11170" spans="9:10" x14ac:dyDescent="0.3">
      <c r="I11170" t="s">
        <v>17516</v>
      </c>
      <c r="J11170" t="s">
        <v>4287</v>
      </c>
    </row>
    <row r="11171" spans="9:10" x14ac:dyDescent="0.3">
      <c r="I11171" t="s">
        <v>17516</v>
      </c>
      <c r="J11171" t="s">
        <v>4287</v>
      </c>
    </row>
    <row r="11172" spans="9:10" x14ac:dyDescent="0.3">
      <c r="I11172" t="s">
        <v>17516</v>
      </c>
      <c r="J11172" t="s">
        <v>4287</v>
      </c>
    </row>
    <row r="11173" spans="9:10" x14ac:dyDescent="0.3">
      <c r="I11173" t="s">
        <v>17518</v>
      </c>
    </row>
    <row r="11174" spans="9:10" x14ac:dyDescent="0.3">
      <c r="I11174" t="s">
        <v>17519</v>
      </c>
      <c r="J11174" t="s">
        <v>4288</v>
      </c>
    </row>
    <row r="11175" spans="9:10" x14ac:dyDescent="0.3">
      <c r="I11175" t="s">
        <v>17519</v>
      </c>
      <c r="J11175" t="s">
        <v>4288</v>
      </c>
    </row>
    <row r="11176" spans="9:10" x14ac:dyDescent="0.3">
      <c r="I11176" t="s">
        <v>17520</v>
      </c>
      <c r="J11176" t="s">
        <v>4289</v>
      </c>
    </row>
    <row r="11177" spans="9:10" x14ac:dyDescent="0.3">
      <c r="I11177" t="s">
        <v>17520</v>
      </c>
      <c r="J11177" t="s">
        <v>4289</v>
      </c>
    </row>
    <row r="11178" spans="9:10" x14ac:dyDescent="0.3">
      <c r="I11178" t="s">
        <v>17520</v>
      </c>
      <c r="J11178" t="s">
        <v>4289</v>
      </c>
    </row>
    <row r="11179" spans="9:10" x14ac:dyDescent="0.3">
      <c r="I11179" t="s">
        <v>17521</v>
      </c>
    </row>
    <row r="11180" spans="9:10" x14ac:dyDescent="0.3">
      <c r="I11180" t="s">
        <v>17521</v>
      </c>
    </row>
    <row r="11181" spans="9:10" x14ac:dyDescent="0.3">
      <c r="I11181" t="s">
        <v>17522</v>
      </c>
      <c r="J11181" t="s">
        <v>567</v>
      </c>
    </row>
    <row r="11182" spans="9:10" x14ac:dyDescent="0.3">
      <c r="I11182" t="s">
        <v>17522</v>
      </c>
      <c r="J11182" t="s">
        <v>567</v>
      </c>
    </row>
    <row r="11183" spans="9:10" x14ac:dyDescent="0.3">
      <c r="I11183" t="s">
        <v>17523</v>
      </c>
      <c r="J11183" t="s">
        <v>567</v>
      </c>
    </row>
    <row r="11184" spans="9:10" x14ac:dyDescent="0.3">
      <c r="I11184" t="s">
        <v>17523</v>
      </c>
      <c r="J11184" t="s">
        <v>567</v>
      </c>
    </row>
    <row r="11185" spans="9:10" x14ac:dyDescent="0.3">
      <c r="I11185" t="s">
        <v>566</v>
      </c>
      <c r="J11185" t="s">
        <v>567</v>
      </c>
    </row>
    <row r="11186" spans="9:10" x14ac:dyDescent="0.3">
      <c r="I11186" t="s">
        <v>17523</v>
      </c>
      <c r="J11186" t="s">
        <v>567</v>
      </c>
    </row>
    <row r="11187" spans="9:10" x14ac:dyDescent="0.3">
      <c r="I11187" t="s">
        <v>566</v>
      </c>
      <c r="J11187" t="s">
        <v>567</v>
      </c>
    </row>
    <row r="11188" spans="9:10" x14ac:dyDescent="0.3">
      <c r="I11188" t="s">
        <v>566</v>
      </c>
      <c r="J11188" t="s">
        <v>567</v>
      </c>
    </row>
    <row r="11189" spans="9:10" x14ac:dyDescent="0.3">
      <c r="I11189" t="s">
        <v>566</v>
      </c>
      <c r="J11189" t="s">
        <v>567</v>
      </c>
    </row>
    <row r="11190" spans="9:10" x14ac:dyDescent="0.3">
      <c r="I11190" t="s">
        <v>17523</v>
      </c>
      <c r="J11190" t="s">
        <v>567</v>
      </c>
    </row>
    <row r="11191" spans="9:10" x14ac:dyDescent="0.3">
      <c r="I11191" t="s">
        <v>566</v>
      </c>
      <c r="J11191" t="s">
        <v>567</v>
      </c>
    </row>
    <row r="11192" spans="9:10" x14ac:dyDescent="0.3">
      <c r="I11192" t="s">
        <v>566</v>
      </c>
      <c r="J11192" t="s">
        <v>567</v>
      </c>
    </row>
    <row r="11193" spans="9:10" x14ac:dyDescent="0.3">
      <c r="I11193" t="s">
        <v>17523</v>
      </c>
      <c r="J11193" t="s">
        <v>567</v>
      </c>
    </row>
    <row r="11194" spans="9:10" x14ac:dyDescent="0.3">
      <c r="I11194" t="s">
        <v>17524</v>
      </c>
    </row>
    <row r="11195" spans="9:10" x14ac:dyDescent="0.3">
      <c r="I11195" t="s">
        <v>17525</v>
      </c>
      <c r="J11195" t="s">
        <v>4290</v>
      </c>
    </row>
    <row r="11196" spans="9:10" x14ac:dyDescent="0.3">
      <c r="I11196" t="s">
        <v>17526</v>
      </c>
      <c r="J11196" t="s">
        <v>4290</v>
      </c>
    </row>
    <row r="11197" spans="9:10" x14ac:dyDescent="0.3">
      <c r="I11197" t="s">
        <v>17527</v>
      </c>
      <c r="J11197" t="s">
        <v>4290</v>
      </c>
    </row>
    <row r="11198" spans="9:10" x14ac:dyDescent="0.3">
      <c r="I11198" t="s">
        <v>17527</v>
      </c>
      <c r="J11198" t="s">
        <v>4290</v>
      </c>
    </row>
    <row r="11199" spans="9:10" x14ac:dyDescent="0.3">
      <c r="I11199" t="s">
        <v>17528</v>
      </c>
      <c r="J11199" t="s">
        <v>4290</v>
      </c>
    </row>
    <row r="11200" spans="9:10" x14ac:dyDescent="0.3">
      <c r="I11200" t="s">
        <v>17527</v>
      </c>
      <c r="J11200" t="s">
        <v>4290</v>
      </c>
    </row>
    <row r="11201" spans="9:10" x14ac:dyDescent="0.3">
      <c r="I11201" t="s">
        <v>17525</v>
      </c>
      <c r="J11201" t="s">
        <v>4290</v>
      </c>
    </row>
    <row r="11202" spans="9:10" x14ac:dyDescent="0.3">
      <c r="I11202" t="s">
        <v>17527</v>
      </c>
      <c r="J11202" t="s">
        <v>4290</v>
      </c>
    </row>
    <row r="11203" spans="9:10" x14ac:dyDescent="0.3">
      <c r="I11203" t="s">
        <v>17529</v>
      </c>
      <c r="J11203" t="s">
        <v>4290</v>
      </c>
    </row>
    <row r="11204" spans="9:10" x14ac:dyDescent="0.3">
      <c r="I11204" t="s">
        <v>17528</v>
      </c>
      <c r="J11204" t="s">
        <v>4290</v>
      </c>
    </row>
    <row r="11205" spans="9:10" x14ac:dyDescent="0.3">
      <c r="I11205" t="s">
        <v>17530</v>
      </c>
    </row>
    <row r="11206" spans="9:10" x14ac:dyDescent="0.3">
      <c r="I11206" t="s">
        <v>17531</v>
      </c>
      <c r="J11206" t="s">
        <v>4291</v>
      </c>
    </row>
    <row r="11207" spans="9:10" x14ac:dyDescent="0.3">
      <c r="I11207" t="s">
        <v>17532</v>
      </c>
      <c r="J11207" t="s">
        <v>4292</v>
      </c>
    </row>
    <row r="11208" spans="9:10" x14ac:dyDescent="0.3">
      <c r="I11208" t="s">
        <v>17532</v>
      </c>
      <c r="J11208" t="s">
        <v>4292</v>
      </c>
    </row>
    <row r="11209" spans="9:10" x14ac:dyDescent="0.3">
      <c r="I11209" t="s">
        <v>17533</v>
      </c>
      <c r="J11209" t="s">
        <v>4293</v>
      </c>
    </row>
    <row r="11210" spans="9:10" x14ac:dyDescent="0.3">
      <c r="I11210" t="s">
        <v>17534</v>
      </c>
      <c r="J11210" t="s">
        <v>4293</v>
      </c>
    </row>
    <row r="11211" spans="9:10" x14ac:dyDescent="0.3">
      <c r="I11211" t="s">
        <v>17533</v>
      </c>
      <c r="J11211" t="s">
        <v>4293</v>
      </c>
    </row>
    <row r="11212" spans="9:10" x14ac:dyDescent="0.3">
      <c r="I11212" t="s">
        <v>17535</v>
      </c>
      <c r="J11212" t="s">
        <v>4294</v>
      </c>
    </row>
    <row r="11213" spans="9:10" x14ac:dyDescent="0.3">
      <c r="I11213" t="s">
        <v>17535</v>
      </c>
      <c r="J11213" t="s">
        <v>4294</v>
      </c>
    </row>
    <row r="11214" spans="9:10" x14ac:dyDescent="0.3">
      <c r="I11214" t="s">
        <v>17536</v>
      </c>
      <c r="J11214" t="s">
        <v>4294</v>
      </c>
    </row>
    <row r="11215" spans="9:10" x14ac:dyDescent="0.3">
      <c r="I11215" t="s">
        <v>17537</v>
      </c>
      <c r="J11215" t="s">
        <v>4294</v>
      </c>
    </row>
    <row r="11216" spans="9:10" x14ac:dyDescent="0.3">
      <c r="I11216" t="s">
        <v>17538</v>
      </c>
      <c r="J11216" t="s">
        <v>4294</v>
      </c>
    </row>
    <row r="11217" spans="9:10" x14ac:dyDescent="0.3">
      <c r="I11217" t="s">
        <v>17539</v>
      </c>
      <c r="J11217" t="s">
        <v>4294</v>
      </c>
    </row>
    <row r="11218" spans="9:10" x14ac:dyDescent="0.3">
      <c r="I11218" t="s">
        <v>17535</v>
      </c>
      <c r="J11218" t="s">
        <v>4294</v>
      </c>
    </row>
    <row r="11219" spans="9:10" x14ac:dyDescent="0.3">
      <c r="I11219" t="s">
        <v>17540</v>
      </c>
      <c r="J11219" t="s">
        <v>4295</v>
      </c>
    </row>
    <row r="11220" spans="9:10" x14ac:dyDescent="0.3">
      <c r="I11220" t="s">
        <v>17541</v>
      </c>
      <c r="J11220" t="s">
        <v>4295</v>
      </c>
    </row>
    <row r="11221" spans="9:10" x14ac:dyDescent="0.3">
      <c r="I11221" t="s">
        <v>17542</v>
      </c>
      <c r="J11221" t="s">
        <v>4295</v>
      </c>
    </row>
    <row r="11222" spans="9:10" x14ac:dyDescent="0.3">
      <c r="I11222" t="s">
        <v>17543</v>
      </c>
    </row>
    <row r="11223" spans="9:10" x14ac:dyDescent="0.3">
      <c r="I11223" t="s">
        <v>17544</v>
      </c>
      <c r="J11223" t="s">
        <v>4296</v>
      </c>
    </row>
    <row r="11224" spans="9:10" x14ac:dyDescent="0.3">
      <c r="I11224" t="s">
        <v>17545</v>
      </c>
    </row>
    <row r="11225" spans="9:10" x14ac:dyDescent="0.3">
      <c r="I11225" t="s">
        <v>17545</v>
      </c>
    </row>
    <row r="11226" spans="9:10" x14ac:dyDescent="0.3">
      <c r="I11226" t="s">
        <v>17545</v>
      </c>
    </row>
    <row r="11227" spans="9:10" x14ac:dyDescent="0.3">
      <c r="I11227" t="s">
        <v>17546</v>
      </c>
      <c r="J11227" t="s">
        <v>4297</v>
      </c>
    </row>
    <row r="11228" spans="9:10" x14ac:dyDescent="0.3">
      <c r="I11228" t="s">
        <v>17547</v>
      </c>
      <c r="J11228" t="s">
        <v>4298</v>
      </c>
    </row>
    <row r="11229" spans="9:10" x14ac:dyDescent="0.3">
      <c r="I11229" t="s">
        <v>17547</v>
      </c>
      <c r="J11229" t="s">
        <v>4298</v>
      </c>
    </row>
    <row r="11230" spans="9:10" x14ac:dyDescent="0.3">
      <c r="I11230" t="s">
        <v>17547</v>
      </c>
      <c r="J11230" t="s">
        <v>4298</v>
      </c>
    </row>
    <row r="11231" spans="9:10" x14ac:dyDescent="0.3">
      <c r="I11231" t="s">
        <v>17547</v>
      </c>
      <c r="J11231" t="s">
        <v>4298</v>
      </c>
    </row>
    <row r="11232" spans="9:10" x14ac:dyDescent="0.3">
      <c r="I11232" t="s">
        <v>17548</v>
      </c>
      <c r="J11232" t="s">
        <v>4298</v>
      </c>
    </row>
    <row r="11233" spans="9:10" x14ac:dyDescent="0.3">
      <c r="I11233" t="s">
        <v>17549</v>
      </c>
      <c r="J11233" t="s">
        <v>4299</v>
      </c>
    </row>
    <row r="11234" spans="9:10" x14ac:dyDescent="0.3">
      <c r="I11234" t="s">
        <v>17549</v>
      </c>
      <c r="J11234" t="s">
        <v>4299</v>
      </c>
    </row>
    <row r="11235" spans="9:10" x14ac:dyDescent="0.3">
      <c r="I11235" t="s">
        <v>17550</v>
      </c>
      <c r="J11235" t="s">
        <v>4299</v>
      </c>
    </row>
    <row r="11236" spans="9:10" x14ac:dyDescent="0.3">
      <c r="I11236" t="s">
        <v>17551</v>
      </c>
    </row>
    <row r="11237" spans="9:10" x14ac:dyDescent="0.3">
      <c r="I11237" t="s">
        <v>17551</v>
      </c>
    </row>
    <row r="11238" spans="9:10" x14ac:dyDescent="0.3">
      <c r="I11238" t="s">
        <v>17551</v>
      </c>
    </row>
    <row r="11239" spans="9:10" x14ac:dyDescent="0.3">
      <c r="I11239" t="s">
        <v>17552</v>
      </c>
    </row>
    <row r="11240" spans="9:10" x14ac:dyDescent="0.3">
      <c r="I11240" t="s">
        <v>17553</v>
      </c>
      <c r="J11240" t="s">
        <v>4300</v>
      </c>
    </row>
    <row r="11241" spans="9:10" x14ac:dyDescent="0.3">
      <c r="I11241" t="s">
        <v>17553</v>
      </c>
      <c r="J11241" t="s">
        <v>4300</v>
      </c>
    </row>
    <row r="11242" spans="9:10" x14ac:dyDescent="0.3">
      <c r="I11242" t="s">
        <v>17554</v>
      </c>
      <c r="J11242" t="s">
        <v>4301</v>
      </c>
    </row>
    <row r="11243" spans="9:10" x14ac:dyDescent="0.3">
      <c r="I11243" t="s">
        <v>17555</v>
      </c>
      <c r="J11243" t="s">
        <v>4302</v>
      </c>
    </row>
    <row r="11244" spans="9:10" x14ac:dyDescent="0.3">
      <c r="I11244" t="s">
        <v>17555</v>
      </c>
      <c r="J11244" t="s">
        <v>4302</v>
      </c>
    </row>
    <row r="11245" spans="9:10" x14ac:dyDescent="0.3">
      <c r="I11245" t="s">
        <v>17555</v>
      </c>
      <c r="J11245" t="s">
        <v>4302</v>
      </c>
    </row>
    <row r="11246" spans="9:10" x14ac:dyDescent="0.3">
      <c r="I11246" t="s">
        <v>17556</v>
      </c>
      <c r="J11246" t="s">
        <v>4303</v>
      </c>
    </row>
    <row r="11247" spans="9:10" x14ac:dyDescent="0.3">
      <c r="I11247" t="s">
        <v>17557</v>
      </c>
      <c r="J11247" t="s">
        <v>4303</v>
      </c>
    </row>
    <row r="11248" spans="9:10" x14ac:dyDescent="0.3">
      <c r="I11248" t="s">
        <v>17556</v>
      </c>
      <c r="J11248" t="s">
        <v>4303</v>
      </c>
    </row>
    <row r="11249" spans="9:10" x14ac:dyDescent="0.3">
      <c r="I11249" t="s">
        <v>17558</v>
      </c>
      <c r="J11249" t="s">
        <v>4303</v>
      </c>
    </row>
    <row r="11250" spans="9:10" x14ac:dyDescent="0.3">
      <c r="I11250" t="s">
        <v>17558</v>
      </c>
      <c r="J11250" t="s">
        <v>4303</v>
      </c>
    </row>
    <row r="11251" spans="9:10" x14ac:dyDescent="0.3">
      <c r="I11251" t="s">
        <v>17556</v>
      </c>
      <c r="J11251" t="s">
        <v>4303</v>
      </c>
    </row>
    <row r="11252" spans="9:10" x14ac:dyDescent="0.3">
      <c r="I11252" t="s">
        <v>17558</v>
      </c>
      <c r="J11252" t="s">
        <v>4303</v>
      </c>
    </row>
    <row r="11253" spans="9:10" x14ac:dyDescent="0.3">
      <c r="I11253" t="s">
        <v>17559</v>
      </c>
      <c r="J11253" t="s">
        <v>4304</v>
      </c>
    </row>
    <row r="11254" spans="9:10" x14ac:dyDescent="0.3">
      <c r="I11254" t="s">
        <v>17560</v>
      </c>
      <c r="J11254" t="s">
        <v>4304</v>
      </c>
    </row>
    <row r="11255" spans="9:10" x14ac:dyDescent="0.3">
      <c r="I11255" t="s">
        <v>17561</v>
      </c>
    </row>
    <row r="11256" spans="9:10" x14ac:dyDescent="0.3">
      <c r="I11256" t="s">
        <v>17562</v>
      </c>
      <c r="J11256" t="s">
        <v>4305</v>
      </c>
    </row>
    <row r="11257" spans="9:10" x14ac:dyDescent="0.3">
      <c r="I11257" t="s">
        <v>17563</v>
      </c>
      <c r="J11257" t="s">
        <v>4306</v>
      </c>
    </row>
    <row r="11258" spans="9:10" x14ac:dyDescent="0.3">
      <c r="I11258" t="s">
        <v>17563</v>
      </c>
      <c r="J11258" t="s">
        <v>4306</v>
      </c>
    </row>
    <row r="11259" spans="9:10" x14ac:dyDescent="0.3">
      <c r="I11259" t="s">
        <v>17564</v>
      </c>
      <c r="J11259" t="s">
        <v>4307</v>
      </c>
    </row>
    <row r="11260" spans="9:10" x14ac:dyDescent="0.3">
      <c r="I11260" t="s">
        <v>17564</v>
      </c>
      <c r="J11260" t="s">
        <v>4307</v>
      </c>
    </row>
    <row r="11261" spans="9:10" x14ac:dyDescent="0.3">
      <c r="I11261" t="s">
        <v>17565</v>
      </c>
      <c r="J11261" t="s">
        <v>4308</v>
      </c>
    </row>
    <row r="11262" spans="9:10" x14ac:dyDescent="0.3">
      <c r="I11262" t="s">
        <v>17566</v>
      </c>
      <c r="J11262" t="s">
        <v>4309</v>
      </c>
    </row>
    <row r="11263" spans="9:10" x14ac:dyDescent="0.3">
      <c r="I11263" t="s">
        <v>17567</v>
      </c>
      <c r="J11263" t="s">
        <v>4310</v>
      </c>
    </row>
    <row r="11264" spans="9:10" x14ac:dyDescent="0.3">
      <c r="I11264" t="s">
        <v>17567</v>
      </c>
      <c r="J11264" t="s">
        <v>4310</v>
      </c>
    </row>
    <row r="11265" spans="9:10" x14ac:dyDescent="0.3">
      <c r="I11265" t="s">
        <v>17568</v>
      </c>
      <c r="J11265" t="s">
        <v>4311</v>
      </c>
    </row>
    <row r="11266" spans="9:10" x14ac:dyDescent="0.3">
      <c r="I11266" t="s">
        <v>17568</v>
      </c>
      <c r="J11266" t="s">
        <v>4311</v>
      </c>
    </row>
    <row r="11267" spans="9:10" x14ac:dyDescent="0.3">
      <c r="I11267" t="s">
        <v>17569</v>
      </c>
      <c r="J11267" t="s">
        <v>4312</v>
      </c>
    </row>
    <row r="11268" spans="9:10" x14ac:dyDescent="0.3">
      <c r="I11268" t="s">
        <v>17569</v>
      </c>
      <c r="J11268" t="s">
        <v>4312</v>
      </c>
    </row>
    <row r="11269" spans="9:10" x14ac:dyDescent="0.3">
      <c r="I11269" t="s">
        <v>17570</v>
      </c>
      <c r="J11269" t="s">
        <v>4313</v>
      </c>
    </row>
    <row r="11270" spans="9:10" x14ac:dyDescent="0.3">
      <c r="I11270" t="s">
        <v>17571</v>
      </c>
      <c r="J11270" t="s">
        <v>4313</v>
      </c>
    </row>
    <row r="11271" spans="9:10" x14ac:dyDescent="0.3">
      <c r="I11271" t="s">
        <v>17571</v>
      </c>
      <c r="J11271" t="s">
        <v>4313</v>
      </c>
    </row>
    <row r="11272" spans="9:10" x14ac:dyDescent="0.3">
      <c r="I11272" t="s">
        <v>17572</v>
      </c>
      <c r="J11272" t="s">
        <v>4314</v>
      </c>
    </row>
    <row r="11273" spans="9:10" x14ac:dyDescent="0.3">
      <c r="I11273" t="s">
        <v>17572</v>
      </c>
      <c r="J11273" t="s">
        <v>4314</v>
      </c>
    </row>
    <row r="11274" spans="9:10" x14ac:dyDescent="0.3">
      <c r="I11274" t="s">
        <v>17573</v>
      </c>
      <c r="J11274" t="s">
        <v>4315</v>
      </c>
    </row>
    <row r="11275" spans="9:10" x14ac:dyDescent="0.3">
      <c r="I11275" t="s">
        <v>17574</v>
      </c>
      <c r="J11275" t="s">
        <v>4315</v>
      </c>
    </row>
    <row r="11276" spans="9:10" x14ac:dyDescent="0.3">
      <c r="I11276" t="s">
        <v>17575</v>
      </c>
      <c r="J11276" t="s">
        <v>4316</v>
      </c>
    </row>
    <row r="11277" spans="9:10" x14ac:dyDescent="0.3">
      <c r="I11277" t="s">
        <v>17575</v>
      </c>
      <c r="J11277" t="s">
        <v>4316</v>
      </c>
    </row>
    <row r="11278" spans="9:10" x14ac:dyDescent="0.3">
      <c r="I11278" t="s">
        <v>17575</v>
      </c>
      <c r="J11278" t="s">
        <v>4316</v>
      </c>
    </row>
    <row r="11279" spans="9:10" x14ac:dyDescent="0.3">
      <c r="I11279" t="s">
        <v>17576</v>
      </c>
      <c r="J11279" t="s">
        <v>4317</v>
      </c>
    </row>
    <row r="11280" spans="9:10" x14ac:dyDescent="0.3">
      <c r="I11280" t="s">
        <v>17577</v>
      </c>
      <c r="J11280" t="s">
        <v>4318</v>
      </c>
    </row>
    <row r="11281" spans="9:10" x14ac:dyDescent="0.3">
      <c r="I11281" t="s">
        <v>17578</v>
      </c>
      <c r="J11281" t="s">
        <v>4319</v>
      </c>
    </row>
    <row r="11282" spans="9:10" x14ac:dyDescent="0.3">
      <c r="I11282" t="s">
        <v>17579</v>
      </c>
      <c r="J11282" t="s">
        <v>4319</v>
      </c>
    </row>
    <row r="11283" spans="9:10" x14ac:dyDescent="0.3">
      <c r="I11283" t="s">
        <v>17580</v>
      </c>
      <c r="J11283" t="s">
        <v>4320</v>
      </c>
    </row>
    <row r="11284" spans="9:10" x14ac:dyDescent="0.3">
      <c r="I11284" t="s">
        <v>17580</v>
      </c>
      <c r="J11284" t="s">
        <v>4320</v>
      </c>
    </row>
    <row r="11285" spans="9:10" x14ac:dyDescent="0.3">
      <c r="I11285" t="s">
        <v>17581</v>
      </c>
      <c r="J11285" t="s">
        <v>4321</v>
      </c>
    </row>
    <row r="11286" spans="9:10" x14ac:dyDescent="0.3">
      <c r="I11286" t="s">
        <v>17582</v>
      </c>
      <c r="J11286" t="s">
        <v>4321</v>
      </c>
    </row>
    <row r="11287" spans="9:10" x14ac:dyDescent="0.3">
      <c r="I11287" t="s">
        <v>17581</v>
      </c>
      <c r="J11287" t="s">
        <v>4321</v>
      </c>
    </row>
    <row r="11288" spans="9:10" x14ac:dyDescent="0.3">
      <c r="I11288" t="s">
        <v>17583</v>
      </c>
      <c r="J11288" t="s">
        <v>4322</v>
      </c>
    </row>
    <row r="11289" spans="9:10" x14ac:dyDescent="0.3">
      <c r="I11289" t="s">
        <v>17583</v>
      </c>
      <c r="J11289" t="s">
        <v>4322</v>
      </c>
    </row>
    <row r="11290" spans="9:10" x14ac:dyDescent="0.3">
      <c r="I11290" t="s">
        <v>17584</v>
      </c>
      <c r="J11290" t="s">
        <v>4323</v>
      </c>
    </row>
    <row r="11291" spans="9:10" x14ac:dyDescent="0.3">
      <c r="I11291" t="s">
        <v>17585</v>
      </c>
      <c r="J11291" t="s">
        <v>4323</v>
      </c>
    </row>
    <row r="11292" spans="9:10" x14ac:dyDescent="0.3">
      <c r="I11292" t="s">
        <v>17586</v>
      </c>
      <c r="J11292" t="s">
        <v>4323</v>
      </c>
    </row>
    <row r="11293" spans="9:10" x14ac:dyDescent="0.3">
      <c r="I11293" t="s">
        <v>17587</v>
      </c>
      <c r="J11293" t="s">
        <v>4324</v>
      </c>
    </row>
    <row r="11294" spans="9:10" x14ac:dyDescent="0.3">
      <c r="I11294" t="s">
        <v>17588</v>
      </c>
      <c r="J11294" t="s">
        <v>4325</v>
      </c>
    </row>
    <row r="11295" spans="9:10" x14ac:dyDescent="0.3">
      <c r="I11295" t="s">
        <v>17588</v>
      </c>
      <c r="J11295" t="s">
        <v>4325</v>
      </c>
    </row>
    <row r="11296" spans="9:10" x14ac:dyDescent="0.3">
      <c r="I11296" t="s">
        <v>17589</v>
      </c>
      <c r="J11296" t="s">
        <v>4326</v>
      </c>
    </row>
    <row r="11297" spans="9:10" x14ac:dyDescent="0.3">
      <c r="I11297" t="s">
        <v>17589</v>
      </c>
      <c r="J11297" t="s">
        <v>4326</v>
      </c>
    </row>
    <row r="11298" spans="9:10" x14ac:dyDescent="0.3">
      <c r="I11298" t="s">
        <v>17589</v>
      </c>
      <c r="J11298" t="s">
        <v>4326</v>
      </c>
    </row>
    <row r="11299" spans="9:10" x14ac:dyDescent="0.3">
      <c r="I11299" t="s">
        <v>17590</v>
      </c>
      <c r="J11299" t="s">
        <v>4327</v>
      </c>
    </row>
    <row r="11300" spans="9:10" x14ac:dyDescent="0.3">
      <c r="I11300" t="s">
        <v>17591</v>
      </c>
      <c r="J11300" t="s">
        <v>4327</v>
      </c>
    </row>
    <row r="11301" spans="9:10" x14ac:dyDescent="0.3">
      <c r="I11301" t="s">
        <v>17592</v>
      </c>
      <c r="J11301" t="s">
        <v>4327</v>
      </c>
    </row>
    <row r="11302" spans="9:10" x14ac:dyDescent="0.3">
      <c r="I11302" t="s">
        <v>17593</v>
      </c>
      <c r="J11302" t="s">
        <v>4327</v>
      </c>
    </row>
    <row r="11303" spans="9:10" x14ac:dyDescent="0.3">
      <c r="I11303" t="s">
        <v>17594</v>
      </c>
      <c r="J11303" t="s">
        <v>4327</v>
      </c>
    </row>
    <row r="11304" spans="9:10" x14ac:dyDescent="0.3">
      <c r="I11304" t="s">
        <v>17595</v>
      </c>
      <c r="J11304" t="s">
        <v>4327</v>
      </c>
    </row>
    <row r="11305" spans="9:10" x14ac:dyDescent="0.3">
      <c r="I11305" t="s">
        <v>17596</v>
      </c>
      <c r="J11305" t="s">
        <v>4328</v>
      </c>
    </row>
    <row r="11306" spans="9:10" x14ac:dyDescent="0.3">
      <c r="I11306" t="s">
        <v>17597</v>
      </c>
      <c r="J11306" t="s">
        <v>4329</v>
      </c>
    </row>
    <row r="11307" spans="9:10" x14ac:dyDescent="0.3">
      <c r="I11307" t="s">
        <v>17597</v>
      </c>
      <c r="J11307" t="s">
        <v>4329</v>
      </c>
    </row>
    <row r="11308" spans="9:10" x14ac:dyDescent="0.3">
      <c r="I11308" t="s">
        <v>17598</v>
      </c>
      <c r="J11308" t="s">
        <v>4330</v>
      </c>
    </row>
    <row r="11309" spans="9:10" x14ac:dyDescent="0.3">
      <c r="I11309" t="s">
        <v>17599</v>
      </c>
      <c r="J11309" t="s">
        <v>4331</v>
      </c>
    </row>
    <row r="11310" spans="9:10" x14ac:dyDescent="0.3">
      <c r="I11310" t="s">
        <v>17599</v>
      </c>
      <c r="J11310" t="s">
        <v>4331</v>
      </c>
    </row>
    <row r="11311" spans="9:10" x14ac:dyDescent="0.3">
      <c r="I11311" t="s">
        <v>17600</v>
      </c>
      <c r="J11311" t="s">
        <v>4331</v>
      </c>
    </row>
    <row r="11312" spans="9:10" x14ac:dyDescent="0.3">
      <c r="I11312" t="s">
        <v>17601</v>
      </c>
      <c r="J11312" t="s">
        <v>4332</v>
      </c>
    </row>
    <row r="11313" spans="9:10" x14ac:dyDescent="0.3">
      <c r="I11313" t="s">
        <v>17602</v>
      </c>
      <c r="J11313" t="s">
        <v>4333</v>
      </c>
    </row>
    <row r="11314" spans="9:10" x14ac:dyDescent="0.3">
      <c r="I11314" t="s">
        <v>17603</v>
      </c>
      <c r="J11314" t="s">
        <v>4333</v>
      </c>
    </row>
    <row r="11315" spans="9:10" x14ac:dyDescent="0.3">
      <c r="I11315" t="s">
        <v>17603</v>
      </c>
      <c r="J11315" t="s">
        <v>4333</v>
      </c>
    </row>
    <row r="11316" spans="9:10" x14ac:dyDescent="0.3">
      <c r="I11316" t="s">
        <v>17604</v>
      </c>
      <c r="J11316" t="s">
        <v>4334</v>
      </c>
    </row>
    <row r="11317" spans="9:10" x14ac:dyDescent="0.3">
      <c r="I11317" t="s">
        <v>17604</v>
      </c>
      <c r="J11317" t="s">
        <v>4334</v>
      </c>
    </row>
    <row r="11318" spans="9:10" x14ac:dyDescent="0.3">
      <c r="I11318" t="s">
        <v>17605</v>
      </c>
      <c r="J11318" t="s">
        <v>4318</v>
      </c>
    </row>
    <row r="11319" spans="9:10" x14ac:dyDescent="0.3">
      <c r="I11319" t="s">
        <v>17605</v>
      </c>
      <c r="J11319" t="s">
        <v>4318</v>
      </c>
    </row>
    <row r="11320" spans="9:10" x14ac:dyDescent="0.3">
      <c r="I11320" t="s">
        <v>17606</v>
      </c>
      <c r="J11320" t="s">
        <v>4308</v>
      </c>
    </row>
    <row r="11321" spans="9:10" x14ac:dyDescent="0.3">
      <c r="I11321" t="s">
        <v>17606</v>
      </c>
      <c r="J11321" t="s">
        <v>4308</v>
      </c>
    </row>
    <row r="11322" spans="9:10" x14ac:dyDescent="0.3">
      <c r="I11322" t="s">
        <v>17607</v>
      </c>
      <c r="J11322" t="s">
        <v>4308</v>
      </c>
    </row>
    <row r="11323" spans="9:10" x14ac:dyDescent="0.3">
      <c r="I11323" t="s">
        <v>17608</v>
      </c>
      <c r="J11323" t="s">
        <v>4331</v>
      </c>
    </row>
    <row r="11324" spans="9:10" x14ac:dyDescent="0.3">
      <c r="I11324" t="s">
        <v>17609</v>
      </c>
      <c r="J11324" t="s">
        <v>4335</v>
      </c>
    </row>
    <row r="11325" spans="9:10" x14ac:dyDescent="0.3">
      <c r="I11325" t="s">
        <v>17609</v>
      </c>
      <c r="J11325" t="s">
        <v>4335</v>
      </c>
    </row>
    <row r="11326" spans="9:10" x14ac:dyDescent="0.3">
      <c r="I11326" t="s">
        <v>17610</v>
      </c>
      <c r="J11326" t="s">
        <v>4336</v>
      </c>
    </row>
    <row r="11327" spans="9:10" x14ac:dyDescent="0.3">
      <c r="I11327" t="s">
        <v>17610</v>
      </c>
      <c r="J11327" t="s">
        <v>4336</v>
      </c>
    </row>
    <row r="11328" spans="9:10" x14ac:dyDescent="0.3">
      <c r="I11328" t="s">
        <v>17611</v>
      </c>
      <c r="J11328" t="s">
        <v>4337</v>
      </c>
    </row>
    <row r="11329" spans="9:10" x14ac:dyDescent="0.3">
      <c r="I11329" t="s">
        <v>17611</v>
      </c>
      <c r="J11329" t="s">
        <v>4337</v>
      </c>
    </row>
    <row r="11330" spans="9:10" x14ac:dyDescent="0.3">
      <c r="I11330" t="s">
        <v>17612</v>
      </c>
      <c r="J11330" t="s">
        <v>4338</v>
      </c>
    </row>
    <row r="11331" spans="9:10" x14ac:dyDescent="0.3">
      <c r="I11331" t="s">
        <v>17612</v>
      </c>
      <c r="J11331" t="s">
        <v>4338</v>
      </c>
    </row>
    <row r="11332" spans="9:10" x14ac:dyDescent="0.3">
      <c r="I11332" t="s">
        <v>17613</v>
      </c>
      <c r="J11332" t="s">
        <v>4338</v>
      </c>
    </row>
    <row r="11333" spans="9:10" x14ac:dyDescent="0.3">
      <c r="I11333" t="s">
        <v>17614</v>
      </c>
    </row>
    <row r="11334" spans="9:10" x14ac:dyDescent="0.3">
      <c r="I11334" t="s">
        <v>17615</v>
      </c>
      <c r="J11334" t="s">
        <v>4339</v>
      </c>
    </row>
    <row r="11335" spans="9:10" x14ac:dyDescent="0.3">
      <c r="I11335" t="s">
        <v>17615</v>
      </c>
      <c r="J11335" t="s">
        <v>4339</v>
      </c>
    </row>
    <row r="11336" spans="9:10" x14ac:dyDescent="0.3">
      <c r="I11336" t="s">
        <v>17616</v>
      </c>
      <c r="J11336" t="s">
        <v>4339</v>
      </c>
    </row>
    <row r="11337" spans="9:10" x14ac:dyDescent="0.3">
      <c r="I11337" t="s">
        <v>17617</v>
      </c>
      <c r="J11337" t="s">
        <v>4340</v>
      </c>
    </row>
    <row r="11338" spans="9:10" x14ac:dyDescent="0.3">
      <c r="I11338" t="s">
        <v>17618</v>
      </c>
      <c r="J11338" t="s">
        <v>842</v>
      </c>
    </row>
    <row r="11339" spans="9:10" x14ac:dyDescent="0.3">
      <c r="I11339" t="s">
        <v>17618</v>
      </c>
      <c r="J11339" t="s">
        <v>842</v>
      </c>
    </row>
    <row r="11340" spans="9:10" x14ac:dyDescent="0.3">
      <c r="I11340" t="s">
        <v>17618</v>
      </c>
      <c r="J11340" t="s">
        <v>842</v>
      </c>
    </row>
    <row r="11341" spans="9:10" x14ac:dyDescent="0.3">
      <c r="I11341" t="s">
        <v>17619</v>
      </c>
      <c r="J11341" t="s">
        <v>842</v>
      </c>
    </row>
    <row r="11342" spans="9:10" x14ac:dyDescent="0.3">
      <c r="I11342" t="s">
        <v>17618</v>
      </c>
      <c r="J11342" t="s">
        <v>842</v>
      </c>
    </row>
    <row r="11343" spans="9:10" x14ac:dyDescent="0.3">
      <c r="I11343" t="s">
        <v>17620</v>
      </c>
      <c r="J11343" t="s">
        <v>842</v>
      </c>
    </row>
    <row r="11344" spans="9:10" x14ac:dyDescent="0.3">
      <c r="I11344" t="s">
        <v>17621</v>
      </c>
      <c r="J11344" t="s">
        <v>4341</v>
      </c>
    </row>
    <row r="11345" spans="9:10" x14ac:dyDescent="0.3">
      <c r="I11345" t="s">
        <v>17622</v>
      </c>
      <c r="J11345" t="s">
        <v>4341</v>
      </c>
    </row>
    <row r="11346" spans="9:10" x14ac:dyDescent="0.3">
      <c r="I11346" t="s">
        <v>17623</v>
      </c>
      <c r="J11346" t="s">
        <v>4341</v>
      </c>
    </row>
    <row r="11347" spans="9:10" x14ac:dyDescent="0.3">
      <c r="I11347" t="s">
        <v>17621</v>
      </c>
      <c r="J11347" t="s">
        <v>4341</v>
      </c>
    </row>
    <row r="11348" spans="9:10" x14ac:dyDescent="0.3">
      <c r="I11348" t="s">
        <v>17624</v>
      </c>
      <c r="J11348" t="s">
        <v>4342</v>
      </c>
    </row>
    <row r="11349" spans="9:10" x14ac:dyDescent="0.3">
      <c r="I11349" t="s">
        <v>17624</v>
      </c>
      <c r="J11349" t="s">
        <v>4342</v>
      </c>
    </row>
    <row r="11350" spans="9:10" x14ac:dyDescent="0.3">
      <c r="I11350" t="s">
        <v>17624</v>
      </c>
      <c r="J11350" t="s">
        <v>4342</v>
      </c>
    </row>
    <row r="11351" spans="9:10" x14ac:dyDescent="0.3">
      <c r="I11351" t="s">
        <v>17624</v>
      </c>
      <c r="J11351" t="s">
        <v>4342</v>
      </c>
    </row>
    <row r="11352" spans="9:10" x14ac:dyDescent="0.3">
      <c r="I11352" t="s">
        <v>17624</v>
      </c>
      <c r="J11352" t="s">
        <v>4342</v>
      </c>
    </row>
    <row r="11353" spans="9:10" x14ac:dyDescent="0.3">
      <c r="I11353" t="s">
        <v>17624</v>
      </c>
      <c r="J11353" t="s">
        <v>4342</v>
      </c>
    </row>
    <row r="11354" spans="9:10" x14ac:dyDescent="0.3">
      <c r="I11354" t="s">
        <v>17624</v>
      </c>
      <c r="J11354" t="s">
        <v>4342</v>
      </c>
    </row>
    <row r="11355" spans="9:10" x14ac:dyDescent="0.3">
      <c r="I11355" t="s">
        <v>17625</v>
      </c>
      <c r="J11355" t="s">
        <v>4343</v>
      </c>
    </row>
    <row r="11356" spans="9:10" x14ac:dyDescent="0.3">
      <c r="I11356" t="s">
        <v>17626</v>
      </c>
      <c r="J11356" t="s">
        <v>4343</v>
      </c>
    </row>
    <row r="11357" spans="9:10" x14ac:dyDescent="0.3">
      <c r="I11357" t="s">
        <v>17627</v>
      </c>
      <c r="J11357" t="s">
        <v>4343</v>
      </c>
    </row>
    <row r="11358" spans="9:10" x14ac:dyDescent="0.3">
      <c r="I11358" t="s">
        <v>17625</v>
      </c>
      <c r="J11358" t="s">
        <v>4343</v>
      </c>
    </row>
    <row r="11359" spans="9:10" x14ac:dyDescent="0.3">
      <c r="I11359" t="s">
        <v>17628</v>
      </c>
      <c r="J11359" t="s">
        <v>4343</v>
      </c>
    </row>
    <row r="11360" spans="9:10" x14ac:dyDescent="0.3">
      <c r="I11360" t="s">
        <v>16661</v>
      </c>
      <c r="J11360" t="s">
        <v>4344</v>
      </c>
    </row>
    <row r="11361" spans="9:10" x14ac:dyDescent="0.3">
      <c r="I11361" t="s">
        <v>17629</v>
      </c>
      <c r="J11361" t="s">
        <v>4344</v>
      </c>
    </row>
    <row r="11362" spans="9:10" x14ac:dyDescent="0.3">
      <c r="I11362" t="s">
        <v>17630</v>
      </c>
      <c r="J11362" t="s">
        <v>4344</v>
      </c>
    </row>
    <row r="11363" spans="9:10" x14ac:dyDescent="0.3">
      <c r="I11363" t="s">
        <v>16661</v>
      </c>
      <c r="J11363" t="s">
        <v>4344</v>
      </c>
    </row>
    <row r="11364" spans="9:10" x14ac:dyDescent="0.3">
      <c r="I11364" t="s">
        <v>16661</v>
      </c>
      <c r="J11364" t="s">
        <v>4344</v>
      </c>
    </row>
    <row r="11365" spans="9:10" x14ac:dyDescent="0.3">
      <c r="I11365" t="s">
        <v>17631</v>
      </c>
      <c r="J11365" t="s">
        <v>4344</v>
      </c>
    </row>
    <row r="11366" spans="9:10" x14ac:dyDescent="0.3">
      <c r="I11366" t="s">
        <v>17632</v>
      </c>
      <c r="J11366" t="s">
        <v>4344</v>
      </c>
    </row>
    <row r="11367" spans="9:10" x14ac:dyDescent="0.3">
      <c r="I11367" t="s">
        <v>17633</v>
      </c>
      <c r="J11367" t="s">
        <v>4344</v>
      </c>
    </row>
    <row r="11368" spans="9:10" x14ac:dyDescent="0.3">
      <c r="I11368" t="s">
        <v>17629</v>
      </c>
      <c r="J11368" t="s">
        <v>4344</v>
      </c>
    </row>
    <row r="11369" spans="9:10" x14ac:dyDescent="0.3">
      <c r="I11369" t="s">
        <v>17634</v>
      </c>
      <c r="J11369" t="s">
        <v>4344</v>
      </c>
    </row>
    <row r="11370" spans="9:10" x14ac:dyDescent="0.3">
      <c r="I11370" t="s">
        <v>16661</v>
      </c>
      <c r="J11370" t="s">
        <v>4344</v>
      </c>
    </row>
    <row r="11371" spans="9:10" x14ac:dyDescent="0.3">
      <c r="I11371" t="s">
        <v>12057</v>
      </c>
      <c r="J11371" t="s">
        <v>4344</v>
      </c>
    </row>
    <row r="11372" spans="9:10" x14ac:dyDescent="0.3">
      <c r="I11372" t="s">
        <v>17635</v>
      </c>
      <c r="J11372" t="s">
        <v>4344</v>
      </c>
    </row>
    <row r="11373" spans="9:10" x14ac:dyDescent="0.3">
      <c r="I11373" t="s">
        <v>17634</v>
      </c>
      <c r="J11373" t="s">
        <v>4344</v>
      </c>
    </row>
    <row r="11374" spans="9:10" x14ac:dyDescent="0.3">
      <c r="I11374" t="s">
        <v>16661</v>
      </c>
      <c r="J11374" t="s">
        <v>4344</v>
      </c>
    </row>
    <row r="11375" spans="9:10" x14ac:dyDescent="0.3">
      <c r="I11375" t="s">
        <v>17636</v>
      </c>
      <c r="J11375" t="s">
        <v>4345</v>
      </c>
    </row>
    <row r="11376" spans="9:10" x14ac:dyDescent="0.3">
      <c r="I11376" t="s">
        <v>17637</v>
      </c>
      <c r="J11376" t="s">
        <v>4345</v>
      </c>
    </row>
    <row r="11377" spans="9:10" x14ac:dyDescent="0.3">
      <c r="I11377" t="s">
        <v>17638</v>
      </c>
      <c r="J11377" t="s">
        <v>4345</v>
      </c>
    </row>
    <row r="11378" spans="9:10" x14ac:dyDescent="0.3">
      <c r="I11378" t="s">
        <v>17639</v>
      </c>
    </row>
    <row r="11379" spans="9:10" x14ac:dyDescent="0.3">
      <c r="I11379" t="s">
        <v>17640</v>
      </c>
      <c r="J11379" t="s">
        <v>4346</v>
      </c>
    </row>
    <row r="11380" spans="9:10" x14ac:dyDescent="0.3">
      <c r="I11380" t="s">
        <v>17640</v>
      </c>
      <c r="J11380" t="s">
        <v>4346</v>
      </c>
    </row>
    <row r="11381" spans="9:10" x14ac:dyDescent="0.3">
      <c r="I11381" t="s">
        <v>17640</v>
      </c>
      <c r="J11381" t="s">
        <v>4346</v>
      </c>
    </row>
    <row r="11382" spans="9:10" x14ac:dyDescent="0.3">
      <c r="I11382" t="s">
        <v>17640</v>
      </c>
      <c r="J11382" t="s">
        <v>4346</v>
      </c>
    </row>
    <row r="11383" spans="9:10" x14ac:dyDescent="0.3">
      <c r="I11383" t="s">
        <v>17640</v>
      </c>
      <c r="J11383" t="s">
        <v>4346</v>
      </c>
    </row>
    <row r="11384" spans="9:10" x14ac:dyDescent="0.3">
      <c r="I11384" t="s">
        <v>17640</v>
      </c>
      <c r="J11384" t="s">
        <v>4346</v>
      </c>
    </row>
    <row r="11385" spans="9:10" x14ac:dyDescent="0.3">
      <c r="I11385" t="s">
        <v>17641</v>
      </c>
      <c r="J11385" t="s">
        <v>4347</v>
      </c>
    </row>
    <row r="11386" spans="9:10" x14ac:dyDescent="0.3">
      <c r="I11386" t="s">
        <v>17642</v>
      </c>
      <c r="J11386" t="s">
        <v>4347</v>
      </c>
    </row>
    <row r="11387" spans="9:10" x14ac:dyDescent="0.3">
      <c r="I11387" t="s">
        <v>17641</v>
      </c>
      <c r="J11387" t="s">
        <v>4347</v>
      </c>
    </row>
    <row r="11388" spans="9:10" x14ac:dyDescent="0.3">
      <c r="I11388" t="s">
        <v>17641</v>
      </c>
      <c r="J11388" t="s">
        <v>4347</v>
      </c>
    </row>
    <row r="11389" spans="9:10" x14ac:dyDescent="0.3">
      <c r="I11389" t="s">
        <v>17641</v>
      </c>
      <c r="J11389" t="s">
        <v>4347</v>
      </c>
    </row>
    <row r="11390" spans="9:10" x14ac:dyDescent="0.3">
      <c r="I11390" t="s">
        <v>17641</v>
      </c>
      <c r="J11390" t="s">
        <v>4347</v>
      </c>
    </row>
    <row r="11391" spans="9:10" x14ac:dyDescent="0.3">
      <c r="I11391" t="s">
        <v>17641</v>
      </c>
      <c r="J11391" t="s">
        <v>4347</v>
      </c>
    </row>
    <row r="11392" spans="9:10" x14ac:dyDescent="0.3">
      <c r="I11392" t="s">
        <v>17643</v>
      </c>
      <c r="J11392" t="s">
        <v>4347</v>
      </c>
    </row>
    <row r="11393" spans="9:10" x14ac:dyDescent="0.3">
      <c r="I11393" t="s">
        <v>17641</v>
      </c>
      <c r="J11393" t="s">
        <v>4347</v>
      </c>
    </row>
    <row r="11394" spans="9:10" x14ac:dyDescent="0.3">
      <c r="I11394" t="s">
        <v>17644</v>
      </c>
      <c r="J11394" t="s">
        <v>4348</v>
      </c>
    </row>
    <row r="11395" spans="9:10" x14ac:dyDescent="0.3">
      <c r="I11395" t="s">
        <v>17645</v>
      </c>
      <c r="J11395" t="s">
        <v>4348</v>
      </c>
    </row>
    <row r="11396" spans="9:10" x14ac:dyDescent="0.3">
      <c r="I11396" t="s">
        <v>17646</v>
      </c>
      <c r="J11396" t="s">
        <v>4348</v>
      </c>
    </row>
    <row r="11397" spans="9:10" x14ac:dyDescent="0.3">
      <c r="I11397" t="s">
        <v>17647</v>
      </c>
    </row>
    <row r="11398" spans="9:10" x14ac:dyDescent="0.3">
      <c r="I11398" t="s">
        <v>17648</v>
      </c>
      <c r="J11398" t="s">
        <v>4349</v>
      </c>
    </row>
    <row r="11399" spans="9:10" x14ac:dyDescent="0.3">
      <c r="I11399" t="s">
        <v>17649</v>
      </c>
      <c r="J11399" t="s">
        <v>4350</v>
      </c>
    </row>
    <row r="11400" spans="9:10" x14ac:dyDescent="0.3">
      <c r="I11400" t="s">
        <v>17649</v>
      </c>
      <c r="J11400" t="s">
        <v>4350</v>
      </c>
    </row>
    <row r="11401" spans="9:10" x14ac:dyDescent="0.3">
      <c r="I11401" t="s">
        <v>17649</v>
      </c>
      <c r="J11401" t="s">
        <v>4350</v>
      </c>
    </row>
    <row r="11402" spans="9:10" x14ac:dyDescent="0.3">
      <c r="I11402" t="s">
        <v>17649</v>
      </c>
      <c r="J11402" t="s">
        <v>4350</v>
      </c>
    </row>
    <row r="11403" spans="9:10" x14ac:dyDescent="0.3">
      <c r="I11403" t="s">
        <v>17650</v>
      </c>
      <c r="J11403" t="s">
        <v>4350</v>
      </c>
    </row>
    <row r="11404" spans="9:10" x14ac:dyDescent="0.3">
      <c r="I11404" t="s">
        <v>17649</v>
      </c>
      <c r="J11404" t="s">
        <v>4350</v>
      </c>
    </row>
    <row r="11405" spans="9:10" x14ac:dyDescent="0.3">
      <c r="I11405" t="s">
        <v>17649</v>
      </c>
      <c r="J11405" t="s">
        <v>4350</v>
      </c>
    </row>
    <row r="11406" spans="9:10" x14ac:dyDescent="0.3">
      <c r="I11406" t="s">
        <v>17651</v>
      </c>
      <c r="J11406" t="s">
        <v>4350</v>
      </c>
    </row>
    <row r="11407" spans="9:10" x14ac:dyDescent="0.3">
      <c r="I11407" t="s">
        <v>17652</v>
      </c>
      <c r="J11407" t="s">
        <v>4350</v>
      </c>
    </row>
    <row r="11408" spans="9:10" x14ac:dyDescent="0.3">
      <c r="I11408" t="s">
        <v>17649</v>
      </c>
      <c r="J11408" t="s">
        <v>4350</v>
      </c>
    </row>
    <row r="11409" spans="9:10" x14ac:dyDescent="0.3">
      <c r="I11409" t="s">
        <v>17653</v>
      </c>
      <c r="J11409" t="s">
        <v>4351</v>
      </c>
    </row>
    <row r="11410" spans="9:10" x14ac:dyDescent="0.3">
      <c r="I11410" t="s">
        <v>17654</v>
      </c>
      <c r="J11410" t="s">
        <v>4352</v>
      </c>
    </row>
    <row r="11411" spans="9:10" x14ac:dyDescent="0.3">
      <c r="I11411" t="s">
        <v>17655</v>
      </c>
      <c r="J11411" t="s">
        <v>4352</v>
      </c>
    </row>
    <row r="11412" spans="9:10" x14ac:dyDescent="0.3">
      <c r="I11412" t="s">
        <v>17656</v>
      </c>
      <c r="J11412" t="s">
        <v>4352</v>
      </c>
    </row>
    <row r="11413" spans="9:10" x14ac:dyDescent="0.3">
      <c r="I11413" t="s">
        <v>17657</v>
      </c>
      <c r="J11413" t="s">
        <v>4352</v>
      </c>
    </row>
    <row r="11414" spans="9:10" x14ac:dyDescent="0.3">
      <c r="I11414" t="s">
        <v>17658</v>
      </c>
      <c r="J11414" t="s">
        <v>4352</v>
      </c>
    </row>
    <row r="11415" spans="9:10" x14ac:dyDescent="0.3">
      <c r="I11415" t="s">
        <v>17659</v>
      </c>
      <c r="J11415" t="s">
        <v>4352</v>
      </c>
    </row>
    <row r="11416" spans="9:10" x14ac:dyDescent="0.3">
      <c r="I11416" t="s">
        <v>17660</v>
      </c>
      <c r="J11416" t="s">
        <v>4352</v>
      </c>
    </row>
    <row r="11417" spans="9:10" x14ac:dyDescent="0.3">
      <c r="I11417" t="s">
        <v>17660</v>
      </c>
      <c r="J11417" t="s">
        <v>4352</v>
      </c>
    </row>
    <row r="11418" spans="9:10" x14ac:dyDescent="0.3">
      <c r="I11418" t="s">
        <v>17661</v>
      </c>
      <c r="J11418" t="s">
        <v>4352</v>
      </c>
    </row>
    <row r="11419" spans="9:10" x14ac:dyDescent="0.3">
      <c r="I11419" t="s">
        <v>17662</v>
      </c>
      <c r="J11419" t="s">
        <v>4352</v>
      </c>
    </row>
    <row r="11420" spans="9:10" x14ac:dyDescent="0.3">
      <c r="I11420" t="s">
        <v>17663</v>
      </c>
      <c r="J11420" t="s">
        <v>4352</v>
      </c>
    </row>
    <row r="11421" spans="9:10" x14ac:dyDescent="0.3">
      <c r="I11421" t="s">
        <v>17660</v>
      </c>
      <c r="J11421" t="s">
        <v>4352</v>
      </c>
    </row>
    <row r="11422" spans="9:10" x14ac:dyDescent="0.3">
      <c r="I11422" t="s">
        <v>17664</v>
      </c>
      <c r="J11422" t="s">
        <v>4352</v>
      </c>
    </row>
    <row r="11423" spans="9:10" x14ac:dyDescent="0.3">
      <c r="I11423" t="s">
        <v>17665</v>
      </c>
      <c r="J11423" t="s">
        <v>4352</v>
      </c>
    </row>
    <row r="11424" spans="9:10" x14ac:dyDescent="0.3">
      <c r="I11424" t="s">
        <v>17666</v>
      </c>
      <c r="J11424" t="s">
        <v>4352</v>
      </c>
    </row>
    <row r="11425" spans="9:10" x14ac:dyDescent="0.3">
      <c r="I11425" t="s">
        <v>17667</v>
      </c>
      <c r="J11425" t="s">
        <v>4352</v>
      </c>
    </row>
    <row r="11426" spans="9:10" x14ac:dyDescent="0.3">
      <c r="I11426" t="s">
        <v>17660</v>
      </c>
      <c r="J11426" t="s">
        <v>4352</v>
      </c>
    </row>
    <row r="11427" spans="9:10" x14ac:dyDescent="0.3">
      <c r="I11427" t="s">
        <v>17668</v>
      </c>
      <c r="J11427" t="s">
        <v>4352</v>
      </c>
    </row>
    <row r="11428" spans="9:10" x14ac:dyDescent="0.3">
      <c r="I11428" t="s">
        <v>17669</v>
      </c>
      <c r="J11428" t="s">
        <v>4352</v>
      </c>
    </row>
    <row r="11429" spans="9:10" x14ac:dyDescent="0.3">
      <c r="I11429" t="s">
        <v>17670</v>
      </c>
      <c r="J11429" t="s">
        <v>4352</v>
      </c>
    </row>
    <row r="11430" spans="9:10" x14ac:dyDescent="0.3">
      <c r="I11430" t="s">
        <v>17671</v>
      </c>
      <c r="J11430" t="s">
        <v>4352</v>
      </c>
    </row>
    <row r="11431" spans="9:10" x14ac:dyDescent="0.3">
      <c r="I11431" t="s">
        <v>17672</v>
      </c>
      <c r="J11431" t="s">
        <v>4352</v>
      </c>
    </row>
    <row r="11432" spans="9:10" x14ac:dyDescent="0.3">
      <c r="I11432" t="s">
        <v>17673</v>
      </c>
      <c r="J11432" t="s">
        <v>4352</v>
      </c>
    </row>
    <row r="11433" spans="9:10" x14ac:dyDescent="0.3">
      <c r="I11433" t="s">
        <v>17674</v>
      </c>
      <c r="J11433" t="s">
        <v>4352</v>
      </c>
    </row>
    <row r="11434" spans="9:10" x14ac:dyDescent="0.3">
      <c r="I11434" t="s">
        <v>17660</v>
      </c>
      <c r="J11434" t="s">
        <v>4352</v>
      </c>
    </row>
    <row r="11435" spans="9:10" x14ac:dyDescent="0.3">
      <c r="I11435" t="s">
        <v>17675</v>
      </c>
      <c r="J11435" t="s">
        <v>4353</v>
      </c>
    </row>
    <row r="11436" spans="9:10" x14ac:dyDescent="0.3">
      <c r="I11436" t="s">
        <v>17676</v>
      </c>
      <c r="J11436" t="s">
        <v>4353</v>
      </c>
    </row>
    <row r="11437" spans="9:10" x14ac:dyDescent="0.3">
      <c r="I11437" t="s">
        <v>17677</v>
      </c>
      <c r="J11437" t="s">
        <v>4353</v>
      </c>
    </row>
    <row r="11438" spans="9:10" x14ac:dyDescent="0.3">
      <c r="I11438" t="s">
        <v>17678</v>
      </c>
      <c r="J11438" t="s">
        <v>4353</v>
      </c>
    </row>
    <row r="11439" spans="9:10" x14ac:dyDescent="0.3">
      <c r="I11439" t="s">
        <v>17679</v>
      </c>
      <c r="J11439" t="s">
        <v>4353</v>
      </c>
    </row>
    <row r="11440" spans="9:10" x14ac:dyDescent="0.3">
      <c r="I11440" t="s">
        <v>17680</v>
      </c>
      <c r="J11440" t="s">
        <v>4353</v>
      </c>
    </row>
    <row r="11441" spans="9:10" x14ac:dyDescent="0.3">
      <c r="I11441" t="s">
        <v>17681</v>
      </c>
      <c r="J11441" t="s">
        <v>4353</v>
      </c>
    </row>
    <row r="11442" spans="9:10" x14ac:dyDescent="0.3">
      <c r="I11442" t="s">
        <v>17682</v>
      </c>
      <c r="J11442" t="s">
        <v>4353</v>
      </c>
    </row>
    <row r="11443" spans="9:10" x14ac:dyDescent="0.3">
      <c r="I11443" t="s">
        <v>17683</v>
      </c>
      <c r="J11443" t="s">
        <v>4353</v>
      </c>
    </row>
    <row r="11444" spans="9:10" x14ac:dyDescent="0.3">
      <c r="I11444" t="s">
        <v>17683</v>
      </c>
      <c r="J11444" t="s">
        <v>4353</v>
      </c>
    </row>
    <row r="11445" spans="9:10" x14ac:dyDescent="0.3">
      <c r="I11445" t="s">
        <v>17684</v>
      </c>
      <c r="J11445" t="s">
        <v>4353</v>
      </c>
    </row>
    <row r="11446" spans="9:10" x14ac:dyDescent="0.3">
      <c r="I11446" t="s">
        <v>17685</v>
      </c>
      <c r="J11446" t="s">
        <v>4353</v>
      </c>
    </row>
    <row r="11447" spans="9:10" x14ac:dyDescent="0.3">
      <c r="I11447" t="s">
        <v>17686</v>
      </c>
      <c r="J11447" t="s">
        <v>4353</v>
      </c>
    </row>
    <row r="11448" spans="9:10" x14ac:dyDescent="0.3">
      <c r="I11448" t="s">
        <v>17687</v>
      </c>
      <c r="J11448" t="s">
        <v>4353</v>
      </c>
    </row>
    <row r="11449" spans="9:10" x14ac:dyDescent="0.3">
      <c r="I11449" t="s">
        <v>17688</v>
      </c>
      <c r="J11449" t="s">
        <v>4353</v>
      </c>
    </row>
    <row r="11450" spans="9:10" x14ac:dyDescent="0.3">
      <c r="I11450" t="s">
        <v>17689</v>
      </c>
      <c r="J11450" t="s">
        <v>4353</v>
      </c>
    </row>
    <row r="11451" spans="9:10" x14ac:dyDescent="0.3">
      <c r="I11451" t="s">
        <v>17690</v>
      </c>
      <c r="J11451" t="s">
        <v>4353</v>
      </c>
    </row>
    <row r="11452" spans="9:10" x14ac:dyDescent="0.3">
      <c r="I11452" t="s">
        <v>17691</v>
      </c>
      <c r="J11452" t="s">
        <v>4353</v>
      </c>
    </row>
    <row r="11453" spans="9:10" x14ac:dyDescent="0.3">
      <c r="I11453" t="s">
        <v>17692</v>
      </c>
      <c r="J11453" t="s">
        <v>4353</v>
      </c>
    </row>
    <row r="11454" spans="9:10" x14ac:dyDescent="0.3">
      <c r="I11454" t="s">
        <v>17693</v>
      </c>
      <c r="J11454" t="s">
        <v>4354</v>
      </c>
    </row>
    <row r="11455" spans="9:10" x14ac:dyDescent="0.3">
      <c r="I11455" t="s">
        <v>17693</v>
      </c>
      <c r="J11455" t="s">
        <v>4354</v>
      </c>
    </row>
    <row r="11456" spans="9:10" x14ac:dyDescent="0.3">
      <c r="I11456" t="s">
        <v>17693</v>
      </c>
      <c r="J11456" t="s">
        <v>4354</v>
      </c>
    </row>
    <row r="11457" spans="9:10" x14ac:dyDescent="0.3">
      <c r="I11457" t="s">
        <v>17694</v>
      </c>
      <c r="J11457" t="s">
        <v>4354</v>
      </c>
    </row>
    <row r="11458" spans="9:10" x14ac:dyDescent="0.3">
      <c r="I11458" t="s">
        <v>17693</v>
      </c>
      <c r="J11458" t="s">
        <v>4354</v>
      </c>
    </row>
    <row r="11459" spans="9:10" x14ac:dyDescent="0.3">
      <c r="I11459" t="s">
        <v>17693</v>
      </c>
      <c r="J11459" t="s">
        <v>4354</v>
      </c>
    </row>
    <row r="11460" spans="9:10" x14ac:dyDescent="0.3">
      <c r="I11460" t="s">
        <v>17693</v>
      </c>
      <c r="J11460" t="s">
        <v>4354</v>
      </c>
    </row>
    <row r="11461" spans="9:10" x14ac:dyDescent="0.3">
      <c r="I11461" t="s">
        <v>17693</v>
      </c>
      <c r="J11461" t="s">
        <v>4354</v>
      </c>
    </row>
    <row r="11462" spans="9:10" x14ac:dyDescent="0.3">
      <c r="I11462" t="s">
        <v>17695</v>
      </c>
      <c r="J11462" t="s">
        <v>4355</v>
      </c>
    </row>
    <row r="11463" spans="9:10" x14ac:dyDescent="0.3">
      <c r="I11463" t="s">
        <v>17696</v>
      </c>
      <c r="J11463" t="s">
        <v>4355</v>
      </c>
    </row>
    <row r="11464" spans="9:10" x14ac:dyDescent="0.3">
      <c r="I11464" t="s">
        <v>17696</v>
      </c>
      <c r="J11464" t="s">
        <v>4355</v>
      </c>
    </row>
    <row r="11465" spans="9:10" x14ac:dyDescent="0.3">
      <c r="I11465" t="s">
        <v>17697</v>
      </c>
    </row>
    <row r="11466" spans="9:10" x14ac:dyDescent="0.3">
      <c r="I11466" t="s">
        <v>17698</v>
      </c>
    </row>
    <row r="11467" spans="9:10" x14ac:dyDescent="0.3">
      <c r="I11467" t="s">
        <v>17698</v>
      </c>
    </row>
    <row r="11468" spans="9:10" x14ac:dyDescent="0.3">
      <c r="I11468" t="s">
        <v>17699</v>
      </c>
    </row>
    <row r="11469" spans="9:10" x14ac:dyDescent="0.3">
      <c r="I11469" t="s">
        <v>17700</v>
      </c>
    </row>
    <row r="11470" spans="9:10" x14ac:dyDescent="0.3">
      <c r="I11470" t="s">
        <v>17701</v>
      </c>
    </row>
    <row r="11471" spans="9:10" x14ac:dyDescent="0.3">
      <c r="I11471" t="s">
        <v>17701</v>
      </c>
    </row>
    <row r="11472" spans="9:10" x14ac:dyDescent="0.3">
      <c r="I11472" t="s">
        <v>17702</v>
      </c>
      <c r="J11472" t="s">
        <v>4356</v>
      </c>
    </row>
    <row r="11473" spans="9:10" x14ac:dyDescent="0.3">
      <c r="I11473" t="s">
        <v>17703</v>
      </c>
      <c r="J11473" t="s">
        <v>4356</v>
      </c>
    </row>
    <row r="11474" spans="9:10" x14ac:dyDescent="0.3">
      <c r="I11474" t="s">
        <v>17702</v>
      </c>
      <c r="J11474" t="s">
        <v>4356</v>
      </c>
    </row>
    <row r="11475" spans="9:10" x14ac:dyDescent="0.3">
      <c r="I11475" t="s">
        <v>17703</v>
      </c>
      <c r="J11475" t="s">
        <v>4356</v>
      </c>
    </row>
    <row r="11476" spans="9:10" x14ac:dyDescent="0.3">
      <c r="I11476" t="s">
        <v>17704</v>
      </c>
      <c r="J11476" t="s">
        <v>4357</v>
      </c>
    </row>
    <row r="11477" spans="9:10" x14ac:dyDescent="0.3">
      <c r="I11477" t="s">
        <v>17705</v>
      </c>
    </row>
    <row r="11478" spans="9:10" x14ac:dyDescent="0.3">
      <c r="I11478" t="s">
        <v>17705</v>
      </c>
    </row>
    <row r="11479" spans="9:10" x14ac:dyDescent="0.3">
      <c r="I11479" t="s">
        <v>17706</v>
      </c>
    </row>
    <row r="11480" spans="9:10" x14ac:dyDescent="0.3">
      <c r="I11480" t="s">
        <v>17707</v>
      </c>
      <c r="J11480" t="s">
        <v>4358</v>
      </c>
    </row>
    <row r="11481" spans="9:10" x14ac:dyDescent="0.3">
      <c r="I11481" t="s">
        <v>17707</v>
      </c>
      <c r="J11481" t="s">
        <v>4358</v>
      </c>
    </row>
    <row r="11482" spans="9:10" x14ac:dyDescent="0.3">
      <c r="I11482" t="s">
        <v>17708</v>
      </c>
    </row>
    <row r="11483" spans="9:10" x14ac:dyDescent="0.3">
      <c r="I11483" t="s">
        <v>17709</v>
      </c>
    </row>
    <row r="11484" spans="9:10" x14ac:dyDescent="0.3">
      <c r="I11484" t="s">
        <v>17710</v>
      </c>
    </row>
    <row r="11485" spans="9:10" x14ac:dyDescent="0.3">
      <c r="I11485" t="s">
        <v>17710</v>
      </c>
    </row>
    <row r="11486" spans="9:10" x14ac:dyDescent="0.3">
      <c r="I11486" t="s">
        <v>17708</v>
      </c>
    </row>
    <row r="11487" spans="9:10" x14ac:dyDescent="0.3">
      <c r="I11487" t="s">
        <v>17711</v>
      </c>
    </row>
    <row r="11488" spans="9:10" x14ac:dyDescent="0.3">
      <c r="I11488" t="s">
        <v>17712</v>
      </c>
    </row>
    <row r="11489" spans="9:10" x14ac:dyDescent="0.3">
      <c r="I11489" t="s">
        <v>17713</v>
      </c>
    </row>
    <row r="11490" spans="9:10" x14ac:dyDescent="0.3">
      <c r="I11490" t="s">
        <v>17714</v>
      </c>
      <c r="J11490" t="s">
        <v>4359</v>
      </c>
    </row>
    <row r="11491" spans="9:10" x14ac:dyDescent="0.3">
      <c r="I11491" t="s">
        <v>17715</v>
      </c>
      <c r="J11491" t="s">
        <v>4359</v>
      </c>
    </row>
    <row r="11492" spans="9:10" x14ac:dyDescent="0.3">
      <c r="I11492" t="s">
        <v>17716</v>
      </c>
    </row>
    <row r="11493" spans="9:10" x14ac:dyDescent="0.3">
      <c r="I11493" t="s">
        <v>17717</v>
      </c>
      <c r="J11493" t="s">
        <v>4360</v>
      </c>
    </row>
    <row r="11494" spans="9:10" x14ac:dyDescent="0.3">
      <c r="I11494" t="s">
        <v>17718</v>
      </c>
      <c r="J11494" t="s">
        <v>4361</v>
      </c>
    </row>
    <row r="11495" spans="9:10" x14ac:dyDescent="0.3">
      <c r="I11495" t="s">
        <v>17719</v>
      </c>
      <c r="J11495" t="s">
        <v>4362</v>
      </c>
    </row>
    <row r="11496" spans="9:10" x14ac:dyDescent="0.3">
      <c r="I11496" t="s">
        <v>17720</v>
      </c>
      <c r="J11496" t="s">
        <v>4363</v>
      </c>
    </row>
    <row r="11497" spans="9:10" x14ac:dyDescent="0.3">
      <c r="I11497" t="s">
        <v>17721</v>
      </c>
      <c r="J11497" t="s">
        <v>4363</v>
      </c>
    </row>
    <row r="11498" spans="9:10" x14ac:dyDescent="0.3">
      <c r="I11498" t="s">
        <v>17722</v>
      </c>
      <c r="J11498" t="s">
        <v>4364</v>
      </c>
    </row>
    <row r="11499" spans="9:10" x14ac:dyDescent="0.3">
      <c r="I11499" t="s">
        <v>17722</v>
      </c>
      <c r="J11499" t="s">
        <v>4364</v>
      </c>
    </row>
    <row r="11500" spans="9:10" x14ac:dyDescent="0.3">
      <c r="I11500" t="s">
        <v>17723</v>
      </c>
      <c r="J11500" t="s">
        <v>4365</v>
      </c>
    </row>
    <row r="11501" spans="9:10" x14ac:dyDescent="0.3">
      <c r="I11501" t="s">
        <v>17723</v>
      </c>
      <c r="J11501" t="s">
        <v>4365</v>
      </c>
    </row>
    <row r="11502" spans="9:10" x14ac:dyDescent="0.3">
      <c r="I11502" t="s">
        <v>17724</v>
      </c>
      <c r="J11502" t="s">
        <v>4365</v>
      </c>
    </row>
    <row r="11503" spans="9:10" x14ac:dyDescent="0.3">
      <c r="I11503" t="s">
        <v>17724</v>
      </c>
      <c r="J11503" t="s">
        <v>4365</v>
      </c>
    </row>
    <row r="11504" spans="9:10" x14ac:dyDescent="0.3">
      <c r="I11504" t="s">
        <v>17723</v>
      </c>
      <c r="J11504" t="s">
        <v>4365</v>
      </c>
    </row>
    <row r="11505" spans="9:10" x14ac:dyDescent="0.3">
      <c r="I11505" t="s">
        <v>17725</v>
      </c>
    </row>
    <row r="11506" spans="9:10" x14ac:dyDescent="0.3">
      <c r="I11506" t="s">
        <v>17726</v>
      </c>
    </row>
    <row r="11507" spans="9:10" x14ac:dyDescent="0.3">
      <c r="I11507" t="s">
        <v>17726</v>
      </c>
    </row>
    <row r="11508" spans="9:10" x14ac:dyDescent="0.3">
      <c r="I11508" t="s">
        <v>17727</v>
      </c>
      <c r="J11508" t="s">
        <v>4366</v>
      </c>
    </row>
    <row r="11509" spans="9:10" x14ac:dyDescent="0.3">
      <c r="I11509" t="s">
        <v>17728</v>
      </c>
      <c r="J11509" t="s">
        <v>4367</v>
      </c>
    </row>
    <row r="11510" spans="9:10" x14ac:dyDescent="0.3">
      <c r="I11510" t="s">
        <v>17728</v>
      </c>
      <c r="J11510" t="s">
        <v>4367</v>
      </c>
    </row>
    <row r="11511" spans="9:10" x14ac:dyDescent="0.3">
      <c r="I11511" t="s">
        <v>17729</v>
      </c>
      <c r="J11511" t="s">
        <v>4368</v>
      </c>
    </row>
    <row r="11512" spans="9:10" x14ac:dyDescent="0.3">
      <c r="I11512" t="s">
        <v>17730</v>
      </c>
      <c r="J11512" t="s">
        <v>4369</v>
      </c>
    </row>
    <row r="11513" spans="9:10" x14ac:dyDescent="0.3">
      <c r="I11513" t="s">
        <v>17731</v>
      </c>
      <c r="J11513" t="s">
        <v>4370</v>
      </c>
    </row>
    <row r="11514" spans="9:10" x14ac:dyDescent="0.3">
      <c r="I11514" t="s">
        <v>17732</v>
      </c>
      <c r="J11514" t="s">
        <v>4370</v>
      </c>
    </row>
    <row r="11515" spans="9:10" x14ac:dyDescent="0.3">
      <c r="I11515" t="s">
        <v>17733</v>
      </c>
      <c r="J11515" t="s">
        <v>4371</v>
      </c>
    </row>
    <row r="11516" spans="9:10" x14ac:dyDescent="0.3">
      <c r="I11516" t="s">
        <v>17734</v>
      </c>
      <c r="J11516" t="s">
        <v>4372</v>
      </c>
    </row>
    <row r="11517" spans="9:10" x14ac:dyDescent="0.3">
      <c r="I11517" t="s">
        <v>17735</v>
      </c>
    </row>
    <row r="11518" spans="9:10" x14ac:dyDescent="0.3">
      <c r="I11518" t="s">
        <v>17736</v>
      </c>
    </row>
    <row r="11519" spans="9:10" x14ac:dyDescent="0.3">
      <c r="I11519" t="s">
        <v>17737</v>
      </c>
    </row>
    <row r="11520" spans="9:10" x14ac:dyDescent="0.3">
      <c r="I11520" t="s">
        <v>17738</v>
      </c>
    </row>
    <row r="11521" spans="9:10" x14ac:dyDescent="0.3">
      <c r="I11521" t="s">
        <v>17739</v>
      </c>
      <c r="J11521" t="s">
        <v>4373</v>
      </c>
    </row>
    <row r="11522" spans="9:10" x14ac:dyDescent="0.3">
      <c r="I11522" t="s">
        <v>17740</v>
      </c>
      <c r="J11522" t="s">
        <v>4373</v>
      </c>
    </row>
    <row r="11523" spans="9:10" x14ac:dyDescent="0.3">
      <c r="I11523" t="s">
        <v>17739</v>
      </c>
      <c r="J11523" t="s">
        <v>4373</v>
      </c>
    </row>
    <row r="11524" spans="9:10" x14ac:dyDescent="0.3">
      <c r="I11524" t="s">
        <v>17741</v>
      </c>
      <c r="J11524" t="s">
        <v>4374</v>
      </c>
    </row>
    <row r="11525" spans="9:10" x14ac:dyDescent="0.3">
      <c r="I11525" t="s">
        <v>17742</v>
      </c>
      <c r="J11525" t="s">
        <v>4375</v>
      </c>
    </row>
    <row r="11526" spans="9:10" x14ac:dyDescent="0.3">
      <c r="I11526" t="s">
        <v>17743</v>
      </c>
      <c r="J11526" t="s">
        <v>4376</v>
      </c>
    </row>
    <row r="11527" spans="9:10" x14ac:dyDescent="0.3">
      <c r="I11527" t="s">
        <v>17744</v>
      </c>
      <c r="J11527" t="s">
        <v>4377</v>
      </c>
    </row>
    <row r="11528" spans="9:10" x14ac:dyDescent="0.3">
      <c r="I11528" t="s">
        <v>17745</v>
      </c>
      <c r="J11528" t="s">
        <v>4378</v>
      </c>
    </row>
    <row r="11529" spans="9:10" x14ac:dyDescent="0.3">
      <c r="I11529" t="s">
        <v>17746</v>
      </c>
      <c r="J11529" t="s">
        <v>4379</v>
      </c>
    </row>
    <row r="11530" spans="9:10" x14ac:dyDescent="0.3">
      <c r="I11530" t="s">
        <v>17747</v>
      </c>
      <c r="J11530" t="s">
        <v>4380</v>
      </c>
    </row>
    <row r="11531" spans="9:10" x14ac:dyDescent="0.3">
      <c r="I11531" t="s">
        <v>17748</v>
      </c>
      <c r="J11531" t="s">
        <v>4380</v>
      </c>
    </row>
    <row r="11532" spans="9:10" x14ac:dyDescent="0.3">
      <c r="I11532" t="s">
        <v>17749</v>
      </c>
      <c r="J11532">
        <v>0</v>
      </c>
    </row>
    <row r="11533" spans="9:10" x14ac:dyDescent="0.3">
      <c r="I11533" t="s">
        <v>17750</v>
      </c>
      <c r="J11533" t="s">
        <v>4381</v>
      </c>
    </row>
    <row r="11534" spans="9:10" x14ac:dyDescent="0.3">
      <c r="I11534" t="s">
        <v>17751</v>
      </c>
      <c r="J11534" t="s">
        <v>4382</v>
      </c>
    </row>
    <row r="11535" spans="9:10" x14ac:dyDescent="0.3">
      <c r="I11535" t="s">
        <v>17752</v>
      </c>
    </row>
    <row r="11536" spans="9:10" x14ac:dyDescent="0.3">
      <c r="I11536" t="s">
        <v>17753</v>
      </c>
    </row>
    <row r="11537" spans="9:10" x14ac:dyDescent="0.3">
      <c r="I11537" t="s">
        <v>17754</v>
      </c>
    </row>
    <row r="11538" spans="9:10" x14ac:dyDescent="0.3">
      <c r="I11538" t="s">
        <v>17755</v>
      </c>
      <c r="J11538" t="s">
        <v>4383</v>
      </c>
    </row>
    <row r="11539" spans="9:10" x14ac:dyDescent="0.3">
      <c r="I11539" t="s">
        <v>17756</v>
      </c>
      <c r="J11539" t="s">
        <v>4383</v>
      </c>
    </row>
    <row r="11540" spans="9:10" x14ac:dyDescent="0.3">
      <c r="I11540" t="s">
        <v>17756</v>
      </c>
      <c r="J11540" t="s">
        <v>4383</v>
      </c>
    </row>
    <row r="11541" spans="9:10" x14ac:dyDescent="0.3">
      <c r="I11541" t="s">
        <v>17756</v>
      </c>
      <c r="J11541" t="s">
        <v>4383</v>
      </c>
    </row>
    <row r="11542" spans="9:10" x14ac:dyDescent="0.3">
      <c r="I11542" t="s">
        <v>17756</v>
      </c>
      <c r="J11542" t="s">
        <v>4383</v>
      </c>
    </row>
    <row r="11543" spans="9:10" x14ac:dyDescent="0.3">
      <c r="I11543" t="s">
        <v>17756</v>
      </c>
      <c r="J11543" t="s">
        <v>4383</v>
      </c>
    </row>
    <row r="11544" spans="9:10" x14ac:dyDescent="0.3">
      <c r="I11544" t="s">
        <v>17757</v>
      </c>
      <c r="J11544" t="s">
        <v>4384</v>
      </c>
    </row>
    <row r="11545" spans="9:10" x14ac:dyDescent="0.3">
      <c r="I11545" t="s">
        <v>17758</v>
      </c>
    </row>
    <row r="11546" spans="9:10" x14ac:dyDescent="0.3">
      <c r="I11546" t="s">
        <v>17759</v>
      </c>
      <c r="J11546" t="s">
        <v>4385</v>
      </c>
    </row>
    <row r="11547" spans="9:10" x14ac:dyDescent="0.3">
      <c r="I11547" t="s">
        <v>17760</v>
      </c>
      <c r="J11547" t="s">
        <v>4386</v>
      </c>
    </row>
    <row r="11548" spans="9:10" x14ac:dyDescent="0.3">
      <c r="I11548" t="s">
        <v>17761</v>
      </c>
      <c r="J11548" t="s">
        <v>4386</v>
      </c>
    </row>
    <row r="11549" spans="9:10" x14ac:dyDescent="0.3">
      <c r="I11549" t="s">
        <v>17762</v>
      </c>
      <c r="J11549" t="s">
        <v>4387</v>
      </c>
    </row>
    <row r="11550" spans="9:10" x14ac:dyDescent="0.3">
      <c r="I11550" t="s">
        <v>17763</v>
      </c>
      <c r="J11550" t="s">
        <v>846</v>
      </c>
    </row>
    <row r="11551" spans="9:10" x14ac:dyDescent="0.3">
      <c r="I11551" t="s">
        <v>17764</v>
      </c>
      <c r="J11551" t="s">
        <v>4388</v>
      </c>
    </row>
    <row r="11552" spans="9:10" x14ac:dyDescent="0.3">
      <c r="I11552" t="s">
        <v>17765</v>
      </c>
      <c r="J11552" t="s">
        <v>4388</v>
      </c>
    </row>
    <row r="11553" spans="9:10" x14ac:dyDescent="0.3">
      <c r="I11553" t="s">
        <v>17766</v>
      </c>
      <c r="J11553" t="s">
        <v>4389</v>
      </c>
    </row>
    <row r="11554" spans="9:10" x14ac:dyDescent="0.3">
      <c r="I11554" t="s">
        <v>17767</v>
      </c>
      <c r="J11554" t="s">
        <v>4390</v>
      </c>
    </row>
    <row r="11555" spans="9:10" x14ac:dyDescent="0.3">
      <c r="I11555" t="s">
        <v>17767</v>
      </c>
      <c r="J11555" t="s">
        <v>4390</v>
      </c>
    </row>
    <row r="11556" spans="9:10" x14ac:dyDescent="0.3">
      <c r="I11556" t="s">
        <v>17767</v>
      </c>
      <c r="J11556" t="s">
        <v>4390</v>
      </c>
    </row>
    <row r="11557" spans="9:10" x14ac:dyDescent="0.3">
      <c r="I11557" t="s">
        <v>17768</v>
      </c>
      <c r="J11557" t="s">
        <v>4391</v>
      </c>
    </row>
    <row r="11558" spans="9:10" x14ac:dyDescent="0.3">
      <c r="I11558" t="s">
        <v>17769</v>
      </c>
    </row>
    <row r="11559" spans="9:10" x14ac:dyDescent="0.3">
      <c r="I11559" t="s">
        <v>17770</v>
      </c>
    </row>
    <row r="11560" spans="9:10" x14ac:dyDescent="0.3">
      <c r="I11560" t="s">
        <v>17771</v>
      </c>
    </row>
    <row r="11561" spans="9:10" x14ac:dyDescent="0.3">
      <c r="I11561" t="s">
        <v>17772</v>
      </c>
      <c r="J11561" t="s">
        <v>4392</v>
      </c>
    </row>
    <row r="11562" spans="9:10" x14ac:dyDescent="0.3">
      <c r="I11562" t="s">
        <v>17773</v>
      </c>
      <c r="J11562" t="s">
        <v>4393</v>
      </c>
    </row>
    <row r="11563" spans="9:10" x14ac:dyDescent="0.3">
      <c r="I11563" t="s">
        <v>17774</v>
      </c>
      <c r="J11563" t="s">
        <v>4394</v>
      </c>
    </row>
    <row r="11564" spans="9:10" x14ac:dyDescent="0.3">
      <c r="I11564" t="s">
        <v>17775</v>
      </c>
    </row>
    <row r="11565" spans="9:10" x14ac:dyDescent="0.3">
      <c r="I11565" t="s">
        <v>17776</v>
      </c>
      <c r="J11565" t="s">
        <v>285</v>
      </c>
    </row>
    <row r="11566" spans="9:10" x14ac:dyDescent="0.3">
      <c r="I11566" t="s">
        <v>17777</v>
      </c>
      <c r="J11566" t="s">
        <v>4395</v>
      </c>
    </row>
    <row r="11567" spans="9:10" x14ac:dyDescent="0.3">
      <c r="I11567" t="s">
        <v>17778</v>
      </c>
      <c r="J11567" t="s">
        <v>4396</v>
      </c>
    </row>
    <row r="11568" spans="9:10" x14ac:dyDescent="0.3">
      <c r="I11568" t="s">
        <v>17779</v>
      </c>
      <c r="J11568" t="s">
        <v>4397</v>
      </c>
    </row>
    <row r="11569" spans="9:10" x14ac:dyDescent="0.3">
      <c r="I11569" t="s">
        <v>17780</v>
      </c>
      <c r="J11569" t="s">
        <v>4398</v>
      </c>
    </row>
    <row r="11570" spans="9:10" x14ac:dyDescent="0.3">
      <c r="I11570" t="s">
        <v>17781</v>
      </c>
      <c r="J11570" t="s">
        <v>4399</v>
      </c>
    </row>
    <row r="11571" spans="9:10" x14ac:dyDescent="0.3">
      <c r="I11571" t="s">
        <v>17782</v>
      </c>
      <c r="J11571" t="s">
        <v>4400</v>
      </c>
    </row>
    <row r="11572" spans="9:10" x14ac:dyDescent="0.3">
      <c r="I11572" t="s">
        <v>17783</v>
      </c>
      <c r="J11572" t="s">
        <v>4401</v>
      </c>
    </row>
    <row r="11573" spans="9:10" x14ac:dyDescent="0.3">
      <c r="I11573" t="s">
        <v>17784</v>
      </c>
      <c r="J11573" t="s">
        <v>4402</v>
      </c>
    </row>
    <row r="11574" spans="9:10" x14ac:dyDescent="0.3">
      <c r="I11574" t="s">
        <v>17785</v>
      </c>
      <c r="J11574" t="s">
        <v>4403</v>
      </c>
    </row>
    <row r="11575" spans="9:10" x14ac:dyDescent="0.3">
      <c r="I11575" t="s">
        <v>17786</v>
      </c>
      <c r="J11575" t="s">
        <v>4404</v>
      </c>
    </row>
    <row r="11576" spans="9:10" x14ac:dyDescent="0.3">
      <c r="I11576" t="s">
        <v>17787</v>
      </c>
    </row>
    <row r="11577" spans="9:10" x14ac:dyDescent="0.3">
      <c r="I11577" t="s">
        <v>17788</v>
      </c>
    </row>
    <row r="11578" spans="9:10" x14ac:dyDescent="0.3">
      <c r="I11578" t="s">
        <v>17789</v>
      </c>
      <c r="J11578" t="s">
        <v>4405</v>
      </c>
    </row>
    <row r="11579" spans="9:10" x14ac:dyDescent="0.3">
      <c r="I11579" t="s">
        <v>17790</v>
      </c>
    </row>
    <row r="11580" spans="9:10" x14ac:dyDescent="0.3">
      <c r="I11580" t="s">
        <v>17791</v>
      </c>
      <c r="J11580" t="s">
        <v>4406</v>
      </c>
    </row>
    <row r="11581" spans="9:10" x14ac:dyDescent="0.3">
      <c r="I11581" t="s">
        <v>17792</v>
      </c>
    </row>
    <row r="11582" spans="9:10" x14ac:dyDescent="0.3">
      <c r="I11582" t="s">
        <v>17793</v>
      </c>
      <c r="J11582" t="s">
        <v>4407</v>
      </c>
    </row>
    <row r="11583" spans="9:10" x14ac:dyDescent="0.3">
      <c r="I11583" t="s">
        <v>17794</v>
      </c>
      <c r="J11583" t="s">
        <v>4408</v>
      </c>
    </row>
    <row r="11584" spans="9:10" x14ac:dyDescent="0.3">
      <c r="I11584" t="s">
        <v>17795</v>
      </c>
      <c r="J11584" t="s">
        <v>4409</v>
      </c>
    </row>
    <row r="11585" spans="9:10" x14ac:dyDescent="0.3">
      <c r="I11585" t="s">
        <v>17795</v>
      </c>
      <c r="J11585" t="s">
        <v>4409</v>
      </c>
    </row>
    <row r="11586" spans="9:10" x14ac:dyDescent="0.3">
      <c r="I11586" t="s">
        <v>17796</v>
      </c>
    </row>
    <row r="11587" spans="9:10" x14ac:dyDescent="0.3">
      <c r="I11587" t="s">
        <v>17797</v>
      </c>
    </row>
    <row r="11588" spans="9:10" x14ac:dyDescent="0.3">
      <c r="I11588" t="s">
        <v>17798</v>
      </c>
      <c r="J11588" t="s">
        <v>4410</v>
      </c>
    </row>
    <row r="11589" spans="9:10" x14ac:dyDescent="0.3">
      <c r="I11589" t="s">
        <v>17799</v>
      </c>
      <c r="J11589" t="s">
        <v>4410</v>
      </c>
    </row>
    <row r="11590" spans="9:10" x14ac:dyDescent="0.3">
      <c r="I11590" t="s">
        <v>17800</v>
      </c>
      <c r="J11590" t="s">
        <v>4411</v>
      </c>
    </row>
    <row r="11591" spans="9:10" x14ac:dyDescent="0.3">
      <c r="I11591" t="s">
        <v>17800</v>
      </c>
      <c r="J11591" t="s">
        <v>4411</v>
      </c>
    </row>
    <row r="11592" spans="9:10" x14ac:dyDescent="0.3">
      <c r="I11592" t="s">
        <v>17801</v>
      </c>
      <c r="J11592" t="s">
        <v>4412</v>
      </c>
    </row>
    <row r="11593" spans="9:10" x14ac:dyDescent="0.3">
      <c r="I11593" t="s">
        <v>17801</v>
      </c>
      <c r="J11593" t="s">
        <v>4412</v>
      </c>
    </row>
    <row r="11594" spans="9:10" x14ac:dyDescent="0.3">
      <c r="I11594" t="s">
        <v>17802</v>
      </c>
      <c r="J11594" t="s">
        <v>4412</v>
      </c>
    </row>
    <row r="11595" spans="9:10" x14ac:dyDescent="0.3">
      <c r="I11595" t="s">
        <v>17803</v>
      </c>
      <c r="J11595" t="s">
        <v>4413</v>
      </c>
    </row>
    <row r="11596" spans="9:10" x14ac:dyDescent="0.3">
      <c r="I11596" t="s">
        <v>17804</v>
      </c>
      <c r="J11596" t="s">
        <v>281</v>
      </c>
    </row>
    <row r="11597" spans="9:10" x14ac:dyDescent="0.3">
      <c r="I11597" t="s">
        <v>17805</v>
      </c>
      <c r="J11597" t="s">
        <v>281</v>
      </c>
    </row>
    <row r="11598" spans="9:10" x14ac:dyDescent="0.3">
      <c r="I11598" t="s">
        <v>17805</v>
      </c>
      <c r="J11598" t="s">
        <v>281</v>
      </c>
    </row>
    <row r="11599" spans="9:10" x14ac:dyDescent="0.3">
      <c r="I11599" t="s">
        <v>17806</v>
      </c>
      <c r="J11599" t="s">
        <v>281</v>
      </c>
    </row>
    <row r="11600" spans="9:10" x14ac:dyDescent="0.3">
      <c r="I11600" t="s">
        <v>17807</v>
      </c>
      <c r="J11600" t="s">
        <v>281</v>
      </c>
    </row>
    <row r="11601" spans="9:10" x14ac:dyDescent="0.3">
      <c r="I11601" t="s">
        <v>17805</v>
      </c>
      <c r="J11601" t="s">
        <v>281</v>
      </c>
    </row>
    <row r="11602" spans="9:10" x14ac:dyDescent="0.3">
      <c r="I11602" t="s">
        <v>17804</v>
      </c>
      <c r="J11602" t="s">
        <v>281</v>
      </c>
    </row>
    <row r="11603" spans="9:10" x14ac:dyDescent="0.3">
      <c r="I11603" t="s">
        <v>17808</v>
      </c>
    </row>
    <row r="11604" spans="9:10" x14ac:dyDescent="0.3">
      <c r="I11604" t="s">
        <v>17809</v>
      </c>
    </row>
    <row r="11605" spans="9:10" x14ac:dyDescent="0.3">
      <c r="I11605" t="s">
        <v>17810</v>
      </c>
    </row>
    <row r="11606" spans="9:10" x14ac:dyDescent="0.3">
      <c r="I11606" t="s">
        <v>17811</v>
      </c>
      <c r="J11606" t="s">
        <v>4414</v>
      </c>
    </row>
    <row r="11607" spans="9:10" x14ac:dyDescent="0.3">
      <c r="I11607" t="s">
        <v>17812</v>
      </c>
    </row>
    <row r="11608" spans="9:10" x14ac:dyDescent="0.3">
      <c r="I11608" t="s">
        <v>17813</v>
      </c>
      <c r="J11608" t="s">
        <v>4415</v>
      </c>
    </row>
    <row r="11609" spans="9:10" x14ac:dyDescent="0.3">
      <c r="I11609" t="s">
        <v>17813</v>
      </c>
      <c r="J11609" t="s">
        <v>4415</v>
      </c>
    </row>
    <row r="11610" spans="9:10" x14ac:dyDescent="0.3">
      <c r="I11610" t="s">
        <v>17814</v>
      </c>
      <c r="J11610" t="s">
        <v>4416</v>
      </c>
    </row>
    <row r="11611" spans="9:10" x14ac:dyDescent="0.3">
      <c r="I11611" t="s">
        <v>17815</v>
      </c>
      <c r="J11611" t="s">
        <v>4417</v>
      </c>
    </row>
    <row r="11612" spans="9:10" x14ac:dyDescent="0.3">
      <c r="I11612" t="s">
        <v>17816</v>
      </c>
    </row>
    <row r="11613" spans="9:10" x14ac:dyDescent="0.3">
      <c r="I11613" t="s">
        <v>17817</v>
      </c>
    </row>
    <row r="11614" spans="9:10" x14ac:dyDescent="0.3">
      <c r="I11614" t="s">
        <v>17818</v>
      </c>
    </row>
    <row r="11615" spans="9:10" x14ac:dyDescent="0.3">
      <c r="I11615" t="s">
        <v>17819</v>
      </c>
    </row>
    <row r="11616" spans="9:10" x14ac:dyDescent="0.3">
      <c r="I11616" t="s">
        <v>17820</v>
      </c>
      <c r="J11616" t="s">
        <v>4418</v>
      </c>
    </row>
    <row r="11617" spans="9:10" x14ac:dyDescent="0.3">
      <c r="I11617" t="s">
        <v>17820</v>
      </c>
      <c r="J11617" t="s">
        <v>4418</v>
      </c>
    </row>
    <row r="11618" spans="9:10" x14ac:dyDescent="0.3">
      <c r="I11618" t="s">
        <v>17821</v>
      </c>
      <c r="J11618" t="s">
        <v>4419</v>
      </c>
    </row>
    <row r="11619" spans="9:10" x14ac:dyDescent="0.3">
      <c r="I11619" t="s">
        <v>17822</v>
      </c>
      <c r="J11619" t="s">
        <v>4420</v>
      </c>
    </row>
    <row r="11620" spans="9:10" x14ac:dyDescent="0.3">
      <c r="I11620" t="s">
        <v>17822</v>
      </c>
      <c r="J11620" t="s">
        <v>4420</v>
      </c>
    </row>
    <row r="11621" spans="9:10" x14ac:dyDescent="0.3">
      <c r="I11621" t="s">
        <v>17822</v>
      </c>
      <c r="J11621" t="s">
        <v>4420</v>
      </c>
    </row>
    <row r="11622" spans="9:10" x14ac:dyDescent="0.3">
      <c r="I11622" t="s">
        <v>17822</v>
      </c>
      <c r="J11622" t="s">
        <v>4420</v>
      </c>
    </row>
    <row r="11623" spans="9:10" x14ac:dyDescent="0.3">
      <c r="I11623" t="s">
        <v>17822</v>
      </c>
      <c r="J11623" t="s">
        <v>4420</v>
      </c>
    </row>
    <row r="11624" spans="9:10" x14ac:dyDescent="0.3">
      <c r="I11624" t="s">
        <v>17822</v>
      </c>
      <c r="J11624" t="s">
        <v>4420</v>
      </c>
    </row>
    <row r="11625" spans="9:10" x14ac:dyDescent="0.3">
      <c r="I11625" t="s">
        <v>17822</v>
      </c>
      <c r="J11625" t="s">
        <v>4420</v>
      </c>
    </row>
    <row r="11626" spans="9:10" x14ac:dyDescent="0.3">
      <c r="I11626" t="s">
        <v>17822</v>
      </c>
      <c r="J11626" t="s">
        <v>4420</v>
      </c>
    </row>
    <row r="11627" spans="9:10" x14ac:dyDescent="0.3">
      <c r="I11627" t="s">
        <v>17823</v>
      </c>
      <c r="J11627" t="s">
        <v>4421</v>
      </c>
    </row>
    <row r="11628" spans="9:10" x14ac:dyDescent="0.3">
      <c r="I11628" t="s">
        <v>17823</v>
      </c>
      <c r="J11628" t="s">
        <v>4421</v>
      </c>
    </row>
    <row r="11629" spans="9:10" x14ac:dyDescent="0.3">
      <c r="I11629" t="s">
        <v>17823</v>
      </c>
      <c r="J11629" t="s">
        <v>4421</v>
      </c>
    </row>
    <row r="11630" spans="9:10" x14ac:dyDescent="0.3">
      <c r="I11630" t="s">
        <v>17823</v>
      </c>
      <c r="J11630" t="s">
        <v>4421</v>
      </c>
    </row>
    <row r="11631" spans="9:10" x14ac:dyDescent="0.3">
      <c r="I11631" t="s">
        <v>17824</v>
      </c>
      <c r="J11631" t="s">
        <v>4422</v>
      </c>
    </row>
    <row r="11632" spans="9:10" x14ac:dyDescent="0.3">
      <c r="I11632" t="s">
        <v>17825</v>
      </c>
    </row>
    <row r="11633" spans="9:10" x14ac:dyDescent="0.3">
      <c r="I11633" t="s">
        <v>17826</v>
      </c>
      <c r="J11633" t="s">
        <v>201</v>
      </c>
    </row>
    <row r="11634" spans="9:10" x14ac:dyDescent="0.3">
      <c r="I11634" t="s">
        <v>17827</v>
      </c>
    </row>
    <row r="11635" spans="9:10" x14ac:dyDescent="0.3">
      <c r="I11635" t="s">
        <v>17828</v>
      </c>
    </row>
    <row r="11636" spans="9:10" x14ac:dyDescent="0.3">
      <c r="I11636" t="s">
        <v>17828</v>
      </c>
    </row>
    <row r="11637" spans="9:10" x14ac:dyDescent="0.3">
      <c r="I11637" t="s">
        <v>17828</v>
      </c>
    </row>
    <row r="11638" spans="9:10" x14ac:dyDescent="0.3">
      <c r="I11638" t="s">
        <v>17828</v>
      </c>
    </row>
    <row r="11639" spans="9:10" x14ac:dyDescent="0.3">
      <c r="I11639" t="s">
        <v>17828</v>
      </c>
    </row>
    <row r="11640" spans="9:10" x14ac:dyDescent="0.3">
      <c r="I11640" t="s">
        <v>17828</v>
      </c>
    </row>
    <row r="11641" spans="9:10" x14ac:dyDescent="0.3">
      <c r="I11641" t="s">
        <v>17828</v>
      </c>
    </row>
    <row r="11642" spans="9:10" x14ac:dyDescent="0.3">
      <c r="I11642" t="s">
        <v>17828</v>
      </c>
    </row>
    <row r="11643" spans="9:10" x14ac:dyDescent="0.3">
      <c r="I11643" t="s">
        <v>17828</v>
      </c>
    </row>
    <row r="11644" spans="9:10" x14ac:dyDescent="0.3">
      <c r="I11644" t="s">
        <v>17828</v>
      </c>
    </row>
    <row r="11645" spans="9:10" x14ac:dyDescent="0.3">
      <c r="I11645" t="s">
        <v>17828</v>
      </c>
    </row>
    <row r="11646" spans="9:10" x14ac:dyDescent="0.3">
      <c r="I11646" t="s">
        <v>17829</v>
      </c>
    </row>
    <row r="11647" spans="9:10" x14ac:dyDescent="0.3">
      <c r="I11647" t="s">
        <v>17830</v>
      </c>
    </row>
    <row r="11648" spans="9:10" x14ac:dyDescent="0.3">
      <c r="I11648" t="s">
        <v>17831</v>
      </c>
    </row>
    <row r="11649" spans="9:10" x14ac:dyDescent="0.3">
      <c r="I11649" t="s">
        <v>17832</v>
      </c>
    </row>
    <row r="11650" spans="9:10" x14ac:dyDescent="0.3">
      <c r="I11650" t="s">
        <v>17833</v>
      </c>
      <c r="J11650" t="s">
        <v>4423</v>
      </c>
    </row>
    <row r="11651" spans="9:10" x14ac:dyDescent="0.3">
      <c r="I11651" t="s">
        <v>17834</v>
      </c>
    </row>
    <row r="11652" spans="9:10" x14ac:dyDescent="0.3">
      <c r="I11652" t="s">
        <v>17835</v>
      </c>
      <c r="J11652" t="s">
        <v>574</v>
      </c>
    </row>
    <row r="11653" spans="9:10" x14ac:dyDescent="0.3">
      <c r="I11653" t="s">
        <v>17836</v>
      </c>
      <c r="J11653" t="s">
        <v>4424</v>
      </c>
    </row>
    <row r="11654" spans="9:10" x14ac:dyDescent="0.3">
      <c r="I11654" t="s">
        <v>17836</v>
      </c>
      <c r="J11654" t="s">
        <v>4424</v>
      </c>
    </row>
    <row r="11655" spans="9:10" x14ac:dyDescent="0.3">
      <c r="I11655" t="s">
        <v>17837</v>
      </c>
      <c r="J11655" t="s">
        <v>4425</v>
      </c>
    </row>
    <row r="11656" spans="9:10" x14ac:dyDescent="0.3">
      <c r="I11656" t="s">
        <v>17838</v>
      </c>
    </row>
    <row r="11657" spans="9:10" x14ac:dyDescent="0.3">
      <c r="I11657" t="s">
        <v>17839</v>
      </c>
      <c r="J11657" t="s">
        <v>4426</v>
      </c>
    </row>
    <row r="11658" spans="9:10" x14ac:dyDescent="0.3">
      <c r="I11658" t="s">
        <v>17840</v>
      </c>
      <c r="J11658" t="s">
        <v>4426</v>
      </c>
    </row>
    <row r="11659" spans="9:10" x14ac:dyDescent="0.3">
      <c r="I11659" t="s">
        <v>17841</v>
      </c>
      <c r="J11659" t="s">
        <v>4426</v>
      </c>
    </row>
    <row r="11660" spans="9:10" x14ac:dyDescent="0.3">
      <c r="I11660" t="s">
        <v>17842</v>
      </c>
      <c r="J11660" t="s">
        <v>4426</v>
      </c>
    </row>
    <row r="11661" spans="9:10" x14ac:dyDescent="0.3">
      <c r="I11661" t="s">
        <v>17843</v>
      </c>
      <c r="J11661" t="s">
        <v>4426</v>
      </c>
    </row>
    <row r="11662" spans="9:10" x14ac:dyDescent="0.3">
      <c r="I11662" t="s">
        <v>17844</v>
      </c>
      <c r="J11662" t="s">
        <v>4426</v>
      </c>
    </row>
    <row r="11663" spans="9:10" x14ac:dyDescent="0.3">
      <c r="I11663" t="s">
        <v>17845</v>
      </c>
      <c r="J11663" t="s">
        <v>4426</v>
      </c>
    </row>
    <row r="11664" spans="9:10" x14ac:dyDescent="0.3">
      <c r="I11664" t="s">
        <v>17846</v>
      </c>
      <c r="J11664" t="s">
        <v>4426</v>
      </c>
    </row>
    <row r="11665" spans="9:10" x14ac:dyDescent="0.3">
      <c r="I11665" t="s">
        <v>17847</v>
      </c>
      <c r="J11665" t="s">
        <v>4426</v>
      </c>
    </row>
    <row r="11666" spans="9:10" x14ac:dyDescent="0.3">
      <c r="I11666" t="s">
        <v>17848</v>
      </c>
      <c r="J11666" t="s">
        <v>4426</v>
      </c>
    </row>
    <row r="11667" spans="9:10" x14ac:dyDescent="0.3">
      <c r="I11667" t="s">
        <v>17849</v>
      </c>
      <c r="J11667" t="s">
        <v>4426</v>
      </c>
    </row>
    <row r="11668" spans="9:10" x14ac:dyDescent="0.3">
      <c r="I11668" t="s">
        <v>17850</v>
      </c>
      <c r="J11668" t="s">
        <v>4426</v>
      </c>
    </row>
    <row r="11669" spans="9:10" x14ac:dyDescent="0.3">
      <c r="I11669" t="s">
        <v>17851</v>
      </c>
      <c r="J11669" t="s">
        <v>4426</v>
      </c>
    </row>
    <row r="11670" spans="9:10" x14ac:dyDescent="0.3">
      <c r="I11670" t="s">
        <v>17852</v>
      </c>
      <c r="J11670" t="s">
        <v>4426</v>
      </c>
    </row>
    <row r="11671" spans="9:10" x14ac:dyDescent="0.3">
      <c r="I11671" t="s">
        <v>17853</v>
      </c>
      <c r="J11671" t="s">
        <v>4426</v>
      </c>
    </row>
    <row r="11672" spans="9:10" x14ac:dyDescent="0.3">
      <c r="I11672" t="s">
        <v>17854</v>
      </c>
      <c r="J11672" t="s">
        <v>4426</v>
      </c>
    </row>
    <row r="11673" spans="9:10" x14ac:dyDescent="0.3">
      <c r="I11673" t="s">
        <v>17855</v>
      </c>
      <c r="J11673" t="s">
        <v>4426</v>
      </c>
    </row>
    <row r="11674" spans="9:10" x14ac:dyDescent="0.3">
      <c r="I11674" t="s">
        <v>17856</v>
      </c>
      <c r="J11674" t="s">
        <v>4426</v>
      </c>
    </row>
    <row r="11675" spans="9:10" x14ac:dyDescent="0.3">
      <c r="I11675" t="s">
        <v>17857</v>
      </c>
      <c r="J11675" t="s">
        <v>4426</v>
      </c>
    </row>
    <row r="11676" spans="9:10" x14ac:dyDescent="0.3">
      <c r="I11676" t="s">
        <v>17858</v>
      </c>
      <c r="J11676" t="s">
        <v>4426</v>
      </c>
    </row>
    <row r="11677" spans="9:10" x14ac:dyDescent="0.3">
      <c r="I11677" t="s">
        <v>17859</v>
      </c>
      <c r="J11677" t="s">
        <v>4426</v>
      </c>
    </row>
    <row r="11678" spans="9:10" x14ac:dyDescent="0.3">
      <c r="I11678" t="s">
        <v>17860</v>
      </c>
      <c r="J11678" t="s">
        <v>4426</v>
      </c>
    </row>
    <row r="11679" spans="9:10" x14ac:dyDescent="0.3">
      <c r="I11679" t="s">
        <v>17861</v>
      </c>
      <c r="J11679" t="s">
        <v>4426</v>
      </c>
    </row>
    <row r="11680" spans="9:10" x14ac:dyDescent="0.3">
      <c r="I11680" t="s">
        <v>17862</v>
      </c>
      <c r="J11680" t="s">
        <v>4426</v>
      </c>
    </row>
    <row r="11681" spans="9:10" x14ac:dyDescent="0.3">
      <c r="I11681" t="s">
        <v>17863</v>
      </c>
      <c r="J11681" t="s">
        <v>4426</v>
      </c>
    </row>
    <row r="11682" spans="9:10" x14ac:dyDescent="0.3">
      <c r="I11682" t="s">
        <v>17864</v>
      </c>
      <c r="J11682" t="s">
        <v>4426</v>
      </c>
    </row>
    <row r="11683" spans="9:10" x14ac:dyDescent="0.3">
      <c r="I11683" t="s">
        <v>17865</v>
      </c>
      <c r="J11683" t="s">
        <v>4426</v>
      </c>
    </row>
    <row r="11684" spans="9:10" x14ac:dyDescent="0.3">
      <c r="I11684" t="s">
        <v>17866</v>
      </c>
      <c r="J11684" t="s">
        <v>4426</v>
      </c>
    </row>
    <row r="11685" spans="9:10" x14ac:dyDescent="0.3">
      <c r="I11685" t="s">
        <v>17867</v>
      </c>
      <c r="J11685" t="s">
        <v>4426</v>
      </c>
    </row>
    <row r="11686" spans="9:10" x14ac:dyDescent="0.3">
      <c r="I11686" t="s">
        <v>17868</v>
      </c>
      <c r="J11686" t="s">
        <v>4426</v>
      </c>
    </row>
    <row r="11687" spans="9:10" x14ac:dyDescent="0.3">
      <c r="I11687" t="s">
        <v>17869</v>
      </c>
      <c r="J11687" t="s">
        <v>4426</v>
      </c>
    </row>
    <row r="11688" spans="9:10" x14ac:dyDescent="0.3">
      <c r="I11688" t="s">
        <v>17870</v>
      </c>
      <c r="J11688" t="s">
        <v>4426</v>
      </c>
    </row>
    <row r="11689" spans="9:10" x14ac:dyDescent="0.3">
      <c r="I11689" t="s">
        <v>17871</v>
      </c>
      <c r="J11689" t="s">
        <v>4426</v>
      </c>
    </row>
    <row r="11690" spans="9:10" x14ac:dyDescent="0.3">
      <c r="I11690" t="s">
        <v>17872</v>
      </c>
      <c r="J11690" t="s">
        <v>4426</v>
      </c>
    </row>
    <row r="11691" spans="9:10" x14ac:dyDescent="0.3">
      <c r="I11691" t="s">
        <v>17873</v>
      </c>
      <c r="J11691" t="s">
        <v>4426</v>
      </c>
    </row>
    <row r="11692" spans="9:10" x14ac:dyDescent="0.3">
      <c r="I11692" t="s">
        <v>17874</v>
      </c>
      <c r="J11692" t="s">
        <v>4426</v>
      </c>
    </row>
    <row r="11693" spans="9:10" x14ac:dyDescent="0.3">
      <c r="I11693" t="s">
        <v>17875</v>
      </c>
      <c r="J11693" t="s">
        <v>4426</v>
      </c>
    </row>
    <row r="11694" spans="9:10" x14ac:dyDescent="0.3">
      <c r="I11694" t="s">
        <v>17876</v>
      </c>
      <c r="J11694" t="s">
        <v>4426</v>
      </c>
    </row>
    <row r="11695" spans="9:10" x14ac:dyDescent="0.3">
      <c r="I11695" t="s">
        <v>17877</v>
      </c>
      <c r="J11695" t="s">
        <v>4426</v>
      </c>
    </row>
    <row r="11696" spans="9:10" x14ac:dyDescent="0.3">
      <c r="I11696" t="s">
        <v>17878</v>
      </c>
      <c r="J11696" t="s">
        <v>4426</v>
      </c>
    </row>
    <row r="11697" spans="9:10" x14ac:dyDescent="0.3">
      <c r="I11697" t="s">
        <v>17879</v>
      </c>
      <c r="J11697" t="s">
        <v>4426</v>
      </c>
    </row>
    <row r="11698" spans="9:10" x14ac:dyDescent="0.3">
      <c r="I11698" t="s">
        <v>17880</v>
      </c>
      <c r="J11698" t="s">
        <v>4426</v>
      </c>
    </row>
    <row r="11699" spans="9:10" x14ac:dyDescent="0.3">
      <c r="I11699" t="s">
        <v>17881</v>
      </c>
      <c r="J11699" t="s">
        <v>4426</v>
      </c>
    </row>
    <row r="11700" spans="9:10" x14ac:dyDescent="0.3">
      <c r="I11700" t="s">
        <v>17882</v>
      </c>
      <c r="J11700" t="s">
        <v>4426</v>
      </c>
    </row>
    <row r="11701" spans="9:10" x14ac:dyDescent="0.3">
      <c r="I11701" t="s">
        <v>17883</v>
      </c>
      <c r="J11701" t="s">
        <v>4426</v>
      </c>
    </row>
    <row r="11702" spans="9:10" x14ac:dyDescent="0.3">
      <c r="I11702" t="s">
        <v>17884</v>
      </c>
      <c r="J11702" t="s">
        <v>4426</v>
      </c>
    </row>
    <row r="11703" spans="9:10" x14ac:dyDescent="0.3">
      <c r="I11703" t="s">
        <v>17885</v>
      </c>
      <c r="J11703" t="s">
        <v>4426</v>
      </c>
    </row>
    <row r="11704" spans="9:10" x14ac:dyDescent="0.3">
      <c r="I11704" t="s">
        <v>17886</v>
      </c>
      <c r="J11704" t="s">
        <v>4426</v>
      </c>
    </row>
    <row r="11705" spans="9:10" x14ac:dyDescent="0.3">
      <c r="I11705" t="s">
        <v>17887</v>
      </c>
      <c r="J11705" t="s">
        <v>4426</v>
      </c>
    </row>
    <row r="11706" spans="9:10" x14ac:dyDescent="0.3">
      <c r="I11706" t="s">
        <v>17888</v>
      </c>
      <c r="J11706" t="s">
        <v>4426</v>
      </c>
    </row>
    <row r="11707" spans="9:10" x14ac:dyDescent="0.3">
      <c r="I11707" t="s">
        <v>17889</v>
      </c>
      <c r="J11707" t="s">
        <v>4426</v>
      </c>
    </row>
    <row r="11708" spans="9:10" x14ac:dyDescent="0.3">
      <c r="I11708" t="s">
        <v>17890</v>
      </c>
      <c r="J11708" t="s">
        <v>4426</v>
      </c>
    </row>
    <row r="11709" spans="9:10" x14ac:dyDescent="0.3">
      <c r="I11709" t="s">
        <v>17848</v>
      </c>
      <c r="J11709" t="s">
        <v>4426</v>
      </c>
    </row>
    <row r="11710" spans="9:10" x14ac:dyDescent="0.3">
      <c r="I11710" t="s">
        <v>17848</v>
      </c>
      <c r="J11710" t="s">
        <v>4426</v>
      </c>
    </row>
    <row r="11711" spans="9:10" x14ac:dyDescent="0.3">
      <c r="I11711" t="s">
        <v>17891</v>
      </c>
      <c r="J11711" t="s">
        <v>4426</v>
      </c>
    </row>
    <row r="11712" spans="9:10" x14ac:dyDescent="0.3">
      <c r="I11712" t="s">
        <v>17892</v>
      </c>
      <c r="J11712" t="s">
        <v>4426</v>
      </c>
    </row>
    <row r="11713" spans="9:10" x14ac:dyDescent="0.3">
      <c r="I11713" t="s">
        <v>17893</v>
      </c>
      <c r="J11713" t="s">
        <v>4426</v>
      </c>
    </row>
    <row r="11714" spans="9:10" x14ac:dyDescent="0.3">
      <c r="I11714" t="s">
        <v>17894</v>
      </c>
      <c r="J11714" t="s">
        <v>4426</v>
      </c>
    </row>
    <row r="11715" spans="9:10" x14ac:dyDescent="0.3">
      <c r="I11715" t="s">
        <v>17895</v>
      </c>
      <c r="J11715" t="s">
        <v>4426</v>
      </c>
    </row>
    <row r="11716" spans="9:10" x14ac:dyDescent="0.3">
      <c r="I11716" t="s">
        <v>17896</v>
      </c>
      <c r="J11716" t="s">
        <v>4426</v>
      </c>
    </row>
    <row r="11717" spans="9:10" x14ac:dyDescent="0.3">
      <c r="I11717" t="s">
        <v>17895</v>
      </c>
      <c r="J11717" t="s">
        <v>4426</v>
      </c>
    </row>
    <row r="11718" spans="9:10" x14ac:dyDescent="0.3">
      <c r="I11718" t="s">
        <v>17897</v>
      </c>
      <c r="J11718" t="s">
        <v>4426</v>
      </c>
    </row>
    <row r="11719" spans="9:10" x14ac:dyDescent="0.3">
      <c r="I11719" t="s">
        <v>17898</v>
      </c>
      <c r="J11719" t="s">
        <v>4426</v>
      </c>
    </row>
    <row r="11720" spans="9:10" x14ac:dyDescent="0.3">
      <c r="I11720" t="s">
        <v>17899</v>
      </c>
      <c r="J11720" t="s">
        <v>4426</v>
      </c>
    </row>
    <row r="11721" spans="9:10" x14ac:dyDescent="0.3">
      <c r="I11721" t="s">
        <v>17900</v>
      </c>
      <c r="J11721" t="s">
        <v>4426</v>
      </c>
    </row>
    <row r="11722" spans="9:10" x14ac:dyDescent="0.3">
      <c r="I11722" t="s">
        <v>17901</v>
      </c>
      <c r="J11722" t="s">
        <v>4426</v>
      </c>
    </row>
    <row r="11723" spans="9:10" x14ac:dyDescent="0.3">
      <c r="I11723" t="s">
        <v>17902</v>
      </c>
      <c r="J11723" t="s">
        <v>4426</v>
      </c>
    </row>
    <row r="11724" spans="9:10" x14ac:dyDescent="0.3">
      <c r="I11724" t="s">
        <v>17903</v>
      </c>
      <c r="J11724" t="s">
        <v>4426</v>
      </c>
    </row>
    <row r="11725" spans="9:10" x14ac:dyDescent="0.3">
      <c r="I11725" t="s">
        <v>17904</v>
      </c>
      <c r="J11725" t="s">
        <v>4426</v>
      </c>
    </row>
    <row r="11726" spans="9:10" x14ac:dyDescent="0.3">
      <c r="I11726" t="s">
        <v>17905</v>
      </c>
      <c r="J11726" t="s">
        <v>4426</v>
      </c>
    </row>
    <row r="11727" spans="9:10" x14ac:dyDescent="0.3">
      <c r="I11727" t="s">
        <v>17906</v>
      </c>
      <c r="J11727" t="s">
        <v>4426</v>
      </c>
    </row>
    <row r="11728" spans="9:10" x14ac:dyDescent="0.3">
      <c r="I11728" t="s">
        <v>17907</v>
      </c>
      <c r="J11728" t="s">
        <v>4426</v>
      </c>
    </row>
    <row r="11729" spans="9:10" x14ac:dyDescent="0.3">
      <c r="I11729" t="s">
        <v>17908</v>
      </c>
      <c r="J11729" t="s">
        <v>4426</v>
      </c>
    </row>
    <row r="11730" spans="9:10" x14ac:dyDescent="0.3">
      <c r="I11730" t="s">
        <v>17909</v>
      </c>
    </row>
    <row r="11731" spans="9:10" x14ac:dyDescent="0.3">
      <c r="I11731" t="s">
        <v>17910</v>
      </c>
    </row>
    <row r="11732" spans="9:10" x14ac:dyDescent="0.3">
      <c r="I11732" t="s">
        <v>17911</v>
      </c>
      <c r="J11732" t="s">
        <v>4427</v>
      </c>
    </row>
    <row r="11733" spans="9:10" x14ac:dyDescent="0.3">
      <c r="I11733" t="s">
        <v>17912</v>
      </c>
    </row>
    <row r="11734" spans="9:10" x14ac:dyDescent="0.3">
      <c r="I11734" t="s">
        <v>17913</v>
      </c>
      <c r="J11734" t="s">
        <v>4428</v>
      </c>
    </row>
    <row r="11735" spans="9:10" x14ac:dyDescent="0.3">
      <c r="I11735" t="s">
        <v>17914</v>
      </c>
      <c r="J11735" t="s">
        <v>4428</v>
      </c>
    </row>
    <row r="11736" spans="9:10" x14ac:dyDescent="0.3">
      <c r="I11736" t="s">
        <v>17915</v>
      </c>
      <c r="J11736" t="s">
        <v>4428</v>
      </c>
    </row>
    <row r="11737" spans="9:10" x14ac:dyDescent="0.3">
      <c r="I11737" t="s">
        <v>17916</v>
      </c>
      <c r="J11737" t="s">
        <v>4428</v>
      </c>
    </row>
    <row r="11738" spans="9:10" x14ac:dyDescent="0.3">
      <c r="I11738" t="s">
        <v>17914</v>
      </c>
      <c r="J11738" t="s">
        <v>4428</v>
      </c>
    </row>
    <row r="11739" spans="9:10" x14ac:dyDescent="0.3">
      <c r="I11739" t="s">
        <v>17917</v>
      </c>
    </row>
    <row r="11740" spans="9:10" x14ac:dyDescent="0.3">
      <c r="I11740" t="s">
        <v>17918</v>
      </c>
      <c r="J11740" t="s">
        <v>4429</v>
      </c>
    </row>
    <row r="11741" spans="9:10" x14ac:dyDescent="0.3">
      <c r="I11741" t="s">
        <v>17918</v>
      </c>
      <c r="J11741" t="s">
        <v>4429</v>
      </c>
    </row>
    <row r="11742" spans="9:10" x14ac:dyDescent="0.3">
      <c r="I11742" t="s">
        <v>17919</v>
      </c>
      <c r="J11742" t="s">
        <v>4429</v>
      </c>
    </row>
    <row r="11743" spans="9:10" x14ac:dyDescent="0.3">
      <c r="I11743" t="s">
        <v>17918</v>
      </c>
      <c r="J11743" t="s">
        <v>4429</v>
      </c>
    </row>
    <row r="11744" spans="9:10" x14ac:dyDescent="0.3">
      <c r="I11744" t="s">
        <v>17920</v>
      </c>
      <c r="J11744" t="s">
        <v>4429</v>
      </c>
    </row>
    <row r="11745" spans="9:10" x14ac:dyDescent="0.3">
      <c r="I11745" t="s">
        <v>17921</v>
      </c>
      <c r="J11745" t="s">
        <v>4429</v>
      </c>
    </row>
    <row r="11746" spans="9:10" x14ac:dyDescent="0.3">
      <c r="I11746" t="s">
        <v>17922</v>
      </c>
      <c r="J11746" t="s">
        <v>4429</v>
      </c>
    </row>
    <row r="11747" spans="9:10" x14ac:dyDescent="0.3">
      <c r="I11747" t="s">
        <v>17923</v>
      </c>
      <c r="J11747" t="s">
        <v>4429</v>
      </c>
    </row>
    <row r="11748" spans="9:10" x14ac:dyDescent="0.3">
      <c r="I11748" t="s">
        <v>17924</v>
      </c>
      <c r="J11748" t="s">
        <v>4429</v>
      </c>
    </row>
    <row r="11749" spans="9:10" x14ac:dyDescent="0.3">
      <c r="I11749" t="s">
        <v>17918</v>
      </c>
      <c r="J11749" t="s">
        <v>4429</v>
      </c>
    </row>
    <row r="11750" spans="9:10" x14ac:dyDescent="0.3">
      <c r="I11750" t="s">
        <v>17925</v>
      </c>
      <c r="J11750" t="s">
        <v>4429</v>
      </c>
    </row>
    <row r="11751" spans="9:10" x14ac:dyDescent="0.3">
      <c r="I11751" t="s">
        <v>17926</v>
      </c>
      <c r="J11751" t="s">
        <v>4430</v>
      </c>
    </row>
    <row r="11752" spans="9:10" x14ac:dyDescent="0.3">
      <c r="I11752" t="s">
        <v>17927</v>
      </c>
      <c r="J11752" t="s">
        <v>4430</v>
      </c>
    </row>
    <row r="11753" spans="9:10" x14ac:dyDescent="0.3">
      <c r="I11753" t="s">
        <v>17928</v>
      </c>
      <c r="J11753" t="s">
        <v>4430</v>
      </c>
    </row>
    <row r="11754" spans="9:10" x14ac:dyDescent="0.3">
      <c r="I11754" t="s">
        <v>17929</v>
      </c>
      <c r="J11754" t="s">
        <v>4430</v>
      </c>
    </row>
    <row r="11755" spans="9:10" x14ac:dyDescent="0.3">
      <c r="I11755" t="s">
        <v>17930</v>
      </c>
      <c r="J11755" t="s">
        <v>4430</v>
      </c>
    </row>
    <row r="11756" spans="9:10" x14ac:dyDescent="0.3">
      <c r="I11756" t="s">
        <v>17931</v>
      </c>
      <c r="J11756" t="s">
        <v>4430</v>
      </c>
    </row>
    <row r="11757" spans="9:10" x14ac:dyDescent="0.3">
      <c r="I11757" t="s">
        <v>17926</v>
      </c>
      <c r="J11757" t="s">
        <v>4430</v>
      </c>
    </row>
    <row r="11758" spans="9:10" x14ac:dyDescent="0.3">
      <c r="I11758" t="s">
        <v>17926</v>
      </c>
      <c r="J11758" t="s">
        <v>4430</v>
      </c>
    </row>
    <row r="11759" spans="9:10" x14ac:dyDescent="0.3">
      <c r="I11759" t="s">
        <v>17932</v>
      </c>
      <c r="J11759" t="s">
        <v>4430</v>
      </c>
    </row>
    <row r="11760" spans="9:10" x14ac:dyDescent="0.3">
      <c r="I11760" t="s">
        <v>17933</v>
      </c>
      <c r="J11760" t="s">
        <v>4430</v>
      </c>
    </row>
    <row r="11761" spans="9:10" x14ac:dyDescent="0.3">
      <c r="I11761" t="s">
        <v>17934</v>
      </c>
    </row>
    <row r="11762" spans="9:10" x14ac:dyDescent="0.3">
      <c r="I11762" t="s">
        <v>17935</v>
      </c>
    </row>
    <row r="11763" spans="9:10" x14ac:dyDescent="0.3">
      <c r="I11763" t="s">
        <v>17936</v>
      </c>
    </row>
    <row r="11764" spans="9:10" x14ac:dyDescent="0.3">
      <c r="I11764" t="s">
        <v>17937</v>
      </c>
    </row>
    <row r="11765" spans="9:10" x14ac:dyDescent="0.3">
      <c r="I11765" t="s">
        <v>17938</v>
      </c>
      <c r="J11765" t="s">
        <v>4431</v>
      </c>
    </row>
    <row r="11766" spans="9:10" x14ac:dyDescent="0.3">
      <c r="I11766" t="s">
        <v>17939</v>
      </c>
      <c r="J11766" t="s">
        <v>4432</v>
      </c>
    </row>
    <row r="11767" spans="9:10" x14ac:dyDescent="0.3">
      <c r="I11767" t="s">
        <v>17940</v>
      </c>
      <c r="J11767" t="s">
        <v>248</v>
      </c>
    </row>
    <row r="11768" spans="9:10" x14ac:dyDescent="0.3">
      <c r="I11768" t="s">
        <v>17941</v>
      </c>
      <c r="J11768" t="s">
        <v>4433</v>
      </c>
    </row>
    <row r="11769" spans="9:10" x14ac:dyDescent="0.3">
      <c r="I11769" t="s">
        <v>17942</v>
      </c>
    </row>
    <row r="11770" spans="9:10" x14ac:dyDescent="0.3">
      <c r="I11770" t="s">
        <v>689</v>
      </c>
      <c r="J11770" t="s">
        <v>690</v>
      </c>
    </row>
    <row r="11771" spans="9:10" x14ac:dyDescent="0.3">
      <c r="I11771" t="s">
        <v>17943</v>
      </c>
      <c r="J11771" t="s">
        <v>4434</v>
      </c>
    </row>
    <row r="11772" spans="9:10" x14ac:dyDescent="0.3">
      <c r="I11772" t="s">
        <v>17944</v>
      </c>
      <c r="J11772" t="s">
        <v>4435</v>
      </c>
    </row>
    <row r="11773" spans="9:10" x14ac:dyDescent="0.3">
      <c r="I11773" t="s">
        <v>17945</v>
      </c>
      <c r="J11773" t="s">
        <v>4224</v>
      </c>
    </row>
    <row r="11774" spans="9:10" x14ac:dyDescent="0.3">
      <c r="I11774" t="s">
        <v>17946</v>
      </c>
      <c r="J11774" t="s">
        <v>4224</v>
      </c>
    </row>
    <row r="11775" spans="9:10" x14ac:dyDescent="0.3">
      <c r="I11775" t="s">
        <v>17947</v>
      </c>
    </row>
    <row r="11776" spans="9:10" x14ac:dyDescent="0.3">
      <c r="I11776" t="s">
        <v>17948</v>
      </c>
    </row>
    <row r="11777" spans="9:10" x14ac:dyDescent="0.3">
      <c r="I11777" t="s">
        <v>17949</v>
      </c>
      <c r="J11777" t="s">
        <v>4436</v>
      </c>
    </row>
    <row r="11778" spans="9:10" x14ac:dyDescent="0.3">
      <c r="I11778" t="s">
        <v>17949</v>
      </c>
      <c r="J11778" t="s">
        <v>4436</v>
      </c>
    </row>
    <row r="11779" spans="9:10" x14ac:dyDescent="0.3">
      <c r="I11779" t="s">
        <v>17950</v>
      </c>
      <c r="J11779" t="s">
        <v>4437</v>
      </c>
    </row>
    <row r="11780" spans="9:10" x14ac:dyDescent="0.3">
      <c r="I11780" t="s">
        <v>17950</v>
      </c>
      <c r="J11780" t="s">
        <v>4437</v>
      </c>
    </row>
    <row r="11781" spans="9:10" x14ac:dyDescent="0.3">
      <c r="I11781" t="s">
        <v>17951</v>
      </c>
      <c r="J11781" t="s">
        <v>4438</v>
      </c>
    </row>
    <row r="11782" spans="9:10" x14ac:dyDescent="0.3">
      <c r="I11782" t="s">
        <v>17952</v>
      </c>
      <c r="J11782" t="s">
        <v>4438</v>
      </c>
    </row>
    <row r="11783" spans="9:10" x14ac:dyDescent="0.3">
      <c r="I11783" t="s">
        <v>17953</v>
      </c>
      <c r="J11783" t="s">
        <v>4438</v>
      </c>
    </row>
    <row r="11784" spans="9:10" x14ac:dyDescent="0.3">
      <c r="I11784" t="s">
        <v>17954</v>
      </c>
      <c r="J11784" t="s">
        <v>4438</v>
      </c>
    </row>
    <row r="11785" spans="9:10" x14ac:dyDescent="0.3">
      <c r="I11785" t="s">
        <v>17954</v>
      </c>
      <c r="J11785" t="s">
        <v>4438</v>
      </c>
    </row>
    <row r="11786" spans="9:10" x14ac:dyDescent="0.3">
      <c r="I11786" t="s">
        <v>17955</v>
      </c>
      <c r="J11786" t="s">
        <v>4438</v>
      </c>
    </row>
    <row r="11787" spans="9:10" x14ac:dyDescent="0.3">
      <c r="I11787" t="s">
        <v>17955</v>
      </c>
      <c r="J11787" t="s">
        <v>4438</v>
      </c>
    </row>
    <row r="11788" spans="9:10" x14ac:dyDescent="0.3">
      <c r="I11788" t="s">
        <v>17956</v>
      </c>
      <c r="J11788" t="s">
        <v>4438</v>
      </c>
    </row>
    <row r="11789" spans="9:10" x14ac:dyDescent="0.3">
      <c r="I11789" t="s">
        <v>17952</v>
      </c>
      <c r="J11789" t="s">
        <v>4438</v>
      </c>
    </row>
    <row r="11790" spans="9:10" x14ac:dyDescent="0.3">
      <c r="I11790" t="s">
        <v>17957</v>
      </c>
      <c r="J11790" t="s">
        <v>4438</v>
      </c>
    </row>
    <row r="11791" spans="9:10" x14ac:dyDescent="0.3">
      <c r="I11791" t="s">
        <v>17954</v>
      </c>
      <c r="J11791" t="s">
        <v>4438</v>
      </c>
    </row>
    <row r="11792" spans="9:10" x14ac:dyDescent="0.3">
      <c r="I11792" t="s">
        <v>17954</v>
      </c>
      <c r="J11792" t="s">
        <v>4438</v>
      </c>
    </row>
    <row r="11793" spans="9:10" x14ac:dyDescent="0.3">
      <c r="I11793" t="s">
        <v>17952</v>
      </c>
      <c r="J11793" t="s">
        <v>4438</v>
      </c>
    </row>
    <row r="11794" spans="9:10" x14ac:dyDescent="0.3">
      <c r="I11794" t="s">
        <v>17954</v>
      </c>
      <c r="J11794" t="s">
        <v>4438</v>
      </c>
    </row>
    <row r="11795" spans="9:10" x14ac:dyDescent="0.3">
      <c r="I11795" t="s">
        <v>17958</v>
      </c>
      <c r="J11795" t="s">
        <v>4438</v>
      </c>
    </row>
    <row r="11796" spans="9:10" x14ac:dyDescent="0.3">
      <c r="I11796" t="s">
        <v>17959</v>
      </c>
      <c r="J11796" t="s">
        <v>4438</v>
      </c>
    </row>
    <row r="11797" spans="9:10" x14ac:dyDescent="0.3">
      <c r="I11797" t="s">
        <v>17955</v>
      </c>
      <c r="J11797" t="s">
        <v>4438</v>
      </c>
    </row>
    <row r="11798" spans="9:10" x14ac:dyDescent="0.3">
      <c r="I11798" t="s">
        <v>17954</v>
      </c>
      <c r="J11798" t="s">
        <v>4438</v>
      </c>
    </row>
    <row r="11799" spans="9:10" x14ac:dyDescent="0.3">
      <c r="I11799" t="s">
        <v>17960</v>
      </c>
      <c r="J11799" t="s">
        <v>4439</v>
      </c>
    </row>
    <row r="11800" spans="9:10" x14ac:dyDescent="0.3">
      <c r="I11800" t="s">
        <v>17960</v>
      </c>
      <c r="J11800" t="s">
        <v>4439</v>
      </c>
    </row>
    <row r="11801" spans="9:10" x14ac:dyDescent="0.3">
      <c r="I11801" t="s">
        <v>17961</v>
      </c>
      <c r="J11801" t="s">
        <v>4440</v>
      </c>
    </row>
    <row r="11802" spans="9:10" x14ac:dyDescent="0.3">
      <c r="I11802" t="s">
        <v>17962</v>
      </c>
      <c r="J11802" t="s">
        <v>4441</v>
      </c>
    </row>
    <row r="11803" spans="9:10" x14ac:dyDescent="0.3">
      <c r="I11803" t="s">
        <v>17963</v>
      </c>
      <c r="J11803" t="s">
        <v>4442</v>
      </c>
    </row>
    <row r="11804" spans="9:10" x14ac:dyDescent="0.3">
      <c r="I11804" t="s">
        <v>17964</v>
      </c>
    </row>
    <row r="11805" spans="9:10" x14ac:dyDescent="0.3">
      <c r="I11805" t="s">
        <v>17965</v>
      </c>
      <c r="J11805" t="s">
        <v>4443</v>
      </c>
    </row>
    <row r="11806" spans="9:10" x14ac:dyDescent="0.3">
      <c r="I11806" t="s">
        <v>17966</v>
      </c>
    </row>
    <row r="11807" spans="9:10" x14ac:dyDescent="0.3">
      <c r="I11807" t="s">
        <v>17967</v>
      </c>
    </row>
    <row r="11808" spans="9:10" x14ac:dyDescent="0.3">
      <c r="I11808" t="s">
        <v>17968</v>
      </c>
    </row>
    <row r="11809" spans="9:10" x14ac:dyDescent="0.3">
      <c r="I11809" t="s">
        <v>17969</v>
      </c>
      <c r="J11809" t="s">
        <v>751</v>
      </c>
    </row>
    <row r="11810" spans="9:10" x14ac:dyDescent="0.3">
      <c r="I11810" t="s">
        <v>17970</v>
      </c>
      <c r="J11810" t="s">
        <v>4444</v>
      </c>
    </row>
    <row r="11811" spans="9:10" x14ac:dyDescent="0.3">
      <c r="I11811" t="s">
        <v>17970</v>
      </c>
      <c r="J11811" t="s">
        <v>4444</v>
      </c>
    </row>
    <row r="11812" spans="9:10" x14ac:dyDescent="0.3">
      <c r="I11812" t="s">
        <v>17971</v>
      </c>
      <c r="J11812" t="s">
        <v>4444</v>
      </c>
    </row>
    <row r="11813" spans="9:10" x14ac:dyDescent="0.3">
      <c r="I11813" t="s">
        <v>17972</v>
      </c>
      <c r="J11813" t="s">
        <v>4444</v>
      </c>
    </row>
    <row r="11814" spans="9:10" x14ac:dyDescent="0.3">
      <c r="I11814" t="s">
        <v>17973</v>
      </c>
      <c r="J11814" t="s">
        <v>4444</v>
      </c>
    </row>
    <row r="11815" spans="9:10" x14ac:dyDescent="0.3">
      <c r="I11815" t="s">
        <v>17974</v>
      </c>
      <c r="J11815" t="s">
        <v>4444</v>
      </c>
    </row>
    <row r="11816" spans="9:10" x14ac:dyDescent="0.3">
      <c r="I11816" t="s">
        <v>17975</v>
      </c>
      <c r="J11816" t="s">
        <v>4444</v>
      </c>
    </row>
    <row r="11817" spans="9:10" x14ac:dyDescent="0.3">
      <c r="I11817" t="s">
        <v>17976</v>
      </c>
      <c r="J11817" t="s">
        <v>4444</v>
      </c>
    </row>
    <row r="11818" spans="9:10" x14ac:dyDescent="0.3">
      <c r="I11818" t="s">
        <v>17970</v>
      </c>
      <c r="J11818" t="s">
        <v>4444</v>
      </c>
    </row>
    <row r="11819" spans="9:10" x14ac:dyDescent="0.3">
      <c r="I11819" t="s">
        <v>17977</v>
      </c>
      <c r="J11819" t="s">
        <v>4444</v>
      </c>
    </row>
    <row r="11820" spans="9:10" x14ac:dyDescent="0.3">
      <c r="I11820" t="s">
        <v>17970</v>
      </c>
      <c r="J11820" t="s">
        <v>4444</v>
      </c>
    </row>
    <row r="11821" spans="9:10" x14ac:dyDescent="0.3">
      <c r="I11821" t="s">
        <v>17971</v>
      </c>
      <c r="J11821" t="s">
        <v>4444</v>
      </c>
    </row>
    <row r="11822" spans="9:10" x14ac:dyDescent="0.3">
      <c r="I11822" t="s">
        <v>17978</v>
      </c>
      <c r="J11822" t="s">
        <v>4444</v>
      </c>
    </row>
    <row r="11823" spans="9:10" x14ac:dyDescent="0.3">
      <c r="I11823" t="s">
        <v>17979</v>
      </c>
      <c r="J11823" t="s">
        <v>4444</v>
      </c>
    </row>
    <row r="11824" spans="9:10" x14ac:dyDescent="0.3">
      <c r="I11824" t="s">
        <v>17970</v>
      </c>
      <c r="J11824" t="s">
        <v>4444</v>
      </c>
    </row>
    <row r="11825" spans="9:10" x14ac:dyDescent="0.3">
      <c r="I11825" t="s">
        <v>17970</v>
      </c>
      <c r="J11825" t="s">
        <v>4444</v>
      </c>
    </row>
    <row r="11826" spans="9:10" x14ac:dyDescent="0.3">
      <c r="I11826" t="s">
        <v>17980</v>
      </c>
      <c r="J11826" t="s">
        <v>4444</v>
      </c>
    </row>
    <row r="11827" spans="9:10" x14ac:dyDescent="0.3">
      <c r="I11827" t="s">
        <v>17980</v>
      </c>
      <c r="J11827" t="s">
        <v>4444</v>
      </c>
    </row>
    <row r="11828" spans="9:10" x14ac:dyDescent="0.3">
      <c r="I11828" t="s">
        <v>17980</v>
      </c>
      <c r="J11828" t="s">
        <v>4444</v>
      </c>
    </row>
    <row r="11829" spans="9:10" x14ac:dyDescent="0.3">
      <c r="I11829" t="s">
        <v>17981</v>
      </c>
    </row>
    <row r="11830" spans="9:10" x14ac:dyDescent="0.3">
      <c r="I11830" t="s">
        <v>17982</v>
      </c>
      <c r="J11830" t="s">
        <v>4445</v>
      </c>
    </row>
    <row r="11831" spans="9:10" x14ac:dyDescent="0.3">
      <c r="I11831" t="s">
        <v>17983</v>
      </c>
      <c r="J11831" t="s">
        <v>4446</v>
      </c>
    </row>
    <row r="11832" spans="9:10" x14ac:dyDescent="0.3">
      <c r="I11832" t="s">
        <v>17983</v>
      </c>
      <c r="J11832" t="s">
        <v>4446</v>
      </c>
    </row>
    <row r="11833" spans="9:10" x14ac:dyDescent="0.3">
      <c r="I11833" t="s">
        <v>17983</v>
      </c>
      <c r="J11833" t="s">
        <v>4446</v>
      </c>
    </row>
    <row r="11834" spans="9:10" x14ac:dyDescent="0.3">
      <c r="I11834" t="s">
        <v>17984</v>
      </c>
    </row>
    <row r="11835" spans="9:10" x14ac:dyDescent="0.3">
      <c r="I11835" t="s">
        <v>17985</v>
      </c>
      <c r="J11835" t="s">
        <v>4447</v>
      </c>
    </row>
    <row r="11836" spans="9:10" x14ac:dyDescent="0.3">
      <c r="I11836" t="s">
        <v>17985</v>
      </c>
      <c r="J11836" t="s">
        <v>4447</v>
      </c>
    </row>
    <row r="11837" spans="9:10" x14ac:dyDescent="0.3">
      <c r="I11837" t="s">
        <v>17986</v>
      </c>
      <c r="J11837" t="s">
        <v>4448</v>
      </c>
    </row>
    <row r="11838" spans="9:10" x14ac:dyDescent="0.3">
      <c r="I11838" t="s">
        <v>17987</v>
      </c>
    </row>
    <row r="11839" spans="9:10" x14ac:dyDescent="0.3">
      <c r="I11839" t="s">
        <v>17988</v>
      </c>
      <c r="J11839" t="s">
        <v>4449</v>
      </c>
    </row>
    <row r="11840" spans="9:10" x14ac:dyDescent="0.3">
      <c r="I11840" t="s">
        <v>17989</v>
      </c>
    </row>
    <row r="11841" spans="9:10" x14ac:dyDescent="0.3">
      <c r="I11841" t="s">
        <v>17990</v>
      </c>
    </row>
    <row r="11842" spans="9:10" x14ac:dyDescent="0.3">
      <c r="I11842" t="s">
        <v>17991</v>
      </c>
      <c r="J11842" t="s">
        <v>4450</v>
      </c>
    </row>
    <row r="11843" spans="9:10" x14ac:dyDescent="0.3">
      <c r="I11843" t="s">
        <v>17992</v>
      </c>
      <c r="J11843" t="s">
        <v>4450</v>
      </c>
    </row>
    <row r="11844" spans="9:10" x14ac:dyDescent="0.3">
      <c r="I11844" t="s">
        <v>17993</v>
      </c>
      <c r="J11844" t="s">
        <v>4451</v>
      </c>
    </row>
    <row r="11845" spans="9:10" x14ac:dyDescent="0.3">
      <c r="I11845" t="s">
        <v>17994</v>
      </c>
    </row>
    <row r="11846" spans="9:10" x14ac:dyDescent="0.3">
      <c r="I11846" t="s">
        <v>17995</v>
      </c>
      <c r="J11846" t="s">
        <v>4452</v>
      </c>
    </row>
    <row r="11847" spans="9:10" x14ac:dyDescent="0.3">
      <c r="I11847" t="s">
        <v>17996</v>
      </c>
      <c r="J11847" t="s">
        <v>4453</v>
      </c>
    </row>
    <row r="11848" spans="9:10" x14ac:dyDescent="0.3">
      <c r="I11848" t="s">
        <v>17996</v>
      </c>
      <c r="J11848" t="s">
        <v>4453</v>
      </c>
    </row>
    <row r="11849" spans="9:10" x14ac:dyDescent="0.3">
      <c r="I11849" t="s">
        <v>17997</v>
      </c>
    </row>
    <row r="11850" spans="9:10" x14ac:dyDescent="0.3">
      <c r="I11850" t="s">
        <v>17998</v>
      </c>
    </row>
    <row r="11851" spans="9:10" x14ac:dyDescent="0.3">
      <c r="I11851" t="s">
        <v>17999</v>
      </c>
    </row>
    <row r="11852" spans="9:10" x14ac:dyDescent="0.3">
      <c r="I11852" t="s">
        <v>18000</v>
      </c>
    </row>
    <row r="11853" spans="9:10" x14ac:dyDescent="0.3">
      <c r="I11853" t="s">
        <v>18001</v>
      </c>
    </row>
    <row r="11854" spans="9:10" x14ac:dyDescent="0.3">
      <c r="I11854" t="s">
        <v>18002</v>
      </c>
    </row>
    <row r="11855" spans="9:10" x14ac:dyDescent="0.3">
      <c r="I11855" t="s">
        <v>18003</v>
      </c>
    </row>
    <row r="11856" spans="9:10" x14ac:dyDescent="0.3">
      <c r="I11856" t="s">
        <v>18004</v>
      </c>
    </row>
    <row r="11857" spans="9:10" x14ac:dyDescent="0.3">
      <c r="I11857" t="s">
        <v>18005</v>
      </c>
    </row>
    <row r="11858" spans="9:10" x14ac:dyDescent="0.3">
      <c r="I11858" t="s">
        <v>18006</v>
      </c>
    </row>
    <row r="11859" spans="9:10" x14ac:dyDescent="0.3">
      <c r="I11859" t="s">
        <v>18007</v>
      </c>
    </row>
    <row r="11860" spans="9:10" x14ac:dyDescent="0.3">
      <c r="I11860" t="s">
        <v>18008</v>
      </c>
      <c r="J11860" t="s">
        <v>4454</v>
      </c>
    </row>
    <row r="11861" spans="9:10" x14ac:dyDescent="0.3">
      <c r="I11861" t="s">
        <v>18009</v>
      </c>
      <c r="J11861" t="s">
        <v>4455</v>
      </c>
    </row>
    <row r="11862" spans="9:10" x14ac:dyDescent="0.3">
      <c r="I11862" t="s">
        <v>18010</v>
      </c>
      <c r="J11862" t="s">
        <v>4456</v>
      </c>
    </row>
    <row r="11863" spans="9:10" x14ac:dyDescent="0.3">
      <c r="I11863" t="s">
        <v>18011</v>
      </c>
      <c r="J11863" t="s">
        <v>4457</v>
      </c>
    </row>
    <row r="11864" spans="9:10" x14ac:dyDescent="0.3">
      <c r="I11864" t="s">
        <v>18012</v>
      </c>
      <c r="J11864" t="s">
        <v>4458</v>
      </c>
    </row>
    <row r="11865" spans="9:10" x14ac:dyDescent="0.3">
      <c r="I11865" t="s">
        <v>18012</v>
      </c>
      <c r="J11865" t="s">
        <v>4458</v>
      </c>
    </row>
    <row r="11866" spans="9:10" x14ac:dyDescent="0.3">
      <c r="I11866" t="s">
        <v>18013</v>
      </c>
      <c r="J11866" t="s">
        <v>4459</v>
      </c>
    </row>
    <row r="11867" spans="9:10" x14ac:dyDescent="0.3">
      <c r="I11867" t="s">
        <v>18014</v>
      </c>
      <c r="J11867" t="s">
        <v>4460</v>
      </c>
    </row>
    <row r="11868" spans="9:10" x14ac:dyDescent="0.3">
      <c r="I11868" t="s">
        <v>18014</v>
      </c>
      <c r="J11868" t="s">
        <v>4460</v>
      </c>
    </row>
    <row r="11869" spans="9:10" x14ac:dyDescent="0.3">
      <c r="I11869" t="s">
        <v>18015</v>
      </c>
      <c r="J11869" t="s">
        <v>4461</v>
      </c>
    </row>
    <row r="11870" spans="9:10" x14ac:dyDescent="0.3">
      <c r="I11870" t="s">
        <v>18015</v>
      </c>
      <c r="J11870" t="s">
        <v>4461</v>
      </c>
    </row>
    <row r="11871" spans="9:10" x14ac:dyDescent="0.3">
      <c r="I11871" t="s">
        <v>18016</v>
      </c>
      <c r="J11871" t="s">
        <v>4462</v>
      </c>
    </row>
    <row r="11872" spans="9:10" x14ac:dyDescent="0.3">
      <c r="I11872" t="s">
        <v>18017</v>
      </c>
      <c r="J11872" t="s">
        <v>4462</v>
      </c>
    </row>
    <row r="11873" spans="9:10" x14ac:dyDescent="0.3">
      <c r="I11873" t="s">
        <v>18018</v>
      </c>
      <c r="J11873" t="s">
        <v>4463</v>
      </c>
    </row>
    <row r="11874" spans="9:10" x14ac:dyDescent="0.3">
      <c r="I11874" t="s">
        <v>18019</v>
      </c>
      <c r="J11874" t="s">
        <v>4463</v>
      </c>
    </row>
    <row r="11875" spans="9:10" x14ac:dyDescent="0.3">
      <c r="I11875" t="s">
        <v>18020</v>
      </c>
      <c r="J11875" t="s">
        <v>4464</v>
      </c>
    </row>
    <row r="11876" spans="9:10" x14ac:dyDescent="0.3">
      <c r="I11876" t="s">
        <v>18021</v>
      </c>
      <c r="J11876" t="s">
        <v>4464</v>
      </c>
    </row>
    <row r="11877" spans="9:10" x14ac:dyDescent="0.3">
      <c r="I11877" t="s">
        <v>18020</v>
      </c>
      <c r="J11877" t="s">
        <v>4464</v>
      </c>
    </row>
    <row r="11878" spans="9:10" x14ac:dyDescent="0.3">
      <c r="I11878" t="s">
        <v>18020</v>
      </c>
      <c r="J11878" t="s">
        <v>4464</v>
      </c>
    </row>
    <row r="11879" spans="9:10" x14ac:dyDescent="0.3">
      <c r="I11879" t="s">
        <v>18020</v>
      </c>
      <c r="J11879" t="s">
        <v>4464</v>
      </c>
    </row>
    <row r="11880" spans="9:10" x14ac:dyDescent="0.3">
      <c r="I11880" t="s">
        <v>18022</v>
      </c>
      <c r="J11880" t="s">
        <v>4465</v>
      </c>
    </row>
    <row r="11881" spans="9:10" x14ac:dyDescent="0.3">
      <c r="I11881" t="s">
        <v>18023</v>
      </c>
      <c r="J11881" t="s">
        <v>4466</v>
      </c>
    </row>
    <row r="11882" spans="9:10" x14ac:dyDescent="0.3">
      <c r="I11882" t="s">
        <v>18024</v>
      </c>
      <c r="J11882" t="s">
        <v>4467</v>
      </c>
    </row>
    <row r="11883" spans="9:10" x14ac:dyDescent="0.3">
      <c r="I11883" t="s">
        <v>18025</v>
      </c>
      <c r="J11883" t="s">
        <v>3052</v>
      </c>
    </row>
    <row r="11884" spans="9:10" x14ac:dyDescent="0.3">
      <c r="I11884" t="s">
        <v>18026</v>
      </c>
      <c r="J11884" t="s">
        <v>3052</v>
      </c>
    </row>
    <row r="11885" spans="9:10" x14ac:dyDescent="0.3">
      <c r="I11885" t="s">
        <v>18027</v>
      </c>
      <c r="J11885" t="s">
        <v>4468</v>
      </c>
    </row>
    <row r="11886" spans="9:10" x14ac:dyDescent="0.3">
      <c r="I11886" t="s">
        <v>18027</v>
      </c>
      <c r="J11886" t="s">
        <v>4468</v>
      </c>
    </row>
    <row r="11887" spans="9:10" x14ac:dyDescent="0.3">
      <c r="I11887" t="s">
        <v>18027</v>
      </c>
      <c r="J11887" t="s">
        <v>4468</v>
      </c>
    </row>
    <row r="11888" spans="9:10" x14ac:dyDescent="0.3">
      <c r="I11888" t="s">
        <v>18027</v>
      </c>
      <c r="J11888" t="s">
        <v>4468</v>
      </c>
    </row>
    <row r="11889" spans="9:10" x14ac:dyDescent="0.3">
      <c r="I11889" t="s">
        <v>18027</v>
      </c>
      <c r="J11889" t="s">
        <v>4468</v>
      </c>
    </row>
    <row r="11890" spans="9:10" x14ac:dyDescent="0.3">
      <c r="I11890" t="s">
        <v>18028</v>
      </c>
      <c r="J11890" t="s">
        <v>4469</v>
      </c>
    </row>
    <row r="11891" spans="9:10" x14ac:dyDescent="0.3">
      <c r="I11891" t="s">
        <v>18029</v>
      </c>
      <c r="J11891" t="s">
        <v>4470</v>
      </c>
    </row>
    <row r="11892" spans="9:10" x14ac:dyDescent="0.3">
      <c r="I11892" t="s">
        <v>18030</v>
      </c>
      <c r="J11892" t="s">
        <v>4471</v>
      </c>
    </row>
    <row r="11893" spans="9:10" x14ac:dyDescent="0.3">
      <c r="I11893" t="s">
        <v>18031</v>
      </c>
      <c r="J11893" t="s">
        <v>4472</v>
      </c>
    </row>
    <row r="11894" spans="9:10" x14ac:dyDescent="0.3">
      <c r="I11894" t="s">
        <v>18032</v>
      </c>
    </row>
    <row r="11895" spans="9:10" x14ac:dyDescent="0.3">
      <c r="I11895" t="s">
        <v>18033</v>
      </c>
      <c r="J11895" t="s">
        <v>4473</v>
      </c>
    </row>
    <row r="11896" spans="9:10" x14ac:dyDescent="0.3">
      <c r="I11896" t="s">
        <v>18033</v>
      </c>
      <c r="J11896" t="s">
        <v>4473</v>
      </c>
    </row>
    <row r="11897" spans="9:10" x14ac:dyDescent="0.3">
      <c r="I11897" t="s">
        <v>18034</v>
      </c>
      <c r="J11897" t="s">
        <v>4474</v>
      </c>
    </row>
    <row r="11898" spans="9:10" x14ac:dyDescent="0.3">
      <c r="I11898" t="s">
        <v>18035</v>
      </c>
      <c r="J11898" t="s">
        <v>4474</v>
      </c>
    </row>
    <row r="11899" spans="9:10" x14ac:dyDescent="0.3">
      <c r="I11899" t="s">
        <v>18036</v>
      </c>
      <c r="J11899" t="s">
        <v>4475</v>
      </c>
    </row>
    <row r="11900" spans="9:10" x14ac:dyDescent="0.3">
      <c r="I11900" t="s">
        <v>18037</v>
      </c>
      <c r="J11900">
        <v>0</v>
      </c>
    </row>
    <row r="11901" spans="9:10" x14ac:dyDescent="0.3">
      <c r="I11901" t="s">
        <v>18038</v>
      </c>
      <c r="J11901" t="s">
        <v>4476</v>
      </c>
    </row>
    <row r="11902" spans="9:10" x14ac:dyDescent="0.3">
      <c r="I11902" t="s">
        <v>18039</v>
      </c>
      <c r="J11902" t="s">
        <v>4477</v>
      </c>
    </row>
    <row r="11903" spans="9:10" x14ac:dyDescent="0.3">
      <c r="I11903" t="s">
        <v>18040</v>
      </c>
      <c r="J11903" t="s">
        <v>4478</v>
      </c>
    </row>
    <row r="11904" spans="9:10" x14ac:dyDescent="0.3">
      <c r="I11904" t="s">
        <v>18041</v>
      </c>
      <c r="J11904" t="s">
        <v>976</v>
      </c>
    </row>
    <row r="11905" spans="9:10" x14ac:dyDescent="0.3">
      <c r="I11905" t="s">
        <v>18042</v>
      </c>
      <c r="J11905" t="s">
        <v>977</v>
      </c>
    </row>
    <row r="11906" spans="9:10" x14ac:dyDescent="0.3">
      <c r="I11906" t="s">
        <v>18043</v>
      </c>
      <c r="J11906" t="s">
        <v>4479</v>
      </c>
    </row>
    <row r="11907" spans="9:10" x14ac:dyDescent="0.3">
      <c r="I11907" t="s">
        <v>18044</v>
      </c>
      <c r="J11907" t="s">
        <v>4479</v>
      </c>
    </row>
    <row r="11908" spans="9:10" x14ac:dyDescent="0.3">
      <c r="I11908" t="s">
        <v>18043</v>
      </c>
      <c r="J11908" t="s">
        <v>4479</v>
      </c>
    </row>
    <row r="11909" spans="9:10" x14ac:dyDescent="0.3">
      <c r="I11909" t="s">
        <v>18045</v>
      </c>
      <c r="J11909" t="s">
        <v>670</v>
      </c>
    </row>
    <row r="11910" spans="9:10" x14ac:dyDescent="0.3">
      <c r="I11910" t="s">
        <v>18046</v>
      </c>
      <c r="J11910" t="s">
        <v>670</v>
      </c>
    </row>
    <row r="11911" spans="9:10" x14ac:dyDescent="0.3">
      <c r="I11911" t="s">
        <v>18047</v>
      </c>
      <c r="J11911" t="s">
        <v>4480</v>
      </c>
    </row>
    <row r="11912" spans="9:10" x14ac:dyDescent="0.3">
      <c r="I11912" t="s">
        <v>18048</v>
      </c>
      <c r="J11912" t="s">
        <v>4481</v>
      </c>
    </row>
    <row r="11913" spans="9:10" x14ac:dyDescent="0.3">
      <c r="I11913" t="s">
        <v>13008</v>
      </c>
      <c r="J11913" t="s">
        <v>4482</v>
      </c>
    </row>
    <row r="11914" spans="9:10" x14ac:dyDescent="0.3">
      <c r="I11914" t="s">
        <v>18049</v>
      </c>
      <c r="J11914" t="s">
        <v>4483</v>
      </c>
    </row>
    <row r="11915" spans="9:10" x14ac:dyDescent="0.3">
      <c r="I11915" t="s">
        <v>18050</v>
      </c>
      <c r="J11915" t="s">
        <v>4484</v>
      </c>
    </row>
    <row r="11916" spans="9:10" x14ac:dyDescent="0.3">
      <c r="I11916" t="s">
        <v>18051</v>
      </c>
      <c r="J11916" t="s">
        <v>4484</v>
      </c>
    </row>
    <row r="11917" spans="9:10" x14ac:dyDescent="0.3">
      <c r="I11917" t="s">
        <v>18052</v>
      </c>
      <c r="J11917" t="s">
        <v>4485</v>
      </c>
    </row>
    <row r="11918" spans="9:10" x14ac:dyDescent="0.3">
      <c r="I11918" t="s">
        <v>18053</v>
      </c>
      <c r="J11918" t="s">
        <v>4486</v>
      </c>
    </row>
    <row r="11919" spans="9:10" x14ac:dyDescent="0.3">
      <c r="I11919" t="s">
        <v>18054</v>
      </c>
      <c r="J11919" t="s">
        <v>4487</v>
      </c>
    </row>
    <row r="11920" spans="9:10" x14ac:dyDescent="0.3">
      <c r="I11920" t="s">
        <v>18055</v>
      </c>
    </row>
    <row r="11921" spans="9:10" x14ac:dyDescent="0.3">
      <c r="I11921" t="s">
        <v>18056</v>
      </c>
      <c r="J11921" t="s">
        <v>4488</v>
      </c>
    </row>
    <row r="11922" spans="9:10" x14ac:dyDescent="0.3">
      <c r="I11922" t="s">
        <v>18057</v>
      </c>
      <c r="J11922" t="s">
        <v>2045</v>
      </c>
    </row>
    <row r="11923" spans="9:10" x14ac:dyDescent="0.3">
      <c r="I11923" t="s">
        <v>18058</v>
      </c>
      <c r="J11923" t="s">
        <v>4489</v>
      </c>
    </row>
    <row r="11924" spans="9:10" x14ac:dyDescent="0.3">
      <c r="I11924" t="s">
        <v>18059</v>
      </c>
      <c r="J11924" t="s">
        <v>4490</v>
      </c>
    </row>
    <row r="11925" spans="9:10" x14ac:dyDescent="0.3">
      <c r="I11925" t="s">
        <v>18060</v>
      </c>
      <c r="J11925" t="s">
        <v>4491</v>
      </c>
    </row>
    <row r="11926" spans="9:10" x14ac:dyDescent="0.3">
      <c r="I11926" t="s">
        <v>18060</v>
      </c>
      <c r="J11926" t="s">
        <v>4491</v>
      </c>
    </row>
    <row r="11927" spans="9:10" x14ac:dyDescent="0.3">
      <c r="I11927" t="s">
        <v>18061</v>
      </c>
      <c r="J11927" t="s">
        <v>4492</v>
      </c>
    </row>
    <row r="11928" spans="9:10" x14ac:dyDescent="0.3">
      <c r="I11928" t="s">
        <v>18062</v>
      </c>
      <c r="J11928" t="s">
        <v>4493</v>
      </c>
    </row>
    <row r="11929" spans="9:10" x14ac:dyDescent="0.3">
      <c r="I11929" t="s">
        <v>18063</v>
      </c>
      <c r="J11929" t="s">
        <v>4494</v>
      </c>
    </row>
    <row r="11930" spans="9:10" x14ac:dyDescent="0.3">
      <c r="I11930" t="s">
        <v>18063</v>
      </c>
      <c r="J11930" t="s">
        <v>4494</v>
      </c>
    </row>
    <row r="11931" spans="9:10" x14ac:dyDescent="0.3">
      <c r="I11931" t="s">
        <v>18063</v>
      </c>
      <c r="J11931" t="s">
        <v>4494</v>
      </c>
    </row>
    <row r="11932" spans="9:10" x14ac:dyDescent="0.3">
      <c r="I11932" t="s">
        <v>18064</v>
      </c>
      <c r="J11932" t="s">
        <v>4495</v>
      </c>
    </row>
    <row r="11933" spans="9:10" x14ac:dyDescent="0.3">
      <c r="I11933" t="s">
        <v>18065</v>
      </c>
      <c r="J11933" t="s">
        <v>4496</v>
      </c>
    </row>
    <row r="11934" spans="9:10" x14ac:dyDescent="0.3">
      <c r="I11934" t="s">
        <v>18066</v>
      </c>
      <c r="J11934" t="s">
        <v>4497</v>
      </c>
    </row>
    <row r="11935" spans="9:10" x14ac:dyDescent="0.3">
      <c r="I11935" t="s">
        <v>18067</v>
      </c>
      <c r="J11935" t="s">
        <v>4498</v>
      </c>
    </row>
    <row r="11936" spans="9:10" x14ac:dyDescent="0.3">
      <c r="I11936" t="s">
        <v>18068</v>
      </c>
      <c r="J11936" t="s">
        <v>4499</v>
      </c>
    </row>
    <row r="11937" spans="9:10" x14ac:dyDescent="0.3">
      <c r="I11937" t="s">
        <v>18069</v>
      </c>
    </row>
    <row r="11938" spans="9:10" x14ac:dyDescent="0.3">
      <c r="I11938" t="s">
        <v>18070</v>
      </c>
      <c r="J11938" t="s">
        <v>4500</v>
      </c>
    </row>
    <row r="11939" spans="9:10" x14ac:dyDescent="0.3">
      <c r="I11939" t="s">
        <v>18071</v>
      </c>
      <c r="J11939" t="s">
        <v>4501</v>
      </c>
    </row>
    <row r="11940" spans="9:10" x14ac:dyDescent="0.3">
      <c r="I11940" t="s">
        <v>18072</v>
      </c>
    </row>
    <row r="11941" spans="9:10" x14ac:dyDescent="0.3">
      <c r="I11941" t="s">
        <v>18073</v>
      </c>
    </row>
    <row r="11942" spans="9:10" x14ac:dyDescent="0.3">
      <c r="I11942" t="s">
        <v>18074</v>
      </c>
      <c r="J11942" t="s">
        <v>4502</v>
      </c>
    </row>
    <row r="11943" spans="9:10" x14ac:dyDescent="0.3">
      <c r="I11943" t="s">
        <v>18075</v>
      </c>
      <c r="J11943" t="s">
        <v>4503</v>
      </c>
    </row>
    <row r="11944" spans="9:10" x14ac:dyDescent="0.3">
      <c r="I11944" t="s">
        <v>18076</v>
      </c>
      <c r="J11944" t="s">
        <v>4504</v>
      </c>
    </row>
    <row r="11945" spans="9:10" x14ac:dyDescent="0.3">
      <c r="I11945" t="s">
        <v>18077</v>
      </c>
      <c r="J11945" t="s">
        <v>4505</v>
      </c>
    </row>
    <row r="11946" spans="9:10" x14ac:dyDescent="0.3">
      <c r="I11946" t="s">
        <v>18078</v>
      </c>
      <c r="J11946" t="s">
        <v>4506</v>
      </c>
    </row>
    <row r="11947" spans="9:10" x14ac:dyDescent="0.3">
      <c r="I11947" t="s">
        <v>18079</v>
      </c>
      <c r="J11947" t="s">
        <v>4506</v>
      </c>
    </row>
    <row r="11948" spans="9:10" x14ac:dyDescent="0.3">
      <c r="I11948" t="s">
        <v>18080</v>
      </c>
      <c r="J11948" t="s">
        <v>4507</v>
      </c>
    </row>
    <row r="11949" spans="9:10" x14ac:dyDescent="0.3">
      <c r="I11949" t="s">
        <v>18080</v>
      </c>
      <c r="J11949" t="s">
        <v>4507</v>
      </c>
    </row>
    <row r="11950" spans="9:10" x14ac:dyDescent="0.3">
      <c r="I11950" t="s">
        <v>18081</v>
      </c>
      <c r="J11950" t="s">
        <v>4508</v>
      </c>
    </row>
    <row r="11951" spans="9:10" x14ac:dyDescent="0.3">
      <c r="I11951" t="s">
        <v>18082</v>
      </c>
      <c r="J11951" t="s">
        <v>4508</v>
      </c>
    </row>
    <row r="11952" spans="9:10" x14ac:dyDescent="0.3">
      <c r="I11952" t="s">
        <v>18081</v>
      </c>
      <c r="J11952" t="s">
        <v>4508</v>
      </c>
    </row>
    <row r="11953" spans="9:10" x14ac:dyDescent="0.3">
      <c r="I11953" t="s">
        <v>18081</v>
      </c>
      <c r="J11953" t="s">
        <v>4508</v>
      </c>
    </row>
    <row r="11954" spans="9:10" x14ac:dyDescent="0.3">
      <c r="I11954" t="s">
        <v>18083</v>
      </c>
      <c r="J11954" t="s">
        <v>4509</v>
      </c>
    </row>
    <row r="11955" spans="9:10" x14ac:dyDescent="0.3">
      <c r="I11955" t="s">
        <v>18084</v>
      </c>
      <c r="J11955" t="s">
        <v>4510</v>
      </c>
    </row>
    <row r="11956" spans="9:10" x14ac:dyDescent="0.3">
      <c r="I11956" t="s">
        <v>18085</v>
      </c>
    </row>
    <row r="11957" spans="9:10" x14ac:dyDescent="0.3">
      <c r="I11957" t="s">
        <v>18086</v>
      </c>
      <c r="J11957" t="s">
        <v>4511</v>
      </c>
    </row>
    <row r="11958" spans="9:10" x14ac:dyDescent="0.3">
      <c r="I11958" t="s">
        <v>18087</v>
      </c>
    </row>
    <row r="11959" spans="9:10" x14ac:dyDescent="0.3">
      <c r="I11959" t="s">
        <v>18088</v>
      </c>
      <c r="J11959" t="s">
        <v>4512</v>
      </c>
    </row>
    <row r="11960" spans="9:10" x14ac:dyDescent="0.3">
      <c r="I11960" t="s">
        <v>18089</v>
      </c>
      <c r="J11960" t="s">
        <v>4513</v>
      </c>
    </row>
    <row r="11961" spans="9:10" x14ac:dyDescent="0.3">
      <c r="I11961" t="s">
        <v>18090</v>
      </c>
      <c r="J11961" t="s">
        <v>4514</v>
      </c>
    </row>
    <row r="11962" spans="9:10" x14ac:dyDescent="0.3">
      <c r="I11962" t="s">
        <v>18091</v>
      </c>
      <c r="J11962" t="s">
        <v>4515</v>
      </c>
    </row>
    <row r="11963" spans="9:10" x14ac:dyDescent="0.3">
      <c r="I11963" t="s">
        <v>18092</v>
      </c>
      <c r="J11963" t="s">
        <v>4516</v>
      </c>
    </row>
    <row r="11964" spans="9:10" x14ac:dyDescent="0.3">
      <c r="I11964" t="s">
        <v>18093</v>
      </c>
      <c r="J11964" t="s">
        <v>4517</v>
      </c>
    </row>
    <row r="11965" spans="9:10" x14ac:dyDescent="0.3">
      <c r="I11965" t="s">
        <v>18093</v>
      </c>
      <c r="J11965" t="s">
        <v>4517</v>
      </c>
    </row>
    <row r="11966" spans="9:10" x14ac:dyDescent="0.3">
      <c r="I11966" t="s">
        <v>18094</v>
      </c>
      <c r="J11966" t="s">
        <v>4518</v>
      </c>
    </row>
    <row r="11967" spans="9:10" x14ac:dyDescent="0.3">
      <c r="I11967" t="s">
        <v>18095</v>
      </c>
      <c r="J11967" t="s">
        <v>4519</v>
      </c>
    </row>
    <row r="11968" spans="9:10" x14ac:dyDescent="0.3">
      <c r="I11968" t="s">
        <v>18095</v>
      </c>
      <c r="J11968" t="s">
        <v>4519</v>
      </c>
    </row>
    <row r="11969" spans="9:10" x14ac:dyDescent="0.3">
      <c r="I11969" t="s">
        <v>18096</v>
      </c>
      <c r="J11969" t="s">
        <v>4520</v>
      </c>
    </row>
    <row r="11970" spans="9:10" x14ac:dyDescent="0.3">
      <c r="I11970" t="s">
        <v>18097</v>
      </c>
      <c r="J11970" t="s">
        <v>4520</v>
      </c>
    </row>
    <row r="11971" spans="9:10" x14ac:dyDescent="0.3">
      <c r="I11971" t="s">
        <v>18098</v>
      </c>
      <c r="J11971" t="s">
        <v>4520</v>
      </c>
    </row>
    <row r="11972" spans="9:10" x14ac:dyDescent="0.3">
      <c r="I11972" t="s">
        <v>18099</v>
      </c>
      <c r="J11972" t="s">
        <v>4520</v>
      </c>
    </row>
    <row r="11973" spans="9:10" x14ac:dyDescent="0.3">
      <c r="I11973" t="s">
        <v>18100</v>
      </c>
      <c r="J11973" t="s">
        <v>4521</v>
      </c>
    </row>
    <row r="11974" spans="9:10" x14ac:dyDescent="0.3">
      <c r="I11974" t="s">
        <v>18101</v>
      </c>
      <c r="J11974" t="s">
        <v>4522</v>
      </c>
    </row>
    <row r="11975" spans="9:10" x14ac:dyDescent="0.3">
      <c r="I11975" t="s">
        <v>18102</v>
      </c>
      <c r="J11975" t="s">
        <v>4522</v>
      </c>
    </row>
    <row r="11976" spans="9:10" x14ac:dyDescent="0.3">
      <c r="I11976" t="s">
        <v>18103</v>
      </c>
      <c r="J11976" t="s">
        <v>2045</v>
      </c>
    </row>
    <row r="11977" spans="9:10" x14ac:dyDescent="0.3">
      <c r="I11977" t="s">
        <v>18104</v>
      </c>
      <c r="J11977" t="s">
        <v>4523</v>
      </c>
    </row>
    <row r="11978" spans="9:10" x14ac:dyDescent="0.3">
      <c r="I11978" t="s">
        <v>18105</v>
      </c>
      <c r="J11978" t="s">
        <v>4524</v>
      </c>
    </row>
    <row r="11979" spans="9:10" x14ac:dyDescent="0.3">
      <c r="I11979" t="s">
        <v>18106</v>
      </c>
      <c r="J11979" t="s">
        <v>4525</v>
      </c>
    </row>
    <row r="11980" spans="9:10" x14ac:dyDescent="0.3">
      <c r="I11980" t="s">
        <v>18107</v>
      </c>
      <c r="J11980" t="s">
        <v>4526</v>
      </c>
    </row>
    <row r="11981" spans="9:10" x14ac:dyDescent="0.3">
      <c r="I11981" t="s">
        <v>18108</v>
      </c>
      <c r="J11981" t="s">
        <v>4527</v>
      </c>
    </row>
    <row r="11982" spans="9:10" x14ac:dyDescent="0.3">
      <c r="I11982" t="s">
        <v>18109</v>
      </c>
      <c r="J11982" t="s">
        <v>4528</v>
      </c>
    </row>
    <row r="11983" spans="9:10" x14ac:dyDescent="0.3">
      <c r="I11983" t="s">
        <v>18110</v>
      </c>
      <c r="J11983" t="s">
        <v>4529</v>
      </c>
    </row>
    <row r="11984" spans="9:10" x14ac:dyDescent="0.3">
      <c r="I11984" t="s">
        <v>18110</v>
      </c>
      <c r="J11984" t="s">
        <v>4529</v>
      </c>
    </row>
    <row r="11985" spans="9:10" x14ac:dyDescent="0.3">
      <c r="I11985" t="s">
        <v>18110</v>
      </c>
      <c r="J11985" t="s">
        <v>4529</v>
      </c>
    </row>
    <row r="11986" spans="9:10" x14ac:dyDescent="0.3">
      <c r="I11986" t="s">
        <v>18111</v>
      </c>
      <c r="J11986" t="s">
        <v>4529</v>
      </c>
    </row>
    <row r="11987" spans="9:10" x14ac:dyDescent="0.3">
      <c r="I11987" t="s">
        <v>18112</v>
      </c>
      <c r="J11987">
        <v>0</v>
      </c>
    </row>
    <row r="11988" spans="9:10" x14ac:dyDescent="0.3">
      <c r="I11988" t="s">
        <v>18113</v>
      </c>
      <c r="J11988" t="s">
        <v>2045</v>
      </c>
    </row>
    <row r="11989" spans="9:10" x14ac:dyDescent="0.3">
      <c r="I11989" t="s">
        <v>18114</v>
      </c>
      <c r="J11989" t="s">
        <v>2519</v>
      </c>
    </row>
    <row r="11990" spans="9:10" x14ac:dyDescent="0.3">
      <c r="I11990" t="s">
        <v>18115</v>
      </c>
      <c r="J11990" t="s">
        <v>4530</v>
      </c>
    </row>
    <row r="11991" spans="9:10" x14ac:dyDescent="0.3">
      <c r="I11991" t="s">
        <v>18116</v>
      </c>
      <c r="J11991" t="s">
        <v>4530</v>
      </c>
    </row>
    <row r="11992" spans="9:10" x14ac:dyDescent="0.3">
      <c r="I11992" t="s">
        <v>18117</v>
      </c>
      <c r="J11992" t="s">
        <v>4531</v>
      </c>
    </row>
    <row r="11993" spans="9:10" x14ac:dyDescent="0.3">
      <c r="I11993" t="s">
        <v>18118</v>
      </c>
      <c r="J11993" t="s">
        <v>4532</v>
      </c>
    </row>
    <row r="11994" spans="9:10" x14ac:dyDescent="0.3">
      <c r="I11994" t="s">
        <v>18119</v>
      </c>
      <c r="J11994" t="s">
        <v>4533</v>
      </c>
    </row>
    <row r="11995" spans="9:10" x14ac:dyDescent="0.3">
      <c r="I11995" t="s">
        <v>18120</v>
      </c>
      <c r="J11995" t="s">
        <v>4534</v>
      </c>
    </row>
    <row r="11996" spans="9:10" x14ac:dyDescent="0.3">
      <c r="I11996" t="s">
        <v>18121</v>
      </c>
      <c r="J11996" t="s">
        <v>4535</v>
      </c>
    </row>
    <row r="11997" spans="9:10" x14ac:dyDescent="0.3">
      <c r="I11997" t="s">
        <v>18122</v>
      </c>
      <c r="J11997" t="s">
        <v>4536</v>
      </c>
    </row>
    <row r="11998" spans="9:10" x14ac:dyDescent="0.3">
      <c r="I11998" t="s">
        <v>18123</v>
      </c>
      <c r="J11998" t="s">
        <v>3547</v>
      </c>
    </row>
    <row r="11999" spans="9:10" x14ac:dyDescent="0.3">
      <c r="I11999" t="s">
        <v>18124</v>
      </c>
      <c r="J11999" t="s">
        <v>4537</v>
      </c>
    </row>
    <row r="12000" spans="9:10" x14ac:dyDescent="0.3">
      <c r="I12000" t="s">
        <v>18125</v>
      </c>
      <c r="J12000" t="s">
        <v>4538</v>
      </c>
    </row>
    <row r="12001" spans="9:10" x14ac:dyDescent="0.3">
      <c r="I12001" t="s">
        <v>18126</v>
      </c>
      <c r="J12001" t="s">
        <v>4539</v>
      </c>
    </row>
    <row r="12002" spans="9:10" x14ac:dyDescent="0.3">
      <c r="I12002" t="s">
        <v>18127</v>
      </c>
      <c r="J12002" t="s">
        <v>4539</v>
      </c>
    </row>
    <row r="12003" spans="9:10" x14ac:dyDescent="0.3">
      <c r="I12003" t="s">
        <v>18127</v>
      </c>
      <c r="J12003" t="s">
        <v>4539</v>
      </c>
    </row>
    <row r="12004" spans="9:10" x14ac:dyDescent="0.3">
      <c r="I12004" t="s">
        <v>18128</v>
      </c>
      <c r="J12004" t="s">
        <v>4540</v>
      </c>
    </row>
    <row r="12005" spans="9:10" x14ac:dyDescent="0.3">
      <c r="I12005" t="s">
        <v>18129</v>
      </c>
      <c r="J12005" t="s">
        <v>4541</v>
      </c>
    </row>
    <row r="12006" spans="9:10" x14ac:dyDescent="0.3">
      <c r="I12006" t="s">
        <v>18130</v>
      </c>
      <c r="J12006" t="s">
        <v>4542</v>
      </c>
    </row>
    <row r="12007" spans="9:10" x14ac:dyDescent="0.3">
      <c r="I12007" t="s">
        <v>18130</v>
      </c>
      <c r="J12007" t="s">
        <v>4542</v>
      </c>
    </row>
    <row r="12008" spans="9:10" x14ac:dyDescent="0.3">
      <c r="I12008" t="s">
        <v>18131</v>
      </c>
    </row>
    <row r="12009" spans="9:10" x14ac:dyDescent="0.3">
      <c r="I12009" t="s">
        <v>18132</v>
      </c>
      <c r="J12009" t="s">
        <v>4543</v>
      </c>
    </row>
    <row r="12010" spans="9:10" x14ac:dyDescent="0.3">
      <c r="I12010" t="s">
        <v>18133</v>
      </c>
    </row>
    <row r="12011" spans="9:10" x14ac:dyDescent="0.3">
      <c r="I12011" t="s">
        <v>18134</v>
      </c>
      <c r="J12011">
        <v>0</v>
      </c>
    </row>
    <row r="12012" spans="9:10" x14ac:dyDescent="0.3">
      <c r="I12012" t="s">
        <v>18135</v>
      </c>
      <c r="J12012" t="s">
        <v>2714</v>
      </c>
    </row>
    <row r="12013" spans="9:10" x14ac:dyDescent="0.3">
      <c r="I12013" t="s">
        <v>18136</v>
      </c>
      <c r="J12013" t="s">
        <v>4544</v>
      </c>
    </row>
    <row r="12014" spans="9:10" x14ac:dyDescent="0.3">
      <c r="I12014" t="s">
        <v>18137</v>
      </c>
      <c r="J12014" t="s">
        <v>4545</v>
      </c>
    </row>
    <row r="12015" spans="9:10" x14ac:dyDescent="0.3">
      <c r="I12015" t="s">
        <v>18138</v>
      </c>
      <c r="J12015" t="s">
        <v>4546</v>
      </c>
    </row>
    <row r="12016" spans="9:10" x14ac:dyDescent="0.3">
      <c r="I12016" t="s">
        <v>18139</v>
      </c>
      <c r="J12016" t="s">
        <v>4547</v>
      </c>
    </row>
    <row r="12017" spans="9:10" x14ac:dyDescent="0.3">
      <c r="I12017" t="s">
        <v>18140</v>
      </c>
      <c r="J12017" t="s">
        <v>4548</v>
      </c>
    </row>
    <row r="12018" spans="9:10" x14ac:dyDescent="0.3">
      <c r="I12018" t="s">
        <v>18141</v>
      </c>
      <c r="J12018" t="s">
        <v>4548</v>
      </c>
    </row>
    <row r="12019" spans="9:10" x14ac:dyDescent="0.3">
      <c r="I12019" t="s">
        <v>18142</v>
      </c>
      <c r="J12019" t="s">
        <v>4549</v>
      </c>
    </row>
    <row r="12020" spans="9:10" x14ac:dyDescent="0.3">
      <c r="I12020" t="s">
        <v>18142</v>
      </c>
      <c r="J12020" t="s">
        <v>4549</v>
      </c>
    </row>
    <row r="12021" spans="9:10" x14ac:dyDescent="0.3">
      <c r="I12021" t="s">
        <v>18143</v>
      </c>
      <c r="J12021" t="s">
        <v>4550</v>
      </c>
    </row>
    <row r="12022" spans="9:10" x14ac:dyDescent="0.3">
      <c r="I12022" t="s">
        <v>18144</v>
      </c>
      <c r="J12022" t="s">
        <v>4551</v>
      </c>
    </row>
    <row r="12023" spans="9:10" x14ac:dyDescent="0.3">
      <c r="I12023" t="s">
        <v>18145</v>
      </c>
      <c r="J12023" t="s">
        <v>4552</v>
      </c>
    </row>
    <row r="12024" spans="9:10" x14ac:dyDescent="0.3">
      <c r="I12024" t="s">
        <v>18146</v>
      </c>
      <c r="J12024" t="s">
        <v>4553</v>
      </c>
    </row>
    <row r="12025" spans="9:10" x14ac:dyDescent="0.3">
      <c r="I12025" t="s">
        <v>18147</v>
      </c>
      <c r="J12025" t="s">
        <v>4554</v>
      </c>
    </row>
    <row r="12026" spans="9:10" x14ac:dyDescent="0.3">
      <c r="I12026" t="s">
        <v>18148</v>
      </c>
      <c r="J12026" t="s">
        <v>815</v>
      </c>
    </row>
    <row r="12027" spans="9:10" x14ac:dyDescent="0.3">
      <c r="I12027" t="s">
        <v>18149</v>
      </c>
      <c r="J12027" t="s">
        <v>4555</v>
      </c>
    </row>
    <row r="12028" spans="9:10" x14ac:dyDescent="0.3">
      <c r="I12028" t="s">
        <v>18150</v>
      </c>
      <c r="J12028" t="s">
        <v>4556</v>
      </c>
    </row>
    <row r="12029" spans="9:10" x14ac:dyDescent="0.3">
      <c r="I12029" t="s">
        <v>18151</v>
      </c>
      <c r="J12029" t="s">
        <v>4557</v>
      </c>
    </row>
    <row r="12030" spans="9:10" x14ac:dyDescent="0.3">
      <c r="I12030" t="s">
        <v>18151</v>
      </c>
      <c r="J12030" t="s">
        <v>4557</v>
      </c>
    </row>
    <row r="12031" spans="9:10" x14ac:dyDescent="0.3">
      <c r="I12031" t="s">
        <v>18152</v>
      </c>
      <c r="J12031" t="s">
        <v>4558</v>
      </c>
    </row>
    <row r="12032" spans="9:10" x14ac:dyDescent="0.3">
      <c r="I12032" t="s">
        <v>18153</v>
      </c>
      <c r="J12032" t="s">
        <v>4559</v>
      </c>
    </row>
    <row r="12033" spans="9:10" x14ac:dyDescent="0.3">
      <c r="I12033" t="s">
        <v>18153</v>
      </c>
      <c r="J12033" t="s">
        <v>4559</v>
      </c>
    </row>
    <row r="12034" spans="9:10" x14ac:dyDescent="0.3">
      <c r="I12034" t="s">
        <v>18154</v>
      </c>
      <c r="J12034" t="s">
        <v>4560</v>
      </c>
    </row>
    <row r="12035" spans="9:10" x14ac:dyDescent="0.3">
      <c r="I12035" t="s">
        <v>18155</v>
      </c>
    </row>
    <row r="12036" spans="9:10" x14ac:dyDescent="0.3">
      <c r="I12036" t="s">
        <v>18156</v>
      </c>
      <c r="J12036" t="s">
        <v>4561</v>
      </c>
    </row>
    <row r="12037" spans="9:10" x14ac:dyDescent="0.3">
      <c r="I12037" t="s">
        <v>18157</v>
      </c>
      <c r="J12037" t="s">
        <v>2207</v>
      </c>
    </row>
    <row r="12038" spans="9:10" x14ac:dyDescent="0.3">
      <c r="I12038" t="s">
        <v>18158</v>
      </c>
    </row>
    <row r="12039" spans="9:10" x14ac:dyDescent="0.3">
      <c r="I12039" t="s">
        <v>18159</v>
      </c>
      <c r="J12039" t="s">
        <v>4562</v>
      </c>
    </row>
    <row r="12040" spans="9:10" x14ac:dyDescent="0.3">
      <c r="I12040" t="s">
        <v>18160</v>
      </c>
      <c r="J12040" t="s">
        <v>4562</v>
      </c>
    </row>
    <row r="12041" spans="9:10" x14ac:dyDescent="0.3">
      <c r="I12041" t="s">
        <v>18161</v>
      </c>
      <c r="J12041" t="s">
        <v>4562</v>
      </c>
    </row>
    <row r="12042" spans="9:10" x14ac:dyDescent="0.3">
      <c r="I12042" t="s">
        <v>18162</v>
      </c>
      <c r="J12042" t="s">
        <v>4562</v>
      </c>
    </row>
    <row r="12043" spans="9:10" x14ac:dyDescent="0.3">
      <c r="I12043" t="s">
        <v>18159</v>
      </c>
      <c r="J12043" t="s">
        <v>4562</v>
      </c>
    </row>
    <row r="12044" spans="9:10" x14ac:dyDescent="0.3">
      <c r="I12044" t="s">
        <v>18163</v>
      </c>
      <c r="J12044" t="s">
        <v>4562</v>
      </c>
    </row>
    <row r="12045" spans="9:10" x14ac:dyDescent="0.3">
      <c r="I12045" t="s">
        <v>18164</v>
      </c>
      <c r="J12045" t="s">
        <v>4563</v>
      </c>
    </row>
    <row r="12046" spans="9:10" x14ac:dyDescent="0.3">
      <c r="I12046" t="s">
        <v>18165</v>
      </c>
      <c r="J12046" t="s">
        <v>4564</v>
      </c>
    </row>
    <row r="12047" spans="9:10" x14ac:dyDescent="0.3">
      <c r="I12047" t="s">
        <v>18166</v>
      </c>
      <c r="J12047" t="s">
        <v>4565</v>
      </c>
    </row>
    <row r="12048" spans="9:10" x14ac:dyDescent="0.3">
      <c r="I12048" t="s">
        <v>18167</v>
      </c>
      <c r="J12048" t="s">
        <v>4566</v>
      </c>
    </row>
    <row r="12049" spans="9:10" x14ac:dyDescent="0.3">
      <c r="I12049" t="s">
        <v>18168</v>
      </c>
      <c r="J12049" t="s">
        <v>4566</v>
      </c>
    </row>
    <row r="12050" spans="9:10" x14ac:dyDescent="0.3">
      <c r="I12050" t="s">
        <v>18169</v>
      </c>
      <c r="J12050" t="s">
        <v>4567</v>
      </c>
    </row>
    <row r="12051" spans="9:10" x14ac:dyDescent="0.3">
      <c r="I12051" t="s">
        <v>18169</v>
      </c>
      <c r="J12051" t="s">
        <v>4567</v>
      </c>
    </row>
    <row r="12052" spans="9:10" x14ac:dyDescent="0.3">
      <c r="I12052" t="s">
        <v>18170</v>
      </c>
      <c r="J12052" t="s">
        <v>4568</v>
      </c>
    </row>
    <row r="12053" spans="9:10" x14ac:dyDescent="0.3">
      <c r="I12053" t="s">
        <v>18171</v>
      </c>
      <c r="J12053" t="s">
        <v>4569</v>
      </c>
    </row>
    <row r="12054" spans="9:10" x14ac:dyDescent="0.3">
      <c r="I12054" t="s">
        <v>18172</v>
      </c>
      <c r="J12054" t="s">
        <v>1054</v>
      </c>
    </row>
    <row r="12055" spans="9:10" x14ac:dyDescent="0.3">
      <c r="I12055" t="s">
        <v>18173</v>
      </c>
      <c r="J12055" t="s">
        <v>4570</v>
      </c>
    </row>
    <row r="12056" spans="9:10" x14ac:dyDescent="0.3">
      <c r="I12056" t="s">
        <v>18174</v>
      </c>
      <c r="J12056" t="s">
        <v>4571</v>
      </c>
    </row>
    <row r="12057" spans="9:10" x14ac:dyDescent="0.3">
      <c r="I12057" t="s">
        <v>18175</v>
      </c>
      <c r="J12057" t="s">
        <v>4567</v>
      </c>
    </row>
    <row r="12058" spans="9:10" x14ac:dyDescent="0.3">
      <c r="I12058" t="s">
        <v>18176</v>
      </c>
      <c r="J12058" t="s">
        <v>4567</v>
      </c>
    </row>
    <row r="12059" spans="9:10" x14ac:dyDescent="0.3">
      <c r="I12059" t="s">
        <v>18177</v>
      </c>
      <c r="J12059" t="s">
        <v>4567</v>
      </c>
    </row>
    <row r="12060" spans="9:10" x14ac:dyDescent="0.3">
      <c r="I12060" t="s">
        <v>18178</v>
      </c>
      <c r="J12060" t="s">
        <v>4567</v>
      </c>
    </row>
    <row r="12061" spans="9:10" x14ac:dyDescent="0.3">
      <c r="I12061" t="s">
        <v>18179</v>
      </c>
      <c r="J12061" t="s">
        <v>4572</v>
      </c>
    </row>
    <row r="12062" spans="9:10" x14ac:dyDescent="0.3">
      <c r="I12062" t="s">
        <v>18179</v>
      </c>
      <c r="J12062" t="s">
        <v>4572</v>
      </c>
    </row>
    <row r="12063" spans="9:10" x14ac:dyDescent="0.3">
      <c r="I12063" t="s">
        <v>18180</v>
      </c>
      <c r="J12063" t="s">
        <v>4573</v>
      </c>
    </row>
    <row r="12064" spans="9:10" x14ac:dyDescent="0.3">
      <c r="I12064" t="s">
        <v>18181</v>
      </c>
      <c r="J12064" t="s">
        <v>4574</v>
      </c>
    </row>
    <row r="12065" spans="9:10" x14ac:dyDescent="0.3">
      <c r="I12065" t="s">
        <v>18182</v>
      </c>
      <c r="J12065" t="s">
        <v>4574</v>
      </c>
    </row>
    <row r="12066" spans="9:10" x14ac:dyDescent="0.3">
      <c r="I12066" t="s">
        <v>18183</v>
      </c>
      <c r="J12066" t="s">
        <v>4575</v>
      </c>
    </row>
    <row r="12067" spans="9:10" x14ac:dyDescent="0.3">
      <c r="I12067" t="s">
        <v>18184</v>
      </c>
      <c r="J12067" t="s">
        <v>4575</v>
      </c>
    </row>
    <row r="12068" spans="9:10" x14ac:dyDescent="0.3">
      <c r="I12068" t="s">
        <v>18185</v>
      </c>
      <c r="J12068" t="s">
        <v>4575</v>
      </c>
    </row>
    <row r="12069" spans="9:10" x14ac:dyDescent="0.3">
      <c r="I12069" t="s">
        <v>18186</v>
      </c>
      <c r="J12069" t="s">
        <v>4575</v>
      </c>
    </row>
    <row r="12070" spans="9:10" x14ac:dyDescent="0.3">
      <c r="I12070" t="s">
        <v>18187</v>
      </c>
      <c r="J12070" t="s">
        <v>4575</v>
      </c>
    </row>
    <row r="12071" spans="9:10" x14ac:dyDescent="0.3">
      <c r="I12071" t="s">
        <v>18188</v>
      </c>
      <c r="J12071" t="s">
        <v>4575</v>
      </c>
    </row>
    <row r="12072" spans="9:10" x14ac:dyDescent="0.3">
      <c r="I12072" t="s">
        <v>18189</v>
      </c>
      <c r="J12072" t="s">
        <v>4576</v>
      </c>
    </row>
    <row r="12073" spans="9:10" x14ac:dyDescent="0.3">
      <c r="I12073" t="s">
        <v>18190</v>
      </c>
      <c r="J12073" t="s">
        <v>652</v>
      </c>
    </row>
    <row r="12074" spans="9:10" x14ac:dyDescent="0.3">
      <c r="I12074" t="s">
        <v>18191</v>
      </c>
      <c r="J12074" t="s">
        <v>4577</v>
      </c>
    </row>
    <row r="12075" spans="9:10" x14ac:dyDescent="0.3">
      <c r="I12075" t="s">
        <v>18192</v>
      </c>
      <c r="J12075" t="s">
        <v>4578</v>
      </c>
    </row>
    <row r="12076" spans="9:10" x14ac:dyDescent="0.3">
      <c r="I12076" t="s">
        <v>18193</v>
      </c>
      <c r="J12076" t="s">
        <v>4579</v>
      </c>
    </row>
    <row r="12077" spans="9:10" x14ac:dyDescent="0.3">
      <c r="I12077" t="s">
        <v>18194</v>
      </c>
      <c r="J12077" t="s">
        <v>4580</v>
      </c>
    </row>
    <row r="12078" spans="9:10" x14ac:dyDescent="0.3">
      <c r="I12078" t="s">
        <v>18195</v>
      </c>
      <c r="J12078">
        <v>0</v>
      </c>
    </row>
    <row r="12079" spans="9:10" x14ac:dyDescent="0.3">
      <c r="I12079" t="s">
        <v>18196</v>
      </c>
      <c r="J12079" t="s">
        <v>4581</v>
      </c>
    </row>
    <row r="12080" spans="9:10" x14ac:dyDescent="0.3">
      <c r="I12080" t="s">
        <v>18197</v>
      </c>
      <c r="J12080" t="s">
        <v>3702</v>
      </c>
    </row>
    <row r="12081" spans="9:10" x14ac:dyDescent="0.3">
      <c r="I12081" t="s">
        <v>18197</v>
      </c>
      <c r="J12081" t="s">
        <v>3702</v>
      </c>
    </row>
    <row r="12082" spans="9:10" x14ac:dyDescent="0.3">
      <c r="I12082" t="s">
        <v>18197</v>
      </c>
      <c r="J12082" t="s">
        <v>3702</v>
      </c>
    </row>
    <row r="12083" spans="9:10" x14ac:dyDescent="0.3">
      <c r="I12083" t="s">
        <v>18198</v>
      </c>
      <c r="J12083" t="s">
        <v>4582</v>
      </c>
    </row>
    <row r="12084" spans="9:10" x14ac:dyDescent="0.3">
      <c r="I12084" t="s">
        <v>18199</v>
      </c>
      <c r="J12084" t="s">
        <v>4583</v>
      </c>
    </row>
    <row r="12085" spans="9:10" x14ac:dyDescent="0.3">
      <c r="I12085" t="s">
        <v>18200</v>
      </c>
      <c r="J12085">
        <v>0</v>
      </c>
    </row>
    <row r="12086" spans="9:10" x14ac:dyDescent="0.3">
      <c r="I12086" t="s">
        <v>18201</v>
      </c>
      <c r="J12086" t="s">
        <v>4584</v>
      </c>
    </row>
    <row r="12087" spans="9:10" x14ac:dyDescent="0.3">
      <c r="I12087" t="s">
        <v>18202</v>
      </c>
      <c r="J12087" t="s">
        <v>4584</v>
      </c>
    </row>
    <row r="12088" spans="9:10" x14ac:dyDescent="0.3">
      <c r="I12088" t="s">
        <v>18201</v>
      </c>
      <c r="J12088" t="s">
        <v>4584</v>
      </c>
    </row>
    <row r="12089" spans="9:10" x14ac:dyDescent="0.3">
      <c r="I12089" t="s">
        <v>18203</v>
      </c>
      <c r="J12089" t="s">
        <v>4585</v>
      </c>
    </row>
    <row r="12090" spans="9:10" x14ac:dyDescent="0.3">
      <c r="I12090" t="s">
        <v>18204</v>
      </c>
      <c r="J12090" t="s">
        <v>4586</v>
      </c>
    </row>
    <row r="12091" spans="9:10" x14ac:dyDescent="0.3">
      <c r="I12091" t="s">
        <v>18205</v>
      </c>
      <c r="J12091" t="s">
        <v>4587</v>
      </c>
    </row>
    <row r="12092" spans="9:10" x14ac:dyDescent="0.3">
      <c r="I12092" t="s">
        <v>18206</v>
      </c>
      <c r="J12092" t="s">
        <v>4588</v>
      </c>
    </row>
    <row r="12093" spans="9:10" x14ac:dyDescent="0.3">
      <c r="I12093" t="s">
        <v>18207</v>
      </c>
      <c r="J12093" t="s">
        <v>4589</v>
      </c>
    </row>
    <row r="12094" spans="9:10" x14ac:dyDescent="0.3">
      <c r="I12094" t="s">
        <v>18208</v>
      </c>
      <c r="J12094" t="s">
        <v>4589</v>
      </c>
    </row>
    <row r="12095" spans="9:10" x14ac:dyDescent="0.3">
      <c r="I12095" t="s">
        <v>18209</v>
      </c>
      <c r="J12095" t="s">
        <v>4589</v>
      </c>
    </row>
    <row r="12096" spans="9:10" x14ac:dyDescent="0.3">
      <c r="I12096" t="s">
        <v>18210</v>
      </c>
      <c r="J12096" t="s">
        <v>4589</v>
      </c>
    </row>
    <row r="12097" spans="9:10" x14ac:dyDescent="0.3">
      <c r="I12097" t="s">
        <v>18211</v>
      </c>
      <c r="J12097" t="s">
        <v>4589</v>
      </c>
    </row>
    <row r="12098" spans="9:10" x14ac:dyDescent="0.3">
      <c r="I12098" t="s">
        <v>18212</v>
      </c>
      <c r="J12098" t="s">
        <v>4590</v>
      </c>
    </row>
    <row r="12099" spans="9:10" x14ac:dyDescent="0.3">
      <c r="I12099" t="s">
        <v>18213</v>
      </c>
      <c r="J12099" t="s">
        <v>4591</v>
      </c>
    </row>
    <row r="12100" spans="9:10" x14ac:dyDescent="0.3">
      <c r="I12100" t="s">
        <v>18214</v>
      </c>
      <c r="J12100" t="s">
        <v>4592</v>
      </c>
    </row>
    <row r="12101" spans="9:10" x14ac:dyDescent="0.3">
      <c r="I12101" t="s">
        <v>18215</v>
      </c>
      <c r="J12101" t="s">
        <v>4592</v>
      </c>
    </row>
    <row r="12102" spans="9:10" x14ac:dyDescent="0.3">
      <c r="I12102" t="s">
        <v>18216</v>
      </c>
      <c r="J12102" t="s">
        <v>4592</v>
      </c>
    </row>
    <row r="12103" spans="9:10" x14ac:dyDescent="0.3">
      <c r="I12103" t="s">
        <v>18217</v>
      </c>
      <c r="J12103" t="s">
        <v>4593</v>
      </c>
    </row>
    <row r="12104" spans="9:10" x14ac:dyDescent="0.3">
      <c r="I12104" t="s">
        <v>18218</v>
      </c>
      <c r="J12104" t="s">
        <v>4594</v>
      </c>
    </row>
    <row r="12105" spans="9:10" x14ac:dyDescent="0.3">
      <c r="I12105" t="s">
        <v>18219</v>
      </c>
      <c r="J12105" t="s">
        <v>4595</v>
      </c>
    </row>
    <row r="12106" spans="9:10" x14ac:dyDescent="0.3">
      <c r="I12106" t="s">
        <v>18220</v>
      </c>
      <c r="J12106" t="s">
        <v>4595</v>
      </c>
    </row>
    <row r="12107" spans="9:10" x14ac:dyDescent="0.3">
      <c r="I12107" t="s">
        <v>18221</v>
      </c>
      <c r="J12107" t="s">
        <v>4595</v>
      </c>
    </row>
    <row r="12108" spans="9:10" x14ac:dyDescent="0.3">
      <c r="I12108" t="s">
        <v>18222</v>
      </c>
      <c r="J12108" t="s">
        <v>4596</v>
      </c>
    </row>
    <row r="12109" spans="9:10" x14ac:dyDescent="0.3">
      <c r="I12109" t="s">
        <v>18223</v>
      </c>
      <c r="J12109" t="s">
        <v>4597</v>
      </c>
    </row>
    <row r="12110" spans="9:10" x14ac:dyDescent="0.3">
      <c r="I12110" t="s">
        <v>18223</v>
      </c>
      <c r="J12110" t="s">
        <v>4597</v>
      </c>
    </row>
    <row r="12111" spans="9:10" x14ac:dyDescent="0.3">
      <c r="I12111" t="s">
        <v>18223</v>
      </c>
      <c r="J12111" t="s">
        <v>4597</v>
      </c>
    </row>
    <row r="12112" spans="9:10" x14ac:dyDescent="0.3">
      <c r="I12112" t="s">
        <v>18223</v>
      </c>
      <c r="J12112" t="s">
        <v>4597</v>
      </c>
    </row>
    <row r="12113" spans="9:10" x14ac:dyDescent="0.3">
      <c r="I12113" t="s">
        <v>18224</v>
      </c>
      <c r="J12113" t="s">
        <v>4597</v>
      </c>
    </row>
    <row r="12114" spans="9:10" x14ac:dyDescent="0.3">
      <c r="I12114" t="s">
        <v>18223</v>
      </c>
      <c r="J12114" t="s">
        <v>4597</v>
      </c>
    </row>
    <row r="12115" spans="9:10" x14ac:dyDescent="0.3">
      <c r="I12115" t="s">
        <v>18225</v>
      </c>
      <c r="J12115" t="s">
        <v>4598</v>
      </c>
    </row>
    <row r="12116" spans="9:10" x14ac:dyDescent="0.3">
      <c r="I12116" t="s">
        <v>18225</v>
      </c>
      <c r="J12116" t="s">
        <v>4598</v>
      </c>
    </row>
    <row r="12117" spans="9:10" x14ac:dyDescent="0.3">
      <c r="I12117" t="s">
        <v>18225</v>
      </c>
      <c r="J12117" t="s">
        <v>4598</v>
      </c>
    </row>
    <row r="12118" spans="9:10" x14ac:dyDescent="0.3">
      <c r="I12118" t="s">
        <v>18225</v>
      </c>
      <c r="J12118" t="s">
        <v>4598</v>
      </c>
    </row>
    <row r="12119" spans="9:10" x14ac:dyDescent="0.3">
      <c r="I12119" t="s">
        <v>18226</v>
      </c>
      <c r="J12119" t="s">
        <v>4599</v>
      </c>
    </row>
    <row r="12120" spans="9:10" x14ac:dyDescent="0.3">
      <c r="I12120" t="s">
        <v>18226</v>
      </c>
      <c r="J12120" t="s">
        <v>4599</v>
      </c>
    </row>
    <row r="12121" spans="9:10" x14ac:dyDescent="0.3">
      <c r="I12121" t="s">
        <v>18226</v>
      </c>
      <c r="J12121" t="s">
        <v>4599</v>
      </c>
    </row>
    <row r="12122" spans="9:10" x14ac:dyDescent="0.3">
      <c r="I12122" t="s">
        <v>18227</v>
      </c>
      <c r="J12122" t="s">
        <v>4599</v>
      </c>
    </row>
    <row r="12123" spans="9:10" x14ac:dyDescent="0.3">
      <c r="I12123" t="s">
        <v>18226</v>
      </c>
      <c r="J12123" t="s">
        <v>4599</v>
      </c>
    </row>
    <row r="12124" spans="9:10" x14ac:dyDescent="0.3">
      <c r="I12124" t="s">
        <v>18228</v>
      </c>
      <c r="J12124" t="s">
        <v>4599</v>
      </c>
    </row>
    <row r="12125" spans="9:10" x14ac:dyDescent="0.3">
      <c r="I12125" t="s">
        <v>18229</v>
      </c>
      <c r="J12125" t="s">
        <v>4599</v>
      </c>
    </row>
    <row r="12126" spans="9:10" x14ac:dyDescent="0.3">
      <c r="I12126" t="s">
        <v>18226</v>
      </c>
      <c r="J12126" t="s">
        <v>4599</v>
      </c>
    </row>
    <row r="12127" spans="9:10" x14ac:dyDescent="0.3">
      <c r="I12127" t="s">
        <v>18226</v>
      </c>
      <c r="J12127" t="s">
        <v>4599</v>
      </c>
    </row>
    <row r="12128" spans="9:10" x14ac:dyDescent="0.3">
      <c r="I12128" t="s">
        <v>18230</v>
      </c>
      <c r="J12128" t="s">
        <v>4599</v>
      </c>
    </row>
    <row r="12129" spans="9:10" x14ac:dyDescent="0.3">
      <c r="I12129" t="s">
        <v>18226</v>
      </c>
      <c r="J12129" t="s">
        <v>4599</v>
      </c>
    </row>
    <row r="12130" spans="9:10" x14ac:dyDescent="0.3">
      <c r="I12130" t="s">
        <v>18226</v>
      </c>
      <c r="J12130" t="s">
        <v>4599</v>
      </c>
    </row>
    <row r="12131" spans="9:10" x14ac:dyDescent="0.3">
      <c r="I12131" t="s">
        <v>18231</v>
      </c>
      <c r="J12131" t="s">
        <v>4599</v>
      </c>
    </row>
    <row r="12132" spans="9:10" x14ac:dyDescent="0.3">
      <c r="I12132" t="s">
        <v>18229</v>
      </c>
      <c r="J12132" t="s">
        <v>4599</v>
      </c>
    </row>
    <row r="12133" spans="9:10" x14ac:dyDescent="0.3">
      <c r="I12133" t="s">
        <v>18232</v>
      </c>
      <c r="J12133" t="s">
        <v>4599</v>
      </c>
    </row>
    <row r="12134" spans="9:10" x14ac:dyDescent="0.3">
      <c r="I12134" t="s">
        <v>18226</v>
      </c>
      <c r="J12134" t="s">
        <v>4599</v>
      </c>
    </row>
    <row r="12135" spans="9:10" x14ac:dyDescent="0.3">
      <c r="I12135" t="s">
        <v>18233</v>
      </c>
      <c r="J12135" t="s">
        <v>4599</v>
      </c>
    </row>
    <row r="12136" spans="9:10" x14ac:dyDescent="0.3">
      <c r="I12136" t="s">
        <v>18226</v>
      </c>
      <c r="J12136" t="s">
        <v>4599</v>
      </c>
    </row>
    <row r="12137" spans="9:10" x14ac:dyDescent="0.3">
      <c r="I12137" t="s">
        <v>18226</v>
      </c>
      <c r="J12137" t="s">
        <v>4599</v>
      </c>
    </row>
    <row r="12138" spans="9:10" x14ac:dyDescent="0.3">
      <c r="I12138" t="s">
        <v>18226</v>
      </c>
      <c r="J12138" t="s">
        <v>4599</v>
      </c>
    </row>
    <row r="12139" spans="9:10" x14ac:dyDescent="0.3">
      <c r="I12139" t="s">
        <v>18234</v>
      </c>
      <c r="J12139" t="s">
        <v>4600</v>
      </c>
    </row>
    <row r="12140" spans="9:10" x14ac:dyDescent="0.3">
      <c r="I12140" t="s">
        <v>18235</v>
      </c>
      <c r="J12140" t="s">
        <v>4600</v>
      </c>
    </row>
    <row r="12141" spans="9:10" x14ac:dyDescent="0.3">
      <c r="I12141" t="s">
        <v>18236</v>
      </c>
      <c r="J12141" t="s">
        <v>4601</v>
      </c>
    </row>
    <row r="12142" spans="9:10" x14ac:dyDescent="0.3">
      <c r="I12142" t="s">
        <v>18237</v>
      </c>
      <c r="J12142" t="s">
        <v>4601</v>
      </c>
    </row>
    <row r="12143" spans="9:10" x14ac:dyDescent="0.3">
      <c r="I12143" t="s">
        <v>18238</v>
      </c>
      <c r="J12143" t="s">
        <v>4601</v>
      </c>
    </row>
    <row r="12144" spans="9:10" x14ac:dyDescent="0.3">
      <c r="I12144" t="s">
        <v>18239</v>
      </c>
      <c r="J12144" t="s">
        <v>4602</v>
      </c>
    </row>
    <row r="12145" spans="9:10" x14ac:dyDescent="0.3">
      <c r="I12145" t="s">
        <v>18240</v>
      </c>
      <c r="J12145" t="s">
        <v>4602</v>
      </c>
    </row>
    <row r="12146" spans="9:10" x14ac:dyDescent="0.3">
      <c r="I12146" t="s">
        <v>18241</v>
      </c>
      <c r="J12146" t="s">
        <v>4602</v>
      </c>
    </row>
    <row r="12147" spans="9:10" x14ac:dyDescent="0.3">
      <c r="I12147" t="s">
        <v>18242</v>
      </c>
      <c r="J12147" t="s">
        <v>4603</v>
      </c>
    </row>
    <row r="12148" spans="9:10" x14ac:dyDescent="0.3">
      <c r="I12148" t="s">
        <v>18243</v>
      </c>
      <c r="J12148" t="s">
        <v>4604</v>
      </c>
    </row>
    <row r="12149" spans="9:10" x14ac:dyDescent="0.3">
      <c r="I12149" t="s">
        <v>18244</v>
      </c>
      <c r="J12149" t="s">
        <v>4604</v>
      </c>
    </row>
    <row r="12150" spans="9:10" x14ac:dyDescent="0.3">
      <c r="I12150" t="s">
        <v>18245</v>
      </c>
      <c r="J12150" t="s">
        <v>4604</v>
      </c>
    </row>
    <row r="12151" spans="9:10" x14ac:dyDescent="0.3">
      <c r="I12151" t="s">
        <v>18246</v>
      </c>
      <c r="J12151" t="s">
        <v>4604</v>
      </c>
    </row>
    <row r="12152" spans="9:10" x14ac:dyDescent="0.3">
      <c r="I12152" t="s">
        <v>18247</v>
      </c>
      <c r="J12152" t="s">
        <v>4604</v>
      </c>
    </row>
    <row r="12153" spans="9:10" x14ac:dyDescent="0.3">
      <c r="I12153" t="s">
        <v>18248</v>
      </c>
      <c r="J12153" t="s">
        <v>4604</v>
      </c>
    </row>
    <row r="12154" spans="9:10" x14ac:dyDescent="0.3">
      <c r="I12154" t="s">
        <v>18249</v>
      </c>
      <c r="J12154" t="s">
        <v>4605</v>
      </c>
    </row>
    <row r="12155" spans="9:10" x14ac:dyDescent="0.3">
      <c r="I12155" t="s">
        <v>18250</v>
      </c>
      <c r="J12155" t="s">
        <v>4605</v>
      </c>
    </row>
    <row r="12156" spans="9:10" x14ac:dyDescent="0.3">
      <c r="I12156" t="s">
        <v>18251</v>
      </c>
      <c r="J12156" t="s">
        <v>4605</v>
      </c>
    </row>
    <row r="12157" spans="9:10" x14ac:dyDescent="0.3">
      <c r="I12157" t="s">
        <v>18252</v>
      </c>
      <c r="J12157" t="s">
        <v>4605</v>
      </c>
    </row>
    <row r="12158" spans="9:10" x14ac:dyDescent="0.3">
      <c r="I12158" t="s">
        <v>18253</v>
      </c>
      <c r="J12158" t="s">
        <v>4605</v>
      </c>
    </row>
    <row r="12159" spans="9:10" x14ac:dyDescent="0.3">
      <c r="I12159" t="s">
        <v>18254</v>
      </c>
      <c r="J12159" t="s">
        <v>4605</v>
      </c>
    </row>
    <row r="12160" spans="9:10" x14ac:dyDescent="0.3">
      <c r="I12160" t="s">
        <v>18255</v>
      </c>
      <c r="J12160" t="s">
        <v>4606</v>
      </c>
    </row>
    <row r="12161" spans="9:10" x14ac:dyDescent="0.3">
      <c r="I12161" t="s">
        <v>18256</v>
      </c>
      <c r="J12161" t="s">
        <v>4607</v>
      </c>
    </row>
    <row r="12162" spans="9:10" x14ac:dyDescent="0.3">
      <c r="I12162" t="s">
        <v>18257</v>
      </c>
      <c r="J12162" t="s">
        <v>4607</v>
      </c>
    </row>
    <row r="12163" spans="9:10" x14ac:dyDescent="0.3">
      <c r="I12163" t="s">
        <v>18258</v>
      </c>
      <c r="J12163" t="s">
        <v>4607</v>
      </c>
    </row>
    <row r="12164" spans="9:10" x14ac:dyDescent="0.3">
      <c r="I12164" t="s">
        <v>18259</v>
      </c>
      <c r="J12164" t="s">
        <v>4608</v>
      </c>
    </row>
    <row r="12165" spans="9:10" x14ac:dyDescent="0.3">
      <c r="I12165" t="s">
        <v>18260</v>
      </c>
      <c r="J12165" t="s">
        <v>4609</v>
      </c>
    </row>
    <row r="12166" spans="9:10" x14ac:dyDescent="0.3">
      <c r="I12166" t="s">
        <v>18260</v>
      </c>
      <c r="J12166" t="s">
        <v>4609</v>
      </c>
    </row>
    <row r="12167" spans="9:10" x14ac:dyDescent="0.3">
      <c r="I12167" t="s">
        <v>18261</v>
      </c>
      <c r="J12167" t="s">
        <v>4609</v>
      </c>
    </row>
    <row r="12168" spans="9:10" x14ac:dyDescent="0.3">
      <c r="I12168" t="s">
        <v>18262</v>
      </c>
      <c r="J12168" t="s">
        <v>4609</v>
      </c>
    </row>
    <row r="12169" spans="9:10" x14ac:dyDescent="0.3">
      <c r="I12169" t="s">
        <v>18260</v>
      </c>
      <c r="J12169" t="s">
        <v>4609</v>
      </c>
    </row>
    <row r="12170" spans="9:10" x14ac:dyDescent="0.3">
      <c r="I12170" t="s">
        <v>18263</v>
      </c>
      <c r="J12170" t="s">
        <v>4609</v>
      </c>
    </row>
    <row r="12171" spans="9:10" x14ac:dyDescent="0.3">
      <c r="I12171" t="s">
        <v>18264</v>
      </c>
      <c r="J12171" t="s">
        <v>4609</v>
      </c>
    </row>
    <row r="12172" spans="9:10" x14ac:dyDescent="0.3">
      <c r="I12172" t="s">
        <v>18265</v>
      </c>
      <c r="J12172" t="s">
        <v>4609</v>
      </c>
    </row>
    <row r="12173" spans="9:10" x14ac:dyDescent="0.3">
      <c r="I12173" t="s">
        <v>18266</v>
      </c>
      <c r="J12173" t="s">
        <v>4609</v>
      </c>
    </row>
    <row r="12174" spans="9:10" x14ac:dyDescent="0.3">
      <c r="I12174" t="s">
        <v>18267</v>
      </c>
      <c r="J12174" t="s">
        <v>4610</v>
      </c>
    </row>
    <row r="12175" spans="9:10" x14ac:dyDescent="0.3">
      <c r="I12175" t="s">
        <v>18267</v>
      </c>
      <c r="J12175" t="s">
        <v>4610</v>
      </c>
    </row>
    <row r="12176" spans="9:10" x14ac:dyDescent="0.3">
      <c r="I12176" t="s">
        <v>18268</v>
      </c>
      <c r="J12176" t="s">
        <v>4611</v>
      </c>
    </row>
    <row r="12177" spans="9:10" x14ac:dyDescent="0.3">
      <c r="I12177" t="s">
        <v>18269</v>
      </c>
      <c r="J12177" t="s">
        <v>4611</v>
      </c>
    </row>
    <row r="12178" spans="9:10" x14ac:dyDescent="0.3">
      <c r="I12178" t="s">
        <v>18270</v>
      </c>
      <c r="J12178" t="s">
        <v>4611</v>
      </c>
    </row>
    <row r="12179" spans="9:10" x14ac:dyDescent="0.3">
      <c r="I12179" t="s">
        <v>18271</v>
      </c>
      <c r="J12179" t="s">
        <v>4612</v>
      </c>
    </row>
    <row r="12180" spans="9:10" x14ac:dyDescent="0.3">
      <c r="I12180" t="s">
        <v>18272</v>
      </c>
      <c r="J12180" t="s">
        <v>4612</v>
      </c>
    </row>
    <row r="12181" spans="9:10" x14ac:dyDescent="0.3">
      <c r="I12181" t="s">
        <v>18273</v>
      </c>
      <c r="J12181" t="s">
        <v>4613</v>
      </c>
    </row>
    <row r="12182" spans="9:10" x14ac:dyDescent="0.3">
      <c r="I12182" t="s">
        <v>18273</v>
      </c>
      <c r="J12182" t="s">
        <v>4613</v>
      </c>
    </row>
    <row r="12183" spans="9:10" x14ac:dyDescent="0.3">
      <c r="I12183" t="s">
        <v>18274</v>
      </c>
      <c r="J12183" t="s">
        <v>4614</v>
      </c>
    </row>
    <row r="12184" spans="9:10" x14ac:dyDescent="0.3">
      <c r="I12184" t="s">
        <v>18275</v>
      </c>
      <c r="J12184" t="s">
        <v>4614</v>
      </c>
    </row>
    <row r="12185" spans="9:10" x14ac:dyDescent="0.3">
      <c r="I12185" t="s">
        <v>18276</v>
      </c>
      <c r="J12185" t="s">
        <v>4614</v>
      </c>
    </row>
    <row r="12186" spans="9:10" x14ac:dyDescent="0.3">
      <c r="I12186" t="s">
        <v>18277</v>
      </c>
      <c r="J12186" t="s">
        <v>4614</v>
      </c>
    </row>
    <row r="12187" spans="9:10" x14ac:dyDescent="0.3">
      <c r="I12187" t="s">
        <v>18278</v>
      </c>
      <c r="J12187" t="s">
        <v>4615</v>
      </c>
    </row>
    <row r="12188" spans="9:10" x14ac:dyDescent="0.3">
      <c r="I12188" t="s">
        <v>18279</v>
      </c>
      <c r="J12188" t="s">
        <v>4616</v>
      </c>
    </row>
    <row r="12189" spans="9:10" x14ac:dyDescent="0.3">
      <c r="I12189" t="s">
        <v>18280</v>
      </c>
      <c r="J12189" t="s">
        <v>4616</v>
      </c>
    </row>
    <row r="12190" spans="9:10" x14ac:dyDescent="0.3">
      <c r="I12190" t="s">
        <v>18281</v>
      </c>
      <c r="J12190" t="s">
        <v>4616</v>
      </c>
    </row>
    <row r="12191" spans="9:10" x14ac:dyDescent="0.3">
      <c r="I12191" t="s">
        <v>18282</v>
      </c>
      <c r="J12191" t="s">
        <v>4616</v>
      </c>
    </row>
    <row r="12192" spans="9:10" x14ac:dyDescent="0.3">
      <c r="I12192" t="s">
        <v>18283</v>
      </c>
      <c r="J12192" t="s">
        <v>4616</v>
      </c>
    </row>
    <row r="12193" spans="9:10" x14ac:dyDescent="0.3">
      <c r="I12193" t="s">
        <v>18284</v>
      </c>
      <c r="J12193" t="s">
        <v>4617</v>
      </c>
    </row>
    <row r="12194" spans="9:10" x14ac:dyDescent="0.3">
      <c r="I12194" t="s">
        <v>18285</v>
      </c>
      <c r="J12194" t="s">
        <v>4618</v>
      </c>
    </row>
    <row r="12195" spans="9:10" x14ac:dyDescent="0.3">
      <c r="I12195" t="s">
        <v>18286</v>
      </c>
      <c r="J12195" t="s">
        <v>4618</v>
      </c>
    </row>
    <row r="12196" spans="9:10" x14ac:dyDescent="0.3">
      <c r="I12196" t="s">
        <v>18287</v>
      </c>
      <c r="J12196" t="s">
        <v>4618</v>
      </c>
    </row>
    <row r="12197" spans="9:10" x14ac:dyDescent="0.3">
      <c r="I12197" t="s">
        <v>18288</v>
      </c>
      <c r="J12197" t="s">
        <v>4618</v>
      </c>
    </row>
    <row r="12198" spans="9:10" x14ac:dyDescent="0.3">
      <c r="I12198" t="s">
        <v>18289</v>
      </c>
      <c r="J12198" t="s">
        <v>4619</v>
      </c>
    </row>
    <row r="12199" spans="9:10" x14ac:dyDescent="0.3">
      <c r="I12199" t="s">
        <v>18290</v>
      </c>
      <c r="J12199" t="s">
        <v>4619</v>
      </c>
    </row>
    <row r="12200" spans="9:10" x14ac:dyDescent="0.3">
      <c r="I12200" t="s">
        <v>18291</v>
      </c>
      <c r="J12200" t="s">
        <v>4619</v>
      </c>
    </row>
    <row r="12201" spans="9:10" x14ac:dyDescent="0.3">
      <c r="I12201" t="s">
        <v>18292</v>
      </c>
      <c r="J12201" t="s">
        <v>4619</v>
      </c>
    </row>
    <row r="12202" spans="9:10" x14ac:dyDescent="0.3">
      <c r="I12202" t="s">
        <v>18293</v>
      </c>
      <c r="J12202" t="s">
        <v>4620</v>
      </c>
    </row>
    <row r="12203" spans="9:10" x14ac:dyDescent="0.3">
      <c r="I12203" t="s">
        <v>18294</v>
      </c>
      <c r="J12203" t="s">
        <v>4621</v>
      </c>
    </row>
    <row r="12204" spans="9:10" x14ac:dyDescent="0.3">
      <c r="I12204" t="s">
        <v>18295</v>
      </c>
      <c r="J12204" t="s">
        <v>4621</v>
      </c>
    </row>
    <row r="12205" spans="9:10" x14ac:dyDescent="0.3">
      <c r="I12205" t="s">
        <v>18296</v>
      </c>
      <c r="J12205" t="s">
        <v>4621</v>
      </c>
    </row>
    <row r="12206" spans="9:10" x14ac:dyDescent="0.3">
      <c r="I12206" t="s">
        <v>18297</v>
      </c>
      <c r="J12206" t="s">
        <v>4621</v>
      </c>
    </row>
    <row r="12207" spans="9:10" x14ac:dyDescent="0.3">
      <c r="I12207" t="s">
        <v>18298</v>
      </c>
      <c r="J12207" t="s">
        <v>4621</v>
      </c>
    </row>
    <row r="12208" spans="9:10" x14ac:dyDescent="0.3">
      <c r="I12208" t="s">
        <v>18299</v>
      </c>
      <c r="J12208" t="s">
        <v>4621</v>
      </c>
    </row>
    <row r="12209" spans="9:10" x14ac:dyDescent="0.3">
      <c r="I12209" t="s">
        <v>18300</v>
      </c>
      <c r="J12209" t="s">
        <v>4621</v>
      </c>
    </row>
    <row r="12210" spans="9:10" x14ac:dyDescent="0.3">
      <c r="I12210" t="s">
        <v>18301</v>
      </c>
      <c r="J12210" t="s">
        <v>4621</v>
      </c>
    </row>
    <row r="12211" spans="9:10" x14ac:dyDescent="0.3">
      <c r="I12211" t="s">
        <v>18302</v>
      </c>
      <c r="J12211" t="s">
        <v>4622</v>
      </c>
    </row>
    <row r="12212" spans="9:10" x14ac:dyDescent="0.3">
      <c r="I12212" t="s">
        <v>18303</v>
      </c>
      <c r="J12212" t="s">
        <v>4623</v>
      </c>
    </row>
    <row r="12213" spans="9:10" x14ac:dyDescent="0.3">
      <c r="I12213" t="s">
        <v>18304</v>
      </c>
      <c r="J12213" t="s">
        <v>4623</v>
      </c>
    </row>
    <row r="12214" spans="9:10" x14ac:dyDescent="0.3">
      <c r="I12214" t="s">
        <v>18305</v>
      </c>
      <c r="J12214" t="s">
        <v>4624</v>
      </c>
    </row>
    <row r="12215" spans="9:10" x14ac:dyDescent="0.3">
      <c r="I12215" t="s">
        <v>18306</v>
      </c>
    </row>
    <row r="12216" spans="9:10" x14ac:dyDescent="0.3">
      <c r="I12216" t="s">
        <v>18307</v>
      </c>
    </row>
    <row r="12217" spans="9:10" x14ac:dyDescent="0.3">
      <c r="I12217" t="s">
        <v>18308</v>
      </c>
      <c r="J12217" t="s">
        <v>4625</v>
      </c>
    </row>
    <row r="12218" spans="9:10" x14ac:dyDescent="0.3">
      <c r="I12218" t="s">
        <v>18309</v>
      </c>
      <c r="J12218" t="s">
        <v>4626</v>
      </c>
    </row>
    <row r="12219" spans="9:10" x14ac:dyDescent="0.3">
      <c r="I12219" t="s">
        <v>18310</v>
      </c>
      <c r="J12219" t="s">
        <v>304</v>
      </c>
    </row>
    <row r="12220" spans="9:10" x14ac:dyDescent="0.3">
      <c r="I12220" t="s">
        <v>18311</v>
      </c>
      <c r="J12220" t="s">
        <v>304</v>
      </c>
    </row>
    <row r="12221" spans="9:10" x14ac:dyDescent="0.3">
      <c r="I12221" t="s">
        <v>18312</v>
      </c>
    </row>
    <row r="12222" spans="9:10" x14ac:dyDescent="0.3">
      <c r="I12222" t="s">
        <v>18313</v>
      </c>
      <c r="J12222" t="s">
        <v>4627</v>
      </c>
    </row>
    <row r="12223" spans="9:10" x14ac:dyDescent="0.3">
      <c r="I12223" t="s">
        <v>18314</v>
      </c>
      <c r="J12223" t="s">
        <v>4628</v>
      </c>
    </row>
    <row r="12224" spans="9:10" x14ac:dyDescent="0.3">
      <c r="I12224" t="s">
        <v>18314</v>
      </c>
      <c r="J12224" t="s">
        <v>4628</v>
      </c>
    </row>
    <row r="12225" spans="9:10" x14ac:dyDescent="0.3">
      <c r="I12225" t="s">
        <v>18315</v>
      </c>
    </row>
    <row r="12226" spans="9:10" x14ac:dyDescent="0.3">
      <c r="I12226" t="s">
        <v>18316</v>
      </c>
      <c r="J12226" t="s">
        <v>4629</v>
      </c>
    </row>
    <row r="12227" spans="9:10" x14ac:dyDescent="0.3">
      <c r="I12227" t="s">
        <v>18317</v>
      </c>
      <c r="J12227" t="s">
        <v>4630</v>
      </c>
    </row>
    <row r="12228" spans="9:10" x14ac:dyDescent="0.3">
      <c r="I12228" t="s">
        <v>18318</v>
      </c>
      <c r="J12228" t="s">
        <v>4630</v>
      </c>
    </row>
    <row r="12229" spans="9:10" x14ac:dyDescent="0.3">
      <c r="I12229" t="s">
        <v>18319</v>
      </c>
      <c r="J12229" t="s">
        <v>4630</v>
      </c>
    </row>
    <row r="12230" spans="9:10" x14ac:dyDescent="0.3">
      <c r="I12230" t="s">
        <v>18320</v>
      </c>
      <c r="J12230" t="s">
        <v>4631</v>
      </c>
    </row>
    <row r="12231" spans="9:10" x14ac:dyDescent="0.3">
      <c r="I12231" t="s">
        <v>18321</v>
      </c>
      <c r="J12231" t="s">
        <v>4632</v>
      </c>
    </row>
    <row r="12232" spans="9:10" x14ac:dyDescent="0.3">
      <c r="I12232" t="s">
        <v>18322</v>
      </c>
      <c r="J12232" t="s">
        <v>4632</v>
      </c>
    </row>
    <row r="12233" spans="9:10" x14ac:dyDescent="0.3">
      <c r="I12233" t="s">
        <v>18323</v>
      </c>
      <c r="J12233" t="s">
        <v>4633</v>
      </c>
    </row>
    <row r="12234" spans="9:10" x14ac:dyDescent="0.3">
      <c r="I12234" t="s">
        <v>18324</v>
      </c>
      <c r="J12234" t="s">
        <v>4634</v>
      </c>
    </row>
    <row r="12235" spans="9:10" x14ac:dyDescent="0.3">
      <c r="I12235" t="s">
        <v>18324</v>
      </c>
      <c r="J12235" t="s">
        <v>4634</v>
      </c>
    </row>
    <row r="12236" spans="9:10" x14ac:dyDescent="0.3">
      <c r="I12236" t="s">
        <v>18325</v>
      </c>
      <c r="J12236" t="s">
        <v>4635</v>
      </c>
    </row>
    <row r="12237" spans="9:10" x14ac:dyDescent="0.3">
      <c r="I12237" t="s">
        <v>18326</v>
      </c>
      <c r="J12237" t="s">
        <v>4636</v>
      </c>
    </row>
    <row r="12238" spans="9:10" x14ac:dyDescent="0.3">
      <c r="I12238" t="s">
        <v>18327</v>
      </c>
      <c r="J12238" t="s">
        <v>4637</v>
      </c>
    </row>
    <row r="12239" spans="9:10" x14ac:dyDescent="0.3">
      <c r="I12239" t="s">
        <v>18328</v>
      </c>
      <c r="J12239" t="s">
        <v>4638</v>
      </c>
    </row>
    <row r="12240" spans="9:10" x14ac:dyDescent="0.3">
      <c r="I12240" t="s">
        <v>18329</v>
      </c>
      <c r="J12240" t="s">
        <v>4639</v>
      </c>
    </row>
    <row r="12241" spans="9:10" x14ac:dyDescent="0.3">
      <c r="I12241" t="s">
        <v>18330</v>
      </c>
    </row>
    <row r="12242" spans="9:10" x14ac:dyDescent="0.3">
      <c r="I12242" t="s">
        <v>18331</v>
      </c>
      <c r="J12242" t="s">
        <v>4640</v>
      </c>
    </row>
    <row r="12243" spans="9:10" x14ac:dyDescent="0.3">
      <c r="I12243" t="s">
        <v>18332</v>
      </c>
      <c r="J12243" t="s">
        <v>4640</v>
      </c>
    </row>
    <row r="12244" spans="9:10" x14ac:dyDescent="0.3">
      <c r="I12244" t="s">
        <v>18332</v>
      </c>
      <c r="J12244" t="s">
        <v>4640</v>
      </c>
    </row>
    <row r="12245" spans="9:10" x14ac:dyDescent="0.3">
      <c r="I12245" t="s">
        <v>18333</v>
      </c>
      <c r="J12245" t="s">
        <v>4641</v>
      </c>
    </row>
    <row r="12246" spans="9:10" x14ac:dyDescent="0.3">
      <c r="I12246" t="s">
        <v>18334</v>
      </c>
      <c r="J12246" t="s">
        <v>4642</v>
      </c>
    </row>
    <row r="12247" spans="9:10" x14ac:dyDescent="0.3">
      <c r="I12247" t="s">
        <v>18334</v>
      </c>
      <c r="J12247" t="s">
        <v>4642</v>
      </c>
    </row>
    <row r="12248" spans="9:10" x14ac:dyDescent="0.3">
      <c r="I12248" t="s">
        <v>18335</v>
      </c>
      <c r="J12248" t="s">
        <v>4642</v>
      </c>
    </row>
    <row r="12249" spans="9:10" x14ac:dyDescent="0.3">
      <c r="I12249" t="s">
        <v>18334</v>
      </c>
      <c r="J12249" t="s">
        <v>4642</v>
      </c>
    </row>
    <row r="12250" spans="9:10" x14ac:dyDescent="0.3">
      <c r="I12250" t="s">
        <v>18336</v>
      </c>
      <c r="J12250" t="s">
        <v>4643</v>
      </c>
    </row>
    <row r="12251" spans="9:10" x14ac:dyDescent="0.3">
      <c r="I12251" t="s">
        <v>18336</v>
      </c>
      <c r="J12251" t="s">
        <v>4643</v>
      </c>
    </row>
    <row r="12252" spans="9:10" x14ac:dyDescent="0.3">
      <c r="I12252" t="s">
        <v>18337</v>
      </c>
      <c r="J12252" t="s">
        <v>4644</v>
      </c>
    </row>
    <row r="12253" spans="9:10" x14ac:dyDescent="0.3">
      <c r="I12253" t="s">
        <v>18338</v>
      </c>
      <c r="J12253" t="s">
        <v>4645</v>
      </c>
    </row>
    <row r="12254" spans="9:10" x14ac:dyDescent="0.3">
      <c r="I12254" t="s">
        <v>18339</v>
      </c>
      <c r="J12254" t="s">
        <v>4646</v>
      </c>
    </row>
    <row r="12255" spans="9:10" x14ac:dyDescent="0.3">
      <c r="I12255" t="s">
        <v>18340</v>
      </c>
      <c r="J12255">
        <v>0</v>
      </c>
    </row>
    <row r="12256" spans="9:10" x14ac:dyDescent="0.3">
      <c r="I12256" t="s">
        <v>18341</v>
      </c>
      <c r="J12256">
        <v>0</v>
      </c>
    </row>
    <row r="12257" spans="9:10" x14ac:dyDescent="0.3">
      <c r="I12257" t="s">
        <v>18342</v>
      </c>
      <c r="J12257" t="s">
        <v>4647</v>
      </c>
    </row>
    <row r="12258" spans="9:10" x14ac:dyDescent="0.3">
      <c r="I12258" t="s">
        <v>18343</v>
      </c>
      <c r="J12258" t="s">
        <v>4648</v>
      </c>
    </row>
    <row r="12259" spans="9:10" x14ac:dyDescent="0.3">
      <c r="I12259" t="s">
        <v>18344</v>
      </c>
      <c r="J12259" t="s">
        <v>4649</v>
      </c>
    </row>
    <row r="12260" spans="9:10" x14ac:dyDescent="0.3">
      <c r="I12260" t="s">
        <v>18345</v>
      </c>
      <c r="J12260" t="s">
        <v>4650</v>
      </c>
    </row>
    <row r="12261" spans="9:10" x14ac:dyDescent="0.3">
      <c r="I12261" t="s">
        <v>18346</v>
      </c>
      <c r="J12261" t="s">
        <v>4650</v>
      </c>
    </row>
    <row r="12262" spans="9:10" x14ac:dyDescent="0.3">
      <c r="I12262" t="s">
        <v>18347</v>
      </c>
      <c r="J12262" t="s">
        <v>4651</v>
      </c>
    </row>
    <row r="12263" spans="9:10" x14ac:dyDescent="0.3">
      <c r="I12263" t="s">
        <v>18348</v>
      </c>
      <c r="J12263" t="s">
        <v>4651</v>
      </c>
    </row>
    <row r="12264" spans="9:10" x14ac:dyDescent="0.3">
      <c r="I12264" t="s">
        <v>18349</v>
      </c>
      <c r="J12264" t="s">
        <v>4651</v>
      </c>
    </row>
    <row r="12265" spans="9:10" x14ac:dyDescent="0.3">
      <c r="I12265" t="s">
        <v>18350</v>
      </c>
      <c r="J12265" t="s">
        <v>4651</v>
      </c>
    </row>
    <row r="12266" spans="9:10" x14ac:dyDescent="0.3">
      <c r="I12266" t="s">
        <v>18351</v>
      </c>
      <c r="J12266" t="s">
        <v>4651</v>
      </c>
    </row>
    <row r="12267" spans="9:10" x14ac:dyDescent="0.3">
      <c r="I12267" t="s">
        <v>18352</v>
      </c>
      <c r="J12267" t="s">
        <v>4651</v>
      </c>
    </row>
    <row r="12268" spans="9:10" x14ac:dyDescent="0.3">
      <c r="I12268" t="s">
        <v>18353</v>
      </c>
      <c r="J12268" t="s">
        <v>4651</v>
      </c>
    </row>
    <row r="12269" spans="9:10" x14ac:dyDescent="0.3">
      <c r="I12269" t="s">
        <v>18354</v>
      </c>
      <c r="J12269" t="s">
        <v>4651</v>
      </c>
    </row>
    <row r="12270" spans="9:10" x14ac:dyDescent="0.3">
      <c r="I12270" t="s">
        <v>18355</v>
      </c>
      <c r="J12270" t="s">
        <v>4651</v>
      </c>
    </row>
    <row r="12271" spans="9:10" x14ac:dyDescent="0.3">
      <c r="I12271" t="s">
        <v>18356</v>
      </c>
      <c r="J12271" t="s">
        <v>4651</v>
      </c>
    </row>
    <row r="12272" spans="9:10" x14ac:dyDescent="0.3">
      <c r="I12272" t="s">
        <v>18357</v>
      </c>
      <c r="J12272" t="s">
        <v>4651</v>
      </c>
    </row>
    <row r="12273" spans="9:10" x14ac:dyDescent="0.3">
      <c r="I12273" t="s">
        <v>18358</v>
      </c>
      <c r="J12273" t="s">
        <v>4651</v>
      </c>
    </row>
    <row r="12274" spans="9:10" x14ac:dyDescent="0.3">
      <c r="I12274" t="s">
        <v>18359</v>
      </c>
      <c r="J12274" t="s">
        <v>4651</v>
      </c>
    </row>
    <row r="12275" spans="9:10" x14ac:dyDescent="0.3">
      <c r="I12275" t="s">
        <v>18360</v>
      </c>
      <c r="J12275" t="s">
        <v>4652</v>
      </c>
    </row>
    <row r="12276" spans="9:10" x14ac:dyDescent="0.3">
      <c r="I12276" t="s">
        <v>18361</v>
      </c>
      <c r="J12276" t="s">
        <v>4652</v>
      </c>
    </row>
    <row r="12277" spans="9:10" x14ac:dyDescent="0.3">
      <c r="I12277" t="s">
        <v>18361</v>
      </c>
      <c r="J12277" t="s">
        <v>4652</v>
      </c>
    </row>
    <row r="12278" spans="9:10" x14ac:dyDescent="0.3">
      <c r="I12278" t="s">
        <v>18362</v>
      </c>
    </row>
    <row r="12279" spans="9:10" x14ac:dyDescent="0.3">
      <c r="I12279" t="s">
        <v>18363</v>
      </c>
      <c r="J12279" t="s">
        <v>4653</v>
      </c>
    </row>
    <row r="12280" spans="9:10" x14ac:dyDescent="0.3">
      <c r="I12280" t="s">
        <v>18364</v>
      </c>
      <c r="J12280" t="s">
        <v>4654</v>
      </c>
    </row>
    <row r="12281" spans="9:10" x14ac:dyDescent="0.3">
      <c r="I12281" t="s">
        <v>18364</v>
      </c>
      <c r="J12281" t="s">
        <v>4654</v>
      </c>
    </row>
    <row r="12282" spans="9:10" x14ac:dyDescent="0.3">
      <c r="I12282" t="s">
        <v>18365</v>
      </c>
    </row>
    <row r="12283" spans="9:10" x14ac:dyDescent="0.3">
      <c r="I12283" t="s">
        <v>18366</v>
      </c>
      <c r="J12283" t="s">
        <v>4655</v>
      </c>
    </row>
    <row r="12284" spans="9:10" x14ac:dyDescent="0.3">
      <c r="I12284" t="s">
        <v>18367</v>
      </c>
    </row>
    <row r="12285" spans="9:10" x14ac:dyDescent="0.3">
      <c r="I12285" t="s">
        <v>18368</v>
      </c>
    </row>
    <row r="12286" spans="9:10" x14ac:dyDescent="0.3">
      <c r="I12286" t="s">
        <v>18369</v>
      </c>
      <c r="J12286" t="s">
        <v>4656</v>
      </c>
    </row>
    <row r="12287" spans="9:10" x14ac:dyDescent="0.3">
      <c r="I12287" t="s">
        <v>18369</v>
      </c>
      <c r="J12287" t="s">
        <v>4656</v>
      </c>
    </row>
    <row r="12288" spans="9:10" x14ac:dyDescent="0.3">
      <c r="I12288" t="s">
        <v>18370</v>
      </c>
      <c r="J12288" t="s">
        <v>4657</v>
      </c>
    </row>
    <row r="12289" spans="9:10" x14ac:dyDescent="0.3">
      <c r="I12289" t="s">
        <v>18371</v>
      </c>
      <c r="J12289" t="s">
        <v>4657</v>
      </c>
    </row>
    <row r="12290" spans="9:10" x14ac:dyDescent="0.3">
      <c r="I12290" t="s">
        <v>18372</v>
      </c>
    </row>
    <row r="12291" spans="9:10" x14ac:dyDescent="0.3">
      <c r="I12291" t="s">
        <v>18372</v>
      </c>
    </row>
    <row r="12292" spans="9:10" x14ac:dyDescent="0.3">
      <c r="I12292" t="s">
        <v>18372</v>
      </c>
    </row>
    <row r="12293" spans="9:10" x14ac:dyDescent="0.3">
      <c r="I12293" t="s">
        <v>18373</v>
      </c>
      <c r="J12293" t="s">
        <v>4658</v>
      </c>
    </row>
    <row r="12294" spans="9:10" x14ac:dyDescent="0.3">
      <c r="I12294" t="s">
        <v>18373</v>
      </c>
      <c r="J12294" t="s">
        <v>4658</v>
      </c>
    </row>
    <row r="12295" spans="9:10" x14ac:dyDescent="0.3">
      <c r="I12295" t="s">
        <v>18374</v>
      </c>
      <c r="J12295" t="s">
        <v>4659</v>
      </c>
    </row>
    <row r="12296" spans="9:10" x14ac:dyDescent="0.3">
      <c r="I12296" t="s">
        <v>18374</v>
      </c>
      <c r="J12296" t="s">
        <v>4659</v>
      </c>
    </row>
    <row r="12297" spans="9:10" x14ac:dyDescent="0.3">
      <c r="I12297" t="s">
        <v>18375</v>
      </c>
      <c r="J12297" t="s">
        <v>4660</v>
      </c>
    </row>
    <row r="12298" spans="9:10" x14ac:dyDescent="0.3">
      <c r="I12298" t="s">
        <v>18375</v>
      </c>
      <c r="J12298" t="s">
        <v>4660</v>
      </c>
    </row>
    <row r="12299" spans="9:10" x14ac:dyDescent="0.3">
      <c r="I12299" t="s">
        <v>18376</v>
      </c>
      <c r="J12299">
        <v>0</v>
      </c>
    </row>
    <row r="12300" spans="9:10" x14ac:dyDescent="0.3">
      <c r="I12300" t="s">
        <v>18377</v>
      </c>
      <c r="J12300">
        <v>0</v>
      </c>
    </row>
    <row r="12301" spans="9:10" x14ac:dyDescent="0.3">
      <c r="I12301" t="s">
        <v>18378</v>
      </c>
      <c r="J12301" t="s">
        <v>4661</v>
      </c>
    </row>
    <row r="12302" spans="9:10" x14ac:dyDescent="0.3">
      <c r="I12302" t="s">
        <v>18379</v>
      </c>
      <c r="J12302" t="s">
        <v>2378</v>
      </c>
    </row>
    <row r="12303" spans="9:10" x14ac:dyDescent="0.3">
      <c r="I12303" t="s">
        <v>18380</v>
      </c>
      <c r="J12303" t="s">
        <v>4662</v>
      </c>
    </row>
    <row r="12304" spans="9:10" x14ac:dyDescent="0.3">
      <c r="I12304" t="s">
        <v>18381</v>
      </c>
      <c r="J12304" t="s">
        <v>4662</v>
      </c>
    </row>
    <row r="12305" spans="9:10" x14ac:dyDescent="0.3">
      <c r="I12305" t="s">
        <v>18382</v>
      </c>
      <c r="J12305" t="s">
        <v>4663</v>
      </c>
    </row>
    <row r="12306" spans="9:10" x14ac:dyDescent="0.3">
      <c r="I12306" t="s">
        <v>18383</v>
      </c>
      <c r="J12306" t="s">
        <v>4664</v>
      </c>
    </row>
    <row r="12307" spans="9:10" x14ac:dyDescent="0.3">
      <c r="I12307" t="s">
        <v>18384</v>
      </c>
      <c r="J12307" t="s">
        <v>4665</v>
      </c>
    </row>
    <row r="12308" spans="9:10" x14ac:dyDescent="0.3">
      <c r="I12308" t="s">
        <v>18385</v>
      </c>
      <c r="J12308" t="s">
        <v>4666</v>
      </c>
    </row>
    <row r="12309" spans="9:10" x14ac:dyDescent="0.3">
      <c r="I12309" t="s">
        <v>18386</v>
      </c>
      <c r="J12309" t="s">
        <v>4666</v>
      </c>
    </row>
    <row r="12310" spans="9:10" x14ac:dyDescent="0.3">
      <c r="I12310" t="s">
        <v>18387</v>
      </c>
      <c r="J12310" t="s">
        <v>4666</v>
      </c>
    </row>
    <row r="12311" spans="9:10" x14ac:dyDescent="0.3">
      <c r="I12311" t="s">
        <v>18388</v>
      </c>
      <c r="J12311" t="s">
        <v>4667</v>
      </c>
    </row>
    <row r="12312" spans="9:10" x14ac:dyDescent="0.3">
      <c r="I12312" t="s">
        <v>18389</v>
      </c>
      <c r="J12312" t="s">
        <v>4668</v>
      </c>
    </row>
    <row r="12313" spans="9:10" x14ac:dyDescent="0.3">
      <c r="I12313" t="s">
        <v>18390</v>
      </c>
      <c r="J12313" t="s">
        <v>4669</v>
      </c>
    </row>
    <row r="12314" spans="9:10" x14ac:dyDescent="0.3">
      <c r="I12314" t="s">
        <v>18391</v>
      </c>
      <c r="J12314" t="s">
        <v>4670</v>
      </c>
    </row>
    <row r="12315" spans="9:10" x14ac:dyDescent="0.3">
      <c r="I12315" t="s">
        <v>13037</v>
      </c>
      <c r="J12315" t="s">
        <v>4671</v>
      </c>
    </row>
    <row r="12316" spans="9:10" x14ac:dyDescent="0.3">
      <c r="I12316" t="s">
        <v>18392</v>
      </c>
      <c r="J12316" t="s">
        <v>4672</v>
      </c>
    </row>
    <row r="12317" spans="9:10" x14ac:dyDescent="0.3">
      <c r="I12317" t="s">
        <v>18393</v>
      </c>
      <c r="J12317" t="s">
        <v>4672</v>
      </c>
    </row>
    <row r="12318" spans="9:10" x14ac:dyDescent="0.3">
      <c r="I12318" t="s">
        <v>18392</v>
      </c>
      <c r="J12318" t="s">
        <v>4672</v>
      </c>
    </row>
    <row r="12319" spans="9:10" x14ac:dyDescent="0.3">
      <c r="I12319" t="s">
        <v>18394</v>
      </c>
      <c r="J12319" t="s">
        <v>254</v>
      </c>
    </row>
    <row r="12320" spans="9:10" x14ac:dyDescent="0.3">
      <c r="I12320" t="s">
        <v>18394</v>
      </c>
      <c r="J12320" t="s">
        <v>254</v>
      </c>
    </row>
    <row r="12321" spans="9:10" x14ac:dyDescent="0.3">
      <c r="I12321" t="s">
        <v>18395</v>
      </c>
      <c r="J12321" t="s">
        <v>4673</v>
      </c>
    </row>
    <row r="12322" spans="9:10" x14ac:dyDescent="0.3">
      <c r="I12322" t="s">
        <v>18395</v>
      </c>
      <c r="J12322" t="s">
        <v>4673</v>
      </c>
    </row>
    <row r="12323" spans="9:10" x14ac:dyDescent="0.3">
      <c r="I12323" t="s">
        <v>18396</v>
      </c>
      <c r="J12323" t="s">
        <v>4674</v>
      </c>
    </row>
    <row r="12324" spans="9:10" x14ac:dyDescent="0.3">
      <c r="I12324" t="s">
        <v>18397</v>
      </c>
      <c r="J12324" t="s">
        <v>4674</v>
      </c>
    </row>
    <row r="12325" spans="9:10" x14ac:dyDescent="0.3">
      <c r="I12325" t="s">
        <v>18398</v>
      </c>
      <c r="J12325" t="s">
        <v>4675</v>
      </c>
    </row>
    <row r="12326" spans="9:10" x14ac:dyDescent="0.3">
      <c r="I12326" t="s">
        <v>18399</v>
      </c>
      <c r="J12326" t="s">
        <v>4676</v>
      </c>
    </row>
    <row r="12327" spans="9:10" x14ac:dyDescent="0.3">
      <c r="I12327" t="s">
        <v>18400</v>
      </c>
      <c r="J12327">
        <v>0</v>
      </c>
    </row>
    <row r="12328" spans="9:10" x14ac:dyDescent="0.3">
      <c r="I12328" t="s">
        <v>18401</v>
      </c>
      <c r="J12328" t="s">
        <v>4677</v>
      </c>
    </row>
    <row r="12329" spans="9:10" x14ac:dyDescent="0.3">
      <c r="I12329" t="s">
        <v>18402</v>
      </c>
      <c r="J12329" t="s">
        <v>4677</v>
      </c>
    </row>
    <row r="12330" spans="9:10" x14ac:dyDescent="0.3">
      <c r="I12330" t="s">
        <v>18403</v>
      </c>
      <c r="J12330" t="s">
        <v>4678</v>
      </c>
    </row>
    <row r="12331" spans="9:10" x14ac:dyDescent="0.3">
      <c r="I12331" t="s">
        <v>18404</v>
      </c>
      <c r="J12331" t="s">
        <v>4679</v>
      </c>
    </row>
    <row r="12332" spans="9:10" x14ac:dyDescent="0.3">
      <c r="I12332" t="s">
        <v>18405</v>
      </c>
      <c r="J12332" t="s">
        <v>4679</v>
      </c>
    </row>
    <row r="12333" spans="9:10" x14ac:dyDescent="0.3">
      <c r="I12333" t="s">
        <v>18404</v>
      </c>
      <c r="J12333" t="s">
        <v>4679</v>
      </c>
    </row>
    <row r="12334" spans="9:10" x14ac:dyDescent="0.3">
      <c r="I12334" t="s">
        <v>18406</v>
      </c>
      <c r="J12334" t="s">
        <v>4680</v>
      </c>
    </row>
    <row r="12335" spans="9:10" x14ac:dyDescent="0.3">
      <c r="I12335" t="s">
        <v>18407</v>
      </c>
      <c r="J12335" t="s">
        <v>4681</v>
      </c>
    </row>
    <row r="12336" spans="9:10" x14ac:dyDescent="0.3">
      <c r="I12336" t="s">
        <v>18408</v>
      </c>
      <c r="J12336" t="s">
        <v>4682</v>
      </c>
    </row>
    <row r="12337" spans="9:10" x14ac:dyDescent="0.3">
      <c r="I12337" t="s">
        <v>18409</v>
      </c>
      <c r="J12337" t="s">
        <v>4683</v>
      </c>
    </row>
    <row r="12338" spans="9:10" x14ac:dyDescent="0.3">
      <c r="I12338" t="s">
        <v>18410</v>
      </c>
      <c r="J12338" t="s">
        <v>4684</v>
      </c>
    </row>
    <row r="12339" spans="9:10" x14ac:dyDescent="0.3">
      <c r="I12339" t="s">
        <v>18411</v>
      </c>
      <c r="J12339" t="s">
        <v>4685</v>
      </c>
    </row>
    <row r="12340" spans="9:10" x14ac:dyDescent="0.3">
      <c r="I12340" t="s">
        <v>18412</v>
      </c>
      <c r="J12340">
        <v>0</v>
      </c>
    </row>
    <row r="12341" spans="9:10" x14ac:dyDescent="0.3">
      <c r="I12341" t="s">
        <v>18413</v>
      </c>
      <c r="J12341" t="s">
        <v>4686</v>
      </c>
    </row>
    <row r="12342" spans="9:10" x14ac:dyDescent="0.3">
      <c r="I12342" t="s">
        <v>18414</v>
      </c>
      <c r="J12342" t="s">
        <v>4687</v>
      </c>
    </row>
    <row r="12343" spans="9:10" x14ac:dyDescent="0.3">
      <c r="I12343" t="s">
        <v>18415</v>
      </c>
      <c r="J12343" t="s">
        <v>4688</v>
      </c>
    </row>
    <row r="12344" spans="9:10" x14ac:dyDescent="0.3">
      <c r="I12344" t="s">
        <v>18416</v>
      </c>
      <c r="J12344" t="s">
        <v>778</v>
      </c>
    </row>
    <row r="12345" spans="9:10" x14ac:dyDescent="0.3">
      <c r="I12345" t="s">
        <v>18416</v>
      </c>
      <c r="J12345" t="s">
        <v>778</v>
      </c>
    </row>
    <row r="12346" spans="9:10" x14ac:dyDescent="0.3">
      <c r="I12346" t="s">
        <v>18416</v>
      </c>
      <c r="J12346" t="s">
        <v>778</v>
      </c>
    </row>
    <row r="12347" spans="9:10" x14ac:dyDescent="0.3">
      <c r="I12347" t="s">
        <v>18417</v>
      </c>
      <c r="J12347" t="s">
        <v>4689</v>
      </c>
    </row>
    <row r="12348" spans="9:10" x14ac:dyDescent="0.3">
      <c r="I12348" t="s">
        <v>18418</v>
      </c>
      <c r="J12348" t="s">
        <v>4689</v>
      </c>
    </row>
    <row r="12349" spans="9:10" x14ac:dyDescent="0.3">
      <c r="I12349" t="s">
        <v>18419</v>
      </c>
      <c r="J12349" t="s">
        <v>4690</v>
      </c>
    </row>
    <row r="12350" spans="9:10" x14ac:dyDescent="0.3">
      <c r="I12350" t="s">
        <v>18420</v>
      </c>
      <c r="J12350" t="s">
        <v>4691</v>
      </c>
    </row>
    <row r="12351" spans="9:10" x14ac:dyDescent="0.3">
      <c r="I12351" t="s">
        <v>18421</v>
      </c>
      <c r="J12351" t="s">
        <v>4692</v>
      </c>
    </row>
    <row r="12352" spans="9:10" x14ac:dyDescent="0.3">
      <c r="I12352" t="s">
        <v>18422</v>
      </c>
      <c r="J12352" t="s">
        <v>4693</v>
      </c>
    </row>
    <row r="12353" spans="9:10" x14ac:dyDescent="0.3">
      <c r="I12353" t="s">
        <v>18423</v>
      </c>
      <c r="J12353" t="s">
        <v>4694</v>
      </c>
    </row>
    <row r="12354" spans="9:10" x14ac:dyDescent="0.3">
      <c r="I12354" t="s">
        <v>18424</v>
      </c>
      <c r="J12354" t="s">
        <v>4694</v>
      </c>
    </row>
    <row r="12355" spans="9:10" x14ac:dyDescent="0.3">
      <c r="I12355" t="s">
        <v>18425</v>
      </c>
      <c r="J12355" t="s">
        <v>4695</v>
      </c>
    </row>
    <row r="12356" spans="9:10" x14ac:dyDescent="0.3">
      <c r="I12356" t="s">
        <v>18426</v>
      </c>
      <c r="J12356" t="s">
        <v>4695</v>
      </c>
    </row>
    <row r="12357" spans="9:10" x14ac:dyDescent="0.3">
      <c r="I12357" t="s">
        <v>18427</v>
      </c>
      <c r="J12357" t="s">
        <v>4695</v>
      </c>
    </row>
    <row r="12358" spans="9:10" x14ac:dyDescent="0.3">
      <c r="I12358" t="s">
        <v>18428</v>
      </c>
      <c r="J12358" t="s">
        <v>4696</v>
      </c>
    </row>
    <row r="12359" spans="9:10" x14ac:dyDescent="0.3">
      <c r="I12359" t="s">
        <v>18429</v>
      </c>
      <c r="J12359" t="s">
        <v>4697</v>
      </c>
    </row>
    <row r="12360" spans="9:10" x14ac:dyDescent="0.3">
      <c r="I12360" t="s">
        <v>18430</v>
      </c>
      <c r="J12360" t="s">
        <v>4698</v>
      </c>
    </row>
    <row r="12361" spans="9:10" x14ac:dyDescent="0.3">
      <c r="I12361" t="s">
        <v>18431</v>
      </c>
      <c r="J12361" t="s">
        <v>4698</v>
      </c>
    </row>
    <row r="12362" spans="9:10" x14ac:dyDescent="0.3">
      <c r="I12362" t="s">
        <v>18432</v>
      </c>
      <c r="J12362" t="s">
        <v>4698</v>
      </c>
    </row>
    <row r="12363" spans="9:10" x14ac:dyDescent="0.3">
      <c r="I12363" t="s">
        <v>18433</v>
      </c>
    </row>
    <row r="12364" spans="9:10" x14ac:dyDescent="0.3">
      <c r="I12364" t="s">
        <v>18434</v>
      </c>
      <c r="J12364" t="s">
        <v>4699</v>
      </c>
    </row>
    <row r="12365" spans="9:10" x14ac:dyDescent="0.3">
      <c r="I12365" t="s">
        <v>18435</v>
      </c>
      <c r="J12365" t="s">
        <v>4700</v>
      </c>
    </row>
    <row r="12366" spans="9:10" x14ac:dyDescent="0.3">
      <c r="I12366" t="s">
        <v>16661</v>
      </c>
      <c r="J12366" t="s">
        <v>4344</v>
      </c>
    </row>
    <row r="12367" spans="9:10" x14ac:dyDescent="0.3">
      <c r="I12367" t="s">
        <v>18436</v>
      </c>
      <c r="J12367" t="s">
        <v>4344</v>
      </c>
    </row>
    <row r="12368" spans="9:10" x14ac:dyDescent="0.3">
      <c r="I12368" t="s">
        <v>18437</v>
      </c>
      <c r="J12368" t="s">
        <v>4344</v>
      </c>
    </row>
    <row r="12369" spans="9:10" x14ac:dyDescent="0.3">
      <c r="I12369" t="s">
        <v>18438</v>
      </c>
      <c r="J12369" t="s">
        <v>4701</v>
      </c>
    </row>
    <row r="12370" spans="9:10" x14ac:dyDescent="0.3">
      <c r="I12370" t="s">
        <v>18438</v>
      </c>
      <c r="J12370" t="s">
        <v>4701</v>
      </c>
    </row>
    <row r="12371" spans="9:10" x14ac:dyDescent="0.3">
      <c r="I12371" t="s">
        <v>18439</v>
      </c>
    </row>
    <row r="12372" spans="9:10" x14ac:dyDescent="0.3">
      <c r="I12372" t="s">
        <v>18440</v>
      </c>
    </row>
    <row r="12373" spans="9:10" x14ac:dyDescent="0.3">
      <c r="I12373" t="s">
        <v>18441</v>
      </c>
      <c r="J12373" t="s">
        <v>4702</v>
      </c>
    </row>
    <row r="12374" spans="9:10" x14ac:dyDescent="0.3">
      <c r="I12374" t="s">
        <v>18442</v>
      </c>
      <c r="J12374" t="s">
        <v>4703</v>
      </c>
    </row>
    <row r="12375" spans="9:10" x14ac:dyDescent="0.3">
      <c r="I12375" t="s">
        <v>18443</v>
      </c>
      <c r="J12375" t="s">
        <v>4704</v>
      </c>
    </row>
    <row r="12376" spans="9:10" x14ac:dyDescent="0.3">
      <c r="I12376" t="s">
        <v>18444</v>
      </c>
      <c r="J12376" t="s">
        <v>4705</v>
      </c>
    </row>
    <row r="12377" spans="9:10" x14ac:dyDescent="0.3">
      <c r="I12377" t="s">
        <v>18445</v>
      </c>
      <c r="J12377" t="s">
        <v>4706</v>
      </c>
    </row>
    <row r="12378" spans="9:10" x14ac:dyDescent="0.3">
      <c r="I12378" t="s">
        <v>18446</v>
      </c>
      <c r="J12378" t="s">
        <v>4707</v>
      </c>
    </row>
    <row r="12379" spans="9:10" x14ac:dyDescent="0.3">
      <c r="I12379" t="s">
        <v>18447</v>
      </c>
      <c r="J12379" t="s">
        <v>4708</v>
      </c>
    </row>
    <row r="12380" spans="9:10" x14ac:dyDescent="0.3">
      <c r="I12380" t="s">
        <v>18448</v>
      </c>
      <c r="J12380" t="s">
        <v>4709</v>
      </c>
    </row>
    <row r="12381" spans="9:10" x14ac:dyDescent="0.3">
      <c r="I12381" t="s">
        <v>18449</v>
      </c>
      <c r="J12381" t="s">
        <v>4710</v>
      </c>
    </row>
    <row r="12382" spans="9:10" x14ac:dyDescent="0.3">
      <c r="I12382" t="s">
        <v>18450</v>
      </c>
      <c r="J12382" t="s">
        <v>4711</v>
      </c>
    </row>
    <row r="12383" spans="9:10" x14ac:dyDescent="0.3">
      <c r="I12383" t="s">
        <v>18451</v>
      </c>
      <c r="J12383" t="s">
        <v>4712</v>
      </c>
    </row>
    <row r="12384" spans="9:10" x14ac:dyDescent="0.3">
      <c r="I12384" t="s">
        <v>18452</v>
      </c>
      <c r="J12384" t="s">
        <v>4713</v>
      </c>
    </row>
    <row r="12385" spans="9:10" x14ac:dyDescent="0.3">
      <c r="I12385" t="s">
        <v>18453</v>
      </c>
      <c r="J12385" t="s">
        <v>4714</v>
      </c>
    </row>
    <row r="12386" spans="9:10" x14ac:dyDescent="0.3">
      <c r="I12386" t="s">
        <v>18454</v>
      </c>
      <c r="J12386" t="s">
        <v>4715</v>
      </c>
    </row>
    <row r="12387" spans="9:10" x14ac:dyDescent="0.3">
      <c r="I12387" t="s">
        <v>18455</v>
      </c>
      <c r="J12387" t="s">
        <v>4716</v>
      </c>
    </row>
    <row r="12388" spans="9:10" x14ac:dyDescent="0.3">
      <c r="I12388" t="s">
        <v>18456</v>
      </c>
      <c r="J12388" t="s">
        <v>607</v>
      </c>
    </row>
    <row r="12389" spans="9:10" x14ac:dyDescent="0.3">
      <c r="I12389" t="s">
        <v>18457</v>
      </c>
      <c r="J12389" t="s">
        <v>4717</v>
      </c>
    </row>
    <row r="12390" spans="9:10" x14ac:dyDescent="0.3">
      <c r="I12390" t="s">
        <v>18458</v>
      </c>
      <c r="J12390" t="s">
        <v>4718</v>
      </c>
    </row>
    <row r="12391" spans="9:10" x14ac:dyDescent="0.3">
      <c r="I12391" t="s">
        <v>18459</v>
      </c>
      <c r="J12391" t="s">
        <v>4719</v>
      </c>
    </row>
    <row r="12392" spans="9:10" x14ac:dyDescent="0.3">
      <c r="I12392" t="s">
        <v>18460</v>
      </c>
      <c r="J12392" t="s">
        <v>4720</v>
      </c>
    </row>
    <row r="12393" spans="9:10" x14ac:dyDescent="0.3">
      <c r="I12393" t="s">
        <v>18461</v>
      </c>
      <c r="J12393" t="s">
        <v>4720</v>
      </c>
    </row>
    <row r="12394" spans="9:10" x14ac:dyDescent="0.3">
      <c r="I12394" t="s">
        <v>18462</v>
      </c>
      <c r="J12394" t="s">
        <v>4720</v>
      </c>
    </row>
    <row r="12395" spans="9:10" x14ac:dyDescent="0.3">
      <c r="I12395" t="s">
        <v>18463</v>
      </c>
      <c r="J12395" t="s">
        <v>4720</v>
      </c>
    </row>
    <row r="12396" spans="9:10" x14ac:dyDescent="0.3">
      <c r="I12396" t="s">
        <v>18464</v>
      </c>
      <c r="J12396" t="s">
        <v>4720</v>
      </c>
    </row>
    <row r="12397" spans="9:10" x14ac:dyDescent="0.3">
      <c r="I12397" t="s">
        <v>18465</v>
      </c>
      <c r="J12397" t="s">
        <v>4721</v>
      </c>
    </row>
    <row r="12398" spans="9:10" x14ac:dyDescent="0.3">
      <c r="I12398" t="s">
        <v>18466</v>
      </c>
      <c r="J12398" t="s">
        <v>4722</v>
      </c>
    </row>
    <row r="12399" spans="9:10" x14ac:dyDescent="0.3">
      <c r="I12399" t="s">
        <v>18467</v>
      </c>
      <c r="J12399" t="s">
        <v>4722</v>
      </c>
    </row>
    <row r="12400" spans="9:10" x14ac:dyDescent="0.3">
      <c r="I12400" t="s">
        <v>18468</v>
      </c>
    </row>
    <row r="12401" spans="9:10" x14ac:dyDescent="0.3">
      <c r="I12401" t="s">
        <v>18469</v>
      </c>
      <c r="J12401" t="s">
        <v>4723</v>
      </c>
    </row>
    <row r="12402" spans="9:10" x14ac:dyDescent="0.3">
      <c r="I12402" t="s">
        <v>18470</v>
      </c>
      <c r="J12402" t="s">
        <v>4724</v>
      </c>
    </row>
    <row r="12403" spans="9:10" x14ac:dyDescent="0.3">
      <c r="I12403" t="s">
        <v>18471</v>
      </c>
      <c r="J12403" t="s">
        <v>4725</v>
      </c>
    </row>
    <row r="12404" spans="9:10" x14ac:dyDescent="0.3">
      <c r="I12404" t="s">
        <v>18472</v>
      </c>
      <c r="J12404" t="s">
        <v>4726</v>
      </c>
    </row>
    <row r="12405" spans="9:10" x14ac:dyDescent="0.3">
      <c r="I12405" t="s">
        <v>18473</v>
      </c>
      <c r="J12405" t="s">
        <v>4727</v>
      </c>
    </row>
    <row r="12406" spans="9:10" x14ac:dyDescent="0.3">
      <c r="I12406" t="s">
        <v>18474</v>
      </c>
      <c r="J12406" t="s">
        <v>4728</v>
      </c>
    </row>
    <row r="12407" spans="9:10" x14ac:dyDescent="0.3">
      <c r="I12407" t="s">
        <v>18475</v>
      </c>
      <c r="J12407" t="s">
        <v>4729</v>
      </c>
    </row>
    <row r="12408" spans="9:10" x14ac:dyDescent="0.3">
      <c r="I12408" t="s">
        <v>18476</v>
      </c>
      <c r="J12408" t="s">
        <v>4730</v>
      </c>
    </row>
    <row r="12409" spans="9:10" x14ac:dyDescent="0.3">
      <c r="I12409" t="s">
        <v>18477</v>
      </c>
      <c r="J12409" t="s">
        <v>4731</v>
      </c>
    </row>
    <row r="12410" spans="9:10" x14ac:dyDescent="0.3">
      <c r="I12410" t="s">
        <v>18478</v>
      </c>
      <c r="J12410" t="s">
        <v>4732</v>
      </c>
    </row>
    <row r="12411" spans="9:10" x14ac:dyDescent="0.3">
      <c r="I12411" t="s">
        <v>18479</v>
      </c>
      <c r="J12411" t="s">
        <v>4733</v>
      </c>
    </row>
    <row r="12412" spans="9:10" x14ac:dyDescent="0.3">
      <c r="I12412" t="s">
        <v>18480</v>
      </c>
      <c r="J12412" t="s">
        <v>4734</v>
      </c>
    </row>
    <row r="12413" spans="9:10" x14ac:dyDescent="0.3">
      <c r="I12413" t="s">
        <v>18481</v>
      </c>
      <c r="J12413" t="s">
        <v>4735</v>
      </c>
    </row>
    <row r="12414" spans="9:10" x14ac:dyDescent="0.3">
      <c r="I12414" t="s">
        <v>18482</v>
      </c>
      <c r="J12414" t="s">
        <v>4736</v>
      </c>
    </row>
    <row r="12415" spans="9:10" x14ac:dyDescent="0.3">
      <c r="I12415" t="s">
        <v>18483</v>
      </c>
      <c r="J12415" t="s">
        <v>4737</v>
      </c>
    </row>
    <row r="12416" spans="9:10" x14ac:dyDescent="0.3">
      <c r="I12416" t="s">
        <v>18483</v>
      </c>
      <c r="J12416" t="s">
        <v>4737</v>
      </c>
    </row>
    <row r="12417" spans="9:10" x14ac:dyDescent="0.3">
      <c r="I12417" t="s">
        <v>18484</v>
      </c>
    </row>
    <row r="12418" spans="9:10" x14ac:dyDescent="0.3">
      <c r="I12418" t="s">
        <v>18485</v>
      </c>
      <c r="J12418" t="s">
        <v>4738</v>
      </c>
    </row>
    <row r="12419" spans="9:10" x14ac:dyDescent="0.3">
      <c r="I12419" t="s">
        <v>18486</v>
      </c>
      <c r="J12419" t="s">
        <v>4739</v>
      </c>
    </row>
    <row r="12420" spans="9:10" x14ac:dyDescent="0.3">
      <c r="I12420" t="s">
        <v>18487</v>
      </c>
      <c r="J12420" t="s">
        <v>4740</v>
      </c>
    </row>
    <row r="12421" spans="9:10" x14ac:dyDescent="0.3">
      <c r="I12421" t="s">
        <v>18488</v>
      </c>
      <c r="J12421" t="s">
        <v>4741</v>
      </c>
    </row>
    <row r="12422" spans="9:10" x14ac:dyDescent="0.3">
      <c r="I12422" t="s">
        <v>18489</v>
      </c>
      <c r="J12422" t="s">
        <v>4741</v>
      </c>
    </row>
    <row r="12423" spans="9:10" x14ac:dyDescent="0.3">
      <c r="I12423" t="s">
        <v>18490</v>
      </c>
      <c r="J12423">
        <v>0</v>
      </c>
    </row>
    <row r="12424" spans="9:10" x14ac:dyDescent="0.3">
      <c r="I12424" t="s">
        <v>18491</v>
      </c>
      <c r="J12424" t="s">
        <v>4742</v>
      </c>
    </row>
    <row r="12425" spans="9:10" x14ac:dyDescent="0.3">
      <c r="I12425" t="s">
        <v>18492</v>
      </c>
    </row>
    <row r="12426" spans="9:10" x14ac:dyDescent="0.3">
      <c r="I12426" t="s">
        <v>18493</v>
      </c>
      <c r="J12426" t="s">
        <v>4743</v>
      </c>
    </row>
    <row r="12427" spans="9:10" x14ac:dyDescent="0.3">
      <c r="I12427" t="s">
        <v>18494</v>
      </c>
      <c r="J12427" t="s">
        <v>4743</v>
      </c>
    </row>
    <row r="12428" spans="9:10" x14ac:dyDescent="0.3">
      <c r="I12428" t="s">
        <v>18495</v>
      </c>
      <c r="J12428" t="s">
        <v>4743</v>
      </c>
    </row>
    <row r="12429" spans="9:10" x14ac:dyDescent="0.3">
      <c r="I12429" t="s">
        <v>18496</v>
      </c>
      <c r="J12429" t="s">
        <v>4743</v>
      </c>
    </row>
    <row r="12430" spans="9:10" x14ac:dyDescent="0.3">
      <c r="I12430" t="s">
        <v>18497</v>
      </c>
      <c r="J12430" t="s">
        <v>4744</v>
      </c>
    </row>
    <row r="12431" spans="9:10" x14ac:dyDescent="0.3">
      <c r="I12431" t="s">
        <v>18498</v>
      </c>
      <c r="J12431" t="s">
        <v>4744</v>
      </c>
    </row>
    <row r="12432" spans="9:10" x14ac:dyDescent="0.3">
      <c r="I12432" t="s">
        <v>18499</v>
      </c>
      <c r="J12432" t="s">
        <v>4744</v>
      </c>
    </row>
    <row r="12433" spans="9:10" x14ac:dyDescent="0.3">
      <c r="I12433" t="s">
        <v>18500</v>
      </c>
      <c r="J12433" t="s">
        <v>4744</v>
      </c>
    </row>
    <row r="12434" spans="9:10" x14ac:dyDescent="0.3">
      <c r="I12434" t="s">
        <v>18501</v>
      </c>
      <c r="J12434" t="s">
        <v>4744</v>
      </c>
    </row>
    <row r="12435" spans="9:10" x14ac:dyDescent="0.3">
      <c r="I12435" t="s">
        <v>18502</v>
      </c>
      <c r="J12435" t="s">
        <v>4745</v>
      </c>
    </row>
    <row r="12436" spans="9:10" x14ac:dyDescent="0.3">
      <c r="I12436" t="s">
        <v>18503</v>
      </c>
      <c r="J12436" t="s">
        <v>4746</v>
      </c>
    </row>
    <row r="12437" spans="9:10" x14ac:dyDescent="0.3">
      <c r="I12437" t="s">
        <v>18504</v>
      </c>
      <c r="J12437" t="s">
        <v>4747</v>
      </c>
    </row>
    <row r="12438" spans="9:10" x14ac:dyDescent="0.3">
      <c r="I12438" t="s">
        <v>18505</v>
      </c>
      <c r="J12438" t="s">
        <v>4748</v>
      </c>
    </row>
    <row r="12439" spans="9:10" x14ac:dyDescent="0.3">
      <c r="I12439" t="s">
        <v>18506</v>
      </c>
      <c r="J12439" t="s">
        <v>4748</v>
      </c>
    </row>
    <row r="12440" spans="9:10" x14ac:dyDescent="0.3">
      <c r="I12440" t="s">
        <v>18507</v>
      </c>
      <c r="J12440" t="s">
        <v>4748</v>
      </c>
    </row>
    <row r="12441" spans="9:10" x14ac:dyDescent="0.3">
      <c r="I12441" t="s">
        <v>18508</v>
      </c>
      <c r="J12441" t="s">
        <v>4749</v>
      </c>
    </row>
    <row r="12442" spans="9:10" x14ac:dyDescent="0.3">
      <c r="I12442" t="s">
        <v>18509</v>
      </c>
      <c r="J12442" t="s">
        <v>4750</v>
      </c>
    </row>
    <row r="12443" spans="9:10" x14ac:dyDescent="0.3">
      <c r="I12443" t="s">
        <v>18510</v>
      </c>
    </row>
    <row r="12444" spans="9:10" x14ac:dyDescent="0.3">
      <c r="I12444" t="s">
        <v>18511</v>
      </c>
      <c r="J12444" t="s">
        <v>4751</v>
      </c>
    </row>
    <row r="12445" spans="9:10" x14ac:dyDescent="0.3">
      <c r="I12445" t="s">
        <v>18512</v>
      </c>
      <c r="J12445" t="s">
        <v>4752</v>
      </c>
    </row>
    <row r="12446" spans="9:10" x14ac:dyDescent="0.3">
      <c r="I12446" t="s">
        <v>18513</v>
      </c>
      <c r="J12446" t="s">
        <v>4753</v>
      </c>
    </row>
    <row r="12447" spans="9:10" x14ac:dyDescent="0.3">
      <c r="I12447" t="s">
        <v>18514</v>
      </c>
      <c r="J12447" t="s">
        <v>4754</v>
      </c>
    </row>
    <row r="12448" spans="9:10" x14ac:dyDescent="0.3">
      <c r="I12448" t="s">
        <v>18514</v>
      </c>
      <c r="J12448" t="s">
        <v>4754</v>
      </c>
    </row>
    <row r="12449" spans="9:10" x14ac:dyDescent="0.3">
      <c r="I12449" t="s">
        <v>18515</v>
      </c>
      <c r="J12449" t="s">
        <v>4755</v>
      </c>
    </row>
    <row r="12450" spans="9:10" x14ac:dyDescent="0.3">
      <c r="I12450" t="s">
        <v>18516</v>
      </c>
      <c r="J12450" t="s">
        <v>4756</v>
      </c>
    </row>
    <row r="12451" spans="9:10" x14ac:dyDescent="0.3">
      <c r="I12451" t="s">
        <v>18517</v>
      </c>
      <c r="J12451" t="s">
        <v>4756</v>
      </c>
    </row>
    <row r="12452" spans="9:10" x14ac:dyDescent="0.3">
      <c r="I12452" t="s">
        <v>18518</v>
      </c>
      <c r="J12452" t="s">
        <v>4757</v>
      </c>
    </row>
    <row r="12453" spans="9:10" x14ac:dyDescent="0.3">
      <c r="I12453" t="s">
        <v>18519</v>
      </c>
      <c r="J12453" t="s">
        <v>4757</v>
      </c>
    </row>
    <row r="12454" spans="9:10" x14ac:dyDescent="0.3">
      <c r="I12454" t="s">
        <v>18520</v>
      </c>
    </row>
    <row r="12455" spans="9:10" x14ac:dyDescent="0.3">
      <c r="I12455" t="s">
        <v>18521</v>
      </c>
      <c r="J12455" t="s">
        <v>4758</v>
      </c>
    </row>
    <row r="12456" spans="9:10" x14ac:dyDescent="0.3">
      <c r="I12456" t="s">
        <v>18522</v>
      </c>
      <c r="J12456" t="s">
        <v>4759</v>
      </c>
    </row>
    <row r="12457" spans="9:10" x14ac:dyDescent="0.3">
      <c r="I12457" t="s">
        <v>18523</v>
      </c>
      <c r="J12457" t="s">
        <v>4760</v>
      </c>
    </row>
    <row r="12458" spans="9:10" x14ac:dyDescent="0.3">
      <c r="I12458" t="s">
        <v>18524</v>
      </c>
      <c r="J12458" t="s">
        <v>4761</v>
      </c>
    </row>
    <row r="12459" spans="9:10" x14ac:dyDescent="0.3">
      <c r="I12459" t="s">
        <v>18525</v>
      </c>
      <c r="J12459" t="s">
        <v>4762</v>
      </c>
    </row>
    <row r="12460" spans="9:10" x14ac:dyDescent="0.3">
      <c r="I12460" t="s">
        <v>18526</v>
      </c>
      <c r="J12460" t="s">
        <v>4763</v>
      </c>
    </row>
    <row r="12461" spans="9:10" x14ac:dyDescent="0.3">
      <c r="I12461" t="s">
        <v>18527</v>
      </c>
      <c r="J12461" t="s">
        <v>4764</v>
      </c>
    </row>
    <row r="12462" spans="9:10" x14ac:dyDescent="0.3">
      <c r="I12462" t="s">
        <v>18528</v>
      </c>
      <c r="J12462" t="s">
        <v>4765</v>
      </c>
    </row>
    <row r="12463" spans="9:10" x14ac:dyDescent="0.3">
      <c r="I12463" t="s">
        <v>18529</v>
      </c>
      <c r="J12463" t="s">
        <v>4766</v>
      </c>
    </row>
    <row r="12464" spans="9:10" x14ac:dyDescent="0.3">
      <c r="I12464" t="s">
        <v>18530</v>
      </c>
      <c r="J12464" t="s">
        <v>4766</v>
      </c>
    </row>
    <row r="12465" spans="9:10" x14ac:dyDescent="0.3">
      <c r="I12465" t="s">
        <v>18531</v>
      </c>
      <c r="J12465" t="s">
        <v>4767</v>
      </c>
    </row>
    <row r="12466" spans="9:10" x14ac:dyDescent="0.3">
      <c r="I12466" t="s">
        <v>18532</v>
      </c>
    </row>
    <row r="12467" spans="9:10" x14ac:dyDescent="0.3">
      <c r="I12467" t="s">
        <v>18533</v>
      </c>
      <c r="J12467" t="s">
        <v>4768</v>
      </c>
    </row>
    <row r="12468" spans="9:10" x14ac:dyDescent="0.3">
      <c r="I12468" t="s">
        <v>18534</v>
      </c>
      <c r="J12468" t="s">
        <v>4769</v>
      </c>
    </row>
    <row r="12469" spans="9:10" x14ac:dyDescent="0.3">
      <c r="I12469" t="s">
        <v>18535</v>
      </c>
      <c r="J12469" t="s">
        <v>4769</v>
      </c>
    </row>
    <row r="12470" spans="9:10" x14ac:dyDescent="0.3">
      <c r="I12470" t="s">
        <v>18536</v>
      </c>
      <c r="J12470" t="s">
        <v>4770</v>
      </c>
    </row>
    <row r="12471" spans="9:10" x14ac:dyDescent="0.3">
      <c r="I12471" t="s">
        <v>18537</v>
      </c>
      <c r="J12471" t="s">
        <v>4771</v>
      </c>
    </row>
    <row r="12472" spans="9:10" x14ac:dyDescent="0.3">
      <c r="I12472" t="s">
        <v>18538</v>
      </c>
    </row>
    <row r="12473" spans="9:10" x14ac:dyDescent="0.3">
      <c r="I12473" t="s">
        <v>18539</v>
      </c>
      <c r="J12473" t="s">
        <v>4772</v>
      </c>
    </row>
    <row r="12474" spans="9:10" x14ac:dyDescent="0.3">
      <c r="I12474" t="s">
        <v>18540</v>
      </c>
      <c r="J12474" t="s">
        <v>4773</v>
      </c>
    </row>
    <row r="12475" spans="9:10" x14ac:dyDescent="0.3">
      <c r="I12475" t="s">
        <v>18541</v>
      </c>
      <c r="J12475" t="s">
        <v>4774</v>
      </c>
    </row>
    <row r="12476" spans="9:10" x14ac:dyDescent="0.3">
      <c r="I12476" t="s">
        <v>18542</v>
      </c>
      <c r="J12476" t="s">
        <v>4775</v>
      </c>
    </row>
    <row r="12477" spans="9:10" x14ac:dyDescent="0.3">
      <c r="I12477" t="s">
        <v>18543</v>
      </c>
      <c r="J12477" t="s">
        <v>386</v>
      </c>
    </row>
    <row r="12478" spans="9:10" x14ac:dyDescent="0.3">
      <c r="I12478" t="s">
        <v>18544</v>
      </c>
      <c r="J12478" t="s">
        <v>386</v>
      </c>
    </row>
    <row r="12479" spans="9:10" x14ac:dyDescent="0.3">
      <c r="I12479" t="s">
        <v>18545</v>
      </c>
      <c r="J12479" t="s">
        <v>4776</v>
      </c>
    </row>
    <row r="12480" spans="9:10" x14ac:dyDescent="0.3">
      <c r="I12480" t="s">
        <v>18546</v>
      </c>
      <c r="J12480" t="s">
        <v>4776</v>
      </c>
    </row>
    <row r="12481" spans="9:10" x14ac:dyDescent="0.3">
      <c r="I12481" t="s">
        <v>18545</v>
      </c>
      <c r="J12481" t="s">
        <v>4776</v>
      </c>
    </row>
    <row r="12482" spans="9:10" x14ac:dyDescent="0.3">
      <c r="I12482" t="s">
        <v>18545</v>
      </c>
      <c r="J12482" t="s">
        <v>4776</v>
      </c>
    </row>
    <row r="12483" spans="9:10" x14ac:dyDescent="0.3">
      <c r="I12483" t="s">
        <v>18547</v>
      </c>
      <c r="J12483" t="s">
        <v>2045</v>
      </c>
    </row>
    <row r="12484" spans="9:10" x14ac:dyDescent="0.3">
      <c r="I12484" t="s">
        <v>18548</v>
      </c>
      <c r="J12484" t="s">
        <v>4777</v>
      </c>
    </row>
    <row r="12485" spans="9:10" x14ac:dyDescent="0.3">
      <c r="I12485" t="s">
        <v>18549</v>
      </c>
    </row>
    <row r="12486" spans="9:10" x14ac:dyDescent="0.3">
      <c r="I12486" t="s">
        <v>18550</v>
      </c>
      <c r="J12486" t="s">
        <v>4778</v>
      </c>
    </row>
    <row r="12487" spans="9:10" x14ac:dyDescent="0.3">
      <c r="I12487" t="s">
        <v>18551</v>
      </c>
      <c r="J12487" t="s">
        <v>4779</v>
      </c>
    </row>
    <row r="12488" spans="9:10" x14ac:dyDescent="0.3">
      <c r="I12488" t="s">
        <v>18552</v>
      </c>
    </row>
    <row r="12489" spans="9:10" x14ac:dyDescent="0.3">
      <c r="I12489" t="s">
        <v>18553</v>
      </c>
      <c r="J12489" t="s">
        <v>4780</v>
      </c>
    </row>
    <row r="12490" spans="9:10" x14ac:dyDescent="0.3">
      <c r="I12490" t="s">
        <v>18554</v>
      </c>
      <c r="J12490" t="s">
        <v>4781</v>
      </c>
    </row>
    <row r="12491" spans="9:10" x14ac:dyDescent="0.3">
      <c r="I12491" t="s">
        <v>18555</v>
      </c>
      <c r="J12491" t="s">
        <v>4782</v>
      </c>
    </row>
    <row r="12492" spans="9:10" x14ac:dyDescent="0.3">
      <c r="I12492" t="s">
        <v>18556</v>
      </c>
      <c r="J12492" t="s">
        <v>4782</v>
      </c>
    </row>
    <row r="12493" spans="9:10" x14ac:dyDescent="0.3">
      <c r="I12493" t="s">
        <v>18557</v>
      </c>
      <c r="J12493" t="s">
        <v>4783</v>
      </c>
    </row>
    <row r="12494" spans="9:10" x14ac:dyDescent="0.3">
      <c r="I12494" t="s">
        <v>18558</v>
      </c>
      <c r="J12494" t="s">
        <v>4783</v>
      </c>
    </row>
    <row r="12495" spans="9:10" x14ac:dyDescent="0.3">
      <c r="I12495" t="s">
        <v>18559</v>
      </c>
      <c r="J12495" t="s">
        <v>4784</v>
      </c>
    </row>
    <row r="12496" spans="9:10" x14ac:dyDescent="0.3">
      <c r="I12496" t="s">
        <v>18560</v>
      </c>
      <c r="J12496" t="s">
        <v>4784</v>
      </c>
    </row>
    <row r="12497" spans="9:10" x14ac:dyDescent="0.3">
      <c r="I12497" t="s">
        <v>18560</v>
      </c>
      <c r="J12497" t="s">
        <v>4784</v>
      </c>
    </row>
    <row r="12498" spans="9:10" x14ac:dyDescent="0.3">
      <c r="I12498" t="s">
        <v>18561</v>
      </c>
      <c r="J12498" t="s">
        <v>4785</v>
      </c>
    </row>
    <row r="12499" spans="9:10" x14ac:dyDescent="0.3">
      <c r="I12499" t="s">
        <v>18562</v>
      </c>
      <c r="J12499" t="s">
        <v>4785</v>
      </c>
    </row>
    <row r="12500" spans="9:10" x14ac:dyDescent="0.3">
      <c r="I12500" t="s">
        <v>18563</v>
      </c>
    </row>
    <row r="12501" spans="9:10" x14ac:dyDescent="0.3">
      <c r="I12501" t="s">
        <v>18564</v>
      </c>
      <c r="J12501" t="s">
        <v>4786</v>
      </c>
    </row>
    <row r="12502" spans="9:10" x14ac:dyDescent="0.3">
      <c r="I12502" t="s">
        <v>18565</v>
      </c>
      <c r="J12502" t="s">
        <v>4787</v>
      </c>
    </row>
    <row r="12503" spans="9:10" x14ac:dyDescent="0.3">
      <c r="I12503" t="s">
        <v>18566</v>
      </c>
      <c r="J12503" t="s">
        <v>2401</v>
      </c>
    </row>
    <row r="12504" spans="9:10" x14ac:dyDescent="0.3">
      <c r="I12504" t="s">
        <v>13117</v>
      </c>
      <c r="J12504" t="s">
        <v>2401</v>
      </c>
    </row>
    <row r="12505" spans="9:10" x14ac:dyDescent="0.3">
      <c r="I12505" t="s">
        <v>18567</v>
      </c>
      <c r="J12505" t="s">
        <v>4788</v>
      </c>
    </row>
    <row r="12506" spans="9:10" x14ac:dyDescent="0.3">
      <c r="I12506" t="s">
        <v>18568</v>
      </c>
      <c r="J12506" t="s">
        <v>4789</v>
      </c>
    </row>
    <row r="12507" spans="9:10" x14ac:dyDescent="0.3">
      <c r="I12507" t="s">
        <v>18568</v>
      </c>
      <c r="J12507" t="s">
        <v>4789</v>
      </c>
    </row>
    <row r="12508" spans="9:10" x14ac:dyDescent="0.3">
      <c r="I12508" t="s">
        <v>18569</v>
      </c>
      <c r="J12508" t="s">
        <v>4790</v>
      </c>
    </row>
    <row r="12509" spans="9:10" x14ac:dyDescent="0.3">
      <c r="I12509" t="s">
        <v>18570</v>
      </c>
      <c r="J12509" t="s">
        <v>609</v>
      </c>
    </row>
    <row r="12510" spans="9:10" x14ac:dyDescent="0.3">
      <c r="I12510" t="s">
        <v>18570</v>
      </c>
      <c r="J12510" t="s">
        <v>609</v>
      </c>
    </row>
    <row r="12511" spans="9:10" x14ac:dyDescent="0.3">
      <c r="I12511" t="s">
        <v>18571</v>
      </c>
      <c r="J12511" t="s">
        <v>4791</v>
      </c>
    </row>
    <row r="12512" spans="9:10" x14ac:dyDescent="0.3">
      <c r="I12512" t="s">
        <v>18572</v>
      </c>
      <c r="J12512" t="s">
        <v>4792</v>
      </c>
    </row>
    <row r="12513" spans="9:10" x14ac:dyDescent="0.3">
      <c r="I12513" t="s">
        <v>18573</v>
      </c>
      <c r="J12513" t="s">
        <v>4793</v>
      </c>
    </row>
    <row r="12514" spans="9:10" x14ac:dyDescent="0.3">
      <c r="I12514" t="s">
        <v>18574</v>
      </c>
      <c r="J12514" t="s">
        <v>4794</v>
      </c>
    </row>
    <row r="12515" spans="9:10" x14ac:dyDescent="0.3">
      <c r="I12515" t="s">
        <v>18575</v>
      </c>
      <c r="J12515" t="s">
        <v>4795</v>
      </c>
    </row>
    <row r="12516" spans="9:10" x14ac:dyDescent="0.3">
      <c r="I12516" t="s">
        <v>18576</v>
      </c>
      <c r="J12516" t="s">
        <v>4796</v>
      </c>
    </row>
    <row r="12517" spans="9:10" x14ac:dyDescent="0.3">
      <c r="I12517" t="s">
        <v>18577</v>
      </c>
      <c r="J12517" t="s">
        <v>4797</v>
      </c>
    </row>
    <row r="12518" spans="9:10" x14ac:dyDescent="0.3">
      <c r="I12518" t="s">
        <v>18578</v>
      </c>
      <c r="J12518" t="s">
        <v>4798</v>
      </c>
    </row>
    <row r="12519" spans="9:10" x14ac:dyDescent="0.3">
      <c r="I12519" t="s">
        <v>18579</v>
      </c>
      <c r="J12519" t="s">
        <v>4798</v>
      </c>
    </row>
    <row r="12520" spans="9:10" x14ac:dyDescent="0.3">
      <c r="I12520" t="s">
        <v>18580</v>
      </c>
      <c r="J12520" t="s">
        <v>4799</v>
      </c>
    </row>
    <row r="12521" spans="9:10" x14ac:dyDescent="0.3">
      <c r="I12521" t="s">
        <v>18581</v>
      </c>
      <c r="J12521" t="s">
        <v>4799</v>
      </c>
    </row>
    <row r="12522" spans="9:10" x14ac:dyDescent="0.3">
      <c r="I12522" t="s">
        <v>18582</v>
      </c>
      <c r="J12522" t="s">
        <v>4800</v>
      </c>
    </row>
    <row r="12523" spans="9:10" x14ac:dyDescent="0.3">
      <c r="I12523" t="s">
        <v>18583</v>
      </c>
      <c r="J12523" t="s">
        <v>4801</v>
      </c>
    </row>
    <row r="12524" spans="9:10" x14ac:dyDescent="0.3">
      <c r="I12524" t="s">
        <v>18584</v>
      </c>
      <c r="J12524" t="s">
        <v>4802</v>
      </c>
    </row>
    <row r="12525" spans="9:10" x14ac:dyDescent="0.3">
      <c r="I12525" t="s">
        <v>18585</v>
      </c>
      <c r="J12525" t="s">
        <v>4803</v>
      </c>
    </row>
    <row r="12526" spans="9:10" x14ac:dyDescent="0.3">
      <c r="I12526" t="s">
        <v>18586</v>
      </c>
      <c r="J12526" t="s">
        <v>4804</v>
      </c>
    </row>
    <row r="12527" spans="9:10" x14ac:dyDescent="0.3">
      <c r="I12527" t="s">
        <v>18587</v>
      </c>
      <c r="J12527" t="s">
        <v>4804</v>
      </c>
    </row>
    <row r="12528" spans="9:10" x14ac:dyDescent="0.3">
      <c r="I12528" t="s">
        <v>18588</v>
      </c>
      <c r="J12528" t="s">
        <v>4804</v>
      </c>
    </row>
    <row r="12529" spans="9:10" x14ac:dyDescent="0.3">
      <c r="I12529" t="s">
        <v>18589</v>
      </c>
      <c r="J12529" t="s">
        <v>4804</v>
      </c>
    </row>
    <row r="12530" spans="9:10" x14ac:dyDescent="0.3">
      <c r="I12530" t="s">
        <v>18586</v>
      </c>
      <c r="J12530" t="s">
        <v>4804</v>
      </c>
    </row>
    <row r="12531" spans="9:10" x14ac:dyDescent="0.3">
      <c r="I12531" t="s">
        <v>18586</v>
      </c>
      <c r="J12531" t="s">
        <v>4804</v>
      </c>
    </row>
    <row r="12532" spans="9:10" x14ac:dyDescent="0.3">
      <c r="I12532" t="s">
        <v>18586</v>
      </c>
      <c r="J12532" t="s">
        <v>4804</v>
      </c>
    </row>
    <row r="12533" spans="9:10" x14ac:dyDescent="0.3">
      <c r="I12533" t="s">
        <v>18586</v>
      </c>
      <c r="J12533" t="s">
        <v>4804</v>
      </c>
    </row>
    <row r="12534" spans="9:10" x14ac:dyDescent="0.3">
      <c r="I12534" t="s">
        <v>18586</v>
      </c>
      <c r="J12534" t="s">
        <v>4804</v>
      </c>
    </row>
    <row r="12535" spans="9:10" x14ac:dyDescent="0.3">
      <c r="I12535" t="s">
        <v>18590</v>
      </c>
      <c r="J12535" t="s">
        <v>4805</v>
      </c>
    </row>
    <row r="12536" spans="9:10" x14ac:dyDescent="0.3">
      <c r="I12536" t="s">
        <v>18590</v>
      </c>
      <c r="J12536" t="s">
        <v>4805</v>
      </c>
    </row>
    <row r="12537" spans="9:10" x14ac:dyDescent="0.3">
      <c r="I12537" t="s">
        <v>18591</v>
      </c>
    </row>
    <row r="12538" spans="9:10" x14ac:dyDescent="0.3">
      <c r="I12538" t="s">
        <v>18592</v>
      </c>
      <c r="J12538" t="s">
        <v>4806</v>
      </c>
    </row>
    <row r="12539" spans="9:10" x14ac:dyDescent="0.3">
      <c r="I12539" t="s">
        <v>18593</v>
      </c>
      <c r="J12539" t="s">
        <v>4807</v>
      </c>
    </row>
    <row r="12540" spans="9:10" x14ac:dyDescent="0.3">
      <c r="I12540" t="s">
        <v>18594</v>
      </c>
      <c r="J12540" t="s">
        <v>4808</v>
      </c>
    </row>
    <row r="12541" spans="9:10" x14ac:dyDescent="0.3">
      <c r="I12541" t="s">
        <v>18595</v>
      </c>
      <c r="J12541" t="s">
        <v>4809</v>
      </c>
    </row>
    <row r="12542" spans="9:10" x14ac:dyDescent="0.3">
      <c r="I12542" t="s">
        <v>18596</v>
      </c>
      <c r="J12542" t="s">
        <v>4810</v>
      </c>
    </row>
    <row r="12543" spans="9:10" x14ac:dyDescent="0.3">
      <c r="I12543" t="s">
        <v>18597</v>
      </c>
      <c r="J12543" t="s">
        <v>4811</v>
      </c>
    </row>
    <row r="12544" spans="9:10" x14ac:dyDescent="0.3">
      <c r="I12544" t="s">
        <v>18598</v>
      </c>
      <c r="J12544" t="s">
        <v>4812</v>
      </c>
    </row>
    <row r="12545" spans="9:10" x14ac:dyDescent="0.3">
      <c r="I12545" t="s">
        <v>18599</v>
      </c>
      <c r="J12545" t="s">
        <v>4813</v>
      </c>
    </row>
    <row r="12546" spans="9:10" x14ac:dyDescent="0.3">
      <c r="I12546" t="s">
        <v>18600</v>
      </c>
      <c r="J12546" t="s">
        <v>4814</v>
      </c>
    </row>
    <row r="12547" spans="9:10" x14ac:dyDescent="0.3">
      <c r="I12547" t="s">
        <v>18601</v>
      </c>
      <c r="J12547" t="s">
        <v>4815</v>
      </c>
    </row>
    <row r="12548" spans="9:10" x14ac:dyDescent="0.3">
      <c r="I12548" t="s">
        <v>18602</v>
      </c>
      <c r="J12548" t="s">
        <v>4816</v>
      </c>
    </row>
    <row r="12549" spans="9:10" x14ac:dyDescent="0.3">
      <c r="I12549" t="s">
        <v>18602</v>
      </c>
      <c r="J12549" t="s">
        <v>4816</v>
      </c>
    </row>
    <row r="12550" spans="9:10" x14ac:dyDescent="0.3">
      <c r="I12550" t="s">
        <v>17327</v>
      </c>
      <c r="J12550" t="s">
        <v>4817</v>
      </c>
    </row>
    <row r="12551" spans="9:10" x14ac:dyDescent="0.3">
      <c r="I12551" t="s">
        <v>18603</v>
      </c>
      <c r="J12551" t="s">
        <v>4818</v>
      </c>
    </row>
    <row r="12552" spans="9:10" x14ac:dyDescent="0.3">
      <c r="I12552" t="s">
        <v>18604</v>
      </c>
      <c r="J12552" t="s">
        <v>4819</v>
      </c>
    </row>
    <row r="12553" spans="9:10" x14ac:dyDescent="0.3">
      <c r="I12553" t="s">
        <v>18605</v>
      </c>
      <c r="J12553" t="s">
        <v>4819</v>
      </c>
    </row>
    <row r="12554" spans="9:10" x14ac:dyDescent="0.3">
      <c r="I12554" t="s">
        <v>18606</v>
      </c>
      <c r="J12554" t="s">
        <v>4819</v>
      </c>
    </row>
    <row r="12555" spans="9:10" x14ac:dyDescent="0.3">
      <c r="I12555" t="s">
        <v>18606</v>
      </c>
      <c r="J12555" t="s">
        <v>4819</v>
      </c>
    </row>
    <row r="12556" spans="9:10" x14ac:dyDescent="0.3">
      <c r="I12556" t="s">
        <v>18607</v>
      </c>
      <c r="J12556" t="s">
        <v>4819</v>
      </c>
    </row>
    <row r="12557" spans="9:10" x14ac:dyDescent="0.3">
      <c r="I12557" t="s">
        <v>18606</v>
      </c>
      <c r="J12557" t="s">
        <v>4819</v>
      </c>
    </row>
    <row r="12558" spans="9:10" x14ac:dyDescent="0.3">
      <c r="I12558" t="s">
        <v>18608</v>
      </c>
      <c r="J12558" t="s">
        <v>237</v>
      </c>
    </row>
    <row r="12559" spans="9:10" x14ac:dyDescent="0.3">
      <c r="I12559" t="s">
        <v>18608</v>
      </c>
      <c r="J12559" t="s">
        <v>237</v>
      </c>
    </row>
    <row r="12560" spans="9:10" x14ac:dyDescent="0.3">
      <c r="I12560" t="s">
        <v>18609</v>
      </c>
      <c r="J12560" t="s">
        <v>237</v>
      </c>
    </row>
    <row r="12561" spans="9:10" x14ac:dyDescent="0.3">
      <c r="I12561" t="s">
        <v>18610</v>
      </c>
      <c r="J12561" t="s">
        <v>4820</v>
      </c>
    </row>
    <row r="12562" spans="9:10" x14ac:dyDescent="0.3">
      <c r="I12562" t="s">
        <v>18611</v>
      </c>
      <c r="J12562" t="s">
        <v>4821</v>
      </c>
    </row>
    <row r="12563" spans="9:10" x14ac:dyDescent="0.3">
      <c r="I12563" t="s">
        <v>18611</v>
      </c>
      <c r="J12563" t="s">
        <v>4821</v>
      </c>
    </row>
    <row r="12564" spans="9:10" x14ac:dyDescent="0.3">
      <c r="I12564" t="s">
        <v>18611</v>
      </c>
      <c r="J12564" t="s">
        <v>4821</v>
      </c>
    </row>
    <row r="12565" spans="9:10" x14ac:dyDescent="0.3">
      <c r="I12565" t="s">
        <v>18611</v>
      </c>
      <c r="J12565" t="s">
        <v>4821</v>
      </c>
    </row>
    <row r="12566" spans="9:10" x14ac:dyDescent="0.3">
      <c r="I12566" t="s">
        <v>18611</v>
      </c>
      <c r="J12566" t="s">
        <v>4821</v>
      </c>
    </row>
    <row r="12567" spans="9:10" x14ac:dyDescent="0.3">
      <c r="I12567" t="s">
        <v>18611</v>
      </c>
      <c r="J12567" t="s">
        <v>4821</v>
      </c>
    </row>
    <row r="12568" spans="9:10" x14ac:dyDescent="0.3">
      <c r="I12568" t="s">
        <v>18612</v>
      </c>
      <c r="J12568" t="s">
        <v>4821</v>
      </c>
    </row>
    <row r="12569" spans="9:10" x14ac:dyDescent="0.3">
      <c r="I12569" t="s">
        <v>18612</v>
      </c>
      <c r="J12569" t="s">
        <v>4821</v>
      </c>
    </row>
    <row r="12570" spans="9:10" x14ac:dyDescent="0.3">
      <c r="I12570" t="s">
        <v>18611</v>
      </c>
      <c r="J12570" t="s">
        <v>4821</v>
      </c>
    </row>
    <row r="12571" spans="9:10" x14ac:dyDescent="0.3">
      <c r="I12571" t="s">
        <v>18613</v>
      </c>
      <c r="J12571" t="s">
        <v>4821</v>
      </c>
    </row>
    <row r="12572" spans="9:10" x14ac:dyDescent="0.3">
      <c r="I12572" t="s">
        <v>18614</v>
      </c>
      <c r="J12572" t="s">
        <v>4821</v>
      </c>
    </row>
    <row r="12573" spans="9:10" x14ac:dyDescent="0.3">
      <c r="I12573" t="s">
        <v>18613</v>
      </c>
      <c r="J12573" t="s">
        <v>4821</v>
      </c>
    </row>
    <row r="12574" spans="9:10" x14ac:dyDescent="0.3">
      <c r="I12574" t="s">
        <v>18615</v>
      </c>
      <c r="J12574" t="s">
        <v>4821</v>
      </c>
    </row>
    <row r="12575" spans="9:10" x14ac:dyDescent="0.3">
      <c r="I12575" t="s">
        <v>18613</v>
      </c>
      <c r="J12575" t="s">
        <v>4821</v>
      </c>
    </row>
    <row r="12576" spans="9:10" x14ac:dyDescent="0.3">
      <c r="I12576" t="s">
        <v>18613</v>
      </c>
      <c r="J12576" t="s">
        <v>4821</v>
      </c>
    </row>
    <row r="12577" spans="9:10" x14ac:dyDescent="0.3">
      <c r="I12577" t="s">
        <v>18616</v>
      </c>
      <c r="J12577" t="s">
        <v>4821</v>
      </c>
    </row>
    <row r="12578" spans="9:10" x14ac:dyDescent="0.3">
      <c r="I12578" t="s">
        <v>18613</v>
      </c>
      <c r="J12578" t="s">
        <v>4821</v>
      </c>
    </row>
    <row r="12579" spans="9:10" x14ac:dyDescent="0.3">
      <c r="I12579" t="s">
        <v>18617</v>
      </c>
      <c r="J12579" t="s">
        <v>4822</v>
      </c>
    </row>
    <row r="12580" spans="9:10" x14ac:dyDescent="0.3">
      <c r="I12580" t="s">
        <v>18618</v>
      </c>
      <c r="J12580" t="s">
        <v>4823</v>
      </c>
    </row>
    <row r="12581" spans="9:10" x14ac:dyDescent="0.3">
      <c r="I12581" t="s">
        <v>18618</v>
      </c>
      <c r="J12581" t="s">
        <v>4823</v>
      </c>
    </row>
    <row r="12582" spans="9:10" x14ac:dyDescent="0.3">
      <c r="I12582" t="s">
        <v>18619</v>
      </c>
      <c r="J12582" t="s">
        <v>4824</v>
      </c>
    </row>
    <row r="12583" spans="9:10" x14ac:dyDescent="0.3">
      <c r="I12583" t="s">
        <v>18620</v>
      </c>
      <c r="J12583" t="s">
        <v>2448</v>
      </c>
    </row>
    <row r="12584" spans="9:10" x14ac:dyDescent="0.3">
      <c r="I12584" t="s">
        <v>13222</v>
      </c>
      <c r="J12584" t="s">
        <v>2448</v>
      </c>
    </row>
    <row r="12585" spans="9:10" x14ac:dyDescent="0.3">
      <c r="I12585" t="s">
        <v>18621</v>
      </c>
      <c r="J12585" t="s">
        <v>4825</v>
      </c>
    </row>
    <row r="12586" spans="9:10" x14ac:dyDescent="0.3">
      <c r="I12586" t="s">
        <v>18622</v>
      </c>
    </row>
    <row r="12587" spans="9:10" x14ac:dyDescent="0.3">
      <c r="I12587" t="s">
        <v>18623</v>
      </c>
    </row>
    <row r="12588" spans="9:10" x14ac:dyDescent="0.3">
      <c r="I12588" t="s">
        <v>18624</v>
      </c>
      <c r="J12588" t="s">
        <v>4826</v>
      </c>
    </row>
    <row r="12589" spans="9:10" x14ac:dyDescent="0.3">
      <c r="I12589" t="s">
        <v>18625</v>
      </c>
      <c r="J12589" t="s">
        <v>4827</v>
      </c>
    </row>
    <row r="12590" spans="9:10" x14ac:dyDescent="0.3">
      <c r="I12590" t="s">
        <v>18626</v>
      </c>
      <c r="J12590" t="s">
        <v>4828</v>
      </c>
    </row>
    <row r="12591" spans="9:10" x14ac:dyDescent="0.3">
      <c r="I12591" t="s">
        <v>18627</v>
      </c>
      <c r="J12591" t="s">
        <v>4829</v>
      </c>
    </row>
    <row r="12592" spans="9:10" x14ac:dyDescent="0.3">
      <c r="I12592" t="s">
        <v>18628</v>
      </c>
      <c r="J12592" t="s">
        <v>4830</v>
      </c>
    </row>
    <row r="12593" spans="9:10" x14ac:dyDescent="0.3">
      <c r="I12593" t="s">
        <v>18629</v>
      </c>
      <c r="J12593" t="s">
        <v>4831</v>
      </c>
    </row>
    <row r="12594" spans="9:10" x14ac:dyDescent="0.3">
      <c r="I12594" t="s">
        <v>18630</v>
      </c>
      <c r="J12594" t="s">
        <v>4831</v>
      </c>
    </row>
    <row r="12595" spans="9:10" x14ac:dyDescent="0.3">
      <c r="I12595" t="s">
        <v>18630</v>
      </c>
      <c r="J12595" t="s">
        <v>4831</v>
      </c>
    </row>
    <row r="12596" spans="9:10" x14ac:dyDescent="0.3">
      <c r="I12596" t="s">
        <v>18631</v>
      </c>
      <c r="J12596" t="s">
        <v>4832</v>
      </c>
    </row>
    <row r="12597" spans="9:10" x14ac:dyDescent="0.3">
      <c r="I12597" t="s">
        <v>18631</v>
      </c>
      <c r="J12597" t="s">
        <v>4832</v>
      </c>
    </row>
    <row r="12598" spans="9:10" x14ac:dyDescent="0.3">
      <c r="I12598" t="s">
        <v>18632</v>
      </c>
      <c r="J12598" t="s">
        <v>4832</v>
      </c>
    </row>
    <row r="12599" spans="9:10" x14ac:dyDescent="0.3">
      <c r="I12599" t="s">
        <v>18631</v>
      </c>
      <c r="J12599" t="s">
        <v>4832</v>
      </c>
    </row>
    <row r="12600" spans="9:10" x14ac:dyDescent="0.3">
      <c r="I12600" t="s">
        <v>18633</v>
      </c>
      <c r="J12600" t="s">
        <v>4833</v>
      </c>
    </row>
    <row r="12601" spans="9:10" x14ac:dyDescent="0.3">
      <c r="I12601" t="s">
        <v>18634</v>
      </c>
      <c r="J12601" t="s">
        <v>4834</v>
      </c>
    </row>
    <row r="12602" spans="9:10" x14ac:dyDescent="0.3">
      <c r="I12602" t="s">
        <v>18635</v>
      </c>
      <c r="J12602" t="s">
        <v>4835</v>
      </c>
    </row>
    <row r="12603" spans="9:10" x14ac:dyDescent="0.3">
      <c r="I12603" t="s">
        <v>18636</v>
      </c>
      <c r="J12603" t="s">
        <v>4836</v>
      </c>
    </row>
    <row r="12604" spans="9:10" x14ac:dyDescent="0.3">
      <c r="I12604" t="s">
        <v>18637</v>
      </c>
      <c r="J12604" t="s">
        <v>4837</v>
      </c>
    </row>
    <row r="12605" spans="9:10" x14ac:dyDescent="0.3">
      <c r="I12605" t="s">
        <v>18638</v>
      </c>
      <c r="J12605" t="s">
        <v>4838</v>
      </c>
    </row>
    <row r="12606" spans="9:10" x14ac:dyDescent="0.3">
      <c r="I12606" t="s">
        <v>18639</v>
      </c>
    </row>
    <row r="12607" spans="9:10" x14ac:dyDescent="0.3">
      <c r="I12607" t="s">
        <v>18640</v>
      </c>
      <c r="J12607" t="s">
        <v>4839</v>
      </c>
    </row>
    <row r="12608" spans="9:10" x14ac:dyDescent="0.3">
      <c r="I12608" t="s">
        <v>18641</v>
      </c>
      <c r="J12608" t="s">
        <v>4840</v>
      </c>
    </row>
    <row r="12609" spans="9:10" x14ac:dyDescent="0.3">
      <c r="I12609" t="s">
        <v>18642</v>
      </c>
      <c r="J12609" t="s">
        <v>4841</v>
      </c>
    </row>
    <row r="12610" spans="9:10" x14ac:dyDescent="0.3">
      <c r="I12610" t="s">
        <v>18643</v>
      </c>
      <c r="J12610" t="s">
        <v>4842</v>
      </c>
    </row>
    <row r="12611" spans="9:10" x14ac:dyDescent="0.3">
      <c r="I12611" t="s">
        <v>18644</v>
      </c>
      <c r="J12611" t="s">
        <v>4843</v>
      </c>
    </row>
    <row r="12612" spans="9:10" x14ac:dyDescent="0.3">
      <c r="I12612" t="s">
        <v>18645</v>
      </c>
      <c r="J12612" t="s">
        <v>4844</v>
      </c>
    </row>
    <row r="12613" spans="9:10" x14ac:dyDescent="0.3">
      <c r="I12613" t="s">
        <v>18646</v>
      </c>
      <c r="J12613" t="s">
        <v>4845</v>
      </c>
    </row>
    <row r="12614" spans="9:10" x14ac:dyDescent="0.3">
      <c r="I12614" t="s">
        <v>18647</v>
      </c>
      <c r="J12614" t="s">
        <v>4846</v>
      </c>
    </row>
    <row r="12615" spans="9:10" x14ac:dyDescent="0.3">
      <c r="I12615" t="s">
        <v>18648</v>
      </c>
      <c r="J12615" t="s">
        <v>4847</v>
      </c>
    </row>
    <row r="12616" spans="9:10" x14ac:dyDescent="0.3">
      <c r="I12616" t="s">
        <v>18649</v>
      </c>
    </row>
    <row r="12617" spans="9:10" x14ac:dyDescent="0.3">
      <c r="I12617" t="s">
        <v>18650</v>
      </c>
      <c r="J12617" t="s">
        <v>4848</v>
      </c>
    </row>
    <row r="12618" spans="9:10" x14ac:dyDescent="0.3">
      <c r="I12618" t="s">
        <v>18651</v>
      </c>
      <c r="J12618" t="s">
        <v>4849</v>
      </c>
    </row>
    <row r="12619" spans="9:10" x14ac:dyDescent="0.3">
      <c r="I12619" t="s">
        <v>18652</v>
      </c>
    </row>
    <row r="12620" spans="9:10" x14ac:dyDescent="0.3">
      <c r="I12620" t="s">
        <v>18652</v>
      </c>
    </row>
    <row r="12621" spans="9:10" x14ac:dyDescent="0.3">
      <c r="I12621" t="s">
        <v>18653</v>
      </c>
      <c r="J12621" t="s">
        <v>4850</v>
      </c>
    </row>
    <row r="12622" spans="9:10" x14ac:dyDescent="0.3">
      <c r="I12622" t="s">
        <v>18653</v>
      </c>
      <c r="J12622" t="s">
        <v>4850</v>
      </c>
    </row>
    <row r="12623" spans="9:10" x14ac:dyDescent="0.3">
      <c r="I12623" t="s">
        <v>18654</v>
      </c>
      <c r="J12623" t="s">
        <v>4851</v>
      </c>
    </row>
    <row r="12624" spans="9:10" x14ac:dyDescent="0.3">
      <c r="I12624" t="s">
        <v>18654</v>
      </c>
      <c r="J12624" t="s">
        <v>4851</v>
      </c>
    </row>
    <row r="12625" spans="9:10" x14ac:dyDescent="0.3">
      <c r="I12625" t="s">
        <v>18654</v>
      </c>
      <c r="J12625" t="s">
        <v>4851</v>
      </c>
    </row>
    <row r="12626" spans="9:10" x14ac:dyDescent="0.3">
      <c r="I12626" t="s">
        <v>18655</v>
      </c>
    </row>
    <row r="12627" spans="9:10" x14ac:dyDescent="0.3">
      <c r="I12627" t="s">
        <v>18656</v>
      </c>
      <c r="J12627" t="s">
        <v>508</v>
      </c>
    </row>
    <row r="12628" spans="9:10" x14ac:dyDescent="0.3">
      <c r="I12628" t="s">
        <v>18656</v>
      </c>
      <c r="J12628" t="s">
        <v>508</v>
      </c>
    </row>
    <row r="12629" spans="9:10" x14ac:dyDescent="0.3">
      <c r="I12629" t="s">
        <v>18657</v>
      </c>
    </row>
    <row r="12630" spans="9:10" x14ac:dyDescent="0.3">
      <c r="I12630" t="s">
        <v>18658</v>
      </c>
    </row>
    <row r="12631" spans="9:10" x14ac:dyDescent="0.3">
      <c r="I12631" t="s">
        <v>18658</v>
      </c>
    </row>
    <row r="12632" spans="9:10" x14ac:dyDescent="0.3">
      <c r="I12632" t="s">
        <v>18659</v>
      </c>
      <c r="J12632" t="s">
        <v>4852</v>
      </c>
    </row>
    <row r="12633" spans="9:10" x14ac:dyDescent="0.3">
      <c r="I12633" t="s">
        <v>18660</v>
      </c>
      <c r="J12633" t="s">
        <v>4852</v>
      </c>
    </row>
    <row r="12634" spans="9:10" x14ac:dyDescent="0.3">
      <c r="I12634" t="s">
        <v>18661</v>
      </c>
      <c r="J12634" t="s">
        <v>4852</v>
      </c>
    </row>
    <row r="12635" spans="9:10" x14ac:dyDescent="0.3">
      <c r="I12635" t="s">
        <v>18662</v>
      </c>
      <c r="J12635" t="s">
        <v>4853</v>
      </c>
    </row>
    <row r="12636" spans="9:10" x14ac:dyDescent="0.3">
      <c r="I12636" t="s">
        <v>18663</v>
      </c>
      <c r="J12636" t="s">
        <v>4854</v>
      </c>
    </row>
    <row r="12637" spans="9:10" x14ac:dyDescent="0.3">
      <c r="I12637" t="s">
        <v>18664</v>
      </c>
      <c r="J12637" t="s">
        <v>4855</v>
      </c>
    </row>
    <row r="12638" spans="9:10" x14ac:dyDescent="0.3">
      <c r="I12638" t="s">
        <v>18664</v>
      </c>
      <c r="J12638" t="s">
        <v>4855</v>
      </c>
    </row>
    <row r="12639" spans="9:10" x14ac:dyDescent="0.3">
      <c r="I12639" t="s">
        <v>18664</v>
      </c>
      <c r="J12639" t="s">
        <v>4855</v>
      </c>
    </row>
    <row r="12640" spans="9:10" x14ac:dyDescent="0.3">
      <c r="I12640" t="s">
        <v>18664</v>
      </c>
      <c r="J12640" t="s">
        <v>4855</v>
      </c>
    </row>
    <row r="12641" spans="9:10" x14ac:dyDescent="0.3">
      <c r="I12641" t="s">
        <v>18665</v>
      </c>
      <c r="J12641" t="s">
        <v>4856</v>
      </c>
    </row>
    <row r="12642" spans="9:10" x14ac:dyDescent="0.3">
      <c r="I12642" t="s">
        <v>18666</v>
      </c>
      <c r="J12642" t="s">
        <v>4857</v>
      </c>
    </row>
    <row r="12643" spans="9:10" x14ac:dyDescent="0.3">
      <c r="I12643" t="s">
        <v>18667</v>
      </c>
      <c r="J12643" t="s">
        <v>4857</v>
      </c>
    </row>
    <row r="12644" spans="9:10" x14ac:dyDescent="0.3">
      <c r="I12644" t="s">
        <v>18668</v>
      </c>
      <c r="J12644" t="s">
        <v>266</v>
      </c>
    </row>
    <row r="12645" spans="9:10" x14ac:dyDescent="0.3">
      <c r="I12645" t="s">
        <v>18669</v>
      </c>
      <c r="J12645" t="s">
        <v>4858</v>
      </c>
    </row>
    <row r="12646" spans="9:10" x14ac:dyDescent="0.3">
      <c r="I12646" t="s">
        <v>18670</v>
      </c>
    </row>
    <row r="12647" spans="9:10" x14ac:dyDescent="0.3">
      <c r="I12647" t="s">
        <v>18671</v>
      </c>
      <c r="J12647" t="s">
        <v>4859</v>
      </c>
    </row>
    <row r="12648" spans="9:10" x14ac:dyDescent="0.3">
      <c r="I12648" t="s">
        <v>18672</v>
      </c>
      <c r="J12648" t="s">
        <v>4859</v>
      </c>
    </row>
    <row r="12649" spans="9:10" x14ac:dyDescent="0.3">
      <c r="I12649" t="s">
        <v>18673</v>
      </c>
      <c r="J12649" t="s">
        <v>4859</v>
      </c>
    </row>
    <row r="12650" spans="9:10" x14ac:dyDescent="0.3">
      <c r="I12650" t="s">
        <v>18674</v>
      </c>
      <c r="J12650" t="s">
        <v>436</v>
      </c>
    </row>
    <row r="12651" spans="9:10" x14ac:dyDescent="0.3">
      <c r="I12651" t="s">
        <v>18675</v>
      </c>
      <c r="J12651" t="s">
        <v>436</v>
      </c>
    </row>
    <row r="12652" spans="9:10" x14ac:dyDescent="0.3">
      <c r="I12652" t="s">
        <v>18617</v>
      </c>
      <c r="J12652" t="s">
        <v>4860</v>
      </c>
    </row>
    <row r="12653" spans="9:10" x14ac:dyDescent="0.3">
      <c r="I12653" t="s">
        <v>18676</v>
      </c>
      <c r="J12653" t="s">
        <v>4861</v>
      </c>
    </row>
    <row r="12654" spans="9:10" x14ac:dyDescent="0.3">
      <c r="I12654" t="s">
        <v>18677</v>
      </c>
      <c r="J12654" t="s">
        <v>4861</v>
      </c>
    </row>
    <row r="12655" spans="9:10" x14ac:dyDescent="0.3">
      <c r="I12655" t="s">
        <v>18678</v>
      </c>
      <c r="J12655" t="s">
        <v>458</v>
      </c>
    </row>
    <row r="12656" spans="9:10" x14ac:dyDescent="0.3">
      <c r="I12656" t="s">
        <v>18678</v>
      </c>
      <c r="J12656" t="s">
        <v>458</v>
      </c>
    </row>
    <row r="12657" spans="9:10" x14ac:dyDescent="0.3">
      <c r="I12657" t="s">
        <v>18678</v>
      </c>
      <c r="J12657" t="s">
        <v>458</v>
      </c>
    </row>
    <row r="12658" spans="9:10" x14ac:dyDescent="0.3">
      <c r="I12658" t="s">
        <v>18679</v>
      </c>
      <c r="J12658" t="s">
        <v>4862</v>
      </c>
    </row>
    <row r="12659" spans="9:10" x14ac:dyDescent="0.3">
      <c r="I12659" t="s">
        <v>18679</v>
      </c>
      <c r="J12659" t="s">
        <v>4862</v>
      </c>
    </row>
    <row r="12660" spans="9:10" x14ac:dyDescent="0.3">
      <c r="I12660" t="s">
        <v>18679</v>
      </c>
      <c r="J12660" t="s">
        <v>4862</v>
      </c>
    </row>
    <row r="12661" spans="9:10" x14ac:dyDescent="0.3">
      <c r="I12661" t="s">
        <v>18679</v>
      </c>
      <c r="J12661" t="s">
        <v>4862</v>
      </c>
    </row>
    <row r="12662" spans="9:10" x14ac:dyDescent="0.3">
      <c r="I12662" t="s">
        <v>18679</v>
      </c>
      <c r="J12662" t="s">
        <v>4862</v>
      </c>
    </row>
    <row r="12663" spans="9:10" x14ac:dyDescent="0.3">
      <c r="I12663" t="s">
        <v>18680</v>
      </c>
      <c r="J12663" t="s">
        <v>4862</v>
      </c>
    </row>
    <row r="12664" spans="9:10" x14ac:dyDescent="0.3">
      <c r="I12664" t="s">
        <v>18681</v>
      </c>
      <c r="J12664" t="s">
        <v>4862</v>
      </c>
    </row>
    <row r="12665" spans="9:10" x14ac:dyDescent="0.3">
      <c r="I12665" t="s">
        <v>18682</v>
      </c>
      <c r="J12665" t="s">
        <v>4862</v>
      </c>
    </row>
    <row r="12666" spans="9:10" x14ac:dyDescent="0.3">
      <c r="I12666" t="s">
        <v>18679</v>
      </c>
      <c r="J12666" t="s">
        <v>4862</v>
      </c>
    </row>
    <row r="12667" spans="9:10" x14ac:dyDescent="0.3">
      <c r="I12667" t="s">
        <v>18679</v>
      </c>
      <c r="J12667" t="s">
        <v>4862</v>
      </c>
    </row>
    <row r="12668" spans="9:10" x14ac:dyDescent="0.3">
      <c r="I12668" t="s">
        <v>18683</v>
      </c>
      <c r="J12668" t="s">
        <v>4862</v>
      </c>
    </row>
    <row r="12669" spans="9:10" x14ac:dyDescent="0.3">
      <c r="I12669" t="s">
        <v>18684</v>
      </c>
      <c r="J12669" t="s">
        <v>4862</v>
      </c>
    </row>
    <row r="12670" spans="9:10" x14ac:dyDescent="0.3">
      <c r="I12670" t="s">
        <v>18685</v>
      </c>
      <c r="J12670" t="s">
        <v>4862</v>
      </c>
    </row>
    <row r="12671" spans="9:10" x14ac:dyDescent="0.3">
      <c r="I12671" t="s">
        <v>18679</v>
      </c>
      <c r="J12671" t="s">
        <v>4862</v>
      </c>
    </row>
    <row r="12672" spans="9:10" x14ac:dyDescent="0.3">
      <c r="I12672" t="s">
        <v>18679</v>
      </c>
      <c r="J12672" t="s">
        <v>4862</v>
      </c>
    </row>
    <row r="12673" spans="9:10" x14ac:dyDescent="0.3">
      <c r="I12673" t="s">
        <v>18679</v>
      </c>
      <c r="J12673" t="s">
        <v>4862</v>
      </c>
    </row>
    <row r="12674" spans="9:10" x14ac:dyDescent="0.3">
      <c r="I12674" t="s">
        <v>18679</v>
      </c>
      <c r="J12674" t="s">
        <v>4862</v>
      </c>
    </row>
    <row r="12675" spans="9:10" x14ac:dyDescent="0.3">
      <c r="I12675" t="s">
        <v>18679</v>
      </c>
      <c r="J12675" t="s">
        <v>4862</v>
      </c>
    </row>
    <row r="12676" spans="9:10" x14ac:dyDescent="0.3">
      <c r="I12676" t="s">
        <v>18686</v>
      </c>
      <c r="J12676" t="s">
        <v>4862</v>
      </c>
    </row>
    <row r="12677" spans="9:10" x14ac:dyDescent="0.3">
      <c r="I12677" t="s">
        <v>18679</v>
      </c>
      <c r="J12677" t="s">
        <v>4862</v>
      </c>
    </row>
    <row r="12678" spans="9:10" x14ac:dyDescent="0.3">
      <c r="I12678" t="s">
        <v>18679</v>
      </c>
      <c r="J12678" t="s">
        <v>4862</v>
      </c>
    </row>
    <row r="12679" spans="9:10" x14ac:dyDescent="0.3">
      <c r="I12679" t="s">
        <v>18679</v>
      </c>
      <c r="J12679" t="s">
        <v>4862</v>
      </c>
    </row>
    <row r="12680" spans="9:10" x14ac:dyDescent="0.3">
      <c r="I12680" t="s">
        <v>18679</v>
      </c>
      <c r="J12680" t="s">
        <v>4862</v>
      </c>
    </row>
    <row r="12681" spans="9:10" x14ac:dyDescent="0.3">
      <c r="I12681" t="s">
        <v>18679</v>
      </c>
      <c r="J12681" t="s">
        <v>4862</v>
      </c>
    </row>
    <row r="12682" spans="9:10" x14ac:dyDescent="0.3">
      <c r="I12682" t="s">
        <v>18687</v>
      </c>
    </row>
    <row r="12683" spans="9:10" x14ac:dyDescent="0.3">
      <c r="I12683" t="s">
        <v>18688</v>
      </c>
      <c r="J12683" t="s">
        <v>4863</v>
      </c>
    </row>
    <row r="12684" spans="9:10" x14ac:dyDescent="0.3">
      <c r="I12684" t="s">
        <v>18689</v>
      </c>
      <c r="J12684" t="s">
        <v>4864</v>
      </c>
    </row>
    <row r="12685" spans="9:10" x14ac:dyDescent="0.3">
      <c r="I12685" t="s">
        <v>18690</v>
      </c>
      <c r="J12685" t="s">
        <v>4865</v>
      </c>
    </row>
    <row r="12686" spans="9:10" x14ac:dyDescent="0.3">
      <c r="I12686" t="s">
        <v>18690</v>
      </c>
      <c r="J12686" t="s">
        <v>4865</v>
      </c>
    </row>
    <row r="12687" spans="9:10" x14ac:dyDescent="0.3">
      <c r="I12687" t="s">
        <v>18691</v>
      </c>
      <c r="J12687" t="s">
        <v>4866</v>
      </c>
    </row>
    <row r="12688" spans="9:10" x14ac:dyDescent="0.3">
      <c r="I12688" t="s">
        <v>18692</v>
      </c>
      <c r="J12688" t="s">
        <v>4867</v>
      </c>
    </row>
    <row r="12689" spans="9:10" x14ac:dyDescent="0.3">
      <c r="I12689" t="s">
        <v>18693</v>
      </c>
    </row>
    <row r="12690" spans="9:10" x14ac:dyDescent="0.3">
      <c r="I12690" t="s">
        <v>18694</v>
      </c>
      <c r="J12690" t="s">
        <v>4868</v>
      </c>
    </row>
    <row r="12691" spans="9:10" x14ac:dyDescent="0.3">
      <c r="I12691" t="s">
        <v>18694</v>
      </c>
      <c r="J12691" t="s">
        <v>4868</v>
      </c>
    </row>
    <row r="12692" spans="9:10" x14ac:dyDescent="0.3">
      <c r="I12692" t="s">
        <v>18695</v>
      </c>
      <c r="J12692" t="s">
        <v>4869</v>
      </c>
    </row>
    <row r="12693" spans="9:10" x14ac:dyDescent="0.3">
      <c r="I12693" t="s">
        <v>18696</v>
      </c>
      <c r="J12693" t="s">
        <v>4870</v>
      </c>
    </row>
    <row r="12694" spans="9:10" x14ac:dyDescent="0.3">
      <c r="I12694" t="s">
        <v>18697</v>
      </c>
      <c r="J12694" t="s">
        <v>4870</v>
      </c>
    </row>
    <row r="12695" spans="9:10" x14ac:dyDescent="0.3">
      <c r="I12695" t="s">
        <v>18698</v>
      </c>
      <c r="J12695" t="s">
        <v>4871</v>
      </c>
    </row>
    <row r="12696" spans="9:10" x14ac:dyDescent="0.3">
      <c r="I12696" t="s">
        <v>18699</v>
      </c>
      <c r="J12696" t="s">
        <v>4871</v>
      </c>
    </row>
    <row r="12697" spans="9:10" x14ac:dyDescent="0.3">
      <c r="I12697" t="s">
        <v>18700</v>
      </c>
      <c r="J12697" t="s">
        <v>4871</v>
      </c>
    </row>
    <row r="12698" spans="9:10" x14ac:dyDescent="0.3">
      <c r="I12698" t="s">
        <v>18701</v>
      </c>
    </row>
    <row r="12699" spans="9:10" x14ac:dyDescent="0.3">
      <c r="I12699" t="s">
        <v>18702</v>
      </c>
    </row>
    <row r="12700" spans="9:10" x14ac:dyDescent="0.3">
      <c r="I12700" t="s">
        <v>18703</v>
      </c>
    </row>
    <row r="12701" spans="9:10" x14ac:dyDescent="0.3">
      <c r="I12701" t="s">
        <v>18704</v>
      </c>
    </row>
    <row r="12702" spans="9:10" x14ac:dyDescent="0.3">
      <c r="I12702" t="s">
        <v>18705</v>
      </c>
      <c r="J12702" t="s">
        <v>4872</v>
      </c>
    </row>
    <row r="12703" spans="9:10" x14ac:dyDescent="0.3">
      <c r="I12703" t="s">
        <v>18706</v>
      </c>
      <c r="J12703" t="s">
        <v>4872</v>
      </c>
    </row>
    <row r="12704" spans="9:10" x14ac:dyDescent="0.3">
      <c r="I12704" t="s">
        <v>18707</v>
      </c>
      <c r="J12704" t="s">
        <v>4873</v>
      </c>
    </row>
    <row r="12705" spans="9:10" x14ac:dyDescent="0.3">
      <c r="I12705" t="s">
        <v>18708</v>
      </c>
      <c r="J12705" t="s">
        <v>4874</v>
      </c>
    </row>
    <row r="12706" spans="9:10" x14ac:dyDescent="0.3">
      <c r="I12706" t="s">
        <v>18709</v>
      </c>
      <c r="J12706" t="s">
        <v>4875</v>
      </c>
    </row>
    <row r="12707" spans="9:10" x14ac:dyDescent="0.3">
      <c r="I12707" t="s">
        <v>18710</v>
      </c>
      <c r="J12707" t="s">
        <v>4876</v>
      </c>
    </row>
    <row r="12708" spans="9:10" x14ac:dyDescent="0.3">
      <c r="I12708" t="s">
        <v>18711</v>
      </c>
      <c r="J12708" t="s">
        <v>4877</v>
      </c>
    </row>
    <row r="12709" spans="9:10" x14ac:dyDescent="0.3">
      <c r="I12709" t="s">
        <v>18712</v>
      </c>
      <c r="J12709" t="s">
        <v>4878</v>
      </c>
    </row>
    <row r="12710" spans="9:10" x14ac:dyDescent="0.3">
      <c r="I12710" t="s">
        <v>18712</v>
      </c>
      <c r="J12710" t="s">
        <v>4878</v>
      </c>
    </row>
    <row r="12711" spans="9:10" x14ac:dyDescent="0.3">
      <c r="I12711" t="s">
        <v>18712</v>
      </c>
      <c r="J12711" t="s">
        <v>4878</v>
      </c>
    </row>
    <row r="12712" spans="9:10" x14ac:dyDescent="0.3">
      <c r="I12712" t="s">
        <v>18713</v>
      </c>
      <c r="J12712" t="s">
        <v>4878</v>
      </c>
    </row>
    <row r="12713" spans="9:10" x14ac:dyDescent="0.3">
      <c r="I12713" t="s">
        <v>18714</v>
      </c>
      <c r="J12713" t="s">
        <v>4879</v>
      </c>
    </row>
    <row r="12714" spans="9:10" x14ac:dyDescent="0.3">
      <c r="I12714" t="s">
        <v>18715</v>
      </c>
      <c r="J12714" t="s">
        <v>4880</v>
      </c>
    </row>
    <row r="12715" spans="9:10" x14ac:dyDescent="0.3">
      <c r="I12715" t="s">
        <v>18716</v>
      </c>
      <c r="J12715" t="s">
        <v>4881</v>
      </c>
    </row>
    <row r="12716" spans="9:10" x14ac:dyDescent="0.3">
      <c r="I12716" t="s">
        <v>18716</v>
      </c>
      <c r="J12716" t="s">
        <v>4881</v>
      </c>
    </row>
    <row r="12717" spans="9:10" x14ac:dyDescent="0.3">
      <c r="I12717" t="s">
        <v>18717</v>
      </c>
      <c r="J12717" t="s">
        <v>4882</v>
      </c>
    </row>
    <row r="12718" spans="9:10" x14ac:dyDescent="0.3">
      <c r="I12718" t="s">
        <v>18718</v>
      </c>
      <c r="J12718" t="s">
        <v>4883</v>
      </c>
    </row>
    <row r="12719" spans="9:10" x14ac:dyDescent="0.3">
      <c r="I12719" t="s">
        <v>18719</v>
      </c>
      <c r="J12719" t="s">
        <v>4884</v>
      </c>
    </row>
    <row r="12720" spans="9:10" x14ac:dyDescent="0.3">
      <c r="I12720" t="s">
        <v>18720</v>
      </c>
      <c r="J12720" t="s">
        <v>4885</v>
      </c>
    </row>
    <row r="12721" spans="9:10" x14ac:dyDescent="0.3">
      <c r="I12721" t="s">
        <v>18720</v>
      </c>
      <c r="J12721" t="s">
        <v>4885</v>
      </c>
    </row>
    <row r="12722" spans="9:10" x14ac:dyDescent="0.3">
      <c r="I12722" t="s">
        <v>18721</v>
      </c>
      <c r="J12722" t="s">
        <v>4886</v>
      </c>
    </row>
    <row r="12723" spans="9:10" x14ac:dyDescent="0.3">
      <c r="I12723" t="s">
        <v>18722</v>
      </c>
      <c r="J12723" t="s">
        <v>4887</v>
      </c>
    </row>
    <row r="12724" spans="9:10" x14ac:dyDescent="0.3">
      <c r="I12724" t="s">
        <v>18723</v>
      </c>
      <c r="J12724" t="s">
        <v>4888</v>
      </c>
    </row>
    <row r="12725" spans="9:10" x14ac:dyDescent="0.3">
      <c r="I12725" t="s">
        <v>18723</v>
      </c>
      <c r="J12725" t="s">
        <v>4888</v>
      </c>
    </row>
    <row r="12726" spans="9:10" x14ac:dyDescent="0.3">
      <c r="I12726" t="s">
        <v>18724</v>
      </c>
    </row>
    <row r="12727" spans="9:10" x14ac:dyDescent="0.3">
      <c r="I12727" t="s">
        <v>18725</v>
      </c>
    </row>
    <row r="12728" spans="9:10" x14ac:dyDescent="0.3">
      <c r="I12728" t="s">
        <v>18726</v>
      </c>
      <c r="J12728" t="s">
        <v>4889</v>
      </c>
    </row>
    <row r="12729" spans="9:10" x14ac:dyDescent="0.3">
      <c r="I12729" t="s">
        <v>18727</v>
      </c>
      <c r="J12729" t="s">
        <v>4890</v>
      </c>
    </row>
    <row r="12730" spans="9:10" x14ac:dyDescent="0.3">
      <c r="I12730" t="s">
        <v>18728</v>
      </c>
    </row>
    <row r="12731" spans="9:10" x14ac:dyDescent="0.3">
      <c r="I12731" t="s">
        <v>18728</v>
      </c>
    </row>
    <row r="12732" spans="9:10" x14ac:dyDescent="0.3">
      <c r="I12732" t="s">
        <v>18729</v>
      </c>
      <c r="J12732" t="s">
        <v>4891</v>
      </c>
    </row>
    <row r="12733" spans="9:10" x14ac:dyDescent="0.3">
      <c r="I12733" t="s">
        <v>18730</v>
      </c>
      <c r="J12733" t="s">
        <v>4891</v>
      </c>
    </row>
    <row r="12734" spans="9:10" x14ac:dyDescent="0.3">
      <c r="I12734" t="s">
        <v>18731</v>
      </c>
      <c r="J12734" t="s">
        <v>4891</v>
      </c>
    </row>
    <row r="12735" spans="9:10" x14ac:dyDescent="0.3">
      <c r="I12735" t="s">
        <v>18732</v>
      </c>
      <c r="J12735" t="s">
        <v>4892</v>
      </c>
    </row>
    <row r="12736" spans="9:10" x14ac:dyDescent="0.3">
      <c r="I12736" t="s">
        <v>18732</v>
      </c>
      <c r="J12736" t="s">
        <v>4892</v>
      </c>
    </row>
    <row r="12737" spans="9:10" x14ac:dyDescent="0.3">
      <c r="I12737" t="s">
        <v>18732</v>
      </c>
      <c r="J12737" t="s">
        <v>4892</v>
      </c>
    </row>
    <row r="12738" spans="9:10" x14ac:dyDescent="0.3">
      <c r="I12738" t="s">
        <v>18732</v>
      </c>
      <c r="J12738" t="s">
        <v>4892</v>
      </c>
    </row>
    <row r="12739" spans="9:10" x14ac:dyDescent="0.3">
      <c r="I12739" t="s">
        <v>18732</v>
      </c>
      <c r="J12739" t="s">
        <v>4892</v>
      </c>
    </row>
    <row r="12740" spans="9:10" x14ac:dyDescent="0.3">
      <c r="I12740" t="s">
        <v>18732</v>
      </c>
      <c r="J12740" t="s">
        <v>4892</v>
      </c>
    </row>
    <row r="12741" spans="9:10" x14ac:dyDescent="0.3">
      <c r="I12741" t="s">
        <v>18733</v>
      </c>
    </row>
    <row r="12742" spans="9:10" x14ac:dyDescent="0.3">
      <c r="I12742" t="s">
        <v>18734</v>
      </c>
      <c r="J12742" t="s">
        <v>4893</v>
      </c>
    </row>
    <row r="12743" spans="9:10" x14ac:dyDescent="0.3">
      <c r="I12743" t="s">
        <v>18735</v>
      </c>
      <c r="J12743" t="s">
        <v>4894</v>
      </c>
    </row>
    <row r="12744" spans="9:10" x14ac:dyDescent="0.3">
      <c r="I12744" t="s">
        <v>18736</v>
      </c>
      <c r="J12744" t="s">
        <v>4895</v>
      </c>
    </row>
    <row r="12745" spans="9:10" x14ac:dyDescent="0.3">
      <c r="I12745" t="s">
        <v>18737</v>
      </c>
    </row>
    <row r="12746" spans="9:10" x14ac:dyDescent="0.3">
      <c r="I12746" t="s">
        <v>18738</v>
      </c>
    </row>
    <row r="12747" spans="9:10" x14ac:dyDescent="0.3">
      <c r="I12747" t="s">
        <v>18739</v>
      </c>
    </row>
    <row r="12748" spans="9:10" x14ac:dyDescent="0.3">
      <c r="I12748" t="s">
        <v>18740</v>
      </c>
      <c r="J12748" t="s">
        <v>4896</v>
      </c>
    </row>
    <row r="12749" spans="9:10" x14ac:dyDescent="0.3">
      <c r="I12749" t="s">
        <v>18740</v>
      </c>
      <c r="J12749" t="s">
        <v>4896</v>
      </c>
    </row>
    <row r="12750" spans="9:10" x14ac:dyDescent="0.3">
      <c r="I12750" t="s">
        <v>18741</v>
      </c>
    </row>
    <row r="12751" spans="9:10" x14ac:dyDescent="0.3">
      <c r="I12751" t="s">
        <v>18742</v>
      </c>
    </row>
    <row r="12752" spans="9:10" x14ac:dyDescent="0.3">
      <c r="I12752" t="s">
        <v>18743</v>
      </c>
    </row>
    <row r="12753" spans="9:10" x14ac:dyDescent="0.3">
      <c r="I12753" t="s">
        <v>18744</v>
      </c>
    </row>
    <row r="12754" spans="9:10" x14ac:dyDescent="0.3">
      <c r="I12754" t="s">
        <v>18745</v>
      </c>
      <c r="J12754" t="s">
        <v>4897</v>
      </c>
    </row>
    <row r="12755" spans="9:10" x14ac:dyDescent="0.3">
      <c r="I12755" t="s">
        <v>18746</v>
      </c>
      <c r="J12755" t="s">
        <v>4897</v>
      </c>
    </row>
    <row r="12756" spans="9:10" x14ac:dyDescent="0.3">
      <c r="I12756" t="s">
        <v>18745</v>
      </c>
      <c r="J12756" t="s">
        <v>4897</v>
      </c>
    </row>
    <row r="12757" spans="9:10" x14ac:dyDescent="0.3">
      <c r="I12757" t="s">
        <v>18747</v>
      </c>
      <c r="J12757" t="s">
        <v>4898</v>
      </c>
    </row>
    <row r="12758" spans="9:10" x14ac:dyDescent="0.3">
      <c r="I12758" t="s">
        <v>18747</v>
      </c>
      <c r="J12758" t="s">
        <v>4898</v>
      </c>
    </row>
    <row r="12759" spans="9:10" x14ac:dyDescent="0.3">
      <c r="I12759" t="s">
        <v>18748</v>
      </c>
      <c r="J12759" t="s">
        <v>4899</v>
      </c>
    </row>
    <row r="12760" spans="9:10" x14ac:dyDescent="0.3">
      <c r="I12760" t="s">
        <v>18748</v>
      </c>
      <c r="J12760" t="s">
        <v>4899</v>
      </c>
    </row>
    <row r="12761" spans="9:10" x14ac:dyDescent="0.3">
      <c r="I12761" t="s">
        <v>18748</v>
      </c>
      <c r="J12761" t="s">
        <v>4899</v>
      </c>
    </row>
    <row r="12762" spans="9:10" x14ac:dyDescent="0.3">
      <c r="I12762" t="s">
        <v>18749</v>
      </c>
      <c r="J12762" t="s">
        <v>4899</v>
      </c>
    </row>
    <row r="12763" spans="9:10" x14ac:dyDescent="0.3">
      <c r="I12763" t="s">
        <v>18750</v>
      </c>
    </row>
    <row r="12764" spans="9:10" x14ac:dyDescent="0.3">
      <c r="I12764" t="s">
        <v>18751</v>
      </c>
      <c r="J12764" t="s">
        <v>4900</v>
      </c>
    </row>
    <row r="12765" spans="9:10" x14ac:dyDescent="0.3">
      <c r="I12765" t="s">
        <v>18751</v>
      </c>
      <c r="J12765" t="s">
        <v>4900</v>
      </c>
    </row>
    <row r="12766" spans="9:10" x14ac:dyDescent="0.3">
      <c r="I12766" t="s">
        <v>18751</v>
      </c>
      <c r="J12766" t="s">
        <v>4900</v>
      </c>
    </row>
    <row r="12767" spans="9:10" x14ac:dyDescent="0.3">
      <c r="I12767" t="s">
        <v>18752</v>
      </c>
      <c r="J12767" t="s">
        <v>4901</v>
      </c>
    </row>
    <row r="12768" spans="9:10" x14ac:dyDescent="0.3">
      <c r="I12768" t="s">
        <v>18753</v>
      </c>
    </row>
    <row r="12769" spans="9:10" x14ac:dyDescent="0.3">
      <c r="I12769" t="s">
        <v>18754</v>
      </c>
    </row>
    <row r="12770" spans="9:10" x14ac:dyDescent="0.3">
      <c r="I12770" t="s">
        <v>18755</v>
      </c>
    </row>
    <row r="12771" spans="9:10" x14ac:dyDescent="0.3">
      <c r="I12771" t="s">
        <v>18755</v>
      </c>
    </row>
    <row r="12772" spans="9:10" x14ac:dyDescent="0.3">
      <c r="I12772" t="s">
        <v>18756</v>
      </c>
    </row>
    <row r="12773" spans="9:10" x14ac:dyDescent="0.3">
      <c r="I12773" t="s">
        <v>18757</v>
      </c>
      <c r="J12773" t="s">
        <v>370</v>
      </c>
    </row>
    <row r="12774" spans="9:10" x14ac:dyDescent="0.3">
      <c r="I12774" t="s">
        <v>18757</v>
      </c>
      <c r="J12774" t="s">
        <v>370</v>
      </c>
    </row>
    <row r="12775" spans="9:10" x14ac:dyDescent="0.3">
      <c r="I12775" t="s">
        <v>18758</v>
      </c>
      <c r="J12775" t="s">
        <v>4902</v>
      </c>
    </row>
    <row r="12776" spans="9:10" x14ac:dyDescent="0.3">
      <c r="I12776" t="s">
        <v>18758</v>
      </c>
      <c r="J12776" t="s">
        <v>4902</v>
      </c>
    </row>
    <row r="12777" spans="9:10" x14ac:dyDescent="0.3">
      <c r="I12777" t="s">
        <v>18758</v>
      </c>
      <c r="J12777" t="s">
        <v>4902</v>
      </c>
    </row>
    <row r="12778" spans="9:10" x14ac:dyDescent="0.3">
      <c r="I12778" t="s">
        <v>18758</v>
      </c>
      <c r="J12778" t="s">
        <v>4902</v>
      </c>
    </row>
    <row r="12779" spans="9:10" x14ac:dyDescent="0.3">
      <c r="I12779" t="s">
        <v>18758</v>
      </c>
      <c r="J12779" t="s">
        <v>4902</v>
      </c>
    </row>
    <row r="12780" spans="9:10" x14ac:dyDescent="0.3">
      <c r="I12780" t="s">
        <v>18759</v>
      </c>
    </row>
    <row r="12781" spans="9:10" x14ac:dyDescent="0.3">
      <c r="I12781" t="s">
        <v>18760</v>
      </c>
    </row>
    <row r="12782" spans="9:10" x14ac:dyDescent="0.3">
      <c r="I12782" t="s">
        <v>18761</v>
      </c>
      <c r="J12782" t="s">
        <v>4903</v>
      </c>
    </row>
    <row r="12783" spans="9:10" x14ac:dyDescent="0.3">
      <c r="I12783" t="s">
        <v>18761</v>
      </c>
      <c r="J12783" t="s">
        <v>4903</v>
      </c>
    </row>
    <row r="12784" spans="9:10" x14ac:dyDescent="0.3">
      <c r="I12784" t="s">
        <v>18762</v>
      </c>
    </row>
    <row r="12785" spans="9:10" x14ac:dyDescent="0.3">
      <c r="I12785" t="s">
        <v>18763</v>
      </c>
    </row>
    <row r="12786" spans="9:10" x14ac:dyDescent="0.3">
      <c r="I12786" t="s">
        <v>18763</v>
      </c>
    </row>
    <row r="12787" spans="9:10" x14ac:dyDescent="0.3">
      <c r="I12787" t="s">
        <v>18764</v>
      </c>
      <c r="J12787" t="s">
        <v>4904</v>
      </c>
    </row>
    <row r="12788" spans="9:10" x14ac:dyDescent="0.3">
      <c r="I12788" t="s">
        <v>18764</v>
      </c>
      <c r="J12788" t="s">
        <v>4904</v>
      </c>
    </row>
    <row r="12789" spans="9:10" x14ac:dyDescent="0.3">
      <c r="I12789" t="s">
        <v>18764</v>
      </c>
      <c r="J12789" t="s">
        <v>4904</v>
      </c>
    </row>
    <row r="12790" spans="9:10" x14ac:dyDescent="0.3">
      <c r="I12790" t="s">
        <v>18765</v>
      </c>
    </row>
    <row r="12791" spans="9:10" x14ac:dyDescent="0.3">
      <c r="I12791" t="s">
        <v>18766</v>
      </c>
      <c r="J12791" t="s">
        <v>4905</v>
      </c>
    </row>
    <row r="12792" spans="9:10" x14ac:dyDescent="0.3">
      <c r="I12792" t="s">
        <v>18767</v>
      </c>
    </row>
    <row r="12793" spans="9:10" x14ac:dyDescent="0.3">
      <c r="I12793" t="s">
        <v>18768</v>
      </c>
      <c r="J12793" t="s">
        <v>4906</v>
      </c>
    </row>
    <row r="12794" spans="9:10" x14ac:dyDescent="0.3">
      <c r="I12794" t="s">
        <v>18769</v>
      </c>
      <c r="J12794" t="s">
        <v>4907</v>
      </c>
    </row>
    <row r="12795" spans="9:10" x14ac:dyDescent="0.3">
      <c r="I12795" t="s">
        <v>18769</v>
      </c>
      <c r="J12795" t="s">
        <v>4907</v>
      </c>
    </row>
    <row r="12796" spans="9:10" x14ac:dyDescent="0.3">
      <c r="I12796" t="s">
        <v>18769</v>
      </c>
      <c r="J12796" t="s">
        <v>4907</v>
      </c>
    </row>
    <row r="12797" spans="9:10" x14ac:dyDescent="0.3">
      <c r="I12797" t="s">
        <v>18770</v>
      </c>
    </row>
    <row r="12798" spans="9:10" x14ac:dyDescent="0.3">
      <c r="I12798" t="s">
        <v>18770</v>
      </c>
    </row>
    <row r="12799" spans="9:10" x14ac:dyDescent="0.3">
      <c r="I12799" t="s">
        <v>18771</v>
      </c>
    </row>
    <row r="12800" spans="9:10" x14ac:dyDescent="0.3">
      <c r="I12800" t="s">
        <v>18772</v>
      </c>
    </row>
    <row r="12801" spans="9:10" x14ac:dyDescent="0.3">
      <c r="I12801" t="s">
        <v>18773</v>
      </c>
    </row>
    <row r="12802" spans="9:10" x14ac:dyDescent="0.3">
      <c r="I12802" t="s">
        <v>18774</v>
      </c>
      <c r="J12802" t="s">
        <v>4908</v>
      </c>
    </row>
    <row r="12803" spans="9:10" x14ac:dyDescent="0.3">
      <c r="I12803" t="s">
        <v>18774</v>
      </c>
      <c r="J12803" t="s">
        <v>4908</v>
      </c>
    </row>
    <row r="12804" spans="9:10" x14ac:dyDescent="0.3">
      <c r="I12804" t="s">
        <v>18774</v>
      </c>
      <c r="J12804" t="s">
        <v>4908</v>
      </c>
    </row>
    <row r="12805" spans="9:10" x14ac:dyDescent="0.3">
      <c r="I12805" t="s">
        <v>18774</v>
      </c>
      <c r="J12805" t="s">
        <v>4908</v>
      </c>
    </row>
    <row r="12806" spans="9:10" x14ac:dyDescent="0.3">
      <c r="I12806" t="s">
        <v>18775</v>
      </c>
      <c r="J12806" t="s">
        <v>4909</v>
      </c>
    </row>
    <row r="12807" spans="9:10" x14ac:dyDescent="0.3">
      <c r="I12807" t="s">
        <v>17138</v>
      </c>
      <c r="J12807" t="s">
        <v>4909</v>
      </c>
    </row>
    <row r="12808" spans="9:10" x14ac:dyDescent="0.3">
      <c r="I12808" t="s">
        <v>18776</v>
      </c>
      <c r="J12808" t="s">
        <v>4909</v>
      </c>
    </row>
    <row r="12809" spans="9:10" x14ac:dyDescent="0.3">
      <c r="I12809" t="s">
        <v>18777</v>
      </c>
      <c r="J12809" t="s">
        <v>4909</v>
      </c>
    </row>
    <row r="12810" spans="9:10" x14ac:dyDescent="0.3">
      <c r="I12810" t="s">
        <v>18778</v>
      </c>
      <c r="J12810" t="s">
        <v>4909</v>
      </c>
    </row>
    <row r="12811" spans="9:10" x14ac:dyDescent="0.3">
      <c r="I12811" t="s">
        <v>18776</v>
      </c>
      <c r="J12811" t="s">
        <v>4909</v>
      </c>
    </row>
    <row r="12812" spans="9:10" x14ac:dyDescent="0.3">
      <c r="I12812" t="s">
        <v>18779</v>
      </c>
      <c r="J12812" t="s">
        <v>4909</v>
      </c>
    </row>
    <row r="12813" spans="9:10" x14ac:dyDescent="0.3">
      <c r="I12813" t="s">
        <v>18780</v>
      </c>
    </row>
    <row r="12814" spans="9:10" x14ac:dyDescent="0.3">
      <c r="I12814" t="s">
        <v>18781</v>
      </c>
    </row>
    <row r="12815" spans="9:10" x14ac:dyDescent="0.3">
      <c r="I12815" t="s">
        <v>18781</v>
      </c>
    </row>
    <row r="12816" spans="9:10" x14ac:dyDescent="0.3">
      <c r="I12816" t="s">
        <v>18782</v>
      </c>
    </row>
    <row r="12817" spans="9:10" x14ac:dyDescent="0.3">
      <c r="I12817" t="s">
        <v>18783</v>
      </c>
    </row>
    <row r="12818" spans="9:10" x14ac:dyDescent="0.3">
      <c r="I12818" t="s">
        <v>18783</v>
      </c>
    </row>
    <row r="12819" spans="9:10" x14ac:dyDescent="0.3">
      <c r="I12819" t="s">
        <v>18784</v>
      </c>
    </row>
    <row r="12820" spans="9:10" x14ac:dyDescent="0.3">
      <c r="I12820" t="s">
        <v>18785</v>
      </c>
    </row>
    <row r="12821" spans="9:10" x14ac:dyDescent="0.3">
      <c r="I12821" t="s">
        <v>18786</v>
      </c>
      <c r="J12821" t="s">
        <v>4910</v>
      </c>
    </row>
    <row r="12822" spans="9:10" x14ac:dyDescent="0.3">
      <c r="I12822" t="s">
        <v>18787</v>
      </c>
    </row>
    <row r="12823" spans="9:10" x14ac:dyDescent="0.3">
      <c r="I12823" t="s">
        <v>18788</v>
      </c>
    </row>
    <row r="12824" spans="9:10" x14ac:dyDescent="0.3">
      <c r="I12824" t="s">
        <v>18789</v>
      </c>
      <c r="J12824" t="s">
        <v>4911</v>
      </c>
    </row>
    <row r="12825" spans="9:10" x14ac:dyDescent="0.3">
      <c r="I12825" t="s">
        <v>18790</v>
      </c>
      <c r="J12825" t="s">
        <v>4912</v>
      </c>
    </row>
    <row r="12826" spans="9:10" x14ac:dyDescent="0.3">
      <c r="I12826" t="s">
        <v>18791</v>
      </c>
      <c r="J12826" t="s">
        <v>4913</v>
      </c>
    </row>
    <row r="12827" spans="9:10" x14ac:dyDescent="0.3">
      <c r="I12827" t="s">
        <v>18792</v>
      </c>
      <c r="J12827" t="s">
        <v>4914</v>
      </c>
    </row>
    <row r="12828" spans="9:10" x14ac:dyDescent="0.3">
      <c r="I12828" t="s">
        <v>18793</v>
      </c>
      <c r="J12828" t="s">
        <v>4914</v>
      </c>
    </row>
    <row r="12829" spans="9:10" x14ac:dyDescent="0.3">
      <c r="I12829" t="s">
        <v>18794</v>
      </c>
      <c r="J12829" t="s">
        <v>4915</v>
      </c>
    </row>
    <row r="12830" spans="9:10" x14ac:dyDescent="0.3">
      <c r="I12830" t="s">
        <v>18794</v>
      </c>
      <c r="J12830" t="s">
        <v>4915</v>
      </c>
    </row>
    <row r="12831" spans="9:10" x14ac:dyDescent="0.3">
      <c r="I12831" t="s">
        <v>18795</v>
      </c>
      <c r="J12831" t="s">
        <v>4916</v>
      </c>
    </row>
    <row r="12832" spans="9:10" x14ac:dyDescent="0.3">
      <c r="I12832" t="s">
        <v>18796</v>
      </c>
      <c r="J12832" t="s">
        <v>4917</v>
      </c>
    </row>
    <row r="12833" spans="9:10" x14ac:dyDescent="0.3">
      <c r="I12833" t="s">
        <v>18797</v>
      </c>
      <c r="J12833" t="s">
        <v>4918</v>
      </c>
    </row>
    <row r="12834" spans="9:10" x14ac:dyDescent="0.3">
      <c r="I12834" t="s">
        <v>18798</v>
      </c>
      <c r="J12834" t="s">
        <v>4919</v>
      </c>
    </row>
    <row r="12835" spans="9:10" x14ac:dyDescent="0.3">
      <c r="I12835" t="s">
        <v>18799</v>
      </c>
    </row>
    <row r="12836" spans="9:10" x14ac:dyDescent="0.3">
      <c r="I12836" t="s">
        <v>18800</v>
      </c>
    </row>
    <row r="12837" spans="9:10" x14ac:dyDescent="0.3">
      <c r="I12837" t="s">
        <v>18800</v>
      </c>
    </row>
    <row r="12838" spans="9:10" x14ac:dyDescent="0.3">
      <c r="I12838" t="s">
        <v>18801</v>
      </c>
      <c r="J12838" t="s">
        <v>4920</v>
      </c>
    </row>
    <row r="12839" spans="9:10" x14ac:dyDescent="0.3">
      <c r="I12839" t="s">
        <v>18801</v>
      </c>
      <c r="J12839" t="s">
        <v>4920</v>
      </c>
    </row>
    <row r="12840" spans="9:10" x14ac:dyDescent="0.3">
      <c r="I12840" t="s">
        <v>18802</v>
      </c>
    </row>
    <row r="12841" spans="9:10" x14ac:dyDescent="0.3">
      <c r="I12841" t="s">
        <v>18803</v>
      </c>
      <c r="J12841" t="s">
        <v>4921</v>
      </c>
    </row>
    <row r="12842" spans="9:10" x14ac:dyDescent="0.3">
      <c r="I12842" t="s">
        <v>18804</v>
      </c>
      <c r="J12842" t="s">
        <v>4921</v>
      </c>
    </row>
    <row r="12843" spans="9:10" x14ac:dyDescent="0.3">
      <c r="I12843" t="s">
        <v>18805</v>
      </c>
      <c r="J12843" t="s">
        <v>4921</v>
      </c>
    </row>
    <row r="12844" spans="9:10" x14ac:dyDescent="0.3">
      <c r="I12844" t="s">
        <v>18806</v>
      </c>
      <c r="J12844" t="s">
        <v>4921</v>
      </c>
    </row>
    <row r="12845" spans="9:10" x14ac:dyDescent="0.3">
      <c r="I12845" t="s">
        <v>18804</v>
      </c>
      <c r="J12845" t="s">
        <v>4921</v>
      </c>
    </row>
    <row r="12846" spans="9:10" x14ac:dyDescent="0.3">
      <c r="I12846" t="s">
        <v>18805</v>
      </c>
      <c r="J12846" t="s">
        <v>4921</v>
      </c>
    </row>
    <row r="12847" spans="9:10" x14ac:dyDescent="0.3">
      <c r="I12847" t="s">
        <v>18807</v>
      </c>
      <c r="J12847" t="s">
        <v>4921</v>
      </c>
    </row>
    <row r="12848" spans="9:10" x14ac:dyDescent="0.3">
      <c r="I12848" t="s">
        <v>18808</v>
      </c>
      <c r="J12848" t="s">
        <v>4922</v>
      </c>
    </row>
    <row r="12849" spans="9:10" x14ac:dyDescent="0.3">
      <c r="I12849" t="s">
        <v>18809</v>
      </c>
      <c r="J12849" t="s">
        <v>4923</v>
      </c>
    </row>
    <row r="12850" spans="9:10" x14ac:dyDescent="0.3">
      <c r="I12850" t="s">
        <v>18810</v>
      </c>
      <c r="J12850" t="s">
        <v>4924</v>
      </c>
    </row>
    <row r="12851" spans="9:10" x14ac:dyDescent="0.3">
      <c r="I12851" t="s">
        <v>18811</v>
      </c>
      <c r="J12851" t="s">
        <v>4924</v>
      </c>
    </row>
    <row r="12852" spans="9:10" x14ac:dyDescent="0.3">
      <c r="I12852" t="s">
        <v>18812</v>
      </c>
      <c r="J12852" t="s">
        <v>4925</v>
      </c>
    </row>
    <row r="12853" spans="9:10" x14ac:dyDescent="0.3">
      <c r="I12853" t="s">
        <v>18813</v>
      </c>
      <c r="J12853" t="s">
        <v>4925</v>
      </c>
    </row>
    <row r="12854" spans="9:10" x14ac:dyDescent="0.3">
      <c r="I12854" t="s">
        <v>18814</v>
      </c>
      <c r="J12854" t="s">
        <v>4926</v>
      </c>
    </row>
    <row r="12855" spans="9:10" x14ac:dyDescent="0.3">
      <c r="I12855" t="s">
        <v>18814</v>
      </c>
      <c r="J12855" t="s">
        <v>4926</v>
      </c>
    </row>
    <row r="12856" spans="9:10" x14ac:dyDescent="0.3">
      <c r="I12856" t="s">
        <v>18814</v>
      </c>
      <c r="J12856" t="s">
        <v>4926</v>
      </c>
    </row>
    <row r="12857" spans="9:10" x14ac:dyDescent="0.3">
      <c r="I12857" t="s">
        <v>18815</v>
      </c>
      <c r="J12857" t="s">
        <v>4927</v>
      </c>
    </row>
    <row r="12858" spans="9:10" x14ac:dyDescent="0.3">
      <c r="I12858" t="s">
        <v>18816</v>
      </c>
      <c r="J12858" t="s">
        <v>4928</v>
      </c>
    </row>
    <row r="12859" spans="9:10" x14ac:dyDescent="0.3">
      <c r="I12859" t="s">
        <v>18817</v>
      </c>
      <c r="J12859" t="s">
        <v>395</v>
      </c>
    </row>
    <row r="12860" spans="9:10" x14ac:dyDescent="0.3">
      <c r="I12860" t="s">
        <v>18817</v>
      </c>
      <c r="J12860" t="s">
        <v>395</v>
      </c>
    </row>
    <row r="12861" spans="9:10" x14ac:dyDescent="0.3">
      <c r="I12861" t="s">
        <v>18817</v>
      </c>
      <c r="J12861" t="s">
        <v>395</v>
      </c>
    </row>
    <row r="12862" spans="9:10" x14ac:dyDescent="0.3">
      <c r="I12862" t="s">
        <v>18818</v>
      </c>
      <c r="J12862" t="s">
        <v>4929</v>
      </c>
    </row>
    <row r="12863" spans="9:10" x14ac:dyDescent="0.3">
      <c r="I12863" t="s">
        <v>18819</v>
      </c>
      <c r="J12863" t="s">
        <v>4930</v>
      </c>
    </row>
    <row r="12864" spans="9:10" x14ac:dyDescent="0.3">
      <c r="I12864" t="s">
        <v>18820</v>
      </c>
      <c r="J12864" t="s">
        <v>4931</v>
      </c>
    </row>
    <row r="12865" spans="9:10" x14ac:dyDescent="0.3">
      <c r="I12865" t="s">
        <v>18821</v>
      </c>
      <c r="J12865" t="s">
        <v>4932</v>
      </c>
    </row>
    <row r="12866" spans="9:10" x14ac:dyDescent="0.3">
      <c r="I12866" t="s">
        <v>18822</v>
      </c>
      <c r="J12866" t="s">
        <v>4932</v>
      </c>
    </row>
    <row r="12867" spans="9:10" x14ac:dyDescent="0.3">
      <c r="I12867" t="s">
        <v>18823</v>
      </c>
      <c r="J12867" t="s">
        <v>4933</v>
      </c>
    </row>
    <row r="12868" spans="9:10" x14ac:dyDescent="0.3">
      <c r="I12868" t="s">
        <v>18824</v>
      </c>
      <c r="J12868" t="s">
        <v>4934</v>
      </c>
    </row>
    <row r="12869" spans="9:10" x14ac:dyDescent="0.3">
      <c r="I12869" t="s">
        <v>18825</v>
      </c>
      <c r="J12869" t="s">
        <v>4935</v>
      </c>
    </row>
    <row r="12870" spans="9:10" x14ac:dyDescent="0.3">
      <c r="I12870" t="s">
        <v>18826</v>
      </c>
      <c r="J12870" t="s">
        <v>4936</v>
      </c>
    </row>
    <row r="12871" spans="9:10" x14ac:dyDescent="0.3">
      <c r="I12871" t="s">
        <v>18827</v>
      </c>
      <c r="J12871" t="s">
        <v>4937</v>
      </c>
    </row>
    <row r="12872" spans="9:10" x14ac:dyDescent="0.3">
      <c r="I12872" t="s">
        <v>10393</v>
      </c>
      <c r="J12872" t="s">
        <v>4938</v>
      </c>
    </row>
    <row r="12873" spans="9:10" x14ac:dyDescent="0.3">
      <c r="I12873" t="s">
        <v>10393</v>
      </c>
      <c r="J12873" t="s">
        <v>4938</v>
      </c>
    </row>
    <row r="12874" spans="9:10" x14ac:dyDescent="0.3">
      <c r="I12874" t="s">
        <v>10393</v>
      </c>
      <c r="J12874" t="s">
        <v>4938</v>
      </c>
    </row>
    <row r="12875" spans="9:10" x14ac:dyDescent="0.3">
      <c r="I12875" t="s">
        <v>18828</v>
      </c>
      <c r="J12875" t="s">
        <v>4939</v>
      </c>
    </row>
    <row r="12876" spans="9:10" x14ac:dyDescent="0.3">
      <c r="I12876" t="s">
        <v>18829</v>
      </c>
      <c r="J12876" t="s">
        <v>4940</v>
      </c>
    </row>
    <row r="12877" spans="9:10" x14ac:dyDescent="0.3">
      <c r="I12877" t="s">
        <v>18830</v>
      </c>
      <c r="J12877" t="s">
        <v>4941</v>
      </c>
    </row>
    <row r="12878" spans="9:10" x14ac:dyDescent="0.3">
      <c r="I12878" t="s">
        <v>18831</v>
      </c>
      <c r="J12878" t="s">
        <v>232</v>
      </c>
    </row>
    <row r="12879" spans="9:10" x14ac:dyDescent="0.3">
      <c r="I12879" t="s">
        <v>18832</v>
      </c>
      <c r="J12879" t="s">
        <v>4942</v>
      </c>
    </row>
    <row r="12880" spans="9:10" x14ac:dyDescent="0.3">
      <c r="I12880" t="s">
        <v>18833</v>
      </c>
      <c r="J12880" t="s">
        <v>4942</v>
      </c>
    </row>
    <row r="12881" spans="9:10" x14ac:dyDescent="0.3">
      <c r="I12881" t="s">
        <v>18834</v>
      </c>
      <c r="J12881" t="s">
        <v>4943</v>
      </c>
    </row>
    <row r="12882" spans="9:10" x14ac:dyDescent="0.3">
      <c r="I12882" t="s">
        <v>18835</v>
      </c>
    </row>
    <row r="12883" spans="9:10" x14ac:dyDescent="0.3">
      <c r="I12883" t="s">
        <v>18836</v>
      </c>
    </row>
    <row r="12884" spans="9:10" x14ac:dyDescent="0.3">
      <c r="I12884" t="s">
        <v>18837</v>
      </c>
      <c r="J12884" t="s">
        <v>4944</v>
      </c>
    </row>
    <row r="12885" spans="9:10" x14ac:dyDescent="0.3">
      <c r="I12885" t="s">
        <v>18838</v>
      </c>
    </row>
    <row r="12886" spans="9:10" x14ac:dyDescent="0.3">
      <c r="I12886" t="s">
        <v>18839</v>
      </c>
      <c r="J12886" t="s">
        <v>4945</v>
      </c>
    </row>
    <row r="12887" spans="9:10" x14ac:dyDescent="0.3">
      <c r="I12887" t="s">
        <v>18840</v>
      </c>
      <c r="J12887" t="s">
        <v>4945</v>
      </c>
    </row>
    <row r="12888" spans="9:10" x14ac:dyDescent="0.3">
      <c r="I12888" t="s">
        <v>18839</v>
      </c>
      <c r="J12888" t="s">
        <v>4945</v>
      </c>
    </row>
    <row r="12889" spans="9:10" x14ac:dyDescent="0.3">
      <c r="I12889" t="s">
        <v>18841</v>
      </c>
    </row>
    <row r="12890" spans="9:10" x14ac:dyDescent="0.3">
      <c r="I12890" t="s">
        <v>18842</v>
      </c>
    </row>
    <row r="12891" spans="9:10" x14ac:dyDescent="0.3">
      <c r="I12891" t="s">
        <v>18843</v>
      </c>
      <c r="J12891" t="s">
        <v>197</v>
      </c>
    </row>
    <row r="12892" spans="9:10" x14ac:dyDescent="0.3">
      <c r="I12892" t="s">
        <v>18844</v>
      </c>
    </row>
    <row r="12893" spans="9:10" x14ac:dyDescent="0.3">
      <c r="I12893" t="s">
        <v>18845</v>
      </c>
      <c r="J12893" t="s">
        <v>4946</v>
      </c>
    </row>
    <row r="12894" spans="9:10" x14ac:dyDescent="0.3">
      <c r="I12894" t="s">
        <v>18846</v>
      </c>
      <c r="J12894" t="s">
        <v>4946</v>
      </c>
    </row>
    <row r="12895" spans="9:10" x14ac:dyDescent="0.3">
      <c r="I12895" t="s">
        <v>18846</v>
      </c>
      <c r="J12895" t="s">
        <v>4946</v>
      </c>
    </row>
    <row r="12896" spans="9:10" x14ac:dyDescent="0.3">
      <c r="I12896" t="s">
        <v>18847</v>
      </c>
      <c r="J12896" t="s">
        <v>4947</v>
      </c>
    </row>
    <row r="12897" spans="9:10" x14ac:dyDescent="0.3">
      <c r="I12897" t="s">
        <v>18847</v>
      </c>
      <c r="J12897" t="s">
        <v>4947</v>
      </c>
    </row>
    <row r="12898" spans="9:10" x14ac:dyDescent="0.3">
      <c r="I12898" t="s">
        <v>18848</v>
      </c>
      <c r="J12898" t="s">
        <v>4947</v>
      </c>
    </row>
    <row r="12899" spans="9:10" x14ac:dyDescent="0.3">
      <c r="I12899" t="s">
        <v>18849</v>
      </c>
    </row>
    <row r="12900" spans="9:10" x14ac:dyDescent="0.3">
      <c r="I12900" t="s">
        <v>18850</v>
      </c>
    </row>
    <row r="12901" spans="9:10" x14ac:dyDescent="0.3">
      <c r="I12901" t="s">
        <v>18851</v>
      </c>
      <c r="J12901" t="s">
        <v>572</v>
      </c>
    </row>
    <row r="12902" spans="9:10" x14ac:dyDescent="0.3">
      <c r="I12902" t="s">
        <v>18852</v>
      </c>
      <c r="J12902" t="s">
        <v>4948</v>
      </c>
    </row>
    <row r="12903" spans="9:10" x14ac:dyDescent="0.3">
      <c r="I12903" t="s">
        <v>18852</v>
      </c>
      <c r="J12903" t="s">
        <v>4948</v>
      </c>
    </row>
    <row r="12904" spans="9:10" x14ac:dyDescent="0.3">
      <c r="I12904" t="s">
        <v>18853</v>
      </c>
    </row>
    <row r="12905" spans="9:10" x14ac:dyDescent="0.3">
      <c r="I12905" t="s">
        <v>18854</v>
      </c>
    </row>
    <row r="12906" spans="9:10" x14ac:dyDescent="0.3">
      <c r="I12906" t="s">
        <v>18855</v>
      </c>
    </row>
    <row r="12907" spans="9:10" x14ac:dyDescent="0.3">
      <c r="I12907" t="s">
        <v>18855</v>
      </c>
    </row>
    <row r="12908" spans="9:10" x14ac:dyDescent="0.3">
      <c r="I12908" t="s">
        <v>18856</v>
      </c>
    </row>
    <row r="12909" spans="9:10" x14ac:dyDescent="0.3">
      <c r="I12909" t="s">
        <v>18856</v>
      </c>
    </row>
    <row r="12910" spans="9:10" x14ac:dyDescent="0.3">
      <c r="I12910" t="s">
        <v>18856</v>
      </c>
    </row>
    <row r="12911" spans="9:10" x14ac:dyDescent="0.3">
      <c r="I12911" t="s">
        <v>18856</v>
      </c>
    </row>
    <row r="12912" spans="9:10" x14ac:dyDescent="0.3">
      <c r="I12912" t="s">
        <v>18857</v>
      </c>
    </row>
    <row r="12913" spans="9:10" x14ac:dyDescent="0.3">
      <c r="I12913" t="s">
        <v>18857</v>
      </c>
    </row>
    <row r="12914" spans="9:10" x14ac:dyDescent="0.3">
      <c r="I12914" t="s">
        <v>18857</v>
      </c>
    </row>
    <row r="12915" spans="9:10" x14ac:dyDescent="0.3">
      <c r="I12915" t="s">
        <v>18858</v>
      </c>
    </row>
    <row r="12916" spans="9:10" x14ac:dyDescent="0.3">
      <c r="I12916" t="s">
        <v>18859</v>
      </c>
    </row>
    <row r="12917" spans="9:10" x14ac:dyDescent="0.3">
      <c r="I12917" t="s">
        <v>18860</v>
      </c>
    </row>
    <row r="12918" spans="9:10" x14ac:dyDescent="0.3">
      <c r="I12918" t="s">
        <v>18860</v>
      </c>
    </row>
    <row r="12919" spans="9:10" x14ac:dyDescent="0.3">
      <c r="I12919" t="s">
        <v>18860</v>
      </c>
    </row>
    <row r="12920" spans="9:10" x14ac:dyDescent="0.3">
      <c r="I12920" t="s">
        <v>18861</v>
      </c>
    </row>
    <row r="12921" spans="9:10" x14ac:dyDescent="0.3">
      <c r="I12921" t="s">
        <v>18862</v>
      </c>
    </row>
    <row r="12922" spans="9:10" x14ac:dyDescent="0.3">
      <c r="I12922" t="s">
        <v>18863</v>
      </c>
    </row>
    <row r="12923" spans="9:10" x14ac:dyDescent="0.3">
      <c r="I12923" t="s">
        <v>18864</v>
      </c>
    </row>
    <row r="12924" spans="9:10" x14ac:dyDescent="0.3">
      <c r="I12924" t="s">
        <v>18865</v>
      </c>
      <c r="J12924" t="s">
        <v>4949</v>
      </c>
    </row>
    <row r="12925" spans="9:10" x14ac:dyDescent="0.3">
      <c r="I12925" t="s">
        <v>18866</v>
      </c>
      <c r="J12925" t="s">
        <v>546</v>
      </c>
    </row>
    <row r="12926" spans="9:10" x14ac:dyDescent="0.3">
      <c r="I12926" t="s">
        <v>18866</v>
      </c>
      <c r="J12926" t="s">
        <v>546</v>
      </c>
    </row>
    <row r="12927" spans="9:10" x14ac:dyDescent="0.3">
      <c r="I12927" t="s">
        <v>18867</v>
      </c>
      <c r="J12927" t="s">
        <v>4950</v>
      </c>
    </row>
    <row r="12928" spans="9:10" x14ac:dyDescent="0.3">
      <c r="I12928" t="s">
        <v>18868</v>
      </c>
      <c r="J12928" t="s">
        <v>4951</v>
      </c>
    </row>
    <row r="12929" spans="9:10" x14ac:dyDescent="0.3">
      <c r="I12929" t="s">
        <v>18869</v>
      </c>
      <c r="J12929" t="s">
        <v>4952</v>
      </c>
    </row>
    <row r="12930" spans="9:10" x14ac:dyDescent="0.3">
      <c r="I12930" t="s">
        <v>18870</v>
      </c>
      <c r="J12930" t="s">
        <v>4953</v>
      </c>
    </row>
    <row r="12931" spans="9:10" x14ac:dyDescent="0.3">
      <c r="I12931" t="s">
        <v>18871</v>
      </c>
      <c r="J12931" t="s">
        <v>4954</v>
      </c>
    </row>
    <row r="12932" spans="9:10" x14ac:dyDescent="0.3">
      <c r="I12932" t="s">
        <v>18872</v>
      </c>
      <c r="J12932" t="s">
        <v>4954</v>
      </c>
    </row>
    <row r="12933" spans="9:10" x14ac:dyDescent="0.3">
      <c r="I12933" t="s">
        <v>18872</v>
      </c>
      <c r="J12933" t="s">
        <v>4954</v>
      </c>
    </row>
    <row r="12934" spans="9:10" x14ac:dyDescent="0.3">
      <c r="I12934" t="s">
        <v>18872</v>
      </c>
      <c r="J12934" t="s">
        <v>4954</v>
      </c>
    </row>
    <row r="12935" spans="9:10" x14ac:dyDescent="0.3">
      <c r="I12935" t="s">
        <v>18873</v>
      </c>
      <c r="J12935" t="s">
        <v>872</v>
      </c>
    </row>
    <row r="12936" spans="9:10" x14ac:dyDescent="0.3">
      <c r="I12936" t="s">
        <v>871</v>
      </c>
      <c r="J12936" t="s">
        <v>872</v>
      </c>
    </row>
    <row r="12937" spans="9:10" x14ac:dyDescent="0.3">
      <c r="I12937" t="s">
        <v>18874</v>
      </c>
      <c r="J12937" t="s">
        <v>872</v>
      </c>
    </row>
    <row r="12938" spans="9:10" x14ac:dyDescent="0.3">
      <c r="I12938" t="s">
        <v>18874</v>
      </c>
      <c r="J12938" t="s">
        <v>872</v>
      </c>
    </row>
    <row r="12939" spans="9:10" x14ac:dyDescent="0.3">
      <c r="I12939" t="s">
        <v>18874</v>
      </c>
      <c r="J12939" t="s">
        <v>872</v>
      </c>
    </row>
    <row r="12940" spans="9:10" x14ac:dyDescent="0.3">
      <c r="I12940" t="s">
        <v>18874</v>
      </c>
      <c r="J12940" t="s">
        <v>872</v>
      </c>
    </row>
    <row r="12941" spans="9:10" x14ac:dyDescent="0.3">
      <c r="I12941" t="s">
        <v>18874</v>
      </c>
      <c r="J12941" t="s">
        <v>872</v>
      </c>
    </row>
    <row r="12942" spans="9:10" x14ac:dyDescent="0.3">
      <c r="I12942" t="s">
        <v>18874</v>
      </c>
      <c r="J12942" t="s">
        <v>872</v>
      </c>
    </row>
    <row r="12943" spans="9:10" x14ac:dyDescent="0.3">
      <c r="I12943" t="s">
        <v>18874</v>
      </c>
      <c r="J12943" t="s">
        <v>872</v>
      </c>
    </row>
    <row r="12944" spans="9:10" x14ac:dyDescent="0.3">
      <c r="I12944" t="s">
        <v>18874</v>
      </c>
      <c r="J12944" t="s">
        <v>872</v>
      </c>
    </row>
    <row r="12945" spans="9:10" x14ac:dyDescent="0.3">
      <c r="I12945" t="s">
        <v>18874</v>
      </c>
      <c r="J12945" t="s">
        <v>872</v>
      </c>
    </row>
    <row r="12946" spans="9:10" x14ac:dyDescent="0.3">
      <c r="I12946" t="s">
        <v>18874</v>
      </c>
      <c r="J12946" t="s">
        <v>872</v>
      </c>
    </row>
    <row r="12947" spans="9:10" x14ac:dyDescent="0.3">
      <c r="I12947" t="s">
        <v>18874</v>
      </c>
      <c r="J12947" t="s">
        <v>872</v>
      </c>
    </row>
    <row r="12948" spans="9:10" x14ac:dyDescent="0.3">
      <c r="I12948" t="s">
        <v>18874</v>
      </c>
      <c r="J12948" t="s">
        <v>872</v>
      </c>
    </row>
    <row r="12949" spans="9:10" x14ac:dyDescent="0.3">
      <c r="I12949" t="s">
        <v>18875</v>
      </c>
      <c r="J12949" t="s">
        <v>872</v>
      </c>
    </row>
    <row r="12950" spans="9:10" x14ac:dyDescent="0.3">
      <c r="I12950" t="s">
        <v>18874</v>
      </c>
      <c r="J12950" t="s">
        <v>872</v>
      </c>
    </row>
    <row r="12951" spans="9:10" x14ac:dyDescent="0.3">
      <c r="I12951" t="s">
        <v>18874</v>
      </c>
      <c r="J12951" t="s">
        <v>872</v>
      </c>
    </row>
    <row r="12952" spans="9:10" x14ac:dyDescent="0.3">
      <c r="I12952" t="s">
        <v>18876</v>
      </c>
      <c r="J12952" t="s">
        <v>872</v>
      </c>
    </row>
    <row r="12953" spans="9:10" x14ac:dyDescent="0.3">
      <c r="I12953" t="s">
        <v>18877</v>
      </c>
      <c r="J12953" t="s">
        <v>872</v>
      </c>
    </row>
    <row r="12954" spans="9:10" x14ac:dyDescent="0.3">
      <c r="I12954" t="s">
        <v>18878</v>
      </c>
      <c r="J12954" t="s">
        <v>872</v>
      </c>
    </row>
    <row r="12955" spans="9:10" x14ac:dyDescent="0.3">
      <c r="I12955" t="s">
        <v>18879</v>
      </c>
      <c r="J12955" t="s">
        <v>872</v>
      </c>
    </row>
    <row r="12956" spans="9:10" x14ac:dyDescent="0.3">
      <c r="I12956" t="s">
        <v>18874</v>
      </c>
      <c r="J12956" t="s">
        <v>872</v>
      </c>
    </row>
    <row r="12957" spans="9:10" x14ac:dyDescent="0.3">
      <c r="I12957" t="s">
        <v>18880</v>
      </c>
      <c r="J12957" t="s">
        <v>872</v>
      </c>
    </row>
    <row r="12958" spans="9:10" x14ac:dyDescent="0.3">
      <c r="I12958" t="s">
        <v>18874</v>
      </c>
      <c r="J12958" t="s">
        <v>872</v>
      </c>
    </row>
    <row r="12959" spans="9:10" x14ac:dyDescent="0.3">
      <c r="I12959" t="s">
        <v>18874</v>
      </c>
      <c r="J12959" t="s">
        <v>872</v>
      </c>
    </row>
    <row r="12960" spans="9:10" x14ac:dyDescent="0.3">
      <c r="I12960" t="s">
        <v>18874</v>
      </c>
      <c r="J12960" t="s">
        <v>872</v>
      </c>
    </row>
    <row r="12961" spans="9:10" x14ac:dyDescent="0.3">
      <c r="I12961" t="s">
        <v>18874</v>
      </c>
      <c r="J12961" t="s">
        <v>872</v>
      </c>
    </row>
    <row r="12962" spans="9:10" x14ac:dyDescent="0.3">
      <c r="I12962" t="s">
        <v>18874</v>
      </c>
      <c r="J12962" t="s">
        <v>872</v>
      </c>
    </row>
    <row r="12963" spans="9:10" x14ac:dyDescent="0.3">
      <c r="I12963" t="s">
        <v>18874</v>
      </c>
      <c r="J12963" t="s">
        <v>872</v>
      </c>
    </row>
    <row r="12964" spans="9:10" x14ac:dyDescent="0.3">
      <c r="I12964" t="s">
        <v>18874</v>
      </c>
      <c r="J12964" t="s">
        <v>872</v>
      </c>
    </row>
    <row r="12965" spans="9:10" x14ac:dyDescent="0.3">
      <c r="I12965" t="s">
        <v>18874</v>
      </c>
      <c r="J12965" t="s">
        <v>872</v>
      </c>
    </row>
    <row r="12966" spans="9:10" x14ac:dyDescent="0.3">
      <c r="I12966" t="s">
        <v>18874</v>
      </c>
      <c r="J12966" t="s">
        <v>872</v>
      </c>
    </row>
    <row r="12967" spans="9:10" x14ac:dyDescent="0.3">
      <c r="I12967" t="s">
        <v>18874</v>
      </c>
      <c r="J12967" t="s">
        <v>872</v>
      </c>
    </row>
    <row r="12968" spans="9:10" x14ac:dyDescent="0.3">
      <c r="I12968" t="s">
        <v>18874</v>
      </c>
      <c r="J12968" t="s">
        <v>872</v>
      </c>
    </row>
    <row r="12969" spans="9:10" x14ac:dyDescent="0.3">
      <c r="I12969" t="s">
        <v>18874</v>
      </c>
      <c r="J12969" t="s">
        <v>872</v>
      </c>
    </row>
    <row r="12970" spans="9:10" x14ac:dyDescent="0.3">
      <c r="I12970" t="s">
        <v>18874</v>
      </c>
      <c r="J12970" t="s">
        <v>872</v>
      </c>
    </row>
    <row r="12971" spans="9:10" x14ac:dyDescent="0.3">
      <c r="I12971" t="s">
        <v>18874</v>
      </c>
      <c r="J12971" t="s">
        <v>872</v>
      </c>
    </row>
    <row r="12972" spans="9:10" x14ac:dyDescent="0.3">
      <c r="I12972" t="s">
        <v>18874</v>
      </c>
      <c r="J12972" t="s">
        <v>872</v>
      </c>
    </row>
    <row r="12973" spans="9:10" x14ac:dyDescent="0.3">
      <c r="I12973" t="s">
        <v>18874</v>
      </c>
      <c r="J12973" t="s">
        <v>872</v>
      </c>
    </row>
    <row r="12974" spans="9:10" x14ac:dyDescent="0.3">
      <c r="I12974" t="s">
        <v>18874</v>
      </c>
      <c r="J12974" t="s">
        <v>872</v>
      </c>
    </row>
    <row r="12975" spans="9:10" x14ac:dyDescent="0.3">
      <c r="I12975" t="s">
        <v>18874</v>
      </c>
      <c r="J12975" t="s">
        <v>872</v>
      </c>
    </row>
    <row r="12976" spans="9:10" x14ac:dyDescent="0.3">
      <c r="I12976" t="s">
        <v>18881</v>
      </c>
      <c r="J12976" t="s">
        <v>872</v>
      </c>
    </row>
    <row r="12977" spans="9:10" x14ac:dyDescent="0.3">
      <c r="I12977" t="s">
        <v>18881</v>
      </c>
      <c r="J12977" t="s">
        <v>872</v>
      </c>
    </row>
    <row r="12978" spans="9:10" x14ac:dyDescent="0.3">
      <c r="I12978" t="s">
        <v>871</v>
      </c>
      <c r="J12978" t="s">
        <v>872</v>
      </c>
    </row>
    <row r="12979" spans="9:10" x14ac:dyDescent="0.3">
      <c r="I12979" t="s">
        <v>871</v>
      </c>
      <c r="J12979" t="s">
        <v>872</v>
      </c>
    </row>
    <row r="12980" spans="9:10" x14ac:dyDescent="0.3">
      <c r="I12980" t="s">
        <v>18881</v>
      </c>
      <c r="J12980" t="s">
        <v>872</v>
      </c>
    </row>
    <row r="12981" spans="9:10" x14ac:dyDescent="0.3">
      <c r="I12981" t="s">
        <v>18874</v>
      </c>
      <c r="J12981" t="s">
        <v>872</v>
      </c>
    </row>
    <row r="12982" spans="9:10" x14ac:dyDescent="0.3">
      <c r="I12982" t="s">
        <v>18874</v>
      </c>
      <c r="J12982" t="s">
        <v>872</v>
      </c>
    </row>
    <row r="12983" spans="9:10" x14ac:dyDescent="0.3">
      <c r="I12983" t="s">
        <v>18874</v>
      </c>
      <c r="J12983" t="s">
        <v>872</v>
      </c>
    </row>
    <row r="12984" spans="9:10" x14ac:dyDescent="0.3">
      <c r="I12984" t="s">
        <v>18874</v>
      </c>
      <c r="J12984" t="s">
        <v>872</v>
      </c>
    </row>
    <row r="12985" spans="9:10" x14ac:dyDescent="0.3">
      <c r="I12985" t="s">
        <v>18874</v>
      </c>
      <c r="J12985" t="s">
        <v>872</v>
      </c>
    </row>
    <row r="12986" spans="9:10" x14ac:dyDescent="0.3">
      <c r="I12986" t="s">
        <v>18874</v>
      </c>
      <c r="J12986" t="s">
        <v>872</v>
      </c>
    </row>
    <row r="12987" spans="9:10" x14ac:dyDescent="0.3">
      <c r="I12987" t="s">
        <v>18882</v>
      </c>
      <c r="J12987" t="s">
        <v>872</v>
      </c>
    </row>
    <row r="12988" spans="9:10" x14ac:dyDescent="0.3">
      <c r="I12988" t="s">
        <v>18883</v>
      </c>
      <c r="J12988" t="s">
        <v>872</v>
      </c>
    </row>
    <row r="12989" spans="9:10" x14ac:dyDescent="0.3">
      <c r="I12989" t="s">
        <v>18884</v>
      </c>
      <c r="J12989" t="s">
        <v>872</v>
      </c>
    </row>
    <row r="12990" spans="9:10" x14ac:dyDescent="0.3">
      <c r="I12990" t="s">
        <v>18874</v>
      </c>
      <c r="J12990" t="s">
        <v>872</v>
      </c>
    </row>
    <row r="12991" spans="9:10" x14ac:dyDescent="0.3">
      <c r="I12991" t="s">
        <v>18874</v>
      </c>
      <c r="J12991" t="s">
        <v>872</v>
      </c>
    </row>
    <row r="12992" spans="9:10" x14ac:dyDescent="0.3">
      <c r="I12992" t="s">
        <v>18874</v>
      </c>
      <c r="J12992" t="s">
        <v>872</v>
      </c>
    </row>
    <row r="12993" spans="9:10" x14ac:dyDescent="0.3">
      <c r="I12993" t="s">
        <v>18874</v>
      </c>
      <c r="J12993" t="s">
        <v>872</v>
      </c>
    </row>
    <row r="12994" spans="9:10" x14ac:dyDescent="0.3">
      <c r="I12994" t="s">
        <v>871</v>
      </c>
      <c r="J12994" t="s">
        <v>872</v>
      </c>
    </row>
    <row r="12995" spans="9:10" x14ac:dyDescent="0.3">
      <c r="I12995" t="s">
        <v>18885</v>
      </c>
      <c r="J12995" t="s">
        <v>872</v>
      </c>
    </row>
    <row r="12996" spans="9:10" x14ac:dyDescent="0.3">
      <c r="I12996" t="s">
        <v>18874</v>
      </c>
      <c r="J12996" t="s">
        <v>872</v>
      </c>
    </row>
    <row r="12997" spans="9:10" x14ac:dyDescent="0.3">
      <c r="I12997" t="s">
        <v>18874</v>
      </c>
      <c r="J12997" t="s">
        <v>872</v>
      </c>
    </row>
    <row r="12998" spans="9:10" x14ac:dyDescent="0.3">
      <c r="I12998" t="s">
        <v>871</v>
      </c>
      <c r="J12998" t="s">
        <v>872</v>
      </c>
    </row>
    <row r="12999" spans="9:10" x14ac:dyDescent="0.3">
      <c r="I12999" t="s">
        <v>18874</v>
      </c>
      <c r="J12999" t="s">
        <v>872</v>
      </c>
    </row>
    <row r="13000" spans="9:10" x14ac:dyDescent="0.3">
      <c r="I13000" t="s">
        <v>18874</v>
      </c>
      <c r="J13000" t="s">
        <v>872</v>
      </c>
    </row>
    <row r="13001" spans="9:10" x14ac:dyDescent="0.3">
      <c r="I13001" t="s">
        <v>18874</v>
      </c>
      <c r="J13001" t="s">
        <v>872</v>
      </c>
    </row>
    <row r="13002" spans="9:10" x14ac:dyDescent="0.3">
      <c r="I13002" t="s">
        <v>18874</v>
      </c>
      <c r="J13002" t="s">
        <v>872</v>
      </c>
    </row>
    <row r="13003" spans="9:10" x14ac:dyDescent="0.3">
      <c r="I13003" t="s">
        <v>18874</v>
      </c>
      <c r="J13003" t="s">
        <v>872</v>
      </c>
    </row>
    <row r="13004" spans="9:10" x14ac:dyDescent="0.3">
      <c r="I13004" t="s">
        <v>18874</v>
      </c>
      <c r="J13004" t="s">
        <v>872</v>
      </c>
    </row>
    <row r="13005" spans="9:10" x14ac:dyDescent="0.3">
      <c r="I13005" t="s">
        <v>18886</v>
      </c>
      <c r="J13005" t="s">
        <v>4955</v>
      </c>
    </row>
    <row r="13006" spans="9:10" x14ac:dyDescent="0.3">
      <c r="I13006" t="s">
        <v>18887</v>
      </c>
      <c r="J13006" t="s">
        <v>228</v>
      </c>
    </row>
    <row r="13007" spans="9:10" x14ac:dyDescent="0.3">
      <c r="I13007" t="s">
        <v>18888</v>
      </c>
    </row>
    <row r="13008" spans="9:10" x14ac:dyDescent="0.3">
      <c r="I13008" t="s">
        <v>18889</v>
      </c>
    </row>
    <row r="13009" spans="9:10" x14ac:dyDescent="0.3">
      <c r="I13009" t="s">
        <v>18890</v>
      </c>
      <c r="J13009" t="s">
        <v>4956</v>
      </c>
    </row>
    <row r="13010" spans="9:10" x14ac:dyDescent="0.3">
      <c r="I13010" t="s">
        <v>18891</v>
      </c>
    </row>
    <row r="13011" spans="9:10" x14ac:dyDescent="0.3">
      <c r="I13011" t="s">
        <v>18892</v>
      </c>
    </row>
    <row r="13012" spans="9:10" x14ac:dyDescent="0.3">
      <c r="I13012" t="s">
        <v>18893</v>
      </c>
    </row>
    <row r="13013" spans="9:10" x14ac:dyDescent="0.3">
      <c r="I13013" t="s">
        <v>18894</v>
      </c>
      <c r="J13013" t="s">
        <v>4957</v>
      </c>
    </row>
    <row r="13014" spans="9:10" x14ac:dyDescent="0.3">
      <c r="I13014" t="s">
        <v>18895</v>
      </c>
      <c r="J13014" t="s">
        <v>4957</v>
      </c>
    </row>
    <row r="13015" spans="9:10" x14ac:dyDescent="0.3">
      <c r="I13015" t="s">
        <v>18896</v>
      </c>
      <c r="J13015" t="s">
        <v>4958</v>
      </c>
    </row>
    <row r="13016" spans="9:10" x14ac:dyDescent="0.3">
      <c r="I13016" t="s">
        <v>18897</v>
      </c>
      <c r="J13016" t="s">
        <v>4959</v>
      </c>
    </row>
    <row r="13017" spans="9:10" x14ac:dyDescent="0.3">
      <c r="I13017" t="s">
        <v>18897</v>
      </c>
      <c r="J13017" t="s">
        <v>4959</v>
      </c>
    </row>
    <row r="13018" spans="9:10" x14ac:dyDescent="0.3">
      <c r="I13018" t="s">
        <v>18898</v>
      </c>
      <c r="J13018" t="s">
        <v>4960</v>
      </c>
    </row>
    <row r="13019" spans="9:10" x14ac:dyDescent="0.3">
      <c r="I13019" t="s">
        <v>18898</v>
      </c>
      <c r="J13019" t="s">
        <v>4960</v>
      </c>
    </row>
    <row r="13020" spans="9:10" x14ac:dyDescent="0.3">
      <c r="I13020" t="s">
        <v>18899</v>
      </c>
      <c r="J13020" t="s">
        <v>4960</v>
      </c>
    </row>
    <row r="13021" spans="9:10" x14ac:dyDescent="0.3">
      <c r="I13021" t="s">
        <v>18898</v>
      </c>
      <c r="J13021" t="s">
        <v>4960</v>
      </c>
    </row>
    <row r="13022" spans="9:10" x14ac:dyDescent="0.3">
      <c r="I13022" t="s">
        <v>18900</v>
      </c>
      <c r="J13022" t="s">
        <v>4961</v>
      </c>
    </row>
    <row r="13023" spans="9:10" x14ac:dyDescent="0.3">
      <c r="I13023" t="s">
        <v>18901</v>
      </c>
      <c r="J13023" t="s">
        <v>4962</v>
      </c>
    </row>
    <row r="13024" spans="9:10" x14ac:dyDescent="0.3">
      <c r="I13024" t="s">
        <v>18902</v>
      </c>
      <c r="J13024" t="s">
        <v>4962</v>
      </c>
    </row>
    <row r="13025" spans="9:10" x14ac:dyDescent="0.3">
      <c r="I13025" t="s">
        <v>18903</v>
      </c>
      <c r="J13025" t="s">
        <v>4962</v>
      </c>
    </row>
    <row r="13026" spans="9:10" x14ac:dyDescent="0.3">
      <c r="I13026" t="s">
        <v>18904</v>
      </c>
      <c r="J13026" t="s">
        <v>4962</v>
      </c>
    </row>
    <row r="13027" spans="9:10" x14ac:dyDescent="0.3">
      <c r="I13027" t="s">
        <v>18904</v>
      </c>
      <c r="J13027" t="s">
        <v>4962</v>
      </c>
    </row>
    <row r="13028" spans="9:10" x14ac:dyDescent="0.3">
      <c r="I13028" t="s">
        <v>18904</v>
      </c>
      <c r="J13028" t="s">
        <v>4962</v>
      </c>
    </row>
    <row r="13029" spans="9:10" x14ac:dyDescent="0.3">
      <c r="I13029" t="s">
        <v>18905</v>
      </c>
      <c r="J13029" t="s">
        <v>4962</v>
      </c>
    </row>
    <row r="13030" spans="9:10" x14ac:dyDescent="0.3">
      <c r="I13030" t="s">
        <v>18906</v>
      </c>
      <c r="J13030" t="s">
        <v>4962</v>
      </c>
    </row>
    <row r="13031" spans="9:10" x14ac:dyDescent="0.3">
      <c r="I13031" t="s">
        <v>18907</v>
      </c>
      <c r="J13031" t="s">
        <v>4962</v>
      </c>
    </row>
    <row r="13032" spans="9:10" x14ac:dyDescent="0.3">
      <c r="I13032" t="s">
        <v>18904</v>
      </c>
      <c r="J13032" t="s">
        <v>4962</v>
      </c>
    </row>
    <row r="13033" spans="9:10" x14ac:dyDescent="0.3">
      <c r="I13033" t="s">
        <v>18908</v>
      </c>
      <c r="J13033" t="s">
        <v>4962</v>
      </c>
    </row>
    <row r="13034" spans="9:10" x14ac:dyDescent="0.3">
      <c r="I13034" t="s">
        <v>18904</v>
      </c>
      <c r="J13034" t="s">
        <v>4962</v>
      </c>
    </row>
    <row r="13035" spans="9:10" x14ac:dyDescent="0.3">
      <c r="I13035" t="s">
        <v>18904</v>
      </c>
      <c r="J13035" t="s">
        <v>4962</v>
      </c>
    </row>
    <row r="13036" spans="9:10" x14ac:dyDescent="0.3">
      <c r="I13036" t="s">
        <v>18904</v>
      </c>
      <c r="J13036" t="s">
        <v>4962</v>
      </c>
    </row>
    <row r="13037" spans="9:10" x14ac:dyDescent="0.3">
      <c r="I13037" t="s">
        <v>18906</v>
      </c>
      <c r="J13037" t="s">
        <v>4962</v>
      </c>
    </row>
    <row r="13038" spans="9:10" x14ac:dyDescent="0.3">
      <c r="I13038" t="s">
        <v>18904</v>
      </c>
      <c r="J13038" t="s">
        <v>4962</v>
      </c>
    </row>
    <row r="13039" spans="9:10" x14ac:dyDescent="0.3">
      <c r="I13039" t="s">
        <v>18909</v>
      </c>
      <c r="J13039" t="s">
        <v>4962</v>
      </c>
    </row>
    <row r="13040" spans="9:10" x14ac:dyDescent="0.3">
      <c r="I13040" t="s">
        <v>18910</v>
      </c>
      <c r="J13040" t="s">
        <v>4962</v>
      </c>
    </row>
    <row r="13041" spans="9:10" x14ac:dyDescent="0.3">
      <c r="I13041" t="s">
        <v>18904</v>
      </c>
      <c r="J13041" t="s">
        <v>4962</v>
      </c>
    </row>
    <row r="13042" spans="9:10" x14ac:dyDescent="0.3">
      <c r="I13042" t="s">
        <v>18904</v>
      </c>
      <c r="J13042" t="s">
        <v>4962</v>
      </c>
    </row>
    <row r="13043" spans="9:10" x14ac:dyDescent="0.3">
      <c r="I13043" t="s">
        <v>18904</v>
      </c>
      <c r="J13043" t="s">
        <v>4962</v>
      </c>
    </row>
    <row r="13044" spans="9:10" x14ac:dyDescent="0.3">
      <c r="I13044" t="s">
        <v>18904</v>
      </c>
      <c r="J13044" t="s">
        <v>4962</v>
      </c>
    </row>
    <row r="13045" spans="9:10" x14ac:dyDescent="0.3">
      <c r="I13045" t="s">
        <v>18904</v>
      </c>
      <c r="J13045" t="s">
        <v>4962</v>
      </c>
    </row>
    <row r="13046" spans="9:10" x14ac:dyDescent="0.3">
      <c r="I13046" t="s">
        <v>18904</v>
      </c>
      <c r="J13046" t="s">
        <v>4962</v>
      </c>
    </row>
    <row r="13047" spans="9:10" x14ac:dyDescent="0.3">
      <c r="I13047" t="s">
        <v>18904</v>
      </c>
      <c r="J13047" t="s">
        <v>4962</v>
      </c>
    </row>
    <row r="13048" spans="9:10" x14ac:dyDescent="0.3">
      <c r="I13048" t="s">
        <v>18911</v>
      </c>
      <c r="J13048" t="s">
        <v>4962</v>
      </c>
    </row>
    <row r="13049" spans="9:10" x14ac:dyDescent="0.3">
      <c r="I13049" t="s">
        <v>18904</v>
      </c>
      <c r="J13049" t="s">
        <v>4962</v>
      </c>
    </row>
    <row r="13050" spans="9:10" x14ac:dyDescent="0.3">
      <c r="I13050" t="s">
        <v>18904</v>
      </c>
      <c r="J13050" t="s">
        <v>4962</v>
      </c>
    </row>
    <row r="13051" spans="9:10" x14ac:dyDescent="0.3">
      <c r="I13051" t="s">
        <v>18904</v>
      </c>
      <c r="J13051" t="s">
        <v>4962</v>
      </c>
    </row>
    <row r="13052" spans="9:10" x14ac:dyDescent="0.3">
      <c r="I13052" t="s">
        <v>18904</v>
      </c>
      <c r="J13052" t="s">
        <v>4962</v>
      </c>
    </row>
    <row r="13053" spans="9:10" x14ac:dyDescent="0.3">
      <c r="I13053" t="s">
        <v>18904</v>
      </c>
      <c r="J13053" t="s">
        <v>4962</v>
      </c>
    </row>
    <row r="13054" spans="9:10" x14ac:dyDescent="0.3">
      <c r="I13054" t="s">
        <v>18904</v>
      </c>
      <c r="J13054" t="s">
        <v>4962</v>
      </c>
    </row>
    <row r="13055" spans="9:10" x14ac:dyDescent="0.3">
      <c r="I13055" t="s">
        <v>18904</v>
      </c>
      <c r="J13055" t="s">
        <v>4962</v>
      </c>
    </row>
    <row r="13056" spans="9:10" x14ac:dyDescent="0.3">
      <c r="I13056" t="s">
        <v>18904</v>
      </c>
      <c r="J13056" t="s">
        <v>4962</v>
      </c>
    </row>
    <row r="13057" spans="9:10" x14ac:dyDescent="0.3">
      <c r="I13057" t="s">
        <v>18904</v>
      </c>
      <c r="J13057" t="s">
        <v>4962</v>
      </c>
    </row>
    <row r="13058" spans="9:10" x14ac:dyDescent="0.3">
      <c r="I13058" t="s">
        <v>18904</v>
      </c>
      <c r="J13058" t="s">
        <v>4962</v>
      </c>
    </row>
    <row r="13059" spans="9:10" x14ac:dyDescent="0.3">
      <c r="I13059" t="s">
        <v>18904</v>
      </c>
      <c r="J13059" t="s">
        <v>4962</v>
      </c>
    </row>
    <row r="13060" spans="9:10" x14ac:dyDescent="0.3">
      <c r="I13060" t="s">
        <v>18904</v>
      </c>
      <c r="J13060" t="s">
        <v>4962</v>
      </c>
    </row>
    <row r="13061" spans="9:10" x14ac:dyDescent="0.3">
      <c r="I13061" t="s">
        <v>18912</v>
      </c>
      <c r="J13061" t="s">
        <v>4962</v>
      </c>
    </row>
    <row r="13062" spans="9:10" x14ac:dyDescent="0.3">
      <c r="I13062" t="s">
        <v>18913</v>
      </c>
      <c r="J13062" t="s">
        <v>4962</v>
      </c>
    </row>
    <row r="13063" spans="9:10" x14ac:dyDescent="0.3">
      <c r="I13063" t="s">
        <v>18904</v>
      </c>
      <c r="J13063" t="s">
        <v>4962</v>
      </c>
    </row>
    <row r="13064" spans="9:10" x14ac:dyDescent="0.3">
      <c r="I13064" t="s">
        <v>18904</v>
      </c>
      <c r="J13064" t="s">
        <v>4962</v>
      </c>
    </row>
    <row r="13065" spans="9:10" x14ac:dyDescent="0.3">
      <c r="I13065" t="s">
        <v>18904</v>
      </c>
      <c r="J13065" t="s">
        <v>4962</v>
      </c>
    </row>
    <row r="13066" spans="9:10" x14ac:dyDescent="0.3">
      <c r="I13066" t="s">
        <v>18914</v>
      </c>
      <c r="J13066" t="s">
        <v>4962</v>
      </c>
    </row>
    <row r="13067" spans="9:10" x14ac:dyDescent="0.3">
      <c r="I13067" t="s">
        <v>18906</v>
      </c>
      <c r="J13067" t="s">
        <v>4962</v>
      </c>
    </row>
    <row r="13068" spans="9:10" x14ac:dyDescent="0.3">
      <c r="I13068" t="s">
        <v>18904</v>
      </c>
      <c r="J13068" t="s">
        <v>4962</v>
      </c>
    </row>
    <row r="13069" spans="9:10" x14ac:dyDescent="0.3">
      <c r="I13069" t="s">
        <v>18915</v>
      </c>
      <c r="J13069" t="s">
        <v>4962</v>
      </c>
    </row>
    <row r="13070" spans="9:10" x14ac:dyDescent="0.3">
      <c r="I13070" t="s">
        <v>18916</v>
      </c>
      <c r="J13070" t="s">
        <v>4962</v>
      </c>
    </row>
    <row r="13071" spans="9:10" x14ac:dyDescent="0.3">
      <c r="I13071" t="s">
        <v>18917</v>
      </c>
      <c r="J13071" t="s">
        <v>4962</v>
      </c>
    </row>
    <row r="13072" spans="9:10" x14ac:dyDescent="0.3">
      <c r="I13072" t="s">
        <v>18918</v>
      </c>
      <c r="J13072" t="s">
        <v>4962</v>
      </c>
    </row>
    <row r="13073" spans="9:10" x14ac:dyDescent="0.3">
      <c r="I13073" t="s">
        <v>18919</v>
      </c>
      <c r="J13073" t="s">
        <v>4962</v>
      </c>
    </row>
    <row r="13074" spans="9:10" x14ac:dyDescent="0.3">
      <c r="I13074" t="s">
        <v>18920</v>
      </c>
      <c r="J13074" t="s">
        <v>4962</v>
      </c>
    </row>
    <row r="13075" spans="9:10" x14ac:dyDescent="0.3">
      <c r="I13075" t="s">
        <v>18921</v>
      </c>
      <c r="J13075" t="s">
        <v>4962</v>
      </c>
    </row>
    <row r="13076" spans="9:10" x14ac:dyDescent="0.3">
      <c r="I13076" t="s">
        <v>18904</v>
      </c>
      <c r="J13076" t="s">
        <v>4962</v>
      </c>
    </row>
    <row r="13077" spans="9:10" x14ac:dyDescent="0.3">
      <c r="I13077" t="s">
        <v>18904</v>
      </c>
      <c r="J13077" t="s">
        <v>4962</v>
      </c>
    </row>
    <row r="13078" spans="9:10" x14ac:dyDescent="0.3">
      <c r="I13078" t="s">
        <v>18904</v>
      </c>
      <c r="J13078" t="s">
        <v>4962</v>
      </c>
    </row>
    <row r="13079" spans="9:10" x14ac:dyDescent="0.3">
      <c r="I13079" t="s">
        <v>18904</v>
      </c>
      <c r="J13079" t="s">
        <v>4962</v>
      </c>
    </row>
    <row r="13080" spans="9:10" x14ac:dyDescent="0.3">
      <c r="I13080" t="s">
        <v>18904</v>
      </c>
      <c r="J13080" t="s">
        <v>4962</v>
      </c>
    </row>
    <row r="13081" spans="9:10" x14ac:dyDescent="0.3">
      <c r="I13081" t="s">
        <v>18904</v>
      </c>
      <c r="J13081" t="s">
        <v>4962</v>
      </c>
    </row>
    <row r="13082" spans="9:10" x14ac:dyDescent="0.3">
      <c r="I13082" t="s">
        <v>18904</v>
      </c>
      <c r="J13082" t="s">
        <v>4962</v>
      </c>
    </row>
    <row r="13083" spans="9:10" x14ac:dyDescent="0.3">
      <c r="I13083" t="s">
        <v>18904</v>
      </c>
      <c r="J13083" t="s">
        <v>4962</v>
      </c>
    </row>
    <row r="13084" spans="9:10" x14ac:dyDescent="0.3">
      <c r="I13084" t="s">
        <v>18904</v>
      </c>
      <c r="J13084" t="s">
        <v>4962</v>
      </c>
    </row>
    <row r="13085" spans="9:10" x14ac:dyDescent="0.3">
      <c r="I13085" t="s">
        <v>18904</v>
      </c>
      <c r="J13085" t="s">
        <v>4962</v>
      </c>
    </row>
    <row r="13086" spans="9:10" x14ac:dyDescent="0.3">
      <c r="I13086" t="s">
        <v>18904</v>
      </c>
      <c r="J13086" t="s">
        <v>4962</v>
      </c>
    </row>
    <row r="13087" spans="9:10" x14ac:dyDescent="0.3">
      <c r="I13087" t="s">
        <v>18904</v>
      </c>
      <c r="J13087" t="s">
        <v>4962</v>
      </c>
    </row>
    <row r="13088" spans="9:10" x14ac:dyDescent="0.3">
      <c r="I13088" t="s">
        <v>18904</v>
      </c>
      <c r="J13088" t="s">
        <v>4962</v>
      </c>
    </row>
    <row r="13089" spans="9:10" x14ac:dyDescent="0.3">
      <c r="I13089" t="s">
        <v>18904</v>
      </c>
      <c r="J13089" t="s">
        <v>4962</v>
      </c>
    </row>
    <row r="13090" spans="9:10" x14ac:dyDescent="0.3">
      <c r="I13090" t="s">
        <v>18904</v>
      </c>
      <c r="J13090" t="s">
        <v>4962</v>
      </c>
    </row>
    <row r="13091" spans="9:10" x14ac:dyDescent="0.3">
      <c r="I13091" t="s">
        <v>18904</v>
      </c>
      <c r="J13091" t="s">
        <v>4962</v>
      </c>
    </row>
    <row r="13092" spans="9:10" x14ac:dyDescent="0.3">
      <c r="I13092" t="s">
        <v>18904</v>
      </c>
      <c r="J13092" t="s">
        <v>4962</v>
      </c>
    </row>
    <row r="13093" spans="9:10" x14ac:dyDescent="0.3">
      <c r="I13093" t="s">
        <v>18904</v>
      </c>
      <c r="J13093" t="s">
        <v>4962</v>
      </c>
    </row>
    <row r="13094" spans="9:10" x14ac:dyDescent="0.3">
      <c r="I13094" t="s">
        <v>18904</v>
      </c>
      <c r="J13094" t="s">
        <v>4962</v>
      </c>
    </row>
    <row r="13095" spans="9:10" x14ac:dyDescent="0.3">
      <c r="I13095" t="s">
        <v>18904</v>
      </c>
      <c r="J13095" t="s">
        <v>4962</v>
      </c>
    </row>
    <row r="13096" spans="9:10" x14ac:dyDescent="0.3">
      <c r="I13096" t="s">
        <v>18904</v>
      </c>
      <c r="J13096" t="s">
        <v>4962</v>
      </c>
    </row>
    <row r="13097" spans="9:10" x14ac:dyDescent="0.3">
      <c r="I13097" t="s">
        <v>18904</v>
      </c>
      <c r="J13097" t="s">
        <v>4962</v>
      </c>
    </row>
    <row r="13098" spans="9:10" x14ac:dyDescent="0.3">
      <c r="I13098" t="s">
        <v>18904</v>
      </c>
      <c r="J13098" t="s">
        <v>4962</v>
      </c>
    </row>
    <row r="13099" spans="9:10" x14ac:dyDescent="0.3">
      <c r="I13099" t="s">
        <v>18904</v>
      </c>
      <c r="J13099" t="s">
        <v>4962</v>
      </c>
    </row>
    <row r="13100" spans="9:10" x14ac:dyDescent="0.3">
      <c r="I13100" t="s">
        <v>18904</v>
      </c>
      <c r="J13100" t="s">
        <v>4962</v>
      </c>
    </row>
    <row r="13101" spans="9:10" x14ac:dyDescent="0.3">
      <c r="I13101" t="s">
        <v>18922</v>
      </c>
      <c r="J13101" t="s">
        <v>4962</v>
      </c>
    </row>
    <row r="13102" spans="9:10" x14ac:dyDescent="0.3">
      <c r="I13102" t="s">
        <v>18923</v>
      </c>
      <c r="J13102" t="s">
        <v>4962</v>
      </c>
    </row>
    <row r="13103" spans="9:10" x14ac:dyDescent="0.3">
      <c r="I13103" t="s">
        <v>18924</v>
      </c>
      <c r="J13103" t="s">
        <v>4962</v>
      </c>
    </row>
    <row r="13104" spans="9:10" x14ac:dyDescent="0.3">
      <c r="I13104" t="s">
        <v>18925</v>
      </c>
      <c r="J13104" t="s">
        <v>4962</v>
      </c>
    </row>
    <row r="13105" spans="9:10" x14ac:dyDescent="0.3">
      <c r="I13105" t="s">
        <v>18904</v>
      </c>
      <c r="J13105" t="s">
        <v>4962</v>
      </c>
    </row>
    <row r="13106" spans="9:10" x14ac:dyDescent="0.3">
      <c r="I13106" t="s">
        <v>18904</v>
      </c>
      <c r="J13106" t="s">
        <v>4962</v>
      </c>
    </row>
    <row r="13107" spans="9:10" x14ac:dyDescent="0.3">
      <c r="I13107" t="s">
        <v>18904</v>
      </c>
      <c r="J13107" t="s">
        <v>4962</v>
      </c>
    </row>
    <row r="13108" spans="9:10" x14ac:dyDescent="0.3">
      <c r="I13108" t="s">
        <v>18926</v>
      </c>
      <c r="J13108" t="s">
        <v>4962</v>
      </c>
    </row>
    <row r="13109" spans="9:10" x14ac:dyDescent="0.3">
      <c r="I13109" t="s">
        <v>18904</v>
      </c>
      <c r="J13109" t="s">
        <v>4962</v>
      </c>
    </row>
    <row r="13110" spans="9:10" x14ac:dyDescent="0.3">
      <c r="I13110" t="s">
        <v>18904</v>
      </c>
      <c r="J13110" t="s">
        <v>4962</v>
      </c>
    </row>
    <row r="13111" spans="9:10" x14ac:dyDescent="0.3">
      <c r="I13111" t="s">
        <v>18904</v>
      </c>
      <c r="J13111" t="s">
        <v>4962</v>
      </c>
    </row>
    <row r="13112" spans="9:10" x14ac:dyDescent="0.3">
      <c r="I13112" t="s">
        <v>18904</v>
      </c>
      <c r="J13112" t="s">
        <v>4962</v>
      </c>
    </row>
    <row r="13113" spans="9:10" x14ac:dyDescent="0.3">
      <c r="I13113" t="s">
        <v>18927</v>
      </c>
      <c r="J13113" t="s">
        <v>4962</v>
      </c>
    </row>
    <row r="13114" spans="9:10" x14ac:dyDescent="0.3">
      <c r="I13114" t="s">
        <v>18928</v>
      </c>
      <c r="J13114" t="s">
        <v>4963</v>
      </c>
    </row>
    <row r="13115" spans="9:10" x14ac:dyDescent="0.3">
      <c r="I13115" t="s">
        <v>18929</v>
      </c>
      <c r="J13115" t="s">
        <v>4963</v>
      </c>
    </row>
    <row r="13116" spans="9:10" x14ac:dyDescent="0.3">
      <c r="I13116" t="s">
        <v>18929</v>
      </c>
      <c r="J13116" t="s">
        <v>4963</v>
      </c>
    </row>
    <row r="13117" spans="9:10" x14ac:dyDescent="0.3">
      <c r="I13117" t="s">
        <v>18930</v>
      </c>
      <c r="J13117" t="s">
        <v>4964</v>
      </c>
    </row>
    <row r="13118" spans="9:10" x14ac:dyDescent="0.3">
      <c r="I13118" t="s">
        <v>18931</v>
      </c>
      <c r="J13118" t="s">
        <v>4964</v>
      </c>
    </row>
    <row r="13119" spans="9:10" x14ac:dyDescent="0.3">
      <c r="I13119" t="s">
        <v>18932</v>
      </c>
      <c r="J13119" t="s">
        <v>4964</v>
      </c>
    </row>
    <row r="13120" spans="9:10" x14ac:dyDescent="0.3">
      <c r="I13120" t="s">
        <v>18933</v>
      </c>
      <c r="J13120" t="s">
        <v>4964</v>
      </c>
    </row>
    <row r="13121" spans="9:10" x14ac:dyDescent="0.3">
      <c r="I13121" t="s">
        <v>18934</v>
      </c>
      <c r="J13121" t="s">
        <v>4964</v>
      </c>
    </row>
    <row r="13122" spans="9:10" x14ac:dyDescent="0.3">
      <c r="I13122" t="s">
        <v>18935</v>
      </c>
      <c r="J13122" t="s">
        <v>4964</v>
      </c>
    </row>
    <row r="13123" spans="9:10" x14ac:dyDescent="0.3">
      <c r="I13123" t="s">
        <v>18936</v>
      </c>
      <c r="J13123" t="s">
        <v>4964</v>
      </c>
    </row>
    <row r="13124" spans="9:10" x14ac:dyDescent="0.3">
      <c r="I13124" t="s">
        <v>18937</v>
      </c>
      <c r="J13124" t="s">
        <v>4964</v>
      </c>
    </row>
    <row r="13125" spans="9:10" x14ac:dyDescent="0.3">
      <c r="I13125" t="s">
        <v>18938</v>
      </c>
      <c r="J13125" t="s">
        <v>4965</v>
      </c>
    </row>
    <row r="13126" spans="9:10" x14ac:dyDescent="0.3">
      <c r="I13126" t="s">
        <v>18939</v>
      </c>
      <c r="J13126" t="s">
        <v>4965</v>
      </c>
    </row>
    <row r="13127" spans="9:10" x14ac:dyDescent="0.3">
      <c r="I13127" t="s">
        <v>18940</v>
      </c>
      <c r="J13127" t="s">
        <v>4965</v>
      </c>
    </row>
    <row r="13128" spans="9:10" x14ac:dyDescent="0.3">
      <c r="I13128" t="s">
        <v>18941</v>
      </c>
      <c r="J13128" t="s">
        <v>4965</v>
      </c>
    </row>
    <row r="13129" spans="9:10" x14ac:dyDescent="0.3">
      <c r="I13129" t="s">
        <v>18942</v>
      </c>
      <c r="J13129" t="s">
        <v>4965</v>
      </c>
    </row>
    <row r="13130" spans="9:10" x14ac:dyDescent="0.3">
      <c r="I13130" t="s">
        <v>18943</v>
      </c>
      <c r="J13130" t="s">
        <v>4965</v>
      </c>
    </row>
    <row r="13131" spans="9:10" x14ac:dyDescent="0.3">
      <c r="I13131" t="s">
        <v>18944</v>
      </c>
      <c r="J13131" t="s">
        <v>4965</v>
      </c>
    </row>
    <row r="13132" spans="9:10" x14ac:dyDescent="0.3">
      <c r="I13132" t="s">
        <v>18945</v>
      </c>
      <c r="J13132" t="s">
        <v>4965</v>
      </c>
    </row>
    <row r="13133" spans="9:10" x14ac:dyDescent="0.3">
      <c r="I13133" t="s">
        <v>18946</v>
      </c>
      <c r="J13133" t="s">
        <v>4965</v>
      </c>
    </row>
    <row r="13134" spans="9:10" x14ac:dyDescent="0.3">
      <c r="I13134" t="s">
        <v>18947</v>
      </c>
      <c r="J13134" t="s">
        <v>4965</v>
      </c>
    </row>
    <row r="13135" spans="9:10" x14ac:dyDescent="0.3">
      <c r="I13135" t="s">
        <v>18948</v>
      </c>
      <c r="J13135" t="s">
        <v>4965</v>
      </c>
    </row>
    <row r="13136" spans="9:10" x14ac:dyDescent="0.3">
      <c r="I13136" t="s">
        <v>18949</v>
      </c>
      <c r="J13136" t="s">
        <v>4965</v>
      </c>
    </row>
    <row r="13137" spans="9:10" x14ac:dyDescent="0.3">
      <c r="I13137" t="s">
        <v>18947</v>
      </c>
      <c r="J13137" t="s">
        <v>4965</v>
      </c>
    </row>
    <row r="13138" spans="9:10" x14ac:dyDescent="0.3">
      <c r="I13138" t="s">
        <v>18947</v>
      </c>
      <c r="J13138" t="s">
        <v>4965</v>
      </c>
    </row>
    <row r="13139" spans="9:10" x14ac:dyDescent="0.3">
      <c r="I13139" t="s">
        <v>18947</v>
      </c>
      <c r="J13139" t="s">
        <v>4965</v>
      </c>
    </row>
    <row r="13140" spans="9:10" x14ac:dyDescent="0.3">
      <c r="I13140" t="s">
        <v>18947</v>
      </c>
      <c r="J13140" t="s">
        <v>4965</v>
      </c>
    </row>
    <row r="13141" spans="9:10" x14ac:dyDescent="0.3">
      <c r="I13141" t="s">
        <v>18947</v>
      </c>
      <c r="J13141" t="s">
        <v>4965</v>
      </c>
    </row>
    <row r="13142" spans="9:10" x14ac:dyDescent="0.3">
      <c r="I13142" t="s">
        <v>18947</v>
      </c>
      <c r="J13142" t="s">
        <v>4965</v>
      </c>
    </row>
    <row r="13143" spans="9:10" x14ac:dyDescent="0.3">
      <c r="I13143" t="s">
        <v>18947</v>
      </c>
      <c r="J13143" t="s">
        <v>4965</v>
      </c>
    </row>
    <row r="13144" spans="9:10" x14ac:dyDescent="0.3">
      <c r="I13144" t="s">
        <v>18947</v>
      </c>
      <c r="J13144" t="s">
        <v>4965</v>
      </c>
    </row>
    <row r="13145" spans="9:10" x14ac:dyDescent="0.3">
      <c r="I13145" t="s">
        <v>18947</v>
      </c>
      <c r="J13145" t="s">
        <v>4965</v>
      </c>
    </row>
    <row r="13146" spans="9:10" x14ac:dyDescent="0.3">
      <c r="I13146" t="s">
        <v>18947</v>
      </c>
      <c r="J13146" t="s">
        <v>4965</v>
      </c>
    </row>
    <row r="13147" spans="9:10" x14ac:dyDescent="0.3">
      <c r="I13147" t="s">
        <v>18947</v>
      </c>
      <c r="J13147" t="s">
        <v>4965</v>
      </c>
    </row>
    <row r="13148" spans="9:10" x14ac:dyDescent="0.3">
      <c r="I13148" t="s">
        <v>18947</v>
      </c>
      <c r="J13148" t="s">
        <v>4965</v>
      </c>
    </row>
    <row r="13149" spans="9:10" x14ac:dyDescent="0.3">
      <c r="I13149" t="s">
        <v>18950</v>
      </c>
      <c r="J13149" t="s">
        <v>4965</v>
      </c>
    </row>
    <row r="13150" spans="9:10" x14ac:dyDescent="0.3">
      <c r="I13150" t="s">
        <v>18951</v>
      </c>
      <c r="J13150" t="s">
        <v>4965</v>
      </c>
    </row>
    <row r="13151" spans="9:10" x14ac:dyDescent="0.3">
      <c r="I13151" t="s">
        <v>18952</v>
      </c>
      <c r="J13151" t="s">
        <v>4965</v>
      </c>
    </row>
    <row r="13152" spans="9:10" x14ac:dyDescent="0.3">
      <c r="I13152" t="s">
        <v>18953</v>
      </c>
      <c r="J13152" t="s">
        <v>4965</v>
      </c>
    </row>
    <row r="13153" spans="9:10" x14ac:dyDescent="0.3">
      <c r="I13153" t="s">
        <v>18947</v>
      </c>
      <c r="J13153" t="s">
        <v>4965</v>
      </c>
    </row>
    <row r="13154" spans="9:10" x14ac:dyDescent="0.3">
      <c r="I13154" t="s">
        <v>18954</v>
      </c>
      <c r="J13154" t="s">
        <v>4965</v>
      </c>
    </row>
    <row r="13155" spans="9:10" x14ac:dyDescent="0.3">
      <c r="I13155" t="s">
        <v>18947</v>
      </c>
      <c r="J13155" t="s">
        <v>4965</v>
      </c>
    </row>
    <row r="13156" spans="9:10" x14ac:dyDescent="0.3">
      <c r="I13156" t="s">
        <v>18947</v>
      </c>
      <c r="J13156" t="s">
        <v>4965</v>
      </c>
    </row>
    <row r="13157" spans="9:10" x14ac:dyDescent="0.3">
      <c r="I13157" t="s">
        <v>18947</v>
      </c>
      <c r="J13157" t="s">
        <v>4965</v>
      </c>
    </row>
    <row r="13158" spans="9:10" x14ac:dyDescent="0.3">
      <c r="I13158" t="s">
        <v>18955</v>
      </c>
      <c r="J13158" t="s">
        <v>4965</v>
      </c>
    </row>
    <row r="13159" spans="9:10" x14ac:dyDescent="0.3">
      <c r="I13159" t="s">
        <v>18949</v>
      </c>
      <c r="J13159" t="s">
        <v>4965</v>
      </c>
    </row>
    <row r="13160" spans="9:10" x14ac:dyDescent="0.3">
      <c r="I13160" t="s">
        <v>18956</v>
      </c>
      <c r="J13160" t="s">
        <v>4965</v>
      </c>
    </row>
    <row r="13161" spans="9:10" x14ac:dyDescent="0.3">
      <c r="I13161" t="s">
        <v>18957</v>
      </c>
      <c r="J13161" t="s">
        <v>4965</v>
      </c>
    </row>
    <row r="13162" spans="9:10" x14ac:dyDescent="0.3">
      <c r="I13162" t="s">
        <v>18947</v>
      </c>
      <c r="J13162" t="s">
        <v>4965</v>
      </c>
    </row>
    <row r="13163" spans="9:10" x14ac:dyDescent="0.3">
      <c r="I13163" t="s">
        <v>18938</v>
      </c>
      <c r="J13163" t="s">
        <v>4965</v>
      </c>
    </row>
    <row r="13164" spans="9:10" x14ac:dyDescent="0.3">
      <c r="I13164" t="s">
        <v>18947</v>
      </c>
      <c r="J13164" t="s">
        <v>4965</v>
      </c>
    </row>
    <row r="13165" spans="9:10" x14ac:dyDescent="0.3">
      <c r="I13165" t="s">
        <v>18947</v>
      </c>
      <c r="J13165" t="s">
        <v>4965</v>
      </c>
    </row>
    <row r="13166" spans="9:10" x14ac:dyDescent="0.3">
      <c r="I13166" t="s">
        <v>18947</v>
      </c>
      <c r="J13166" t="s">
        <v>4965</v>
      </c>
    </row>
    <row r="13167" spans="9:10" x14ac:dyDescent="0.3">
      <c r="I13167" t="s">
        <v>18947</v>
      </c>
      <c r="J13167" t="s">
        <v>4965</v>
      </c>
    </row>
    <row r="13168" spans="9:10" x14ac:dyDescent="0.3">
      <c r="I13168" t="s">
        <v>18947</v>
      </c>
      <c r="J13168" t="s">
        <v>4965</v>
      </c>
    </row>
    <row r="13169" spans="9:10" x14ac:dyDescent="0.3">
      <c r="I13169" t="s">
        <v>18947</v>
      </c>
      <c r="J13169" t="s">
        <v>4965</v>
      </c>
    </row>
    <row r="13170" spans="9:10" x14ac:dyDescent="0.3">
      <c r="I13170" t="s">
        <v>18947</v>
      </c>
      <c r="J13170" t="s">
        <v>4965</v>
      </c>
    </row>
    <row r="13171" spans="9:10" x14ac:dyDescent="0.3">
      <c r="I13171" t="s">
        <v>18947</v>
      </c>
      <c r="J13171" t="s">
        <v>4965</v>
      </c>
    </row>
    <row r="13172" spans="9:10" x14ac:dyDescent="0.3">
      <c r="I13172" t="s">
        <v>18947</v>
      </c>
      <c r="J13172" t="s">
        <v>4965</v>
      </c>
    </row>
    <row r="13173" spans="9:10" x14ac:dyDescent="0.3">
      <c r="I13173" t="s">
        <v>18958</v>
      </c>
      <c r="J13173" t="s">
        <v>4965</v>
      </c>
    </row>
    <row r="13174" spans="9:10" x14ac:dyDescent="0.3">
      <c r="I13174" t="s">
        <v>18947</v>
      </c>
      <c r="J13174" t="s">
        <v>4965</v>
      </c>
    </row>
    <row r="13175" spans="9:10" x14ac:dyDescent="0.3">
      <c r="I13175" t="s">
        <v>18959</v>
      </c>
      <c r="J13175" t="s">
        <v>4966</v>
      </c>
    </row>
    <row r="13176" spans="9:10" x14ac:dyDescent="0.3">
      <c r="I13176" t="s">
        <v>18960</v>
      </c>
    </row>
    <row r="13177" spans="9:10" x14ac:dyDescent="0.3">
      <c r="I13177" t="s">
        <v>18961</v>
      </c>
    </row>
    <row r="13178" spans="9:10" x14ac:dyDescent="0.3">
      <c r="I13178" t="s">
        <v>18962</v>
      </c>
      <c r="J13178" t="s">
        <v>4967</v>
      </c>
    </row>
    <row r="13179" spans="9:10" x14ac:dyDescent="0.3">
      <c r="I13179" t="s">
        <v>18963</v>
      </c>
      <c r="J13179" t="s">
        <v>4967</v>
      </c>
    </row>
    <row r="13180" spans="9:10" x14ac:dyDescent="0.3">
      <c r="I13180" t="s">
        <v>18963</v>
      </c>
      <c r="J13180" t="s">
        <v>4967</v>
      </c>
    </row>
    <row r="13181" spans="9:10" x14ac:dyDescent="0.3">
      <c r="I13181" t="s">
        <v>18964</v>
      </c>
      <c r="J13181" t="s">
        <v>4968</v>
      </c>
    </row>
    <row r="13182" spans="9:10" x14ac:dyDescent="0.3">
      <c r="I13182" t="s">
        <v>18965</v>
      </c>
      <c r="J13182" t="s">
        <v>4969</v>
      </c>
    </row>
    <row r="13183" spans="9:10" x14ac:dyDescent="0.3">
      <c r="I13183" t="s">
        <v>18966</v>
      </c>
      <c r="J13183" t="s">
        <v>807</v>
      </c>
    </row>
    <row r="13184" spans="9:10" x14ac:dyDescent="0.3">
      <c r="I13184" t="s">
        <v>806</v>
      </c>
      <c r="J13184" t="s">
        <v>807</v>
      </c>
    </row>
    <row r="13185" spans="9:10" x14ac:dyDescent="0.3">
      <c r="I13185" t="s">
        <v>18967</v>
      </c>
      <c r="J13185" t="s">
        <v>807</v>
      </c>
    </row>
    <row r="13186" spans="9:10" x14ac:dyDescent="0.3">
      <c r="I13186" t="s">
        <v>18968</v>
      </c>
      <c r="J13186" t="s">
        <v>807</v>
      </c>
    </row>
    <row r="13187" spans="9:10" x14ac:dyDescent="0.3">
      <c r="I13187" t="s">
        <v>18969</v>
      </c>
      <c r="J13187" t="s">
        <v>807</v>
      </c>
    </row>
    <row r="13188" spans="9:10" x14ac:dyDescent="0.3">
      <c r="I13188" t="s">
        <v>18970</v>
      </c>
      <c r="J13188" t="s">
        <v>807</v>
      </c>
    </row>
    <row r="13189" spans="9:10" x14ac:dyDescent="0.3">
      <c r="I13189" t="s">
        <v>18971</v>
      </c>
      <c r="J13189" t="s">
        <v>807</v>
      </c>
    </row>
    <row r="13190" spans="9:10" x14ac:dyDescent="0.3">
      <c r="I13190" t="s">
        <v>18969</v>
      </c>
      <c r="J13190" t="s">
        <v>807</v>
      </c>
    </row>
    <row r="13191" spans="9:10" x14ac:dyDescent="0.3">
      <c r="I13191" t="s">
        <v>18969</v>
      </c>
      <c r="J13191" t="s">
        <v>807</v>
      </c>
    </row>
    <row r="13192" spans="9:10" x14ac:dyDescent="0.3">
      <c r="I13192" t="s">
        <v>806</v>
      </c>
      <c r="J13192" t="s">
        <v>807</v>
      </c>
    </row>
    <row r="13193" spans="9:10" x14ac:dyDescent="0.3">
      <c r="I13193" t="s">
        <v>18969</v>
      </c>
      <c r="J13193" t="s">
        <v>807</v>
      </c>
    </row>
    <row r="13194" spans="9:10" x14ac:dyDescent="0.3">
      <c r="I13194" t="s">
        <v>18972</v>
      </c>
      <c r="J13194" t="s">
        <v>807</v>
      </c>
    </row>
    <row r="13195" spans="9:10" x14ac:dyDescent="0.3">
      <c r="I13195" t="s">
        <v>18969</v>
      </c>
      <c r="J13195" t="s">
        <v>807</v>
      </c>
    </row>
    <row r="13196" spans="9:10" x14ac:dyDescent="0.3">
      <c r="I13196" t="s">
        <v>18973</v>
      </c>
      <c r="J13196" t="s">
        <v>4970</v>
      </c>
    </row>
    <row r="13197" spans="9:10" x14ac:dyDescent="0.3">
      <c r="I13197" t="s">
        <v>18973</v>
      </c>
      <c r="J13197" t="s">
        <v>4970</v>
      </c>
    </row>
    <row r="13198" spans="9:10" x14ac:dyDescent="0.3">
      <c r="I13198" t="s">
        <v>18974</v>
      </c>
      <c r="J13198" t="s">
        <v>194</v>
      </c>
    </row>
    <row r="13199" spans="9:10" x14ac:dyDescent="0.3">
      <c r="I13199" t="s">
        <v>18975</v>
      </c>
      <c r="J13199" t="s">
        <v>194</v>
      </c>
    </row>
    <row r="13200" spans="9:10" x14ac:dyDescent="0.3">
      <c r="I13200" t="s">
        <v>18976</v>
      </c>
      <c r="J13200" t="s">
        <v>4971</v>
      </c>
    </row>
    <row r="13201" spans="9:10" x14ac:dyDescent="0.3">
      <c r="I13201" t="s">
        <v>18977</v>
      </c>
    </row>
    <row r="13202" spans="9:10" x14ac:dyDescent="0.3">
      <c r="I13202" t="s">
        <v>18978</v>
      </c>
      <c r="J13202" t="s">
        <v>4972</v>
      </c>
    </row>
    <row r="13203" spans="9:10" x14ac:dyDescent="0.3">
      <c r="I13203" t="s">
        <v>18978</v>
      </c>
      <c r="J13203" t="s">
        <v>4972</v>
      </c>
    </row>
    <row r="13204" spans="9:10" x14ac:dyDescent="0.3">
      <c r="I13204" t="s">
        <v>18979</v>
      </c>
    </row>
    <row r="13205" spans="9:10" x14ac:dyDescent="0.3">
      <c r="I13205" t="s">
        <v>18979</v>
      </c>
    </row>
    <row r="13206" spans="9:10" x14ac:dyDescent="0.3">
      <c r="I13206" t="s">
        <v>18980</v>
      </c>
      <c r="J13206" t="s">
        <v>4973</v>
      </c>
    </row>
    <row r="13207" spans="9:10" x14ac:dyDescent="0.3">
      <c r="I13207" t="s">
        <v>18981</v>
      </c>
      <c r="J13207" t="s">
        <v>4974</v>
      </c>
    </row>
    <row r="13208" spans="9:10" x14ac:dyDescent="0.3">
      <c r="I13208" t="s">
        <v>18981</v>
      </c>
      <c r="J13208" t="s">
        <v>4974</v>
      </c>
    </row>
    <row r="13209" spans="9:10" x14ac:dyDescent="0.3">
      <c r="I13209" t="s">
        <v>18982</v>
      </c>
      <c r="J13209" t="s">
        <v>4975</v>
      </c>
    </row>
    <row r="13210" spans="9:10" x14ac:dyDescent="0.3">
      <c r="I13210" t="s">
        <v>18983</v>
      </c>
      <c r="J13210" t="s">
        <v>4976</v>
      </c>
    </row>
    <row r="13211" spans="9:10" x14ac:dyDescent="0.3">
      <c r="I13211" t="s">
        <v>18984</v>
      </c>
      <c r="J13211" t="s">
        <v>4977</v>
      </c>
    </row>
    <row r="13212" spans="9:10" x14ac:dyDescent="0.3">
      <c r="I13212" t="s">
        <v>18984</v>
      </c>
      <c r="J13212" t="s">
        <v>4977</v>
      </c>
    </row>
    <row r="13213" spans="9:10" x14ac:dyDescent="0.3">
      <c r="I13213" t="s">
        <v>18985</v>
      </c>
      <c r="J13213" t="s">
        <v>4978</v>
      </c>
    </row>
    <row r="13214" spans="9:10" x14ac:dyDescent="0.3">
      <c r="I13214" t="s">
        <v>18986</v>
      </c>
    </row>
    <row r="13215" spans="9:10" x14ac:dyDescent="0.3">
      <c r="I13215" t="s">
        <v>18805</v>
      </c>
    </row>
    <row r="13216" spans="9:10" x14ac:dyDescent="0.3">
      <c r="I13216" t="s">
        <v>18805</v>
      </c>
    </row>
    <row r="13217" spans="9:10" x14ac:dyDescent="0.3">
      <c r="I13217" t="s">
        <v>18805</v>
      </c>
    </row>
    <row r="13218" spans="9:10" x14ac:dyDescent="0.3">
      <c r="I13218" t="s">
        <v>18805</v>
      </c>
    </row>
    <row r="13219" spans="9:10" x14ac:dyDescent="0.3">
      <c r="I13219" t="s">
        <v>18805</v>
      </c>
    </row>
    <row r="13220" spans="9:10" x14ac:dyDescent="0.3">
      <c r="I13220" t="s">
        <v>18805</v>
      </c>
    </row>
    <row r="13221" spans="9:10" x14ac:dyDescent="0.3">
      <c r="I13221" t="s">
        <v>18805</v>
      </c>
    </row>
    <row r="13222" spans="9:10" x14ac:dyDescent="0.3">
      <c r="I13222" t="s">
        <v>18987</v>
      </c>
      <c r="J13222" t="s">
        <v>4979</v>
      </c>
    </row>
    <row r="13223" spans="9:10" x14ac:dyDescent="0.3">
      <c r="I13223" t="s">
        <v>18988</v>
      </c>
      <c r="J13223" t="s">
        <v>4980</v>
      </c>
    </row>
    <row r="13224" spans="9:10" x14ac:dyDescent="0.3">
      <c r="I13224" t="s">
        <v>18989</v>
      </c>
    </row>
    <row r="13225" spans="9:10" x14ac:dyDescent="0.3">
      <c r="I13225" t="s">
        <v>18990</v>
      </c>
    </row>
    <row r="13226" spans="9:10" x14ac:dyDescent="0.3">
      <c r="I13226" t="s">
        <v>18991</v>
      </c>
    </row>
    <row r="13227" spans="9:10" x14ac:dyDescent="0.3">
      <c r="I13227" t="s">
        <v>18992</v>
      </c>
      <c r="J13227" t="s">
        <v>4981</v>
      </c>
    </row>
    <row r="13228" spans="9:10" x14ac:dyDescent="0.3">
      <c r="I13228" t="s">
        <v>18992</v>
      </c>
      <c r="J13228" t="s">
        <v>4981</v>
      </c>
    </row>
    <row r="13229" spans="9:10" x14ac:dyDescent="0.3">
      <c r="I13229" t="s">
        <v>18993</v>
      </c>
      <c r="J13229" t="s">
        <v>4982</v>
      </c>
    </row>
    <row r="13230" spans="9:10" x14ac:dyDescent="0.3">
      <c r="I13230" t="s">
        <v>18994</v>
      </c>
    </row>
    <row r="13231" spans="9:10" x14ac:dyDescent="0.3">
      <c r="I13231" t="s">
        <v>18995</v>
      </c>
    </row>
    <row r="13232" spans="9:10" x14ac:dyDescent="0.3">
      <c r="I13232" t="s">
        <v>18996</v>
      </c>
    </row>
    <row r="13233" spans="9:10" x14ac:dyDescent="0.3">
      <c r="I13233" t="s">
        <v>18997</v>
      </c>
      <c r="J13233" t="s">
        <v>4983</v>
      </c>
    </row>
    <row r="13234" spans="9:10" x14ac:dyDescent="0.3">
      <c r="I13234" t="s">
        <v>18998</v>
      </c>
      <c r="J13234" t="s">
        <v>4984</v>
      </c>
    </row>
    <row r="13235" spans="9:10" x14ac:dyDescent="0.3">
      <c r="I13235" t="s">
        <v>18999</v>
      </c>
    </row>
    <row r="13236" spans="9:10" x14ac:dyDescent="0.3">
      <c r="I13236" t="s">
        <v>19000</v>
      </c>
    </row>
    <row r="13237" spans="9:10" x14ac:dyDescent="0.3">
      <c r="I13237" t="s">
        <v>19001</v>
      </c>
      <c r="J13237" t="s">
        <v>4985</v>
      </c>
    </row>
    <row r="13238" spans="9:10" x14ac:dyDescent="0.3">
      <c r="I13238" t="s">
        <v>19002</v>
      </c>
      <c r="J13238" t="s">
        <v>4986</v>
      </c>
    </row>
    <row r="13239" spans="9:10" x14ac:dyDescent="0.3">
      <c r="I13239" t="s">
        <v>19003</v>
      </c>
      <c r="J13239" t="s">
        <v>4987</v>
      </c>
    </row>
    <row r="13240" spans="9:10" x14ac:dyDescent="0.3">
      <c r="I13240" t="s">
        <v>19004</v>
      </c>
      <c r="J13240" t="s">
        <v>4988</v>
      </c>
    </row>
    <row r="13241" spans="9:10" x14ac:dyDescent="0.3">
      <c r="I13241" t="s">
        <v>19005</v>
      </c>
      <c r="J13241" t="s">
        <v>4989</v>
      </c>
    </row>
    <row r="13242" spans="9:10" x14ac:dyDescent="0.3">
      <c r="I13242" t="s">
        <v>19006</v>
      </c>
      <c r="J13242" t="s">
        <v>4989</v>
      </c>
    </row>
    <row r="13243" spans="9:10" x14ac:dyDescent="0.3">
      <c r="I13243" t="s">
        <v>19007</v>
      </c>
      <c r="J13243" t="s">
        <v>4990</v>
      </c>
    </row>
    <row r="13244" spans="9:10" x14ac:dyDescent="0.3">
      <c r="I13244" t="s">
        <v>19008</v>
      </c>
      <c r="J13244" t="s">
        <v>4991</v>
      </c>
    </row>
    <row r="13245" spans="9:10" x14ac:dyDescent="0.3">
      <c r="I13245" t="s">
        <v>19009</v>
      </c>
      <c r="J13245" t="s">
        <v>4991</v>
      </c>
    </row>
    <row r="13246" spans="9:10" x14ac:dyDescent="0.3">
      <c r="I13246" t="s">
        <v>19010</v>
      </c>
      <c r="J13246" t="s">
        <v>4991</v>
      </c>
    </row>
    <row r="13247" spans="9:10" x14ac:dyDescent="0.3">
      <c r="I13247" t="s">
        <v>19011</v>
      </c>
      <c r="J13247" t="s">
        <v>4991</v>
      </c>
    </row>
    <row r="13248" spans="9:10" x14ac:dyDescent="0.3">
      <c r="I13248" t="s">
        <v>19012</v>
      </c>
      <c r="J13248" t="s">
        <v>4992</v>
      </c>
    </row>
    <row r="13249" spans="9:10" x14ac:dyDescent="0.3">
      <c r="I13249" t="s">
        <v>19013</v>
      </c>
      <c r="J13249" t="s">
        <v>4993</v>
      </c>
    </row>
    <row r="13250" spans="9:10" x14ac:dyDescent="0.3">
      <c r="I13250" t="s">
        <v>19014</v>
      </c>
      <c r="J13250" t="s">
        <v>4993</v>
      </c>
    </row>
    <row r="13251" spans="9:10" x14ac:dyDescent="0.3">
      <c r="I13251" t="s">
        <v>19013</v>
      </c>
      <c r="J13251" t="s">
        <v>4993</v>
      </c>
    </row>
    <row r="13252" spans="9:10" x14ac:dyDescent="0.3">
      <c r="I13252" t="s">
        <v>19015</v>
      </c>
    </row>
    <row r="13253" spans="9:10" x14ac:dyDescent="0.3">
      <c r="I13253" t="s">
        <v>19016</v>
      </c>
      <c r="J13253" t="s">
        <v>4994</v>
      </c>
    </row>
    <row r="13254" spans="9:10" x14ac:dyDescent="0.3">
      <c r="I13254" t="s">
        <v>19017</v>
      </c>
      <c r="J13254" t="s">
        <v>4994</v>
      </c>
    </row>
    <row r="13255" spans="9:10" x14ac:dyDescent="0.3">
      <c r="I13255" t="s">
        <v>19018</v>
      </c>
      <c r="J13255" t="s">
        <v>4995</v>
      </c>
    </row>
    <row r="13256" spans="9:10" x14ac:dyDescent="0.3">
      <c r="I13256" t="s">
        <v>19019</v>
      </c>
      <c r="J13256" t="s">
        <v>4996</v>
      </c>
    </row>
    <row r="13257" spans="9:10" x14ac:dyDescent="0.3">
      <c r="I13257" t="s">
        <v>19020</v>
      </c>
    </row>
    <row r="13258" spans="9:10" x14ac:dyDescent="0.3">
      <c r="I13258" t="s">
        <v>19021</v>
      </c>
    </row>
    <row r="13259" spans="9:10" x14ac:dyDescent="0.3">
      <c r="I13259" t="s">
        <v>19022</v>
      </c>
    </row>
    <row r="13260" spans="9:10" x14ac:dyDescent="0.3">
      <c r="I13260" t="s">
        <v>19023</v>
      </c>
    </row>
    <row r="13261" spans="9:10" x14ac:dyDescent="0.3">
      <c r="I13261" t="s">
        <v>19024</v>
      </c>
      <c r="J13261" t="s">
        <v>4997</v>
      </c>
    </row>
    <row r="13262" spans="9:10" x14ac:dyDescent="0.3">
      <c r="I13262" t="s">
        <v>19025</v>
      </c>
      <c r="J13262" t="s">
        <v>4998</v>
      </c>
    </row>
    <row r="13263" spans="9:10" x14ac:dyDescent="0.3">
      <c r="I13263" t="s">
        <v>19026</v>
      </c>
      <c r="J13263" t="s">
        <v>4999</v>
      </c>
    </row>
    <row r="13264" spans="9:10" x14ac:dyDescent="0.3">
      <c r="I13264" t="s">
        <v>19027</v>
      </c>
      <c r="J13264" t="s">
        <v>5000</v>
      </c>
    </row>
    <row r="13265" spans="9:10" x14ac:dyDescent="0.3">
      <c r="I13265" t="s">
        <v>19028</v>
      </c>
      <c r="J13265" t="s">
        <v>5001</v>
      </c>
    </row>
    <row r="13266" spans="9:10" x14ac:dyDescent="0.3">
      <c r="I13266" t="s">
        <v>19029</v>
      </c>
      <c r="J13266" t="s">
        <v>5002</v>
      </c>
    </row>
    <row r="13267" spans="9:10" x14ac:dyDescent="0.3">
      <c r="I13267" t="s">
        <v>19030</v>
      </c>
      <c r="J13267" t="s">
        <v>5003</v>
      </c>
    </row>
    <row r="13268" spans="9:10" x14ac:dyDescent="0.3">
      <c r="I13268" t="s">
        <v>19031</v>
      </c>
      <c r="J13268" t="s">
        <v>5004</v>
      </c>
    </row>
    <row r="13269" spans="9:10" x14ac:dyDescent="0.3">
      <c r="I13269" t="s">
        <v>19032</v>
      </c>
      <c r="J13269" t="s">
        <v>5004</v>
      </c>
    </row>
    <row r="13270" spans="9:10" x14ac:dyDescent="0.3">
      <c r="I13270" t="s">
        <v>19033</v>
      </c>
      <c r="J13270" t="s">
        <v>5004</v>
      </c>
    </row>
    <row r="13271" spans="9:10" x14ac:dyDescent="0.3">
      <c r="I13271" t="s">
        <v>19034</v>
      </c>
      <c r="J13271" t="s">
        <v>5004</v>
      </c>
    </row>
    <row r="13272" spans="9:10" x14ac:dyDescent="0.3">
      <c r="I13272" t="s">
        <v>19035</v>
      </c>
      <c r="J13272" t="s">
        <v>5004</v>
      </c>
    </row>
    <row r="13273" spans="9:10" x14ac:dyDescent="0.3">
      <c r="I13273" t="s">
        <v>19036</v>
      </c>
      <c r="J13273" t="s">
        <v>5004</v>
      </c>
    </row>
    <row r="13274" spans="9:10" x14ac:dyDescent="0.3">
      <c r="I13274" t="s">
        <v>19037</v>
      </c>
      <c r="J13274" t="s">
        <v>5004</v>
      </c>
    </row>
    <row r="13275" spans="9:10" x14ac:dyDescent="0.3">
      <c r="I13275" t="s">
        <v>19036</v>
      </c>
      <c r="J13275" t="s">
        <v>5004</v>
      </c>
    </row>
    <row r="13276" spans="9:10" x14ac:dyDescent="0.3">
      <c r="I13276" t="s">
        <v>19036</v>
      </c>
      <c r="J13276" t="s">
        <v>5004</v>
      </c>
    </row>
    <row r="13277" spans="9:10" x14ac:dyDescent="0.3">
      <c r="I13277" t="s">
        <v>19036</v>
      </c>
      <c r="J13277" t="s">
        <v>5004</v>
      </c>
    </row>
    <row r="13278" spans="9:10" x14ac:dyDescent="0.3">
      <c r="I13278" t="s">
        <v>19038</v>
      </c>
      <c r="J13278" t="s">
        <v>5004</v>
      </c>
    </row>
    <row r="13279" spans="9:10" x14ac:dyDescent="0.3">
      <c r="I13279" t="s">
        <v>19039</v>
      </c>
      <c r="J13279" t="s">
        <v>5004</v>
      </c>
    </row>
    <row r="13280" spans="9:10" x14ac:dyDescent="0.3">
      <c r="I13280" t="s">
        <v>19036</v>
      </c>
      <c r="J13280" t="s">
        <v>5004</v>
      </c>
    </row>
    <row r="13281" spans="9:10" x14ac:dyDescent="0.3">
      <c r="I13281" t="s">
        <v>19036</v>
      </c>
      <c r="J13281" t="s">
        <v>5004</v>
      </c>
    </row>
    <row r="13282" spans="9:10" x14ac:dyDescent="0.3">
      <c r="I13282" t="s">
        <v>19036</v>
      </c>
      <c r="J13282" t="s">
        <v>5004</v>
      </c>
    </row>
    <row r="13283" spans="9:10" x14ac:dyDescent="0.3">
      <c r="I13283" t="s">
        <v>19036</v>
      </c>
      <c r="J13283" t="s">
        <v>5004</v>
      </c>
    </row>
    <row r="13284" spans="9:10" x14ac:dyDescent="0.3">
      <c r="I13284" t="s">
        <v>19036</v>
      </c>
      <c r="J13284" t="s">
        <v>5004</v>
      </c>
    </row>
    <row r="13285" spans="9:10" x14ac:dyDescent="0.3">
      <c r="I13285" t="s">
        <v>19040</v>
      </c>
      <c r="J13285" t="s">
        <v>5004</v>
      </c>
    </row>
    <row r="13286" spans="9:10" x14ac:dyDescent="0.3">
      <c r="I13286" t="s">
        <v>19041</v>
      </c>
      <c r="J13286" t="s">
        <v>5004</v>
      </c>
    </row>
    <row r="13287" spans="9:10" x14ac:dyDescent="0.3">
      <c r="I13287" t="s">
        <v>19042</v>
      </c>
      <c r="J13287" t="s">
        <v>5004</v>
      </c>
    </row>
    <row r="13288" spans="9:10" x14ac:dyDescent="0.3">
      <c r="I13288" t="s">
        <v>19036</v>
      </c>
      <c r="J13288" t="s">
        <v>5004</v>
      </c>
    </row>
    <row r="13289" spans="9:10" x14ac:dyDescent="0.3">
      <c r="I13289" t="s">
        <v>19036</v>
      </c>
      <c r="J13289" t="s">
        <v>5004</v>
      </c>
    </row>
    <row r="13290" spans="9:10" x14ac:dyDescent="0.3">
      <c r="I13290" t="s">
        <v>19036</v>
      </c>
      <c r="J13290" t="s">
        <v>5004</v>
      </c>
    </row>
    <row r="13291" spans="9:10" x14ac:dyDescent="0.3">
      <c r="I13291" t="s">
        <v>19043</v>
      </c>
      <c r="J13291" t="s">
        <v>5005</v>
      </c>
    </row>
    <row r="13292" spans="9:10" x14ac:dyDescent="0.3">
      <c r="I13292" t="s">
        <v>19043</v>
      </c>
      <c r="J13292" t="s">
        <v>5005</v>
      </c>
    </row>
    <row r="13293" spans="9:10" x14ac:dyDescent="0.3">
      <c r="I13293" t="s">
        <v>19043</v>
      </c>
      <c r="J13293" t="s">
        <v>5005</v>
      </c>
    </row>
    <row r="13294" spans="9:10" x14ac:dyDescent="0.3">
      <c r="I13294" t="s">
        <v>19044</v>
      </c>
      <c r="J13294" t="s">
        <v>5006</v>
      </c>
    </row>
    <row r="13295" spans="9:10" x14ac:dyDescent="0.3">
      <c r="I13295" t="s">
        <v>19044</v>
      </c>
      <c r="J13295" t="s">
        <v>5006</v>
      </c>
    </row>
    <row r="13296" spans="9:10" x14ac:dyDescent="0.3">
      <c r="I13296" t="s">
        <v>19045</v>
      </c>
      <c r="J13296" t="s">
        <v>5006</v>
      </c>
    </row>
    <row r="13297" spans="9:10" x14ac:dyDescent="0.3">
      <c r="I13297" t="s">
        <v>19045</v>
      </c>
      <c r="J13297" t="s">
        <v>5006</v>
      </c>
    </row>
    <row r="13298" spans="9:10" x14ac:dyDescent="0.3">
      <c r="I13298" t="s">
        <v>19044</v>
      </c>
      <c r="J13298" t="s">
        <v>5006</v>
      </c>
    </row>
    <row r="13299" spans="9:10" x14ac:dyDescent="0.3">
      <c r="I13299" t="s">
        <v>19046</v>
      </c>
      <c r="J13299" t="s">
        <v>5007</v>
      </c>
    </row>
    <row r="13300" spans="9:10" x14ac:dyDescent="0.3">
      <c r="I13300" t="s">
        <v>19047</v>
      </c>
      <c r="J13300" t="s">
        <v>5007</v>
      </c>
    </row>
    <row r="13301" spans="9:10" x14ac:dyDescent="0.3">
      <c r="I13301" t="s">
        <v>19048</v>
      </c>
      <c r="J13301" t="s">
        <v>5008</v>
      </c>
    </row>
    <row r="13302" spans="9:10" x14ac:dyDescent="0.3">
      <c r="I13302" t="s">
        <v>19048</v>
      </c>
      <c r="J13302" t="s">
        <v>5008</v>
      </c>
    </row>
    <row r="13303" spans="9:10" x14ac:dyDescent="0.3">
      <c r="I13303" t="s">
        <v>19049</v>
      </c>
      <c r="J13303" t="s">
        <v>5009</v>
      </c>
    </row>
    <row r="13304" spans="9:10" x14ac:dyDescent="0.3">
      <c r="I13304" t="s">
        <v>19049</v>
      </c>
      <c r="J13304" t="s">
        <v>5009</v>
      </c>
    </row>
    <row r="13305" spans="9:10" x14ac:dyDescent="0.3">
      <c r="I13305" t="s">
        <v>19049</v>
      </c>
      <c r="J13305" t="s">
        <v>5009</v>
      </c>
    </row>
    <row r="13306" spans="9:10" x14ac:dyDescent="0.3">
      <c r="I13306" t="s">
        <v>19050</v>
      </c>
      <c r="J13306" t="s">
        <v>5010</v>
      </c>
    </row>
    <row r="13307" spans="9:10" x14ac:dyDescent="0.3">
      <c r="I13307" t="s">
        <v>19051</v>
      </c>
      <c r="J13307" t="s">
        <v>5011</v>
      </c>
    </row>
    <row r="13308" spans="9:10" x14ac:dyDescent="0.3">
      <c r="I13308" t="s">
        <v>19051</v>
      </c>
      <c r="J13308" t="s">
        <v>5011</v>
      </c>
    </row>
    <row r="13309" spans="9:10" x14ac:dyDescent="0.3">
      <c r="I13309" t="s">
        <v>19052</v>
      </c>
      <c r="J13309" t="s">
        <v>5011</v>
      </c>
    </row>
    <row r="13310" spans="9:10" x14ac:dyDescent="0.3">
      <c r="I13310" t="s">
        <v>19053</v>
      </c>
      <c r="J13310" t="s">
        <v>5012</v>
      </c>
    </row>
    <row r="13311" spans="9:10" x14ac:dyDescent="0.3">
      <c r="I13311" t="s">
        <v>19054</v>
      </c>
      <c r="J13311" t="s">
        <v>5013</v>
      </c>
    </row>
    <row r="13312" spans="9:10" x14ac:dyDescent="0.3">
      <c r="I13312" t="s">
        <v>19054</v>
      </c>
      <c r="J13312" t="s">
        <v>5013</v>
      </c>
    </row>
    <row r="13313" spans="9:10" x14ac:dyDescent="0.3">
      <c r="I13313" t="s">
        <v>19054</v>
      </c>
      <c r="J13313" t="s">
        <v>5013</v>
      </c>
    </row>
    <row r="13314" spans="9:10" x14ac:dyDescent="0.3">
      <c r="I13314" t="s">
        <v>19055</v>
      </c>
      <c r="J13314" t="s">
        <v>5013</v>
      </c>
    </row>
    <row r="13315" spans="9:10" x14ac:dyDescent="0.3">
      <c r="I13315" t="s">
        <v>19056</v>
      </c>
      <c r="J13315" t="s">
        <v>5013</v>
      </c>
    </row>
    <row r="13316" spans="9:10" x14ac:dyDescent="0.3">
      <c r="I13316" t="s">
        <v>19057</v>
      </c>
      <c r="J13316" t="s">
        <v>5014</v>
      </c>
    </row>
    <row r="13317" spans="9:10" x14ac:dyDescent="0.3">
      <c r="I13317" t="s">
        <v>19057</v>
      </c>
      <c r="J13317" t="s">
        <v>5014</v>
      </c>
    </row>
    <row r="13318" spans="9:10" x14ac:dyDescent="0.3">
      <c r="I13318" t="s">
        <v>19057</v>
      </c>
      <c r="J13318" t="s">
        <v>5014</v>
      </c>
    </row>
    <row r="13319" spans="9:10" x14ac:dyDescent="0.3">
      <c r="I13319" t="s">
        <v>19057</v>
      </c>
      <c r="J13319" t="s">
        <v>5014</v>
      </c>
    </row>
    <row r="13320" spans="9:10" x14ac:dyDescent="0.3">
      <c r="I13320" t="s">
        <v>19058</v>
      </c>
      <c r="J13320" t="s">
        <v>5015</v>
      </c>
    </row>
    <row r="13321" spans="9:10" x14ac:dyDescent="0.3">
      <c r="I13321" t="s">
        <v>19059</v>
      </c>
      <c r="J13321" t="s">
        <v>5016</v>
      </c>
    </row>
    <row r="13322" spans="9:10" x14ac:dyDescent="0.3">
      <c r="I13322" t="s">
        <v>19059</v>
      </c>
      <c r="J13322" t="s">
        <v>5016</v>
      </c>
    </row>
    <row r="13323" spans="9:10" x14ac:dyDescent="0.3">
      <c r="I13323" t="s">
        <v>19059</v>
      </c>
      <c r="J13323" t="s">
        <v>5016</v>
      </c>
    </row>
    <row r="13324" spans="9:10" x14ac:dyDescent="0.3">
      <c r="I13324" t="s">
        <v>19060</v>
      </c>
      <c r="J13324" t="s">
        <v>5016</v>
      </c>
    </row>
    <row r="13325" spans="9:10" x14ac:dyDescent="0.3">
      <c r="I13325" t="s">
        <v>19061</v>
      </c>
      <c r="J13325" t="s">
        <v>5017</v>
      </c>
    </row>
    <row r="13326" spans="9:10" x14ac:dyDescent="0.3">
      <c r="I13326" t="s">
        <v>19062</v>
      </c>
      <c r="J13326" t="s">
        <v>5018</v>
      </c>
    </row>
    <row r="13327" spans="9:10" x14ac:dyDescent="0.3">
      <c r="I13327" t="s">
        <v>19063</v>
      </c>
      <c r="J13327" t="s">
        <v>5019</v>
      </c>
    </row>
    <row r="13328" spans="9:10" x14ac:dyDescent="0.3">
      <c r="I13328" t="s">
        <v>19064</v>
      </c>
      <c r="J13328" t="s">
        <v>5020</v>
      </c>
    </row>
    <row r="13329" spans="9:10" x14ac:dyDescent="0.3">
      <c r="I13329" t="s">
        <v>19064</v>
      </c>
      <c r="J13329" t="s">
        <v>5020</v>
      </c>
    </row>
    <row r="13330" spans="9:10" x14ac:dyDescent="0.3">
      <c r="I13330" t="s">
        <v>19065</v>
      </c>
      <c r="J13330" t="s">
        <v>5021</v>
      </c>
    </row>
    <row r="13331" spans="9:10" x14ac:dyDescent="0.3">
      <c r="I13331" t="s">
        <v>19066</v>
      </c>
    </row>
    <row r="13332" spans="9:10" x14ac:dyDescent="0.3">
      <c r="I13332" t="s">
        <v>19067</v>
      </c>
      <c r="J13332" t="s">
        <v>5022</v>
      </c>
    </row>
    <row r="13333" spans="9:10" x14ac:dyDescent="0.3">
      <c r="I13333" t="s">
        <v>19067</v>
      </c>
      <c r="J13333" t="s">
        <v>5022</v>
      </c>
    </row>
    <row r="13334" spans="9:10" x14ac:dyDescent="0.3">
      <c r="I13334" t="s">
        <v>19067</v>
      </c>
      <c r="J13334" t="s">
        <v>5022</v>
      </c>
    </row>
    <row r="13335" spans="9:10" x14ac:dyDescent="0.3">
      <c r="I13335" t="s">
        <v>19068</v>
      </c>
      <c r="J13335" t="s">
        <v>5023</v>
      </c>
    </row>
    <row r="13336" spans="9:10" x14ac:dyDescent="0.3">
      <c r="I13336" t="s">
        <v>19069</v>
      </c>
      <c r="J13336" t="s">
        <v>5024</v>
      </c>
    </row>
    <row r="13337" spans="9:10" x14ac:dyDescent="0.3">
      <c r="I13337" t="s">
        <v>19069</v>
      </c>
      <c r="J13337" t="s">
        <v>5024</v>
      </c>
    </row>
    <row r="13338" spans="9:10" x14ac:dyDescent="0.3">
      <c r="I13338" t="s">
        <v>19070</v>
      </c>
      <c r="J13338" t="s">
        <v>5024</v>
      </c>
    </row>
    <row r="13339" spans="9:10" x14ac:dyDescent="0.3">
      <c r="I13339" t="s">
        <v>19070</v>
      </c>
      <c r="J13339" t="s">
        <v>5024</v>
      </c>
    </row>
    <row r="13340" spans="9:10" x14ac:dyDescent="0.3">
      <c r="I13340" t="s">
        <v>19071</v>
      </c>
      <c r="J13340" t="s">
        <v>5025</v>
      </c>
    </row>
    <row r="13341" spans="9:10" x14ac:dyDescent="0.3">
      <c r="I13341" t="s">
        <v>19072</v>
      </c>
    </row>
    <row r="13342" spans="9:10" x14ac:dyDescent="0.3">
      <c r="I13342" t="s">
        <v>19073</v>
      </c>
      <c r="J13342" t="s">
        <v>5026</v>
      </c>
    </row>
    <row r="13343" spans="9:10" x14ac:dyDescent="0.3">
      <c r="I13343" t="s">
        <v>19073</v>
      </c>
      <c r="J13343" t="s">
        <v>5026</v>
      </c>
    </row>
    <row r="13344" spans="9:10" x14ac:dyDescent="0.3">
      <c r="I13344" t="s">
        <v>19074</v>
      </c>
      <c r="J13344" t="s">
        <v>5027</v>
      </c>
    </row>
    <row r="13345" spans="9:10" x14ac:dyDescent="0.3">
      <c r="I13345" t="s">
        <v>19074</v>
      </c>
      <c r="J13345" t="s">
        <v>5027</v>
      </c>
    </row>
    <row r="13346" spans="9:10" x14ac:dyDescent="0.3">
      <c r="I13346" t="s">
        <v>19074</v>
      </c>
      <c r="J13346" t="s">
        <v>5027</v>
      </c>
    </row>
    <row r="13347" spans="9:10" x14ac:dyDescent="0.3">
      <c r="I13347" t="s">
        <v>19075</v>
      </c>
    </row>
    <row r="13348" spans="9:10" x14ac:dyDescent="0.3">
      <c r="I13348" t="s">
        <v>19076</v>
      </c>
    </row>
    <row r="13349" spans="9:10" x14ac:dyDescent="0.3">
      <c r="I13349" t="s">
        <v>19077</v>
      </c>
    </row>
    <row r="13350" spans="9:10" x14ac:dyDescent="0.3">
      <c r="I13350" t="s">
        <v>19078</v>
      </c>
    </row>
    <row r="13351" spans="9:10" x14ac:dyDescent="0.3">
      <c r="I13351" t="s">
        <v>19079</v>
      </c>
      <c r="J13351" t="s">
        <v>5028</v>
      </c>
    </row>
    <row r="13352" spans="9:10" x14ac:dyDescent="0.3">
      <c r="I13352" t="s">
        <v>19080</v>
      </c>
      <c r="J13352" t="s">
        <v>5029</v>
      </c>
    </row>
    <row r="13353" spans="9:10" x14ac:dyDescent="0.3">
      <c r="I13353" t="s">
        <v>19081</v>
      </c>
      <c r="J13353" t="s">
        <v>5030</v>
      </c>
    </row>
    <row r="13354" spans="9:10" x14ac:dyDescent="0.3">
      <c r="I13354" t="s">
        <v>19082</v>
      </c>
    </row>
    <row r="13355" spans="9:10" x14ac:dyDescent="0.3">
      <c r="I13355" t="s">
        <v>19083</v>
      </c>
    </row>
    <row r="13356" spans="9:10" x14ac:dyDescent="0.3">
      <c r="I13356" t="s">
        <v>19084</v>
      </c>
      <c r="J13356" t="s">
        <v>5031</v>
      </c>
    </row>
    <row r="13357" spans="9:10" x14ac:dyDescent="0.3">
      <c r="I13357" t="s">
        <v>19085</v>
      </c>
      <c r="J13357" t="s">
        <v>5031</v>
      </c>
    </row>
    <row r="13358" spans="9:10" x14ac:dyDescent="0.3">
      <c r="I13358" t="s">
        <v>19086</v>
      </c>
      <c r="J13358" t="s">
        <v>5031</v>
      </c>
    </row>
    <row r="13359" spans="9:10" x14ac:dyDescent="0.3">
      <c r="I13359" t="s">
        <v>19087</v>
      </c>
    </row>
    <row r="13360" spans="9:10" x14ac:dyDescent="0.3">
      <c r="I13360" t="s">
        <v>19088</v>
      </c>
      <c r="J13360" t="s">
        <v>5032</v>
      </c>
    </row>
    <row r="13361" spans="9:10" x14ac:dyDescent="0.3">
      <c r="I13361" t="s">
        <v>19089</v>
      </c>
      <c r="J13361" t="s">
        <v>5033</v>
      </c>
    </row>
    <row r="13362" spans="9:10" x14ac:dyDescent="0.3">
      <c r="I13362" t="s">
        <v>19090</v>
      </c>
      <c r="J13362" t="s">
        <v>5034</v>
      </c>
    </row>
    <row r="13363" spans="9:10" x14ac:dyDescent="0.3">
      <c r="I13363" t="s">
        <v>19090</v>
      </c>
      <c r="J13363" t="s">
        <v>5034</v>
      </c>
    </row>
    <row r="13364" spans="9:10" x14ac:dyDescent="0.3">
      <c r="I13364" t="s">
        <v>19091</v>
      </c>
      <c r="J13364" t="s">
        <v>5035</v>
      </c>
    </row>
    <row r="13365" spans="9:10" x14ac:dyDescent="0.3">
      <c r="I13365" t="s">
        <v>19092</v>
      </c>
      <c r="J13365" t="s">
        <v>5035</v>
      </c>
    </row>
    <row r="13366" spans="9:10" x14ac:dyDescent="0.3">
      <c r="I13366" t="s">
        <v>19093</v>
      </c>
      <c r="J13366" t="s">
        <v>5035</v>
      </c>
    </row>
    <row r="13367" spans="9:10" x14ac:dyDescent="0.3">
      <c r="I13367" t="s">
        <v>19093</v>
      </c>
      <c r="J13367" t="s">
        <v>5035</v>
      </c>
    </row>
    <row r="13368" spans="9:10" x14ac:dyDescent="0.3">
      <c r="I13368" t="s">
        <v>19093</v>
      </c>
      <c r="J13368" t="s">
        <v>5035</v>
      </c>
    </row>
    <row r="13369" spans="9:10" x14ac:dyDescent="0.3">
      <c r="I13369" t="s">
        <v>19094</v>
      </c>
      <c r="J13369" t="s">
        <v>5036</v>
      </c>
    </row>
    <row r="13370" spans="9:10" x14ac:dyDescent="0.3">
      <c r="I13370" t="s">
        <v>19095</v>
      </c>
      <c r="J13370" t="s">
        <v>5036</v>
      </c>
    </row>
    <row r="13371" spans="9:10" x14ac:dyDescent="0.3">
      <c r="I13371" t="s">
        <v>19096</v>
      </c>
      <c r="J13371" t="s">
        <v>5037</v>
      </c>
    </row>
    <row r="13372" spans="9:10" x14ac:dyDescent="0.3">
      <c r="I13372" t="s">
        <v>19097</v>
      </c>
      <c r="J13372" t="s">
        <v>5037</v>
      </c>
    </row>
    <row r="13373" spans="9:10" x14ac:dyDescent="0.3">
      <c r="I13373" t="s">
        <v>19098</v>
      </c>
    </row>
    <row r="13374" spans="9:10" x14ac:dyDescent="0.3">
      <c r="I13374" t="s">
        <v>19099</v>
      </c>
    </row>
    <row r="13375" spans="9:10" x14ac:dyDescent="0.3">
      <c r="I13375" t="s">
        <v>19100</v>
      </c>
    </row>
    <row r="13376" spans="9:10" x14ac:dyDescent="0.3">
      <c r="I13376" t="s">
        <v>19101</v>
      </c>
    </row>
    <row r="13377" spans="9:10" x14ac:dyDescent="0.3">
      <c r="I13377" t="s">
        <v>19102</v>
      </c>
    </row>
    <row r="13378" spans="9:10" x14ac:dyDescent="0.3">
      <c r="I13378" t="s">
        <v>19103</v>
      </c>
    </row>
    <row r="13379" spans="9:10" x14ac:dyDescent="0.3">
      <c r="I13379" t="s">
        <v>19104</v>
      </c>
    </row>
    <row r="13380" spans="9:10" x14ac:dyDescent="0.3">
      <c r="I13380" t="s">
        <v>19105</v>
      </c>
    </row>
    <row r="13381" spans="9:10" x14ac:dyDescent="0.3">
      <c r="I13381" t="s">
        <v>19106</v>
      </c>
    </row>
    <row r="13382" spans="9:10" x14ac:dyDescent="0.3">
      <c r="I13382" t="s">
        <v>19107</v>
      </c>
    </row>
    <row r="13383" spans="9:10" x14ac:dyDescent="0.3">
      <c r="I13383" t="s">
        <v>19108</v>
      </c>
      <c r="J13383" t="s">
        <v>5038</v>
      </c>
    </row>
    <row r="13384" spans="9:10" x14ac:dyDescent="0.3">
      <c r="I13384" t="s">
        <v>19109</v>
      </c>
    </row>
    <row r="13385" spans="9:10" x14ac:dyDescent="0.3">
      <c r="I13385" t="s">
        <v>19110</v>
      </c>
    </row>
    <row r="13386" spans="9:10" x14ac:dyDescent="0.3">
      <c r="I13386" t="s">
        <v>19111</v>
      </c>
    </row>
    <row r="13387" spans="9:10" x14ac:dyDescent="0.3">
      <c r="I13387" t="s">
        <v>19112</v>
      </c>
      <c r="J13387" t="s">
        <v>5039</v>
      </c>
    </row>
    <row r="13388" spans="9:10" x14ac:dyDescent="0.3">
      <c r="I13388" t="s">
        <v>19113</v>
      </c>
      <c r="J13388" t="s">
        <v>5039</v>
      </c>
    </row>
    <row r="13389" spans="9:10" x14ac:dyDescent="0.3">
      <c r="I13389" t="s">
        <v>19114</v>
      </c>
      <c r="J13389" t="s">
        <v>5040</v>
      </c>
    </row>
    <row r="13390" spans="9:10" x14ac:dyDescent="0.3">
      <c r="I13390" t="s">
        <v>19114</v>
      </c>
      <c r="J13390" t="s">
        <v>5040</v>
      </c>
    </row>
    <row r="13391" spans="9:10" x14ac:dyDescent="0.3">
      <c r="I13391" t="s">
        <v>19115</v>
      </c>
      <c r="J13391" t="s">
        <v>5040</v>
      </c>
    </row>
    <row r="13392" spans="9:10" x14ac:dyDescent="0.3">
      <c r="I13392" t="s">
        <v>19116</v>
      </c>
      <c r="J13392" t="s">
        <v>5041</v>
      </c>
    </row>
    <row r="13393" spans="9:10" x14ac:dyDescent="0.3">
      <c r="I13393" t="s">
        <v>19117</v>
      </c>
    </row>
    <row r="13394" spans="9:10" x14ac:dyDescent="0.3">
      <c r="I13394" t="s">
        <v>19118</v>
      </c>
    </row>
    <row r="13395" spans="9:10" x14ac:dyDescent="0.3">
      <c r="I13395" t="s">
        <v>19119</v>
      </c>
    </row>
    <row r="13396" spans="9:10" x14ac:dyDescent="0.3">
      <c r="I13396" t="s">
        <v>19120</v>
      </c>
    </row>
    <row r="13397" spans="9:10" x14ac:dyDescent="0.3">
      <c r="I13397" t="s">
        <v>19121</v>
      </c>
    </row>
    <row r="13398" spans="9:10" x14ac:dyDescent="0.3">
      <c r="I13398" t="s">
        <v>19122</v>
      </c>
    </row>
    <row r="13399" spans="9:10" x14ac:dyDescent="0.3">
      <c r="I13399" t="s">
        <v>19123</v>
      </c>
    </row>
    <row r="13400" spans="9:10" x14ac:dyDescent="0.3">
      <c r="I13400" t="s">
        <v>19124</v>
      </c>
      <c r="J13400" t="s">
        <v>5042</v>
      </c>
    </row>
    <row r="13401" spans="9:10" x14ac:dyDescent="0.3">
      <c r="I13401" t="s">
        <v>19125</v>
      </c>
      <c r="J13401" t="s">
        <v>5043</v>
      </c>
    </row>
    <row r="13402" spans="9:10" x14ac:dyDescent="0.3">
      <c r="I13402" t="s">
        <v>19126</v>
      </c>
      <c r="J13402" t="s">
        <v>5044</v>
      </c>
    </row>
    <row r="13403" spans="9:10" x14ac:dyDescent="0.3">
      <c r="I13403" t="s">
        <v>19127</v>
      </c>
    </row>
    <row r="13404" spans="9:10" x14ac:dyDescent="0.3">
      <c r="I13404" t="s">
        <v>19128</v>
      </c>
    </row>
    <row r="13405" spans="9:10" x14ac:dyDescent="0.3">
      <c r="I13405" t="s">
        <v>19129</v>
      </c>
    </row>
    <row r="13406" spans="9:10" x14ac:dyDescent="0.3">
      <c r="I13406" t="s">
        <v>19130</v>
      </c>
      <c r="J13406" t="s">
        <v>5045</v>
      </c>
    </row>
    <row r="13407" spans="9:10" x14ac:dyDescent="0.3">
      <c r="I13407" t="s">
        <v>19131</v>
      </c>
      <c r="J13407" t="s">
        <v>5045</v>
      </c>
    </row>
    <row r="13408" spans="9:10" x14ac:dyDescent="0.3">
      <c r="I13408" t="s">
        <v>19132</v>
      </c>
      <c r="J13408" t="s">
        <v>5045</v>
      </c>
    </row>
    <row r="13409" spans="9:10" x14ac:dyDescent="0.3">
      <c r="I13409" t="s">
        <v>19131</v>
      </c>
      <c r="J13409" t="s">
        <v>5045</v>
      </c>
    </row>
    <row r="13410" spans="9:10" x14ac:dyDescent="0.3">
      <c r="I13410" t="s">
        <v>19133</v>
      </c>
      <c r="J13410" t="s">
        <v>5045</v>
      </c>
    </row>
    <row r="13411" spans="9:10" x14ac:dyDescent="0.3">
      <c r="I13411" t="s">
        <v>19134</v>
      </c>
      <c r="J13411" t="s">
        <v>5045</v>
      </c>
    </row>
    <row r="13412" spans="9:10" x14ac:dyDescent="0.3">
      <c r="I13412" t="s">
        <v>19135</v>
      </c>
      <c r="J13412" t="s">
        <v>5046</v>
      </c>
    </row>
    <row r="13413" spans="9:10" x14ac:dyDescent="0.3">
      <c r="I13413" t="s">
        <v>19136</v>
      </c>
    </row>
    <row r="13414" spans="9:10" x14ac:dyDescent="0.3">
      <c r="I13414" t="s">
        <v>19137</v>
      </c>
    </row>
    <row r="13415" spans="9:10" x14ac:dyDescent="0.3">
      <c r="I13415" t="s">
        <v>19138</v>
      </c>
    </row>
    <row r="13416" spans="9:10" x14ac:dyDescent="0.3">
      <c r="I13416" t="s">
        <v>19139</v>
      </c>
      <c r="J13416" t="s">
        <v>5047</v>
      </c>
    </row>
    <row r="13417" spans="9:10" x14ac:dyDescent="0.3">
      <c r="I13417" t="s">
        <v>19140</v>
      </c>
    </row>
    <row r="13418" spans="9:10" x14ac:dyDescent="0.3">
      <c r="I13418" t="s">
        <v>19141</v>
      </c>
    </row>
    <row r="13419" spans="9:10" x14ac:dyDescent="0.3">
      <c r="I13419" t="s">
        <v>19142</v>
      </c>
    </row>
    <row r="13420" spans="9:10" x14ac:dyDescent="0.3">
      <c r="I13420" t="s">
        <v>19143</v>
      </c>
    </row>
    <row r="13421" spans="9:10" x14ac:dyDescent="0.3">
      <c r="I13421" t="s">
        <v>19144</v>
      </c>
      <c r="J13421" t="s">
        <v>5048</v>
      </c>
    </row>
    <row r="13422" spans="9:10" x14ac:dyDescent="0.3">
      <c r="I13422" t="s">
        <v>19145</v>
      </c>
      <c r="J13422" t="s">
        <v>5048</v>
      </c>
    </row>
    <row r="13423" spans="9:10" x14ac:dyDescent="0.3">
      <c r="I13423" t="s">
        <v>19146</v>
      </c>
      <c r="J13423" t="s">
        <v>5049</v>
      </c>
    </row>
    <row r="13424" spans="9:10" x14ac:dyDescent="0.3">
      <c r="I13424" t="s">
        <v>19147</v>
      </c>
      <c r="J13424" t="s">
        <v>5049</v>
      </c>
    </row>
    <row r="13425" spans="9:10" x14ac:dyDescent="0.3">
      <c r="I13425" t="s">
        <v>19148</v>
      </c>
      <c r="J13425" t="s">
        <v>5050</v>
      </c>
    </row>
    <row r="13426" spans="9:10" x14ac:dyDescent="0.3">
      <c r="I13426" t="s">
        <v>19149</v>
      </c>
    </row>
    <row r="13427" spans="9:10" x14ac:dyDescent="0.3">
      <c r="I13427" t="s">
        <v>19150</v>
      </c>
      <c r="J13427" t="s">
        <v>5051</v>
      </c>
    </row>
    <row r="13428" spans="9:10" x14ac:dyDescent="0.3">
      <c r="I13428" t="s">
        <v>19151</v>
      </c>
      <c r="J13428" t="s">
        <v>5051</v>
      </c>
    </row>
    <row r="13429" spans="9:10" x14ac:dyDescent="0.3">
      <c r="I13429" t="s">
        <v>19152</v>
      </c>
    </row>
    <row r="13430" spans="9:10" x14ac:dyDescent="0.3">
      <c r="I13430" t="s">
        <v>19153</v>
      </c>
    </row>
    <row r="13431" spans="9:10" x14ac:dyDescent="0.3">
      <c r="I13431" t="s">
        <v>19154</v>
      </c>
      <c r="J13431" t="s">
        <v>5052</v>
      </c>
    </row>
    <row r="13432" spans="9:10" x14ac:dyDescent="0.3">
      <c r="I13432" t="s">
        <v>19155</v>
      </c>
      <c r="J13432" t="s">
        <v>5053</v>
      </c>
    </row>
    <row r="13433" spans="9:10" x14ac:dyDescent="0.3">
      <c r="I13433" t="s">
        <v>19156</v>
      </c>
      <c r="J13433" t="s">
        <v>5053</v>
      </c>
    </row>
    <row r="13434" spans="9:10" x14ac:dyDescent="0.3">
      <c r="I13434" t="s">
        <v>19157</v>
      </c>
      <c r="J13434" t="s">
        <v>372</v>
      </c>
    </row>
    <row r="13435" spans="9:10" x14ac:dyDescent="0.3">
      <c r="I13435" t="s">
        <v>19158</v>
      </c>
      <c r="J13435" t="s">
        <v>5054</v>
      </c>
    </row>
    <row r="13436" spans="9:10" x14ac:dyDescent="0.3">
      <c r="I13436" t="s">
        <v>19159</v>
      </c>
    </row>
    <row r="13437" spans="9:10" x14ac:dyDescent="0.3">
      <c r="I13437" t="s">
        <v>19160</v>
      </c>
      <c r="J13437" t="s">
        <v>5055</v>
      </c>
    </row>
    <row r="13438" spans="9:10" x14ac:dyDescent="0.3">
      <c r="I13438" t="s">
        <v>19161</v>
      </c>
      <c r="J13438" t="s">
        <v>5056</v>
      </c>
    </row>
    <row r="13439" spans="9:10" x14ac:dyDescent="0.3">
      <c r="I13439" t="s">
        <v>19162</v>
      </c>
      <c r="J13439" t="s">
        <v>5057</v>
      </c>
    </row>
    <row r="13440" spans="9:10" x14ac:dyDescent="0.3">
      <c r="I13440" t="s">
        <v>19162</v>
      </c>
      <c r="J13440" t="s">
        <v>5057</v>
      </c>
    </row>
    <row r="13441" spans="9:10" x14ac:dyDescent="0.3">
      <c r="I13441" t="s">
        <v>19162</v>
      </c>
      <c r="J13441" t="s">
        <v>5057</v>
      </c>
    </row>
    <row r="13442" spans="9:10" x14ac:dyDescent="0.3">
      <c r="I13442" t="s">
        <v>19163</v>
      </c>
      <c r="J13442" t="s">
        <v>5058</v>
      </c>
    </row>
    <row r="13443" spans="9:10" x14ac:dyDescent="0.3">
      <c r="I13443" t="s">
        <v>19164</v>
      </c>
    </row>
    <row r="13444" spans="9:10" x14ac:dyDescent="0.3">
      <c r="I13444" t="s">
        <v>19165</v>
      </c>
      <c r="J13444" t="s">
        <v>5059</v>
      </c>
    </row>
    <row r="13445" spans="9:10" x14ac:dyDescent="0.3">
      <c r="I13445" t="s">
        <v>19166</v>
      </c>
    </row>
    <row r="13446" spans="9:10" x14ac:dyDescent="0.3">
      <c r="I13446" t="s">
        <v>19167</v>
      </c>
      <c r="J13446" t="s">
        <v>5060</v>
      </c>
    </row>
    <row r="13447" spans="9:10" x14ac:dyDescent="0.3">
      <c r="I13447" t="s">
        <v>19168</v>
      </c>
      <c r="J13447" t="s">
        <v>5061</v>
      </c>
    </row>
    <row r="13448" spans="9:10" x14ac:dyDescent="0.3">
      <c r="I13448" t="s">
        <v>19169</v>
      </c>
    </row>
    <row r="13449" spans="9:10" x14ac:dyDescent="0.3">
      <c r="I13449" t="s">
        <v>19170</v>
      </c>
      <c r="J13449" t="s">
        <v>5062</v>
      </c>
    </row>
    <row r="13450" spans="9:10" x14ac:dyDescent="0.3">
      <c r="I13450" t="s">
        <v>19171</v>
      </c>
      <c r="J13450" t="s">
        <v>5062</v>
      </c>
    </row>
    <row r="13451" spans="9:10" x14ac:dyDescent="0.3">
      <c r="I13451" t="s">
        <v>19172</v>
      </c>
      <c r="J13451" t="s">
        <v>5063</v>
      </c>
    </row>
    <row r="13452" spans="9:10" x14ac:dyDescent="0.3">
      <c r="I13452" t="s">
        <v>19173</v>
      </c>
      <c r="J13452" t="s">
        <v>5064</v>
      </c>
    </row>
    <row r="13453" spans="9:10" x14ac:dyDescent="0.3">
      <c r="I13453" t="s">
        <v>19173</v>
      </c>
      <c r="J13453" t="s">
        <v>5064</v>
      </c>
    </row>
    <row r="13454" spans="9:10" x14ac:dyDescent="0.3">
      <c r="I13454" t="s">
        <v>19174</v>
      </c>
      <c r="J13454" t="s">
        <v>5065</v>
      </c>
    </row>
    <row r="13455" spans="9:10" x14ac:dyDescent="0.3">
      <c r="I13455" t="s">
        <v>19175</v>
      </c>
      <c r="J13455" t="s">
        <v>5066</v>
      </c>
    </row>
    <row r="13456" spans="9:10" x14ac:dyDescent="0.3">
      <c r="I13456" t="s">
        <v>19176</v>
      </c>
      <c r="J13456" t="s">
        <v>5066</v>
      </c>
    </row>
    <row r="13457" spans="9:10" x14ac:dyDescent="0.3">
      <c r="I13457" t="s">
        <v>19177</v>
      </c>
    </row>
    <row r="13458" spans="9:10" x14ac:dyDescent="0.3">
      <c r="I13458" t="s">
        <v>19178</v>
      </c>
    </row>
    <row r="13459" spans="9:10" x14ac:dyDescent="0.3">
      <c r="I13459" t="s">
        <v>19179</v>
      </c>
    </row>
    <row r="13460" spans="9:10" x14ac:dyDescent="0.3">
      <c r="I13460" t="s">
        <v>19180</v>
      </c>
    </row>
    <row r="13461" spans="9:10" x14ac:dyDescent="0.3">
      <c r="I13461" t="s">
        <v>19181</v>
      </c>
    </row>
    <row r="13462" spans="9:10" x14ac:dyDescent="0.3">
      <c r="I13462" t="s">
        <v>19182</v>
      </c>
    </row>
    <row r="13463" spans="9:10" x14ac:dyDescent="0.3">
      <c r="I13463" t="s">
        <v>19183</v>
      </c>
    </row>
    <row r="13464" spans="9:10" x14ac:dyDescent="0.3">
      <c r="I13464" t="s">
        <v>19184</v>
      </c>
    </row>
    <row r="13465" spans="9:10" x14ac:dyDescent="0.3">
      <c r="I13465" t="s">
        <v>19185</v>
      </c>
      <c r="J13465" t="s">
        <v>5067</v>
      </c>
    </row>
    <row r="13466" spans="9:10" x14ac:dyDescent="0.3">
      <c r="I13466" t="s">
        <v>19186</v>
      </c>
      <c r="J13466" t="s">
        <v>5067</v>
      </c>
    </row>
    <row r="13467" spans="9:10" x14ac:dyDescent="0.3">
      <c r="I13467" t="s">
        <v>19187</v>
      </c>
      <c r="J13467" t="s">
        <v>5068</v>
      </c>
    </row>
    <row r="13468" spans="9:10" x14ac:dyDescent="0.3">
      <c r="I13468" t="s">
        <v>19188</v>
      </c>
    </row>
    <row r="13469" spans="9:10" x14ac:dyDescent="0.3">
      <c r="I13469" t="s">
        <v>19189</v>
      </c>
    </row>
    <row r="13470" spans="9:10" x14ac:dyDescent="0.3">
      <c r="I13470" t="s">
        <v>19189</v>
      </c>
    </row>
    <row r="13471" spans="9:10" x14ac:dyDescent="0.3">
      <c r="I13471" t="s">
        <v>19190</v>
      </c>
    </row>
    <row r="13472" spans="9:10" x14ac:dyDescent="0.3">
      <c r="I13472" t="s">
        <v>19191</v>
      </c>
      <c r="J13472" t="s">
        <v>5069</v>
      </c>
    </row>
    <row r="13473" spans="9:10" x14ac:dyDescent="0.3">
      <c r="I13473" t="s">
        <v>19192</v>
      </c>
      <c r="J13473" t="s">
        <v>5070</v>
      </c>
    </row>
    <row r="13474" spans="9:10" x14ac:dyDescent="0.3">
      <c r="I13474" t="s">
        <v>19193</v>
      </c>
    </row>
    <row r="13475" spans="9:10" x14ac:dyDescent="0.3">
      <c r="I13475" t="s">
        <v>19194</v>
      </c>
    </row>
    <row r="13476" spans="9:10" x14ac:dyDescent="0.3">
      <c r="I13476" t="s">
        <v>19195</v>
      </c>
    </row>
    <row r="13477" spans="9:10" x14ac:dyDescent="0.3">
      <c r="I13477" t="s">
        <v>19196</v>
      </c>
    </row>
    <row r="13478" spans="9:10" x14ac:dyDescent="0.3">
      <c r="I13478" t="s">
        <v>19197</v>
      </c>
    </row>
    <row r="13479" spans="9:10" x14ac:dyDescent="0.3">
      <c r="I13479" t="s">
        <v>19198</v>
      </c>
    </row>
    <row r="13480" spans="9:10" x14ac:dyDescent="0.3">
      <c r="I13480" t="s">
        <v>19199</v>
      </c>
      <c r="J13480" t="s">
        <v>5071</v>
      </c>
    </row>
    <row r="13481" spans="9:10" x14ac:dyDescent="0.3">
      <c r="I13481" t="s">
        <v>19200</v>
      </c>
      <c r="J13481" t="s">
        <v>5071</v>
      </c>
    </row>
    <row r="13482" spans="9:10" x14ac:dyDescent="0.3">
      <c r="I13482" t="s">
        <v>19201</v>
      </c>
    </row>
    <row r="13483" spans="9:10" x14ac:dyDescent="0.3">
      <c r="I13483" t="s">
        <v>19202</v>
      </c>
    </row>
    <row r="13484" spans="9:10" x14ac:dyDescent="0.3">
      <c r="I13484" t="s">
        <v>19203</v>
      </c>
    </row>
    <row r="13485" spans="9:10" x14ac:dyDescent="0.3">
      <c r="I13485" t="s">
        <v>19204</v>
      </c>
    </row>
    <row r="13486" spans="9:10" x14ac:dyDescent="0.3">
      <c r="I13486" t="s">
        <v>19205</v>
      </c>
    </row>
    <row r="13487" spans="9:10" x14ac:dyDescent="0.3">
      <c r="I13487" t="s">
        <v>19206</v>
      </c>
      <c r="J13487" t="s">
        <v>2195</v>
      </c>
    </row>
    <row r="13488" spans="9:10" x14ac:dyDescent="0.3">
      <c r="I13488" t="s">
        <v>19206</v>
      </c>
      <c r="J13488" t="s">
        <v>2195</v>
      </c>
    </row>
    <row r="13489" spans="9:10" x14ac:dyDescent="0.3">
      <c r="I13489" t="s">
        <v>19206</v>
      </c>
      <c r="J13489" t="s">
        <v>2195</v>
      </c>
    </row>
    <row r="13490" spans="9:10" x14ac:dyDescent="0.3">
      <c r="I13490" t="s">
        <v>19206</v>
      </c>
      <c r="J13490" t="s">
        <v>2195</v>
      </c>
    </row>
    <row r="13491" spans="9:10" x14ac:dyDescent="0.3">
      <c r="I13491" t="s">
        <v>19206</v>
      </c>
      <c r="J13491" t="s">
        <v>2195</v>
      </c>
    </row>
    <row r="13492" spans="9:10" x14ac:dyDescent="0.3">
      <c r="I13492" t="s">
        <v>19207</v>
      </c>
    </row>
    <row r="13493" spans="9:10" x14ac:dyDescent="0.3">
      <c r="I13493" t="s">
        <v>19207</v>
      </c>
    </row>
    <row r="13494" spans="9:10" x14ac:dyDescent="0.3">
      <c r="I13494" t="s">
        <v>19207</v>
      </c>
    </row>
    <row r="13495" spans="9:10" x14ac:dyDescent="0.3">
      <c r="I13495" t="s">
        <v>19208</v>
      </c>
      <c r="J13495" t="s">
        <v>5072</v>
      </c>
    </row>
    <row r="13496" spans="9:10" x14ac:dyDescent="0.3">
      <c r="I13496" t="s">
        <v>19209</v>
      </c>
      <c r="J13496" t="s">
        <v>5073</v>
      </c>
    </row>
    <row r="13497" spans="9:10" x14ac:dyDescent="0.3">
      <c r="I13497" t="s">
        <v>19210</v>
      </c>
    </row>
    <row r="13498" spans="9:10" x14ac:dyDescent="0.3">
      <c r="I13498" t="s">
        <v>19210</v>
      </c>
    </row>
    <row r="13499" spans="9:10" x14ac:dyDescent="0.3">
      <c r="I13499" t="s">
        <v>19211</v>
      </c>
    </row>
    <row r="13500" spans="9:10" x14ac:dyDescent="0.3">
      <c r="I13500" t="s">
        <v>19212</v>
      </c>
    </row>
    <row r="13501" spans="9:10" x14ac:dyDescent="0.3">
      <c r="I13501" t="s">
        <v>19213</v>
      </c>
    </row>
    <row r="13502" spans="9:10" x14ac:dyDescent="0.3">
      <c r="I13502" t="s">
        <v>19214</v>
      </c>
      <c r="J13502" t="s">
        <v>5074</v>
      </c>
    </row>
    <row r="13503" spans="9:10" x14ac:dyDescent="0.3">
      <c r="I13503" t="s">
        <v>19215</v>
      </c>
      <c r="J13503" t="s">
        <v>5075</v>
      </c>
    </row>
    <row r="13504" spans="9:10" x14ac:dyDescent="0.3">
      <c r="I13504" t="s">
        <v>19216</v>
      </c>
      <c r="J13504" t="s">
        <v>5076</v>
      </c>
    </row>
    <row r="13505" spans="9:10" x14ac:dyDescent="0.3">
      <c r="I13505" t="s">
        <v>19217</v>
      </c>
      <c r="J13505" t="s">
        <v>5076</v>
      </c>
    </row>
    <row r="13506" spans="9:10" x14ac:dyDescent="0.3">
      <c r="I13506" t="s">
        <v>19218</v>
      </c>
      <c r="J13506" t="s">
        <v>5077</v>
      </c>
    </row>
    <row r="13507" spans="9:10" x14ac:dyDescent="0.3">
      <c r="I13507" t="s">
        <v>19219</v>
      </c>
      <c r="J13507" t="s">
        <v>5078</v>
      </c>
    </row>
    <row r="13508" spans="9:10" x14ac:dyDescent="0.3">
      <c r="I13508" t="s">
        <v>19220</v>
      </c>
    </row>
    <row r="13509" spans="9:10" x14ac:dyDescent="0.3">
      <c r="I13509" t="s">
        <v>19221</v>
      </c>
      <c r="J13509" t="s">
        <v>5079</v>
      </c>
    </row>
    <row r="13510" spans="9:10" x14ac:dyDescent="0.3">
      <c r="I13510" t="s">
        <v>19222</v>
      </c>
      <c r="J13510" t="s">
        <v>5080</v>
      </c>
    </row>
    <row r="13511" spans="9:10" x14ac:dyDescent="0.3">
      <c r="I13511" t="s">
        <v>19223</v>
      </c>
    </row>
    <row r="13512" spans="9:10" x14ac:dyDescent="0.3">
      <c r="I13512" t="s">
        <v>19224</v>
      </c>
      <c r="J13512" t="s">
        <v>5081</v>
      </c>
    </row>
    <row r="13513" spans="9:10" x14ac:dyDescent="0.3">
      <c r="I13513" t="s">
        <v>19224</v>
      </c>
      <c r="J13513" t="s">
        <v>5081</v>
      </c>
    </row>
    <row r="13514" spans="9:10" x14ac:dyDescent="0.3">
      <c r="I13514" t="s">
        <v>19225</v>
      </c>
    </row>
    <row r="13515" spans="9:10" x14ac:dyDescent="0.3">
      <c r="I13515" t="s">
        <v>19226</v>
      </c>
    </row>
    <row r="13516" spans="9:10" x14ac:dyDescent="0.3">
      <c r="I13516" t="s">
        <v>19227</v>
      </c>
    </row>
    <row r="13517" spans="9:10" x14ac:dyDescent="0.3">
      <c r="I13517" t="s">
        <v>19228</v>
      </c>
      <c r="J13517" t="s">
        <v>5082</v>
      </c>
    </row>
    <row r="13518" spans="9:10" x14ac:dyDescent="0.3">
      <c r="I13518" t="s">
        <v>19229</v>
      </c>
    </row>
    <row r="13519" spans="9:10" x14ac:dyDescent="0.3">
      <c r="I13519" t="s">
        <v>19230</v>
      </c>
      <c r="J13519" t="s">
        <v>5083</v>
      </c>
    </row>
    <row r="13520" spans="9:10" x14ac:dyDescent="0.3">
      <c r="I13520" t="s">
        <v>19230</v>
      </c>
      <c r="J13520" t="s">
        <v>5083</v>
      </c>
    </row>
    <row r="13521" spans="9:10" x14ac:dyDescent="0.3">
      <c r="I13521" t="s">
        <v>19230</v>
      </c>
      <c r="J13521" t="s">
        <v>5083</v>
      </c>
    </row>
    <row r="13522" spans="9:10" x14ac:dyDescent="0.3">
      <c r="I13522" t="s">
        <v>19230</v>
      </c>
      <c r="J13522" t="s">
        <v>5083</v>
      </c>
    </row>
    <row r="13523" spans="9:10" x14ac:dyDescent="0.3">
      <c r="I13523" t="s">
        <v>19230</v>
      </c>
      <c r="J13523" t="s">
        <v>5083</v>
      </c>
    </row>
    <row r="13524" spans="9:10" x14ac:dyDescent="0.3">
      <c r="I13524" t="s">
        <v>19230</v>
      </c>
      <c r="J13524" t="s">
        <v>5083</v>
      </c>
    </row>
    <row r="13525" spans="9:10" x14ac:dyDescent="0.3">
      <c r="I13525" t="s">
        <v>19230</v>
      </c>
      <c r="J13525" t="s">
        <v>5083</v>
      </c>
    </row>
    <row r="13526" spans="9:10" x14ac:dyDescent="0.3">
      <c r="I13526" t="s">
        <v>19230</v>
      </c>
      <c r="J13526" t="s">
        <v>5083</v>
      </c>
    </row>
    <row r="13527" spans="9:10" x14ac:dyDescent="0.3">
      <c r="I13527" t="s">
        <v>19230</v>
      </c>
      <c r="J13527" t="s">
        <v>5083</v>
      </c>
    </row>
    <row r="13528" spans="9:10" x14ac:dyDescent="0.3">
      <c r="I13528" t="s">
        <v>19230</v>
      </c>
      <c r="J13528" t="s">
        <v>5083</v>
      </c>
    </row>
    <row r="13529" spans="9:10" x14ac:dyDescent="0.3">
      <c r="I13529" t="s">
        <v>19230</v>
      </c>
      <c r="J13529" t="s">
        <v>5083</v>
      </c>
    </row>
    <row r="13530" spans="9:10" x14ac:dyDescent="0.3">
      <c r="I13530" t="s">
        <v>19230</v>
      </c>
      <c r="J13530" t="s">
        <v>5083</v>
      </c>
    </row>
    <row r="13531" spans="9:10" x14ac:dyDescent="0.3">
      <c r="I13531" t="s">
        <v>19230</v>
      </c>
      <c r="J13531" t="s">
        <v>5083</v>
      </c>
    </row>
    <row r="13532" spans="9:10" x14ac:dyDescent="0.3">
      <c r="I13532" t="s">
        <v>19230</v>
      </c>
      <c r="J13532" t="s">
        <v>5083</v>
      </c>
    </row>
    <row r="13533" spans="9:10" x14ac:dyDescent="0.3">
      <c r="I13533" t="s">
        <v>19231</v>
      </c>
      <c r="J13533" t="s">
        <v>5084</v>
      </c>
    </row>
    <row r="13534" spans="9:10" x14ac:dyDescent="0.3">
      <c r="I13534" t="s">
        <v>19231</v>
      </c>
      <c r="J13534" t="s">
        <v>5084</v>
      </c>
    </row>
    <row r="13535" spans="9:10" x14ac:dyDescent="0.3">
      <c r="I13535" t="s">
        <v>19231</v>
      </c>
      <c r="J13535" t="s">
        <v>5084</v>
      </c>
    </row>
    <row r="13536" spans="9:10" x14ac:dyDescent="0.3">
      <c r="I13536" t="s">
        <v>19232</v>
      </c>
    </row>
    <row r="13537" spans="9:10" x14ac:dyDescent="0.3">
      <c r="I13537" t="s">
        <v>19233</v>
      </c>
    </row>
    <row r="13538" spans="9:10" x14ac:dyDescent="0.3">
      <c r="I13538" t="s">
        <v>19234</v>
      </c>
    </row>
    <row r="13539" spans="9:10" x14ac:dyDescent="0.3">
      <c r="I13539" t="s">
        <v>19235</v>
      </c>
    </row>
    <row r="13540" spans="9:10" x14ac:dyDescent="0.3">
      <c r="I13540" t="s">
        <v>19236</v>
      </c>
      <c r="J13540" t="s">
        <v>5085</v>
      </c>
    </row>
    <row r="13541" spans="9:10" x14ac:dyDescent="0.3">
      <c r="I13541" t="s">
        <v>19237</v>
      </c>
    </row>
    <row r="13542" spans="9:10" x14ac:dyDescent="0.3">
      <c r="I13542" t="s">
        <v>19238</v>
      </c>
    </row>
    <row r="13543" spans="9:10" x14ac:dyDescent="0.3">
      <c r="I13543" t="s">
        <v>19239</v>
      </c>
      <c r="J13543" t="s">
        <v>5086</v>
      </c>
    </row>
    <row r="13544" spans="9:10" x14ac:dyDescent="0.3">
      <c r="I13544" t="s">
        <v>19240</v>
      </c>
      <c r="J13544" t="s">
        <v>5086</v>
      </c>
    </row>
    <row r="13545" spans="9:10" x14ac:dyDescent="0.3">
      <c r="I13545" t="s">
        <v>19241</v>
      </c>
      <c r="J13545" t="s">
        <v>5087</v>
      </c>
    </row>
    <row r="13546" spans="9:10" x14ac:dyDescent="0.3">
      <c r="I13546" t="s">
        <v>19242</v>
      </c>
      <c r="J13546" t="s">
        <v>5088</v>
      </c>
    </row>
    <row r="13547" spans="9:10" x14ac:dyDescent="0.3">
      <c r="I13547" t="s">
        <v>19243</v>
      </c>
      <c r="J13547" t="s">
        <v>5089</v>
      </c>
    </row>
    <row r="13548" spans="9:10" x14ac:dyDescent="0.3">
      <c r="I13548" t="s">
        <v>19243</v>
      </c>
      <c r="J13548" t="s">
        <v>5089</v>
      </c>
    </row>
    <row r="13549" spans="9:10" x14ac:dyDescent="0.3">
      <c r="I13549" t="s">
        <v>19244</v>
      </c>
      <c r="J13549" t="s">
        <v>273</v>
      </c>
    </row>
    <row r="13550" spans="9:10" x14ac:dyDescent="0.3">
      <c r="I13550" t="s">
        <v>19245</v>
      </c>
      <c r="J13550" t="s">
        <v>5090</v>
      </c>
    </row>
    <row r="13551" spans="9:10" x14ac:dyDescent="0.3">
      <c r="I13551" t="s">
        <v>19246</v>
      </c>
      <c r="J13551" t="s">
        <v>212</v>
      </c>
    </row>
    <row r="13552" spans="9:10" x14ac:dyDescent="0.3">
      <c r="I13552" t="s">
        <v>19247</v>
      </c>
      <c r="J13552" t="s">
        <v>212</v>
      </c>
    </row>
    <row r="13553" spans="9:10" x14ac:dyDescent="0.3">
      <c r="I13553" t="s">
        <v>19248</v>
      </c>
    </row>
    <row r="13554" spans="9:10" x14ac:dyDescent="0.3">
      <c r="I13554" t="s">
        <v>19249</v>
      </c>
      <c r="J13554" t="s">
        <v>5091</v>
      </c>
    </row>
    <row r="13555" spans="9:10" x14ac:dyDescent="0.3">
      <c r="I13555" t="s">
        <v>19249</v>
      </c>
      <c r="J13555" t="s">
        <v>5091</v>
      </c>
    </row>
    <row r="13556" spans="9:10" x14ac:dyDescent="0.3">
      <c r="I13556" t="s">
        <v>19249</v>
      </c>
      <c r="J13556" t="s">
        <v>5091</v>
      </c>
    </row>
    <row r="13557" spans="9:10" x14ac:dyDescent="0.3">
      <c r="I13557" t="s">
        <v>19250</v>
      </c>
      <c r="J13557" t="s">
        <v>5092</v>
      </c>
    </row>
    <row r="13558" spans="9:10" x14ac:dyDescent="0.3">
      <c r="I13558" t="s">
        <v>19250</v>
      </c>
      <c r="J13558" t="s">
        <v>5092</v>
      </c>
    </row>
    <row r="13559" spans="9:10" x14ac:dyDescent="0.3">
      <c r="I13559" t="s">
        <v>19251</v>
      </c>
    </row>
    <row r="13560" spans="9:10" x14ac:dyDescent="0.3">
      <c r="I13560" t="s">
        <v>19252</v>
      </c>
    </row>
    <row r="13561" spans="9:10" x14ac:dyDescent="0.3">
      <c r="I13561" t="s">
        <v>19253</v>
      </c>
    </row>
    <row r="13562" spans="9:10" x14ac:dyDescent="0.3">
      <c r="I13562" t="s">
        <v>19254</v>
      </c>
    </row>
    <row r="13563" spans="9:10" x14ac:dyDescent="0.3">
      <c r="I13563" t="s">
        <v>19255</v>
      </c>
    </row>
    <row r="13564" spans="9:10" x14ac:dyDescent="0.3">
      <c r="I13564" t="s">
        <v>19256</v>
      </c>
    </row>
    <row r="13565" spans="9:10" x14ac:dyDescent="0.3">
      <c r="I13565" t="s">
        <v>19257</v>
      </c>
    </row>
    <row r="13566" spans="9:10" x14ac:dyDescent="0.3">
      <c r="I13566" t="s">
        <v>19258</v>
      </c>
    </row>
    <row r="13567" spans="9:10" x14ac:dyDescent="0.3">
      <c r="I13567" t="s">
        <v>19259</v>
      </c>
    </row>
    <row r="13568" spans="9:10" x14ac:dyDescent="0.3">
      <c r="I13568" t="s">
        <v>19260</v>
      </c>
      <c r="J13568" t="s">
        <v>5093</v>
      </c>
    </row>
    <row r="13569" spans="9:10" x14ac:dyDescent="0.3">
      <c r="I13569" t="s">
        <v>19261</v>
      </c>
      <c r="J13569" t="s">
        <v>5093</v>
      </c>
    </row>
    <row r="13570" spans="9:10" x14ac:dyDescent="0.3">
      <c r="I13570" t="s">
        <v>19262</v>
      </c>
      <c r="J13570" t="s">
        <v>5093</v>
      </c>
    </row>
    <row r="13571" spans="9:10" x14ac:dyDescent="0.3">
      <c r="I13571" t="s">
        <v>19260</v>
      </c>
      <c r="J13571" t="s">
        <v>5093</v>
      </c>
    </row>
    <row r="13572" spans="9:10" x14ac:dyDescent="0.3">
      <c r="I13572" t="s">
        <v>19260</v>
      </c>
      <c r="J13572" t="s">
        <v>5093</v>
      </c>
    </row>
    <row r="13573" spans="9:10" x14ac:dyDescent="0.3">
      <c r="I13573" t="s">
        <v>19263</v>
      </c>
      <c r="J13573" t="s">
        <v>5093</v>
      </c>
    </row>
    <row r="13574" spans="9:10" x14ac:dyDescent="0.3">
      <c r="I13574" t="s">
        <v>19260</v>
      </c>
      <c r="J13574" t="s">
        <v>5093</v>
      </c>
    </row>
    <row r="13575" spans="9:10" x14ac:dyDescent="0.3">
      <c r="I13575" t="s">
        <v>19264</v>
      </c>
      <c r="J13575" t="s">
        <v>5094</v>
      </c>
    </row>
    <row r="13576" spans="9:10" x14ac:dyDescent="0.3">
      <c r="I13576" t="s">
        <v>19264</v>
      </c>
      <c r="J13576" t="s">
        <v>5094</v>
      </c>
    </row>
    <row r="13577" spans="9:10" x14ac:dyDescent="0.3">
      <c r="I13577" t="s">
        <v>19264</v>
      </c>
      <c r="J13577" t="s">
        <v>5094</v>
      </c>
    </row>
    <row r="13578" spans="9:10" x14ac:dyDescent="0.3">
      <c r="I13578" t="s">
        <v>19264</v>
      </c>
      <c r="J13578" t="s">
        <v>5094</v>
      </c>
    </row>
    <row r="13579" spans="9:10" x14ac:dyDescent="0.3">
      <c r="I13579" t="s">
        <v>19264</v>
      </c>
      <c r="J13579" t="s">
        <v>5094</v>
      </c>
    </row>
    <row r="13580" spans="9:10" x14ac:dyDescent="0.3">
      <c r="I13580" t="s">
        <v>19265</v>
      </c>
      <c r="J13580" t="s">
        <v>5095</v>
      </c>
    </row>
    <row r="13581" spans="9:10" x14ac:dyDescent="0.3">
      <c r="I13581" t="s">
        <v>19265</v>
      </c>
      <c r="J13581" t="s">
        <v>5095</v>
      </c>
    </row>
    <row r="13582" spans="9:10" x14ac:dyDescent="0.3">
      <c r="I13582" t="s">
        <v>19266</v>
      </c>
    </row>
    <row r="13583" spans="9:10" x14ac:dyDescent="0.3">
      <c r="I13583" t="s">
        <v>19267</v>
      </c>
    </row>
    <row r="13584" spans="9:10" x14ac:dyDescent="0.3">
      <c r="I13584" t="s">
        <v>19268</v>
      </c>
    </row>
    <row r="13585" spans="9:10" x14ac:dyDescent="0.3">
      <c r="I13585" t="s">
        <v>19267</v>
      </c>
    </row>
    <row r="13586" spans="9:10" x14ac:dyDescent="0.3">
      <c r="I13586" t="s">
        <v>19267</v>
      </c>
    </row>
    <row r="13587" spans="9:10" x14ac:dyDescent="0.3">
      <c r="I13587" t="s">
        <v>19269</v>
      </c>
    </row>
    <row r="13588" spans="9:10" x14ac:dyDescent="0.3">
      <c r="I13588" t="s">
        <v>19269</v>
      </c>
    </row>
    <row r="13589" spans="9:10" x14ac:dyDescent="0.3">
      <c r="I13589" t="s">
        <v>19269</v>
      </c>
    </row>
    <row r="13590" spans="9:10" x14ac:dyDescent="0.3">
      <c r="I13590" t="s">
        <v>19269</v>
      </c>
    </row>
    <row r="13591" spans="9:10" x14ac:dyDescent="0.3">
      <c r="I13591" t="s">
        <v>19270</v>
      </c>
    </row>
    <row r="13592" spans="9:10" x14ac:dyDescent="0.3">
      <c r="I13592" t="s">
        <v>19270</v>
      </c>
    </row>
    <row r="13593" spans="9:10" x14ac:dyDescent="0.3">
      <c r="I13593" t="s">
        <v>19270</v>
      </c>
    </row>
    <row r="13594" spans="9:10" x14ac:dyDescent="0.3">
      <c r="I13594" t="s">
        <v>19270</v>
      </c>
    </row>
    <row r="13595" spans="9:10" x14ac:dyDescent="0.3">
      <c r="I13595" t="s">
        <v>19271</v>
      </c>
    </row>
    <row r="13596" spans="9:10" x14ac:dyDescent="0.3">
      <c r="I13596" t="s">
        <v>19272</v>
      </c>
      <c r="J13596" t="s">
        <v>2154</v>
      </c>
    </row>
    <row r="13597" spans="9:10" x14ac:dyDescent="0.3">
      <c r="I13597" t="s">
        <v>19273</v>
      </c>
      <c r="J13597" t="s">
        <v>2154</v>
      </c>
    </row>
    <row r="13598" spans="9:10" x14ac:dyDescent="0.3">
      <c r="I13598" t="s">
        <v>19272</v>
      </c>
      <c r="J13598" t="s">
        <v>2154</v>
      </c>
    </row>
    <row r="13599" spans="9:10" x14ac:dyDescent="0.3">
      <c r="I13599" t="s">
        <v>19274</v>
      </c>
      <c r="J13599" t="s">
        <v>5096</v>
      </c>
    </row>
    <row r="13600" spans="9:10" x14ac:dyDescent="0.3">
      <c r="I13600" t="s">
        <v>19275</v>
      </c>
      <c r="J13600" t="s">
        <v>5097</v>
      </c>
    </row>
    <row r="13601" spans="9:10" x14ac:dyDescent="0.3">
      <c r="I13601" t="s">
        <v>19275</v>
      </c>
      <c r="J13601" t="s">
        <v>5097</v>
      </c>
    </row>
    <row r="13602" spans="9:10" x14ac:dyDescent="0.3">
      <c r="I13602" t="s">
        <v>19275</v>
      </c>
      <c r="J13602" t="s">
        <v>5097</v>
      </c>
    </row>
    <row r="13603" spans="9:10" x14ac:dyDescent="0.3">
      <c r="I13603" t="s">
        <v>19276</v>
      </c>
      <c r="J13603" t="s">
        <v>5098</v>
      </c>
    </row>
    <row r="13604" spans="9:10" x14ac:dyDescent="0.3">
      <c r="I13604" t="s">
        <v>19277</v>
      </c>
      <c r="J13604" t="s">
        <v>5098</v>
      </c>
    </row>
    <row r="13605" spans="9:10" x14ac:dyDescent="0.3">
      <c r="I13605" t="s">
        <v>19278</v>
      </c>
    </row>
    <row r="13606" spans="9:10" x14ac:dyDescent="0.3">
      <c r="I13606" t="s">
        <v>19279</v>
      </c>
    </row>
    <row r="13607" spans="9:10" x14ac:dyDescent="0.3">
      <c r="I13607" t="s">
        <v>19279</v>
      </c>
    </row>
    <row r="13608" spans="9:10" x14ac:dyDescent="0.3">
      <c r="I13608" t="s">
        <v>19279</v>
      </c>
    </row>
    <row r="13609" spans="9:10" x14ac:dyDescent="0.3">
      <c r="I13609" t="s">
        <v>19279</v>
      </c>
    </row>
    <row r="13610" spans="9:10" x14ac:dyDescent="0.3">
      <c r="I13610" t="s">
        <v>19280</v>
      </c>
    </row>
    <row r="13611" spans="9:10" x14ac:dyDescent="0.3">
      <c r="I13611" t="s">
        <v>19281</v>
      </c>
    </row>
    <row r="13612" spans="9:10" x14ac:dyDescent="0.3">
      <c r="I13612" t="s">
        <v>19281</v>
      </c>
    </row>
    <row r="13613" spans="9:10" x14ac:dyDescent="0.3">
      <c r="I13613" t="s">
        <v>19282</v>
      </c>
    </row>
    <row r="13614" spans="9:10" x14ac:dyDescent="0.3">
      <c r="I13614" t="s">
        <v>19281</v>
      </c>
    </row>
    <row r="13615" spans="9:10" x14ac:dyDescent="0.3">
      <c r="I13615" t="s">
        <v>19283</v>
      </c>
    </row>
    <row r="13616" spans="9:10" x14ac:dyDescent="0.3">
      <c r="I13616" t="s">
        <v>19283</v>
      </c>
    </row>
    <row r="13617" spans="9:10" x14ac:dyDescent="0.3">
      <c r="I13617" t="s">
        <v>19283</v>
      </c>
    </row>
    <row r="13618" spans="9:10" x14ac:dyDescent="0.3">
      <c r="I13618" t="s">
        <v>19284</v>
      </c>
      <c r="J13618" t="s">
        <v>5099</v>
      </c>
    </row>
    <row r="13619" spans="9:10" x14ac:dyDescent="0.3">
      <c r="I13619" t="s">
        <v>19284</v>
      </c>
      <c r="J13619" t="s">
        <v>5099</v>
      </c>
    </row>
    <row r="13620" spans="9:10" x14ac:dyDescent="0.3">
      <c r="I13620" t="s">
        <v>19284</v>
      </c>
      <c r="J13620" t="s">
        <v>5099</v>
      </c>
    </row>
    <row r="13621" spans="9:10" x14ac:dyDescent="0.3">
      <c r="I13621" t="s">
        <v>19284</v>
      </c>
      <c r="J13621" t="s">
        <v>5099</v>
      </c>
    </row>
    <row r="13622" spans="9:10" x14ac:dyDescent="0.3">
      <c r="I13622" t="s">
        <v>19285</v>
      </c>
    </row>
    <row r="13623" spans="9:10" x14ac:dyDescent="0.3">
      <c r="I13623" t="s">
        <v>19286</v>
      </c>
      <c r="J13623" t="s">
        <v>5100</v>
      </c>
    </row>
    <row r="13624" spans="9:10" x14ac:dyDescent="0.3">
      <c r="I13624" t="s">
        <v>19287</v>
      </c>
      <c r="J13624" t="s">
        <v>5100</v>
      </c>
    </row>
    <row r="13625" spans="9:10" x14ac:dyDescent="0.3">
      <c r="I13625" t="s">
        <v>19288</v>
      </c>
    </row>
    <row r="13626" spans="9:10" x14ac:dyDescent="0.3">
      <c r="I13626" t="s">
        <v>19288</v>
      </c>
    </row>
    <row r="13627" spans="9:10" x14ac:dyDescent="0.3">
      <c r="I13627" t="s">
        <v>19289</v>
      </c>
    </row>
    <row r="13628" spans="9:10" x14ac:dyDescent="0.3">
      <c r="I13628" t="s">
        <v>19289</v>
      </c>
    </row>
    <row r="13629" spans="9:10" x14ac:dyDescent="0.3">
      <c r="I13629" t="s">
        <v>19289</v>
      </c>
    </row>
    <row r="13630" spans="9:10" x14ac:dyDescent="0.3">
      <c r="I13630" t="s">
        <v>19289</v>
      </c>
    </row>
    <row r="13631" spans="9:10" x14ac:dyDescent="0.3">
      <c r="I13631" t="s">
        <v>19289</v>
      </c>
    </row>
    <row r="13632" spans="9:10" x14ac:dyDescent="0.3">
      <c r="I13632" t="s">
        <v>19290</v>
      </c>
      <c r="J13632" t="s">
        <v>5101</v>
      </c>
    </row>
    <row r="13633" spans="9:10" x14ac:dyDescent="0.3">
      <c r="I13633" t="s">
        <v>19290</v>
      </c>
      <c r="J13633" t="s">
        <v>5101</v>
      </c>
    </row>
    <row r="13634" spans="9:10" x14ac:dyDescent="0.3">
      <c r="I13634" t="s">
        <v>19290</v>
      </c>
      <c r="J13634" t="s">
        <v>5101</v>
      </c>
    </row>
    <row r="13635" spans="9:10" x14ac:dyDescent="0.3">
      <c r="I13635" t="s">
        <v>19291</v>
      </c>
      <c r="J13635" t="s">
        <v>5101</v>
      </c>
    </row>
    <row r="13636" spans="9:10" x14ac:dyDescent="0.3">
      <c r="I13636" t="s">
        <v>19290</v>
      </c>
      <c r="J13636" t="s">
        <v>5101</v>
      </c>
    </row>
    <row r="13637" spans="9:10" x14ac:dyDescent="0.3">
      <c r="I13637" t="s">
        <v>19292</v>
      </c>
    </row>
    <row r="13638" spans="9:10" x14ac:dyDescent="0.3">
      <c r="I13638" t="s">
        <v>19292</v>
      </c>
    </row>
    <row r="13639" spans="9:10" x14ac:dyDescent="0.3">
      <c r="I13639" t="s">
        <v>19292</v>
      </c>
    </row>
    <row r="13640" spans="9:10" x14ac:dyDescent="0.3">
      <c r="I13640" t="s">
        <v>19292</v>
      </c>
    </row>
    <row r="13641" spans="9:10" x14ac:dyDescent="0.3">
      <c r="I13641" t="s">
        <v>19293</v>
      </c>
    </row>
    <row r="13642" spans="9:10" x14ac:dyDescent="0.3">
      <c r="I13642" t="s">
        <v>19293</v>
      </c>
    </row>
    <row r="13643" spans="9:10" x14ac:dyDescent="0.3">
      <c r="I13643" t="s">
        <v>19294</v>
      </c>
    </row>
    <row r="13644" spans="9:10" x14ac:dyDescent="0.3">
      <c r="I13644" t="s">
        <v>19293</v>
      </c>
    </row>
    <row r="13645" spans="9:10" x14ac:dyDescent="0.3">
      <c r="I13645" t="s">
        <v>19293</v>
      </c>
    </row>
    <row r="13646" spans="9:10" x14ac:dyDescent="0.3">
      <c r="I13646" t="s">
        <v>19295</v>
      </c>
    </row>
    <row r="13647" spans="9:10" x14ac:dyDescent="0.3">
      <c r="I13647" t="s">
        <v>19295</v>
      </c>
    </row>
    <row r="13648" spans="9:10" x14ac:dyDescent="0.3">
      <c r="I13648" t="s">
        <v>19295</v>
      </c>
    </row>
    <row r="13649" spans="9:10" x14ac:dyDescent="0.3">
      <c r="I13649" t="s">
        <v>19295</v>
      </c>
    </row>
    <row r="13650" spans="9:10" x14ac:dyDescent="0.3">
      <c r="I13650" t="s">
        <v>19296</v>
      </c>
    </row>
    <row r="13651" spans="9:10" x14ac:dyDescent="0.3">
      <c r="I13651" t="s">
        <v>19296</v>
      </c>
    </row>
    <row r="13652" spans="9:10" x14ac:dyDescent="0.3">
      <c r="I13652" t="s">
        <v>19296</v>
      </c>
    </row>
    <row r="13653" spans="9:10" x14ac:dyDescent="0.3">
      <c r="I13653" t="s">
        <v>19296</v>
      </c>
    </row>
    <row r="13654" spans="9:10" x14ac:dyDescent="0.3">
      <c r="I13654" t="s">
        <v>19296</v>
      </c>
    </row>
    <row r="13655" spans="9:10" x14ac:dyDescent="0.3">
      <c r="I13655" t="s">
        <v>19297</v>
      </c>
    </row>
    <row r="13656" spans="9:10" x14ac:dyDescent="0.3">
      <c r="I13656" t="s">
        <v>19298</v>
      </c>
    </row>
    <row r="13657" spans="9:10" x14ac:dyDescent="0.3">
      <c r="I13657" t="s">
        <v>19297</v>
      </c>
    </row>
    <row r="13658" spans="9:10" x14ac:dyDescent="0.3">
      <c r="I13658" t="s">
        <v>19297</v>
      </c>
    </row>
    <row r="13659" spans="9:10" x14ac:dyDescent="0.3">
      <c r="I13659" t="s">
        <v>19299</v>
      </c>
      <c r="J13659" t="s">
        <v>5102</v>
      </c>
    </row>
    <row r="13660" spans="9:10" x14ac:dyDescent="0.3">
      <c r="I13660" t="s">
        <v>19300</v>
      </c>
      <c r="J13660" t="s">
        <v>5103</v>
      </c>
    </row>
    <row r="13661" spans="9:10" x14ac:dyDescent="0.3">
      <c r="I13661" t="s">
        <v>19301</v>
      </c>
      <c r="J13661" t="s">
        <v>5103</v>
      </c>
    </row>
    <row r="13662" spans="9:10" x14ac:dyDescent="0.3">
      <c r="I13662" t="s">
        <v>19301</v>
      </c>
      <c r="J13662" t="s">
        <v>5103</v>
      </c>
    </row>
    <row r="13663" spans="9:10" x14ac:dyDescent="0.3">
      <c r="I13663" t="s">
        <v>19302</v>
      </c>
      <c r="J13663" t="s">
        <v>5103</v>
      </c>
    </row>
    <row r="13664" spans="9:10" x14ac:dyDescent="0.3">
      <c r="I13664" t="s">
        <v>19302</v>
      </c>
      <c r="J13664" t="s">
        <v>5103</v>
      </c>
    </row>
    <row r="13665" spans="9:10" x14ac:dyDescent="0.3">
      <c r="I13665" t="s">
        <v>19302</v>
      </c>
      <c r="J13665" t="s">
        <v>5103</v>
      </c>
    </row>
    <row r="13666" spans="9:10" x14ac:dyDescent="0.3">
      <c r="I13666" t="s">
        <v>19303</v>
      </c>
      <c r="J13666" t="s">
        <v>5103</v>
      </c>
    </row>
    <row r="13667" spans="9:10" x14ac:dyDescent="0.3">
      <c r="I13667" t="s">
        <v>19304</v>
      </c>
      <c r="J13667" t="s">
        <v>5103</v>
      </c>
    </row>
    <row r="13668" spans="9:10" x14ac:dyDescent="0.3">
      <c r="I13668" t="s">
        <v>19305</v>
      </c>
    </row>
    <row r="13669" spans="9:10" x14ac:dyDescent="0.3">
      <c r="I13669" t="s">
        <v>19306</v>
      </c>
    </row>
    <row r="13670" spans="9:10" x14ac:dyDescent="0.3">
      <c r="I13670" t="s">
        <v>19307</v>
      </c>
    </row>
    <row r="13671" spans="9:10" x14ac:dyDescent="0.3">
      <c r="I13671" t="s">
        <v>19308</v>
      </c>
      <c r="J13671" t="s">
        <v>5104</v>
      </c>
    </row>
    <row r="13672" spans="9:10" x14ac:dyDescent="0.3">
      <c r="I13672" t="s">
        <v>19309</v>
      </c>
      <c r="J13672" t="s">
        <v>5105</v>
      </c>
    </row>
    <row r="13673" spans="9:10" x14ac:dyDescent="0.3">
      <c r="I13673" t="s">
        <v>19310</v>
      </c>
      <c r="J13673" t="s">
        <v>5105</v>
      </c>
    </row>
    <row r="13674" spans="9:10" x14ac:dyDescent="0.3">
      <c r="I13674" t="s">
        <v>19310</v>
      </c>
      <c r="J13674" t="s">
        <v>5105</v>
      </c>
    </row>
    <row r="13675" spans="9:10" x14ac:dyDescent="0.3">
      <c r="I13675" t="s">
        <v>19311</v>
      </c>
      <c r="J13675" t="s">
        <v>5106</v>
      </c>
    </row>
    <row r="13676" spans="9:10" x14ac:dyDescent="0.3">
      <c r="I13676" t="s">
        <v>19311</v>
      </c>
      <c r="J13676" t="s">
        <v>5106</v>
      </c>
    </row>
    <row r="13677" spans="9:10" x14ac:dyDescent="0.3">
      <c r="I13677" t="s">
        <v>19312</v>
      </c>
      <c r="J13677" t="s">
        <v>5106</v>
      </c>
    </row>
    <row r="13678" spans="9:10" x14ac:dyDescent="0.3">
      <c r="I13678" t="s">
        <v>19311</v>
      </c>
      <c r="J13678" t="s">
        <v>5106</v>
      </c>
    </row>
    <row r="13679" spans="9:10" x14ac:dyDescent="0.3">
      <c r="I13679" t="s">
        <v>19311</v>
      </c>
      <c r="J13679" t="s">
        <v>5106</v>
      </c>
    </row>
    <row r="13680" spans="9:10" x14ac:dyDescent="0.3">
      <c r="I13680" t="s">
        <v>19311</v>
      </c>
      <c r="J13680" t="s">
        <v>5106</v>
      </c>
    </row>
    <row r="13681" spans="9:10" x14ac:dyDescent="0.3">
      <c r="I13681" t="s">
        <v>19311</v>
      </c>
      <c r="J13681" t="s">
        <v>5106</v>
      </c>
    </row>
    <row r="13682" spans="9:10" x14ac:dyDescent="0.3">
      <c r="I13682" t="s">
        <v>19313</v>
      </c>
      <c r="J13682" t="s">
        <v>5106</v>
      </c>
    </row>
    <row r="13683" spans="9:10" x14ac:dyDescent="0.3">
      <c r="I13683" t="s">
        <v>19311</v>
      </c>
      <c r="J13683" t="s">
        <v>5106</v>
      </c>
    </row>
    <row r="13684" spans="9:10" x14ac:dyDescent="0.3">
      <c r="I13684" t="s">
        <v>19311</v>
      </c>
      <c r="J13684" t="s">
        <v>5106</v>
      </c>
    </row>
    <row r="13685" spans="9:10" x14ac:dyDescent="0.3">
      <c r="I13685" t="s">
        <v>19311</v>
      </c>
      <c r="J13685" t="s">
        <v>5106</v>
      </c>
    </row>
    <row r="13686" spans="9:10" x14ac:dyDescent="0.3">
      <c r="I13686" t="s">
        <v>19314</v>
      </c>
      <c r="J13686" t="s">
        <v>5107</v>
      </c>
    </row>
    <row r="13687" spans="9:10" x14ac:dyDescent="0.3">
      <c r="I13687" t="s">
        <v>19314</v>
      </c>
      <c r="J13687" t="s">
        <v>5107</v>
      </c>
    </row>
    <row r="13688" spans="9:10" x14ac:dyDescent="0.3">
      <c r="I13688" t="s">
        <v>19314</v>
      </c>
      <c r="J13688" t="s">
        <v>5107</v>
      </c>
    </row>
    <row r="13689" spans="9:10" x14ac:dyDescent="0.3">
      <c r="I13689" t="s">
        <v>19315</v>
      </c>
    </row>
    <row r="13690" spans="9:10" x14ac:dyDescent="0.3">
      <c r="I13690" t="s">
        <v>19316</v>
      </c>
      <c r="J13690" t="s">
        <v>5108</v>
      </c>
    </row>
    <row r="13691" spans="9:10" x14ac:dyDescent="0.3">
      <c r="I13691" t="s">
        <v>19317</v>
      </c>
      <c r="J13691" t="s">
        <v>5109</v>
      </c>
    </row>
    <row r="13692" spans="9:10" x14ac:dyDescent="0.3">
      <c r="I13692" t="s">
        <v>19317</v>
      </c>
      <c r="J13692" t="s">
        <v>5109</v>
      </c>
    </row>
    <row r="13693" spans="9:10" x14ac:dyDescent="0.3">
      <c r="I13693" t="s">
        <v>19318</v>
      </c>
    </row>
    <row r="13694" spans="9:10" x14ac:dyDescent="0.3">
      <c r="I13694" t="s">
        <v>19319</v>
      </c>
      <c r="J13694" t="s">
        <v>5110</v>
      </c>
    </row>
    <row r="13695" spans="9:10" x14ac:dyDescent="0.3">
      <c r="I13695" t="s">
        <v>19320</v>
      </c>
    </row>
    <row r="13696" spans="9:10" x14ac:dyDescent="0.3">
      <c r="I13696" t="s">
        <v>19320</v>
      </c>
    </row>
    <row r="13697" spans="9:10" x14ac:dyDescent="0.3">
      <c r="I13697" t="s">
        <v>19320</v>
      </c>
    </row>
    <row r="13698" spans="9:10" x14ac:dyDescent="0.3">
      <c r="I13698" t="s">
        <v>19320</v>
      </c>
    </row>
    <row r="13699" spans="9:10" x14ac:dyDescent="0.3">
      <c r="I13699" t="s">
        <v>19321</v>
      </c>
    </row>
    <row r="13700" spans="9:10" x14ac:dyDescent="0.3">
      <c r="I13700" t="s">
        <v>19322</v>
      </c>
      <c r="J13700" t="s">
        <v>5111</v>
      </c>
    </row>
    <row r="13701" spans="9:10" x14ac:dyDescent="0.3">
      <c r="I13701" t="s">
        <v>19323</v>
      </c>
      <c r="J13701" t="s">
        <v>5112</v>
      </c>
    </row>
    <row r="13702" spans="9:10" x14ac:dyDescent="0.3">
      <c r="I13702" t="s">
        <v>19324</v>
      </c>
    </row>
    <row r="13703" spans="9:10" x14ac:dyDescent="0.3">
      <c r="I13703" t="s">
        <v>19325</v>
      </c>
      <c r="J13703" t="s">
        <v>5113</v>
      </c>
    </row>
    <row r="13704" spans="9:10" x14ac:dyDescent="0.3">
      <c r="I13704" t="s">
        <v>19325</v>
      </c>
      <c r="J13704" t="s">
        <v>5113</v>
      </c>
    </row>
    <row r="13705" spans="9:10" x14ac:dyDescent="0.3">
      <c r="I13705" t="s">
        <v>19325</v>
      </c>
      <c r="J13705" t="s">
        <v>5113</v>
      </c>
    </row>
    <row r="13706" spans="9:10" x14ac:dyDescent="0.3">
      <c r="I13706" t="s">
        <v>19325</v>
      </c>
      <c r="J13706" t="s">
        <v>5113</v>
      </c>
    </row>
    <row r="13707" spans="9:10" x14ac:dyDescent="0.3">
      <c r="I13707" t="s">
        <v>19326</v>
      </c>
      <c r="J13707" t="s">
        <v>5113</v>
      </c>
    </row>
    <row r="13708" spans="9:10" x14ac:dyDescent="0.3">
      <c r="I13708" t="s">
        <v>19327</v>
      </c>
    </row>
    <row r="13709" spans="9:10" x14ac:dyDescent="0.3">
      <c r="I13709" t="s">
        <v>19328</v>
      </c>
      <c r="J13709" t="s">
        <v>5114</v>
      </c>
    </row>
    <row r="13710" spans="9:10" x14ac:dyDescent="0.3">
      <c r="I13710" t="s">
        <v>19329</v>
      </c>
      <c r="J13710" t="s">
        <v>5114</v>
      </c>
    </row>
    <row r="13711" spans="9:10" x14ac:dyDescent="0.3">
      <c r="I13711" t="s">
        <v>19330</v>
      </c>
      <c r="J13711" t="s">
        <v>5114</v>
      </c>
    </row>
    <row r="13712" spans="9:10" x14ac:dyDescent="0.3">
      <c r="I13712" t="s">
        <v>19330</v>
      </c>
      <c r="J13712" t="s">
        <v>5114</v>
      </c>
    </row>
    <row r="13713" spans="9:10" x14ac:dyDescent="0.3">
      <c r="I13713" t="s">
        <v>19330</v>
      </c>
      <c r="J13713" t="s">
        <v>5114</v>
      </c>
    </row>
    <row r="13714" spans="9:10" x14ac:dyDescent="0.3">
      <c r="I13714" t="s">
        <v>19331</v>
      </c>
      <c r="J13714" t="s">
        <v>5114</v>
      </c>
    </row>
    <row r="13715" spans="9:10" x14ac:dyDescent="0.3">
      <c r="I13715" t="s">
        <v>19332</v>
      </c>
    </row>
    <row r="13716" spans="9:10" x14ac:dyDescent="0.3">
      <c r="I13716" t="s">
        <v>19333</v>
      </c>
    </row>
    <row r="13717" spans="9:10" x14ac:dyDescent="0.3">
      <c r="I13717" t="s">
        <v>19334</v>
      </c>
    </row>
    <row r="13718" spans="9:10" x14ac:dyDescent="0.3">
      <c r="I13718" t="s">
        <v>19335</v>
      </c>
    </row>
    <row r="13719" spans="9:10" x14ac:dyDescent="0.3">
      <c r="I13719" t="s">
        <v>19335</v>
      </c>
    </row>
    <row r="13720" spans="9:10" x14ac:dyDescent="0.3">
      <c r="I13720" t="s">
        <v>19335</v>
      </c>
    </row>
    <row r="13721" spans="9:10" x14ac:dyDescent="0.3">
      <c r="I13721" t="s">
        <v>19336</v>
      </c>
    </row>
    <row r="13722" spans="9:10" x14ac:dyDescent="0.3">
      <c r="I13722" t="s">
        <v>19335</v>
      </c>
    </row>
    <row r="13723" spans="9:10" x14ac:dyDescent="0.3">
      <c r="I13723" t="s">
        <v>19337</v>
      </c>
    </row>
    <row r="13724" spans="9:10" x14ac:dyDescent="0.3">
      <c r="I13724" t="s">
        <v>19338</v>
      </c>
    </row>
    <row r="13725" spans="9:10" x14ac:dyDescent="0.3">
      <c r="I13725" t="s">
        <v>19339</v>
      </c>
    </row>
    <row r="13726" spans="9:10" x14ac:dyDescent="0.3">
      <c r="I13726" t="s">
        <v>19340</v>
      </c>
    </row>
    <row r="13727" spans="9:10" x14ac:dyDescent="0.3">
      <c r="I13727" t="s">
        <v>19341</v>
      </c>
    </row>
    <row r="13728" spans="9:10" x14ac:dyDescent="0.3">
      <c r="I13728" t="s">
        <v>19342</v>
      </c>
    </row>
    <row r="13729" spans="9:10" x14ac:dyDescent="0.3">
      <c r="I13729" t="s">
        <v>19343</v>
      </c>
    </row>
    <row r="13730" spans="9:10" x14ac:dyDescent="0.3">
      <c r="I13730" t="s">
        <v>19344</v>
      </c>
    </row>
    <row r="13731" spans="9:10" x14ac:dyDescent="0.3">
      <c r="I13731" t="s">
        <v>19344</v>
      </c>
    </row>
    <row r="13732" spans="9:10" x14ac:dyDescent="0.3">
      <c r="I13732" t="s">
        <v>19344</v>
      </c>
    </row>
    <row r="13733" spans="9:10" x14ac:dyDescent="0.3">
      <c r="I13733" t="s">
        <v>19344</v>
      </c>
    </row>
    <row r="13734" spans="9:10" x14ac:dyDescent="0.3">
      <c r="I13734" t="s">
        <v>19345</v>
      </c>
    </row>
    <row r="13735" spans="9:10" x14ac:dyDescent="0.3">
      <c r="I13735" t="s">
        <v>19346</v>
      </c>
      <c r="J13735" t="s">
        <v>5115</v>
      </c>
    </row>
    <row r="13736" spans="9:10" x14ac:dyDescent="0.3">
      <c r="I13736" t="s">
        <v>19346</v>
      </c>
      <c r="J13736" t="s">
        <v>5115</v>
      </c>
    </row>
    <row r="13737" spans="9:10" x14ac:dyDescent="0.3">
      <c r="I13737" t="s">
        <v>19347</v>
      </c>
      <c r="J13737" t="s">
        <v>5115</v>
      </c>
    </row>
    <row r="13738" spans="9:10" x14ac:dyDescent="0.3">
      <c r="I13738" t="s">
        <v>19346</v>
      </c>
      <c r="J13738" t="s">
        <v>5115</v>
      </c>
    </row>
    <row r="13739" spans="9:10" x14ac:dyDescent="0.3">
      <c r="I13739" t="s">
        <v>19346</v>
      </c>
      <c r="J13739" t="s">
        <v>5115</v>
      </c>
    </row>
    <row r="13740" spans="9:10" x14ac:dyDescent="0.3">
      <c r="I13740" t="s">
        <v>19348</v>
      </c>
      <c r="J13740" t="s">
        <v>5116</v>
      </c>
    </row>
    <row r="13741" spans="9:10" x14ac:dyDescent="0.3">
      <c r="I13741" t="s">
        <v>19349</v>
      </c>
      <c r="J13741" t="s">
        <v>5117</v>
      </c>
    </row>
    <row r="13742" spans="9:10" x14ac:dyDescent="0.3">
      <c r="I13742" t="s">
        <v>19350</v>
      </c>
      <c r="J13742" t="s">
        <v>5117</v>
      </c>
    </row>
    <row r="13743" spans="9:10" x14ac:dyDescent="0.3">
      <c r="I13743" t="s">
        <v>19350</v>
      </c>
      <c r="J13743" t="s">
        <v>5117</v>
      </c>
    </row>
    <row r="13744" spans="9:10" x14ac:dyDescent="0.3">
      <c r="I13744" t="s">
        <v>19351</v>
      </c>
      <c r="J13744" t="s">
        <v>5117</v>
      </c>
    </row>
    <row r="13745" spans="9:10" x14ac:dyDescent="0.3">
      <c r="I13745" t="s">
        <v>19351</v>
      </c>
      <c r="J13745" t="s">
        <v>5117</v>
      </c>
    </row>
    <row r="13746" spans="9:10" x14ac:dyDescent="0.3">
      <c r="I13746" t="s">
        <v>19351</v>
      </c>
      <c r="J13746" t="s">
        <v>5117</v>
      </c>
    </row>
    <row r="13747" spans="9:10" x14ac:dyDescent="0.3">
      <c r="I13747" t="s">
        <v>19352</v>
      </c>
      <c r="J13747" t="s">
        <v>5118</v>
      </c>
    </row>
    <row r="13748" spans="9:10" x14ac:dyDescent="0.3">
      <c r="I13748" t="s">
        <v>19352</v>
      </c>
      <c r="J13748" t="s">
        <v>5118</v>
      </c>
    </row>
    <row r="13749" spans="9:10" x14ac:dyDescent="0.3">
      <c r="I13749" t="s">
        <v>19353</v>
      </c>
    </row>
    <row r="13750" spans="9:10" x14ac:dyDescent="0.3">
      <c r="I13750" t="s">
        <v>19354</v>
      </c>
    </row>
    <row r="13751" spans="9:10" x14ac:dyDescent="0.3">
      <c r="I13751" t="s">
        <v>19355</v>
      </c>
    </row>
    <row r="13752" spans="9:10" x14ac:dyDescent="0.3">
      <c r="I13752" t="s">
        <v>19356</v>
      </c>
    </row>
    <row r="13753" spans="9:10" x14ac:dyDescent="0.3">
      <c r="I13753" t="s">
        <v>19357</v>
      </c>
    </row>
    <row r="13754" spans="9:10" x14ac:dyDescent="0.3">
      <c r="I13754" t="s">
        <v>19358</v>
      </c>
    </row>
    <row r="13755" spans="9:10" x14ac:dyDescent="0.3">
      <c r="I13755" t="s">
        <v>19359</v>
      </c>
    </row>
    <row r="13756" spans="9:10" x14ac:dyDescent="0.3">
      <c r="I13756" t="s">
        <v>19360</v>
      </c>
    </row>
    <row r="13757" spans="9:10" x14ac:dyDescent="0.3">
      <c r="I13757" t="s">
        <v>19361</v>
      </c>
      <c r="J13757" t="s">
        <v>5119</v>
      </c>
    </row>
    <row r="13758" spans="9:10" x14ac:dyDescent="0.3">
      <c r="I13758" t="s">
        <v>19362</v>
      </c>
    </row>
    <row r="13759" spans="9:10" x14ac:dyDescent="0.3">
      <c r="I13759" t="s">
        <v>19363</v>
      </c>
      <c r="J13759" t="s">
        <v>5120</v>
      </c>
    </row>
    <row r="13760" spans="9:10" x14ac:dyDescent="0.3">
      <c r="I13760" t="s">
        <v>19364</v>
      </c>
    </row>
    <row r="13761" spans="9:10" x14ac:dyDescent="0.3">
      <c r="I13761" t="s">
        <v>19365</v>
      </c>
    </row>
    <row r="13762" spans="9:10" x14ac:dyDescent="0.3">
      <c r="I13762" t="s">
        <v>19366</v>
      </c>
    </row>
    <row r="13763" spans="9:10" x14ac:dyDescent="0.3">
      <c r="I13763" t="s">
        <v>19367</v>
      </c>
      <c r="J13763" t="s">
        <v>5121</v>
      </c>
    </row>
    <row r="13764" spans="9:10" x14ac:dyDescent="0.3">
      <c r="I13764" t="s">
        <v>19368</v>
      </c>
      <c r="J13764" t="s">
        <v>5122</v>
      </c>
    </row>
    <row r="13765" spans="9:10" x14ac:dyDescent="0.3">
      <c r="I13765" t="s">
        <v>19368</v>
      </c>
      <c r="J13765" t="s">
        <v>5122</v>
      </c>
    </row>
    <row r="13766" spans="9:10" x14ac:dyDescent="0.3">
      <c r="I13766" t="s">
        <v>19369</v>
      </c>
      <c r="J13766" t="s">
        <v>5123</v>
      </c>
    </row>
    <row r="13767" spans="9:10" x14ac:dyDescent="0.3">
      <c r="I13767" t="s">
        <v>19370</v>
      </c>
      <c r="J13767" t="s">
        <v>5123</v>
      </c>
    </row>
    <row r="13768" spans="9:10" x14ac:dyDescent="0.3">
      <c r="I13768" t="s">
        <v>19371</v>
      </c>
      <c r="J13768" t="s">
        <v>5124</v>
      </c>
    </row>
    <row r="13769" spans="9:10" x14ac:dyDescent="0.3">
      <c r="I13769" t="s">
        <v>19372</v>
      </c>
    </row>
    <row r="13770" spans="9:10" x14ac:dyDescent="0.3">
      <c r="I13770" t="s">
        <v>19373</v>
      </c>
    </row>
    <row r="13771" spans="9:10" x14ac:dyDescent="0.3">
      <c r="I13771" t="s">
        <v>19374</v>
      </c>
    </row>
    <row r="13772" spans="9:10" x14ac:dyDescent="0.3">
      <c r="I13772" t="s">
        <v>19375</v>
      </c>
    </row>
    <row r="13773" spans="9:10" x14ac:dyDescent="0.3">
      <c r="I13773" t="s">
        <v>19376</v>
      </c>
    </row>
    <row r="13774" spans="9:10" x14ac:dyDescent="0.3">
      <c r="I13774" t="s">
        <v>19377</v>
      </c>
      <c r="J13774" t="s">
        <v>5125</v>
      </c>
    </row>
    <row r="13775" spans="9:10" x14ac:dyDescent="0.3">
      <c r="I13775" t="s">
        <v>19378</v>
      </c>
      <c r="J13775" t="s">
        <v>5125</v>
      </c>
    </row>
    <row r="13776" spans="9:10" x14ac:dyDescent="0.3">
      <c r="I13776" t="s">
        <v>19379</v>
      </c>
    </row>
    <row r="13777" spans="9:10" x14ac:dyDescent="0.3">
      <c r="I13777" t="s">
        <v>19380</v>
      </c>
      <c r="J13777" t="s">
        <v>5126</v>
      </c>
    </row>
    <row r="13778" spans="9:10" x14ac:dyDescent="0.3">
      <c r="I13778" t="s">
        <v>19380</v>
      </c>
      <c r="J13778" t="s">
        <v>5126</v>
      </c>
    </row>
    <row r="13779" spans="9:10" x14ac:dyDescent="0.3">
      <c r="I13779" t="s">
        <v>19381</v>
      </c>
      <c r="J13779" t="s">
        <v>5127</v>
      </c>
    </row>
    <row r="13780" spans="9:10" x14ac:dyDescent="0.3">
      <c r="I13780" t="s">
        <v>19382</v>
      </c>
      <c r="J13780" t="s">
        <v>5128</v>
      </c>
    </row>
    <row r="13781" spans="9:10" x14ac:dyDescent="0.3">
      <c r="I13781" t="s">
        <v>19383</v>
      </c>
      <c r="J13781" t="s">
        <v>5129</v>
      </c>
    </row>
    <row r="13782" spans="9:10" x14ac:dyDescent="0.3">
      <c r="I13782" t="s">
        <v>19384</v>
      </c>
      <c r="J13782" t="s">
        <v>5130</v>
      </c>
    </row>
    <row r="13783" spans="9:10" x14ac:dyDescent="0.3">
      <c r="I13783" t="s">
        <v>19385</v>
      </c>
      <c r="J13783" t="s">
        <v>5131</v>
      </c>
    </row>
    <row r="13784" spans="9:10" x14ac:dyDescent="0.3">
      <c r="I13784" t="s">
        <v>19386</v>
      </c>
      <c r="J13784" t="s">
        <v>5132</v>
      </c>
    </row>
    <row r="13785" spans="9:10" x14ac:dyDescent="0.3">
      <c r="I13785" t="s">
        <v>19387</v>
      </c>
      <c r="J13785" t="s">
        <v>5133</v>
      </c>
    </row>
    <row r="13786" spans="9:10" x14ac:dyDescent="0.3">
      <c r="I13786" t="s">
        <v>19388</v>
      </c>
      <c r="J13786" t="s">
        <v>5134</v>
      </c>
    </row>
    <row r="13787" spans="9:10" x14ac:dyDescent="0.3">
      <c r="I13787" t="s">
        <v>19389</v>
      </c>
    </row>
    <row r="13788" spans="9:10" x14ac:dyDescent="0.3">
      <c r="I13788" t="s">
        <v>19390</v>
      </c>
    </row>
    <row r="13789" spans="9:10" x14ac:dyDescent="0.3">
      <c r="I13789" t="s">
        <v>19391</v>
      </c>
      <c r="J13789" t="s">
        <v>5135</v>
      </c>
    </row>
    <row r="13790" spans="9:10" x14ac:dyDescent="0.3">
      <c r="I13790" t="s">
        <v>19392</v>
      </c>
      <c r="J13790" t="s">
        <v>5135</v>
      </c>
    </row>
    <row r="13791" spans="9:10" x14ac:dyDescent="0.3">
      <c r="I13791" t="s">
        <v>19393</v>
      </c>
      <c r="J13791" t="s">
        <v>5135</v>
      </c>
    </row>
    <row r="13792" spans="9:10" x14ac:dyDescent="0.3">
      <c r="I13792" t="s">
        <v>19394</v>
      </c>
      <c r="J13792" t="s">
        <v>2045</v>
      </c>
    </row>
    <row r="13793" spans="9:10" x14ac:dyDescent="0.3">
      <c r="I13793" t="s">
        <v>19395</v>
      </c>
      <c r="J13793" t="s">
        <v>2045</v>
      </c>
    </row>
    <row r="13794" spans="9:10" x14ac:dyDescent="0.3">
      <c r="I13794" t="s">
        <v>19396</v>
      </c>
      <c r="J13794" t="s">
        <v>5136</v>
      </c>
    </row>
    <row r="13795" spans="9:10" x14ac:dyDescent="0.3">
      <c r="I13795" t="s">
        <v>19397</v>
      </c>
      <c r="J13795" t="s">
        <v>5137</v>
      </c>
    </row>
    <row r="13796" spans="9:10" x14ac:dyDescent="0.3">
      <c r="I13796" t="s">
        <v>19398</v>
      </c>
    </row>
    <row r="13797" spans="9:10" x14ac:dyDescent="0.3">
      <c r="I13797" t="s">
        <v>19399</v>
      </c>
    </row>
    <row r="13798" spans="9:10" x14ac:dyDescent="0.3">
      <c r="I13798" t="s">
        <v>19400</v>
      </c>
      <c r="J13798" t="s">
        <v>591</v>
      </c>
    </row>
    <row r="13799" spans="9:10" x14ac:dyDescent="0.3">
      <c r="I13799" t="s">
        <v>19400</v>
      </c>
      <c r="J13799" t="s">
        <v>591</v>
      </c>
    </row>
    <row r="13800" spans="9:10" x14ac:dyDescent="0.3">
      <c r="I13800" t="s">
        <v>19401</v>
      </c>
    </row>
    <row r="13801" spans="9:10" x14ac:dyDescent="0.3">
      <c r="I13801" t="s">
        <v>19402</v>
      </c>
    </row>
    <row r="13802" spans="9:10" x14ac:dyDescent="0.3">
      <c r="I13802" t="s">
        <v>19403</v>
      </c>
      <c r="J13802" t="s">
        <v>5138</v>
      </c>
    </row>
    <row r="13803" spans="9:10" x14ac:dyDescent="0.3">
      <c r="I13803" t="s">
        <v>19404</v>
      </c>
      <c r="J13803" t="s">
        <v>5139</v>
      </c>
    </row>
    <row r="13804" spans="9:10" x14ac:dyDescent="0.3">
      <c r="I13804" t="s">
        <v>19405</v>
      </c>
    </row>
    <row r="13805" spans="9:10" x14ac:dyDescent="0.3">
      <c r="I13805" t="s">
        <v>19406</v>
      </c>
    </row>
    <row r="13806" spans="9:10" x14ac:dyDescent="0.3">
      <c r="I13806" t="s">
        <v>19407</v>
      </c>
      <c r="J13806" t="s">
        <v>5140</v>
      </c>
    </row>
    <row r="13807" spans="9:10" x14ac:dyDescent="0.3">
      <c r="I13807" t="s">
        <v>19408</v>
      </c>
      <c r="J13807" t="s">
        <v>5141</v>
      </c>
    </row>
    <row r="13808" spans="9:10" x14ac:dyDescent="0.3">
      <c r="I13808" t="s">
        <v>19408</v>
      </c>
      <c r="J13808" t="s">
        <v>5141</v>
      </c>
    </row>
    <row r="13809" spans="9:10" x14ac:dyDescent="0.3">
      <c r="I13809" t="s">
        <v>19408</v>
      </c>
      <c r="J13809" t="s">
        <v>5141</v>
      </c>
    </row>
    <row r="13810" spans="9:10" x14ac:dyDescent="0.3">
      <c r="I13810" t="s">
        <v>19409</v>
      </c>
      <c r="J13810" t="s">
        <v>5141</v>
      </c>
    </row>
    <row r="13811" spans="9:10" x14ac:dyDescent="0.3">
      <c r="I13811" t="s">
        <v>19410</v>
      </c>
      <c r="J13811" t="s">
        <v>5142</v>
      </c>
    </row>
    <row r="13812" spans="9:10" x14ac:dyDescent="0.3">
      <c r="I13812" t="s">
        <v>19411</v>
      </c>
      <c r="J13812" t="s">
        <v>556</v>
      </c>
    </row>
    <row r="13813" spans="9:10" x14ac:dyDescent="0.3">
      <c r="I13813" t="s">
        <v>19412</v>
      </c>
    </row>
    <row r="13814" spans="9:10" x14ac:dyDescent="0.3">
      <c r="I13814" t="s">
        <v>19413</v>
      </c>
    </row>
    <row r="13815" spans="9:10" x14ac:dyDescent="0.3">
      <c r="I13815" t="s">
        <v>19414</v>
      </c>
    </row>
    <row r="13816" spans="9:10" x14ac:dyDescent="0.3">
      <c r="I13816" t="s">
        <v>19415</v>
      </c>
    </row>
    <row r="13817" spans="9:10" x14ac:dyDescent="0.3">
      <c r="I13817" t="s">
        <v>19416</v>
      </c>
      <c r="J13817" t="s">
        <v>5143</v>
      </c>
    </row>
    <row r="13818" spans="9:10" x14ac:dyDescent="0.3">
      <c r="I13818" t="s">
        <v>19417</v>
      </c>
    </row>
    <row r="13819" spans="9:10" x14ac:dyDescent="0.3">
      <c r="I13819" t="s">
        <v>19418</v>
      </c>
    </row>
    <row r="13820" spans="9:10" x14ac:dyDescent="0.3">
      <c r="I13820" t="s">
        <v>19419</v>
      </c>
    </row>
    <row r="13821" spans="9:10" x14ac:dyDescent="0.3">
      <c r="I13821" t="s">
        <v>19419</v>
      </c>
    </row>
    <row r="13822" spans="9:10" x14ac:dyDescent="0.3">
      <c r="I13822" t="s">
        <v>19419</v>
      </c>
    </row>
    <row r="13823" spans="9:10" x14ac:dyDescent="0.3">
      <c r="I13823" t="s">
        <v>19420</v>
      </c>
    </row>
    <row r="13824" spans="9:10" x14ac:dyDescent="0.3">
      <c r="I13824" t="s">
        <v>19421</v>
      </c>
    </row>
    <row r="13825" spans="9:9" x14ac:dyDescent="0.3">
      <c r="I13825" t="s">
        <v>19422</v>
      </c>
    </row>
    <row r="13826" spans="9:9" x14ac:dyDescent="0.3">
      <c r="I13826" t="s">
        <v>19422</v>
      </c>
    </row>
    <row r="13827" spans="9:9" x14ac:dyDescent="0.3">
      <c r="I13827" t="s">
        <v>19423</v>
      </c>
    </row>
    <row r="13828" spans="9:9" x14ac:dyDescent="0.3">
      <c r="I13828" t="s">
        <v>19424</v>
      </c>
    </row>
    <row r="13829" spans="9:9" x14ac:dyDescent="0.3">
      <c r="I13829" t="s">
        <v>19425</v>
      </c>
    </row>
    <row r="13830" spans="9:9" x14ac:dyDescent="0.3">
      <c r="I13830" t="s">
        <v>19426</v>
      </c>
    </row>
    <row r="13831" spans="9:9" x14ac:dyDescent="0.3">
      <c r="I13831" t="s">
        <v>19427</v>
      </c>
    </row>
    <row r="13832" spans="9:9" x14ac:dyDescent="0.3">
      <c r="I13832" t="s">
        <v>19428</v>
      </c>
    </row>
    <row r="13833" spans="9:9" x14ac:dyDescent="0.3">
      <c r="I13833" t="s">
        <v>19429</v>
      </c>
    </row>
    <row r="13834" spans="9:9" x14ac:dyDescent="0.3">
      <c r="I13834" t="s">
        <v>19430</v>
      </c>
    </row>
    <row r="13835" spans="9:9" x14ac:dyDescent="0.3">
      <c r="I13835" t="s">
        <v>19431</v>
      </c>
    </row>
    <row r="13836" spans="9:9" x14ac:dyDescent="0.3">
      <c r="I13836" t="s">
        <v>19432</v>
      </c>
    </row>
    <row r="13837" spans="9:9" x14ac:dyDescent="0.3">
      <c r="I13837" t="s">
        <v>19433</v>
      </c>
    </row>
    <row r="13838" spans="9:9" x14ac:dyDescent="0.3">
      <c r="I13838" t="s">
        <v>19434</v>
      </c>
    </row>
    <row r="13839" spans="9:9" x14ac:dyDescent="0.3">
      <c r="I13839" t="s">
        <v>19435</v>
      </c>
    </row>
    <row r="13840" spans="9:9" x14ac:dyDescent="0.3">
      <c r="I13840" t="s">
        <v>19436</v>
      </c>
    </row>
    <row r="13841" spans="9:10" x14ac:dyDescent="0.3">
      <c r="I13841" t="s">
        <v>19437</v>
      </c>
    </row>
    <row r="13842" spans="9:10" x14ac:dyDescent="0.3">
      <c r="I13842" t="s">
        <v>19438</v>
      </c>
    </row>
    <row r="13843" spans="9:10" x14ac:dyDescent="0.3">
      <c r="I13843" t="s">
        <v>19439</v>
      </c>
    </row>
    <row r="13844" spans="9:10" x14ac:dyDescent="0.3">
      <c r="I13844" t="s">
        <v>19440</v>
      </c>
    </row>
    <row r="13845" spans="9:10" x14ac:dyDescent="0.3">
      <c r="I13845" t="s">
        <v>19441</v>
      </c>
    </row>
    <row r="13846" spans="9:10" x14ac:dyDescent="0.3">
      <c r="I13846" t="s">
        <v>19442</v>
      </c>
    </row>
    <row r="13847" spans="9:10" x14ac:dyDescent="0.3">
      <c r="I13847" t="s">
        <v>19443</v>
      </c>
    </row>
    <row r="13848" spans="9:10" x14ac:dyDescent="0.3">
      <c r="I13848" t="s">
        <v>19444</v>
      </c>
    </row>
    <row r="13849" spans="9:10" x14ac:dyDescent="0.3">
      <c r="I13849" t="s">
        <v>19445</v>
      </c>
    </row>
    <row r="13850" spans="9:10" x14ac:dyDescent="0.3">
      <c r="I13850" t="s">
        <v>19446</v>
      </c>
      <c r="J13850" t="s">
        <v>5144</v>
      </c>
    </row>
    <row r="13851" spans="9:10" x14ac:dyDescent="0.3">
      <c r="I13851" t="s">
        <v>19447</v>
      </c>
    </row>
    <row r="13852" spans="9:10" x14ac:dyDescent="0.3">
      <c r="I13852" t="s">
        <v>19448</v>
      </c>
    </row>
    <row r="13853" spans="9:10" x14ac:dyDescent="0.3">
      <c r="I13853" t="s">
        <v>19449</v>
      </c>
    </row>
    <row r="13854" spans="9:10" x14ac:dyDescent="0.3">
      <c r="I13854" t="s">
        <v>19450</v>
      </c>
    </row>
    <row r="13855" spans="9:10" x14ac:dyDescent="0.3">
      <c r="I13855" t="s">
        <v>19451</v>
      </c>
    </row>
    <row r="13856" spans="9:10" x14ac:dyDescent="0.3">
      <c r="I13856" t="s">
        <v>19452</v>
      </c>
    </row>
    <row r="13857" spans="9:9" x14ac:dyDescent="0.3">
      <c r="I13857" t="s">
        <v>19453</v>
      </c>
    </row>
    <row r="13858" spans="9:9" x14ac:dyDescent="0.3">
      <c r="I13858" t="s">
        <v>19454</v>
      </c>
    </row>
    <row r="13859" spans="9:9" x14ac:dyDescent="0.3">
      <c r="I13859" t="s">
        <v>19455</v>
      </c>
    </row>
    <row r="13860" spans="9:9" x14ac:dyDescent="0.3">
      <c r="I13860" t="s">
        <v>19456</v>
      </c>
    </row>
    <row r="13861" spans="9:9" x14ac:dyDescent="0.3">
      <c r="I13861" t="s">
        <v>19457</v>
      </c>
    </row>
    <row r="13862" spans="9:9" x14ac:dyDescent="0.3">
      <c r="I13862" t="s">
        <v>19458</v>
      </c>
    </row>
    <row r="13863" spans="9:9" x14ac:dyDescent="0.3">
      <c r="I13863" t="s">
        <v>19459</v>
      </c>
    </row>
    <row r="13864" spans="9:9" x14ac:dyDescent="0.3">
      <c r="I13864" t="s">
        <v>19460</v>
      </c>
    </row>
    <row r="13865" spans="9:9" x14ac:dyDescent="0.3">
      <c r="I13865" t="s">
        <v>19461</v>
      </c>
    </row>
    <row r="13866" spans="9:9" x14ac:dyDescent="0.3">
      <c r="I13866" t="s">
        <v>19462</v>
      </c>
    </row>
    <row r="13867" spans="9:9" x14ac:dyDescent="0.3">
      <c r="I13867" t="s">
        <v>19463</v>
      </c>
    </row>
    <row r="13868" spans="9:9" x14ac:dyDescent="0.3">
      <c r="I13868" t="s">
        <v>19464</v>
      </c>
    </row>
    <row r="13869" spans="9:9" x14ac:dyDescent="0.3">
      <c r="I13869" t="s">
        <v>19465</v>
      </c>
    </row>
    <row r="13870" spans="9:9" x14ac:dyDescent="0.3">
      <c r="I13870" t="s">
        <v>19466</v>
      </c>
    </row>
    <row r="13871" spans="9:9" x14ac:dyDescent="0.3">
      <c r="I13871" t="s">
        <v>19467</v>
      </c>
    </row>
    <row r="13872" spans="9:9" x14ac:dyDescent="0.3">
      <c r="I13872" t="s">
        <v>19468</v>
      </c>
    </row>
    <row r="13873" spans="9:9" x14ac:dyDescent="0.3">
      <c r="I13873" t="s">
        <v>19469</v>
      </c>
    </row>
    <row r="13874" spans="9:9" x14ac:dyDescent="0.3">
      <c r="I13874" t="s">
        <v>19470</v>
      </c>
    </row>
    <row r="13875" spans="9:9" x14ac:dyDescent="0.3">
      <c r="I13875" t="s">
        <v>19471</v>
      </c>
    </row>
    <row r="13876" spans="9:9" x14ac:dyDescent="0.3">
      <c r="I13876" t="s">
        <v>19472</v>
      </c>
    </row>
    <row r="13877" spans="9:9" x14ac:dyDescent="0.3">
      <c r="I13877" t="s">
        <v>19473</v>
      </c>
    </row>
    <row r="13878" spans="9:9" x14ac:dyDescent="0.3">
      <c r="I13878" t="s">
        <v>19474</v>
      </c>
    </row>
    <row r="13879" spans="9:9" x14ac:dyDescent="0.3">
      <c r="I13879" t="s">
        <v>19475</v>
      </c>
    </row>
    <row r="13880" spans="9:9" x14ac:dyDescent="0.3">
      <c r="I13880" t="s">
        <v>19476</v>
      </c>
    </row>
    <row r="13881" spans="9:9" x14ac:dyDescent="0.3">
      <c r="I13881" t="s">
        <v>19477</v>
      </c>
    </row>
    <row r="13882" spans="9:9" x14ac:dyDescent="0.3">
      <c r="I13882" t="s">
        <v>19478</v>
      </c>
    </row>
    <row r="13883" spans="9:9" x14ac:dyDescent="0.3">
      <c r="I13883" t="s">
        <v>19479</v>
      </c>
    </row>
    <row r="13884" spans="9:9" x14ac:dyDescent="0.3">
      <c r="I13884" t="s">
        <v>19480</v>
      </c>
    </row>
    <row r="13885" spans="9:9" x14ac:dyDescent="0.3">
      <c r="I13885" t="s">
        <v>19481</v>
      </c>
    </row>
    <row r="13886" spans="9:9" x14ac:dyDescent="0.3">
      <c r="I13886" t="s">
        <v>19482</v>
      </c>
    </row>
    <row r="13887" spans="9:9" x14ac:dyDescent="0.3">
      <c r="I13887" t="s">
        <v>19483</v>
      </c>
    </row>
    <row r="13888" spans="9:9" x14ac:dyDescent="0.3">
      <c r="I13888" t="s">
        <v>19484</v>
      </c>
    </row>
    <row r="13889" spans="9:10" x14ac:dyDescent="0.3">
      <c r="I13889" t="s">
        <v>19485</v>
      </c>
    </row>
    <row r="13890" spans="9:10" x14ac:dyDescent="0.3">
      <c r="I13890" t="s">
        <v>19486</v>
      </c>
    </row>
    <row r="13891" spans="9:10" x14ac:dyDescent="0.3">
      <c r="I13891" t="s">
        <v>19487</v>
      </c>
    </row>
    <row r="13892" spans="9:10" x14ac:dyDescent="0.3">
      <c r="I13892" t="s">
        <v>19488</v>
      </c>
    </row>
    <row r="13893" spans="9:10" x14ac:dyDescent="0.3">
      <c r="I13893" t="s">
        <v>19489</v>
      </c>
    </row>
    <row r="13894" spans="9:10" x14ac:dyDescent="0.3">
      <c r="I13894" t="s">
        <v>19490</v>
      </c>
    </row>
    <row r="13895" spans="9:10" x14ac:dyDescent="0.3">
      <c r="I13895" t="s">
        <v>19491</v>
      </c>
      <c r="J13895" t="s">
        <v>5145</v>
      </c>
    </row>
    <row r="13896" spans="9:10" x14ac:dyDescent="0.3">
      <c r="I13896" t="s">
        <v>19492</v>
      </c>
      <c r="J13896" t="s">
        <v>5145</v>
      </c>
    </row>
    <row r="13897" spans="9:10" x14ac:dyDescent="0.3">
      <c r="I13897" t="s">
        <v>19493</v>
      </c>
      <c r="J13897" t="s">
        <v>5146</v>
      </c>
    </row>
    <row r="13898" spans="9:10" x14ac:dyDescent="0.3">
      <c r="I13898" t="s">
        <v>19493</v>
      </c>
      <c r="J13898" t="s">
        <v>5146</v>
      </c>
    </row>
    <row r="13899" spans="9:10" x14ac:dyDescent="0.3">
      <c r="I13899" t="s">
        <v>19494</v>
      </c>
    </row>
    <row r="13900" spans="9:10" x14ac:dyDescent="0.3">
      <c r="I13900" t="s">
        <v>19495</v>
      </c>
    </row>
    <row r="13901" spans="9:10" x14ac:dyDescent="0.3">
      <c r="I13901" t="s">
        <v>19496</v>
      </c>
    </row>
    <row r="13902" spans="9:10" x14ac:dyDescent="0.3">
      <c r="I13902" t="s">
        <v>19497</v>
      </c>
    </row>
    <row r="13903" spans="9:10" x14ac:dyDescent="0.3">
      <c r="I13903" t="s">
        <v>19498</v>
      </c>
      <c r="J13903" t="s">
        <v>5147</v>
      </c>
    </row>
    <row r="13904" spans="9:10" x14ac:dyDescent="0.3">
      <c r="I13904" t="s">
        <v>19499</v>
      </c>
    </row>
    <row r="13905" spans="9:9" x14ac:dyDescent="0.3">
      <c r="I13905" t="s">
        <v>19500</v>
      </c>
    </row>
    <row r="13906" spans="9:9" x14ac:dyDescent="0.3">
      <c r="I13906" t="s">
        <v>19501</v>
      </c>
    </row>
    <row r="13907" spans="9:9" x14ac:dyDescent="0.3">
      <c r="I13907" t="s">
        <v>19502</v>
      </c>
    </row>
    <row r="13908" spans="9:9" x14ac:dyDescent="0.3">
      <c r="I13908" t="s">
        <v>19503</v>
      </c>
    </row>
    <row r="13909" spans="9:9" x14ac:dyDescent="0.3">
      <c r="I13909" t="s">
        <v>19504</v>
      </c>
    </row>
    <row r="13910" spans="9:9" x14ac:dyDescent="0.3">
      <c r="I13910" t="s">
        <v>19505</v>
      </c>
    </row>
    <row r="13911" spans="9:9" x14ac:dyDescent="0.3">
      <c r="I13911" t="s">
        <v>19506</v>
      </c>
    </row>
    <row r="13912" spans="9:9" x14ac:dyDescent="0.3">
      <c r="I13912" t="s">
        <v>19507</v>
      </c>
    </row>
    <row r="13913" spans="9:9" x14ac:dyDescent="0.3">
      <c r="I13913" t="s">
        <v>19508</v>
      </c>
    </row>
    <row r="13914" spans="9:9" x14ac:dyDescent="0.3">
      <c r="I13914" t="s">
        <v>19509</v>
      </c>
    </row>
    <row r="13915" spans="9:9" x14ac:dyDescent="0.3">
      <c r="I13915" t="s">
        <v>19510</v>
      </c>
    </row>
    <row r="13916" spans="9:9" x14ac:dyDescent="0.3">
      <c r="I13916" t="s">
        <v>19511</v>
      </c>
    </row>
    <row r="13917" spans="9:9" x14ac:dyDescent="0.3">
      <c r="I13917" t="s">
        <v>19512</v>
      </c>
    </row>
    <row r="13918" spans="9:9" x14ac:dyDescent="0.3">
      <c r="I13918" t="s">
        <v>19513</v>
      </c>
    </row>
    <row r="13919" spans="9:9" x14ac:dyDescent="0.3">
      <c r="I13919" t="s">
        <v>19514</v>
      </c>
    </row>
    <row r="13920" spans="9:9" x14ac:dyDescent="0.3">
      <c r="I13920" t="s">
        <v>19515</v>
      </c>
    </row>
    <row r="13921" spans="9:10" x14ac:dyDescent="0.3">
      <c r="I13921" t="s">
        <v>19516</v>
      </c>
    </row>
    <row r="13922" spans="9:10" x14ac:dyDescent="0.3">
      <c r="I13922" t="s">
        <v>19517</v>
      </c>
    </row>
    <row r="13923" spans="9:10" x14ac:dyDescent="0.3">
      <c r="I13923" t="s">
        <v>19518</v>
      </c>
    </row>
    <row r="13924" spans="9:10" x14ac:dyDescent="0.3">
      <c r="I13924" t="s">
        <v>19518</v>
      </c>
    </row>
    <row r="13925" spans="9:10" x14ac:dyDescent="0.3">
      <c r="I13925" t="s">
        <v>19519</v>
      </c>
      <c r="J13925" t="s">
        <v>5148</v>
      </c>
    </row>
    <row r="13926" spans="9:10" x14ac:dyDescent="0.3">
      <c r="I13926" t="s">
        <v>19519</v>
      </c>
      <c r="J13926" t="s">
        <v>5148</v>
      </c>
    </row>
    <row r="13927" spans="9:10" x14ac:dyDescent="0.3">
      <c r="I13927" t="s">
        <v>19520</v>
      </c>
    </row>
    <row r="13928" spans="9:10" x14ac:dyDescent="0.3">
      <c r="I13928" t="s">
        <v>19521</v>
      </c>
    </row>
    <row r="13929" spans="9:10" x14ac:dyDescent="0.3">
      <c r="I13929" t="s">
        <v>19522</v>
      </c>
    </row>
    <row r="13930" spans="9:10" x14ac:dyDescent="0.3">
      <c r="I13930" t="s">
        <v>19523</v>
      </c>
    </row>
    <row r="13931" spans="9:10" x14ac:dyDescent="0.3">
      <c r="I13931" t="s">
        <v>19524</v>
      </c>
    </row>
    <row r="13932" spans="9:10" x14ac:dyDescent="0.3">
      <c r="I13932" t="s">
        <v>19525</v>
      </c>
    </row>
    <row r="13933" spans="9:10" x14ac:dyDescent="0.3">
      <c r="I13933" t="s">
        <v>19526</v>
      </c>
    </row>
    <row r="13934" spans="9:10" x14ac:dyDescent="0.3">
      <c r="I13934" t="s">
        <v>19527</v>
      </c>
    </row>
    <row r="13935" spans="9:10" x14ac:dyDescent="0.3">
      <c r="I13935" t="s">
        <v>19528</v>
      </c>
    </row>
    <row r="13936" spans="9:10" x14ac:dyDescent="0.3">
      <c r="I13936" t="s">
        <v>19528</v>
      </c>
    </row>
    <row r="13937" spans="9:10" x14ac:dyDescent="0.3">
      <c r="I13937" t="s">
        <v>19528</v>
      </c>
    </row>
    <row r="13938" spans="9:10" x14ac:dyDescent="0.3">
      <c r="I13938" t="s">
        <v>19529</v>
      </c>
    </row>
    <row r="13939" spans="9:10" x14ac:dyDescent="0.3">
      <c r="I13939" t="s">
        <v>19530</v>
      </c>
    </row>
    <row r="13940" spans="9:10" x14ac:dyDescent="0.3">
      <c r="I13940" t="s">
        <v>19531</v>
      </c>
    </row>
    <row r="13941" spans="9:10" x14ac:dyDescent="0.3">
      <c r="I13941" t="s">
        <v>19532</v>
      </c>
    </row>
    <row r="13942" spans="9:10" x14ac:dyDescent="0.3">
      <c r="I13942" t="s">
        <v>19533</v>
      </c>
    </row>
    <row r="13943" spans="9:10" x14ac:dyDescent="0.3">
      <c r="I13943" t="s">
        <v>19534</v>
      </c>
    </row>
    <row r="13944" spans="9:10" x14ac:dyDescent="0.3">
      <c r="I13944" t="s">
        <v>19535</v>
      </c>
      <c r="J13944" t="s">
        <v>5149</v>
      </c>
    </row>
    <row r="13945" spans="9:10" x14ac:dyDescent="0.3">
      <c r="I13945" t="s">
        <v>19536</v>
      </c>
    </row>
    <row r="13946" spans="9:10" x14ac:dyDescent="0.3">
      <c r="I13946" t="s">
        <v>19536</v>
      </c>
    </row>
    <row r="13947" spans="9:10" x14ac:dyDescent="0.3">
      <c r="I13947" t="s">
        <v>19537</v>
      </c>
    </row>
    <row r="13948" spans="9:10" x14ac:dyDescent="0.3">
      <c r="I13948" t="s">
        <v>19538</v>
      </c>
    </row>
    <row r="13949" spans="9:10" x14ac:dyDescent="0.3">
      <c r="I13949" t="s">
        <v>19539</v>
      </c>
    </row>
    <row r="13950" spans="9:10" x14ac:dyDescent="0.3">
      <c r="I13950" t="s">
        <v>19540</v>
      </c>
    </row>
    <row r="13951" spans="9:10" x14ac:dyDescent="0.3">
      <c r="I13951" t="s">
        <v>19541</v>
      </c>
    </row>
    <row r="13952" spans="9:10" x14ac:dyDescent="0.3">
      <c r="I13952" t="s">
        <v>19542</v>
      </c>
    </row>
    <row r="13953" spans="9:9" x14ac:dyDescent="0.3">
      <c r="I13953" t="s">
        <v>19543</v>
      </c>
    </row>
    <row r="13954" spans="9:9" x14ac:dyDescent="0.3">
      <c r="I13954" t="s">
        <v>19544</v>
      </c>
    </row>
    <row r="13955" spans="9:9" x14ac:dyDescent="0.3">
      <c r="I13955" t="s">
        <v>19545</v>
      </c>
    </row>
    <row r="13956" spans="9:9" x14ac:dyDescent="0.3">
      <c r="I13956" t="s">
        <v>19546</v>
      </c>
    </row>
    <row r="13957" spans="9:9" x14ac:dyDescent="0.3">
      <c r="I13957" t="s">
        <v>19547</v>
      </c>
    </row>
    <row r="13958" spans="9:9" x14ac:dyDescent="0.3">
      <c r="I13958" t="s">
        <v>19548</v>
      </c>
    </row>
    <row r="13959" spans="9:9" x14ac:dyDescent="0.3">
      <c r="I13959" t="s">
        <v>19549</v>
      </c>
    </row>
    <row r="13960" spans="9:9" x14ac:dyDescent="0.3">
      <c r="I13960" t="s">
        <v>19550</v>
      </c>
    </row>
    <row r="13961" spans="9:9" x14ac:dyDescent="0.3">
      <c r="I13961" t="s">
        <v>19551</v>
      </c>
    </row>
    <row r="13962" spans="9:9" x14ac:dyDescent="0.3">
      <c r="I13962" t="s">
        <v>19552</v>
      </c>
    </row>
    <row r="13963" spans="9:9" x14ac:dyDescent="0.3">
      <c r="I13963" t="s">
        <v>19553</v>
      </c>
    </row>
    <row r="13964" spans="9:9" x14ac:dyDescent="0.3">
      <c r="I13964" t="s">
        <v>19554</v>
      </c>
    </row>
    <row r="13965" spans="9:9" x14ac:dyDescent="0.3">
      <c r="I13965" t="s">
        <v>19555</v>
      </c>
    </row>
    <row r="13966" spans="9:9" x14ac:dyDescent="0.3">
      <c r="I13966" t="s">
        <v>19556</v>
      </c>
    </row>
    <row r="13967" spans="9:9" x14ac:dyDescent="0.3">
      <c r="I13967" t="s">
        <v>19557</v>
      </c>
    </row>
    <row r="13968" spans="9:9" x14ac:dyDescent="0.3">
      <c r="I13968" t="s">
        <v>19558</v>
      </c>
    </row>
    <row r="13969" spans="9:10" x14ac:dyDescent="0.3">
      <c r="I13969" t="s">
        <v>19559</v>
      </c>
    </row>
    <row r="13970" spans="9:10" x14ac:dyDescent="0.3">
      <c r="I13970" t="s">
        <v>19560</v>
      </c>
    </row>
    <row r="13971" spans="9:10" x14ac:dyDescent="0.3">
      <c r="I13971" t="s">
        <v>19561</v>
      </c>
      <c r="J13971" t="s">
        <v>5150</v>
      </c>
    </row>
    <row r="13972" spans="9:10" x14ac:dyDescent="0.3">
      <c r="I13972" t="s">
        <v>19562</v>
      </c>
    </row>
    <row r="13973" spans="9:10" x14ac:dyDescent="0.3">
      <c r="I13973" t="s">
        <v>19563</v>
      </c>
    </row>
    <row r="13974" spans="9:10" x14ac:dyDescent="0.3">
      <c r="I13974" t="s">
        <v>19564</v>
      </c>
    </row>
    <row r="13975" spans="9:10" x14ac:dyDescent="0.3">
      <c r="I13975" t="s">
        <v>19565</v>
      </c>
    </row>
    <row r="13976" spans="9:10" x14ac:dyDescent="0.3">
      <c r="I13976" t="s">
        <v>19566</v>
      </c>
    </row>
    <row r="13977" spans="9:10" x14ac:dyDescent="0.3">
      <c r="I13977" t="s">
        <v>19567</v>
      </c>
    </row>
    <row r="13978" spans="9:10" x14ac:dyDescent="0.3">
      <c r="I13978" t="s">
        <v>19568</v>
      </c>
      <c r="J13978" t="s">
        <v>5151</v>
      </c>
    </row>
    <row r="13979" spans="9:10" x14ac:dyDescent="0.3">
      <c r="I13979" t="s">
        <v>19569</v>
      </c>
    </row>
    <row r="13980" spans="9:10" x14ac:dyDescent="0.3">
      <c r="I13980" t="s">
        <v>19570</v>
      </c>
    </row>
    <row r="13981" spans="9:10" x14ac:dyDescent="0.3">
      <c r="I13981" t="s">
        <v>19571</v>
      </c>
    </row>
    <row r="13982" spans="9:10" x14ac:dyDescent="0.3">
      <c r="I13982" t="s">
        <v>19572</v>
      </c>
    </row>
    <row r="13983" spans="9:10" x14ac:dyDescent="0.3">
      <c r="I13983" t="s">
        <v>19573</v>
      </c>
    </row>
    <row r="13984" spans="9:10" x14ac:dyDescent="0.3">
      <c r="I13984" t="s">
        <v>19574</v>
      </c>
    </row>
    <row r="13985" spans="9:9" x14ac:dyDescent="0.3">
      <c r="I13985" t="s">
        <v>19575</v>
      </c>
    </row>
    <row r="13986" spans="9:9" x14ac:dyDescent="0.3">
      <c r="I13986" t="s">
        <v>19576</v>
      </c>
    </row>
    <row r="13987" spans="9:9" x14ac:dyDescent="0.3">
      <c r="I13987" t="s">
        <v>19577</v>
      </c>
    </row>
    <row r="13988" spans="9:9" x14ac:dyDescent="0.3">
      <c r="I13988" t="s">
        <v>19578</v>
      </c>
    </row>
    <row r="13989" spans="9:9" x14ac:dyDescent="0.3">
      <c r="I13989" t="s">
        <v>19579</v>
      </c>
    </row>
    <row r="13990" spans="9:9" x14ac:dyDescent="0.3">
      <c r="I13990" t="s">
        <v>19580</v>
      </c>
    </row>
    <row r="13991" spans="9:9" x14ac:dyDescent="0.3">
      <c r="I13991" t="s">
        <v>19580</v>
      </c>
    </row>
    <row r="13992" spans="9:9" x14ac:dyDescent="0.3">
      <c r="I13992" t="s">
        <v>19581</v>
      </c>
    </row>
    <row r="13993" spans="9:9" x14ac:dyDescent="0.3">
      <c r="I13993" t="s">
        <v>19582</v>
      </c>
    </row>
    <row r="13994" spans="9:9" x14ac:dyDescent="0.3">
      <c r="I13994" t="s">
        <v>19583</v>
      </c>
    </row>
    <row r="13995" spans="9:9" x14ac:dyDescent="0.3">
      <c r="I13995" t="s">
        <v>19584</v>
      </c>
    </row>
    <row r="13996" spans="9:9" x14ac:dyDescent="0.3">
      <c r="I13996" t="s">
        <v>19585</v>
      </c>
    </row>
    <row r="13997" spans="9:9" x14ac:dyDescent="0.3">
      <c r="I13997" t="s">
        <v>19586</v>
      </c>
    </row>
    <row r="13998" spans="9:9" x14ac:dyDescent="0.3">
      <c r="I13998" t="s">
        <v>19587</v>
      </c>
    </row>
    <row r="13999" spans="9:9" x14ac:dyDescent="0.3">
      <c r="I13999" t="s">
        <v>19588</v>
      </c>
    </row>
    <row r="14000" spans="9:9" x14ac:dyDescent="0.3">
      <c r="I14000" t="s">
        <v>19589</v>
      </c>
    </row>
    <row r="14001" spans="9:9" x14ac:dyDescent="0.3">
      <c r="I14001" t="s">
        <v>19590</v>
      </c>
    </row>
    <row r="14002" spans="9:9" x14ac:dyDescent="0.3">
      <c r="I14002" t="s">
        <v>19591</v>
      </c>
    </row>
    <row r="14003" spans="9:9" x14ac:dyDescent="0.3">
      <c r="I14003" t="s">
        <v>19592</v>
      </c>
    </row>
    <row r="14004" spans="9:9" x14ac:dyDescent="0.3">
      <c r="I14004" t="s">
        <v>19593</v>
      </c>
    </row>
    <row r="14005" spans="9:9" x14ac:dyDescent="0.3">
      <c r="I14005" t="s">
        <v>19594</v>
      </c>
    </row>
    <row r="14006" spans="9:9" x14ac:dyDescent="0.3">
      <c r="I14006" t="s">
        <v>19595</v>
      </c>
    </row>
    <row r="14007" spans="9:9" x14ac:dyDescent="0.3">
      <c r="I14007" t="s">
        <v>19596</v>
      </c>
    </row>
    <row r="14008" spans="9:9" x14ac:dyDescent="0.3">
      <c r="I14008" t="s">
        <v>19597</v>
      </c>
    </row>
    <row r="14009" spans="9:9" x14ac:dyDescent="0.3">
      <c r="I14009" t="s">
        <v>19598</v>
      </c>
    </row>
    <row r="14010" spans="9:9" x14ac:dyDescent="0.3">
      <c r="I14010" t="s">
        <v>19599</v>
      </c>
    </row>
    <row r="14011" spans="9:9" x14ac:dyDescent="0.3">
      <c r="I14011" t="s">
        <v>19600</v>
      </c>
    </row>
    <row r="14012" spans="9:9" x14ac:dyDescent="0.3">
      <c r="I14012" t="s">
        <v>19601</v>
      </c>
    </row>
    <row r="14013" spans="9:9" x14ac:dyDescent="0.3">
      <c r="I14013" t="s">
        <v>19602</v>
      </c>
    </row>
    <row r="14014" spans="9:9" x14ac:dyDescent="0.3">
      <c r="I14014" t="s">
        <v>19603</v>
      </c>
    </row>
    <row r="14015" spans="9:9" x14ac:dyDescent="0.3">
      <c r="I14015" t="s">
        <v>19604</v>
      </c>
    </row>
    <row r="14016" spans="9:9" x14ac:dyDescent="0.3">
      <c r="I14016" t="s">
        <v>19605</v>
      </c>
    </row>
    <row r="14017" spans="9:10" x14ac:dyDescent="0.3">
      <c r="I14017" t="s">
        <v>19606</v>
      </c>
    </row>
    <row r="14018" spans="9:10" x14ac:dyDescent="0.3">
      <c r="I14018" t="s">
        <v>19607</v>
      </c>
      <c r="J14018" t="s">
        <v>5152</v>
      </c>
    </row>
    <row r="14019" spans="9:10" x14ac:dyDescent="0.3">
      <c r="I14019" t="s">
        <v>19608</v>
      </c>
    </row>
    <row r="14020" spans="9:10" x14ac:dyDescent="0.3">
      <c r="I14020" t="s">
        <v>19609</v>
      </c>
    </row>
    <row r="14021" spans="9:10" x14ac:dyDescent="0.3">
      <c r="I14021" t="s">
        <v>19610</v>
      </c>
    </row>
    <row r="14022" spans="9:10" x14ac:dyDescent="0.3">
      <c r="I14022" t="s">
        <v>19611</v>
      </c>
    </row>
    <row r="14023" spans="9:10" x14ac:dyDescent="0.3">
      <c r="I14023" t="s">
        <v>19612</v>
      </c>
    </row>
    <row r="14024" spans="9:10" x14ac:dyDescent="0.3">
      <c r="I14024" t="s">
        <v>19613</v>
      </c>
    </row>
    <row r="14025" spans="9:10" x14ac:dyDescent="0.3">
      <c r="I14025" t="s">
        <v>19614</v>
      </c>
    </row>
    <row r="14026" spans="9:10" x14ac:dyDescent="0.3">
      <c r="I14026" t="s">
        <v>19615</v>
      </c>
    </row>
    <row r="14027" spans="9:10" x14ac:dyDescent="0.3">
      <c r="I14027" t="s">
        <v>19616</v>
      </c>
    </row>
    <row r="14028" spans="9:10" x14ac:dyDescent="0.3">
      <c r="I14028" t="s">
        <v>19617</v>
      </c>
    </row>
    <row r="14029" spans="9:10" x14ac:dyDescent="0.3">
      <c r="I14029" t="s">
        <v>19618</v>
      </c>
    </row>
    <row r="14030" spans="9:10" x14ac:dyDescent="0.3">
      <c r="I14030" t="s">
        <v>19619</v>
      </c>
    </row>
    <row r="14031" spans="9:10" x14ac:dyDescent="0.3">
      <c r="I14031" t="s">
        <v>19620</v>
      </c>
    </row>
    <row r="14032" spans="9:10" x14ac:dyDescent="0.3">
      <c r="I14032" t="s">
        <v>19621</v>
      </c>
    </row>
    <row r="14033" spans="9:10" x14ac:dyDescent="0.3">
      <c r="I14033" t="s">
        <v>19622</v>
      </c>
    </row>
    <row r="14034" spans="9:10" x14ac:dyDescent="0.3">
      <c r="I14034" t="s">
        <v>19623</v>
      </c>
    </row>
    <row r="14035" spans="9:10" x14ac:dyDescent="0.3">
      <c r="I14035" t="s">
        <v>19624</v>
      </c>
    </row>
    <row r="14036" spans="9:10" x14ac:dyDescent="0.3">
      <c r="I14036" t="s">
        <v>19625</v>
      </c>
    </row>
    <row r="14037" spans="9:10" x14ac:dyDescent="0.3">
      <c r="I14037" t="s">
        <v>19626</v>
      </c>
    </row>
    <row r="14038" spans="9:10" x14ac:dyDescent="0.3">
      <c r="I14038" t="s">
        <v>19627</v>
      </c>
    </row>
    <row r="14039" spans="9:10" x14ac:dyDescent="0.3">
      <c r="I14039" t="s">
        <v>19628</v>
      </c>
    </row>
    <row r="14040" spans="9:10" x14ac:dyDescent="0.3">
      <c r="I14040" t="s">
        <v>19629</v>
      </c>
    </row>
    <row r="14041" spans="9:10" x14ac:dyDescent="0.3">
      <c r="I14041" t="s">
        <v>19630</v>
      </c>
      <c r="J14041" t="s">
        <v>5153</v>
      </c>
    </row>
    <row r="14042" spans="9:10" x14ac:dyDescent="0.3">
      <c r="I14042" t="s">
        <v>19630</v>
      </c>
      <c r="J14042" t="s">
        <v>5153</v>
      </c>
    </row>
    <row r="14043" spans="9:10" x14ac:dyDescent="0.3">
      <c r="I14043" t="s">
        <v>19631</v>
      </c>
      <c r="J14043" t="s">
        <v>5154</v>
      </c>
    </row>
    <row r="14044" spans="9:10" x14ac:dyDescent="0.3">
      <c r="I14044" t="s">
        <v>19632</v>
      </c>
    </row>
    <row r="14045" spans="9:10" x14ac:dyDescent="0.3">
      <c r="I14045" t="s">
        <v>19633</v>
      </c>
    </row>
    <row r="14046" spans="9:10" x14ac:dyDescent="0.3">
      <c r="I14046" t="s">
        <v>19634</v>
      </c>
    </row>
    <row r="14047" spans="9:10" x14ac:dyDescent="0.3">
      <c r="I14047" t="s">
        <v>19635</v>
      </c>
    </row>
    <row r="14048" spans="9:10" x14ac:dyDescent="0.3">
      <c r="I14048" t="s">
        <v>19635</v>
      </c>
    </row>
    <row r="14049" spans="9:10" x14ac:dyDescent="0.3">
      <c r="I14049" t="s">
        <v>19636</v>
      </c>
    </row>
    <row r="14050" spans="9:10" x14ac:dyDescent="0.3">
      <c r="I14050" t="s">
        <v>19637</v>
      </c>
    </row>
    <row r="14051" spans="9:10" x14ac:dyDescent="0.3">
      <c r="I14051" t="s">
        <v>19638</v>
      </c>
    </row>
    <row r="14052" spans="9:10" x14ac:dyDescent="0.3">
      <c r="I14052" t="s">
        <v>19639</v>
      </c>
    </row>
    <row r="14053" spans="9:10" x14ac:dyDescent="0.3">
      <c r="I14053" t="s">
        <v>19640</v>
      </c>
    </row>
    <row r="14054" spans="9:10" x14ac:dyDescent="0.3">
      <c r="I14054" t="s">
        <v>19641</v>
      </c>
    </row>
    <row r="14055" spans="9:10" x14ac:dyDescent="0.3">
      <c r="I14055" t="s">
        <v>19641</v>
      </c>
    </row>
    <row r="14056" spans="9:10" x14ac:dyDescent="0.3">
      <c r="I14056" t="s">
        <v>19642</v>
      </c>
    </row>
    <row r="14057" spans="9:10" x14ac:dyDescent="0.3">
      <c r="I14057" t="s">
        <v>19643</v>
      </c>
    </row>
    <row r="14058" spans="9:10" x14ac:dyDescent="0.3">
      <c r="I14058" t="s">
        <v>19644</v>
      </c>
    </row>
    <row r="14059" spans="9:10" x14ac:dyDescent="0.3">
      <c r="I14059" t="s">
        <v>19645</v>
      </c>
      <c r="J14059" t="s">
        <v>5155</v>
      </c>
    </row>
    <row r="14060" spans="9:10" x14ac:dyDescent="0.3">
      <c r="I14060" t="s">
        <v>19645</v>
      </c>
      <c r="J14060" t="s">
        <v>5155</v>
      </c>
    </row>
    <row r="14061" spans="9:10" x14ac:dyDescent="0.3">
      <c r="I14061" t="s">
        <v>19646</v>
      </c>
    </row>
    <row r="14062" spans="9:10" x14ac:dyDescent="0.3">
      <c r="I14062" t="s">
        <v>19647</v>
      </c>
    </row>
    <row r="14063" spans="9:10" x14ac:dyDescent="0.3">
      <c r="I14063" t="s">
        <v>19648</v>
      </c>
    </row>
    <row r="14064" spans="9:10" x14ac:dyDescent="0.3">
      <c r="I14064" t="s">
        <v>19649</v>
      </c>
    </row>
    <row r="14065" spans="9:10" x14ac:dyDescent="0.3">
      <c r="I14065" t="s">
        <v>19650</v>
      </c>
      <c r="J14065" t="s">
        <v>4426</v>
      </c>
    </row>
    <row r="14066" spans="9:10" x14ac:dyDescent="0.3">
      <c r="I14066" t="s">
        <v>19651</v>
      </c>
    </row>
    <row r="14067" spans="9:10" x14ac:dyDescent="0.3">
      <c r="I14067" t="s">
        <v>19652</v>
      </c>
    </row>
    <row r="14068" spans="9:10" x14ac:dyDescent="0.3">
      <c r="I14068" t="s">
        <v>19653</v>
      </c>
    </row>
    <row r="14069" spans="9:10" x14ac:dyDescent="0.3">
      <c r="I14069" t="s">
        <v>19653</v>
      </c>
    </row>
    <row r="14070" spans="9:10" x14ac:dyDescent="0.3">
      <c r="I14070" t="s">
        <v>19654</v>
      </c>
    </row>
    <row r="14071" spans="9:10" x14ac:dyDescent="0.3">
      <c r="I14071" t="s">
        <v>19655</v>
      </c>
    </row>
    <row r="14072" spans="9:10" x14ac:dyDescent="0.3">
      <c r="I14072" t="s">
        <v>19656</v>
      </c>
    </row>
    <row r="14073" spans="9:10" x14ac:dyDescent="0.3">
      <c r="I14073" t="s">
        <v>19657</v>
      </c>
    </row>
    <row r="14074" spans="9:10" x14ac:dyDescent="0.3">
      <c r="I14074" t="s">
        <v>19658</v>
      </c>
    </row>
    <row r="14075" spans="9:10" x14ac:dyDescent="0.3">
      <c r="I14075" t="s">
        <v>19659</v>
      </c>
    </row>
    <row r="14076" spans="9:10" x14ac:dyDescent="0.3">
      <c r="I14076" t="s">
        <v>19660</v>
      </c>
      <c r="J14076" t="s">
        <v>5156</v>
      </c>
    </row>
    <row r="14077" spans="9:10" x14ac:dyDescent="0.3">
      <c r="I14077" t="s">
        <v>19661</v>
      </c>
      <c r="J14077" t="s">
        <v>5156</v>
      </c>
    </row>
    <row r="14078" spans="9:10" x14ac:dyDescent="0.3">
      <c r="I14078" t="s">
        <v>19661</v>
      </c>
      <c r="J14078" t="s">
        <v>5156</v>
      </c>
    </row>
    <row r="14079" spans="9:10" x14ac:dyDescent="0.3">
      <c r="I14079" t="s">
        <v>19662</v>
      </c>
      <c r="J14079" t="s">
        <v>5157</v>
      </c>
    </row>
    <row r="14080" spans="9:10" x14ac:dyDescent="0.3">
      <c r="I14080" t="s">
        <v>19663</v>
      </c>
    </row>
    <row r="14081" spans="9:10" x14ac:dyDescent="0.3">
      <c r="I14081" t="s">
        <v>19664</v>
      </c>
    </row>
    <row r="14082" spans="9:10" x14ac:dyDescent="0.3">
      <c r="I14082" t="s">
        <v>19665</v>
      </c>
    </row>
    <row r="14083" spans="9:10" x14ac:dyDescent="0.3">
      <c r="I14083" t="s">
        <v>19666</v>
      </c>
    </row>
    <row r="14084" spans="9:10" x14ac:dyDescent="0.3">
      <c r="I14084" t="s">
        <v>19667</v>
      </c>
    </row>
    <row r="14085" spans="9:10" x14ac:dyDescent="0.3">
      <c r="I14085" t="s">
        <v>19668</v>
      </c>
    </row>
    <row r="14086" spans="9:10" x14ac:dyDescent="0.3">
      <c r="I14086" t="s">
        <v>19669</v>
      </c>
    </row>
    <row r="14087" spans="9:10" x14ac:dyDescent="0.3">
      <c r="I14087" t="s">
        <v>19670</v>
      </c>
    </row>
    <row r="14088" spans="9:10" x14ac:dyDescent="0.3">
      <c r="I14088" t="s">
        <v>19671</v>
      </c>
    </row>
    <row r="14089" spans="9:10" x14ac:dyDescent="0.3">
      <c r="I14089" t="s">
        <v>19672</v>
      </c>
    </row>
    <row r="14090" spans="9:10" x14ac:dyDescent="0.3">
      <c r="I14090" t="s">
        <v>19673</v>
      </c>
    </row>
    <row r="14091" spans="9:10" x14ac:dyDescent="0.3">
      <c r="I14091" t="s">
        <v>19674</v>
      </c>
    </row>
    <row r="14092" spans="9:10" x14ac:dyDescent="0.3">
      <c r="I14092" t="s">
        <v>19675</v>
      </c>
    </row>
    <row r="14093" spans="9:10" x14ac:dyDescent="0.3">
      <c r="I14093" t="s">
        <v>19676</v>
      </c>
    </row>
    <row r="14094" spans="9:10" x14ac:dyDescent="0.3">
      <c r="I14094" t="s">
        <v>19677</v>
      </c>
    </row>
    <row r="14095" spans="9:10" x14ac:dyDescent="0.3">
      <c r="I14095" t="s">
        <v>19678</v>
      </c>
    </row>
    <row r="14096" spans="9:10" x14ac:dyDescent="0.3">
      <c r="I14096" t="s">
        <v>19679</v>
      </c>
      <c r="J14096" t="s">
        <v>5158</v>
      </c>
    </row>
    <row r="14097" spans="9:10" x14ac:dyDescent="0.3">
      <c r="I14097" t="s">
        <v>19679</v>
      </c>
      <c r="J14097" t="s">
        <v>5158</v>
      </c>
    </row>
    <row r="14098" spans="9:10" x14ac:dyDescent="0.3">
      <c r="I14098" t="s">
        <v>19680</v>
      </c>
      <c r="J14098" t="s">
        <v>5159</v>
      </c>
    </row>
    <row r="14099" spans="9:10" x14ac:dyDescent="0.3">
      <c r="I14099" t="s">
        <v>19681</v>
      </c>
      <c r="J14099" t="s">
        <v>5159</v>
      </c>
    </row>
    <row r="14100" spans="9:10" x14ac:dyDescent="0.3">
      <c r="I14100" t="s">
        <v>19682</v>
      </c>
    </row>
    <row r="14101" spans="9:10" x14ac:dyDescent="0.3">
      <c r="I14101" t="s">
        <v>19683</v>
      </c>
    </row>
    <row r="14102" spans="9:10" x14ac:dyDescent="0.3">
      <c r="I14102" t="s">
        <v>19684</v>
      </c>
    </row>
    <row r="14103" spans="9:10" x14ac:dyDescent="0.3">
      <c r="I14103" t="s">
        <v>19685</v>
      </c>
    </row>
    <row r="14104" spans="9:10" x14ac:dyDescent="0.3">
      <c r="I14104" t="s">
        <v>19686</v>
      </c>
    </row>
    <row r="14105" spans="9:10" x14ac:dyDescent="0.3">
      <c r="I14105" t="s">
        <v>19687</v>
      </c>
    </row>
    <row r="14106" spans="9:10" x14ac:dyDescent="0.3">
      <c r="I14106" t="s">
        <v>19688</v>
      </c>
    </row>
    <row r="14107" spans="9:10" x14ac:dyDescent="0.3">
      <c r="I14107" t="s">
        <v>19689</v>
      </c>
      <c r="J14107" t="s">
        <v>5160</v>
      </c>
    </row>
    <row r="14108" spans="9:10" x14ac:dyDescent="0.3">
      <c r="I14108" t="s">
        <v>19689</v>
      </c>
      <c r="J14108" t="s">
        <v>5160</v>
      </c>
    </row>
    <row r="14109" spans="9:10" x14ac:dyDescent="0.3">
      <c r="I14109" t="s">
        <v>19690</v>
      </c>
    </row>
    <row r="14110" spans="9:10" x14ac:dyDescent="0.3">
      <c r="I14110" t="s">
        <v>19691</v>
      </c>
    </row>
    <row r="14111" spans="9:10" x14ac:dyDescent="0.3">
      <c r="I14111" t="s">
        <v>19692</v>
      </c>
    </row>
    <row r="14112" spans="9:10" x14ac:dyDescent="0.3">
      <c r="I14112" t="s">
        <v>19693</v>
      </c>
      <c r="J14112" t="s">
        <v>5161</v>
      </c>
    </row>
    <row r="14113" spans="9:10" x14ac:dyDescent="0.3">
      <c r="I14113" t="s">
        <v>19694</v>
      </c>
      <c r="J14113" t="s">
        <v>5161</v>
      </c>
    </row>
    <row r="14114" spans="9:10" x14ac:dyDescent="0.3">
      <c r="I14114" t="s">
        <v>19695</v>
      </c>
    </row>
    <row r="14115" spans="9:10" x14ac:dyDescent="0.3">
      <c r="I14115" t="s">
        <v>19696</v>
      </c>
    </row>
    <row r="14116" spans="9:10" x14ac:dyDescent="0.3">
      <c r="I14116" t="s">
        <v>19697</v>
      </c>
    </row>
    <row r="14117" spans="9:10" x14ac:dyDescent="0.3">
      <c r="I14117" t="s">
        <v>19698</v>
      </c>
    </row>
    <row r="14118" spans="9:10" x14ac:dyDescent="0.3">
      <c r="I14118" t="s">
        <v>19699</v>
      </c>
    </row>
    <row r="14119" spans="9:10" x14ac:dyDescent="0.3">
      <c r="I14119" t="s">
        <v>19700</v>
      </c>
    </row>
    <row r="14120" spans="9:10" x14ac:dyDescent="0.3">
      <c r="I14120" t="s">
        <v>19701</v>
      </c>
      <c r="J14120" t="s">
        <v>5162</v>
      </c>
    </row>
    <row r="14121" spans="9:10" x14ac:dyDescent="0.3">
      <c r="I14121" t="s">
        <v>19702</v>
      </c>
      <c r="J14121" t="s">
        <v>5162</v>
      </c>
    </row>
    <row r="14122" spans="9:10" x14ac:dyDescent="0.3">
      <c r="I14122" t="s">
        <v>19703</v>
      </c>
    </row>
    <row r="14123" spans="9:10" x14ac:dyDescent="0.3">
      <c r="I14123" t="s">
        <v>19703</v>
      </c>
    </row>
    <row r="14124" spans="9:10" x14ac:dyDescent="0.3">
      <c r="I14124" t="s">
        <v>19703</v>
      </c>
    </row>
    <row r="14125" spans="9:10" x14ac:dyDescent="0.3">
      <c r="I14125" t="s">
        <v>19704</v>
      </c>
    </row>
    <row r="14126" spans="9:10" x14ac:dyDescent="0.3">
      <c r="I14126" t="s">
        <v>19704</v>
      </c>
    </row>
    <row r="14127" spans="9:10" x14ac:dyDescent="0.3">
      <c r="I14127" t="s">
        <v>19705</v>
      </c>
    </row>
    <row r="14128" spans="9:10" x14ac:dyDescent="0.3">
      <c r="I14128" t="s">
        <v>19706</v>
      </c>
    </row>
    <row r="14129" spans="9:10" x14ac:dyDescent="0.3">
      <c r="I14129" t="s">
        <v>19707</v>
      </c>
      <c r="J14129" t="s">
        <v>5163</v>
      </c>
    </row>
    <row r="14130" spans="9:10" x14ac:dyDescent="0.3">
      <c r="I14130" t="s">
        <v>19708</v>
      </c>
    </row>
    <row r="14131" spans="9:10" x14ac:dyDescent="0.3">
      <c r="I14131" t="s">
        <v>19709</v>
      </c>
    </row>
    <row r="14132" spans="9:10" x14ac:dyDescent="0.3">
      <c r="I14132" t="s">
        <v>19710</v>
      </c>
    </row>
    <row r="14133" spans="9:10" x14ac:dyDescent="0.3">
      <c r="I14133" t="s">
        <v>19711</v>
      </c>
    </row>
    <row r="14134" spans="9:10" x14ac:dyDescent="0.3">
      <c r="I14134" t="s">
        <v>19712</v>
      </c>
    </row>
    <row r="14135" spans="9:10" x14ac:dyDescent="0.3">
      <c r="I14135" t="s">
        <v>19713</v>
      </c>
    </row>
    <row r="14136" spans="9:10" x14ac:dyDescent="0.3">
      <c r="I14136" t="s">
        <v>19714</v>
      </c>
    </row>
    <row r="14137" spans="9:10" x14ac:dyDescent="0.3">
      <c r="I14137" t="s">
        <v>19715</v>
      </c>
    </row>
    <row r="14138" spans="9:10" x14ac:dyDescent="0.3">
      <c r="I14138" t="s">
        <v>19716</v>
      </c>
    </row>
    <row r="14139" spans="9:10" x14ac:dyDescent="0.3">
      <c r="I14139" t="s">
        <v>19717</v>
      </c>
    </row>
    <row r="14140" spans="9:10" x14ac:dyDescent="0.3">
      <c r="I14140" t="s">
        <v>19718</v>
      </c>
    </row>
    <row r="14141" spans="9:10" x14ac:dyDescent="0.3">
      <c r="I14141" t="s">
        <v>19719</v>
      </c>
    </row>
    <row r="14142" spans="9:10" x14ac:dyDescent="0.3">
      <c r="I14142" t="s">
        <v>19720</v>
      </c>
      <c r="J14142" t="s">
        <v>5164</v>
      </c>
    </row>
    <row r="14143" spans="9:10" x14ac:dyDescent="0.3">
      <c r="I14143" t="s">
        <v>19721</v>
      </c>
      <c r="J14143" t="s">
        <v>5164</v>
      </c>
    </row>
    <row r="14144" spans="9:10" x14ac:dyDescent="0.3">
      <c r="I14144" t="s">
        <v>19721</v>
      </c>
      <c r="J14144" t="s">
        <v>5164</v>
      </c>
    </row>
    <row r="14145" spans="9:9" x14ac:dyDescent="0.3">
      <c r="I14145" t="s">
        <v>19722</v>
      </c>
    </row>
    <row r="14146" spans="9:9" x14ac:dyDescent="0.3">
      <c r="I14146" t="s">
        <v>19722</v>
      </c>
    </row>
    <row r="14147" spans="9:9" x14ac:dyDescent="0.3">
      <c r="I14147" t="s">
        <v>19723</v>
      </c>
    </row>
    <row r="14148" spans="9:9" x14ac:dyDescent="0.3">
      <c r="I14148" t="s">
        <v>19724</v>
      </c>
    </row>
    <row r="14149" spans="9:9" x14ac:dyDescent="0.3">
      <c r="I14149" t="s">
        <v>19725</v>
      </c>
    </row>
    <row r="14150" spans="9:9" x14ac:dyDescent="0.3">
      <c r="I14150" t="s">
        <v>19726</v>
      </c>
    </row>
    <row r="14151" spans="9:9" x14ac:dyDescent="0.3">
      <c r="I14151" t="s">
        <v>19727</v>
      </c>
    </row>
    <row r="14152" spans="9:9" x14ac:dyDescent="0.3">
      <c r="I14152" t="s">
        <v>19728</v>
      </c>
    </row>
    <row r="14153" spans="9:9" x14ac:dyDescent="0.3">
      <c r="I14153" t="s">
        <v>19729</v>
      </c>
    </row>
    <row r="14154" spans="9:9" x14ac:dyDescent="0.3">
      <c r="I14154" t="s">
        <v>19730</v>
      </c>
    </row>
    <row r="14155" spans="9:9" x14ac:dyDescent="0.3">
      <c r="I14155" t="s">
        <v>19731</v>
      </c>
    </row>
    <row r="14156" spans="9:9" x14ac:dyDescent="0.3">
      <c r="I14156" t="s">
        <v>19732</v>
      </c>
    </row>
    <row r="14157" spans="9:9" x14ac:dyDescent="0.3">
      <c r="I14157" t="s">
        <v>19733</v>
      </c>
    </row>
    <row r="14158" spans="9:9" x14ac:dyDescent="0.3">
      <c r="I14158" t="s">
        <v>19734</v>
      </c>
    </row>
    <row r="14159" spans="9:9" x14ac:dyDescent="0.3">
      <c r="I14159" t="s">
        <v>19735</v>
      </c>
    </row>
    <row r="14160" spans="9:9" x14ac:dyDescent="0.3">
      <c r="I14160" t="s">
        <v>19736</v>
      </c>
    </row>
    <row r="14161" spans="9:10" x14ac:dyDescent="0.3">
      <c r="I14161" t="s">
        <v>19736</v>
      </c>
    </row>
    <row r="14162" spans="9:10" x14ac:dyDescent="0.3">
      <c r="I14162" t="s">
        <v>19737</v>
      </c>
    </row>
    <row r="14163" spans="9:10" x14ac:dyDescent="0.3">
      <c r="I14163" t="s">
        <v>19738</v>
      </c>
    </row>
    <row r="14164" spans="9:10" x14ac:dyDescent="0.3">
      <c r="I14164" t="s">
        <v>19739</v>
      </c>
    </row>
    <row r="14165" spans="9:10" x14ac:dyDescent="0.3">
      <c r="I14165" t="s">
        <v>19740</v>
      </c>
      <c r="J14165" t="s">
        <v>5165</v>
      </c>
    </row>
    <row r="14166" spans="9:10" x14ac:dyDescent="0.3">
      <c r="I14166" t="s">
        <v>19740</v>
      </c>
      <c r="J14166" t="s">
        <v>5165</v>
      </c>
    </row>
    <row r="14167" spans="9:10" x14ac:dyDescent="0.3">
      <c r="I14167" t="s">
        <v>19741</v>
      </c>
    </row>
    <row r="14168" spans="9:10" x14ac:dyDescent="0.3">
      <c r="I14168" t="s">
        <v>19742</v>
      </c>
    </row>
    <row r="14169" spans="9:10" x14ac:dyDescent="0.3">
      <c r="I14169" t="s">
        <v>19743</v>
      </c>
    </row>
    <row r="14170" spans="9:10" x14ac:dyDescent="0.3">
      <c r="I14170" t="s">
        <v>19744</v>
      </c>
    </row>
    <row r="14171" spans="9:10" x14ac:dyDescent="0.3">
      <c r="I14171" t="s">
        <v>19745</v>
      </c>
    </row>
    <row r="14172" spans="9:10" x14ac:dyDescent="0.3">
      <c r="I14172" t="s">
        <v>19746</v>
      </c>
      <c r="J14172" t="s">
        <v>5166</v>
      </c>
    </row>
    <row r="14173" spans="9:10" x14ac:dyDescent="0.3">
      <c r="I14173" t="s">
        <v>19746</v>
      </c>
      <c r="J14173" t="s">
        <v>5166</v>
      </c>
    </row>
    <row r="14174" spans="9:10" x14ac:dyDescent="0.3">
      <c r="I14174" t="s">
        <v>19746</v>
      </c>
      <c r="J14174" t="s">
        <v>5166</v>
      </c>
    </row>
    <row r="14175" spans="9:10" x14ac:dyDescent="0.3">
      <c r="I14175" t="s">
        <v>19747</v>
      </c>
      <c r="J14175" t="s">
        <v>5166</v>
      </c>
    </row>
    <row r="14176" spans="9:10" x14ac:dyDescent="0.3">
      <c r="I14176" t="s">
        <v>19748</v>
      </c>
    </row>
    <row r="14177" spans="9:10" x14ac:dyDescent="0.3">
      <c r="I14177" t="s">
        <v>19749</v>
      </c>
    </row>
    <row r="14178" spans="9:10" x14ac:dyDescent="0.3">
      <c r="I14178" t="s">
        <v>19750</v>
      </c>
      <c r="J14178" t="s">
        <v>5167</v>
      </c>
    </row>
    <row r="14179" spans="9:10" x14ac:dyDescent="0.3">
      <c r="I14179" t="s">
        <v>19751</v>
      </c>
      <c r="J14179" t="s">
        <v>5167</v>
      </c>
    </row>
    <row r="14180" spans="9:10" x14ac:dyDescent="0.3">
      <c r="I14180" t="s">
        <v>19752</v>
      </c>
    </row>
    <row r="14181" spans="9:10" x14ac:dyDescent="0.3">
      <c r="I14181" t="s">
        <v>19753</v>
      </c>
    </row>
    <row r="14182" spans="9:10" x14ac:dyDescent="0.3">
      <c r="I14182" t="s">
        <v>19754</v>
      </c>
    </row>
    <row r="14183" spans="9:10" x14ac:dyDescent="0.3">
      <c r="I14183" t="s">
        <v>19755</v>
      </c>
    </row>
    <row r="14184" spans="9:10" x14ac:dyDescent="0.3">
      <c r="I14184" t="s">
        <v>19756</v>
      </c>
    </row>
    <row r="14185" spans="9:10" x14ac:dyDescent="0.3">
      <c r="I14185" t="s">
        <v>19757</v>
      </c>
    </row>
    <row r="14186" spans="9:10" x14ac:dyDescent="0.3">
      <c r="I14186" t="s">
        <v>19758</v>
      </c>
    </row>
    <row r="14187" spans="9:10" x14ac:dyDescent="0.3">
      <c r="I14187" t="s">
        <v>19759</v>
      </c>
    </row>
    <row r="14188" spans="9:10" x14ac:dyDescent="0.3">
      <c r="I14188" t="s">
        <v>19760</v>
      </c>
    </row>
    <row r="14189" spans="9:10" x14ac:dyDescent="0.3">
      <c r="I14189" t="s">
        <v>19761</v>
      </c>
    </row>
    <row r="14190" spans="9:10" x14ac:dyDescent="0.3">
      <c r="I14190" t="s">
        <v>19762</v>
      </c>
    </row>
    <row r="14191" spans="9:10" x14ac:dyDescent="0.3">
      <c r="I14191" t="s">
        <v>19763</v>
      </c>
    </row>
    <row r="14192" spans="9:10" x14ac:dyDescent="0.3">
      <c r="I14192" t="s">
        <v>19764</v>
      </c>
    </row>
    <row r="14193" spans="9:9" x14ac:dyDescent="0.3">
      <c r="I14193" t="s">
        <v>19765</v>
      </c>
    </row>
    <row r="14194" spans="9:9" x14ac:dyDescent="0.3">
      <c r="I14194" t="s">
        <v>19766</v>
      </c>
    </row>
    <row r="14195" spans="9:9" x14ac:dyDescent="0.3">
      <c r="I14195" t="s">
        <v>19767</v>
      </c>
    </row>
    <row r="14196" spans="9:9" x14ac:dyDescent="0.3">
      <c r="I14196" t="s">
        <v>19768</v>
      </c>
    </row>
    <row r="14197" spans="9:9" x14ac:dyDescent="0.3">
      <c r="I14197" t="s">
        <v>19769</v>
      </c>
    </row>
    <row r="14198" spans="9:9" x14ac:dyDescent="0.3">
      <c r="I14198" t="s">
        <v>19770</v>
      </c>
    </row>
    <row r="14199" spans="9:9" x14ac:dyDescent="0.3">
      <c r="I14199" t="s">
        <v>19771</v>
      </c>
    </row>
    <row r="14200" spans="9:9" x14ac:dyDescent="0.3">
      <c r="I14200" t="s">
        <v>19772</v>
      </c>
    </row>
    <row r="14201" spans="9:9" x14ac:dyDescent="0.3">
      <c r="I14201" t="s">
        <v>19773</v>
      </c>
    </row>
    <row r="14202" spans="9:9" x14ac:dyDescent="0.3">
      <c r="I14202" t="s">
        <v>19774</v>
      </c>
    </row>
    <row r="14203" spans="9:9" x14ac:dyDescent="0.3">
      <c r="I14203" t="s">
        <v>19775</v>
      </c>
    </row>
    <row r="14204" spans="9:9" x14ac:dyDescent="0.3">
      <c r="I14204" t="s">
        <v>19776</v>
      </c>
    </row>
    <row r="14205" spans="9:9" x14ac:dyDescent="0.3">
      <c r="I14205" t="s">
        <v>19777</v>
      </c>
    </row>
    <row r="14206" spans="9:9" x14ac:dyDescent="0.3">
      <c r="I14206" t="s">
        <v>19778</v>
      </c>
    </row>
    <row r="14207" spans="9:9" x14ac:dyDescent="0.3">
      <c r="I14207" t="s">
        <v>19779</v>
      </c>
    </row>
    <row r="14208" spans="9:9" x14ac:dyDescent="0.3">
      <c r="I14208" t="s">
        <v>19780</v>
      </c>
    </row>
    <row r="14209" spans="9:9" x14ac:dyDescent="0.3">
      <c r="I14209" t="s">
        <v>19781</v>
      </c>
    </row>
    <row r="14210" spans="9:9" x14ac:dyDescent="0.3">
      <c r="I14210" t="s">
        <v>19782</v>
      </c>
    </row>
    <row r="14211" spans="9:9" x14ac:dyDescent="0.3">
      <c r="I14211" t="s">
        <v>19783</v>
      </c>
    </row>
    <row r="14212" spans="9:9" x14ac:dyDescent="0.3">
      <c r="I14212" t="s">
        <v>19784</v>
      </c>
    </row>
    <row r="14213" spans="9:9" x14ac:dyDescent="0.3">
      <c r="I14213" t="s">
        <v>19785</v>
      </c>
    </row>
    <row r="14214" spans="9:9" x14ac:dyDescent="0.3">
      <c r="I14214" t="s">
        <v>19786</v>
      </c>
    </row>
    <row r="14215" spans="9:9" x14ac:dyDescent="0.3">
      <c r="I14215" t="s">
        <v>19787</v>
      </c>
    </row>
    <row r="14216" spans="9:9" x14ac:dyDescent="0.3">
      <c r="I14216" t="s">
        <v>19788</v>
      </c>
    </row>
    <row r="14217" spans="9:9" x14ac:dyDescent="0.3">
      <c r="I14217" t="s">
        <v>19789</v>
      </c>
    </row>
    <row r="14218" spans="9:9" x14ac:dyDescent="0.3">
      <c r="I14218" t="s">
        <v>19789</v>
      </c>
    </row>
    <row r="14219" spans="9:9" x14ac:dyDescent="0.3">
      <c r="I14219" t="s">
        <v>19790</v>
      </c>
    </row>
    <row r="14220" spans="9:9" x14ac:dyDescent="0.3">
      <c r="I14220" t="s">
        <v>19791</v>
      </c>
    </row>
    <row r="14221" spans="9:9" x14ac:dyDescent="0.3">
      <c r="I14221" t="s">
        <v>19792</v>
      </c>
    </row>
    <row r="14222" spans="9:9" x14ac:dyDescent="0.3">
      <c r="I14222" t="s">
        <v>19793</v>
      </c>
    </row>
    <row r="14223" spans="9:9" x14ac:dyDescent="0.3">
      <c r="I14223" t="s">
        <v>19794</v>
      </c>
    </row>
    <row r="14224" spans="9:9" x14ac:dyDescent="0.3">
      <c r="I14224" t="s">
        <v>19795</v>
      </c>
    </row>
    <row r="14225" spans="9:10" x14ac:dyDescent="0.3">
      <c r="I14225" t="s">
        <v>19796</v>
      </c>
    </row>
    <row r="14226" spans="9:10" x14ac:dyDescent="0.3">
      <c r="I14226" t="s">
        <v>19797</v>
      </c>
    </row>
    <row r="14227" spans="9:10" x14ac:dyDescent="0.3">
      <c r="I14227" t="s">
        <v>19798</v>
      </c>
    </row>
    <row r="14228" spans="9:10" x14ac:dyDescent="0.3">
      <c r="I14228" t="s">
        <v>19799</v>
      </c>
    </row>
    <row r="14229" spans="9:10" x14ac:dyDescent="0.3">
      <c r="I14229" t="s">
        <v>19800</v>
      </c>
    </row>
    <row r="14230" spans="9:10" x14ac:dyDescent="0.3">
      <c r="I14230" t="s">
        <v>19801</v>
      </c>
    </row>
    <row r="14231" spans="9:10" x14ac:dyDescent="0.3">
      <c r="I14231" t="s">
        <v>19802</v>
      </c>
    </row>
    <row r="14232" spans="9:10" x14ac:dyDescent="0.3">
      <c r="I14232" t="s">
        <v>19803</v>
      </c>
    </row>
    <row r="14233" spans="9:10" x14ac:dyDescent="0.3">
      <c r="I14233" t="s">
        <v>19804</v>
      </c>
      <c r="J14233" t="s">
        <v>5168</v>
      </c>
    </row>
    <row r="14234" spans="9:10" x14ac:dyDescent="0.3">
      <c r="I14234" t="s">
        <v>19805</v>
      </c>
    </row>
    <row r="14235" spans="9:10" x14ac:dyDescent="0.3">
      <c r="I14235" t="s">
        <v>19806</v>
      </c>
    </row>
    <row r="14236" spans="9:10" x14ac:dyDescent="0.3">
      <c r="I14236" t="s">
        <v>19807</v>
      </c>
    </row>
    <row r="14237" spans="9:10" x14ac:dyDescent="0.3">
      <c r="I14237" t="s">
        <v>19808</v>
      </c>
    </row>
    <row r="14238" spans="9:10" x14ac:dyDescent="0.3">
      <c r="I14238" t="s">
        <v>19809</v>
      </c>
    </row>
    <row r="14239" spans="9:10" x14ac:dyDescent="0.3">
      <c r="I14239" t="s">
        <v>19810</v>
      </c>
    </row>
    <row r="14240" spans="9:10" x14ac:dyDescent="0.3">
      <c r="I14240" t="s">
        <v>19811</v>
      </c>
    </row>
    <row r="14241" spans="9:9" x14ac:dyDescent="0.3">
      <c r="I14241" t="s">
        <v>19812</v>
      </c>
    </row>
    <row r="14242" spans="9:9" x14ac:dyDescent="0.3">
      <c r="I14242" t="s">
        <v>19813</v>
      </c>
    </row>
    <row r="14243" spans="9:9" x14ac:dyDescent="0.3">
      <c r="I14243" t="s">
        <v>19814</v>
      </c>
    </row>
    <row r="14244" spans="9:9" x14ac:dyDescent="0.3">
      <c r="I14244" t="s">
        <v>19815</v>
      </c>
    </row>
    <row r="14245" spans="9:9" x14ac:dyDescent="0.3">
      <c r="I14245" t="s">
        <v>19815</v>
      </c>
    </row>
    <row r="14246" spans="9:9" x14ac:dyDescent="0.3">
      <c r="I14246" t="s">
        <v>19816</v>
      </c>
    </row>
    <row r="14247" spans="9:9" x14ac:dyDescent="0.3">
      <c r="I14247" t="s">
        <v>19817</v>
      </c>
    </row>
    <row r="14248" spans="9:9" x14ac:dyDescent="0.3">
      <c r="I14248" t="s">
        <v>19818</v>
      </c>
    </row>
    <row r="14249" spans="9:9" x14ac:dyDescent="0.3">
      <c r="I14249" t="s">
        <v>19819</v>
      </c>
    </row>
    <row r="14250" spans="9:9" x14ac:dyDescent="0.3">
      <c r="I14250" t="s">
        <v>19820</v>
      </c>
    </row>
    <row r="14251" spans="9:9" x14ac:dyDescent="0.3">
      <c r="I14251" t="s">
        <v>19821</v>
      </c>
    </row>
    <row r="14252" spans="9:9" x14ac:dyDescent="0.3">
      <c r="I14252" t="s">
        <v>19822</v>
      </c>
    </row>
    <row r="14253" spans="9:9" x14ac:dyDescent="0.3">
      <c r="I14253" t="s">
        <v>19823</v>
      </c>
    </row>
    <row r="14254" spans="9:9" x14ac:dyDescent="0.3">
      <c r="I14254" t="s">
        <v>19824</v>
      </c>
    </row>
    <row r="14255" spans="9:9" x14ac:dyDescent="0.3">
      <c r="I14255" t="s">
        <v>19825</v>
      </c>
    </row>
    <row r="14256" spans="9:9" x14ac:dyDescent="0.3">
      <c r="I14256" t="s">
        <v>19826</v>
      </c>
    </row>
    <row r="14257" spans="9:10" x14ac:dyDescent="0.3">
      <c r="I14257" t="s">
        <v>19827</v>
      </c>
    </row>
    <row r="14258" spans="9:10" x14ac:dyDescent="0.3">
      <c r="I14258" t="s">
        <v>19828</v>
      </c>
      <c r="J14258" t="s">
        <v>5169</v>
      </c>
    </row>
    <row r="14259" spans="9:10" x14ac:dyDescent="0.3">
      <c r="I14259" t="s">
        <v>19829</v>
      </c>
    </row>
    <row r="14260" spans="9:10" x14ac:dyDescent="0.3">
      <c r="I14260" t="s">
        <v>19830</v>
      </c>
    </row>
    <row r="14261" spans="9:10" x14ac:dyDescent="0.3">
      <c r="I14261" t="s">
        <v>19831</v>
      </c>
    </row>
    <row r="14262" spans="9:10" x14ac:dyDescent="0.3">
      <c r="I14262" t="s">
        <v>19832</v>
      </c>
    </row>
    <row r="14263" spans="9:10" x14ac:dyDescent="0.3">
      <c r="I14263" t="s">
        <v>19833</v>
      </c>
    </row>
    <row r="14264" spans="9:10" x14ac:dyDescent="0.3">
      <c r="I14264" t="s">
        <v>19834</v>
      </c>
    </row>
    <row r="14265" spans="9:10" x14ac:dyDescent="0.3">
      <c r="I14265" t="s">
        <v>19835</v>
      </c>
      <c r="J14265" t="s">
        <v>5170</v>
      </c>
    </row>
    <row r="14266" spans="9:10" x14ac:dyDescent="0.3">
      <c r="I14266" t="s">
        <v>19836</v>
      </c>
    </row>
    <row r="14267" spans="9:10" x14ac:dyDescent="0.3">
      <c r="I14267" t="s">
        <v>19837</v>
      </c>
    </row>
    <row r="14268" spans="9:10" x14ac:dyDescent="0.3">
      <c r="I14268" t="s">
        <v>19838</v>
      </c>
    </row>
    <row r="14269" spans="9:10" x14ac:dyDescent="0.3">
      <c r="I14269" t="s">
        <v>19838</v>
      </c>
    </row>
    <row r="14270" spans="9:10" x14ac:dyDescent="0.3">
      <c r="I14270" t="s">
        <v>19839</v>
      </c>
    </row>
    <row r="14271" spans="9:10" x14ac:dyDescent="0.3">
      <c r="I14271" t="s">
        <v>19840</v>
      </c>
    </row>
    <row r="14272" spans="9:10" x14ac:dyDescent="0.3">
      <c r="I14272" t="s">
        <v>19841</v>
      </c>
    </row>
    <row r="14273" spans="9:10" x14ac:dyDescent="0.3">
      <c r="I14273" t="s">
        <v>19842</v>
      </c>
    </row>
    <row r="14274" spans="9:10" x14ac:dyDescent="0.3">
      <c r="I14274" t="s">
        <v>19843</v>
      </c>
    </row>
    <row r="14275" spans="9:10" x14ac:dyDescent="0.3">
      <c r="I14275" t="s">
        <v>19844</v>
      </c>
    </row>
    <row r="14276" spans="9:10" x14ac:dyDescent="0.3">
      <c r="I14276" t="s">
        <v>19845</v>
      </c>
    </row>
    <row r="14277" spans="9:10" x14ac:dyDescent="0.3">
      <c r="I14277" t="s">
        <v>19845</v>
      </c>
    </row>
    <row r="14278" spans="9:10" x14ac:dyDescent="0.3">
      <c r="I14278" t="s">
        <v>19846</v>
      </c>
    </row>
    <row r="14279" spans="9:10" x14ac:dyDescent="0.3">
      <c r="I14279" t="s">
        <v>19847</v>
      </c>
    </row>
    <row r="14280" spans="9:10" x14ac:dyDescent="0.3">
      <c r="I14280" t="s">
        <v>19848</v>
      </c>
    </row>
    <row r="14281" spans="9:10" x14ac:dyDescent="0.3">
      <c r="I14281" t="s">
        <v>19849</v>
      </c>
      <c r="J14281" t="s">
        <v>5171</v>
      </c>
    </row>
    <row r="14282" spans="9:10" x14ac:dyDescent="0.3">
      <c r="I14282" t="s">
        <v>19849</v>
      </c>
      <c r="J14282" t="s">
        <v>5171</v>
      </c>
    </row>
    <row r="14283" spans="9:10" x14ac:dyDescent="0.3">
      <c r="I14283" t="s">
        <v>19850</v>
      </c>
    </row>
    <row r="14284" spans="9:10" x14ac:dyDescent="0.3">
      <c r="I14284" t="s">
        <v>19851</v>
      </c>
    </row>
    <row r="14285" spans="9:10" x14ac:dyDescent="0.3">
      <c r="I14285" t="s">
        <v>19851</v>
      </c>
    </row>
    <row r="14286" spans="9:10" x14ac:dyDescent="0.3">
      <c r="I14286" t="s">
        <v>19852</v>
      </c>
    </row>
    <row r="14287" spans="9:10" x14ac:dyDescent="0.3">
      <c r="I14287" t="s">
        <v>19853</v>
      </c>
    </row>
    <row r="14288" spans="9:10" x14ac:dyDescent="0.3">
      <c r="I14288" t="s">
        <v>19854</v>
      </c>
    </row>
    <row r="14289" spans="9:10" x14ac:dyDescent="0.3">
      <c r="I14289" t="s">
        <v>19855</v>
      </c>
      <c r="J14289" t="s">
        <v>5172</v>
      </c>
    </row>
    <row r="14290" spans="9:10" x14ac:dyDescent="0.3">
      <c r="I14290" t="s">
        <v>19856</v>
      </c>
      <c r="J14290" t="s">
        <v>5173</v>
      </c>
    </row>
    <row r="14291" spans="9:10" x14ac:dyDescent="0.3">
      <c r="I14291" t="s">
        <v>19857</v>
      </c>
    </row>
    <row r="14292" spans="9:10" x14ac:dyDescent="0.3">
      <c r="I14292" t="s">
        <v>19858</v>
      </c>
    </row>
    <row r="14293" spans="9:10" x14ac:dyDescent="0.3">
      <c r="I14293" t="s">
        <v>19859</v>
      </c>
    </row>
    <row r="14294" spans="9:10" x14ac:dyDescent="0.3">
      <c r="I14294" t="s">
        <v>19860</v>
      </c>
    </row>
    <row r="14295" spans="9:10" x14ac:dyDescent="0.3">
      <c r="I14295" t="s">
        <v>19861</v>
      </c>
    </row>
    <row r="14296" spans="9:10" x14ac:dyDescent="0.3">
      <c r="I14296" t="s">
        <v>19862</v>
      </c>
    </row>
    <row r="14297" spans="9:10" x14ac:dyDescent="0.3">
      <c r="I14297" t="s">
        <v>19863</v>
      </c>
    </row>
    <row r="14298" spans="9:10" x14ac:dyDescent="0.3">
      <c r="I14298" t="s">
        <v>19864</v>
      </c>
    </row>
    <row r="14299" spans="9:10" x14ac:dyDescent="0.3">
      <c r="I14299" t="s">
        <v>19863</v>
      </c>
    </row>
    <row r="14300" spans="9:10" x14ac:dyDescent="0.3">
      <c r="I14300" t="s">
        <v>19865</v>
      </c>
    </row>
    <row r="14301" spans="9:10" x14ac:dyDescent="0.3">
      <c r="I14301" t="s">
        <v>19866</v>
      </c>
    </row>
    <row r="14302" spans="9:10" x14ac:dyDescent="0.3">
      <c r="I14302" t="s">
        <v>19867</v>
      </c>
    </row>
    <row r="14303" spans="9:10" x14ac:dyDescent="0.3">
      <c r="I14303" t="s">
        <v>19868</v>
      </c>
    </row>
    <row r="14304" spans="9:10" x14ac:dyDescent="0.3">
      <c r="I14304" t="s">
        <v>19869</v>
      </c>
    </row>
    <row r="14305" spans="9:9" x14ac:dyDescent="0.3">
      <c r="I14305" t="s">
        <v>19870</v>
      </c>
    </row>
    <row r="14306" spans="9:9" x14ac:dyDescent="0.3">
      <c r="I14306" t="s">
        <v>19871</v>
      </c>
    </row>
    <row r="14307" spans="9:9" x14ac:dyDescent="0.3">
      <c r="I14307" t="s">
        <v>19872</v>
      </c>
    </row>
    <row r="14308" spans="9:9" x14ac:dyDescent="0.3">
      <c r="I14308" t="s">
        <v>19873</v>
      </c>
    </row>
    <row r="14309" spans="9:9" x14ac:dyDescent="0.3">
      <c r="I14309" t="s">
        <v>19874</v>
      </c>
    </row>
    <row r="14310" spans="9:9" x14ac:dyDescent="0.3">
      <c r="I14310" t="s">
        <v>19875</v>
      </c>
    </row>
    <row r="14311" spans="9:9" x14ac:dyDescent="0.3">
      <c r="I14311" t="s">
        <v>19876</v>
      </c>
    </row>
    <row r="14312" spans="9:9" x14ac:dyDescent="0.3">
      <c r="I14312" t="s">
        <v>19877</v>
      </c>
    </row>
    <row r="14313" spans="9:9" x14ac:dyDescent="0.3">
      <c r="I14313" t="s">
        <v>19878</v>
      </c>
    </row>
    <row r="14314" spans="9:9" x14ac:dyDescent="0.3">
      <c r="I14314" t="s">
        <v>19879</v>
      </c>
    </row>
    <row r="14315" spans="9:9" x14ac:dyDescent="0.3">
      <c r="I14315" t="s">
        <v>19880</v>
      </c>
    </row>
    <row r="14316" spans="9:9" x14ac:dyDescent="0.3">
      <c r="I14316" t="s">
        <v>19881</v>
      </c>
    </row>
    <row r="14317" spans="9:9" x14ac:dyDescent="0.3">
      <c r="I14317" t="s">
        <v>19882</v>
      </c>
    </row>
    <row r="14318" spans="9:9" x14ac:dyDescent="0.3">
      <c r="I14318" t="s">
        <v>19883</v>
      </c>
    </row>
    <row r="14319" spans="9:9" x14ac:dyDescent="0.3">
      <c r="I14319" t="s">
        <v>19884</v>
      </c>
    </row>
    <row r="14320" spans="9:9" x14ac:dyDescent="0.3">
      <c r="I14320" t="s">
        <v>19885</v>
      </c>
    </row>
    <row r="14321" spans="9:10" x14ac:dyDescent="0.3">
      <c r="I14321" t="s">
        <v>19886</v>
      </c>
    </row>
    <row r="14322" spans="9:10" x14ac:dyDescent="0.3">
      <c r="I14322" t="s">
        <v>19887</v>
      </c>
    </row>
    <row r="14323" spans="9:10" x14ac:dyDescent="0.3">
      <c r="I14323" t="s">
        <v>19888</v>
      </c>
    </row>
    <row r="14324" spans="9:10" x14ac:dyDescent="0.3">
      <c r="I14324" t="s">
        <v>19889</v>
      </c>
    </row>
    <row r="14325" spans="9:10" x14ac:dyDescent="0.3">
      <c r="I14325" t="s">
        <v>19890</v>
      </c>
    </row>
    <row r="14326" spans="9:10" x14ac:dyDescent="0.3">
      <c r="I14326" t="s">
        <v>19891</v>
      </c>
    </row>
    <row r="14327" spans="9:10" x14ac:dyDescent="0.3">
      <c r="I14327" t="s">
        <v>19892</v>
      </c>
      <c r="J14327" t="s">
        <v>4426</v>
      </c>
    </row>
    <row r="14328" spans="9:10" x14ac:dyDescent="0.3">
      <c r="I14328" t="s">
        <v>19893</v>
      </c>
    </row>
    <row r="14329" spans="9:10" x14ac:dyDescent="0.3">
      <c r="I14329" t="s">
        <v>19894</v>
      </c>
    </row>
    <row r="14330" spans="9:10" x14ac:dyDescent="0.3">
      <c r="I14330" t="s">
        <v>19895</v>
      </c>
    </row>
    <row r="14331" spans="9:10" x14ac:dyDescent="0.3">
      <c r="I14331" t="s">
        <v>19896</v>
      </c>
    </row>
    <row r="14332" spans="9:10" x14ac:dyDescent="0.3">
      <c r="I14332" t="s">
        <v>19897</v>
      </c>
    </row>
    <row r="14333" spans="9:10" x14ac:dyDescent="0.3">
      <c r="I14333" t="s">
        <v>19898</v>
      </c>
    </row>
    <row r="14334" spans="9:10" x14ac:dyDescent="0.3">
      <c r="I14334" t="s">
        <v>19899</v>
      </c>
    </row>
    <row r="14335" spans="9:10" x14ac:dyDescent="0.3">
      <c r="I14335" t="s">
        <v>19900</v>
      </c>
    </row>
    <row r="14336" spans="9:10" x14ac:dyDescent="0.3">
      <c r="I14336" t="s">
        <v>19901</v>
      </c>
    </row>
    <row r="14337" spans="9:10" x14ac:dyDescent="0.3">
      <c r="I14337" t="s">
        <v>19902</v>
      </c>
    </row>
    <row r="14338" spans="9:10" x14ac:dyDescent="0.3">
      <c r="I14338" t="s">
        <v>19903</v>
      </c>
    </row>
    <row r="14339" spans="9:10" x14ac:dyDescent="0.3">
      <c r="I14339" t="s">
        <v>19904</v>
      </c>
      <c r="J14339" t="s">
        <v>5174</v>
      </c>
    </row>
    <row r="14340" spans="9:10" x14ac:dyDescent="0.3">
      <c r="I14340" t="s">
        <v>19905</v>
      </c>
      <c r="J14340" t="s">
        <v>5175</v>
      </c>
    </row>
    <row r="14341" spans="9:10" x14ac:dyDescent="0.3">
      <c r="I14341" t="s">
        <v>19906</v>
      </c>
      <c r="J14341" t="s">
        <v>5176</v>
      </c>
    </row>
    <row r="14342" spans="9:10" x14ac:dyDescent="0.3">
      <c r="I14342" t="s">
        <v>19907</v>
      </c>
      <c r="J14342" t="s">
        <v>5177</v>
      </c>
    </row>
    <row r="14343" spans="9:10" x14ac:dyDescent="0.3">
      <c r="I14343" t="s">
        <v>19908</v>
      </c>
      <c r="J14343" t="s">
        <v>5178</v>
      </c>
    </row>
    <row r="14344" spans="9:10" x14ac:dyDescent="0.3">
      <c r="I14344" t="s">
        <v>19909</v>
      </c>
    </row>
    <row r="14345" spans="9:10" x14ac:dyDescent="0.3">
      <c r="I14345" t="s">
        <v>19910</v>
      </c>
    </row>
    <row r="14346" spans="9:10" x14ac:dyDescent="0.3">
      <c r="I14346" t="s">
        <v>19911</v>
      </c>
    </row>
    <row r="14347" spans="9:10" x14ac:dyDescent="0.3">
      <c r="I14347" t="s">
        <v>19912</v>
      </c>
    </row>
    <row r="14348" spans="9:10" x14ac:dyDescent="0.3">
      <c r="I14348" t="s">
        <v>19913</v>
      </c>
    </row>
    <row r="14349" spans="9:10" x14ac:dyDescent="0.3">
      <c r="I14349" t="s">
        <v>19914</v>
      </c>
    </row>
    <row r="14350" spans="9:10" x14ac:dyDescent="0.3">
      <c r="I14350" t="s">
        <v>19915</v>
      </c>
    </row>
    <row r="14351" spans="9:10" x14ac:dyDescent="0.3">
      <c r="I14351" t="s">
        <v>19916</v>
      </c>
    </row>
    <row r="14352" spans="9:10" x14ac:dyDescent="0.3">
      <c r="I14352" t="s">
        <v>19917</v>
      </c>
    </row>
    <row r="14353" spans="9:10" x14ac:dyDescent="0.3">
      <c r="I14353" t="s">
        <v>19918</v>
      </c>
      <c r="J14353" t="s">
        <v>4426</v>
      </c>
    </row>
    <row r="14354" spans="9:10" x14ac:dyDescent="0.3">
      <c r="I14354" t="s">
        <v>19919</v>
      </c>
    </row>
    <row r="14355" spans="9:10" x14ac:dyDescent="0.3">
      <c r="I14355" t="s">
        <v>19920</v>
      </c>
    </row>
    <row r="14356" spans="9:10" x14ac:dyDescent="0.3">
      <c r="I14356" t="s">
        <v>19921</v>
      </c>
    </row>
    <row r="14357" spans="9:10" x14ac:dyDescent="0.3">
      <c r="I14357" t="s">
        <v>19922</v>
      </c>
    </row>
    <row r="14358" spans="9:10" x14ac:dyDescent="0.3">
      <c r="I14358" t="s">
        <v>19922</v>
      </c>
    </row>
    <row r="14359" spans="9:10" x14ac:dyDescent="0.3">
      <c r="I14359" t="s">
        <v>19923</v>
      </c>
    </row>
    <row r="14360" spans="9:10" x14ac:dyDescent="0.3">
      <c r="I14360" t="s">
        <v>19924</v>
      </c>
    </row>
    <row r="14361" spans="9:10" x14ac:dyDescent="0.3">
      <c r="I14361" t="s">
        <v>19925</v>
      </c>
    </row>
    <row r="14362" spans="9:10" x14ac:dyDescent="0.3">
      <c r="I14362" t="s">
        <v>19926</v>
      </c>
    </row>
    <row r="14363" spans="9:10" x14ac:dyDescent="0.3">
      <c r="I14363" t="s">
        <v>19927</v>
      </c>
    </row>
    <row r="14364" spans="9:10" x14ac:dyDescent="0.3">
      <c r="I14364" t="s">
        <v>19928</v>
      </c>
    </row>
    <row r="14365" spans="9:10" x14ac:dyDescent="0.3">
      <c r="I14365" t="s">
        <v>19929</v>
      </c>
    </row>
    <row r="14366" spans="9:10" x14ac:dyDescent="0.3">
      <c r="I14366" t="s">
        <v>19930</v>
      </c>
    </row>
    <row r="14367" spans="9:10" x14ac:dyDescent="0.3">
      <c r="I14367" t="s">
        <v>19930</v>
      </c>
    </row>
    <row r="14368" spans="9:10" x14ac:dyDescent="0.3">
      <c r="I14368" t="s">
        <v>19931</v>
      </c>
    </row>
    <row r="14369" spans="9:9" x14ac:dyDescent="0.3">
      <c r="I14369" t="s">
        <v>19932</v>
      </c>
    </row>
    <row r="14370" spans="9:9" x14ac:dyDescent="0.3">
      <c r="I14370" t="s">
        <v>19933</v>
      </c>
    </row>
    <row r="14371" spans="9:9" x14ac:dyDescent="0.3">
      <c r="I14371" t="s">
        <v>19934</v>
      </c>
    </row>
    <row r="14372" spans="9:9" x14ac:dyDescent="0.3">
      <c r="I14372" t="s">
        <v>19935</v>
      </c>
    </row>
    <row r="14373" spans="9:9" x14ac:dyDescent="0.3">
      <c r="I14373" t="s">
        <v>19936</v>
      </c>
    </row>
    <row r="14374" spans="9:9" x14ac:dyDescent="0.3">
      <c r="I14374" t="s">
        <v>19937</v>
      </c>
    </row>
    <row r="14375" spans="9:9" x14ac:dyDescent="0.3">
      <c r="I14375" t="s">
        <v>19938</v>
      </c>
    </row>
    <row r="14376" spans="9:9" x14ac:dyDescent="0.3">
      <c r="I14376" t="s">
        <v>19939</v>
      </c>
    </row>
    <row r="14377" spans="9:9" x14ac:dyDescent="0.3">
      <c r="I14377" t="s">
        <v>19940</v>
      </c>
    </row>
    <row r="14378" spans="9:9" x14ac:dyDescent="0.3">
      <c r="I14378" t="s">
        <v>19941</v>
      </c>
    </row>
    <row r="14379" spans="9:9" x14ac:dyDescent="0.3">
      <c r="I14379" t="s">
        <v>19942</v>
      </c>
    </row>
    <row r="14380" spans="9:9" x14ac:dyDescent="0.3">
      <c r="I14380" t="s">
        <v>19943</v>
      </c>
    </row>
    <row r="14381" spans="9:9" x14ac:dyDescent="0.3">
      <c r="I14381" t="s">
        <v>19944</v>
      </c>
    </row>
    <row r="14382" spans="9:9" x14ac:dyDescent="0.3">
      <c r="I14382" t="s">
        <v>19945</v>
      </c>
    </row>
    <row r="14383" spans="9:9" x14ac:dyDescent="0.3">
      <c r="I14383" t="s">
        <v>19946</v>
      </c>
    </row>
    <row r="14384" spans="9:9" x14ac:dyDescent="0.3">
      <c r="I14384" t="s">
        <v>19947</v>
      </c>
    </row>
    <row r="14385" spans="9:10" x14ac:dyDescent="0.3">
      <c r="I14385" t="s">
        <v>19948</v>
      </c>
    </row>
    <row r="14386" spans="9:10" x14ac:dyDescent="0.3">
      <c r="I14386" t="s">
        <v>19949</v>
      </c>
    </row>
    <row r="14387" spans="9:10" x14ac:dyDescent="0.3">
      <c r="I14387" t="s">
        <v>19950</v>
      </c>
      <c r="J14387" t="s">
        <v>5179</v>
      </c>
    </row>
    <row r="14388" spans="9:10" x14ac:dyDescent="0.3">
      <c r="I14388" t="s">
        <v>19951</v>
      </c>
      <c r="J14388" t="s">
        <v>5179</v>
      </c>
    </row>
    <row r="14389" spans="9:10" x14ac:dyDescent="0.3">
      <c r="I14389" t="s">
        <v>19952</v>
      </c>
    </row>
    <row r="14390" spans="9:10" x14ac:dyDescent="0.3">
      <c r="I14390" t="s">
        <v>19953</v>
      </c>
    </row>
    <row r="14391" spans="9:10" x14ac:dyDescent="0.3">
      <c r="I14391" t="s">
        <v>19954</v>
      </c>
    </row>
    <row r="14392" spans="9:10" x14ac:dyDescent="0.3">
      <c r="I14392" t="s">
        <v>19955</v>
      </c>
    </row>
    <row r="14393" spans="9:10" x14ac:dyDescent="0.3">
      <c r="I14393" t="s">
        <v>19956</v>
      </c>
    </row>
    <row r="14394" spans="9:10" x14ac:dyDescent="0.3">
      <c r="I14394" t="s">
        <v>19957</v>
      </c>
    </row>
    <row r="14395" spans="9:10" x14ac:dyDescent="0.3">
      <c r="I14395" t="s">
        <v>19958</v>
      </c>
    </row>
    <row r="14396" spans="9:10" x14ac:dyDescent="0.3">
      <c r="I14396" t="s">
        <v>19959</v>
      </c>
    </row>
    <row r="14397" spans="9:10" x14ac:dyDescent="0.3">
      <c r="I14397" t="s">
        <v>19960</v>
      </c>
    </row>
    <row r="14398" spans="9:10" x14ac:dyDescent="0.3">
      <c r="I14398" t="s">
        <v>19961</v>
      </c>
    </row>
    <row r="14399" spans="9:10" x14ac:dyDescent="0.3">
      <c r="I14399" t="s">
        <v>19962</v>
      </c>
      <c r="J14399" t="s">
        <v>4426</v>
      </c>
    </row>
    <row r="14400" spans="9:10" x14ac:dyDescent="0.3">
      <c r="I14400" t="s">
        <v>19963</v>
      </c>
    </row>
    <row r="14401" spans="9:9" x14ac:dyDescent="0.3">
      <c r="I14401" t="s">
        <v>19964</v>
      </c>
    </row>
    <row r="14402" spans="9:9" x14ac:dyDescent="0.3">
      <c r="I14402" t="s">
        <v>19965</v>
      </c>
    </row>
    <row r="14403" spans="9:9" x14ac:dyDescent="0.3">
      <c r="I14403" t="s">
        <v>19966</v>
      </c>
    </row>
    <row r="14404" spans="9:9" x14ac:dyDescent="0.3">
      <c r="I14404" t="s">
        <v>19967</v>
      </c>
    </row>
    <row r="14405" spans="9:9" x14ac:dyDescent="0.3">
      <c r="I14405" t="s">
        <v>19968</v>
      </c>
    </row>
    <row r="14406" spans="9:9" x14ac:dyDescent="0.3">
      <c r="I14406" t="s">
        <v>19969</v>
      </c>
    </row>
    <row r="14407" spans="9:9" x14ac:dyDescent="0.3">
      <c r="I14407" t="s">
        <v>19970</v>
      </c>
    </row>
    <row r="14408" spans="9:9" x14ac:dyDescent="0.3">
      <c r="I14408" t="s">
        <v>19971</v>
      </c>
    </row>
    <row r="14409" spans="9:9" x14ac:dyDescent="0.3">
      <c r="I14409" t="s">
        <v>19972</v>
      </c>
    </row>
    <row r="14410" spans="9:9" x14ac:dyDescent="0.3">
      <c r="I14410" t="s">
        <v>19973</v>
      </c>
    </row>
    <row r="14411" spans="9:9" x14ac:dyDescent="0.3">
      <c r="I14411" t="s">
        <v>19974</v>
      </c>
    </row>
    <row r="14412" spans="9:9" x14ac:dyDescent="0.3">
      <c r="I14412" t="s">
        <v>19975</v>
      </c>
    </row>
    <row r="14413" spans="9:9" x14ac:dyDescent="0.3">
      <c r="I14413" t="s">
        <v>19976</v>
      </c>
    </row>
    <row r="14414" spans="9:9" x14ac:dyDescent="0.3">
      <c r="I14414" t="s">
        <v>19977</v>
      </c>
    </row>
    <row r="14415" spans="9:9" x14ac:dyDescent="0.3">
      <c r="I14415" t="s">
        <v>19978</v>
      </c>
    </row>
    <row r="14416" spans="9:9" x14ac:dyDescent="0.3">
      <c r="I14416" t="s">
        <v>19979</v>
      </c>
    </row>
    <row r="14417" spans="9:9" x14ac:dyDescent="0.3">
      <c r="I14417" t="s">
        <v>19979</v>
      </c>
    </row>
    <row r="14418" spans="9:9" x14ac:dyDescent="0.3">
      <c r="I14418" t="s">
        <v>19980</v>
      </c>
    </row>
    <row r="14419" spans="9:9" x14ac:dyDescent="0.3">
      <c r="I14419" t="s">
        <v>19981</v>
      </c>
    </row>
    <row r="14420" spans="9:9" x14ac:dyDescent="0.3">
      <c r="I14420" t="s">
        <v>19982</v>
      </c>
    </row>
    <row r="14421" spans="9:9" x14ac:dyDescent="0.3">
      <c r="I14421" t="s">
        <v>19983</v>
      </c>
    </row>
    <row r="14422" spans="9:9" x14ac:dyDescent="0.3">
      <c r="I14422" t="s">
        <v>19984</v>
      </c>
    </row>
    <row r="14423" spans="9:9" x14ac:dyDescent="0.3">
      <c r="I14423" t="s">
        <v>19985</v>
      </c>
    </row>
    <row r="14424" spans="9:9" x14ac:dyDescent="0.3">
      <c r="I14424" t="s">
        <v>19986</v>
      </c>
    </row>
    <row r="14425" spans="9:9" x14ac:dyDescent="0.3">
      <c r="I14425" t="s">
        <v>19987</v>
      </c>
    </row>
    <row r="14426" spans="9:9" x14ac:dyDescent="0.3">
      <c r="I14426" t="s">
        <v>19988</v>
      </c>
    </row>
    <row r="14427" spans="9:9" x14ac:dyDescent="0.3">
      <c r="I14427" t="s">
        <v>19989</v>
      </c>
    </row>
    <row r="14428" spans="9:9" x14ac:dyDescent="0.3">
      <c r="I14428" t="s">
        <v>19990</v>
      </c>
    </row>
    <row r="14429" spans="9:9" x14ac:dyDescent="0.3">
      <c r="I14429" t="s">
        <v>19991</v>
      </c>
    </row>
    <row r="14430" spans="9:9" x14ac:dyDescent="0.3">
      <c r="I14430" t="s">
        <v>19992</v>
      </c>
    </row>
    <row r="14431" spans="9:9" x14ac:dyDescent="0.3">
      <c r="I14431" t="s">
        <v>19993</v>
      </c>
    </row>
    <row r="14432" spans="9:9" x14ac:dyDescent="0.3">
      <c r="I14432" t="s">
        <v>19994</v>
      </c>
    </row>
    <row r="14433" spans="9:10" x14ac:dyDescent="0.3">
      <c r="I14433" t="s">
        <v>19995</v>
      </c>
    </row>
    <row r="14434" spans="9:10" x14ac:dyDescent="0.3">
      <c r="I14434" t="s">
        <v>19996</v>
      </c>
    </row>
    <row r="14435" spans="9:10" x14ac:dyDescent="0.3">
      <c r="I14435" t="s">
        <v>19997</v>
      </c>
    </row>
    <row r="14436" spans="9:10" x14ac:dyDescent="0.3">
      <c r="I14436" t="s">
        <v>19998</v>
      </c>
    </row>
    <row r="14437" spans="9:10" x14ac:dyDescent="0.3">
      <c r="I14437" t="s">
        <v>19999</v>
      </c>
    </row>
    <row r="14438" spans="9:10" x14ac:dyDescent="0.3">
      <c r="I14438" t="s">
        <v>20000</v>
      </c>
    </row>
    <row r="14439" spans="9:10" x14ac:dyDescent="0.3">
      <c r="I14439" t="s">
        <v>20001</v>
      </c>
    </row>
    <row r="14440" spans="9:10" x14ac:dyDescent="0.3">
      <c r="I14440" t="s">
        <v>20002</v>
      </c>
      <c r="J14440" t="s">
        <v>4426</v>
      </c>
    </row>
    <row r="14441" spans="9:10" x14ac:dyDescent="0.3">
      <c r="I14441" t="s">
        <v>20003</v>
      </c>
    </row>
    <row r="14442" spans="9:10" x14ac:dyDescent="0.3">
      <c r="I14442" t="s">
        <v>20004</v>
      </c>
    </row>
    <row r="14443" spans="9:10" x14ac:dyDescent="0.3">
      <c r="I14443" t="s">
        <v>20005</v>
      </c>
    </row>
    <row r="14444" spans="9:10" x14ac:dyDescent="0.3">
      <c r="I14444" t="s">
        <v>20006</v>
      </c>
      <c r="J14444" t="s">
        <v>4426</v>
      </c>
    </row>
    <row r="14445" spans="9:10" x14ac:dyDescent="0.3">
      <c r="I14445" t="s">
        <v>20007</v>
      </c>
    </row>
    <row r="14446" spans="9:10" x14ac:dyDescent="0.3">
      <c r="I14446" t="s">
        <v>20008</v>
      </c>
    </row>
    <row r="14447" spans="9:10" x14ac:dyDescent="0.3">
      <c r="I14447" t="s">
        <v>20009</v>
      </c>
    </row>
    <row r="14448" spans="9:10" x14ac:dyDescent="0.3">
      <c r="I14448" t="s">
        <v>20010</v>
      </c>
    </row>
    <row r="14449" spans="9:9" x14ac:dyDescent="0.3">
      <c r="I14449" t="s">
        <v>20011</v>
      </c>
    </row>
    <row r="14450" spans="9:9" x14ac:dyDescent="0.3">
      <c r="I14450" t="s">
        <v>20012</v>
      </c>
    </row>
    <row r="14451" spans="9:9" x14ac:dyDescent="0.3">
      <c r="I14451" t="s">
        <v>20013</v>
      </c>
    </row>
    <row r="14452" spans="9:9" x14ac:dyDescent="0.3">
      <c r="I14452" t="s">
        <v>20014</v>
      </c>
    </row>
    <row r="14453" spans="9:9" x14ac:dyDescent="0.3">
      <c r="I14453" t="s">
        <v>20015</v>
      </c>
    </row>
    <row r="14454" spans="9:9" x14ac:dyDescent="0.3">
      <c r="I14454" t="s">
        <v>20016</v>
      </c>
    </row>
    <row r="14455" spans="9:9" x14ac:dyDescent="0.3">
      <c r="I14455" t="s">
        <v>20017</v>
      </c>
    </row>
    <row r="14456" spans="9:9" x14ac:dyDescent="0.3">
      <c r="I14456" t="s">
        <v>20018</v>
      </c>
    </row>
    <row r="14457" spans="9:9" x14ac:dyDescent="0.3">
      <c r="I14457" t="s">
        <v>20019</v>
      </c>
    </row>
    <row r="14458" spans="9:9" x14ac:dyDescent="0.3">
      <c r="I14458" t="s">
        <v>20020</v>
      </c>
    </row>
    <row r="14459" spans="9:9" x14ac:dyDescent="0.3">
      <c r="I14459" t="s">
        <v>20021</v>
      </c>
    </row>
    <row r="14460" spans="9:9" x14ac:dyDescent="0.3">
      <c r="I14460" t="s">
        <v>20022</v>
      </c>
    </row>
    <row r="14461" spans="9:9" x14ac:dyDescent="0.3">
      <c r="I14461" t="s">
        <v>20023</v>
      </c>
    </row>
    <row r="14462" spans="9:9" x14ac:dyDescent="0.3">
      <c r="I14462" t="s">
        <v>20024</v>
      </c>
    </row>
    <row r="14463" spans="9:9" x14ac:dyDescent="0.3">
      <c r="I14463" t="s">
        <v>20025</v>
      </c>
    </row>
    <row r="14464" spans="9:9" x14ac:dyDescent="0.3">
      <c r="I14464" t="s">
        <v>20026</v>
      </c>
    </row>
    <row r="14465" spans="9:10" x14ac:dyDescent="0.3">
      <c r="I14465" t="s">
        <v>20027</v>
      </c>
    </row>
    <row r="14466" spans="9:10" x14ac:dyDescent="0.3">
      <c r="I14466" t="s">
        <v>20028</v>
      </c>
    </row>
    <row r="14467" spans="9:10" x14ac:dyDescent="0.3">
      <c r="I14467" t="s">
        <v>20029</v>
      </c>
      <c r="J14467" t="s">
        <v>4426</v>
      </c>
    </row>
    <row r="14468" spans="9:10" x14ac:dyDescent="0.3">
      <c r="I14468" t="s">
        <v>20030</v>
      </c>
    </row>
    <row r="14469" spans="9:10" x14ac:dyDescent="0.3">
      <c r="I14469" t="s">
        <v>20031</v>
      </c>
    </row>
    <row r="14470" spans="9:10" x14ac:dyDescent="0.3">
      <c r="I14470" t="s">
        <v>20032</v>
      </c>
    </row>
    <row r="14471" spans="9:10" x14ac:dyDescent="0.3">
      <c r="I14471" t="s">
        <v>20033</v>
      </c>
    </row>
    <row r="14472" spans="9:10" x14ac:dyDescent="0.3">
      <c r="I14472" t="s">
        <v>20034</v>
      </c>
    </row>
    <row r="14473" spans="9:10" x14ac:dyDescent="0.3">
      <c r="I14473" t="s">
        <v>20035</v>
      </c>
    </row>
    <row r="14474" spans="9:10" x14ac:dyDescent="0.3">
      <c r="I14474" t="s">
        <v>20035</v>
      </c>
    </row>
    <row r="14475" spans="9:10" x14ac:dyDescent="0.3">
      <c r="I14475" t="s">
        <v>20036</v>
      </c>
    </row>
    <row r="14476" spans="9:10" x14ac:dyDescent="0.3">
      <c r="I14476" t="s">
        <v>20037</v>
      </c>
    </row>
    <row r="14477" spans="9:10" x14ac:dyDescent="0.3">
      <c r="I14477" t="s">
        <v>20038</v>
      </c>
    </row>
    <row r="14478" spans="9:10" x14ac:dyDescent="0.3">
      <c r="I14478" t="s">
        <v>20039</v>
      </c>
    </row>
    <row r="14479" spans="9:10" x14ac:dyDescent="0.3">
      <c r="I14479" t="s">
        <v>20040</v>
      </c>
    </row>
    <row r="14480" spans="9:10" x14ac:dyDescent="0.3">
      <c r="I14480" t="s">
        <v>20041</v>
      </c>
    </row>
    <row r="14481" spans="9:10" x14ac:dyDescent="0.3">
      <c r="I14481" t="s">
        <v>20042</v>
      </c>
    </row>
    <row r="14482" spans="9:10" x14ac:dyDescent="0.3">
      <c r="I14482" t="s">
        <v>20043</v>
      </c>
      <c r="J14482" t="s">
        <v>5180</v>
      </c>
    </row>
    <row r="14483" spans="9:10" x14ac:dyDescent="0.3">
      <c r="I14483" t="s">
        <v>20043</v>
      </c>
      <c r="J14483" t="s">
        <v>5180</v>
      </c>
    </row>
    <row r="14484" spans="9:10" x14ac:dyDescent="0.3">
      <c r="I14484" t="s">
        <v>20044</v>
      </c>
    </row>
    <row r="14485" spans="9:10" x14ac:dyDescent="0.3">
      <c r="I14485" t="s">
        <v>20045</v>
      </c>
    </row>
    <row r="14486" spans="9:10" x14ac:dyDescent="0.3">
      <c r="I14486" t="s">
        <v>20046</v>
      </c>
    </row>
    <row r="14487" spans="9:10" x14ac:dyDescent="0.3">
      <c r="I14487" t="s">
        <v>20046</v>
      </c>
    </row>
    <row r="14488" spans="9:10" x14ac:dyDescent="0.3">
      <c r="I14488" t="s">
        <v>20047</v>
      </c>
    </row>
    <row r="14489" spans="9:10" x14ac:dyDescent="0.3">
      <c r="I14489" t="s">
        <v>20048</v>
      </c>
    </row>
    <row r="14490" spans="9:10" x14ac:dyDescent="0.3">
      <c r="I14490" t="s">
        <v>20049</v>
      </c>
      <c r="J14490" t="s">
        <v>5181</v>
      </c>
    </row>
    <row r="14491" spans="9:10" x14ac:dyDescent="0.3">
      <c r="I14491" t="s">
        <v>20050</v>
      </c>
    </row>
    <row r="14492" spans="9:10" x14ac:dyDescent="0.3">
      <c r="I14492" t="s">
        <v>20050</v>
      </c>
    </row>
    <row r="14493" spans="9:10" x14ac:dyDescent="0.3">
      <c r="I14493" t="s">
        <v>20050</v>
      </c>
    </row>
    <row r="14494" spans="9:10" x14ac:dyDescent="0.3">
      <c r="I14494" t="s">
        <v>20051</v>
      </c>
    </row>
    <row r="14495" spans="9:10" x14ac:dyDescent="0.3">
      <c r="I14495" t="s">
        <v>20052</v>
      </c>
    </row>
    <row r="14496" spans="9:10" x14ac:dyDescent="0.3">
      <c r="I14496" t="s">
        <v>20053</v>
      </c>
    </row>
    <row r="14497" spans="9:10" x14ac:dyDescent="0.3">
      <c r="I14497" t="s">
        <v>20054</v>
      </c>
    </row>
    <row r="14498" spans="9:10" x14ac:dyDescent="0.3">
      <c r="I14498" t="s">
        <v>20055</v>
      </c>
    </row>
    <row r="14499" spans="9:10" x14ac:dyDescent="0.3">
      <c r="I14499" t="s">
        <v>20056</v>
      </c>
    </row>
    <row r="14500" spans="9:10" x14ac:dyDescent="0.3">
      <c r="I14500" t="s">
        <v>20057</v>
      </c>
    </row>
    <row r="14501" spans="9:10" x14ac:dyDescent="0.3">
      <c r="I14501" t="s">
        <v>20058</v>
      </c>
    </row>
    <row r="14502" spans="9:10" x14ac:dyDescent="0.3">
      <c r="I14502" t="s">
        <v>20059</v>
      </c>
    </row>
    <row r="14503" spans="9:10" x14ac:dyDescent="0.3">
      <c r="I14503" t="s">
        <v>20060</v>
      </c>
    </row>
    <row r="14504" spans="9:10" x14ac:dyDescent="0.3">
      <c r="I14504" t="s">
        <v>20061</v>
      </c>
    </row>
    <row r="14505" spans="9:10" x14ac:dyDescent="0.3">
      <c r="I14505" t="s">
        <v>20062</v>
      </c>
    </row>
    <row r="14506" spans="9:10" x14ac:dyDescent="0.3">
      <c r="I14506" t="s">
        <v>20063</v>
      </c>
    </row>
    <row r="14507" spans="9:10" x14ac:dyDescent="0.3">
      <c r="I14507" t="s">
        <v>20064</v>
      </c>
      <c r="J14507" t="s">
        <v>5182</v>
      </c>
    </row>
    <row r="14508" spans="9:10" x14ac:dyDescent="0.3">
      <c r="I14508" t="s">
        <v>20065</v>
      </c>
    </row>
    <row r="14509" spans="9:10" x14ac:dyDescent="0.3">
      <c r="I14509" t="s">
        <v>20066</v>
      </c>
    </row>
    <row r="14510" spans="9:10" x14ac:dyDescent="0.3">
      <c r="I14510" t="s">
        <v>20067</v>
      </c>
    </row>
    <row r="14511" spans="9:10" x14ac:dyDescent="0.3">
      <c r="I14511" t="s">
        <v>20068</v>
      </c>
    </row>
    <row r="14512" spans="9:10" x14ac:dyDescent="0.3">
      <c r="I14512" t="s">
        <v>20069</v>
      </c>
    </row>
    <row r="14513" spans="9:10" x14ac:dyDescent="0.3">
      <c r="I14513" t="s">
        <v>20070</v>
      </c>
    </row>
    <row r="14514" spans="9:10" x14ac:dyDescent="0.3">
      <c r="I14514" t="s">
        <v>20071</v>
      </c>
    </row>
    <row r="14515" spans="9:10" x14ac:dyDescent="0.3">
      <c r="I14515" t="s">
        <v>20072</v>
      </c>
    </row>
    <row r="14516" spans="9:10" x14ac:dyDescent="0.3">
      <c r="I14516" t="s">
        <v>20073</v>
      </c>
    </row>
    <row r="14517" spans="9:10" x14ac:dyDescent="0.3">
      <c r="I14517" t="s">
        <v>20074</v>
      </c>
    </row>
    <row r="14518" spans="9:10" x14ac:dyDescent="0.3">
      <c r="I14518" t="s">
        <v>20075</v>
      </c>
      <c r="J14518" t="s">
        <v>4426</v>
      </c>
    </row>
    <row r="14519" spans="9:10" x14ac:dyDescent="0.3">
      <c r="I14519" t="s">
        <v>20076</v>
      </c>
    </row>
    <row r="14520" spans="9:10" x14ac:dyDescent="0.3">
      <c r="I14520" t="s">
        <v>20077</v>
      </c>
    </row>
    <row r="14521" spans="9:10" x14ac:dyDescent="0.3">
      <c r="I14521" t="s">
        <v>20077</v>
      </c>
    </row>
    <row r="14522" spans="9:10" x14ac:dyDescent="0.3">
      <c r="I14522" t="s">
        <v>20078</v>
      </c>
    </row>
    <row r="14523" spans="9:10" x14ac:dyDescent="0.3">
      <c r="I14523" t="s">
        <v>20079</v>
      </c>
    </row>
    <row r="14524" spans="9:10" x14ac:dyDescent="0.3">
      <c r="I14524" t="s">
        <v>20080</v>
      </c>
    </row>
    <row r="14525" spans="9:10" x14ac:dyDescent="0.3">
      <c r="I14525" t="s">
        <v>20081</v>
      </c>
      <c r="J14525" t="s">
        <v>4426</v>
      </c>
    </row>
    <row r="14526" spans="9:10" x14ac:dyDescent="0.3">
      <c r="I14526" t="s">
        <v>20082</v>
      </c>
    </row>
    <row r="14527" spans="9:10" x14ac:dyDescent="0.3">
      <c r="I14527" t="s">
        <v>20083</v>
      </c>
    </row>
    <row r="14528" spans="9:10" x14ac:dyDescent="0.3">
      <c r="I14528" t="s">
        <v>20084</v>
      </c>
    </row>
    <row r="14529" spans="9:9" x14ac:dyDescent="0.3">
      <c r="I14529" t="s">
        <v>20085</v>
      </c>
    </row>
    <row r="14530" spans="9:9" x14ac:dyDescent="0.3">
      <c r="I14530" t="s">
        <v>20086</v>
      </c>
    </row>
    <row r="14531" spans="9:9" x14ac:dyDescent="0.3">
      <c r="I14531" t="s">
        <v>20087</v>
      </c>
    </row>
    <row r="14532" spans="9:9" x14ac:dyDescent="0.3">
      <c r="I14532" t="s">
        <v>20088</v>
      </c>
    </row>
    <row r="14533" spans="9:9" x14ac:dyDescent="0.3">
      <c r="I14533" t="s">
        <v>20089</v>
      </c>
    </row>
    <row r="14534" spans="9:9" x14ac:dyDescent="0.3">
      <c r="I14534" t="s">
        <v>20090</v>
      </c>
    </row>
    <row r="14535" spans="9:9" x14ac:dyDescent="0.3">
      <c r="I14535" t="s">
        <v>20091</v>
      </c>
    </row>
    <row r="14536" spans="9:9" x14ac:dyDescent="0.3">
      <c r="I14536" t="s">
        <v>20092</v>
      </c>
    </row>
    <row r="14537" spans="9:9" x14ac:dyDescent="0.3">
      <c r="I14537" t="s">
        <v>20093</v>
      </c>
    </row>
    <row r="14538" spans="9:9" x14ac:dyDescent="0.3">
      <c r="I14538" t="s">
        <v>20094</v>
      </c>
    </row>
    <row r="14539" spans="9:9" x14ac:dyDescent="0.3">
      <c r="I14539" t="s">
        <v>20095</v>
      </c>
    </row>
    <row r="14540" spans="9:9" x14ac:dyDescent="0.3">
      <c r="I14540" t="s">
        <v>20096</v>
      </c>
    </row>
    <row r="14541" spans="9:9" x14ac:dyDescent="0.3">
      <c r="I14541" t="s">
        <v>20097</v>
      </c>
    </row>
    <row r="14542" spans="9:9" x14ac:dyDescent="0.3">
      <c r="I14542" t="s">
        <v>20098</v>
      </c>
    </row>
    <row r="14543" spans="9:9" x14ac:dyDescent="0.3">
      <c r="I14543" t="s">
        <v>20099</v>
      </c>
    </row>
    <row r="14544" spans="9:9" x14ac:dyDescent="0.3">
      <c r="I14544" t="s">
        <v>20100</v>
      </c>
    </row>
    <row r="14545" spans="9:10" x14ac:dyDescent="0.3">
      <c r="I14545" t="s">
        <v>20101</v>
      </c>
    </row>
    <row r="14546" spans="9:10" x14ac:dyDescent="0.3">
      <c r="I14546" t="s">
        <v>20102</v>
      </c>
    </row>
    <row r="14547" spans="9:10" x14ac:dyDescent="0.3">
      <c r="I14547" t="s">
        <v>20103</v>
      </c>
    </row>
    <row r="14548" spans="9:10" x14ac:dyDescent="0.3">
      <c r="I14548" t="s">
        <v>20104</v>
      </c>
    </row>
    <row r="14549" spans="9:10" x14ac:dyDescent="0.3">
      <c r="I14549" t="s">
        <v>20105</v>
      </c>
    </row>
    <row r="14550" spans="9:10" x14ac:dyDescent="0.3">
      <c r="I14550" t="s">
        <v>20106</v>
      </c>
    </row>
    <row r="14551" spans="9:10" x14ac:dyDescent="0.3">
      <c r="I14551" t="s">
        <v>20107</v>
      </c>
    </row>
    <row r="14552" spans="9:10" x14ac:dyDescent="0.3">
      <c r="I14552" t="s">
        <v>20108</v>
      </c>
    </row>
    <row r="14553" spans="9:10" x14ac:dyDescent="0.3">
      <c r="I14553" t="s">
        <v>20109</v>
      </c>
    </row>
    <row r="14554" spans="9:10" x14ac:dyDescent="0.3">
      <c r="I14554" t="s">
        <v>20110</v>
      </c>
    </row>
    <row r="14555" spans="9:10" x14ac:dyDescent="0.3">
      <c r="I14555" t="s">
        <v>20111</v>
      </c>
    </row>
    <row r="14556" spans="9:10" x14ac:dyDescent="0.3">
      <c r="I14556" t="s">
        <v>20112</v>
      </c>
    </row>
    <row r="14557" spans="9:10" x14ac:dyDescent="0.3">
      <c r="I14557" t="s">
        <v>20113</v>
      </c>
    </row>
    <row r="14558" spans="9:10" x14ac:dyDescent="0.3">
      <c r="I14558" t="s">
        <v>20114</v>
      </c>
    </row>
    <row r="14559" spans="9:10" x14ac:dyDescent="0.3">
      <c r="I14559" t="s">
        <v>20115</v>
      </c>
      <c r="J14559" t="s">
        <v>5183</v>
      </c>
    </row>
    <row r="14560" spans="9:10" x14ac:dyDescent="0.3">
      <c r="I14560" t="s">
        <v>20116</v>
      </c>
      <c r="J14560" t="s">
        <v>5184</v>
      </c>
    </row>
    <row r="14561" spans="9:10" x14ac:dyDescent="0.3">
      <c r="I14561" t="s">
        <v>20117</v>
      </c>
      <c r="J14561" t="s">
        <v>5185</v>
      </c>
    </row>
    <row r="14562" spans="9:10" x14ac:dyDescent="0.3">
      <c r="I14562" t="s">
        <v>20118</v>
      </c>
      <c r="J14562" t="s">
        <v>5186</v>
      </c>
    </row>
    <row r="14563" spans="9:10" x14ac:dyDescent="0.3">
      <c r="I14563" t="s">
        <v>20119</v>
      </c>
      <c r="J14563" t="s">
        <v>5187</v>
      </c>
    </row>
    <row r="14564" spans="9:10" x14ac:dyDescent="0.3">
      <c r="I14564" t="s">
        <v>20120</v>
      </c>
      <c r="J14564" t="s">
        <v>5188</v>
      </c>
    </row>
    <row r="14565" spans="9:10" x14ac:dyDescent="0.3">
      <c r="I14565" t="s">
        <v>20121</v>
      </c>
      <c r="J14565" t="s">
        <v>5189</v>
      </c>
    </row>
    <row r="14566" spans="9:10" x14ac:dyDescent="0.3">
      <c r="I14566" t="s">
        <v>20122</v>
      </c>
      <c r="J14566" t="s">
        <v>5190</v>
      </c>
    </row>
    <row r="14567" spans="9:10" x14ac:dyDescent="0.3">
      <c r="I14567" t="s">
        <v>20123</v>
      </c>
    </row>
    <row r="14568" spans="9:10" x14ac:dyDescent="0.3">
      <c r="I14568" t="s">
        <v>20124</v>
      </c>
    </row>
    <row r="14569" spans="9:10" x14ac:dyDescent="0.3">
      <c r="I14569" t="s">
        <v>20125</v>
      </c>
    </row>
    <row r="14570" spans="9:10" x14ac:dyDescent="0.3">
      <c r="I14570" t="s">
        <v>20126</v>
      </c>
    </row>
    <row r="14571" spans="9:10" x14ac:dyDescent="0.3">
      <c r="I14571" t="s">
        <v>20127</v>
      </c>
    </row>
    <row r="14572" spans="9:10" x14ac:dyDescent="0.3">
      <c r="I14572" t="s">
        <v>20128</v>
      </c>
    </row>
    <row r="14573" spans="9:10" x14ac:dyDescent="0.3">
      <c r="I14573" t="s">
        <v>20129</v>
      </c>
    </row>
    <row r="14574" spans="9:10" x14ac:dyDescent="0.3">
      <c r="I14574" t="s">
        <v>20130</v>
      </c>
    </row>
    <row r="14575" spans="9:10" x14ac:dyDescent="0.3">
      <c r="I14575" t="s">
        <v>20131</v>
      </c>
    </row>
    <row r="14576" spans="9:10" x14ac:dyDescent="0.3">
      <c r="I14576" t="s">
        <v>20132</v>
      </c>
    </row>
    <row r="14577" spans="9:9" x14ac:dyDescent="0.3">
      <c r="I14577" t="s">
        <v>20133</v>
      </c>
    </row>
    <row r="14578" spans="9:9" x14ac:dyDescent="0.3">
      <c r="I14578" t="s">
        <v>20134</v>
      </c>
    </row>
    <row r="14579" spans="9:9" x14ac:dyDescent="0.3">
      <c r="I14579" t="s">
        <v>20135</v>
      </c>
    </row>
    <row r="14580" spans="9:9" x14ac:dyDescent="0.3">
      <c r="I14580" t="s">
        <v>20136</v>
      </c>
    </row>
    <row r="14581" spans="9:9" x14ac:dyDescent="0.3">
      <c r="I14581" t="s">
        <v>20137</v>
      </c>
    </row>
    <row r="14582" spans="9:9" x14ac:dyDescent="0.3">
      <c r="I14582" t="s">
        <v>20138</v>
      </c>
    </row>
    <row r="14583" spans="9:9" x14ac:dyDescent="0.3">
      <c r="I14583" t="s">
        <v>20139</v>
      </c>
    </row>
    <row r="14584" spans="9:9" x14ac:dyDescent="0.3">
      <c r="I14584" t="s">
        <v>20140</v>
      </c>
    </row>
    <row r="14585" spans="9:9" x14ac:dyDescent="0.3">
      <c r="I14585" t="s">
        <v>20141</v>
      </c>
    </row>
    <row r="14586" spans="9:9" x14ac:dyDescent="0.3">
      <c r="I14586" t="s">
        <v>20142</v>
      </c>
    </row>
    <row r="14587" spans="9:9" x14ac:dyDescent="0.3">
      <c r="I14587" t="s">
        <v>20143</v>
      </c>
    </row>
    <row r="14588" spans="9:9" x14ac:dyDescent="0.3">
      <c r="I14588" t="s">
        <v>20144</v>
      </c>
    </row>
    <row r="14589" spans="9:9" x14ac:dyDescent="0.3">
      <c r="I14589" t="s">
        <v>20145</v>
      </c>
    </row>
    <row r="14590" spans="9:9" x14ac:dyDescent="0.3">
      <c r="I14590" t="s">
        <v>20146</v>
      </c>
    </row>
    <row r="14591" spans="9:9" x14ac:dyDescent="0.3">
      <c r="I14591" t="s">
        <v>20147</v>
      </c>
    </row>
    <row r="14592" spans="9:9" x14ac:dyDescent="0.3">
      <c r="I14592" t="s">
        <v>20148</v>
      </c>
    </row>
    <row r="14593" spans="9:10" x14ac:dyDescent="0.3">
      <c r="I14593" t="s">
        <v>20149</v>
      </c>
      <c r="J14593" t="s">
        <v>5191</v>
      </c>
    </row>
    <row r="14594" spans="9:10" x14ac:dyDescent="0.3">
      <c r="I14594" t="s">
        <v>20150</v>
      </c>
    </row>
    <row r="14595" spans="9:10" x14ac:dyDescent="0.3">
      <c r="I14595" t="s">
        <v>20151</v>
      </c>
    </row>
    <row r="14596" spans="9:10" x14ac:dyDescent="0.3">
      <c r="I14596" t="s">
        <v>20152</v>
      </c>
    </row>
    <row r="14597" spans="9:10" x14ac:dyDescent="0.3">
      <c r="I14597" t="s">
        <v>20153</v>
      </c>
    </row>
    <row r="14598" spans="9:10" x14ac:dyDescent="0.3">
      <c r="I14598" t="s">
        <v>20154</v>
      </c>
    </row>
    <row r="14599" spans="9:10" x14ac:dyDescent="0.3">
      <c r="I14599" t="s">
        <v>20155</v>
      </c>
    </row>
    <row r="14600" spans="9:10" x14ac:dyDescent="0.3">
      <c r="I14600" t="s">
        <v>20156</v>
      </c>
    </row>
    <row r="14601" spans="9:10" x14ac:dyDescent="0.3">
      <c r="I14601" t="s">
        <v>20157</v>
      </c>
    </row>
    <row r="14602" spans="9:10" x14ac:dyDescent="0.3">
      <c r="I14602" t="s">
        <v>20158</v>
      </c>
    </row>
    <row r="14603" spans="9:10" x14ac:dyDescent="0.3">
      <c r="I14603" t="s">
        <v>20159</v>
      </c>
    </row>
    <row r="14604" spans="9:10" x14ac:dyDescent="0.3">
      <c r="I14604" t="s">
        <v>20160</v>
      </c>
    </row>
    <row r="14605" spans="9:10" x14ac:dyDescent="0.3">
      <c r="I14605" t="s">
        <v>20161</v>
      </c>
    </row>
    <row r="14606" spans="9:10" x14ac:dyDescent="0.3">
      <c r="I14606" t="s">
        <v>20162</v>
      </c>
    </row>
    <row r="14607" spans="9:10" x14ac:dyDescent="0.3">
      <c r="I14607" t="s">
        <v>20163</v>
      </c>
    </row>
    <row r="14608" spans="9:10" x14ac:dyDescent="0.3">
      <c r="I14608" t="s">
        <v>20164</v>
      </c>
    </row>
    <row r="14609" spans="9:9" x14ac:dyDescent="0.3">
      <c r="I14609" t="s">
        <v>20165</v>
      </c>
    </row>
    <row r="14610" spans="9:9" x14ac:dyDescent="0.3">
      <c r="I14610" t="s">
        <v>20166</v>
      </c>
    </row>
    <row r="14611" spans="9:9" x14ac:dyDescent="0.3">
      <c r="I14611" t="s">
        <v>20167</v>
      </c>
    </row>
    <row r="14612" spans="9:9" x14ac:dyDescent="0.3">
      <c r="I14612" t="s">
        <v>20168</v>
      </c>
    </row>
    <row r="14613" spans="9:9" x14ac:dyDescent="0.3">
      <c r="I14613" t="s">
        <v>20169</v>
      </c>
    </row>
    <row r="14614" spans="9:9" x14ac:dyDescent="0.3">
      <c r="I14614" t="s">
        <v>20170</v>
      </c>
    </row>
    <row r="14615" spans="9:9" x14ac:dyDescent="0.3">
      <c r="I14615" t="s">
        <v>20171</v>
      </c>
    </row>
    <row r="14616" spans="9:9" x14ac:dyDescent="0.3">
      <c r="I14616" t="s">
        <v>20172</v>
      </c>
    </row>
    <row r="14617" spans="9:9" x14ac:dyDescent="0.3">
      <c r="I14617" t="s">
        <v>20173</v>
      </c>
    </row>
    <row r="14618" spans="9:9" x14ac:dyDescent="0.3">
      <c r="I14618" t="s">
        <v>20174</v>
      </c>
    </row>
    <row r="14619" spans="9:9" x14ac:dyDescent="0.3">
      <c r="I14619" t="s">
        <v>20175</v>
      </c>
    </row>
    <row r="14620" spans="9:9" x14ac:dyDescent="0.3">
      <c r="I14620" t="s">
        <v>20176</v>
      </c>
    </row>
    <row r="14621" spans="9:9" x14ac:dyDescent="0.3">
      <c r="I14621" t="s">
        <v>20177</v>
      </c>
    </row>
    <row r="14622" spans="9:9" x14ac:dyDescent="0.3">
      <c r="I14622" t="s">
        <v>20178</v>
      </c>
    </row>
    <row r="14623" spans="9:9" x14ac:dyDescent="0.3">
      <c r="I14623" t="s">
        <v>20179</v>
      </c>
    </row>
    <row r="14624" spans="9:9" x14ac:dyDescent="0.3">
      <c r="I14624" t="s">
        <v>20180</v>
      </c>
    </row>
    <row r="14625" spans="9:10" x14ac:dyDescent="0.3">
      <c r="I14625" t="s">
        <v>20181</v>
      </c>
    </row>
    <row r="14626" spans="9:10" x14ac:dyDescent="0.3">
      <c r="I14626" t="s">
        <v>20182</v>
      </c>
    </row>
    <row r="14627" spans="9:10" x14ac:dyDescent="0.3">
      <c r="I14627" t="s">
        <v>20183</v>
      </c>
    </row>
    <row r="14628" spans="9:10" x14ac:dyDescent="0.3">
      <c r="I14628" t="s">
        <v>20184</v>
      </c>
    </row>
    <row r="14629" spans="9:10" x14ac:dyDescent="0.3">
      <c r="I14629" t="s">
        <v>20185</v>
      </c>
    </row>
    <row r="14630" spans="9:10" x14ac:dyDescent="0.3">
      <c r="I14630" t="s">
        <v>20186</v>
      </c>
    </row>
    <row r="14631" spans="9:10" x14ac:dyDescent="0.3">
      <c r="I14631" t="s">
        <v>20187</v>
      </c>
    </row>
    <row r="14632" spans="9:10" x14ac:dyDescent="0.3">
      <c r="I14632" t="s">
        <v>20188</v>
      </c>
    </row>
    <row r="14633" spans="9:10" x14ac:dyDescent="0.3">
      <c r="I14633" t="s">
        <v>20189</v>
      </c>
    </row>
    <row r="14634" spans="9:10" x14ac:dyDescent="0.3">
      <c r="I14634" t="s">
        <v>20190</v>
      </c>
      <c r="J14634" t="s">
        <v>5192</v>
      </c>
    </row>
    <row r="14635" spans="9:10" x14ac:dyDescent="0.3">
      <c r="I14635" t="s">
        <v>20191</v>
      </c>
      <c r="J14635" t="s">
        <v>5193</v>
      </c>
    </row>
    <row r="14636" spans="9:10" x14ac:dyDescent="0.3">
      <c r="I14636" t="s">
        <v>20191</v>
      </c>
      <c r="J14636" t="s">
        <v>5193</v>
      </c>
    </row>
    <row r="14637" spans="9:10" x14ac:dyDescent="0.3">
      <c r="I14637" t="s">
        <v>20192</v>
      </c>
    </row>
    <row r="14638" spans="9:10" x14ac:dyDescent="0.3">
      <c r="I14638" t="s">
        <v>20192</v>
      </c>
    </row>
    <row r="14639" spans="9:10" x14ac:dyDescent="0.3">
      <c r="I14639" t="s">
        <v>20192</v>
      </c>
    </row>
    <row r="14640" spans="9:10" x14ac:dyDescent="0.3">
      <c r="I14640" t="s">
        <v>20193</v>
      </c>
    </row>
    <row r="14641" spans="9:10" x14ac:dyDescent="0.3">
      <c r="I14641" t="s">
        <v>20194</v>
      </c>
    </row>
    <row r="14642" spans="9:10" x14ac:dyDescent="0.3">
      <c r="I14642" t="s">
        <v>20195</v>
      </c>
    </row>
    <row r="14643" spans="9:10" x14ac:dyDescent="0.3">
      <c r="I14643" t="s">
        <v>20196</v>
      </c>
    </row>
    <row r="14644" spans="9:10" x14ac:dyDescent="0.3">
      <c r="I14644" t="s">
        <v>20197</v>
      </c>
    </row>
    <row r="14645" spans="9:10" x14ac:dyDescent="0.3">
      <c r="I14645" t="s">
        <v>20198</v>
      </c>
    </row>
    <row r="14646" spans="9:10" x14ac:dyDescent="0.3">
      <c r="I14646" t="s">
        <v>20199</v>
      </c>
    </row>
    <row r="14647" spans="9:10" x14ac:dyDescent="0.3">
      <c r="I14647" t="s">
        <v>20200</v>
      </c>
    </row>
    <row r="14648" spans="9:10" x14ac:dyDescent="0.3">
      <c r="I14648" t="s">
        <v>20201</v>
      </c>
    </row>
    <row r="14649" spans="9:10" x14ac:dyDescent="0.3">
      <c r="I14649" t="s">
        <v>20202</v>
      </c>
    </row>
    <row r="14650" spans="9:10" x14ac:dyDescent="0.3">
      <c r="I14650" t="s">
        <v>20203</v>
      </c>
    </row>
    <row r="14651" spans="9:10" x14ac:dyDescent="0.3">
      <c r="I14651" t="s">
        <v>20204</v>
      </c>
    </row>
    <row r="14652" spans="9:10" x14ac:dyDescent="0.3">
      <c r="I14652" t="s">
        <v>20205</v>
      </c>
      <c r="J14652" t="s">
        <v>5194</v>
      </c>
    </row>
    <row r="14653" spans="9:10" x14ac:dyDescent="0.3">
      <c r="I14653" t="s">
        <v>20205</v>
      </c>
      <c r="J14653" t="s">
        <v>5194</v>
      </c>
    </row>
    <row r="14654" spans="9:10" x14ac:dyDescent="0.3">
      <c r="I14654" t="s">
        <v>20206</v>
      </c>
    </row>
    <row r="14655" spans="9:10" x14ac:dyDescent="0.3">
      <c r="I14655" t="s">
        <v>20207</v>
      </c>
    </row>
    <row r="14656" spans="9:10" x14ac:dyDescent="0.3">
      <c r="I14656" t="s">
        <v>20208</v>
      </c>
    </row>
    <row r="14657" spans="9:10" x14ac:dyDescent="0.3">
      <c r="I14657" t="s">
        <v>20209</v>
      </c>
      <c r="J14657" t="s">
        <v>5195</v>
      </c>
    </row>
    <row r="14658" spans="9:10" x14ac:dyDescent="0.3">
      <c r="I14658" t="s">
        <v>20210</v>
      </c>
    </row>
    <row r="14659" spans="9:10" x14ac:dyDescent="0.3">
      <c r="I14659" t="s">
        <v>20211</v>
      </c>
    </row>
    <row r="14660" spans="9:10" x14ac:dyDescent="0.3">
      <c r="I14660" t="s">
        <v>20212</v>
      </c>
    </row>
    <row r="14661" spans="9:10" x14ac:dyDescent="0.3">
      <c r="I14661" t="s">
        <v>20213</v>
      </c>
    </row>
    <row r="14662" spans="9:10" x14ac:dyDescent="0.3">
      <c r="I14662" t="s">
        <v>20214</v>
      </c>
    </row>
    <row r="14663" spans="9:10" x14ac:dyDescent="0.3">
      <c r="I14663" t="s">
        <v>20215</v>
      </c>
    </row>
    <row r="14664" spans="9:10" x14ac:dyDescent="0.3">
      <c r="I14664" t="s">
        <v>20216</v>
      </c>
    </row>
    <row r="14665" spans="9:10" x14ac:dyDescent="0.3">
      <c r="I14665" t="s">
        <v>20217</v>
      </c>
    </row>
    <row r="14666" spans="9:10" x14ac:dyDescent="0.3">
      <c r="I14666" t="s">
        <v>20218</v>
      </c>
    </row>
    <row r="14667" spans="9:10" x14ac:dyDescent="0.3">
      <c r="I14667" t="s">
        <v>20219</v>
      </c>
    </row>
    <row r="14668" spans="9:10" x14ac:dyDescent="0.3">
      <c r="I14668" t="s">
        <v>20220</v>
      </c>
    </row>
    <row r="14669" spans="9:10" x14ac:dyDescent="0.3">
      <c r="I14669" t="s">
        <v>20221</v>
      </c>
    </row>
    <row r="14670" spans="9:10" x14ac:dyDescent="0.3">
      <c r="I14670" t="s">
        <v>20222</v>
      </c>
    </row>
    <row r="14671" spans="9:10" x14ac:dyDescent="0.3">
      <c r="I14671" t="s">
        <v>20223</v>
      </c>
      <c r="J14671" t="s">
        <v>5196</v>
      </c>
    </row>
    <row r="14672" spans="9:10" x14ac:dyDescent="0.3">
      <c r="I14672" t="s">
        <v>20224</v>
      </c>
    </row>
    <row r="14673" spans="9:10" x14ac:dyDescent="0.3">
      <c r="I14673" t="s">
        <v>20225</v>
      </c>
    </row>
    <row r="14674" spans="9:10" x14ac:dyDescent="0.3">
      <c r="I14674" t="s">
        <v>20226</v>
      </c>
    </row>
    <row r="14675" spans="9:10" x14ac:dyDescent="0.3">
      <c r="I14675" t="s">
        <v>20227</v>
      </c>
    </row>
    <row r="14676" spans="9:10" x14ac:dyDescent="0.3">
      <c r="I14676" t="s">
        <v>20228</v>
      </c>
    </row>
    <row r="14677" spans="9:10" x14ac:dyDescent="0.3">
      <c r="I14677" t="s">
        <v>20229</v>
      </c>
    </row>
    <row r="14678" spans="9:10" x14ac:dyDescent="0.3">
      <c r="I14678" t="s">
        <v>20230</v>
      </c>
      <c r="J14678" t="s">
        <v>5197</v>
      </c>
    </row>
    <row r="14679" spans="9:10" x14ac:dyDescent="0.3">
      <c r="I14679" t="s">
        <v>20231</v>
      </c>
    </row>
    <row r="14680" spans="9:10" x14ac:dyDescent="0.3">
      <c r="I14680" t="s">
        <v>20232</v>
      </c>
    </row>
    <row r="14681" spans="9:10" x14ac:dyDescent="0.3">
      <c r="I14681" t="s">
        <v>20233</v>
      </c>
    </row>
    <row r="14682" spans="9:10" x14ac:dyDescent="0.3">
      <c r="I14682" t="s">
        <v>20234</v>
      </c>
    </row>
    <row r="14683" spans="9:10" x14ac:dyDescent="0.3">
      <c r="I14683" t="s">
        <v>20235</v>
      </c>
    </row>
    <row r="14684" spans="9:10" x14ac:dyDescent="0.3">
      <c r="I14684" t="s">
        <v>20236</v>
      </c>
    </row>
    <row r="14685" spans="9:10" x14ac:dyDescent="0.3">
      <c r="I14685" t="s">
        <v>20237</v>
      </c>
    </row>
    <row r="14686" spans="9:10" x14ac:dyDescent="0.3">
      <c r="I14686" t="s">
        <v>20238</v>
      </c>
    </row>
    <row r="14687" spans="9:10" x14ac:dyDescent="0.3">
      <c r="I14687" t="s">
        <v>20239</v>
      </c>
    </row>
    <row r="14688" spans="9:10" x14ac:dyDescent="0.3">
      <c r="I14688" t="s">
        <v>20240</v>
      </c>
      <c r="J14688" t="s">
        <v>5198</v>
      </c>
    </row>
    <row r="14689" spans="9:10" x14ac:dyDescent="0.3">
      <c r="I14689" t="s">
        <v>20240</v>
      </c>
      <c r="J14689" t="s">
        <v>5198</v>
      </c>
    </row>
    <row r="14690" spans="9:10" x14ac:dyDescent="0.3">
      <c r="I14690" t="s">
        <v>20240</v>
      </c>
      <c r="J14690" t="s">
        <v>5198</v>
      </c>
    </row>
    <row r="14691" spans="9:10" x14ac:dyDescent="0.3">
      <c r="I14691" t="s">
        <v>20240</v>
      </c>
      <c r="J14691" t="s">
        <v>5198</v>
      </c>
    </row>
    <row r="14692" spans="9:10" x14ac:dyDescent="0.3">
      <c r="I14692" t="s">
        <v>20240</v>
      </c>
      <c r="J14692" t="s">
        <v>5198</v>
      </c>
    </row>
    <row r="14693" spans="9:10" x14ac:dyDescent="0.3">
      <c r="I14693" t="s">
        <v>20241</v>
      </c>
    </row>
    <row r="14694" spans="9:10" x14ac:dyDescent="0.3">
      <c r="I14694" t="s">
        <v>20242</v>
      </c>
    </row>
    <row r="14695" spans="9:10" x14ac:dyDescent="0.3">
      <c r="I14695" t="s">
        <v>20243</v>
      </c>
      <c r="J14695" t="s">
        <v>5199</v>
      </c>
    </row>
    <row r="14696" spans="9:10" x14ac:dyDescent="0.3">
      <c r="I14696" t="s">
        <v>20244</v>
      </c>
      <c r="J14696" t="s">
        <v>457</v>
      </c>
    </row>
    <row r="14697" spans="9:10" x14ac:dyDescent="0.3">
      <c r="I14697" t="s">
        <v>20245</v>
      </c>
    </row>
    <row r="14698" spans="9:10" x14ac:dyDescent="0.3">
      <c r="I14698" t="s">
        <v>20246</v>
      </c>
    </row>
    <row r="14699" spans="9:10" x14ac:dyDescent="0.3">
      <c r="I14699" t="s">
        <v>20247</v>
      </c>
    </row>
    <row r="14700" spans="9:10" x14ac:dyDescent="0.3">
      <c r="I14700" t="s">
        <v>20248</v>
      </c>
      <c r="J14700" t="s">
        <v>5200</v>
      </c>
    </row>
    <row r="14701" spans="9:10" x14ac:dyDescent="0.3">
      <c r="I14701" t="s">
        <v>20249</v>
      </c>
    </row>
    <row r="14702" spans="9:10" x14ac:dyDescent="0.3">
      <c r="I14702" t="s">
        <v>20250</v>
      </c>
    </row>
    <row r="14703" spans="9:10" x14ac:dyDescent="0.3">
      <c r="I14703" t="s">
        <v>20251</v>
      </c>
    </row>
    <row r="14704" spans="9:10" x14ac:dyDescent="0.3">
      <c r="I14704" t="s">
        <v>20252</v>
      </c>
    </row>
    <row r="14705" spans="9:10" x14ac:dyDescent="0.3">
      <c r="I14705" t="s">
        <v>20253</v>
      </c>
    </row>
    <row r="14706" spans="9:10" x14ac:dyDescent="0.3">
      <c r="I14706" t="s">
        <v>20254</v>
      </c>
      <c r="J14706" t="s">
        <v>5201</v>
      </c>
    </row>
    <row r="14707" spans="9:10" x14ac:dyDescent="0.3">
      <c r="I14707" t="s">
        <v>20255</v>
      </c>
      <c r="J14707" t="s">
        <v>5201</v>
      </c>
    </row>
    <row r="14708" spans="9:10" x14ac:dyDescent="0.3">
      <c r="I14708" t="s">
        <v>20256</v>
      </c>
      <c r="J14708" t="s">
        <v>5202</v>
      </c>
    </row>
    <row r="14709" spans="9:10" x14ac:dyDescent="0.3">
      <c r="I14709" t="s">
        <v>20257</v>
      </c>
      <c r="J14709" t="s">
        <v>5202</v>
      </c>
    </row>
    <row r="14710" spans="9:10" x14ac:dyDescent="0.3">
      <c r="I14710" t="s">
        <v>20258</v>
      </c>
      <c r="J14710" t="s">
        <v>5203</v>
      </c>
    </row>
    <row r="14711" spans="9:10" x14ac:dyDescent="0.3">
      <c r="I14711" t="s">
        <v>20259</v>
      </c>
      <c r="J14711" t="s">
        <v>5203</v>
      </c>
    </row>
    <row r="14712" spans="9:10" x14ac:dyDescent="0.3">
      <c r="I14712" t="s">
        <v>20260</v>
      </c>
      <c r="J14712" t="s">
        <v>5204</v>
      </c>
    </row>
    <row r="14713" spans="9:10" x14ac:dyDescent="0.3">
      <c r="I14713" t="s">
        <v>20261</v>
      </c>
      <c r="J14713" t="s">
        <v>5204</v>
      </c>
    </row>
    <row r="14714" spans="9:10" x14ac:dyDescent="0.3">
      <c r="I14714" t="s">
        <v>20262</v>
      </c>
    </row>
    <row r="14715" spans="9:10" x14ac:dyDescent="0.3">
      <c r="I14715" t="s">
        <v>20263</v>
      </c>
    </row>
    <row r="14716" spans="9:10" x14ac:dyDescent="0.3">
      <c r="I14716" t="s">
        <v>20264</v>
      </c>
    </row>
    <row r="14717" spans="9:10" x14ac:dyDescent="0.3">
      <c r="I14717" t="s">
        <v>20265</v>
      </c>
    </row>
    <row r="14718" spans="9:10" x14ac:dyDescent="0.3">
      <c r="I14718" t="s">
        <v>20266</v>
      </c>
    </row>
    <row r="14719" spans="9:10" x14ac:dyDescent="0.3">
      <c r="I14719" t="s">
        <v>20267</v>
      </c>
      <c r="J14719" t="s">
        <v>5205</v>
      </c>
    </row>
    <row r="14720" spans="9:10" x14ac:dyDescent="0.3">
      <c r="I14720" t="s">
        <v>20267</v>
      </c>
      <c r="J14720" t="s">
        <v>5205</v>
      </c>
    </row>
    <row r="14721" spans="9:10" x14ac:dyDescent="0.3">
      <c r="I14721" t="s">
        <v>20268</v>
      </c>
    </row>
    <row r="14722" spans="9:10" x14ac:dyDescent="0.3">
      <c r="I14722" t="s">
        <v>20269</v>
      </c>
      <c r="J14722" t="s">
        <v>5206</v>
      </c>
    </row>
    <row r="14723" spans="9:10" x14ac:dyDescent="0.3">
      <c r="I14723" t="s">
        <v>20270</v>
      </c>
      <c r="J14723" t="s">
        <v>5206</v>
      </c>
    </row>
    <row r="14724" spans="9:10" x14ac:dyDescent="0.3">
      <c r="I14724" t="s">
        <v>20270</v>
      </c>
      <c r="J14724" t="s">
        <v>5206</v>
      </c>
    </row>
    <row r="14725" spans="9:10" x14ac:dyDescent="0.3">
      <c r="I14725" t="s">
        <v>20271</v>
      </c>
      <c r="J14725" t="s">
        <v>5206</v>
      </c>
    </row>
    <row r="14726" spans="9:10" x14ac:dyDescent="0.3">
      <c r="I14726" t="s">
        <v>20272</v>
      </c>
    </row>
    <row r="14727" spans="9:10" x14ac:dyDescent="0.3">
      <c r="I14727" t="s">
        <v>20273</v>
      </c>
    </row>
    <row r="14728" spans="9:10" x14ac:dyDescent="0.3">
      <c r="I14728" t="s">
        <v>20274</v>
      </c>
    </row>
    <row r="14729" spans="9:10" x14ac:dyDescent="0.3">
      <c r="I14729" t="s">
        <v>20275</v>
      </c>
      <c r="J14729" t="s">
        <v>5207</v>
      </c>
    </row>
    <row r="14730" spans="9:10" x14ac:dyDescent="0.3">
      <c r="I14730" t="s">
        <v>20276</v>
      </c>
    </row>
    <row r="14731" spans="9:10" x14ac:dyDescent="0.3">
      <c r="I14731" t="s">
        <v>20277</v>
      </c>
      <c r="J14731" t="s">
        <v>5208</v>
      </c>
    </row>
    <row r="14732" spans="9:10" x14ac:dyDescent="0.3">
      <c r="I14732" t="s">
        <v>20278</v>
      </c>
      <c r="J14732" t="s">
        <v>5209</v>
      </c>
    </row>
    <row r="14733" spans="9:10" x14ac:dyDescent="0.3">
      <c r="I14733" t="s">
        <v>20279</v>
      </c>
    </row>
    <row r="14734" spans="9:10" x14ac:dyDescent="0.3">
      <c r="I14734" t="s">
        <v>20280</v>
      </c>
    </row>
    <row r="14735" spans="9:10" x14ac:dyDescent="0.3">
      <c r="I14735" t="s">
        <v>20281</v>
      </c>
      <c r="J14735" t="s">
        <v>5210</v>
      </c>
    </row>
    <row r="14736" spans="9:10" x14ac:dyDescent="0.3">
      <c r="I14736" t="s">
        <v>20281</v>
      </c>
      <c r="J14736" t="s">
        <v>5210</v>
      </c>
    </row>
    <row r="14737" spans="9:10" x14ac:dyDescent="0.3">
      <c r="I14737" t="s">
        <v>20281</v>
      </c>
      <c r="J14737" t="s">
        <v>5210</v>
      </c>
    </row>
    <row r="14738" spans="9:10" x14ac:dyDescent="0.3">
      <c r="I14738" t="s">
        <v>20281</v>
      </c>
      <c r="J14738" t="s">
        <v>5210</v>
      </c>
    </row>
    <row r="14739" spans="9:10" x14ac:dyDescent="0.3">
      <c r="I14739" t="s">
        <v>20281</v>
      </c>
      <c r="J14739" t="s">
        <v>5210</v>
      </c>
    </row>
    <row r="14740" spans="9:10" x14ac:dyDescent="0.3">
      <c r="I14740" t="s">
        <v>20282</v>
      </c>
    </row>
    <row r="14741" spans="9:10" x14ac:dyDescent="0.3">
      <c r="I14741" t="s">
        <v>20283</v>
      </c>
      <c r="J14741" t="s">
        <v>5211</v>
      </c>
    </row>
    <row r="14742" spans="9:10" x14ac:dyDescent="0.3">
      <c r="I14742" t="s">
        <v>20284</v>
      </c>
      <c r="J14742" t="s">
        <v>5212</v>
      </c>
    </row>
    <row r="14743" spans="9:10" x14ac:dyDescent="0.3">
      <c r="I14743" t="s">
        <v>20284</v>
      </c>
      <c r="J14743" t="s">
        <v>5212</v>
      </c>
    </row>
    <row r="14744" spans="9:10" x14ac:dyDescent="0.3">
      <c r="I14744" t="s">
        <v>20285</v>
      </c>
      <c r="J14744" t="s">
        <v>2045</v>
      </c>
    </row>
    <row r="14745" spans="9:10" x14ac:dyDescent="0.3">
      <c r="I14745" t="s">
        <v>20285</v>
      </c>
      <c r="J14745" t="s">
        <v>2045</v>
      </c>
    </row>
    <row r="14746" spans="9:10" x14ac:dyDescent="0.3">
      <c r="I14746" t="s">
        <v>20285</v>
      </c>
      <c r="J14746" t="s">
        <v>2045</v>
      </c>
    </row>
    <row r="14747" spans="9:10" x14ac:dyDescent="0.3">
      <c r="I14747" t="s">
        <v>20285</v>
      </c>
      <c r="J14747" t="s">
        <v>2045</v>
      </c>
    </row>
    <row r="14748" spans="9:10" x14ac:dyDescent="0.3">
      <c r="I14748" t="s">
        <v>20285</v>
      </c>
      <c r="J14748" t="s">
        <v>2045</v>
      </c>
    </row>
    <row r="14749" spans="9:10" x14ac:dyDescent="0.3">
      <c r="I14749" t="s">
        <v>20286</v>
      </c>
      <c r="J14749" t="s">
        <v>2045</v>
      </c>
    </row>
    <row r="14750" spans="9:10" x14ac:dyDescent="0.3">
      <c r="I14750" t="s">
        <v>20287</v>
      </c>
      <c r="J14750" t="s">
        <v>2045</v>
      </c>
    </row>
    <row r="14751" spans="9:10" x14ac:dyDescent="0.3">
      <c r="I14751" t="s">
        <v>20288</v>
      </c>
      <c r="J14751" t="s">
        <v>2045</v>
      </c>
    </row>
    <row r="14752" spans="9:10" x14ac:dyDescent="0.3">
      <c r="I14752" t="s">
        <v>20289</v>
      </c>
      <c r="J14752" t="s">
        <v>2045</v>
      </c>
    </row>
    <row r="14753" spans="9:10" x14ac:dyDescent="0.3">
      <c r="I14753" t="s">
        <v>20285</v>
      </c>
      <c r="J14753" t="s">
        <v>2045</v>
      </c>
    </row>
    <row r="14754" spans="9:10" x14ac:dyDescent="0.3">
      <c r="I14754" t="s">
        <v>20285</v>
      </c>
      <c r="J14754" t="s">
        <v>2045</v>
      </c>
    </row>
    <row r="14755" spans="9:10" x14ac:dyDescent="0.3">
      <c r="I14755" t="s">
        <v>20289</v>
      </c>
      <c r="J14755" t="s">
        <v>2045</v>
      </c>
    </row>
    <row r="14756" spans="9:10" x14ac:dyDescent="0.3">
      <c r="I14756" t="s">
        <v>20285</v>
      </c>
      <c r="J14756" t="s">
        <v>2045</v>
      </c>
    </row>
    <row r="14757" spans="9:10" x14ac:dyDescent="0.3">
      <c r="I14757" t="s">
        <v>20289</v>
      </c>
      <c r="J14757" t="s">
        <v>2045</v>
      </c>
    </row>
    <row r="14758" spans="9:10" x14ac:dyDescent="0.3">
      <c r="I14758" t="s">
        <v>20290</v>
      </c>
    </row>
    <row r="14759" spans="9:10" x14ac:dyDescent="0.3">
      <c r="I14759" t="s">
        <v>20291</v>
      </c>
    </row>
    <row r="14760" spans="9:10" x14ac:dyDescent="0.3">
      <c r="I14760" t="s">
        <v>20292</v>
      </c>
      <c r="J14760" t="s">
        <v>5213</v>
      </c>
    </row>
    <row r="14761" spans="9:10" x14ac:dyDescent="0.3">
      <c r="I14761" t="s">
        <v>20293</v>
      </c>
    </row>
    <row r="14762" spans="9:10" x14ac:dyDescent="0.3">
      <c r="I14762" t="s">
        <v>20294</v>
      </c>
    </row>
    <row r="14763" spans="9:10" x14ac:dyDescent="0.3">
      <c r="I14763" t="s">
        <v>20295</v>
      </c>
      <c r="J14763" t="s">
        <v>5214</v>
      </c>
    </row>
    <row r="14764" spans="9:10" x14ac:dyDescent="0.3">
      <c r="I14764" t="s">
        <v>20296</v>
      </c>
      <c r="J14764" t="s">
        <v>5215</v>
      </c>
    </row>
    <row r="14765" spans="9:10" x14ac:dyDescent="0.3">
      <c r="I14765" t="s">
        <v>20297</v>
      </c>
      <c r="J14765" t="s">
        <v>5215</v>
      </c>
    </row>
    <row r="14766" spans="9:10" x14ac:dyDescent="0.3">
      <c r="I14766" t="s">
        <v>20298</v>
      </c>
      <c r="J14766" t="s">
        <v>5216</v>
      </c>
    </row>
    <row r="14767" spans="9:10" x14ac:dyDescent="0.3">
      <c r="I14767" t="s">
        <v>20299</v>
      </c>
    </row>
    <row r="14768" spans="9:10" x14ac:dyDescent="0.3">
      <c r="I14768" t="s">
        <v>20300</v>
      </c>
      <c r="J14768" t="s">
        <v>5217</v>
      </c>
    </row>
    <row r="14769" spans="9:10" x14ac:dyDescent="0.3">
      <c r="I14769" t="s">
        <v>20301</v>
      </c>
      <c r="J14769" t="s">
        <v>5218</v>
      </c>
    </row>
    <row r="14770" spans="9:10" x14ac:dyDescent="0.3">
      <c r="I14770" t="s">
        <v>20301</v>
      </c>
      <c r="J14770" t="s">
        <v>5218</v>
      </c>
    </row>
    <row r="14771" spans="9:10" x14ac:dyDescent="0.3">
      <c r="I14771" t="s">
        <v>20302</v>
      </c>
    </row>
    <row r="14772" spans="9:10" x14ac:dyDescent="0.3">
      <c r="I14772" t="s">
        <v>20302</v>
      </c>
    </row>
    <row r="14773" spans="9:10" x14ac:dyDescent="0.3">
      <c r="I14773" t="s">
        <v>20303</v>
      </c>
      <c r="J14773" t="s">
        <v>5219</v>
      </c>
    </row>
    <row r="14774" spans="9:10" x14ac:dyDescent="0.3">
      <c r="I14774" t="s">
        <v>20304</v>
      </c>
    </row>
    <row r="14775" spans="9:10" x14ac:dyDescent="0.3">
      <c r="I14775" t="s">
        <v>20305</v>
      </c>
      <c r="J14775" t="s">
        <v>5220</v>
      </c>
    </row>
    <row r="14776" spans="9:10" x14ac:dyDescent="0.3">
      <c r="I14776" t="s">
        <v>20306</v>
      </c>
      <c r="J14776" t="s">
        <v>5220</v>
      </c>
    </row>
    <row r="14777" spans="9:10" x14ac:dyDescent="0.3">
      <c r="I14777" t="s">
        <v>20307</v>
      </c>
      <c r="J14777" t="s">
        <v>5220</v>
      </c>
    </row>
    <row r="14778" spans="9:10" x14ac:dyDescent="0.3">
      <c r="I14778" t="s">
        <v>20308</v>
      </c>
      <c r="J14778" t="s">
        <v>5221</v>
      </c>
    </row>
    <row r="14779" spans="9:10" x14ac:dyDescent="0.3">
      <c r="I14779" t="s">
        <v>20308</v>
      </c>
      <c r="J14779" t="s">
        <v>5221</v>
      </c>
    </row>
    <row r="14780" spans="9:10" x14ac:dyDescent="0.3">
      <c r="I14780" t="s">
        <v>20309</v>
      </c>
      <c r="J14780" t="s">
        <v>5222</v>
      </c>
    </row>
    <row r="14781" spans="9:10" x14ac:dyDescent="0.3">
      <c r="I14781" t="s">
        <v>20310</v>
      </c>
    </row>
    <row r="14782" spans="9:10" x14ac:dyDescent="0.3">
      <c r="I14782" t="s">
        <v>20311</v>
      </c>
    </row>
    <row r="14783" spans="9:10" x14ac:dyDescent="0.3">
      <c r="I14783" t="s">
        <v>20312</v>
      </c>
      <c r="J14783" t="s">
        <v>5223</v>
      </c>
    </row>
    <row r="14784" spans="9:10" x14ac:dyDescent="0.3">
      <c r="I14784" t="s">
        <v>20313</v>
      </c>
      <c r="J14784" t="s">
        <v>5224</v>
      </c>
    </row>
    <row r="14785" spans="9:10" x14ac:dyDescent="0.3">
      <c r="I14785" t="s">
        <v>20314</v>
      </c>
    </row>
    <row r="14786" spans="9:10" x14ac:dyDescent="0.3">
      <c r="I14786" t="s">
        <v>20315</v>
      </c>
      <c r="J14786" t="s">
        <v>5225</v>
      </c>
    </row>
    <row r="14787" spans="9:10" x14ac:dyDescent="0.3">
      <c r="I14787" t="s">
        <v>20316</v>
      </c>
    </row>
    <row r="14788" spans="9:10" x14ac:dyDescent="0.3">
      <c r="I14788" t="s">
        <v>20317</v>
      </c>
    </row>
    <row r="14789" spans="9:10" x14ac:dyDescent="0.3">
      <c r="I14789" t="s">
        <v>20318</v>
      </c>
      <c r="J14789" t="s">
        <v>521</v>
      </c>
    </row>
    <row r="14790" spans="9:10" x14ac:dyDescent="0.3">
      <c r="I14790" t="s">
        <v>20319</v>
      </c>
    </row>
    <row r="14791" spans="9:10" x14ac:dyDescent="0.3">
      <c r="I14791" t="s">
        <v>20320</v>
      </c>
      <c r="J14791" t="s">
        <v>5226</v>
      </c>
    </row>
    <row r="14792" spans="9:10" x14ac:dyDescent="0.3">
      <c r="I14792" t="s">
        <v>20321</v>
      </c>
      <c r="J14792" t="s">
        <v>5227</v>
      </c>
    </row>
    <row r="14793" spans="9:10" x14ac:dyDescent="0.3">
      <c r="I14793" t="s">
        <v>20322</v>
      </c>
      <c r="J14793" t="s">
        <v>5228</v>
      </c>
    </row>
    <row r="14794" spans="9:10" x14ac:dyDescent="0.3">
      <c r="I14794" t="s">
        <v>20323</v>
      </c>
    </row>
    <row r="14795" spans="9:10" x14ac:dyDescent="0.3">
      <c r="I14795" t="s">
        <v>20324</v>
      </c>
    </row>
    <row r="14796" spans="9:10" x14ac:dyDescent="0.3">
      <c r="I14796" t="s">
        <v>20325</v>
      </c>
    </row>
    <row r="14797" spans="9:10" x14ac:dyDescent="0.3">
      <c r="I14797" t="s">
        <v>20326</v>
      </c>
    </row>
    <row r="14798" spans="9:10" x14ac:dyDescent="0.3">
      <c r="I14798" t="s">
        <v>20327</v>
      </c>
      <c r="J14798" t="s">
        <v>5229</v>
      </c>
    </row>
    <row r="14799" spans="9:10" x14ac:dyDescent="0.3">
      <c r="I14799" t="s">
        <v>20328</v>
      </c>
      <c r="J14799" t="s">
        <v>5230</v>
      </c>
    </row>
    <row r="14800" spans="9:10" x14ac:dyDescent="0.3">
      <c r="I14800" t="s">
        <v>20329</v>
      </c>
    </row>
    <row r="14801" spans="9:10" x14ac:dyDescent="0.3">
      <c r="I14801" t="s">
        <v>20330</v>
      </c>
    </row>
    <row r="14802" spans="9:10" x14ac:dyDescent="0.3">
      <c r="I14802" t="s">
        <v>20331</v>
      </c>
    </row>
    <row r="14803" spans="9:10" x14ac:dyDescent="0.3">
      <c r="I14803" t="s">
        <v>20332</v>
      </c>
    </row>
    <row r="14804" spans="9:10" x14ac:dyDescent="0.3">
      <c r="I14804" t="s">
        <v>20333</v>
      </c>
      <c r="J14804" t="s">
        <v>5231</v>
      </c>
    </row>
    <row r="14805" spans="9:10" x14ac:dyDescent="0.3">
      <c r="I14805" t="s">
        <v>20333</v>
      </c>
      <c r="J14805" t="s">
        <v>5231</v>
      </c>
    </row>
    <row r="14806" spans="9:10" x14ac:dyDescent="0.3">
      <c r="I14806" t="s">
        <v>20334</v>
      </c>
      <c r="J14806" t="s">
        <v>5232</v>
      </c>
    </row>
    <row r="14807" spans="9:10" x14ac:dyDescent="0.3">
      <c r="I14807" t="s">
        <v>20335</v>
      </c>
      <c r="J14807" t="s">
        <v>5232</v>
      </c>
    </row>
    <row r="14808" spans="9:10" x14ac:dyDescent="0.3">
      <c r="I14808" t="s">
        <v>20336</v>
      </c>
      <c r="J14808" t="s">
        <v>5232</v>
      </c>
    </row>
    <row r="14809" spans="9:10" x14ac:dyDescent="0.3">
      <c r="I14809" t="s">
        <v>20337</v>
      </c>
      <c r="J14809" t="s">
        <v>5233</v>
      </c>
    </row>
    <row r="14810" spans="9:10" x14ac:dyDescent="0.3">
      <c r="I14810" t="s">
        <v>20338</v>
      </c>
      <c r="J14810" t="s">
        <v>5234</v>
      </c>
    </row>
    <row r="14811" spans="9:10" x14ac:dyDescent="0.3">
      <c r="I14811" t="s">
        <v>20339</v>
      </c>
    </row>
    <row r="14812" spans="9:10" x14ac:dyDescent="0.3">
      <c r="I14812" t="s">
        <v>20340</v>
      </c>
      <c r="J14812" t="s">
        <v>5235</v>
      </c>
    </row>
    <row r="14813" spans="9:10" x14ac:dyDescent="0.3">
      <c r="I14813" t="s">
        <v>20341</v>
      </c>
      <c r="J14813" t="s">
        <v>5235</v>
      </c>
    </row>
    <row r="14814" spans="9:10" x14ac:dyDescent="0.3">
      <c r="I14814" t="s">
        <v>20342</v>
      </c>
    </row>
    <row r="14815" spans="9:10" x14ac:dyDescent="0.3">
      <c r="I14815" t="s">
        <v>20343</v>
      </c>
    </row>
    <row r="14816" spans="9:10" x14ac:dyDescent="0.3">
      <c r="I14816" t="s">
        <v>20344</v>
      </c>
    </row>
    <row r="14817" spans="9:10" x14ac:dyDescent="0.3">
      <c r="I14817" t="s">
        <v>20345</v>
      </c>
    </row>
    <row r="14818" spans="9:10" x14ac:dyDescent="0.3">
      <c r="I14818" t="s">
        <v>20346</v>
      </c>
    </row>
    <row r="14819" spans="9:10" x14ac:dyDescent="0.3">
      <c r="I14819" t="s">
        <v>20346</v>
      </c>
    </row>
    <row r="14820" spans="9:10" x14ac:dyDescent="0.3">
      <c r="I14820" t="s">
        <v>20347</v>
      </c>
      <c r="J14820" t="s">
        <v>5236</v>
      </c>
    </row>
    <row r="14821" spans="9:10" x14ac:dyDescent="0.3">
      <c r="I14821" t="s">
        <v>20348</v>
      </c>
      <c r="J14821" t="s">
        <v>5237</v>
      </c>
    </row>
    <row r="14822" spans="9:10" x14ac:dyDescent="0.3">
      <c r="I14822" t="s">
        <v>20349</v>
      </c>
      <c r="J14822" t="s">
        <v>5237</v>
      </c>
    </row>
    <row r="14823" spans="9:10" x14ac:dyDescent="0.3">
      <c r="I14823" t="s">
        <v>20350</v>
      </c>
      <c r="J14823" t="s">
        <v>5238</v>
      </c>
    </row>
    <row r="14824" spans="9:10" x14ac:dyDescent="0.3">
      <c r="I14824" t="s">
        <v>20351</v>
      </c>
      <c r="J14824" t="s">
        <v>5239</v>
      </c>
    </row>
    <row r="14825" spans="9:10" x14ac:dyDescent="0.3">
      <c r="I14825" t="s">
        <v>20352</v>
      </c>
      <c r="J14825" t="s">
        <v>5240</v>
      </c>
    </row>
    <row r="14826" spans="9:10" x14ac:dyDescent="0.3">
      <c r="I14826" t="s">
        <v>20353</v>
      </c>
      <c r="J14826" t="s">
        <v>5241</v>
      </c>
    </row>
    <row r="14827" spans="9:10" x14ac:dyDescent="0.3">
      <c r="I14827" t="s">
        <v>20354</v>
      </c>
      <c r="J14827" t="s">
        <v>5241</v>
      </c>
    </row>
    <row r="14828" spans="9:10" x14ac:dyDescent="0.3">
      <c r="I14828" t="s">
        <v>20354</v>
      </c>
      <c r="J14828" t="s">
        <v>5241</v>
      </c>
    </row>
    <row r="14829" spans="9:10" x14ac:dyDescent="0.3">
      <c r="I14829" t="s">
        <v>20355</v>
      </c>
      <c r="J14829" t="s">
        <v>5242</v>
      </c>
    </row>
    <row r="14830" spans="9:10" x14ac:dyDescent="0.3">
      <c r="I14830" t="s">
        <v>20356</v>
      </c>
      <c r="J14830" t="s">
        <v>5243</v>
      </c>
    </row>
    <row r="14831" spans="9:10" x14ac:dyDescent="0.3">
      <c r="I14831" t="s">
        <v>20357</v>
      </c>
    </row>
    <row r="14832" spans="9:10" x14ac:dyDescent="0.3">
      <c r="I14832" t="s">
        <v>20358</v>
      </c>
      <c r="J14832" t="s">
        <v>5244</v>
      </c>
    </row>
    <row r="14833" spans="9:10" x14ac:dyDescent="0.3">
      <c r="I14833" t="s">
        <v>20359</v>
      </c>
      <c r="J14833" t="s">
        <v>5244</v>
      </c>
    </row>
    <row r="14834" spans="9:10" x14ac:dyDescent="0.3">
      <c r="I14834" t="s">
        <v>20360</v>
      </c>
    </row>
    <row r="14835" spans="9:10" x14ac:dyDescent="0.3">
      <c r="I14835" t="s">
        <v>20361</v>
      </c>
      <c r="J14835" t="s">
        <v>5245</v>
      </c>
    </row>
    <row r="14836" spans="9:10" x14ac:dyDescent="0.3">
      <c r="I14836" t="s">
        <v>20362</v>
      </c>
      <c r="J14836" t="s">
        <v>5246</v>
      </c>
    </row>
    <row r="14837" spans="9:10" x14ac:dyDescent="0.3">
      <c r="I14837" t="s">
        <v>20363</v>
      </c>
      <c r="J14837" t="s">
        <v>5247</v>
      </c>
    </row>
    <row r="14838" spans="9:10" x14ac:dyDescent="0.3">
      <c r="I14838" t="s">
        <v>20364</v>
      </c>
      <c r="J14838" t="s">
        <v>5248</v>
      </c>
    </row>
    <row r="14839" spans="9:10" x14ac:dyDescent="0.3">
      <c r="I14839" t="s">
        <v>20365</v>
      </c>
      <c r="J14839" t="s">
        <v>5249</v>
      </c>
    </row>
    <row r="14840" spans="9:10" x14ac:dyDescent="0.3">
      <c r="I14840" t="s">
        <v>20366</v>
      </c>
      <c r="J14840" t="s">
        <v>5249</v>
      </c>
    </row>
    <row r="14841" spans="9:10" x14ac:dyDescent="0.3">
      <c r="I14841" t="s">
        <v>20367</v>
      </c>
      <c r="J14841" t="s">
        <v>649</v>
      </c>
    </row>
    <row r="14842" spans="9:10" x14ac:dyDescent="0.3">
      <c r="I14842" t="s">
        <v>20368</v>
      </c>
      <c r="J14842" t="s">
        <v>649</v>
      </c>
    </row>
    <row r="14843" spans="9:10" x14ac:dyDescent="0.3">
      <c r="I14843" t="s">
        <v>20368</v>
      </c>
      <c r="J14843" t="s">
        <v>649</v>
      </c>
    </row>
    <row r="14844" spans="9:10" x14ac:dyDescent="0.3">
      <c r="I14844" t="s">
        <v>20369</v>
      </c>
      <c r="J14844" t="s">
        <v>5250</v>
      </c>
    </row>
    <row r="14845" spans="9:10" x14ac:dyDescent="0.3">
      <c r="I14845" t="s">
        <v>20370</v>
      </c>
      <c r="J14845" t="s">
        <v>5251</v>
      </c>
    </row>
    <row r="14846" spans="9:10" x14ac:dyDescent="0.3">
      <c r="I14846" t="s">
        <v>20371</v>
      </c>
      <c r="J14846" t="s">
        <v>5252</v>
      </c>
    </row>
    <row r="14847" spans="9:10" x14ac:dyDescent="0.3">
      <c r="I14847" t="s">
        <v>20372</v>
      </c>
      <c r="J14847" t="s">
        <v>5253</v>
      </c>
    </row>
    <row r="14848" spans="9:10" x14ac:dyDescent="0.3">
      <c r="I14848" t="s">
        <v>20373</v>
      </c>
    </row>
    <row r="14849" spans="9:10" x14ac:dyDescent="0.3">
      <c r="I14849" t="s">
        <v>20374</v>
      </c>
      <c r="J14849" t="s">
        <v>5254</v>
      </c>
    </row>
    <row r="14850" spans="9:10" x14ac:dyDescent="0.3">
      <c r="I14850" t="s">
        <v>20375</v>
      </c>
      <c r="J14850" t="s">
        <v>5255</v>
      </c>
    </row>
    <row r="14851" spans="9:10" x14ac:dyDescent="0.3">
      <c r="I14851" t="s">
        <v>20376</v>
      </c>
      <c r="J14851" t="s">
        <v>5256</v>
      </c>
    </row>
    <row r="14852" spans="9:10" x14ac:dyDescent="0.3">
      <c r="I14852" t="s">
        <v>20377</v>
      </c>
      <c r="J14852" t="s">
        <v>5257</v>
      </c>
    </row>
    <row r="14853" spans="9:10" x14ac:dyDescent="0.3">
      <c r="I14853" t="s">
        <v>20378</v>
      </c>
      <c r="J14853" t="s">
        <v>5257</v>
      </c>
    </row>
    <row r="14854" spans="9:10" x14ac:dyDescent="0.3">
      <c r="I14854" t="s">
        <v>20379</v>
      </c>
      <c r="J14854" t="s">
        <v>5257</v>
      </c>
    </row>
    <row r="14855" spans="9:10" x14ac:dyDescent="0.3">
      <c r="I14855" t="s">
        <v>20380</v>
      </c>
    </row>
    <row r="14856" spans="9:10" x14ac:dyDescent="0.3">
      <c r="I14856" t="s">
        <v>20381</v>
      </c>
      <c r="J14856" t="s">
        <v>5258</v>
      </c>
    </row>
    <row r="14857" spans="9:10" x14ac:dyDescent="0.3">
      <c r="I14857" t="s">
        <v>20382</v>
      </c>
      <c r="J14857" t="s">
        <v>5259</v>
      </c>
    </row>
    <row r="14858" spans="9:10" x14ac:dyDescent="0.3">
      <c r="I14858" t="s">
        <v>20383</v>
      </c>
      <c r="J14858" t="s">
        <v>5259</v>
      </c>
    </row>
    <row r="14859" spans="9:10" x14ac:dyDescent="0.3">
      <c r="I14859" t="s">
        <v>20383</v>
      </c>
      <c r="J14859" t="s">
        <v>5259</v>
      </c>
    </row>
    <row r="14860" spans="9:10" x14ac:dyDescent="0.3">
      <c r="I14860" t="s">
        <v>20384</v>
      </c>
    </row>
    <row r="14861" spans="9:10" x14ac:dyDescent="0.3">
      <c r="I14861" t="s">
        <v>20385</v>
      </c>
    </row>
    <row r="14862" spans="9:10" x14ac:dyDescent="0.3">
      <c r="I14862" t="s">
        <v>20386</v>
      </c>
      <c r="J14862" t="s">
        <v>5260</v>
      </c>
    </row>
    <row r="14863" spans="9:10" x14ac:dyDescent="0.3">
      <c r="I14863" t="s">
        <v>20387</v>
      </c>
    </row>
    <row r="14864" spans="9:10" x14ac:dyDescent="0.3">
      <c r="I14864" t="s">
        <v>20388</v>
      </c>
    </row>
    <row r="14865" spans="9:10" x14ac:dyDescent="0.3">
      <c r="I14865" t="s">
        <v>20389</v>
      </c>
    </row>
    <row r="14866" spans="9:10" x14ac:dyDescent="0.3">
      <c r="I14866" t="s">
        <v>20389</v>
      </c>
    </row>
    <row r="14867" spans="9:10" x14ac:dyDescent="0.3">
      <c r="I14867" t="s">
        <v>20390</v>
      </c>
    </row>
    <row r="14868" spans="9:10" x14ac:dyDescent="0.3">
      <c r="I14868" t="s">
        <v>20391</v>
      </c>
    </row>
    <row r="14869" spans="9:10" x14ac:dyDescent="0.3">
      <c r="I14869" t="s">
        <v>20392</v>
      </c>
    </row>
    <row r="14870" spans="9:10" x14ac:dyDescent="0.3">
      <c r="I14870" t="s">
        <v>20393</v>
      </c>
    </row>
    <row r="14871" spans="9:10" x14ac:dyDescent="0.3">
      <c r="I14871" t="s">
        <v>20394</v>
      </c>
      <c r="J14871" t="s">
        <v>5261</v>
      </c>
    </row>
    <row r="14872" spans="9:10" x14ac:dyDescent="0.3">
      <c r="I14872" t="s">
        <v>20395</v>
      </c>
    </row>
    <row r="14873" spans="9:10" x14ac:dyDescent="0.3">
      <c r="I14873" t="s">
        <v>20396</v>
      </c>
    </row>
    <row r="14874" spans="9:10" x14ac:dyDescent="0.3">
      <c r="I14874" t="s">
        <v>20397</v>
      </c>
    </row>
    <row r="14875" spans="9:10" x14ac:dyDescent="0.3">
      <c r="I14875" t="s">
        <v>20398</v>
      </c>
      <c r="J14875" t="s">
        <v>5262</v>
      </c>
    </row>
    <row r="14876" spans="9:10" x14ac:dyDescent="0.3">
      <c r="I14876" t="s">
        <v>20398</v>
      </c>
      <c r="J14876" t="s">
        <v>5262</v>
      </c>
    </row>
    <row r="14877" spans="9:10" x14ac:dyDescent="0.3">
      <c r="I14877" t="s">
        <v>20399</v>
      </c>
      <c r="J14877" t="s">
        <v>5262</v>
      </c>
    </row>
    <row r="14878" spans="9:10" x14ac:dyDescent="0.3">
      <c r="I14878" t="s">
        <v>20400</v>
      </c>
      <c r="J14878" t="s">
        <v>5263</v>
      </c>
    </row>
    <row r="14879" spans="9:10" x14ac:dyDescent="0.3">
      <c r="I14879" t="s">
        <v>20401</v>
      </c>
      <c r="J14879" t="s">
        <v>5264</v>
      </c>
    </row>
    <row r="14880" spans="9:10" x14ac:dyDescent="0.3">
      <c r="I14880" t="s">
        <v>20402</v>
      </c>
    </row>
    <row r="14881" spans="9:10" x14ac:dyDescent="0.3">
      <c r="I14881" t="s">
        <v>20403</v>
      </c>
      <c r="J14881" t="s">
        <v>5265</v>
      </c>
    </row>
    <row r="14882" spans="9:10" x14ac:dyDescent="0.3">
      <c r="I14882" t="s">
        <v>20404</v>
      </c>
      <c r="J14882" t="s">
        <v>5265</v>
      </c>
    </row>
    <row r="14883" spans="9:10" x14ac:dyDescent="0.3">
      <c r="I14883" t="s">
        <v>20405</v>
      </c>
    </row>
    <row r="14884" spans="9:10" x14ac:dyDescent="0.3">
      <c r="I14884" t="s">
        <v>20405</v>
      </c>
    </row>
    <row r="14885" spans="9:10" x14ac:dyDescent="0.3">
      <c r="I14885" t="s">
        <v>20406</v>
      </c>
    </row>
    <row r="14886" spans="9:10" x14ac:dyDescent="0.3">
      <c r="I14886" t="s">
        <v>20407</v>
      </c>
      <c r="J14886" t="s">
        <v>5266</v>
      </c>
    </row>
    <row r="14887" spans="9:10" x14ac:dyDescent="0.3">
      <c r="I14887" t="s">
        <v>20407</v>
      </c>
      <c r="J14887" t="s">
        <v>5266</v>
      </c>
    </row>
    <row r="14888" spans="9:10" x14ac:dyDescent="0.3">
      <c r="I14888" t="s">
        <v>20408</v>
      </c>
      <c r="J14888" t="s">
        <v>1984</v>
      </c>
    </row>
    <row r="14889" spans="9:10" x14ac:dyDescent="0.3">
      <c r="I14889" t="s">
        <v>20409</v>
      </c>
      <c r="J14889" t="s">
        <v>5267</v>
      </c>
    </row>
    <row r="14890" spans="9:10" x14ac:dyDescent="0.3">
      <c r="I14890" t="s">
        <v>20410</v>
      </c>
    </row>
    <row r="14891" spans="9:10" x14ac:dyDescent="0.3">
      <c r="I14891" t="s">
        <v>20411</v>
      </c>
    </row>
    <row r="14892" spans="9:10" x14ac:dyDescent="0.3">
      <c r="I14892" t="s">
        <v>20412</v>
      </c>
      <c r="J14892" t="s">
        <v>5268</v>
      </c>
    </row>
    <row r="14893" spans="9:10" x14ac:dyDescent="0.3">
      <c r="I14893" t="s">
        <v>20413</v>
      </c>
    </row>
    <row r="14894" spans="9:10" x14ac:dyDescent="0.3">
      <c r="I14894" t="s">
        <v>20414</v>
      </c>
      <c r="J14894" t="s">
        <v>5269</v>
      </c>
    </row>
    <row r="14895" spans="9:10" x14ac:dyDescent="0.3">
      <c r="I14895" t="s">
        <v>20415</v>
      </c>
    </row>
    <row r="14896" spans="9:10" x14ac:dyDescent="0.3">
      <c r="I14896" t="s">
        <v>20416</v>
      </c>
    </row>
    <row r="14897" spans="9:10" x14ac:dyDescent="0.3">
      <c r="I14897" t="s">
        <v>20417</v>
      </c>
    </row>
    <row r="14898" spans="9:10" x14ac:dyDescent="0.3">
      <c r="I14898" t="s">
        <v>20418</v>
      </c>
      <c r="J14898" t="s">
        <v>5270</v>
      </c>
    </row>
    <row r="14899" spans="9:10" x14ac:dyDescent="0.3">
      <c r="I14899" t="s">
        <v>20419</v>
      </c>
      <c r="J14899" t="s">
        <v>5271</v>
      </c>
    </row>
    <row r="14900" spans="9:10" x14ac:dyDescent="0.3">
      <c r="I14900" t="s">
        <v>20420</v>
      </c>
    </row>
    <row r="14901" spans="9:10" x14ac:dyDescent="0.3">
      <c r="I14901" t="s">
        <v>20421</v>
      </c>
    </row>
    <row r="14902" spans="9:10" x14ac:dyDescent="0.3">
      <c r="I14902" t="s">
        <v>20422</v>
      </c>
    </row>
    <row r="14903" spans="9:10" x14ac:dyDescent="0.3">
      <c r="I14903" t="s">
        <v>20423</v>
      </c>
    </row>
    <row r="14904" spans="9:10" x14ac:dyDescent="0.3">
      <c r="I14904" t="s">
        <v>20424</v>
      </c>
    </row>
    <row r="14905" spans="9:10" x14ac:dyDescent="0.3">
      <c r="I14905" t="s">
        <v>20425</v>
      </c>
    </row>
    <row r="14906" spans="9:10" x14ac:dyDescent="0.3">
      <c r="I14906" t="s">
        <v>20426</v>
      </c>
      <c r="J14906" t="s">
        <v>5272</v>
      </c>
    </row>
    <row r="14907" spans="9:10" x14ac:dyDescent="0.3">
      <c r="I14907" t="s">
        <v>20427</v>
      </c>
      <c r="J14907" t="s">
        <v>5273</v>
      </c>
    </row>
    <row r="14908" spans="9:10" x14ac:dyDescent="0.3">
      <c r="I14908" t="s">
        <v>20427</v>
      </c>
      <c r="J14908" t="s">
        <v>5273</v>
      </c>
    </row>
    <row r="14909" spans="9:10" x14ac:dyDescent="0.3">
      <c r="I14909" t="s">
        <v>20428</v>
      </c>
      <c r="J14909" t="s">
        <v>5274</v>
      </c>
    </row>
    <row r="14910" spans="9:10" x14ac:dyDescent="0.3">
      <c r="I14910" t="s">
        <v>20429</v>
      </c>
    </row>
    <row r="14911" spans="9:10" x14ac:dyDescent="0.3">
      <c r="I14911" t="s">
        <v>20430</v>
      </c>
      <c r="J14911" t="s">
        <v>5275</v>
      </c>
    </row>
    <row r="14912" spans="9:10" x14ac:dyDescent="0.3">
      <c r="I14912" t="s">
        <v>20430</v>
      </c>
      <c r="J14912" t="s">
        <v>5275</v>
      </c>
    </row>
    <row r="14913" spans="9:10" x14ac:dyDescent="0.3">
      <c r="I14913" t="s">
        <v>20431</v>
      </c>
      <c r="J14913" t="s">
        <v>5276</v>
      </c>
    </row>
    <row r="14914" spans="9:10" x14ac:dyDescent="0.3">
      <c r="I14914" t="s">
        <v>20432</v>
      </c>
    </row>
    <row r="14915" spans="9:10" x14ac:dyDescent="0.3">
      <c r="I14915" t="s">
        <v>20433</v>
      </c>
      <c r="J14915" t="s">
        <v>5277</v>
      </c>
    </row>
    <row r="14916" spans="9:10" x14ac:dyDescent="0.3">
      <c r="I14916" t="s">
        <v>20434</v>
      </c>
      <c r="J14916" t="s">
        <v>736</v>
      </c>
    </row>
    <row r="14917" spans="9:10" x14ac:dyDescent="0.3">
      <c r="I14917" t="s">
        <v>20435</v>
      </c>
      <c r="J14917" t="s">
        <v>5278</v>
      </c>
    </row>
    <row r="14918" spans="9:10" x14ac:dyDescent="0.3">
      <c r="I14918" t="s">
        <v>20436</v>
      </c>
      <c r="J14918" t="s">
        <v>499</v>
      </c>
    </row>
    <row r="14919" spans="9:10" x14ac:dyDescent="0.3">
      <c r="I14919" t="s">
        <v>20437</v>
      </c>
      <c r="J14919" t="s">
        <v>499</v>
      </c>
    </row>
    <row r="14920" spans="9:10" x14ac:dyDescent="0.3">
      <c r="I14920" t="s">
        <v>20438</v>
      </c>
      <c r="J14920" t="s">
        <v>499</v>
      </c>
    </row>
    <row r="14921" spans="9:10" x14ac:dyDescent="0.3">
      <c r="I14921" t="s">
        <v>20439</v>
      </c>
      <c r="J14921" t="s">
        <v>499</v>
      </c>
    </row>
    <row r="14922" spans="9:10" x14ac:dyDescent="0.3">
      <c r="I14922" t="s">
        <v>20438</v>
      </c>
      <c r="J14922" t="s">
        <v>499</v>
      </c>
    </row>
    <row r="14923" spans="9:10" x14ac:dyDescent="0.3">
      <c r="I14923" t="s">
        <v>20440</v>
      </c>
      <c r="J14923" t="s">
        <v>499</v>
      </c>
    </row>
    <row r="14924" spans="9:10" x14ac:dyDescent="0.3">
      <c r="I14924" t="s">
        <v>20439</v>
      </c>
      <c r="J14924" t="s">
        <v>499</v>
      </c>
    </row>
    <row r="14925" spans="9:10" x14ac:dyDescent="0.3">
      <c r="I14925" t="s">
        <v>20441</v>
      </c>
      <c r="J14925" t="s">
        <v>499</v>
      </c>
    </row>
    <row r="14926" spans="9:10" x14ac:dyDescent="0.3">
      <c r="I14926" t="s">
        <v>20442</v>
      </c>
      <c r="J14926" t="s">
        <v>499</v>
      </c>
    </row>
    <row r="14927" spans="9:10" x14ac:dyDescent="0.3">
      <c r="I14927" t="s">
        <v>20443</v>
      </c>
      <c r="J14927" t="s">
        <v>5279</v>
      </c>
    </row>
    <row r="14928" spans="9:10" x14ac:dyDescent="0.3">
      <c r="I14928" t="s">
        <v>20444</v>
      </c>
      <c r="J14928" t="s">
        <v>5279</v>
      </c>
    </row>
    <row r="14929" spans="9:10" x14ac:dyDescent="0.3">
      <c r="I14929" t="s">
        <v>20445</v>
      </c>
    </row>
    <row r="14930" spans="9:10" x14ac:dyDescent="0.3">
      <c r="I14930" t="s">
        <v>20446</v>
      </c>
      <c r="J14930" t="s">
        <v>5280</v>
      </c>
    </row>
    <row r="14931" spans="9:10" x14ac:dyDescent="0.3">
      <c r="I14931" t="s">
        <v>20447</v>
      </c>
    </row>
    <row r="14932" spans="9:10" x14ac:dyDescent="0.3">
      <c r="I14932" t="s">
        <v>20448</v>
      </c>
      <c r="J14932" t="s">
        <v>5281</v>
      </c>
    </row>
    <row r="14933" spans="9:10" x14ac:dyDescent="0.3">
      <c r="I14933" t="s">
        <v>20448</v>
      </c>
      <c r="J14933" t="s">
        <v>5281</v>
      </c>
    </row>
    <row r="14934" spans="9:10" x14ac:dyDescent="0.3">
      <c r="I14934" t="s">
        <v>20449</v>
      </c>
      <c r="J14934" t="s">
        <v>5282</v>
      </c>
    </row>
    <row r="14935" spans="9:10" x14ac:dyDescent="0.3">
      <c r="I14935" t="s">
        <v>20450</v>
      </c>
      <c r="J14935" t="s">
        <v>5283</v>
      </c>
    </row>
    <row r="14936" spans="9:10" x14ac:dyDescent="0.3">
      <c r="I14936" t="s">
        <v>20451</v>
      </c>
      <c r="J14936" t="s">
        <v>5284</v>
      </c>
    </row>
    <row r="14937" spans="9:10" x14ac:dyDescent="0.3">
      <c r="I14937" t="s">
        <v>20452</v>
      </c>
    </row>
    <row r="14938" spans="9:10" x14ac:dyDescent="0.3">
      <c r="I14938" t="s">
        <v>20453</v>
      </c>
      <c r="J14938" t="s">
        <v>905</v>
      </c>
    </row>
    <row r="14939" spans="9:10" x14ac:dyDescent="0.3">
      <c r="I14939" t="s">
        <v>20454</v>
      </c>
      <c r="J14939" t="s">
        <v>500</v>
      </c>
    </row>
    <row r="14940" spans="9:10" x14ac:dyDescent="0.3">
      <c r="I14940" t="s">
        <v>20455</v>
      </c>
      <c r="J14940" t="s">
        <v>5285</v>
      </c>
    </row>
    <row r="14941" spans="9:10" x14ac:dyDescent="0.3">
      <c r="I14941" t="s">
        <v>20456</v>
      </c>
      <c r="J14941" t="s">
        <v>5286</v>
      </c>
    </row>
    <row r="14942" spans="9:10" x14ac:dyDescent="0.3">
      <c r="I14942" t="s">
        <v>20457</v>
      </c>
    </row>
    <row r="14943" spans="9:10" x14ac:dyDescent="0.3">
      <c r="I14943" t="s">
        <v>20458</v>
      </c>
      <c r="J14943" t="s">
        <v>5287</v>
      </c>
    </row>
    <row r="14944" spans="9:10" x14ac:dyDescent="0.3">
      <c r="I14944" t="s">
        <v>20459</v>
      </c>
      <c r="J14944" t="s">
        <v>5287</v>
      </c>
    </row>
    <row r="14945" spans="9:10" x14ac:dyDescent="0.3">
      <c r="I14945" t="s">
        <v>20460</v>
      </c>
    </row>
    <row r="14946" spans="9:10" x14ac:dyDescent="0.3">
      <c r="I14946" t="s">
        <v>20461</v>
      </c>
      <c r="J14946" t="s">
        <v>5288</v>
      </c>
    </row>
    <row r="14947" spans="9:10" x14ac:dyDescent="0.3">
      <c r="I14947" t="s">
        <v>20462</v>
      </c>
    </row>
    <row r="14948" spans="9:10" x14ac:dyDescent="0.3">
      <c r="I14948" t="s">
        <v>20463</v>
      </c>
    </row>
    <row r="14949" spans="9:10" x14ac:dyDescent="0.3">
      <c r="I14949" t="s">
        <v>20464</v>
      </c>
    </row>
    <row r="14950" spans="9:10" x14ac:dyDescent="0.3">
      <c r="I14950" t="s">
        <v>20465</v>
      </c>
    </row>
    <row r="14951" spans="9:10" x14ac:dyDescent="0.3">
      <c r="I14951" t="s">
        <v>20466</v>
      </c>
      <c r="J14951" t="s">
        <v>5289</v>
      </c>
    </row>
    <row r="14952" spans="9:10" x14ac:dyDescent="0.3">
      <c r="I14952" t="s">
        <v>20467</v>
      </c>
      <c r="J14952" t="s">
        <v>865</v>
      </c>
    </row>
    <row r="14953" spans="9:10" x14ac:dyDescent="0.3">
      <c r="I14953" t="s">
        <v>20468</v>
      </c>
      <c r="J14953" t="s">
        <v>865</v>
      </c>
    </row>
    <row r="14954" spans="9:10" x14ac:dyDescent="0.3">
      <c r="I14954" t="s">
        <v>20469</v>
      </c>
      <c r="J14954" t="s">
        <v>865</v>
      </c>
    </row>
    <row r="14955" spans="9:10" x14ac:dyDescent="0.3">
      <c r="I14955" t="s">
        <v>20470</v>
      </c>
      <c r="J14955" t="s">
        <v>5290</v>
      </c>
    </row>
    <row r="14956" spans="9:10" x14ac:dyDescent="0.3">
      <c r="I14956" t="s">
        <v>20471</v>
      </c>
    </row>
    <row r="14957" spans="9:10" x14ac:dyDescent="0.3">
      <c r="I14957" t="s">
        <v>20472</v>
      </c>
    </row>
    <row r="14958" spans="9:10" x14ac:dyDescent="0.3">
      <c r="I14958" t="s">
        <v>20473</v>
      </c>
    </row>
    <row r="14959" spans="9:10" x14ac:dyDescent="0.3">
      <c r="I14959" t="s">
        <v>20474</v>
      </c>
    </row>
    <row r="14960" spans="9:10" x14ac:dyDescent="0.3">
      <c r="I14960" t="s">
        <v>20474</v>
      </c>
    </row>
    <row r="14961" spans="9:10" x14ac:dyDescent="0.3">
      <c r="I14961" t="s">
        <v>20474</v>
      </c>
    </row>
    <row r="14962" spans="9:10" x14ac:dyDescent="0.3">
      <c r="I14962" t="s">
        <v>20475</v>
      </c>
    </row>
    <row r="14963" spans="9:10" x14ac:dyDescent="0.3">
      <c r="I14963" t="s">
        <v>20476</v>
      </c>
    </row>
    <row r="14964" spans="9:10" x14ac:dyDescent="0.3">
      <c r="I14964" t="s">
        <v>20477</v>
      </c>
    </row>
    <row r="14965" spans="9:10" x14ac:dyDescent="0.3">
      <c r="I14965" t="s">
        <v>20477</v>
      </c>
    </row>
    <row r="14966" spans="9:10" x14ac:dyDescent="0.3">
      <c r="I14966" t="s">
        <v>20478</v>
      </c>
    </row>
    <row r="14967" spans="9:10" x14ac:dyDescent="0.3">
      <c r="I14967" t="s">
        <v>20479</v>
      </c>
    </row>
    <row r="14968" spans="9:10" x14ac:dyDescent="0.3">
      <c r="I14968" t="s">
        <v>20480</v>
      </c>
      <c r="J14968" t="s">
        <v>5291</v>
      </c>
    </row>
    <row r="14969" spans="9:10" x14ac:dyDescent="0.3">
      <c r="I14969" t="s">
        <v>20481</v>
      </c>
      <c r="J14969" t="s">
        <v>196</v>
      </c>
    </row>
    <row r="14970" spans="9:10" x14ac:dyDescent="0.3">
      <c r="I14970" t="s">
        <v>20482</v>
      </c>
    </row>
    <row r="14971" spans="9:10" x14ac:dyDescent="0.3">
      <c r="I14971" t="s">
        <v>20483</v>
      </c>
    </row>
    <row r="14972" spans="9:10" x14ac:dyDescent="0.3">
      <c r="I14972" t="s">
        <v>20484</v>
      </c>
    </row>
    <row r="14973" spans="9:10" x14ac:dyDescent="0.3">
      <c r="I14973" t="s">
        <v>20485</v>
      </c>
      <c r="J14973" t="s">
        <v>5292</v>
      </c>
    </row>
    <row r="14974" spans="9:10" x14ac:dyDescent="0.3">
      <c r="I14974" t="s">
        <v>20486</v>
      </c>
      <c r="J14974" t="s">
        <v>5292</v>
      </c>
    </row>
    <row r="14975" spans="9:10" x14ac:dyDescent="0.3">
      <c r="I14975" t="s">
        <v>20487</v>
      </c>
    </row>
    <row r="14976" spans="9:10" x14ac:dyDescent="0.3">
      <c r="I14976" t="s">
        <v>20488</v>
      </c>
      <c r="J14976" t="s">
        <v>5293</v>
      </c>
    </row>
    <row r="14977" spans="9:10" x14ac:dyDescent="0.3">
      <c r="I14977" t="s">
        <v>20489</v>
      </c>
    </row>
    <row r="14978" spans="9:10" x14ac:dyDescent="0.3">
      <c r="I14978" t="s">
        <v>20490</v>
      </c>
      <c r="J14978" t="s">
        <v>5294</v>
      </c>
    </row>
    <row r="14979" spans="9:10" x14ac:dyDescent="0.3">
      <c r="I14979" t="s">
        <v>20491</v>
      </c>
      <c r="J14979" t="s">
        <v>726</v>
      </c>
    </row>
    <row r="14980" spans="9:10" x14ac:dyDescent="0.3">
      <c r="I14980" t="s">
        <v>20492</v>
      </c>
      <c r="J14980" t="s">
        <v>5295</v>
      </c>
    </row>
    <row r="14981" spans="9:10" x14ac:dyDescent="0.3">
      <c r="I14981" t="s">
        <v>20493</v>
      </c>
      <c r="J14981" t="s">
        <v>482</v>
      </c>
    </row>
    <row r="14982" spans="9:10" x14ac:dyDescent="0.3">
      <c r="I14982" t="s">
        <v>20494</v>
      </c>
      <c r="J14982" t="s">
        <v>368</v>
      </c>
    </row>
    <row r="14983" spans="9:10" x14ac:dyDescent="0.3">
      <c r="I14983" t="s">
        <v>20494</v>
      </c>
      <c r="J14983" t="s">
        <v>368</v>
      </c>
    </row>
    <row r="14984" spans="9:10" x14ac:dyDescent="0.3">
      <c r="I14984" t="s">
        <v>20495</v>
      </c>
    </row>
    <row r="14985" spans="9:10" x14ac:dyDescent="0.3">
      <c r="I14985" t="s">
        <v>20496</v>
      </c>
    </row>
    <row r="14986" spans="9:10" x14ac:dyDescent="0.3">
      <c r="I14986" t="s">
        <v>20497</v>
      </c>
    </row>
    <row r="14987" spans="9:10" x14ac:dyDescent="0.3">
      <c r="I14987" t="s">
        <v>20498</v>
      </c>
      <c r="J14987" t="s">
        <v>5296</v>
      </c>
    </row>
    <row r="14988" spans="9:10" x14ac:dyDescent="0.3">
      <c r="I14988" t="s">
        <v>20499</v>
      </c>
    </row>
    <row r="14989" spans="9:10" x14ac:dyDescent="0.3">
      <c r="I14989" t="s">
        <v>20500</v>
      </c>
    </row>
    <row r="14990" spans="9:10" x14ac:dyDescent="0.3">
      <c r="I14990" t="s">
        <v>20501</v>
      </c>
    </row>
    <row r="14991" spans="9:10" x14ac:dyDescent="0.3">
      <c r="I14991" t="s">
        <v>20502</v>
      </c>
      <c r="J14991" t="s">
        <v>5297</v>
      </c>
    </row>
    <row r="14992" spans="9:10" x14ac:dyDescent="0.3">
      <c r="I14992" t="s">
        <v>20503</v>
      </c>
      <c r="J14992" t="s">
        <v>5298</v>
      </c>
    </row>
    <row r="14993" spans="9:10" x14ac:dyDescent="0.3">
      <c r="I14993" t="s">
        <v>20504</v>
      </c>
    </row>
    <row r="14994" spans="9:10" x14ac:dyDescent="0.3">
      <c r="I14994" t="s">
        <v>20505</v>
      </c>
    </row>
    <row r="14995" spans="9:10" x14ac:dyDescent="0.3">
      <c r="I14995" t="s">
        <v>20506</v>
      </c>
    </row>
    <row r="14996" spans="9:10" x14ac:dyDescent="0.3">
      <c r="I14996" t="s">
        <v>20507</v>
      </c>
    </row>
    <row r="14997" spans="9:10" x14ac:dyDescent="0.3">
      <c r="I14997" t="s">
        <v>20508</v>
      </c>
    </row>
    <row r="14998" spans="9:10" x14ac:dyDescent="0.3">
      <c r="I14998" t="s">
        <v>20509</v>
      </c>
      <c r="J14998" t="s">
        <v>5299</v>
      </c>
    </row>
    <row r="14999" spans="9:10" x14ac:dyDescent="0.3">
      <c r="I14999" t="s">
        <v>20509</v>
      </c>
      <c r="J14999" t="s">
        <v>5299</v>
      </c>
    </row>
    <row r="15000" spans="9:10" x14ac:dyDescent="0.3">
      <c r="I15000" t="s">
        <v>20509</v>
      </c>
      <c r="J15000" t="s">
        <v>5299</v>
      </c>
    </row>
    <row r="15001" spans="9:10" x14ac:dyDescent="0.3">
      <c r="I15001" t="s">
        <v>20509</v>
      </c>
      <c r="J15001" t="s">
        <v>5299</v>
      </c>
    </row>
    <row r="15002" spans="9:10" x14ac:dyDescent="0.3">
      <c r="I15002" t="s">
        <v>20509</v>
      </c>
      <c r="J15002" t="s">
        <v>5299</v>
      </c>
    </row>
    <row r="15003" spans="9:10" x14ac:dyDescent="0.3">
      <c r="I15003" t="s">
        <v>20510</v>
      </c>
    </row>
    <row r="15004" spans="9:10" x14ac:dyDescent="0.3">
      <c r="I15004" t="s">
        <v>20511</v>
      </c>
      <c r="J15004" t="s">
        <v>5300</v>
      </c>
    </row>
    <row r="15005" spans="9:10" x14ac:dyDescent="0.3">
      <c r="I15005" t="s">
        <v>20512</v>
      </c>
      <c r="J15005" t="s">
        <v>5301</v>
      </c>
    </row>
    <row r="15006" spans="9:10" x14ac:dyDescent="0.3">
      <c r="I15006" t="s">
        <v>20513</v>
      </c>
    </row>
    <row r="15007" spans="9:10" x14ac:dyDescent="0.3">
      <c r="I15007" t="s">
        <v>20514</v>
      </c>
      <c r="J15007" t="s">
        <v>5302</v>
      </c>
    </row>
    <row r="15008" spans="9:10" x14ac:dyDescent="0.3">
      <c r="I15008" t="s">
        <v>20515</v>
      </c>
      <c r="J15008" t="s">
        <v>5302</v>
      </c>
    </row>
    <row r="15009" spans="9:10" x14ac:dyDescent="0.3">
      <c r="I15009" t="s">
        <v>20514</v>
      </c>
      <c r="J15009" t="s">
        <v>5302</v>
      </c>
    </row>
    <row r="15010" spans="9:10" x14ac:dyDescent="0.3">
      <c r="I15010" t="s">
        <v>20516</v>
      </c>
      <c r="J15010" t="s">
        <v>5302</v>
      </c>
    </row>
    <row r="15011" spans="9:10" x14ac:dyDescent="0.3">
      <c r="I15011" t="s">
        <v>20514</v>
      </c>
      <c r="J15011" t="s">
        <v>5302</v>
      </c>
    </row>
    <row r="15012" spans="9:10" x14ac:dyDescent="0.3">
      <c r="I15012" t="s">
        <v>20516</v>
      </c>
      <c r="J15012" t="s">
        <v>5302</v>
      </c>
    </row>
    <row r="15013" spans="9:10" x14ac:dyDescent="0.3">
      <c r="I15013" t="s">
        <v>20516</v>
      </c>
      <c r="J15013" t="s">
        <v>5302</v>
      </c>
    </row>
    <row r="15014" spans="9:10" x14ac:dyDescent="0.3">
      <c r="I15014" t="s">
        <v>20517</v>
      </c>
      <c r="J15014" t="s">
        <v>5302</v>
      </c>
    </row>
    <row r="15015" spans="9:10" x14ac:dyDescent="0.3">
      <c r="I15015" t="s">
        <v>20515</v>
      </c>
      <c r="J15015" t="s">
        <v>5302</v>
      </c>
    </row>
    <row r="15016" spans="9:10" x14ac:dyDescent="0.3">
      <c r="I15016" t="s">
        <v>20514</v>
      </c>
      <c r="J15016" t="s">
        <v>5302</v>
      </c>
    </row>
    <row r="15017" spans="9:10" x14ac:dyDescent="0.3">
      <c r="I15017" t="s">
        <v>20518</v>
      </c>
      <c r="J15017" t="s">
        <v>5302</v>
      </c>
    </row>
    <row r="15018" spans="9:10" x14ac:dyDescent="0.3">
      <c r="I15018" t="s">
        <v>20519</v>
      </c>
      <c r="J15018" t="s">
        <v>5302</v>
      </c>
    </row>
    <row r="15019" spans="9:10" x14ac:dyDescent="0.3">
      <c r="I15019" t="s">
        <v>20520</v>
      </c>
      <c r="J15019" t="s">
        <v>5302</v>
      </c>
    </row>
    <row r="15020" spans="9:10" x14ac:dyDescent="0.3">
      <c r="I15020" t="s">
        <v>20514</v>
      </c>
      <c r="J15020" t="s">
        <v>5302</v>
      </c>
    </row>
    <row r="15021" spans="9:10" x14ac:dyDescent="0.3">
      <c r="I15021" t="s">
        <v>20516</v>
      </c>
      <c r="J15021" t="s">
        <v>5302</v>
      </c>
    </row>
    <row r="15022" spans="9:10" x14ac:dyDescent="0.3">
      <c r="I15022" t="s">
        <v>20521</v>
      </c>
      <c r="J15022" t="s">
        <v>5303</v>
      </c>
    </row>
    <row r="15023" spans="9:10" x14ac:dyDescent="0.3">
      <c r="I15023" t="s">
        <v>20522</v>
      </c>
    </row>
    <row r="15024" spans="9:10" x14ac:dyDescent="0.3">
      <c r="I15024" t="s">
        <v>20523</v>
      </c>
      <c r="J15024" t="s">
        <v>5304</v>
      </c>
    </row>
    <row r="15025" spans="9:10" x14ac:dyDescent="0.3">
      <c r="I15025" t="s">
        <v>20523</v>
      </c>
      <c r="J15025" t="s">
        <v>5304</v>
      </c>
    </row>
    <row r="15026" spans="9:10" x14ac:dyDescent="0.3">
      <c r="I15026" t="s">
        <v>20523</v>
      </c>
      <c r="J15026" t="s">
        <v>5304</v>
      </c>
    </row>
    <row r="15027" spans="9:10" x14ac:dyDescent="0.3">
      <c r="I15027" t="s">
        <v>20523</v>
      </c>
      <c r="J15027" t="s">
        <v>5304</v>
      </c>
    </row>
    <row r="15028" spans="9:10" x14ac:dyDescent="0.3">
      <c r="I15028" t="s">
        <v>20523</v>
      </c>
      <c r="J15028" t="s">
        <v>5304</v>
      </c>
    </row>
    <row r="15029" spans="9:10" x14ac:dyDescent="0.3">
      <c r="I15029" t="s">
        <v>20523</v>
      </c>
      <c r="J15029" t="s">
        <v>5304</v>
      </c>
    </row>
    <row r="15030" spans="9:10" x14ac:dyDescent="0.3">
      <c r="I15030" t="s">
        <v>20524</v>
      </c>
      <c r="J15030" t="s">
        <v>5305</v>
      </c>
    </row>
    <row r="15031" spans="9:10" x14ac:dyDescent="0.3">
      <c r="I15031" t="s">
        <v>20524</v>
      </c>
      <c r="J15031" t="s">
        <v>5305</v>
      </c>
    </row>
    <row r="15032" spans="9:10" x14ac:dyDescent="0.3">
      <c r="I15032" t="s">
        <v>20525</v>
      </c>
      <c r="J15032" t="s">
        <v>5306</v>
      </c>
    </row>
    <row r="15033" spans="9:10" x14ac:dyDescent="0.3">
      <c r="I15033" t="s">
        <v>20526</v>
      </c>
      <c r="J15033" t="s">
        <v>5307</v>
      </c>
    </row>
    <row r="15034" spans="9:10" x14ac:dyDescent="0.3">
      <c r="I15034" t="s">
        <v>20527</v>
      </c>
    </row>
    <row r="15035" spans="9:10" x14ac:dyDescent="0.3">
      <c r="I15035" t="s">
        <v>20528</v>
      </c>
      <c r="J15035" t="s">
        <v>5308</v>
      </c>
    </row>
    <row r="15036" spans="9:10" x14ac:dyDescent="0.3">
      <c r="I15036" t="s">
        <v>20529</v>
      </c>
    </row>
    <row r="15037" spans="9:10" x14ac:dyDescent="0.3">
      <c r="I15037" t="s">
        <v>20530</v>
      </c>
      <c r="J15037" t="s">
        <v>5309</v>
      </c>
    </row>
    <row r="15038" spans="9:10" x14ac:dyDescent="0.3">
      <c r="I15038" t="s">
        <v>20531</v>
      </c>
      <c r="J15038" t="s">
        <v>5309</v>
      </c>
    </row>
    <row r="15039" spans="9:10" x14ac:dyDescent="0.3">
      <c r="I15039" t="s">
        <v>20530</v>
      </c>
      <c r="J15039" t="s">
        <v>5309</v>
      </c>
    </row>
    <row r="15040" spans="9:10" x14ac:dyDescent="0.3">
      <c r="I15040" t="s">
        <v>20532</v>
      </c>
      <c r="J15040" t="s">
        <v>5310</v>
      </c>
    </row>
    <row r="15041" spans="9:10" x14ac:dyDescent="0.3">
      <c r="I15041" t="s">
        <v>20533</v>
      </c>
      <c r="J15041" t="s">
        <v>5310</v>
      </c>
    </row>
    <row r="15042" spans="9:10" x14ac:dyDescent="0.3">
      <c r="I15042" t="s">
        <v>20533</v>
      </c>
      <c r="J15042" t="s">
        <v>5310</v>
      </c>
    </row>
    <row r="15043" spans="9:10" x14ac:dyDescent="0.3">
      <c r="I15043" t="s">
        <v>20534</v>
      </c>
    </row>
    <row r="15044" spans="9:10" x14ac:dyDescent="0.3">
      <c r="I15044" t="s">
        <v>20535</v>
      </c>
      <c r="J15044" t="s">
        <v>5311</v>
      </c>
    </row>
    <row r="15045" spans="9:10" x14ac:dyDescent="0.3">
      <c r="I15045" t="s">
        <v>20536</v>
      </c>
      <c r="J15045" t="s">
        <v>5312</v>
      </c>
    </row>
    <row r="15046" spans="9:10" x14ac:dyDescent="0.3">
      <c r="I15046" t="s">
        <v>20537</v>
      </c>
      <c r="J15046" t="s">
        <v>5313</v>
      </c>
    </row>
    <row r="15047" spans="9:10" x14ac:dyDescent="0.3">
      <c r="I15047" t="s">
        <v>20538</v>
      </c>
      <c r="J15047" t="s">
        <v>5314</v>
      </c>
    </row>
    <row r="15048" spans="9:10" x14ac:dyDescent="0.3">
      <c r="I15048" t="s">
        <v>20539</v>
      </c>
    </row>
    <row r="15049" spans="9:10" x14ac:dyDescent="0.3">
      <c r="I15049" t="s">
        <v>20540</v>
      </c>
    </row>
    <row r="15050" spans="9:10" x14ac:dyDescent="0.3">
      <c r="I15050" t="s">
        <v>20541</v>
      </c>
    </row>
    <row r="15051" spans="9:10" x14ac:dyDescent="0.3">
      <c r="I15051" t="s">
        <v>20542</v>
      </c>
    </row>
    <row r="15052" spans="9:10" x14ac:dyDescent="0.3">
      <c r="I15052" t="s">
        <v>20543</v>
      </c>
      <c r="J15052" t="s">
        <v>5315</v>
      </c>
    </row>
    <row r="15053" spans="9:10" x14ac:dyDescent="0.3">
      <c r="I15053" t="s">
        <v>20544</v>
      </c>
    </row>
    <row r="15054" spans="9:10" x14ac:dyDescent="0.3">
      <c r="I15054" t="s">
        <v>20545</v>
      </c>
    </row>
    <row r="15055" spans="9:10" x14ac:dyDescent="0.3">
      <c r="I15055" t="s">
        <v>20546</v>
      </c>
    </row>
    <row r="15056" spans="9:10" x14ac:dyDescent="0.3">
      <c r="I15056" t="s">
        <v>20547</v>
      </c>
    </row>
    <row r="15057" spans="9:10" x14ac:dyDescent="0.3">
      <c r="I15057" t="s">
        <v>20548</v>
      </c>
    </row>
    <row r="15058" spans="9:10" x14ac:dyDescent="0.3">
      <c r="I15058" t="s">
        <v>20549</v>
      </c>
    </row>
    <row r="15059" spans="9:10" x14ac:dyDescent="0.3">
      <c r="I15059" t="s">
        <v>20550</v>
      </c>
      <c r="J15059" t="s">
        <v>5316</v>
      </c>
    </row>
    <row r="15060" spans="9:10" x14ac:dyDescent="0.3">
      <c r="I15060" t="s">
        <v>20550</v>
      </c>
      <c r="J15060" t="s">
        <v>5316</v>
      </c>
    </row>
    <row r="15061" spans="9:10" x14ac:dyDescent="0.3">
      <c r="I15061" t="s">
        <v>20551</v>
      </c>
    </row>
    <row r="15062" spans="9:10" x14ac:dyDescent="0.3">
      <c r="I15062" t="s">
        <v>20552</v>
      </c>
      <c r="J15062" t="s">
        <v>388</v>
      </c>
    </row>
    <row r="15063" spans="9:10" x14ac:dyDescent="0.3">
      <c r="I15063" t="s">
        <v>20553</v>
      </c>
      <c r="J15063" t="s">
        <v>388</v>
      </c>
    </row>
    <row r="15064" spans="9:10" x14ac:dyDescent="0.3">
      <c r="I15064" t="s">
        <v>20554</v>
      </c>
    </row>
    <row r="15065" spans="9:10" x14ac:dyDescent="0.3">
      <c r="I15065" t="s">
        <v>20555</v>
      </c>
      <c r="J15065" t="s">
        <v>4492</v>
      </c>
    </row>
    <row r="15066" spans="9:10" x14ac:dyDescent="0.3">
      <c r="I15066" t="s">
        <v>20556</v>
      </c>
      <c r="J15066" t="s">
        <v>4492</v>
      </c>
    </row>
    <row r="15067" spans="9:10" x14ac:dyDescent="0.3">
      <c r="I15067" t="s">
        <v>20557</v>
      </c>
      <c r="J15067" t="s">
        <v>5317</v>
      </c>
    </row>
    <row r="15068" spans="9:10" x14ac:dyDescent="0.3">
      <c r="I15068" t="s">
        <v>20558</v>
      </c>
    </row>
    <row r="15069" spans="9:10" x14ac:dyDescent="0.3">
      <c r="I15069" t="s">
        <v>20559</v>
      </c>
      <c r="J15069" t="s">
        <v>5318</v>
      </c>
    </row>
    <row r="15070" spans="9:10" x14ac:dyDescent="0.3">
      <c r="I15070" t="s">
        <v>20560</v>
      </c>
      <c r="J15070" t="s">
        <v>5318</v>
      </c>
    </row>
    <row r="15071" spans="9:10" x14ac:dyDescent="0.3">
      <c r="I15071" t="s">
        <v>20561</v>
      </c>
      <c r="J15071" t="s">
        <v>5319</v>
      </c>
    </row>
    <row r="15072" spans="9:10" x14ac:dyDescent="0.3">
      <c r="I15072" t="s">
        <v>20562</v>
      </c>
      <c r="J15072" t="s">
        <v>5320</v>
      </c>
    </row>
    <row r="15073" spans="9:10" x14ac:dyDescent="0.3">
      <c r="I15073" t="s">
        <v>20563</v>
      </c>
      <c r="J15073" t="s">
        <v>5321</v>
      </c>
    </row>
    <row r="15074" spans="9:10" x14ac:dyDescent="0.3">
      <c r="I15074" t="s">
        <v>20564</v>
      </c>
      <c r="J15074" t="s">
        <v>5321</v>
      </c>
    </row>
    <row r="15075" spans="9:10" x14ac:dyDescent="0.3">
      <c r="I15075" t="s">
        <v>20565</v>
      </c>
    </row>
    <row r="15076" spans="9:10" x14ac:dyDescent="0.3">
      <c r="I15076" t="s">
        <v>20566</v>
      </c>
    </row>
    <row r="15077" spans="9:10" x14ac:dyDescent="0.3">
      <c r="I15077" t="s">
        <v>20567</v>
      </c>
      <c r="J15077" t="s">
        <v>5322</v>
      </c>
    </row>
    <row r="15078" spans="9:10" x14ac:dyDescent="0.3">
      <c r="I15078" t="s">
        <v>20568</v>
      </c>
      <c r="J15078" t="s">
        <v>5322</v>
      </c>
    </row>
    <row r="15079" spans="9:10" x14ac:dyDescent="0.3">
      <c r="I15079" t="s">
        <v>20569</v>
      </c>
      <c r="J15079" t="s">
        <v>5322</v>
      </c>
    </row>
    <row r="15080" spans="9:10" x14ac:dyDescent="0.3">
      <c r="I15080" t="s">
        <v>20568</v>
      </c>
      <c r="J15080" t="s">
        <v>5322</v>
      </c>
    </row>
    <row r="15081" spans="9:10" x14ac:dyDescent="0.3">
      <c r="I15081" t="s">
        <v>20569</v>
      </c>
      <c r="J15081" t="s">
        <v>5322</v>
      </c>
    </row>
    <row r="15082" spans="9:10" x14ac:dyDescent="0.3">
      <c r="I15082" t="s">
        <v>20569</v>
      </c>
      <c r="J15082" t="s">
        <v>5322</v>
      </c>
    </row>
    <row r="15083" spans="9:10" x14ac:dyDescent="0.3">
      <c r="I15083" t="s">
        <v>20570</v>
      </c>
    </row>
    <row r="15084" spans="9:10" x14ac:dyDescent="0.3">
      <c r="I15084" t="s">
        <v>20571</v>
      </c>
    </row>
    <row r="15085" spans="9:10" x14ac:dyDescent="0.3">
      <c r="I15085" t="s">
        <v>20572</v>
      </c>
      <c r="J15085" t="s">
        <v>5323</v>
      </c>
    </row>
    <row r="15086" spans="9:10" x14ac:dyDescent="0.3">
      <c r="I15086" t="s">
        <v>20573</v>
      </c>
      <c r="J15086" t="s">
        <v>5323</v>
      </c>
    </row>
    <row r="15087" spans="9:10" x14ac:dyDescent="0.3">
      <c r="I15087" t="s">
        <v>20573</v>
      </c>
      <c r="J15087" t="s">
        <v>5323</v>
      </c>
    </row>
    <row r="15088" spans="9:10" x14ac:dyDescent="0.3">
      <c r="I15088" t="s">
        <v>20574</v>
      </c>
      <c r="J15088" t="s">
        <v>5323</v>
      </c>
    </row>
    <row r="15089" spans="9:10" x14ac:dyDescent="0.3">
      <c r="I15089" t="s">
        <v>20575</v>
      </c>
      <c r="J15089" t="s">
        <v>5324</v>
      </c>
    </row>
    <row r="15090" spans="9:10" x14ac:dyDescent="0.3">
      <c r="I15090" t="s">
        <v>20576</v>
      </c>
    </row>
    <row r="15091" spans="9:10" x14ac:dyDescent="0.3">
      <c r="I15091" t="s">
        <v>20577</v>
      </c>
      <c r="J15091" t="s">
        <v>5325</v>
      </c>
    </row>
    <row r="15092" spans="9:10" x14ac:dyDescent="0.3">
      <c r="I15092" t="s">
        <v>20578</v>
      </c>
    </row>
    <row r="15093" spans="9:10" x14ac:dyDescent="0.3">
      <c r="I15093" t="s">
        <v>20579</v>
      </c>
    </row>
    <row r="15094" spans="9:10" x14ac:dyDescent="0.3">
      <c r="I15094" t="s">
        <v>20580</v>
      </c>
    </row>
    <row r="15095" spans="9:10" x14ac:dyDescent="0.3">
      <c r="I15095" t="s">
        <v>20581</v>
      </c>
    </row>
    <row r="15096" spans="9:10" x14ac:dyDescent="0.3">
      <c r="I15096" t="s">
        <v>20582</v>
      </c>
      <c r="J15096" t="s">
        <v>5326</v>
      </c>
    </row>
    <row r="15097" spans="9:10" x14ac:dyDescent="0.3">
      <c r="I15097" t="s">
        <v>20583</v>
      </c>
    </row>
    <row r="15098" spans="9:10" x14ac:dyDescent="0.3">
      <c r="I15098" t="s">
        <v>20583</v>
      </c>
    </row>
    <row r="15099" spans="9:10" x14ac:dyDescent="0.3">
      <c r="I15099" t="s">
        <v>20584</v>
      </c>
      <c r="J15099" t="s">
        <v>5327</v>
      </c>
    </row>
    <row r="15100" spans="9:10" x14ac:dyDescent="0.3">
      <c r="I15100" t="s">
        <v>737</v>
      </c>
      <c r="J15100" t="s">
        <v>738</v>
      </c>
    </row>
    <row r="15101" spans="9:10" x14ac:dyDescent="0.3">
      <c r="I15101" t="s">
        <v>20585</v>
      </c>
      <c r="J15101" t="s">
        <v>738</v>
      </c>
    </row>
    <row r="15102" spans="9:10" x14ac:dyDescent="0.3">
      <c r="I15102" t="s">
        <v>20585</v>
      </c>
      <c r="J15102" t="s">
        <v>738</v>
      </c>
    </row>
    <row r="15103" spans="9:10" x14ac:dyDescent="0.3">
      <c r="I15103" t="s">
        <v>20586</v>
      </c>
      <c r="J15103" t="s">
        <v>738</v>
      </c>
    </row>
    <row r="15104" spans="9:10" x14ac:dyDescent="0.3">
      <c r="I15104" t="s">
        <v>20585</v>
      </c>
      <c r="J15104" t="s">
        <v>738</v>
      </c>
    </row>
    <row r="15105" spans="9:10" x14ac:dyDescent="0.3">
      <c r="I15105" t="s">
        <v>20585</v>
      </c>
      <c r="J15105" t="s">
        <v>738</v>
      </c>
    </row>
    <row r="15106" spans="9:10" x14ac:dyDescent="0.3">
      <c r="I15106" t="s">
        <v>20585</v>
      </c>
      <c r="J15106" t="s">
        <v>738</v>
      </c>
    </row>
    <row r="15107" spans="9:10" x14ac:dyDescent="0.3">
      <c r="I15107" t="s">
        <v>20587</v>
      </c>
    </row>
    <row r="15108" spans="9:10" x14ac:dyDescent="0.3">
      <c r="I15108" t="s">
        <v>20588</v>
      </c>
      <c r="J15108" t="s">
        <v>5328</v>
      </c>
    </row>
    <row r="15109" spans="9:10" x14ac:dyDescent="0.3">
      <c r="I15109" t="s">
        <v>20589</v>
      </c>
      <c r="J15109" t="s">
        <v>5329</v>
      </c>
    </row>
    <row r="15110" spans="9:10" x14ac:dyDescent="0.3">
      <c r="I15110" t="s">
        <v>20590</v>
      </c>
      <c r="J15110" t="s">
        <v>5330</v>
      </c>
    </row>
    <row r="15111" spans="9:10" x14ac:dyDescent="0.3">
      <c r="I15111" t="s">
        <v>20591</v>
      </c>
      <c r="J15111" t="s">
        <v>274</v>
      </c>
    </row>
    <row r="15112" spans="9:10" x14ac:dyDescent="0.3">
      <c r="I15112" t="s">
        <v>20591</v>
      </c>
      <c r="J15112" t="s">
        <v>274</v>
      </c>
    </row>
    <row r="15113" spans="9:10" x14ac:dyDescent="0.3">
      <c r="I15113" t="s">
        <v>20592</v>
      </c>
      <c r="J15113" t="s">
        <v>5331</v>
      </c>
    </row>
    <row r="15114" spans="9:10" x14ac:dyDescent="0.3">
      <c r="I15114" t="s">
        <v>20593</v>
      </c>
    </row>
    <row r="15115" spans="9:10" x14ac:dyDescent="0.3">
      <c r="I15115" t="s">
        <v>20594</v>
      </c>
    </row>
    <row r="15116" spans="9:10" x14ac:dyDescent="0.3">
      <c r="I15116" t="s">
        <v>20595</v>
      </c>
      <c r="J15116" t="s">
        <v>5332</v>
      </c>
    </row>
    <row r="15117" spans="9:10" x14ac:dyDescent="0.3">
      <c r="I15117" t="s">
        <v>20596</v>
      </c>
      <c r="J15117" t="s">
        <v>5333</v>
      </c>
    </row>
    <row r="15118" spans="9:10" x14ac:dyDescent="0.3">
      <c r="I15118" t="s">
        <v>20597</v>
      </c>
      <c r="J15118" t="s">
        <v>5333</v>
      </c>
    </row>
    <row r="15119" spans="9:10" x14ac:dyDescent="0.3">
      <c r="I15119" t="s">
        <v>20596</v>
      </c>
      <c r="J15119" t="s">
        <v>5333</v>
      </c>
    </row>
    <row r="15120" spans="9:10" x14ac:dyDescent="0.3">
      <c r="I15120" t="s">
        <v>20598</v>
      </c>
      <c r="J15120" t="s">
        <v>5333</v>
      </c>
    </row>
    <row r="15121" spans="9:10" x14ac:dyDescent="0.3">
      <c r="I15121" t="s">
        <v>20599</v>
      </c>
      <c r="J15121" t="s">
        <v>5334</v>
      </c>
    </row>
    <row r="15122" spans="9:10" x14ac:dyDescent="0.3">
      <c r="I15122" t="s">
        <v>20600</v>
      </c>
      <c r="J15122" t="s">
        <v>5335</v>
      </c>
    </row>
    <row r="15123" spans="9:10" x14ac:dyDescent="0.3">
      <c r="I15123" t="s">
        <v>20601</v>
      </c>
    </row>
    <row r="15124" spans="9:10" x14ac:dyDescent="0.3">
      <c r="I15124" t="s">
        <v>20602</v>
      </c>
    </row>
    <row r="15125" spans="9:10" x14ac:dyDescent="0.3">
      <c r="I15125" t="s">
        <v>20603</v>
      </c>
      <c r="J15125" t="s">
        <v>5336</v>
      </c>
    </row>
    <row r="15126" spans="9:10" x14ac:dyDescent="0.3">
      <c r="I15126" t="s">
        <v>20604</v>
      </c>
      <c r="J15126" t="s">
        <v>5337</v>
      </c>
    </row>
    <row r="15127" spans="9:10" x14ac:dyDescent="0.3">
      <c r="I15127" t="s">
        <v>20605</v>
      </c>
    </row>
    <row r="15128" spans="9:10" x14ac:dyDescent="0.3">
      <c r="I15128" t="s">
        <v>20606</v>
      </c>
    </row>
    <row r="15129" spans="9:10" x14ac:dyDescent="0.3">
      <c r="I15129" t="s">
        <v>20607</v>
      </c>
    </row>
    <row r="15130" spans="9:10" x14ac:dyDescent="0.3">
      <c r="I15130" t="s">
        <v>20608</v>
      </c>
      <c r="J15130" t="s">
        <v>5338</v>
      </c>
    </row>
    <row r="15131" spans="9:10" x14ac:dyDescent="0.3">
      <c r="I15131" t="s">
        <v>20609</v>
      </c>
      <c r="J15131" t="s">
        <v>5338</v>
      </c>
    </row>
    <row r="15132" spans="9:10" x14ac:dyDescent="0.3">
      <c r="I15132" t="s">
        <v>20610</v>
      </c>
    </row>
    <row r="15133" spans="9:10" x14ac:dyDescent="0.3">
      <c r="I15133" t="s">
        <v>20611</v>
      </c>
    </row>
    <row r="15134" spans="9:10" x14ac:dyDescent="0.3">
      <c r="I15134" t="s">
        <v>20612</v>
      </c>
      <c r="J15134" t="s">
        <v>5339</v>
      </c>
    </row>
    <row r="15135" spans="9:10" x14ac:dyDescent="0.3">
      <c r="I15135" t="s">
        <v>20613</v>
      </c>
      <c r="J15135" t="s">
        <v>5340</v>
      </c>
    </row>
    <row r="15136" spans="9:10" x14ac:dyDescent="0.3">
      <c r="I15136" t="s">
        <v>20614</v>
      </c>
    </row>
    <row r="15137" spans="9:10" x14ac:dyDescent="0.3">
      <c r="I15137" t="s">
        <v>20615</v>
      </c>
      <c r="J15137" t="s">
        <v>5341</v>
      </c>
    </row>
    <row r="15138" spans="9:10" x14ac:dyDescent="0.3">
      <c r="I15138" t="s">
        <v>20616</v>
      </c>
      <c r="J15138" t="s">
        <v>5342</v>
      </c>
    </row>
    <row r="15139" spans="9:10" x14ac:dyDescent="0.3">
      <c r="I15139" t="s">
        <v>20617</v>
      </c>
      <c r="J15139" t="s">
        <v>5342</v>
      </c>
    </row>
    <row r="15140" spans="9:10" x14ac:dyDescent="0.3">
      <c r="I15140" t="s">
        <v>20618</v>
      </c>
      <c r="J15140" t="s">
        <v>5342</v>
      </c>
    </row>
    <row r="15141" spans="9:10" x14ac:dyDescent="0.3">
      <c r="I15141" t="s">
        <v>20619</v>
      </c>
    </row>
    <row r="15142" spans="9:10" x14ac:dyDescent="0.3">
      <c r="I15142" t="s">
        <v>20620</v>
      </c>
    </row>
    <row r="15143" spans="9:10" x14ac:dyDescent="0.3">
      <c r="I15143" t="s">
        <v>20620</v>
      </c>
    </row>
    <row r="15144" spans="9:10" x14ac:dyDescent="0.3">
      <c r="I15144" t="s">
        <v>20621</v>
      </c>
    </row>
    <row r="15145" spans="9:10" x14ac:dyDescent="0.3">
      <c r="I15145" t="s">
        <v>20622</v>
      </c>
    </row>
    <row r="15146" spans="9:10" x14ac:dyDescent="0.3">
      <c r="I15146" t="s">
        <v>20623</v>
      </c>
      <c r="J15146" t="s">
        <v>5343</v>
      </c>
    </row>
    <row r="15147" spans="9:10" x14ac:dyDescent="0.3">
      <c r="I15147" t="s">
        <v>20624</v>
      </c>
      <c r="J15147" t="s">
        <v>5343</v>
      </c>
    </row>
    <row r="15148" spans="9:10" x14ac:dyDescent="0.3">
      <c r="I15148" t="s">
        <v>20625</v>
      </c>
      <c r="J15148" t="s">
        <v>5344</v>
      </c>
    </row>
    <row r="15149" spans="9:10" x14ac:dyDescent="0.3">
      <c r="I15149" t="s">
        <v>20626</v>
      </c>
      <c r="J15149" t="s">
        <v>5345</v>
      </c>
    </row>
    <row r="15150" spans="9:10" x14ac:dyDescent="0.3">
      <c r="I15150" t="s">
        <v>20627</v>
      </c>
      <c r="J15150" t="s">
        <v>688</v>
      </c>
    </row>
    <row r="15151" spans="9:10" x14ac:dyDescent="0.3">
      <c r="I15151" t="s">
        <v>20628</v>
      </c>
      <c r="J15151" t="s">
        <v>5346</v>
      </c>
    </row>
    <row r="15152" spans="9:10" x14ac:dyDescent="0.3">
      <c r="I15152" t="s">
        <v>20629</v>
      </c>
    </row>
    <row r="15153" spans="9:10" x14ac:dyDescent="0.3">
      <c r="I15153" t="s">
        <v>20630</v>
      </c>
      <c r="J15153" t="s">
        <v>5347</v>
      </c>
    </row>
    <row r="15154" spans="9:10" x14ac:dyDescent="0.3">
      <c r="I15154" t="s">
        <v>20631</v>
      </c>
      <c r="J15154" t="s">
        <v>5348</v>
      </c>
    </row>
    <row r="15155" spans="9:10" x14ac:dyDescent="0.3">
      <c r="I15155" t="s">
        <v>20632</v>
      </c>
    </row>
    <row r="15156" spans="9:10" x14ac:dyDescent="0.3">
      <c r="I15156" t="s">
        <v>20633</v>
      </c>
    </row>
    <row r="15157" spans="9:10" x14ac:dyDescent="0.3">
      <c r="I15157" t="s">
        <v>20634</v>
      </c>
      <c r="J15157" t="s">
        <v>5349</v>
      </c>
    </row>
    <row r="15158" spans="9:10" x14ac:dyDescent="0.3">
      <c r="I15158" t="s">
        <v>20635</v>
      </c>
      <c r="J15158" t="s">
        <v>5349</v>
      </c>
    </row>
    <row r="15159" spans="9:10" x14ac:dyDescent="0.3">
      <c r="I15159" t="s">
        <v>20636</v>
      </c>
    </row>
    <row r="15160" spans="9:10" x14ac:dyDescent="0.3">
      <c r="I15160" t="s">
        <v>20637</v>
      </c>
    </row>
    <row r="15161" spans="9:10" x14ac:dyDescent="0.3">
      <c r="I15161" t="s">
        <v>20638</v>
      </c>
    </row>
    <row r="15162" spans="9:10" x14ac:dyDescent="0.3">
      <c r="I15162" t="s">
        <v>20639</v>
      </c>
    </row>
    <row r="15163" spans="9:10" x14ac:dyDescent="0.3">
      <c r="I15163" t="s">
        <v>20640</v>
      </c>
    </row>
    <row r="15164" spans="9:10" x14ac:dyDescent="0.3">
      <c r="I15164" t="s">
        <v>20641</v>
      </c>
    </row>
    <row r="15165" spans="9:10" x14ac:dyDescent="0.3">
      <c r="I15165" t="s">
        <v>20642</v>
      </c>
      <c r="J15165" t="s">
        <v>238</v>
      </c>
    </row>
    <row r="15166" spans="9:10" x14ac:dyDescent="0.3">
      <c r="I15166" t="s">
        <v>20643</v>
      </c>
      <c r="J15166" t="s">
        <v>5350</v>
      </c>
    </row>
    <row r="15167" spans="9:10" x14ac:dyDescent="0.3">
      <c r="I15167" t="s">
        <v>20643</v>
      </c>
      <c r="J15167" t="s">
        <v>5350</v>
      </c>
    </row>
    <row r="15168" spans="9:10" x14ac:dyDescent="0.3">
      <c r="I15168" t="s">
        <v>20643</v>
      </c>
      <c r="J15168" t="s">
        <v>5350</v>
      </c>
    </row>
    <row r="15169" spans="9:10" x14ac:dyDescent="0.3">
      <c r="I15169" t="s">
        <v>20643</v>
      </c>
      <c r="J15169" t="s">
        <v>5350</v>
      </c>
    </row>
    <row r="15170" spans="9:10" x14ac:dyDescent="0.3">
      <c r="I15170" t="s">
        <v>20644</v>
      </c>
    </row>
    <row r="15171" spans="9:10" x14ac:dyDescent="0.3">
      <c r="I15171" t="s">
        <v>20645</v>
      </c>
      <c r="J15171" t="s">
        <v>5351</v>
      </c>
    </row>
    <row r="15172" spans="9:10" x14ac:dyDescent="0.3">
      <c r="I15172" t="s">
        <v>20645</v>
      </c>
      <c r="J15172" t="s">
        <v>5351</v>
      </c>
    </row>
    <row r="15173" spans="9:10" x14ac:dyDescent="0.3">
      <c r="I15173" t="s">
        <v>20645</v>
      </c>
      <c r="J15173" t="s">
        <v>5351</v>
      </c>
    </row>
    <row r="15174" spans="9:10" x14ac:dyDescent="0.3">
      <c r="I15174" t="s">
        <v>20646</v>
      </c>
      <c r="J15174" t="s">
        <v>5352</v>
      </c>
    </row>
    <row r="15175" spans="9:10" x14ac:dyDescent="0.3">
      <c r="I15175" t="s">
        <v>20647</v>
      </c>
      <c r="J15175" t="s">
        <v>5353</v>
      </c>
    </row>
    <row r="15176" spans="9:10" x14ac:dyDescent="0.3">
      <c r="I15176" t="s">
        <v>20648</v>
      </c>
      <c r="J15176" t="s">
        <v>5353</v>
      </c>
    </row>
    <row r="15177" spans="9:10" x14ac:dyDescent="0.3">
      <c r="I15177" t="s">
        <v>20649</v>
      </c>
      <c r="J15177" t="s">
        <v>5354</v>
      </c>
    </row>
    <row r="15178" spans="9:10" x14ac:dyDescent="0.3">
      <c r="I15178" t="s">
        <v>20650</v>
      </c>
      <c r="J15178" t="s">
        <v>5354</v>
      </c>
    </row>
    <row r="15179" spans="9:10" x14ac:dyDescent="0.3">
      <c r="I15179" t="s">
        <v>20651</v>
      </c>
      <c r="J15179" t="s">
        <v>5355</v>
      </c>
    </row>
    <row r="15180" spans="9:10" x14ac:dyDescent="0.3">
      <c r="I15180" t="s">
        <v>20651</v>
      </c>
      <c r="J15180" t="s">
        <v>5355</v>
      </c>
    </row>
    <row r="15181" spans="9:10" x14ac:dyDescent="0.3">
      <c r="I15181" t="s">
        <v>20651</v>
      </c>
      <c r="J15181" t="s">
        <v>5355</v>
      </c>
    </row>
    <row r="15182" spans="9:10" x14ac:dyDescent="0.3">
      <c r="I15182" t="s">
        <v>20651</v>
      </c>
      <c r="J15182" t="s">
        <v>5355</v>
      </c>
    </row>
    <row r="15183" spans="9:10" x14ac:dyDescent="0.3">
      <c r="I15183" t="s">
        <v>20652</v>
      </c>
      <c r="J15183" t="s">
        <v>5355</v>
      </c>
    </row>
    <row r="15184" spans="9:10" x14ac:dyDescent="0.3">
      <c r="I15184" t="s">
        <v>20651</v>
      </c>
      <c r="J15184" t="s">
        <v>5355</v>
      </c>
    </row>
    <row r="15185" spans="9:10" x14ac:dyDescent="0.3">
      <c r="I15185" t="s">
        <v>20651</v>
      </c>
      <c r="J15185" t="s">
        <v>5355</v>
      </c>
    </row>
    <row r="15186" spans="9:10" x14ac:dyDescent="0.3">
      <c r="I15186" t="s">
        <v>20653</v>
      </c>
      <c r="J15186" t="s">
        <v>5356</v>
      </c>
    </row>
    <row r="15187" spans="9:10" x14ac:dyDescent="0.3">
      <c r="I15187" t="s">
        <v>20654</v>
      </c>
      <c r="J15187" t="s">
        <v>5356</v>
      </c>
    </row>
    <row r="15188" spans="9:10" x14ac:dyDescent="0.3">
      <c r="I15188" t="s">
        <v>20654</v>
      </c>
      <c r="J15188" t="s">
        <v>5356</v>
      </c>
    </row>
    <row r="15189" spans="9:10" x14ac:dyDescent="0.3">
      <c r="I15189" t="s">
        <v>20655</v>
      </c>
      <c r="J15189" t="s">
        <v>5356</v>
      </c>
    </row>
    <row r="15190" spans="9:10" x14ac:dyDescent="0.3">
      <c r="I15190" t="s">
        <v>20656</v>
      </c>
      <c r="J15190" t="s">
        <v>5356</v>
      </c>
    </row>
    <row r="15191" spans="9:10" x14ac:dyDescent="0.3">
      <c r="I15191" t="s">
        <v>20657</v>
      </c>
      <c r="J15191" t="s">
        <v>5356</v>
      </c>
    </row>
    <row r="15192" spans="9:10" x14ac:dyDescent="0.3">
      <c r="I15192" t="s">
        <v>20658</v>
      </c>
      <c r="J15192" t="s">
        <v>5356</v>
      </c>
    </row>
    <row r="15193" spans="9:10" x14ac:dyDescent="0.3">
      <c r="I15193" t="s">
        <v>20659</v>
      </c>
      <c r="J15193" t="s">
        <v>5356</v>
      </c>
    </row>
    <row r="15194" spans="9:10" x14ac:dyDescent="0.3">
      <c r="I15194" t="s">
        <v>20660</v>
      </c>
      <c r="J15194" t="s">
        <v>5357</v>
      </c>
    </row>
    <row r="15195" spans="9:10" x14ac:dyDescent="0.3">
      <c r="I15195" t="s">
        <v>20661</v>
      </c>
      <c r="J15195" t="s">
        <v>5357</v>
      </c>
    </row>
    <row r="15196" spans="9:10" x14ac:dyDescent="0.3">
      <c r="I15196" t="s">
        <v>20660</v>
      </c>
      <c r="J15196" t="s">
        <v>5357</v>
      </c>
    </row>
    <row r="15197" spans="9:10" x14ac:dyDescent="0.3">
      <c r="I15197" t="s">
        <v>20662</v>
      </c>
    </row>
    <row r="15198" spans="9:10" x14ac:dyDescent="0.3">
      <c r="I15198" t="s">
        <v>20663</v>
      </c>
    </row>
    <row r="15199" spans="9:10" x14ac:dyDescent="0.3">
      <c r="I15199" t="s">
        <v>20664</v>
      </c>
    </row>
    <row r="15200" spans="9:10" x14ac:dyDescent="0.3">
      <c r="I15200" t="s">
        <v>20664</v>
      </c>
    </row>
    <row r="15201" spans="9:10" x14ac:dyDescent="0.3">
      <c r="I15201" t="s">
        <v>20665</v>
      </c>
    </row>
    <row r="15202" spans="9:10" x14ac:dyDescent="0.3">
      <c r="I15202" t="s">
        <v>20666</v>
      </c>
      <c r="J15202" t="s">
        <v>3487</v>
      </c>
    </row>
    <row r="15203" spans="9:10" x14ac:dyDescent="0.3">
      <c r="I15203" t="s">
        <v>20667</v>
      </c>
      <c r="J15203" t="s">
        <v>5358</v>
      </c>
    </row>
    <row r="15204" spans="9:10" x14ac:dyDescent="0.3">
      <c r="I15204" t="s">
        <v>20668</v>
      </c>
      <c r="J15204" t="s">
        <v>5359</v>
      </c>
    </row>
    <row r="15205" spans="9:10" x14ac:dyDescent="0.3">
      <c r="I15205" t="s">
        <v>20669</v>
      </c>
      <c r="J15205" t="s">
        <v>5360</v>
      </c>
    </row>
    <row r="15206" spans="9:10" x14ac:dyDescent="0.3">
      <c r="I15206" t="s">
        <v>20670</v>
      </c>
      <c r="J15206" t="s">
        <v>5361</v>
      </c>
    </row>
    <row r="15207" spans="9:10" x14ac:dyDescent="0.3">
      <c r="I15207" t="s">
        <v>20671</v>
      </c>
      <c r="J15207" t="s">
        <v>5362</v>
      </c>
    </row>
    <row r="15208" spans="9:10" x14ac:dyDescent="0.3">
      <c r="I15208" t="s">
        <v>20672</v>
      </c>
    </row>
    <row r="15209" spans="9:10" x14ac:dyDescent="0.3">
      <c r="I15209" t="s">
        <v>20673</v>
      </c>
      <c r="J15209" t="s">
        <v>5363</v>
      </c>
    </row>
    <row r="15210" spans="9:10" x14ac:dyDescent="0.3">
      <c r="I15210" t="s">
        <v>20674</v>
      </c>
      <c r="J15210" t="s">
        <v>159</v>
      </c>
    </row>
    <row r="15211" spans="9:10" x14ac:dyDescent="0.3">
      <c r="I15211" t="s">
        <v>20675</v>
      </c>
      <c r="J15211" t="s">
        <v>159</v>
      </c>
    </row>
    <row r="15212" spans="9:10" x14ac:dyDescent="0.3">
      <c r="I15212" t="s">
        <v>20676</v>
      </c>
      <c r="J15212" t="s">
        <v>859</v>
      </c>
    </row>
    <row r="15213" spans="9:10" x14ac:dyDescent="0.3">
      <c r="I15213" t="s">
        <v>20677</v>
      </c>
      <c r="J15213" t="s">
        <v>859</v>
      </c>
    </row>
    <row r="15214" spans="9:10" x14ac:dyDescent="0.3">
      <c r="I15214" t="s">
        <v>20678</v>
      </c>
      <c r="J15214" t="s">
        <v>859</v>
      </c>
    </row>
    <row r="15215" spans="9:10" x14ac:dyDescent="0.3">
      <c r="I15215" t="s">
        <v>20679</v>
      </c>
      <c r="J15215" t="s">
        <v>859</v>
      </c>
    </row>
    <row r="15216" spans="9:10" x14ac:dyDescent="0.3">
      <c r="I15216" t="s">
        <v>20680</v>
      </c>
      <c r="J15216" t="s">
        <v>859</v>
      </c>
    </row>
    <row r="15217" spans="9:10" x14ac:dyDescent="0.3">
      <c r="I15217" t="s">
        <v>20681</v>
      </c>
      <c r="J15217" t="s">
        <v>516</v>
      </c>
    </row>
    <row r="15218" spans="9:10" x14ac:dyDescent="0.3">
      <c r="I15218" t="s">
        <v>20682</v>
      </c>
      <c r="J15218" t="s">
        <v>516</v>
      </c>
    </row>
    <row r="15219" spans="9:10" x14ac:dyDescent="0.3">
      <c r="I15219" t="s">
        <v>20683</v>
      </c>
      <c r="J15219" t="s">
        <v>5364</v>
      </c>
    </row>
    <row r="15220" spans="9:10" x14ac:dyDescent="0.3">
      <c r="I15220" t="s">
        <v>20684</v>
      </c>
    </row>
    <row r="15221" spans="9:10" x14ac:dyDescent="0.3">
      <c r="I15221" t="s">
        <v>20685</v>
      </c>
    </row>
    <row r="15222" spans="9:10" x14ac:dyDescent="0.3">
      <c r="I15222" t="s">
        <v>20686</v>
      </c>
      <c r="J15222" t="s">
        <v>5365</v>
      </c>
    </row>
    <row r="15223" spans="9:10" x14ac:dyDescent="0.3">
      <c r="I15223" t="s">
        <v>20687</v>
      </c>
      <c r="J15223" t="s">
        <v>5365</v>
      </c>
    </row>
    <row r="15224" spans="9:10" x14ac:dyDescent="0.3">
      <c r="I15224" t="s">
        <v>20688</v>
      </c>
      <c r="J15224" t="s">
        <v>5366</v>
      </c>
    </row>
    <row r="15225" spans="9:10" x14ac:dyDescent="0.3">
      <c r="I15225" t="s">
        <v>20689</v>
      </c>
      <c r="J15225" t="s">
        <v>342</v>
      </c>
    </row>
    <row r="15226" spans="9:10" x14ac:dyDescent="0.3">
      <c r="I15226" t="s">
        <v>20690</v>
      </c>
      <c r="J15226" t="s">
        <v>342</v>
      </c>
    </row>
    <row r="15227" spans="9:10" x14ac:dyDescent="0.3">
      <c r="I15227" t="s">
        <v>20691</v>
      </c>
      <c r="J15227" t="s">
        <v>564</v>
      </c>
    </row>
    <row r="15228" spans="9:10" x14ac:dyDescent="0.3">
      <c r="I15228" t="s">
        <v>20692</v>
      </c>
      <c r="J15228" t="s">
        <v>644</v>
      </c>
    </row>
    <row r="15229" spans="9:10" x14ac:dyDescent="0.3">
      <c r="I15229" t="s">
        <v>20693</v>
      </c>
    </row>
    <row r="15230" spans="9:10" x14ac:dyDescent="0.3">
      <c r="I15230" t="s">
        <v>20694</v>
      </c>
    </row>
    <row r="15231" spans="9:10" x14ac:dyDescent="0.3">
      <c r="I15231" t="s">
        <v>20695</v>
      </c>
      <c r="J15231" t="s">
        <v>5367</v>
      </c>
    </row>
    <row r="15232" spans="9:10" x14ac:dyDescent="0.3">
      <c r="I15232" t="s">
        <v>20696</v>
      </c>
      <c r="J15232" t="s">
        <v>494</v>
      </c>
    </row>
    <row r="15233" spans="9:10" x14ac:dyDescent="0.3">
      <c r="I15233" t="s">
        <v>20697</v>
      </c>
      <c r="J15233" t="s">
        <v>5368</v>
      </c>
    </row>
    <row r="15234" spans="9:10" x14ac:dyDescent="0.3">
      <c r="I15234" t="s">
        <v>20698</v>
      </c>
      <c r="J15234" t="s">
        <v>5369</v>
      </c>
    </row>
    <row r="15235" spans="9:10" x14ac:dyDescent="0.3">
      <c r="I15235" t="s">
        <v>20699</v>
      </c>
      <c r="J15235" t="s">
        <v>5369</v>
      </c>
    </row>
    <row r="15236" spans="9:10" x14ac:dyDescent="0.3">
      <c r="I15236" t="s">
        <v>20700</v>
      </c>
      <c r="J15236" t="s">
        <v>5370</v>
      </c>
    </row>
    <row r="15237" spans="9:10" x14ac:dyDescent="0.3">
      <c r="I15237" t="s">
        <v>20701</v>
      </c>
      <c r="J15237" t="s">
        <v>5371</v>
      </c>
    </row>
    <row r="15238" spans="9:10" x14ac:dyDescent="0.3">
      <c r="I15238" t="s">
        <v>20702</v>
      </c>
    </row>
    <row r="15239" spans="9:10" x14ac:dyDescent="0.3">
      <c r="I15239" t="s">
        <v>20703</v>
      </c>
    </row>
    <row r="15240" spans="9:10" x14ac:dyDescent="0.3">
      <c r="I15240" t="s">
        <v>20704</v>
      </c>
    </row>
    <row r="15241" spans="9:10" x14ac:dyDescent="0.3">
      <c r="I15241" t="s">
        <v>20705</v>
      </c>
    </row>
    <row r="15242" spans="9:10" x14ac:dyDescent="0.3">
      <c r="I15242" t="s">
        <v>20706</v>
      </c>
      <c r="J15242" t="s">
        <v>5372</v>
      </c>
    </row>
    <row r="15243" spans="9:10" x14ac:dyDescent="0.3">
      <c r="I15243" t="s">
        <v>20707</v>
      </c>
      <c r="J15243" t="s">
        <v>5373</v>
      </c>
    </row>
    <row r="15244" spans="9:10" x14ac:dyDescent="0.3">
      <c r="I15244" t="s">
        <v>20708</v>
      </c>
      <c r="J15244" t="s">
        <v>5373</v>
      </c>
    </row>
    <row r="15245" spans="9:10" x14ac:dyDescent="0.3">
      <c r="I15245" t="s">
        <v>20709</v>
      </c>
      <c r="J15245" t="s">
        <v>5374</v>
      </c>
    </row>
    <row r="15246" spans="9:10" x14ac:dyDescent="0.3">
      <c r="I15246" t="s">
        <v>20710</v>
      </c>
    </row>
    <row r="15247" spans="9:10" x14ac:dyDescent="0.3">
      <c r="I15247" t="s">
        <v>20711</v>
      </c>
      <c r="J15247" t="s">
        <v>5375</v>
      </c>
    </row>
    <row r="15248" spans="9:10" x14ac:dyDescent="0.3">
      <c r="I15248" t="s">
        <v>20712</v>
      </c>
      <c r="J15248" t="s">
        <v>5375</v>
      </c>
    </row>
    <row r="15249" spans="9:10" x14ac:dyDescent="0.3">
      <c r="I15249" t="s">
        <v>20711</v>
      </c>
      <c r="J15249" t="s">
        <v>5375</v>
      </c>
    </row>
    <row r="15250" spans="9:10" x14ac:dyDescent="0.3">
      <c r="I15250" t="s">
        <v>20711</v>
      </c>
      <c r="J15250" t="s">
        <v>5375</v>
      </c>
    </row>
    <row r="15251" spans="9:10" x14ac:dyDescent="0.3">
      <c r="I15251" t="s">
        <v>20711</v>
      </c>
      <c r="J15251" t="s">
        <v>5375</v>
      </c>
    </row>
    <row r="15252" spans="9:10" x14ac:dyDescent="0.3">
      <c r="I15252" t="s">
        <v>20711</v>
      </c>
      <c r="J15252" t="s">
        <v>5375</v>
      </c>
    </row>
    <row r="15253" spans="9:10" x14ac:dyDescent="0.3">
      <c r="I15253" t="s">
        <v>20711</v>
      </c>
      <c r="J15253" t="s">
        <v>5375</v>
      </c>
    </row>
    <row r="15254" spans="9:10" x14ac:dyDescent="0.3">
      <c r="I15254" t="s">
        <v>20711</v>
      </c>
      <c r="J15254" t="s">
        <v>5375</v>
      </c>
    </row>
    <row r="15255" spans="9:10" x14ac:dyDescent="0.3">
      <c r="I15255" t="s">
        <v>20711</v>
      </c>
      <c r="J15255" t="s">
        <v>5375</v>
      </c>
    </row>
    <row r="15256" spans="9:10" x14ac:dyDescent="0.3">
      <c r="I15256" t="s">
        <v>20711</v>
      </c>
      <c r="J15256" t="s">
        <v>5375</v>
      </c>
    </row>
    <row r="15257" spans="9:10" x14ac:dyDescent="0.3">
      <c r="I15257" t="s">
        <v>20713</v>
      </c>
      <c r="J15257" t="s">
        <v>5375</v>
      </c>
    </row>
    <row r="15258" spans="9:10" x14ac:dyDescent="0.3">
      <c r="I15258" t="s">
        <v>20714</v>
      </c>
      <c r="J15258" t="s">
        <v>5375</v>
      </c>
    </row>
    <row r="15259" spans="9:10" x14ac:dyDescent="0.3">
      <c r="I15259" t="s">
        <v>20715</v>
      </c>
      <c r="J15259" t="s">
        <v>5375</v>
      </c>
    </row>
    <row r="15260" spans="9:10" x14ac:dyDescent="0.3">
      <c r="I15260" t="s">
        <v>20716</v>
      </c>
      <c r="J15260" t="s">
        <v>5375</v>
      </c>
    </row>
    <row r="15261" spans="9:10" x14ac:dyDescent="0.3">
      <c r="I15261" t="s">
        <v>20711</v>
      </c>
      <c r="J15261" t="s">
        <v>5375</v>
      </c>
    </row>
    <row r="15262" spans="9:10" x14ac:dyDescent="0.3">
      <c r="I15262" t="s">
        <v>20711</v>
      </c>
      <c r="J15262" t="s">
        <v>5375</v>
      </c>
    </row>
    <row r="15263" spans="9:10" x14ac:dyDescent="0.3">
      <c r="I15263" t="s">
        <v>20717</v>
      </c>
      <c r="J15263" t="s">
        <v>5375</v>
      </c>
    </row>
    <row r="15264" spans="9:10" x14ac:dyDescent="0.3">
      <c r="I15264" t="s">
        <v>20718</v>
      </c>
      <c r="J15264" t="s">
        <v>5375</v>
      </c>
    </row>
    <row r="15265" spans="9:10" x14ac:dyDescent="0.3">
      <c r="I15265" t="s">
        <v>20718</v>
      </c>
      <c r="J15265" t="s">
        <v>5375</v>
      </c>
    </row>
    <row r="15266" spans="9:10" x14ac:dyDescent="0.3">
      <c r="I15266" t="s">
        <v>20719</v>
      </c>
      <c r="J15266" t="s">
        <v>5375</v>
      </c>
    </row>
    <row r="15267" spans="9:10" x14ac:dyDescent="0.3">
      <c r="I15267" t="s">
        <v>20720</v>
      </c>
      <c r="J15267" t="s">
        <v>5375</v>
      </c>
    </row>
    <row r="15268" spans="9:10" x14ac:dyDescent="0.3">
      <c r="I15268" t="s">
        <v>20720</v>
      </c>
      <c r="J15268" t="s">
        <v>5375</v>
      </c>
    </row>
    <row r="15269" spans="9:10" x14ac:dyDescent="0.3">
      <c r="I15269" t="s">
        <v>20711</v>
      </c>
      <c r="J15269" t="s">
        <v>5375</v>
      </c>
    </row>
    <row r="15270" spans="9:10" x14ac:dyDescent="0.3">
      <c r="I15270" t="s">
        <v>20711</v>
      </c>
      <c r="J15270" t="s">
        <v>5375</v>
      </c>
    </row>
    <row r="15271" spans="9:10" x14ac:dyDescent="0.3">
      <c r="I15271" t="s">
        <v>20711</v>
      </c>
      <c r="J15271" t="s">
        <v>5375</v>
      </c>
    </row>
    <row r="15272" spans="9:10" x14ac:dyDescent="0.3">
      <c r="I15272" t="s">
        <v>20718</v>
      </c>
      <c r="J15272" t="s">
        <v>5375</v>
      </c>
    </row>
    <row r="15273" spans="9:10" x14ac:dyDescent="0.3">
      <c r="I15273" t="s">
        <v>20721</v>
      </c>
      <c r="J15273" t="s">
        <v>5375</v>
      </c>
    </row>
    <row r="15274" spans="9:10" x14ac:dyDescent="0.3">
      <c r="I15274" t="s">
        <v>20722</v>
      </c>
      <c r="J15274" t="s">
        <v>5375</v>
      </c>
    </row>
    <row r="15275" spans="9:10" x14ac:dyDescent="0.3">
      <c r="I15275" t="s">
        <v>20723</v>
      </c>
      <c r="J15275" t="s">
        <v>5375</v>
      </c>
    </row>
    <row r="15276" spans="9:10" x14ac:dyDescent="0.3">
      <c r="I15276" t="s">
        <v>20724</v>
      </c>
      <c r="J15276" t="s">
        <v>5375</v>
      </c>
    </row>
    <row r="15277" spans="9:10" x14ac:dyDescent="0.3">
      <c r="I15277" t="s">
        <v>20725</v>
      </c>
      <c r="J15277" t="s">
        <v>5375</v>
      </c>
    </row>
    <row r="15278" spans="9:10" x14ac:dyDescent="0.3">
      <c r="I15278" t="s">
        <v>20724</v>
      </c>
      <c r="J15278" t="s">
        <v>5375</v>
      </c>
    </row>
    <row r="15279" spans="9:10" x14ac:dyDescent="0.3">
      <c r="I15279" t="s">
        <v>20724</v>
      </c>
      <c r="J15279" t="s">
        <v>5375</v>
      </c>
    </row>
    <row r="15280" spans="9:10" x14ac:dyDescent="0.3">
      <c r="I15280" t="s">
        <v>20726</v>
      </c>
      <c r="J15280" t="s">
        <v>5376</v>
      </c>
    </row>
    <row r="15281" spans="9:10" x14ac:dyDescent="0.3">
      <c r="I15281" t="s">
        <v>20727</v>
      </c>
    </row>
    <row r="15282" spans="9:10" x14ac:dyDescent="0.3">
      <c r="I15282" t="s">
        <v>20728</v>
      </c>
    </row>
    <row r="15283" spans="9:10" x14ac:dyDescent="0.3">
      <c r="I15283" t="s">
        <v>20729</v>
      </c>
    </row>
    <row r="15284" spans="9:10" x14ac:dyDescent="0.3">
      <c r="I15284" t="s">
        <v>20730</v>
      </c>
      <c r="J15284" t="s">
        <v>5377</v>
      </c>
    </row>
    <row r="15285" spans="9:10" x14ac:dyDescent="0.3">
      <c r="I15285" t="s">
        <v>20731</v>
      </c>
    </row>
    <row r="15286" spans="9:10" x14ac:dyDescent="0.3">
      <c r="I15286" t="s">
        <v>20732</v>
      </c>
    </row>
    <row r="15287" spans="9:10" x14ac:dyDescent="0.3">
      <c r="I15287" t="s">
        <v>20733</v>
      </c>
    </row>
    <row r="15288" spans="9:10" x14ac:dyDescent="0.3">
      <c r="I15288" t="s">
        <v>20734</v>
      </c>
      <c r="J15288" t="s">
        <v>5378</v>
      </c>
    </row>
    <row r="15289" spans="9:10" x14ac:dyDescent="0.3">
      <c r="I15289" t="s">
        <v>20735</v>
      </c>
    </row>
    <row r="15290" spans="9:10" x14ac:dyDescent="0.3">
      <c r="I15290" t="s">
        <v>20736</v>
      </c>
    </row>
    <row r="15291" spans="9:10" x14ac:dyDescent="0.3">
      <c r="I15291" t="s">
        <v>20737</v>
      </c>
      <c r="J15291" t="s">
        <v>5379</v>
      </c>
    </row>
    <row r="15292" spans="9:10" x14ac:dyDescent="0.3">
      <c r="I15292" t="s">
        <v>20738</v>
      </c>
    </row>
    <row r="15293" spans="9:10" x14ac:dyDescent="0.3">
      <c r="I15293" t="s">
        <v>20738</v>
      </c>
    </row>
    <row r="15294" spans="9:10" x14ac:dyDescent="0.3">
      <c r="I15294" t="s">
        <v>20739</v>
      </c>
      <c r="J15294" t="s">
        <v>5380</v>
      </c>
    </row>
    <row r="15295" spans="9:10" x14ac:dyDescent="0.3">
      <c r="I15295" t="s">
        <v>20740</v>
      </c>
      <c r="J15295" t="s">
        <v>5381</v>
      </c>
    </row>
    <row r="15296" spans="9:10" x14ac:dyDescent="0.3">
      <c r="I15296" t="s">
        <v>20740</v>
      </c>
      <c r="J15296" t="s">
        <v>5381</v>
      </c>
    </row>
    <row r="15297" spans="9:10" x14ac:dyDescent="0.3">
      <c r="I15297" t="s">
        <v>20741</v>
      </c>
      <c r="J15297" t="s">
        <v>5382</v>
      </c>
    </row>
    <row r="15298" spans="9:10" x14ac:dyDescent="0.3">
      <c r="I15298" t="s">
        <v>20742</v>
      </c>
      <c r="J15298" t="s">
        <v>5383</v>
      </c>
    </row>
    <row r="15299" spans="9:10" x14ac:dyDescent="0.3">
      <c r="I15299" t="s">
        <v>20742</v>
      </c>
      <c r="J15299" t="s">
        <v>5383</v>
      </c>
    </row>
    <row r="15300" spans="9:10" x14ac:dyDescent="0.3">
      <c r="I15300" t="s">
        <v>20743</v>
      </c>
      <c r="J15300" t="s">
        <v>5384</v>
      </c>
    </row>
    <row r="15301" spans="9:10" x14ac:dyDescent="0.3">
      <c r="I15301" t="s">
        <v>20744</v>
      </c>
    </row>
    <row r="15302" spans="9:10" x14ac:dyDescent="0.3">
      <c r="I15302" t="s">
        <v>20745</v>
      </c>
      <c r="J15302" t="s">
        <v>5385</v>
      </c>
    </row>
    <row r="15303" spans="9:10" x14ac:dyDescent="0.3">
      <c r="I15303" t="s">
        <v>20746</v>
      </c>
      <c r="J15303" t="s">
        <v>5386</v>
      </c>
    </row>
    <row r="15304" spans="9:10" x14ac:dyDescent="0.3">
      <c r="I15304" t="s">
        <v>20747</v>
      </c>
    </row>
    <row r="15305" spans="9:10" x14ac:dyDescent="0.3">
      <c r="I15305" t="s">
        <v>20748</v>
      </c>
      <c r="J15305" t="s">
        <v>5387</v>
      </c>
    </row>
    <row r="15306" spans="9:10" x14ac:dyDescent="0.3">
      <c r="I15306" t="s">
        <v>20749</v>
      </c>
    </row>
    <row r="15307" spans="9:10" x14ac:dyDescent="0.3">
      <c r="I15307" t="s">
        <v>20750</v>
      </c>
    </row>
    <row r="15308" spans="9:10" x14ac:dyDescent="0.3">
      <c r="I15308" t="s">
        <v>20751</v>
      </c>
    </row>
    <row r="15309" spans="9:10" x14ac:dyDescent="0.3">
      <c r="I15309" t="s">
        <v>20751</v>
      </c>
    </row>
    <row r="15310" spans="9:10" x14ac:dyDescent="0.3">
      <c r="I15310" t="s">
        <v>20752</v>
      </c>
    </row>
    <row r="15311" spans="9:10" x14ac:dyDescent="0.3">
      <c r="I15311" t="s">
        <v>20753</v>
      </c>
    </row>
    <row r="15312" spans="9:10" x14ac:dyDescent="0.3">
      <c r="I15312" t="s">
        <v>20754</v>
      </c>
    </row>
    <row r="15313" spans="9:10" x14ac:dyDescent="0.3">
      <c r="I15313" t="s">
        <v>20755</v>
      </c>
    </row>
    <row r="15314" spans="9:10" x14ac:dyDescent="0.3">
      <c r="I15314" t="s">
        <v>20756</v>
      </c>
      <c r="J15314" t="s">
        <v>5388</v>
      </c>
    </row>
    <row r="15315" spans="9:10" x14ac:dyDescent="0.3">
      <c r="I15315" t="s">
        <v>20757</v>
      </c>
      <c r="J15315" t="s">
        <v>5389</v>
      </c>
    </row>
    <row r="15316" spans="9:10" x14ac:dyDescent="0.3">
      <c r="I15316" t="s">
        <v>20758</v>
      </c>
      <c r="J15316" t="s">
        <v>5390</v>
      </c>
    </row>
    <row r="15317" spans="9:10" x14ac:dyDescent="0.3">
      <c r="I15317" t="s">
        <v>20759</v>
      </c>
      <c r="J15317" t="s">
        <v>5391</v>
      </c>
    </row>
    <row r="15318" spans="9:10" x14ac:dyDescent="0.3">
      <c r="I15318" t="s">
        <v>20760</v>
      </c>
      <c r="J15318" t="s">
        <v>5391</v>
      </c>
    </row>
    <row r="15319" spans="9:10" x14ac:dyDescent="0.3">
      <c r="I15319" t="s">
        <v>20761</v>
      </c>
      <c r="J15319" t="s">
        <v>5392</v>
      </c>
    </row>
    <row r="15320" spans="9:10" x14ac:dyDescent="0.3">
      <c r="I15320" t="s">
        <v>20762</v>
      </c>
      <c r="J15320" t="s">
        <v>5393</v>
      </c>
    </row>
    <row r="15321" spans="9:10" x14ac:dyDescent="0.3">
      <c r="I15321" t="s">
        <v>20763</v>
      </c>
      <c r="J15321" t="s">
        <v>5394</v>
      </c>
    </row>
    <row r="15322" spans="9:10" x14ac:dyDescent="0.3">
      <c r="I15322" t="s">
        <v>20764</v>
      </c>
      <c r="J15322" t="s">
        <v>5395</v>
      </c>
    </row>
    <row r="15323" spans="9:10" x14ac:dyDescent="0.3">
      <c r="I15323" t="s">
        <v>20765</v>
      </c>
      <c r="J15323" t="s">
        <v>5396</v>
      </c>
    </row>
    <row r="15324" spans="9:10" x14ac:dyDescent="0.3">
      <c r="I15324" t="s">
        <v>20766</v>
      </c>
      <c r="J15324" t="s">
        <v>5397</v>
      </c>
    </row>
    <row r="15325" spans="9:10" x14ac:dyDescent="0.3">
      <c r="I15325" t="s">
        <v>20767</v>
      </c>
      <c r="J15325" t="s">
        <v>5398</v>
      </c>
    </row>
    <row r="15326" spans="9:10" x14ac:dyDescent="0.3">
      <c r="I15326" t="s">
        <v>20768</v>
      </c>
      <c r="J15326" t="s">
        <v>5399</v>
      </c>
    </row>
    <row r="15327" spans="9:10" x14ac:dyDescent="0.3">
      <c r="I15327" t="s">
        <v>20769</v>
      </c>
      <c r="J15327" t="s">
        <v>1721</v>
      </c>
    </row>
    <row r="15328" spans="9:10" x14ac:dyDescent="0.3">
      <c r="I15328" t="s">
        <v>20770</v>
      </c>
      <c r="J15328" t="s">
        <v>5400</v>
      </c>
    </row>
    <row r="15329" spans="9:10" x14ac:dyDescent="0.3">
      <c r="I15329" t="s">
        <v>20771</v>
      </c>
      <c r="J15329" t="s">
        <v>589</v>
      </c>
    </row>
    <row r="15330" spans="9:10" x14ac:dyDescent="0.3">
      <c r="I15330" t="s">
        <v>20772</v>
      </c>
      <c r="J15330" t="s">
        <v>5401</v>
      </c>
    </row>
    <row r="15331" spans="9:10" x14ac:dyDescent="0.3">
      <c r="I15331" t="s">
        <v>20772</v>
      </c>
      <c r="J15331" t="s">
        <v>5401</v>
      </c>
    </row>
    <row r="15332" spans="9:10" x14ac:dyDescent="0.3">
      <c r="I15332" t="s">
        <v>20773</v>
      </c>
      <c r="J15332" t="s">
        <v>5401</v>
      </c>
    </row>
    <row r="15333" spans="9:10" x14ac:dyDescent="0.3">
      <c r="I15333" t="s">
        <v>20774</v>
      </c>
      <c r="J15333" t="s">
        <v>5402</v>
      </c>
    </row>
    <row r="15334" spans="9:10" x14ac:dyDescent="0.3">
      <c r="I15334" t="s">
        <v>20774</v>
      </c>
      <c r="J15334" t="s">
        <v>5402</v>
      </c>
    </row>
    <row r="15335" spans="9:10" x14ac:dyDescent="0.3">
      <c r="I15335" t="s">
        <v>20774</v>
      </c>
      <c r="J15335" t="s">
        <v>5402</v>
      </c>
    </row>
    <row r="15336" spans="9:10" x14ac:dyDescent="0.3">
      <c r="I15336" t="s">
        <v>20775</v>
      </c>
      <c r="J15336" t="s">
        <v>5403</v>
      </c>
    </row>
    <row r="15337" spans="9:10" x14ac:dyDescent="0.3">
      <c r="I15337" t="s">
        <v>20776</v>
      </c>
      <c r="J15337" t="s">
        <v>5404</v>
      </c>
    </row>
    <row r="15338" spans="9:10" x14ac:dyDescent="0.3">
      <c r="I15338" t="s">
        <v>20777</v>
      </c>
      <c r="J15338" t="s">
        <v>5405</v>
      </c>
    </row>
    <row r="15339" spans="9:10" x14ac:dyDescent="0.3">
      <c r="I15339" t="s">
        <v>20778</v>
      </c>
      <c r="J15339" t="s">
        <v>5406</v>
      </c>
    </row>
    <row r="15340" spans="9:10" x14ac:dyDescent="0.3">
      <c r="I15340" t="s">
        <v>20779</v>
      </c>
      <c r="J15340" t="s">
        <v>1436</v>
      </c>
    </row>
    <row r="15341" spans="9:10" x14ac:dyDescent="0.3">
      <c r="I15341" t="s">
        <v>20779</v>
      </c>
      <c r="J15341" t="s">
        <v>1436</v>
      </c>
    </row>
    <row r="15342" spans="9:10" x14ac:dyDescent="0.3">
      <c r="I15342" t="s">
        <v>20780</v>
      </c>
      <c r="J15342" t="s">
        <v>5407</v>
      </c>
    </row>
    <row r="15343" spans="9:10" x14ac:dyDescent="0.3">
      <c r="I15343" t="s">
        <v>20781</v>
      </c>
      <c r="J15343" t="s">
        <v>5408</v>
      </c>
    </row>
    <row r="15344" spans="9:10" x14ac:dyDescent="0.3">
      <c r="I15344" t="s">
        <v>20782</v>
      </c>
      <c r="J15344" t="s">
        <v>5409</v>
      </c>
    </row>
    <row r="15345" spans="9:10" x14ac:dyDescent="0.3">
      <c r="I15345" t="s">
        <v>20783</v>
      </c>
      <c r="J15345" t="s">
        <v>5410</v>
      </c>
    </row>
    <row r="15346" spans="9:10" x14ac:dyDescent="0.3">
      <c r="I15346" t="s">
        <v>20784</v>
      </c>
      <c r="J15346" t="s">
        <v>5410</v>
      </c>
    </row>
    <row r="15347" spans="9:10" x14ac:dyDescent="0.3">
      <c r="I15347" t="s">
        <v>20783</v>
      </c>
      <c r="J15347" t="s">
        <v>5410</v>
      </c>
    </row>
    <row r="15348" spans="9:10" x14ac:dyDescent="0.3">
      <c r="I15348" t="s">
        <v>20783</v>
      </c>
      <c r="J15348" t="s">
        <v>5410</v>
      </c>
    </row>
    <row r="15349" spans="9:10" x14ac:dyDescent="0.3">
      <c r="I15349" t="s">
        <v>20785</v>
      </c>
      <c r="J15349" t="s">
        <v>5411</v>
      </c>
    </row>
    <row r="15350" spans="9:10" x14ac:dyDescent="0.3">
      <c r="I15350" t="s">
        <v>20786</v>
      </c>
      <c r="J15350" t="s">
        <v>5412</v>
      </c>
    </row>
    <row r="15351" spans="9:10" x14ac:dyDescent="0.3">
      <c r="I15351" t="s">
        <v>20787</v>
      </c>
      <c r="J15351" t="s">
        <v>5413</v>
      </c>
    </row>
    <row r="15352" spans="9:10" x14ac:dyDescent="0.3">
      <c r="I15352" t="s">
        <v>20788</v>
      </c>
      <c r="J15352" t="s">
        <v>5414</v>
      </c>
    </row>
    <row r="15353" spans="9:10" x14ac:dyDescent="0.3">
      <c r="I15353" t="s">
        <v>20789</v>
      </c>
      <c r="J15353" t="s">
        <v>5415</v>
      </c>
    </row>
    <row r="15354" spans="9:10" x14ac:dyDescent="0.3">
      <c r="I15354" t="s">
        <v>20790</v>
      </c>
      <c r="J15354" t="s">
        <v>5416</v>
      </c>
    </row>
    <row r="15355" spans="9:10" x14ac:dyDescent="0.3">
      <c r="I15355" t="s">
        <v>20791</v>
      </c>
      <c r="J15355" t="s">
        <v>5416</v>
      </c>
    </row>
    <row r="15356" spans="9:10" x14ac:dyDescent="0.3">
      <c r="I15356" t="s">
        <v>20792</v>
      </c>
      <c r="J15356" t="s">
        <v>5417</v>
      </c>
    </row>
    <row r="15357" spans="9:10" x14ac:dyDescent="0.3">
      <c r="I15357" t="s">
        <v>20793</v>
      </c>
      <c r="J15357" t="s">
        <v>5418</v>
      </c>
    </row>
    <row r="15358" spans="9:10" x14ac:dyDescent="0.3">
      <c r="I15358" t="s">
        <v>20794</v>
      </c>
      <c r="J15358" t="s">
        <v>5419</v>
      </c>
    </row>
    <row r="15359" spans="9:10" x14ac:dyDescent="0.3">
      <c r="I15359" t="s">
        <v>20795</v>
      </c>
      <c r="J15359" t="s">
        <v>403</v>
      </c>
    </row>
    <row r="15360" spans="9:10" x14ac:dyDescent="0.3">
      <c r="I15360" t="s">
        <v>20795</v>
      </c>
      <c r="J15360" t="s">
        <v>403</v>
      </c>
    </row>
    <row r="15361" spans="9:10" x14ac:dyDescent="0.3">
      <c r="I15361" t="s">
        <v>20796</v>
      </c>
      <c r="J15361" t="s">
        <v>848</v>
      </c>
    </row>
    <row r="15362" spans="9:10" x14ac:dyDescent="0.3">
      <c r="I15362" t="s">
        <v>20796</v>
      </c>
      <c r="J15362" t="s">
        <v>848</v>
      </c>
    </row>
    <row r="15363" spans="9:10" x14ac:dyDescent="0.3">
      <c r="I15363" t="s">
        <v>20797</v>
      </c>
      <c r="J15363" t="s">
        <v>824</v>
      </c>
    </row>
    <row r="15364" spans="9:10" x14ac:dyDescent="0.3">
      <c r="I15364" t="s">
        <v>20798</v>
      </c>
      <c r="J15364" t="s">
        <v>5420</v>
      </c>
    </row>
    <row r="15365" spans="9:10" x14ac:dyDescent="0.3">
      <c r="I15365" t="s">
        <v>20799</v>
      </c>
      <c r="J15365" t="s">
        <v>5421</v>
      </c>
    </row>
    <row r="15366" spans="9:10" x14ac:dyDescent="0.3">
      <c r="I15366" t="s">
        <v>20800</v>
      </c>
      <c r="J15366" t="s">
        <v>5422</v>
      </c>
    </row>
    <row r="15367" spans="9:10" x14ac:dyDescent="0.3">
      <c r="I15367" t="s">
        <v>20801</v>
      </c>
      <c r="J15367" t="s">
        <v>5423</v>
      </c>
    </row>
    <row r="15368" spans="9:10" x14ac:dyDescent="0.3">
      <c r="I15368" t="s">
        <v>20802</v>
      </c>
      <c r="J15368" t="s">
        <v>5424</v>
      </c>
    </row>
    <row r="15369" spans="9:10" x14ac:dyDescent="0.3">
      <c r="I15369" t="s">
        <v>20803</v>
      </c>
      <c r="J15369" t="s">
        <v>5425</v>
      </c>
    </row>
    <row r="15370" spans="9:10" x14ac:dyDescent="0.3">
      <c r="I15370" t="s">
        <v>20803</v>
      </c>
      <c r="J15370" t="s">
        <v>5425</v>
      </c>
    </row>
    <row r="15371" spans="9:10" x14ac:dyDescent="0.3">
      <c r="I15371" t="s">
        <v>20803</v>
      </c>
      <c r="J15371" t="s">
        <v>5425</v>
      </c>
    </row>
    <row r="15372" spans="9:10" x14ac:dyDescent="0.3">
      <c r="I15372" t="s">
        <v>20804</v>
      </c>
      <c r="J15372" t="s">
        <v>5426</v>
      </c>
    </row>
    <row r="15373" spans="9:10" x14ac:dyDescent="0.3">
      <c r="I15373" t="s">
        <v>20804</v>
      </c>
      <c r="J15373" t="s">
        <v>5426</v>
      </c>
    </row>
    <row r="15374" spans="9:10" x14ac:dyDescent="0.3">
      <c r="I15374" t="s">
        <v>20805</v>
      </c>
      <c r="J15374" t="s">
        <v>5427</v>
      </c>
    </row>
    <row r="15375" spans="9:10" x14ac:dyDescent="0.3">
      <c r="I15375" t="s">
        <v>20806</v>
      </c>
      <c r="J15375" t="s">
        <v>5428</v>
      </c>
    </row>
    <row r="15376" spans="9:10" x14ac:dyDescent="0.3">
      <c r="I15376" t="s">
        <v>20806</v>
      </c>
      <c r="J15376" t="s">
        <v>5428</v>
      </c>
    </row>
    <row r="15377" spans="9:10" x14ac:dyDescent="0.3">
      <c r="I15377" t="s">
        <v>20806</v>
      </c>
      <c r="J15377" t="s">
        <v>5428</v>
      </c>
    </row>
    <row r="15378" spans="9:10" x14ac:dyDescent="0.3">
      <c r="I15378" t="s">
        <v>20806</v>
      </c>
      <c r="J15378" t="s">
        <v>5428</v>
      </c>
    </row>
    <row r="15379" spans="9:10" x14ac:dyDescent="0.3">
      <c r="I15379" t="s">
        <v>20807</v>
      </c>
      <c r="J15379" t="s">
        <v>5429</v>
      </c>
    </row>
    <row r="15380" spans="9:10" x14ac:dyDescent="0.3">
      <c r="I15380" t="s">
        <v>20808</v>
      </c>
      <c r="J15380" t="s">
        <v>5430</v>
      </c>
    </row>
    <row r="15381" spans="9:10" x14ac:dyDescent="0.3">
      <c r="I15381" t="s">
        <v>20809</v>
      </c>
      <c r="J15381" t="s">
        <v>5431</v>
      </c>
    </row>
    <row r="15382" spans="9:10" x14ac:dyDescent="0.3">
      <c r="I15382" t="s">
        <v>20810</v>
      </c>
      <c r="J15382" t="s">
        <v>5432</v>
      </c>
    </row>
    <row r="15383" spans="9:10" x14ac:dyDescent="0.3">
      <c r="I15383" t="s">
        <v>20811</v>
      </c>
      <c r="J15383" t="s">
        <v>5433</v>
      </c>
    </row>
    <row r="15384" spans="9:10" x14ac:dyDescent="0.3">
      <c r="I15384" t="s">
        <v>20812</v>
      </c>
      <c r="J15384" t="s">
        <v>5434</v>
      </c>
    </row>
    <row r="15385" spans="9:10" x14ac:dyDescent="0.3">
      <c r="I15385" t="s">
        <v>20813</v>
      </c>
      <c r="J15385" t="s">
        <v>5435</v>
      </c>
    </row>
    <row r="15386" spans="9:10" x14ac:dyDescent="0.3">
      <c r="I15386" t="s">
        <v>20814</v>
      </c>
      <c r="J15386" t="s">
        <v>5436</v>
      </c>
    </row>
    <row r="15387" spans="9:10" x14ac:dyDescent="0.3">
      <c r="I15387" t="s">
        <v>20815</v>
      </c>
      <c r="J15387" t="s">
        <v>5437</v>
      </c>
    </row>
    <row r="15388" spans="9:10" x14ac:dyDescent="0.3">
      <c r="I15388" t="s">
        <v>20816</v>
      </c>
      <c r="J15388" t="s">
        <v>5438</v>
      </c>
    </row>
    <row r="15389" spans="9:10" x14ac:dyDescent="0.3">
      <c r="I15389" t="s">
        <v>20817</v>
      </c>
      <c r="J15389" t="s">
        <v>5439</v>
      </c>
    </row>
    <row r="15390" spans="9:10" x14ac:dyDescent="0.3">
      <c r="I15390" t="s">
        <v>20818</v>
      </c>
      <c r="J15390" t="s">
        <v>5440</v>
      </c>
    </row>
    <row r="15391" spans="9:10" x14ac:dyDescent="0.3">
      <c r="I15391" t="s">
        <v>20819</v>
      </c>
      <c r="J15391" t="s">
        <v>5441</v>
      </c>
    </row>
    <row r="15392" spans="9:10" x14ac:dyDescent="0.3">
      <c r="I15392" t="s">
        <v>20820</v>
      </c>
      <c r="J15392" t="s">
        <v>5442</v>
      </c>
    </row>
    <row r="15393" spans="9:10" x14ac:dyDescent="0.3">
      <c r="I15393" t="s">
        <v>20821</v>
      </c>
      <c r="J15393" t="s">
        <v>5443</v>
      </c>
    </row>
    <row r="15394" spans="9:10" x14ac:dyDescent="0.3">
      <c r="I15394" t="s">
        <v>20822</v>
      </c>
      <c r="J15394" t="s">
        <v>5444</v>
      </c>
    </row>
    <row r="15395" spans="9:10" x14ac:dyDescent="0.3">
      <c r="I15395" t="s">
        <v>20823</v>
      </c>
      <c r="J15395" t="s">
        <v>5445</v>
      </c>
    </row>
    <row r="15396" spans="9:10" x14ac:dyDescent="0.3">
      <c r="I15396" t="s">
        <v>20824</v>
      </c>
      <c r="J15396" t="s">
        <v>5446</v>
      </c>
    </row>
    <row r="15397" spans="9:10" x14ac:dyDescent="0.3">
      <c r="I15397" t="s">
        <v>20825</v>
      </c>
      <c r="J15397" t="s">
        <v>5447</v>
      </c>
    </row>
    <row r="15398" spans="9:10" x14ac:dyDescent="0.3">
      <c r="I15398" t="s">
        <v>20826</v>
      </c>
      <c r="J15398" t="s">
        <v>5448</v>
      </c>
    </row>
    <row r="15399" spans="9:10" x14ac:dyDescent="0.3">
      <c r="I15399" t="s">
        <v>20827</v>
      </c>
      <c r="J15399" t="s">
        <v>5449</v>
      </c>
    </row>
    <row r="15400" spans="9:10" x14ac:dyDescent="0.3">
      <c r="I15400" t="s">
        <v>20828</v>
      </c>
      <c r="J15400" t="s">
        <v>5450</v>
      </c>
    </row>
    <row r="15401" spans="9:10" x14ac:dyDescent="0.3">
      <c r="I15401" t="s">
        <v>20829</v>
      </c>
      <c r="J15401" t="s">
        <v>5451</v>
      </c>
    </row>
    <row r="15402" spans="9:10" x14ac:dyDescent="0.3">
      <c r="I15402" t="s">
        <v>20830</v>
      </c>
      <c r="J15402" t="s">
        <v>5452</v>
      </c>
    </row>
    <row r="15403" spans="9:10" x14ac:dyDescent="0.3">
      <c r="I15403" t="s">
        <v>20831</v>
      </c>
      <c r="J15403" t="s">
        <v>5453</v>
      </c>
    </row>
    <row r="15404" spans="9:10" x14ac:dyDescent="0.3">
      <c r="I15404" t="s">
        <v>20832</v>
      </c>
      <c r="J15404" t="s">
        <v>5454</v>
      </c>
    </row>
    <row r="15405" spans="9:10" x14ac:dyDescent="0.3">
      <c r="I15405" t="s">
        <v>20833</v>
      </c>
      <c r="J15405" t="s">
        <v>5455</v>
      </c>
    </row>
    <row r="15406" spans="9:10" x14ac:dyDescent="0.3">
      <c r="I15406" t="s">
        <v>20834</v>
      </c>
      <c r="J15406" t="s">
        <v>5456</v>
      </c>
    </row>
    <row r="15407" spans="9:10" x14ac:dyDescent="0.3">
      <c r="I15407" t="s">
        <v>20835</v>
      </c>
      <c r="J15407" t="s">
        <v>5457</v>
      </c>
    </row>
    <row r="15408" spans="9:10" x14ac:dyDescent="0.3">
      <c r="I15408" t="s">
        <v>20836</v>
      </c>
      <c r="J15408" t="s">
        <v>5458</v>
      </c>
    </row>
    <row r="15409" spans="9:10" x14ac:dyDescent="0.3">
      <c r="I15409" t="s">
        <v>20837</v>
      </c>
      <c r="J15409" t="s">
        <v>5459</v>
      </c>
    </row>
    <row r="15410" spans="9:10" x14ac:dyDescent="0.3">
      <c r="I15410" t="s">
        <v>20838</v>
      </c>
      <c r="J15410" t="s">
        <v>5459</v>
      </c>
    </row>
    <row r="15411" spans="9:10" x14ac:dyDescent="0.3">
      <c r="I15411" t="s">
        <v>20839</v>
      </c>
      <c r="J15411" t="s">
        <v>5460</v>
      </c>
    </row>
    <row r="15412" spans="9:10" x14ac:dyDescent="0.3">
      <c r="I15412" t="s">
        <v>20840</v>
      </c>
      <c r="J15412" t="s">
        <v>5461</v>
      </c>
    </row>
    <row r="15413" spans="9:10" x14ac:dyDescent="0.3">
      <c r="I15413" t="s">
        <v>20841</v>
      </c>
      <c r="J15413" t="s">
        <v>5462</v>
      </c>
    </row>
    <row r="15414" spans="9:10" x14ac:dyDescent="0.3">
      <c r="I15414" t="s">
        <v>20842</v>
      </c>
      <c r="J15414" t="s">
        <v>5463</v>
      </c>
    </row>
    <row r="15415" spans="9:10" x14ac:dyDescent="0.3">
      <c r="I15415" t="s">
        <v>20843</v>
      </c>
      <c r="J15415" t="s">
        <v>5464</v>
      </c>
    </row>
    <row r="15416" spans="9:10" x14ac:dyDescent="0.3">
      <c r="I15416" t="s">
        <v>20844</v>
      </c>
      <c r="J15416" t="s">
        <v>5465</v>
      </c>
    </row>
    <row r="15417" spans="9:10" x14ac:dyDescent="0.3">
      <c r="I15417" t="s">
        <v>20845</v>
      </c>
      <c r="J15417" t="s">
        <v>5466</v>
      </c>
    </row>
    <row r="15418" spans="9:10" x14ac:dyDescent="0.3">
      <c r="I15418" t="s">
        <v>20846</v>
      </c>
      <c r="J15418" t="s">
        <v>5467</v>
      </c>
    </row>
    <row r="15419" spans="9:10" x14ac:dyDescent="0.3">
      <c r="I15419" t="s">
        <v>20847</v>
      </c>
      <c r="J15419" t="s">
        <v>5468</v>
      </c>
    </row>
    <row r="15420" spans="9:10" x14ac:dyDescent="0.3">
      <c r="I15420" t="s">
        <v>20848</v>
      </c>
      <c r="J15420" t="s">
        <v>5468</v>
      </c>
    </row>
    <row r="15421" spans="9:10" x14ac:dyDescent="0.3">
      <c r="I15421" t="s">
        <v>20849</v>
      </c>
      <c r="J15421" t="s">
        <v>5468</v>
      </c>
    </row>
    <row r="15422" spans="9:10" x14ac:dyDescent="0.3">
      <c r="I15422" t="s">
        <v>20850</v>
      </c>
      <c r="J15422" t="s">
        <v>5468</v>
      </c>
    </row>
    <row r="15423" spans="9:10" x14ac:dyDescent="0.3">
      <c r="I15423" t="s">
        <v>20851</v>
      </c>
      <c r="J15423" t="s">
        <v>5469</v>
      </c>
    </row>
    <row r="15424" spans="9:10" x14ac:dyDescent="0.3">
      <c r="I15424" t="s">
        <v>20852</v>
      </c>
      <c r="J15424" t="s">
        <v>5469</v>
      </c>
    </row>
    <row r="15425" spans="9:10" x14ac:dyDescent="0.3">
      <c r="I15425" t="s">
        <v>20851</v>
      </c>
      <c r="J15425" t="s">
        <v>5469</v>
      </c>
    </row>
    <row r="15426" spans="9:10" x14ac:dyDescent="0.3">
      <c r="I15426" t="s">
        <v>20851</v>
      </c>
      <c r="J15426" t="s">
        <v>5469</v>
      </c>
    </row>
    <row r="15427" spans="9:10" x14ac:dyDescent="0.3">
      <c r="I15427" t="s">
        <v>20851</v>
      </c>
      <c r="J15427" t="s">
        <v>5469</v>
      </c>
    </row>
    <row r="15428" spans="9:10" x14ac:dyDescent="0.3">
      <c r="I15428" t="s">
        <v>20851</v>
      </c>
      <c r="J15428" t="s">
        <v>5469</v>
      </c>
    </row>
    <row r="15429" spans="9:10" x14ac:dyDescent="0.3">
      <c r="I15429" t="s">
        <v>20851</v>
      </c>
      <c r="J15429" t="s">
        <v>5469</v>
      </c>
    </row>
    <row r="15430" spans="9:10" x14ac:dyDescent="0.3">
      <c r="I15430" t="s">
        <v>20851</v>
      </c>
      <c r="J15430" t="s">
        <v>5469</v>
      </c>
    </row>
    <row r="15431" spans="9:10" x14ac:dyDescent="0.3">
      <c r="I15431" t="s">
        <v>20853</v>
      </c>
      <c r="J15431" t="s">
        <v>5470</v>
      </c>
    </row>
    <row r="15432" spans="9:10" x14ac:dyDescent="0.3">
      <c r="I15432" t="s">
        <v>20854</v>
      </c>
      <c r="J15432" t="s">
        <v>5471</v>
      </c>
    </row>
    <row r="15433" spans="9:10" x14ac:dyDescent="0.3">
      <c r="I15433" t="s">
        <v>20855</v>
      </c>
      <c r="J15433" t="s">
        <v>5472</v>
      </c>
    </row>
    <row r="15434" spans="9:10" x14ac:dyDescent="0.3">
      <c r="I15434" t="s">
        <v>20856</v>
      </c>
      <c r="J15434" t="s">
        <v>5473</v>
      </c>
    </row>
    <row r="15435" spans="9:10" x14ac:dyDescent="0.3">
      <c r="I15435" t="s">
        <v>20857</v>
      </c>
      <c r="J15435" t="s">
        <v>5474</v>
      </c>
    </row>
    <row r="15436" spans="9:10" x14ac:dyDescent="0.3">
      <c r="I15436" t="s">
        <v>20858</v>
      </c>
      <c r="J15436" t="s">
        <v>5475</v>
      </c>
    </row>
    <row r="15437" spans="9:10" x14ac:dyDescent="0.3">
      <c r="I15437" t="s">
        <v>20859</v>
      </c>
      <c r="J15437" t="s">
        <v>5476</v>
      </c>
    </row>
    <row r="15438" spans="9:10" x14ac:dyDescent="0.3">
      <c r="I15438" t="s">
        <v>20860</v>
      </c>
      <c r="J15438" t="s">
        <v>5477</v>
      </c>
    </row>
    <row r="15439" spans="9:10" x14ac:dyDescent="0.3">
      <c r="I15439" t="s">
        <v>20861</v>
      </c>
      <c r="J15439" t="s">
        <v>5478</v>
      </c>
    </row>
    <row r="15440" spans="9:10" x14ac:dyDescent="0.3">
      <c r="I15440" t="s">
        <v>20861</v>
      </c>
      <c r="J15440" t="s">
        <v>5478</v>
      </c>
    </row>
    <row r="15441" spans="9:10" x14ac:dyDescent="0.3">
      <c r="I15441" t="s">
        <v>20861</v>
      </c>
      <c r="J15441" t="s">
        <v>5478</v>
      </c>
    </row>
    <row r="15442" spans="9:10" x14ac:dyDescent="0.3">
      <c r="I15442" t="s">
        <v>20861</v>
      </c>
      <c r="J15442" t="s">
        <v>5478</v>
      </c>
    </row>
    <row r="15443" spans="9:10" x14ac:dyDescent="0.3">
      <c r="I15443" t="s">
        <v>20861</v>
      </c>
      <c r="J15443" t="s">
        <v>5478</v>
      </c>
    </row>
    <row r="15444" spans="9:10" x14ac:dyDescent="0.3">
      <c r="I15444" t="s">
        <v>20862</v>
      </c>
      <c r="J15444" t="s">
        <v>5479</v>
      </c>
    </row>
    <row r="15445" spans="9:10" x14ac:dyDescent="0.3">
      <c r="I15445" t="s">
        <v>20863</v>
      </c>
      <c r="J15445" t="s">
        <v>5480</v>
      </c>
    </row>
    <row r="15446" spans="9:10" x14ac:dyDescent="0.3">
      <c r="I15446" t="s">
        <v>20864</v>
      </c>
      <c r="J15446" t="s">
        <v>5481</v>
      </c>
    </row>
    <row r="15447" spans="9:10" x14ac:dyDescent="0.3">
      <c r="I15447" t="s">
        <v>20864</v>
      </c>
      <c r="J15447" t="s">
        <v>5481</v>
      </c>
    </row>
    <row r="15448" spans="9:10" x14ac:dyDescent="0.3">
      <c r="I15448" t="s">
        <v>20864</v>
      </c>
      <c r="J15448" t="s">
        <v>5481</v>
      </c>
    </row>
    <row r="15449" spans="9:10" x14ac:dyDescent="0.3">
      <c r="I15449" t="s">
        <v>20865</v>
      </c>
      <c r="J15449" t="s">
        <v>5482</v>
      </c>
    </row>
    <row r="15450" spans="9:10" x14ac:dyDescent="0.3">
      <c r="I15450" t="s">
        <v>20866</v>
      </c>
    </row>
    <row r="15451" spans="9:10" x14ac:dyDescent="0.3">
      <c r="I15451" t="s">
        <v>20867</v>
      </c>
      <c r="J15451" t="s">
        <v>5483</v>
      </c>
    </row>
    <row r="15452" spans="9:10" x14ac:dyDescent="0.3">
      <c r="I15452" t="s">
        <v>20868</v>
      </c>
      <c r="J15452" t="s">
        <v>754</v>
      </c>
    </row>
    <row r="15453" spans="9:10" x14ac:dyDescent="0.3">
      <c r="I15453" t="s">
        <v>20869</v>
      </c>
      <c r="J15453" t="s">
        <v>754</v>
      </c>
    </row>
    <row r="15454" spans="9:10" x14ac:dyDescent="0.3">
      <c r="I15454" t="s">
        <v>20869</v>
      </c>
      <c r="J15454" t="s">
        <v>754</v>
      </c>
    </row>
    <row r="15455" spans="9:10" x14ac:dyDescent="0.3">
      <c r="I15455" t="s">
        <v>20870</v>
      </c>
      <c r="J15455" t="s">
        <v>754</v>
      </c>
    </row>
    <row r="15456" spans="9:10" x14ac:dyDescent="0.3">
      <c r="I15456" t="s">
        <v>20869</v>
      </c>
      <c r="J15456" t="s">
        <v>754</v>
      </c>
    </row>
    <row r="15457" spans="9:10" x14ac:dyDescent="0.3">
      <c r="I15457" t="s">
        <v>20871</v>
      </c>
      <c r="J15457" t="s">
        <v>754</v>
      </c>
    </row>
    <row r="15458" spans="9:10" x14ac:dyDescent="0.3">
      <c r="I15458" t="s">
        <v>20869</v>
      </c>
      <c r="J15458" t="s">
        <v>754</v>
      </c>
    </row>
    <row r="15459" spans="9:10" x14ac:dyDescent="0.3">
      <c r="I15459" t="s">
        <v>20872</v>
      </c>
      <c r="J15459" t="s">
        <v>5484</v>
      </c>
    </row>
    <row r="15460" spans="9:10" x14ac:dyDescent="0.3">
      <c r="I15460" t="s">
        <v>20873</v>
      </c>
      <c r="J15460" t="s">
        <v>5484</v>
      </c>
    </row>
    <row r="15461" spans="9:10" x14ac:dyDescent="0.3">
      <c r="I15461" t="s">
        <v>20874</v>
      </c>
      <c r="J15461" t="s">
        <v>3722</v>
      </c>
    </row>
    <row r="15462" spans="9:10" x14ac:dyDescent="0.3">
      <c r="I15462" t="s">
        <v>20875</v>
      </c>
      <c r="J15462" t="s">
        <v>5485</v>
      </c>
    </row>
    <row r="15463" spans="9:10" x14ac:dyDescent="0.3">
      <c r="I15463" t="s">
        <v>20876</v>
      </c>
      <c r="J15463" t="s">
        <v>5486</v>
      </c>
    </row>
    <row r="15464" spans="9:10" x14ac:dyDescent="0.3">
      <c r="I15464" t="s">
        <v>20877</v>
      </c>
      <c r="J15464" t="s">
        <v>5486</v>
      </c>
    </row>
    <row r="15465" spans="9:10" x14ac:dyDescent="0.3">
      <c r="I15465" t="s">
        <v>20878</v>
      </c>
      <c r="J15465" t="s">
        <v>5487</v>
      </c>
    </row>
    <row r="15466" spans="9:10" x14ac:dyDescent="0.3">
      <c r="I15466" t="s">
        <v>20879</v>
      </c>
      <c r="J15466" t="s">
        <v>5487</v>
      </c>
    </row>
    <row r="15467" spans="9:10" x14ac:dyDescent="0.3">
      <c r="I15467" t="s">
        <v>20880</v>
      </c>
      <c r="J15467" t="s">
        <v>5487</v>
      </c>
    </row>
    <row r="15468" spans="9:10" x14ac:dyDescent="0.3">
      <c r="I15468" t="s">
        <v>20881</v>
      </c>
      <c r="J15468" t="s">
        <v>5487</v>
      </c>
    </row>
    <row r="15469" spans="9:10" x14ac:dyDescent="0.3">
      <c r="I15469" t="s">
        <v>20882</v>
      </c>
      <c r="J15469" t="s">
        <v>5488</v>
      </c>
    </row>
    <row r="15470" spans="9:10" x14ac:dyDescent="0.3">
      <c r="I15470" t="s">
        <v>20883</v>
      </c>
      <c r="J15470" t="s">
        <v>5489</v>
      </c>
    </row>
    <row r="15471" spans="9:10" x14ac:dyDescent="0.3">
      <c r="I15471" t="s">
        <v>20884</v>
      </c>
      <c r="J15471" t="s">
        <v>5490</v>
      </c>
    </row>
    <row r="15472" spans="9:10" x14ac:dyDescent="0.3">
      <c r="I15472" t="s">
        <v>20885</v>
      </c>
      <c r="J15472" t="s">
        <v>5491</v>
      </c>
    </row>
    <row r="15473" spans="9:10" x14ac:dyDescent="0.3">
      <c r="I15473" t="s">
        <v>20886</v>
      </c>
      <c r="J15473" t="s">
        <v>5492</v>
      </c>
    </row>
    <row r="15474" spans="9:10" x14ac:dyDescent="0.3">
      <c r="I15474" t="s">
        <v>20887</v>
      </c>
      <c r="J15474" t="s">
        <v>598</v>
      </c>
    </row>
    <row r="15475" spans="9:10" x14ac:dyDescent="0.3">
      <c r="I15475" t="s">
        <v>20888</v>
      </c>
      <c r="J15475" t="s">
        <v>5493</v>
      </c>
    </row>
    <row r="15476" spans="9:10" x14ac:dyDescent="0.3">
      <c r="I15476" t="s">
        <v>20889</v>
      </c>
      <c r="J15476" t="s">
        <v>5494</v>
      </c>
    </row>
    <row r="15477" spans="9:10" x14ac:dyDescent="0.3">
      <c r="I15477" t="s">
        <v>20890</v>
      </c>
      <c r="J15477" t="s">
        <v>5495</v>
      </c>
    </row>
    <row r="15478" spans="9:10" x14ac:dyDescent="0.3">
      <c r="I15478" t="s">
        <v>20891</v>
      </c>
    </row>
    <row r="15479" spans="9:10" x14ac:dyDescent="0.3">
      <c r="I15479" t="s">
        <v>20892</v>
      </c>
      <c r="J15479" t="s">
        <v>918</v>
      </c>
    </row>
    <row r="15480" spans="9:10" x14ac:dyDescent="0.3">
      <c r="I15480" t="s">
        <v>20893</v>
      </c>
      <c r="J15480" t="s">
        <v>918</v>
      </c>
    </row>
    <row r="15481" spans="9:10" x14ac:dyDescent="0.3">
      <c r="I15481" t="s">
        <v>20894</v>
      </c>
      <c r="J15481" t="s">
        <v>2461</v>
      </c>
    </row>
    <row r="15482" spans="9:10" x14ac:dyDescent="0.3">
      <c r="I15482" t="s">
        <v>20895</v>
      </c>
      <c r="J15482" t="s">
        <v>2461</v>
      </c>
    </row>
    <row r="15483" spans="9:10" x14ac:dyDescent="0.3">
      <c r="I15483" t="s">
        <v>20896</v>
      </c>
      <c r="J15483" t="s">
        <v>2461</v>
      </c>
    </row>
    <row r="15484" spans="9:10" x14ac:dyDescent="0.3">
      <c r="I15484" t="s">
        <v>20896</v>
      </c>
      <c r="J15484" t="s">
        <v>2461</v>
      </c>
    </row>
    <row r="15485" spans="9:10" x14ac:dyDescent="0.3">
      <c r="I15485" t="s">
        <v>20896</v>
      </c>
      <c r="J15485" t="s">
        <v>2461</v>
      </c>
    </row>
    <row r="15486" spans="9:10" x14ac:dyDescent="0.3">
      <c r="I15486" t="s">
        <v>20897</v>
      </c>
    </row>
    <row r="15487" spans="9:10" x14ac:dyDescent="0.3">
      <c r="I15487" t="s">
        <v>20898</v>
      </c>
      <c r="J15487" t="s">
        <v>5496</v>
      </c>
    </row>
    <row r="15488" spans="9:10" x14ac:dyDescent="0.3">
      <c r="I15488" t="s">
        <v>20898</v>
      </c>
      <c r="J15488" t="s">
        <v>5496</v>
      </c>
    </row>
    <row r="15489" spans="9:10" x14ac:dyDescent="0.3">
      <c r="I15489" t="s">
        <v>20899</v>
      </c>
      <c r="J15489" t="s">
        <v>5496</v>
      </c>
    </row>
    <row r="15490" spans="9:10" x14ac:dyDescent="0.3">
      <c r="I15490" t="s">
        <v>20900</v>
      </c>
    </row>
    <row r="15491" spans="9:10" x14ac:dyDescent="0.3">
      <c r="I15491" t="s">
        <v>20901</v>
      </c>
      <c r="J15491" t="s">
        <v>5497</v>
      </c>
    </row>
    <row r="15492" spans="9:10" x14ac:dyDescent="0.3">
      <c r="I15492" t="s">
        <v>20902</v>
      </c>
      <c r="J15492" t="s">
        <v>5498</v>
      </c>
    </row>
    <row r="15493" spans="9:10" x14ac:dyDescent="0.3">
      <c r="I15493" t="s">
        <v>20903</v>
      </c>
      <c r="J15493" t="s">
        <v>5499</v>
      </c>
    </row>
    <row r="15494" spans="9:10" x14ac:dyDescent="0.3">
      <c r="I15494" t="s">
        <v>20903</v>
      </c>
      <c r="J15494" t="s">
        <v>5499</v>
      </c>
    </row>
    <row r="15495" spans="9:10" x14ac:dyDescent="0.3">
      <c r="I15495" t="s">
        <v>20904</v>
      </c>
      <c r="J15495" t="s">
        <v>534</v>
      </c>
    </row>
    <row r="15496" spans="9:10" x14ac:dyDescent="0.3">
      <c r="I15496" t="s">
        <v>20904</v>
      </c>
      <c r="J15496" t="s">
        <v>534</v>
      </c>
    </row>
    <row r="15497" spans="9:10" x14ac:dyDescent="0.3">
      <c r="I15497" t="s">
        <v>856</v>
      </c>
      <c r="J15497" t="s">
        <v>534</v>
      </c>
    </row>
    <row r="15498" spans="9:10" x14ac:dyDescent="0.3">
      <c r="I15498" t="s">
        <v>20904</v>
      </c>
      <c r="J15498" t="s">
        <v>534</v>
      </c>
    </row>
    <row r="15499" spans="9:10" x14ac:dyDescent="0.3">
      <c r="I15499" t="s">
        <v>129</v>
      </c>
      <c r="J15499" t="s">
        <v>130</v>
      </c>
    </row>
    <row r="15500" spans="9:10" x14ac:dyDescent="0.3">
      <c r="I15500" t="s">
        <v>20905</v>
      </c>
      <c r="J15500" t="s">
        <v>130</v>
      </c>
    </row>
    <row r="15501" spans="9:10" x14ac:dyDescent="0.3">
      <c r="I15501" t="s">
        <v>20906</v>
      </c>
    </row>
    <row r="15502" spans="9:10" x14ac:dyDescent="0.3">
      <c r="I15502" t="s">
        <v>20907</v>
      </c>
    </row>
    <row r="15503" spans="9:10" x14ac:dyDescent="0.3">
      <c r="I15503" t="s">
        <v>20908</v>
      </c>
    </row>
    <row r="15504" spans="9:10" x14ac:dyDescent="0.3">
      <c r="I15504" t="s">
        <v>20909</v>
      </c>
    </row>
    <row r="15505" spans="9:10" x14ac:dyDescent="0.3">
      <c r="I15505" t="s">
        <v>20910</v>
      </c>
    </row>
    <row r="15506" spans="9:10" x14ac:dyDescent="0.3">
      <c r="I15506" t="s">
        <v>20911</v>
      </c>
      <c r="J15506" t="s">
        <v>5500</v>
      </c>
    </row>
    <row r="15507" spans="9:10" x14ac:dyDescent="0.3">
      <c r="I15507" t="s">
        <v>20912</v>
      </c>
    </row>
    <row r="15508" spans="9:10" x14ac:dyDescent="0.3">
      <c r="I15508" t="s">
        <v>20913</v>
      </c>
    </row>
    <row r="15509" spans="9:10" x14ac:dyDescent="0.3">
      <c r="I15509" t="s">
        <v>20914</v>
      </c>
      <c r="J15509" t="s">
        <v>5501</v>
      </c>
    </row>
    <row r="15510" spans="9:10" x14ac:dyDescent="0.3">
      <c r="I15510" t="s">
        <v>20915</v>
      </c>
    </row>
    <row r="15511" spans="9:10" x14ac:dyDescent="0.3">
      <c r="I15511" t="s">
        <v>20916</v>
      </c>
    </row>
    <row r="15512" spans="9:10" x14ac:dyDescent="0.3">
      <c r="I15512" t="s">
        <v>20917</v>
      </c>
    </row>
    <row r="15513" spans="9:10" x14ac:dyDescent="0.3">
      <c r="I15513" t="s">
        <v>20918</v>
      </c>
      <c r="J15513" t="s">
        <v>5502</v>
      </c>
    </row>
    <row r="15514" spans="9:10" x14ac:dyDescent="0.3">
      <c r="I15514" t="s">
        <v>20919</v>
      </c>
    </row>
    <row r="15515" spans="9:10" x14ac:dyDescent="0.3">
      <c r="I15515" t="s">
        <v>20920</v>
      </c>
    </row>
    <row r="15516" spans="9:10" x14ac:dyDescent="0.3">
      <c r="I15516" t="s">
        <v>20921</v>
      </c>
    </row>
    <row r="15517" spans="9:10" x14ac:dyDescent="0.3">
      <c r="I15517" t="s">
        <v>20922</v>
      </c>
    </row>
    <row r="15518" spans="9:10" x14ac:dyDescent="0.3">
      <c r="I15518" t="s">
        <v>20923</v>
      </c>
    </row>
    <row r="15519" spans="9:10" x14ac:dyDescent="0.3">
      <c r="I15519" t="s">
        <v>20924</v>
      </c>
    </row>
    <row r="15520" spans="9:10" x14ac:dyDescent="0.3">
      <c r="I15520" t="s">
        <v>20925</v>
      </c>
      <c r="J15520" t="s">
        <v>5503</v>
      </c>
    </row>
    <row r="15521" spans="9:10" x14ac:dyDescent="0.3">
      <c r="I15521" t="s">
        <v>20926</v>
      </c>
      <c r="J15521" t="s">
        <v>5504</v>
      </c>
    </row>
    <row r="15522" spans="9:10" x14ac:dyDescent="0.3">
      <c r="I15522" t="s">
        <v>20927</v>
      </c>
      <c r="J15522" t="s">
        <v>5505</v>
      </c>
    </row>
    <row r="15523" spans="9:10" x14ac:dyDescent="0.3">
      <c r="I15523" t="s">
        <v>20928</v>
      </c>
      <c r="J15523" t="s">
        <v>5506</v>
      </c>
    </row>
    <row r="15524" spans="9:10" x14ac:dyDescent="0.3">
      <c r="I15524" t="s">
        <v>20929</v>
      </c>
      <c r="J15524" t="s">
        <v>5507</v>
      </c>
    </row>
    <row r="15525" spans="9:10" x14ac:dyDescent="0.3">
      <c r="I15525" t="s">
        <v>20930</v>
      </c>
    </row>
    <row r="15526" spans="9:10" x14ac:dyDescent="0.3">
      <c r="I15526" t="s">
        <v>20931</v>
      </c>
      <c r="J15526" t="s">
        <v>5508</v>
      </c>
    </row>
    <row r="15527" spans="9:10" x14ac:dyDescent="0.3">
      <c r="I15527" t="s">
        <v>20932</v>
      </c>
    </row>
    <row r="15528" spans="9:10" x14ac:dyDescent="0.3">
      <c r="I15528" t="s">
        <v>20933</v>
      </c>
    </row>
    <row r="15529" spans="9:10" x14ac:dyDescent="0.3">
      <c r="I15529" t="s">
        <v>20934</v>
      </c>
    </row>
    <row r="15530" spans="9:10" x14ac:dyDescent="0.3">
      <c r="I15530" t="s">
        <v>20935</v>
      </c>
    </row>
    <row r="15531" spans="9:10" x14ac:dyDescent="0.3">
      <c r="I15531" t="s">
        <v>20936</v>
      </c>
      <c r="J15531" t="s">
        <v>5509</v>
      </c>
    </row>
    <row r="15532" spans="9:10" x14ac:dyDescent="0.3">
      <c r="I15532" t="s">
        <v>20937</v>
      </c>
      <c r="J15532" t="s">
        <v>5510</v>
      </c>
    </row>
    <row r="15533" spans="9:10" x14ac:dyDescent="0.3">
      <c r="I15533" t="s">
        <v>20938</v>
      </c>
    </row>
    <row r="15534" spans="9:10" x14ac:dyDescent="0.3">
      <c r="I15534" t="s">
        <v>20939</v>
      </c>
    </row>
    <row r="15535" spans="9:10" x14ac:dyDescent="0.3">
      <c r="I15535" t="s">
        <v>20940</v>
      </c>
    </row>
    <row r="15536" spans="9:10" x14ac:dyDescent="0.3">
      <c r="I15536" t="s">
        <v>20941</v>
      </c>
      <c r="J15536" t="s">
        <v>5511</v>
      </c>
    </row>
    <row r="15537" spans="9:10" x14ac:dyDescent="0.3">
      <c r="I15537" t="s">
        <v>20942</v>
      </c>
      <c r="J15537" t="s">
        <v>5512</v>
      </c>
    </row>
    <row r="15538" spans="9:10" x14ac:dyDescent="0.3">
      <c r="I15538" t="s">
        <v>20943</v>
      </c>
      <c r="J15538" t="s">
        <v>5513</v>
      </c>
    </row>
    <row r="15539" spans="9:10" x14ac:dyDescent="0.3">
      <c r="I15539" t="s">
        <v>20944</v>
      </c>
      <c r="J15539" t="s">
        <v>5514</v>
      </c>
    </row>
    <row r="15540" spans="9:10" x14ac:dyDescent="0.3">
      <c r="I15540" t="s">
        <v>20945</v>
      </c>
      <c r="J15540">
        <v>0</v>
      </c>
    </row>
    <row r="15541" spans="9:10" x14ac:dyDescent="0.3">
      <c r="I15541" t="s">
        <v>20946</v>
      </c>
      <c r="J15541" t="s">
        <v>5515</v>
      </c>
    </row>
    <row r="15542" spans="9:10" x14ac:dyDescent="0.3">
      <c r="I15542" t="s">
        <v>20947</v>
      </c>
    </row>
    <row r="15543" spans="9:10" x14ac:dyDescent="0.3">
      <c r="I15543" t="s">
        <v>20948</v>
      </c>
      <c r="J15543" t="s">
        <v>5516</v>
      </c>
    </row>
    <row r="15544" spans="9:10" x14ac:dyDescent="0.3">
      <c r="I15544" t="s">
        <v>20949</v>
      </c>
      <c r="J15544" t="s">
        <v>5517</v>
      </c>
    </row>
    <row r="15545" spans="9:10" x14ac:dyDescent="0.3">
      <c r="I15545" t="s">
        <v>20950</v>
      </c>
    </row>
    <row r="15546" spans="9:10" x14ac:dyDescent="0.3">
      <c r="I15546" t="s">
        <v>20951</v>
      </c>
    </row>
    <row r="15547" spans="9:10" x14ac:dyDescent="0.3">
      <c r="I15547" t="s">
        <v>20952</v>
      </c>
      <c r="J15547" t="s">
        <v>5518</v>
      </c>
    </row>
    <row r="15548" spans="9:10" x14ac:dyDescent="0.3">
      <c r="I15548" t="s">
        <v>20952</v>
      </c>
      <c r="J15548" t="s">
        <v>5518</v>
      </c>
    </row>
    <row r="15549" spans="9:10" x14ac:dyDescent="0.3">
      <c r="I15549" t="s">
        <v>20952</v>
      </c>
      <c r="J15549" t="s">
        <v>5518</v>
      </c>
    </row>
    <row r="15550" spans="9:10" x14ac:dyDescent="0.3">
      <c r="I15550" t="s">
        <v>20953</v>
      </c>
    </row>
    <row r="15551" spans="9:10" x14ac:dyDescent="0.3">
      <c r="I15551" t="s">
        <v>20954</v>
      </c>
    </row>
    <row r="15552" spans="9:10" x14ac:dyDescent="0.3">
      <c r="I15552" t="s">
        <v>20955</v>
      </c>
    </row>
    <row r="15553" spans="9:10" x14ac:dyDescent="0.3">
      <c r="I15553" t="s">
        <v>20956</v>
      </c>
      <c r="J15553" t="s">
        <v>5519</v>
      </c>
    </row>
    <row r="15554" spans="9:10" x14ac:dyDescent="0.3">
      <c r="I15554" t="s">
        <v>20957</v>
      </c>
    </row>
    <row r="15555" spans="9:10" x14ac:dyDescent="0.3">
      <c r="I15555" t="s">
        <v>20958</v>
      </c>
      <c r="J15555" t="s">
        <v>5520</v>
      </c>
    </row>
    <row r="15556" spans="9:10" x14ac:dyDescent="0.3">
      <c r="I15556" t="s">
        <v>20959</v>
      </c>
      <c r="J15556" t="s">
        <v>5521</v>
      </c>
    </row>
    <row r="15557" spans="9:10" x14ac:dyDescent="0.3">
      <c r="I15557" t="s">
        <v>20960</v>
      </c>
    </row>
    <row r="15558" spans="9:10" x14ac:dyDescent="0.3">
      <c r="I15558" t="s">
        <v>20961</v>
      </c>
      <c r="J15558" t="s">
        <v>5522</v>
      </c>
    </row>
    <row r="15559" spans="9:10" x14ac:dyDescent="0.3">
      <c r="I15559" t="s">
        <v>20962</v>
      </c>
      <c r="J15559" t="s">
        <v>5523</v>
      </c>
    </row>
    <row r="15560" spans="9:10" x14ac:dyDescent="0.3">
      <c r="I15560" t="s">
        <v>20963</v>
      </c>
      <c r="J15560" t="s">
        <v>5524</v>
      </c>
    </row>
    <row r="15561" spans="9:10" x14ac:dyDescent="0.3">
      <c r="I15561" t="s">
        <v>20963</v>
      </c>
      <c r="J15561" t="s">
        <v>5524</v>
      </c>
    </row>
    <row r="15562" spans="9:10" x14ac:dyDescent="0.3">
      <c r="I15562" t="s">
        <v>20964</v>
      </c>
      <c r="J15562" t="s">
        <v>5525</v>
      </c>
    </row>
    <row r="15563" spans="9:10" x14ac:dyDescent="0.3">
      <c r="I15563" t="s">
        <v>20965</v>
      </c>
      <c r="J15563" t="s">
        <v>5526</v>
      </c>
    </row>
    <row r="15564" spans="9:10" x14ac:dyDescent="0.3">
      <c r="I15564" t="s">
        <v>20966</v>
      </c>
    </row>
    <row r="15565" spans="9:10" x14ac:dyDescent="0.3">
      <c r="I15565" t="s">
        <v>20967</v>
      </c>
    </row>
    <row r="15566" spans="9:10" x14ac:dyDescent="0.3">
      <c r="I15566" t="s">
        <v>20968</v>
      </c>
    </row>
    <row r="15567" spans="9:10" x14ac:dyDescent="0.3">
      <c r="I15567" t="s">
        <v>20969</v>
      </c>
      <c r="J15567" t="s">
        <v>5527</v>
      </c>
    </row>
    <row r="15568" spans="9:10" x14ac:dyDescent="0.3">
      <c r="I15568" t="s">
        <v>20970</v>
      </c>
      <c r="J15568" t="s">
        <v>5528</v>
      </c>
    </row>
    <row r="15569" spans="9:10" x14ac:dyDescent="0.3">
      <c r="I15569" t="s">
        <v>20971</v>
      </c>
      <c r="J15569" t="s">
        <v>5528</v>
      </c>
    </row>
    <row r="15570" spans="9:10" x14ac:dyDescent="0.3">
      <c r="I15570" t="s">
        <v>20972</v>
      </c>
      <c r="J15570" t="s">
        <v>378</v>
      </c>
    </row>
    <row r="15571" spans="9:10" x14ac:dyDescent="0.3">
      <c r="I15571" t="s">
        <v>20973</v>
      </c>
    </row>
    <row r="15572" spans="9:10" x14ac:dyDescent="0.3">
      <c r="I15572" t="s">
        <v>20973</v>
      </c>
    </row>
    <row r="15573" spans="9:10" x14ac:dyDescent="0.3">
      <c r="I15573" t="s">
        <v>20973</v>
      </c>
    </row>
    <row r="15574" spans="9:10" x14ac:dyDescent="0.3">
      <c r="I15574" t="s">
        <v>20973</v>
      </c>
    </row>
    <row r="15575" spans="9:10" x14ac:dyDescent="0.3">
      <c r="I15575" t="s">
        <v>20974</v>
      </c>
    </row>
    <row r="15576" spans="9:10" x14ac:dyDescent="0.3">
      <c r="I15576" t="s">
        <v>20975</v>
      </c>
    </row>
    <row r="15577" spans="9:10" x14ac:dyDescent="0.3">
      <c r="I15577" t="s">
        <v>20976</v>
      </c>
    </row>
    <row r="15578" spans="9:10" x14ac:dyDescent="0.3">
      <c r="I15578" t="s">
        <v>20977</v>
      </c>
    </row>
    <row r="15579" spans="9:10" x14ac:dyDescent="0.3">
      <c r="I15579" t="s">
        <v>20978</v>
      </c>
    </row>
    <row r="15580" spans="9:10" x14ac:dyDescent="0.3">
      <c r="I15580" t="s">
        <v>20979</v>
      </c>
      <c r="J15580" t="s">
        <v>5529</v>
      </c>
    </row>
    <row r="15581" spans="9:10" x14ac:dyDescent="0.3">
      <c r="I15581" t="s">
        <v>20980</v>
      </c>
      <c r="J15581" t="s">
        <v>5530</v>
      </c>
    </row>
    <row r="15582" spans="9:10" x14ac:dyDescent="0.3">
      <c r="I15582" t="s">
        <v>20981</v>
      </c>
      <c r="J15582" t="s">
        <v>5531</v>
      </c>
    </row>
    <row r="15583" spans="9:10" x14ac:dyDescent="0.3">
      <c r="I15583" t="s">
        <v>20982</v>
      </c>
    </row>
    <row r="15584" spans="9:10" x14ac:dyDescent="0.3">
      <c r="I15584" t="s">
        <v>20983</v>
      </c>
      <c r="J15584" t="s">
        <v>5532</v>
      </c>
    </row>
    <row r="15585" spans="9:10" x14ac:dyDescent="0.3">
      <c r="I15585" t="s">
        <v>20984</v>
      </c>
      <c r="J15585" t="s">
        <v>5533</v>
      </c>
    </row>
    <row r="15586" spans="9:10" x14ac:dyDescent="0.3">
      <c r="I15586" t="s">
        <v>20985</v>
      </c>
      <c r="J15586" t="s">
        <v>5534</v>
      </c>
    </row>
    <row r="15587" spans="9:10" x14ac:dyDescent="0.3">
      <c r="I15587" t="s">
        <v>20986</v>
      </c>
      <c r="J15587" t="s">
        <v>5534</v>
      </c>
    </row>
    <row r="15588" spans="9:10" x14ac:dyDescent="0.3">
      <c r="I15588" t="s">
        <v>20987</v>
      </c>
      <c r="J15588" t="s">
        <v>5535</v>
      </c>
    </row>
    <row r="15589" spans="9:10" x14ac:dyDescent="0.3">
      <c r="I15589" t="s">
        <v>20988</v>
      </c>
      <c r="J15589" t="s">
        <v>5536</v>
      </c>
    </row>
    <row r="15590" spans="9:10" x14ac:dyDescent="0.3">
      <c r="I15590" t="s">
        <v>20988</v>
      </c>
      <c r="J15590" t="s">
        <v>5536</v>
      </c>
    </row>
    <row r="15591" spans="9:10" x14ac:dyDescent="0.3">
      <c r="I15591" t="s">
        <v>20989</v>
      </c>
      <c r="J15591" t="s">
        <v>5536</v>
      </c>
    </row>
    <row r="15592" spans="9:10" x14ac:dyDescent="0.3">
      <c r="I15592" t="s">
        <v>20988</v>
      </c>
      <c r="J15592" t="s">
        <v>5536</v>
      </c>
    </row>
    <row r="15593" spans="9:10" x14ac:dyDescent="0.3">
      <c r="I15593" t="s">
        <v>20988</v>
      </c>
      <c r="J15593" t="s">
        <v>5536</v>
      </c>
    </row>
    <row r="15594" spans="9:10" x14ac:dyDescent="0.3">
      <c r="I15594" t="s">
        <v>20990</v>
      </c>
      <c r="J15594" t="s">
        <v>5537</v>
      </c>
    </row>
    <row r="15595" spans="9:10" x14ac:dyDescent="0.3">
      <c r="I15595" t="s">
        <v>20991</v>
      </c>
      <c r="J15595" t="s">
        <v>5538</v>
      </c>
    </row>
    <row r="15596" spans="9:10" x14ac:dyDescent="0.3">
      <c r="I15596" t="s">
        <v>20992</v>
      </c>
      <c r="J15596" t="s">
        <v>5539</v>
      </c>
    </row>
    <row r="15597" spans="9:10" x14ac:dyDescent="0.3">
      <c r="I15597" t="s">
        <v>20993</v>
      </c>
      <c r="J15597" t="s">
        <v>5539</v>
      </c>
    </row>
    <row r="15598" spans="9:10" x14ac:dyDescent="0.3">
      <c r="I15598" t="s">
        <v>20994</v>
      </c>
    </row>
    <row r="15599" spans="9:10" x14ac:dyDescent="0.3">
      <c r="I15599" t="s">
        <v>20995</v>
      </c>
      <c r="J15599" t="s">
        <v>5540</v>
      </c>
    </row>
    <row r="15600" spans="9:10" x14ac:dyDescent="0.3">
      <c r="I15600" t="s">
        <v>20996</v>
      </c>
    </row>
    <row r="15601" spans="9:10" x14ac:dyDescent="0.3">
      <c r="I15601" t="s">
        <v>20997</v>
      </c>
      <c r="J15601" t="s">
        <v>5541</v>
      </c>
    </row>
    <row r="15602" spans="9:10" x14ac:dyDescent="0.3">
      <c r="I15602" t="s">
        <v>20998</v>
      </c>
      <c r="J15602" t="s">
        <v>5542</v>
      </c>
    </row>
    <row r="15603" spans="9:10" x14ac:dyDescent="0.3">
      <c r="I15603" t="s">
        <v>20999</v>
      </c>
      <c r="J15603" t="s">
        <v>5542</v>
      </c>
    </row>
    <row r="15604" spans="9:10" x14ac:dyDescent="0.3">
      <c r="I15604" t="s">
        <v>21000</v>
      </c>
      <c r="J15604" t="s">
        <v>5543</v>
      </c>
    </row>
    <row r="15605" spans="9:10" x14ac:dyDescent="0.3">
      <c r="I15605" t="s">
        <v>21001</v>
      </c>
    </row>
    <row r="15606" spans="9:10" x14ac:dyDescent="0.3">
      <c r="I15606" t="s">
        <v>21002</v>
      </c>
      <c r="J15606" t="s">
        <v>5544</v>
      </c>
    </row>
    <row r="15607" spans="9:10" x14ac:dyDescent="0.3">
      <c r="I15607" t="s">
        <v>21003</v>
      </c>
      <c r="J15607" t="s">
        <v>5545</v>
      </c>
    </row>
    <row r="15608" spans="9:10" x14ac:dyDescent="0.3">
      <c r="I15608" t="s">
        <v>21003</v>
      </c>
      <c r="J15608" t="s">
        <v>5545</v>
      </c>
    </row>
    <row r="15609" spans="9:10" x14ac:dyDescent="0.3">
      <c r="I15609" t="s">
        <v>21003</v>
      </c>
      <c r="J15609" t="s">
        <v>5545</v>
      </c>
    </row>
    <row r="15610" spans="9:10" x14ac:dyDescent="0.3">
      <c r="I15610" t="s">
        <v>21004</v>
      </c>
      <c r="J15610">
        <v>0</v>
      </c>
    </row>
    <row r="15611" spans="9:10" x14ac:dyDescent="0.3">
      <c r="I15611" t="s">
        <v>21005</v>
      </c>
      <c r="J15611" t="s">
        <v>5546</v>
      </c>
    </row>
    <row r="15612" spans="9:10" x14ac:dyDescent="0.3">
      <c r="I15612" t="s">
        <v>21005</v>
      </c>
      <c r="J15612" t="s">
        <v>5546</v>
      </c>
    </row>
    <row r="15613" spans="9:10" x14ac:dyDescent="0.3">
      <c r="I15613" t="s">
        <v>21006</v>
      </c>
    </row>
    <row r="15614" spans="9:10" x14ac:dyDescent="0.3">
      <c r="I15614" t="s">
        <v>21006</v>
      </c>
    </row>
    <row r="15615" spans="9:10" x14ac:dyDescent="0.3">
      <c r="I15615" t="s">
        <v>21007</v>
      </c>
    </row>
    <row r="15616" spans="9:10" x14ac:dyDescent="0.3">
      <c r="I15616" t="s">
        <v>21008</v>
      </c>
      <c r="J15616" t="s">
        <v>5547</v>
      </c>
    </row>
    <row r="15617" spans="9:10" x14ac:dyDescent="0.3">
      <c r="I15617" t="s">
        <v>21009</v>
      </c>
      <c r="J15617" t="s">
        <v>5548</v>
      </c>
    </row>
    <row r="15618" spans="9:10" x14ac:dyDescent="0.3">
      <c r="I15618" t="s">
        <v>21010</v>
      </c>
      <c r="J15618" t="s">
        <v>5549</v>
      </c>
    </row>
    <row r="15619" spans="9:10" x14ac:dyDescent="0.3">
      <c r="I15619" t="s">
        <v>21011</v>
      </c>
      <c r="J15619" t="s">
        <v>5550</v>
      </c>
    </row>
    <row r="15620" spans="9:10" x14ac:dyDescent="0.3">
      <c r="I15620" t="s">
        <v>21012</v>
      </c>
      <c r="J15620" t="s">
        <v>746</v>
      </c>
    </row>
    <row r="15621" spans="9:10" x14ac:dyDescent="0.3">
      <c r="I15621" t="s">
        <v>21013</v>
      </c>
      <c r="J15621" t="s">
        <v>746</v>
      </c>
    </row>
    <row r="15622" spans="9:10" x14ac:dyDescent="0.3">
      <c r="I15622" t="s">
        <v>21014</v>
      </c>
      <c r="J15622" t="s">
        <v>5551</v>
      </c>
    </row>
    <row r="15623" spans="9:10" x14ac:dyDescent="0.3">
      <c r="I15623" t="s">
        <v>21015</v>
      </c>
      <c r="J15623" t="s">
        <v>5551</v>
      </c>
    </row>
    <row r="15624" spans="9:10" x14ac:dyDescent="0.3">
      <c r="I15624" t="s">
        <v>21014</v>
      </c>
      <c r="J15624" t="s">
        <v>5551</v>
      </c>
    </row>
    <row r="15625" spans="9:10" x14ac:dyDescent="0.3">
      <c r="I15625" t="s">
        <v>21016</v>
      </c>
    </row>
    <row r="15626" spans="9:10" x14ac:dyDescent="0.3">
      <c r="I15626" t="s">
        <v>21017</v>
      </c>
    </row>
    <row r="15627" spans="9:10" x14ac:dyDescent="0.3">
      <c r="I15627" t="s">
        <v>21018</v>
      </c>
      <c r="J15627" t="s">
        <v>5552</v>
      </c>
    </row>
    <row r="15628" spans="9:10" x14ac:dyDescent="0.3">
      <c r="I15628" t="s">
        <v>21019</v>
      </c>
      <c r="J15628" t="s">
        <v>5552</v>
      </c>
    </row>
    <row r="15629" spans="9:10" x14ac:dyDescent="0.3">
      <c r="I15629" t="s">
        <v>21020</v>
      </c>
      <c r="J15629" t="s">
        <v>5553</v>
      </c>
    </row>
    <row r="15630" spans="9:10" x14ac:dyDescent="0.3">
      <c r="I15630" t="s">
        <v>21020</v>
      </c>
      <c r="J15630" t="s">
        <v>5553</v>
      </c>
    </row>
    <row r="15631" spans="9:10" x14ac:dyDescent="0.3">
      <c r="I15631" t="s">
        <v>21021</v>
      </c>
      <c r="J15631" t="s">
        <v>5554</v>
      </c>
    </row>
    <row r="15632" spans="9:10" x14ac:dyDescent="0.3">
      <c r="I15632" t="s">
        <v>21022</v>
      </c>
      <c r="J15632" t="s">
        <v>5555</v>
      </c>
    </row>
    <row r="15633" spans="9:10" x14ac:dyDescent="0.3">
      <c r="I15633" t="s">
        <v>21023</v>
      </c>
      <c r="J15633" t="s">
        <v>5556</v>
      </c>
    </row>
    <row r="15634" spans="9:10" x14ac:dyDescent="0.3">
      <c r="I15634" t="s">
        <v>21023</v>
      </c>
      <c r="J15634" t="s">
        <v>5556</v>
      </c>
    </row>
    <row r="15635" spans="9:10" x14ac:dyDescent="0.3">
      <c r="I15635" t="s">
        <v>21024</v>
      </c>
      <c r="J15635" t="s">
        <v>5557</v>
      </c>
    </row>
    <row r="15636" spans="9:10" x14ac:dyDescent="0.3">
      <c r="I15636" t="s">
        <v>21025</v>
      </c>
    </row>
    <row r="15637" spans="9:10" x14ac:dyDescent="0.3">
      <c r="I15637" t="s">
        <v>21026</v>
      </c>
      <c r="J15637" t="s">
        <v>5558</v>
      </c>
    </row>
    <row r="15638" spans="9:10" x14ac:dyDescent="0.3">
      <c r="I15638" t="s">
        <v>21027</v>
      </c>
      <c r="J15638" t="s">
        <v>5559</v>
      </c>
    </row>
    <row r="15639" spans="9:10" x14ac:dyDescent="0.3">
      <c r="I15639" t="s">
        <v>21028</v>
      </c>
    </row>
    <row r="15640" spans="9:10" x14ac:dyDescent="0.3">
      <c r="I15640" t="s">
        <v>21029</v>
      </c>
      <c r="J15640" t="s">
        <v>5560</v>
      </c>
    </row>
    <row r="15641" spans="9:10" x14ac:dyDescent="0.3">
      <c r="I15641" t="s">
        <v>21030</v>
      </c>
    </row>
    <row r="15642" spans="9:10" x14ac:dyDescent="0.3">
      <c r="I15642" t="s">
        <v>21031</v>
      </c>
      <c r="J15642" t="s">
        <v>5561</v>
      </c>
    </row>
    <row r="15643" spans="9:10" x14ac:dyDescent="0.3">
      <c r="I15643" t="s">
        <v>21032</v>
      </c>
      <c r="J15643" t="s">
        <v>969</v>
      </c>
    </row>
    <row r="15644" spans="9:10" x14ac:dyDescent="0.3">
      <c r="I15644" t="s">
        <v>21033</v>
      </c>
    </row>
    <row r="15645" spans="9:10" x14ac:dyDescent="0.3">
      <c r="I15645" t="s">
        <v>21034</v>
      </c>
      <c r="J15645" t="s">
        <v>5562</v>
      </c>
    </row>
    <row r="15646" spans="9:10" x14ac:dyDescent="0.3">
      <c r="I15646" t="s">
        <v>21034</v>
      </c>
      <c r="J15646" t="s">
        <v>5562</v>
      </c>
    </row>
    <row r="15647" spans="9:10" x14ac:dyDescent="0.3">
      <c r="I15647" t="s">
        <v>21035</v>
      </c>
      <c r="J15647" t="s">
        <v>5562</v>
      </c>
    </row>
    <row r="15648" spans="9:10" x14ac:dyDescent="0.3">
      <c r="I15648" t="s">
        <v>21036</v>
      </c>
      <c r="J15648" t="s">
        <v>246</v>
      </c>
    </row>
    <row r="15649" spans="9:10" x14ac:dyDescent="0.3">
      <c r="I15649" t="s">
        <v>15435</v>
      </c>
      <c r="J15649" t="s">
        <v>246</v>
      </c>
    </row>
    <row r="15650" spans="9:10" x14ac:dyDescent="0.3">
      <c r="I15650" t="s">
        <v>21037</v>
      </c>
      <c r="J15650" t="s">
        <v>246</v>
      </c>
    </row>
    <row r="15651" spans="9:10" x14ac:dyDescent="0.3">
      <c r="I15651" t="s">
        <v>15435</v>
      </c>
      <c r="J15651" t="s">
        <v>246</v>
      </c>
    </row>
    <row r="15652" spans="9:10" x14ac:dyDescent="0.3">
      <c r="I15652" t="s">
        <v>15435</v>
      </c>
      <c r="J15652" t="s">
        <v>246</v>
      </c>
    </row>
    <row r="15653" spans="9:10" x14ac:dyDescent="0.3">
      <c r="I15653" t="s">
        <v>15435</v>
      </c>
      <c r="J15653" t="s">
        <v>246</v>
      </c>
    </row>
    <row r="15654" spans="9:10" x14ac:dyDescent="0.3">
      <c r="I15654" t="s">
        <v>15435</v>
      </c>
      <c r="J15654" t="s">
        <v>246</v>
      </c>
    </row>
    <row r="15655" spans="9:10" x14ac:dyDescent="0.3">
      <c r="I15655" t="s">
        <v>15435</v>
      </c>
      <c r="J15655" t="s">
        <v>246</v>
      </c>
    </row>
    <row r="15656" spans="9:10" x14ac:dyDescent="0.3">
      <c r="I15656" t="s">
        <v>15435</v>
      </c>
      <c r="J15656" t="s">
        <v>246</v>
      </c>
    </row>
    <row r="15657" spans="9:10" x14ac:dyDescent="0.3">
      <c r="I15657" t="s">
        <v>21038</v>
      </c>
      <c r="J15657" t="s">
        <v>246</v>
      </c>
    </row>
    <row r="15658" spans="9:10" x14ac:dyDescent="0.3">
      <c r="I15658" t="s">
        <v>15435</v>
      </c>
      <c r="J15658" t="s">
        <v>246</v>
      </c>
    </row>
    <row r="15659" spans="9:10" x14ac:dyDescent="0.3">
      <c r="I15659" t="s">
        <v>15435</v>
      </c>
      <c r="J15659" t="s">
        <v>246</v>
      </c>
    </row>
    <row r="15660" spans="9:10" x14ac:dyDescent="0.3">
      <c r="I15660" t="s">
        <v>15435</v>
      </c>
      <c r="J15660" t="s">
        <v>246</v>
      </c>
    </row>
    <row r="15661" spans="9:10" x14ac:dyDescent="0.3">
      <c r="I15661" t="s">
        <v>21039</v>
      </c>
      <c r="J15661" t="s">
        <v>246</v>
      </c>
    </row>
    <row r="15662" spans="9:10" x14ac:dyDescent="0.3">
      <c r="I15662" t="s">
        <v>15435</v>
      </c>
      <c r="J15662" t="s">
        <v>246</v>
      </c>
    </row>
    <row r="15663" spans="9:10" x14ac:dyDescent="0.3">
      <c r="I15663" t="s">
        <v>15435</v>
      </c>
      <c r="J15663" t="s">
        <v>246</v>
      </c>
    </row>
    <row r="15664" spans="9:10" x14ac:dyDescent="0.3">
      <c r="I15664" t="s">
        <v>15435</v>
      </c>
      <c r="J15664" t="s">
        <v>246</v>
      </c>
    </row>
    <row r="15665" spans="9:10" x14ac:dyDescent="0.3">
      <c r="I15665" t="s">
        <v>15435</v>
      </c>
      <c r="J15665" t="s">
        <v>246</v>
      </c>
    </row>
    <row r="15666" spans="9:10" x14ac:dyDescent="0.3">
      <c r="I15666" t="s">
        <v>15435</v>
      </c>
      <c r="J15666" t="s">
        <v>246</v>
      </c>
    </row>
    <row r="15667" spans="9:10" x14ac:dyDescent="0.3">
      <c r="I15667" t="s">
        <v>15435</v>
      </c>
      <c r="J15667" t="s">
        <v>246</v>
      </c>
    </row>
    <row r="15668" spans="9:10" x14ac:dyDescent="0.3">
      <c r="I15668" t="s">
        <v>15435</v>
      </c>
      <c r="J15668" t="s">
        <v>246</v>
      </c>
    </row>
    <row r="15669" spans="9:10" x14ac:dyDescent="0.3">
      <c r="I15669" t="s">
        <v>15435</v>
      </c>
      <c r="J15669" t="s">
        <v>246</v>
      </c>
    </row>
    <row r="15670" spans="9:10" x14ac:dyDescent="0.3">
      <c r="I15670" t="s">
        <v>15435</v>
      </c>
      <c r="J15670" t="s">
        <v>246</v>
      </c>
    </row>
    <row r="15671" spans="9:10" x14ac:dyDescent="0.3">
      <c r="I15671" t="s">
        <v>15435</v>
      </c>
      <c r="J15671" t="s">
        <v>246</v>
      </c>
    </row>
    <row r="15672" spans="9:10" x14ac:dyDescent="0.3">
      <c r="I15672" t="s">
        <v>15435</v>
      </c>
      <c r="J15672" t="s">
        <v>246</v>
      </c>
    </row>
    <row r="15673" spans="9:10" x14ac:dyDescent="0.3">
      <c r="I15673" t="s">
        <v>21038</v>
      </c>
      <c r="J15673" t="s">
        <v>246</v>
      </c>
    </row>
    <row r="15674" spans="9:10" x14ac:dyDescent="0.3">
      <c r="I15674" t="s">
        <v>21040</v>
      </c>
      <c r="J15674" t="s">
        <v>246</v>
      </c>
    </row>
    <row r="15675" spans="9:10" x14ac:dyDescent="0.3">
      <c r="I15675" t="s">
        <v>15435</v>
      </c>
      <c r="J15675" t="s">
        <v>246</v>
      </c>
    </row>
    <row r="15676" spans="9:10" x14ac:dyDescent="0.3">
      <c r="I15676" t="s">
        <v>15435</v>
      </c>
      <c r="J15676" t="s">
        <v>246</v>
      </c>
    </row>
    <row r="15677" spans="9:10" x14ac:dyDescent="0.3">
      <c r="I15677" t="s">
        <v>15435</v>
      </c>
      <c r="J15677" t="s">
        <v>246</v>
      </c>
    </row>
    <row r="15678" spans="9:10" x14ac:dyDescent="0.3">
      <c r="I15678" t="s">
        <v>15435</v>
      </c>
      <c r="J15678" t="s">
        <v>246</v>
      </c>
    </row>
    <row r="15679" spans="9:10" x14ac:dyDescent="0.3">
      <c r="I15679" t="s">
        <v>15435</v>
      </c>
      <c r="J15679" t="s">
        <v>246</v>
      </c>
    </row>
    <row r="15680" spans="9:10" x14ac:dyDescent="0.3">
      <c r="I15680" t="s">
        <v>15435</v>
      </c>
      <c r="J15680" t="s">
        <v>246</v>
      </c>
    </row>
    <row r="15681" spans="9:10" x14ac:dyDescent="0.3">
      <c r="I15681" t="s">
        <v>15435</v>
      </c>
      <c r="J15681" t="s">
        <v>246</v>
      </c>
    </row>
    <row r="15682" spans="9:10" x14ac:dyDescent="0.3">
      <c r="I15682" t="s">
        <v>15435</v>
      </c>
      <c r="J15682" t="s">
        <v>246</v>
      </c>
    </row>
    <row r="15683" spans="9:10" x14ac:dyDescent="0.3">
      <c r="I15683" t="s">
        <v>21041</v>
      </c>
      <c r="J15683" t="s">
        <v>246</v>
      </c>
    </row>
    <row r="15684" spans="9:10" x14ac:dyDescent="0.3">
      <c r="I15684" t="s">
        <v>15435</v>
      </c>
      <c r="J15684" t="s">
        <v>246</v>
      </c>
    </row>
    <row r="15685" spans="9:10" x14ac:dyDescent="0.3">
      <c r="I15685" t="s">
        <v>15435</v>
      </c>
      <c r="J15685" t="s">
        <v>246</v>
      </c>
    </row>
    <row r="15686" spans="9:10" x14ac:dyDescent="0.3">
      <c r="I15686" t="s">
        <v>15435</v>
      </c>
      <c r="J15686" t="s">
        <v>246</v>
      </c>
    </row>
    <row r="15687" spans="9:10" x14ac:dyDescent="0.3">
      <c r="I15687" t="s">
        <v>21042</v>
      </c>
    </row>
    <row r="15688" spans="9:10" x14ac:dyDescent="0.3">
      <c r="I15688" t="s">
        <v>21043</v>
      </c>
    </row>
    <row r="15689" spans="9:10" x14ac:dyDescent="0.3">
      <c r="I15689" t="s">
        <v>21044</v>
      </c>
    </row>
    <row r="15690" spans="9:10" x14ac:dyDescent="0.3">
      <c r="I15690" t="s">
        <v>21045</v>
      </c>
    </row>
    <row r="15691" spans="9:10" x14ac:dyDescent="0.3">
      <c r="I15691" t="s">
        <v>21046</v>
      </c>
      <c r="J15691" t="s">
        <v>5563</v>
      </c>
    </row>
    <row r="15692" spans="9:10" x14ac:dyDescent="0.3">
      <c r="I15692" t="s">
        <v>21047</v>
      </c>
      <c r="J15692" t="s">
        <v>5564</v>
      </c>
    </row>
    <row r="15693" spans="9:10" x14ac:dyDescent="0.3">
      <c r="I15693" t="s">
        <v>21048</v>
      </c>
      <c r="J15693" t="s">
        <v>5564</v>
      </c>
    </row>
    <row r="15694" spans="9:10" x14ac:dyDescent="0.3">
      <c r="I15694" t="s">
        <v>21049</v>
      </c>
      <c r="J15694" t="s">
        <v>5565</v>
      </c>
    </row>
    <row r="15695" spans="9:10" x14ac:dyDescent="0.3">
      <c r="I15695" t="s">
        <v>21050</v>
      </c>
      <c r="J15695" t="s">
        <v>5566</v>
      </c>
    </row>
    <row r="15696" spans="9:10" x14ac:dyDescent="0.3">
      <c r="I15696" t="s">
        <v>21050</v>
      </c>
      <c r="J15696" t="s">
        <v>5566</v>
      </c>
    </row>
    <row r="15697" spans="9:10" x14ac:dyDescent="0.3">
      <c r="I15697" t="s">
        <v>21050</v>
      </c>
      <c r="J15697" t="s">
        <v>5566</v>
      </c>
    </row>
    <row r="15698" spans="9:10" x14ac:dyDescent="0.3">
      <c r="I15698" t="s">
        <v>21050</v>
      </c>
      <c r="J15698" t="s">
        <v>5566</v>
      </c>
    </row>
    <row r="15699" spans="9:10" x14ac:dyDescent="0.3">
      <c r="I15699" t="s">
        <v>21051</v>
      </c>
      <c r="J15699" t="s">
        <v>5566</v>
      </c>
    </row>
    <row r="15700" spans="9:10" x14ac:dyDescent="0.3">
      <c r="I15700" t="s">
        <v>21050</v>
      </c>
      <c r="J15700" t="s">
        <v>5566</v>
      </c>
    </row>
    <row r="15701" spans="9:10" x14ac:dyDescent="0.3">
      <c r="I15701" t="s">
        <v>21050</v>
      </c>
      <c r="J15701" t="s">
        <v>5566</v>
      </c>
    </row>
    <row r="15702" spans="9:10" x14ac:dyDescent="0.3">
      <c r="I15702" t="s">
        <v>21050</v>
      </c>
      <c r="J15702" t="s">
        <v>5566</v>
      </c>
    </row>
    <row r="15703" spans="9:10" x14ac:dyDescent="0.3">
      <c r="I15703" t="s">
        <v>21050</v>
      </c>
      <c r="J15703" t="s">
        <v>5566</v>
      </c>
    </row>
    <row r="15704" spans="9:10" x14ac:dyDescent="0.3">
      <c r="I15704" t="s">
        <v>21052</v>
      </c>
      <c r="J15704" t="s">
        <v>5567</v>
      </c>
    </row>
    <row r="15705" spans="9:10" x14ac:dyDescent="0.3">
      <c r="I15705" t="s">
        <v>21053</v>
      </c>
      <c r="J15705" t="s">
        <v>5568</v>
      </c>
    </row>
    <row r="15706" spans="9:10" x14ac:dyDescent="0.3">
      <c r="I15706" t="s">
        <v>21053</v>
      </c>
      <c r="J15706" t="s">
        <v>5568</v>
      </c>
    </row>
    <row r="15707" spans="9:10" x14ac:dyDescent="0.3">
      <c r="I15707" t="s">
        <v>21054</v>
      </c>
    </row>
    <row r="15708" spans="9:10" x14ac:dyDescent="0.3">
      <c r="I15708" t="s">
        <v>21055</v>
      </c>
    </row>
    <row r="15709" spans="9:10" x14ac:dyDescent="0.3">
      <c r="I15709" t="s">
        <v>21055</v>
      </c>
    </row>
    <row r="15710" spans="9:10" x14ac:dyDescent="0.3">
      <c r="I15710" t="s">
        <v>21056</v>
      </c>
    </row>
    <row r="15711" spans="9:10" x14ac:dyDescent="0.3">
      <c r="I15711" t="s">
        <v>21057</v>
      </c>
    </row>
    <row r="15712" spans="9:10" x14ac:dyDescent="0.3">
      <c r="I15712" t="s">
        <v>21058</v>
      </c>
      <c r="J15712" t="s">
        <v>5569</v>
      </c>
    </row>
    <row r="15713" spans="9:10" x14ac:dyDescent="0.3">
      <c r="I15713" t="s">
        <v>21059</v>
      </c>
      <c r="J15713" t="s">
        <v>365</v>
      </c>
    </row>
    <row r="15714" spans="9:10" x14ac:dyDescent="0.3">
      <c r="I15714" t="s">
        <v>21060</v>
      </c>
      <c r="J15714" t="s">
        <v>365</v>
      </c>
    </row>
    <row r="15715" spans="9:10" x14ac:dyDescent="0.3">
      <c r="I15715" t="s">
        <v>21061</v>
      </c>
      <c r="J15715" t="s">
        <v>365</v>
      </c>
    </row>
    <row r="15716" spans="9:10" x14ac:dyDescent="0.3">
      <c r="I15716" t="s">
        <v>21062</v>
      </c>
      <c r="J15716" t="s">
        <v>365</v>
      </c>
    </row>
    <row r="15717" spans="9:10" x14ac:dyDescent="0.3">
      <c r="I15717" t="s">
        <v>21063</v>
      </c>
      <c r="J15717" t="s">
        <v>365</v>
      </c>
    </row>
    <row r="15718" spans="9:10" x14ac:dyDescent="0.3">
      <c r="I15718" t="s">
        <v>21064</v>
      </c>
      <c r="J15718" t="s">
        <v>5570</v>
      </c>
    </row>
    <row r="15719" spans="9:10" x14ac:dyDescent="0.3">
      <c r="I15719" t="s">
        <v>21064</v>
      </c>
      <c r="J15719" t="s">
        <v>5570</v>
      </c>
    </row>
    <row r="15720" spans="9:10" x14ac:dyDescent="0.3">
      <c r="I15720" t="s">
        <v>21065</v>
      </c>
    </row>
    <row r="15721" spans="9:10" x14ac:dyDescent="0.3">
      <c r="I15721" t="s">
        <v>21066</v>
      </c>
      <c r="J15721" t="s">
        <v>5571</v>
      </c>
    </row>
    <row r="15722" spans="9:10" x14ac:dyDescent="0.3">
      <c r="I15722" t="s">
        <v>21067</v>
      </c>
      <c r="J15722" t="s">
        <v>5572</v>
      </c>
    </row>
    <row r="15723" spans="9:10" x14ac:dyDescent="0.3">
      <c r="I15723" t="s">
        <v>21068</v>
      </c>
      <c r="J15723" t="s">
        <v>413</v>
      </c>
    </row>
    <row r="15724" spans="9:10" x14ac:dyDescent="0.3">
      <c r="I15724" t="s">
        <v>21068</v>
      </c>
      <c r="J15724" t="s">
        <v>413</v>
      </c>
    </row>
    <row r="15725" spans="9:10" x14ac:dyDescent="0.3">
      <c r="I15725" t="s">
        <v>21069</v>
      </c>
      <c r="J15725" t="s">
        <v>413</v>
      </c>
    </row>
    <row r="15726" spans="9:10" x14ac:dyDescent="0.3">
      <c r="I15726" t="s">
        <v>21070</v>
      </c>
      <c r="J15726" t="s">
        <v>413</v>
      </c>
    </row>
    <row r="15727" spans="9:10" x14ac:dyDescent="0.3">
      <c r="I15727" t="s">
        <v>21071</v>
      </c>
    </row>
    <row r="15728" spans="9:10" x14ac:dyDescent="0.3">
      <c r="I15728" t="s">
        <v>21072</v>
      </c>
    </row>
    <row r="15729" spans="9:10" x14ac:dyDescent="0.3">
      <c r="I15729" t="s">
        <v>21073</v>
      </c>
    </row>
    <row r="15730" spans="9:10" x14ac:dyDescent="0.3">
      <c r="I15730" t="s">
        <v>21074</v>
      </c>
      <c r="J15730" t="s">
        <v>5573</v>
      </c>
    </row>
    <row r="15731" spans="9:10" x14ac:dyDescent="0.3">
      <c r="I15731" t="s">
        <v>21075</v>
      </c>
    </row>
    <row r="15732" spans="9:10" x14ac:dyDescent="0.3">
      <c r="I15732" t="s">
        <v>21076</v>
      </c>
    </row>
    <row r="15733" spans="9:10" x14ac:dyDescent="0.3">
      <c r="I15733" t="s">
        <v>21077</v>
      </c>
      <c r="J15733" t="s">
        <v>5574</v>
      </c>
    </row>
    <row r="15734" spans="9:10" x14ac:dyDescent="0.3">
      <c r="I15734" t="s">
        <v>21078</v>
      </c>
    </row>
    <row r="15735" spans="9:10" x14ac:dyDescent="0.3">
      <c r="I15735" t="s">
        <v>21079</v>
      </c>
      <c r="J15735" t="s">
        <v>2479</v>
      </c>
    </row>
    <row r="15736" spans="9:10" x14ac:dyDescent="0.3">
      <c r="I15736" t="s">
        <v>21079</v>
      </c>
      <c r="J15736" t="s">
        <v>2479</v>
      </c>
    </row>
    <row r="15737" spans="9:10" x14ac:dyDescent="0.3">
      <c r="I15737" t="s">
        <v>21080</v>
      </c>
      <c r="J15737" t="s">
        <v>5575</v>
      </c>
    </row>
    <row r="15738" spans="9:10" x14ac:dyDescent="0.3">
      <c r="I15738" t="s">
        <v>21081</v>
      </c>
    </row>
    <row r="15739" spans="9:10" x14ac:dyDescent="0.3">
      <c r="I15739" t="s">
        <v>21082</v>
      </c>
      <c r="J15739" t="s">
        <v>5576</v>
      </c>
    </row>
    <row r="15740" spans="9:10" x14ac:dyDescent="0.3">
      <c r="I15740" t="s">
        <v>21083</v>
      </c>
      <c r="J15740" t="s">
        <v>5577</v>
      </c>
    </row>
    <row r="15741" spans="9:10" x14ac:dyDescent="0.3">
      <c r="I15741" t="s">
        <v>21084</v>
      </c>
      <c r="J15741" t="s">
        <v>5578</v>
      </c>
    </row>
    <row r="15742" spans="9:10" x14ac:dyDescent="0.3">
      <c r="I15742" t="s">
        <v>21085</v>
      </c>
      <c r="J15742" t="s">
        <v>5579</v>
      </c>
    </row>
    <row r="15743" spans="9:10" x14ac:dyDescent="0.3">
      <c r="I15743" t="s">
        <v>21086</v>
      </c>
      <c r="J15743" t="s">
        <v>5580</v>
      </c>
    </row>
    <row r="15744" spans="9:10" x14ac:dyDescent="0.3">
      <c r="I15744" t="s">
        <v>21086</v>
      </c>
      <c r="J15744" t="s">
        <v>5580</v>
      </c>
    </row>
    <row r="15745" spans="9:10" x14ac:dyDescent="0.3">
      <c r="I15745" t="s">
        <v>21087</v>
      </c>
    </row>
    <row r="15746" spans="9:10" x14ac:dyDescent="0.3">
      <c r="I15746" t="s">
        <v>21088</v>
      </c>
    </row>
    <row r="15747" spans="9:10" x14ac:dyDescent="0.3">
      <c r="I15747" t="s">
        <v>21089</v>
      </c>
    </row>
    <row r="15748" spans="9:10" x14ac:dyDescent="0.3">
      <c r="I15748" t="s">
        <v>21090</v>
      </c>
    </row>
    <row r="15749" spans="9:10" x14ac:dyDescent="0.3">
      <c r="I15749" t="s">
        <v>21091</v>
      </c>
    </row>
    <row r="15750" spans="9:10" x14ac:dyDescent="0.3">
      <c r="I15750" t="s">
        <v>21092</v>
      </c>
    </row>
    <row r="15751" spans="9:10" x14ac:dyDescent="0.3">
      <c r="I15751" t="s">
        <v>21093</v>
      </c>
    </row>
    <row r="15752" spans="9:10" x14ac:dyDescent="0.3">
      <c r="I15752" t="s">
        <v>21094</v>
      </c>
      <c r="J15752" t="s">
        <v>5581</v>
      </c>
    </row>
    <row r="15753" spans="9:10" x14ac:dyDescent="0.3">
      <c r="I15753" t="s">
        <v>21095</v>
      </c>
    </row>
    <row r="15754" spans="9:10" x14ac:dyDescent="0.3">
      <c r="I15754" t="s">
        <v>21096</v>
      </c>
    </row>
    <row r="15755" spans="9:10" x14ac:dyDescent="0.3">
      <c r="I15755" t="s">
        <v>21097</v>
      </c>
    </row>
    <row r="15756" spans="9:10" x14ac:dyDescent="0.3">
      <c r="I15756" t="s">
        <v>21098</v>
      </c>
    </row>
    <row r="15757" spans="9:10" x14ac:dyDescent="0.3">
      <c r="I15757" t="s">
        <v>21099</v>
      </c>
    </row>
    <row r="15758" spans="9:10" x14ac:dyDescent="0.3">
      <c r="I15758" t="s">
        <v>21100</v>
      </c>
      <c r="J15758" t="s">
        <v>5582</v>
      </c>
    </row>
    <row r="15759" spans="9:10" x14ac:dyDescent="0.3">
      <c r="I15759" t="s">
        <v>21101</v>
      </c>
      <c r="J15759" t="s">
        <v>5582</v>
      </c>
    </row>
    <row r="15760" spans="9:10" x14ac:dyDescent="0.3">
      <c r="I15760" t="s">
        <v>21102</v>
      </c>
      <c r="J15760" t="s">
        <v>5582</v>
      </c>
    </row>
    <row r="15761" spans="9:10" x14ac:dyDescent="0.3">
      <c r="I15761" t="s">
        <v>21103</v>
      </c>
      <c r="J15761" t="s">
        <v>5582</v>
      </c>
    </row>
    <row r="15762" spans="9:10" x14ac:dyDescent="0.3">
      <c r="I15762" t="s">
        <v>21104</v>
      </c>
      <c r="J15762" t="s">
        <v>5582</v>
      </c>
    </row>
    <row r="15763" spans="9:10" x14ac:dyDescent="0.3">
      <c r="I15763" t="s">
        <v>21105</v>
      </c>
      <c r="J15763" t="s">
        <v>5582</v>
      </c>
    </row>
    <row r="15764" spans="9:10" x14ac:dyDescent="0.3">
      <c r="I15764" t="s">
        <v>21106</v>
      </c>
      <c r="J15764" t="s">
        <v>5582</v>
      </c>
    </row>
    <row r="15765" spans="9:10" x14ac:dyDescent="0.3">
      <c r="I15765" t="s">
        <v>21107</v>
      </c>
      <c r="J15765" t="s">
        <v>5582</v>
      </c>
    </row>
    <row r="15766" spans="9:10" x14ac:dyDescent="0.3">
      <c r="I15766" t="s">
        <v>21108</v>
      </c>
      <c r="J15766" t="s">
        <v>5582</v>
      </c>
    </row>
    <row r="15767" spans="9:10" x14ac:dyDescent="0.3">
      <c r="I15767" t="s">
        <v>21109</v>
      </c>
      <c r="J15767" t="s">
        <v>5582</v>
      </c>
    </row>
    <row r="15768" spans="9:10" x14ac:dyDescent="0.3">
      <c r="I15768" t="s">
        <v>21110</v>
      </c>
      <c r="J15768" t="s">
        <v>5582</v>
      </c>
    </row>
    <row r="15769" spans="9:10" x14ac:dyDescent="0.3">
      <c r="I15769" t="s">
        <v>21111</v>
      </c>
      <c r="J15769" t="s">
        <v>5582</v>
      </c>
    </row>
    <row r="15770" spans="9:10" x14ac:dyDescent="0.3">
      <c r="I15770" t="s">
        <v>21112</v>
      </c>
      <c r="J15770" t="s">
        <v>5582</v>
      </c>
    </row>
    <row r="15771" spans="9:10" x14ac:dyDescent="0.3">
      <c r="I15771" t="s">
        <v>21113</v>
      </c>
      <c r="J15771" t="s">
        <v>5582</v>
      </c>
    </row>
    <row r="15772" spans="9:10" x14ac:dyDescent="0.3">
      <c r="I15772" t="s">
        <v>21114</v>
      </c>
      <c r="J15772" t="s">
        <v>5582</v>
      </c>
    </row>
    <row r="15773" spans="9:10" x14ac:dyDescent="0.3">
      <c r="I15773" t="s">
        <v>21115</v>
      </c>
      <c r="J15773" t="s">
        <v>5582</v>
      </c>
    </row>
    <row r="15774" spans="9:10" x14ac:dyDescent="0.3">
      <c r="I15774" t="s">
        <v>21116</v>
      </c>
      <c r="J15774" t="s">
        <v>5582</v>
      </c>
    </row>
    <row r="15775" spans="9:10" x14ac:dyDescent="0.3">
      <c r="I15775" t="s">
        <v>21117</v>
      </c>
      <c r="J15775" t="s">
        <v>5582</v>
      </c>
    </row>
    <row r="15776" spans="9:10" x14ac:dyDescent="0.3">
      <c r="I15776" t="s">
        <v>21118</v>
      </c>
      <c r="J15776" t="s">
        <v>5582</v>
      </c>
    </row>
    <row r="15777" spans="9:10" x14ac:dyDescent="0.3">
      <c r="I15777" t="s">
        <v>21119</v>
      </c>
      <c r="J15777" t="s">
        <v>5582</v>
      </c>
    </row>
    <row r="15778" spans="9:10" x14ac:dyDescent="0.3">
      <c r="I15778" t="s">
        <v>21120</v>
      </c>
      <c r="J15778" t="s">
        <v>5582</v>
      </c>
    </row>
    <row r="15779" spans="9:10" x14ac:dyDescent="0.3">
      <c r="I15779" t="s">
        <v>21121</v>
      </c>
      <c r="J15779" t="s">
        <v>5582</v>
      </c>
    </row>
    <row r="15780" spans="9:10" x14ac:dyDescent="0.3">
      <c r="I15780" t="s">
        <v>21122</v>
      </c>
      <c r="J15780" t="s">
        <v>5582</v>
      </c>
    </row>
    <row r="15781" spans="9:10" x14ac:dyDescent="0.3">
      <c r="I15781" t="s">
        <v>21123</v>
      </c>
      <c r="J15781" t="s">
        <v>5582</v>
      </c>
    </row>
    <row r="15782" spans="9:10" x14ac:dyDescent="0.3">
      <c r="I15782" t="s">
        <v>21124</v>
      </c>
      <c r="J15782" t="s">
        <v>5582</v>
      </c>
    </row>
    <row r="15783" spans="9:10" x14ac:dyDescent="0.3">
      <c r="I15783" t="s">
        <v>21125</v>
      </c>
      <c r="J15783" t="s">
        <v>5582</v>
      </c>
    </row>
    <row r="15784" spans="9:10" x14ac:dyDescent="0.3">
      <c r="I15784" t="s">
        <v>21126</v>
      </c>
      <c r="J15784" t="s">
        <v>5582</v>
      </c>
    </row>
    <row r="15785" spans="9:10" x14ac:dyDescent="0.3">
      <c r="I15785" t="s">
        <v>21127</v>
      </c>
      <c r="J15785" t="s">
        <v>5582</v>
      </c>
    </row>
    <row r="15786" spans="9:10" x14ac:dyDescent="0.3">
      <c r="I15786" t="s">
        <v>21128</v>
      </c>
      <c r="J15786" t="s">
        <v>5582</v>
      </c>
    </row>
    <row r="15787" spans="9:10" x14ac:dyDescent="0.3">
      <c r="I15787" t="s">
        <v>21129</v>
      </c>
      <c r="J15787" t="s">
        <v>5582</v>
      </c>
    </row>
    <row r="15788" spans="9:10" x14ac:dyDescent="0.3">
      <c r="I15788" t="s">
        <v>21130</v>
      </c>
      <c r="J15788" t="s">
        <v>5582</v>
      </c>
    </row>
    <row r="15789" spans="9:10" x14ac:dyDescent="0.3">
      <c r="I15789" t="s">
        <v>21131</v>
      </c>
      <c r="J15789" t="s">
        <v>5582</v>
      </c>
    </row>
    <row r="15790" spans="9:10" x14ac:dyDescent="0.3">
      <c r="I15790" t="s">
        <v>21132</v>
      </c>
      <c r="J15790" t="s">
        <v>5582</v>
      </c>
    </row>
    <row r="15791" spans="9:10" x14ac:dyDescent="0.3">
      <c r="I15791" t="s">
        <v>21133</v>
      </c>
      <c r="J15791" t="s">
        <v>5582</v>
      </c>
    </row>
    <row r="15792" spans="9:10" x14ac:dyDescent="0.3">
      <c r="I15792" t="s">
        <v>21134</v>
      </c>
      <c r="J15792" t="s">
        <v>5582</v>
      </c>
    </row>
    <row r="15793" spans="9:10" x14ac:dyDescent="0.3">
      <c r="I15793" t="s">
        <v>21135</v>
      </c>
      <c r="J15793" t="s">
        <v>5582</v>
      </c>
    </row>
    <row r="15794" spans="9:10" x14ac:dyDescent="0.3">
      <c r="I15794" t="s">
        <v>21136</v>
      </c>
      <c r="J15794" t="s">
        <v>5582</v>
      </c>
    </row>
    <row r="15795" spans="9:10" x14ac:dyDescent="0.3">
      <c r="I15795" t="s">
        <v>21137</v>
      </c>
      <c r="J15795" t="s">
        <v>5582</v>
      </c>
    </row>
    <row r="15796" spans="9:10" x14ac:dyDescent="0.3">
      <c r="I15796" t="s">
        <v>21138</v>
      </c>
      <c r="J15796" t="s">
        <v>5582</v>
      </c>
    </row>
    <row r="15797" spans="9:10" x14ac:dyDescent="0.3">
      <c r="I15797" t="s">
        <v>21139</v>
      </c>
      <c r="J15797" t="s">
        <v>5582</v>
      </c>
    </row>
    <row r="15798" spans="9:10" x14ac:dyDescent="0.3">
      <c r="I15798" t="s">
        <v>21140</v>
      </c>
      <c r="J15798" t="s">
        <v>5582</v>
      </c>
    </row>
    <row r="15799" spans="9:10" x14ac:dyDescent="0.3">
      <c r="I15799" t="s">
        <v>21141</v>
      </c>
      <c r="J15799" t="s">
        <v>5582</v>
      </c>
    </row>
    <row r="15800" spans="9:10" x14ac:dyDescent="0.3">
      <c r="I15800" t="s">
        <v>21142</v>
      </c>
      <c r="J15800" t="s">
        <v>5582</v>
      </c>
    </row>
    <row r="15801" spans="9:10" x14ac:dyDescent="0.3">
      <c r="I15801" t="s">
        <v>21143</v>
      </c>
      <c r="J15801" t="s">
        <v>5582</v>
      </c>
    </row>
    <row r="15802" spans="9:10" x14ac:dyDescent="0.3">
      <c r="I15802" t="s">
        <v>21144</v>
      </c>
      <c r="J15802" t="s">
        <v>5582</v>
      </c>
    </row>
    <row r="15803" spans="9:10" x14ac:dyDescent="0.3">
      <c r="I15803" t="s">
        <v>21145</v>
      </c>
      <c r="J15803" t="s">
        <v>5582</v>
      </c>
    </row>
    <row r="15804" spans="9:10" x14ac:dyDescent="0.3">
      <c r="I15804" t="s">
        <v>21146</v>
      </c>
      <c r="J15804" t="s">
        <v>5582</v>
      </c>
    </row>
    <row r="15805" spans="9:10" x14ac:dyDescent="0.3">
      <c r="I15805" t="s">
        <v>21147</v>
      </c>
      <c r="J15805" t="s">
        <v>5582</v>
      </c>
    </row>
    <row r="15806" spans="9:10" x14ac:dyDescent="0.3">
      <c r="I15806" t="s">
        <v>21148</v>
      </c>
      <c r="J15806" t="s">
        <v>5582</v>
      </c>
    </row>
    <row r="15807" spans="9:10" x14ac:dyDescent="0.3">
      <c r="I15807" t="s">
        <v>21149</v>
      </c>
      <c r="J15807" t="s">
        <v>5582</v>
      </c>
    </row>
    <row r="15808" spans="9:10" x14ac:dyDescent="0.3">
      <c r="I15808" t="s">
        <v>21150</v>
      </c>
      <c r="J15808" t="s">
        <v>5582</v>
      </c>
    </row>
    <row r="15809" spans="9:10" x14ac:dyDescent="0.3">
      <c r="I15809" t="s">
        <v>21151</v>
      </c>
      <c r="J15809" t="s">
        <v>5582</v>
      </c>
    </row>
    <row r="15810" spans="9:10" x14ac:dyDescent="0.3">
      <c r="I15810" t="s">
        <v>21152</v>
      </c>
      <c r="J15810" t="s">
        <v>5582</v>
      </c>
    </row>
    <row r="15811" spans="9:10" x14ac:dyDescent="0.3">
      <c r="I15811" t="s">
        <v>21153</v>
      </c>
      <c r="J15811" t="s">
        <v>5582</v>
      </c>
    </row>
    <row r="15812" spans="9:10" x14ac:dyDescent="0.3">
      <c r="I15812" t="s">
        <v>21154</v>
      </c>
      <c r="J15812" t="s">
        <v>5582</v>
      </c>
    </row>
    <row r="15813" spans="9:10" x14ac:dyDescent="0.3">
      <c r="I15813" t="s">
        <v>21155</v>
      </c>
      <c r="J15813" t="s">
        <v>5582</v>
      </c>
    </row>
    <row r="15814" spans="9:10" x14ac:dyDescent="0.3">
      <c r="I15814" t="s">
        <v>21156</v>
      </c>
      <c r="J15814" t="s">
        <v>5582</v>
      </c>
    </row>
    <row r="15815" spans="9:10" x14ac:dyDescent="0.3">
      <c r="I15815" t="s">
        <v>21157</v>
      </c>
      <c r="J15815" t="s">
        <v>5582</v>
      </c>
    </row>
    <row r="15816" spans="9:10" x14ac:dyDescent="0.3">
      <c r="I15816" t="s">
        <v>21158</v>
      </c>
      <c r="J15816" t="s">
        <v>5582</v>
      </c>
    </row>
    <row r="15817" spans="9:10" x14ac:dyDescent="0.3">
      <c r="I15817" t="s">
        <v>21159</v>
      </c>
      <c r="J15817" t="s">
        <v>5582</v>
      </c>
    </row>
    <row r="15818" spans="9:10" x14ac:dyDescent="0.3">
      <c r="I15818" t="s">
        <v>21160</v>
      </c>
      <c r="J15818" t="s">
        <v>5582</v>
      </c>
    </row>
    <row r="15819" spans="9:10" x14ac:dyDescent="0.3">
      <c r="I15819" t="s">
        <v>21161</v>
      </c>
      <c r="J15819" t="s">
        <v>5582</v>
      </c>
    </row>
    <row r="15820" spans="9:10" x14ac:dyDescent="0.3">
      <c r="I15820" t="s">
        <v>21162</v>
      </c>
      <c r="J15820" t="s">
        <v>5582</v>
      </c>
    </row>
    <row r="15821" spans="9:10" x14ac:dyDescent="0.3">
      <c r="I15821" t="s">
        <v>21163</v>
      </c>
      <c r="J15821" t="s">
        <v>5582</v>
      </c>
    </row>
    <row r="15822" spans="9:10" x14ac:dyDescent="0.3">
      <c r="I15822" t="s">
        <v>21164</v>
      </c>
      <c r="J15822" t="s">
        <v>5582</v>
      </c>
    </row>
    <row r="15823" spans="9:10" x14ac:dyDescent="0.3">
      <c r="I15823" t="s">
        <v>21165</v>
      </c>
      <c r="J15823" t="s">
        <v>5582</v>
      </c>
    </row>
    <row r="15824" spans="9:10" x14ac:dyDescent="0.3">
      <c r="I15824" t="s">
        <v>21166</v>
      </c>
      <c r="J15824" t="s">
        <v>5582</v>
      </c>
    </row>
    <row r="15825" spans="9:10" x14ac:dyDescent="0.3">
      <c r="I15825" t="s">
        <v>21167</v>
      </c>
      <c r="J15825" t="s">
        <v>5582</v>
      </c>
    </row>
    <row r="15826" spans="9:10" x14ac:dyDescent="0.3">
      <c r="I15826" t="s">
        <v>21168</v>
      </c>
      <c r="J15826" t="s">
        <v>5582</v>
      </c>
    </row>
    <row r="15827" spans="9:10" x14ac:dyDescent="0.3">
      <c r="I15827" t="s">
        <v>21169</v>
      </c>
      <c r="J15827" t="s">
        <v>5582</v>
      </c>
    </row>
    <row r="15828" spans="9:10" x14ac:dyDescent="0.3">
      <c r="I15828" t="s">
        <v>21170</v>
      </c>
      <c r="J15828" t="s">
        <v>5582</v>
      </c>
    </row>
    <row r="15829" spans="9:10" x14ac:dyDescent="0.3">
      <c r="I15829" t="s">
        <v>21171</v>
      </c>
      <c r="J15829" t="s">
        <v>5582</v>
      </c>
    </row>
    <row r="15830" spans="9:10" x14ac:dyDescent="0.3">
      <c r="I15830" t="s">
        <v>21172</v>
      </c>
      <c r="J15830" t="s">
        <v>5582</v>
      </c>
    </row>
    <row r="15831" spans="9:10" x14ac:dyDescent="0.3">
      <c r="I15831" t="s">
        <v>21173</v>
      </c>
      <c r="J15831" t="s">
        <v>5582</v>
      </c>
    </row>
    <row r="15832" spans="9:10" x14ac:dyDescent="0.3">
      <c r="I15832" t="s">
        <v>21174</v>
      </c>
      <c r="J15832" t="s">
        <v>5582</v>
      </c>
    </row>
    <row r="15833" spans="9:10" x14ac:dyDescent="0.3">
      <c r="I15833" t="s">
        <v>21175</v>
      </c>
      <c r="J15833" t="s">
        <v>5582</v>
      </c>
    </row>
    <row r="15834" spans="9:10" x14ac:dyDescent="0.3">
      <c r="I15834" t="s">
        <v>21176</v>
      </c>
      <c r="J15834" t="s">
        <v>5582</v>
      </c>
    </row>
    <row r="15835" spans="9:10" x14ac:dyDescent="0.3">
      <c r="I15835" t="s">
        <v>21177</v>
      </c>
      <c r="J15835" t="s">
        <v>5582</v>
      </c>
    </row>
    <row r="15836" spans="9:10" x14ac:dyDescent="0.3">
      <c r="I15836" t="s">
        <v>21178</v>
      </c>
      <c r="J15836" t="s">
        <v>5582</v>
      </c>
    </row>
    <row r="15837" spans="9:10" x14ac:dyDescent="0.3">
      <c r="I15837" t="s">
        <v>21179</v>
      </c>
      <c r="J15837" t="s">
        <v>5582</v>
      </c>
    </row>
    <row r="15838" spans="9:10" x14ac:dyDescent="0.3">
      <c r="I15838" t="s">
        <v>21180</v>
      </c>
      <c r="J15838" t="s">
        <v>5582</v>
      </c>
    </row>
    <row r="15839" spans="9:10" x14ac:dyDescent="0.3">
      <c r="I15839" t="s">
        <v>21181</v>
      </c>
      <c r="J15839" t="s">
        <v>5582</v>
      </c>
    </row>
    <row r="15840" spans="9:10" x14ac:dyDescent="0.3">
      <c r="I15840" t="s">
        <v>21182</v>
      </c>
      <c r="J15840" t="s">
        <v>5582</v>
      </c>
    </row>
    <row r="15841" spans="9:10" x14ac:dyDescent="0.3">
      <c r="I15841" t="s">
        <v>21183</v>
      </c>
      <c r="J15841" t="s">
        <v>5582</v>
      </c>
    </row>
    <row r="15842" spans="9:10" x14ac:dyDescent="0.3">
      <c r="I15842" t="s">
        <v>21184</v>
      </c>
      <c r="J15842" t="s">
        <v>5582</v>
      </c>
    </row>
    <row r="15843" spans="9:10" x14ac:dyDescent="0.3">
      <c r="I15843" t="s">
        <v>21185</v>
      </c>
      <c r="J15843" t="s">
        <v>5582</v>
      </c>
    </row>
    <row r="15844" spans="9:10" x14ac:dyDescent="0.3">
      <c r="I15844" t="s">
        <v>21186</v>
      </c>
      <c r="J15844" t="s">
        <v>5582</v>
      </c>
    </row>
    <row r="15845" spans="9:10" x14ac:dyDescent="0.3">
      <c r="I15845" t="s">
        <v>21187</v>
      </c>
      <c r="J15845" t="s">
        <v>5582</v>
      </c>
    </row>
    <row r="15846" spans="9:10" x14ac:dyDescent="0.3">
      <c r="I15846" t="s">
        <v>21188</v>
      </c>
      <c r="J15846" t="s">
        <v>5582</v>
      </c>
    </row>
    <row r="15847" spans="9:10" x14ac:dyDescent="0.3">
      <c r="I15847" t="s">
        <v>21189</v>
      </c>
      <c r="J15847" t="s">
        <v>5582</v>
      </c>
    </row>
    <row r="15848" spans="9:10" x14ac:dyDescent="0.3">
      <c r="I15848" t="s">
        <v>21190</v>
      </c>
      <c r="J15848" t="s">
        <v>5582</v>
      </c>
    </row>
    <row r="15849" spans="9:10" x14ac:dyDescent="0.3">
      <c r="I15849" t="s">
        <v>21191</v>
      </c>
      <c r="J15849" t="s">
        <v>5582</v>
      </c>
    </row>
    <row r="15850" spans="9:10" x14ac:dyDescent="0.3">
      <c r="I15850" t="s">
        <v>21192</v>
      </c>
      <c r="J15850" t="s">
        <v>5582</v>
      </c>
    </row>
    <row r="15851" spans="9:10" x14ac:dyDescent="0.3">
      <c r="I15851" t="s">
        <v>21193</v>
      </c>
      <c r="J15851" t="s">
        <v>5582</v>
      </c>
    </row>
    <row r="15852" spans="9:10" x14ac:dyDescent="0.3">
      <c r="I15852" t="s">
        <v>21194</v>
      </c>
      <c r="J15852" t="s">
        <v>5582</v>
      </c>
    </row>
    <row r="15853" spans="9:10" x14ac:dyDescent="0.3">
      <c r="I15853" t="s">
        <v>21195</v>
      </c>
      <c r="J15853" t="s">
        <v>5582</v>
      </c>
    </row>
    <row r="15854" spans="9:10" x14ac:dyDescent="0.3">
      <c r="I15854" t="s">
        <v>21196</v>
      </c>
      <c r="J15854" t="s">
        <v>5582</v>
      </c>
    </row>
    <row r="15855" spans="9:10" x14ac:dyDescent="0.3">
      <c r="I15855" t="s">
        <v>21197</v>
      </c>
      <c r="J15855" t="s">
        <v>5582</v>
      </c>
    </row>
    <row r="15856" spans="9:10" x14ac:dyDescent="0.3">
      <c r="I15856" t="s">
        <v>21198</v>
      </c>
      <c r="J15856" t="s">
        <v>5582</v>
      </c>
    </row>
    <row r="15857" spans="9:10" x14ac:dyDescent="0.3">
      <c r="I15857" t="s">
        <v>21199</v>
      </c>
      <c r="J15857" t="s">
        <v>5582</v>
      </c>
    </row>
    <row r="15858" spans="9:10" x14ac:dyDescent="0.3">
      <c r="I15858" t="s">
        <v>21200</v>
      </c>
      <c r="J15858" t="s">
        <v>5582</v>
      </c>
    </row>
    <row r="15859" spans="9:10" x14ac:dyDescent="0.3">
      <c r="I15859" t="s">
        <v>21201</v>
      </c>
      <c r="J15859" t="s">
        <v>5582</v>
      </c>
    </row>
    <row r="15860" spans="9:10" x14ac:dyDescent="0.3">
      <c r="I15860" t="s">
        <v>21202</v>
      </c>
      <c r="J15860" t="s">
        <v>5582</v>
      </c>
    </row>
    <row r="15861" spans="9:10" x14ac:dyDescent="0.3">
      <c r="I15861" t="s">
        <v>21203</v>
      </c>
      <c r="J15861" t="s">
        <v>5582</v>
      </c>
    </row>
    <row r="15862" spans="9:10" x14ac:dyDescent="0.3">
      <c r="I15862" t="s">
        <v>21204</v>
      </c>
      <c r="J15862" t="s">
        <v>5582</v>
      </c>
    </row>
    <row r="15863" spans="9:10" x14ac:dyDescent="0.3">
      <c r="I15863" t="s">
        <v>21205</v>
      </c>
      <c r="J15863" t="s">
        <v>5582</v>
      </c>
    </row>
    <row r="15864" spans="9:10" x14ac:dyDescent="0.3">
      <c r="I15864" t="s">
        <v>21206</v>
      </c>
      <c r="J15864" t="s">
        <v>5582</v>
      </c>
    </row>
    <row r="15865" spans="9:10" x14ac:dyDescent="0.3">
      <c r="I15865" t="s">
        <v>21207</v>
      </c>
      <c r="J15865" t="s">
        <v>5582</v>
      </c>
    </row>
    <row r="15866" spans="9:10" x14ac:dyDescent="0.3">
      <c r="I15866" t="s">
        <v>21208</v>
      </c>
      <c r="J15866" t="s">
        <v>5582</v>
      </c>
    </row>
    <row r="15867" spans="9:10" x14ac:dyDescent="0.3">
      <c r="I15867" t="s">
        <v>21209</v>
      </c>
      <c r="J15867" t="s">
        <v>5582</v>
      </c>
    </row>
    <row r="15868" spans="9:10" x14ac:dyDescent="0.3">
      <c r="I15868" t="s">
        <v>21210</v>
      </c>
      <c r="J15868" t="s">
        <v>5582</v>
      </c>
    </row>
    <row r="15869" spans="9:10" x14ac:dyDescent="0.3">
      <c r="I15869" t="s">
        <v>21211</v>
      </c>
      <c r="J15869" t="s">
        <v>5582</v>
      </c>
    </row>
    <row r="15870" spans="9:10" x14ac:dyDescent="0.3">
      <c r="I15870" t="s">
        <v>21212</v>
      </c>
      <c r="J15870" t="s">
        <v>5582</v>
      </c>
    </row>
    <row r="15871" spans="9:10" x14ac:dyDescent="0.3">
      <c r="I15871" t="s">
        <v>21213</v>
      </c>
      <c r="J15871" t="s">
        <v>5582</v>
      </c>
    </row>
    <row r="15872" spans="9:10" x14ac:dyDescent="0.3">
      <c r="I15872" t="s">
        <v>21214</v>
      </c>
      <c r="J15872" t="s">
        <v>5582</v>
      </c>
    </row>
    <row r="15873" spans="9:10" x14ac:dyDescent="0.3">
      <c r="I15873" t="s">
        <v>21215</v>
      </c>
      <c r="J15873" t="s">
        <v>5582</v>
      </c>
    </row>
    <row r="15874" spans="9:10" x14ac:dyDescent="0.3">
      <c r="I15874" t="s">
        <v>21216</v>
      </c>
      <c r="J15874" t="s">
        <v>5582</v>
      </c>
    </row>
    <row r="15875" spans="9:10" x14ac:dyDescent="0.3">
      <c r="I15875" t="s">
        <v>21217</v>
      </c>
      <c r="J15875" t="s">
        <v>5582</v>
      </c>
    </row>
    <row r="15876" spans="9:10" x14ac:dyDescent="0.3">
      <c r="I15876" t="s">
        <v>21218</v>
      </c>
      <c r="J15876" t="s">
        <v>5582</v>
      </c>
    </row>
    <row r="15877" spans="9:10" x14ac:dyDescent="0.3">
      <c r="I15877" t="s">
        <v>21219</v>
      </c>
      <c r="J15877" t="s">
        <v>5582</v>
      </c>
    </row>
    <row r="15878" spans="9:10" x14ac:dyDescent="0.3">
      <c r="I15878" t="s">
        <v>21220</v>
      </c>
      <c r="J15878" t="s">
        <v>5582</v>
      </c>
    </row>
    <row r="15879" spans="9:10" x14ac:dyDescent="0.3">
      <c r="I15879" t="s">
        <v>21221</v>
      </c>
      <c r="J15879" t="s">
        <v>5582</v>
      </c>
    </row>
    <row r="15880" spans="9:10" x14ac:dyDescent="0.3">
      <c r="I15880" t="s">
        <v>21222</v>
      </c>
      <c r="J15880" t="s">
        <v>5582</v>
      </c>
    </row>
    <row r="15881" spans="9:10" x14ac:dyDescent="0.3">
      <c r="I15881" t="s">
        <v>21223</v>
      </c>
      <c r="J15881" t="s">
        <v>5582</v>
      </c>
    </row>
    <row r="15882" spans="9:10" x14ac:dyDescent="0.3">
      <c r="I15882" t="s">
        <v>21224</v>
      </c>
      <c r="J15882" t="s">
        <v>5582</v>
      </c>
    </row>
    <row r="15883" spans="9:10" x14ac:dyDescent="0.3">
      <c r="I15883" t="s">
        <v>21225</v>
      </c>
      <c r="J15883" t="s">
        <v>5582</v>
      </c>
    </row>
    <row r="15884" spans="9:10" x14ac:dyDescent="0.3">
      <c r="I15884" t="s">
        <v>21226</v>
      </c>
      <c r="J15884" t="s">
        <v>5582</v>
      </c>
    </row>
    <row r="15885" spans="9:10" x14ac:dyDescent="0.3">
      <c r="I15885" t="s">
        <v>21227</v>
      </c>
      <c r="J15885" t="s">
        <v>5582</v>
      </c>
    </row>
    <row r="15886" spans="9:10" x14ac:dyDescent="0.3">
      <c r="I15886" t="s">
        <v>21228</v>
      </c>
      <c r="J15886" t="s">
        <v>5582</v>
      </c>
    </row>
    <row r="15887" spans="9:10" x14ac:dyDescent="0.3">
      <c r="I15887" t="s">
        <v>21229</v>
      </c>
      <c r="J15887" t="s">
        <v>5582</v>
      </c>
    </row>
    <row r="15888" spans="9:10" x14ac:dyDescent="0.3">
      <c r="I15888" t="s">
        <v>21230</v>
      </c>
      <c r="J15888" t="s">
        <v>5582</v>
      </c>
    </row>
    <row r="15889" spans="9:10" x14ac:dyDescent="0.3">
      <c r="I15889" t="s">
        <v>21231</v>
      </c>
      <c r="J15889" t="s">
        <v>5582</v>
      </c>
    </row>
    <row r="15890" spans="9:10" x14ac:dyDescent="0.3">
      <c r="I15890" t="s">
        <v>21232</v>
      </c>
      <c r="J15890" t="s">
        <v>5582</v>
      </c>
    </row>
    <row r="15891" spans="9:10" x14ac:dyDescent="0.3">
      <c r="I15891" t="s">
        <v>21233</v>
      </c>
      <c r="J15891" t="s">
        <v>5582</v>
      </c>
    </row>
    <row r="15892" spans="9:10" x14ac:dyDescent="0.3">
      <c r="I15892" t="s">
        <v>21234</v>
      </c>
      <c r="J15892" t="s">
        <v>5582</v>
      </c>
    </row>
    <row r="15893" spans="9:10" x14ac:dyDescent="0.3">
      <c r="I15893" t="s">
        <v>21235</v>
      </c>
      <c r="J15893" t="s">
        <v>5582</v>
      </c>
    </row>
    <row r="15894" spans="9:10" x14ac:dyDescent="0.3">
      <c r="I15894" t="s">
        <v>21236</v>
      </c>
      <c r="J15894" t="s">
        <v>5582</v>
      </c>
    </row>
    <row r="15895" spans="9:10" x14ac:dyDescent="0.3">
      <c r="I15895" t="s">
        <v>21237</v>
      </c>
      <c r="J15895" t="s">
        <v>5582</v>
      </c>
    </row>
    <row r="15896" spans="9:10" x14ac:dyDescent="0.3">
      <c r="I15896" t="s">
        <v>21238</v>
      </c>
      <c r="J15896" t="s">
        <v>5582</v>
      </c>
    </row>
    <row r="15897" spans="9:10" x14ac:dyDescent="0.3">
      <c r="I15897" t="s">
        <v>21239</v>
      </c>
      <c r="J15897" t="s">
        <v>5582</v>
      </c>
    </row>
    <row r="15898" spans="9:10" x14ac:dyDescent="0.3">
      <c r="I15898" t="s">
        <v>21240</v>
      </c>
      <c r="J15898" t="s">
        <v>5582</v>
      </c>
    </row>
    <row r="15899" spans="9:10" x14ac:dyDescent="0.3">
      <c r="I15899" t="s">
        <v>21241</v>
      </c>
      <c r="J15899" t="s">
        <v>5582</v>
      </c>
    </row>
    <row r="15900" spans="9:10" x14ac:dyDescent="0.3">
      <c r="I15900" t="s">
        <v>21242</v>
      </c>
      <c r="J15900" t="s">
        <v>5582</v>
      </c>
    </row>
    <row r="15901" spans="9:10" x14ac:dyDescent="0.3">
      <c r="I15901" t="s">
        <v>21243</v>
      </c>
      <c r="J15901" t="s">
        <v>5582</v>
      </c>
    </row>
    <row r="15902" spans="9:10" x14ac:dyDescent="0.3">
      <c r="I15902" t="s">
        <v>21244</v>
      </c>
      <c r="J15902" t="s">
        <v>5582</v>
      </c>
    </row>
    <row r="15903" spans="9:10" x14ac:dyDescent="0.3">
      <c r="I15903" t="s">
        <v>21245</v>
      </c>
      <c r="J15903" t="s">
        <v>5582</v>
      </c>
    </row>
    <row r="15904" spans="9:10" x14ac:dyDescent="0.3">
      <c r="I15904" t="s">
        <v>21246</v>
      </c>
      <c r="J15904" t="s">
        <v>5582</v>
      </c>
    </row>
    <row r="15905" spans="9:10" x14ac:dyDescent="0.3">
      <c r="I15905" t="s">
        <v>21247</v>
      </c>
      <c r="J15905" t="s">
        <v>5582</v>
      </c>
    </row>
    <row r="15906" spans="9:10" x14ac:dyDescent="0.3">
      <c r="I15906" t="s">
        <v>21248</v>
      </c>
      <c r="J15906" t="s">
        <v>5582</v>
      </c>
    </row>
    <row r="15907" spans="9:10" x14ac:dyDescent="0.3">
      <c r="I15907" t="s">
        <v>21249</v>
      </c>
      <c r="J15907" t="s">
        <v>5582</v>
      </c>
    </row>
    <row r="15908" spans="9:10" x14ac:dyDescent="0.3">
      <c r="I15908" t="s">
        <v>21250</v>
      </c>
      <c r="J15908" t="s">
        <v>5582</v>
      </c>
    </row>
    <row r="15909" spans="9:10" x14ac:dyDescent="0.3">
      <c r="I15909" t="s">
        <v>21251</v>
      </c>
      <c r="J15909" t="s">
        <v>5582</v>
      </c>
    </row>
    <row r="15910" spans="9:10" x14ac:dyDescent="0.3">
      <c r="I15910" t="s">
        <v>21252</v>
      </c>
      <c r="J15910" t="s">
        <v>5582</v>
      </c>
    </row>
    <row r="15911" spans="9:10" x14ac:dyDescent="0.3">
      <c r="I15911" t="s">
        <v>21253</v>
      </c>
      <c r="J15911" t="s">
        <v>5582</v>
      </c>
    </row>
    <row r="15912" spans="9:10" x14ac:dyDescent="0.3">
      <c r="I15912" t="s">
        <v>21254</v>
      </c>
      <c r="J15912" t="s">
        <v>5582</v>
      </c>
    </row>
    <row r="15913" spans="9:10" x14ac:dyDescent="0.3">
      <c r="I15913" t="s">
        <v>21255</v>
      </c>
      <c r="J15913" t="s">
        <v>5582</v>
      </c>
    </row>
    <row r="15914" spans="9:10" x14ac:dyDescent="0.3">
      <c r="I15914" t="s">
        <v>21256</v>
      </c>
      <c r="J15914" t="s">
        <v>5582</v>
      </c>
    </row>
    <row r="15915" spans="9:10" x14ac:dyDescent="0.3">
      <c r="I15915" t="s">
        <v>21257</v>
      </c>
      <c r="J15915" t="s">
        <v>5582</v>
      </c>
    </row>
    <row r="15916" spans="9:10" x14ac:dyDescent="0.3">
      <c r="I15916" t="s">
        <v>21258</v>
      </c>
      <c r="J15916" t="s">
        <v>5582</v>
      </c>
    </row>
    <row r="15917" spans="9:10" x14ac:dyDescent="0.3">
      <c r="I15917" t="s">
        <v>21259</v>
      </c>
      <c r="J15917" t="s">
        <v>5582</v>
      </c>
    </row>
    <row r="15918" spans="9:10" x14ac:dyDescent="0.3">
      <c r="I15918" t="s">
        <v>21260</v>
      </c>
      <c r="J15918" t="s">
        <v>5582</v>
      </c>
    </row>
    <row r="15919" spans="9:10" x14ac:dyDescent="0.3">
      <c r="I15919" t="s">
        <v>21261</v>
      </c>
      <c r="J15919" t="s">
        <v>5582</v>
      </c>
    </row>
    <row r="15920" spans="9:10" x14ac:dyDescent="0.3">
      <c r="I15920" t="s">
        <v>21262</v>
      </c>
      <c r="J15920" t="s">
        <v>5582</v>
      </c>
    </row>
    <row r="15921" spans="9:10" x14ac:dyDescent="0.3">
      <c r="I15921" t="s">
        <v>21263</v>
      </c>
      <c r="J15921" t="s">
        <v>5582</v>
      </c>
    </row>
    <row r="15922" spans="9:10" x14ac:dyDescent="0.3">
      <c r="I15922" t="s">
        <v>21264</v>
      </c>
      <c r="J15922" t="s">
        <v>5582</v>
      </c>
    </row>
    <row r="15923" spans="9:10" x14ac:dyDescent="0.3">
      <c r="I15923" t="s">
        <v>21265</v>
      </c>
      <c r="J15923" t="s">
        <v>5582</v>
      </c>
    </row>
    <row r="15924" spans="9:10" x14ac:dyDescent="0.3">
      <c r="I15924" t="s">
        <v>21266</v>
      </c>
      <c r="J15924" t="s">
        <v>5582</v>
      </c>
    </row>
    <row r="15925" spans="9:10" x14ac:dyDescent="0.3">
      <c r="I15925" t="s">
        <v>21267</v>
      </c>
      <c r="J15925" t="s">
        <v>5582</v>
      </c>
    </row>
    <row r="15926" spans="9:10" x14ac:dyDescent="0.3">
      <c r="I15926" t="s">
        <v>21268</v>
      </c>
      <c r="J15926" t="s">
        <v>5582</v>
      </c>
    </row>
    <row r="15927" spans="9:10" x14ac:dyDescent="0.3">
      <c r="I15927" t="s">
        <v>21269</v>
      </c>
      <c r="J15927" t="s">
        <v>5582</v>
      </c>
    </row>
    <row r="15928" spans="9:10" x14ac:dyDescent="0.3">
      <c r="I15928" t="s">
        <v>21270</v>
      </c>
      <c r="J15928" t="s">
        <v>5582</v>
      </c>
    </row>
    <row r="15929" spans="9:10" x14ac:dyDescent="0.3">
      <c r="I15929" t="s">
        <v>21271</v>
      </c>
      <c r="J15929" t="s">
        <v>5582</v>
      </c>
    </row>
    <row r="15930" spans="9:10" x14ac:dyDescent="0.3">
      <c r="I15930" t="s">
        <v>21272</v>
      </c>
      <c r="J15930" t="s">
        <v>5582</v>
      </c>
    </row>
    <row r="15931" spans="9:10" x14ac:dyDescent="0.3">
      <c r="I15931" t="s">
        <v>21273</v>
      </c>
      <c r="J15931" t="s">
        <v>5582</v>
      </c>
    </row>
    <row r="15932" spans="9:10" x14ac:dyDescent="0.3">
      <c r="I15932" t="s">
        <v>21274</v>
      </c>
      <c r="J15932" t="s">
        <v>5583</v>
      </c>
    </row>
    <row r="15933" spans="9:10" x14ac:dyDescent="0.3">
      <c r="I15933" t="s">
        <v>21274</v>
      </c>
      <c r="J15933" t="s">
        <v>5583</v>
      </c>
    </row>
    <row r="15934" spans="9:10" x14ac:dyDescent="0.3">
      <c r="I15934" t="s">
        <v>21275</v>
      </c>
      <c r="J15934" t="s">
        <v>5584</v>
      </c>
    </row>
    <row r="15935" spans="9:10" x14ac:dyDescent="0.3">
      <c r="I15935" t="s">
        <v>21276</v>
      </c>
    </row>
    <row r="15936" spans="9:10" x14ac:dyDescent="0.3">
      <c r="I15936" t="s">
        <v>21277</v>
      </c>
      <c r="J15936" t="s">
        <v>5585</v>
      </c>
    </row>
    <row r="15937" spans="9:10" x14ac:dyDescent="0.3">
      <c r="I15937" t="s">
        <v>21277</v>
      </c>
      <c r="J15937" t="s">
        <v>5585</v>
      </c>
    </row>
    <row r="15938" spans="9:10" x14ac:dyDescent="0.3">
      <c r="I15938" t="s">
        <v>21278</v>
      </c>
      <c r="J15938" t="s">
        <v>5586</v>
      </c>
    </row>
    <row r="15939" spans="9:10" x14ac:dyDescent="0.3">
      <c r="I15939" t="s">
        <v>21278</v>
      </c>
      <c r="J15939" t="s">
        <v>5586</v>
      </c>
    </row>
    <row r="15940" spans="9:10" x14ac:dyDescent="0.3">
      <c r="I15940" t="s">
        <v>21279</v>
      </c>
    </row>
    <row r="15941" spans="9:10" x14ac:dyDescent="0.3">
      <c r="I15941" t="s">
        <v>21280</v>
      </c>
      <c r="J15941" t="s">
        <v>5587</v>
      </c>
    </row>
    <row r="15942" spans="9:10" x14ac:dyDescent="0.3">
      <c r="I15942" t="s">
        <v>21281</v>
      </c>
    </row>
    <row r="15943" spans="9:10" x14ac:dyDescent="0.3">
      <c r="I15943" t="s">
        <v>21282</v>
      </c>
      <c r="J15943" t="s">
        <v>5588</v>
      </c>
    </row>
    <row r="15944" spans="9:10" x14ac:dyDescent="0.3">
      <c r="I15944" t="s">
        <v>21283</v>
      </c>
      <c r="J15944" t="s">
        <v>5589</v>
      </c>
    </row>
    <row r="15945" spans="9:10" x14ac:dyDescent="0.3">
      <c r="I15945" t="s">
        <v>21284</v>
      </c>
      <c r="J15945" t="s">
        <v>5589</v>
      </c>
    </row>
    <row r="15946" spans="9:10" x14ac:dyDescent="0.3">
      <c r="I15946" t="s">
        <v>21285</v>
      </c>
      <c r="J15946" t="s">
        <v>5589</v>
      </c>
    </row>
    <row r="15947" spans="9:10" x14ac:dyDescent="0.3">
      <c r="I15947" t="s">
        <v>21286</v>
      </c>
      <c r="J15947" t="s">
        <v>5590</v>
      </c>
    </row>
    <row r="15948" spans="9:10" x14ac:dyDescent="0.3">
      <c r="I15948" t="s">
        <v>21287</v>
      </c>
    </row>
    <row r="15949" spans="9:10" x14ac:dyDescent="0.3">
      <c r="I15949" t="s">
        <v>21288</v>
      </c>
      <c r="J15949" t="s">
        <v>5591</v>
      </c>
    </row>
    <row r="15950" spans="9:10" x14ac:dyDescent="0.3">
      <c r="I15950" t="s">
        <v>21289</v>
      </c>
    </row>
    <row r="15951" spans="9:10" x14ac:dyDescent="0.3">
      <c r="I15951" t="s">
        <v>21290</v>
      </c>
      <c r="J15951" t="s">
        <v>5592</v>
      </c>
    </row>
    <row r="15952" spans="9:10" x14ac:dyDescent="0.3">
      <c r="I15952" t="s">
        <v>21291</v>
      </c>
      <c r="J15952" t="s">
        <v>5593</v>
      </c>
    </row>
    <row r="15953" spans="9:10" x14ac:dyDescent="0.3">
      <c r="I15953" t="s">
        <v>21292</v>
      </c>
    </row>
    <row r="15954" spans="9:10" x14ac:dyDescent="0.3">
      <c r="I15954" t="s">
        <v>21293</v>
      </c>
    </row>
    <row r="15955" spans="9:10" x14ac:dyDescent="0.3">
      <c r="I15955" t="s">
        <v>21294</v>
      </c>
      <c r="J15955" t="s">
        <v>5594</v>
      </c>
    </row>
    <row r="15956" spans="9:10" x14ac:dyDescent="0.3">
      <c r="I15956" t="s">
        <v>21295</v>
      </c>
      <c r="J15956" t="s">
        <v>5594</v>
      </c>
    </row>
    <row r="15957" spans="9:10" x14ac:dyDescent="0.3">
      <c r="I15957" t="s">
        <v>21296</v>
      </c>
      <c r="J15957" t="s">
        <v>5595</v>
      </c>
    </row>
    <row r="15958" spans="9:10" x14ac:dyDescent="0.3">
      <c r="I15958" t="s">
        <v>21297</v>
      </c>
    </row>
    <row r="15959" spans="9:10" x14ac:dyDescent="0.3">
      <c r="I15959" t="s">
        <v>21298</v>
      </c>
    </row>
    <row r="15960" spans="9:10" x14ac:dyDescent="0.3">
      <c r="I15960" t="s">
        <v>21299</v>
      </c>
    </row>
    <row r="15961" spans="9:10" x14ac:dyDescent="0.3">
      <c r="I15961" t="s">
        <v>21300</v>
      </c>
    </row>
    <row r="15962" spans="9:10" x14ac:dyDescent="0.3">
      <c r="I15962" t="s">
        <v>21301</v>
      </c>
    </row>
    <row r="15963" spans="9:10" x14ac:dyDescent="0.3">
      <c r="I15963" t="s">
        <v>21302</v>
      </c>
      <c r="J15963" t="s">
        <v>5596</v>
      </c>
    </row>
    <row r="15964" spans="9:10" x14ac:dyDescent="0.3">
      <c r="I15964" t="s">
        <v>21303</v>
      </c>
      <c r="J15964" t="s">
        <v>5597</v>
      </c>
    </row>
    <row r="15965" spans="9:10" x14ac:dyDescent="0.3">
      <c r="I15965" t="s">
        <v>21303</v>
      </c>
      <c r="J15965" t="s">
        <v>5597</v>
      </c>
    </row>
    <row r="15966" spans="9:10" x14ac:dyDescent="0.3">
      <c r="I15966" t="s">
        <v>21304</v>
      </c>
    </row>
    <row r="15967" spans="9:10" x14ac:dyDescent="0.3">
      <c r="I15967" t="s">
        <v>21305</v>
      </c>
    </row>
    <row r="15968" spans="9:10" x14ac:dyDescent="0.3">
      <c r="I15968" t="s">
        <v>21306</v>
      </c>
      <c r="J15968" t="s">
        <v>5598</v>
      </c>
    </row>
    <row r="15969" spans="9:10" x14ac:dyDescent="0.3">
      <c r="I15969" t="s">
        <v>21307</v>
      </c>
      <c r="J15969" t="s">
        <v>353</v>
      </c>
    </row>
    <row r="15970" spans="9:10" x14ac:dyDescent="0.3">
      <c r="I15970" t="s">
        <v>21308</v>
      </c>
    </row>
    <row r="15971" spans="9:10" x14ac:dyDescent="0.3">
      <c r="I15971" t="s">
        <v>21309</v>
      </c>
    </row>
    <row r="15972" spans="9:10" x14ac:dyDescent="0.3">
      <c r="I15972" t="s">
        <v>21310</v>
      </c>
    </row>
    <row r="15973" spans="9:10" x14ac:dyDescent="0.3">
      <c r="I15973" t="s">
        <v>21311</v>
      </c>
    </row>
    <row r="15974" spans="9:10" x14ac:dyDescent="0.3">
      <c r="I15974" t="s">
        <v>21312</v>
      </c>
      <c r="J15974" t="s">
        <v>5599</v>
      </c>
    </row>
    <row r="15975" spans="9:10" x14ac:dyDescent="0.3">
      <c r="I15975" t="s">
        <v>21313</v>
      </c>
    </row>
    <row r="15976" spans="9:10" x14ac:dyDescent="0.3">
      <c r="I15976" t="s">
        <v>21314</v>
      </c>
      <c r="J15976" t="s">
        <v>5600</v>
      </c>
    </row>
    <row r="15977" spans="9:10" x14ac:dyDescent="0.3">
      <c r="I15977" t="s">
        <v>21315</v>
      </c>
      <c r="J15977" t="s">
        <v>5601</v>
      </c>
    </row>
    <row r="15978" spans="9:10" x14ac:dyDescent="0.3">
      <c r="I15978" t="s">
        <v>21316</v>
      </c>
    </row>
    <row r="15979" spans="9:10" x14ac:dyDescent="0.3">
      <c r="I15979" t="s">
        <v>21317</v>
      </c>
      <c r="J15979" s="155" t="s">
        <v>5602</v>
      </c>
    </row>
    <row r="15980" spans="9:10" x14ac:dyDescent="0.3">
      <c r="I15980" t="s">
        <v>21318</v>
      </c>
      <c r="J15980" t="s">
        <v>5603</v>
      </c>
    </row>
    <row r="15981" spans="9:10" x14ac:dyDescent="0.3">
      <c r="I15981" t="s">
        <v>21318</v>
      </c>
      <c r="J15981" t="s">
        <v>5603</v>
      </c>
    </row>
    <row r="15982" spans="9:10" x14ac:dyDescent="0.3">
      <c r="I15982" t="s">
        <v>21318</v>
      </c>
      <c r="J15982" t="s">
        <v>5603</v>
      </c>
    </row>
    <row r="15983" spans="9:10" x14ac:dyDescent="0.3">
      <c r="I15983" t="s">
        <v>21318</v>
      </c>
      <c r="J15983" t="s">
        <v>5603</v>
      </c>
    </row>
    <row r="15984" spans="9:10" x14ac:dyDescent="0.3">
      <c r="I15984" t="s">
        <v>21319</v>
      </c>
      <c r="J15984" t="s">
        <v>5604</v>
      </c>
    </row>
    <row r="15985" spans="9:10" x14ac:dyDescent="0.3">
      <c r="I15985" t="s">
        <v>21319</v>
      </c>
      <c r="J15985" t="s">
        <v>5604</v>
      </c>
    </row>
    <row r="15986" spans="9:10" x14ac:dyDescent="0.3">
      <c r="I15986" t="s">
        <v>21319</v>
      </c>
      <c r="J15986" t="s">
        <v>5604</v>
      </c>
    </row>
    <row r="15987" spans="9:10" x14ac:dyDescent="0.3">
      <c r="I15987" t="s">
        <v>21320</v>
      </c>
      <c r="J15987" t="s">
        <v>5605</v>
      </c>
    </row>
    <row r="15988" spans="9:10" x14ac:dyDescent="0.3">
      <c r="I15988" t="s">
        <v>21321</v>
      </c>
      <c r="J15988" t="s">
        <v>5606</v>
      </c>
    </row>
    <row r="15989" spans="9:10" x14ac:dyDescent="0.3">
      <c r="I15989" t="s">
        <v>21322</v>
      </c>
    </row>
    <row r="15990" spans="9:10" x14ac:dyDescent="0.3">
      <c r="I15990" t="s">
        <v>21323</v>
      </c>
      <c r="J15990" t="s">
        <v>5607</v>
      </c>
    </row>
    <row r="15991" spans="9:10" x14ac:dyDescent="0.3">
      <c r="I15991" t="s">
        <v>21324</v>
      </c>
      <c r="J15991" t="s">
        <v>5608</v>
      </c>
    </row>
    <row r="15992" spans="9:10" x14ac:dyDescent="0.3">
      <c r="I15992" t="s">
        <v>21324</v>
      </c>
      <c r="J15992" t="s">
        <v>5608</v>
      </c>
    </row>
    <row r="15993" spans="9:10" x14ac:dyDescent="0.3">
      <c r="I15993" t="s">
        <v>21324</v>
      </c>
      <c r="J15993" t="s">
        <v>5608</v>
      </c>
    </row>
    <row r="15994" spans="9:10" x14ac:dyDescent="0.3">
      <c r="I15994" t="s">
        <v>21325</v>
      </c>
      <c r="J15994" t="s">
        <v>5608</v>
      </c>
    </row>
    <row r="15995" spans="9:10" x14ac:dyDescent="0.3">
      <c r="I15995" t="s">
        <v>21324</v>
      </c>
      <c r="J15995" t="s">
        <v>5608</v>
      </c>
    </row>
    <row r="15996" spans="9:10" x14ac:dyDescent="0.3">
      <c r="I15996" t="s">
        <v>21324</v>
      </c>
      <c r="J15996" t="s">
        <v>5608</v>
      </c>
    </row>
    <row r="15997" spans="9:10" x14ac:dyDescent="0.3">
      <c r="I15997" t="s">
        <v>21324</v>
      </c>
      <c r="J15997" t="s">
        <v>5608</v>
      </c>
    </row>
    <row r="15998" spans="9:10" x14ac:dyDescent="0.3">
      <c r="I15998" t="s">
        <v>21324</v>
      </c>
      <c r="J15998" t="s">
        <v>5608</v>
      </c>
    </row>
    <row r="15999" spans="9:10" x14ac:dyDescent="0.3">
      <c r="I15999" t="s">
        <v>21324</v>
      </c>
      <c r="J15999" t="s">
        <v>5608</v>
      </c>
    </row>
    <row r="16000" spans="9:10" x14ac:dyDescent="0.3">
      <c r="I16000" t="s">
        <v>21326</v>
      </c>
    </row>
    <row r="16001" spans="9:10" x14ac:dyDescent="0.3">
      <c r="I16001" t="s">
        <v>21327</v>
      </c>
    </row>
    <row r="16002" spans="9:10" x14ac:dyDescent="0.3">
      <c r="I16002" t="s">
        <v>21328</v>
      </c>
    </row>
    <row r="16003" spans="9:10" x14ac:dyDescent="0.3">
      <c r="I16003" t="s">
        <v>21329</v>
      </c>
      <c r="J16003" t="s">
        <v>5609</v>
      </c>
    </row>
    <row r="16004" spans="9:10" x14ac:dyDescent="0.3">
      <c r="I16004" t="s">
        <v>21330</v>
      </c>
      <c r="J16004" t="s">
        <v>5610</v>
      </c>
    </row>
    <row r="16005" spans="9:10" x14ac:dyDescent="0.3">
      <c r="I16005" t="s">
        <v>21330</v>
      </c>
      <c r="J16005" t="s">
        <v>5610</v>
      </c>
    </row>
    <row r="16006" spans="9:10" x14ac:dyDescent="0.3">
      <c r="I16006" t="s">
        <v>21330</v>
      </c>
      <c r="J16006" t="s">
        <v>5610</v>
      </c>
    </row>
    <row r="16007" spans="9:10" x14ac:dyDescent="0.3">
      <c r="I16007" t="s">
        <v>21330</v>
      </c>
      <c r="J16007" t="s">
        <v>5610</v>
      </c>
    </row>
    <row r="16008" spans="9:10" x14ac:dyDescent="0.3">
      <c r="I16008" t="s">
        <v>21330</v>
      </c>
      <c r="J16008" t="s">
        <v>5610</v>
      </c>
    </row>
    <row r="16009" spans="9:10" x14ac:dyDescent="0.3">
      <c r="I16009" t="s">
        <v>21331</v>
      </c>
      <c r="J16009" t="s">
        <v>5611</v>
      </c>
    </row>
    <row r="16010" spans="9:10" x14ac:dyDescent="0.3">
      <c r="I16010" t="s">
        <v>21332</v>
      </c>
      <c r="J16010" t="s">
        <v>5611</v>
      </c>
    </row>
    <row r="16011" spans="9:10" x14ac:dyDescent="0.3">
      <c r="I16011" t="s">
        <v>21332</v>
      </c>
      <c r="J16011" t="s">
        <v>5611</v>
      </c>
    </row>
    <row r="16012" spans="9:10" x14ac:dyDescent="0.3">
      <c r="I16012" t="s">
        <v>21332</v>
      </c>
      <c r="J16012" t="s">
        <v>5611</v>
      </c>
    </row>
    <row r="16013" spans="9:10" x14ac:dyDescent="0.3">
      <c r="I16013" t="s">
        <v>21333</v>
      </c>
      <c r="J16013" t="s">
        <v>5612</v>
      </c>
    </row>
    <row r="16014" spans="9:10" x14ac:dyDescent="0.3">
      <c r="I16014" t="s">
        <v>21334</v>
      </c>
    </row>
    <row r="16015" spans="9:10" x14ac:dyDescent="0.3">
      <c r="I16015" t="s">
        <v>21335</v>
      </c>
      <c r="J16015" t="s">
        <v>5613</v>
      </c>
    </row>
    <row r="16016" spans="9:10" x14ac:dyDescent="0.3">
      <c r="I16016" t="s">
        <v>21336</v>
      </c>
      <c r="J16016" t="s">
        <v>5614</v>
      </c>
    </row>
    <row r="16017" spans="9:10" x14ac:dyDescent="0.3">
      <c r="I16017" t="s">
        <v>21337</v>
      </c>
      <c r="J16017" t="s">
        <v>5615</v>
      </c>
    </row>
    <row r="16018" spans="9:10" x14ac:dyDescent="0.3">
      <c r="I16018" t="s">
        <v>21338</v>
      </c>
      <c r="J16018" t="s">
        <v>5616</v>
      </c>
    </row>
    <row r="16019" spans="9:10" x14ac:dyDescent="0.3">
      <c r="I16019" t="s">
        <v>21338</v>
      </c>
      <c r="J16019" t="s">
        <v>5616</v>
      </c>
    </row>
    <row r="16020" spans="9:10" x14ac:dyDescent="0.3">
      <c r="I16020" t="s">
        <v>21339</v>
      </c>
    </row>
    <row r="16021" spans="9:10" x14ac:dyDescent="0.3">
      <c r="I16021" t="s">
        <v>21340</v>
      </c>
      <c r="J16021" t="s">
        <v>5617</v>
      </c>
    </row>
    <row r="16022" spans="9:10" x14ac:dyDescent="0.3">
      <c r="I16022" t="s">
        <v>21341</v>
      </c>
      <c r="J16022" t="s">
        <v>5618</v>
      </c>
    </row>
    <row r="16023" spans="9:10" x14ac:dyDescent="0.3">
      <c r="I16023" t="s">
        <v>21342</v>
      </c>
      <c r="J16023" t="s">
        <v>5618</v>
      </c>
    </row>
    <row r="16024" spans="9:10" x14ac:dyDescent="0.3">
      <c r="I16024" t="s">
        <v>21343</v>
      </c>
      <c r="J16024" t="s">
        <v>5619</v>
      </c>
    </row>
    <row r="16025" spans="9:10" x14ac:dyDescent="0.3">
      <c r="I16025" t="s">
        <v>21344</v>
      </c>
      <c r="J16025" t="s">
        <v>5620</v>
      </c>
    </row>
    <row r="16026" spans="9:10" x14ac:dyDescent="0.3">
      <c r="I16026" t="s">
        <v>21345</v>
      </c>
    </row>
    <row r="16027" spans="9:10" x14ac:dyDescent="0.3">
      <c r="I16027" t="s">
        <v>21346</v>
      </c>
      <c r="J16027" t="s">
        <v>5621</v>
      </c>
    </row>
    <row r="16028" spans="9:10" x14ac:dyDescent="0.3">
      <c r="I16028" t="s">
        <v>21347</v>
      </c>
      <c r="J16028" t="s">
        <v>5622</v>
      </c>
    </row>
    <row r="16029" spans="9:10" x14ac:dyDescent="0.3">
      <c r="I16029" t="s">
        <v>21347</v>
      </c>
      <c r="J16029" t="s">
        <v>5622</v>
      </c>
    </row>
    <row r="16030" spans="9:10" x14ac:dyDescent="0.3">
      <c r="I16030" t="s">
        <v>21347</v>
      </c>
      <c r="J16030" t="s">
        <v>5622</v>
      </c>
    </row>
    <row r="16031" spans="9:10" x14ac:dyDescent="0.3">
      <c r="I16031" t="s">
        <v>21348</v>
      </c>
      <c r="J16031" t="s">
        <v>5623</v>
      </c>
    </row>
    <row r="16032" spans="9:10" x14ac:dyDescent="0.3">
      <c r="I16032" t="s">
        <v>21348</v>
      </c>
      <c r="J16032" t="s">
        <v>5623</v>
      </c>
    </row>
    <row r="16033" spans="9:10" x14ac:dyDescent="0.3">
      <c r="I16033" t="s">
        <v>21349</v>
      </c>
      <c r="J16033" t="s">
        <v>5623</v>
      </c>
    </row>
    <row r="16034" spans="9:10" x14ac:dyDescent="0.3">
      <c r="I16034" t="s">
        <v>21350</v>
      </c>
      <c r="J16034">
        <v>0</v>
      </c>
    </row>
    <row r="16035" spans="9:10" x14ac:dyDescent="0.3">
      <c r="I16035" t="s">
        <v>21351</v>
      </c>
      <c r="J16035" t="s">
        <v>5624</v>
      </c>
    </row>
    <row r="16036" spans="9:10" x14ac:dyDescent="0.3">
      <c r="I16036" t="s">
        <v>21352</v>
      </c>
    </row>
    <row r="16037" spans="9:10" x14ac:dyDescent="0.3">
      <c r="I16037" t="s">
        <v>21353</v>
      </c>
    </row>
    <row r="16038" spans="9:10" x14ac:dyDescent="0.3">
      <c r="I16038" t="s">
        <v>21354</v>
      </c>
    </row>
    <row r="16039" spans="9:10" x14ac:dyDescent="0.3">
      <c r="I16039" t="s">
        <v>21355</v>
      </c>
      <c r="J16039" t="s">
        <v>5625</v>
      </c>
    </row>
    <row r="16040" spans="9:10" x14ac:dyDescent="0.3">
      <c r="I16040" t="s">
        <v>21356</v>
      </c>
      <c r="J16040" t="s">
        <v>5626</v>
      </c>
    </row>
    <row r="16041" spans="9:10" x14ac:dyDescent="0.3">
      <c r="I16041" t="s">
        <v>21357</v>
      </c>
    </row>
    <row r="16042" spans="9:10" x14ac:dyDescent="0.3">
      <c r="I16042" t="s">
        <v>21358</v>
      </c>
      <c r="J16042" t="s">
        <v>5627</v>
      </c>
    </row>
    <row r="16043" spans="9:10" x14ac:dyDescent="0.3">
      <c r="I16043" t="s">
        <v>21359</v>
      </c>
      <c r="J16043" t="s">
        <v>5628</v>
      </c>
    </row>
    <row r="16044" spans="9:10" x14ac:dyDescent="0.3">
      <c r="I16044" t="s">
        <v>21359</v>
      </c>
      <c r="J16044" t="s">
        <v>5628</v>
      </c>
    </row>
    <row r="16045" spans="9:10" x14ac:dyDescent="0.3">
      <c r="I16045" t="s">
        <v>21360</v>
      </c>
    </row>
    <row r="16046" spans="9:10" x14ac:dyDescent="0.3">
      <c r="I16046" t="s">
        <v>21360</v>
      </c>
    </row>
    <row r="16047" spans="9:10" x14ac:dyDescent="0.3">
      <c r="I16047" t="s">
        <v>21361</v>
      </c>
    </row>
    <row r="16048" spans="9:10" x14ac:dyDescent="0.3">
      <c r="I16048" t="s">
        <v>21361</v>
      </c>
    </row>
    <row r="16049" spans="9:10" x14ac:dyDescent="0.3">
      <c r="I16049" t="s">
        <v>21362</v>
      </c>
    </row>
    <row r="16050" spans="9:10" x14ac:dyDescent="0.3">
      <c r="I16050" t="s">
        <v>21363</v>
      </c>
      <c r="J16050" t="s">
        <v>5629</v>
      </c>
    </row>
    <row r="16051" spans="9:10" x14ac:dyDescent="0.3">
      <c r="I16051" t="s">
        <v>21364</v>
      </c>
      <c r="J16051" t="s">
        <v>5630</v>
      </c>
    </row>
    <row r="16052" spans="9:10" x14ac:dyDescent="0.3">
      <c r="I16052" t="s">
        <v>21365</v>
      </c>
      <c r="J16052" t="s">
        <v>5631</v>
      </c>
    </row>
    <row r="16053" spans="9:10" x14ac:dyDescent="0.3">
      <c r="I16053" t="s">
        <v>21366</v>
      </c>
    </row>
    <row r="16054" spans="9:10" x14ac:dyDescent="0.3">
      <c r="I16054" t="s">
        <v>21367</v>
      </c>
      <c r="J16054" t="s">
        <v>5632</v>
      </c>
    </row>
    <row r="16055" spans="9:10" x14ac:dyDescent="0.3">
      <c r="I16055" t="s">
        <v>21368</v>
      </c>
      <c r="J16055" t="s">
        <v>5632</v>
      </c>
    </row>
    <row r="16056" spans="9:10" x14ac:dyDescent="0.3">
      <c r="I16056" t="s">
        <v>21369</v>
      </c>
      <c r="J16056" t="s">
        <v>5633</v>
      </c>
    </row>
    <row r="16057" spans="9:10" x14ac:dyDescent="0.3">
      <c r="I16057" t="s">
        <v>21369</v>
      </c>
      <c r="J16057" t="s">
        <v>5633</v>
      </c>
    </row>
    <row r="16058" spans="9:10" x14ac:dyDescent="0.3">
      <c r="I16058" t="s">
        <v>21370</v>
      </c>
    </row>
    <row r="16059" spans="9:10" x14ac:dyDescent="0.3">
      <c r="I16059" t="s">
        <v>21371</v>
      </c>
    </row>
    <row r="16060" spans="9:10" x14ac:dyDescent="0.3">
      <c r="I16060" t="s">
        <v>21372</v>
      </c>
    </row>
    <row r="16061" spans="9:10" x14ac:dyDescent="0.3">
      <c r="I16061" t="s">
        <v>21373</v>
      </c>
    </row>
    <row r="16062" spans="9:10" x14ac:dyDescent="0.3">
      <c r="I16062" t="s">
        <v>21374</v>
      </c>
      <c r="J16062" t="s">
        <v>5634</v>
      </c>
    </row>
    <row r="16063" spans="9:10" x14ac:dyDescent="0.3">
      <c r="I16063" t="s">
        <v>21375</v>
      </c>
      <c r="J16063" t="s">
        <v>5635</v>
      </c>
    </row>
    <row r="16064" spans="9:10" x14ac:dyDescent="0.3">
      <c r="I16064" t="s">
        <v>21376</v>
      </c>
      <c r="J16064" t="s">
        <v>5636</v>
      </c>
    </row>
    <row r="16065" spans="9:10" x14ac:dyDescent="0.3">
      <c r="I16065" t="s">
        <v>21377</v>
      </c>
      <c r="J16065" t="s">
        <v>5636</v>
      </c>
    </row>
    <row r="16066" spans="9:10" x14ac:dyDescent="0.3">
      <c r="I16066" t="s">
        <v>21377</v>
      </c>
      <c r="J16066" t="s">
        <v>5636</v>
      </c>
    </row>
    <row r="16067" spans="9:10" x14ac:dyDescent="0.3">
      <c r="I16067" t="s">
        <v>21377</v>
      </c>
      <c r="J16067" t="s">
        <v>5636</v>
      </c>
    </row>
    <row r="16068" spans="9:10" x14ac:dyDescent="0.3">
      <c r="I16068" t="s">
        <v>21377</v>
      </c>
      <c r="J16068" t="s">
        <v>5636</v>
      </c>
    </row>
    <row r="16069" spans="9:10" x14ac:dyDescent="0.3">
      <c r="I16069" t="s">
        <v>21378</v>
      </c>
      <c r="J16069" t="s">
        <v>5636</v>
      </c>
    </row>
    <row r="16070" spans="9:10" x14ac:dyDescent="0.3">
      <c r="I16070" t="s">
        <v>21377</v>
      </c>
      <c r="J16070" t="s">
        <v>5636</v>
      </c>
    </row>
    <row r="16071" spans="9:10" x14ac:dyDescent="0.3">
      <c r="I16071" t="s">
        <v>21379</v>
      </c>
      <c r="J16071" t="s">
        <v>5636</v>
      </c>
    </row>
    <row r="16072" spans="9:10" x14ac:dyDescent="0.3">
      <c r="I16072" t="s">
        <v>21380</v>
      </c>
      <c r="J16072" t="s">
        <v>5637</v>
      </c>
    </row>
    <row r="16073" spans="9:10" x14ac:dyDescent="0.3">
      <c r="I16073" t="s">
        <v>21381</v>
      </c>
    </row>
    <row r="16074" spans="9:10" x14ac:dyDescent="0.3">
      <c r="I16074" t="s">
        <v>21382</v>
      </c>
    </row>
    <row r="16075" spans="9:10" x14ac:dyDescent="0.3">
      <c r="I16075" t="s">
        <v>21383</v>
      </c>
      <c r="J16075" t="s">
        <v>5638</v>
      </c>
    </row>
    <row r="16076" spans="9:10" x14ac:dyDescent="0.3">
      <c r="I16076" t="s">
        <v>21384</v>
      </c>
      <c r="J16076" t="s">
        <v>5638</v>
      </c>
    </row>
    <row r="16077" spans="9:10" x14ac:dyDescent="0.3">
      <c r="I16077" t="s">
        <v>21385</v>
      </c>
      <c r="J16077" t="s">
        <v>5639</v>
      </c>
    </row>
    <row r="16078" spans="9:10" x14ac:dyDescent="0.3">
      <c r="I16078" t="s">
        <v>21386</v>
      </c>
    </row>
    <row r="16079" spans="9:10" x14ac:dyDescent="0.3">
      <c r="I16079" t="s">
        <v>21387</v>
      </c>
      <c r="J16079" t="s">
        <v>5640</v>
      </c>
    </row>
    <row r="16080" spans="9:10" x14ac:dyDescent="0.3">
      <c r="I16080" t="s">
        <v>21388</v>
      </c>
      <c r="J16080" t="s">
        <v>5640</v>
      </c>
    </row>
    <row r="16081" spans="9:10" x14ac:dyDescent="0.3">
      <c r="I16081" t="s">
        <v>21389</v>
      </c>
      <c r="J16081" t="s">
        <v>5640</v>
      </c>
    </row>
    <row r="16082" spans="9:10" x14ac:dyDescent="0.3">
      <c r="I16082" t="s">
        <v>21390</v>
      </c>
      <c r="J16082" t="s">
        <v>5641</v>
      </c>
    </row>
    <row r="16083" spans="9:10" x14ac:dyDescent="0.3">
      <c r="I16083" t="s">
        <v>21391</v>
      </c>
      <c r="J16083" t="s">
        <v>5642</v>
      </c>
    </row>
    <row r="16084" spans="9:10" x14ac:dyDescent="0.3">
      <c r="I16084" t="s">
        <v>21392</v>
      </c>
      <c r="J16084" t="s">
        <v>5643</v>
      </c>
    </row>
    <row r="16085" spans="9:10" x14ac:dyDescent="0.3">
      <c r="I16085" t="s">
        <v>21393</v>
      </c>
      <c r="J16085" t="s">
        <v>1164</v>
      </c>
    </row>
    <row r="16086" spans="9:10" x14ac:dyDescent="0.3">
      <c r="I16086" t="s">
        <v>21394</v>
      </c>
      <c r="J16086" t="s">
        <v>1164</v>
      </c>
    </row>
    <row r="16087" spans="9:10" x14ac:dyDescent="0.3">
      <c r="I16087" t="s">
        <v>21395</v>
      </c>
    </row>
    <row r="16088" spans="9:10" x14ac:dyDescent="0.3">
      <c r="I16088" t="s">
        <v>21396</v>
      </c>
      <c r="J16088" t="s">
        <v>5644</v>
      </c>
    </row>
    <row r="16089" spans="9:10" x14ac:dyDescent="0.3">
      <c r="I16089" t="s">
        <v>21397</v>
      </c>
      <c r="J16089" t="s">
        <v>5645</v>
      </c>
    </row>
    <row r="16090" spans="9:10" x14ac:dyDescent="0.3">
      <c r="I16090" t="s">
        <v>21398</v>
      </c>
      <c r="J16090" t="s">
        <v>5646</v>
      </c>
    </row>
    <row r="16091" spans="9:10" x14ac:dyDescent="0.3">
      <c r="I16091" t="s">
        <v>21399</v>
      </c>
    </row>
    <row r="16092" spans="9:10" x14ac:dyDescent="0.3">
      <c r="I16092" t="s">
        <v>21400</v>
      </c>
    </row>
    <row r="16093" spans="9:10" x14ac:dyDescent="0.3">
      <c r="I16093" t="s">
        <v>21400</v>
      </c>
    </row>
    <row r="16094" spans="9:10" x14ac:dyDescent="0.3">
      <c r="I16094" t="s">
        <v>21401</v>
      </c>
      <c r="J16094" t="s">
        <v>5647</v>
      </c>
    </row>
    <row r="16095" spans="9:10" x14ac:dyDescent="0.3">
      <c r="I16095" t="s">
        <v>21402</v>
      </c>
      <c r="J16095" t="s">
        <v>362</v>
      </c>
    </row>
    <row r="16096" spans="9:10" x14ac:dyDescent="0.3">
      <c r="I16096" t="s">
        <v>21402</v>
      </c>
      <c r="J16096" t="s">
        <v>362</v>
      </c>
    </row>
    <row r="16097" spans="9:10" x14ac:dyDescent="0.3">
      <c r="I16097" t="s">
        <v>21402</v>
      </c>
      <c r="J16097" t="s">
        <v>362</v>
      </c>
    </row>
    <row r="16098" spans="9:10" x14ac:dyDescent="0.3">
      <c r="I16098" t="s">
        <v>21402</v>
      </c>
      <c r="J16098" t="s">
        <v>362</v>
      </c>
    </row>
    <row r="16099" spans="9:10" x14ac:dyDescent="0.3">
      <c r="I16099" t="s">
        <v>21402</v>
      </c>
      <c r="J16099" t="s">
        <v>362</v>
      </c>
    </row>
    <row r="16100" spans="9:10" x14ac:dyDescent="0.3">
      <c r="I16100" t="s">
        <v>21403</v>
      </c>
      <c r="J16100" t="s">
        <v>5648</v>
      </c>
    </row>
    <row r="16101" spans="9:10" x14ac:dyDescent="0.3">
      <c r="I16101" t="s">
        <v>21404</v>
      </c>
      <c r="J16101" t="s">
        <v>5648</v>
      </c>
    </row>
    <row r="16102" spans="9:10" x14ac:dyDescent="0.3">
      <c r="I16102" t="s">
        <v>21405</v>
      </c>
    </row>
    <row r="16103" spans="9:10" x14ac:dyDescent="0.3">
      <c r="I16103" t="s">
        <v>21406</v>
      </c>
    </row>
    <row r="16104" spans="9:10" x14ac:dyDescent="0.3">
      <c r="I16104" t="s">
        <v>21407</v>
      </c>
    </row>
    <row r="16105" spans="9:10" x14ac:dyDescent="0.3">
      <c r="I16105" t="s">
        <v>21408</v>
      </c>
    </row>
    <row r="16106" spans="9:10" x14ac:dyDescent="0.3">
      <c r="I16106" t="s">
        <v>21409</v>
      </c>
    </row>
    <row r="16107" spans="9:10" x14ac:dyDescent="0.3">
      <c r="I16107" t="s">
        <v>21410</v>
      </c>
      <c r="J16107" t="s">
        <v>5649</v>
      </c>
    </row>
    <row r="16108" spans="9:10" x14ac:dyDescent="0.3">
      <c r="I16108" t="s">
        <v>21411</v>
      </c>
      <c r="J16108" t="s">
        <v>5650</v>
      </c>
    </row>
    <row r="16109" spans="9:10" x14ac:dyDescent="0.3">
      <c r="I16109" t="s">
        <v>21412</v>
      </c>
      <c r="J16109" t="s">
        <v>5650</v>
      </c>
    </row>
    <row r="16110" spans="9:10" x14ac:dyDescent="0.3">
      <c r="I16110" t="s">
        <v>21413</v>
      </c>
      <c r="J16110" t="s">
        <v>5651</v>
      </c>
    </row>
    <row r="16111" spans="9:10" x14ac:dyDescent="0.3">
      <c r="I16111" t="s">
        <v>21414</v>
      </c>
    </row>
    <row r="16112" spans="9:10" x14ac:dyDescent="0.3">
      <c r="I16112" t="s">
        <v>21414</v>
      </c>
    </row>
    <row r="16113" spans="9:10" x14ac:dyDescent="0.3">
      <c r="I16113" t="s">
        <v>21415</v>
      </c>
      <c r="J16113" t="s">
        <v>5652</v>
      </c>
    </row>
    <row r="16114" spans="9:10" x14ac:dyDescent="0.3">
      <c r="I16114" t="s">
        <v>21416</v>
      </c>
    </row>
    <row r="16115" spans="9:10" x14ac:dyDescent="0.3">
      <c r="I16115" t="s">
        <v>21417</v>
      </c>
      <c r="J16115" t="s">
        <v>5653</v>
      </c>
    </row>
    <row r="16116" spans="9:10" x14ac:dyDescent="0.3">
      <c r="I16116" t="s">
        <v>21418</v>
      </c>
      <c r="J16116" t="s">
        <v>5654</v>
      </c>
    </row>
    <row r="16117" spans="9:10" x14ac:dyDescent="0.3">
      <c r="I16117" t="s">
        <v>21419</v>
      </c>
      <c r="J16117" t="s">
        <v>5655</v>
      </c>
    </row>
    <row r="16118" spans="9:10" x14ac:dyDescent="0.3">
      <c r="I16118" t="s">
        <v>21420</v>
      </c>
      <c r="J16118" t="s">
        <v>5656</v>
      </c>
    </row>
    <row r="16119" spans="9:10" x14ac:dyDescent="0.3">
      <c r="I16119" t="s">
        <v>21421</v>
      </c>
      <c r="J16119" t="s">
        <v>5657</v>
      </c>
    </row>
    <row r="16120" spans="9:10" x14ac:dyDescent="0.3">
      <c r="I16120" t="s">
        <v>21422</v>
      </c>
    </row>
    <row r="16121" spans="9:10" x14ac:dyDescent="0.3">
      <c r="I16121" t="s">
        <v>21422</v>
      </c>
    </row>
    <row r="16122" spans="9:10" x14ac:dyDescent="0.3">
      <c r="I16122" t="s">
        <v>21422</v>
      </c>
    </row>
    <row r="16123" spans="9:10" x14ac:dyDescent="0.3">
      <c r="I16123" t="s">
        <v>21423</v>
      </c>
      <c r="J16123" t="s">
        <v>5658</v>
      </c>
    </row>
    <row r="16124" spans="9:10" x14ac:dyDescent="0.3">
      <c r="I16124" t="s">
        <v>21424</v>
      </c>
    </row>
    <row r="16125" spans="9:10" x14ac:dyDescent="0.3">
      <c r="I16125" t="s">
        <v>21425</v>
      </c>
    </row>
    <row r="16126" spans="9:10" x14ac:dyDescent="0.3">
      <c r="I16126" t="s">
        <v>21426</v>
      </c>
      <c r="J16126" t="s">
        <v>5659</v>
      </c>
    </row>
    <row r="16127" spans="9:10" x14ac:dyDescent="0.3">
      <c r="I16127" t="s">
        <v>21427</v>
      </c>
      <c r="J16127" t="s">
        <v>5660</v>
      </c>
    </row>
    <row r="16128" spans="9:10" x14ac:dyDescent="0.3">
      <c r="I16128" t="s">
        <v>21428</v>
      </c>
      <c r="J16128" t="s">
        <v>5661</v>
      </c>
    </row>
    <row r="16129" spans="9:10" x14ac:dyDescent="0.3">
      <c r="I16129" t="s">
        <v>21429</v>
      </c>
      <c r="J16129" t="s">
        <v>5662</v>
      </c>
    </row>
    <row r="16130" spans="9:10" x14ac:dyDescent="0.3">
      <c r="I16130" t="s">
        <v>21430</v>
      </c>
      <c r="J16130" t="s">
        <v>5663</v>
      </c>
    </row>
    <row r="16131" spans="9:10" x14ac:dyDescent="0.3">
      <c r="I16131" t="s">
        <v>21431</v>
      </c>
    </row>
    <row r="16132" spans="9:10" x14ac:dyDescent="0.3">
      <c r="I16132" t="s">
        <v>21432</v>
      </c>
      <c r="J16132" t="s">
        <v>5664</v>
      </c>
    </row>
    <row r="16133" spans="9:10" x14ac:dyDescent="0.3">
      <c r="I16133" t="s">
        <v>21433</v>
      </c>
    </row>
    <row r="16134" spans="9:10" x14ac:dyDescent="0.3">
      <c r="I16134" t="s">
        <v>21434</v>
      </c>
    </row>
    <row r="16135" spans="9:10" x14ac:dyDescent="0.3">
      <c r="I16135" t="s">
        <v>21435</v>
      </c>
      <c r="J16135" t="s">
        <v>5665</v>
      </c>
    </row>
    <row r="16136" spans="9:10" x14ac:dyDescent="0.3">
      <c r="I16136" t="s">
        <v>21436</v>
      </c>
      <c r="J16136" t="s">
        <v>5666</v>
      </c>
    </row>
    <row r="16137" spans="9:10" x14ac:dyDescent="0.3">
      <c r="I16137" t="s">
        <v>21437</v>
      </c>
    </row>
    <row r="16138" spans="9:10" x14ac:dyDescent="0.3">
      <c r="I16138" t="s">
        <v>21438</v>
      </c>
      <c r="J16138" t="s">
        <v>5667</v>
      </c>
    </row>
    <row r="16139" spans="9:10" x14ac:dyDescent="0.3">
      <c r="I16139" t="s">
        <v>21439</v>
      </c>
      <c r="J16139" t="s">
        <v>5668</v>
      </c>
    </row>
    <row r="16140" spans="9:10" x14ac:dyDescent="0.3">
      <c r="I16140" t="s">
        <v>21440</v>
      </c>
      <c r="J16140" t="s">
        <v>5669</v>
      </c>
    </row>
    <row r="16141" spans="9:10" x14ac:dyDescent="0.3">
      <c r="I16141" t="s">
        <v>21441</v>
      </c>
      <c r="J16141" t="s">
        <v>5670</v>
      </c>
    </row>
    <row r="16142" spans="9:10" x14ac:dyDescent="0.3">
      <c r="I16142" t="s">
        <v>21442</v>
      </c>
    </row>
    <row r="16143" spans="9:10" x14ac:dyDescent="0.3">
      <c r="I16143" t="s">
        <v>21443</v>
      </c>
    </row>
    <row r="16144" spans="9:10" x14ac:dyDescent="0.3">
      <c r="I16144" t="s">
        <v>21444</v>
      </c>
      <c r="J16144" t="s">
        <v>5671</v>
      </c>
    </row>
    <row r="16145" spans="9:10" x14ac:dyDescent="0.3">
      <c r="I16145" t="s">
        <v>21445</v>
      </c>
      <c r="J16145" t="s">
        <v>5672</v>
      </c>
    </row>
    <row r="16146" spans="9:10" x14ac:dyDescent="0.3">
      <c r="I16146" t="s">
        <v>21445</v>
      </c>
      <c r="J16146" t="s">
        <v>5672</v>
      </c>
    </row>
    <row r="16147" spans="9:10" x14ac:dyDescent="0.3">
      <c r="I16147" t="s">
        <v>21446</v>
      </c>
      <c r="J16147" t="s">
        <v>5672</v>
      </c>
    </row>
    <row r="16148" spans="9:10" x14ac:dyDescent="0.3">
      <c r="I16148" t="s">
        <v>21447</v>
      </c>
      <c r="J16148" t="s">
        <v>5672</v>
      </c>
    </row>
    <row r="16149" spans="9:10" x14ac:dyDescent="0.3">
      <c r="I16149" t="s">
        <v>21447</v>
      </c>
      <c r="J16149" t="s">
        <v>5672</v>
      </c>
    </row>
    <row r="16150" spans="9:10" x14ac:dyDescent="0.3">
      <c r="I16150" t="s">
        <v>21448</v>
      </c>
      <c r="J16150" t="s">
        <v>5672</v>
      </c>
    </row>
    <row r="16151" spans="9:10" x14ac:dyDescent="0.3">
      <c r="I16151" t="s">
        <v>21449</v>
      </c>
      <c r="J16151" t="s">
        <v>5672</v>
      </c>
    </row>
    <row r="16152" spans="9:10" x14ac:dyDescent="0.3">
      <c r="I16152" t="s">
        <v>21450</v>
      </c>
      <c r="J16152" t="s">
        <v>5672</v>
      </c>
    </row>
    <row r="16153" spans="9:10" x14ac:dyDescent="0.3">
      <c r="I16153" t="s">
        <v>21451</v>
      </c>
    </row>
    <row r="16154" spans="9:10" x14ac:dyDescent="0.3">
      <c r="I16154" t="s">
        <v>21452</v>
      </c>
      <c r="J16154" t="s">
        <v>5673</v>
      </c>
    </row>
    <row r="16155" spans="9:10" x14ac:dyDescent="0.3">
      <c r="I16155" t="s">
        <v>21453</v>
      </c>
      <c r="J16155" t="s">
        <v>5674</v>
      </c>
    </row>
    <row r="16156" spans="9:10" x14ac:dyDescent="0.3">
      <c r="I16156" t="s">
        <v>21454</v>
      </c>
      <c r="J16156" t="s">
        <v>5675</v>
      </c>
    </row>
    <row r="16157" spans="9:10" x14ac:dyDescent="0.3">
      <c r="I16157" t="s">
        <v>21455</v>
      </c>
      <c r="J16157" t="s">
        <v>5676</v>
      </c>
    </row>
    <row r="16158" spans="9:10" x14ac:dyDescent="0.3">
      <c r="I16158" t="s">
        <v>21455</v>
      </c>
      <c r="J16158" t="s">
        <v>5676</v>
      </c>
    </row>
    <row r="16159" spans="9:10" x14ac:dyDescent="0.3">
      <c r="I16159" t="s">
        <v>21456</v>
      </c>
    </row>
    <row r="16160" spans="9:10" x14ac:dyDescent="0.3">
      <c r="I16160" t="s">
        <v>21457</v>
      </c>
      <c r="J16160" t="s">
        <v>5677</v>
      </c>
    </row>
    <row r="16161" spans="9:10" x14ac:dyDescent="0.3">
      <c r="I16161" t="s">
        <v>21458</v>
      </c>
      <c r="J16161">
        <v>0</v>
      </c>
    </row>
    <row r="16162" spans="9:10" x14ac:dyDescent="0.3">
      <c r="I16162" t="s">
        <v>21459</v>
      </c>
      <c r="J16162" t="s">
        <v>5678</v>
      </c>
    </row>
    <row r="16163" spans="9:10" x14ac:dyDescent="0.3">
      <c r="I16163" t="s">
        <v>21460</v>
      </c>
      <c r="J16163" t="s">
        <v>5679</v>
      </c>
    </row>
    <row r="16164" spans="9:10" x14ac:dyDescent="0.3">
      <c r="I16164" t="s">
        <v>21461</v>
      </c>
      <c r="J16164" t="s">
        <v>5680</v>
      </c>
    </row>
    <row r="16165" spans="9:10" x14ac:dyDescent="0.3">
      <c r="I16165" t="s">
        <v>21462</v>
      </c>
      <c r="J16165" t="s">
        <v>5681</v>
      </c>
    </row>
    <row r="16166" spans="9:10" x14ac:dyDescent="0.3">
      <c r="I16166" t="s">
        <v>21463</v>
      </c>
      <c r="J16166" t="s">
        <v>5682</v>
      </c>
    </row>
    <row r="16167" spans="9:10" x14ac:dyDescent="0.3">
      <c r="I16167" t="s">
        <v>21463</v>
      </c>
      <c r="J16167" t="s">
        <v>5682</v>
      </c>
    </row>
    <row r="16168" spans="9:10" x14ac:dyDescent="0.3">
      <c r="I16168" t="s">
        <v>21463</v>
      </c>
      <c r="J16168" t="s">
        <v>5682</v>
      </c>
    </row>
    <row r="16169" spans="9:10" x14ac:dyDescent="0.3">
      <c r="I16169" t="s">
        <v>21463</v>
      </c>
      <c r="J16169" t="s">
        <v>5682</v>
      </c>
    </row>
    <row r="16170" spans="9:10" x14ac:dyDescent="0.3">
      <c r="I16170" t="s">
        <v>21464</v>
      </c>
      <c r="J16170" t="s">
        <v>5683</v>
      </c>
    </row>
    <row r="16171" spans="9:10" x14ac:dyDescent="0.3">
      <c r="I16171" t="s">
        <v>21465</v>
      </c>
      <c r="J16171" t="s">
        <v>149</v>
      </c>
    </row>
    <row r="16172" spans="9:10" x14ac:dyDescent="0.3">
      <c r="I16172" t="s">
        <v>21466</v>
      </c>
      <c r="J16172" t="s">
        <v>149</v>
      </c>
    </row>
    <row r="16173" spans="9:10" x14ac:dyDescent="0.3">
      <c r="I16173" t="s">
        <v>148</v>
      </c>
      <c r="J16173" t="s">
        <v>149</v>
      </c>
    </row>
    <row r="16174" spans="9:10" x14ac:dyDescent="0.3">
      <c r="I16174" t="s">
        <v>21467</v>
      </c>
    </row>
    <row r="16175" spans="9:10" x14ac:dyDescent="0.3">
      <c r="I16175" t="s">
        <v>21468</v>
      </c>
    </row>
    <row r="16176" spans="9:10" x14ac:dyDescent="0.3">
      <c r="I16176" t="s">
        <v>21469</v>
      </c>
    </row>
    <row r="16177" spans="9:10" x14ac:dyDescent="0.3">
      <c r="I16177" t="s">
        <v>21470</v>
      </c>
    </row>
    <row r="16178" spans="9:10" x14ac:dyDescent="0.3">
      <c r="I16178" t="s">
        <v>21471</v>
      </c>
      <c r="J16178" t="s">
        <v>710</v>
      </c>
    </row>
    <row r="16179" spans="9:10" x14ac:dyDescent="0.3">
      <c r="I16179" t="s">
        <v>21472</v>
      </c>
    </row>
    <row r="16180" spans="9:10" x14ac:dyDescent="0.3">
      <c r="I16180" t="s">
        <v>21473</v>
      </c>
      <c r="J16180" t="s">
        <v>5684</v>
      </c>
    </row>
    <row r="16181" spans="9:10" x14ac:dyDescent="0.3">
      <c r="I16181" t="s">
        <v>21474</v>
      </c>
      <c r="J16181" t="s">
        <v>5684</v>
      </c>
    </row>
    <row r="16182" spans="9:10" x14ac:dyDescent="0.3">
      <c r="I16182" t="s">
        <v>21475</v>
      </c>
      <c r="J16182" t="s">
        <v>5685</v>
      </c>
    </row>
    <row r="16183" spans="9:10" x14ac:dyDescent="0.3">
      <c r="I16183" t="s">
        <v>21476</v>
      </c>
      <c r="J16183" t="s">
        <v>5685</v>
      </c>
    </row>
    <row r="16184" spans="9:10" x14ac:dyDescent="0.3">
      <c r="I16184" t="s">
        <v>21477</v>
      </c>
      <c r="J16184" t="s">
        <v>5685</v>
      </c>
    </row>
    <row r="16185" spans="9:10" x14ac:dyDescent="0.3">
      <c r="I16185" t="s">
        <v>21478</v>
      </c>
      <c r="J16185" t="s">
        <v>5686</v>
      </c>
    </row>
    <row r="16186" spans="9:10" x14ac:dyDescent="0.3">
      <c r="I16186" t="s">
        <v>21479</v>
      </c>
      <c r="J16186" t="s">
        <v>5687</v>
      </c>
    </row>
    <row r="16187" spans="9:10" x14ac:dyDescent="0.3">
      <c r="I16187" t="s">
        <v>21480</v>
      </c>
      <c r="J16187" t="s">
        <v>5688</v>
      </c>
    </row>
    <row r="16188" spans="9:10" x14ac:dyDescent="0.3">
      <c r="I16188" t="s">
        <v>21481</v>
      </c>
      <c r="J16188" t="s">
        <v>5689</v>
      </c>
    </row>
    <row r="16189" spans="9:10" x14ac:dyDescent="0.3">
      <c r="I16189" t="s">
        <v>21482</v>
      </c>
      <c r="J16189" t="s">
        <v>5690</v>
      </c>
    </row>
    <row r="16190" spans="9:10" x14ac:dyDescent="0.3">
      <c r="I16190" t="s">
        <v>21483</v>
      </c>
      <c r="J16190" t="s">
        <v>5691</v>
      </c>
    </row>
    <row r="16191" spans="9:10" x14ac:dyDescent="0.3">
      <c r="I16191" t="s">
        <v>21484</v>
      </c>
      <c r="J16191" t="s">
        <v>5692</v>
      </c>
    </row>
    <row r="16192" spans="9:10" x14ac:dyDescent="0.3">
      <c r="I16192" t="s">
        <v>21485</v>
      </c>
      <c r="J16192" t="s">
        <v>5693</v>
      </c>
    </row>
    <row r="16193" spans="9:10" x14ac:dyDescent="0.3">
      <c r="I16193" t="s">
        <v>21486</v>
      </c>
      <c r="J16193" t="s">
        <v>5694</v>
      </c>
    </row>
    <row r="16194" spans="9:10" x14ac:dyDescent="0.3">
      <c r="I16194" t="s">
        <v>21487</v>
      </c>
      <c r="J16194" t="s">
        <v>5695</v>
      </c>
    </row>
    <row r="16195" spans="9:10" x14ac:dyDescent="0.3">
      <c r="I16195" t="s">
        <v>21488</v>
      </c>
      <c r="J16195" t="s">
        <v>5696</v>
      </c>
    </row>
    <row r="16196" spans="9:10" x14ac:dyDescent="0.3">
      <c r="I16196" t="s">
        <v>21489</v>
      </c>
      <c r="J16196" t="s">
        <v>5697</v>
      </c>
    </row>
    <row r="16197" spans="9:10" x14ac:dyDescent="0.3">
      <c r="I16197" t="s">
        <v>21490</v>
      </c>
      <c r="J16197" t="s">
        <v>5698</v>
      </c>
    </row>
    <row r="16198" spans="9:10" x14ac:dyDescent="0.3">
      <c r="I16198" t="s">
        <v>21491</v>
      </c>
      <c r="J16198" t="s">
        <v>5699</v>
      </c>
    </row>
    <row r="16199" spans="9:10" x14ac:dyDescent="0.3">
      <c r="I16199" t="s">
        <v>21492</v>
      </c>
      <c r="J16199" t="s">
        <v>5700</v>
      </c>
    </row>
    <row r="16200" spans="9:10" x14ac:dyDescent="0.3">
      <c r="I16200" t="s">
        <v>21493</v>
      </c>
      <c r="J16200" t="s">
        <v>5701</v>
      </c>
    </row>
    <row r="16201" spans="9:10" x14ac:dyDescent="0.3">
      <c r="I16201" t="s">
        <v>21494</v>
      </c>
      <c r="J16201" t="s">
        <v>5702</v>
      </c>
    </row>
    <row r="16202" spans="9:10" x14ac:dyDescent="0.3">
      <c r="I16202" t="s">
        <v>21495</v>
      </c>
    </row>
    <row r="16203" spans="9:10" x14ac:dyDescent="0.3">
      <c r="I16203" t="s">
        <v>21496</v>
      </c>
      <c r="J16203" t="s">
        <v>416</v>
      </c>
    </row>
    <row r="16204" spans="9:10" x14ac:dyDescent="0.3">
      <c r="I16204" t="s">
        <v>21496</v>
      </c>
      <c r="J16204" t="s">
        <v>416</v>
      </c>
    </row>
    <row r="16205" spans="9:10" x14ac:dyDescent="0.3">
      <c r="I16205" t="s">
        <v>21496</v>
      </c>
      <c r="J16205" t="s">
        <v>416</v>
      </c>
    </row>
    <row r="16206" spans="9:10" x14ac:dyDescent="0.3">
      <c r="I16206" t="s">
        <v>21497</v>
      </c>
    </row>
    <row r="16207" spans="9:10" x14ac:dyDescent="0.3">
      <c r="I16207" t="s">
        <v>21498</v>
      </c>
    </row>
    <row r="16208" spans="9:10" x14ac:dyDescent="0.3">
      <c r="I16208" t="s">
        <v>21499</v>
      </c>
    </row>
    <row r="16209" spans="9:10" x14ac:dyDescent="0.3">
      <c r="I16209" t="s">
        <v>21500</v>
      </c>
      <c r="J16209" t="s">
        <v>5703</v>
      </c>
    </row>
    <row r="16210" spans="9:10" x14ac:dyDescent="0.3">
      <c r="I16210" t="s">
        <v>21501</v>
      </c>
      <c r="J16210" t="s">
        <v>5703</v>
      </c>
    </row>
    <row r="16211" spans="9:10" x14ac:dyDescent="0.3">
      <c r="I16211" t="s">
        <v>21502</v>
      </c>
      <c r="J16211" t="s">
        <v>5704</v>
      </c>
    </row>
    <row r="16212" spans="9:10" x14ac:dyDescent="0.3">
      <c r="I16212" t="s">
        <v>21503</v>
      </c>
      <c r="J16212" t="s">
        <v>5705</v>
      </c>
    </row>
    <row r="16213" spans="9:10" x14ac:dyDescent="0.3">
      <c r="I16213" t="s">
        <v>21504</v>
      </c>
      <c r="J16213" t="s">
        <v>5705</v>
      </c>
    </row>
    <row r="16214" spans="9:10" x14ac:dyDescent="0.3">
      <c r="I16214" t="s">
        <v>21505</v>
      </c>
      <c r="J16214" t="s">
        <v>5706</v>
      </c>
    </row>
    <row r="16215" spans="9:10" x14ac:dyDescent="0.3">
      <c r="I16215" t="s">
        <v>21506</v>
      </c>
    </row>
    <row r="16216" spans="9:10" x14ac:dyDescent="0.3">
      <c r="I16216" t="s">
        <v>21507</v>
      </c>
    </row>
    <row r="16217" spans="9:10" x14ac:dyDescent="0.3">
      <c r="I16217" t="s">
        <v>21508</v>
      </c>
      <c r="J16217" t="s">
        <v>5707</v>
      </c>
    </row>
    <row r="16218" spans="9:10" x14ac:dyDescent="0.3">
      <c r="I16218" t="s">
        <v>21509</v>
      </c>
      <c r="J16218" t="s">
        <v>5708</v>
      </c>
    </row>
    <row r="16219" spans="9:10" x14ac:dyDescent="0.3">
      <c r="I16219" t="s">
        <v>21510</v>
      </c>
    </row>
    <row r="16220" spans="9:10" x14ac:dyDescent="0.3">
      <c r="I16220" t="s">
        <v>21511</v>
      </c>
    </row>
    <row r="16221" spans="9:10" x14ac:dyDescent="0.3">
      <c r="I16221" t="s">
        <v>18638</v>
      </c>
      <c r="J16221" t="s">
        <v>4838</v>
      </c>
    </row>
    <row r="16222" spans="9:10" x14ac:dyDescent="0.3">
      <c r="I16222" t="s">
        <v>21512</v>
      </c>
      <c r="J16222" t="s">
        <v>5709</v>
      </c>
    </row>
    <row r="16223" spans="9:10" x14ac:dyDescent="0.3">
      <c r="I16223" t="s">
        <v>21513</v>
      </c>
    </row>
    <row r="16224" spans="9:10" x14ac:dyDescent="0.3">
      <c r="I16224" t="s">
        <v>21514</v>
      </c>
      <c r="J16224" t="s">
        <v>5710</v>
      </c>
    </row>
    <row r="16225" spans="9:10" x14ac:dyDescent="0.3">
      <c r="I16225" t="s">
        <v>21515</v>
      </c>
    </row>
    <row r="16226" spans="9:10" x14ac:dyDescent="0.3">
      <c r="I16226" t="s">
        <v>21516</v>
      </c>
      <c r="J16226" t="s">
        <v>5711</v>
      </c>
    </row>
    <row r="16227" spans="9:10" x14ac:dyDescent="0.3">
      <c r="I16227" t="s">
        <v>21517</v>
      </c>
      <c r="J16227" t="s">
        <v>5711</v>
      </c>
    </row>
    <row r="16228" spans="9:10" x14ac:dyDescent="0.3">
      <c r="I16228" t="s">
        <v>21518</v>
      </c>
      <c r="J16228" t="s">
        <v>5711</v>
      </c>
    </row>
    <row r="16229" spans="9:10" x14ac:dyDescent="0.3">
      <c r="I16229" t="s">
        <v>21519</v>
      </c>
      <c r="J16229" t="s">
        <v>5711</v>
      </c>
    </row>
    <row r="16230" spans="9:10" x14ac:dyDescent="0.3">
      <c r="I16230" t="s">
        <v>21520</v>
      </c>
      <c r="J16230" t="s">
        <v>5711</v>
      </c>
    </row>
    <row r="16231" spans="9:10" x14ac:dyDescent="0.3">
      <c r="I16231" t="s">
        <v>21517</v>
      </c>
      <c r="J16231" t="s">
        <v>5711</v>
      </c>
    </row>
    <row r="16232" spans="9:10" x14ac:dyDescent="0.3">
      <c r="I16232" t="s">
        <v>21518</v>
      </c>
      <c r="J16232" t="s">
        <v>5711</v>
      </c>
    </row>
    <row r="16233" spans="9:10" x14ac:dyDescent="0.3">
      <c r="I16233" t="s">
        <v>21521</v>
      </c>
      <c r="J16233" t="s">
        <v>5711</v>
      </c>
    </row>
    <row r="16234" spans="9:10" x14ac:dyDescent="0.3">
      <c r="I16234" t="s">
        <v>21522</v>
      </c>
      <c r="J16234" t="s">
        <v>5711</v>
      </c>
    </row>
    <row r="16235" spans="9:10" x14ac:dyDescent="0.3">
      <c r="I16235" t="s">
        <v>21523</v>
      </c>
      <c r="J16235" t="s">
        <v>5711</v>
      </c>
    </row>
    <row r="16236" spans="9:10" x14ac:dyDescent="0.3">
      <c r="I16236" t="s">
        <v>21517</v>
      </c>
      <c r="J16236" t="s">
        <v>5711</v>
      </c>
    </row>
    <row r="16237" spans="9:10" x14ac:dyDescent="0.3">
      <c r="I16237" t="s">
        <v>21517</v>
      </c>
      <c r="J16237" t="s">
        <v>5711</v>
      </c>
    </row>
    <row r="16238" spans="9:10" x14ac:dyDescent="0.3">
      <c r="I16238" t="s">
        <v>21519</v>
      </c>
      <c r="J16238" t="s">
        <v>5711</v>
      </c>
    </row>
    <row r="16239" spans="9:10" x14ac:dyDescent="0.3">
      <c r="I16239" t="s">
        <v>21517</v>
      </c>
      <c r="J16239" t="s">
        <v>5711</v>
      </c>
    </row>
    <row r="16240" spans="9:10" x14ac:dyDescent="0.3">
      <c r="I16240" t="s">
        <v>21524</v>
      </c>
      <c r="J16240" t="s">
        <v>5711</v>
      </c>
    </row>
    <row r="16241" spans="9:10" x14ac:dyDescent="0.3">
      <c r="I16241" t="s">
        <v>21525</v>
      </c>
      <c r="J16241" t="s">
        <v>908</v>
      </c>
    </row>
    <row r="16242" spans="9:10" x14ac:dyDescent="0.3">
      <c r="I16242" t="s">
        <v>21526</v>
      </c>
      <c r="J16242" t="s">
        <v>908</v>
      </c>
    </row>
    <row r="16243" spans="9:10" x14ac:dyDescent="0.3">
      <c r="I16243" t="s">
        <v>21526</v>
      </c>
      <c r="J16243" t="s">
        <v>908</v>
      </c>
    </row>
    <row r="16244" spans="9:10" x14ac:dyDescent="0.3">
      <c r="I16244" t="s">
        <v>21526</v>
      </c>
      <c r="J16244" t="s">
        <v>908</v>
      </c>
    </row>
    <row r="16245" spans="9:10" x14ac:dyDescent="0.3">
      <c r="I16245" t="s">
        <v>21527</v>
      </c>
      <c r="J16245" t="s">
        <v>908</v>
      </c>
    </row>
    <row r="16246" spans="9:10" x14ac:dyDescent="0.3">
      <c r="I16246" t="s">
        <v>21528</v>
      </c>
      <c r="J16246" t="s">
        <v>908</v>
      </c>
    </row>
    <row r="16247" spans="9:10" x14ac:dyDescent="0.3">
      <c r="I16247" t="s">
        <v>21529</v>
      </c>
      <c r="J16247" t="s">
        <v>908</v>
      </c>
    </row>
    <row r="16248" spans="9:10" x14ac:dyDescent="0.3">
      <c r="I16248" t="s">
        <v>21530</v>
      </c>
      <c r="J16248" t="s">
        <v>908</v>
      </c>
    </row>
    <row r="16249" spans="9:10" x14ac:dyDescent="0.3">
      <c r="I16249" t="s">
        <v>21526</v>
      </c>
      <c r="J16249" t="s">
        <v>908</v>
      </c>
    </row>
    <row r="16250" spans="9:10" x14ac:dyDescent="0.3">
      <c r="I16250" t="s">
        <v>21526</v>
      </c>
      <c r="J16250" t="s">
        <v>908</v>
      </c>
    </row>
    <row r="16251" spans="9:10" x14ac:dyDescent="0.3">
      <c r="I16251" t="s">
        <v>21526</v>
      </c>
      <c r="J16251" t="s">
        <v>908</v>
      </c>
    </row>
    <row r="16252" spans="9:10" x14ac:dyDescent="0.3">
      <c r="I16252" t="s">
        <v>21526</v>
      </c>
      <c r="J16252" t="s">
        <v>908</v>
      </c>
    </row>
    <row r="16253" spans="9:10" x14ac:dyDescent="0.3">
      <c r="I16253" t="s">
        <v>21526</v>
      </c>
      <c r="J16253" t="s">
        <v>908</v>
      </c>
    </row>
    <row r="16254" spans="9:10" x14ac:dyDescent="0.3">
      <c r="I16254" t="s">
        <v>21526</v>
      </c>
      <c r="J16254" t="s">
        <v>908</v>
      </c>
    </row>
    <row r="16255" spans="9:10" x14ac:dyDescent="0.3">
      <c r="I16255" t="s">
        <v>21531</v>
      </c>
      <c r="J16255" t="s">
        <v>908</v>
      </c>
    </row>
    <row r="16256" spans="9:10" x14ac:dyDescent="0.3">
      <c r="I16256" t="s">
        <v>21532</v>
      </c>
      <c r="J16256" t="s">
        <v>908</v>
      </c>
    </row>
    <row r="16257" spans="9:10" x14ac:dyDescent="0.3">
      <c r="I16257" t="s">
        <v>21526</v>
      </c>
      <c r="J16257" t="s">
        <v>908</v>
      </c>
    </row>
    <row r="16258" spans="9:10" x14ac:dyDescent="0.3">
      <c r="I16258" t="s">
        <v>21533</v>
      </c>
      <c r="J16258" t="s">
        <v>908</v>
      </c>
    </row>
    <row r="16259" spans="9:10" x14ac:dyDescent="0.3">
      <c r="I16259" t="s">
        <v>21534</v>
      </c>
    </row>
    <row r="16260" spans="9:10" x14ac:dyDescent="0.3">
      <c r="I16260" t="s">
        <v>21535</v>
      </c>
    </row>
    <row r="16261" spans="9:10" x14ac:dyDescent="0.3">
      <c r="I16261" t="s">
        <v>21536</v>
      </c>
    </row>
    <row r="16262" spans="9:10" x14ac:dyDescent="0.3">
      <c r="I16262" t="s">
        <v>21537</v>
      </c>
    </row>
    <row r="16263" spans="9:10" x14ac:dyDescent="0.3">
      <c r="I16263" t="s">
        <v>21538</v>
      </c>
      <c r="J16263" t="s">
        <v>5712</v>
      </c>
    </row>
    <row r="16264" spans="9:10" x14ac:dyDescent="0.3">
      <c r="I16264" t="s">
        <v>21539</v>
      </c>
    </row>
    <row r="16265" spans="9:10" x14ac:dyDescent="0.3">
      <c r="I16265" t="s">
        <v>21540</v>
      </c>
    </row>
    <row r="16266" spans="9:10" x14ac:dyDescent="0.3">
      <c r="I16266" t="s">
        <v>21541</v>
      </c>
    </row>
    <row r="16267" spans="9:10" x14ac:dyDescent="0.3">
      <c r="I16267" t="s">
        <v>21542</v>
      </c>
      <c r="J16267" t="s">
        <v>5713</v>
      </c>
    </row>
    <row r="16268" spans="9:10" x14ac:dyDescent="0.3">
      <c r="I16268" t="s">
        <v>21543</v>
      </c>
      <c r="J16268" t="s">
        <v>5714</v>
      </c>
    </row>
    <row r="16269" spans="9:10" x14ac:dyDescent="0.3">
      <c r="I16269" t="s">
        <v>21544</v>
      </c>
      <c r="J16269" t="s">
        <v>5714</v>
      </c>
    </row>
    <row r="16270" spans="9:10" x14ac:dyDescent="0.3">
      <c r="I16270" t="s">
        <v>21545</v>
      </c>
      <c r="J16270" t="s">
        <v>5714</v>
      </c>
    </row>
    <row r="16271" spans="9:10" x14ac:dyDescent="0.3">
      <c r="I16271" t="s">
        <v>21546</v>
      </c>
      <c r="J16271" t="s">
        <v>5714</v>
      </c>
    </row>
    <row r="16272" spans="9:10" x14ac:dyDescent="0.3">
      <c r="I16272" t="s">
        <v>21547</v>
      </c>
      <c r="J16272" t="s">
        <v>5714</v>
      </c>
    </row>
    <row r="16273" spans="9:10" x14ac:dyDescent="0.3">
      <c r="I16273" t="s">
        <v>21548</v>
      </c>
      <c r="J16273" t="s">
        <v>5714</v>
      </c>
    </row>
    <row r="16274" spans="9:10" x14ac:dyDescent="0.3">
      <c r="I16274" t="s">
        <v>21549</v>
      </c>
      <c r="J16274" t="s">
        <v>5714</v>
      </c>
    </row>
    <row r="16275" spans="9:10" x14ac:dyDescent="0.3">
      <c r="I16275" t="s">
        <v>21550</v>
      </c>
      <c r="J16275" t="s">
        <v>5714</v>
      </c>
    </row>
    <row r="16276" spans="9:10" x14ac:dyDescent="0.3">
      <c r="I16276" t="s">
        <v>21551</v>
      </c>
      <c r="J16276" t="s">
        <v>5715</v>
      </c>
    </row>
    <row r="16277" spans="9:10" x14ac:dyDescent="0.3">
      <c r="I16277" t="s">
        <v>21552</v>
      </c>
    </row>
    <row r="16278" spans="9:10" x14ac:dyDescent="0.3">
      <c r="I16278" t="s">
        <v>21553</v>
      </c>
      <c r="J16278" t="s">
        <v>5716</v>
      </c>
    </row>
    <row r="16279" spans="9:10" x14ac:dyDescent="0.3">
      <c r="I16279" t="s">
        <v>21554</v>
      </c>
      <c r="J16279" t="s">
        <v>5717</v>
      </c>
    </row>
    <row r="16280" spans="9:10" x14ac:dyDescent="0.3">
      <c r="I16280" t="s">
        <v>21555</v>
      </c>
      <c r="J16280" t="s">
        <v>5718</v>
      </c>
    </row>
    <row r="16281" spans="9:10" x14ac:dyDescent="0.3">
      <c r="I16281" t="s">
        <v>21556</v>
      </c>
    </row>
    <row r="16282" spans="9:10" x14ac:dyDescent="0.3">
      <c r="I16282" t="s">
        <v>21557</v>
      </c>
    </row>
    <row r="16283" spans="9:10" x14ac:dyDescent="0.3">
      <c r="I16283" t="s">
        <v>21558</v>
      </c>
    </row>
    <row r="16284" spans="9:10" x14ac:dyDescent="0.3">
      <c r="I16284" t="s">
        <v>21559</v>
      </c>
      <c r="J16284" t="s">
        <v>5719</v>
      </c>
    </row>
    <row r="16285" spans="9:10" x14ac:dyDescent="0.3">
      <c r="I16285" t="s">
        <v>21560</v>
      </c>
      <c r="J16285" t="s">
        <v>5720</v>
      </c>
    </row>
    <row r="16286" spans="9:10" x14ac:dyDescent="0.3">
      <c r="I16286" t="s">
        <v>21561</v>
      </c>
      <c r="J16286" t="s">
        <v>5721</v>
      </c>
    </row>
    <row r="16287" spans="9:10" x14ac:dyDescent="0.3">
      <c r="I16287" t="s">
        <v>21562</v>
      </c>
      <c r="J16287" t="s">
        <v>5722</v>
      </c>
    </row>
    <row r="16288" spans="9:10" x14ac:dyDescent="0.3">
      <c r="I16288" t="s">
        <v>21563</v>
      </c>
      <c r="J16288" t="s">
        <v>5722</v>
      </c>
    </row>
    <row r="16289" spans="9:10" x14ac:dyDescent="0.3">
      <c r="I16289" t="s">
        <v>21564</v>
      </c>
      <c r="J16289" t="s">
        <v>5723</v>
      </c>
    </row>
    <row r="16290" spans="9:10" x14ac:dyDescent="0.3">
      <c r="I16290" t="s">
        <v>21565</v>
      </c>
      <c r="J16290" t="s">
        <v>5723</v>
      </c>
    </row>
    <row r="16291" spans="9:10" x14ac:dyDescent="0.3">
      <c r="I16291" t="s">
        <v>21566</v>
      </c>
      <c r="J16291" t="s">
        <v>5723</v>
      </c>
    </row>
    <row r="16292" spans="9:10" x14ac:dyDescent="0.3">
      <c r="I16292" t="s">
        <v>21567</v>
      </c>
      <c r="J16292" t="s">
        <v>5724</v>
      </c>
    </row>
    <row r="16293" spans="9:10" x14ac:dyDescent="0.3">
      <c r="I16293" t="s">
        <v>21568</v>
      </c>
    </row>
    <row r="16294" spans="9:10" x14ac:dyDescent="0.3">
      <c r="I16294" t="s">
        <v>21569</v>
      </c>
    </row>
    <row r="16295" spans="9:10" x14ac:dyDescent="0.3">
      <c r="I16295" t="s">
        <v>21570</v>
      </c>
      <c r="J16295" t="s">
        <v>5725</v>
      </c>
    </row>
    <row r="16296" spans="9:10" x14ac:dyDescent="0.3">
      <c r="I16296" t="s">
        <v>21571</v>
      </c>
    </row>
    <row r="16297" spans="9:10" x14ac:dyDescent="0.3">
      <c r="I16297" t="s">
        <v>21572</v>
      </c>
    </row>
    <row r="16298" spans="9:10" x14ac:dyDescent="0.3">
      <c r="I16298" t="s">
        <v>21573</v>
      </c>
    </row>
    <row r="16299" spans="9:10" x14ac:dyDescent="0.3">
      <c r="I16299" t="s">
        <v>21574</v>
      </c>
    </row>
    <row r="16300" spans="9:10" x14ac:dyDescent="0.3">
      <c r="I16300" t="s">
        <v>21575</v>
      </c>
      <c r="J16300" t="s">
        <v>5726</v>
      </c>
    </row>
    <row r="16301" spans="9:10" x14ac:dyDescent="0.3">
      <c r="I16301" t="s">
        <v>21576</v>
      </c>
    </row>
    <row r="16302" spans="9:10" x14ac:dyDescent="0.3">
      <c r="I16302" t="s">
        <v>21577</v>
      </c>
      <c r="J16302" t="s">
        <v>5727</v>
      </c>
    </row>
    <row r="16303" spans="9:10" x14ac:dyDescent="0.3">
      <c r="I16303" t="s">
        <v>21578</v>
      </c>
      <c r="J16303" t="s">
        <v>816</v>
      </c>
    </row>
    <row r="16304" spans="9:10" x14ac:dyDescent="0.3">
      <c r="I16304" t="s">
        <v>21579</v>
      </c>
      <c r="J16304" t="s">
        <v>816</v>
      </c>
    </row>
    <row r="16305" spans="9:10" x14ac:dyDescent="0.3">
      <c r="I16305" t="s">
        <v>21578</v>
      </c>
      <c r="J16305" t="s">
        <v>816</v>
      </c>
    </row>
    <row r="16306" spans="9:10" x14ac:dyDescent="0.3">
      <c r="I16306" t="s">
        <v>21580</v>
      </c>
    </row>
    <row r="16307" spans="9:10" x14ac:dyDescent="0.3">
      <c r="I16307" t="s">
        <v>21581</v>
      </c>
    </row>
    <row r="16308" spans="9:10" x14ac:dyDescent="0.3">
      <c r="I16308" t="s">
        <v>21582</v>
      </c>
      <c r="J16308" t="s">
        <v>5728</v>
      </c>
    </row>
    <row r="16309" spans="9:10" x14ac:dyDescent="0.3">
      <c r="I16309" t="s">
        <v>21583</v>
      </c>
      <c r="J16309" t="s">
        <v>5729</v>
      </c>
    </row>
    <row r="16310" spans="9:10" x14ac:dyDescent="0.3">
      <c r="I16310" t="s">
        <v>21583</v>
      </c>
      <c r="J16310" t="s">
        <v>5729</v>
      </c>
    </row>
    <row r="16311" spans="9:10" x14ac:dyDescent="0.3">
      <c r="I16311" t="s">
        <v>21584</v>
      </c>
    </row>
    <row r="16312" spans="9:10" x14ac:dyDescent="0.3">
      <c r="I16312" t="s">
        <v>21585</v>
      </c>
    </row>
    <row r="16313" spans="9:10" x14ac:dyDescent="0.3">
      <c r="I16313" t="s">
        <v>21586</v>
      </c>
    </row>
    <row r="16314" spans="9:10" x14ac:dyDescent="0.3">
      <c r="I16314" t="s">
        <v>21587</v>
      </c>
      <c r="J16314" t="s">
        <v>5730</v>
      </c>
    </row>
    <row r="16315" spans="9:10" x14ac:dyDescent="0.3">
      <c r="I16315" t="s">
        <v>21587</v>
      </c>
      <c r="J16315" t="s">
        <v>5730</v>
      </c>
    </row>
    <row r="16316" spans="9:10" x14ac:dyDescent="0.3">
      <c r="I16316" t="s">
        <v>21587</v>
      </c>
      <c r="J16316" t="s">
        <v>5730</v>
      </c>
    </row>
    <row r="16317" spans="9:10" x14ac:dyDescent="0.3">
      <c r="I16317" t="s">
        <v>21587</v>
      </c>
      <c r="J16317" t="s">
        <v>5730</v>
      </c>
    </row>
    <row r="16318" spans="9:10" x14ac:dyDescent="0.3">
      <c r="I16318" t="s">
        <v>21587</v>
      </c>
      <c r="J16318" t="s">
        <v>5730</v>
      </c>
    </row>
    <row r="16319" spans="9:10" x14ac:dyDescent="0.3">
      <c r="I16319" t="s">
        <v>21588</v>
      </c>
      <c r="J16319" t="s">
        <v>5731</v>
      </c>
    </row>
    <row r="16320" spans="9:10" x14ac:dyDescent="0.3">
      <c r="I16320" t="s">
        <v>21589</v>
      </c>
      <c r="J16320" t="s">
        <v>5732</v>
      </c>
    </row>
    <row r="16321" spans="9:10" x14ac:dyDescent="0.3">
      <c r="I16321" t="s">
        <v>21590</v>
      </c>
    </row>
    <row r="16322" spans="9:10" x14ac:dyDescent="0.3">
      <c r="I16322" t="s">
        <v>21591</v>
      </c>
      <c r="J16322" t="s">
        <v>5733</v>
      </c>
    </row>
    <row r="16323" spans="9:10" x14ac:dyDescent="0.3">
      <c r="I16323" t="s">
        <v>21592</v>
      </c>
    </row>
    <row r="16324" spans="9:10" x14ac:dyDescent="0.3">
      <c r="I16324" t="s">
        <v>21593</v>
      </c>
    </row>
    <row r="16325" spans="9:10" x14ac:dyDescent="0.3">
      <c r="I16325" t="s">
        <v>21594</v>
      </c>
    </row>
    <row r="16326" spans="9:10" x14ac:dyDescent="0.3">
      <c r="I16326" t="s">
        <v>21595</v>
      </c>
    </row>
    <row r="16327" spans="9:10" x14ac:dyDescent="0.3">
      <c r="I16327" t="s">
        <v>21596</v>
      </c>
      <c r="J16327" t="s">
        <v>5734</v>
      </c>
    </row>
    <row r="16328" spans="9:10" x14ac:dyDescent="0.3">
      <c r="I16328" t="s">
        <v>21597</v>
      </c>
      <c r="J16328" t="s">
        <v>5734</v>
      </c>
    </row>
    <row r="16329" spans="9:10" x14ac:dyDescent="0.3">
      <c r="I16329" t="s">
        <v>21598</v>
      </c>
      <c r="J16329" t="s">
        <v>5735</v>
      </c>
    </row>
    <row r="16330" spans="9:10" x14ac:dyDescent="0.3">
      <c r="I16330" t="s">
        <v>21599</v>
      </c>
    </row>
    <row r="16331" spans="9:10" x14ac:dyDescent="0.3">
      <c r="I16331" t="s">
        <v>21600</v>
      </c>
    </row>
    <row r="16332" spans="9:10" x14ac:dyDescent="0.3">
      <c r="I16332" t="s">
        <v>21601</v>
      </c>
    </row>
    <row r="16333" spans="9:10" x14ac:dyDescent="0.3">
      <c r="I16333" t="s">
        <v>21602</v>
      </c>
      <c r="J16333" t="s">
        <v>4179</v>
      </c>
    </row>
    <row r="16334" spans="9:10" x14ac:dyDescent="0.3">
      <c r="I16334" t="s">
        <v>21603</v>
      </c>
      <c r="J16334" t="s">
        <v>5736</v>
      </c>
    </row>
    <row r="16335" spans="9:10" x14ac:dyDescent="0.3">
      <c r="I16335" t="s">
        <v>21604</v>
      </c>
      <c r="J16335" t="s">
        <v>5736</v>
      </c>
    </row>
    <row r="16336" spans="9:10" x14ac:dyDescent="0.3">
      <c r="I16336" t="s">
        <v>21605</v>
      </c>
      <c r="J16336" t="s">
        <v>5736</v>
      </c>
    </row>
    <row r="16337" spans="9:10" x14ac:dyDescent="0.3">
      <c r="I16337" t="s">
        <v>21606</v>
      </c>
      <c r="J16337" t="s">
        <v>5737</v>
      </c>
    </row>
    <row r="16338" spans="9:10" x14ac:dyDescent="0.3">
      <c r="I16338" t="s">
        <v>21607</v>
      </c>
      <c r="J16338" t="s">
        <v>5737</v>
      </c>
    </row>
    <row r="16339" spans="9:10" x14ac:dyDescent="0.3">
      <c r="I16339" t="s">
        <v>21608</v>
      </c>
    </row>
    <row r="16340" spans="9:10" x14ac:dyDescent="0.3">
      <c r="I16340" t="s">
        <v>21609</v>
      </c>
      <c r="J16340" t="s">
        <v>5738</v>
      </c>
    </row>
    <row r="16341" spans="9:10" x14ac:dyDescent="0.3">
      <c r="I16341" t="s">
        <v>21609</v>
      </c>
      <c r="J16341" t="s">
        <v>5738</v>
      </c>
    </row>
    <row r="16342" spans="9:10" x14ac:dyDescent="0.3">
      <c r="I16342" t="s">
        <v>21610</v>
      </c>
      <c r="J16342" t="s">
        <v>5739</v>
      </c>
    </row>
    <row r="16343" spans="9:10" x14ac:dyDescent="0.3">
      <c r="I16343" t="s">
        <v>21611</v>
      </c>
    </row>
    <row r="16344" spans="9:10" x14ac:dyDescent="0.3">
      <c r="I16344" t="s">
        <v>21612</v>
      </c>
    </row>
    <row r="16345" spans="9:10" x14ac:dyDescent="0.3">
      <c r="I16345" t="s">
        <v>21613</v>
      </c>
    </row>
    <row r="16346" spans="9:10" x14ac:dyDescent="0.3">
      <c r="I16346" t="s">
        <v>21614</v>
      </c>
      <c r="J16346" t="s">
        <v>176</v>
      </c>
    </row>
    <row r="16347" spans="9:10" x14ac:dyDescent="0.3">
      <c r="I16347" t="s">
        <v>21614</v>
      </c>
      <c r="J16347" t="s">
        <v>176</v>
      </c>
    </row>
    <row r="16348" spans="9:10" x14ac:dyDescent="0.3">
      <c r="I16348" t="s">
        <v>21614</v>
      </c>
      <c r="J16348" t="s">
        <v>176</v>
      </c>
    </row>
    <row r="16349" spans="9:10" x14ac:dyDescent="0.3">
      <c r="I16349" t="s">
        <v>21614</v>
      </c>
      <c r="J16349" t="s">
        <v>176</v>
      </c>
    </row>
    <row r="16350" spans="9:10" x14ac:dyDescent="0.3">
      <c r="I16350" t="s">
        <v>21614</v>
      </c>
      <c r="J16350" t="s">
        <v>176</v>
      </c>
    </row>
    <row r="16351" spans="9:10" x14ac:dyDescent="0.3">
      <c r="I16351" t="s">
        <v>21615</v>
      </c>
      <c r="J16351" t="s">
        <v>5740</v>
      </c>
    </row>
    <row r="16352" spans="9:10" x14ac:dyDescent="0.3">
      <c r="I16352" t="s">
        <v>21616</v>
      </c>
      <c r="J16352" t="s">
        <v>5741</v>
      </c>
    </row>
    <row r="16353" spans="9:10" x14ac:dyDescent="0.3">
      <c r="I16353" t="s">
        <v>21617</v>
      </c>
      <c r="J16353" t="s">
        <v>5742</v>
      </c>
    </row>
    <row r="16354" spans="9:10" x14ac:dyDescent="0.3">
      <c r="I16354" t="s">
        <v>21618</v>
      </c>
      <c r="J16354" t="s">
        <v>5743</v>
      </c>
    </row>
    <row r="16355" spans="9:10" x14ac:dyDescent="0.3">
      <c r="I16355" t="s">
        <v>21619</v>
      </c>
      <c r="J16355" t="s">
        <v>219</v>
      </c>
    </row>
    <row r="16356" spans="9:10" x14ac:dyDescent="0.3">
      <c r="I16356" t="s">
        <v>21619</v>
      </c>
      <c r="J16356" t="s">
        <v>219</v>
      </c>
    </row>
    <row r="16357" spans="9:10" x14ac:dyDescent="0.3">
      <c r="I16357" t="s">
        <v>21620</v>
      </c>
      <c r="J16357" t="s">
        <v>219</v>
      </c>
    </row>
    <row r="16358" spans="9:10" x14ac:dyDescent="0.3">
      <c r="I16358" t="s">
        <v>21621</v>
      </c>
      <c r="J16358" t="s">
        <v>219</v>
      </c>
    </row>
    <row r="16359" spans="9:10" x14ac:dyDescent="0.3">
      <c r="I16359" t="s">
        <v>21622</v>
      </c>
      <c r="J16359" t="s">
        <v>219</v>
      </c>
    </row>
    <row r="16360" spans="9:10" x14ac:dyDescent="0.3">
      <c r="I16360" t="s">
        <v>21623</v>
      </c>
    </row>
    <row r="16361" spans="9:10" x14ac:dyDescent="0.3">
      <c r="I16361" t="s">
        <v>21623</v>
      </c>
    </row>
    <row r="16362" spans="9:10" x14ac:dyDescent="0.3">
      <c r="I16362" t="s">
        <v>21624</v>
      </c>
    </row>
    <row r="16363" spans="9:10" x14ac:dyDescent="0.3">
      <c r="I16363" t="s">
        <v>21625</v>
      </c>
    </row>
    <row r="16364" spans="9:10" x14ac:dyDescent="0.3">
      <c r="I16364" t="s">
        <v>21626</v>
      </c>
      <c r="J16364" t="s">
        <v>5744</v>
      </c>
    </row>
    <row r="16365" spans="9:10" x14ac:dyDescent="0.3">
      <c r="I16365" t="s">
        <v>21627</v>
      </c>
      <c r="J16365" t="s">
        <v>5745</v>
      </c>
    </row>
    <row r="16366" spans="9:10" x14ac:dyDescent="0.3">
      <c r="I16366" t="s">
        <v>21628</v>
      </c>
      <c r="J16366" t="s">
        <v>5746</v>
      </c>
    </row>
    <row r="16367" spans="9:10" x14ac:dyDescent="0.3">
      <c r="I16367" t="s">
        <v>21629</v>
      </c>
      <c r="J16367" t="s">
        <v>5746</v>
      </c>
    </row>
    <row r="16368" spans="9:10" x14ac:dyDescent="0.3">
      <c r="I16368" t="s">
        <v>21630</v>
      </c>
      <c r="J16368" t="s">
        <v>5746</v>
      </c>
    </row>
    <row r="16369" spans="9:10" x14ac:dyDescent="0.3">
      <c r="I16369" t="s">
        <v>21631</v>
      </c>
      <c r="J16369" t="s">
        <v>5747</v>
      </c>
    </row>
    <row r="16370" spans="9:10" x14ac:dyDescent="0.3">
      <c r="I16370" t="s">
        <v>21632</v>
      </c>
    </row>
    <row r="16371" spans="9:10" x14ac:dyDescent="0.3">
      <c r="I16371" t="s">
        <v>21633</v>
      </c>
      <c r="J16371" t="s">
        <v>409</v>
      </c>
    </row>
    <row r="16372" spans="9:10" x14ac:dyDescent="0.3">
      <c r="I16372" t="s">
        <v>21634</v>
      </c>
      <c r="J16372" t="s">
        <v>5748</v>
      </c>
    </row>
    <row r="16373" spans="9:10" x14ac:dyDescent="0.3">
      <c r="I16373" t="s">
        <v>21635</v>
      </c>
    </row>
    <row r="16374" spans="9:10" x14ac:dyDescent="0.3">
      <c r="I16374" t="s">
        <v>21636</v>
      </c>
    </row>
    <row r="16375" spans="9:10" x14ac:dyDescent="0.3">
      <c r="I16375" t="s">
        <v>21637</v>
      </c>
    </row>
    <row r="16376" spans="9:10" x14ac:dyDescent="0.3">
      <c r="I16376" t="s">
        <v>21638</v>
      </c>
      <c r="J16376" t="s">
        <v>5749</v>
      </c>
    </row>
    <row r="16377" spans="9:10" x14ac:dyDescent="0.3">
      <c r="I16377" t="s">
        <v>21639</v>
      </c>
      <c r="J16377" t="s">
        <v>5750</v>
      </c>
    </row>
    <row r="16378" spans="9:10" x14ac:dyDescent="0.3">
      <c r="I16378" t="s">
        <v>443</v>
      </c>
      <c r="J16378" t="s">
        <v>444</v>
      </c>
    </row>
    <row r="16379" spans="9:10" x14ac:dyDescent="0.3">
      <c r="I16379" t="s">
        <v>21640</v>
      </c>
      <c r="J16379" t="s">
        <v>5751</v>
      </c>
    </row>
    <row r="16380" spans="9:10" x14ac:dyDescent="0.3">
      <c r="I16380" t="s">
        <v>21641</v>
      </c>
      <c r="J16380" t="s">
        <v>5752</v>
      </c>
    </row>
    <row r="16381" spans="9:10" x14ac:dyDescent="0.3">
      <c r="I16381" t="s">
        <v>21642</v>
      </c>
    </row>
    <row r="16382" spans="9:10" x14ac:dyDescent="0.3">
      <c r="I16382" t="s">
        <v>21643</v>
      </c>
      <c r="J16382" t="s">
        <v>5753</v>
      </c>
    </row>
    <row r="16383" spans="9:10" x14ac:dyDescent="0.3">
      <c r="I16383" t="s">
        <v>21643</v>
      </c>
      <c r="J16383" t="s">
        <v>5753</v>
      </c>
    </row>
    <row r="16384" spans="9:10" x14ac:dyDescent="0.3">
      <c r="I16384" t="s">
        <v>21644</v>
      </c>
      <c r="J16384" t="s">
        <v>5754</v>
      </c>
    </row>
    <row r="16385" spans="9:10" x14ac:dyDescent="0.3">
      <c r="I16385" t="s">
        <v>21645</v>
      </c>
      <c r="J16385" t="s">
        <v>5755</v>
      </c>
    </row>
    <row r="16386" spans="9:10" x14ac:dyDescent="0.3">
      <c r="I16386" t="s">
        <v>21646</v>
      </c>
      <c r="J16386" t="s">
        <v>5755</v>
      </c>
    </row>
    <row r="16387" spans="9:10" x14ac:dyDescent="0.3">
      <c r="I16387" t="s">
        <v>21647</v>
      </c>
      <c r="J16387" t="s">
        <v>5755</v>
      </c>
    </row>
    <row r="16388" spans="9:10" x14ac:dyDescent="0.3">
      <c r="I16388" t="s">
        <v>21648</v>
      </c>
      <c r="J16388" t="s">
        <v>5755</v>
      </c>
    </row>
    <row r="16389" spans="9:10" x14ac:dyDescent="0.3">
      <c r="I16389" t="s">
        <v>21649</v>
      </c>
      <c r="J16389" t="s">
        <v>5755</v>
      </c>
    </row>
    <row r="16390" spans="9:10" x14ac:dyDescent="0.3">
      <c r="I16390" t="s">
        <v>21650</v>
      </c>
      <c r="J16390" t="s">
        <v>5755</v>
      </c>
    </row>
    <row r="16391" spans="9:10" x14ac:dyDescent="0.3">
      <c r="I16391" t="s">
        <v>21651</v>
      </c>
      <c r="J16391" t="s">
        <v>5756</v>
      </c>
    </row>
    <row r="16392" spans="9:10" x14ac:dyDescent="0.3">
      <c r="I16392" t="s">
        <v>21652</v>
      </c>
    </row>
    <row r="16393" spans="9:10" x14ac:dyDescent="0.3">
      <c r="I16393" t="s">
        <v>21653</v>
      </c>
    </row>
    <row r="16394" spans="9:10" x14ac:dyDescent="0.3">
      <c r="I16394" t="s">
        <v>21654</v>
      </c>
      <c r="J16394" t="s">
        <v>519</v>
      </c>
    </row>
    <row r="16395" spans="9:10" x14ac:dyDescent="0.3">
      <c r="I16395" t="s">
        <v>21654</v>
      </c>
      <c r="J16395" t="s">
        <v>519</v>
      </c>
    </row>
    <row r="16396" spans="9:10" x14ac:dyDescent="0.3">
      <c r="I16396" t="s">
        <v>21655</v>
      </c>
      <c r="J16396" t="s">
        <v>5757</v>
      </c>
    </row>
    <row r="16397" spans="9:10" x14ac:dyDescent="0.3">
      <c r="I16397" t="s">
        <v>21656</v>
      </c>
    </row>
    <row r="16398" spans="9:10" x14ac:dyDescent="0.3">
      <c r="I16398" t="s">
        <v>21657</v>
      </c>
      <c r="J16398" t="s">
        <v>5758</v>
      </c>
    </row>
    <row r="16399" spans="9:10" x14ac:dyDescent="0.3">
      <c r="I16399" t="s">
        <v>21658</v>
      </c>
      <c r="J16399" t="s">
        <v>5758</v>
      </c>
    </row>
    <row r="16400" spans="9:10" x14ac:dyDescent="0.3">
      <c r="I16400" t="s">
        <v>21658</v>
      </c>
      <c r="J16400" t="s">
        <v>5758</v>
      </c>
    </row>
    <row r="16401" spans="9:10" x14ac:dyDescent="0.3">
      <c r="I16401" t="s">
        <v>21658</v>
      </c>
      <c r="J16401" t="s">
        <v>5758</v>
      </c>
    </row>
    <row r="16402" spans="9:10" x14ac:dyDescent="0.3">
      <c r="I16402" t="s">
        <v>21659</v>
      </c>
      <c r="J16402" t="s">
        <v>5759</v>
      </c>
    </row>
    <row r="16403" spans="9:10" x14ac:dyDescent="0.3">
      <c r="I16403" t="s">
        <v>21659</v>
      </c>
      <c r="J16403" t="s">
        <v>5759</v>
      </c>
    </row>
    <row r="16404" spans="9:10" x14ac:dyDescent="0.3">
      <c r="I16404" t="s">
        <v>21659</v>
      </c>
      <c r="J16404" t="s">
        <v>5759</v>
      </c>
    </row>
    <row r="16405" spans="9:10" x14ac:dyDescent="0.3">
      <c r="I16405" t="s">
        <v>21660</v>
      </c>
      <c r="J16405" t="s">
        <v>245</v>
      </c>
    </row>
    <row r="16406" spans="9:10" x14ac:dyDescent="0.3">
      <c r="I16406" t="s">
        <v>21660</v>
      </c>
      <c r="J16406" t="s">
        <v>245</v>
      </c>
    </row>
    <row r="16407" spans="9:10" x14ac:dyDescent="0.3">
      <c r="I16407" t="s">
        <v>21660</v>
      </c>
      <c r="J16407" t="s">
        <v>245</v>
      </c>
    </row>
    <row r="16408" spans="9:10" x14ac:dyDescent="0.3">
      <c r="I16408" t="s">
        <v>21660</v>
      </c>
      <c r="J16408" t="s">
        <v>245</v>
      </c>
    </row>
    <row r="16409" spans="9:10" x14ac:dyDescent="0.3">
      <c r="I16409" t="s">
        <v>21661</v>
      </c>
      <c r="J16409" t="s">
        <v>5760</v>
      </c>
    </row>
    <row r="16410" spans="9:10" x14ac:dyDescent="0.3">
      <c r="I16410" t="s">
        <v>21662</v>
      </c>
    </row>
    <row r="16411" spans="9:10" x14ac:dyDescent="0.3">
      <c r="I16411" t="s">
        <v>21663</v>
      </c>
    </row>
    <row r="16412" spans="9:10" x14ac:dyDescent="0.3">
      <c r="I16412" t="s">
        <v>21664</v>
      </c>
      <c r="J16412" t="s">
        <v>5761</v>
      </c>
    </row>
    <row r="16413" spans="9:10" x14ac:dyDescent="0.3">
      <c r="I16413" t="s">
        <v>21665</v>
      </c>
      <c r="J16413" t="s">
        <v>5762</v>
      </c>
    </row>
    <row r="16414" spans="9:10" x14ac:dyDescent="0.3">
      <c r="I16414" t="s">
        <v>21666</v>
      </c>
      <c r="J16414" t="s">
        <v>5763</v>
      </c>
    </row>
    <row r="16415" spans="9:10" x14ac:dyDescent="0.3">
      <c r="I16415" t="s">
        <v>21667</v>
      </c>
    </row>
    <row r="16416" spans="9:10" x14ac:dyDescent="0.3">
      <c r="I16416" t="s">
        <v>21668</v>
      </c>
      <c r="J16416" t="s">
        <v>5764</v>
      </c>
    </row>
    <row r="16417" spans="9:10" x14ac:dyDescent="0.3">
      <c r="I16417" t="s">
        <v>21669</v>
      </c>
      <c r="J16417" t="s">
        <v>5765</v>
      </c>
    </row>
    <row r="16418" spans="9:10" x14ac:dyDescent="0.3">
      <c r="I16418" t="s">
        <v>21670</v>
      </c>
      <c r="J16418" t="s">
        <v>5766</v>
      </c>
    </row>
    <row r="16419" spans="9:10" x14ac:dyDescent="0.3">
      <c r="I16419" t="s">
        <v>21671</v>
      </c>
    </row>
    <row r="16420" spans="9:10" x14ac:dyDescent="0.3">
      <c r="I16420" t="s">
        <v>21672</v>
      </c>
      <c r="J16420" t="s">
        <v>5767</v>
      </c>
    </row>
    <row r="16421" spans="9:10" x14ac:dyDescent="0.3">
      <c r="I16421" t="s">
        <v>21673</v>
      </c>
      <c r="J16421" t="s">
        <v>5768</v>
      </c>
    </row>
    <row r="16422" spans="9:10" x14ac:dyDescent="0.3">
      <c r="I16422" t="s">
        <v>21674</v>
      </c>
      <c r="J16422" t="s">
        <v>241</v>
      </c>
    </row>
    <row r="16423" spans="9:10" x14ac:dyDescent="0.3">
      <c r="I16423" t="s">
        <v>21675</v>
      </c>
    </row>
    <row r="16424" spans="9:10" x14ac:dyDescent="0.3">
      <c r="I16424" t="s">
        <v>21676</v>
      </c>
    </row>
    <row r="16425" spans="9:10" x14ac:dyDescent="0.3">
      <c r="I16425" t="s">
        <v>21677</v>
      </c>
    </row>
    <row r="16426" spans="9:10" x14ac:dyDescent="0.3">
      <c r="I16426" t="s">
        <v>21678</v>
      </c>
      <c r="J16426" t="s">
        <v>5769</v>
      </c>
    </row>
    <row r="16427" spans="9:10" x14ac:dyDescent="0.3">
      <c r="I16427" t="s">
        <v>21679</v>
      </c>
    </row>
    <row r="16428" spans="9:10" x14ac:dyDescent="0.3">
      <c r="I16428" t="s">
        <v>21680</v>
      </c>
      <c r="J16428" t="s">
        <v>5770</v>
      </c>
    </row>
    <row r="16429" spans="9:10" x14ac:dyDescent="0.3">
      <c r="I16429" t="s">
        <v>21681</v>
      </c>
      <c r="J16429" t="s">
        <v>5770</v>
      </c>
    </row>
    <row r="16430" spans="9:10" x14ac:dyDescent="0.3">
      <c r="I16430" t="s">
        <v>21682</v>
      </c>
      <c r="J16430" t="s">
        <v>5771</v>
      </c>
    </row>
    <row r="16431" spans="9:10" x14ac:dyDescent="0.3">
      <c r="I16431" t="s">
        <v>21683</v>
      </c>
      <c r="J16431" t="s">
        <v>1763</v>
      </c>
    </row>
    <row r="16432" spans="9:10" x14ac:dyDescent="0.3">
      <c r="I16432" t="s">
        <v>21684</v>
      </c>
      <c r="J16432" t="s">
        <v>1763</v>
      </c>
    </row>
    <row r="16433" spans="9:10" x14ac:dyDescent="0.3">
      <c r="I16433" t="s">
        <v>21685</v>
      </c>
      <c r="J16433" t="s">
        <v>1763</v>
      </c>
    </row>
    <row r="16434" spans="9:10" x14ac:dyDescent="0.3">
      <c r="I16434" t="s">
        <v>21686</v>
      </c>
      <c r="J16434" t="s">
        <v>1763</v>
      </c>
    </row>
    <row r="16435" spans="9:10" x14ac:dyDescent="0.3">
      <c r="I16435" t="s">
        <v>21687</v>
      </c>
      <c r="J16435" t="s">
        <v>5772</v>
      </c>
    </row>
    <row r="16436" spans="9:10" x14ac:dyDescent="0.3">
      <c r="I16436" t="s">
        <v>21688</v>
      </c>
      <c r="J16436" t="s">
        <v>5773</v>
      </c>
    </row>
    <row r="16437" spans="9:10" x14ac:dyDescent="0.3">
      <c r="I16437" t="s">
        <v>21689</v>
      </c>
    </row>
    <row r="16438" spans="9:10" x14ac:dyDescent="0.3">
      <c r="I16438" t="s">
        <v>21690</v>
      </c>
      <c r="J16438" t="s">
        <v>5774</v>
      </c>
    </row>
    <row r="16439" spans="9:10" x14ac:dyDescent="0.3">
      <c r="I16439" t="s">
        <v>21691</v>
      </c>
    </row>
    <row r="16440" spans="9:10" x14ac:dyDescent="0.3">
      <c r="I16440" t="s">
        <v>21691</v>
      </c>
    </row>
    <row r="16441" spans="9:10" x14ac:dyDescent="0.3">
      <c r="I16441" t="s">
        <v>21692</v>
      </c>
      <c r="J16441" t="s">
        <v>5775</v>
      </c>
    </row>
    <row r="16442" spans="9:10" x14ac:dyDescent="0.3">
      <c r="I16442" t="s">
        <v>21693</v>
      </c>
      <c r="J16442" t="s">
        <v>5776</v>
      </c>
    </row>
    <row r="16443" spans="9:10" x14ac:dyDescent="0.3">
      <c r="I16443" t="s">
        <v>21694</v>
      </c>
      <c r="J16443" t="s">
        <v>5776</v>
      </c>
    </row>
    <row r="16444" spans="9:10" x14ac:dyDescent="0.3">
      <c r="I16444" t="s">
        <v>21695</v>
      </c>
      <c r="J16444" t="s">
        <v>5776</v>
      </c>
    </row>
    <row r="16445" spans="9:10" x14ac:dyDescent="0.3">
      <c r="I16445" t="s">
        <v>21696</v>
      </c>
    </row>
    <row r="16446" spans="9:10" x14ac:dyDescent="0.3">
      <c r="I16446" t="s">
        <v>21697</v>
      </c>
    </row>
    <row r="16447" spans="9:10" x14ac:dyDescent="0.3">
      <c r="I16447" t="s">
        <v>21698</v>
      </c>
      <c r="J16447" t="s">
        <v>5777</v>
      </c>
    </row>
    <row r="16448" spans="9:10" x14ac:dyDescent="0.3">
      <c r="I16448" t="s">
        <v>21699</v>
      </c>
    </row>
    <row r="16449" spans="9:10" x14ac:dyDescent="0.3">
      <c r="I16449" t="s">
        <v>21700</v>
      </c>
      <c r="J16449" t="s">
        <v>5778</v>
      </c>
    </row>
    <row r="16450" spans="9:10" x14ac:dyDescent="0.3">
      <c r="I16450" t="s">
        <v>21701</v>
      </c>
    </row>
    <row r="16451" spans="9:10" x14ac:dyDescent="0.3">
      <c r="I16451" t="s">
        <v>21702</v>
      </c>
      <c r="J16451" t="s">
        <v>5779</v>
      </c>
    </row>
    <row r="16452" spans="9:10" x14ac:dyDescent="0.3">
      <c r="I16452" t="s">
        <v>21703</v>
      </c>
    </row>
    <row r="16453" spans="9:10" x14ac:dyDescent="0.3">
      <c r="I16453" t="s">
        <v>21704</v>
      </c>
    </row>
    <row r="16454" spans="9:10" x14ac:dyDescent="0.3">
      <c r="I16454" t="s">
        <v>21705</v>
      </c>
    </row>
    <row r="16455" spans="9:10" x14ac:dyDescent="0.3">
      <c r="I16455" t="s">
        <v>21706</v>
      </c>
      <c r="J16455" t="s">
        <v>5780</v>
      </c>
    </row>
    <row r="16456" spans="9:10" x14ac:dyDescent="0.3">
      <c r="I16456" t="s">
        <v>21706</v>
      </c>
      <c r="J16456" t="s">
        <v>5780</v>
      </c>
    </row>
    <row r="16457" spans="9:10" x14ac:dyDescent="0.3">
      <c r="I16457" t="s">
        <v>21706</v>
      </c>
      <c r="J16457" t="s">
        <v>5780</v>
      </c>
    </row>
    <row r="16458" spans="9:10" x14ac:dyDescent="0.3">
      <c r="I16458" t="s">
        <v>21707</v>
      </c>
    </row>
    <row r="16459" spans="9:10" x14ac:dyDescent="0.3">
      <c r="I16459" t="s">
        <v>21708</v>
      </c>
    </row>
    <row r="16460" spans="9:10" x14ac:dyDescent="0.3">
      <c r="I16460" t="s">
        <v>21709</v>
      </c>
    </row>
    <row r="16461" spans="9:10" x14ac:dyDescent="0.3">
      <c r="I16461" t="s">
        <v>21710</v>
      </c>
    </row>
    <row r="16462" spans="9:10" x14ac:dyDescent="0.3">
      <c r="I16462" t="s">
        <v>21711</v>
      </c>
    </row>
    <row r="16463" spans="9:10" x14ac:dyDescent="0.3">
      <c r="I16463" t="s">
        <v>21712</v>
      </c>
    </row>
    <row r="16464" spans="9:10" x14ac:dyDescent="0.3">
      <c r="I16464" t="s">
        <v>21713</v>
      </c>
      <c r="J16464" t="s">
        <v>5781</v>
      </c>
    </row>
    <row r="16465" spans="9:10" x14ac:dyDescent="0.3">
      <c r="I16465" t="s">
        <v>21714</v>
      </c>
      <c r="J16465" t="s">
        <v>106</v>
      </c>
    </row>
    <row r="16466" spans="9:10" x14ac:dyDescent="0.3">
      <c r="I16466" t="s">
        <v>21714</v>
      </c>
      <c r="J16466" t="s">
        <v>106</v>
      </c>
    </row>
    <row r="16467" spans="9:10" x14ac:dyDescent="0.3">
      <c r="I16467" t="s">
        <v>21714</v>
      </c>
      <c r="J16467" t="s">
        <v>106</v>
      </c>
    </row>
    <row r="16468" spans="9:10" x14ac:dyDescent="0.3">
      <c r="I16468" t="s">
        <v>21715</v>
      </c>
    </row>
    <row r="16469" spans="9:10" x14ac:dyDescent="0.3">
      <c r="I16469" t="s">
        <v>21715</v>
      </c>
    </row>
    <row r="16470" spans="9:10" x14ac:dyDescent="0.3">
      <c r="I16470" t="s">
        <v>21716</v>
      </c>
    </row>
    <row r="16471" spans="9:10" x14ac:dyDescent="0.3">
      <c r="I16471" t="s">
        <v>21717</v>
      </c>
      <c r="J16471" t="s">
        <v>5782</v>
      </c>
    </row>
    <row r="16472" spans="9:10" x14ac:dyDescent="0.3">
      <c r="I16472" t="s">
        <v>21718</v>
      </c>
      <c r="J16472" t="s">
        <v>5783</v>
      </c>
    </row>
    <row r="16473" spans="9:10" x14ac:dyDescent="0.3">
      <c r="I16473" t="s">
        <v>21719</v>
      </c>
      <c r="J16473" t="s">
        <v>5784</v>
      </c>
    </row>
    <row r="16474" spans="9:10" x14ac:dyDescent="0.3">
      <c r="I16474" t="s">
        <v>21719</v>
      </c>
      <c r="J16474" t="s">
        <v>5784</v>
      </c>
    </row>
    <row r="16475" spans="9:10" x14ac:dyDescent="0.3">
      <c r="I16475" t="s">
        <v>21720</v>
      </c>
    </row>
    <row r="16476" spans="9:10" x14ac:dyDescent="0.3">
      <c r="I16476" t="s">
        <v>21720</v>
      </c>
    </row>
    <row r="16477" spans="9:10" x14ac:dyDescent="0.3">
      <c r="I16477" t="s">
        <v>21721</v>
      </c>
      <c r="J16477" t="s">
        <v>5785</v>
      </c>
    </row>
    <row r="16478" spans="9:10" x14ac:dyDescent="0.3">
      <c r="I16478" t="s">
        <v>21722</v>
      </c>
      <c r="J16478" t="s">
        <v>5786</v>
      </c>
    </row>
    <row r="16479" spans="9:10" x14ac:dyDescent="0.3">
      <c r="I16479" t="s">
        <v>21723</v>
      </c>
    </row>
    <row r="16480" spans="9:10" x14ac:dyDescent="0.3">
      <c r="I16480" t="s">
        <v>21724</v>
      </c>
      <c r="J16480" t="s">
        <v>5787</v>
      </c>
    </row>
    <row r="16481" spans="9:10" x14ac:dyDescent="0.3">
      <c r="I16481" t="s">
        <v>21725</v>
      </c>
      <c r="J16481" t="s">
        <v>5787</v>
      </c>
    </row>
    <row r="16482" spans="9:10" x14ac:dyDescent="0.3">
      <c r="I16482" t="s">
        <v>21726</v>
      </c>
      <c r="J16482" t="s">
        <v>5787</v>
      </c>
    </row>
    <row r="16483" spans="9:10" x14ac:dyDescent="0.3">
      <c r="I16483" t="s">
        <v>21727</v>
      </c>
      <c r="J16483" t="s">
        <v>5787</v>
      </c>
    </row>
    <row r="16484" spans="9:10" x14ac:dyDescent="0.3">
      <c r="I16484" t="s">
        <v>21727</v>
      </c>
      <c r="J16484" t="s">
        <v>5787</v>
      </c>
    </row>
    <row r="16485" spans="9:10" x14ac:dyDescent="0.3">
      <c r="I16485" t="s">
        <v>21728</v>
      </c>
    </row>
    <row r="16486" spans="9:10" x14ac:dyDescent="0.3">
      <c r="I16486" t="s">
        <v>21729</v>
      </c>
    </row>
    <row r="16487" spans="9:10" x14ac:dyDescent="0.3">
      <c r="I16487" t="s">
        <v>21730</v>
      </c>
    </row>
    <row r="16488" spans="9:10" x14ac:dyDescent="0.3">
      <c r="I16488" t="s">
        <v>21731</v>
      </c>
      <c r="J16488" t="s">
        <v>5788</v>
      </c>
    </row>
    <row r="16489" spans="9:10" x14ac:dyDescent="0.3">
      <c r="I16489" t="s">
        <v>21732</v>
      </c>
      <c r="J16489" t="s">
        <v>5789</v>
      </c>
    </row>
    <row r="16490" spans="9:10" x14ac:dyDescent="0.3">
      <c r="I16490" t="s">
        <v>21733</v>
      </c>
    </row>
    <row r="16491" spans="9:10" x14ac:dyDescent="0.3">
      <c r="I16491" t="s">
        <v>10614</v>
      </c>
      <c r="J16491" t="s">
        <v>1208</v>
      </c>
    </row>
    <row r="16492" spans="9:10" x14ac:dyDescent="0.3">
      <c r="I16492" t="s">
        <v>10615</v>
      </c>
      <c r="J16492" t="s">
        <v>1208</v>
      </c>
    </row>
    <row r="16493" spans="9:10" x14ac:dyDescent="0.3">
      <c r="I16493" t="s">
        <v>21734</v>
      </c>
      <c r="J16493" t="s">
        <v>5790</v>
      </c>
    </row>
    <row r="16494" spans="9:10" x14ac:dyDescent="0.3">
      <c r="I16494" t="s">
        <v>21734</v>
      </c>
      <c r="J16494" t="s">
        <v>5790</v>
      </c>
    </row>
    <row r="16495" spans="9:10" x14ac:dyDescent="0.3">
      <c r="I16495" t="s">
        <v>21734</v>
      </c>
      <c r="J16495" t="s">
        <v>5790</v>
      </c>
    </row>
    <row r="16496" spans="9:10" x14ac:dyDescent="0.3">
      <c r="I16496" t="s">
        <v>21735</v>
      </c>
      <c r="J16496" t="s">
        <v>5791</v>
      </c>
    </row>
    <row r="16497" spans="9:10" x14ac:dyDescent="0.3">
      <c r="I16497" t="s">
        <v>21736</v>
      </c>
      <c r="J16497" t="s">
        <v>5791</v>
      </c>
    </row>
    <row r="16498" spans="9:10" x14ac:dyDescent="0.3">
      <c r="I16498" t="s">
        <v>21737</v>
      </c>
      <c r="J16498" t="s">
        <v>5792</v>
      </c>
    </row>
    <row r="16499" spans="9:10" x14ac:dyDescent="0.3">
      <c r="I16499" t="s">
        <v>21738</v>
      </c>
      <c r="J16499" t="s">
        <v>5793</v>
      </c>
    </row>
    <row r="16500" spans="9:10" x14ac:dyDescent="0.3">
      <c r="I16500" t="s">
        <v>21739</v>
      </c>
      <c r="J16500" t="s">
        <v>5794</v>
      </c>
    </row>
    <row r="16501" spans="9:10" x14ac:dyDescent="0.3">
      <c r="I16501" t="s">
        <v>21739</v>
      </c>
      <c r="J16501" t="s">
        <v>5794</v>
      </c>
    </row>
    <row r="16502" spans="9:10" x14ac:dyDescent="0.3">
      <c r="I16502" t="s">
        <v>21740</v>
      </c>
      <c r="J16502" t="s">
        <v>5795</v>
      </c>
    </row>
    <row r="16503" spans="9:10" x14ac:dyDescent="0.3">
      <c r="I16503" t="s">
        <v>21741</v>
      </c>
      <c r="J16503" t="s">
        <v>5796</v>
      </c>
    </row>
    <row r="16504" spans="9:10" x14ac:dyDescent="0.3">
      <c r="I16504" t="s">
        <v>21742</v>
      </c>
      <c r="J16504" t="s">
        <v>5797</v>
      </c>
    </row>
    <row r="16505" spans="9:10" x14ac:dyDescent="0.3">
      <c r="I16505" t="s">
        <v>21743</v>
      </c>
      <c r="J16505" t="s">
        <v>5798</v>
      </c>
    </row>
    <row r="16506" spans="9:10" x14ac:dyDescent="0.3">
      <c r="I16506" t="s">
        <v>21744</v>
      </c>
      <c r="J16506" t="s">
        <v>5798</v>
      </c>
    </row>
    <row r="16507" spans="9:10" x14ac:dyDescent="0.3">
      <c r="I16507" t="s">
        <v>21745</v>
      </c>
      <c r="J16507" t="s">
        <v>5798</v>
      </c>
    </row>
    <row r="16508" spans="9:10" x14ac:dyDescent="0.3">
      <c r="I16508" t="s">
        <v>21746</v>
      </c>
      <c r="J16508" t="s">
        <v>5799</v>
      </c>
    </row>
    <row r="16509" spans="9:10" x14ac:dyDescent="0.3">
      <c r="I16509" t="s">
        <v>21746</v>
      </c>
      <c r="J16509" t="s">
        <v>5799</v>
      </c>
    </row>
    <row r="16510" spans="9:10" x14ac:dyDescent="0.3">
      <c r="I16510" t="s">
        <v>21747</v>
      </c>
      <c r="J16510" t="s">
        <v>5800</v>
      </c>
    </row>
    <row r="16511" spans="9:10" x14ac:dyDescent="0.3">
      <c r="I16511" t="s">
        <v>21747</v>
      </c>
      <c r="J16511" t="s">
        <v>5800</v>
      </c>
    </row>
    <row r="16512" spans="9:10" x14ac:dyDescent="0.3">
      <c r="I16512" t="s">
        <v>21748</v>
      </c>
      <c r="J16512" t="s">
        <v>5801</v>
      </c>
    </row>
    <row r="16513" spans="9:10" x14ac:dyDescent="0.3">
      <c r="I16513" t="s">
        <v>21748</v>
      </c>
      <c r="J16513" t="s">
        <v>5801</v>
      </c>
    </row>
    <row r="16514" spans="9:10" x14ac:dyDescent="0.3">
      <c r="I16514" t="s">
        <v>21749</v>
      </c>
      <c r="J16514" t="s">
        <v>5802</v>
      </c>
    </row>
    <row r="16515" spans="9:10" x14ac:dyDescent="0.3">
      <c r="I16515" t="s">
        <v>21750</v>
      </c>
    </row>
    <row r="16516" spans="9:10" x14ac:dyDescent="0.3">
      <c r="I16516" t="s">
        <v>21751</v>
      </c>
      <c r="J16516" t="s">
        <v>5803</v>
      </c>
    </row>
    <row r="16517" spans="9:10" x14ac:dyDescent="0.3">
      <c r="I16517" t="s">
        <v>21752</v>
      </c>
    </row>
    <row r="16518" spans="9:10" x14ac:dyDescent="0.3">
      <c r="I16518" t="s">
        <v>21753</v>
      </c>
      <c r="J16518" t="s">
        <v>5804</v>
      </c>
    </row>
    <row r="16519" spans="9:10" x14ac:dyDescent="0.3">
      <c r="I16519" t="s">
        <v>21754</v>
      </c>
      <c r="J16519" t="s">
        <v>5805</v>
      </c>
    </row>
    <row r="16520" spans="9:10" x14ac:dyDescent="0.3">
      <c r="I16520" t="s">
        <v>21755</v>
      </c>
      <c r="J16520" t="s">
        <v>5806</v>
      </c>
    </row>
    <row r="16521" spans="9:10" x14ac:dyDescent="0.3">
      <c r="I16521" t="s">
        <v>21756</v>
      </c>
    </row>
    <row r="16522" spans="9:10" x14ac:dyDescent="0.3">
      <c r="I16522" t="s">
        <v>21757</v>
      </c>
      <c r="J16522" t="s">
        <v>5807</v>
      </c>
    </row>
    <row r="16523" spans="9:10" x14ac:dyDescent="0.3">
      <c r="I16523" t="s">
        <v>21758</v>
      </c>
    </row>
    <row r="16524" spans="9:10" x14ac:dyDescent="0.3">
      <c r="I16524" t="s">
        <v>21759</v>
      </c>
      <c r="J16524" t="s">
        <v>5808</v>
      </c>
    </row>
    <row r="16525" spans="9:10" x14ac:dyDescent="0.3">
      <c r="I16525" t="s">
        <v>21760</v>
      </c>
    </row>
    <row r="16526" spans="9:10" x14ac:dyDescent="0.3">
      <c r="I16526" t="s">
        <v>21761</v>
      </c>
    </row>
    <row r="16527" spans="9:10" x14ac:dyDescent="0.3">
      <c r="I16527" t="s">
        <v>21762</v>
      </c>
    </row>
    <row r="16528" spans="9:10" x14ac:dyDescent="0.3">
      <c r="I16528" t="s">
        <v>21763</v>
      </c>
    </row>
    <row r="16529" spans="9:10" x14ac:dyDescent="0.3">
      <c r="I16529" t="s">
        <v>21764</v>
      </c>
    </row>
    <row r="16530" spans="9:10" x14ac:dyDescent="0.3">
      <c r="I16530" t="s">
        <v>21765</v>
      </c>
    </row>
    <row r="16531" spans="9:10" x14ac:dyDescent="0.3">
      <c r="I16531" t="s">
        <v>21766</v>
      </c>
      <c r="J16531" t="s">
        <v>5809</v>
      </c>
    </row>
    <row r="16532" spans="9:10" x14ac:dyDescent="0.3">
      <c r="I16532" t="s">
        <v>21767</v>
      </c>
    </row>
    <row r="16533" spans="9:10" x14ac:dyDescent="0.3">
      <c r="I16533" t="s">
        <v>21768</v>
      </c>
    </row>
    <row r="16534" spans="9:10" x14ac:dyDescent="0.3">
      <c r="I16534" t="s">
        <v>21769</v>
      </c>
    </row>
    <row r="16535" spans="9:10" x14ac:dyDescent="0.3">
      <c r="I16535" t="s">
        <v>21770</v>
      </c>
    </row>
    <row r="16536" spans="9:10" x14ac:dyDescent="0.3">
      <c r="I16536" t="s">
        <v>21771</v>
      </c>
    </row>
    <row r="16537" spans="9:10" x14ac:dyDescent="0.3">
      <c r="I16537" t="s">
        <v>21772</v>
      </c>
    </row>
    <row r="16538" spans="9:10" x14ac:dyDescent="0.3">
      <c r="I16538" t="s">
        <v>21773</v>
      </c>
    </row>
    <row r="16539" spans="9:10" x14ac:dyDescent="0.3">
      <c r="I16539" t="s">
        <v>21774</v>
      </c>
    </row>
    <row r="16540" spans="9:10" x14ac:dyDescent="0.3">
      <c r="I16540" t="s">
        <v>21775</v>
      </c>
    </row>
    <row r="16541" spans="9:10" x14ac:dyDescent="0.3">
      <c r="I16541" t="s">
        <v>21776</v>
      </c>
    </row>
    <row r="16542" spans="9:10" x14ac:dyDescent="0.3">
      <c r="I16542" t="s">
        <v>21777</v>
      </c>
    </row>
    <row r="16543" spans="9:10" x14ac:dyDescent="0.3">
      <c r="I16543" t="s">
        <v>21778</v>
      </c>
    </row>
    <row r="16544" spans="9:10" x14ac:dyDescent="0.3">
      <c r="I16544" t="s">
        <v>21779</v>
      </c>
    </row>
    <row r="16545" spans="9:9" x14ac:dyDescent="0.3">
      <c r="I16545" t="s">
        <v>21780</v>
      </c>
    </row>
    <row r="16546" spans="9:9" x14ac:dyDescent="0.3">
      <c r="I16546" t="s">
        <v>21781</v>
      </c>
    </row>
    <row r="16547" spans="9:9" x14ac:dyDescent="0.3">
      <c r="I16547" t="s">
        <v>21782</v>
      </c>
    </row>
    <row r="16548" spans="9:9" x14ac:dyDescent="0.3">
      <c r="I16548" t="s">
        <v>21783</v>
      </c>
    </row>
    <row r="16549" spans="9:9" x14ac:dyDescent="0.3">
      <c r="I16549" t="s">
        <v>21784</v>
      </c>
    </row>
    <row r="16550" spans="9:9" x14ac:dyDescent="0.3">
      <c r="I16550" t="s">
        <v>21785</v>
      </c>
    </row>
    <row r="16551" spans="9:9" x14ac:dyDescent="0.3">
      <c r="I16551" t="s">
        <v>21786</v>
      </c>
    </row>
    <row r="16552" spans="9:9" x14ac:dyDescent="0.3">
      <c r="I16552" t="s">
        <v>21787</v>
      </c>
    </row>
    <row r="16553" spans="9:9" x14ac:dyDescent="0.3">
      <c r="I16553" t="s">
        <v>21788</v>
      </c>
    </row>
    <row r="16554" spans="9:9" x14ac:dyDescent="0.3">
      <c r="I16554" t="s">
        <v>21789</v>
      </c>
    </row>
    <row r="16555" spans="9:9" x14ac:dyDescent="0.3">
      <c r="I16555" t="s">
        <v>21790</v>
      </c>
    </row>
    <row r="16556" spans="9:9" x14ac:dyDescent="0.3">
      <c r="I16556" t="s">
        <v>21791</v>
      </c>
    </row>
    <row r="16557" spans="9:9" x14ac:dyDescent="0.3">
      <c r="I16557" t="s">
        <v>21792</v>
      </c>
    </row>
    <row r="16558" spans="9:9" x14ac:dyDescent="0.3">
      <c r="I16558" t="s">
        <v>21793</v>
      </c>
    </row>
    <row r="16559" spans="9:9" x14ac:dyDescent="0.3">
      <c r="I16559" t="s">
        <v>21794</v>
      </c>
    </row>
    <row r="16560" spans="9:9" x14ac:dyDescent="0.3">
      <c r="I16560" t="s">
        <v>21795</v>
      </c>
    </row>
    <row r="16561" spans="9:9" x14ac:dyDescent="0.3">
      <c r="I16561" t="s">
        <v>21796</v>
      </c>
    </row>
    <row r="16562" spans="9:9" x14ac:dyDescent="0.3">
      <c r="I16562" t="s">
        <v>21797</v>
      </c>
    </row>
    <row r="16563" spans="9:9" x14ac:dyDescent="0.3">
      <c r="I16563" t="s">
        <v>21798</v>
      </c>
    </row>
    <row r="16564" spans="9:9" x14ac:dyDescent="0.3">
      <c r="I16564" t="s">
        <v>21799</v>
      </c>
    </row>
    <row r="16565" spans="9:9" x14ac:dyDescent="0.3">
      <c r="I16565" t="s">
        <v>21800</v>
      </c>
    </row>
    <row r="16566" spans="9:9" x14ac:dyDescent="0.3">
      <c r="I16566" t="s">
        <v>21801</v>
      </c>
    </row>
    <row r="16567" spans="9:9" x14ac:dyDescent="0.3">
      <c r="I16567" t="s">
        <v>21802</v>
      </c>
    </row>
    <row r="16568" spans="9:9" x14ac:dyDescent="0.3">
      <c r="I16568" t="s">
        <v>21803</v>
      </c>
    </row>
    <row r="16569" spans="9:9" x14ac:dyDescent="0.3">
      <c r="I16569" t="s">
        <v>21804</v>
      </c>
    </row>
    <row r="16570" spans="9:9" x14ac:dyDescent="0.3">
      <c r="I16570" t="s">
        <v>21805</v>
      </c>
    </row>
    <row r="16571" spans="9:9" x14ac:dyDescent="0.3">
      <c r="I16571" t="s">
        <v>21806</v>
      </c>
    </row>
    <row r="16572" spans="9:9" x14ac:dyDescent="0.3">
      <c r="I16572" t="s">
        <v>21807</v>
      </c>
    </row>
    <row r="16573" spans="9:9" x14ac:dyDescent="0.3">
      <c r="I16573" t="s">
        <v>21808</v>
      </c>
    </row>
    <row r="16574" spans="9:9" x14ac:dyDescent="0.3">
      <c r="I16574" t="s">
        <v>21809</v>
      </c>
    </row>
    <row r="16575" spans="9:9" x14ac:dyDescent="0.3">
      <c r="I16575" t="s">
        <v>21810</v>
      </c>
    </row>
    <row r="16576" spans="9:9" x14ac:dyDescent="0.3">
      <c r="I16576" t="s">
        <v>21811</v>
      </c>
    </row>
    <row r="16577" spans="9:10" x14ac:dyDescent="0.3">
      <c r="I16577" t="s">
        <v>21812</v>
      </c>
    </row>
    <row r="16578" spans="9:10" x14ac:dyDescent="0.3">
      <c r="I16578" t="s">
        <v>21813</v>
      </c>
      <c r="J16578" t="s">
        <v>5810</v>
      </c>
    </row>
    <row r="16579" spans="9:10" x14ac:dyDescent="0.3">
      <c r="I16579" t="s">
        <v>21814</v>
      </c>
    </row>
    <row r="16580" spans="9:10" x14ac:dyDescent="0.3">
      <c r="I16580" t="s">
        <v>21815</v>
      </c>
      <c r="J16580" t="s">
        <v>5811</v>
      </c>
    </row>
    <row r="16581" spans="9:10" x14ac:dyDescent="0.3">
      <c r="I16581" t="s">
        <v>21816</v>
      </c>
      <c r="J16581" t="s">
        <v>5811</v>
      </c>
    </row>
    <row r="16582" spans="9:10" x14ac:dyDescent="0.3">
      <c r="I16582" t="s">
        <v>21816</v>
      </c>
      <c r="J16582" t="s">
        <v>5811</v>
      </c>
    </row>
    <row r="16583" spans="9:10" x14ac:dyDescent="0.3">
      <c r="I16583" t="s">
        <v>21817</v>
      </c>
      <c r="J16583" t="s">
        <v>5812</v>
      </c>
    </row>
    <row r="16584" spans="9:10" x14ac:dyDescent="0.3">
      <c r="I16584" t="s">
        <v>21818</v>
      </c>
      <c r="J16584" t="s">
        <v>5813</v>
      </c>
    </row>
    <row r="16585" spans="9:10" x14ac:dyDescent="0.3">
      <c r="I16585" t="s">
        <v>21819</v>
      </c>
      <c r="J16585" t="s">
        <v>5814</v>
      </c>
    </row>
    <row r="16586" spans="9:10" x14ac:dyDescent="0.3">
      <c r="I16586" t="s">
        <v>21820</v>
      </c>
    </row>
    <row r="16587" spans="9:10" x14ac:dyDescent="0.3">
      <c r="I16587" t="s">
        <v>21821</v>
      </c>
      <c r="J16587" t="s">
        <v>5815</v>
      </c>
    </row>
    <row r="16588" spans="9:10" x14ac:dyDescent="0.3">
      <c r="I16588" t="s">
        <v>21822</v>
      </c>
      <c r="J16588" t="s">
        <v>5816</v>
      </c>
    </row>
    <row r="16589" spans="9:10" x14ac:dyDescent="0.3">
      <c r="I16589" t="s">
        <v>21823</v>
      </c>
    </row>
    <row r="16590" spans="9:10" x14ac:dyDescent="0.3">
      <c r="I16590" t="s">
        <v>21823</v>
      </c>
    </row>
    <row r="16591" spans="9:10" x14ac:dyDescent="0.3">
      <c r="I16591" t="s">
        <v>21824</v>
      </c>
    </row>
    <row r="16592" spans="9:10" x14ac:dyDescent="0.3">
      <c r="I16592" t="s">
        <v>21825</v>
      </c>
    </row>
    <row r="16593" spans="9:10" x14ac:dyDescent="0.3">
      <c r="I16593" t="s">
        <v>21826</v>
      </c>
    </row>
    <row r="16594" spans="9:10" x14ac:dyDescent="0.3">
      <c r="I16594" t="s">
        <v>21827</v>
      </c>
      <c r="J16594" t="s">
        <v>5817</v>
      </c>
    </row>
    <row r="16595" spans="9:10" x14ac:dyDescent="0.3">
      <c r="I16595" t="s">
        <v>21828</v>
      </c>
    </row>
    <row r="16596" spans="9:10" x14ac:dyDescent="0.3">
      <c r="I16596" t="s">
        <v>21829</v>
      </c>
      <c r="J16596" t="s">
        <v>5818</v>
      </c>
    </row>
    <row r="16597" spans="9:10" x14ac:dyDescent="0.3">
      <c r="I16597" t="s">
        <v>21830</v>
      </c>
      <c r="J16597" t="s">
        <v>5818</v>
      </c>
    </row>
    <row r="16598" spans="9:10" x14ac:dyDescent="0.3">
      <c r="I16598" t="s">
        <v>21831</v>
      </c>
      <c r="J16598" t="s">
        <v>5818</v>
      </c>
    </row>
    <row r="16599" spans="9:10" x14ac:dyDescent="0.3">
      <c r="I16599" t="s">
        <v>21832</v>
      </c>
      <c r="J16599" t="s">
        <v>5818</v>
      </c>
    </row>
    <row r="16600" spans="9:10" x14ac:dyDescent="0.3">
      <c r="I16600" t="s">
        <v>21833</v>
      </c>
      <c r="J16600" t="s">
        <v>5818</v>
      </c>
    </row>
    <row r="16601" spans="9:10" x14ac:dyDescent="0.3">
      <c r="I16601" t="s">
        <v>21834</v>
      </c>
      <c r="J16601" t="s">
        <v>5818</v>
      </c>
    </row>
    <row r="16602" spans="9:10" x14ac:dyDescent="0.3">
      <c r="I16602" t="s">
        <v>21835</v>
      </c>
      <c r="J16602" t="s">
        <v>5818</v>
      </c>
    </row>
    <row r="16603" spans="9:10" x14ac:dyDescent="0.3">
      <c r="I16603" t="s">
        <v>21829</v>
      </c>
      <c r="J16603" t="s">
        <v>5818</v>
      </c>
    </row>
    <row r="16604" spans="9:10" x14ac:dyDescent="0.3">
      <c r="I16604" t="s">
        <v>21836</v>
      </c>
      <c r="J16604" t="s">
        <v>5818</v>
      </c>
    </row>
    <row r="16605" spans="9:10" x14ac:dyDescent="0.3">
      <c r="I16605" t="s">
        <v>21829</v>
      </c>
      <c r="J16605" t="s">
        <v>5818</v>
      </c>
    </row>
    <row r="16606" spans="9:10" x14ac:dyDescent="0.3">
      <c r="I16606" t="s">
        <v>21829</v>
      </c>
      <c r="J16606" t="s">
        <v>5818</v>
      </c>
    </row>
    <row r="16607" spans="9:10" x14ac:dyDescent="0.3">
      <c r="I16607" t="s">
        <v>21837</v>
      </c>
      <c r="J16607" t="s">
        <v>5819</v>
      </c>
    </row>
    <row r="16608" spans="9:10" x14ac:dyDescent="0.3">
      <c r="I16608" t="s">
        <v>21838</v>
      </c>
    </row>
    <row r="16609" spans="9:10" x14ac:dyDescent="0.3">
      <c r="I16609" t="s">
        <v>21839</v>
      </c>
    </row>
    <row r="16610" spans="9:10" x14ac:dyDescent="0.3">
      <c r="I16610" t="s">
        <v>21840</v>
      </c>
    </row>
    <row r="16611" spans="9:10" x14ac:dyDescent="0.3">
      <c r="I16611" t="s">
        <v>21841</v>
      </c>
    </row>
    <row r="16612" spans="9:10" x14ac:dyDescent="0.3">
      <c r="I16612" t="s">
        <v>21842</v>
      </c>
      <c r="J16612" t="s">
        <v>5820</v>
      </c>
    </row>
    <row r="16613" spans="9:10" x14ac:dyDescent="0.3">
      <c r="I16613" t="s">
        <v>21843</v>
      </c>
      <c r="J16613" t="s">
        <v>5821</v>
      </c>
    </row>
    <row r="16614" spans="9:10" x14ac:dyDescent="0.3">
      <c r="I16614" t="s">
        <v>21844</v>
      </c>
    </row>
    <row r="16615" spans="9:10" x14ac:dyDescent="0.3">
      <c r="I16615" t="s">
        <v>21845</v>
      </c>
    </row>
    <row r="16616" spans="9:10" x14ac:dyDescent="0.3">
      <c r="I16616" t="s">
        <v>21846</v>
      </c>
    </row>
    <row r="16617" spans="9:10" x14ac:dyDescent="0.3">
      <c r="I16617" t="s">
        <v>21847</v>
      </c>
      <c r="J16617" t="s">
        <v>5822</v>
      </c>
    </row>
    <row r="16618" spans="9:10" x14ac:dyDescent="0.3">
      <c r="I16618" t="s">
        <v>21848</v>
      </c>
    </row>
    <row r="16619" spans="9:10" x14ac:dyDescent="0.3">
      <c r="I16619" t="s">
        <v>21849</v>
      </c>
    </row>
    <row r="16620" spans="9:10" x14ac:dyDescent="0.3">
      <c r="I16620" t="s">
        <v>21850</v>
      </c>
      <c r="J16620" t="s">
        <v>811</v>
      </c>
    </row>
    <row r="16621" spans="9:10" x14ac:dyDescent="0.3">
      <c r="I16621" t="s">
        <v>21851</v>
      </c>
      <c r="J16621" t="s">
        <v>5823</v>
      </c>
    </row>
    <row r="16622" spans="9:10" x14ac:dyDescent="0.3">
      <c r="I16622" t="s">
        <v>21852</v>
      </c>
      <c r="J16622" t="s">
        <v>5823</v>
      </c>
    </row>
    <row r="16623" spans="9:10" x14ac:dyDescent="0.3">
      <c r="I16623" t="s">
        <v>21853</v>
      </c>
    </row>
    <row r="16624" spans="9:10" x14ac:dyDescent="0.3">
      <c r="I16624" t="s">
        <v>21854</v>
      </c>
      <c r="J16624" t="s">
        <v>5824</v>
      </c>
    </row>
    <row r="16625" spans="9:10" x14ac:dyDescent="0.3">
      <c r="I16625" t="s">
        <v>21855</v>
      </c>
      <c r="J16625" t="s">
        <v>5825</v>
      </c>
    </row>
    <row r="16626" spans="9:10" x14ac:dyDescent="0.3">
      <c r="I16626" t="s">
        <v>21856</v>
      </c>
      <c r="J16626" t="s">
        <v>295</v>
      </c>
    </row>
    <row r="16627" spans="9:10" x14ac:dyDescent="0.3">
      <c r="I16627" t="s">
        <v>21857</v>
      </c>
      <c r="J16627" t="s">
        <v>297</v>
      </c>
    </row>
    <row r="16628" spans="9:10" x14ac:dyDescent="0.3">
      <c r="I16628" t="s">
        <v>21858</v>
      </c>
      <c r="J16628" t="s">
        <v>300</v>
      </c>
    </row>
    <row r="16629" spans="9:10" x14ac:dyDescent="0.3">
      <c r="I16629" t="s">
        <v>21859</v>
      </c>
      <c r="J16629" t="s">
        <v>299</v>
      </c>
    </row>
    <row r="16630" spans="9:10" x14ac:dyDescent="0.3">
      <c r="I16630" t="s">
        <v>21860</v>
      </c>
      <c r="J16630" t="s">
        <v>298</v>
      </c>
    </row>
    <row r="16631" spans="9:10" x14ac:dyDescent="0.3">
      <c r="I16631" t="s">
        <v>21861</v>
      </c>
      <c r="J16631" t="s">
        <v>294</v>
      </c>
    </row>
    <row r="16632" spans="9:10" x14ac:dyDescent="0.3">
      <c r="I16632" t="s">
        <v>21862</v>
      </c>
      <c r="J16632" t="s">
        <v>5826</v>
      </c>
    </row>
    <row r="16633" spans="9:10" x14ac:dyDescent="0.3">
      <c r="I16633" t="s">
        <v>21863</v>
      </c>
      <c r="J16633" t="s">
        <v>296</v>
      </c>
    </row>
    <row r="16634" spans="9:10" x14ac:dyDescent="0.3">
      <c r="I16634" t="s">
        <v>21864</v>
      </c>
      <c r="J16634" t="s">
        <v>292</v>
      </c>
    </row>
    <row r="16635" spans="9:10" x14ac:dyDescent="0.3">
      <c r="I16635" t="s">
        <v>21865</v>
      </c>
      <c r="J16635" t="s">
        <v>5827</v>
      </c>
    </row>
    <row r="16636" spans="9:10" x14ac:dyDescent="0.3">
      <c r="I16636" t="s">
        <v>21866</v>
      </c>
      <c r="J16636" t="s">
        <v>5827</v>
      </c>
    </row>
    <row r="16637" spans="9:10" x14ac:dyDescent="0.3">
      <c r="I16637" t="s">
        <v>21866</v>
      </c>
      <c r="J16637" t="s">
        <v>5827</v>
      </c>
    </row>
    <row r="16638" spans="9:10" x14ac:dyDescent="0.3">
      <c r="I16638" t="s">
        <v>21867</v>
      </c>
      <c r="J16638" t="s">
        <v>5827</v>
      </c>
    </row>
    <row r="16639" spans="9:10" x14ac:dyDescent="0.3">
      <c r="I16639" t="s">
        <v>21868</v>
      </c>
    </row>
    <row r="16640" spans="9:10" x14ac:dyDescent="0.3">
      <c r="I16640" t="s">
        <v>21869</v>
      </c>
    </row>
    <row r="16641" spans="9:10" x14ac:dyDescent="0.3">
      <c r="I16641" t="s">
        <v>21870</v>
      </c>
    </row>
    <row r="16642" spans="9:10" x14ac:dyDescent="0.3">
      <c r="I16642" t="s">
        <v>21871</v>
      </c>
    </row>
    <row r="16643" spans="9:10" x14ac:dyDescent="0.3">
      <c r="I16643" t="s">
        <v>21872</v>
      </c>
    </row>
    <row r="16644" spans="9:10" x14ac:dyDescent="0.3">
      <c r="I16644" t="s">
        <v>21873</v>
      </c>
      <c r="J16644" t="s">
        <v>5828</v>
      </c>
    </row>
    <row r="16645" spans="9:10" x14ac:dyDescent="0.3">
      <c r="I16645" t="s">
        <v>21874</v>
      </c>
      <c r="J16645" t="s">
        <v>5829</v>
      </c>
    </row>
    <row r="16646" spans="9:10" x14ac:dyDescent="0.3">
      <c r="I16646" t="s">
        <v>21875</v>
      </c>
      <c r="J16646" t="s">
        <v>5830</v>
      </c>
    </row>
    <row r="16647" spans="9:10" x14ac:dyDescent="0.3">
      <c r="I16647" t="s">
        <v>21876</v>
      </c>
      <c r="J16647" t="s">
        <v>5830</v>
      </c>
    </row>
    <row r="16648" spans="9:10" x14ac:dyDescent="0.3">
      <c r="I16648" t="s">
        <v>21877</v>
      </c>
      <c r="J16648" t="s">
        <v>5830</v>
      </c>
    </row>
    <row r="16649" spans="9:10" x14ac:dyDescent="0.3">
      <c r="I16649" t="s">
        <v>21878</v>
      </c>
    </row>
    <row r="16650" spans="9:10" x14ac:dyDescent="0.3">
      <c r="I16650" t="s">
        <v>21879</v>
      </c>
      <c r="J16650" t="s">
        <v>5831</v>
      </c>
    </row>
    <row r="16651" spans="9:10" x14ac:dyDescent="0.3">
      <c r="I16651" t="s">
        <v>21880</v>
      </c>
      <c r="J16651" t="s">
        <v>5832</v>
      </c>
    </row>
    <row r="16652" spans="9:10" x14ac:dyDescent="0.3">
      <c r="I16652" t="s">
        <v>21881</v>
      </c>
    </row>
    <row r="16653" spans="9:10" x14ac:dyDescent="0.3">
      <c r="I16653" t="s">
        <v>21882</v>
      </c>
    </row>
    <row r="16654" spans="9:10" x14ac:dyDescent="0.3">
      <c r="I16654" t="s">
        <v>21883</v>
      </c>
    </row>
    <row r="16655" spans="9:10" x14ac:dyDescent="0.3">
      <c r="I16655" t="s">
        <v>21884</v>
      </c>
    </row>
    <row r="16656" spans="9:10" x14ac:dyDescent="0.3">
      <c r="I16656" t="s">
        <v>21885</v>
      </c>
      <c r="J16656" t="s">
        <v>5833</v>
      </c>
    </row>
    <row r="16657" spans="9:10" x14ac:dyDescent="0.3">
      <c r="I16657" t="s">
        <v>21886</v>
      </c>
      <c r="J16657" t="s">
        <v>4572</v>
      </c>
    </row>
    <row r="16658" spans="9:10" x14ac:dyDescent="0.3">
      <c r="I16658" t="s">
        <v>21887</v>
      </c>
    </row>
    <row r="16659" spans="9:10" x14ac:dyDescent="0.3">
      <c r="I16659" t="s">
        <v>21887</v>
      </c>
    </row>
    <row r="16660" spans="9:10" x14ac:dyDescent="0.3">
      <c r="I16660" t="s">
        <v>21888</v>
      </c>
    </row>
    <row r="16661" spans="9:10" x14ac:dyDescent="0.3">
      <c r="I16661" t="s">
        <v>21889</v>
      </c>
      <c r="J16661" t="s">
        <v>5834</v>
      </c>
    </row>
    <row r="16662" spans="9:10" x14ac:dyDescent="0.3">
      <c r="I16662" t="s">
        <v>21890</v>
      </c>
      <c r="J16662" t="s">
        <v>5835</v>
      </c>
    </row>
    <row r="16663" spans="9:10" x14ac:dyDescent="0.3">
      <c r="I16663" t="s">
        <v>21891</v>
      </c>
      <c r="J16663" t="s">
        <v>5836</v>
      </c>
    </row>
    <row r="16664" spans="9:10" x14ac:dyDescent="0.3">
      <c r="I16664" t="s">
        <v>21892</v>
      </c>
      <c r="J16664" t="s">
        <v>5837</v>
      </c>
    </row>
    <row r="16665" spans="9:10" x14ac:dyDescent="0.3">
      <c r="I16665" t="s">
        <v>21893</v>
      </c>
      <c r="J16665" t="s">
        <v>5838</v>
      </c>
    </row>
    <row r="16666" spans="9:10" x14ac:dyDescent="0.3">
      <c r="I16666" t="s">
        <v>21893</v>
      </c>
      <c r="J16666" t="s">
        <v>5838</v>
      </c>
    </row>
    <row r="16667" spans="9:10" x14ac:dyDescent="0.3">
      <c r="I16667" t="s">
        <v>21894</v>
      </c>
    </row>
    <row r="16668" spans="9:10" x14ac:dyDescent="0.3">
      <c r="I16668" t="s">
        <v>21895</v>
      </c>
    </row>
    <row r="16669" spans="9:10" x14ac:dyDescent="0.3">
      <c r="I16669" t="s">
        <v>21896</v>
      </c>
    </row>
    <row r="16670" spans="9:10" x14ac:dyDescent="0.3">
      <c r="I16670" t="s">
        <v>21897</v>
      </c>
      <c r="J16670" t="s">
        <v>538</v>
      </c>
    </row>
    <row r="16671" spans="9:10" x14ac:dyDescent="0.3">
      <c r="I16671" t="s">
        <v>21898</v>
      </c>
      <c r="J16671" t="s">
        <v>538</v>
      </c>
    </row>
    <row r="16672" spans="9:10" x14ac:dyDescent="0.3">
      <c r="I16672" t="s">
        <v>21897</v>
      </c>
      <c r="J16672" t="s">
        <v>538</v>
      </c>
    </row>
    <row r="16673" spans="9:10" x14ac:dyDescent="0.3">
      <c r="I16673" t="s">
        <v>21897</v>
      </c>
      <c r="J16673" t="s">
        <v>538</v>
      </c>
    </row>
    <row r="16674" spans="9:10" x14ac:dyDescent="0.3">
      <c r="I16674" t="s">
        <v>21899</v>
      </c>
      <c r="J16674" t="s">
        <v>890</v>
      </c>
    </row>
    <row r="16675" spans="9:10" x14ac:dyDescent="0.3">
      <c r="I16675" t="s">
        <v>21899</v>
      </c>
      <c r="J16675" t="s">
        <v>890</v>
      </c>
    </row>
    <row r="16676" spans="9:10" x14ac:dyDescent="0.3">
      <c r="I16676" t="s">
        <v>21899</v>
      </c>
      <c r="J16676" t="s">
        <v>890</v>
      </c>
    </row>
    <row r="16677" spans="9:10" x14ac:dyDescent="0.3">
      <c r="I16677" t="s">
        <v>21899</v>
      </c>
      <c r="J16677" t="s">
        <v>890</v>
      </c>
    </row>
    <row r="16678" spans="9:10" x14ac:dyDescent="0.3">
      <c r="I16678" t="s">
        <v>21900</v>
      </c>
      <c r="J16678" t="s">
        <v>533</v>
      </c>
    </row>
    <row r="16679" spans="9:10" x14ac:dyDescent="0.3">
      <c r="I16679" t="s">
        <v>21900</v>
      </c>
      <c r="J16679" t="s">
        <v>533</v>
      </c>
    </row>
    <row r="16680" spans="9:10" x14ac:dyDescent="0.3">
      <c r="I16680" t="s">
        <v>21900</v>
      </c>
      <c r="J16680" t="s">
        <v>533</v>
      </c>
    </row>
    <row r="16681" spans="9:10" x14ac:dyDescent="0.3">
      <c r="I16681" t="s">
        <v>21901</v>
      </c>
      <c r="J16681" t="s">
        <v>225</v>
      </c>
    </row>
    <row r="16682" spans="9:10" x14ac:dyDescent="0.3">
      <c r="I16682" t="s">
        <v>21902</v>
      </c>
    </row>
    <row r="16683" spans="9:10" x14ac:dyDescent="0.3">
      <c r="I16683" t="s">
        <v>21903</v>
      </c>
    </row>
    <row r="16684" spans="9:10" x14ac:dyDescent="0.3">
      <c r="I16684" t="s">
        <v>21904</v>
      </c>
    </row>
    <row r="16685" spans="9:10" x14ac:dyDescent="0.3">
      <c r="I16685" t="s">
        <v>21905</v>
      </c>
    </row>
    <row r="16686" spans="9:10" x14ac:dyDescent="0.3">
      <c r="I16686" t="s">
        <v>21906</v>
      </c>
      <c r="J16686">
        <v>0</v>
      </c>
    </row>
    <row r="16687" spans="9:10" x14ac:dyDescent="0.3">
      <c r="I16687" t="s">
        <v>21907</v>
      </c>
      <c r="J16687" t="s">
        <v>5839</v>
      </c>
    </row>
    <row r="16688" spans="9:10" x14ac:dyDescent="0.3">
      <c r="I16688" t="s">
        <v>21908</v>
      </c>
      <c r="J16688" t="s">
        <v>5840</v>
      </c>
    </row>
    <row r="16689" spans="9:10" x14ac:dyDescent="0.3">
      <c r="I16689" t="s">
        <v>21909</v>
      </c>
      <c r="J16689" t="s">
        <v>5841</v>
      </c>
    </row>
    <row r="16690" spans="9:10" x14ac:dyDescent="0.3">
      <c r="I16690" t="s">
        <v>21909</v>
      </c>
      <c r="J16690" t="s">
        <v>5841</v>
      </c>
    </row>
    <row r="16691" spans="9:10" x14ac:dyDescent="0.3">
      <c r="I16691" t="s">
        <v>21910</v>
      </c>
    </row>
    <row r="16692" spans="9:10" x14ac:dyDescent="0.3">
      <c r="I16692" t="s">
        <v>21911</v>
      </c>
      <c r="J16692" t="s">
        <v>5842</v>
      </c>
    </row>
    <row r="16693" spans="9:10" x14ac:dyDescent="0.3">
      <c r="I16693" t="s">
        <v>21912</v>
      </c>
      <c r="J16693" t="s">
        <v>5842</v>
      </c>
    </row>
    <row r="16694" spans="9:10" x14ac:dyDescent="0.3">
      <c r="I16694" t="s">
        <v>21913</v>
      </c>
    </row>
    <row r="16695" spans="9:10" x14ac:dyDescent="0.3">
      <c r="I16695" t="s">
        <v>21914</v>
      </c>
    </row>
    <row r="16696" spans="9:10" x14ac:dyDescent="0.3">
      <c r="I16696" t="s">
        <v>21915</v>
      </c>
      <c r="J16696" t="s">
        <v>5843</v>
      </c>
    </row>
    <row r="16697" spans="9:10" x14ac:dyDescent="0.3">
      <c r="I16697" t="s">
        <v>21915</v>
      </c>
      <c r="J16697" t="s">
        <v>5843</v>
      </c>
    </row>
    <row r="16698" spans="9:10" x14ac:dyDescent="0.3">
      <c r="I16698" t="s">
        <v>21916</v>
      </c>
    </row>
    <row r="16699" spans="9:10" x14ac:dyDescent="0.3">
      <c r="I16699" t="s">
        <v>21917</v>
      </c>
    </row>
    <row r="16700" spans="9:10" x14ac:dyDescent="0.3">
      <c r="I16700" t="s">
        <v>21918</v>
      </c>
      <c r="J16700" t="s">
        <v>5844</v>
      </c>
    </row>
    <row r="16701" spans="9:10" x14ac:dyDescent="0.3">
      <c r="I16701" t="s">
        <v>21919</v>
      </c>
      <c r="J16701" t="s">
        <v>5845</v>
      </c>
    </row>
    <row r="16702" spans="9:10" x14ac:dyDescent="0.3">
      <c r="I16702" t="s">
        <v>21920</v>
      </c>
    </row>
    <row r="16703" spans="9:10" x14ac:dyDescent="0.3">
      <c r="I16703" t="s">
        <v>21920</v>
      </c>
    </row>
    <row r="16704" spans="9:10" x14ac:dyDescent="0.3">
      <c r="I16704" t="s">
        <v>21921</v>
      </c>
    </row>
    <row r="16705" spans="9:10" x14ac:dyDescent="0.3">
      <c r="I16705" t="s">
        <v>21922</v>
      </c>
      <c r="J16705" t="s">
        <v>5846</v>
      </c>
    </row>
    <row r="16706" spans="9:10" x14ac:dyDescent="0.3">
      <c r="I16706" t="s">
        <v>21923</v>
      </c>
      <c r="J16706" t="s">
        <v>769</v>
      </c>
    </row>
    <row r="16707" spans="9:10" x14ac:dyDescent="0.3">
      <c r="I16707" t="s">
        <v>21923</v>
      </c>
      <c r="J16707" t="s">
        <v>769</v>
      </c>
    </row>
    <row r="16708" spans="9:10" x14ac:dyDescent="0.3">
      <c r="I16708" t="s">
        <v>21924</v>
      </c>
      <c r="J16708" t="s">
        <v>5847</v>
      </c>
    </row>
    <row r="16709" spans="9:10" x14ac:dyDescent="0.3">
      <c r="I16709" t="s">
        <v>21924</v>
      </c>
      <c r="J16709" t="s">
        <v>5847</v>
      </c>
    </row>
    <row r="16710" spans="9:10" x14ac:dyDescent="0.3">
      <c r="I16710" t="s">
        <v>21925</v>
      </c>
      <c r="J16710" t="s">
        <v>5848</v>
      </c>
    </row>
    <row r="16711" spans="9:10" x14ac:dyDescent="0.3">
      <c r="I16711" t="s">
        <v>21926</v>
      </c>
      <c r="J16711" t="s">
        <v>537</v>
      </c>
    </row>
    <row r="16712" spans="9:10" x14ac:dyDescent="0.3">
      <c r="I16712" t="s">
        <v>21926</v>
      </c>
      <c r="J16712" t="s">
        <v>537</v>
      </c>
    </row>
    <row r="16713" spans="9:10" x14ac:dyDescent="0.3">
      <c r="I16713" t="s">
        <v>21927</v>
      </c>
      <c r="J16713" t="s">
        <v>537</v>
      </c>
    </row>
    <row r="16714" spans="9:10" x14ac:dyDescent="0.3">
      <c r="I16714" t="s">
        <v>21928</v>
      </c>
      <c r="J16714" t="s">
        <v>537</v>
      </c>
    </row>
    <row r="16715" spans="9:10" x14ac:dyDescent="0.3">
      <c r="I16715" t="s">
        <v>21929</v>
      </c>
    </row>
    <row r="16716" spans="9:10" x14ac:dyDescent="0.3">
      <c r="I16716" t="s">
        <v>21930</v>
      </c>
    </row>
    <row r="16717" spans="9:10" x14ac:dyDescent="0.3">
      <c r="I16717" t="s">
        <v>21931</v>
      </c>
    </row>
    <row r="16718" spans="9:10" x14ac:dyDescent="0.3">
      <c r="I16718" t="s">
        <v>21932</v>
      </c>
      <c r="J16718" t="s">
        <v>770</v>
      </c>
    </row>
    <row r="16719" spans="9:10" x14ac:dyDescent="0.3">
      <c r="I16719" t="s">
        <v>21933</v>
      </c>
      <c r="J16719" t="s">
        <v>770</v>
      </c>
    </row>
    <row r="16720" spans="9:10" x14ac:dyDescent="0.3">
      <c r="I16720" t="s">
        <v>21934</v>
      </c>
      <c r="J16720" t="s">
        <v>770</v>
      </c>
    </row>
    <row r="16721" spans="9:10" x14ac:dyDescent="0.3">
      <c r="I16721" t="s">
        <v>21935</v>
      </c>
      <c r="J16721" t="s">
        <v>770</v>
      </c>
    </row>
    <row r="16722" spans="9:10" x14ac:dyDescent="0.3">
      <c r="I16722" t="s">
        <v>21936</v>
      </c>
    </row>
    <row r="16723" spans="9:10" x14ac:dyDescent="0.3">
      <c r="I16723" t="s">
        <v>21937</v>
      </c>
      <c r="J16723" t="s">
        <v>5849</v>
      </c>
    </row>
    <row r="16724" spans="9:10" x14ac:dyDescent="0.3">
      <c r="I16724" t="s">
        <v>21938</v>
      </c>
    </row>
    <row r="16725" spans="9:10" x14ac:dyDescent="0.3">
      <c r="I16725" t="s">
        <v>21939</v>
      </c>
      <c r="J16725" t="s">
        <v>5850</v>
      </c>
    </row>
    <row r="16726" spans="9:10" x14ac:dyDescent="0.3">
      <c r="I16726" t="s">
        <v>21940</v>
      </c>
      <c r="J16726" t="s">
        <v>5851</v>
      </c>
    </row>
    <row r="16727" spans="9:10" x14ac:dyDescent="0.3">
      <c r="I16727" t="s">
        <v>21941</v>
      </c>
    </row>
    <row r="16728" spans="9:10" x14ac:dyDescent="0.3">
      <c r="I16728" t="s">
        <v>21942</v>
      </c>
    </row>
    <row r="16729" spans="9:10" x14ac:dyDescent="0.3">
      <c r="I16729" t="s">
        <v>21943</v>
      </c>
    </row>
    <row r="16730" spans="9:10" x14ac:dyDescent="0.3">
      <c r="I16730" t="s">
        <v>21943</v>
      </c>
    </row>
    <row r="16731" spans="9:10" x14ac:dyDescent="0.3">
      <c r="I16731" t="s">
        <v>21943</v>
      </c>
    </row>
    <row r="16732" spans="9:10" x14ac:dyDescent="0.3">
      <c r="I16732" t="s">
        <v>21944</v>
      </c>
      <c r="J16732" t="s">
        <v>5852</v>
      </c>
    </row>
    <row r="16733" spans="9:10" x14ac:dyDescent="0.3">
      <c r="I16733" t="s">
        <v>21944</v>
      </c>
      <c r="J16733" t="s">
        <v>5852</v>
      </c>
    </row>
    <row r="16734" spans="9:10" x14ac:dyDescent="0.3">
      <c r="I16734" t="s">
        <v>21944</v>
      </c>
      <c r="J16734" t="s">
        <v>5852</v>
      </c>
    </row>
    <row r="16735" spans="9:10" x14ac:dyDescent="0.3">
      <c r="I16735" t="s">
        <v>21945</v>
      </c>
    </row>
    <row r="16736" spans="9:10" x14ac:dyDescent="0.3">
      <c r="I16736" t="s">
        <v>21946</v>
      </c>
      <c r="J16736" t="s">
        <v>5853</v>
      </c>
    </row>
    <row r="16737" spans="9:10" x14ac:dyDescent="0.3">
      <c r="I16737" t="s">
        <v>21947</v>
      </c>
      <c r="J16737" t="s">
        <v>262</v>
      </c>
    </row>
    <row r="16738" spans="9:10" x14ac:dyDescent="0.3">
      <c r="I16738" t="s">
        <v>21948</v>
      </c>
      <c r="J16738" t="s">
        <v>261</v>
      </c>
    </row>
    <row r="16739" spans="9:10" x14ac:dyDescent="0.3">
      <c r="I16739" t="s">
        <v>21949</v>
      </c>
      <c r="J16739" t="s">
        <v>450</v>
      </c>
    </row>
    <row r="16740" spans="9:10" x14ac:dyDescent="0.3">
      <c r="I16740" t="s">
        <v>21950</v>
      </c>
      <c r="J16740" t="s">
        <v>5854</v>
      </c>
    </row>
    <row r="16741" spans="9:10" x14ac:dyDescent="0.3">
      <c r="I16741" t="s">
        <v>21951</v>
      </c>
      <c r="J16741" t="s">
        <v>5855</v>
      </c>
    </row>
    <row r="16742" spans="9:10" x14ac:dyDescent="0.3">
      <c r="I16742" t="s">
        <v>21952</v>
      </c>
    </row>
    <row r="16743" spans="9:10" x14ac:dyDescent="0.3">
      <c r="I16743" t="s">
        <v>21953</v>
      </c>
      <c r="J16743" t="s">
        <v>653</v>
      </c>
    </row>
    <row r="16744" spans="9:10" x14ac:dyDescent="0.3">
      <c r="I16744" t="s">
        <v>21954</v>
      </c>
    </row>
    <row r="16745" spans="9:10" x14ac:dyDescent="0.3">
      <c r="I16745" t="s">
        <v>21955</v>
      </c>
    </row>
    <row r="16746" spans="9:10" x14ac:dyDescent="0.3">
      <c r="I16746" t="s">
        <v>21956</v>
      </c>
      <c r="J16746" t="s">
        <v>5856</v>
      </c>
    </row>
    <row r="16747" spans="9:10" x14ac:dyDescent="0.3">
      <c r="I16747" t="s">
        <v>21957</v>
      </c>
      <c r="J16747" t="s">
        <v>5857</v>
      </c>
    </row>
    <row r="16748" spans="9:10" x14ac:dyDescent="0.3">
      <c r="I16748" t="s">
        <v>21958</v>
      </c>
      <c r="J16748" t="s">
        <v>5858</v>
      </c>
    </row>
    <row r="16749" spans="9:10" x14ac:dyDescent="0.3">
      <c r="I16749" t="s">
        <v>21959</v>
      </c>
      <c r="J16749" t="s">
        <v>302</v>
      </c>
    </row>
    <row r="16750" spans="9:10" x14ac:dyDescent="0.3">
      <c r="I16750" t="s">
        <v>21960</v>
      </c>
      <c r="J16750" t="s">
        <v>302</v>
      </c>
    </row>
    <row r="16751" spans="9:10" x14ac:dyDescent="0.3">
      <c r="I16751" t="s">
        <v>21961</v>
      </c>
      <c r="J16751" t="s">
        <v>335</v>
      </c>
    </row>
    <row r="16752" spans="9:10" x14ac:dyDescent="0.3">
      <c r="I16752" t="s">
        <v>21961</v>
      </c>
      <c r="J16752" t="s">
        <v>335</v>
      </c>
    </row>
    <row r="16753" spans="9:10" x14ac:dyDescent="0.3">
      <c r="I16753" t="s">
        <v>21961</v>
      </c>
      <c r="J16753" t="s">
        <v>335</v>
      </c>
    </row>
    <row r="16754" spans="9:10" x14ac:dyDescent="0.3">
      <c r="I16754" t="s">
        <v>21962</v>
      </c>
      <c r="J16754" t="s">
        <v>5859</v>
      </c>
    </row>
    <row r="16755" spans="9:10" x14ac:dyDescent="0.3">
      <c r="I16755" t="s">
        <v>21963</v>
      </c>
    </row>
    <row r="16756" spans="9:10" x14ac:dyDescent="0.3">
      <c r="I16756" t="s">
        <v>21964</v>
      </c>
    </row>
    <row r="16757" spans="9:10" x14ac:dyDescent="0.3">
      <c r="I16757" t="s">
        <v>21965</v>
      </c>
    </row>
    <row r="16758" spans="9:10" x14ac:dyDescent="0.3">
      <c r="I16758" t="s">
        <v>21966</v>
      </c>
      <c r="J16758" t="s">
        <v>5860</v>
      </c>
    </row>
    <row r="16759" spans="9:10" x14ac:dyDescent="0.3">
      <c r="I16759" t="s">
        <v>21967</v>
      </c>
      <c r="J16759" t="s">
        <v>5861</v>
      </c>
    </row>
    <row r="16760" spans="9:10" x14ac:dyDescent="0.3">
      <c r="I16760" t="s">
        <v>21968</v>
      </c>
      <c r="J16760" t="s">
        <v>5861</v>
      </c>
    </row>
    <row r="16761" spans="9:10" x14ac:dyDescent="0.3">
      <c r="I16761" t="s">
        <v>21969</v>
      </c>
    </row>
    <row r="16762" spans="9:10" x14ac:dyDescent="0.3">
      <c r="I16762" t="s">
        <v>21970</v>
      </c>
      <c r="J16762" t="s">
        <v>5862</v>
      </c>
    </row>
    <row r="16763" spans="9:10" x14ac:dyDescent="0.3">
      <c r="I16763" t="s">
        <v>21971</v>
      </c>
      <c r="J16763" t="s">
        <v>5862</v>
      </c>
    </row>
    <row r="16764" spans="9:10" x14ac:dyDescent="0.3">
      <c r="I16764" t="s">
        <v>21972</v>
      </c>
    </row>
    <row r="16765" spans="9:10" x14ac:dyDescent="0.3">
      <c r="I16765" t="s">
        <v>21973</v>
      </c>
      <c r="J16765" t="s">
        <v>432</v>
      </c>
    </row>
    <row r="16766" spans="9:10" x14ac:dyDescent="0.3">
      <c r="I16766" t="s">
        <v>21973</v>
      </c>
      <c r="J16766" t="s">
        <v>432</v>
      </c>
    </row>
    <row r="16767" spans="9:10" x14ac:dyDescent="0.3">
      <c r="I16767" t="s">
        <v>21974</v>
      </c>
      <c r="J16767" t="s">
        <v>5863</v>
      </c>
    </row>
    <row r="16768" spans="9:10" x14ac:dyDescent="0.3">
      <c r="I16768" t="s">
        <v>21974</v>
      </c>
      <c r="J16768" t="s">
        <v>5863</v>
      </c>
    </row>
    <row r="16769" spans="9:10" x14ac:dyDescent="0.3">
      <c r="I16769" t="s">
        <v>21975</v>
      </c>
    </row>
    <row r="16770" spans="9:10" x14ac:dyDescent="0.3">
      <c r="I16770" t="s">
        <v>21976</v>
      </c>
    </row>
    <row r="16771" spans="9:10" x14ac:dyDescent="0.3">
      <c r="I16771" t="s">
        <v>21977</v>
      </c>
      <c r="J16771" t="s">
        <v>5864</v>
      </c>
    </row>
    <row r="16772" spans="9:10" x14ac:dyDescent="0.3">
      <c r="I16772" t="s">
        <v>21977</v>
      </c>
      <c r="J16772" t="s">
        <v>5864</v>
      </c>
    </row>
    <row r="16773" spans="9:10" x14ac:dyDescent="0.3">
      <c r="I16773" t="s">
        <v>21978</v>
      </c>
    </row>
    <row r="16774" spans="9:10" x14ac:dyDescent="0.3">
      <c r="I16774" t="s">
        <v>21979</v>
      </c>
    </row>
    <row r="16775" spans="9:10" x14ac:dyDescent="0.3">
      <c r="I16775" t="s">
        <v>21980</v>
      </c>
    </row>
    <row r="16776" spans="9:10" x14ac:dyDescent="0.3">
      <c r="I16776" t="s">
        <v>21981</v>
      </c>
      <c r="J16776" t="s">
        <v>1022</v>
      </c>
    </row>
    <row r="16777" spans="9:10" x14ac:dyDescent="0.3">
      <c r="I16777" t="s">
        <v>21982</v>
      </c>
      <c r="J16777" t="s">
        <v>1022</v>
      </c>
    </row>
    <row r="16778" spans="9:10" x14ac:dyDescent="0.3">
      <c r="I16778" t="s">
        <v>21983</v>
      </c>
      <c r="J16778" t="s">
        <v>1022</v>
      </c>
    </row>
    <row r="16779" spans="9:10" x14ac:dyDescent="0.3">
      <c r="I16779" t="s">
        <v>21984</v>
      </c>
      <c r="J16779" t="s">
        <v>1022</v>
      </c>
    </row>
    <row r="16780" spans="9:10" x14ac:dyDescent="0.3">
      <c r="I16780" t="s">
        <v>21985</v>
      </c>
      <c r="J16780" t="s">
        <v>5865</v>
      </c>
    </row>
    <row r="16781" spans="9:10" x14ac:dyDescent="0.3">
      <c r="I16781" t="s">
        <v>21986</v>
      </c>
      <c r="J16781" t="s">
        <v>5865</v>
      </c>
    </row>
    <row r="16782" spans="9:10" x14ac:dyDescent="0.3">
      <c r="I16782" t="s">
        <v>21986</v>
      </c>
      <c r="J16782" t="s">
        <v>5865</v>
      </c>
    </row>
    <row r="16783" spans="9:10" x14ac:dyDescent="0.3">
      <c r="I16783" t="s">
        <v>21985</v>
      </c>
      <c r="J16783" t="s">
        <v>5865</v>
      </c>
    </row>
    <row r="16784" spans="9:10" x14ac:dyDescent="0.3">
      <c r="I16784" t="s">
        <v>21987</v>
      </c>
    </row>
    <row r="16785" spans="9:10" x14ac:dyDescent="0.3">
      <c r="I16785" t="s">
        <v>21988</v>
      </c>
      <c r="J16785" t="s">
        <v>5866</v>
      </c>
    </row>
    <row r="16786" spans="9:10" x14ac:dyDescent="0.3">
      <c r="I16786" t="s">
        <v>21989</v>
      </c>
    </row>
    <row r="16787" spans="9:10" x14ac:dyDescent="0.3">
      <c r="I16787" t="s">
        <v>21990</v>
      </c>
      <c r="J16787" t="s">
        <v>5867</v>
      </c>
    </row>
    <row r="16788" spans="9:10" x14ac:dyDescent="0.3">
      <c r="I16788" t="s">
        <v>21990</v>
      </c>
      <c r="J16788" t="s">
        <v>5867</v>
      </c>
    </row>
    <row r="16789" spans="9:10" x14ac:dyDescent="0.3">
      <c r="I16789" t="s">
        <v>21991</v>
      </c>
      <c r="J16789" t="s">
        <v>5868</v>
      </c>
    </row>
    <row r="16790" spans="9:10" x14ac:dyDescent="0.3">
      <c r="I16790" t="s">
        <v>21991</v>
      </c>
      <c r="J16790" t="s">
        <v>5868</v>
      </c>
    </row>
    <row r="16791" spans="9:10" x14ac:dyDescent="0.3">
      <c r="I16791" t="s">
        <v>21992</v>
      </c>
      <c r="J16791" t="s">
        <v>5869</v>
      </c>
    </row>
    <row r="16792" spans="9:10" x14ac:dyDescent="0.3">
      <c r="I16792" t="s">
        <v>21992</v>
      </c>
      <c r="J16792" t="s">
        <v>5869</v>
      </c>
    </row>
    <row r="16793" spans="9:10" x14ac:dyDescent="0.3">
      <c r="I16793" t="s">
        <v>21993</v>
      </c>
    </row>
    <row r="16794" spans="9:10" x14ac:dyDescent="0.3">
      <c r="I16794" t="s">
        <v>21994</v>
      </c>
      <c r="J16794" t="s">
        <v>5870</v>
      </c>
    </row>
    <row r="16795" spans="9:10" x14ac:dyDescent="0.3">
      <c r="I16795" t="s">
        <v>21995</v>
      </c>
      <c r="J16795" t="s">
        <v>5871</v>
      </c>
    </row>
    <row r="16796" spans="9:10" x14ac:dyDescent="0.3">
      <c r="I16796" t="s">
        <v>21996</v>
      </c>
      <c r="J16796" t="s">
        <v>5871</v>
      </c>
    </row>
    <row r="16797" spans="9:10" x14ac:dyDescent="0.3">
      <c r="I16797" t="s">
        <v>21997</v>
      </c>
    </row>
    <row r="16798" spans="9:10" x14ac:dyDescent="0.3">
      <c r="I16798" t="s">
        <v>21998</v>
      </c>
    </row>
    <row r="16799" spans="9:10" x14ac:dyDescent="0.3">
      <c r="I16799" t="s">
        <v>21999</v>
      </c>
    </row>
    <row r="16800" spans="9:10" x14ac:dyDescent="0.3">
      <c r="I16800" t="s">
        <v>22000</v>
      </c>
      <c r="J16800" t="s">
        <v>5872</v>
      </c>
    </row>
    <row r="16801" spans="9:10" x14ac:dyDescent="0.3">
      <c r="I16801" t="s">
        <v>22001</v>
      </c>
      <c r="J16801" t="s">
        <v>5873</v>
      </c>
    </row>
    <row r="16802" spans="9:10" x14ac:dyDescent="0.3">
      <c r="I16802" t="s">
        <v>22002</v>
      </c>
      <c r="J16802" t="s">
        <v>5873</v>
      </c>
    </row>
    <row r="16803" spans="9:10" x14ac:dyDescent="0.3">
      <c r="I16803" t="s">
        <v>22001</v>
      </c>
      <c r="J16803" t="s">
        <v>5873</v>
      </c>
    </row>
    <row r="16804" spans="9:10" x14ac:dyDescent="0.3">
      <c r="I16804" t="s">
        <v>22003</v>
      </c>
      <c r="J16804" t="s">
        <v>5874</v>
      </c>
    </row>
    <row r="16805" spans="9:10" x14ac:dyDescent="0.3">
      <c r="I16805" t="s">
        <v>22003</v>
      </c>
      <c r="J16805" t="s">
        <v>5874</v>
      </c>
    </row>
    <row r="16806" spans="9:10" x14ac:dyDescent="0.3">
      <c r="I16806" t="s">
        <v>22003</v>
      </c>
      <c r="J16806" t="s">
        <v>5874</v>
      </c>
    </row>
    <row r="16807" spans="9:10" x14ac:dyDescent="0.3">
      <c r="I16807" t="s">
        <v>22004</v>
      </c>
      <c r="J16807" t="s">
        <v>5875</v>
      </c>
    </row>
    <row r="16808" spans="9:10" x14ac:dyDescent="0.3">
      <c r="I16808" t="s">
        <v>22005</v>
      </c>
      <c r="J16808" t="s">
        <v>5876</v>
      </c>
    </row>
    <row r="16809" spans="9:10" x14ac:dyDescent="0.3">
      <c r="I16809" t="s">
        <v>22006</v>
      </c>
    </row>
    <row r="16810" spans="9:10" x14ac:dyDescent="0.3">
      <c r="I16810" t="s">
        <v>22007</v>
      </c>
    </row>
    <row r="16811" spans="9:10" x14ac:dyDescent="0.3">
      <c r="I16811" t="s">
        <v>22008</v>
      </c>
      <c r="J16811" t="s">
        <v>5877</v>
      </c>
    </row>
    <row r="16812" spans="9:10" x14ac:dyDescent="0.3">
      <c r="I16812" t="s">
        <v>22009</v>
      </c>
    </row>
    <row r="16813" spans="9:10" x14ac:dyDescent="0.3">
      <c r="I16813" t="s">
        <v>22010</v>
      </c>
    </row>
    <row r="16814" spans="9:10" x14ac:dyDescent="0.3">
      <c r="I16814" t="s">
        <v>22011</v>
      </c>
      <c r="J16814" t="s">
        <v>5878</v>
      </c>
    </row>
    <row r="16815" spans="9:10" x14ac:dyDescent="0.3">
      <c r="I16815" t="s">
        <v>22012</v>
      </c>
      <c r="J16815" t="s">
        <v>5878</v>
      </c>
    </row>
    <row r="16816" spans="9:10" x14ac:dyDescent="0.3">
      <c r="I16816" t="s">
        <v>22013</v>
      </c>
      <c r="J16816" t="s">
        <v>5878</v>
      </c>
    </row>
    <row r="16817" spans="9:10" x14ac:dyDescent="0.3">
      <c r="I16817" t="s">
        <v>22014</v>
      </c>
      <c r="J16817" t="s">
        <v>5878</v>
      </c>
    </row>
    <row r="16818" spans="9:10" x14ac:dyDescent="0.3">
      <c r="I16818" t="s">
        <v>22015</v>
      </c>
      <c r="J16818" t="s">
        <v>5878</v>
      </c>
    </row>
    <row r="16819" spans="9:10" x14ac:dyDescent="0.3">
      <c r="I16819" t="s">
        <v>22016</v>
      </c>
      <c r="J16819" t="s">
        <v>5878</v>
      </c>
    </row>
    <row r="16820" spans="9:10" x14ac:dyDescent="0.3">
      <c r="I16820" t="s">
        <v>22017</v>
      </c>
      <c r="J16820" t="s">
        <v>5878</v>
      </c>
    </row>
    <row r="16821" spans="9:10" x14ac:dyDescent="0.3">
      <c r="I16821" t="s">
        <v>22018</v>
      </c>
      <c r="J16821" t="s">
        <v>5878</v>
      </c>
    </row>
    <row r="16822" spans="9:10" x14ac:dyDescent="0.3">
      <c r="I16822" t="s">
        <v>22019</v>
      </c>
      <c r="J16822" t="s">
        <v>5878</v>
      </c>
    </row>
    <row r="16823" spans="9:10" x14ac:dyDescent="0.3">
      <c r="I16823" t="s">
        <v>22020</v>
      </c>
      <c r="J16823" t="s">
        <v>5878</v>
      </c>
    </row>
    <row r="16824" spans="9:10" x14ac:dyDescent="0.3">
      <c r="I16824" t="s">
        <v>22021</v>
      </c>
      <c r="J16824" t="s">
        <v>5878</v>
      </c>
    </row>
    <row r="16825" spans="9:10" x14ac:dyDescent="0.3">
      <c r="I16825" t="s">
        <v>22022</v>
      </c>
      <c r="J16825" t="s">
        <v>5878</v>
      </c>
    </row>
    <row r="16826" spans="9:10" x14ac:dyDescent="0.3">
      <c r="I16826" t="s">
        <v>22023</v>
      </c>
      <c r="J16826" t="s">
        <v>5878</v>
      </c>
    </row>
    <row r="16827" spans="9:10" x14ac:dyDescent="0.3">
      <c r="I16827" t="s">
        <v>22024</v>
      </c>
      <c r="J16827" t="s">
        <v>5878</v>
      </c>
    </row>
    <row r="16828" spans="9:10" x14ac:dyDescent="0.3">
      <c r="I16828" t="s">
        <v>22025</v>
      </c>
      <c r="J16828" t="s">
        <v>5878</v>
      </c>
    </row>
    <row r="16829" spans="9:10" x14ac:dyDescent="0.3">
      <c r="I16829" t="s">
        <v>22026</v>
      </c>
      <c r="J16829" t="s">
        <v>5878</v>
      </c>
    </row>
    <row r="16830" spans="9:10" x14ac:dyDescent="0.3">
      <c r="I16830" t="s">
        <v>22027</v>
      </c>
      <c r="J16830" t="s">
        <v>5878</v>
      </c>
    </row>
    <row r="16831" spans="9:10" x14ac:dyDescent="0.3">
      <c r="I16831" t="s">
        <v>22028</v>
      </c>
      <c r="J16831" t="s">
        <v>5878</v>
      </c>
    </row>
    <row r="16832" spans="9:10" x14ac:dyDescent="0.3">
      <c r="I16832" t="s">
        <v>22029</v>
      </c>
      <c r="J16832" t="s">
        <v>5878</v>
      </c>
    </row>
    <row r="16833" spans="9:10" x14ac:dyDescent="0.3">
      <c r="I16833" t="s">
        <v>22030</v>
      </c>
      <c r="J16833" t="s">
        <v>5878</v>
      </c>
    </row>
    <row r="16834" spans="9:10" x14ac:dyDescent="0.3">
      <c r="I16834" t="s">
        <v>22031</v>
      </c>
      <c r="J16834" t="s">
        <v>5878</v>
      </c>
    </row>
    <row r="16835" spans="9:10" x14ac:dyDescent="0.3">
      <c r="I16835" t="s">
        <v>22032</v>
      </c>
      <c r="J16835" t="s">
        <v>5878</v>
      </c>
    </row>
    <row r="16836" spans="9:10" x14ac:dyDescent="0.3">
      <c r="I16836" t="s">
        <v>22033</v>
      </c>
      <c r="J16836" t="s">
        <v>5878</v>
      </c>
    </row>
    <row r="16837" spans="9:10" x14ac:dyDescent="0.3">
      <c r="I16837" t="s">
        <v>22034</v>
      </c>
      <c r="J16837" t="s">
        <v>5878</v>
      </c>
    </row>
    <row r="16838" spans="9:10" x14ac:dyDescent="0.3">
      <c r="I16838" t="s">
        <v>22035</v>
      </c>
      <c r="J16838" t="s">
        <v>5878</v>
      </c>
    </row>
    <row r="16839" spans="9:10" x14ac:dyDescent="0.3">
      <c r="I16839" t="s">
        <v>22036</v>
      </c>
      <c r="J16839" t="s">
        <v>5878</v>
      </c>
    </row>
    <row r="16840" spans="9:10" x14ac:dyDescent="0.3">
      <c r="I16840" t="s">
        <v>22037</v>
      </c>
      <c r="J16840" t="s">
        <v>5878</v>
      </c>
    </row>
    <row r="16841" spans="9:10" x14ac:dyDescent="0.3">
      <c r="I16841" t="s">
        <v>22038</v>
      </c>
      <c r="J16841" t="s">
        <v>5878</v>
      </c>
    </row>
    <row r="16842" spans="9:10" x14ac:dyDescent="0.3">
      <c r="I16842" t="s">
        <v>22039</v>
      </c>
      <c r="J16842" t="s">
        <v>5878</v>
      </c>
    </row>
    <row r="16843" spans="9:10" x14ac:dyDescent="0.3">
      <c r="I16843" t="s">
        <v>22040</v>
      </c>
      <c r="J16843" t="s">
        <v>5878</v>
      </c>
    </row>
    <row r="16844" spans="9:10" x14ac:dyDescent="0.3">
      <c r="I16844" t="s">
        <v>22041</v>
      </c>
      <c r="J16844" t="s">
        <v>5878</v>
      </c>
    </row>
    <row r="16845" spans="9:10" x14ac:dyDescent="0.3">
      <c r="I16845" t="s">
        <v>22042</v>
      </c>
      <c r="J16845" t="s">
        <v>5878</v>
      </c>
    </row>
    <row r="16846" spans="9:10" x14ac:dyDescent="0.3">
      <c r="I16846" t="s">
        <v>22043</v>
      </c>
      <c r="J16846" t="s">
        <v>5878</v>
      </c>
    </row>
    <row r="16847" spans="9:10" x14ac:dyDescent="0.3">
      <c r="I16847" t="s">
        <v>22044</v>
      </c>
      <c r="J16847" t="s">
        <v>5878</v>
      </c>
    </row>
    <row r="16848" spans="9:10" x14ac:dyDescent="0.3">
      <c r="I16848" t="s">
        <v>22045</v>
      </c>
      <c r="J16848" t="s">
        <v>5878</v>
      </c>
    </row>
    <row r="16849" spans="9:10" x14ac:dyDescent="0.3">
      <c r="I16849" t="s">
        <v>22046</v>
      </c>
      <c r="J16849" t="s">
        <v>5878</v>
      </c>
    </row>
    <row r="16850" spans="9:10" x14ac:dyDescent="0.3">
      <c r="I16850" t="s">
        <v>22047</v>
      </c>
      <c r="J16850" t="s">
        <v>5878</v>
      </c>
    </row>
    <row r="16851" spans="9:10" x14ac:dyDescent="0.3">
      <c r="I16851" t="s">
        <v>22048</v>
      </c>
      <c r="J16851" t="s">
        <v>5878</v>
      </c>
    </row>
    <row r="16852" spans="9:10" x14ac:dyDescent="0.3">
      <c r="I16852" t="s">
        <v>22049</v>
      </c>
      <c r="J16852" t="s">
        <v>5878</v>
      </c>
    </row>
    <row r="16853" spans="9:10" x14ac:dyDescent="0.3">
      <c r="I16853" t="s">
        <v>22050</v>
      </c>
      <c r="J16853" t="s">
        <v>5878</v>
      </c>
    </row>
    <row r="16854" spans="9:10" x14ac:dyDescent="0.3">
      <c r="I16854" t="s">
        <v>22051</v>
      </c>
      <c r="J16854" t="s">
        <v>5878</v>
      </c>
    </row>
    <row r="16855" spans="9:10" x14ac:dyDescent="0.3">
      <c r="I16855" t="s">
        <v>22052</v>
      </c>
      <c r="J16855" t="s">
        <v>5878</v>
      </c>
    </row>
    <row r="16856" spans="9:10" x14ac:dyDescent="0.3">
      <c r="I16856" t="s">
        <v>22053</v>
      </c>
      <c r="J16856" t="s">
        <v>5878</v>
      </c>
    </row>
    <row r="16857" spans="9:10" x14ac:dyDescent="0.3">
      <c r="I16857" t="s">
        <v>22054</v>
      </c>
      <c r="J16857" t="s">
        <v>5878</v>
      </c>
    </row>
    <row r="16858" spans="9:10" x14ac:dyDescent="0.3">
      <c r="I16858" t="s">
        <v>22055</v>
      </c>
      <c r="J16858" t="s">
        <v>5878</v>
      </c>
    </row>
    <row r="16859" spans="9:10" x14ac:dyDescent="0.3">
      <c r="I16859" t="s">
        <v>22056</v>
      </c>
      <c r="J16859" t="s">
        <v>5878</v>
      </c>
    </row>
    <row r="16860" spans="9:10" x14ac:dyDescent="0.3">
      <c r="I16860" t="s">
        <v>22057</v>
      </c>
      <c r="J16860" t="s">
        <v>5878</v>
      </c>
    </row>
    <row r="16861" spans="9:10" x14ac:dyDescent="0.3">
      <c r="I16861" t="s">
        <v>22058</v>
      </c>
      <c r="J16861" t="s">
        <v>5878</v>
      </c>
    </row>
    <row r="16862" spans="9:10" x14ac:dyDescent="0.3">
      <c r="I16862" t="s">
        <v>22059</v>
      </c>
      <c r="J16862" t="s">
        <v>5878</v>
      </c>
    </row>
    <row r="16863" spans="9:10" x14ac:dyDescent="0.3">
      <c r="I16863" t="s">
        <v>22060</v>
      </c>
      <c r="J16863" t="s">
        <v>5878</v>
      </c>
    </row>
    <row r="16864" spans="9:10" x14ac:dyDescent="0.3">
      <c r="I16864" t="s">
        <v>22061</v>
      </c>
      <c r="J16864" t="s">
        <v>5878</v>
      </c>
    </row>
    <row r="16865" spans="9:10" x14ac:dyDescent="0.3">
      <c r="I16865" t="s">
        <v>22062</v>
      </c>
      <c r="J16865" t="s">
        <v>5878</v>
      </c>
    </row>
    <row r="16866" spans="9:10" x14ac:dyDescent="0.3">
      <c r="I16866" t="s">
        <v>22063</v>
      </c>
      <c r="J16866" t="s">
        <v>5878</v>
      </c>
    </row>
    <row r="16867" spans="9:10" x14ac:dyDescent="0.3">
      <c r="I16867" t="s">
        <v>22064</v>
      </c>
      <c r="J16867" t="s">
        <v>5878</v>
      </c>
    </row>
    <row r="16868" spans="9:10" x14ac:dyDescent="0.3">
      <c r="I16868" t="s">
        <v>22065</v>
      </c>
      <c r="J16868" t="s">
        <v>5878</v>
      </c>
    </row>
    <row r="16869" spans="9:10" x14ac:dyDescent="0.3">
      <c r="I16869" t="s">
        <v>22066</v>
      </c>
      <c r="J16869" t="s">
        <v>5878</v>
      </c>
    </row>
    <row r="16870" spans="9:10" x14ac:dyDescent="0.3">
      <c r="I16870" t="s">
        <v>22067</v>
      </c>
      <c r="J16870" t="s">
        <v>5878</v>
      </c>
    </row>
    <row r="16871" spans="9:10" x14ac:dyDescent="0.3">
      <c r="I16871" t="s">
        <v>22068</v>
      </c>
      <c r="J16871" t="s">
        <v>5878</v>
      </c>
    </row>
    <row r="16872" spans="9:10" x14ac:dyDescent="0.3">
      <c r="I16872" t="s">
        <v>22069</v>
      </c>
      <c r="J16872" t="s">
        <v>5878</v>
      </c>
    </row>
    <row r="16873" spans="9:10" x14ac:dyDescent="0.3">
      <c r="I16873" t="s">
        <v>22070</v>
      </c>
      <c r="J16873" t="s">
        <v>5878</v>
      </c>
    </row>
    <row r="16874" spans="9:10" x14ac:dyDescent="0.3">
      <c r="I16874" t="s">
        <v>22071</v>
      </c>
      <c r="J16874" t="s">
        <v>5878</v>
      </c>
    </row>
    <row r="16875" spans="9:10" x14ac:dyDescent="0.3">
      <c r="I16875" t="s">
        <v>22072</v>
      </c>
      <c r="J16875" t="s">
        <v>5878</v>
      </c>
    </row>
    <row r="16876" spans="9:10" x14ac:dyDescent="0.3">
      <c r="I16876" t="s">
        <v>22073</v>
      </c>
      <c r="J16876" t="s">
        <v>5878</v>
      </c>
    </row>
    <row r="16877" spans="9:10" x14ac:dyDescent="0.3">
      <c r="I16877" t="s">
        <v>22074</v>
      </c>
      <c r="J16877" t="s">
        <v>5878</v>
      </c>
    </row>
    <row r="16878" spans="9:10" x14ac:dyDescent="0.3">
      <c r="I16878" t="s">
        <v>22019</v>
      </c>
      <c r="J16878" t="s">
        <v>5878</v>
      </c>
    </row>
    <row r="16879" spans="9:10" x14ac:dyDescent="0.3">
      <c r="I16879" t="s">
        <v>22075</v>
      </c>
      <c r="J16879" t="s">
        <v>5878</v>
      </c>
    </row>
    <row r="16880" spans="9:10" x14ac:dyDescent="0.3">
      <c r="I16880" t="s">
        <v>22076</v>
      </c>
      <c r="J16880" t="s">
        <v>5878</v>
      </c>
    </row>
    <row r="16881" spans="9:10" x14ac:dyDescent="0.3">
      <c r="I16881" t="s">
        <v>22077</v>
      </c>
      <c r="J16881" t="s">
        <v>5878</v>
      </c>
    </row>
    <row r="16882" spans="9:10" x14ac:dyDescent="0.3">
      <c r="I16882" t="s">
        <v>22078</v>
      </c>
      <c r="J16882" t="s">
        <v>5878</v>
      </c>
    </row>
    <row r="16883" spans="9:10" x14ac:dyDescent="0.3">
      <c r="I16883" t="s">
        <v>22079</v>
      </c>
      <c r="J16883" t="s">
        <v>5878</v>
      </c>
    </row>
    <row r="16884" spans="9:10" x14ac:dyDescent="0.3">
      <c r="I16884" t="s">
        <v>22080</v>
      </c>
      <c r="J16884" t="s">
        <v>5878</v>
      </c>
    </row>
    <row r="16885" spans="9:10" x14ac:dyDescent="0.3">
      <c r="I16885" t="s">
        <v>22081</v>
      </c>
      <c r="J16885" t="s">
        <v>5878</v>
      </c>
    </row>
    <row r="16886" spans="9:10" x14ac:dyDescent="0.3">
      <c r="I16886" t="s">
        <v>22082</v>
      </c>
      <c r="J16886" t="s">
        <v>5878</v>
      </c>
    </row>
    <row r="16887" spans="9:10" x14ac:dyDescent="0.3">
      <c r="I16887" t="s">
        <v>22083</v>
      </c>
      <c r="J16887" t="s">
        <v>5878</v>
      </c>
    </row>
    <row r="16888" spans="9:10" x14ac:dyDescent="0.3">
      <c r="I16888" t="s">
        <v>22084</v>
      </c>
      <c r="J16888" t="s">
        <v>5878</v>
      </c>
    </row>
    <row r="16889" spans="9:10" x14ac:dyDescent="0.3">
      <c r="I16889" t="s">
        <v>22085</v>
      </c>
      <c r="J16889" t="s">
        <v>5878</v>
      </c>
    </row>
    <row r="16890" spans="9:10" x14ac:dyDescent="0.3">
      <c r="I16890" t="s">
        <v>22086</v>
      </c>
      <c r="J16890" t="s">
        <v>5878</v>
      </c>
    </row>
    <row r="16891" spans="9:10" x14ac:dyDescent="0.3">
      <c r="I16891" t="s">
        <v>22087</v>
      </c>
      <c r="J16891" t="s">
        <v>5878</v>
      </c>
    </row>
    <row r="16892" spans="9:10" x14ac:dyDescent="0.3">
      <c r="I16892" t="s">
        <v>22088</v>
      </c>
      <c r="J16892" t="s">
        <v>5878</v>
      </c>
    </row>
    <row r="16893" spans="9:10" x14ac:dyDescent="0.3">
      <c r="I16893" t="s">
        <v>22089</v>
      </c>
      <c r="J16893" t="s">
        <v>5878</v>
      </c>
    </row>
    <row r="16894" spans="9:10" x14ac:dyDescent="0.3">
      <c r="I16894" t="s">
        <v>22090</v>
      </c>
      <c r="J16894" t="s">
        <v>5878</v>
      </c>
    </row>
    <row r="16895" spans="9:10" x14ac:dyDescent="0.3">
      <c r="I16895" t="s">
        <v>22091</v>
      </c>
      <c r="J16895" t="s">
        <v>5878</v>
      </c>
    </row>
    <row r="16896" spans="9:10" x14ac:dyDescent="0.3">
      <c r="I16896" t="s">
        <v>22092</v>
      </c>
      <c r="J16896" t="s">
        <v>5878</v>
      </c>
    </row>
    <row r="16897" spans="9:10" x14ac:dyDescent="0.3">
      <c r="I16897" t="s">
        <v>22093</v>
      </c>
      <c r="J16897" t="s">
        <v>5878</v>
      </c>
    </row>
    <row r="16898" spans="9:10" x14ac:dyDescent="0.3">
      <c r="I16898" t="s">
        <v>22094</v>
      </c>
      <c r="J16898" t="s">
        <v>5878</v>
      </c>
    </row>
    <row r="16899" spans="9:10" x14ac:dyDescent="0.3">
      <c r="I16899" t="s">
        <v>22095</v>
      </c>
      <c r="J16899" t="s">
        <v>5878</v>
      </c>
    </row>
    <row r="16900" spans="9:10" x14ac:dyDescent="0.3">
      <c r="I16900" t="s">
        <v>22096</v>
      </c>
      <c r="J16900" t="s">
        <v>5878</v>
      </c>
    </row>
    <row r="16901" spans="9:10" x14ac:dyDescent="0.3">
      <c r="I16901" t="s">
        <v>22097</v>
      </c>
      <c r="J16901" t="s">
        <v>5878</v>
      </c>
    </row>
    <row r="16902" spans="9:10" x14ac:dyDescent="0.3">
      <c r="I16902" t="s">
        <v>22098</v>
      </c>
      <c r="J16902" t="s">
        <v>5878</v>
      </c>
    </row>
    <row r="16903" spans="9:10" x14ac:dyDescent="0.3">
      <c r="I16903" t="s">
        <v>22099</v>
      </c>
      <c r="J16903" t="s">
        <v>5878</v>
      </c>
    </row>
    <row r="16904" spans="9:10" x14ac:dyDescent="0.3">
      <c r="I16904" t="s">
        <v>22100</v>
      </c>
      <c r="J16904" t="s">
        <v>5878</v>
      </c>
    </row>
    <row r="16905" spans="9:10" x14ac:dyDescent="0.3">
      <c r="I16905" t="s">
        <v>22101</v>
      </c>
      <c r="J16905" t="s">
        <v>5878</v>
      </c>
    </row>
    <row r="16906" spans="9:10" x14ac:dyDescent="0.3">
      <c r="I16906" t="s">
        <v>22102</v>
      </c>
      <c r="J16906" t="s">
        <v>5878</v>
      </c>
    </row>
    <row r="16907" spans="9:10" x14ac:dyDescent="0.3">
      <c r="I16907" t="s">
        <v>22103</v>
      </c>
      <c r="J16907" t="s">
        <v>5878</v>
      </c>
    </row>
    <row r="16908" spans="9:10" x14ac:dyDescent="0.3">
      <c r="I16908" t="s">
        <v>22104</v>
      </c>
      <c r="J16908" t="s">
        <v>5878</v>
      </c>
    </row>
    <row r="16909" spans="9:10" x14ac:dyDescent="0.3">
      <c r="I16909" t="s">
        <v>22105</v>
      </c>
      <c r="J16909" t="s">
        <v>5878</v>
      </c>
    </row>
    <row r="16910" spans="9:10" x14ac:dyDescent="0.3">
      <c r="I16910" t="s">
        <v>22106</v>
      </c>
      <c r="J16910" t="s">
        <v>5878</v>
      </c>
    </row>
    <row r="16911" spans="9:10" x14ac:dyDescent="0.3">
      <c r="I16911" t="s">
        <v>22107</v>
      </c>
      <c r="J16911" t="s">
        <v>5878</v>
      </c>
    </row>
    <row r="16912" spans="9:10" x14ac:dyDescent="0.3">
      <c r="I16912" t="s">
        <v>22108</v>
      </c>
      <c r="J16912" t="s">
        <v>5878</v>
      </c>
    </row>
    <row r="16913" spans="9:10" x14ac:dyDescent="0.3">
      <c r="I16913" t="s">
        <v>22109</v>
      </c>
      <c r="J16913" t="s">
        <v>5878</v>
      </c>
    </row>
    <row r="16914" spans="9:10" x14ac:dyDescent="0.3">
      <c r="I16914" t="s">
        <v>22110</v>
      </c>
      <c r="J16914" t="s">
        <v>5878</v>
      </c>
    </row>
    <row r="16915" spans="9:10" x14ac:dyDescent="0.3">
      <c r="I16915" t="s">
        <v>22111</v>
      </c>
      <c r="J16915" t="s">
        <v>5878</v>
      </c>
    </row>
    <row r="16916" spans="9:10" x14ac:dyDescent="0.3">
      <c r="I16916" t="s">
        <v>22112</v>
      </c>
      <c r="J16916" t="s">
        <v>5878</v>
      </c>
    </row>
    <row r="16917" spans="9:10" x14ac:dyDescent="0.3">
      <c r="I16917" t="s">
        <v>22113</v>
      </c>
      <c r="J16917" t="s">
        <v>5878</v>
      </c>
    </row>
    <row r="16918" spans="9:10" x14ac:dyDescent="0.3">
      <c r="I16918" t="s">
        <v>22114</v>
      </c>
      <c r="J16918" t="s">
        <v>5878</v>
      </c>
    </row>
    <row r="16919" spans="9:10" x14ac:dyDescent="0.3">
      <c r="I16919" t="s">
        <v>22115</v>
      </c>
      <c r="J16919" t="s">
        <v>5878</v>
      </c>
    </row>
    <row r="16920" spans="9:10" x14ac:dyDescent="0.3">
      <c r="I16920" t="s">
        <v>22056</v>
      </c>
      <c r="J16920" t="s">
        <v>5878</v>
      </c>
    </row>
    <row r="16921" spans="9:10" x14ac:dyDescent="0.3">
      <c r="I16921" t="s">
        <v>22116</v>
      </c>
      <c r="J16921" t="s">
        <v>5878</v>
      </c>
    </row>
    <row r="16922" spans="9:10" x14ac:dyDescent="0.3">
      <c r="I16922" t="s">
        <v>22117</v>
      </c>
      <c r="J16922" t="s">
        <v>5878</v>
      </c>
    </row>
    <row r="16923" spans="9:10" x14ac:dyDescent="0.3">
      <c r="I16923" t="s">
        <v>22118</v>
      </c>
      <c r="J16923" t="s">
        <v>5878</v>
      </c>
    </row>
    <row r="16924" spans="9:10" x14ac:dyDescent="0.3">
      <c r="I16924" t="s">
        <v>22119</v>
      </c>
      <c r="J16924" t="s">
        <v>5878</v>
      </c>
    </row>
    <row r="16925" spans="9:10" x14ac:dyDescent="0.3">
      <c r="I16925" t="s">
        <v>22120</v>
      </c>
      <c r="J16925" t="s">
        <v>5878</v>
      </c>
    </row>
    <row r="16926" spans="9:10" x14ac:dyDescent="0.3">
      <c r="I16926" t="s">
        <v>22121</v>
      </c>
      <c r="J16926" t="s">
        <v>5878</v>
      </c>
    </row>
    <row r="16927" spans="9:10" x14ac:dyDescent="0.3">
      <c r="I16927" t="s">
        <v>22122</v>
      </c>
      <c r="J16927" t="s">
        <v>5878</v>
      </c>
    </row>
    <row r="16928" spans="9:10" x14ac:dyDescent="0.3">
      <c r="I16928" t="s">
        <v>22123</v>
      </c>
      <c r="J16928" t="s">
        <v>5878</v>
      </c>
    </row>
    <row r="16929" spans="9:10" x14ac:dyDescent="0.3">
      <c r="I16929" t="s">
        <v>22124</v>
      </c>
      <c r="J16929" t="s">
        <v>5878</v>
      </c>
    </row>
    <row r="16930" spans="9:10" x14ac:dyDescent="0.3">
      <c r="I16930" t="s">
        <v>22125</v>
      </c>
      <c r="J16930" t="s">
        <v>5878</v>
      </c>
    </row>
    <row r="16931" spans="9:10" x14ac:dyDescent="0.3">
      <c r="I16931" t="s">
        <v>22126</v>
      </c>
      <c r="J16931" t="s">
        <v>5878</v>
      </c>
    </row>
    <row r="16932" spans="9:10" x14ac:dyDescent="0.3">
      <c r="I16932" t="s">
        <v>22127</v>
      </c>
      <c r="J16932" t="s">
        <v>5878</v>
      </c>
    </row>
    <row r="16933" spans="9:10" x14ac:dyDescent="0.3">
      <c r="I16933" t="s">
        <v>22128</v>
      </c>
      <c r="J16933" t="s">
        <v>5878</v>
      </c>
    </row>
    <row r="16934" spans="9:10" x14ac:dyDescent="0.3">
      <c r="I16934" t="s">
        <v>22129</v>
      </c>
      <c r="J16934" t="s">
        <v>5878</v>
      </c>
    </row>
    <row r="16935" spans="9:10" x14ac:dyDescent="0.3">
      <c r="I16935" t="s">
        <v>22130</v>
      </c>
      <c r="J16935" t="s">
        <v>5878</v>
      </c>
    </row>
    <row r="16936" spans="9:10" x14ac:dyDescent="0.3">
      <c r="I16936" t="s">
        <v>22131</v>
      </c>
      <c r="J16936" t="s">
        <v>5878</v>
      </c>
    </row>
    <row r="16937" spans="9:10" x14ac:dyDescent="0.3">
      <c r="I16937" t="s">
        <v>22132</v>
      </c>
      <c r="J16937" t="s">
        <v>5878</v>
      </c>
    </row>
    <row r="16938" spans="9:10" x14ac:dyDescent="0.3">
      <c r="I16938" t="s">
        <v>22133</v>
      </c>
      <c r="J16938" t="s">
        <v>5878</v>
      </c>
    </row>
    <row r="16939" spans="9:10" x14ac:dyDescent="0.3">
      <c r="I16939" t="s">
        <v>22134</v>
      </c>
      <c r="J16939" t="s">
        <v>5878</v>
      </c>
    </row>
    <row r="16940" spans="9:10" x14ac:dyDescent="0.3">
      <c r="I16940" t="s">
        <v>22135</v>
      </c>
      <c r="J16940" t="s">
        <v>5878</v>
      </c>
    </row>
    <row r="16941" spans="9:10" x14ac:dyDescent="0.3">
      <c r="I16941" t="s">
        <v>22056</v>
      </c>
      <c r="J16941" t="s">
        <v>5878</v>
      </c>
    </row>
    <row r="16942" spans="9:10" x14ac:dyDescent="0.3">
      <c r="I16942" t="s">
        <v>22136</v>
      </c>
      <c r="J16942" t="s">
        <v>5878</v>
      </c>
    </row>
    <row r="16943" spans="9:10" x14ac:dyDescent="0.3">
      <c r="I16943" t="s">
        <v>22137</v>
      </c>
      <c r="J16943" t="s">
        <v>5878</v>
      </c>
    </row>
    <row r="16944" spans="9:10" x14ac:dyDescent="0.3">
      <c r="I16944" t="s">
        <v>22138</v>
      </c>
      <c r="J16944" t="s">
        <v>5878</v>
      </c>
    </row>
    <row r="16945" spans="9:10" x14ac:dyDescent="0.3">
      <c r="I16945" t="s">
        <v>22139</v>
      </c>
      <c r="J16945" t="s">
        <v>5878</v>
      </c>
    </row>
    <row r="16946" spans="9:10" x14ac:dyDescent="0.3">
      <c r="I16946" t="s">
        <v>22140</v>
      </c>
      <c r="J16946" t="s">
        <v>5878</v>
      </c>
    </row>
    <row r="16947" spans="9:10" x14ac:dyDescent="0.3">
      <c r="I16947" t="s">
        <v>22141</v>
      </c>
      <c r="J16947" t="s">
        <v>5878</v>
      </c>
    </row>
    <row r="16948" spans="9:10" x14ac:dyDescent="0.3">
      <c r="I16948" t="s">
        <v>22142</v>
      </c>
      <c r="J16948" t="s">
        <v>5878</v>
      </c>
    </row>
    <row r="16949" spans="9:10" x14ac:dyDescent="0.3">
      <c r="I16949" t="s">
        <v>22143</v>
      </c>
      <c r="J16949" t="s">
        <v>5878</v>
      </c>
    </row>
    <row r="16950" spans="9:10" x14ac:dyDescent="0.3">
      <c r="I16950" t="s">
        <v>22144</v>
      </c>
      <c r="J16950" t="s">
        <v>5878</v>
      </c>
    </row>
    <row r="16951" spans="9:10" x14ac:dyDescent="0.3">
      <c r="I16951" t="s">
        <v>22145</v>
      </c>
      <c r="J16951" t="s">
        <v>5878</v>
      </c>
    </row>
    <row r="16952" spans="9:10" x14ac:dyDescent="0.3">
      <c r="I16952" t="s">
        <v>22146</v>
      </c>
      <c r="J16952" t="s">
        <v>5878</v>
      </c>
    </row>
    <row r="16953" spans="9:10" x14ac:dyDescent="0.3">
      <c r="I16953" t="s">
        <v>22147</v>
      </c>
      <c r="J16953" t="s">
        <v>5878</v>
      </c>
    </row>
    <row r="16954" spans="9:10" x14ac:dyDescent="0.3">
      <c r="I16954" t="s">
        <v>22148</v>
      </c>
      <c r="J16954" t="s">
        <v>5878</v>
      </c>
    </row>
    <row r="16955" spans="9:10" x14ac:dyDescent="0.3">
      <c r="I16955" t="s">
        <v>22149</v>
      </c>
      <c r="J16955" t="s">
        <v>5878</v>
      </c>
    </row>
    <row r="16956" spans="9:10" x14ac:dyDescent="0.3">
      <c r="I16956" t="s">
        <v>22150</v>
      </c>
      <c r="J16956" t="s">
        <v>5878</v>
      </c>
    </row>
    <row r="16957" spans="9:10" x14ac:dyDescent="0.3">
      <c r="I16957" t="s">
        <v>22151</v>
      </c>
      <c r="J16957" t="s">
        <v>5878</v>
      </c>
    </row>
    <row r="16958" spans="9:10" x14ac:dyDescent="0.3">
      <c r="I16958" t="s">
        <v>22152</v>
      </c>
      <c r="J16958" t="s">
        <v>5878</v>
      </c>
    </row>
    <row r="16959" spans="9:10" x14ac:dyDescent="0.3">
      <c r="I16959" t="s">
        <v>22153</v>
      </c>
      <c r="J16959" t="s">
        <v>5878</v>
      </c>
    </row>
    <row r="16960" spans="9:10" x14ac:dyDescent="0.3">
      <c r="I16960" t="s">
        <v>22154</v>
      </c>
      <c r="J16960" t="s">
        <v>5878</v>
      </c>
    </row>
    <row r="16961" spans="9:10" x14ac:dyDescent="0.3">
      <c r="I16961" t="s">
        <v>22155</v>
      </c>
      <c r="J16961" t="s">
        <v>5878</v>
      </c>
    </row>
    <row r="16962" spans="9:10" x14ac:dyDescent="0.3">
      <c r="I16962" t="s">
        <v>22156</v>
      </c>
      <c r="J16962" t="s">
        <v>5878</v>
      </c>
    </row>
    <row r="16963" spans="9:10" x14ac:dyDescent="0.3">
      <c r="I16963" t="s">
        <v>22157</v>
      </c>
      <c r="J16963" t="s">
        <v>5878</v>
      </c>
    </row>
    <row r="16964" spans="9:10" x14ac:dyDescent="0.3">
      <c r="I16964" t="s">
        <v>22158</v>
      </c>
      <c r="J16964" t="s">
        <v>5878</v>
      </c>
    </row>
    <row r="16965" spans="9:10" x14ac:dyDescent="0.3">
      <c r="I16965" t="s">
        <v>22159</v>
      </c>
      <c r="J16965" t="s">
        <v>5878</v>
      </c>
    </row>
    <row r="16966" spans="9:10" x14ac:dyDescent="0.3">
      <c r="I16966" t="s">
        <v>22160</v>
      </c>
      <c r="J16966" t="s">
        <v>5878</v>
      </c>
    </row>
    <row r="16967" spans="9:10" x14ac:dyDescent="0.3">
      <c r="I16967" t="s">
        <v>22161</v>
      </c>
      <c r="J16967" t="s">
        <v>5878</v>
      </c>
    </row>
    <row r="16968" spans="9:10" x14ac:dyDescent="0.3">
      <c r="I16968" t="s">
        <v>22162</v>
      </c>
      <c r="J16968" t="s">
        <v>5878</v>
      </c>
    </row>
    <row r="16969" spans="9:10" x14ac:dyDescent="0.3">
      <c r="I16969" t="s">
        <v>22163</v>
      </c>
      <c r="J16969" t="s">
        <v>5878</v>
      </c>
    </row>
    <row r="16970" spans="9:10" x14ac:dyDescent="0.3">
      <c r="I16970" t="s">
        <v>22164</v>
      </c>
      <c r="J16970" t="s">
        <v>5878</v>
      </c>
    </row>
    <row r="16971" spans="9:10" x14ac:dyDescent="0.3">
      <c r="I16971" t="s">
        <v>22165</v>
      </c>
      <c r="J16971" t="s">
        <v>5878</v>
      </c>
    </row>
    <row r="16972" spans="9:10" x14ac:dyDescent="0.3">
      <c r="I16972" t="s">
        <v>22166</v>
      </c>
      <c r="J16972" t="s">
        <v>5878</v>
      </c>
    </row>
    <row r="16973" spans="9:10" x14ac:dyDescent="0.3">
      <c r="I16973" t="s">
        <v>22167</v>
      </c>
      <c r="J16973" t="s">
        <v>5878</v>
      </c>
    </row>
    <row r="16974" spans="9:10" x14ac:dyDescent="0.3">
      <c r="I16974" t="s">
        <v>22168</v>
      </c>
      <c r="J16974" t="s">
        <v>5878</v>
      </c>
    </row>
    <row r="16975" spans="9:10" x14ac:dyDescent="0.3">
      <c r="I16975" t="s">
        <v>22169</v>
      </c>
      <c r="J16975" t="s">
        <v>5878</v>
      </c>
    </row>
    <row r="16976" spans="9:10" x14ac:dyDescent="0.3">
      <c r="I16976" t="s">
        <v>22170</v>
      </c>
      <c r="J16976" t="s">
        <v>5878</v>
      </c>
    </row>
    <row r="16977" spans="9:10" x14ac:dyDescent="0.3">
      <c r="I16977" t="s">
        <v>22171</v>
      </c>
      <c r="J16977" t="s">
        <v>5878</v>
      </c>
    </row>
    <row r="16978" spans="9:10" x14ac:dyDescent="0.3">
      <c r="I16978" t="s">
        <v>22172</v>
      </c>
      <c r="J16978" t="s">
        <v>5878</v>
      </c>
    </row>
    <row r="16979" spans="9:10" x14ac:dyDescent="0.3">
      <c r="I16979" t="s">
        <v>22173</v>
      </c>
      <c r="J16979" t="s">
        <v>5878</v>
      </c>
    </row>
    <row r="16980" spans="9:10" x14ac:dyDescent="0.3">
      <c r="I16980" t="s">
        <v>22174</v>
      </c>
      <c r="J16980" t="s">
        <v>5878</v>
      </c>
    </row>
    <row r="16981" spans="9:10" x14ac:dyDescent="0.3">
      <c r="I16981" t="s">
        <v>22175</v>
      </c>
      <c r="J16981" t="s">
        <v>5878</v>
      </c>
    </row>
    <row r="16982" spans="9:10" x14ac:dyDescent="0.3">
      <c r="I16982" t="s">
        <v>22176</v>
      </c>
      <c r="J16982" t="s">
        <v>5878</v>
      </c>
    </row>
    <row r="16983" spans="9:10" x14ac:dyDescent="0.3">
      <c r="I16983" t="s">
        <v>22177</v>
      </c>
      <c r="J16983" t="s">
        <v>5878</v>
      </c>
    </row>
    <row r="16984" spans="9:10" x14ac:dyDescent="0.3">
      <c r="I16984" t="s">
        <v>22178</v>
      </c>
      <c r="J16984" t="s">
        <v>5878</v>
      </c>
    </row>
    <row r="16985" spans="9:10" x14ac:dyDescent="0.3">
      <c r="I16985" t="s">
        <v>22179</v>
      </c>
      <c r="J16985" t="s">
        <v>5878</v>
      </c>
    </row>
    <row r="16986" spans="9:10" x14ac:dyDescent="0.3">
      <c r="I16986" t="s">
        <v>22180</v>
      </c>
      <c r="J16986" t="s">
        <v>5878</v>
      </c>
    </row>
    <row r="16987" spans="9:10" x14ac:dyDescent="0.3">
      <c r="I16987" t="s">
        <v>22181</v>
      </c>
      <c r="J16987" t="s">
        <v>5878</v>
      </c>
    </row>
    <row r="16988" spans="9:10" x14ac:dyDescent="0.3">
      <c r="I16988" t="s">
        <v>22182</v>
      </c>
      <c r="J16988" t="s">
        <v>5878</v>
      </c>
    </row>
    <row r="16989" spans="9:10" x14ac:dyDescent="0.3">
      <c r="I16989" t="s">
        <v>22183</v>
      </c>
      <c r="J16989" t="s">
        <v>5878</v>
      </c>
    </row>
    <row r="16990" spans="9:10" x14ac:dyDescent="0.3">
      <c r="I16990" t="s">
        <v>22184</v>
      </c>
      <c r="J16990" t="s">
        <v>5878</v>
      </c>
    </row>
    <row r="16991" spans="9:10" x14ac:dyDescent="0.3">
      <c r="I16991" t="s">
        <v>22185</v>
      </c>
      <c r="J16991" t="s">
        <v>5878</v>
      </c>
    </row>
    <row r="16992" spans="9:10" x14ac:dyDescent="0.3">
      <c r="I16992" t="s">
        <v>22186</v>
      </c>
      <c r="J16992" t="s">
        <v>5878</v>
      </c>
    </row>
    <row r="16993" spans="9:10" x14ac:dyDescent="0.3">
      <c r="I16993" t="s">
        <v>22187</v>
      </c>
      <c r="J16993" t="s">
        <v>5878</v>
      </c>
    </row>
    <row r="16994" spans="9:10" x14ac:dyDescent="0.3">
      <c r="I16994" t="s">
        <v>22188</v>
      </c>
      <c r="J16994" t="s">
        <v>5878</v>
      </c>
    </row>
    <row r="16995" spans="9:10" x14ac:dyDescent="0.3">
      <c r="I16995" t="s">
        <v>22189</v>
      </c>
      <c r="J16995" t="s">
        <v>5878</v>
      </c>
    </row>
    <row r="16996" spans="9:10" x14ac:dyDescent="0.3">
      <c r="I16996" t="s">
        <v>22190</v>
      </c>
      <c r="J16996" t="s">
        <v>5878</v>
      </c>
    </row>
    <row r="16997" spans="9:10" x14ac:dyDescent="0.3">
      <c r="I16997" t="s">
        <v>22191</v>
      </c>
      <c r="J16997" t="s">
        <v>5878</v>
      </c>
    </row>
    <row r="16998" spans="9:10" x14ac:dyDescent="0.3">
      <c r="I16998" t="s">
        <v>22189</v>
      </c>
      <c r="J16998" t="s">
        <v>5878</v>
      </c>
    </row>
    <row r="16999" spans="9:10" x14ac:dyDescent="0.3">
      <c r="I16999" t="s">
        <v>22189</v>
      </c>
      <c r="J16999" t="s">
        <v>5878</v>
      </c>
    </row>
    <row r="17000" spans="9:10" x14ac:dyDescent="0.3">
      <c r="I17000" t="s">
        <v>22189</v>
      </c>
      <c r="J17000" t="s">
        <v>5878</v>
      </c>
    </row>
    <row r="17001" spans="9:10" x14ac:dyDescent="0.3">
      <c r="I17001" t="s">
        <v>22192</v>
      </c>
      <c r="J17001" t="s">
        <v>5878</v>
      </c>
    </row>
    <row r="17002" spans="9:10" x14ac:dyDescent="0.3">
      <c r="I17002" t="s">
        <v>22193</v>
      </c>
      <c r="J17002" t="s">
        <v>5878</v>
      </c>
    </row>
    <row r="17003" spans="9:10" x14ac:dyDescent="0.3">
      <c r="I17003" t="s">
        <v>22194</v>
      </c>
      <c r="J17003" t="s">
        <v>5878</v>
      </c>
    </row>
    <row r="17004" spans="9:10" x14ac:dyDescent="0.3">
      <c r="I17004" t="s">
        <v>22195</v>
      </c>
      <c r="J17004" t="s">
        <v>5878</v>
      </c>
    </row>
    <row r="17005" spans="9:10" x14ac:dyDescent="0.3">
      <c r="I17005" t="s">
        <v>22196</v>
      </c>
      <c r="J17005" t="s">
        <v>5878</v>
      </c>
    </row>
    <row r="17006" spans="9:10" x14ac:dyDescent="0.3">
      <c r="I17006" t="s">
        <v>22197</v>
      </c>
      <c r="J17006" t="s">
        <v>5878</v>
      </c>
    </row>
    <row r="17007" spans="9:10" x14ac:dyDescent="0.3">
      <c r="I17007" t="s">
        <v>22198</v>
      </c>
      <c r="J17007" t="s">
        <v>5878</v>
      </c>
    </row>
    <row r="17008" spans="9:10" x14ac:dyDescent="0.3">
      <c r="I17008" t="s">
        <v>22199</v>
      </c>
      <c r="J17008" t="s">
        <v>5878</v>
      </c>
    </row>
    <row r="17009" spans="9:10" x14ac:dyDescent="0.3">
      <c r="I17009" t="s">
        <v>22200</v>
      </c>
      <c r="J17009" t="s">
        <v>5878</v>
      </c>
    </row>
    <row r="17010" spans="9:10" x14ac:dyDescent="0.3">
      <c r="I17010" t="s">
        <v>22201</v>
      </c>
      <c r="J17010" t="s">
        <v>5878</v>
      </c>
    </row>
    <row r="17011" spans="9:10" x14ac:dyDescent="0.3">
      <c r="I17011" t="s">
        <v>22202</v>
      </c>
      <c r="J17011" t="s">
        <v>5878</v>
      </c>
    </row>
    <row r="17012" spans="9:10" x14ac:dyDescent="0.3">
      <c r="I17012" t="s">
        <v>22203</v>
      </c>
      <c r="J17012" t="s">
        <v>5878</v>
      </c>
    </row>
    <row r="17013" spans="9:10" x14ac:dyDescent="0.3">
      <c r="I17013" t="s">
        <v>22204</v>
      </c>
      <c r="J17013" t="s">
        <v>5878</v>
      </c>
    </row>
    <row r="17014" spans="9:10" x14ac:dyDescent="0.3">
      <c r="I17014" t="s">
        <v>22205</v>
      </c>
      <c r="J17014" t="s">
        <v>5878</v>
      </c>
    </row>
    <row r="17015" spans="9:10" x14ac:dyDescent="0.3">
      <c r="I17015" t="s">
        <v>22206</v>
      </c>
      <c r="J17015" t="s">
        <v>5878</v>
      </c>
    </row>
    <row r="17016" spans="9:10" x14ac:dyDescent="0.3">
      <c r="I17016" t="s">
        <v>22207</v>
      </c>
      <c r="J17016" t="s">
        <v>5878</v>
      </c>
    </row>
    <row r="17017" spans="9:10" x14ac:dyDescent="0.3">
      <c r="I17017" t="s">
        <v>22208</v>
      </c>
      <c r="J17017" t="s">
        <v>5878</v>
      </c>
    </row>
    <row r="17018" spans="9:10" x14ac:dyDescent="0.3">
      <c r="I17018" t="s">
        <v>22209</v>
      </c>
      <c r="J17018" t="s">
        <v>5878</v>
      </c>
    </row>
    <row r="17019" spans="9:10" x14ac:dyDescent="0.3">
      <c r="I17019" t="s">
        <v>22210</v>
      </c>
      <c r="J17019" t="s">
        <v>5878</v>
      </c>
    </row>
    <row r="17020" spans="9:10" x14ac:dyDescent="0.3">
      <c r="I17020" t="s">
        <v>22211</v>
      </c>
      <c r="J17020" t="s">
        <v>5878</v>
      </c>
    </row>
    <row r="17021" spans="9:10" x14ac:dyDescent="0.3">
      <c r="I17021" t="s">
        <v>22212</v>
      </c>
      <c r="J17021" t="s">
        <v>5878</v>
      </c>
    </row>
    <row r="17022" spans="9:10" x14ac:dyDescent="0.3">
      <c r="I17022" t="s">
        <v>22213</v>
      </c>
      <c r="J17022" t="s">
        <v>5878</v>
      </c>
    </row>
    <row r="17023" spans="9:10" x14ac:dyDescent="0.3">
      <c r="I17023" t="s">
        <v>22214</v>
      </c>
      <c r="J17023" t="s">
        <v>5878</v>
      </c>
    </row>
    <row r="17024" spans="9:10" x14ac:dyDescent="0.3">
      <c r="I17024" t="s">
        <v>22215</v>
      </c>
      <c r="J17024" t="s">
        <v>5878</v>
      </c>
    </row>
    <row r="17025" spans="9:10" x14ac:dyDescent="0.3">
      <c r="I17025" t="s">
        <v>22216</v>
      </c>
      <c r="J17025" t="s">
        <v>5878</v>
      </c>
    </row>
    <row r="17026" spans="9:10" x14ac:dyDescent="0.3">
      <c r="I17026" t="s">
        <v>22217</v>
      </c>
      <c r="J17026" t="s">
        <v>5878</v>
      </c>
    </row>
    <row r="17027" spans="9:10" x14ac:dyDescent="0.3">
      <c r="I17027" t="s">
        <v>22218</v>
      </c>
      <c r="J17027" t="s">
        <v>5878</v>
      </c>
    </row>
    <row r="17028" spans="9:10" x14ac:dyDescent="0.3">
      <c r="I17028" t="s">
        <v>22219</v>
      </c>
      <c r="J17028" t="s">
        <v>5878</v>
      </c>
    </row>
    <row r="17029" spans="9:10" x14ac:dyDescent="0.3">
      <c r="I17029" t="s">
        <v>22220</v>
      </c>
      <c r="J17029" t="s">
        <v>5878</v>
      </c>
    </row>
    <row r="17030" spans="9:10" x14ac:dyDescent="0.3">
      <c r="I17030" t="s">
        <v>22221</v>
      </c>
      <c r="J17030" t="s">
        <v>5878</v>
      </c>
    </row>
    <row r="17031" spans="9:10" x14ac:dyDescent="0.3">
      <c r="I17031" t="s">
        <v>22222</v>
      </c>
      <c r="J17031" t="s">
        <v>5878</v>
      </c>
    </row>
    <row r="17032" spans="9:10" x14ac:dyDescent="0.3">
      <c r="I17032" t="s">
        <v>22223</v>
      </c>
      <c r="J17032" t="s">
        <v>5878</v>
      </c>
    </row>
    <row r="17033" spans="9:10" x14ac:dyDescent="0.3">
      <c r="I17033" t="s">
        <v>22224</v>
      </c>
      <c r="J17033" t="s">
        <v>5878</v>
      </c>
    </row>
    <row r="17034" spans="9:10" x14ac:dyDescent="0.3">
      <c r="I17034" t="s">
        <v>22225</v>
      </c>
      <c r="J17034" t="s">
        <v>5878</v>
      </c>
    </row>
    <row r="17035" spans="9:10" x14ac:dyDescent="0.3">
      <c r="I17035" t="s">
        <v>22226</v>
      </c>
      <c r="J17035" t="s">
        <v>5878</v>
      </c>
    </row>
    <row r="17036" spans="9:10" x14ac:dyDescent="0.3">
      <c r="I17036" t="s">
        <v>22227</v>
      </c>
      <c r="J17036" t="s">
        <v>5878</v>
      </c>
    </row>
    <row r="17037" spans="9:10" x14ac:dyDescent="0.3">
      <c r="I17037" t="s">
        <v>22228</v>
      </c>
      <c r="J17037" t="s">
        <v>5878</v>
      </c>
    </row>
    <row r="17038" spans="9:10" x14ac:dyDescent="0.3">
      <c r="I17038" t="s">
        <v>22229</v>
      </c>
      <c r="J17038" t="s">
        <v>5878</v>
      </c>
    </row>
    <row r="17039" spans="9:10" x14ac:dyDescent="0.3">
      <c r="I17039" t="s">
        <v>22230</v>
      </c>
      <c r="J17039" t="s">
        <v>5878</v>
      </c>
    </row>
    <row r="17040" spans="9:10" x14ac:dyDescent="0.3">
      <c r="I17040" t="s">
        <v>22231</v>
      </c>
      <c r="J17040" t="s">
        <v>5878</v>
      </c>
    </row>
    <row r="17041" spans="9:10" x14ac:dyDescent="0.3">
      <c r="I17041" t="s">
        <v>22232</v>
      </c>
      <c r="J17041" t="s">
        <v>5878</v>
      </c>
    </row>
    <row r="17042" spans="9:10" x14ac:dyDescent="0.3">
      <c r="I17042" t="s">
        <v>22233</v>
      </c>
      <c r="J17042" t="s">
        <v>5878</v>
      </c>
    </row>
    <row r="17043" spans="9:10" x14ac:dyDescent="0.3">
      <c r="I17043" t="s">
        <v>22234</v>
      </c>
      <c r="J17043" t="s">
        <v>5878</v>
      </c>
    </row>
    <row r="17044" spans="9:10" x14ac:dyDescent="0.3">
      <c r="I17044" t="s">
        <v>22235</v>
      </c>
      <c r="J17044" t="s">
        <v>5878</v>
      </c>
    </row>
    <row r="17045" spans="9:10" x14ac:dyDescent="0.3">
      <c r="I17045" t="s">
        <v>22236</v>
      </c>
      <c r="J17045" t="s">
        <v>5878</v>
      </c>
    </row>
    <row r="17046" spans="9:10" x14ac:dyDescent="0.3">
      <c r="I17046" t="s">
        <v>22237</v>
      </c>
      <c r="J17046" t="s">
        <v>5878</v>
      </c>
    </row>
    <row r="17047" spans="9:10" x14ac:dyDescent="0.3">
      <c r="I17047" t="s">
        <v>22238</v>
      </c>
      <c r="J17047" t="s">
        <v>5878</v>
      </c>
    </row>
    <row r="17048" spans="9:10" x14ac:dyDescent="0.3">
      <c r="I17048" t="s">
        <v>22239</v>
      </c>
      <c r="J17048" t="s">
        <v>5878</v>
      </c>
    </row>
    <row r="17049" spans="9:10" x14ac:dyDescent="0.3">
      <c r="I17049" t="s">
        <v>22240</v>
      </c>
      <c r="J17049" t="s">
        <v>5878</v>
      </c>
    </row>
    <row r="17050" spans="9:10" x14ac:dyDescent="0.3">
      <c r="I17050" t="s">
        <v>22241</v>
      </c>
      <c r="J17050" t="s">
        <v>5878</v>
      </c>
    </row>
    <row r="17051" spans="9:10" x14ac:dyDescent="0.3">
      <c r="I17051" t="s">
        <v>22242</v>
      </c>
      <c r="J17051" t="s">
        <v>5878</v>
      </c>
    </row>
    <row r="17052" spans="9:10" x14ac:dyDescent="0.3">
      <c r="I17052" t="s">
        <v>22243</v>
      </c>
      <c r="J17052" t="s">
        <v>5878</v>
      </c>
    </row>
    <row r="17053" spans="9:10" x14ac:dyDescent="0.3">
      <c r="I17053" t="s">
        <v>22244</v>
      </c>
      <c r="J17053" t="s">
        <v>5878</v>
      </c>
    </row>
    <row r="17054" spans="9:10" x14ac:dyDescent="0.3">
      <c r="I17054" t="s">
        <v>22245</v>
      </c>
      <c r="J17054" t="s">
        <v>5878</v>
      </c>
    </row>
    <row r="17055" spans="9:10" x14ac:dyDescent="0.3">
      <c r="I17055" t="s">
        <v>22246</v>
      </c>
      <c r="J17055" t="s">
        <v>5878</v>
      </c>
    </row>
    <row r="17056" spans="9:10" x14ac:dyDescent="0.3">
      <c r="I17056" t="s">
        <v>22247</v>
      </c>
      <c r="J17056" t="s">
        <v>5878</v>
      </c>
    </row>
    <row r="17057" spans="9:10" x14ac:dyDescent="0.3">
      <c r="I17057" t="s">
        <v>22248</v>
      </c>
      <c r="J17057" t="s">
        <v>5878</v>
      </c>
    </row>
    <row r="17058" spans="9:10" x14ac:dyDescent="0.3">
      <c r="I17058" t="s">
        <v>22056</v>
      </c>
      <c r="J17058" t="s">
        <v>5878</v>
      </c>
    </row>
    <row r="17059" spans="9:10" x14ac:dyDescent="0.3">
      <c r="I17059" t="s">
        <v>22249</v>
      </c>
      <c r="J17059" t="s">
        <v>5878</v>
      </c>
    </row>
    <row r="17060" spans="9:10" x14ac:dyDescent="0.3">
      <c r="I17060" t="s">
        <v>22250</v>
      </c>
      <c r="J17060" t="s">
        <v>5878</v>
      </c>
    </row>
    <row r="17061" spans="9:10" x14ac:dyDescent="0.3">
      <c r="I17061" t="s">
        <v>22251</v>
      </c>
      <c r="J17061" t="s">
        <v>5878</v>
      </c>
    </row>
    <row r="17062" spans="9:10" x14ac:dyDescent="0.3">
      <c r="I17062" t="s">
        <v>22252</v>
      </c>
      <c r="J17062" t="s">
        <v>5878</v>
      </c>
    </row>
    <row r="17063" spans="9:10" x14ac:dyDescent="0.3">
      <c r="I17063" t="s">
        <v>22253</v>
      </c>
      <c r="J17063" t="s">
        <v>5878</v>
      </c>
    </row>
    <row r="17064" spans="9:10" x14ac:dyDescent="0.3">
      <c r="I17064" t="s">
        <v>22254</v>
      </c>
      <c r="J17064" t="s">
        <v>5878</v>
      </c>
    </row>
    <row r="17065" spans="9:10" x14ac:dyDescent="0.3">
      <c r="I17065" t="s">
        <v>22255</v>
      </c>
      <c r="J17065" t="s">
        <v>5878</v>
      </c>
    </row>
    <row r="17066" spans="9:10" x14ac:dyDescent="0.3">
      <c r="I17066" t="s">
        <v>22256</v>
      </c>
      <c r="J17066" t="s">
        <v>5878</v>
      </c>
    </row>
    <row r="17067" spans="9:10" x14ac:dyDescent="0.3">
      <c r="I17067" t="s">
        <v>22257</v>
      </c>
      <c r="J17067" t="s">
        <v>5878</v>
      </c>
    </row>
    <row r="17068" spans="9:10" x14ac:dyDescent="0.3">
      <c r="I17068" t="s">
        <v>22258</v>
      </c>
      <c r="J17068" t="s">
        <v>5878</v>
      </c>
    </row>
    <row r="17069" spans="9:10" x14ac:dyDescent="0.3">
      <c r="I17069" t="s">
        <v>22259</v>
      </c>
      <c r="J17069" t="s">
        <v>5878</v>
      </c>
    </row>
    <row r="17070" spans="9:10" x14ac:dyDescent="0.3">
      <c r="I17070" t="s">
        <v>22260</v>
      </c>
      <c r="J17070" t="s">
        <v>5878</v>
      </c>
    </row>
    <row r="17071" spans="9:10" x14ac:dyDescent="0.3">
      <c r="I17071" t="s">
        <v>22261</v>
      </c>
      <c r="J17071" t="s">
        <v>5878</v>
      </c>
    </row>
    <row r="17072" spans="9:10" x14ac:dyDescent="0.3">
      <c r="I17072" t="s">
        <v>22262</v>
      </c>
      <c r="J17072" t="s">
        <v>5878</v>
      </c>
    </row>
    <row r="17073" spans="9:10" x14ac:dyDescent="0.3">
      <c r="I17073" t="s">
        <v>22263</v>
      </c>
      <c r="J17073" t="s">
        <v>5878</v>
      </c>
    </row>
    <row r="17074" spans="9:10" x14ac:dyDescent="0.3">
      <c r="I17074" t="s">
        <v>22264</v>
      </c>
      <c r="J17074" t="s">
        <v>5878</v>
      </c>
    </row>
    <row r="17075" spans="9:10" x14ac:dyDescent="0.3">
      <c r="I17075" t="s">
        <v>22265</v>
      </c>
      <c r="J17075" t="s">
        <v>5878</v>
      </c>
    </row>
    <row r="17076" spans="9:10" x14ac:dyDescent="0.3">
      <c r="I17076" t="s">
        <v>22266</v>
      </c>
      <c r="J17076" t="s">
        <v>5878</v>
      </c>
    </row>
    <row r="17077" spans="9:10" x14ac:dyDescent="0.3">
      <c r="I17077" t="s">
        <v>22267</v>
      </c>
      <c r="J17077" t="s">
        <v>5878</v>
      </c>
    </row>
    <row r="17078" spans="9:10" x14ac:dyDescent="0.3">
      <c r="I17078" t="s">
        <v>22268</v>
      </c>
      <c r="J17078" t="s">
        <v>5878</v>
      </c>
    </row>
    <row r="17079" spans="9:10" x14ac:dyDescent="0.3">
      <c r="I17079" t="s">
        <v>22269</v>
      </c>
      <c r="J17079" t="s">
        <v>5878</v>
      </c>
    </row>
    <row r="17080" spans="9:10" x14ac:dyDescent="0.3">
      <c r="I17080" t="s">
        <v>22270</v>
      </c>
      <c r="J17080" t="s">
        <v>5878</v>
      </c>
    </row>
    <row r="17081" spans="9:10" x14ac:dyDescent="0.3">
      <c r="I17081" t="s">
        <v>22271</v>
      </c>
      <c r="J17081" t="s">
        <v>5878</v>
      </c>
    </row>
    <row r="17082" spans="9:10" x14ac:dyDescent="0.3">
      <c r="I17082" t="s">
        <v>22272</v>
      </c>
      <c r="J17082" t="s">
        <v>5878</v>
      </c>
    </row>
    <row r="17083" spans="9:10" x14ac:dyDescent="0.3">
      <c r="I17083" t="s">
        <v>22273</v>
      </c>
      <c r="J17083" t="s">
        <v>5878</v>
      </c>
    </row>
    <row r="17084" spans="9:10" x14ac:dyDescent="0.3">
      <c r="I17084" t="s">
        <v>22274</v>
      </c>
      <c r="J17084" t="s">
        <v>5878</v>
      </c>
    </row>
    <row r="17085" spans="9:10" x14ac:dyDescent="0.3">
      <c r="I17085" t="s">
        <v>22275</v>
      </c>
      <c r="J17085" t="s">
        <v>5878</v>
      </c>
    </row>
    <row r="17086" spans="9:10" x14ac:dyDescent="0.3">
      <c r="I17086" t="s">
        <v>22276</v>
      </c>
      <c r="J17086" t="s">
        <v>5878</v>
      </c>
    </row>
    <row r="17087" spans="9:10" x14ac:dyDescent="0.3">
      <c r="I17087" t="s">
        <v>22277</v>
      </c>
      <c r="J17087" t="s">
        <v>5878</v>
      </c>
    </row>
    <row r="17088" spans="9:10" x14ac:dyDescent="0.3">
      <c r="I17088" t="s">
        <v>22278</v>
      </c>
      <c r="J17088" t="s">
        <v>5878</v>
      </c>
    </row>
    <row r="17089" spans="9:10" x14ac:dyDescent="0.3">
      <c r="I17089" t="s">
        <v>22279</v>
      </c>
      <c r="J17089" t="s">
        <v>5878</v>
      </c>
    </row>
    <row r="17090" spans="9:10" x14ac:dyDescent="0.3">
      <c r="I17090" t="s">
        <v>22280</v>
      </c>
      <c r="J17090" t="s">
        <v>5878</v>
      </c>
    </row>
    <row r="17091" spans="9:10" x14ac:dyDescent="0.3">
      <c r="I17091" t="s">
        <v>22281</v>
      </c>
      <c r="J17091" t="s">
        <v>5878</v>
      </c>
    </row>
    <row r="17092" spans="9:10" x14ac:dyDescent="0.3">
      <c r="I17092" t="s">
        <v>22282</v>
      </c>
      <c r="J17092" t="s">
        <v>5878</v>
      </c>
    </row>
    <row r="17093" spans="9:10" x14ac:dyDescent="0.3">
      <c r="I17093" t="s">
        <v>22283</v>
      </c>
      <c r="J17093" t="s">
        <v>5878</v>
      </c>
    </row>
    <row r="17094" spans="9:10" x14ac:dyDescent="0.3">
      <c r="I17094" t="s">
        <v>22284</v>
      </c>
      <c r="J17094" t="s">
        <v>5878</v>
      </c>
    </row>
    <row r="17095" spans="9:10" x14ac:dyDescent="0.3">
      <c r="I17095" t="s">
        <v>22285</v>
      </c>
      <c r="J17095" t="s">
        <v>5878</v>
      </c>
    </row>
    <row r="17096" spans="9:10" x14ac:dyDescent="0.3">
      <c r="I17096" t="s">
        <v>22286</v>
      </c>
      <c r="J17096" t="s">
        <v>5878</v>
      </c>
    </row>
    <row r="17097" spans="9:10" x14ac:dyDescent="0.3">
      <c r="I17097" t="s">
        <v>22287</v>
      </c>
      <c r="J17097" t="s">
        <v>5878</v>
      </c>
    </row>
    <row r="17098" spans="9:10" x14ac:dyDescent="0.3">
      <c r="I17098" t="s">
        <v>22288</v>
      </c>
      <c r="J17098" t="s">
        <v>5878</v>
      </c>
    </row>
    <row r="17099" spans="9:10" x14ac:dyDescent="0.3">
      <c r="I17099" t="s">
        <v>22289</v>
      </c>
      <c r="J17099" t="s">
        <v>5878</v>
      </c>
    </row>
    <row r="17100" spans="9:10" x14ac:dyDescent="0.3">
      <c r="I17100" t="s">
        <v>22290</v>
      </c>
      <c r="J17100" t="s">
        <v>5878</v>
      </c>
    </row>
    <row r="17101" spans="9:10" x14ac:dyDescent="0.3">
      <c r="I17101" t="s">
        <v>22291</v>
      </c>
      <c r="J17101" t="s">
        <v>5878</v>
      </c>
    </row>
    <row r="17102" spans="9:10" x14ac:dyDescent="0.3">
      <c r="I17102" t="s">
        <v>22292</v>
      </c>
      <c r="J17102" t="s">
        <v>5878</v>
      </c>
    </row>
    <row r="17103" spans="9:10" x14ac:dyDescent="0.3">
      <c r="I17103" t="s">
        <v>22293</v>
      </c>
      <c r="J17103" t="s">
        <v>5878</v>
      </c>
    </row>
    <row r="17104" spans="9:10" x14ac:dyDescent="0.3">
      <c r="I17104" t="s">
        <v>22294</v>
      </c>
      <c r="J17104" t="s">
        <v>5878</v>
      </c>
    </row>
    <row r="17105" spans="9:10" x14ac:dyDescent="0.3">
      <c r="I17105" t="s">
        <v>22295</v>
      </c>
      <c r="J17105" t="s">
        <v>5878</v>
      </c>
    </row>
    <row r="17106" spans="9:10" x14ac:dyDescent="0.3">
      <c r="I17106" t="s">
        <v>22296</v>
      </c>
      <c r="J17106" t="s">
        <v>5878</v>
      </c>
    </row>
    <row r="17107" spans="9:10" x14ac:dyDescent="0.3">
      <c r="I17107" t="s">
        <v>22297</v>
      </c>
      <c r="J17107" t="s">
        <v>5878</v>
      </c>
    </row>
    <row r="17108" spans="9:10" x14ac:dyDescent="0.3">
      <c r="I17108" t="s">
        <v>22298</v>
      </c>
      <c r="J17108" t="s">
        <v>5878</v>
      </c>
    </row>
    <row r="17109" spans="9:10" x14ac:dyDescent="0.3">
      <c r="I17109" t="s">
        <v>22299</v>
      </c>
      <c r="J17109" t="s">
        <v>5878</v>
      </c>
    </row>
    <row r="17110" spans="9:10" x14ac:dyDescent="0.3">
      <c r="I17110" t="s">
        <v>22300</v>
      </c>
      <c r="J17110" t="s">
        <v>5878</v>
      </c>
    </row>
    <row r="17111" spans="9:10" x14ac:dyDescent="0.3">
      <c r="I17111" t="s">
        <v>22301</v>
      </c>
      <c r="J17111" t="s">
        <v>5878</v>
      </c>
    </row>
    <row r="17112" spans="9:10" x14ac:dyDescent="0.3">
      <c r="I17112" t="s">
        <v>22302</v>
      </c>
      <c r="J17112" t="s">
        <v>5878</v>
      </c>
    </row>
    <row r="17113" spans="9:10" x14ac:dyDescent="0.3">
      <c r="I17113" t="s">
        <v>22303</v>
      </c>
      <c r="J17113" t="s">
        <v>5878</v>
      </c>
    </row>
    <row r="17114" spans="9:10" x14ac:dyDescent="0.3">
      <c r="I17114" t="s">
        <v>22304</v>
      </c>
      <c r="J17114" t="s">
        <v>5878</v>
      </c>
    </row>
    <row r="17115" spans="9:10" x14ac:dyDescent="0.3">
      <c r="I17115" t="s">
        <v>22305</v>
      </c>
      <c r="J17115" t="s">
        <v>5878</v>
      </c>
    </row>
    <row r="17116" spans="9:10" x14ac:dyDescent="0.3">
      <c r="I17116" t="s">
        <v>22056</v>
      </c>
      <c r="J17116" t="s">
        <v>5878</v>
      </c>
    </row>
    <row r="17117" spans="9:10" x14ac:dyDescent="0.3">
      <c r="I17117" t="s">
        <v>22306</v>
      </c>
      <c r="J17117" t="s">
        <v>5878</v>
      </c>
    </row>
    <row r="17118" spans="9:10" x14ac:dyDescent="0.3">
      <c r="I17118" t="s">
        <v>22307</v>
      </c>
      <c r="J17118" t="s">
        <v>5878</v>
      </c>
    </row>
    <row r="17119" spans="9:10" x14ac:dyDescent="0.3">
      <c r="I17119" t="s">
        <v>22308</v>
      </c>
      <c r="J17119" t="s">
        <v>5878</v>
      </c>
    </row>
    <row r="17120" spans="9:10" x14ac:dyDescent="0.3">
      <c r="I17120" t="s">
        <v>22309</v>
      </c>
      <c r="J17120" t="s">
        <v>5878</v>
      </c>
    </row>
    <row r="17121" spans="9:10" x14ac:dyDescent="0.3">
      <c r="I17121" t="s">
        <v>22310</v>
      </c>
      <c r="J17121" t="s">
        <v>5878</v>
      </c>
    </row>
    <row r="17122" spans="9:10" x14ac:dyDescent="0.3">
      <c r="I17122" t="s">
        <v>22311</v>
      </c>
      <c r="J17122" t="s">
        <v>5878</v>
      </c>
    </row>
    <row r="17123" spans="9:10" x14ac:dyDescent="0.3">
      <c r="I17123" t="s">
        <v>22312</v>
      </c>
      <c r="J17123" t="s">
        <v>5878</v>
      </c>
    </row>
    <row r="17124" spans="9:10" x14ac:dyDescent="0.3">
      <c r="I17124" t="s">
        <v>22313</v>
      </c>
      <c r="J17124" t="s">
        <v>5878</v>
      </c>
    </row>
    <row r="17125" spans="9:10" x14ac:dyDescent="0.3">
      <c r="I17125" t="s">
        <v>22314</v>
      </c>
      <c r="J17125" t="s">
        <v>5878</v>
      </c>
    </row>
    <row r="17126" spans="9:10" x14ac:dyDescent="0.3">
      <c r="I17126" t="s">
        <v>22315</v>
      </c>
      <c r="J17126" t="s">
        <v>5878</v>
      </c>
    </row>
    <row r="17127" spans="9:10" x14ac:dyDescent="0.3">
      <c r="I17127" t="s">
        <v>22056</v>
      </c>
      <c r="J17127" t="s">
        <v>5878</v>
      </c>
    </row>
    <row r="17128" spans="9:10" x14ac:dyDescent="0.3">
      <c r="I17128" t="s">
        <v>22316</v>
      </c>
      <c r="J17128" t="s">
        <v>5878</v>
      </c>
    </row>
    <row r="17129" spans="9:10" x14ac:dyDescent="0.3">
      <c r="I17129" t="s">
        <v>22317</v>
      </c>
      <c r="J17129" t="s">
        <v>5878</v>
      </c>
    </row>
    <row r="17130" spans="9:10" x14ac:dyDescent="0.3">
      <c r="I17130" t="s">
        <v>22318</v>
      </c>
      <c r="J17130" t="s">
        <v>5878</v>
      </c>
    </row>
    <row r="17131" spans="9:10" x14ac:dyDescent="0.3">
      <c r="I17131" t="s">
        <v>22319</v>
      </c>
      <c r="J17131" t="s">
        <v>5878</v>
      </c>
    </row>
    <row r="17132" spans="9:10" x14ac:dyDescent="0.3">
      <c r="I17132" t="s">
        <v>22320</v>
      </c>
      <c r="J17132" t="s">
        <v>5878</v>
      </c>
    </row>
    <row r="17133" spans="9:10" x14ac:dyDescent="0.3">
      <c r="I17133" t="s">
        <v>22321</v>
      </c>
      <c r="J17133" t="s">
        <v>5878</v>
      </c>
    </row>
    <row r="17134" spans="9:10" x14ac:dyDescent="0.3">
      <c r="I17134" t="s">
        <v>22322</v>
      </c>
      <c r="J17134" t="s">
        <v>5878</v>
      </c>
    </row>
    <row r="17135" spans="9:10" x14ac:dyDescent="0.3">
      <c r="I17135" t="s">
        <v>22323</v>
      </c>
      <c r="J17135" t="s">
        <v>5878</v>
      </c>
    </row>
    <row r="17136" spans="9:10" x14ac:dyDescent="0.3">
      <c r="I17136" t="s">
        <v>22324</v>
      </c>
      <c r="J17136" t="s">
        <v>5878</v>
      </c>
    </row>
    <row r="17137" spans="9:10" x14ac:dyDescent="0.3">
      <c r="I17137" t="s">
        <v>22325</v>
      </c>
      <c r="J17137" t="s">
        <v>5878</v>
      </c>
    </row>
    <row r="17138" spans="9:10" x14ac:dyDescent="0.3">
      <c r="I17138" t="s">
        <v>22326</v>
      </c>
      <c r="J17138" t="s">
        <v>5878</v>
      </c>
    </row>
    <row r="17139" spans="9:10" x14ac:dyDescent="0.3">
      <c r="I17139" t="s">
        <v>22327</v>
      </c>
      <c r="J17139" t="s">
        <v>5878</v>
      </c>
    </row>
    <row r="17140" spans="9:10" x14ac:dyDescent="0.3">
      <c r="I17140" t="s">
        <v>22328</v>
      </c>
      <c r="J17140" t="s">
        <v>5878</v>
      </c>
    </row>
    <row r="17141" spans="9:10" x14ac:dyDescent="0.3">
      <c r="I17141" t="s">
        <v>22329</v>
      </c>
      <c r="J17141" t="s">
        <v>5878</v>
      </c>
    </row>
    <row r="17142" spans="9:10" x14ac:dyDescent="0.3">
      <c r="I17142" t="s">
        <v>22330</v>
      </c>
      <c r="J17142" t="s">
        <v>5878</v>
      </c>
    </row>
    <row r="17143" spans="9:10" x14ac:dyDescent="0.3">
      <c r="I17143" t="s">
        <v>22331</v>
      </c>
      <c r="J17143" t="s">
        <v>5878</v>
      </c>
    </row>
    <row r="17144" spans="9:10" x14ac:dyDescent="0.3">
      <c r="I17144" t="s">
        <v>22332</v>
      </c>
      <c r="J17144" t="s">
        <v>5878</v>
      </c>
    </row>
    <row r="17145" spans="9:10" x14ac:dyDescent="0.3">
      <c r="I17145" t="s">
        <v>22333</v>
      </c>
      <c r="J17145" t="s">
        <v>5878</v>
      </c>
    </row>
    <row r="17146" spans="9:10" x14ac:dyDescent="0.3">
      <c r="I17146" t="s">
        <v>22334</v>
      </c>
      <c r="J17146" t="s">
        <v>5878</v>
      </c>
    </row>
    <row r="17147" spans="9:10" x14ac:dyDescent="0.3">
      <c r="I17147" t="s">
        <v>22335</v>
      </c>
      <c r="J17147" t="s">
        <v>5878</v>
      </c>
    </row>
    <row r="17148" spans="9:10" x14ac:dyDescent="0.3">
      <c r="I17148" t="s">
        <v>22336</v>
      </c>
      <c r="J17148" t="s">
        <v>5878</v>
      </c>
    </row>
    <row r="17149" spans="9:10" x14ac:dyDescent="0.3">
      <c r="I17149" t="s">
        <v>22337</v>
      </c>
      <c r="J17149" t="s">
        <v>5878</v>
      </c>
    </row>
    <row r="17150" spans="9:10" x14ac:dyDescent="0.3">
      <c r="I17150" t="s">
        <v>22338</v>
      </c>
      <c r="J17150" t="s">
        <v>5878</v>
      </c>
    </row>
    <row r="17151" spans="9:10" x14ac:dyDescent="0.3">
      <c r="I17151" t="s">
        <v>22339</v>
      </c>
      <c r="J17151" t="s">
        <v>5878</v>
      </c>
    </row>
    <row r="17152" spans="9:10" x14ac:dyDescent="0.3">
      <c r="I17152" t="s">
        <v>22340</v>
      </c>
      <c r="J17152" t="s">
        <v>5878</v>
      </c>
    </row>
    <row r="17153" spans="9:10" x14ac:dyDescent="0.3">
      <c r="I17153" t="s">
        <v>22341</v>
      </c>
      <c r="J17153" t="s">
        <v>5878</v>
      </c>
    </row>
    <row r="17154" spans="9:10" x14ac:dyDescent="0.3">
      <c r="I17154" t="s">
        <v>22342</v>
      </c>
      <c r="J17154" t="s">
        <v>5878</v>
      </c>
    </row>
    <row r="17155" spans="9:10" x14ac:dyDescent="0.3">
      <c r="I17155" t="s">
        <v>22343</v>
      </c>
      <c r="J17155" t="s">
        <v>5878</v>
      </c>
    </row>
    <row r="17156" spans="9:10" x14ac:dyDescent="0.3">
      <c r="I17156" t="s">
        <v>22344</v>
      </c>
      <c r="J17156" t="s">
        <v>5878</v>
      </c>
    </row>
    <row r="17157" spans="9:10" x14ac:dyDescent="0.3">
      <c r="I17157" t="s">
        <v>22345</v>
      </c>
      <c r="J17157" t="s">
        <v>5878</v>
      </c>
    </row>
    <row r="17158" spans="9:10" x14ac:dyDescent="0.3">
      <c r="I17158" t="s">
        <v>22346</v>
      </c>
      <c r="J17158" t="s">
        <v>5878</v>
      </c>
    </row>
    <row r="17159" spans="9:10" x14ac:dyDescent="0.3">
      <c r="I17159" t="s">
        <v>22347</v>
      </c>
      <c r="J17159" t="s">
        <v>5878</v>
      </c>
    </row>
    <row r="17160" spans="9:10" x14ac:dyDescent="0.3">
      <c r="I17160" t="s">
        <v>22348</v>
      </c>
      <c r="J17160" t="s">
        <v>5878</v>
      </c>
    </row>
    <row r="17161" spans="9:10" x14ac:dyDescent="0.3">
      <c r="I17161" t="s">
        <v>22349</v>
      </c>
      <c r="J17161" t="s">
        <v>5878</v>
      </c>
    </row>
    <row r="17162" spans="9:10" x14ac:dyDescent="0.3">
      <c r="I17162" t="s">
        <v>22350</v>
      </c>
      <c r="J17162" t="s">
        <v>5878</v>
      </c>
    </row>
    <row r="17163" spans="9:10" x14ac:dyDescent="0.3">
      <c r="I17163" t="s">
        <v>22351</v>
      </c>
      <c r="J17163" t="s">
        <v>5878</v>
      </c>
    </row>
    <row r="17164" spans="9:10" x14ac:dyDescent="0.3">
      <c r="I17164" t="s">
        <v>22352</v>
      </c>
      <c r="J17164" t="s">
        <v>5878</v>
      </c>
    </row>
    <row r="17165" spans="9:10" x14ac:dyDescent="0.3">
      <c r="I17165" t="s">
        <v>22353</v>
      </c>
      <c r="J17165" t="s">
        <v>5878</v>
      </c>
    </row>
    <row r="17166" spans="9:10" x14ac:dyDescent="0.3">
      <c r="I17166" t="s">
        <v>22354</v>
      </c>
      <c r="J17166" t="s">
        <v>5878</v>
      </c>
    </row>
    <row r="17167" spans="9:10" x14ac:dyDescent="0.3">
      <c r="I17167" t="s">
        <v>22355</v>
      </c>
      <c r="J17167" t="s">
        <v>5878</v>
      </c>
    </row>
    <row r="17168" spans="9:10" x14ac:dyDescent="0.3">
      <c r="I17168" t="s">
        <v>22356</v>
      </c>
      <c r="J17168" t="s">
        <v>5878</v>
      </c>
    </row>
    <row r="17169" spans="9:10" x14ac:dyDescent="0.3">
      <c r="I17169" t="s">
        <v>22357</v>
      </c>
      <c r="J17169" t="s">
        <v>5878</v>
      </c>
    </row>
    <row r="17170" spans="9:10" x14ac:dyDescent="0.3">
      <c r="I17170" t="s">
        <v>22358</v>
      </c>
      <c r="J17170" t="s">
        <v>5878</v>
      </c>
    </row>
    <row r="17171" spans="9:10" x14ac:dyDescent="0.3">
      <c r="I17171" t="s">
        <v>22359</v>
      </c>
      <c r="J17171" t="s">
        <v>5878</v>
      </c>
    </row>
    <row r="17172" spans="9:10" x14ac:dyDescent="0.3">
      <c r="I17172" t="s">
        <v>22360</v>
      </c>
      <c r="J17172" t="s">
        <v>5878</v>
      </c>
    </row>
    <row r="17173" spans="9:10" x14ac:dyDescent="0.3">
      <c r="I17173" t="s">
        <v>22361</v>
      </c>
      <c r="J17173" t="s">
        <v>5878</v>
      </c>
    </row>
    <row r="17174" spans="9:10" x14ac:dyDescent="0.3">
      <c r="I17174" t="s">
        <v>22362</v>
      </c>
      <c r="J17174" t="s">
        <v>5878</v>
      </c>
    </row>
    <row r="17175" spans="9:10" x14ac:dyDescent="0.3">
      <c r="I17175" t="s">
        <v>22363</v>
      </c>
      <c r="J17175" t="s">
        <v>5878</v>
      </c>
    </row>
    <row r="17176" spans="9:10" x14ac:dyDescent="0.3">
      <c r="I17176" t="s">
        <v>22364</v>
      </c>
      <c r="J17176" t="s">
        <v>5878</v>
      </c>
    </row>
    <row r="17177" spans="9:10" x14ac:dyDescent="0.3">
      <c r="I17177" t="s">
        <v>22365</v>
      </c>
      <c r="J17177" t="s">
        <v>5878</v>
      </c>
    </row>
    <row r="17178" spans="9:10" x14ac:dyDescent="0.3">
      <c r="I17178" t="s">
        <v>22366</v>
      </c>
      <c r="J17178" t="s">
        <v>5878</v>
      </c>
    </row>
    <row r="17179" spans="9:10" x14ac:dyDescent="0.3">
      <c r="I17179" t="s">
        <v>22367</v>
      </c>
      <c r="J17179" t="s">
        <v>5878</v>
      </c>
    </row>
    <row r="17180" spans="9:10" x14ac:dyDescent="0.3">
      <c r="I17180" t="s">
        <v>22368</v>
      </c>
      <c r="J17180" t="s">
        <v>5878</v>
      </c>
    </row>
    <row r="17181" spans="9:10" x14ac:dyDescent="0.3">
      <c r="I17181" t="s">
        <v>22369</v>
      </c>
      <c r="J17181" t="s">
        <v>5878</v>
      </c>
    </row>
    <row r="17182" spans="9:10" x14ac:dyDescent="0.3">
      <c r="I17182" t="s">
        <v>22370</v>
      </c>
      <c r="J17182" t="s">
        <v>5878</v>
      </c>
    </row>
    <row r="17183" spans="9:10" x14ac:dyDescent="0.3">
      <c r="I17183" t="s">
        <v>22371</v>
      </c>
      <c r="J17183" t="s">
        <v>5878</v>
      </c>
    </row>
    <row r="17184" spans="9:10" x14ac:dyDescent="0.3">
      <c r="I17184" t="s">
        <v>22372</v>
      </c>
      <c r="J17184" t="s">
        <v>5878</v>
      </c>
    </row>
    <row r="17185" spans="9:10" x14ac:dyDescent="0.3">
      <c r="I17185" t="s">
        <v>22373</v>
      </c>
      <c r="J17185" t="s">
        <v>5878</v>
      </c>
    </row>
    <row r="17186" spans="9:10" x14ac:dyDescent="0.3">
      <c r="I17186" t="s">
        <v>22374</v>
      </c>
      <c r="J17186" t="s">
        <v>5878</v>
      </c>
    </row>
    <row r="17187" spans="9:10" x14ac:dyDescent="0.3">
      <c r="I17187" t="s">
        <v>22375</v>
      </c>
      <c r="J17187" t="s">
        <v>5878</v>
      </c>
    </row>
    <row r="17188" spans="9:10" x14ac:dyDescent="0.3">
      <c r="I17188" t="s">
        <v>22376</v>
      </c>
      <c r="J17188" t="s">
        <v>5878</v>
      </c>
    </row>
    <row r="17189" spans="9:10" x14ac:dyDescent="0.3">
      <c r="I17189" t="s">
        <v>22377</v>
      </c>
      <c r="J17189" t="s">
        <v>5878</v>
      </c>
    </row>
    <row r="17190" spans="9:10" x14ac:dyDescent="0.3">
      <c r="I17190" t="s">
        <v>22378</v>
      </c>
      <c r="J17190" t="s">
        <v>5878</v>
      </c>
    </row>
    <row r="17191" spans="9:10" x14ac:dyDescent="0.3">
      <c r="I17191" t="s">
        <v>22379</v>
      </c>
      <c r="J17191" t="s">
        <v>5878</v>
      </c>
    </row>
    <row r="17192" spans="9:10" x14ac:dyDescent="0.3">
      <c r="I17192" t="s">
        <v>22380</v>
      </c>
      <c r="J17192" t="s">
        <v>5878</v>
      </c>
    </row>
    <row r="17193" spans="9:10" x14ac:dyDescent="0.3">
      <c r="I17193" t="s">
        <v>22381</v>
      </c>
      <c r="J17193" t="s">
        <v>5878</v>
      </c>
    </row>
    <row r="17194" spans="9:10" x14ac:dyDescent="0.3">
      <c r="I17194" t="s">
        <v>22056</v>
      </c>
      <c r="J17194" t="s">
        <v>5878</v>
      </c>
    </row>
    <row r="17195" spans="9:10" x14ac:dyDescent="0.3">
      <c r="I17195" t="s">
        <v>22382</v>
      </c>
      <c r="J17195" t="s">
        <v>5878</v>
      </c>
    </row>
    <row r="17196" spans="9:10" x14ac:dyDescent="0.3">
      <c r="I17196" t="s">
        <v>22383</v>
      </c>
      <c r="J17196" t="s">
        <v>5878</v>
      </c>
    </row>
    <row r="17197" spans="9:10" x14ac:dyDescent="0.3">
      <c r="I17197" t="s">
        <v>22384</v>
      </c>
      <c r="J17197" t="s">
        <v>5878</v>
      </c>
    </row>
    <row r="17198" spans="9:10" x14ac:dyDescent="0.3">
      <c r="I17198" t="s">
        <v>22385</v>
      </c>
      <c r="J17198" t="s">
        <v>5878</v>
      </c>
    </row>
    <row r="17199" spans="9:10" x14ac:dyDescent="0.3">
      <c r="I17199" t="s">
        <v>22386</v>
      </c>
      <c r="J17199" t="s">
        <v>5878</v>
      </c>
    </row>
    <row r="17200" spans="9:10" x14ac:dyDescent="0.3">
      <c r="I17200" t="s">
        <v>22387</v>
      </c>
      <c r="J17200" t="s">
        <v>5878</v>
      </c>
    </row>
    <row r="17201" spans="9:10" x14ac:dyDescent="0.3">
      <c r="I17201" t="s">
        <v>22388</v>
      </c>
      <c r="J17201" t="s">
        <v>5878</v>
      </c>
    </row>
    <row r="17202" spans="9:10" x14ac:dyDescent="0.3">
      <c r="I17202" t="s">
        <v>22389</v>
      </c>
      <c r="J17202" t="s">
        <v>5878</v>
      </c>
    </row>
    <row r="17203" spans="9:10" x14ac:dyDescent="0.3">
      <c r="I17203" t="s">
        <v>22390</v>
      </c>
      <c r="J17203" t="s">
        <v>5878</v>
      </c>
    </row>
    <row r="17204" spans="9:10" x14ac:dyDescent="0.3">
      <c r="I17204" t="s">
        <v>22391</v>
      </c>
      <c r="J17204" t="s">
        <v>5878</v>
      </c>
    </row>
    <row r="17205" spans="9:10" x14ac:dyDescent="0.3">
      <c r="I17205" t="s">
        <v>22392</v>
      </c>
      <c r="J17205" t="s">
        <v>5878</v>
      </c>
    </row>
    <row r="17206" spans="9:10" x14ac:dyDescent="0.3">
      <c r="I17206" t="s">
        <v>22393</v>
      </c>
      <c r="J17206" t="s">
        <v>5878</v>
      </c>
    </row>
    <row r="17207" spans="9:10" x14ac:dyDescent="0.3">
      <c r="I17207" t="s">
        <v>22394</v>
      </c>
      <c r="J17207" t="s">
        <v>5878</v>
      </c>
    </row>
    <row r="17208" spans="9:10" x14ac:dyDescent="0.3">
      <c r="I17208" t="s">
        <v>22395</v>
      </c>
      <c r="J17208" t="s">
        <v>5878</v>
      </c>
    </row>
    <row r="17209" spans="9:10" x14ac:dyDescent="0.3">
      <c r="I17209" t="s">
        <v>22396</v>
      </c>
      <c r="J17209" t="s">
        <v>5878</v>
      </c>
    </row>
    <row r="17210" spans="9:10" x14ac:dyDescent="0.3">
      <c r="I17210" t="s">
        <v>22397</v>
      </c>
      <c r="J17210" t="s">
        <v>5878</v>
      </c>
    </row>
    <row r="17211" spans="9:10" x14ac:dyDescent="0.3">
      <c r="I17211" t="s">
        <v>22398</v>
      </c>
      <c r="J17211" t="s">
        <v>5878</v>
      </c>
    </row>
    <row r="17212" spans="9:10" x14ac:dyDescent="0.3">
      <c r="I17212" t="s">
        <v>22399</v>
      </c>
      <c r="J17212" t="s">
        <v>5878</v>
      </c>
    </row>
    <row r="17213" spans="9:10" x14ac:dyDescent="0.3">
      <c r="I17213" t="s">
        <v>22400</v>
      </c>
      <c r="J17213" t="s">
        <v>5878</v>
      </c>
    </row>
    <row r="17214" spans="9:10" x14ac:dyDescent="0.3">
      <c r="I17214" t="s">
        <v>22401</v>
      </c>
      <c r="J17214" t="s">
        <v>5878</v>
      </c>
    </row>
    <row r="17215" spans="9:10" x14ac:dyDescent="0.3">
      <c r="I17215" t="s">
        <v>22402</v>
      </c>
      <c r="J17215" t="s">
        <v>5878</v>
      </c>
    </row>
    <row r="17216" spans="9:10" x14ac:dyDescent="0.3">
      <c r="I17216" t="s">
        <v>22403</v>
      </c>
      <c r="J17216" t="s">
        <v>5878</v>
      </c>
    </row>
    <row r="17217" spans="9:10" x14ac:dyDescent="0.3">
      <c r="I17217" t="s">
        <v>22404</v>
      </c>
      <c r="J17217" t="s">
        <v>5878</v>
      </c>
    </row>
    <row r="17218" spans="9:10" x14ac:dyDescent="0.3">
      <c r="I17218" t="s">
        <v>22405</v>
      </c>
      <c r="J17218" t="s">
        <v>5878</v>
      </c>
    </row>
    <row r="17219" spans="9:10" x14ac:dyDescent="0.3">
      <c r="I17219" t="s">
        <v>22406</v>
      </c>
      <c r="J17219" t="s">
        <v>5878</v>
      </c>
    </row>
    <row r="17220" spans="9:10" x14ac:dyDescent="0.3">
      <c r="I17220" t="s">
        <v>22407</v>
      </c>
      <c r="J17220" t="s">
        <v>5878</v>
      </c>
    </row>
    <row r="17221" spans="9:10" x14ac:dyDescent="0.3">
      <c r="I17221" t="s">
        <v>22408</v>
      </c>
      <c r="J17221" t="s">
        <v>5878</v>
      </c>
    </row>
    <row r="17222" spans="9:10" x14ac:dyDescent="0.3">
      <c r="I17222" t="s">
        <v>22409</v>
      </c>
      <c r="J17222" t="s">
        <v>5878</v>
      </c>
    </row>
    <row r="17223" spans="9:10" x14ac:dyDescent="0.3">
      <c r="I17223" t="s">
        <v>22410</v>
      </c>
      <c r="J17223" t="s">
        <v>5878</v>
      </c>
    </row>
    <row r="17224" spans="9:10" x14ac:dyDescent="0.3">
      <c r="I17224" t="s">
        <v>22411</v>
      </c>
      <c r="J17224" t="s">
        <v>5878</v>
      </c>
    </row>
    <row r="17225" spans="9:10" x14ac:dyDescent="0.3">
      <c r="I17225" t="s">
        <v>22412</v>
      </c>
      <c r="J17225" t="s">
        <v>5878</v>
      </c>
    </row>
    <row r="17226" spans="9:10" x14ac:dyDescent="0.3">
      <c r="I17226" t="s">
        <v>22413</v>
      </c>
      <c r="J17226" t="s">
        <v>5878</v>
      </c>
    </row>
    <row r="17227" spans="9:10" x14ac:dyDescent="0.3">
      <c r="I17227" t="s">
        <v>22414</v>
      </c>
      <c r="J17227" t="s">
        <v>5878</v>
      </c>
    </row>
    <row r="17228" spans="9:10" x14ac:dyDescent="0.3">
      <c r="I17228" t="s">
        <v>22415</v>
      </c>
      <c r="J17228" t="s">
        <v>5878</v>
      </c>
    </row>
    <row r="17229" spans="9:10" x14ac:dyDescent="0.3">
      <c r="I17229" t="s">
        <v>22416</v>
      </c>
      <c r="J17229" t="s">
        <v>5878</v>
      </c>
    </row>
    <row r="17230" spans="9:10" x14ac:dyDescent="0.3">
      <c r="I17230" t="s">
        <v>22417</v>
      </c>
      <c r="J17230" t="s">
        <v>5878</v>
      </c>
    </row>
    <row r="17231" spans="9:10" x14ac:dyDescent="0.3">
      <c r="I17231" t="s">
        <v>22418</v>
      </c>
      <c r="J17231" t="s">
        <v>5878</v>
      </c>
    </row>
    <row r="17232" spans="9:10" x14ac:dyDescent="0.3">
      <c r="I17232" t="s">
        <v>22419</v>
      </c>
      <c r="J17232" t="s">
        <v>5878</v>
      </c>
    </row>
    <row r="17233" spans="9:10" x14ac:dyDescent="0.3">
      <c r="I17233" t="s">
        <v>22420</v>
      </c>
      <c r="J17233" t="s">
        <v>5878</v>
      </c>
    </row>
    <row r="17234" spans="9:10" x14ac:dyDescent="0.3">
      <c r="I17234" t="s">
        <v>22421</v>
      </c>
      <c r="J17234" t="s">
        <v>5878</v>
      </c>
    </row>
    <row r="17235" spans="9:10" x14ac:dyDescent="0.3">
      <c r="I17235" t="s">
        <v>22422</v>
      </c>
      <c r="J17235" t="s">
        <v>5878</v>
      </c>
    </row>
    <row r="17236" spans="9:10" x14ac:dyDescent="0.3">
      <c r="I17236" t="s">
        <v>22423</v>
      </c>
      <c r="J17236" t="s">
        <v>5878</v>
      </c>
    </row>
    <row r="17237" spans="9:10" x14ac:dyDescent="0.3">
      <c r="I17237" t="s">
        <v>22424</v>
      </c>
      <c r="J17237" t="s">
        <v>5878</v>
      </c>
    </row>
    <row r="17238" spans="9:10" x14ac:dyDescent="0.3">
      <c r="I17238" t="s">
        <v>22425</v>
      </c>
      <c r="J17238" t="s">
        <v>5878</v>
      </c>
    </row>
    <row r="17239" spans="9:10" x14ac:dyDescent="0.3">
      <c r="I17239" t="s">
        <v>22426</v>
      </c>
      <c r="J17239" t="s">
        <v>5878</v>
      </c>
    </row>
    <row r="17240" spans="9:10" x14ac:dyDescent="0.3">
      <c r="I17240" t="s">
        <v>22427</v>
      </c>
      <c r="J17240" t="s">
        <v>5878</v>
      </c>
    </row>
    <row r="17241" spans="9:10" x14ac:dyDescent="0.3">
      <c r="I17241" t="s">
        <v>22056</v>
      </c>
      <c r="J17241" t="s">
        <v>5878</v>
      </c>
    </row>
    <row r="17242" spans="9:10" x14ac:dyDescent="0.3">
      <c r="I17242" t="s">
        <v>22428</v>
      </c>
      <c r="J17242" t="s">
        <v>5878</v>
      </c>
    </row>
    <row r="17243" spans="9:10" x14ac:dyDescent="0.3">
      <c r="I17243" t="s">
        <v>22429</v>
      </c>
      <c r="J17243" t="s">
        <v>5878</v>
      </c>
    </row>
    <row r="17244" spans="9:10" x14ac:dyDescent="0.3">
      <c r="I17244" t="s">
        <v>22430</v>
      </c>
      <c r="J17244" t="s">
        <v>5878</v>
      </c>
    </row>
    <row r="17245" spans="9:10" x14ac:dyDescent="0.3">
      <c r="I17245" t="s">
        <v>22431</v>
      </c>
      <c r="J17245" t="s">
        <v>5878</v>
      </c>
    </row>
    <row r="17246" spans="9:10" x14ac:dyDescent="0.3">
      <c r="I17246" t="s">
        <v>22432</v>
      </c>
      <c r="J17246" t="s">
        <v>5878</v>
      </c>
    </row>
    <row r="17247" spans="9:10" x14ac:dyDescent="0.3">
      <c r="I17247" t="s">
        <v>22433</v>
      </c>
      <c r="J17247" t="s">
        <v>5878</v>
      </c>
    </row>
    <row r="17248" spans="9:10" x14ac:dyDescent="0.3">
      <c r="I17248" t="s">
        <v>22434</v>
      </c>
      <c r="J17248" t="s">
        <v>5878</v>
      </c>
    </row>
    <row r="17249" spans="9:10" x14ac:dyDescent="0.3">
      <c r="I17249" t="s">
        <v>22435</v>
      </c>
      <c r="J17249" t="s">
        <v>5878</v>
      </c>
    </row>
    <row r="17250" spans="9:10" x14ac:dyDescent="0.3">
      <c r="I17250" t="s">
        <v>22436</v>
      </c>
      <c r="J17250" t="s">
        <v>5878</v>
      </c>
    </row>
    <row r="17251" spans="9:10" x14ac:dyDescent="0.3">
      <c r="I17251" t="s">
        <v>22437</v>
      </c>
      <c r="J17251" t="s">
        <v>5878</v>
      </c>
    </row>
    <row r="17252" spans="9:10" x14ac:dyDescent="0.3">
      <c r="I17252" t="s">
        <v>22438</v>
      </c>
      <c r="J17252" t="s">
        <v>5878</v>
      </c>
    </row>
    <row r="17253" spans="9:10" x14ac:dyDescent="0.3">
      <c r="I17253" t="s">
        <v>22439</v>
      </c>
      <c r="J17253" t="s">
        <v>5878</v>
      </c>
    </row>
    <row r="17254" spans="9:10" x14ac:dyDescent="0.3">
      <c r="I17254" t="s">
        <v>22440</v>
      </c>
      <c r="J17254" t="s">
        <v>5878</v>
      </c>
    </row>
    <row r="17255" spans="9:10" x14ac:dyDescent="0.3">
      <c r="I17255" t="s">
        <v>22441</v>
      </c>
      <c r="J17255" t="s">
        <v>5878</v>
      </c>
    </row>
    <row r="17256" spans="9:10" x14ac:dyDescent="0.3">
      <c r="I17256" t="s">
        <v>22442</v>
      </c>
      <c r="J17256" t="s">
        <v>5878</v>
      </c>
    </row>
    <row r="17257" spans="9:10" x14ac:dyDescent="0.3">
      <c r="I17257" t="s">
        <v>22443</v>
      </c>
      <c r="J17257" t="s">
        <v>5878</v>
      </c>
    </row>
    <row r="17258" spans="9:10" x14ac:dyDescent="0.3">
      <c r="I17258" t="s">
        <v>22444</v>
      </c>
      <c r="J17258" t="s">
        <v>5878</v>
      </c>
    </row>
    <row r="17259" spans="9:10" x14ac:dyDescent="0.3">
      <c r="I17259" t="s">
        <v>22445</v>
      </c>
      <c r="J17259" t="s">
        <v>5878</v>
      </c>
    </row>
    <row r="17260" spans="9:10" x14ac:dyDescent="0.3">
      <c r="I17260" t="s">
        <v>22446</v>
      </c>
      <c r="J17260" t="s">
        <v>5878</v>
      </c>
    </row>
    <row r="17261" spans="9:10" x14ac:dyDescent="0.3">
      <c r="I17261" t="s">
        <v>22447</v>
      </c>
      <c r="J17261" t="s">
        <v>5878</v>
      </c>
    </row>
    <row r="17262" spans="9:10" x14ac:dyDescent="0.3">
      <c r="I17262" t="s">
        <v>22448</v>
      </c>
      <c r="J17262" t="s">
        <v>5878</v>
      </c>
    </row>
    <row r="17263" spans="9:10" x14ac:dyDescent="0.3">
      <c r="I17263" t="s">
        <v>22449</v>
      </c>
      <c r="J17263" t="s">
        <v>5878</v>
      </c>
    </row>
    <row r="17264" spans="9:10" x14ac:dyDescent="0.3">
      <c r="I17264" t="s">
        <v>22056</v>
      </c>
      <c r="J17264" t="s">
        <v>5878</v>
      </c>
    </row>
    <row r="17265" spans="9:10" x14ac:dyDescent="0.3">
      <c r="I17265" t="s">
        <v>22450</v>
      </c>
      <c r="J17265" t="s">
        <v>5878</v>
      </c>
    </row>
    <row r="17266" spans="9:10" x14ac:dyDescent="0.3">
      <c r="I17266" t="s">
        <v>22056</v>
      </c>
      <c r="J17266" t="s">
        <v>5878</v>
      </c>
    </row>
    <row r="17267" spans="9:10" x14ac:dyDescent="0.3">
      <c r="I17267" t="s">
        <v>22451</v>
      </c>
      <c r="J17267" t="s">
        <v>5878</v>
      </c>
    </row>
    <row r="17268" spans="9:10" x14ac:dyDescent="0.3">
      <c r="I17268" t="s">
        <v>22452</v>
      </c>
      <c r="J17268" t="s">
        <v>5878</v>
      </c>
    </row>
    <row r="17269" spans="9:10" x14ac:dyDescent="0.3">
      <c r="I17269" t="s">
        <v>22453</v>
      </c>
      <c r="J17269" t="s">
        <v>5878</v>
      </c>
    </row>
    <row r="17270" spans="9:10" x14ac:dyDescent="0.3">
      <c r="I17270" t="s">
        <v>22454</v>
      </c>
      <c r="J17270" t="s">
        <v>5878</v>
      </c>
    </row>
    <row r="17271" spans="9:10" x14ac:dyDescent="0.3">
      <c r="I17271" t="s">
        <v>22455</v>
      </c>
      <c r="J17271" t="s">
        <v>5878</v>
      </c>
    </row>
    <row r="17272" spans="9:10" x14ac:dyDescent="0.3">
      <c r="I17272" t="s">
        <v>22456</v>
      </c>
      <c r="J17272" t="s">
        <v>5878</v>
      </c>
    </row>
    <row r="17273" spans="9:10" x14ac:dyDescent="0.3">
      <c r="I17273" t="s">
        <v>22457</v>
      </c>
      <c r="J17273" t="s">
        <v>5878</v>
      </c>
    </row>
    <row r="17274" spans="9:10" x14ac:dyDescent="0.3">
      <c r="I17274" t="s">
        <v>22458</v>
      </c>
      <c r="J17274" t="s">
        <v>5878</v>
      </c>
    </row>
    <row r="17275" spans="9:10" x14ac:dyDescent="0.3">
      <c r="I17275" t="s">
        <v>22459</v>
      </c>
      <c r="J17275" t="s">
        <v>5878</v>
      </c>
    </row>
    <row r="17276" spans="9:10" x14ac:dyDescent="0.3">
      <c r="I17276" t="s">
        <v>22460</v>
      </c>
      <c r="J17276" t="s">
        <v>5878</v>
      </c>
    </row>
    <row r="17277" spans="9:10" x14ac:dyDescent="0.3">
      <c r="I17277" t="s">
        <v>22461</v>
      </c>
      <c r="J17277" t="s">
        <v>5878</v>
      </c>
    </row>
    <row r="17278" spans="9:10" x14ac:dyDescent="0.3">
      <c r="I17278" t="s">
        <v>22462</v>
      </c>
      <c r="J17278" t="s">
        <v>5878</v>
      </c>
    </row>
    <row r="17279" spans="9:10" x14ac:dyDescent="0.3">
      <c r="I17279" t="s">
        <v>22463</v>
      </c>
      <c r="J17279" t="s">
        <v>5878</v>
      </c>
    </row>
    <row r="17280" spans="9:10" x14ac:dyDescent="0.3">
      <c r="I17280" t="s">
        <v>22464</v>
      </c>
      <c r="J17280" t="s">
        <v>5878</v>
      </c>
    </row>
    <row r="17281" spans="9:10" x14ac:dyDescent="0.3">
      <c r="I17281" t="s">
        <v>22465</v>
      </c>
      <c r="J17281" t="s">
        <v>5878</v>
      </c>
    </row>
    <row r="17282" spans="9:10" x14ac:dyDescent="0.3">
      <c r="I17282" t="s">
        <v>22466</v>
      </c>
      <c r="J17282" t="s">
        <v>5878</v>
      </c>
    </row>
    <row r="17283" spans="9:10" x14ac:dyDescent="0.3">
      <c r="I17283" t="s">
        <v>22467</v>
      </c>
      <c r="J17283" t="s">
        <v>5878</v>
      </c>
    </row>
    <row r="17284" spans="9:10" x14ac:dyDescent="0.3">
      <c r="I17284" t="s">
        <v>22468</v>
      </c>
      <c r="J17284" t="s">
        <v>5878</v>
      </c>
    </row>
    <row r="17285" spans="9:10" x14ac:dyDescent="0.3">
      <c r="I17285" t="s">
        <v>22469</v>
      </c>
      <c r="J17285" t="s">
        <v>5878</v>
      </c>
    </row>
    <row r="17286" spans="9:10" x14ac:dyDescent="0.3">
      <c r="I17286" t="s">
        <v>22470</v>
      </c>
      <c r="J17286" t="s">
        <v>5878</v>
      </c>
    </row>
    <row r="17287" spans="9:10" x14ac:dyDescent="0.3">
      <c r="I17287" t="s">
        <v>22471</v>
      </c>
      <c r="J17287" t="s">
        <v>5878</v>
      </c>
    </row>
    <row r="17288" spans="9:10" x14ac:dyDescent="0.3">
      <c r="I17288" t="s">
        <v>22472</v>
      </c>
      <c r="J17288" t="s">
        <v>5878</v>
      </c>
    </row>
    <row r="17289" spans="9:10" x14ac:dyDescent="0.3">
      <c r="I17289" t="s">
        <v>22473</v>
      </c>
      <c r="J17289" t="s">
        <v>5878</v>
      </c>
    </row>
    <row r="17290" spans="9:10" x14ac:dyDescent="0.3">
      <c r="I17290" t="s">
        <v>22474</v>
      </c>
      <c r="J17290" t="s">
        <v>5878</v>
      </c>
    </row>
    <row r="17291" spans="9:10" x14ac:dyDescent="0.3">
      <c r="I17291" t="s">
        <v>22475</v>
      </c>
      <c r="J17291" t="s">
        <v>5878</v>
      </c>
    </row>
    <row r="17292" spans="9:10" x14ac:dyDescent="0.3">
      <c r="I17292" t="s">
        <v>22476</v>
      </c>
      <c r="J17292" t="s">
        <v>5878</v>
      </c>
    </row>
    <row r="17293" spans="9:10" x14ac:dyDescent="0.3">
      <c r="I17293" t="s">
        <v>22477</v>
      </c>
      <c r="J17293" t="s">
        <v>5878</v>
      </c>
    </row>
    <row r="17294" spans="9:10" x14ac:dyDescent="0.3">
      <c r="I17294" t="s">
        <v>22478</v>
      </c>
      <c r="J17294" t="s">
        <v>5878</v>
      </c>
    </row>
    <row r="17295" spans="9:10" x14ac:dyDescent="0.3">
      <c r="I17295" t="s">
        <v>22479</v>
      </c>
      <c r="J17295" t="s">
        <v>5878</v>
      </c>
    </row>
    <row r="17296" spans="9:10" x14ac:dyDescent="0.3">
      <c r="I17296" t="s">
        <v>22480</v>
      </c>
      <c r="J17296" t="s">
        <v>5878</v>
      </c>
    </row>
    <row r="17297" spans="9:10" x14ac:dyDescent="0.3">
      <c r="I17297" t="s">
        <v>22481</v>
      </c>
      <c r="J17297" t="s">
        <v>5878</v>
      </c>
    </row>
    <row r="17298" spans="9:10" x14ac:dyDescent="0.3">
      <c r="I17298" t="s">
        <v>22482</v>
      </c>
      <c r="J17298" t="s">
        <v>5878</v>
      </c>
    </row>
    <row r="17299" spans="9:10" x14ac:dyDescent="0.3">
      <c r="I17299" t="s">
        <v>22483</v>
      </c>
      <c r="J17299" t="s">
        <v>5878</v>
      </c>
    </row>
    <row r="17300" spans="9:10" x14ac:dyDescent="0.3">
      <c r="I17300" t="s">
        <v>22484</v>
      </c>
      <c r="J17300" t="s">
        <v>5878</v>
      </c>
    </row>
    <row r="17301" spans="9:10" x14ac:dyDescent="0.3">
      <c r="I17301" t="s">
        <v>22485</v>
      </c>
      <c r="J17301" t="s">
        <v>5878</v>
      </c>
    </row>
    <row r="17302" spans="9:10" x14ac:dyDescent="0.3">
      <c r="I17302" t="s">
        <v>22486</v>
      </c>
      <c r="J17302" t="s">
        <v>5878</v>
      </c>
    </row>
    <row r="17303" spans="9:10" x14ac:dyDescent="0.3">
      <c r="I17303" t="s">
        <v>22487</v>
      </c>
      <c r="J17303" t="s">
        <v>5878</v>
      </c>
    </row>
    <row r="17304" spans="9:10" x14ac:dyDescent="0.3">
      <c r="I17304" t="s">
        <v>22488</v>
      </c>
      <c r="J17304" t="s">
        <v>5878</v>
      </c>
    </row>
    <row r="17305" spans="9:10" x14ac:dyDescent="0.3">
      <c r="I17305" t="s">
        <v>22489</v>
      </c>
      <c r="J17305" t="s">
        <v>5878</v>
      </c>
    </row>
    <row r="17306" spans="9:10" x14ac:dyDescent="0.3">
      <c r="I17306" t="s">
        <v>22490</v>
      </c>
      <c r="J17306" t="s">
        <v>5878</v>
      </c>
    </row>
    <row r="17307" spans="9:10" x14ac:dyDescent="0.3">
      <c r="I17307" t="s">
        <v>22491</v>
      </c>
      <c r="J17307" t="s">
        <v>5878</v>
      </c>
    </row>
    <row r="17308" spans="9:10" x14ac:dyDescent="0.3">
      <c r="I17308" t="s">
        <v>22492</v>
      </c>
      <c r="J17308" t="s">
        <v>5878</v>
      </c>
    </row>
    <row r="17309" spans="9:10" x14ac:dyDescent="0.3">
      <c r="I17309" t="s">
        <v>22493</v>
      </c>
      <c r="J17309" t="s">
        <v>5878</v>
      </c>
    </row>
    <row r="17310" spans="9:10" x14ac:dyDescent="0.3">
      <c r="I17310" t="s">
        <v>22494</v>
      </c>
      <c r="J17310" t="s">
        <v>5878</v>
      </c>
    </row>
    <row r="17311" spans="9:10" x14ac:dyDescent="0.3">
      <c r="I17311" t="s">
        <v>22495</v>
      </c>
      <c r="J17311" t="s">
        <v>5878</v>
      </c>
    </row>
    <row r="17312" spans="9:10" x14ac:dyDescent="0.3">
      <c r="I17312" t="s">
        <v>22496</v>
      </c>
      <c r="J17312" t="s">
        <v>5878</v>
      </c>
    </row>
    <row r="17313" spans="9:10" x14ac:dyDescent="0.3">
      <c r="I17313" t="s">
        <v>22497</v>
      </c>
      <c r="J17313" t="s">
        <v>5878</v>
      </c>
    </row>
    <row r="17314" spans="9:10" x14ac:dyDescent="0.3">
      <c r="I17314" t="s">
        <v>22498</v>
      </c>
      <c r="J17314" t="s">
        <v>5878</v>
      </c>
    </row>
    <row r="17315" spans="9:10" x14ac:dyDescent="0.3">
      <c r="I17315" t="s">
        <v>22499</v>
      </c>
      <c r="J17315" t="s">
        <v>5878</v>
      </c>
    </row>
    <row r="17316" spans="9:10" x14ac:dyDescent="0.3">
      <c r="I17316" t="s">
        <v>22500</v>
      </c>
      <c r="J17316" t="s">
        <v>5878</v>
      </c>
    </row>
    <row r="17317" spans="9:10" x14ac:dyDescent="0.3">
      <c r="I17317" t="s">
        <v>22501</v>
      </c>
      <c r="J17317" t="s">
        <v>5878</v>
      </c>
    </row>
    <row r="17318" spans="9:10" x14ac:dyDescent="0.3">
      <c r="I17318" t="s">
        <v>22502</v>
      </c>
      <c r="J17318" t="s">
        <v>5878</v>
      </c>
    </row>
    <row r="17319" spans="9:10" x14ac:dyDescent="0.3">
      <c r="I17319" t="s">
        <v>22503</v>
      </c>
      <c r="J17319" t="s">
        <v>5878</v>
      </c>
    </row>
    <row r="17320" spans="9:10" x14ac:dyDescent="0.3">
      <c r="I17320" t="s">
        <v>22504</v>
      </c>
      <c r="J17320" t="s">
        <v>5878</v>
      </c>
    </row>
    <row r="17321" spans="9:10" x14ac:dyDescent="0.3">
      <c r="I17321" t="s">
        <v>22505</v>
      </c>
      <c r="J17321" t="s">
        <v>5878</v>
      </c>
    </row>
    <row r="17322" spans="9:10" x14ac:dyDescent="0.3">
      <c r="I17322" t="s">
        <v>22506</v>
      </c>
      <c r="J17322" t="s">
        <v>5878</v>
      </c>
    </row>
    <row r="17323" spans="9:10" x14ac:dyDescent="0.3">
      <c r="I17323" t="s">
        <v>22507</v>
      </c>
      <c r="J17323" t="s">
        <v>5878</v>
      </c>
    </row>
    <row r="17324" spans="9:10" x14ac:dyDescent="0.3">
      <c r="I17324" t="s">
        <v>22508</v>
      </c>
      <c r="J17324" t="s">
        <v>5878</v>
      </c>
    </row>
    <row r="17325" spans="9:10" x14ac:dyDescent="0.3">
      <c r="I17325" t="s">
        <v>22509</v>
      </c>
      <c r="J17325" t="s">
        <v>5878</v>
      </c>
    </row>
    <row r="17326" spans="9:10" x14ac:dyDescent="0.3">
      <c r="I17326" t="s">
        <v>22510</v>
      </c>
      <c r="J17326" t="s">
        <v>5878</v>
      </c>
    </row>
    <row r="17327" spans="9:10" x14ac:dyDescent="0.3">
      <c r="I17327" t="s">
        <v>22511</v>
      </c>
      <c r="J17327" t="s">
        <v>5878</v>
      </c>
    </row>
    <row r="17328" spans="9:10" x14ac:dyDescent="0.3">
      <c r="I17328" t="s">
        <v>22512</v>
      </c>
      <c r="J17328" t="s">
        <v>5878</v>
      </c>
    </row>
    <row r="17329" spans="9:10" x14ac:dyDescent="0.3">
      <c r="I17329" t="s">
        <v>22513</v>
      </c>
      <c r="J17329" t="s">
        <v>5878</v>
      </c>
    </row>
    <row r="17330" spans="9:10" x14ac:dyDescent="0.3">
      <c r="I17330" t="s">
        <v>22514</v>
      </c>
      <c r="J17330" t="s">
        <v>5878</v>
      </c>
    </row>
    <row r="17331" spans="9:10" x14ac:dyDescent="0.3">
      <c r="I17331" t="s">
        <v>22515</v>
      </c>
      <c r="J17331" t="s">
        <v>5878</v>
      </c>
    </row>
    <row r="17332" spans="9:10" x14ac:dyDescent="0.3">
      <c r="I17332" t="s">
        <v>22516</v>
      </c>
      <c r="J17332" t="s">
        <v>5878</v>
      </c>
    </row>
    <row r="17333" spans="9:10" x14ac:dyDescent="0.3">
      <c r="I17333" t="s">
        <v>22517</v>
      </c>
      <c r="J17333" t="s">
        <v>5878</v>
      </c>
    </row>
    <row r="17334" spans="9:10" x14ac:dyDescent="0.3">
      <c r="I17334" t="s">
        <v>22518</v>
      </c>
      <c r="J17334" t="s">
        <v>5878</v>
      </c>
    </row>
    <row r="17335" spans="9:10" x14ac:dyDescent="0.3">
      <c r="I17335" t="s">
        <v>22519</v>
      </c>
      <c r="J17335" t="s">
        <v>5878</v>
      </c>
    </row>
    <row r="17336" spans="9:10" x14ac:dyDescent="0.3">
      <c r="I17336" t="s">
        <v>22520</v>
      </c>
      <c r="J17336" t="s">
        <v>5878</v>
      </c>
    </row>
    <row r="17337" spans="9:10" x14ac:dyDescent="0.3">
      <c r="I17337" t="s">
        <v>22521</v>
      </c>
      <c r="J17337" t="s">
        <v>5878</v>
      </c>
    </row>
    <row r="17338" spans="9:10" x14ac:dyDescent="0.3">
      <c r="I17338" t="s">
        <v>22522</v>
      </c>
      <c r="J17338" t="s">
        <v>5878</v>
      </c>
    </row>
    <row r="17339" spans="9:10" x14ac:dyDescent="0.3">
      <c r="I17339" t="s">
        <v>22523</v>
      </c>
      <c r="J17339" t="s">
        <v>5878</v>
      </c>
    </row>
    <row r="17340" spans="9:10" x14ac:dyDescent="0.3">
      <c r="I17340" t="s">
        <v>22524</v>
      </c>
      <c r="J17340" t="s">
        <v>5878</v>
      </c>
    </row>
    <row r="17341" spans="9:10" x14ac:dyDescent="0.3">
      <c r="I17341" t="s">
        <v>22525</v>
      </c>
      <c r="J17341" t="s">
        <v>5878</v>
      </c>
    </row>
    <row r="17342" spans="9:10" x14ac:dyDescent="0.3">
      <c r="I17342" t="s">
        <v>22526</v>
      </c>
      <c r="J17342" t="s">
        <v>5878</v>
      </c>
    </row>
    <row r="17343" spans="9:10" x14ac:dyDescent="0.3">
      <c r="I17343" t="s">
        <v>22527</v>
      </c>
      <c r="J17343" t="s">
        <v>5878</v>
      </c>
    </row>
    <row r="17344" spans="9:10" x14ac:dyDescent="0.3">
      <c r="I17344" t="s">
        <v>22528</v>
      </c>
      <c r="J17344" t="s">
        <v>5878</v>
      </c>
    </row>
    <row r="17345" spans="9:10" x14ac:dyDescent="0.3">
      <c r="I17345" t="s">
        <v>22529</v>
      </c>
      <c r="J17345" t="s">
        <v>5878</v>
      </c>
    </row>
    <row r="17346" spans="9:10" x14ac:dyDescent="0.3">
      <c r="I17346" t="s">
        <v>22530</v>
      </c>
      <c r="J17346" t="s">
        <v>5878</v>
      </c>
    </row>
    <row r="17347" spans="9:10" x14ac:dyDescent="0.3">
      <c r="I17347" t="s">
        <v>22531</v>
      </c>
      <c r="J17347" t="s">
        <v>5878</v>
      </c>
    </row>
    <row r="17348" spans="9:10" x14ac:dyDescent="0.3">
      <c r="I17348" t="s">
        <v>22532</v>
      </c>
      <c r="J17348" t="s">
        <v>5878</v>
      </c>
    </row>
    <row r="17349" spans="9:10" x14ac:dyDescent="0.3">
      <c r="I17349" t="s">
        <v>22533</v>
      </c>
      <c r="J17349" t="s">
        <v>5878</v>
      </c>
    </row>
    <row r="17350" spans="9:10" x14ac:dyDescent="0.3">
      <c r="I17350" t="s">
        <v>22534</v>
      </c>
      <c r="J17350" t="s">
        <v>5878</v>
      </c>
    </row>
    <row r="17351" spans="9:10" x14ac:dyDescent="0.3">
      <c r="I17351" t="s">
        <v>22535</v>
      </c>
      <c r="J17351" t="s">
        <v>5878</v>
      </c>
    </row>
    <row r="17352" spans="9:10" x14ac:dyDescent="0.3">
      <c r="I17352" t="s">
        <v>22536</v>
      </c>
      <c r="J17352" t="s">
        <v>5878</v>
      </c>
    </row>
    <row r="17353" spans="9:10" x14ac:dyDescent="0.3">
      <c r="I17353" t="s">
        <v>22537</v>
      </c>
      <c r="J17353" t="s">
        <v>5878</v>
      </c>
    </row>
    <row r="17354" spans="9:10" x14ac:dyDescent="0.3">
      <c r="I17354" t="s">
        <v>22538</v>
      </c>
      <c r="J17354" t="s">
        <v>5878</v>
      </c>
    </row>
    <row r="17355" spans="9:10" x14ac:dyDescent="0.3">
      <c r="I17355" t="s">
        <v>22539</v>
      </c>
      <c r="J17355" t="s">
        <v>5878</v>
      </c>
    </row>
    <row r="17356" spans="9:10" x14ac:dyDescent="0.3">
      <c r="I17356" t="s">
        <v>22540</v>
      </c>
      <c r="J17356" t="s">
        <v>5878</v>
      </c>
    </row>
    <row r="17357" spans="9:10" x14ac:dyDescent="0.3">
      <c r="I17357" t="s">
        <v>22541</v>
      </c>
      <c r="J17357" t="s">
        <v>5878</v>
      </c>
    </row>
    <row r="17358" spans="9:10" x14ac:dyDescent="0.3">
      <c r="I17358" t="s">
        <v>22542</v>
      </c>
      <c r="J17358" t="s">
        <v>5878</v>
      </c>
    </row>
    <row r="17359" spans="9:10" x14ac:dyDescent="0.3">
      <c r="I17359" t="s">
        <v>22543</v>
      </c>
      <c r="J17359" t="s">
        <v>5878</v>
      </c>
    </row>
    <row r="17360" spans="9:10" x14ac:dyDescent="0.3">
      <c r="I17360" t="s">
        <v>22544</v>
      </c>
      <c r="J17360" t="s">
        <v>5878</v>
      </c>
    </row>
    <row r="17361" spans="9:10" x14ac:dyDescent="0.3">
      <c r="I17361" t="s">
        <v>22545</v>
      </c>
      <c r="J17361" t="s">
        <v>5878</v>
      </c>
    </row>
    <row r="17362" spans="9:10" x14ac:dyDescent="0.3">
      <c r="I17362" t="s">
        <v>22546</v>
      </c>
      <c r="J17362" t="s">
        <v>5878</v>
      </c>
    </row>
    <row r="17363" spans="9:10" x14ac:dyDescent="0.3">
      <c r="I17363" t="s">
        <v>22547</v>
      </c>
      <c r="J17363" t="s">
        <v>5878</v>
      </c>
    </row>
    <row r="17364" spans="9:10" x14ac:dyDescent="0.3">
      <c r="I17364" t="s">
        <v>22548</v>
      </c>
      <c r="J17364" t="s">
        <v>5878</v>
      </c>
    </row>
    <row r="17365" spans="9:10" x14ac:dyDescent="0.3">
      <c r="I17365" t="s">
        <v>22549</v>
      </c>
      <c r="J17365" t="s">
        <v>5878</v>
      </c>
    </row>
    <row r="17366" spans="9:10" x14ac:dyDescent="0.3">
      <c r="I17366" t="s">
        <v>22550</v>
      </c>
      <c r="J17366" t="s">
        <v>5878</v>
      </c>
    </row>
    <row r="17367" spans="9:10" x14ac:dyDescent="0.3">
      <c r="I17367" t="s">
        <v>22551</v>
      </c>
      <c r="J17367" t="s">
        <v>5878</v>
      </c>
    </row>
    <row r="17368" spans="9:10" x14ac:dyDescent="0.3">
      <c r="I17368" t="s">
        <v>22552</v>
      </c>
      <c r="J17368" t="s">
        <v>5878</v>
      </c>
    </row>
    <row r="17369" spans="9:10" x14ac:dyDescent="0.3">
      <c r="I17369" t="s">
        <v>22553</v>
      </c>
      <c r="J17369" t="s">
        <v>5878</v>
      </c>
    </row>
    <row r="17370" spans="9:10" x14ac:dyDescent="0.3">
      <c r="I17370" t="s">
        <v>22554</v>
      </c>
      <c r="J17370" t="s">
        <v>5878</v>
      </c>
    </row>
    <row r="17371" spans="9:10" x14ac:dyDescent="0.3">
      <c r="I17371" t="s">
        <v>22555</v>
      </c>
      <c r="J17371" t="s">
        <v>5878</v>
      </c>
    </row>
    <row r="17372" spans="9:10" x14ac:dyDescent="0.3">
      <c r="I17372" t="s">
        <v>22556</v>
      </c>
      <c r="J17372" t="s">
        <v>5878</v>
      </c>
    </row>
    <row r="17373" spans="9:10" x14ac:dyDescent="0.3">
      <c r="I17373" t="s">
        <v>22557</v>
      </c>
      <c r="J17373" t="s">
        <v>5878</v>
      </c>
    </row>
    <row r="17374" spans="9:10" x14ac:dyDescent="0.3">
      <c r="I17374" t="s">
        <v>22558</v>
      </c>
      <c r="J17374" t="s">
        <v>5878</v>
      </c>
    </row>
    <row r="17375" spans="9:10" x14ac:dyDescent="0.3">
      <c r="I17375" t="s">
        <v>22559</v>
      </c>
      <c r="J17375" t="s">
        <v>5878</v>
      </c>
    </row>
    <row r="17376" spans="9:10" x14ac:dyDescent="0.3">
      <c r="I17376" t="s">
        <v>22560</v>
      </c>
      <c r="J17376" t="s">
        <v>5878</v>
      </c>
    </row>
    <row r="17377" spans="9:10" x14ac:dyDescent="0.3">
      <c r="I17377" t="s">
        <v>22561</v>
      </c>
      <c r="J17377" t="s">
        <v>5878</v>
      </c>
    </row>
    <row r="17378" spans="9:10" x14ac:dyDescent="0.3">
      <c r="I17378" t="s">
        <v>22562</v>
      </c>
      <c r="J17378" t="s">
        <v>5878</v>
      </c>
    </row>
    <row r="17379" spans="9:10" x14ac:dyDescent="0.3">
      <c r="I17379" t="s">
        <v>22563</v>
      </c>
      <c r="J17379" t="s">
        <v>5878</v>
      </c>
    </row>
    <row r="17380" spans="9:10" x14ac:dyDescent="0.3">
      <c r="I17380" t="s">
        <v>22564</v>
      </c>
      <c r="J17380" t="s">
        <v>5878</v>
      </c>
    </row>
    <row r="17381" spans="9:10" x14ac:dyDescent="0.3">
      <c r="I17381" t="s">
        <v>22565</v>
      </c>
      <c r="J17381" t="s">
        <v>5878</v>
      </c>
    </row>
    <row r="17382" spans="9:10" x14ac:dyDescent="0.3">
      <c r="I17382" t="s">
        <v>22566</v>
      </c>
      <c r="J17382" t="s">
        <v>5878</v>
      </c>
    </row>
    <row r="17383" spans="9:10" x14ac:dyDescent="0.3">
      <c r="I17383" t="s">
        <v>22567</v>
      </c>
      <c r="J17383" t="s">
        <v>5878</v>
      </c>
    </row>
    <row r="17384" spans="9:10" x14ac:dyDescent="0.3">
      <c r="I17384" t="s">
        <v>22568</v>
      </c>
      <c r="J17384" t="s">
        <v>5878</v>
      </c>
    </row>
    <row r="17385" spans="9:10" x14ac:dyDescent="0.3">
      <c r="I17385" t="s">
        <v>22569</v>
      </c>
      <c r="J17385" t="s">
        <v>5878</v>
      </c>
    </row>
    <row r="17386" spans="9:10" x14ac:dyDescent="0.3">
      <c r="I17386" t="s">
        <v>22570</v>
      </c>
      <c r="J17386" t="s">
        <v>5878</v>
      </c>
    </row>
    <row r="17387" spans="9:10" x14ac:dyDescent="0.3">
      <c r="I17387" t="s">
        <v>22571</v>
      </c>
      <c r="J17387" t="s">
        <v>5878</v>
      </c>
    </row>
    <row r="17388" spans="9:10" x14ac:dyDescent="0.3">
      <c r="I17388" t="s">
        <v>22572</v>
      </c>
      <c r="J17388" t="s">
        <v>5878</v>
      </c>
    </row>
    <row r="17389" spans="9:10" x14ac:dyDescent="0.3">
      <c r="I17389" t="s">
        <v>22573</v>
      </c>
      <c r="J17389" t="s">
        <v>5878</v>
      </c>
    </row>
    <row r="17390" spans="9:10" x14ac:dyDescent="0.3">
      <c r="I17390" t="s">
        <v>22574</v>
      </c>
      <c r="J17390" t="s">
        <v>5878</v>
      </c>
    </row>
    <row r="17391" spans="9:10" x14ac:dyDescent="0.3">
      <c r="I17391" t="s">
        <v>22575</v>
      </c>
      <c r="J17391" t="s">
        <v>5878</v>
      </c>
    </row>
    <row r="17392" spans="9:10" x14ac:dyDescent="0.3">
      <c r="I17392" t="s">
        <v>22576</v>
      </c>
      <c r="J17392" t="s">
        <v>5878</v>
      </c>
    </row>
    <row r="17393" spans="9:10" x14ac:dyDescent="0.3">
      <c r="I17393" t="s">
        <v>22577</v>
      </c>
      <c r="J17393" t="s">
        <v>5878</v>
      </c>
    </row>
    <row r="17394" spans="9:10" x14ac:dyDescent="0.3">
      <c r="I17394" t="s">
        <v>22578</v>
      </c>
      <c r="J17394" t="s">
        <v>5878</v>
      </c>
    </row>
    <row r="17395" spans="9:10" x14ac:dyDescent="0.3">
      <c r="I17395" t="s">
        <v>22579</v>
      </c>
      <c r="J17395" t="s">
        <v>5878</v>
      </c>
    </row>
    <row r="17396" spans="9:10" x14ac:dyDescent="0.3">
      <c r="I17396" t="s">
        <v>22580</v>
      </c>
      <c r="J17396" t="s">
        <v>5878</v>
      </c>
    </row>
    <row r="17397" spans="9:10" x14ac:dyDescent="0.3">
      <c r="I17397" t="s">
        <v>22581</v>
      </c>
      <c r="J17397" t="s">
        <v>5878</v>
      </c>
    </row>
    <row r="17398" spans="9:10" x14ac:dyDescent="0.3">
      <c r="I17398" t="s">
        <v>22582</v>
      </c>
      <c r="J17398" t="s">
        <v>5878</v>
      </c>
    </row>
    <row r="17399" spans="9:10" x14ac:dyDescent="0.3">
      <c r="I17399" t="s">
        <v>22583</v>
      </c>
      <c r="J17399" t="s">
        <v>5878</v>
      </c>
    </row>
    <row r="17400" spans="9:10" x14ac:dyDescent="0.3">
      <c r="I17400" t="s">
        <v>22584</v>
      </c>
      <c r="J17400" t="s">
        <v>5878</v>
      </c>
    </row>
    <row r="17401" spans="9:10" x14ac:dyDescent="0.3">
      <c r="I17401" t="s">
        <v>22585</v>
      </c>
      <c r="J17401" t="s">
        <v>5878</v>
      </c>
    </row>
    <row r="17402" spans="9:10" x14ac:dyDescent="0.3">
      <c r="I17402" t="s">
        <v>22586</v>
      </c>
      <c r="J17402" t="s">
        <v>5878</v>
      </c>
    </row>
    <row r="17403" spans="9:10" x14ac:dyDescent="0.3">
      <c r="I17403" t="s">
        <v>22587</v>
      </c>
      <c r="J17403" t="s">
        <v>5878</v>
      </c>
    </row>
    <row r="17404" spans="9:10" x14ac:dyDescent="0.3">
      <c r="I17404" t="s">
        <v>22588</v>
      </c>
      <c r="J17404" t="s">
        <v>5878</v>
      </c>
    </row>
    <row r="17405" spans="9:10" x14ac:dyDescent="0.3">
      <c r="I17405" t="s">
        <v>22589</v>
      </c>
      <c r="J17405" t="s">
        <v>5878</v>
      </c>
    </row>
    <row r="17406" spans="9:10" x14ac:dyDescent="0.3">
      <c r="I17406" t="s">
        <v>22590</v>
      </c>
      <c r="J17406" t="s">
        <v>5878</v>
      </c>
    </row>
    <row r="17407" spans="9:10" x14ac:dyDescent="0.3">
      <c r="I17407" t="s">
        <v>22591</v>
      </c>
      <c r="J17407" t="s">
        <v>5878</v>
      </c>
    </row>
    <row r="17408" spans="9:10" x14ac:dyDescent="0.3">
      <c r="I17408" t="s">
        <v>22592</v>
      </c>
      <c r="J17408" t="s">
        <v>5878</v>
      </c>
    </row>
    <row r="17409" spans="9:10" x14ac:dyDescent="0.3">
      <c r="I17409" t="s">
        <v>22593</v>
      </c>
      <c r="J17409" t="s">
        <v>5878</v>
      </c>
    </row>
    <row r="17410" spans="9:10" x14ac:dyDescent="0.3">
      <c r="I17410" t="s">
        <v>22594</v>
      </c>
      <c r="J17410" t="s">
        <v>5878</v>
      </c>
    </row>
    <row r="17411" spans="9:10" x14ac:dyDescent="0.3">
      <c r="I17411" t="s">
        <v>22595</v>
      </c>
      <c r="J17411" t="s">
        <v>5878</v>
      </c>
    </row>
    <row r="17412" spans="9:10" x14ac:dyDescent="0.3">
      <c r="I17412" t="s">
        <v>22596</v>
      </c>
      <c r="J17412" t="s">
        <v>5878</v>
      </c>
    </row>
    <row r="17413" spans="9:10" x14ac:dyDescent="0.3">
      <c r="I17413" t="s">
        <v>22597</v>
      </c>
      <c r="J17413" t="s">
        <v>5878</v>
      </c>
    </row>
    <row r="17414" spans="9:10" x14ac:dyDescent="0.3">
      <c r="I17414" t="s">
        <v>22598</v>
      </c>
      <c r="J17414" t="s">
        <v>5878</v>
      </c>
    </row>
    <row r="17415" spans="9:10" x14ac:dyDescent="0.3">
      <c r="I17415" t="s">
        <v>22599</v>
      </c>
      <c r="J17415" t="s">
        <v>5878</v>
      </c>
    </row>
    <row r="17416" spans="9:10" x14ac:dyDescent="0.3">
      <c r="I17416" t="s">
        <v>22600</v>
      </c>
      <c r="J17416" t="s">
        <v>5878</v>
      </c>
    </row>
    <row r="17417" spans="9:10" x14ac:dyDescent="0.3">
      <c r="I17417" t="s">
        <v>22601</v>
      </c>
      <c r="J17417" t="s">
        <v>5878</v>
      </c>
    </row>
    <row r="17418" spans="9:10" x14ac:dyDescent="0.3">
      <c r="I17418" t="s">
        <v>22602</v>
      </c>
      <c r="J17418" t="s">
        <v>5878</v>
      </c>
    </row>
    <row r="17419" spans="9:10" x14ac:dyDescent="0.3">
      <c r="I17419" t="s">
        <v>22603</v>
      </c>
      <c r="J17419" t="s">
        <v>5878</v>
      </c>
    </row>
    <row r="17420" spans="9:10" x14ac:dyDescent="0.3">
      <c r="I17420" t="s">
        <v>22604</v>
      </c>
      <c r="J17420" t="s">
        <v>5878</v>
      </c>
    </row>
    <row r="17421" spans="9:10" x14ac:dyDescent="0.3">
      <c r="I17421" t="s">
        <v>22605</v>
      </c>
      <c r="J17421" t="s">
        <v>5878</v>
      </c>
    </row>
    <row r="17422" spans="9:10" x14ac:dyDescent="0.3">
      <c r="I17422" t="s">
        <v>22606</v>
      </c>
      <c r="J17422" t="s">
        <v>5878</v>
      </c>
    </row>
    <row r="17423" spans="9:10" x14ac:dyDescent="0.3">
      <c r="I17423" t="s">
        <v>22607</v>
      </c>
      <c r="J17423" t="s">
        <v>5878</v>
      </c>
    </row>
    <row r="17424" spans="9:10" x14ac:dyDescent="0.3">
      <c r="I17424" t="s">
        <v>22608</v>
      </c>
      <c r="J17424" t="s">
        <v>5878</v>
      </c>
    </row>
    <row r="17425" spans="9:10" x14ac:dyDescent="0.3">
      <c r="I17425" t="s">
        <v>22609</v>
      </c>
      <c r="J17425" t="s">
        <v>5878</v>
      </c>
    </row>
    <row r="17426" spans="9:10" x14ac:dyDescent="0.3">
      <c r="I17426" t="s">
        <v>22610</v>
      </c>
      <c r="J17426" t="s">
        <v>5878</v>
      </c>
    </row>
    <row r="17427" spans="9:10" x14ac:dyDescent="0.3">
      <c r="I17427" t="s">
        <v>22611</v>
      </c>
      <c r="J17427" t="s">
        <v>5878</v>
      </c>
    </row>
    <row r="17428" spans="9:10" x14ac:dyDescent="0.3">
      <c r="I17428" t="s">
        <v>22612</v>
      </c>
      <c r="J17428" t="s">
        <v>5878</v>
      </c>
    </row>
    <row r="17429" spans="9:10" x14ac:dyDescent="0.3">
      <c r="I17429" t="s">
        <v>22613</v>
      </c>
      <c r="J17429" t="s">
        <v>5878</v>
      </c>
    </row>
    <row r="17430" spans="9:10" x14ac:dyDescent="0.3">
      <c r="I17430" t="s">
        <v>22614</v>
      </c>
      <c r="J17430" t="s">
        <v>5878</v>
      </c>
    </row>
    <row r="17431" spans="9:10" x14ac:dyDescent="0.3">
      <c r="I17431" t="s">
        <v>22615</v>
      </c>
      <c r="J17431" t="s">
        <v>5878</v>
      </c>
    </row>
    <row r="17432" spans="9:10" x14ac:dyDescent="0.3">
      <c r="I17432" t="s">
        <v>22616</v>
      </c>
      <c r="J17432" t="s">
        <v>5878</v>
      </c>
    </row>
    <row r="17433" spans="9:10" x14ac:dyDescent="0.3">
      <c r="I17433" t="s">
        <v>22617</v>
      </c>
      <c r="J17433" t="s">
        <v>5878</v>
      </c>
    </row>
    <row r="17434" spans="9:10" x14ac:dyDescent="0.3">
      <c r="I17434" t="s">
        <v>22618</v>
      </c>
      <c r="J17434" t="s">
        <v>5878</v>
      </c>
    </row>
    <row r="17435" spans="9:10" x14ac:dyDescent="0.3">
      <c r="I17435" t="s">
        <v>22619</v>
      </c>
      <c r="J17435" t="s">
        <v>5878</v>
      </c>
    </row>
    <row r="17436" spans="9:10" x14ac:dyDescent="0.3">
      <c r="I17436" t="s">
        <v>22620</v>
      </c>
      <c r="J17436" t="s">
        <v>5878</v>
      </c>
    </row>
    <row r="17437" spans="9:10" x14ac:dyDescent="0.3">
      <c r="I17437" t="s">
        <v>22621</v>
      </c>
      <c r="J17437" t="s">
        <v>5878</v>
      </c>
    </row>
    <row r="17438" spans="9:10" x14ac:dyDescent="0.3">
      <c r="I17438" t="s">
        <v>22622</v>
      </c>
      <c r="J17438" t="s">
        <v>5878</v>
      </c>
    </row>
    <row r="17439" spans="9:10" x14ac:dyDescent="0.3">
      <c r="I17439" t="s">
        <v>22623</v>
      </c>
      <c r="J17439" t="s">
        <v>5878</v>
      </c>
    </row>
    <row r="17440" spans="9:10" x14ac:dyDescent="0.3">
      <c r="I17440" t="s">
        <v>22624</v>
      </c>
      <c r="J17440" t="s">
        <v>5878</v>
      </c>
    </row>
    <row r="17441" spans="9:10" x14ac:dyDescent="0.3">
      <c r="I17441" t="s">
        <v>22625</v>
      </c>
      <c r="J17441" t="s">
        <v>5878</v>
      </c>
    </row>
    <row r="17442" spans="9:10" x14ac:dyDescent="0.3">
      <c r="I17442" t="s">
        <v>22626</v>
      </c>
      <c r="J17442" t="s">
        <v>5878</v>
      </c>
    </row>
    <row r="17443" spans="9:10" x14ac:dyDescent="0.3">
      <c r="I17443" t="s">
        <v>22627</v>
      </c>
      <c r="J17443" t="s">
        <v>5878</v>
      </c>
    </row>
    <row r="17444" spans="9:10" x14ac:dyDescent="0.3">
      <c r="I17444" t="s">
        <v>22628</v>
      </c>
      <c r="J17444" t="s">
        <v>5878</v>
      </c>
    </row>
    <row r="17445" spans="9:10" x14ac:dyDescent="0.3">
      <c r="I17445" t="s">
        <v>22629</v>
      </c>
      <c r="J17445" t="s">
        <v>5878</v>
      </c>
    </row>
    <row r="17446" spans="9:10" x14ac:dyDescent="0.3">
      <c r="I17446" t="s">
        <v>22630</v>
      </c>
      <c r="J17446" t="s">
        <v>5878</v>
      </c>
    </row>
    <row r="17447" spans="9:10" x14ac:dyDescent="0.3">
      <c r="I17447" t="s">
        <v>22631</v>
      </c>
      <c r="J17447" t="s">
        <v>5878</v>
      </c>
    </row>
    <row r="17448" spans="9:10" x14ac:dyDescent="0.3">
      <c r="I17448" t="s">
        <v>22632</v>
      </c>
      <c r="J17448" t="s">
        <v>5878</v>
      </c>
    </row>
    <row r="17449" spans="9:10" x14ac:dyDescent="0.3">
      <c r="I17449" t="s">
        <v>22633</v>
      </c>
      <c r="J17449" t="s">
        <v>5878</v>
      </c>
    </row>
    <row r="17450" spans="9:10" x14ac:dyDescent="0.3">
      <c r="I17450" t="s">
        <v>22634</v>
      </c>
      <c r="J17450" t="s">
        <v>5878</v>
      </c>
    </row>
    <row r="17451" spans="9:10" x14ac:dyDescent="0.3">
      <c r="I17451" t="s">
        <v>22635</v>
      </c>
      <c r="J17451" t="s">
        <v>5878</v>
      </c>
    </row>
    <row r="17452" spans="9:10" x14ac:dyDescent="0.3">
      <c r="I17452" t="s">
        <v>22636</v>
      </c>
      <c r="J17452" t="s">
        <v>5878</v>
      </c>
    </row>
    <row r="17453" spans="9:10" x14ac:dyDescent="0.3">
      <c r="I17453" t="s">
        <v>22637</v>
      </c>
      <c r="J17453" t="s">
        <v>5878</v>
      </c>
    </row>
    <row r="17454" spans="9:10" x14ac:dyDescent="0.3">
      <c r="I17454" t="s">
        <v>22638</v>
      </c>
      <c r="J17454" t="s">
        <v>5878</v>
      </c>
    </row>
    <row r="17455" spans="9:10" x14ac:dyDescent="0.3">
      <c r="I17455" t="s">
        <v>22639</v>
      </c>
      <c r="J17455" t="s">
        <v>5878</v>
      </c>
    </row>
    <row r="17456" spans="9:10" x14ac:dyDescent="0.3">
      <c r="I17456" t="s">
        <v>22640</v>
      </c>
      <c r="J17456" t="s">
        <v>5878</v>
      </c>
    </row>
    <row r="17457" spans="9:10" x14ac:dyDescent="0.3">
      <c r="I17457" t="s">
        <v>22641</v>
      </c>
      <c r="J17457" t="s">
        <v>5878</v>
      </c>
    </row>
    <row r="17458" spans="9:10" x14ac:dyDescent="0.3">
      <c r="I17458" t="s">
        <v>22642</v>
      </c>
      <c r="J17458" t="s">
        <v>5878</v>
      </c>
    </row>
    <row r="17459" spans="9:10" x14ac:dyDescent="0.3">
      <c r="I17459" t="s">
        <v>22643</v>
      </c>
      <c r="J17459" t="s">
        <v>5878</v>
      </c>
    </row>
    <row r="17460" spans="9:10" x14ac:dyDescent="0.3">
      <c r="I17460" t="s">
        <v>22644</v>
      </c>
      <c r="J17460" t="s">
        <v>5878</v>
      </c>
    </row>
    <row r="17461" spans="9:10" x14ac:dyDescent="0.3">
      <c r="I17461" t="s">
        <v>22645</v>
      </c>
      <c r="J17461" t="s">
        <v>5878</v>
      </c>
    </row>
    <row r="17462" spans="9:10" x14ac:dyDescent="0.3">
      <c r="I17462" t="s">
        <v>22646</v>
      </c>
      <c r="J17462" t="s">
        <v>5878</v>
      </c>
    </row>
    <row r="17463" spans="9:10" x14ac:dyDescent="0.3">
      <c r="I17463" t="s">
        <v>22647</v>
      </c>
      <c r="J17463" t="s">
        <v>5878</v>
      </c>
    </row>
    <row r="17464" spans="9:10" x14ac:dyDescent="0.3">
      <c r="I17464" t="s">
        <v>22648</v>
      </c>
      <c r="J17464" t="s">
        <v>5878</v>
      </c>
    </row>
    <row r="17465" spans="9:10" x14ac:dyDescent="0.3">
      <c r="I17465" t="s">
        <v>22649</v>
      </c>
      <c r="J17465" t="s">
        <v>5878</v>
      </c>
    </row>
    <row r="17466" spans="9:10" x14ac:dyDescent="0.3">
      <c r="I17466" t="s">
        <v>22650</v>
      </c>
      <c r="J17466" t="s">
        <v>5878</v>
      </c>
    </row>
    <row r="17467" spans="9:10" x14ac:dyDescent="0.3">
      <c r="I17467" t="s">
        <v>22651</v>
      </c>
      <c r="J17467" t="s">
        <v>5878</v>
      </c>
    </row>
    <row r="17468" spans="9:10" x14ac:dyDescent="0.3">
      <c r="I17468" t="s">
        <v>22652</v>
      </c>
      <c r="J17468" t="s">
        <v>5878</v>
      </c>
    </row>
    <row r="17469" spans="9:10" x14ac:dyDescent="0.3">
      <c r="I17469" t="s">
        <v>22653</v>
      </c>
      <c r="J17469" t="s">
        <v>5878</v>
      </c>
    </row>
    <row r="17470" spans="9:10" x14ac:dyDescent="0.3">
      <c r="I17470" t="s">
        <v>22654</v>
      </c>
      <c r="J17470" t="s">
        <v>5878</v>
      </c>
    </row>
    <row r="17471" spans="9:10" x14ac:dyDescent="0.3">
      <c r="I17471" t="s">
        <v>22655</v>
      </c>
      <c r="J17471" t="s">
        <v>5878</v>
      </c>
    </row>
    <row r="17472" spans="9:10" x14ac:dyDescent="0.3">
      <c r="I17472" t="s">
        <v>22656</v>
      </c>
      <c r="J17472" t="s">
        <v>5878</v>
      </c>
    </row>
    <row r="17473" spans="9:10" x14ac:dyDescent="0.3">
      <c r="I17473" t="s">
        <v>22657</v>
      </c>
      <c r="J17473" t="s">
        <v>5878</v>
      </c>
    </row>
    <row r="17474" spans="9:10" x14ac:dyDescent="0.3">
      <c r="I17474" t="s">
        <v>22658</v>
      </c>
      <c r="J17474" t="s">
        <v>5878</v>
      </c>
    </row>
    <row r="17475" spans="9:10" x14ac:dyDescent="0.3">
      <c r="I17475" t="s">
        <v>22659</v>
      </c>
      <c r="J17475" t="s">
        <v>5878</v>
      </c>
    </row>
    <row r="17476" spans="9:10" x14ac:dyDescent="0.3">
      <c r="I17476" t="s">
        <v>22660</v>
      </c>
      <c r="J17476" t="s">
        <v>5878</v>
      </c>
    </row>
    <row r="17477" spans="9:10" x14ac:dyDescent="0.3">
      <c r="I17477" t="s">
        <v>22661</v>
      </c>
      <c r="J17477" t="s">
        <v>5878</v>
      </c>
    </row>
    <row r="17478" spans="9:10" x14ac:dyDescent="0.3">
      <c r="I17478" t="s">
        <v>22662</v>
      </c>
      <c r="J17478" t="s">
        <v>5878</v>
      </c>
    </row>
    <row r="17479" spans="9:10" x14ac:dyDescent="0.3">
      <c r="I17479" t="s">
        <v>22663</v>
      </c>
      <c r="J17479" t="s">
        <v>5878</v>
      </c>
    </row>
    <row r="17480" spans="9:10" x14ac:dyDescent="0.3">
      <c r="I17480" t="s">
        <v>22664</v>
      </c>
      <c r="J17480" t="s">
        <v>5878</v>
      </c>
    </row>
    <row r="17481" spans="9:10" x14ac:dyDescent="0.3">
      <c r="I17481" t="s">
        <v>22665</v>
      </c>
      <c r="J17481" t="s">
        <v>5878</v>
      </c>
    </row>
    <row r="17482" spans="9:10" x14ac:dyDescent="0.3">
      <c r="I17482" t="s">
        <v>22666</v>
      </c>
      <c r="J17482" t="s">
        <v>5878</v>
      </c>
    </row>
    <row r="17483" spans="9:10" x14ac:dyDescent="0.3">
      <c r="I17483" t="s">
        <v>22667</v>
      </c>
      <c r="J17483" t="s">
        <v>5878</v>
      </c>
    </row>
    <row r="17484" spans="9:10" x14ac:dyDescent="0.3">
      <c r="I17484" t="s">
        <v>22668</v>
      </c>
      <c r="J17484" t="s">
        <v>5878</v>
      </c>
    </row>
    <row r="17485" spans="9:10" x14ac:dyDescent="0.3">
      <c r="I17485" t="s">
        <v>22669</v>
      </c>
      <c r="J17485" t="s">
        <v>5878</v>
      </c>
    </row>
    <row r="17486" spans="9:10" x14ac:dyDescent="0.3">
      <c r="I17486" t="s">
        <v>22670</v>
      </c>
      <c r="J17486" t="s">
        <v>5878</v>
      </c>
    </row>
    <row r="17487" spans="9:10" x14ac:dyDescent="0.3">
      <c r="I17487" t="s">
        <v>22671</v>
      </c>
      <c r="J17487" t="s">
        <v>5878</v>
      </c>
    </row>
    <row r="17488" spans="9:10" x14ac:dyDescent="0.3">
      <c r="I17488" t="s">
        <v>22672</v>
      </c>
      <c r="J17488" t="s">
        <v>5878</v>
      </c>
    </row>
    <row r="17489" spans="9:10" x14ac:dyDescent="0.3">
      <c r="I17489" t="s">
        <v>22673</v>
      </c>
      <c r="J17489" t="s">
        <v>5878</v>
      </c>
    </row>
    <row r="17490" spans="9:10" x14ac:dyDescent="0.3">
      <c r="I17490" t="s">
        <v>22674</v>
      </c>
      <c r="J17490" t="s">
        <v>5878</v>
      </c>
    </row>
    <row r="17491" spans="9:10" x14ac:dyDescent="0.3">
      <c r="I17491" t="s">
        <v>22675</v>
      </c>
      <c r="J17491" t="s">
        <v>5878</v>
      </c>
    </row>
    <row r="17492" spans="9:10" x14ac:dyDescent="0.3">
      <c r="I17492" t="s">
        <v>22676</v>
      </c>
      <c r="J17492" t="s">
        <v>5878</v>
      </c>
    </row>
    <row r="17493" spans="9:10" x14ac:dyDescent="0.3">
      <c r="I17493" t="s">
        <v>22677</v>
      </c>
      <c r="J17493" t="s">
        <v>5878</v>
      </c>
    </row>
    <row r="17494" spans="9:10" x14ac:dyDescent="0.3">
      <c r="I17494" t="s">
        <v>22678</v>
      </c>
      <c r="J17494" t="s">
        <v>5878</v>
      </c>
    </row>
    <row r="17495" spans="9:10" x14ac:dyDescent="0.3">
      <c r="I17495" t="s">
        <v>22679</v>
      </c>
      <c r="J17495" t="s">
        <v>5878</v>
      </c>
    </row>
    <row r="17496" spans="9:10" x14ac:dyDescent="0.3">
      <c r="I17496" t="s">
        <v>22680</v>
      </c>
      <c r="J17496" t="s">
        <v>5878</v>
      </c>
    </row>
    <row r="17497" spans="9:10" x14ac:dyDescent="0.3">
      <c r="I17497" t="s">
        <v>22681</v>
      </c>
      <c r="J17497" t="s">
        <v>5878</v>
      </c>
    </row>
    <row r="17498" spans="9:10" x14ac:dyDescent="0.3">
      <c r="I17498" t="s">
        <v>22682</v>
      </c>
      <c r="J17498" t="s">
        <v>5878</v>
      </c>
    </row>
    <row r="17499" spans="9:10" x14ac:dyDescent="0.3">
      <c r="I17499" t="s">
        <v>22683</v>
      </c>
      <c r="J17499" t="s">
        <v>5878</v>
      </c>
    </row>
    <row r="17500" spans="9:10" x14ac:dyDescent="0.3">
      <c r="I17500" t="s">
        <v>22684</v>
      </c>
      <c r="J17500" t="s">
        <v>5878</v>
      </c>
    </row>
    <row r="17501" spans="9:10" x14ac:dyDescent="0.3">
      <c r="I17501" t="s">
        <v>22685</v>
      </c>
      <c r="J17501" t="s">
        <v>5878</v>
      </c>
    </row>
    <row r="17502" spans="9:10" x14ac:dyDescent="0.3">
      <c r="I17502" t="s">
        <v>22686</v>
      </c>
      <c r="J17502" t="s">
        <v>5878</v>
      </c>
    </row>
    <row r="17503" spans="9:10" x14ac:dyDescent="0.3">
      <c r="I17503" t="s">
        <v>22687</v>
      </c>
      <c r="J17503" t="s">
        <v>5878</v>
      </c>
    </row>
    <row r="17504" spans="9:10" x14ac:dyDescent="0.3">
      <c r="I17504" t="s">
        <v>22688</v>
      </c>
      <c r="J17504" t="s">
        <v>5878</v>
      </c>
    </row>
    <row r="17505" spans="9:10" x14ac:dyDescent="0.3">
      <c r="I17505" t="s">
        <v>22689</v>
      </c>
      <c r="J17505" t="s">
        <v>5878</v>
      </c>
    </row>
    <row r="17506" spans="9:10" x14ac:dyDescent="0.3">
      <c r="I17506" t="s">
        <v>22690</v>
      </c>
      <c r="J17506" t="s">
        <v>5878</v>
      </c>
    </row>
    <row r="17507" spans="9:10" x14ac:dyDescent="0.3">
      <c r="I17507" t="s">
        <v>22691</v>
      </c>
      <c r="J17507" t="s">
        <v>5878</v>
      </c>
    </row>
    <row r="17508" spans="9:10" x14ac:dyDescent="0.3">
      <c r="I17508" t="s">
        <v>22692</v>
      </c>
      <c r="J17508" t="s">
        <v>5878</v>
      </c>
    </row>
    <row r="17509" spans="9:10" x14ac:dyDescent="0.3">
      <c r="I17509" t="s">
        <v>22693</v>
      </c>
      <c r="J17509" t="s">
        <v>5878</v>
      </c>
    </row>
    <row r="17510" spans="9:10" x14ac:dyDescent="0.3">
      <c r="I17510" t="s">
        <v>22694</v>
      </c>
      <c r="J17510" t="s">
        <v>5878</v>
      </c>
    </row>
    <row r="17511" spans="9:10" x14ac:dyDescent="0.3">
      <c r="I17511" t="s">
        <v>22695</v>
      </c>
      <c r="J17511" t="s">
        <v>5878</v>
      </c>
    </row>
    <row r="17512" spans="9:10" x14ac:dyDescent="0.3">
      <c r="I17512" t="s">
        <v>22696</v>
      </c>
      <c r="J17512" t="s">
        <v>5878</v>
      </c>
    </row>
    <row r="17513" spans="9:10" x14ac:dyDescent="0.3">
      <c r="I17513" t="s">
        <v>22697</v>
      </c>
      <c r="J17513" t="s">
        <v>5878</v>
      </c>
    </row>
    <row r="17514" spans="9:10" x14ac:dyDescent="0.3">
      <c r="I17514" t="s">
        <v>22698</v>
      </c>
      <c r="J17514" t="s">
        <v>5878</v>
      </c>
    </row>
    <row r="17515" spans="9:10" x14ac:dyDescent="0.3">
      <c r="I17515" t="s">
        <v>22699</v>
      </c>
      <c r="J17515" t="s">
        <v>5878</v>
      </c>
    </row>
    <row r="17516" spans="9:10" x14ac:dyDescent="0.3">
      <c r="I17516" t="s">
        <v>22700</v>
      </c>
      <c r="J17516" t="s">
        <v>5878</v>
      </c>
    </row>
    <row r="17517" spans="9:10" x14ac:dyDescent="0.3">
      <c r="I17517" t="s">
        <v>22701</v>
      </c>
      <c r="J17517" t="s">
        <v>5878</v>
      </c>
    </row>
    <row r="17518" spans="9:10" x14ac:dyDescent="0.3">
      <c r="I17518" t="s">
        <v>22702</v>
      </c>
      <c r="J17518" t="s">
        <v>5878</v>
      </c>
    </row>
    <row r="17519" spans="9:10" x14ac:dyDescent="0.3">
      <c r="I17519" t="s">
        <v>22703</v>
      </c>
      <c r="J17519" t="s">
        <v>5878</v>
      </c>
    </row>
    <row r="17520" spans="9:10" x14ac:dyDescent="0.3">
      <c r="I17520" t="s">
        <v>22704</v>
      </c>
      <c r="J17520" t="s">
        <v>5878</v>
      </c>
    </row>
    <row r="17521" spans="9:10" x14ac:dyDescent="0.3">
      <c r="I17521" t="s">
        <v>22705</v>
      </c>
      <c r="J17521" t="s">
        <v>5878</v>
      </c>
    </row>
    <row r="17522" spans="9:10" x14ac:dyDescent="0.3">
      <c r="I17522" t="s">
        <v>22706</v>
      </c>
      <c r="J17522" t="s">
        <v>5878</v>
      </c>
    </row>
    <row r="17523" spans="9:10" x14ac:dyDescent="0.3">
      <c r="I17523" t="s">
        <v>22707</v>
      </c>
      <c r="J17523" t="s">
        <v>5878</v>
      </c>
    </row>
    <row r="17524" spans="9:10" x14ac:dyDescent="0.3">
      <c r="I17524" t="s">
        <v>22708</v>
      </c>
      <c r="J17524" t="s">
        <v>5878</v>
      </c>
    </row>
    <row r="17525" spans="9:10" x14ac:dyDescent="0.3">
      <c r="I17525" t="s">
        <v>22709</v>
      </c>
      <c r="J17525" t="s">
        <v>5878</v>
      </c>
    </row>
    <row r="17526" spans="9:10" x14ac:dyDescent="0.3">
      <c r="I17526" t="s">
        <v>22710</v>
      </c>
      <c r="J17526" t="s">
        <v>5878</v>
      </c>
    </row>
    <row r="17527" spans="9:10" x14ac:dyDescent="0.3">
      <c r="I17527" t="s">
        <v>22711</v>
      </c>
      <c r="J17527" t="s">
        <v>5878</v>
      </c>
    </row>
    <row r="17528" spans="9:10" x14ac:dyDescent="0.3">
      <c r="I17528" t="s">
        <v>22712</v>
      </c>
      <c r="J17528" t="s">
        <v>5878</v>
      </c>
    </row>
    <row r="17529" spans="9:10" x14ac:dyDescent="0.3">
      <c r="I17529" t="s">
        <v>22713</v>
      </c>
      <c r="J17529" t="s">
        <v>5878</v>
      </c>
    </row>
    <row r="17530" spans="9:10" x14ac:dyDescent="0.3">
      <c r="I17530" t="s">
        <v>22714</v>
      </c>
      <c r="J17530" t="s">
        <v>5878</v>
      </c>
    </row>
    <row r="17531" spans="9:10" x14ac:dyDescent="0.3">
      <c r="I17531" t="s">
        <v>22715</v>
      </c>
      <c r="J17531" t="s">
        <v>5878</v>
      </c>
    </row>
    <row r="17532" spans="9:10" x14ac:dyDescent="0.3">
      <c r="I17532" t="s">
        <v>22716</v>
      </c>
      <c r="J17532" t="s">
        <v>5878</v>
      </c>
    </row>
    <row r="17533" spans="9:10" x14ac:dyDescent="0.3">
      <c r="I17533" t="s">
        <v>22717</v>
      </c>
      <c r="J17533" t="s">
        <v>5878</v>
      </c>
    </row>
    <row r="17534" spans="9:10" x14ac:dyDescent="0.3">
      <c r="I17534" t="s">
        <v>22718</v>
      </c>
      <c r="J17534" t="s">
        <v>5878</v>
      </c>
    </row>
    <row r="17535" spans="9:10" x14ac:dyDescent="0.3">
      <c r="I17535" t="s">
        <v>22719</v>
      </c>
      <c r="J17535" t="s">
        <v>5878</v>
      </c>
    </row>
    <row r="17536" spans="9:10" x14ac:dyDescent="0.3">
      <c r="I17536" t="s">
        <v>22720</v>
      </c>
      <c r="J17536" t="s">
        <v>5878</v>
      </c>
    </row>
    <row r="17537" spans="9:10" x14ac:dyDescent="0.3">
      <c r="I17537" t="s">
        <v>22721</v>
      </c>
      <c r="J17537" t="s">
        <v>5878</v>
      </c>
    </row>
    <row r="17538" spans="9:10" x14ac:dyDescent="0.3">
      <c r="I17538" t="s">
        <v>22722</v>
      </c>
      <c r="J17538" t="s">
        <v>5878</v>
      </c>
    </row>
    <row r="17539" spans="9:10" x14ac:dyDescent="0.3">
      <c r="I17539" t="s">
        <v>22723</v>
      </c>
      <c r="J17539" t="s">
        <v>5878</v>
      </c>
    </row>
    <row r="17540" spans="9:10" x14ac:dyDescent="0.3">
      <c r="I17540" t="s">
        <v>22724</v>
      </c>
      <c r="J17540" t="s">
        <v>5878</v>
      </c>
    </row>
    <row r="17541" spans="9:10" x14ac:dyDescent="0.3">
      <c r="I17541" t="s">
        <v>22725</v>
      </c>
      <c r="J17541" t="s">
        <v>5878</v>
      </c>
    </row>
    <row r="17542" spans="9:10" x14ac:dyDescent="0.3">
      <c r="I17542" t="s">
        <v>22726</v>
      </c>
      <c r="J17542" t="s">
        <v>5878</v>
      </c>
    </row>
    <row r="17543" spans="9:10" x14ac:dyDescent="0.3">
      <c r="I17543" t="s">
        <v>22727</v>
      </c>
      <c r="J17543" t="s">
        <v>5878</v>
      </c>
    </row>
    <row r="17544" spans="9:10" x14ac:dyDescent="0.3">
      <c r="I17544" t="s">
        <v>22728</v>
      </c>
      <c r="J17544" t="s">
        <v>5878</v>
      </c>
    </row>
    <row r="17545" spans="9:10" x14ac:dyDescent="0.3">
      <c r="I17545" t="s">
        <v>22729</v>
      </c>
      <c r="J17545" t="s">
        <v>5878</v>
      </c>
    </row>
    <row r="17546" spans="9:10" x14ac:dyDescent="0.3">
      <c r="I17546" t="s">
        <v>22730</v>
      </c>
      <c r="J17546" t="s">
        <v>5878</v>
      </c>
    </row>
    <row r="17547" spans="9:10" x14ac:dyDescent="0.3">
      <c r="I17547" t="s">
        <v>22731</v>
      </c>
      <c r="J17547" t="s">
        <v>5878</v>
      </c>
    </row>
    <row r="17548" spans="9:10" x14ac:dyDescent="0.3">
      <c r="I17548" t="s">
        <v>22732</v>
      </c>
      <c r="J17548" t="s">
        <v>5878</v>
      </c>
    </row>
    <row r="17549" spans="9:10" x14ac:dyDescent="0.3">
      <c r="I17549" t="s">
        <v>22733</v>
      </c>
      <c r="J17549" t="s">
        <v>5878</v>
      </c>
    </row>
    <row r="17550" spans="9:10" x14ac:dyDescent="0.3">
      <c r="I17550" t="s">
        <v>22734</v>
      </c>
      <c r="J17550" t="s">
        <v>5878</v>
      </c>
    </row>
    <row r="17551" spans="9:10" x14ac:dyDescent="0.3">
      <c r="I17551" t="s">
        <v>22735</v>
      </c>
      <c r="J17551" t="s">
        <v>5878</v>
      </c>
    </row>
    <row r="17552" spans="9:10" x14ac:dyDescent="0.3">
      <c r="I17552" t="s">
        <v>22736</v>
      </c>
      <c r="J17552" t="s">
        <v>5878</v>
      </c>
    </row>
    <row r="17553" spans="9:10" x14ac:dyDescent="0.3">
      <c r="I17553" t="s">
        <v>22737</v>
      </c>
      <c r="J17553" t="s">
        <v>5878</v>
      </c>
    </row>
    <row r="17554" spans="9:10" x14ac:dyDescent="0.3">
      <c r="I17554" t="s">
        <v>22738</v>
      </c>
      <c r="J17554" t="s">
        <v>5878</v>
      </c>
    </row>
    <row r="17555" spans="9:10" x14ac:dyDescent="0.3">
      <c r="I17555" t="s">
        <v>22739</v>
      </c>
      <c r="J17555" t="s">
        <v>5878</v>
      </c>
    </row>
    <row r="17556" spans="9:10" x14ac:dyDescent="0.3">
      <c r="I17556" t="s">
        <v>22740</v>
      </c>
      <c r="J17556" t="s">
        <v>5878</v>
      </c>
    </row>
    <row r="17557" spans="9:10" x14ac:dyDescent="0.3">
      <c r="I17557" t="s">
        <v>22741</v>
      </c>
      <c r="J17557" t="s">
        <v>5878</v>
      </c>
    </row>
    <row r="17558" spans="9:10" x14ac:dyDescent="0.3">
      <c r="I17558" t="s">
        <v>22742</v>
      </c>
      <c r="J17558" t="s">
        <v>5878</v>
      </c>
    </row>
    <row r="17559" spans="9:10" x14ac:dyDescent="0.3">
      <c r="I17559" t="s">
        <v>22743</v>
      </c>
      <c r="J17559" t="s">
        <v>5878</v>
      </c>
    </row>
    <row r="17560" spans="9:10" x14ac:dyDescent="0.3">
      <c r="I17560" t="s">
        <v>22744</v>
      </c>
      <c r="J17560" t="s">
        <v>5878</v>
      </c>
    </row>
    <row r="17561" spans="9:10" x14ac:dyDescent="0.3">
      <c r="I17561" t="s">
        <v>22745</v>
      </c>
      <c r="J17561" t="s">
        <v>5878</v>
      </c>
    </row>
    <row r="17562" spans="9:10" x14ac:dyDescent="0.3">
      <c r="I17562" t="s">
        <v>22746</v>
      </c>
      <c r="J17562" t="s">
        <v>5878</v>
      </c>
    </row>
    <row r="17563" spans="9:10" x14ac:dyDescent="0.3">
      <c r="I17563" t="s">
        <v>22747</v>
      </c>
      <c r="J17563" t="s">
        <v>5878</v>
      </c>
    </row>
    <row r="17564" spans="9:10" x14ac:dyDescent="0.3">
      <c r="I17564" t="s">
        <v>22748</v>
      </c>
      <c r="J17564" t="s">
        <v>5878</v>
      </c>
    </row>
    <row r="17565" spans="9:10" x14ac:dyDescent="0.3">
      <c r="I17565" t="s">
        <v>22749</v>
      </c>
      <c r="J17565" t="s">
        <v>5878</v>
      </c>
    </row>
    <row r="17566" spans="9:10" x14ac:dyDescent="0.3">
      <c r="I17566" t="s">
        <v>22750</v>
      </c>
      <c r="J17566" t="s">
        <v>5878</v>
      </c>
    </row>
    <row r="17567" spans="9:10" x14ac:dyDescent="0.3">
      <c r="I17567" t="s">
        <v>22751</v>
      </c>
      <c r="J17567" t="s">
        <v>5878</v>
      </c>
    </row>
    <row r="17568" spans="9:10" x14ac:dyDescent="0.3">
      <c r="I17568" t="s">
        <v>22752</v>
      </c>
      <c r="J17568" t="s">
        <v>5878</v>
      </c>
    </row>
    <row r="17569" spans="9:10" x14ac:dyDescent="0.3">
      <c r="I17569" t="s">
        <v>22753</v>
      </c>
      <c r="J17569" t="s">
        <v>5878</v>
      </c>
    </row>
    <row r="17570" spans="9:10" x14ac:dyDescent="0.3">
      <c r="I17570" t="s">
        <v>22754</v>
      </c>
      <c r="J17570" t="s">
        <v>5878</v>
      </c>
    </row>
    <row r="17571" spans="9:10" x14ac:dyDescent="0.3">
      <c r="I17571" t="s">
        <v>22755</v>
      </c>
      <c r="J17571" t="s">
        <v>5878</v>
      </c>
    </row>
    <row r="17572" spans="9:10" x14ac:dyDescent="0.3">
      <c r="I17572" t="s">
        <v>22756</v>
      </c>
      <c r="J17572" t="s">
        <v>5878</v>
      </c>
    </row>
    <row r="17573" spans="9:10" x14ac:dyDescent="0.3">
      <c r="I17573" t="s">
        <v>22757</v>
      </c>
      <c r="J17573" t="s">
        <v>5878</v>
      </c>
    </row>
    <row r="17574" spans="9:10" x14ac:dyDescent="0.3">
      <c r="I17574" t="s">
        <v>22758</v>
      </c>
      <c r="J17574" t="s">
        <v>5878</v>
      </c>
    </row>
    <row r="17575" spans="9:10" x14ac:dyDescent="0.3">
      <c r="I17575" t="s">
        <v>22759</v>
      </c>
      <c r="J17575" t="s">
        <v>5878</v>
      </c>
    </row>
    <row r="17576" spans="9:10" x14ac:dyDescent="0.3">
      <c r="I17576" t="s">
        <v>22760</v>
      </c>
      <c r="J17576" t="s">
        <v>5878</v>
      </c>
    </row>
    <row r="17577" spans="9:10" x14ac:dyDescent="0.3">
      <c r="I17577" t="s">
        <v>22761</v>
      </c>
      <c r="J17577" t="s">
        <v>5878</v>
      </c>
    </row>
    <row r="17578" spans="9:10" x14ac:dyDescent="0.3">
      <c r="I17578" t="s">
        <v>22762</v>
      </c>
      <c r="J17578" t="s">
        <v>5878</v>
      </c>
    </row>
    <row r="17579" spans="9:10" x14ac:dyDescent="0.3">
      <c r="I17579" t="s">
        <v>22763</v>
      </c>
      <c r="J17579" t="s">
        <v>5878</v>
      </c>
    </row>
    <row r="17580" spans="9:10" x14ac:dyDescent="0.3">
      <c r="I17580" t="s">
        <v>22764</v>
      </c>
      <c r="J17580" t="s">
        <v>5878</v>
      </c>
    </row>
    <row r="17581" spans="9:10" x14ac:dyDescent="0.3">
      <c r="I17581" t="s">
        <v>22765</v>
      </c>
      <c r="J17581" t="s">
        <v>5878</v>
      </c>
    </row>
    <row r="17582" spans="9:10" x14ac:dyDescent="0.3">
      <c r="I17582" t="s">
        <v>22766</v>
      </c>
      <c r="J17582" t="s">
        <v>5878</v>
      </c>
    </row>
    <row r="17583" spans="9:10" x14ac:dyDescent="0.3">
      <c r="I17583" t="s">
        <v>22767</v>
      </c>
      <c r="J17583" t="s">
        <v>5878</v>
      </c>
    </row>
    <row r="17584" spans="9:10" x14ac:dyDescent="0.3">
      <c r="I17584" t="s">
        <v>22768</v>
      </c>
      <c r="J17584" t="s">
        <v>5878</v>
      </c>
    </row>
    <row r="17585" spans="9:10" x14ac:dyDescent="0.3">
      <c r="I17585" t="s">
        <v>22769</v>
      </c>
      <c r="J17585" t="s">
        <v>5878</v>
      </c>
    </row>
    <row r="17586" spans="9:10" x14ac:dyDescent="0.3">
      <c r="I17586" t="s">
        <v>22770</v>
      </c>
      <c r="J17586" t="s">
        <v>5878</v>
      </c>
    </row>
    <row r="17587" spans="9:10" x14ac:dyDescent="0.3">
      <c r="I17587" t="s">
        <v>22771</v>
      </c>
      <c r="J17587" t="s">
        <v>5878</v>
      </c>
    </row>
    <row r="17588" spans="9:10" x14ac:dyDescent="0.3">
      <c r="I17588" t="s">
        <v>22772</v>
      </c>
      <c r="J17588" t="s">
        <v>5878</v>
      </c>
    </row>
    <row r="17589" spans="9:10" x14ac:dyDescent="0.3">
      <c r="I17589" t="s">
        <v>22773</v>
      </c>
      <c r="J17589" t="s">
        <v>5878</v>
      </c>
    </row>
    <row r="17590" spans="9:10" x14ac:dyDescent="0.3">
      <c r="I17590" t="s">
        <v>22774</v>
      </c>
      <c r="J17590" t="s">
        <v>5878</v>
      </c>
    </row>
    <row r="17591" spans="9:10" x14ac:dyDescent="0.3">
      <c r="I17591" t="s">
        <v>22775</v>
      </c>
      <c r="J17591" t="s">
        <v>5878</v>
      </c>
    </row>
    <row r="17592" spans="9:10" x14ac:dyDescent="0.3">
      <c r="I17592" t="s">
        <v>22776</v>
      </c>
      <c r="J17592" t="s">
        <v>5878</v>
      </c>
    </row>
    <row r="17593" spans="9:10" x14ac:dyDescent="0.3">
      <c r="I17593" t="s">
        <v>22056</v>
      </c>
      <c r="J17593" t="s">
        <v>5878</v>
      </c>
    </row>
    <row r="17594" spans="9:10" x14ac:dyDescent="0.3">
      <c r="I17594" t="s">
        <v>22777</v>
      </c>
      <c r="J17594" t="s">
        <v>5878</v>
      </c>
    </row>
    <row r="17595" spans="9:10" x14ac:dyDescent="0.3">
      <c r="I17595" t="s">
        <v>22778</v>
      </c>
      <c r="J17595" t="s">
        <v>5878</v>
      </c>
    </row>
    <row r="17596" spans="9:10" x14ac:dyDescent="0.3">
      <c r="I17596" t="s">
        <v>22779</v>
      </c>
      <c r="J17596" t="s">
        <v>5878</v>
      </c>
    </row>
    <row r="17597" spans="9:10" x14ac:dyDescent="0.3">
      <c r="I17597" t="s">
        <v>22780</v>
      </c>
      <c r="J17597" t="s">
        <v>5878</v>
      </c>
    </row>
    <row r="17598" spans="9:10" x14ac:dyDescent="0.3">
      <c r="I17598" t="s">
        <v>22781</v>
      </c>
      <c r="J17598" t="s">
        <v>5878</v>
      </c>
    </row>
    <row r="17599" spans="9:10" x14ac:dyDescent="0.3">
      <c r="I17599" t="s">
        <v>22782</v>
      </c>
      <c r="J17599" t="s">
        <v>5878</v>
      </c>
    </row>
    <row r="17600" spans="9:10" x14ac:dyDescent="0.3">
      <c r="I17600" t="s">
        <v>22783</v>
      </c>
      <c r="J17600" t="s">
        <v>5878</v>
      </c>
    </row>
    <row r="17601" spans="9:10" x14ac:dyDescent="0.3">
      <c r="I17601" t="s">
        <v>22784</v>
      </c>
      <c r="J17601" t="s">
        <v>5878</v>
      </c>
    </row>
    <row r="17602" spans="9:10" x14ac:dyDescent="0.3">
      <c r="I17602" t="s">
        <v>22785</v>
      </c>
      <c r="J17602" t="s">
        <v>5878</v>
      </c>
    </row>
    <row r="17603" spans="9:10" x14ac:dyDescent="0.3">
      <c r="I17603" t="s">
        <v>22786</v>
      </c>
      <c r="J17603" t="s">
        <v>5878</v>
      </c>
    </row>
    <row r="17604" spans="9:10" x14ac:dyDescent="0.3">
      <c r="I17604" t="s">
        <v>22787</v>
      </c>
      <c r="J17604" t="s">
        <v>5878</v>
      </c>
    </row>
    <row r="17605" spans="9:10" x14ac:dyDescent="0.3">
      <c r="I17605" t="s">
        <v>22788</v>
      </c>
      <c r="J17605" t="s">
        <v>5878</v>
      </c>
    </row>
    <row r="17606" spans="9:10" x14ac:dyDescent="0.3">
      <c r="I17606" t="s">
        <v>22789</v>
      </c>
      <c r="J17606" t="s">
        <v>5878</v>
      </c>
    </row>
    <row r="17607" spans="9:10" x14ac:dyDescent="0.3">
      <c r="I17607" t="s">
        <v>22790</v>
      </c>
      <c r="J17607" t="s">
        <v>5878</v>
      </c>
    </row>
    <row r="17608" spans="9:10" x14ac:dyDescent="0.3">
      <c r="I17608" t="s">
        <v>22791</v>
      </c>
      <c r="J17608" t="s">
        <v>5878</v>
      </c>
    </row>
    <row r="17609" spans="9:10" x14ac:dyDescent="0.3">
      <c r="I17609" t="s">
        <v>22792</v>
      </c>
      <c r="J17609" t="s">
        <v>5878</v>
      </c>
    </row>
    <row r="17610" spans="9:10" x14ac:dyDescent="0.3">
      <c r="I17610" t="s">
        <v>22793</v>
      </c>
      <c r="J17610" t="s">
        <v>5878</v>
      </c>
    </row>
    <row r="17611" spans="9:10" x14ac:dyDescent="0.3">
      <c r="I17611" t="s">
        <v>22794</v>
      </c>
      <c r="J17611" t="s">
        <v>5878</v>
      </c>
    </row>
    <row r="17612" spans="9:10" x14ac:dyDescent="0.3">
      <c r="I17612" t="s">
        <v>22795</v>
      </c>
      <c r="J17612" t="s">
        <v>5878</v>
      </c>
    </row>
    <row r="17613" spans="9:10" x14ac:dyDescent="0.3">
      <c r="I17613" t="s">
        <v>22796</v>
      </c>
      <c r="J17613" t="s">
        <v>5878</v>
      </c>
    </row>
    <row r="17614" spans="9:10" x14ac:dyDescent="0.3">
      <c r="I17614" t="s">
        <v>22797</v>
      </c>
      <c r="J17614" t="s">
        <v>5878</v>
      </c>
    </row>
    <row r="17615" spans="9:10" x14ac:dyDescent="0.3">
      <c r="I17615" t="s">
        <v>22798</v>
      </c>
      <c r="J17615" t="s">
        <v>5878</v>
      </c>
    </row>
    <row r="17616" spans="9:10" x14ac:dyDescent="0.3">
      <c r="I17616" t="s">
        <v>22799</v>
      </c>
      <c r="J17616" t="s">
        <v>5878</v>
      </c>
    </row>
    <row r="17617" spans="9:10" x14ac:dyDescent="0.3">
      <c r="I17617" t="s">
        <v>22800</v>
      </c>
      <c r="J17617" t="s">
        <v>5878</v>
      </c>
    </row>
    <row r="17618" spans="9:10" x14ac:dyDescent="0.3">
      <c r="I17618" t="s">
        <v>22801</v>
      </c>
      <c r="J17618" t="s">
        <v>5878</v>
      </c>
    </row>
    <row r="17619" spans="9:10" x14ac:dyDescent="0.3">
      <c r="I17619" t="s">
        <v>22802</v>
      </c>
      <c r="J17619" t="s">
        <v>5878</v>
      </c>
    </row>
    <row r="17620" spans="9:10" x14ac:dyDescent="0.3">
      <c r="I17620" t="s">
        <v>22803</v>
      </c>
      <c r="J17620" t="s">
        <v>5878</v>
      </c>
    </row>
    <row r="17621" spans="9:10" x14ac:dyDescent="0.3">
      <c r="I17621" t="s">
        <v>22804</v>
      </c>
      <c r="J17621" t="s">
        <v>5878</v>
      </c>
    </row>
    <row r="17622" spans="9:10" x14ac:dyDescent="0.3">
      <c r="I17622" t="s">
        <v>22805</v>
      </c>
      <c r="J17622" t="s">
        <v>5878</v>
      </c>
    </row>
    <row r="17623" spans="9:10" x14ac:dyDescent="0.3">
      <c r="I17623" t="s">
        <v>22806</v>
      </c>
      <c r="J17623" t="s">
        <v>5878</v>
      </c>
    </row>
    <row r="17624" spans="9:10" x14ac:dyDescent="0.3">
      <c r="I17624" t="s">
        <v>22807</v>
      </c>
      <c r="J17624" t="s">
        <v>5878</v>
      </c>
    </row>
    <row r="17625" spans="9:10" x14ac:dyDescent="0.3">
      <c r="I17625" t="s">
        <v>22808</v>
      </c>
      <c r="J17625" t="s">
        <v>5878</v>
      </c>
    </row>
    <row r="17626" spans="9:10" x14ac:dyDescent="0.3">
      <c r="I17626" t="s">
        <v>22809</v>
      </c>
      <c r="J17626" t="s">
        <v>5878</v>
      </c>
    </row>
    <row r="17627" spans="9:10" x14ac:dyDescent="0.3">
      <c r="I17627" t="s">
        <v>22810</v>
      </c>
      <c r="J17627" t="s">
        <v>5878</v>
      </c>
    </row>
    <row r="17628" spans="9:10" x14ac:dyDescent="0.3">
      <c r="I17628" t="s">
        <v>22811</v>
      </c>
      <c r="J17628" t="s">
        <v>5878</v>
      </c>
    </row>
    <row r="17629" spans="9:10" x14ac:dyDescent="0.3">
      <c r="I17629" t="s">
        <v>22056</v>
      </c>
      <c r="J17629" t="s">
        <v>5878</v>
      </c>
    </row>
    <row r="17630" spans="9:10" x14ac:dyDescent="0.3">
      <c r="I17630" t="s">
        <v>22812</v>
      </c>
      <c r="J17630" t="s">
        <v>5878</v>
      </c>
    </row>
    <row r="17631" spans="9:10" x14ac:dyDescent="0.3">
      <c r="I17631" t="s">
        <v>22813</v>
      </c>
      <c r="J17631" t="s">
        <v>5878</v>
      </c>
    </row>
    <row r="17632" spans="9:10" x14ac:dyDescent="0.3">
      <c r="I17632" t="s">
        <v>22814</v>
      </c>
      <c r="J17632" t="s">
        <v>5878</v>
      </c>
    </row>
    <row r="17633" spans="9:10" x14ac:dyDescent="0.3">
      <c r="I17633" t="s">
        <v>22815</v>
      </c>
      <c r="J17633" t="s">
        <v>5878</v>
      </c>
    </row>
    <row r="17634" spans="9:10" x14ac:dyDescent="0.3">
      <c r="I17634" t="s">
        <v>22816</v>
      </c>
      <c r="J17634" t="s">
        <v>5878</v>
      </c>
    </row>
    <row r="17635" spans="9:10" x14ac:dyDescent="0.3">
      <c r="I17635" t="s">
        <v>22817</v>
      </c>
      <c r="J17635" t="s">
        <v>5878</v>
      </c>
    </row>
    <row r="17636" spans="9:10" x14ac:dyDescent="0.3">
      <c r="I17636" t="s">
        <v>22818</v>
      </c>
      <c r="J17636" t="s">
        <v>5878</v>
      </c>
    </row>
    <row r="17637" spans="9:10" x14ac:dyDescent="0.3">
      <c r="I17637" t="s">
        <v>22819</v>
      </c>
      <c r="J17637" t="s">
        <v>5878</v>
      </c>
    </row>
    <row r="17638" spans="9:10" x14ac:dyDescent="0.3">
      <c r="I17638" t="s">
        <v>22820</v>
      </c>
      <c r="J17638" t="s">
        <v>5878</v>
      </c>
    </row>
    <row r="17639" spans="9:10" x14ac:dyDescent="0.3">
      <c r="I17639" t="s">
        <v>22821</v>
      </c>
      <c r="J17639" t="s">
        <v>5878</v>
      </c>
    </row>
    <row r="17640" spans="9:10" x14ac:dyDescent="0.3">
      <c r="I17640" t="s">
        <v>22822</v>
      </c>
      <c r="J17640" t="s">
        <v>5878</v>
      </c>
    </row>
    <row r="17641" spans="9:10" x14ac:dyDescent="0.3">
      <c r="I17641" t="s">
        <v>22823</v>
      </c>
      <c r="J17641" t="s">
        <v>5878</v>
      </c>
    </row>
    <row r="17642" spans="9:10" x14ac:dyDescent="0.3">
      <c r="I17642" t="s">
        <v>22824</v>
      </c>
      <c r="J17642" t="s">
        <v>5878</v>
      </c>
    </row>
    <row r="17643" spans="9:10" x14ac:dyDescent="0.3">
      <c r="I17643" t="s">
        <v>22825</v>
      </c>
      <c r="J17643" t="s">
        <v>5878</v>
      </c>
    </row>
    <row r="17644" spans="9:10" x14ac:dyDescent="0.3">
      <c r="I17644" t="s">
        <v>22826</v>
      </c>
      <c r="J17644" t="s">
        <v>5878</v>
      </c>
    </row>
    <row r="17645" spans="9:10" x14ac:dyDescent="0.3">
      <c r="I17645" t="s">
        <v>22827</v>
      </c>
      <c r="J17645" t="s">
        <v>5878</v>
      </c>
    </row>
    <row r="17646" spans="9:10" x14ac:dyDescent="0.3">
      <c r="I17646" t="s">
        <v>22828</v>
      </c>
      <c r="J17646" t="s">
        <v>5878</v>
      </c>
    </row>
    <row r="17647" spans="9:10" x14ac:dyDescent="0.3">
      <c r="I17647" t="s">
        <v>22829</v>
      </c>
      <c r="J17647" t="s">
        <v>5878</v>
      </c>
    </row>
    <row r="17648" spans="9:10" x14ac:dyDescent="0.3">
      <c r="I17648" t="s">
        <v>22830</v>
      </c>
      <c r="J17648" t="s">
        <v>5878</v>
      </c>
    </row>
    <row r="17649" spans="9:10" x14ac:dyDescent="0.3">
      <c r="I17649" t="s">
        <v>22831</v>
      </c>
      <c r="J17649" t="s">
        <v>5878</v>
      </c>
    </row>
    <row r="17650" spans="9:10" x14ac:dyDescent="0.3">
      <c r="I17650" t="s">
        <v>22832</v>
      </c>
      <c r="J17650" t="s">
        <v>5878</v>
      </c>
    </row>
    <row r="17651" spans="9:10" x14ac:dyDescent="0.3">
      <c r="I17651" t="s">
        <v>22833</v>
      </c>
      <c r="J17651" t="s">
        <v>5878</v>
      </c>
    </row>
    <row r="17652" spans="9:10" x14ac:dyDescent="0.3">
      <c r="I17652" t="s">
        <v>22834</v>
      </c>
      <c r="J17652" t="s">
        <v>5878</v>
      </c>
    </row>
    <row r="17653" spans="9:10" x14ac:dyDescent="0.3">
      <c r="I17653" t="s">
        <v>22835</v>
      </c>
      <c r="J17653" t="s">
        <v>5878</v>
      </c>
    </row>
    <row r="17654" spans="9:10" x14ac:dyDescent="0.3">
      <c r="I17654" t="s">
        <v>22836</v>
      </c>
      <c r="J17654" t="s">
        <v>5878</v>
      </c>
    </row>
    <row r="17655" spans="9:10" x14ac:dyDescent="0.3">
      <c r="I17655" t="s">
        <v>22837</v>
      </c>
      <c r="J17655" t="s">
        <v>5878</v>
      </c>
    </row>
    <row r="17656" spans="9:10" x14ac:dyDescent="0.3">
      <c r="I17656" t="s">
        <v>22838</v>
      </c>
      <c r="J17656" t="s">
        <v>5878</v>
      </c>
    </row>
    <row r="17657" spans="9:10" x14ac:dyDescent="0.3">
      <c r="I17657" t="s">
        <v>22839</v>
      </c>
      <c r="J17657" t="s">
        <v>5878</v>
      </c>
    </row>
    <row r="17658" spans="9:10" x14ac:dyDescent="0.3">
      <c r="I17658" t="s">
        <v>22840</v>
      </c>
      <c r="J17658" t="s">
        <v>5878</v>
      </c>
    </row>
    <row r="17659" spans="9:10" x14ac:dyDescent="0.3">
      <c r="I17659" t="s">
        <v>22841</v>
      </c>
      <c r="J17659" t="s">
        <v>5878</v>
      </c>
    </row>
    <row r="17660" spans="9:10" x14ac:dyDescent="0.3">
      <c r="I17660" t="s">
        <v>22842</v>
      </c>
      <c r="J17660" t="s">
        <v>5878</v>
      </c>
    </row>
    <row r="17661" spans="9:10" x14ac:dyDescent="0.3">
      <c r="I17661" t="s">
        <v>22843</v>
      </c>
      <c r="J17661" t="s">
        <v>5878</v>
      </c>
    </row>
    <row r="17662" spans="9:10" x14ac:dyDescent="0.3">
      <c r="I17662" t="s">
        <v>22844</v>
      </c>
      <c r="J17662" t="s">
        <v>5878</v>
      </c>
    </row>
    <row r="17663" spans="9:10" x14ac:dyDescent="0.3">
      <c r="I17663" t="s">
        <v>22845</v>
      </c>
      <c r="J17663" t="s">
        <v>5878</v>
      </c>
    </row>
    <row r="17664" spans="9:10" x14ac:dyDescent="0.3">
      <c r="I17664" t="s">
        <v>22846</v>
      </c>
      <c r="J17664" t="s">
        <v>5878</v>
      </c>
    </row>
    <row r="17665" spans="9:10" x14ac:dyDescent="0.3">
      <c r="I17665" t="s">
        <v>22847</v>
      </c>
      <c r="J17665" t="s">
        <v>5878</v>
      </c>
    </row>
    <row r="17666" spans="9:10" x14ac:dyDescent="0.3">
      <c r="I17666" t="s">
        <v>22848</v>
      </c>
      <c r="J17666" t="s">
        <v>5878</v>
      </c>
    </row>
    <row r="17667" spans="9:10" x14ac:dyDescent="0.3">
      <c r="I17667" t="s">
        <v>22849</v>
      </c>
      <c r="J17667" t="s">
        <v>5878</v>
      </c>
    </row>
    <row r="17668" spans="9:10" x14ac:dyDescent="0.3">
      <c r="I17668" t="s">
        <v>22850</v>
      </c>
      <c r="J17668" t="s">
        <v>5878</v>
      </c>
    </row>
    <row r="17669" spans="9:10" x14ac:dyDescent="0.3">
      <c r="I17669" t="s">
        <v>22851</v>
      </c>
      <c r="J17669" t="s">
        <v>5878</v>
      </c>
    </row>
    <row r="17670" spans="9:10" x14ac:dyDescent="0.3">
      <c r="I17670" t="s">
        <v>22852</v>
      </c>
      <c r="J17670" t="s">
        <v>5878</v>
      </c>
    </row>
    <row r="17671" spans="9:10" x14ac:dyDescent="0.3">
      <c r="I17671" t="s">
        <v>22019</v>
      </c>
      <c r="J17671" t="s">
        <v>5878</v>
      </c>
    </row>
    <row r="17672" spans="9:10" x14ac:dyDescent="0.3">
      <c r="I17672" t="s">
        <v>22853</v>
      </c>
      <c r="J17672" t="s">
        <v>5878</v>
      </c>
    </row>
    <row r="17673" spans="9:10" x14ac:dyDescent="0.3">
      <c r="I17673" t="s">
        <v>22854</v>
      </c>
      <c r="J17673" t="s">
        <v>5878</v>
      </c>
    </row>
    <row r="17674" spans="9:10" x14ac:dyDescent="0.3">
      <c r="I17674" t="s">
        <v>22855</v>
      </c>
      <c r="J17674" t="s">
        <v>5878</v>
      </c>
    </row>
    <row r="17675" spans="9:10" x14ac:dyDescent="0.3">
      <c r="I17675" t="s">
        <v>22856</v>
      </c>
      <c r="J17675" t="s">
        <v>5878</v>
      </c>
    </row>
    <row r="17676" spans="9:10" x14ac:dyDescent="0.3">
      <c r="I17676" t="s">
        <v>22456</v>
      </c>
      <c r="J17676" t="s">
        <v>5878</v>
      </c>
    </row>
    <row r="17677" spans="9:10" x14ac:dyDescent="0.3">
      <c r="I17677" t="s">
        <v>22857</v>
      </c>
      <c r="J17677" t="s">
        <v>5878</v>
      </c>
    </row>
    <row r="17678" spans="9:10" x14ac:dyDescent="0.3">
      <c r="I17678" t="s">
        <v>22456</v>
      </c>
      <c r="J17678" t="s">
        <v>5878</v>
      </c>
    </row>
    <row r="17679" spans="9:10" x14ac:dyDescent="0.3">
      <c r="I17679" t="s">
        <v>22858</v>
      </c>
      <c r="J17679" t="s">
        <v>5878</v>
      </c>
    </row>
    <row r="17680" spans="9:10" x14ac:dyDescent="0.3">
      <c r="I17680" t="s">
        <v>22859</v>
      </c>
      <c r="J17680" t="s">
        <v>5878</v>
      </c>
    </row>
    <row r="17681" spans="9:10" x14ac:dyDescent="0.3">
      <c r="I17681" t="s">
        <v>22860</v>
      </c>
      <c r="J17681" t="s">
        <v>5878</v>
      </c>
    </row>
    <row r="17682" spans="9:10" x14ac:dyDescent="0.3">
      <c r="I17682" t="s">
        <v>22861</v>
      </c>
      <c r="J17682" t="s">
        <v>5878</v>
      </c>
    </row>
    <row r="17683" spans="9:10" x14ac:dyDescent="0.3">
      <c r="I17683" t="s">
        <v>22862</v>
      </c>
      <c r="J17683" t="s">
        <v>5878</v>
      </c>
    </row>
    <row r="17684" spans="9:10" x14ac:dyDescent="0.3">
      <c r="I17684" t="s">
        <v>22863</v>
      </c>
      <c r="J17684" t="s">
        <v>5878</v>
      </c>
    </row>
    <row r="17685" spans="9:10" x14ac:dyDescent="0.3">
      <c r="I17685" t="s">
        <v>22056</v>
      </c>
      <c r="J17685" t="s">
        <v>5878</v>
      </c>
    </row>
    <row r="17686" spans="9:10" x14ac:dyDescent="0.3">
      <c r="I17686" t="s">
        <v>22864</v>
      </c>
      <c r="J17686" t="s">
        <v>5878</v>
      </c>
    </row>
    <row r="17687" spans="9:10" x14ac:dyDescent="0.3">
      <c r="I17687" t="s">
        <v>22865</v>
      </c>
      <c r="J17687" t="s">
        <v>5878</v>
      </c>
    </row>
    <row r="17688" spans="9:10" x14ac:dyDescent="0.3">
      <c r="I17688" t="s">
        <v>22056</v>
      </c>
      <c r="J17688" t="s">
        <v>5878</v>
      </c>
    </row>
    <row r="17689" spans="9:10" x14ac:dyDescent="0.3">
      <c r="I17689" t="s">
        <v>22866</v>
      </c>
      <c r="J17689" t="s">
        <v>5878</v>
      </c>
    </row>
    <row r="17690" spans="9:10" x14ac:dyDescent="0.3">
      <c r="I17690" t="s">
        <v>22867</v>
      </c>
      <c r="J17690" t="s">
        <v>5878</v>
      </c>
    </row>
    <row r="17691" spans="9:10" x14ac:dyDescent="0.3">
      <c r="I17691" t="s">
        <v>22868</v>
      </c>
      <c r="J17691" t="s">
        <v>5878</v>
      </c>
    </row>
    <row r="17692" spans="9:10" x14ac:dyDescent="0.3">
      <c r="I17692" t="s">
        <v>22869</v>
      </c>
      <c r="J17692" t="s">
        <v>5878</v>
      </c>
    </row>
    <row r="17693" spans="9:10" x14ac:dyDescent="0.3">
      <c r="I17693" t="s">
        <v>22870</v>
      </c>
      <c r="J17693" t="s">
        <v>5878</v>
      </c>
    </row>
    <row r="17694" spans="9:10" x14ac:dyDescent="0.3">
      <c r="I17694" t="s">
        <v>22871</v>
      </c>
      <c r="J17694" t="s">
        <v>5878</v>
      </c>
    </row>
    <row r="17695" spans="9:10" x14ac:dyDescent="0.3">
      <c r="I17695" t="s">
        <v>22872</v>
      </c>
      <c r="J17695" t="s">
        <v>5878</v>
      </c>
    </row>
    <row r="17696" spans="9:10" x14ac:dyDescent="0.3">
      <c r="I17696" t="s">
        <v>22873</v>
      </c>
      <c r="J17696" t="s">
        <v>5878</v>
      </c>
    </row>
    <row r="17697" spans="9:10" x14ac:dyDescent="0.3">
      <c r="I17697" t="s">
        <v>22874</v>
      </c>
      <c r="J17697" t="s">
        <v>5878</v>
      </c>
    </row>
    <row r="17698" spans="9:10" x14ac:dyDescent="0.3">
      <c r="I17698" t="s">
        <v>22875</v>
      </c>
      <c r="J17698" t="s">
        <v>5878</v>
      </c>
    </row>
    <row r="17699" spans="9:10" x14ac:dyDescent="0.3">
      <c r="I17699" t="s">
        <v>22876</v>
      </c>
      <c r="J17699" t="s">
        <v>5878</v>
      </c>
    </row>
    <row r="17700" spans="9:10" x14ac:dyDescent="0.3">
      <c r="I17700" t="s">
        <v>22877</v>
      </c>
      <c r="J17700" t="s">
        <v>5878</v>
      </c>
    </row>
    <row r="17701" spans="9:10" x14ac:dyDescent="0.3">
      <c r="I17701" t="s">
        <v>22878</v>
      </c>
      <c r="J17701" t="s">
        <v>5878</v>
      </c>
    </row>
    <row r="17702" spans="9:10" x14ac:dyDescent="0.3">
      <c r="I17702" t="s">
        <v>22879</v>
      </c>
      <c r="J17702" t="s">
        <v>5878</v>
      </c>
    </row>
    <row r="17703" spans="9:10" x14ac:dyDescent="0.3">
      <c r="I17703" t="s">
        <v>22880</v>
      </c>
      <c r="J17703" t="s">
        <v>5878</v>
      </c>
    </row>
    <row r="17704" spans="9:10" x14ac:dyDescent="0.3">
      <c r="I17704" t="s">
        <v>22881</v>
      </c>
      <c r="J17704" t="s">
        <v>5878</v>
      </c>
    </row>
    <row r="17705" spans="9:10" x14ac:dyDescent="0.3">
      <c r="I17705" t="s">
        <v>22882</v>
      </c>
      <c r="J17705" t="s">
        <v>5878</v>
      </c>
    </row>
    <row r="17706" spans="9:10" x14ac:dyDescent="0.3">
      <c r="I17706" t="s">
        <v>22883</v>
      </c>
      <c r="J17706" t="s">
        <v>5878</v>
      </c>
    </row>
    <row r="17707" spans="9:10" x14ac:dyDescent="0.3">
      <c r="I17707" t="s">
        <v>22056</v>
      </c>
      <c r="J17707" t="s">
        <v>5878</v>
      </c>
    </row>
    <row r="17708" spans="9:10" x14ac:dyDescent="0.3">
      <c r="I17708" t="s">
        <v>22884</v>
      </c>
      <c r="J17708" t="s">
        <v>5878</v>
      </c>
    </row>
    <row r="17709" spans="9:10" x14ac:dyDescent="0.3">
      <c r="I17709" t="s">
        <v>22885</v>
      </c>
      <c r="J17709" t="s">
        <v>5878</v>
      </c>
    </row>
    <row r="17710" spans="9:10" x14ac:dyDescent="0.3">
      <c r="I17710" t="s">
        <v>22886</v>
      </c>
      <c r="J17710" t="s">
        <v>5878</v>
      </c>
    </row>
    <row r="17711" spans="9:10" x14ac:dyDescent="0.3">
      <c r="I17711" t="s">
        <v>22887</v>
      </c>
      <c r="J17711" t="s">
        <v>5878</v>
      </c>
    </row>
    <row r="17712" spans="9:10" x14ac:dyDescent="0.3">
      <c r="I17712" t="s">
        <v>22888</v>
      </c>
      <c r="J17712" t="s">
        <v>5878</v>
      </c>
    </row>
    <row r="17713" spans="9:10" x14ac:dyDescent="0.3">
      <c r="I17713" t="s">
        <v>22889</v>
      </c>
      <c r="J17713" t="s">
        <v>5878</v>
      </c>
    </row>
    <row r="17714" spans="9:10" x14ac:dyDescent="0.3">
      <c r="I17714" t="s">
        <v>22890</v>
      </c>
      <c r="J17714" t="s">
        <v>5878</v>
      </c>
    </row>
    <row r="17715" spans="9:10" x14ac:dyDescent="0.3">
      <c r="I17715" t="s">
        <v>22891</v>
      </c>
      <c r="J17715" t="s">
        <v>5878</v>
      </c>
    </row>
    <row r="17716" spans="9:10" x14ac:dyDescent="0.3">
      <c r="I17716" t="s">
        <v>22892</v>
      </c>
      <c r="J17716" t="s">
        <v>5878</v>
      </c>
    </row>
    <row r="17717" spans="9:10" x14ac:dyDescent="0.3">
      <c r="I17717" t="s">
        <v>22031</v>
      </c>
      <c r="J17717" t="s">
        <v>5878</v>
      </c>
    </row>
    <row r="17718" spans="9:10" x14ac:dyDescent="0.3">
      <c r="I17718" t="s">
        <v>22890</v>
      </c>
      <c r="J17718" t="s">
        <v>5878</v>
      </c>
    </row>
    <row r="17719" spans="9:10" x14ac:dyDescent="0.3">
      <c r="I17719" t="s">
        <v>22893</v>
      </c>
      <c r="J17719" t="s">
        <v>5878</v>
      </c>
    </row>
    <row r="17720" spans="9:10" x14ac:dyDescent="0.3">
      <c r="I17720" t="s">
        <v>22894</v>
      </c>
      <c r="J17720" t="s">
        <v>5878</v>
      </c>
    </row>
    <row r="17721" spans="9:10" x14ac:dyDescent="0.3">
      <c r="I17721" t="s">
        <v>22895</v>
      </c>
      <c r="J17721" t="s">
        <v>5878</v>
      </c>
    </row>
    <row r="17722" spans="9:10" x14ac:dyDescent="0.3">
      <c r="I17722" t="s">
        <v>22896</v>
      </c>
      <c r="J17722" t="s">
        <v>5878</v>
      </c>
    </row>
    <row r="17723" spans="9:10" x14ac:dyDescent="0.3">
      <c r="I17723" t="s">
        <v>22897</v>
      </c>
      <c r="J17723" t="s">
        <v>5878</v>
      </c>
    </row>
    <row r="17724" spans="9:10" x14ac:dyDescent="0.3">
      <c r="I17724" t="s">
        <v>22898</v>
      </c>
      <c r="J17724" t="s">
        <v>5878</v>
      </c>
    </row>
    <row r="17725" spans="9:10" x14ac:dyDescent="0.3">
      <c r="I17725" t="s">
        <v>22899</v>
      </c>
      <c r="J17725" t="s">
        <v>5878</v>
      </c>
    </row>
    <row r="17726" spans="9:10" x14ac:dyDescent="0.3">
      <c r="I17726" t="s">
        <v>22900</v>
      </c>
      <c r="J17726" t="s">
        <v>5878</v>
      </c>
    </row>
    <row r="17727" spans="9:10" x14ac:dyDescent="0.3">
      <c r="I17727" t="s">
        <v>22901</v>
      </c>
      <c r="J17727" t="s">
        <v>5878</v>
      </c>
    </row>
    <row r="17728" spans="9:10" x14ac:dyDescent="0.3">
      <c r="I17728" t="s">
        <v>22902</v>
      </c>
      <c r="J17728" t="s">
        <v>5878</v>
      </c>
    </row>
    <row r="17729" spans="9:10" x14ac:dyDescent="0.3">
      <c r="I17729" t="s">
        <v>22903</v>
      </c>
      <c r="J17729" t="s">
        <v>5878</v>
      </c>
    </row>
    <row r="17730" spans="9:10" x14ac:dyDescent="0.3">
      <c r="I17730" t="s">
        <v>22904</v>
      </c>
      <c r="J17730" t="s">
        <v>5878</v>
      </c>
    </row>
    <row r="17731" spans="9:10" x14ac:dyDescent="0.3">
      <c r="I17731" t="s">
        <v>22905</v>
      </c>
      <c r="J17731" t="s">
        <v>5878</v>
      </c>
    </row>
    <row r="17732" spans="9:10" x14ac:dyDescent="0.3">
      <c r="I17732" t="s">
        <v>22056</v>
      </c>
      <c r="J17732" t="s">
        <v>5878</v>
      </c>
    </row>
    <row r="17733" spans="9:10" x14ac:dyDescent="0.3">
      <c r="I17733" t="s">
        <v>22906</v>
      </c>
      <c r="J17733" t="s">
        <v>5878</v>
      </c>
    </row>
    <row r="17734" spans="9:10" x14ac:dyDescent="0.3">
      <c r="I17734" t="s">
        <v>22907</v>
      </c>
      <c r="J17734" t="s">
        <v>5878</v>
      </c>
    </row>
    <row r="17735" spans="9:10" x14ac:dyDescent="0.3">
      <c r="I17735" t="s">
        <v>22908</v>
      </c>
      <c r="J17735" t="s">
        <v>5878</v>
      </c>
    </row>
    <row r="17736" spans="9:10" x14ac:dyDescent="0.3">
      <c r="I17736" t="s">
        <v>22909</v>
      </c>
      <c r="J17736" t="s">
        <v>5878</v>
      </c>
    </row>
    <row r="17737" spans="9:10" x14ac:dyDescent="0.3">
      <c r="I17737" t="s">
        <v>22910</v>
      </c>
      <c r="J17737" t="s">
        <v>5878</v>
      </c>
    </row>
    <row r="17738" spans="9:10" x14ac:dyDescent="0.3">
      <c r="I17738" t="s">
        <v>22911</v>
      </c>
      <c r="J17738" t="s">
        <v>5878</v>
      </c>
    </row>
    <row r="17739" spans="9:10" x14ac:dyDescent="0.3">
      <c r="I17739" t="s">
        <v>22912</v>
      </c>
      <c r="J17739" t="s">
        <v>5878</v>
      </c>
    </row>
    <row r="17740" spans="9:10" x14ac:dyDescent="0.3">
      <c r="I17740" t="s">
        <v>22913</v>
      </c>
      <c r="J17740" t="s">
        <v>5878</v>
      </c>
    </row>
    <row r="17741" spans="9:10" x14ac:dyDescent="0.3">
      <c r="I17741" t="s">
        <v>22914</v>
      </c>
      <c r="J17741" t="s">
        <v>5878</v>
      </c>
    </row>
    <row r="17742" spans="9:10" x14ac:dyDescent="0.3">
      <c r="I17742" t="s">
        <v>22915</v>
      </c>
      <c r="J17742" t="s">
        <v>5878</v>
      </c>
    </row>
    <row r="17743" spans="9:10" x14ac:dyDescent="0.3">
      <c r="I17743" t="s">
        <v>22916</v>
      </c>
      <c r="J17743" t="s">
        <v>5878</v>
      </c>
    </row>
    <row r="17744" spans="9:10" x14ac:dyDescent="0.3">
      <c r="I17744" t="s">
        <v>22917</v>
      </c>
      <c r="J17744" t="s">
        <v>5878</v>
      </c>
    </row>
    <row r="17745" spans="9:10" x14ac:dyDescent="0.3">
      <c r="I17745" t="s">
        <v>22918</v>
      </c>
      <c r="J17745" t="s">
        <v>5878</v>
      </c>
    </row>
    <row r="17746" spans="9:10" x14ac:dyDescent="0.3">
      <c r="I17746" t="s">
        <v>22919</v>
      </c>
      <c r="J17746" t="s">
        <v>5878</v>
      </c>
    </row>
    <row r="17747" spans="9:10" x14ac:dyDescent="0.3">
      <c r="I17747" t="s">
        <v>22920</v>
      </c>
      <c r="J17747" t="s">
        <v>5878</v>
      </c>
    </row>
    <row r="17748" spans="9:10" x14ac:dyDescent="0.3">
      <c r="I17748" t="s">
        <v>22921</v>
      </c>
      <c r="J17748" t="s">
        <v>5878</v>
      </c>
    </row>
    <row r="17749" spans="9:10" x14ac:dyDescent="0.3">
      <c r="I17749" t="s">
        <v>22922</v>
      </c>
      <c r="J17749" t="s">
        <v>5878</v>
      </c>
    </row>
    <row r="17750" spans="9:10" x14ac:dyDescent="0.3">
      <c r="I17750" t="s">
        <v>22923</v>
      </c>
      <c r="J17750" t="s">
        <v>5878</v>
      </c>
    </row>
    <row r="17751" spans="9:10" x14ac:dyDescent="0.3">
      <c r="I17751" t="s">
        <v>22924</v>
      </c>
      <c r="J17751" t="s">
        <v>5878</v>
      </c>
    </row>
    <row r="17752" spans="9:10" x14ac:dyDescent="0.3">
      <c r="I17752" t="s">
        <v>22925</v>
      </c>
      <c r="J17752" t="s">
        <v>5878</v>
      </c>
    </row>
    <row r="17753" spans="9:10" x14ac:dyDescent="0.3">
      <c r="I17753" t="s">
        <v>22926</v>
      </c>
      <c r="J17753" t="s">
        <v>5878</v>
      </c>
    </row>
    <row r="17754" spans="9:10" x14ac:dyDescent="0.3">
      <c r="I17754" t="s">
        <v>22927</v>
      </c>
      <c r="J17754" t="s">
        <v>5878</v>
      </c>
    </row>
    <row r="17755" spans="9:10" x14ac:dyDescent="0.3">
      <c r="I17755" t="s">
        <v>22928</v>
      </c>
      <c r="J17755" t="s">
        <v>5878</v>
      </c>
    </row>
    <row r="17756" spans="9:10" x14ac:dyDescent="0.3">
      <c r="I17756" t="s">
        <v>22929</v>
      </c>
      <c r="J17756" t="s">
        <v>5878</v>
      </c>
    </row>
    <row r="17757" spans="9:10" x14ac:dyDescent="0.3">
      <c r="I17757" t="s">
        <v>22930</v>
      </c>
      <c r="J17757" t="s">
        <v>5878</v>
      </c>
    </row>
    <row r="17758" spans="9:10" x14ac:dyDescent="0.3">
      <c r="I17758" t="s">
        <v>22931</v>
      </c>
      <c r="J17758" t="s">
        <v>5878</v>
      </c>
    </row>
    <row r="17759" spans="9:10" x14ac:dyDescent="0.3">
      <c r="I17759" t="s">
        <v>22932</v>
      </c>
      <c r="J17759" t="s">
        <v>5878</v>
      </c>
    </row>
    <row r="17760" spans="9:10" x14ac:dyDescent="0.3">
      <c r="I17760" t="s">
        <v>22933</v>
      </c>
      <c r="J17760" t="s">
        <v>5878</v>
      </c>
    </row>
    <row r="17761" spans="9:10" x14ac:dyDescent="0.3">
      <c r="I17761" t="s">
        <v>22934</v>
      </c>
      <c r="J17761" t="s">
        <v>5878</v>
      </c>
    </row>
    <row r="17762" spans="9:10" x14ac:dyDescent="0.3">
      <c r="I17762" t="s">
        <v>22935</v>
      </c>
      <c r="J17762" t="s">
        <v>5878</v>
      </c>
    </row>
    <row r="17763" spans="9:10" x14ac:dyDescent="0.3">
      <c r="I17763" t="s">
        <v>22936</v>
      </c>
      <c r="J17763" t="s">
        <v>5878</v>
      </c>
    </row>
    <row r="17764" spans="9:10" x14ac:dyDescent="0.3">
      <c r="I17764" t="s">
        <v>22937</v>
      </c>
      <c r="J17764" t="s">
        <v>5878</v>
      </c>
    </row>
    <row r="17765" spans="9:10" x14ac:dyDescent="0.3">
      <c r="I17765" t="s">
        <v>22938</v>
      </c>
      <c r="J17765" t="s">
        <v>5878</v>
      </c>
    </row>
    <row r="17766" spans="9:10" x14ac:dyDescent="0.3">
      <c r="I17766" t="s">
        <v>22939</v>
      </c>
      <c r="J17766" t="s">
        <v>5878</v>
      </c>
    </row>
    <row r="17767" spans="9:10" x14ac:dyDescent="0.3">
      <c r="I17767" t="s">
        <v>22940</v>
      </c>
      <c r="J17767" t="s">
        <v>5878</v>
      </c>
    </row>
    <row r="17768" spans="9:10" x14ac:dyDescent="0.3">
      <c r="I17768" t="s">
        <v>22941</v>
      </c>
      <c r="J17768" t="s">
        <v>5878</v>
      </c>
    </row>
    <row r="17769" spans="9:10" x14ac:dyDescent="0.3">
      <c r="I17769" t="s">
        <v>22942</v>
      </c>
      <c r="J17769" t="s">
        <v>5878</v>
      </c>
    </row>
    <row r="17770" spans="9:10" x14ac:dyDescent="0.3">
      <c r="I17770" t="s">
        <v>22943</v>
      </c>
      <c r="J17770" t="s">
        <v>5878</v>
      </c>
    </row>
    <row r="17771" spans="9:10" x14ac:dyDescent="0.3">
      <c r="I17771" t="s">
        <v>22944</v>
      </c>
      <c r="J17771" t="s">
        <v>5878</v>
      </c>
    </row>
    <row r="17772" spans="9:10" x14ac:dyDescent="0.3">
      <c r="I17772" t="s">
        <v>22945</v>
      </c>
      <c r="J17772" t="s">
        <v>5878</v>
      </c>
    </row>
    <row r="17773" spans="9:10" x14ac:dyDescent="0.3">
      <c r="I17773" t="s">
        <v>22946</v>
      </c>
      <c r="J17773" t="s">
        <v>5878</v>
      </c>
    </row>
    <row r="17774" spans="9:10" x14ac:dyDescent="0.3">
      <c r="I17774" t="s">
        <v>22947</v>
      </c>
      <c r="J17774" t="s">
        <v>5878</v>
      </c>
    </row>
    <row r="17775" spans="9:10" x14ac:dyDescent="0.3">
      <c r="I17775" t="s">
        <v>22948</v>
      </c>
      <c r="J17775" t="s">
        <v>5878</v>
      </c>
    </row>
    <row r="17776" spans="9:10" x14ac:dyDescent="0.3">
      <c r="I17776" t="s">
        <v>22949</v>
      </c>
      <c r="J17776" t="s">
        <v>5878</v>
      </c>
    </row>
    <row r="17777" spans="9:10" x14ac:dyDescent="0.3">
      <c r="I17777" t="s">
        <v>22950</v>
      </c>
      <c r="J17777" t="s">
        <v>5878</v>
      </c>
    </row>
    <row r="17778" spans="9:10" x14ac:dyDescent="0.3">
      <c r="I17778" t="s">
        <v>22951</v>
      </c>
      <c r="J17778" t="s">
        <v>5878</v>
      </c>
    </row>
    <row r="17779" spans="9:10" x14ac:dyDescent="0.3">
      <c r="I17779" t="s">
        <v>22952</v>
      </c>
      <c r="J17779" t="s">
        <v>5878</v>
      </c>
    </row>
    <row r="17780" spans="9:10" x14ac:dyDescent="0.3">
      <c r="I17780" t="s">
        <v>22953</v>
      </c>
      <c r="J17780" t="s">
        <v>5878</v>
      </c>
    </row>
    <row r="17781" spans="9:10" x14ac:dyDescent="0.3">
      <c r="I17781" t="s">
        <v>22954</v>
      </c>
      <c r="J17781" t="s">
        <v>5878</v>
      </c>
    </row>
    <row r="17782" spans="9:10" x14ac:dyDescent="0.3">
      <c r="I17782" t="s">
        <v>22955</v>
      </c>
      <c r="J17782" t="s">
        <v>5878</v>
      </c>
    </row>
    <row r="17783" spans="9:10" x14ac:dyDescent="0.3">
      <c r="I17783" t="s">
        <v>22956</v>
      </c>
      <c r="J17783" t="s">
        <v>5878</v>
      </c>
    </row>
    <row r="17784" spans="9:10" x14ac:dyDescent="0.3">
      <c r="I17784" t="s">
        <v>22957</v>
      </c>
      <c r="J17784" t="s">
        <v>5878</v>
      </c>
    </row>
    <row r="17785" spans="9:10" x14ac:dyDescent="0.3">
      <c r="I17785" t="s">
        <v>22958</v>
      </c>
      <c r="J17785" t="s">
        <v>5878</v>
      </c>
    </row>
    <row r="17786" spans="9:10" x14ac:dyDescent="0.3">
      <c r="I17786" t="s">
        <v>22959</v>
      </c>
      <c r="J17786" t="s">
        <v>5878</v>
      </c>
    </row>
    <row r="17787" spans="9:10" x14ac:dyDescent="0.3">
      <c r="I17787" t="s">
        <v>22960</v>
      </c>
      <c r="J17787" t="s">
        <v>5878</v>
      </c>
    </row>
    <row r="17788" spans="9:10" x14ac:dyDescent="0.3">
      <c r="I17788" t="s">
        <v>22961</v>
      </c>
      <c r="J17788" t="s">
        <v>5878</v>
      </c>
    </row>
    <row r="17789" spans="9:10" x14ac:dyDescent="0.3">
      <c r="I17789" t="s">
        <v>22962</v>
      </c>
      <c r="J17789" t="s">
        <v>5878</v>
      </c>
    </row>
    <row r="17790" spans="9:10" x14ac:dyDescent="0.3">
      <c r="I17790" t="s">
        <v>22963</v>
      </c>
      <c r="J17790" t="s">
        <v>5878</v>
      </c>
    </row>
    <row r="17791" spans="9:10" x14ac:dyDescent="0.3">
      <c r="I17791" t="s">
        <v>22964</v>
      </c>
      <c r="J17791" t="s">
        <v>5878</v>
      </c>
    </row>
    <row r="17792" spans="9:10" x14ac:dyDescent="0.3">
      <c r="I17792" t="s">
        <v>22965</v>
      </c>
      <c r="J17792" t="s">
        <v>5878</v>
      </c>
    </row>
    <row r="17793" spans="9:10" x14ac:dyDescent="0.3">
      <c r="I17793" t="s">
        <v>22966</v>
      </c>
      <c r="J17793" t="s">
        <v>5878</v>
      </c>
    </row>
    <row r="17794" spans="9:10" x14ac:dyDescent="0.3">
      <c r="I17794" t="s">
        <v>22967</v>
      </c>
      <c r="J17794" t="s">
        <v>5878</v>
      </c>
    </row>
    <row r="17795" spans="9:10" x14ac:dyDescent="0.3">
      <c r="I17795" t="s">
        <v>22968</v>
      </c>
      <c r="J17795" t="s">
        <v>5878</v>
      </c>
    </row>
    <row r="17796" spans="9:10" x14ac:dyDescent="0.3">
      <c r="I17796" t="s">
        <v>22969</v>
      </c>
      <c r="J17796" t="s">
        <v>5878</v>
      </c>
    </row>
    <row r="17797" spans="9:10" x14ac:dyDescent="0.3">
      <c r="I17797" t="s">
        <v>22970</v>
      </c>
      <c r="J17797" t="s">
        <v>5878</v>
      </c>
    </row>
    <row r="17798" spans="9:10" x14ac:dyDescent="0.3">
      <c r="I17798" t="s">
        <v>22971</v>
      </c>
      <c r="J17798" t="s">
        <v>5878</v>
      </c>
    </row>
    <row r="17799" spans="9:10" x14ac:dyDescent="0.3">
      <c r="I17799" t="s">
        <v>22972</v>
      </c>
      <c r="J17799" t="s">
        <v>5878</v>
      </c>
    </row>
    <row r="17800" spans="9:10" x14ac:dyDescent="0.3">
      <c r="I17800" t="s">
        <v>22973</v>
      </c>
      <c r="J17800" t="s">
        <v>5878</v>
      </c>
    </row>
    <row r="17801" spans="9:10" x14ac:dyDescent="0.3">
      <c r="I17801" t="s">
        <v>22974</v>
      </c>
      <c r="J17801" t="s">
        <v>5878</v>
      </c>
    </row>
    <row r="17802" spans="9:10" x14ac:dyDescent="0.3">
      <c r="I17802" t="s">
        <v>22975</v>
      </c>
      <c r="J17802" t="s">
        <v>5878</v>
      </c>
    </row>
    <row r="17803" spans="9:10" x14ac:dyDescent="0.3">
      <c r="I17803" t="s">
        <v>22976</v>
      </c>
      <c r="J17803" t="s">
        <v>5878</v>
      </c>
    </row>
    <row r="17804" spans="9:10" x14ac:dyDescent="0.3">
      <c r="I17804" t="s">
        <v>22977</v>
      </c>
      <c r="J17804" t="s">
        <v>5878</v>
      </c>
    </row>
    <row r="17805" spans="9:10" x14ac:dyDescent="0.3">
      <c r="I17805" t="s">
        <v>22978</v>
      </c>
      <c r="J17805" t="s">
        <v>5878</v>
      </c>
    </row>
    <row r="17806" spans="9:10" x14ac:dyDescent="0.3">
      <c r="I17806" t="s">
        <v>22979</v>
      </c>
      <c r="J17806" t="s">
        <v>5878</v>
      </c>
    </row>
    <row r="17807" spans="9:10" x14ac:dyDescent="0.3">
      <c r="I17807" t="s">
        <v>22980</v>
      </c>
      <c r="J17807" t="s">
        <v>5878</v>
      </c>
    </row>
    <row r="17808" spans="9:10" x14ac:dyDescent="0.3">
      <c r="I17808" t="s">
        <v>22981</v>
      </c>
      <c r="J17808" t="s">
        <v>5878</v>
      </c>
    </row>
    <row r="17809" spans="9:10" x14ac:dyDescent="0.3">
      <c r="I17809" t="s">
        <v>22982</v>
      </c>
      <c r="J17809" t="s">
        <v>5878</v>
      </c>
    </row>
    <row r="17810" spans="9:10" x14ac:dyDescent="0.3">
      <c r="I17810" t="s">
        <v>22983</v>
      </c>
      <c r="J17810" t="s">
        <v>5878</v>
      </c>
    </row>
    <row r="17811" spans="9:10" x14ac:dyDescent="0.3">
      <c r="I17811" t="s">
        <v>22984</v>
      </c>
      <c r="J17811" t="s">
        <v>5878</v>
      </c>
    </row>
    <row r="17812" spans="9:10" x14ac:dyDescent="0.3">
      <c r="I17812" t="s">
        <v>22985</v>
      </c>
      <c r="J17812" t="s">
        <v>5878</v>
      </c>
    </row>
    <row r="17813" spans="9:10" x14ac:dyDescent="0.3">
      <c r="I17813" t="s">
        <v>22986</v>
      </c>
      <c r="J17813" t="s">
        <v>5878</v>
      </c>
    </row>
    <row r="17814" spans="9:10" x14ac:dyDescent="0.3">
      <c r="I17814" t="s">
        <v>22987</v>
      </c>
      <c r="J17814" t="s">
        <v>5878</v>
      </c>
    </row>
    <row r="17815" spans="9:10" x14ac:dyDescent="0.3">
      <c r="I17815" t="s">
        <v>22988</v>
      </c>
      <c r="J17815" t="s">
        <v>5878</v>
      </c>
    </row>
    <row r="17816" spans="9:10" x14ac:dyDescent="0.3">
      <c r="I17816" t="s">
        <v>22989</v>
      </c>
      <c r="J17816" t="s">
        <v>5878</v>
      </c>
    </row>
    <row r="17817" spans="9:10" x14ac:dyDescent="0.3">
      <c r="I17817" t="s">
        <v>22990</v>
      </c>
      <c r="J17817" t="s">
        <v>5878</v>
      </c>
    </row>
    <row r="17818" spans="9:10" x14ac:dyDescent="0.3">
      <c r="I17818" t="s">
        <v>22991</v>
      </c>
      <c r="J17818" t="s">
        <v>5878</v>
      </c>
    </row>
    <row r="17819" spans="9:10" x14ac:dyDescent="0.3">
      <c r="I17819" t="s">
        <v>22992</v>
      </c>
      <c r="J17819" t="s">
        <v>5878</v>
      </c>
    </row>
    <row r="17820" spans="9:10" x14ac:dyDescent="0.3">
      <c r="I17820" t="s">
        <v>22993</v>
      </c>
      <c r="J17820" t="s">
        <v>5878</v>
      </c>
    </row>
    <row r="17821" spans="9:10" x14ac:dyDescent="0.3">
      <c r="I17821" t="s">
        <v>22994</v>
      </c>
      <c r="J17821" t="s">
        <v>5878</v>
      </c>
    </row>
    <row r="17822" spans="9:10" x14ac:dyDescent="0.3">
      <c r="I17822" t="s">
        <v>22995</v>
      </c>
      <c r="J17822" t="s">
        <v>5878</v>
      </c>
    </row>
    <row r="17823" spans="9:10" x14ac:dyDescent="0.3">
      <c r="I17823" t="s">
        <v>22996</v>
      </c>
      <c r="J17823" t="s">
        <v>5878</v>
      </c>
    </row>
    <row r="17824" spans="9:10" x14ac:dyDescent="0.3">
      <c r="I17824" t="s">
        <v>22997</v>
      </c>
      <c r="J17824" t="s">
        <v>5878</v>
      </c>
    </row>
    <row r="17825" spans="9:10" x14ac:dyDescent="0.3">
      <c r="I17825" t="s">
        <v>22998</v>
      </c>
      <c r="J17825" t="s">
        <v>5878</v>
      </c>
    </row>
    <row r="17826" spans="9:10" x14ac:dyDescent="0.3">
      <c r="I17826" t="s">
        <v>22999</v>
      </c>
      <c r="J17826" t="s">
        <v>5878</v>
      </c>
    </row>
    <row r="17827" spans="9:10" x14ac:dyDescent="0.3">
      <c r="I17827" t="s">
        <v>23000</v>
      </c>
      <c r="J17827" t="s">
        <v>5878</v>
      </c>
    </row>
    <row r="17828" spans="9:10" x14ac:dyDescent="0.3">
      <c r="I17828" t="s">
        <v>23001</v>
      </c>
      <c r="J17828" t="s">
        <v>5878</v>
      </c>
    </row>
    <row r="17829" spans="9:10" x14ac:dyDescent="0.3">
      <c r="I17829" t="s">
        <v>23002</v>
      </c>
      <c r="J17829" t="s">
        <v>5878</v>
      </c>
    </row>
    <row r="17830" spans="9:10" x14ac:dyDescent="0.3">
      <c r="I17830" t="s">
        <v>23003</v>
      </c>
      <c r="J17830" t="s">
        <v>5878</v>
      </c>
    </row>
    <row r="17831" spans="9:10" x14ac:dyDescent="0.3">
      <c r="I17831" t="s">
        <v>23004</v>
      </c>
      <c r="J17831" t="s">
        <v>5878</v>
      </c>
    </row>
    <row r="17832" spans="9:10" x14ac:dyDescent="0.3">
      <c r="I17832" t="s">
        <v>23005</v>
      </c>
      <c r="J17832" t="s">
        <v>5878</v>
      </c>
    </row>
    <row r="17833" spans="9:10" x14ac:dyDescent="0.3">
      <c r="I17833" t="s">
        <v>23006</v>
      </c>
      <c r="J17833" t="s">
        <v>5878</v>
      </c>
    </row>
    <row r="17834" spans="9:10" x14ac:dyDescent="0.3">
      <c r="I17834" t="s">
        <v>23007</v>
      </c>
      <c r="J17834" t="s">
        <v>5878</v>
      </c>
    </row>
    <row r="17835" spans="9:10" x14ac:dyDescent="0.3">
      <c r="I17835" t="s">
        <v>23008</v>
      </c>
      <c r="J17835" t="s">
        <v>5878</v>
      </c>
    </row>
    <row r="17836" spans="9:10" x14ac:dyDescent="0.3">
      <c r="I17836" t="s">
        <v>23009</v>
      </c>
      <c r="J17836" t="s">
        <v>5878</v>
      </c>
    </row>
    <row r="17837" spans="9:10" x14ac:dyDescent="0.3">
      <c r="I17837" t="s">
        <v>23010</v>
      </c>
      <c r="J17837" t="s">
        <v>5878</v>
      </c>
    </row>
    <row r="17838" spans="9:10" x14ac:dyDescent="0.3">
      <c r="I17838" t="s">
        <v>23011</v>
      </c>
      <c r="J17838" t="s">
        <v>5878</v>
      </c>
    </row>
    <row r="17839" spans="9:10" x14ac:dyDescent="0.3">
      <c r="I17839" t="s">
        <v>23012</v>
      </c>
      <c r="J17839" t="s">
        <v>5878</v>
      </c>
    </row>
    <row r="17840" spans="9:10" x14ac:dyDescent="0.3">
      <c r="I17840" t="s">
        <v>23013</v>
      </c>
      <c r="J17840" t="s">
        <v>5878</v>
      </c>
    </row>
    <row r="17841" spans="9:10" x14ac:dyDescent="0.3">
      <c r="I17841" t="s">
        <v>23014</v>
      </c>
      <c r="J17841" t="s">
        <v>5878</v>
      </c>
    </row>
    <row r="17842" spans="9:10" x14ac:dyDescent="0.3">
      <c r="I17842" t="s">
        <v>23015</v>
      </c>
      <c r="J17842" t="s">
        <v>5878</v>
      </c>
    </row>
    <row r="17843" spans="9:10" x14ac:dyDescent="0.3">
      <c r="I17843" t="s">
        <v>23016</v>
      </c>
      <c r="J17843" t="s">
        <v>5878</v>
      </c>
    </row>
    <row r="17844" spans="9:10" x14ac:dyDescent="0.3">
      <c r="I17844" t="s">
        <v>23017</v>
      </c>
      <c r="J17844" t="s">
        <v>5878</v>
      </c>
    </row>
    <row r="17845" spans="9:10" x14ac:dyDescent="0.3">
      <c r="I17845" t="s">
        <v>23018</v>
      </c>
      <c r="J17845" t="s">
        <v>5878</v>
      </c>
    </row>
    <row r="17846" spans="9:10" x14ac:dyDescent="0.3">
      <c r="I17846" t="s">
        <v>23019</v>
      </c>
      <c r="J17846" t="s">
        <v>5878</v>
      </c>
    </row>
    <row r="17847" spans="9:10" x14ac:dyDescent="0.3">
      <c r="I17847" t="s">
        <v>23020</v>
      </c>
      <c r="J17847" t="s">
        <v>5878</v>
      </c>
    </row>
    <row r="17848" spans="9:10" x14ac:dyDescent="0.3">
      <c r="I17848" t="s">
        <v>23021</v>
      </c>
      <c r="J17848" t="s">
        <v>5878</v>
      </c>
    </row>
    <row r="17849" spans="9:10" x14ac:dyDescent="0.3">
      <c r="I17849" t="s">
        <v>23022</v>
      </c>
      <c r="J17849" t="s">
        <v>5878</v>
      </c>
    </row>
    <row r="17850" spans="9:10" x14ac:dyDescent="0.3">
      <c r="I17850" t="s">
        <v>23023</v>
      </c>
      <c r="J17850" t="s">
        <v>5878</v>
      </c>
    </row>
    <row r="17851" spans="9:10" x14ac:dyDescent="0.3">
      <c r="I17851" t="s">
        <v>23024</v>
      </c>
      <c r="J17851" t="s">
        <v>5878</v>
      </c>
    </row>
    <row r="17852" spans="9:10" x14ac:dyDescent="0.3">
      <c r="I17852" t="s">
        <v>23025</v>
      </c>
      <c r="J17852" t="s">
        <v>5878</v>
      </c>
    </row>
    <row r="17853" spans="9:10" x14ac:dyDescent="0.3">
      <c r="I17853" t="s">
        <v>23026</v>
      </c>
      <c r="J17853" t="s">
        <v>5878</v>
      </c>
    </row>
    <row r="17854" spans="9:10" x14ac:dyDescent="0.3">
      <c r="I17854" t="s">
        <v>23027</v>
      </c>
      <c r="J17854" t="s">
        <v>5878</v>
      </c>
    </row>
    <row r="17855" spans="9:10" x14ac:dyDescent="0.3">
      <c r="I17855" t="s">
        <v>23028</v>
      </c>
      <c r="J17855" t="s">
        <v>5878</v>
      </c>
    </row>
    <row r="17856" spans="9:10" x14ac:dyDescent="0.3">
      <c r="I17856" t="s">
        <v>23029</v>
      </c>
      <c r="J17856" t="s">
        <v>5878</v>
      </c>
    </row>
    <row r="17857" spans="9:10" x14ac:dyDescent="0.3">
      <c r="I17857" t="s">
        <v>23030</v>
      </c>
      <c r="J17857" t="s">
        <v>5878</v>
      </c>
    </row>
    <row r="17858" spans="9:10" x14ac:dyDescent="0.3">
      <c r="I17858" t="s">
        <v>23031</v>
      </c>
      <c r="J17858" t="s">
        <v>5878</v>
      </c>
    </row>
    <row r="17859" spans="9:10" x14ac:dyDescent="0.3">
      <c r="I17859" t="s">
        <v>23032</v>
      </c>
      <c r="J17859" t="s">
        <v>5878</v>
      </c>
    </row>
    <row r="17860" spans="9:10" x14ac:dyDescent="0.3">
      <c r="I17860" t="s">
        <v>23033</v>
      </c>
      <c r="J17860" t="s">
        <v>5878</v>
      </c>
    </row>
    <row r="17861" spans="9:10" x14ac:dyDescent="0.3">
      <c r="I17861" t="s">
        <v>23034</v>
      </c>
      <c r="J17861" t="s">
        <v>5878</v>
      </c>
    </row>
    <row r="17862" spans="9:10" x14ac:dyDescent="0.3">
      <c r="I17862" t="s">
        <v>23035</v>
      </c>
      <c r="J17862" t="s">
        <v>5878</v>
      </c>
    </row>
    <row r="17863" spans="9:10" x14ac:dyDescent="0.3">
      <c r="I17863" t="s">
        <v>23036</v>
      </c>
      <c r="J17863" t="s">
        <v>5878</v>
      </c>
    </row>
    <row r="17864" spans="9:10" x14ac:dyDescent="0.3">
      <c r="I17864" t="s">
        <v>23037</v>
      </c>
      <c r="J17864" t="s">
        <v>5878</v>
      </c>
    </row>
    <row r="17865" spans="9:10" x14ac:dyDescent="0.3">
      <c r="I17865" t="s">
        <v>23038</v>
      </c>
      <c r="J17865" t="s">
        <v>5878</v>
      </c>
    </row>
    <row r="17866" spans="9:10" x14ac:dyDescent="0.3">
      <c r="I17866" t="s">
        <v>23039</v>
      </c>
      <c r="J17866" t="s">
        <v>5878</v>
      </c>
    </row>
    <row r="17867" spans="9:10" x14ac:dyDescent="0.3">
      <c r="I17867" t="s">
        <v>23040</v>
      </c>
      <c r="J17867" t="s">
        <v>5878</v>
      </c>
    </row>
    <row r="17868" spans="9:10" x14ac:dyDescent="0.3">
      <c r="I17868" t="s">
        <v>23041</v>
      </c>
      <c r="J17868" t="s">
        <v>5878</v>
      </c>
    </row>
    <row r="17869" spans="9:10" x14ac:dyDescent="0.3">
      <c r="I17869" t="s">
        <v>23042</v>
      </c>
      <c r="J17869" t="s">
        <v>5878</v>
      </c>
    </row>
    <row r="17870" spans="9:10" x14ac:dyDescent="0.3">
      <c r="I17870" t="s">
        <v>23043</v>
      </c>
      <c r="J17870" t="s">
        <v>5878</v>
      </c>
    </row>
    <row r="17871" spans="9:10" x14ac:dyDescent="0.3">
      <c r="I17871" t="s">
        <v>23044</v>
      </c>
      <c r="J17871" t="s">
        <v>5878</v>
      </c>
    </row>
    <row r="17872" spans="9:10" x14ac:dyDescent="0.3">
      <c r="I17872" t="s">
        <v>23045</v>
      </c>
      <c r="J17872" t="s">
        <v>5878</v>
      </c>
    </row>
    <row r="17873" spans="9:10" x14ac:dyDescent="0.3">
      <c r="I17873" t="s">
        <v>23046</v>
      </c>
      <c r="J17873" t="s">
        <v>5878</v>
      </c>
    </row>
    <row r="17874" spans="9:10" x14ac:dyDescent="0.3">
      <c r="I17874" t="s">
        <v>23047</v>
      </c>
      <c r="J17874" t="s">
        <v>5878</v>
      </c>
    </row>
    <row r="17875" spans="9:10" x14ac:dyDescent="0.3">
      <c r="I17875" t="s">
        <v>23048</v>
      </c>
      <c r="J17875" t="s">
        <v>5878</v>
      </c>
    </row>
    <row r="17876" spans="9:10" x14ac:dyDescent="0.3">
      <c r="I17876" t="s">
        <v>23049</v>
      </c>
      <c r="J17876" t="s">
        <v>5878</v>
      </c>
    </row>
    <row r="17877" spans="9:10" x14ac:dyDescent="0.3">
      <c r="I17877" t="s">
        <v>23050</v>
      </c>
      <c r="J17877" t="s">
        <v>5878</v>
      </c>
    </row>
    <row r="17878" spans="9:10" x14ac:dyDescent="0.3">
      <c r="I17878" t="s">
        <v>23051</v>
      </c>
      <c r="J17878" t="s">
        <v>5878</v>
      </c>
    </row>
    <row r="17879" spans="9:10" x14ac:dyDescent="0.3">
      <c r="I17879" t="s">
        <v>23052</v>
      </c>
      <c r="J17879" t="s">
        <v>5878</v>
      </c>
    </row>
    <row r="17880" spans="9:10" x14ac:dyDescent="0.3">
      <c r="I17880" t="s">
        <v>23053</v>
      </c>
      <c r="J17880" t="s">
        <v>5878</v>
      </c>
    </row>
    <row r="17881" spans="9:10" x14ac:dyDescent="0.3">
      <c r="I17881" t="s">
        <v>23054</v>
      </c>
      <c r="J17881" t="s">
        <v>5878</v>
      </c>
    </row>
    <row r="17882" spans="9:10" x14ac:dyDescent="0.3">
      <c r="I17882" t="s">
        <v>23055</v>
      </c>
      <c r="J17882" t="s">
        <v>5878</v>
      </c>
    </row>
    <row r="17883" spans="9:10" x14ac:dyDescent="0.3">
      <c r="I17883" t="s">
        <v>23056</v>
      </c>
      <c r="J17883" t="s">
        <v>5878</v>
      </c>
    </row>
    <row r="17884" spans="9:10" x14ac:dyDescent="0.3">
      <c r="I17884" t="s">
        <v>23057</v>
      </c>
      <c r="J17884" t="s">
        <v>5878</v>
      </c>
    </row>
    <row r="17885" spans="9:10" x14ac:dyDescent="0.3">
      <c r="I17885" t="s">
        <v>23058</v>
      </c>
      <c r="J17885" t="s">
        <v>5878</v>
      </c>
    </row>
    <row r="17886" spans="9:10" x14ac:dyDescent="0.3">
      <c r="I17886" t="s">
        <v>23059</v>
      </c>
      <c r="J17886" t="s">
        <v>5878</v>
      </c>
    </row>
    <row r="17887" spans="9:10" x14ac:dyDescent="0.3">
      <c r="I17887" t="s">
        <v>23060</v>
      </c>
      <c r="J17887" t="s">
        <v>5878</v>
      </c>
    </row>
    <row r="17888" spans="9:10" x14ac:dyDescent="0.3">
      <c r="I17888" t="s">
        <v>23061</v>
      </c>
      <c r="J17888" t="s">
        <v>5878</v>
      </c>
    </row>
    <row r="17889" spans="9:10" x14ac:dyDescent="0.3">
      <c r="I17889" t="s">
        <v>23062</v>
      </c>
      <c r="J17889" t="s">
        <v>5878</v>
      </c>
    </row>
    <row r="17890" spans="9:10" x14ac:dyDescent="0.3">
      <c r="I17890" t="s">
        <v>23063</v>
      </c>
      <c r="J17890" t="s">
        <v>5878</v>
      </c>
    </row>
    <row r="17891" spans="9:10" x14ac:dyDescent="0.3">
      <c r="I17891" t="s">
        <v>23064</v>
      </c>
      <c r="J17891" t="s">
        <v>5878</v>
      </c>
    </row>
    <row r="17892" spans="9:10" x14ac:dyDescent="0.3">
      <c r="I17892" t="s">
        <v>23065</v>
      </c>
      <c r="J17892" t="s">
        <v>5878</v>
      </c>
    </row>
    <row r="17893" spans="9:10" x14ac:dyDescent="0.3">
      <c r="I17893" t="s">
        <v>23066</v>
      </c>
      <c r="J17893" t="s">
        <v>5878</v>
      </c>
    </row>
    <row r="17894" spans="9:10" x14ac:dyDescent="0.3">
      <c r="I17894" t="s">
        <v>23067</v>
      </c>
      <c r="J17894" t="s">
        <v>5878</v>
      </c>
    </row>
    <row r="17895" spans="9:10" x14ac:dyDescent="0.3">
      <c r="I17895" t="s">
        <v>23068</v>
      </c>
      <c r="J17895" t="s">
        <v>5878</v>
      </c>
    </row>
    <row r="17896" spans="9:10" x14ac:dyDescent="0.3">
      <c r="I17896" t="s">
        <v>23069</v>
      </c>
      <c r="J17896" t="s">
        <v>5878</v>
      </c>
    </row>
    <row r="17897" spans="9:10" x14ac:dyDescent="0.3">
      <c r="I17897" t="s">
        <v>23070</v>
      </c>
      <c r="J17897" t="s">
        <v>5878</v>
      </c>
    </row>
    <row r="17898" spans="9:10" x14ac:dyDescent="0.3">
      <c r="I17898" t="s">
        <v>23071</v>
      </c>
      <c r="J17898" t="s">
        <v>5878</v>
      </c>
    </row>
    <row r="17899" spans="9:10" x14ac:dyDescent="0.3">
      <c r="I17899" t="s">
        <v>23072</v>
      </c>
      <c r="J17899" t="s">
        <v>5878</v>
      </c>
    </row>
    <row r="17900" spans="9:10" x14ac:dyDescent="0.3">
      <c r="I17900" t="s">
        <v>23073</v>
      </c>
      <c r="J17900" t="s">
        <v>5878</v>
      </c>
    </row>
    <row r="17901" spans="9:10" x14ac:dyDescent="0.3">
      <c r="I17901" t="s">
        <v>23074</v>
      </c>
      <c r="J17901" t="s">
        <v>5878</v>
      </c>
    </row>
    <row r="17902" spans="9:10" x14ac:dyDescent="0.3">
      <c r="I17902" t="s">
        <v>23075</v>
      </c>
      <c r="J17902" t="s">
        <v>5878</v>
      </c>
    </row>
    <row r="17903" spans="9:10" x14ac:dyDescent="0.3">
      <c r="I17903" t="s">
        <v>23076</v>
      </c>
      <c r="J17903" t="s">
        <v>5878</v>
      </c>
    </row>
    <row r="17904" spans="9:10" x14ac:dyDescent="0.3">
      <c r="I17904" t="s">
        <v>23077</v>
      </c>
      <c r="J17904" t="s">
        <v>5878</v>
      </c>
    </row>
    <row r="17905" spans="9:10" x14ac:dyDescent="0.3">
      <c r="I17905" t="s">
        <v>23078</v>
      </c>
      <c r="J17905" t="s">
        <v>5878</v>
      </c>
    </row>
    <row r="17906" spans="9:10" x14ac:dyDescent="0.3">
      <c r="I17906" t="s">
        <v>23079</v>
      </c>
      <c r="J17906" t="s">
        <v>5878</v>
      </c>
    </row>
    <row r="17907" spans="9:10" x14ac:dyDescent="0.3">
      <c r="I17907" t="s">
        <v>23080</v>
      </c>
      <c r="J17907" t="s">
        <v>5878</v>
      </c>
    </row>
    <row r="17908" spans="9:10" x14ac:dyDescent="0.3">
      <c r="I17908" t="s">
        <v>23081</v>
      </c>
      <c r="J17908" t="s">
        <v>5878</v>
      </c>
    </row>
    <row r="17909" spans="9:10" x14ac:dyDescent="0.3">
      <c r="I17909" t="s">
        <v>23082</v>
      </c>
      <c r="J17909" t="s">
        <v>5878</v>
      </c>
    </row>
    <row r="17910" spans="9:10" x14ac:dyDescent="0.3">
      <c r="I17910" t="s">
        <v>23083</v>
      </c>
      <c r="J17910" t="s">
        <v>5878</v>
      </c>
    </row>
    <row r="17911" spans="9:10" x14ac:dyDescent="0.3">
      <c r="I17911" t="s">
        <v>23084</v>
      </c>
      <c r="J17911" t="s">
        <v>5878</v>
      </c>
    </row>
    <row r="17912" spans="9:10" x14ac:dyDescent="0.3">
      <c r="I17912" t="s">
        <v>23085</v>
      </c>
      <c r="J17912" t="s">
        <v>5878</v>
      </c>
    </row>
    <row r="17913" spans="9:10" x14ac:dyDescent="0.3">
      <c r="I17913" t="s">
        <v>23086</v>
      </c>
      <c r="J17913" t="s">
        <v>5878</v>
      </c>
    </row>
    <row r="17914" spans="9:10" x14ac:dyDescent="0.3">
      <c r="I17914" t="s">
        <v>23087</v>
      </c>
      <c r="J17914" t="s">
        <v>5878</v>
      </c>
    </row>
    <row r="17915" spans="9:10" x14ac:dyDescent="0.3">
      <c r="I17915" t="s">
        <v>23088</v>
      </c>
      <c r="J17915" t="s">
        <v>5878</v>
      </c>
    </row>
    <row r="17916" spans="9:10" x14ac:dyDescent="0.3">
      <c r="I17916" t="s">
        <v>23089</v>
      </c>
      <c r="J17916" t="s">
        <v>5878</v>
      </c>
    </row>
    <row r="17917" spans="9:10" x14ac:dyDescent="0.3">
      <c r="I17917" t="s">
        <v>23090</v>
      </c>
      <c r="J17917" t="s">
        <v>5878</v>
      </c>
    </row>
    <row r="17918" spans="9:10" x14ac:dyDescent="0.3">
      <c r="I17918" t="s">
        <v>23091</v>
      </c>
      <c r="J17918" t="s">
        <v>5878</v>
      </c>
    </row>
    <row r="17919" spans="9:10" x14ac:dyDescent="0.3">
      <c r="I17919" t="s">
        <v>23092</v>
      </c>
      <c r="J17919" t="s">
        <v>5878</v>
      </c>
    </row>
    <row r="17920" spans="9:10" x14ac:dyDescent="0.3">
      <c r="I17920" t="s">
        <v>23093</v>
      </c>
      <c r="J17920" t="s">
        <v>5878</v>
      </c>
    </row>
    <row r="17921" spans="9:10" x14ac:dyDescent="0.3">
      <c r="I17921" t="s">
        <v>23094</v>
      </c>
      <c r="J17921" t="s">
        <v>5878</v>
      </c>
    </row>
    <row r="17922" spans="9:10" x14ac:dyDescent="0.3">
      <c r="I17922" t="s">
        <v>23095</v>
      </c>
      <c r="J17922" t="s">
        <v>5878</v>
      </c>
    </row>
    <row r="17923" spans="9:10" x14ac:dyDescent="0.3">
      <c r="I17923" t="s">
        <v>23096</v>
      </c>
      <c r="J17923" t="s">
        <v>5878</v>
      </c>
    </row>
    <row r="17924" spans="9:10" x14ac:dyDescent="0.3">
      <c r="I17924" t="s">
        <v>23097</v>
      </c>
      <c r="J17924" t="s">
        <v>5878</v>
      </c>
    </row>
    <row r="17925" spans="9:10" x14ac:dyDescent="0.3">
      <c r="I17925" t="s">
        <v>23098</v>
      </c>
      <c r="J17925" t="s">
        <v>5878</v>
      </c>
    </row>
    <row r="17926" spans="9:10" x14ac:dyDescent="0.3">
      <c r="I17926" t="s">
        <v>23099</v>
      </c>
      <c r="J17926" t="s">
        <v>5878</v>
      </c>
    </row>
    <row r="17927" spans="9:10" x14ac:dyDescent="0.3">
      <c r="I17927" t="s">
        <v>23100</v>
      </c>
      <c r="J17927" t="s">
        <v>5878</v>
      </c>
    </row>
    <row r="17928" spans="9:10" x14ac:dyDescent="0.3">
      <c r="I17928" t="s">
        <v>23101</v>
      </c>
      <c r="J17928" t="s">
        <v>5878</v>
      </c>
    </row>
    <row r="17929" spans="9:10" x14ac:dyDescent="0.3">
      <c r="I17929" t="s">
        <v>23102</v>
      </c>
      <c r="J17929" t="s">
        <v>5878</v>
      </c>
    </row>
    <row r="17930" spans="9:10" x14ac:dyDescent="0.3">
      <c r="I17930" t="s">
        <v>23103</v>
      </c>
      <c r="J17930" t="s">
        <v>5878</v>
      </c>
    </row>
    <row r="17931" spans="9:10" x14ac:dyDescent="0.3">
      <c r="I17931" t="s">
        <v>23104</v>
      </c>
      <c r="J17931" t="s">
        <v>5878</v>
      </c>
    </row>
    <row r="17932" spans="9:10" x14ac:dyDescent="0.3">
      <c r="I17932" t="s">
        <v>23105</v>
      </c>
      <c r="J17932" t="s">
        <v>5878</v>
      </c>
    </row>
    <row r="17933" spans="9:10" x14ac:dyDescent="0.3">
      <c r="I17933" t="s">
        <v>23106</v>
      </c>
      <c r="J17933" t="s">
        <v>5878</v>
      </c>
    </row>
    <row r="17934" spans="9:10" x14ac:dyDescent="0.3">
      <c r="I17934" t="s">
        <v>23107</v>
      </c>
      <c r="J17934" t="s">
        <v>5878</v>
      </c>
    </row>
    <row r="17935" spans="9:10" x14ac:dyDescent="0.3">
      <c r="I17935" t="s">
        <v>23108</v>
      </c>
      <c r="J17935" t="s">
        <v>5878</v>
      </c>
    </row>
    <row r="17936" spans="9:10" x14ac:dyDescent="0.3">
      <c r="I17936" t="s">
        <v>23109</v>
      </c>
      <c r="J17936" t="s">
        <v>5878</v>
      </c>
    </row>
    <row r="17937" spans="9:10" x14ac:dyDescent="0.3">
      <c r="I17937" t="s">
        <v>23110</v>
      </c>
      <c r="J17937" t="s">
        <v>5878</v>
      </c>
    </row>
    <row r="17938" spans="9:10" x14ac:dyDescent="0.3">
      <c r="I17938" t="s">
        <v>23111</v>
      </c>
      <c r="J17938" t="s">
        <v>5878</v>
      </c>
    </row>
    <row r="17939" spans="9:10" x14ac:dyDescent="0.3">
      <c r="I17939" t="s">
        <v>22223</v>
      </c>
      <c r="J17939" t="s">
        <v>5878</v>
      </c>
    </row>
    <row r="17940" spans="9:10" x14ac:dyDescent="0.3">
      <c r="I17940" t="s">
        <v>22928</v>
      </c>
      <c r="J17940" t="s">
        <v>5878</v>
      </c>
    </row>
    <row r="17941" spans="9:10" x14ac:dyDescent="0.3">
      <c r="I17941" t="s">
        <v>23112</v>
      </c>
      <c r="J17941" t="s">
        <v>5878</v>
      </c>
    </row>
    <row r="17942" spans="9:10" x14ac:dyDescent="0.3">
      <c r="I17942" t="s">
        <v>23113</v>
      </c>
      <c r="J17942" t="s">
        <v>5878</v>
      </c>
    </row>
    <row r="17943" spans="9:10" x14ac:dyDescent="0.3">
      <c r="I17943" t="s">
        <v>23114</v>
      </c>
      <c r="J17943" t="s">
        <v>5878</v>
      </c>
    </row>
    <row r="17944" spans="9:10" x14ac:dyDescent="0.3">
      <c r="I17944" t="s">
        <v>23115</v>
      </c>
      <c r="J17944" t="s">
        <v>5878</v>
      </c>
    </row>
    <row r="17945" spans="9:10" x14ac:dyDescent="0.3">
      <c r="I17945" t="s">
        <v>23116</v>
      </c>
      <c r="J17945" t="s">
        <v>5878</v>
      </c>
    </row>
    <row r="17946" spans="9:10" x14ac:dyDescent="0.3">
      <c r="I17946" t="s">
        <v>23117</v>
      </c>
      <c r="J17946" t="s">
        <v>5878</v>
      </c>
    </row>
    <row r="17947" spans="9:10" x14ac:dyDescent="0.3">
      <c r="I17947" t="s">
        <v>23118</v>
      </c>
      <c r="J17947" t="s">
        <v>5878</v>
      </c>
    </row>
    <row r="17948" spans="9:10" x14ac:dyDescent="0.3">
      <c r="I17948" t="s">
        <v>23119</v>
      </c>
      <c r="J17948" t="s">
        <v>5878</v>
      </c>
    </row>
    <row r="17949" spans="9:10" x14ac:dyDescent="0.3">
      <c r="I17949" t="s">
        <v>23120</v>
      </c>
      <c r="J17949" t="s">
        <v>5878</v>
      </c>
    </row>
    <row r="17950" spans="9:10" x14ac:dyDescent="0.3">
      <c r="I17950" t="s">
        <v>23121</v>
      </c>
      <c r="J17950" t="s">
        <v>5878</v>
      </c>
    </row>
    <row r="17951" spans="9:10" x14ac:dyDescent="0.3">
      <c r="I17951" t="s">
        <v>23122</v>
      </c>
      <c r="J17951" t="s">
        <v>5878</v>
      </c>
    </row>
    <row r="17952" spans="9:10" x14ac:dyDescent="0.3">
      <c r="I17952" t="s">
        <v>23123</v>
      </c>
      <c r="J17952" t="s">
        <v>5878</v>
      </c>
    </row>
    <row r="17953" spans="9:10" x14ac:dyDescent="0.3">
      <c r="I17953" t="s">
        <v>23124</v>
      </c>
      <c r="J17953" t="s">
        <v>5878</v>
      </c>
    </row>
    <row r="17954" spans="9:10" x14ac:dyDescent="0.3">
      <c r="I17954" t="s">
        <v>23125</v>
      </c>
      <c r="J17954" t="s">
        <v>5878</v>
      </c>
    </row>
    <row r="17955" spans="9:10" x14ac:dyDescent="0.3">
      <c r="I17955" t="s">
        <v>23126</v>
      </c>
      <c r="J17955" t="s">
        <v>5878</v>
      </c>
    </row>
    <row r="17956" spans="9:10" x14ac:dyDescent="0.3">
      <c r="I17956" t="s">
        <v>23127</v>
      </c>
      <c r="J17956" t="s">
        <v>5878</v>
      </c>
    </row>
    <row r="17957" spans="9:10" x14ac:dyDescent="0.3">
      <c r="I17957" t="s">
        <v>23128</v>
      </c>
      <c r="J17957" t="s">
        <v>5878</v>
      </c>
    </row>
    <row r="17958" spans="9:10" x14ac:dyDescent="0.3">
      <c r="I17958" t="s">
        <v>23129</v>
      </c>
      <c r="J17958" t="s">
        <v>5878</v>
      </c>
    </row>
    <row r="17959" spans="9:10" x14ac:dyDescent="0.3">
      <c r="I17959" t="s">
        <v>23130</v>
      </c>
      <c r="J17959" t="s">
        <v>5878</v>
      </c>
    </row>
    <row r="17960" spans="9:10" x14ac:dyDescent="0.3">
      <c r="I17960" t="s">
        <v>23131</v>
      </c>
      <c r="J17960" t="s">
        <v>5878</v>
      </c>
    </row>
    <row r="17961" spans="9:10" x14ac:dyDescent="0.3">
      <c r="I17961" t="s">
        <v>23132</v>
      </c>
      <c r="J17961" t="s">
        <v>5878</v>
      </c>
    </row>
    <row r="17962" spans="9:10" x14ac:dyDescent="0.3">
      <c r="I17962" t="s">
        <v>22056</v>
      </c>
      <c r="J17962" t="s">
        <v>5878</v>
      </c>
    </row>
    <row r="17963" spans="9:10" x14ac:dyDescent="0.3">
      <c r="I17963" t="s">
        <v>22056</v>
      </c>
      <c r="J17963" t="s">
        <v>5878</v>
      </c>
    </row>
    <row r="17964" spans="9:10" x14ac:dyDescent="0.3">
      <c r="I17964" t="s">
        <v>23133</v>
      </c>
      <c r="J17964" t="s">
        <v>5878</v>
      </c>
    </row>
    <row r="17965" spans="9:10" x14ac:dyDescent="0.3">
      <c r="I17965" t="s">
        <v>23134</v>
      </c>
      <c r="J17965" t="s">
        <v>5878</v>
      </c>
    </row>
    <row r="17966" spans="9:10" x14ac:dyDescent="0.3">
      <c r="I17966" t="s">
        <v>23135</v>
      </c>
      <c r="J17966" t="s">
        <v>5878</v>
      </c>
    </row>
    <row r="17967" spans="9:10" x14ac:dyDescent="0.3">
      <c r="I17967" t="s">
        <v>23136</v>
      </c>
      <c r="J17967" t="s">
        <v>5878</v>
      </c>
    </row>
    <row r="17968" spans="9:10" x14ac:dyDescent="0.3">
      <c r="I17968" t="s">
        <v>23137</v>
      </c>
      <c r="J17968" t="s">
        <v>5878</v>
      </c>
    </row>
    <row r="17969" spans="9:10" x14ac:dyDescent="0.3">
      <c r="I17969" t="s">
        <v>23138</v>
      </c>
      <c r="J17969" t="s">
        <v>5878</v>
      </c>
    </row>
    <row r="17970" spans="9:10" x14ac:dyDescent="0.3">
      <c r="I17970" t="s">
        <v>23139</v>
      </c>
      <c r="J17970" t="s">
        <v>5878</v>
      </c>
    </row>
    <row r="17971" spans="9:10" x14ac:dyDescent="0.3">
      <c r="I17971" t="s">
        <v>23140</v>
      </c>
      <c r="J17971" t="s">
        <v>5878</v>
      </c>
    </row>
    <row r="17972" spans="9:10" x14ac:dyDescent="0.3">
      <c r="I17972" t="s">
        <v>22056</v>
      </c>
      <c r="J17972" t="s">
        <v>5878</v>
      </c>
    </row>
    <row r="17973" spans="9:10" x14ac:dyDescent="0.3">
      <c r="I17973" t="s">
        <v>23141</v>
      </c>
      <c r="J17973" t="s">
        <v>5878</v>
      </c>
    </row>
    <row r="17974" spans="9:10" x14ac:dyDescent="0.3">
      <c r="I17974" t="s">
        <v>23142</v>
      </c>
      <c r="J17974" t="s">
        <v>5878</v>
      </c>
    </row>
    <row r="17975" spans="9:10" x14ac:dyDescent="0.3">
      <c r="I17975" t="s">
        <v>23143</v>
      </c>
      <c r="J17975" t="s">
        <v>5878</v>
      </c>
    </row>
    <row r="17976" spans="9:10" x14ac:dyDescent="0.3">
      <c r="I17976" t="s">
        <v>23144</v>
      </c>
      <c r="J17976" t="s">
        <v>5878</v>
      </c>
    </row>
    <row r="17977" spans="9:10" x14ac:dyDescent="0.3">
      <c r="I17977" t="s">
        <v>23145</v>
      </c>
      <c r="J17977" t="s">
        <v>5878</v>
      </c>
    </row>
    <row r="17978" spans="9:10" x14ac:dyDescent="0.3">
      <c r="I17978" t="s">
        <v>23146</v>
      </c>
      <c r="J17978" t="s">
        <v>5878</v>
      </c>
    </row>
    <row r="17979" spans="9:10" x14ac:dyDescent="0.3">
      <c r="I17979" t="s">
        <v>23147</v>
      </c>
      <c r="J17979" t="s">
        <v>5878</v>
      </c>
    </row>
    <row r="17980" spans="9:10" x14ac:dyDescent="0.3">
      <c r="I17980" t="s">
        <v>23148</v>
      </c>
      <c r="J17980" t="s">
        <v>5878</v>
      </c>
    </row>
    <row r="17981" spans="9:10" x14ac:dyDescent="0.3">
      <c r="I17981" t="s">
        <v>23149</v>
      </c>
      <c r="J17981" t="s">
        <v>5878</v>
      </c>
    </row>
    <row r="17982" spans="9:10" x14ac:dyDescent="0.3">
      <c r="I17982" t="s">
        <v>23150</v>
      </c>
      <c r="J17982" t="s">
        <v>5878</v>
      </c>
    </row>
    <row r="17983" spans="9:10" x14ac:dyDescent="0.3">
      <c r="I17983" t="s">
        <v>23151</v>
      </c>
      <c r="J17983" t="s">
        <v>5878</v>
      </c>
    </row>
    <row r="17984" spans="9:10" x14ac:dyDescent="0.3">
      <c r="I17984" t="s">
        <v>23152</v>
      </c>
      <c r="J17984" t="s">
        <v>5878</v>
      </c>
    </row>
    <row r="17985" spans="9:10" x14ac:dyDescent="0.3">
      <c r="I17985" t="s">
        <v>23153</v>
      </c>
      <c r="J17985" t="s">
        <v>5878</v>
      </c>
    </row>
    <row r="17986" spans="9:10" x14ac:dyDescent="0.3">
      <c r="I17986" t="s">
        <v>23154</v>
      </c>
      <c r="J17986" t="s">
        <v>5878</v>
      </c>
    </row>
    <row r="17987" spans="9:10" x14ac:dyDescent="0.3">
      <c r="I17987" t="s">
        <v>23155</v>
      </c>
      <c r="J17987" t="s">
        <v>5878</v>
      </c>
    </row>
    <row r="17988" spans="9:10" x14ac:dyDescent="0.3">
      <c r="I17988" t="s">
        <v>23156</v>
      </c>
      <c r="J17988" t="s">
        <v>5878</v>
      </c>
    </row>
    <row r="17989" spans="9:10" x14ac:dyDescent="0.3">
      <c r="I17989" t="s">
        <v>23157</v>
      </c>
      <c r="J17989" t="s">
        <v>5878</v>
      </c>
    </row>
    <row r="17990" spans="9:10" x14ac:dyDescent="0.3">
      <c r="I17990" t="s">
        <v>23158</v>
      </c>
      <c r="J17990" t="s">
        <v>5878</v>
      </c>
    </row>
    <row r="17991" spans="9:10" x14ac:dyDescent="0.3">
      <c r="I17991" t="s">
        <v>23159</v>
      </c>
      <c r="J17991" t="s">
        <v>5878</v>
      </c>
    </row>
    <row r="17992" spans="9:10" x14ac:dyDescent="0.3">
      <c r="I17992" t="s">
        <v>23160</v>
      </c>
      <c r="J17992" t="s">
        <v>5878</v>
      </c>
    </row>
    <row r="17993" spans="9:10" x14ac:dyDescent="0.3">
      <c r="I17993" t="s">
        <v>23161</v>
      </c>
      <c r="J17993" t="s">
        <v>5878</v>
      </c>
    </row>
    <row r="17994" spans="9:10" x14ac:dyDescent="0.3">
      <c r="I17994" t="s">
        <v>23162</v>
      </c>
      <c r="J17994" t="s">
        <v>5878</v>
      </c>
    </row>
    <row r="17995" spans="9:10" x14ac:dyDescent="0.3">
      <c r="I17995" t="s">
        <v>23163</v>
      </c>
      <c r="J17995" t="s">
        <v>5878</v>
      </c>
    </row>
    <row r="17996" spans="9:10" x14ac:dyDescent="0.3">
      <c r="I17996" t="s">
        <v>23164</v>
      </c>
      <c r="J17996" t="s">
        <v>5878</v>
      </c>
    </row>
    <row r="17997" spans="9:10" x14ac:dyDescent="0.3">
      <c r="I17997" t="s">
        <v>23165</v>
      </c>
      <c r="J17997" t="s">
        <v>5878</v>
      </c>
    </row>
    <row r="17998" spans="9:10" x14ac:dyDescent="0.3">
      <c r="I17998" t="s">
        <v>23166</v>
      </c>
      <c r="J17998" t="s">
        <v>5878</v>
      </c>
    </row>
    <row r="17999" spans="9:10" x14ac:dyDescent="0.3">
      <c r="I17999" t="s">
        <v>23167</v>
      </c>
      <c r="J17999" t="s">
        <v>5878</v>
      </c>
    </row>
    <row r="18000" spans="9:10" x14ac:dyDescent="0.3">
      <c r="I18000" t="s">
        <v>23168</v>
      </c>
      <c r="J18000" t="s">
        <v>5878</v>
      </c>
    </row>
    <row r="18001" spans="9:10" x14ac:dyDescent="0.3">
      <c r="I18001" t="s">
        <v>23169</v>
      </c>
      <c r="J18001" t="s">
        <v>5878</v>
      </c>
    </row>
    <row r="18002" spans="9:10" x14ac:dyDescent="0.3">
      <c r="I18002" t="s">
        <v>23170</v>
      </c>
      <c r="J18002" t="s">
        <v>5878</v>
      </c>
    </row>
    <row r="18003" spans="9:10" x14ac:dyDescent="0.3">
      <c r="I18003" t="s">
        <v>23171</v>
      </c>
      <c r="J18003" t="s">
        <v>5878</v>
      </c>
    </row>
    <row r="18004" spans="9:10" x14ac:dyDescent="0.3">
      <c r="I18004" t="s">
        <v>23172</v>
      </c>
      <c r="J18004" t="s">
        <v>5878</v>
      </c>
    </row>
    <row r="18005" spans="9:10" x14ac:dyDescent="0.3">
      <c r="I18005" t="s">
        <v>23173</v>
      </c>
      <c r="J18005" t="s">
        <v>5878</v>
      </c>
    </row>
    <row r="18006" spans="9:10" x14ac:dyDescent="0.3">
      <c r="I18006" t="s">
        <v>23174</v>
      </c>
      <c r="J18006" t="s">
        <v>5878</v>
      </c>
    </row>
    <row r="18007" spans="9:10" x14ac:dyDescent="0.3">
      <c r="I18007" t="s">
        <v>23175</v>
      </c>
      <c r="J18007" t="s">
        <v>5878</v>
      </c>
    </row>
    <row r="18008" spans="9:10" x14ac:dyDescent="0.3">
      <c r="I18008" t="s">
        <v>23176</v>
      </c>
      <c r="J18008" t="s">
        <v>5878</v>
      </c>
    </row>
    <row r="18009" spans="9:10" x14ac:dyDescent="0.3">
      <c r="I18009" t="s">
        <v>23177</v>
      </c>
      <c r="J18009" t="s">
        <v>5878</v>
      </c>
    </row>
    <row r="18010" spans="9:10" x14ac:dyDescent="0.3">
      <c r="I18010" t="s">
        <v>23178</v>
      </c>
      <c r="J18010" t="s">
        <v>5878</v>
      </c>
    </row>
    <row r="18011" spans="9:10" x14ac:dyDescent="0.3">
      <c r="I18011" t="s">
        <v>23179</v>
      </c>
      <c r="J18011" t="s">
        <v>5878</v>
      </c>
    </row>
    <row r="18012" spans="9:10" x14ac:dyDescent="0.3">
      <c r="I18012" t="s">
        <v>23180</v>
      </c>
      <c r="J18012" t="s">
        <v>5878</v>
      </c>
    </row>
    <row r="18013" spans="9:10" x14ac:dyDescent="0.3">
      <c r="I18013" t="s">
        <v>23181</v>
      </c>
      <c r="J18013" t="s">
        <v>5878</v>
      </c>
    </row>
    <row r="18014" spans="9:10" x14ac:dyDescent="0.3">
      <c r="I18014" t="s">
        <v>23182</v>
      </c>
      <c r="J18014" t="s">
        <v>5878</v>
      </c>
    </row>
    <row r="18015" spans="9:10" x14ac:dyDescent="0.3">
      <c r="I18015" t="s">
        <v>23183</v>
      </c>
      <c r="J18015" t="s">
        <v>5878</v>
      </c>
    </row>
    <row r="18016" spans="9:10" x14ac:dyDescent="0.3">
      <c r="I18016" t="s">
        <v>23184</v>
      </c>
      <c r="J18016" t="s">
        <v>5878</v>
      </c>
    </row>
    <row r="18017" spans="9:10" x14ac:dyDescent="0.3">
      <c r="I18017" t="s">
        <v>23185</v>
      </c>
      <c r="J18017" t="s">
        <v>5878</v>
      </c>
    </row>
    <row r="18018" spans="9:10" x14ac:dyDescent="0.3">
      <c r="I18018" t="s">
        <v>23186</v>
      </c>
      <c r="J18018" t="s">
        <v>5878</v>
      </c>
    </row>
    <row r="18019" spans="9:10" x14ac:dyDescent="0.3">
      <c r="I18019" t="s">
        <v>23187</v>
      </c>
      <c r="J18019" t="s">
        <v>5878</v>
      </c>
    </row>
    <row r="18020" spans="9:10" x14ac:dyDescent="0.3">
      <c r="I18020" t="s">
        <v>23188</v>
      </c>
      <c r="J18020" t="s">
        <v>5878</v>
      </c>
    </row>
    <row r="18021" spans="9:10" x14ac:dyDescent="0.3">
      <c r="I18021" t="s">
        <v>23189</v>
      </c>
      <c r="J18021" t="s">
        <v>5878</v>
      </c>
    </row>
    <row r="18022" spans="9:10" x14ac:dyDescent="0.3">
      <c r="I18022" t="s">
        <v>23190</v>
      </c>
      <c r="J18022" t="s">
        <v>5878</v>
      </c>
    </row>
    <row r="18023" spans="9:10" x14ac:dyDescent="0.3">
      <c r="I18023" t="s">
        <v>23191</v>
      </c>
      <c r="J18023" t="s">
        <v>5878</v>
      </c>
    </row>
    <row r="18024" spans="9:10" x14ac:dyDescent="0.3">
      <c r="I18024" t="s">
        <v>23192</v>
      </c>
      <c r="J18024" t="s">
        <v>5878</v>
      </c>
    </row>
    <row r="18025" spans="9:10" x14ac:dyDescent="0.3">
      <c r="I18025" t="s">
        <v>23193</v>
      </c>
      <c r="J18025" t="s">
        <v>5878</v>
      </c>
    </row>
    <row r="18026" spans="9:10" x14ac:dyDescent="0.3">
      <c r="I18026" t="s">
        <v>23194</v>
      </c>
      <c r="J18026" t="s">
        <v>5878</v>
      </c>
    </row>
    <row r="18027" spans="9:10" x14ac:dyDescent="0.3">
      <c r="I18027" t="s">
        <v>23195</v>
      </c>
      <c r="J18027" t="s">
        <v>5878</v>
      </c>
    </row>
    <row r="18028" spans="9:10" x14ac:dyDescent="0.3">
      <c r="I18028" t="s">
        <v>23196</v>
      </c>
      <c r="J18028" t="s">
        <v>5878</v>
      </c>
    </row>
    <row r="18029" spans="9:10" x14ac:dyDescent="0.3">
      <c r="I18029" t="s">
        <v>23197</v>
      </c>
      <c r="J18029" t="s">
        <v>5878</v>
      </c>
    </row>
    <row r="18030" spans="9:10" x14ac:dyDescent="0.3">
      <c r="I18030" t="s">
        <v>23198</v>
      </c>
      <c r="J18030" t="s">
        <v>5878</v>
      </c>
    </row>
    <row r="18031" spans="9:10" x14ac:dyDescent="0.3">
      <c r="I18031" t="s">
        <v>23199</v>
      </c>
      <c r="J18031" t="s">
        <v>5878</v>
      </c>
    </row>
    <row r="18032" spans="9:10" x14ac:dyDescent="0.3">
      <c r="I18032" t="s">
        <v>23200</v>
      </c>
      <c r="J18032" t="s">
        <v>5878</v>
      </c>
    </row>
    <row r="18033" spans="9:10" x14ac:dyDescent="0.3">
      <c r="I18033" t="s">
        <v>23201</v>
      </c>
      <c r="J18033" t="s">
        <v>5878</v>
      </c>
    </row>
    <row r="18034" spans="9:10" x14ac:dyDescent="0.3">
      <c r="I18034" t="s">
        <v>23202</v>
      </c>
      <c r="J18034" t="s">
        <v>5878</v>
      </c>
    </row>
    <row r="18035" spans="9:10" x14ac:dyDescent="0.3">
      <c r="I18035" t="s">
        <v>23203</v>
      </c>
      <c r="J18035" t="s">
        <v>5878</v>
      </c>
    </row>
    <row r="18036" spans="9:10" x14ac:dyDescent="0.3">
      <c r="I18036" t="s">
        <v>23204</v>
      </c>
      <c r="J18036" t="s">
        <v>5878</v>
      </c>
    </row>
    <row r="18037" spans="9:10" x14ac:dyDescent="0.3">
      <c r="I18037" t="s">
        <v>23205</v>
      </c>
      <c r="J18037" t="s">
        <v>5878</v>
      </c>
    </row>
    <row r="18038" spans="9:10" x14ac:dyDescent="0.3">
      <c r="I18038" t="s">
        <v>23206</v>
      </c>
      <c r="J18038" t="s">
        <v>5878</v>
      </c>
    </row>
    <row r="18039" spans="9:10" x14ac:dyDescent="0.3">
      <c r="I18039" t="s">
        <v>23207</v>
      </c>
      <c r="J18039" t="s">
        <v>5878</v>
      </c>
    </row>
    <row r="18040" spans="9:10" x14ac:dyDescent="0.3">
      <c r="I18040" t="s">
        <v>23208</v>
      </c>
      <c r="J18040" t="s">
        <v>5878</v>
      </c>
    </row>
    <row r="18041" spans="9:10" x14ac:dyDescent="0.3">
      <c r="I18041" t="s">
        <v>23209</v>
      </c>
      <c r="J18041" t="s">
        <v>5878</v>
      </c>
    </row>
    <row r="18042" spans="9:10" x14ac:dyDescent="0.3">
      <c r="I18042" t="s">
        <v>23210</v>
      </c>
      <c r="J18042" t="s">
        <v>5878</v>
      </c>
    </row>
    <row r="18043" spans="9:10" x14ac:dyDescent="0.3">
      <c r="I18043" t="s">
        <v>23211</v>
      </c>
      <c r="J18043" t="s">
        <v>5878</v>
      </c>
    </row>
    <row r="18044" spans="9:10" x14ac:dyDescent="0.3">
      <c r="I18044" t="s">
        <v>23212</v>
      </c>
      <c r="J18044" t="s">
        <v>5878</v>
      </c>
    </row>
    <row r="18045" spans="9:10" x14ac:dyDescent="0.3">
      <c r="I18045" t="s">
        <v>23213</v>
      </c>
      <c r="J18045" t="s">
        <v>5878</v>
      </c>
    </row>
    <row r="18046" spans="9:10" x14ac:dyDescent="0.3">
      <c r="I18046" t="s">
        <v>23214</v>
      </c>
      <c r="J18046" t="s">
        <v>5878</v>
      </c>
    </row>
    <row r="18047" spans="9:10" x14ac:dyDescent="0.3">
      <c r="I18047" t="s">
        <v>23215</v>
      </c>
      <c r="J18047" t="s">
        <v>5878</v>
      </c>
    </row>
    <row r="18048" spans="9:10" x14ac:dyDescent="0.3">
      <c r="I18048" t="s">
        <v>23216</v>
      </c>
      <c r="J18048" t="s">
        <v>5878</v>
      </c>
    </row>
    <row r="18049" spans="9:10" x14ac:dyDescent="0.3">
      <c r="I18049" t="s">
        <v>23217</v>
      </c>
      <c r="J18049" t="s">
        <v>5878</v>
      </c>
    </row>
    <row r="18050" spans="9:10" x14ac:dyDescent="0.3">
      <c r="I18050" t="s">
        <v>23218</v>
      </c>
      <c r="J18050" t="s">
        <v>5878</v>
      </c>
    </row>
    <row r="18051" spans="9:10" x14ac:dyDescent="0.3">
      <c r="I18051" t="s">
        <v>23219</v>
      </c>
      <c r="J18051" t="s">
        <v>5878</v>
      </c>
    </row>
    <row r="18052" spans="9:10" x14ac:dyDescent="0.3">
      <c r="I18052" t="s">
        <v>23220</v>
      </c>
      <c r="J18052" t="s">
        <v>5878</v>
      </c>
    </row>
    <row r="18053" spans="9:10" x14ac:dyDescent="0.3">
      <c r="I18053" t="s">
        <v>23221</v>
      </c>
      <c r="J18053" t="s">
        <v>5878</v>
      </c>
    </row>
    <row r="18054" spans="9:10" x14ac:dyDescent="0.3">
      <c r="I18054" t="s">
        <v>23222</v>
      </c>
      <c r="J18054" t="s">
        <v>5878</v>
      </c>
    </row>
    <row r="18055" spans="9:10" x14ac:dyDescent="0.3">
      <c r="I18055" t="s">
        <v>23223</v>
      </c>
      <c r="J18055" t="s">
        <v>5878</v>
      </c>
    </row>
    <row r="18056" spans="9:10" x14ac:dyDescent="0.3">
      <c r="I18056" t="s">
        <v>23224</v>
      </c>
      <c r="J18056" t="s">
        <v>5878</v>
      </c>
    </row>
    <row r="18057" spans="9:10" x14ac:dyDescent="0.3">
      <c r="I18057" t="s">
        <v>23225</v>
      </c>
      <c r="J18057" t="s">
        <v>5878</v>
      </c>
    </row>
    <row r="18058" spans="9:10" x14ac:dyDescent="0.3">
      <c r="I18058" t="s">
        <v>23226</v>
      </c>
      <c r="J18058" t="s">
        <v>5878</v>
      </c>
    </row>
    <row r="18059" spans="9:10" x14ac:dyDescent="0.3">
      <c r="I18059" t="s">
        <v>23227</v>
      </c>
      <c r="J18059" t="s">
        <v>5878</v>
      </c>
    </row>
    <row r="18060" spans="9:10" x14ac:dyDescent="0.3">
      <c r="I18060" t="s">
        <v>23228</v>
      </c>
      <c r="J18060" t="s">
        <v>5878</v>
      </c>
    </row>
    <row r="18061" spans="9:10" x14ac:dyDescent="0.3">
      <c r="I18061" t="s">
        <v>23229</v>
      </c>
      <c r="J18061" t="s">
        <v>5878</v>
      </c>
    </row>
    <row r="18062" spans="9:10" x14ac:dyDescent="0.3">
      <c r="I18062" t="s">
        <v>23230</v>
      </c>
      <c r="J18062" t="s">
        <v>5878</v>
      </c>
    </row>
    <row r="18063" spans="9:10" x14ac:dyDescent="0.3">
      <c r="I18063" t="s">
        <v>23231</v>
      </c>
      <c r="J18063" t="s">
        <v>5878</v>
      </c>
    </row>
    <row r="18064" spans="9:10" x14ac:dyDescent="0.3">
      <c r="I18064" t="s">
        <v>23232</v>
      </c>
      <c r="J18064" t="s">
        <v>5878</v>
      </c>
    </row>
    <row r="18065" spans="9:10" x14ac:dyDescent="0.3">
      <c r="I18065" t="s">
        <v>23233</v>
      </c>
      <c r="J18065" t="s">
        <v>5878</v>
      </c>
    </row>
    <row r="18066" spans="9:10" x14ac:dyDescent="0.3">
      <c r="I18066" t="s">
        <v>23234</v>
      </c>
      <c r="J18066" t="s">
        <v>5878</v>
      </c>
    </row>
    <row r="18067" spans="9:10" x14ac:dyDescent="0.3">
      <c r="I18067" t="s">
        <v>23235</v>
      </c>
      <c r="J18067" t="s">
        <v>5878</v>
      </c>
    </row>
    <row r="18068" spans="9:10" x14ac:dyDescent="0.3">
      <c r="I18068" t="s">
        <v>23236</v>
      </c>
      <c r="J18068" t="s">
        <v>5878</v>
      </c>
    </row>
    <row r="18069" spans="9:10" x14ac:dyDescent="0.3">
      <c r="I18069" t="s">
        <v>23237</v>
      </c>
      <c r="J18069" t="s">
        <v>5878</v>
      </c>
    </row>
    <row r="18070" spans="9:10" x14ac:dyDescent="0.3">
      <c r="I18070" t="s">
        <v>23238</v>
      </c>
      <c r="J18070" t="s">
        <v>5878</v>
      </c>
    </row>
    <row r="18071" spans="9:10" x14ac:dyDescent="0.3">
      <c r="I18071" t="s">
        <v>23239</v>
      </c>
      <c r="J18071" t="s">
        <v>5878</v>
      </c>
    </row>
    <row r="18072" spans="9:10" x14ac:dyDescent="0.3">
      <c r="I18072" t="s">
        <v>23240</v>
      </c>
      <c r="J18072" t="s">
        <v>5878</v>
      </c>
    </row>
    <row r="18073" spans="9:10" x14ac:dyDescent="0.3">
      <c r="I18073" t="s">
        <v>23241</v>
      </c>
      <c r="J18073" t="s">
        <v>5878</v>
      </c>
    </row>
    <row r="18074" spans="9:10" x14ac:dyDescent="0.3">
      <c r="I18074" t="s">
        <v>23242</v>
      </c>
      <c r="J18074" t="s">
        <v>5878</v>
      </c>
    </row>
    <row r="18075" spans="9:10" x14ac:dyDescent="0.3">
      <c r="I18075" t="s">
        <v>23243</v>
      </c>
      <c r="J18075" t="s">
        <v>5878</v>
      </c>
    </row>
    <row r="18076" spans="9:10" x14ac:dyDescent="0.3">
      <c r="I18076" t="s">
        <v>23244</v>
      </c>
      <c r="J18076" t="s">
        <v>5878</v>
      </c>
    </row>
    <row r="18077" spans="9:10" x14ac:dyDescent="0.3">
      <c r="I18077" t="s">
        <v>23245</v>
      </c>
      <c r="J18077" t="s">
        <v>5878</v>
      </c>
    </row>
    <row r="18078" spans="9:10" x14ac:dyDescent="0.3">
      <c r="I18078" t="s">
        <v>23246</v>
      </c>
      <c r="J18078" t="s">
        <v>5878</v>
      </c>
    </row>
    <row r="18079" spans="9:10" x14ac:dyDescent="0.3">
      <c r="I18079" t="s">
        <v>23247</v>
      </c>
      <c r="J18079" t="s">
        <v>5878</v>
      </c>
    </row>
    <row r="18080" spans="9:10" x14ac:dyDescent="0.3">
      <c r="I18080" t="s">
        <v>23248</v>
      </c>
      <c r="J18080" t="s">
        <v>5878</v>
      </c>
    </row>
    <row r="18081" spans="9:10" x14ac:dyDescent="0.3">
      <c r="I18081" t="s">
        <v>23249</v>
      </c>
      <c r="J18081" t="s">
        <v>5878</v>
      </c>
    </row>
    <row r="18082" spans="9:10" x14ac:dyDescent="0.3">
      <c r="I18082" t="s">
        <v>23250</v>
      </c>
      <c r="J18082" t="s">
        <v>5878</v>
      </c>
    </row>
    <row r="18083" spans="9:10" x14ac:dyDescent="0.3">
      <c r="I18083" t="s">
        <v>22359</v>
      </c>
      <c r="J18083" t="s">
        <v>5878</v>
      </c>
    </row>
    <row r="18084" spans="9:10" x14ac:dyDescent="0.3">
      <c r="I18084" t="s">
        <v>23251</v>
      </c>
      <c r="J18084" t="s">
        <v>5878</v>
      </c>
    </row>
    <row r="18085" spans="9:10" x14ac:dyDescent="0.3">
      <c r="I18085" t="s">
        <v>23252</v>
      </c>
      <c r="J18085" t="s">
        <v>5878</v>
      </c>
    </row>
    <row r="18086" spans="9:10" x14ac:dyDescent="0.3">
      <c r="I18086" t="s">
        <v>23253</v>
      </c>
      <c r="J18086" t="s">
        <v>5878</v>
      </c>
    </row>
    <row r="18087" spans="9:10" x14ac:dyDescent="0.3">
      <c r="I18087" t="s">
        <v>23254</v>
      </c>
      <c r="J18087" t="s">
        <v>5878</v>
      </c>
    </row>
    <row r="18088" spans="9:10" x14ac:dyDescent="0.3">
      <c r="I18088" t="s">
        <v>23255</v>
      </c>
      <c r="J18088" t="s">
        <v>5878</v>
      </c>
    </row>
    <row r="18089" spans="9:10" x14ac:dyDescent="0.3">
      <c r="I18089" t="s">
        <v>23256</v>
      </c>
      <c r="J18089" t="s">
        <v>5878</v>
      </c>
    </row>
    <row r="18090" spans="9:10" x14ac:dyDescent="0.3">
      <c r="I18090" t="s">
        <v>23257</v>
      </c>
      <c r="J18090" t="s">
        <v>5878</v>
      </c>
    </row>
    <row r="18091" spans="9:10" x14ac:dyDescent="0.3">
      <c r="I18091" t="s">
        <v>23258</v>
      </c>
      <c r="J18091" t="s">
        <v>5878</v>
      </c>
    </row>
    <row r="18092" spans="9:10" x14ac:dyDescent="0.3">
      <c r="I18092" t="s">
        <v>23259</v>
      </c>
      <c r="J18092" t="s">
        <v>5878</v>
      </c>
    </row>
    <row r="18093" spans="9:10" x14ac:dyDescent="0.3">
      <c r="I18093" t="s">
        <v>22890</v>
      </c>
      <c r="J18093" t="s">
        <v>5878</v>
      </c>
    </row>
    <row r="18094" spans="9:10" x14ac:dyDescent="0.3">
      <c r="I18094" t="s">
        <v>23260</v>
      </c>
      <c r="J18094" t="s">
        <v>5878</v>
      </c>
    </row>
    <row r="18095" spans="9:10" x14ac:dyDescent="0.3">
      <c r="I18095" t="s">
        <v>23261</v>
      </c>
      <c r="J18095" t="s">
        <v>5878</v>
      </c>
    </row>
    <row r="18096" spans="9:10" x14ac:dyDescent="0.3">
      <c r="I18096" t="s">
        <v>23262</v>
      </c>
      <c r="J18096" t="s">
        <v>5878</v>
      </c>
    </row>
    <row r="18097" spans="9:10" x14ac:dyDescent="0.3">
      <c r="I18097" t="s">
        <v>23174</v>
      </c>
      <c r="J18097" t="s">
        <v>5878</v>
      </c>
    </row>
    <row r="18098" spans="9:10" x14ac:dyDescent="0.3">
      <c r="I18098" t="s">
        <v>22920</v>
      </c>
      <c r="J18098" t="s">
        <v>5878</v>
      </c>
    </row>
    <row r="18099" spans="9:10" x14ac:dyDescent="0.3">
      <c r="I18099" t="s">
        <v>23263</v>
      </c>
      <c r="J18099" t="s">
        <v>5878</v>
      </c>
    </row>
    <row r="18100" spans="9:10" x14ac:dyDescent="0.3">
      <c r="I18100" t="s">
        <v>23264</v>
      </c>
      <c r="J18100" t="s">
        <v>5878</v>
      </c>
    </row>
    <row r="18101" spans="9:10" x14ac:dyDescent="0.3">
      <c r="I18101" t="s">
        <v>23265</v>
      </c>
      <c r="J18101" t="s">
        <v>5878</v>
      </c>
    </row>
    <row r="18102" spans="9:10" x14ac:dyDescent="0.3">
      <c r="I18102" t="s">
        <v>22056</v>
      </c>
      <c r="J18102" t="s">
        <v>5878</v>
      </c>
    </row>
    <row r="18103" spans="9:10" x14ac:dyDescent="0.3">
      <c r="I18103" t="s">
        <v>22056</v>
      </c>
      <c r="J18103" t="s">
        <v>5878</v>
      </c>
    </row>
    <row r="18104" spans="9:10" x14ac:dyDescent="0.3">
      <c r="I18104" t="s">
        <v>22056</v>
      </c>
      <c r="J18104" t="s">
        <v>5878</v>
      </c>
    </row>
    <row r="18105" spans="9:10" x14ac:dyDescent="0.3">
      <c r="I18105" t="s">
        <v>23266</v>
      </c>
      <c r="J18105" t="s">
        <v>5878</v>
      </c>
    </row>
    <row r="18106" spans="9:10" x14ac:dyDescent="0.3">
      <c r="I18106" t="s">
        <v>23267</v>
      </c>
      <c r="J18106" t="s">
        <v>5878</v>
      </c>
    </row>
    <row r="18107" spans="9:10" x14ac:dyDescent="0.3">
      <c r="I18107" t="s">
        <v>23268</v>
      </c>
      <c r="J18107" t="s">
        <v>5878</v>
      </c>
    </row>
    <row r="18108" spans="9:10" x14ac:dyDescent="0.3">
      <c r="I18108" t="s">
        <v>23269</v>
      </c>
      <c r="J18108" t="s">
        <v>5878</v>
      </c>
    </row>
    <row r="18109" spans="9:10" x14ac:dyDescent="0.3">
      <c r="I18109" t="s">
        <v>23270</v>
      </c>
      <c r="J18109" t="s">
        <v>5878</v>
      </c>
    </row>
    <row r="18110" spans="9:10" x14ac:dyDescent="0.3">
      <c r="I18110" t="s">
        <v>23271</v>
      </c>
      <c r="J18110" t="s">
        <v>5878</v>
      </c>
    </row>
    <row r="18111" spans="9:10" x14ac:dyDescent="0.3">
      <c r="I18111" t="s">
        <v>23272</v>
      </c>
      <c r="J18111" t="s">
        <v>5878</v>
      </c>
    </row>
    <row r="18112" spans="9:10" x14ac:dyDescent="0.3">
      <c r="I18112" t="s">
        <v>23273</v>
      </c>
      <c r="J18112" t="s">
        <v>5878</v>
      </c>
    </row>
    <row r="18113" spans="9:10" x14ac:dyDescent="0.3">
      <c r="I18113" t="s">
        <v>23274</v>
      </c>
      <c r="J18113" t="s">
        <v>5878</v>
      </c>
    </row>
    <row r="18114" spans="9:10" x14ac:dyDescent="0.3">
      <c r="I18114" t="s">
        <v>23275</v>
      </c>
      <c r="J18114" t="s">
        <v>5878</v>
      </c>
    </row>
    <row r="18115" spans="9:10" x14ac:dyDescent="0.3">
      <c r="I18115" t="s">
        <v>23276</v>
      </c>
      <c r="J18115" t="s">
        <v>5878</v>
      </c>
    </row>
    <row r="18116" spans="9:10" x14ac:dyDescent="0.3">
      <c r="I18116" t="s">
        <v>23277</v>
      </c>
      <c r="J18116" t="s">
        <v>5878</v>
      </c>
    </row>
    <row r="18117" spans="9:10" x14ac:dyDescent="0.3">
      <c r="I18117" t="s">
        <v>23278</v>
      </c>
      <c r="J18117" t="s">
        <v>5878</v>
      </c>
    </row>
    <row r="18118" spans="9:10" x14ac:dyDescent="0.3">
      <c r="I18118" t="s">
        <v>23279</v>
      </c>
      <c r="J18118" t="s">
        <v>5878</v>
      </c>
    </row>
    <row r="18119" spans="9:10" x14ac:dyDescent="0.3">
      <c r="I18119" t="s">
        <v>23280</v>
      </c>
      <c r="J18119" t="s">
        <v>5878</v>
      </c>
    </row>
    <row r="18120" spans="9:10" x14ac:dyDescent="0.3">
      <c r="I18120" t="s">
        <v>23281</v>
      </c>
      <c r="J18120" t="s">
        <v>5878</v>
      </c>
    </row>
    <row r="18121" spans="9:10" x14ac:dyDescent="0.3">
      <c r="I18121" t="s">
        <v>23282</v>
      </c>
      <c r="J18121" t="s">
        <v>5878</v>
      </c>
    </row>
    <row r="18122" spans="9:10" x14ac:dyDescent="0.3">
      <c r="I18122" t="s">
        <v>23283</v>
      </c>
      <c r="J18122" t="s">
        <v>5878</v>
      </c>
    </row>
    <row r="18123" spans="9:10" x14ac:dyDescent="0.3">
      <c r="I18123" t="s">
        <v>23284</v>
      </c>
      <c r="J18123" t="s">
        <v>5878</v>
      </c>
    </row>
    <row r="18124" spans="9:10" x14ac:dyDescent="0.3">
      <c r="I18124" t="s">
        <v>23285</v>
      </c>
      <c r="J18124" t="s">
        <v>5878</v>
      </c>
    </row>
    <row r="18125" spans="9:10" x14ac:dyDescent="0.3">
      <c r="I18125" t="s">
        <v>23286</v>
      </c>
      <c r="J18125" t="s">
        <v>5878</v>
      </c>
    </row>
    <row r="18126" spans="9:10" x14ac:dyDescent="0.3">
      <c r="I18126" t="s">
        <v>23287</v>
      </c>
      <c r="J18126" t="s">
        <v>5878</v>
      </c>
    </row>
    <row r="18127" spans="9:10" x14ac:dyDescent="0.3">
      <c r="I18127" t="s">
        <v>23288</v>
      </c>
      <c r="J18127" t="s">
        <v>5878</v>
      </c>
    </row>
    <row r="18128" spans="9:10" x14ac:dyDescent="0.3">
      <c r="I18128" t="s">
        <v>23289</v>
      </c>
      <c r="J18128" t="s">
        <v>5878</v>
      </c>
    </row>
    <row r="18129" spans="9:10" x14ac:dyDescent="0.3">
      <c r="I18129" t="s">
        <v>23290</v>
      </c>
      <c r="J18129" t="s">
        <v>5878</v>
      </c>
    </row>
    <row r="18130" spans="9:10" x14ac:dyDescent="0.3">
      <c r="I18130" t="s">
        <v>23291</v>
      </c>
      <c r="J18130" t="s">
        <v>5878</v>
      </c>
    </row>
    <row r="18131" spans="9:10" x14ac:dyDescent="0.3">
      <c r="I18131" t="s">
        <v>23292</v>
      </c>
      <c r="J18131" t="s">
        <v>5878</v>
      </c>
    </row>
    <row r="18132" spans="9:10" x14ac:dyDescent="0.3">
      <c r="I18132" t="s">
        <v>23293</v>
      </c>
      <c r="J18132" t="s">
        <v>5878</v>
      </c>
    </row>
    <row r="18133" spans="9:10" x14ac:dyDescent="0.3">
      <c r="I18133" t="s">
        <v>23294</v>
      </c>
      <c r="J18133" t="s">
        <v>5878</v>
      </c>
    </row>
    <row r="18134" spans="9:10" x14ac:dyDescent="0.3">
      <c r="I18134" t="s">
        <v>23295</v>
      </c>
      <c r="J18134" t="s">
        <v>5878</v>
      </c>
    </row>
    <row r="18135" spans="9:10" x14ac:dyDescent="0.3">
      <c r="I18135" t="s">
        <v>23296</v>
      </c>
      <c r="J18135" t="s">
        <v>5878</v>
      </c>
    </row>
    <row r="18136" spans="9:10" x14ac:dyDescent="0.3">
      <c r="I18136" t="s">
        <v>23297</v>
      </c>
      <c r="J18136" t="s">
        <v>5878</v>
      </c>
    </row>
    <row r="18137" spans="9:10" x14ac:dyDescent="0.3">
      <c r="I18137" t="s">
        <v>23298</v>
      </c>
      <c r="J18137" t="s">
        <v>5878</v>
      </c>
    </row>
    <row r="18138" spans="9:10" x14ac:dyDescent="0.3">
      <c r="I18138" t="s">
        <v>23299</v>
      </c>
      <c r="J18138" t="s">
        <v>5878</v>
      </c>
    </row>
    <row r="18139" spans="9:10" x14ac:dyDescent="0.3">
      <c r="I18139" t="s">
        <v>22056</v>
      </c>
      <c r="J18139" t="s">
        <v>5878</v>
      </c>
    </row>
    <row r="18140" spans="9:10" x14ac:dyDescent="0.3">
      <c r="I18140" t="s">
        <v>23300</v>
      </c>
      <c r="J18140" t="s">
        <v>5878</v>
      </c>
    </row>
    <row r="18141" spans="9:10" x14ac:dyDescent="0.3">
      <c r="I18141" t="s">
        <v>23301</v>
      </c>
      <c r="J18141" t="s">
        <v>5878</v>
      </c>
    </row>
    <row r="18142" spans="9:10" x14ac:dyDescent="0.3">
      <c r="I18142" t="s">
        <v>22056</v>
      </c>
      <c r="J18142" t="s">
        <v>5878</v>
      </c>
    </row>
    <row r="18143" spans="9:10" x14ac:dyDescent="0.3">
      <c r="I18143" t="s">
        <v>22056</v>
      </c>
      <c r="J18143" t="s">
        <v>5878</v>
      </c>
    </row>
    <row r="18144" spans="9:10" x14ac:dyDescent="0.3">
      <c r="I18144" t="s">
        <v>22056</v>
      </c>
      <c r="J18144" t="s">
        <v>5878</v>
      </c>
    </row>
    <row r="18145" spans="9:10" x14ac:dyDescent="0.3">
      <c r="I18145" t="s">
        <v>23302</v>
      </c>
      <c r="J18145" t="s">
        <v>5878</v>
      </c>
    </row>
    <row r="18146" spans="9:10" x14ac:dyDescent="0.3">
      <c r="I18146" t="s">
        <v>23303</v>
      </c>
      <c r="J18146" t="s">
        <v>5878</v>
      </c>
    </row>
    <row r="18147" spans="9:10" x14ac:dyDescent="0.3">
      <c r="I18147" t="s">
        <v>23304</v>
      </c>
      <c r="J18147" t="s">
        <v>5878</v>
      </c>
    </row>
    <row r="18148" spans="9:10" x14ac:dyDescent="0.3">
      <c r="I18148" t="s">
        <v>23305</v>
      </c>
      <c r="J18148" t="s">
        <v>5878</v>
      </c>
    </row>
    <row r="18149" spans="9:10" x14ac:dyDescent="0.3">
      <c r="I18149" t="s">
        <v>23306</v>
      </c>
      <c r="J18149" t="s">
        <v>5878</v>
      </c>
    </row>
    <row r="18150" spans="9:10" x14ac:dyDescent="0.3">
      <c r="I18150" t="s">
        <v>23307</v>
      </c>
      <c r="J18150" t="s">
        <v>5878</v>
      </c>
    </row>
    <row r="18151" spans="9:10" x14ac:dyDescent="0.3">
      <c r="I18151" t="s">
        <v>23308</v>
      </c>
      <c r="J18151" t="s">
        <v>5878</v>
      </c>
    </row>
    <row r="18152" spans="9:10" x14ac:dyDescent="0.3">
      <c r="I18152" t="s">
        <v>22056</v>
      </c>
      <c r="J18152" t="s">
        <v>5878</v>
      </c>
    </row>
    <row r="18153" spans="9:10" x14ac:dyDescent="0.3">
      <c r="I18153" t="s">
        <v>22056</v>
      </c>
      <c r="J18153" t="s">
        <v>5878</v>
      </c>
    </row>
    <row r="18154" spans="9:10" x14ac:dyDescent="0.3">
      <c r="I18154" t="s">
        <v>23309</v>
      </c>
      <c r="J18154" t="s">
        <v>5878</v>
      </c>
    </row>
    <row r="18155" spans="9:10" x14ac:dyDescent="0.3">
      <c r="I18155" t="s">
        <v>23310</v>
      </c>
      <c r="J18155" t="s">
        <v>5878</v>
      </c>
    </row>
    <row r="18156" spans="9:10" x14ac:dyDescent="0.3">
      <c r="I18156" t="s">
        <v>23311</v>
      </c>
      <c r="J18156" t="s">
        <v>5878</v>
      </c>
    </row>
    <row r="18157" spans="9:10" x14ac:dyDescent="0.3">
      <c r="I18157" t="s">
        <v>23312</v>
      </c>
      <c r="J18157" t="s">
        <v>5878</v>
      </c>
    </row>
    <row r="18158" spans="9:10" x14ac:dyDescent="0.3">
      <c r="I18158" t="s">
        <v>23313</v>
      </c>
      <c r="J18158" t="s">
        <v>5878</v>
      </c>
    </row>
    <row r="18159" spans="9:10" x14ac:dyDescent="0.3">
      <c r="I18159" t="s">
        <v>23314</v>
      </c>
      <c r="J18159" t="s">
        <v>5878</v>
      </c>
    </row>
    <row r="18160" spans="9:10" x14ac:dyDescent="0.3">
      <c r="I18160" t="s">
        <v>23315</v>
      </c>
      <c r="J18160" t="s">
        <v>5878</v>
      </c>
    </row>
    <row r="18161" spans="9:10" x14ac:dyDescent="0.3">
      <c r="I18161" t="s">
        <v>23316</v>
      </c>
      <c r="J18161" t="s">
        <v>5878</v>
      </c>
    </row>
    <row r="18162" spans="9:10" x14ac:dyDescent="0.3">
      <c r="I18162" t="s">
        <v>23317</v>
      </c>
      <c r="J18162" t="s">
        <v>5878</v>
      </c>
    </row>
    <row r="18163" spans="9:10" x14ac:dyDescent="0.3">
      <c r="I18163" t="s">
        <v>23318</v>
      </c>
      <c r="J18163" t="s">
        <v>5878</v>
      </c>
    </row>
    <row r="18164" spans="9:10" x14ac:dyDescent="0.3">
      <c r="I18164" t="s">
        <v>23319</v>
      </c>
      <c r="J18164" t="s">
        <v>5878</v>
      </c>
    </row>
    <row r="18165" spans="9:10" x14ac:dyDescent="0.3">
      <c r="I18165" t="s">
        <v>23320</v>
      </c>
      <c r="J18165" t="s">
        <v>5878</v>
      </c>
    </row>
    <row r="18166" spans="9:10" x14ac:dyDescent="0.3">
      <c r="I18166" t="s">
        <v>23321</v>
      </c>
      <c r="J18166" t="s">
        <v>5878</v>
      </c>
    </row>
    <row r="18167" spans="9:10" x14ac:dyDescent="0.3">
      <c r="I18167" t="s">
        <v>23322</v>
      </c>
      <c r="J18167" t="s">
        <v>5878</v>
      </c>
    </row>
    <row r="18168" spans="9:10" x14ac:dyDescent="0.3">
      <c r="I18168" t="s">
        <v>23323</v>
      </c>
      <c r="J18168" t="s">
        <v>5878</v>
      </c>
    </row>
    <row r="18169" spans="9:10" x14ac:dyDescent="0.3">
      <c r="I18169" t="s">
        <v>23324</v>
      </c>
      <c r="J18169" t="s">
        <v>5878</v>
      </c>
    </row>
    <row r="18170" spans="9:10" x14ac:dyDescent="0.3">
      <c r="I18170" t="s">
        <v>23325</v>
      </c>
      <c r="J18170" t="s">
        <v>5878</v>
      </c>
    </row>
    <row r="18171" spans="9:10" x14ac:dyDescent="0.3">
      <c r="I18171" t="s">
        <v>23326</v>
      </c>
      <c r="J18171" t="s">
        <v>5878</v>
      </c>
    </row>
    <row r="18172" spans="9:10" x14ac:dyDescent="0.3">
      <c r="I18172" t="s">
        <v>23327</v>
      </c>
      <c r="J18172" t="s">
        <v>5878</v>
      </c>
    </row>
    <row r="18173" spans="9:10" x14ac:dyDescent="0.3">
      <c r="I18173" t="s">
        <v>23328</v>
      </c>
      <c r="J18173" t="s">
        <v>5878</v>
      </c>
    </row>
    <row r="18174" spans="9:10" x14ac:dyDescent="0.3">
      <c r="I18174" t="s">
        <v>23329</v>
      </c>
      <c r="J18174" t="s">
        <v>5878</v>
      </c>
    </row>
    <row r="18175" spans="9:10" x14ac:dyDescent="0.3">
      <c r="I18175" t="s">
        <v>23330</v>
      </c>
      <c r="J18175" t="s">
        <v>5878</v>
      </c>
    </row>
    <row r="18176" spans="9:10" x14ac:dyDescent="0.3">
      <c r="I18176" t="s">
        <v>23331</v>
      </c>
      <c r="J18176" t="s">
        <v>5878</v>
      </c>
    </row>
    <row r="18177" spans="9:10" x14ac:dyDescent="0.3">
      <c r="I18177" t="s">
        <v>23332</v>
      </c>
      <c r="J18177" t="s">
        <v>5878</v>
      </c>
    </row>
    <row r="18178" spans="9:10" x14ac:dyDescent="0.3">
      <c r="I18178" t="s">
        <v>23333</v>
      </c>
      <c r="J18178" t="s">
        <v>5878</v>
      </c>
    </row>
    <row r="18179" spans="9:10" x14ac:dyDescent="0.3">
      <c r="I18179" t="s">
        <v>23334</v>
      </c>
      <c r="J18179" t="s">
        <v>5878</v>
      </c>
    </row>
    <row r="18180" spans="9:10" x14ac:dyDescent="0.3">
      <c r="I18180" t="s">
        <v>23335</v>
      </c>
      <c r="J18180" t="s">
        <v>5878</v>
      </c>
    </row>
    <row r="18181" spans="9:10" x14ac:dyDescent="0.3">
      <c r="I18181" t="s">
        <v>23336</v>
      </c>
      <c r="J18181" t="s">
        <v>5878</v>
      </c>
    </row>
    <row r="18182" spans="9:10" x14ac:dyDescent="0.3">
      <c r="I18182" t="s">
        <v>23337</v>
      </c>
      <c r="J18182" t="s">
        <v>5878</v>
      </c>
    </row>
    <row r="18183" spans="9:10" x14ac:dyDescent="0.3">
      <c r="I18183" t="s">
        <v>23338</v>
      </c>
      <c r="J18183" t="s">
        <v>5878</v>
      </c>
    </row>
    <row r="18184" spans="9:10" x14ac:dyDescent="0.3">
      <c r="I18184" t="s">
        <v>23339</v>
      </c>
      <c r="J18184" t="s">
        <v>5878</v>
      </c>
    </row>
    <row r="18185" spans="9:10" x14ac:dyDescent="0.3">
      <c r="I18185" t="s">
        <v>23340</v>
      </c>
      <c r="J18185" t="s">
        <v>5878</v>
      </c>
    </row>
    <row r="18186" spans="9:10" x14ac:dyDescent="0.3">
      <c r="I18186" t="s">
        <v>23341</v>
      </c>
      <c r="J18186" t="s">
        <v>5878</v>
      </c>
    </row>
    <row r="18187" spans="9:10" x14ac:dyDescent="0.3">
      <c r="I18187" t="s">
        <v>23342</v>
      </c>
      <c r="J18187" t="s">
        <v>5878</v>
      </c>
    </row>
    <row r="18188" spans="9:10" x14ac:dyDescent="0.3">
      <c r="I18188" t="s">
        <v>23343</v>
      </c>
      <c r="J18188" t="s">
        <v>5878</v>
      </c>
    </row>
    <row r="18189" spans="9:10" x14ac:dyDescent="0.3">
      <c r="I18189" t="s">
        <v>23344</v>
      </c>
      <c r="J18189" t="s">
        <v>5878</v>
      </c>
    </row>
    <row r="18190" spans="9:10" x14ac:dyDescent="0.3">
      <c r="I18190" t="s">
        <v>23345</v>
      </c>
      <c r="J18190" t="s">
        <v>5878</v>
      </c>
    </row>
    <row r="18191" spans="9:10" x14ac:dyDescent="0.3">
      <c r="I18191" t="s">
        <v>23346</v>
      </c>
      <c r="J18191" t="s">
        <v>5878</v>
      </c>
    </row>
    <row r="18192" spans="9:10" x14ac:dyDescent="0.3">
      <c r="I18192" t="s">
        <v>23347</v>
      </c>
      <c r="J18192" t="s">
        <v>5878</v>
      </c>
    </row>
    <row r="18193" spans="9:10" x14ac:dyDescent="0.3">
      <c r="I18193" t="s">
        <v>23348</v>
      </c>
      <c r="J18193" t="s">
        <v>5878</v>
      </c>
    </row>
    <row r="18194" spans="9:10" x14ac:dyDescent="0.3">
      <c r="I18194" t="s">
        <v>23349</v>
      </c>
      <c r="J18194" t="s">
        <v>5878</v>
      </c>
    </row>
    <row r="18195" spans="9:10" x14ac:dyDescent="0.3">
      <c r="I18195" t="s">
        <v>23350</v>
      </c>
      <c r="J18195" t="s">
        <v>5878</v>
      </c>
    </row>
    <row r="18196" spans="9:10" x14ac:dyDescent="0.3">
      <c r="I18196" t="s">
        <v>23351</v>
      </c>
      <c r="J18196" t="s">
        <v>5878</v>
      </c>
    </row>
    <row r="18197" spans="9:10" x14ac:dyDescent="0.3">
      <c r="I18197" t="s">
        <v>23352</v>
      </c>
      <c r="J18197" t="s">
        <v>5878</v>
      </c>
    </row>
    <row r="18198" spans="9:10" x14ac:dyDescent="0.3">
      <c r="I18198" t="s">
        <v>23353</v>
      </c>
      <c r="J18198" t="s">
        <v>5878</v>
      </c>
    </row>
    <row r="18199" spans="9:10" x14ac:dyDescent="0.3">
      <c r="I18199" t="s">
        <v>23354</v>
      </c>
      <c r="J18199" t="s">
        <v>5878</v>
      </c>
    </row>
    <row r="18200" spans="9:10" x14ac:dyDescent="0.3">
      <c r="I18200" t="s">
        <v>23355</v>
      </c>
      <c r="J18200" t="s">
        <v>5878</v>
      </c>
    </row>
    <row r="18201" spans="9:10" x14ac:dyDescent="0.3">
      <c r="I18201" t="s">
        <v>23356</v>
      </c>
      <c r="J18201" t="s">
        <v>5878</v>
      </c>
    </row>
    <row r="18202" spans="9:10" x14ac:dyDescent="0.3">
      <c r="I18202" t="s">
        <v>23357</v>
      </c>
      <c r="J18202" t="s">
        <v>5878</v>
      </c>
    </row>
    <row r="18203" spans="9:10" x14ac:dyDescent="0.3">
      <c r="I18203" t="s">
        <v>23358</v>
      </c>
      <c r="J18203" t="s">
        <v>5878</v>
      </c>
    </row>
    <row r="18204" spans="9:10" x14ac:dyDescent="0.3">
      <c r="I18204" t="s">
        <v>23359</v>
      </c>
      <c r="J18204" t="s">
        <v>5878</v>
      </c>
    </row>
    <row r="18205" spans="9:10" x14ac:dyDescent="0.3">
      <c r="I18205" t="s">
        <v>23360</v>
      </c>
      <c r="J18205" t="s">
        <v>5878</v>
      </c>
    </row>
    <row r="18206" spans="9:10" x14ac:dyDescent="0.3">
      <c r="I18206" t="s">
        <v>23361</v>
      </c>
      <c r="J18206" t="s">
        <v>5878</v>
      </c>
    </row>
    <row r="18207" spans="9:10" x14ac:dyDescent="0.3">
      <c r="I18207" t="s">
        <v>23362</v>
      </c>
      <c r="J18207" t="s">
        <v>5878</v>
      </c>
    </row>
    <row r="18208" spans="9:10" x14ac:dyDescent="0.3">
      <c r="I18208" t="s">
        <v>23363</v>
      </c>
      <c r="J18208" t="s">
        <v>5878</v>
      </c>
    </row>
    <row r="18209" spans="9:10" x14ac:dyDescent="0.3">
      <c r="I18209" t="s">
        <v>23364</v>
      </c>
      <c r="J18209" t="s">
        <v>5878</v>
      </c>
    </row>
    <row r="18210" spans="9:10" x14ac:dyDescent="0.3">
      <c r="I18210" t="s">
        <v>23365</v>
      </c>
      <c r="J18210" t="s">
        <v>5878</v>
      </c>
    </row>
    <row r="18211" spans="9:10" x14ac:dyDescent="0.3">
      <c r="I18211" t="s">
        <v>23366</v>
      </c>
      <c r="J18211" t="s">
        <v>5878</v>
      </c>
    </row>
    <row r="18212" spans="9:10" x14ac:dyDescent="0.3">
      <c r="I18212" t="s">
        <v>23367</v>
      </c>
      <c r="J18212" t="s">
        <v>5878</v>
      </c>
    </row>
    <row r="18213" spans="9:10" x14ac:dyDescent="0.3">
      <c r="I18213" t="s">
        <v>23368</v>
      </c>
      <c r="J18213" t="s">
        <v>5878</v>
      </c>
    </row>
    <row r="18214" spans="9:10" x14ac:dyDescent="0.3">
      <c r="I18214" t="s">
        <v>23369</v>
      </c>
      <c r="J18214" t="s">
        <v>5878</v>
      </c>
    </row>
    <row r="18215" spans="9:10" x14ac:dyDescent="0.3">
      <c r="I18215" t="s">
        <v>23370</v>
      </c>
      <c r="J18215" t="s">
        <v>5878</v>
      </c>
    </row>
    <row r="18216" spans="9:10" x14ac:dyDescent="0.3">
      <c r="I18216" t="s">
        <v>23371</v>
      </c>
      <c r="J18216" t="s">
        <v>5878</v>
      </c>
    </row>
    <row r="18217" spans="9:10" x14ac:dyDescent="0.3">
      <c r="I18217" t="s">
        <v>23372</v>
      </c>
      <c r="J18217" t="s">
        <v>5878</v>
      </c>
    </row>
    <row r="18218" spans="9:10" x14ac:dyDescent="0.3">
      <c r="I18218" t="s">
        <v>23373</v>
      </c>
      <c r="J18218" t="s">
        <v>5878</v>
      </c>
    </row>
    <row r="18219" spans="9:10" x14ac:dyDescent="0.3">
      <c r="I18219" t="s">
        <v>23374</v>
      </c>
      <c r="J18219" t="s">
        <v>5878</v>
      </c>
    </row>
    <row r="18220" spans="9:10" x14ac:dyDescent="0.3">
      <c r="I18220" t="s">
        <v>23375</v>
      </c>
      <c r="J18220" t="s">
        <v>5878</v>
      </c>
    </row>
    <row r="18221" spans="9:10" x14ac:dyDescent="0.3">
      <c r="I18221" t="s">
        <v>23376</v>
      </c>
      <c r="J18221" t="s">
        <v>5878</v>
      </c>
    </row>
    <row r="18222" spans="9:10" x14ac:dyDescent="0.3">
      <c r="I18222" t="s">
        <v>23377</v>
      </c>
      <c r="J18222" t="s">
        <v>5878</v>
      </c>
    </row>
    <row r="18223" spans="9:10" x14ac:dyDescent="0.3">
      <c r="I18223" t="s">
        <v>23378</v>
      </c>
      <c r="J18223" t="s">
        <v>5878</v>
      </c>
    </row>
    <row r="18224" spans="9:10" x14ac:dyDescent="0.3">
      <c r="I18224">
        <v>64337</v>
      </c>
      <c r="J18224" t="s">
        <v>5878</v>
      </c>
    </row>
    <row r="18225" spans="9:10" x14ac:dyDescent="0.3">
      <c r="I18225" t="s">
        <v>23379</v>
      </c>
      <c r="J18225" t="s">
        <v>5878</v>
      </c>
    </row>
    <row r="18226" spans="9:10" x14ac:dyDescent="0.3">
      <c r="I18226" t="s">
        <v>23380</v>
      </c>
      <c r="J18226" t="s">
        <v>5878</v>
      </c>
    </row>
    <row r="18227" spans="9:10" x14ac:dyDescent="0.3">
      <c r="I18227" t="s">
        <v>23381</v>
      </c>
      <c r="J18227" t="s">
        <v>5878</v>
      </c>
    </row>
    <row r="18228" spans="9:10" x14ac:dyDescent="0.3">
      <c r="I18228" t="s">
        <v>23382</v>
      </c>
      <c r="J18228" t="s">
        <v>5878</v>
      </c>
    </row>
    <row r="18229" spans="9:10" x14ac:dyDescent="0.3">
      <c r="I18229" t="s">
        <v>23383</v>
      </c>
      <c r="J18229" t="s">
        <v>5878</v>
      </c>
    </row>
    <row r="18230" spans="9:10" x14ac:dyDescent="0.3">
      <c r="I18230" t="s">
        <v>23384</v>
      </c>
      <c r="J18230" t="s">
        <v>5878</v>
      </c>
    </row>
    <row r="18231" spans="9:10" x14ac:dyDescent="0.3">
      <c r="I18231" t="s">
        <v>23385</v>
      </c>
      <c r="J18231" t="s">
        <v>5878</v>
      </c>
    </row>
    <row r="18232" spans="9:10" x14ac:dyDescent="0.3">
      <c r="I18232" t="s">
        <v>23386</v>
      </c>
      <c r="J18232" t="s">
        <v>5878</v>
      </c>
    </row>
    <row r="18233" spans="9:10" x14ac:dyDescent="0.3">
      <c r="I18233" t="s">
        <v>23387</v>
      </c>
      <c r="J18233" t="s">
        <v>5878</v>
      </c>
    </row>
    <row r="18234" spans="9:10" x14ac:dyDescent="0.3">
      <c r="I18234" t="s">
        <v>23388</v>
      </c>
      <c r="J18234" t="s">
        <v>5878</v>
      </c>
    </row>
    <row r="18235" spans="9:10" x14ac:dyDescent="0.3">
      <c r="I18235" t="s">
        <v>23389</v>
      </c>
      <c r="J18235" t="s">
        <v>5878</v>
      </c>
    </row>
    <row r="18236" spans="9:10" x14ac:dyDescent="0.3">
      <c r="I18236" t="s">
        <v>23390</v>
      </c>
      <c r="J18236" t="s">
        <v>5878</v>
      </c>
    </row>
    <row r="18237" spans="9:10" x14ac:dyDescent="0.3">
      <c r="I18237" t="s">
        <v>23391</v>
      </c>
      <c r="J18237" t="s">
        <v>5878</v>
      </c>
    </row>
    <row r="18238" spans="9:10" x14ac:dyDescent="0.3">
      <c r="I18238" t="s">
        <v>23392</v>
      </c>
      <c r="J18238" t="s">
        <v>5878</v>
      </c>
    </row>
    <row r="18239" spans="9:10" x14ac:dyDescent="0.3">
      <c r="I18239" t="s">
        <v>23393</v>
      </c>
      <c r="J18239" t="s">
        <v>5878</v>
      </c>
    </row>
    <row r="18240" spans="9:10" x14ac:dyDescent="0.3">
      <c r="I18240" t="s">
        <v>23394</v>
      </c>
      <c r="J18240" t="s">
        <v>5878</v>
      </c>
    </row>
    <row r="18241" spans="9:10" x14ac:dyDescent="0.3">
      <c r="I18241" t="s">
        <v>23395</v>
      </c>
      <c r="J18241" t="s">
        <v>5878</v>
      </c>
    </row>
    <row r="18242" spans="9:10" x14ac:dyDescent="0.3">
      <c r="I18242" t="s">
        <v>23396</v>
      </c>
      <c r="J18242" t="s">
        <v>5878</v>
      </c>
    </row>
    <row r="18243" spans="9:10" x14ac:dyDescent="0.3">
      <c r="I18243" t="s">
        <v>23397</v>
      </c>
      <c r="J18243" t="s">
        <v>5878</v>
      </c>
    </row>
    <row r="18244" spans="9:10" x14ac:dyDescent="0.3">
      <c r="I18244" t="s">
        <v>23398</v>
      </c>
      <c r="J18244" t="s">
        <v>5878</v>
      </c>
    </row>
    <row r="18245" spans="9:10" x14ac:dyDescent="0.3">
      <c r="I18245" t="s">
        <v>23399</v>
      </c>
      <c r="J18245" t="s">
        <v>5878</v>
      </c>
    </row>
    <row r="18246" spans="9:10" x14ac:dyDescent="0.3">
      <c r="I18246" t="s">
        <v>23400</v>
      </c>
      <c r="J18246" t="s">
        <v>5878</v>
      </c>
    </row>
    <row r="18247" spans="9:10" x14ac:dyDescent="0.3">
      <c r="I18247" t="s">
        <v>23401</v>
      </c>
      <c r="J18247" t="s">
        <v>5878</v>
      </c>
    </row>
    <row r="18248" spans="9:10" x14ac:dyDescent="0.3">
      <c r="I18248" t="s">
        <v>23402</v>
      </c>
      <c r="J18248" t="s">
        <v>5878</v>
      </c>
    </row>
    <row r="18249" spans="9:10" x14ac:dyDescent="0.3">
      <c r="I18249" t="s">
        <v>23403</v>
      </c>
      <c r="J18249" t="s">
        <v>5878</v>
      </c>
    </row>
    <row r="18250" spans="9:10" x14ac:dyDescent="0.3">
      <c r="I18250" t="s">
        <v>23404</v>
      </c>
      <c r="J18250" t="s">
        <v>5878</v>
      </c>
    </row>
    <row r="18251" spans="9:10" x14ac:dyDescent="0.3">
      <c r="I18251" t="s">
        <v>23405</v>
      </c>
      <c r="J18251" t="s">
        <v>5878</v>
      </c>
    </row>
    <row r="18252" spans="9:10" x14ac:dyDescent="0.3">
      <c r="I18252" t="s">
        <v>23406</v>
      </c>
      <c r="J18252" t="s">
        <v>5878</v>
      </c>
    </row>
    <row r="18253" spans="9:10" x14ac:dyDescent="0.3">
      <c r="I18253" t="s">
        <v>23407</v>
      </c>
      <c r="J18253" t="s">
        <v>5878</v>
      </c>
    </row>
    <row r="18254" spans="9:10" x14ac:dyDescent="0.3">
      <c r="I18254" t="s">
        <v>23408</v>
      </c>
      <c r="J18254" t="s">
        <v>5878</v>
      </c>
    </row>
    <row r="18255" spans="9:10" x14ac:dyDescent="0.3">
      <c r="I18255" t="s">
        <v>23409</v>
      </c>
      <c r="J18255" t="s">
        <v>5878</v>
      </c>
    </row>
    <row r="18256" spans="9:10" x14ac:dyDescent="0.3">
      <c r="I18256" t="s">
        <v>23410</v>
      </c>
      <c r="J18256" t="s">
        <v>5878</v>
      </c>
    </row>
    <row r="18257" spans="9:10" x14ac:dyDescent="0.3">
      <c r="I18257" t="s">
        <v>23411</v>
      </c>
      <c r="J18257" t="s">
        <v>5878</v>
      </c>
    </row>
    <row r="18258" spans="9:10" x14ac:dyDescent="0.3">
      <c r="I18258" t="s">
        <v>23412</v>
      </c>
      <c r="J18258" t="s">
        <v>5878</v>
      </c>
    </row>
    <row r="18259" spans="9:10" x14ac:dyDescent="0.3">
      <c r="I18259" t="s">
        <v>23413</v>
      </c>
      <c r="J18259" t="s">
        <v>5878</v>
      </c>
    </row>
    <row r="18260" spans="9:10" x14ac:dyDescent="0.3">
      <c r="I18260" t="s">
        <v>23414</v>
      </c>
      <c r="J18260" t="s">
        <v>5878</v>
      </c>
    </row>
    <row r="18261" spans="9:10" x14ac:dyDescent="0.3">
      <c r="I18261" t="s">
        <v>23415</v>
      </c>
      <c r="J18261" t="s">
        <v>5878</v>
      </c>
    </row>
    <row r="18262" spans="9:10" x14ac:dyDescent="0.3">
      <c r="I18262" t="s">
        <v>23416</v>
      </c>
      <c r="J18262" t="s">
        <v>5878</v>
      </c>
    </row>
    <row r="18263" spans="9:10" x14ac:dyDescent="0.3">
      <c r="I18263" t="s">
        <v>23417</v>
      </c>
      <c r="J18263" t="s">
        <v>5878</v>
      </c>
    </row>
    <row r="18264" spans="9:10" x14ac:dyDescent="0.3">
      <c r="I18264" t="s">
        <v>23418</v>
      </c>
      <c r="J18264" t="s">
        <v>5878</v>
      </c>
    </row>
    <row r="18265" spans="9:10" x14ac:dyDescent="0.3">
      <c r="I18265" t="s">
        <v>23419</v>
      </c>
      <c r="J18265" t="s">
        <v>5878</v>
      </c>
    </row>
    <row r="18266" spans="9:10" x14ac:dyDescent="0.3">
      <c r="I18266" t="s">
        <v>23420</v>
      </c>
      <c r="J18266" t="s">
        <v>5878</v>
      </c>
    </row>
    <row r="18267" spans="9:10" x14ac:dyDescent="0.3">
      <c r="I18267" t="s">
        <v>23421</v>
      </c>
      <c r="J18267" t="s">
        <v>5878</v>
      </c>
    </row>
    <row r="18268" spans="9:10" x14ac:dyDescent="0.3">
      <c r="I18268" t="s">
        <v>23422</v>
      </c>
      <c r="J18268" t="s">
        <v>5878</v>
      </c>
    </row>
    <row r="18269" spans="9:10" x14ac:dyDescent="0.3">
      <c r="I18269" t="s">
        <v>23423</v>
      </c>
      <c r="J18269" t="s">
        <v>5878</v>
      </c>
    </row>
    <row r="18270" spans="9:10" x14ac:dyDescent="0.3">
      <c r="I18270" t="s">
        <v>23424</v>
      </c>
      <c r="J18270" t="s">
        <v>5878</v>
      </c>
    </row>
    <row r="18271" spans="9:10" x14ac:dyDescent="0.3">
      <c r="I18271" t="s">
        <v>23425</v>
      </c>
      <c r="J18271" t="s">
        <v>5878</v>
      </c>
    </row>
    <row r="18272" spans="9:10" x14ac:dyDescent="0.3">
      <c r="I18272" t="s">
        <v>23426</v>
      </c>
      <c r="J18272" t="s">
        <v>5878</v>
      </c>
    </row>
    <row r="18273" spans="9:10" x14ac:dyDescent="0.3">
      <c r="I18273" t="s">
        <v>23427</v>
      </c>
      <c r="J18273" t="s">
        <v>5878</v>
      </c>
    </row>
    <row r="18274" spans="9:10" x14ac:dyDescent="0.3">
      <c r="I18274" t="s">
        <v>23428</v>
      </c>
      <c r="J18274" t="s">
        <v>5878</v>
      </c>
    </row>
    <row r="18275" spans="9:10" x14ac:dyDescent="0.3">
      <c r="I18275" t="s">
        <v>23429</v>
      </c>
      <c r="J18275" t="s">
        <v>5878</v>
      </c>
    </row>
    <row r="18276" spans="9:10" x14ac:dyDescent="0.3">
      <c r="I18276" t="s">
        <v>23430</v>
      </c>
      <c r="J18276" t="s">
        <v>5878</v>
      </c>
    </row>
    <row r="18277" spans="9:10" x14ac:dyDescent="0.3">
      <c r="I18277" t="s">
        <v>23431</v>
      </c>
      <c r="J18277" t="s">
        <v>5878</v>
      </c>
    </row>
    <row r="18278" spans="9:10" x14ac:dyDescent="0.3">
      <c r="I18278" t="s">
        <v>23432</v>
      </c>
      <c r="J18278" t="s">
        <v>5878</v>
      </c>
    </row>
    <row r="18279" spans="9:10" x14ac:dyDescent="0.3">
      <c r="I18279" t="s">
        <v>23433</v>
      </c>
      <c r="J18279" t="s">
        <v>5878</v>
      </c>
    </row>
    <row r="18280" spans="9:10" x14ac:dyDescent="0.3">
      <c r="I18280" t="s">
        <v>23434</v>
      </c>
      <c r="J18280" t="s">
        <v>5878</v>
      </c>
    </row>
    <row r="18281" spans="9:10" x14ac:dyDescent="0.3">
      <c r="I18281" t="s">
        <v>23435</v>
      </c>
      <c r="J18281" t="s">
        <v>5878</v>
      </c>
    </row>
    <row r="18282" spans="9:10" x14ac:dyDescent="0.3">
      <c r="I18282" t="s">
        <v>23436</v>
      </c>
      <c r="J18282" t="s">
        <v>5878</v>
      </c>
    </row>
    <row r="18283" spans="9:10" x14ac:dyDescent="0.3">
      <c r="I18283" t="s">
        <v>23437</v>
      </c>
      <c r="J18283" t="s">
        <v>5878</v>
      </c>
    </row>
    <row r="18284" spans="9:10" x14ac:dyDescent="0.3">
      <c r="I18284" t="s">
        <v>23438</v>
      </c>
      <c r="J18284" t="s">
        <v>5878</v>
      </c>
    </row>
    <row r="18285" spans="9:10" x14ac:dyDescent="0.3">
      <c r="I18285" t="s">
        <v>22498</v>
      </c>
      <c r="J18285" t="s">
        <v>5878</v>
      </c>
    </row>
    <row r="18286" spans="9:10" x14ac:dyDescent="0.3">
      <c r="I18286" t="s">
        <v>23439</v>
      </c>
      <c r="J18286" t="s">
        <v>5878</v>
      </c>
    </row>
    <row r="18287" spans="9:10" x14ac:dyDescent="0.3">
      <c r="I18287" t="s">
        <v>23440</v>
      </c>
      <c r="J18287" t="s">
        <v>5878</v>
      </c>
    </row>
    <row r="18288" spans="9:10" x14ac:dyDescent="0.3">
      <c r="I18288" t="s">
        <v>23441</v>
      </c>
      <c r="J18288" t="s">
        <v>5878</v>
      </c>
    </row>
    <row r="18289" spans="9:10" x14ac:dyDescent="0.3">
      <c r="I18289" t="s">
        <v>23442</v>
      </c>
      <c r="J18289" t="s">
        <v>5878</v>
      </c>
    </row>
    <row r="18290" spans="9:10" x14ac:dyDescent="0.3">
      <c r="I18290" t="s">
        <v>23443</v>
      </c>
      <c r="J18290" t="s">
        <v>5878</v>
      </c>
    </row>
    <row r="18291" spans="9:10" x14ac:dyDescent="0.3">
      <c r="I18291" t="s">
        <v>23444</v>
      </c>
      <c r="J18291" t="s">
        <v>5878</v>
      </c>
    </row>
    <row r="18292" spans="9:10" x14ac:dyDescent="0.3">
      <c r="I18292" t="s">
        <v>23445</v>
      </c>
      <c r="J18292" t="s">
        <v>5878</v>
      </c>
    </row>
    <row r="18293" spans="9:10" x14ac:dyDescent="0.3">
      <c r="I18293" t="s">
        <v>23446</v>
      </c>
      <c r="J18293" t="s">
        <v>5878</v>
      </c>
    </row>
    <row r="18294" spans="9:10" x14ac:dyDescent="0.3">
      <c r="I18294" t="s">
        <v>23447</v>
      </c>
      <c r="J18294" t="s">
        <v>5878</v>
      </c>
    </row>
    <row r="18295" spans="9:10" x14ac:dyDescent="0.3">
      <c r="I18295" t="s">
        <v>23448</v>
      </c>
      <c r="J18295" t="s">
        <v>5878</v>
      </c>
    </row>
    <row r="18296" spans="9:10" x14ac:dyDescent="0.3">
      <c r="I18296" t="s">
        <v>23449</v>
      </c>
      <c r="J18296" t="s">
        <v>5878</v>
      </c>
    </row>
    <row r="18297" spans="9:10" x14ac:dyDescent="0.3">
      <c r="I18297" t="s">
        <v>23450</v>
      </c>
      <c r="J18297" t="s">
        <v>5878</v>
      </c>
    </row>
    <row r="18298" spans="9:10" x14ac:dyDescent="0.3">
      <c r="I18298" t="s">
        <v>23451</v>
      </c>
      <c r="J18298" t="s">
        <v>5878</v>
      </c>
    </row>
    <row r="18299" spans="9:10" x14ac:dyDescent="0.3">
      <c r="I18299" t="s">
        <v>23452</v>
      </c>
      <c r="J18299" t="s">
        <v>5878</v>
      </c>
    </row>
    <row r="18300" spans="9:10" x14ac:dyDescent="0.3">
      <c r="I18300" t="s">
        <v>23453</v>
      </c>
      <c r="J18300" t="s">
        <v>5878</v>
      </c>
    </row>
    <row r="18301" spans="9:10" x14ac:dyDescent="0.3">
      <c r="I18301" t="s">
        <v>23454</v>
      </c>
      <c r="J18301" t="s">
        <v>5878</v>
      </c>
    </row>
    <row r="18302" spans="9:10" x14ac:dyDescent="0.3">
      <c r="I18302" t="s">
        <v>23455</v>
      </c>
      <c r="J18302" t="s">
        <v>5878</v>
      </c>
    </row>
    <row r="18303" spans="9:10" x14ac:dyDescent="0.3">
      <c r="I18303" t="s">
        <v>23456</v>
      </c>
      <c r="J18303" t="s">
        <v>5878</v>
      </c>
    </row>
    <row r="18304" spans="9:10" x14ac:dyDescent="0.3">
      <c r="I18304" t="s">
        <v>23457</v>
      </c>
      <c r="J18304" t="s">
        <v>5878</v>
      </c>
    </row>
    <row r="18305" spans="9:10" x14ac:dyDescent="0.3">
      <c r="I18305" t="s">
        <v>23458</v>
      </c>
      <c r="J18305" t="s">
        <v>5878</v>
      </c>
    </row>
    <row r="18306" spans="9:10" x14ac:dyDescent="0.3">
      <c r="I18306" t="s">
        <v>23459</v>
      </c>
      <c r="J18306" t="s">
        <v>5878</v>
      </c>
    </row>
    <row r="18307" spans="9:10" x14ac:dyDescent="0.3">
      <c r="I18307" t="s">
        <v>23460</v>
      </c>
      <c r="J18307" t="s">
        <v>5878</v>
      </c>
    </row>
    <row r="18308" spans="9:10" x14ac:dyDescent="0.3">
      <c r="I18308" t="s">
        <v>23461</v>
      </c>
      <c r="J18308" t="s">
        <v>5878</v>
      </c>
    </row>
    <row r="18309" spans="9:10" x14ac:dyDescent="0.3">
      <c r="I18309" t="s">
        <v>23462</v>
      </c>
      <c r="J18309" t="s">
        <v>5878</v>
      </c>
    </row>
    <row r="18310" spans="9:10" x14ac:dyDescent="0.3">
      <c r="I18310" t="s">
        <v>23463</v>
      </c>
      <c r="J18310" t="s">
        <v>5878</v>
      </c>
    </row>
    <row r="18311" spans="9:10" x14ac:dyDescent="0.3">
      <c r="I18311" t="s">
        <v>23464</v>
      </c>
      <c r="J18311" t="s">
        <v>5878</v>
      </c>
    </row>
    <row r="18312" spans="9:10" x14ac:dyDescent="0.3">
      <c r="I18312" t="s">
        <v>23465</v>
      </c>
      <c r="J18312" t="s">
        <v>5878</v>
      </c>
    </row>
    <row r="18313" spans="9:10" x14ac:dyDescent="0.3">
      <c r="I18313" t="s">
        <v>23466</v>
      </c>
      <c r="J18313" t="s">
        <v>5878</v>
      </c>
    </row>
    <row r="18314" spans="9:10" x14ac:dyDescent="0.3">
      <c r="I18314" t="s">
        <v>23467</v>
      </c>
      <c r="J18314" t="s">
        <v>5878</v>
      </c>
    </row>
    <row r="18315" spans="9:10" x14ac:dyDescent="0.3">
      <c r="I18315" t="s">
        <v>23468</v>
      </c>
      <c r="J18315" t="s">
        <v>5878</v>
      </c>
    </row>
    <row r="18316" spans="9:10" x14ac:dyDescent="0.3">
      <c r="I18316" t="s">
        <v>23469</v>
      </c>
      <c r="J18316" t="s">
        <v>5878</v>
      </c>
    </row>
    <row r="18317" spans="9:10" x14ac:dyDescent="0.3">
      <c r="I18317" t="s">
        <v>23470</v>
      </c>
      <c r="J18317" t="s">
        <v>5878</v>
      </c>
    </row>
    <row r="18318" spans="9:10" x14ac:dyDescent="0.3">
      <c r="I18318" t="s">
        <v>23471</v>
      </c>
      <c r="J18318" t="s">
        <v>5878</v>
      </c>
    </row>
    <row r="18319" spans="9:10" x14ac:dyDescent="0.3">
      <c r="I18319" t="s">
        <v>23472</v>
      </c>
      <c r="J18319" t="s">
        <v>5878</v>
      </c>
    </row>
    <row r="18320" spans="9:10" x14ac:dyDescent="0.3">
      <c r="I18320" t="s">
        <v>23473</v>
      </c>
      <c r="J18320" t="s">
        <v>5878</v>
      </c>
    </row>
    <row r="18321" spans="9:10" x14ac:dyDescent="0.3">
      <c r="I18321" t="s">
        <v>23474</v>
      </c>
      <c r="J18321" t="s">
        <v>5878</v>
      </c>
    </row>
    <row r="18322" spans="9:10" x14ac:dyDescent="0.3">
      <c r="I18322" t="s">
        <v>23179</v>
      </c>
      <c r="J18322" t="s">
        <v>5878</v>
      </c>
    </row>
    <row r="18323" spans="9:10" x14ac:dyDescent="0.3">
      <c r="I18323" t="s">
        <v>23475</v>
      </c>
      <c r="J18323" t="s">
        <v>5878</v>
      </c>
    </row>
    <row r="18324" spans="9:10" x14ac:dyDescent="0.3">
      <c r="I18324" t="s">
        <v>23476</v>
      </c>
      <c r="J18324" t="s">
        <v>5878</v>
      </c>
    </row>
    <row r="18325" spans="9:10" x14ac:dyDescent="0.3">
      <c r="I18325" t="s">
        <v>23477</v>
      </c>
      <c r="J18325" t="s">
        <v>5878</v>
      </c>
    </row>
    <row r="18326" spans="9:10" x14ac:dyDescent="0.3">
      <c r="I18326" t="s">
        <v>23478</v>
      </c>
      <c r="J18326" t="s">
        <v>5878</v>
      </c>
    </row>
    <row r="18327" spans="9:10" x14ac:dyDescent="0.3">
      <c r="I18327" t="s">
        <v>23479</v>
      </c>
      <c r="J18327" t="s">
        <v>5878</v>
      </c>
    </row>
    <row r="18328" spans="9:10" x14ac:dyDescent="0.3">
      <c r="I18328" t="s">
        <v>23480</v>
      </c>
      <c r="J18328" t="s">
        <v>5878</v>
      </c>
    </row>
    <row r="18329" spans="9:10" x14ac:dyDescent="0.3">
      <c r="I18329" t="s">
        <v>23481</v>
      </c>
      <c r="J18329" t="s">
        <v>5878</v>
      </c>
    </row>
    <row r="18330" spans="9:10" x14ac:dyDescent="0.3">
      <c r="I18330" t="s">
        <v>23482</v>
      </c>
      <c r="J18330" t="s">
        <v>5878</v>
      </c>
    </row>
    <row r="18331" spans="9:10" x14ac:dyDescent="0.3">
      <c r="I18331" t="s">
        <v>23483</v>
      </c>
      <c r="J18331" t="s">
        <v>5878</v>
      </c>
    </row>
    <row r="18332" spans="9:10" x14ac:dyDescent="0.3">
      <c r="I18332" t="s">
        <v>23484</v>
      </c>
      <c r="J18332" t="s">
        <v>5878</v>
      </c>
    </row>
    <row r="18333" spans="9:10" x14ac:dyDescent="0.3">
      <c r="I18333" t="s">
        <v>23485</v>
      </c>
      <c r="J18333" t="s">
        <v>5878</v>
      </c>
    </row>
    <row r="18334" spans="9:10" x14ac:dyDescent="0.3">
      <c r="I18334" t="s">
        <v>23486</v>
      </c>
      <c r="J18334" t="s">
        <v>5878</v>
      </c>
    </row>
    <row r="18335" spans="9:10" x14ac:dyDescent="0.3">
      <c r="I18335" t="s">
        <v>23487</v>
      </c>
      <c r="J18335" t="s">
        <v>5878</v>
      </c>
    </row>
    <row r="18336" spans="9:10" x14ac:dyDescent="0.3">
      <c r="I18336" t="s">
        <v>23488</v>
      </c>
      <c r="J18336" t="s">
        <v>5878</v>
      </c>
    </row>
    <row r="18337" spans="9:10" x14ac:dyDescent="0.3">
      <c r="I18337" t="s">
        <v>23489</v>
      </c>
      <c r="J18337" t="s">
        <v>5878</v>
      </c>
    </row>
    <row r="18338" spans="9:10" x14ac:dyDescent="0.3">
      <c r="I18338" t="s">
        <v>23490</v>
      </c>
      <c r="J18338" t="s">
        <v>5878</v>
      </c>
    </row>
    <row r="18339" spans="9:10" x14ac:dyDescent="0.3">
      <c r="I18339" t="s">
        <v>23491</v>
      </c>
      <c r="J18339" t="s">
        <v>5878</v>
      </c>
    </row>
    <row r="18340" spans="9:10" x14ac:dyDescent="0.3">
      <c r="I18340" t="s">
        <v>23492</v>
      </c>
      <c r="J18340" t="s">
        <v>5878</v>
      </c>
    </row>
    <row r="18341" spans="9:10" x14ac:dyDescent="0.3">
      <c r="I18341" t="s">
        <v>23493</v>
      </c>
      <c r="J18341" t="s">
        <v>5878</v>
      </c>
    </row>
    <row r="18342" spans="9:10" x14ac:dyDescent="0.3">
      <c r="I18342" t="s">
        <v>23494</v>
      </c>
      <c r="J18342" t="s">
        <v>5878</v>
      </c>
    </row>
    <row r="18343" spans="9:10" x14ac:dyDescent="0.3">
      <c r="I18343" t="s">
        <v>23495</v>
      </c>
      <c r="J18343" t="s">
        <v>5878</v>
      </c>
    </row>
    <row r="18344" spans="9:10" x14ac:dyDescent="0.3">
      <c r="I18344" t="s">
        <v>23496</v>
      </c>
      <c r="J18344" t="s">
        <v>5878</v>
      </c>
    </row>
    <row r="18345" spans="9:10" x14ac:dyDescent="0.3">
      <c r="I18345" t="s">
        <v>23497</v>
      </c>
      <c r="J18345" t="s">
        <v>5878</v>
      </c>
    </row>
    <row r="18346" spans="9:10" x14ac:dyDescent="0.3">
      <c r="I18346" t="s">
        <v>23498</v>
      </c>
      <c r="J18346" t="s">
        <v>5878</v>
      </c>
    </row>
    <row r="18347" spans="9:10" x14ac:dyDescent="0.3">
      <c r="I18347" t="s">
        <v>23499</v>
      </c>
      <c r="J18347" t="s">
        <v>5878</v>
      </c>
    </row>
    <row r="18348" spans="9:10" x14ac:dyDescent="0.3">
      <c r="I18348" t="s">
        <v>23500</v>
      </c>
      <c r="J18348" t="s">
        <v>5878</v>
      </c>
    </row>
    <row r="18349" spans="9:10" x14ac:dyDescent="0.3">
      <c r="I18349" t="s">
        <v>23501</v>
      </c>
      <c r="J18349" t="s">
        <v>5878</v>
      </c>
    </row>
    <row r="18350" spans="9:10" x14ac:dyDescent="0.3">
      <c r="I18350" t="s">
        <v>23502</v>
      </c>
      <c r="J18350" t="s">
        <v>5878</v>
      </c>
    </row>
    <row r="18351" spans="9:10" x14ac:dyDescent="0.3">
      <c r="I18351" t="s">
        <v>23503</v>
      </c>
      <c r="J18351" t="s">
        <v>5878</v>
      </c>
    </row>
    <row r="18352" spans="9:10" x14ac:dyDescent="0.3">
      <c r="I18352" t="s">
        <v>23504</v>
      </c>
      <c r="J18352" t="s">
        <v>5878</v>
      </c>
    </row>
    <row r="18353" spans="9:10" x14ac:dyDescent="0.3">
      <c r="I18353" t="s">
        <v>23505</v>
      </c>
      <c r="J18353" t="s">
        <v>5878</v>
      </c>
    </row>
    <row r="18354" spans="9:10" x14ac:dyDescent="0.3">
      <c r="I18354" t="s">
        <v>23506</v>
      </c>
      <c r="J18354" t="s">
        <v>5878</v>
      </c>
    </row>
    <row r="18355" spans="9:10" x14ac:dyDescent="0.3">
      <c r="I18355" t="s">
        <v>23507</v>
      </c>
      <c r="J18355" t="s">
        <v>5878</v>
      </c>
    </row>
    <row r="18356" spans="9:10" x14ac:dyDescent="0.3">
      <c r="I18356" t="s">
        <v>23508</v>
      </c>
      <c r="J18356" t="s">
        <v>5878</v>
      </c>
    </row>
    <row r="18357" spans="9:10" x14ac:dyDescent="0.3">
      <c r="I18357" t="s">
        <v>23509</v>
      </c>
      <c r="J18357" t="s">
        <v>5878</v>
      </c>
    </row>
    <row r="18358" spans="9:10" x14ac:dyDescent="0.3">
      <c r="I18358" t="s">
        <v>23510</v>
      </c>
      <c r="J18358" t="s">
        <v>5878</v>
      </c>
    </row>
    <row r="18359" spans="9:10" x14ac:dyDescent="0.3">
      <c r="I18359" t="s">
        <v>23511</v>
      </c>
      <c r="J18359" t="s">
        <v>5878</v>
      </c>
    </row>
    <row r="18360" spans="9:10" x14ac:dyDescent="0.3">
      <c r="I18360" t="s">
        <v>23512</v>
      </c>
      <c r="J18360" t="s">
        <v>5878</v>
      </c>
    </row>
    <row r="18361" spans="9:10" x14ac:dyDescent="0.3">
      <c r="I18361" t="s">
        <v>23513</v>
      </c>
      <c r="J18361" t="s">
        <v>5878</v>
      </c>
    </row>
    <row r="18362" spans="9:10" x14ac:dyDescent="0.3">
      <c r="I18362" t="s">
        <v>23514</v>
      </c>
      <c r="J18362" t="s">
        <v>5878</v>
      </c>
    </row>
    <row r="18363" spans="9:10" x14ac:dyDescent="0.3">
      <c r="I18363" t="s">
        <v>23515</v>
      </c>
      <c r="J18363" t="s">
        <v>5878</v>
      </c>
    </row>
    <row r="18364" spans="9:10" x14ac:dyDescent="0.3">
      <c r="I18364" t="s">
        <v>23516</v>
      </c>
      <c r="J18364" t="s">
        <v>5878</v>
      </c>
    </row>
    <row r="18365" spans="9:10" x14ac:dyDescent="0.3">
      <c r="I18365" t="s">
        <v>23517</v>
      </c>
      <c r="J18365" t="s">
        <v>5878</v>
      </c>
    </row>
    <row r="18366" spans="9:10" x14ac:dyDescent="0.3">
      <c r="I18366" t="s">
        <v>23518</v>
      </c>
      <c r="J18366" t="s">
        <v>5878</v>
      </c>
    </row>
    <row r="18367" spans="9:10" x14ac:dyDescent="0.3">
      <c r="I18367" t="s">
        <v>23519</v>
      </c>
      <c r="J18367" t="s">
        <v>5878</v>
      </c>
    </row>
    <row r="18368" spans="9:10" x14ac:dyDescent="0.3">
      <c r="I18368" t="s">
        <v>23520</v>
      </c>
      <c r="J18368" t="s">
        <v>5878</v>
      </c>
    </row>
    <row r="18369" spans="9:10" x14ac:dyDescent="0.3">
      <c r="I18369" t="s">
        <v>23521</v>
      </c>
      <c r="J18369" t="s">
        <v>5878</v>
      </c>
    </row>
    <row r="18370" spans="9:10" x14ac:dyDescent="0.3">
      <c r="I18370" t="s">
        <v>23522</v>
      </c>
      <c r="J18370" t="s">
        <v>5878</v>
      </c>
    </row>
    <row r="18371" spans="9:10" x14ac:dyDescent="0.3">
      <c r="I18371" t="s">
        <v>23523</v>
      </c>
      <c r="J18371" t="s">
        <v>5878</v>
      </c>
    </row>
    <row r="18372" spans="9:10" x14ac:dyDescent="0.3">
      <c r="I18372" t="s">
        <v>23524</v>
      </c>
      <c r="J18372" t="s">
        <v>5878</v>
      </c>
    </row>
    <row r="18373" spans="9:10" x14ac:dyDescent="0.3">
      <c r="I18373" t="s">
        <v>23525</v>
      </c>
      <c r="J18373" t="s">
        <v>5878</v>
      </c>
    </row>
    <row r="18374" spans="9:10" x14ac:dyDescent="0.3">
      <c r="I18374" t="s">
        <v>23526</v>
      </c>
      <c r="J18374" t="s">
        <v>5878</v>
      </c>
    </row>
    <row r="18375" spans="9:10" x14ac:dyDescent="0.3">
      <c r="I18375" t="s">
        <v>23527</v>
      </c>
      <c r="J18375" t="s">
        <v>5878</v>
      </c>
    </row>
    <row r="18376" spans="9:10" x14ac:dyDescent="0.3">
      <c r="I18376" t="s">
        <v>23528</v>
      </c>
      <c r="J18376" t="s">
        <v>5878</v>
      </c>
    </row>
    <row r="18377" spans="9:10" x14ac:dyDescent="0.3">
      <c r="I18377" t="s">
        <v>23529</v>
      </c>
      <c r="J18377" t="s">
        <v>5878</v>
      </c>
    </row>
    <row r="18378" spans="9:10" x14ac:dyDescent="0.3">
      <c r="I18378" t="s">
        <v>23530</v>
      </c>
      <c r="J18378" t="s">
        <v>5878</v>
      </c>
    </row>
    <row r="18379" spans="9:10" x14ac:dyDescent="0.3">
      <c r="I18379" t="s">
        <v>23531</v>
      </c>
      <c r="J18379" t="s">
        <v>5878</v>
      </c>
    </row>
    <row r="18380" spans="9:10" x14ac:dyDescent="0.3">
      <c r="I18380" t="s">
        <v>23532</v>
      </c>
      <c r="J18380" t="s">
        <v>5878</v>
      </c>
    </row>
    <row r="18381" spans="9:10" x14ac:dyDescent="0.3">
      <c r="I18381" t="s">
        <v>23533</v>
      </c>
      <c r="J18381" t="s">
        <v>5878</v>
      </c>
    </row>
    <row r="18382" spans="9:10" x14ac:dyDescent="0.3">
      <c r="I18382" t="s">
        <v>23534</v>
      </c>
      <c r="J18382" t="s">
        <v>5878</v>
      </c>
    </row>
    <row r="18383" spans="9:10" x14ac:dyDescent="0.3">
      <c r="I18383" t="s">
        <v>23535</v>
      </c>
      <c r="J18383" t="s">
        <v>5878</v>
      </c>
    </row>
    <row r="18384" spans="9:10" x14ac:dyDescent="0.3">
      <c r="I18384" t="s">
        <v>23536</v>
      </c>
      <c r="J18384" t="s">
        <v>5878</v>
      </c>
    </row>
    <row r="18385" spans="9:10" x14ac:dyDescent="0.3">
      <c r="I18385" t="s">
        <v>23537</v>
      </c>
      <c r="J18385" t="s">
        <v>5878</v>
      </c>
    </row>
    <row r="18386" spans="9:10" x14ac:dyDescent="0.3">
      <c r="I18386" t="s">
        <v>23538</v>
      </c>
      <c r="J18386" t="s">
        <v>5878</v>
      </c>
    </row>
    <row r="18387" spans="9:10" x14ac:dyDescent="0.3">
      <c r="I18387" t="s">
        <v>23539</v>
      </c>
      <c r="J18387" t="s">
        <v>5878</v>
      </c>
    </row>
    <row r="18388" spans="9:10" x14ac:dyDescent="0.3">
      <c r="I18388" t="s">
        <v>23540</v>
      </c>
      <c r="J18388" t="s">
        <v>5878</v>
      </c>
    </row>
    <row r="18389" spans="9:10" x14ac:dyDescent="0.3">
      <c r="I18389" t="s">
        <v>23541</v>
      </c>
      <c r="J18389" t="s">
        <v>5878</v>
      </c>
    </row>
    <row r="18390" spans="9:10" x14ac:dyDescent="0.3">
      <c r="I18390" t="s">
        <v>23542</v>
      </c>
      <c r="J18390" t="s">
        <v>5878</v>
      </c>
    </row>
    <row r="18391" spans="9:10" x14ac:dyDescent="0.3">
      <c r="I18391" t="s">
        <v>23543</v>
      </c>
      <c r="J18391" t="s">
        <v>5878</v>
      </c>
    </row>
    <row r="18392" spans="9:10" x14ac:dyDescent="0.3">
      <c r="I18392" t="s">
        <v>23544</v>
      </c>
      <c r="J18392" t="s">
        <v>5878</v>
      </c>
    </row>
    <row r="18393" spans="9:10" x14ac:dyDescent="0.3">
      <c r="I18393" t="s">
        <v>23545</v>
      </c>
      <c r="J18393" t="s">
        <v>5878</v>
      </c>
    </row>
    <row r="18394" spans="9:10" x14ac:dyDescent="0.3">
      <c r="I18394" t="s">
        <v>23546</v>
      </c>
      <c r="J18394" t="s">
        <v>5878</v>
      </c>
    </row>
    <row r="18395" spans="9:10" x14ac:dyDescent="0.3">
      <c r="I18395" t="s">
        <v>23547</v>
      </c>
      <c r="J18395" t="s">
        <v>5878</v>
      </c>
    </row>
    <row r="18396" spans="9:10" x14ac:dyDescent="0.3">
      <c r="I18396" t="s">
        <v>23548</v>
      </c>
      <c r="J18396" t="s">
        <v>5878</v>
      </c>
    </row>
    <row r="18397" spans="9:10" x14ac:dyDescent="0.3">
      <c r="I18397" t="s">
        <v>23549</v>
      </c>
      <c r="J18397" t="s">
        <v>5878</v>
      </c>
    </row>
    <row r="18398" spans="9:10" x14ac:dyDescent="0.3">
      <c r="I18398" t="s">
        <v>23550</v>
      </c>
      <c r="J18398" t="s">
        <v>5878</v>
      </c>
    </row>
    <row r="18399" spans="9:10" x14ac:dyDescent="0.3">
      <c r="I18399" t="s">
        <v>23551</v>
      </c>
      <c r="J18399" t="s">
        <v>5878</v>
      </c>
    </row>
    <row r="18400" spans="9:10" x14ac:dyDescent="0.3">
      <c r="I18400" t="s">
        <v>23552</v>
      </c>
      <c r="J18400" t="s">
        <v>5878</v>
      </c>
    </row>
    <row r="18401" spans="9:10" x14ac:dyDescent="0.3">
      <c r="I18401" t="s">
        <v>23553</v>
      </c>
      <c r="J18401" t="s">
        <v>5878</v>
      </c>
    </row>
    <row r="18402" spans="9:10" x14ac:dyDescent="0.3">
      <c r="I18402" t="s">
        <v>23554</v>
      </c>
      <c r="J18402" t="s">
        <v>5878</v>
      </c>
    </row>
    <row r="18403" spans="9:10" x14ac:dyDescent="0.3">
      <c r="I18403" t="s">
        <v>23555</v>
      </c>
      <c r="J18403" t="s">
        <v>5878</v>
      </c>
    </row>
    <row r="18404" spans="9:10" x14ac:dyDescent="0.3">
      <c r="I18404" t="s">
        <v>23556</v>
      </c>
      <c r="J18404" t="s">
        <v>5878</v>
      </c>
    </row>
    <row r="18405" spans="9:10" x14ac:dyDescent="0.3">
      <c r="I18405" t="s">
        <v>23557</v>
      </c>
      <c r="J18405" t="s">
        <v>5878</v>
      </c>
    </row>
    <row r="18406" spans="9:10" x14ac:dyDescent="0.3">
      <c r="I18406" t="s">
        <v>23558</v>
      </c>
      <c r="J18406" t="s">
        <v>5878</v>
      </c>
    </row>
    <row r="18407" spans="9:10" x14ac:dyDescent="0.3">
      <c r="I18407" t="s">
        <v>23559</v>
      </c>
      <c r="J18407" t="s">
        <v>5878</v>
      </c>
    </row>
    <row r="18408" spans="9:10" x14ac:dyDescent="0.3">
      <c r="I18408" t="s">
        <v>23560</v>
      </c>
      <c r="J18408" t="s">
        <v>5878</v>
      </c>
    </row>
    <row r="18409" spans="9:10" x14ac:dyDescent="0.3">
      <c r="I18409" t="s">
        <v>23561</v>
      </c>
      <c r="J18409" t="s">
        <v>5878</v>
      </c>
    </row>
    <row r="18410" spans="9:10" x14ac:dyDescent="0.3">
      <c r="I18410" t="s">
        <v>23562</v>
      </c>
      <c r="J18410" t="s">
        <v>5878</v>
      </c>
    </row>
    <row r="18411" spans="9:10" x14ac:dyDescent="0.3">
      <c r="I18411" t="s">
        <v>23563</v>
      </c>
      <c r="J18411" t="s">
        <v>5878</v>
      </c>
    </row>
    <row r="18412" spans="9:10" x14ac:dyDescent="0.3">
      <c r="I18412" t="s">
        <v>23234</v>
      </c>
      <c r="J18412" t="s">
        <v>5878</v>
      </c>
    </row>
    <row r="18413" spans="9:10" x14ac:dyDescent="0.3">
      <c r="I18413" t="s">
        <v>23564</v>
      </c>
      <c r="J18413" t="s">
        <v>5878</v>
      </c>
    </row>
    <row r="18414" spans="9:10" x14ac:dyDescent="0.3">
      <c r="I18414" t="s">
        <v>23565</v>
      </c>
      <c r="J18414" t="s">
        <v>5878</v>
      </c>
    </row>
    <row r="18415" spans="9:10" x14ac:dyDescent="0.3">
      <c r="I18415" t="s">
        <v>23566</v>
      </c>
      <c r="J18415" t="s">
        <v>5878</v>
      </c>
    </row>
    <row r="18416" spans="9:10" x14ac:dyDescent="0.3">
      <c r="I18416" t="s">
        <v>23567</v>
      </c>
      <c r="J18416" t="s">
        <v>5878</v>
      </c>
    </row>
    <row r="18417" spans="9:10" x14ac:dyDescent="0.3">
      <c r="I18417" t="s">
        <v>23568</v>
      </c>
      <c r="J18417" t="s">
        <v>5878</v>
      </c>
    </row>
    <row r="18418" spans="9:10" x14ac:dyDescent="0.3">
      <c r="I18418" t="s">
        <v>23569</v>
      </c>
      <c r="J18418" t="s">
        <v>5878</v>
      </c>
    </row>
    <row r="18419" spans="9:10" x14ac:dyDescent="0.3">
      <c r="I18419" t="s">
        <v>23570</v>
      </c>
      <c r="J18419" t="s">
        <v>5878</v>
      </c>
    </row>
    <row r="18420" spans="9:10" x14ac:dyDescent="0.3">
      <c r="I18420" t="s">
        <v>23571</v>
      </c>
      <c r="J18420" t="s">
        <v>5878</v>
      </c>
    </row>
    <row r="18421" spans="9:10" x14ac:dyDescent="0.3">
      <c r="I18421" t="s">
        <v>23572</v>
      </c>
      <c r="J18421" t="s">
        <v>5878</v>
      </c>
    </row>
    <row r="18422" spans="9:10" x14ac:dyDescent="0.3">
      <c r="I18422" t="s">
        <v>23573</v>
      </c>
      <c r="J18422" t="s">
        <v>5878</v>
      </c>
    </row>
    <row r="18423" spans="9:10" x14ac:dyDescent="0.3">
      <c r="I18423" t="s">
        <v>23574</v>
      </c>
      <c r="J18423" t="s">
        <v>5878</v>
      </c>
    </row>
    <row r="18424" spans="9:10" x14ac:dyDescent="0.3">
      <c r="I18424" t="s">
        <v>23575</v>
      </c>
      <c r="J18424" t="s">
        <v>5878</v>
      </c>
    </row>
    <row r="18425" spans="9:10" x14ac:dyDescent="0.3">
      <c r="I18425" t="s">
        <v>23576</v>
      </c>
      <c r="J18425" t="s">
        <v>5878</v>
      </c>
    </row>
    <row r="18426" spans="9:10" x14ac:dyDescent="0.3">
      <c r="I18426" t="s">
        <v>23577</v>
      </c>
      <c r="J18426" t="s">
        <v>5878</v>
      </c>
    </row>
    <row r="18427" spans="9:10" x14ac:dyDescent="0.3">
      <c r="I18427" t="s">
        <v>23578</v>
      </c>
      <c r="J18427" t="s">
        <v>5878</v>
      </c>
    </row>
    <row r="18428" spans="9:10" x14ac:dyDescent="0.3">
      <c r="I18428" t="s">
        <v>23579</v>
      </c>
      <c r="J18428" t="s">
        <v>5878</v>
      </c>
    </row>
    <row r="18429" spans="9:10" x14ac:dyDescent="0.3">
      <c r="I18429" t="s">
        <v>23580</v>
      </c>
      <c r="J18429" t="s">
        <v>5878</v>
      </c>
    </row>
    <row r="18430" spans="9:10" x14ac:dyDescent="0.3">
      <c r="I18430" t="s">
        <v>23581</v>
      </c>
      <c r="J18430" t="s">
        <v>5878</v>
      </c>
    </row>
    <row r="18431" spans="9:10" x14ac:dyDescent="0.3">
      <c r="I18431" t="s">
        <v>23582</v>
      </c>
      <c r="J18431" t="s">
        <v>5878</v>
      </c>
    </row>
    <row r="18432" spans="9:10" x14ac:dyDescent="0.3">
      <c r="I18432" t="s">
        <v>23583</v>
      </c>
      <c r="J18432" t="s">
        <v>5878</v>
      </c>
    </row>
    <row r="18433" spans="9:10" x14ac:dyDescent="0.3">
      <c r="I18433" t="s">
        <v>23584</v>
      </c>
      <c r="J18433" t="s">
        <v>5878</v>
      </c>
    </row>
    <row r="18434" spans="9:10" x14ac:dyDescent="0.3">
      <c r="I18434" t="s">
        <v>23585</v>
      </c>
      <c r="J18434" t="s">
        <v>5878</v>
      </c>
    </row>
    <row r="18435" spans="9:10" x14ac:dyDescent="0.3">
      <c r="I18435" t="s">
        <v>23586</v>
      </c>
      <c r="J18435" t="s">
        <v>5878</v>
      </c>
    </row>
    <row r="18436" spans="9:10" x14ac:dyDescent="0.3">
      <c r="I18436" t="s">
        <v>23587</v>
      </c>
      <c r="J18436" t="s">
        <v>5878</v>
      </c>
    </row>
    <row r="18437" spans="9:10" x14ac:dyDescent="0.3">
      <c r="I18437" t="s">
        <v>23588</v>
      </c>
      <c r="J18437" t="s">
        <v>5878</v>
      </c>
    </row>
    <row r="18438" spans="9:10" x14ac:dyDescent="0.3">
      <c r="I18438" t="s">
        <v>23589</v>
      </c>
      <c r="J18438" t="s">
        <v>5878</v>
      </c>
    </row>
    <row r="18439" spans="9:10" x14ac:dyDescent="0.3">
      <c r="I18439" t="s">
        <v>23590</v>
      </c>
      <c r="J18439" t="s">
        <v>5878</v>
      </c>
    </row>
    <row r="18440" spans="9:10" x14ac:dyDescent="0.3">
      <c r="I18440" t="s">
        <v>23591</v>
      </c>
      <c r="J18440" t="s">
        <v>5878</v>
      </c>
    </row>
    <row r="18441" spans="9:10" x14ac:dyDescent="0.3">
      <c r="I18441" t="s">
        <v>23592</v>
      </c>
      <c r="J18441" t="s">
        <v>5878</v>
      </c>
    </row>
    <row r="18442" spans="9:10" x14ac:dyDescent="0.3">
      <c r="I18442" t="s">
        <v>23593</v>
      </c>
      <c r="J18442" t="s">
        <v>5878</v>
      </c>
    </row>
    <row r="18443" spans="9:10" x14ac:dyDescent="0.3">
      <c r="I18443" t="s">
        <v>23594</v>
      </c>
      <c r="J18443" t="s">
        <v>5878</v>
      </c>
    </row>
    <row r="18444" spans="9:10" x14ac:dyDescent="0.3">
      <c r="I18444" t="s">
        <v>23595</v>
      </c>
      <c r="J18444" t="s">
        <v>5878</v>
      </c>
    </row>
    <row r="18445" spans="9:10" x14ac:dyDescent="0.3">
      <c r="I18445" t="s">
        <v>23596</v>
      </c>
      <c r="J18445" t="s">
        <v>5878</v>
      </c>
    </row>
    <row r="18446" spans="9:10" x14ac:dyDescent="0.3">
      <c r="I18446" t="s">
        <v>23597</v>
      </c>
      <c r="J18446" t="s">
        <v>5878</v>
      </c>
    </row>
    <row r="18447" spans="9:10" x14ac:dyDescent="0.3">
      <c r="I18447" t="s">
        <v>23598</v>
      </c>
      <c r="J18447" t="s">
        <v>5878</v>
      </c>
    </row>
    <row r="18448" spans="9:10" x14ac:dyDescent="0.3">
      <c r="I18448" t="s">
        <v>23599</v>
      </c>
      <c r="J18448" t="s">
        <v>5878</v>
      </c>
    </row>
    <row r="18449" spans="9:10" x14ac:dyDescent="0.3">
      <c r="I18449" t="s">
        <v>23600</v>
      </c>
      <c r="J18449" t="s">
        <v>5878</v>
      </c>
    </row>
    <row r="18450" spans="9:10" x14ac:dyDescent="0.3">
      <c r="I18450" t="s">
        <v>23601</v>
      </c>
      <c r="J18450" t="s">
        <v>5878</v>
      </c>
    </row>
    <row r="18451" spans="9:10" x14ac:dyDescent="0.3">
      <c r="I18451" t="s">
        <v>23602</v>
      </c>
      <c r="J18451" t="s">
        <v>5878</v>
      </c>
    </row>
    <row r="18452" spans="9:10" x14ac:dyDescent="0.3">
      <c r="I18452" t="s">
        <v>23603</v>
      </c>
      <c r="J18452" t="s">
        <v>5878</v>
      </c>
    </row>
    <row r="18453" spans="9:10" x14ac:dyDescent="0.3">
      <c r="I18453" t="s">
        <v>23604</v>
      </c>
      <c r="J18453" t="s">
        <v>5878</v>
      </c>
    </row>
    <row r="18454" spans="9:10" x14ac:dyDescent="0.3">
      <c r="I18454" t="s">
        <v>23605</v>
      </c>
      <c r="J18454" t="s">
        <v>5878</v>
      </c>
    </row>
    <row r="18455" spans="9:10" x14ac:dyDescent="0.3">
      <c r="I18455" t="s">
        <v>23606</v>
      </c>
      <c r="J18455" t="s">
        <v>5878</v>
      </c>
    </row>
    <row r="18456" spans="9:10" x14ac:dyDescent="0.3">
      <c r="I18456" t="s">
        <v>23607</v>
      </c>
      <c r="J18456" t="s">
        <v>5878</v>
      </c>
    </row>
    <row r="18457" spans="9:10" x14ac:dyDescent="0.3">
      <c r="I18457" t="s">
        <v>23608</v>
      </c>
      <c r="J18457" t="s">
        <v>5878</v>
      </c>
    </row>
    <row r="18458" spans="9:10" x14ac:dyDescent="0.3">
      <c r="I18458" t="s">
        <v>23609</v>
      </c>
      <c r="J18458" t="s">
        <v>5878</v>
      </c>
    </row>
    <row r="18459" spans="9:10" x14ac:dyDescent="0.3">
      <c r="I18459" t="s">
        <v>23610</v>
      </c>
      <c r="J18459" t="s">
        <v>5878</v>
      </c>
    </row>
    <row r="18460" spans="9:10" x14ac:dyDescent="0.3">
      <c r="I18460" t="s">
        <v>23611</v>
      </c>
      <c r="J18460" t="s">
        <v>5878</v>
      </c>
    </row>
    <row r="18461" spans="9:10" x14ac:dyDescent="0.3">
      <c r="I18461" t="s">
        <v>23612</v>
      </c>
      <c r="J18461" t="s">
        <v>5878</v>
      </c>
    </row>
    <row r="18462" spans="9:10" x14ac:dyDescent="0.3">
      <c r="I18462" t="s">
        <v>23613</v>
      </c>
      <c r="J18462" t="s">
        <v>5878</v>
      </c>
    </row>
    <row r="18463" spans="9:10" x14ac:dyDescent="0.3">
      <c r="I18463" t="s">
        <v>23614</v>
      </c>
      <c r="J18463" t="s">
        <v>5878</v>
      </c>
    </row>
    <row r="18464" spans="9:10" x14ac:dyDescent="0.3">
      <c r="I18464" t="s">
        <v>23615</v>
      </c>
      <c r="J18464" t="s">
        <v>5878</v>
      </c>
    </row>
    <row r="18465" spans="9:10" x14ac:dyDescent="0.3">
      <c r="I18465" t="s">
        <v>23616</v>
      </c>
      <c r="J18465" t="s">
        <v>5878</v>
      </c>
    </row>
    <row r="18466" spans="9:10" x14ac:dyDescent="0.3">
      <c r="I18466" t="s">
        <v>23617</v>
      </c>
      <c r="J18466" t="s">
        <v>5878</v>
      </c>
    </row>
    <row r="18467" spans="9:10" x14ac:dyDescent="0.3">
      <c r="I18467" t="s">
        <v>23618</v>
      </c>
      <c r="J18467" t="s">
        <v>5878</v>
      </c>
    </row>
    <row r="18468" spans="9:10" x14ac:dyDescent="0.3">
      <c r="I18468" t="s">
        <v>23619</v>
      </c>
      <c r="J18468" t="s">
        <v>5878</v>
      </c>
    </row>
    <row r="18469" spans="9:10" x14ac:dyDescent="0.3">
      <c r="I18469" t="s">
        <v>23620</v>
      </c>
      <c r="J18469" t="s">
        <v>5878</v>
      </c>
    </row>
    <row r="18470" spans="9:10" x14ac:dyDescent="0.3">
      <c r="I18470" t="s">
        <v>23621</v>
      </c>
      <c r="J18470" t="s">
        <v>5878</v>
      </c>
    </row>
    <row r="18471" spans="9:10" x14ac:dyDescent="0.3">
      <c r="I18471" t="s">
        <v>23622</v>
      </c>
      <c r="J18471" t="s">
        <v>5878</v>
      </c>
    </row>
    <row r="18472" spans="9:10" x14ac:dyDescent="0.3">
      <c r="I18472" t="s">
        <v>23623</v>
      </c>
      <c r="J18472" t="s">
        <v>5878</v>
      </c>
    </row>
    <row r="18473" spans="9:10" x14ac:dyDescent="0.3">
      <c r="I18473" t="s">
        <v>23624</v>
      </c>
      <c r="J18473" t="s">
        <v>5878</v>
      </c>
    </row>
    <row r="18474" spans="9:10" x14ac:dyDescent="0.3">
      <c r="I18474" t="s">
        <v>23625</v>
      </c>
      <c r="J18474" t="s">
        <v>5878</v>
      </c>
    </row>
    <row r="18475" spans="9:10" x14ac:dyDescent="0.3">
      <c r="I18475" t="s">
        <v>23626</v>
      </c>
      <c r="J18475" t="s">
        <v>5878</v>
      </c>
    </row>
    <row r="18476" spans="9:10" x14ac:dyDescent="0.3">
      <c r="I18476" t="s">
        <v>23627</v>
      </c>
      <c r="J18476" t="s">
        <v>5878</v>
      </c>
    </row>
    <row r="18477" spans="9:10" x14ac:dyDescent="0.3">
      <c r="I18477" t="s">
        <v>23628</v>
      </c>
      <c r="J18477" t="s">
        <v>5878</v>
      </c>
    </row>
    <row r="18478" spans="9:10" x14ac:dyDescent="0.3">
      <c r="I18478" t="s">
        <v>23629</v>
      </c>
      <c r="J18478" t="s">
        <v>5878</v>
      </c>
    </row>
    <row r="18479" spans="9:10" x14ac:dyDescent="0.3">
      <c r="I18479" t="s">
        <v>23630</v>
      </c>
      <c r="J18479" t="s">
        <v>5878</v>
      </c>
    </row>
    <row r="18480" spans="9:10" x14ac:dyDescent="0.3">
      <c r="I18480" t="s">
        <v>23631</v>
      </c>
      <c r="J18480" t="s">
        <v>5878</v>
      </c>
    </row>
    <row r="18481" spans="9:10" x14ac:dyDescent="0.3">
      <c r="I18481" t="s">
        <v>23632</v>
      </c>
      <c r="J18481" t="s">
        <v>5878</v>
      </c>
    </row>
    <row r="18482" spans="9:10" x14ac:dyDescent="0.3">
      <c r="I18482" t="s">
        <v>23633</v>
      </c>
      <c r="J18482" t="s">
        <v>5878</v>
      </c>
    </row>
    <row r="18483" spans="9:10" x14ac:dyDescent="0.3">
      <c r="I18483" t="s">
        <v>22056</v>
      </c>
      <c r="J18483" t="s">
        <v>5878</v>
      </c>
    </row>
    <row r="18484" spans="9:10" x14ac:dyDescent="0.3">
      <c r="I18484" t="s">
        <v>23634</v>
      </c>
      <c r="J18484" t="s">
        <v>5878</v>
      </c>
    </row>
    <row r="18485" spans="9:10" x14ac:dyDescent="0.3">
      <c r="I18485" t="s">
        <v>23635</v>
      </c>
      <c r="J18485" t="s">
        <v>5878</v>
      </c>
    </row>
    <row r="18486" spans="9:10" x14ac:dyDescent="0.3">
      <c r="I18486" t="s">
        <v>23636</v>
      </c>
      <c r="J18486" t="s">
        <v>5878</v>
      </c>
    </row>
    <row r="18487" spans="9:10" x14ac:dyDescent="0.3">
      <c r="I18487" t="s">
        <v>23637</v>
      </c>
      <c r="J18487" t="s">
        <v>5878</v>
      </c>
    </row>
    <row r="18488" spans="9:10" x14ac:dyDescent="0.3">
      <c r="I18488" t="s">
        <v>23638</v>
      </c>
      <c r="J18488" t="s">
        <v>5878</v>
      </c>
    </row>
    <row r="18489" spans="9:10" x14ac:dyDescent="0.3">
      <c r="I18489" t="s">
        <v>23639</v>
      </c>
      <c r="J18489" t="s">
        <v>5878</v>
      </c>
    </row>
    <row r="18490" spans="9:10" x14ac:dyDescent="0.3">
      <c r="I18490" t="s">
        <v>23640</v>
      </c>
      <c r="J18490" t="s">
        <v>5878</v>
      </c>
    </row>
    <row r="18491" spans="9:10" x14ac:dyDescent="0.3">
      <c r="I18491" t="s">
        <v>23641</v>
      </c>
      <c r="J18491" t="s">
        <v>5878</v>
      </c>
    </row>
    <row r="18492" spans="9:10" x14ac:dyDescent="0.3">
      <c r="I18492" t="s">
        <v>23642</v>
      </c>
      <c r="J18492" t="s">
        <v>5878</v>
      </c>
    </row>
    <row r="18493" spans="9:10" x14ac:dyDescent="0.3">
      <c r="I18493" t="s">
        <v>23643</v>
      </c>
      <c r="J18493" t="s">
        <v>5878</v>
      </c>
    </row>
    <row r="18494" spans="9:10" x14ac:dyDescent="0.3">
      <c r="I18494" t="s">
        <v>23644</v>
      </c>
      <c r="J18494" t="s">
        <v>5878</v>
      </c>
    </row>
    <row r="18495" spans="9:10" x14ac:dyDescent="0.3">
      <c r="I18495" t="s">
        <v>23645</v>
      </c>
      <c r="J18495" t="s">
        <v>5878</v>
      </c>
    </row>
    <row r="18496" spans="9:10" x14ac:dyDescent="0.3">
      <c r="I18496" t="s">
        <v>23646</v>
      </c>
      <c r="J18496" t="s">
        <v>5878</v>
      </c>
    </row>
    <row r="18497" spans="9:10" x14ac:dyDescent="0.3">
      <c r="I18497" t="s">
        <v>23647</v>
      </c>
      <c r="J18497" t="s">
        <v>5878</v>
      </c>
    </row>
    <row r="18498" spans="9:10" x14ac:dyDescent="0.3">
      <c r="I18498" t="s">
        <v>23648</v>
      </c>
      <c r="J18498" t="s">
        <v>5878</v>
      </c>
    </row>
    <row r="18499" spans="9:10" x14ac:dyDescent="0.3">
      <c r="I18499" t="s">
        <v>23649</v>
      </c>
      <c r="J18499" t="s">
        <v>5878</v>
      </c>
    </row>
    <row r="18500" spans="9:10" x14ac:dyDescent="0.3">
      <c r="I18500" t="s">
        <v>23650</v>
      </c>
      <c r="J18500" t="s">
        <v>5878</v>
      </c>
    </row>
    <row r="18501" spans="9:10" x14ac:dyDescent="0.3">
      <c r="I18501" t="s">
        <v>23651</v>
      </c>
      <c r="J18501" t="s">
        <v>5878</v>
      </c>
    </row>
    <row r="18502" spans="9:10" x14ac:dyDescent="0.3">
      <c r="I18502" t="s">
        <v>23652</v>
      </c>
      <c r="J18502" t="s">
        <v>5878</v>
      </c>
    </row>
    <row r="18503" spans="9:10" x14ac:dyDescent="0.3">
      <c r="I18503" t="s">
        <v>23653</v>
      </c>
      <c r="J18503" t="s">
        <v>5878</v>
      </c>
    </row>
    <row r="18504" spans="9:10" x14ac:dyDescent="0.3">
      <c r="I18504" t="s">
        <v>23654</v>
      </c>
      <c r="J18504" t="s">
        <v>5878</v>
      </c>
    </row>
    <row r="18505" spans="9:10" x14ac:dyDescent="0.3">
      <c r="I18505" t="s">
        <v>23655</v>
      </c>
      <c r="J18505" t="s">
        <v>5878</v>
      </c>
    </row>
    <row r="18506" spans="9:10" x14ac:dyDescent="0.3">
      <c r="I18506" t="s">
        <v>23656</v>
      </c>
      <c r="J18506" t="s">
        <v>5878</v>
      </c>
    </row>
    <row r="18507" spans="9:10" x14ac:dyDescent="0.3">
      <c r="I18507" t="s">
        <v>23657</v>
      </c>
      <c r="J18507" t="s">
        <v>5878</v>
      </c>
    </row>
    <row r="18508" spans="9:10" x14ac:dyDescent="0.3">
      <c r="I18508" t="s">
        <v>23658</v>
      </c>
      <c r="J18508" t="s">
        <v>5878</v>
      </c>
    </row>
    <row r="18509" spans="9:10" x14ac:dyDescent="0.3">
      <c r="I18509" t="s">
        <v>23659</v>
      </c>
      <c r="J18509" t="s">
        <v>5878</v>
      </c>
    </row>
    <row r="18510" spans="9:10" x14ac:dyDescent="0.3">
      <c r="I18510" t="s">
        <v>23660</v>
      </c>
      <c r="J18510" t="s">
        <v>5878</v>
      </c>
    </row>
    <row r="18511" spans="9:10" x14ac:dyDescent="0.3">
      <c r="I18511" t="s">
        <v>23661</v>
      </c>
      <c r="J18511" t="s">
        <v>5878</v>
      </c>
    </row>
    <row r="18512" spans="9:10" x14ac:dyDescent="0.3">
      <c r="I18512" t="s">
        <v>23662</v>
      </c>
      <c r="J18512" t="s">
        <v>5878</v>
      </c>
    </row>
    <row r="18513" spans="9:10" x14ac:dyDescent="0.3">
      <c r="I18513" t="s">
        <v>23663</v>
      </c>
      <c r="J18513" t="s">
        <v>5878</v>
      </c>
    </row>
    <row r="18514" spans="9:10" x14ac:dyDescent="0.3">
      <c r="I18514" t="s">
        <v>23664</v>
      </c>
      <c r="J18514" t="s">
        <v>5878</v>
      </c>
    </row>
    <row r="18515" spans="9:10" x14ac:dyDescent="0.3">
      <c r="I18515" t="s">
        <v>23665</v>
      </c>
      <c r="J18515" t="s">
        <v>5878</v>
      </c>
    </row>
    <row r="18516" spans="9:10" x14ac:dyDescent="0.3">
      <c r="I18516" t="s">
        <v>23666</v>
      </c>
      <c r="J18516" t="s">
        <v>5878</v>
      </c>
    </row>
    <row r="18517" spans="9:10" x14ac:dyDescent="0.3">
      <c r="I18517" t="s">
        <v>23667</v>
      </c>
      <c r="J18517" t="s">
        <v>5878</v>
      </c>
    </row>
    <row r="18518" spans="9:10" x14ac:dyDescent="0.3">
      <c r="I18518" t="s">
        <v>23668</v>
      </c>
      <c r="J18518" t="s">
        <v>5878</v>
      </c>
    </row>
    <row r="18519" spans="9:10" x14ac:dyDescent="0.3">
      <c r="I18519" t="s">
        <v>23669</v>
      </c>
      <c r="J18519" t="s">
        <v>5878</v>
      </c>
    </row>
    <row r="18520" spans="9:10" x14ac:dyDescent="0.3">
      <c r="I18520" t="s">
        <v>23670</v>
      </c>
      <c r="J18520" t="s">
        <v>5878</v>
      </c>
    </row>
    <row r="18521" spans="9:10" x14ac:dyDescent="0.3">
      <c r="I18521" t="s">
        <v>23671</v>
      </c>
      <c r="J18521" t="s">
        <v>5878</v>
      </c>
    </row>
    <row r="18522" spans="9:10" x14ac:dyDescent="0.3">
      <c r="I18522" t="s">
        <v>23672</v>
      </c>
      <c r="J18522" t="s">
        <v>5878</v>
      </c>
    </row>
    <row r="18523" spans="9:10" x14ac:dyDescent="0.3">
      <c r="I18523" t="s">
        <v>23673</v>
      </c>
      <c r="J18523" t="s">
        <v>5878</v>
      </c>
    </row>
    <row r="18524" spans="9:10" x14ac:dyDescent="0.3">
      <c r="I18524" t="s">
        <v>23674</v>
      </c>
      <c r="J18524" t="s">
        <v>5878</v>
      </c>
    </row>
    <row r="18525" spans="9:10" x14ac:dyDescent="0.3">
      <c r="I18525" t="s">
        <v>23675</v>
      </c>
      <c r="J18525" t="s">
        <v>5878</v>
      </c>
    </row>
    <row r="18526" spans="9:10" x14ac:dyDescent="0.3">
      <c r="I18526" t="s">
        <v>23676</v>
      </c>
      <c r="J18526" t="s">
        <v>5878</v>
      </c>
    </row>
    <row r="18527" spans="9:10" x14ac:dyDescent="0.3">
      <c r="I18527" t="s">
        <v>23677</v>
      </c>
      <c r="J18527" t="s">
        <v>5878</v>
      </c>
    </row>
    <row r="18528" spans="9:10" x14ac:dyDescent="0.3">
      <c r="I18528" t="s">
        <v>23678</v>
      </c>
      <c r="J18528" t="s">
        <v>5878</v>
      </c>
    </row>
    <row r="18529" spans="9:10" x14ac:dyDescent="0.3">
      <c r="I18529" t="s">
        <v>23679</v>
      </c>
      <c r="J18529" t="s">
        <v>5878</v>
      </c>
    </row>
    <row r="18530" spans="9:10" x14ac:dyDescent="0.3">
      <c r="I18530" t="s">
        <v>23680</v>
      </c>
      <c r="J18530" t="s">
        <v>5878</v>
      </c>
    </row>
    <row r="18531" spans="9:10" x14ac:dyDescent="0.3">
      <c r="I18531" t="s">
        <v>23681</v>
      </c>
      <c r="J18531" t="s">
        <v>5878</v>
      </c>
    </row>
    <row r="18532" spans="9:10" x14ac:dyDescent="0.3">
      <c r="I18532" t="s">
        <v>23682</v>
      </c>
      <c r="J18532" t="s">
        <v>5878</v>
      </c>
    </row>
    <row r="18533" spans="9:10" x14ac:dyDescent="0.3">
      <c r="I18533" t="s">
        <v>23683</v>
      </c>
      <c r="J18533" t="s">
        <v>5878</v>
      </c>
    </row>
    <row r="18534" spans="9:10" x14ac:dyDescent="0.3">
      <c r="I18534" t="s">
        <v>23684</v>
      </c>
      <c r="J18534" t="s">
        <v>5878</v>
      </c>
    </row>
    <row r="18535" spans="9:10" x14ac:dyDescent="0.3">
      <c r="I18535" t="s">
        <v>23685</v>
      </c>
      <c r="J18535" t="s">
        <v>5878</v>
      </c>
    </row>
    <row r="18536" spans="9:10" x14ac:dyDescent="0.3">
      <c r="I18536" t="s">
        <v>23686</v>
      </c>
      <c r="J18536" t="s">
        <v>5878</v>
      </c>
    </row>
    <row r="18537" spans="9:10" x14ac:dyDescent="0.3">
      <c r="I18537" t="s">
        <v>23687</v>
      </c>
      <c r="J18537" t="s">
        <v>5878</v>
      </c>
    </row>
    <row r="18538" spans="9:10" x14ac:dyDescent="0.3">
      <c r="I18538" t="s">
        <v>23688</v>
      </c>
      <c r="J18538" t="s">
        <v>5878</v>
      </c>
    </row>
    <row r="18539" spans="9:10" x14ac:dyDescent="0.3">
      <c r="I18539" t="s">
        <v>23689</v>
      </c>
      <c r="J18539" t="s">
        <v>5878</v>
      </c>
    </row>
    <row r="18540" spans="9:10" x14ac:dyDescent="0.3">
      <c r="I18540" t="s">
        <v>23690</v>
      </c>
      <c r="J18540" t="s">
        <v>5878</v>
      </c>
    </row>
    <row r="18541" spans="9:10" x14ac:dyDescent="0.3">
      <c r="I18541" t="s">
        <v>23691</v>
      </c>
      <c r="J18541" t="s">
        <v>5878</v>
      </c>
    </row>
    <row r="18542" spans="9:10" x14ac:dyDescent="0.3">
      <c r="I18542" t="s">
        <v>23692</v>
      </c>
      <c r="J18542" t="s">
        <v>5878</v>
      </c>
    </row>
    <row r="18543" spans="9:10" x14ac:dyDescent="0.3">
      <c r="I18543" t="s">
        <v>23693</v>
      </c>
      <c r="J18543" t="s">
        <v>5878</v>
      </c>
    </row>
    <row r="18544" spans="9:10" x14ac:dyDescent="0.3">
      <c r="I18544" t="s">
        <v>23694</v>
      </c>
      <c r="J18544" t="s">
        <v>5878</v>
      </c>
    </row>
    <row r="18545" spans="9:10" x14ac:dyDescent="0.3">
      <c r="I18545" t="s">
        <v>23695</v>
      </c>
      <c r="J18545" t="s">
        <v>5878</v>
      </c>
    </row>
    <row r="18546" spans="9:10" x14ac:dyDescent="0.3">
      <c r="I18546" t="s">
        <v>23696</v>
      </c>
      <c r="J18546" t="s">
        <v>5878</v>
      </c>
    </row>
    <row r="18547" spans="9:10" x14ac:dyDescent="0.3">
      <c r="I18547" t="s">
        <v>23697</v>
      </c>
      <c r="J18547" t="s">
        <v>5878</v>
      </c>
    </row>
    <row r="18548" spans="9:10" x14ac:dyDescent="0.3">
      <c r="I18548" t="s">
        <v>23698</v>
      </c>
      <c r="J18548" t="s">
        <v>5878</v>
      </c>
    </row>
    <row r="18549" spans="9:10" x14ac:dyDescent="0.3">
      <c r="I18549" t="s">
        <v>23699</v>
      </c>
      <c r="J18549" t="s">
        <v>5878</v>
      </c>
    </row>
    <row r="18550" spans="9:10" x14ac:dyDescent="0.3">
      <c r="I18550" t="s">
        <v>23700</v>
      </c>
      <c r="J18550" t="s">
        <v>5878</v>
      </c>
    </row>
    <row r="18551" spans="9:10" x14ac:dyDescent="0.3">
      <c r="I18551" t="s">
        <v>23701</v>
      </c>
      <c r="J18551" t="s">
        <v>5878</v>
      </c>
    </row>
    <row r="18552" spans="9:10" x14ac:dyDescent="0.3">
      <c r="I18552" t="s">
        <v>23702</v>
      </c>
      <c r="J18552" t="s">
        <v>5878</v>
      </c>
    </row>
    <row r="18553" spans="9:10" x14ac:dyDescent="0.3">
      <c r="I18553" t="s">
        <v>23703</v>
      </c>
      <c r="J18553" t="s">
        <v>5878</v>
      </c>
    </row>
    <row r="18554" spans="9:10" x14ac:dyDescent="0.3">
      <c r="I18554" t="s">
        <v>23704</v>
      </c>
      <c r="J18554" t="s">
        <v>5878</v>
      </c>
    </row>
    <row r="18555" spans="9:10" x14ac:dyDescent="0.3">
      <c r="I18555" t="s">
        <v>23705</v>
      </c>
      <c r="J18555" t="s">
        <v>5878</v>
      </c>
    </row>
    <row r="18556" spans="9:10" x14ac:dyDescent="0.3">
      <c r="I18556" t="s">
        <v>23706</v>
      </c>
      <c r="J18556" t="s">
        <v>5878</v>
      </c>
    </row>
    <row r="18557" spans="9:10" x14ac:dyDescent="0.3">
      <c r="I18557" t="s">
        <v>23707</v>
      </c>
      <c r="J18557" t="s">
        <v>5878</v>
      </c>
    </row>
    <row r="18558" spans="9:10" x14ac:dyDescent="0.3">
      <c r="I18558" t="s">
        <v>23708</v>
      </c>
      <c r="J18558" t="s">
        <v>5878</v>
      </c>
    </row>
    <row r="18559" spans="9:10" x14ac:dyDescent="0.3">
      <c r="I18559" t="s">
        <v>23709</v>
      </c>
      <c r="J18559" t="s">
        <v>5878</v>
      </c>
    </row>
    <row r="18560" spans="9:10" x14ac:dyDescent="0.3">
      <c r="I18560" t="s">
        <v>23710</v>
      </c>
      <c r="J18560" t="s">
        <v>5878</v>
      </c>
    </row>
    <row r="18561" spans="9:10" x14ac:dyDescent="0.3">
      <c r="I18561" t="s">
        <v>23711</v>
      </c>
      <c r="J18561" t="s">
        <v>5878</v>
      </c>
    </row>
    <row r="18562" spans="9:10" x14ac:dyDescent="0.3">
      <c r="I18562" t="s">
        <v>23712</v>
      </c>
      <c r="J18562" t="s">
        <v>5878</v>
      </c>
    </row>
    <row r="18563" spans="9:10" x14ac:dyDescent="0.3">
      <c r="I18563" t="s">
        <v>23713</v>
      </c>
      <c r="J18563" t="s">
        <v>5878</v>
      </c>
    </row>
    <row r="18564" spans="9:10" x14ac:dyDescent="0.3">
      <c r="I18564" t="s">
        <v>23714</v>
      </c>
      <c r="J18564" t="s">
        <v>5878</v>
      </c>
    </row>
    <row r="18565" spans="9:10" x14ac:dyDescent="0.3">
      <c r="I18565" t="s">
        <v>23715</v>
      </c>
      <c r="J18565" t="s">
        <v>5878</v>
      </c>
    </row>
    <row r="18566" spans="9:10" x14ac:dyDescent="0.3">
      <c r="I18566" t="s">
        <v>23716</v>
      </c>
      <c r="J18566" t="s">
        <v>5878</v>
      </c>
    </row>
    <row r="18567" spans="9:10" x14ac:dyDescent="0.3">
      <c r="I18567" t="s">
        <v>23717</v>
      </c>
      <c r="J18567" t="s">
        <v>5878</v>
      </c>
    </row>
    <row r="18568" spans="9:10" x14ac:dyDescent="0.3">
      <c r="I18568" t="s">
        <v>23718</v>
      </c>
      <c r="J18568" t="s">
        <v>5878</v>
      </c>
    </row>
    <row r="18569" spans="9:10" x14ac:dyDescent="0.3">
      <c r="I18569" t="s">
        <v>23719</v>
      </c>
      <c r="J18569" t="s">
        <v>5878</v>
      </c>
    </row>
    <row r="18570" spans="9:10" x14ac:dyDescent="0.3">
      <c r="I18570" t="s">
        <v>23720</v>
      </c>
      <c r="J18570" t="s">
        <v>5878</v>
      </c>
    </row>
    <row r="18571" spans="9:10" x14ac:dyDescent="0.3">
      <c r="I18571" t="s">
        <v>23721</v>
      </c>
      <c r="J18571" t="s">
        <v>5878</v>
      </c>
    </row>
    <row r="18572" spans="9:10" x14ac:dyDescent="0.3">
      <c r="I18572" t="s">
        <v>23722</v>
      </c>
      <c r="J18572" t="s">
        <v>5878</v>
      </c>
    </row>
    <row r="18573" spans="9:10" x14ac:dyDescent="0.3">
      <c r="I18573" t="s">
        <v>23723</v>
      </c>
      <c r="J18573" t="s">
        <v>5878</v>
      </c>
    </row>
    <row r="18574" spans="9:10" x14ac:dyDescent="0.3">
      <c r="I18574" t="s">
        <v>23724</v>
      </c>
      <c r="J18574" t="s">
        <v>5878</v>
      </c>
    </row>
    <row r="18575" spans="9:10" x14ac:dyDescent="0.3">
      <c r="I18575" t="s">
        <v>23725</v>
      </c>
      <c r="J18575" t="s">
        <v>5878</v>
      </c>
    </row>
    <row r="18576" spans="9:10" x14ac:dyDescent="0.3">
      <c r="I18576" t="s">
        <v>23726</v>
      </c>
      <c r="J18576" t="s">
        <v>5878</v>
      </c>
    </row>
    <row r="18577" spans="9:10" x14ac:dyDescent="0.3">
      <c r="I18577" t="s">
        <v>23727</v>
      </c>
      <c r="J18577" t="s">
        <v>5878</v>
      </c>
    </row>
    <row r="18578" spans="9:10" x14ac:dyDescent="0.3">
      <c r="I18578" t="s">
        <v>23728</v>
      </c>
      <c r="J18578" t="s">
        <v>5878</v>
      </c>
    </row>
    <row r="18579" spans="9:10" x14ac:dyDescent="0.3">
      <c r="I18579" t="s">
        <v>23729</v>
      </c>
      <c r="J18579" t="s">
        <v>5878</v>
      </c>
    </row>
    <row r="18580" spans="9:10" x14ac:dyDescent="0.3">
      <c r="I18580" t="s">
        <v>23730</v>
      </c>
      <c r="J18580" t="s">
        <v>5878</v>
      </c>
    </row>
    <row r="18581" spans="9:10" x14ac:dyDescent="0.3">
      <c r="I18581" t="s">
        <v>23731</v>
      </c>
      <c r="J18581" t="s">
        <v>5878</v>
      </c>
    </row>
    <row r="18582" spans="9:10" x14ac:dyDescent="0.3">
      <c r="I18582" t="s">
        <v>23732</v>
      </c>
      <c r="J18582" t="s">
        <v>5878</v>
      </c>
    </row>
    <row r="18583" spans="9:10" x14ac:dyDescent="0.3">
      <c r="I18583" t="s">
        <v>23733</v>
      </c>
      <c r="J18583" t="s">
        <v>5878</v>
      </c>
    </row>
    <row r="18584" spans="9:10" x14ac:dyDescent="0.3">
      <c r="I18584" t="s">
        <v>23734</v>
      </c>
      <c r="J18584" t="s">
        <v>5878</v>
      </c>
    </row>
    <row r="18585" spans="9:10" x14ac:dyDescent="0.3">
      <c r="I18585" t="s">
        <v>23735</v>
      </c>
      <c r="J18585" t="s">
        <v>5878</v>
      </c>
    </row>
    <row r="18586" spans="9:10" x14ac:dyDescent="0.3">
      <c r="I18586" t="s">
        <v>23736</v>
      </c>
      <c r="J18586" t="s">
        <v>5878</v>
      </c>
    </row>
    <row r="18587" spans="9:10" x14ac:dyDescent="0.3">
      <c r="I18587" t="s">
        <v>23737</v>
      </c>
      <c r="J18587" t="s">
        <v>5878</v>
      </c>
    </row>
    <row r="18588" spans="9:10" x14ac:dyDescent="0.3">
      <c r="I18588" t="s">
        <v>23738</v>
      </c>
      <c r="J18588" t="s">
        <v>5878</v>
      </c>
    </row>
    <row r="18589" spans="9:10" x14ac:dyDescent="0.3">
      <c r="I18589" t="s">
        <v>23739</v>
      </c>
      <c r="J18589" t="s">
        <v>5878</v>
      </c>
    </row>
    <row r="18590" spans="9:10" x14ac:dyDescent="0.3">
      <c r="I18590" t="s">
        <v>23740</v>
      </c>
      <c r="J18590" t="s">
        <v>5878</v>
      </c>
    </row>
    <row r="18591" spans="9:10" x14ac:dyDescent="0.3">
      <c r="I18591" t="s">
        <v>23741</v>
      </c>
      <c r="J18591" t="s">
        <v>5878</v>
      </c>
    </row>
    <row r="18592" spans="9:10" x14ac:dyDescent="0.3">
      <c r="I18592" t="s">
        <v>23742</v>
      </c>
      <c r="J18592" t="s">
        <v>5878</v>
      </c>
    </row>
    <row r="18593" spans="9:10" x14ac:dyDescent="0.3">
      <c r="I18593" t="s">
        <v>23743</v>
      </c>
      <c r="J18593" t="s">
        <v>5878</v>
      </c>
    </row>
    <row r="18594" spans="9:10" x14ac:dyDescent="0.3">
      <c r="I18594" t="s">
        <v>23744</v>
      </c>
      <c r="J18594" t="s">
        <v>5878</v>
      </c>
    </row>
    <row r="18595" spans="9:10" x14ac:dyDescent="0.3">
      <c r="I18595" t="s">
        <v>23745</v>
      </c>
      <c r="J18595" t="s">
        <v>5878</v>
      </c>
    </row>
    <row r="18596" spans="9:10" x14ac:dyDescent="0.3">
      <c r="I18596" t="s">
        <v>12059</v>
      </c>
      <c r="J18596" t="s">
        <v>5878</v>
      </c>
    </row>
    <row r="18597" spans="9:10" x14ac:dyDescent="0.3">
      <c r="I18597" t="s">
        <v>23746</v>
      </c>
      <c r="J18597" t="s">
        <v>5878</v>
      </c>
    </row>
    <row r="18598" spans="9:10" x14ac:dyDescent="0.3">
      <c r="I18598" t="s">
        <v>23747</v>
      </c>
      <c r="J18598" t="s">
        <v>5878</v>
      </c>
    </row>
    <row r="18599" spans="9:10" x14ac:dyDescent="0.3">
      <c r="I18599" t="s">
        <v>23748</v>
      </c>
      <c r="J18599" t="s">
        <v>5878</v>
      </c>
    </row>
    <row r="18600" spans="9:10" x14ac:dyDescent="0.3">
      <c r="I18600" t="s">
        <v>23749</v>
      </c>
      <c r="J18600" t="s">
        <v>5878</v>
      </c>
    </row>
    <row r="18601" spans="9:10" x14ac:dyDescent="0.3">
      <c r="I18601" t="s">
        <v>23750</v>
      </c>
      <c r="J18601" t="s">
        <v>5878</v>
      </c>
    </row>
    <row r="18602" spans="9:10" x14ac:dyDescent="0.3">
      <c r="I18602" t="s">
        <v>23751</v>
      </c>
      <c r="J18602" t="s">
        <v>5878</v>
      </c>
    </row>
    <row r="18603" spans="9:10" x14ac:dyDescent="0.3">
      <c r="I18603" t="s">
        <v>23752</v>
      </c>
      <c r="J18603" t="s">
        <v>5878</v>
      </c>
    </row>
    <row r="18604" spans="9:10" x14ac:dyDescent="0.3">
      <c r="I18604" t="s">
        <v>23753</v>
      </c>
      <c r="J18604" t="s">
        <v>5878</v>
      </c>
    </row>
    <row r="18605" spans="9:10" x14ac:dyDescent="0.3">
      <c r="I18605" t="s">
        <v>23754</v>
      </c>
      <c r="J18605" t="s">
        <v>5878</v>
      </c>
    </row>
    <row r="18606" spans="9:10" x14ac:dyDescent="0.3">
      <c r="I18606" t="s">
        <v>23755</v>
      </c>
      <c r="J18606" t="s">
        <v>5878</v>
      </c>
    </row>
    <row r="18607" spans="9:10" x14ac:dyDescent="0.3">
      <c r="I18607" t="s">
        <v>23756</v>
      </c>
      <c r="J18607" t="s">
        <v>5878</v>
      </c>
    </row>
    <row r="18608" spans="9:10" x14ac:dyDescent="0.3">
      <c r="I18608" t="s">
        <v>23757</v>
      </c>
      <c r="J18608" t="s">
        <v>5878</v>
      </c>
    </row>
    <row r="18609" spans="9:10" x14ac:dyDescent="0.3">
      <c r="I18609" t="s">
        <v>23758</v>
      </c>
      <c r="J18609" t="s">
        <v>5878</v>
      </c>
    </row>
    <row r="18610" spans="9:10" x14ac:dyDescent="0.3">
      <c r="I18610" t="s">
        <v>23759</v>
      </c>
      <c r="J18610" t="s">
        <v>5878</v>
      </c>
    </row>
    <row r="18611" spans="9:10" x14ac:dyDescent="0.3">
      <c r="I18611" t="s">
        <v>23760</v>
      </c>
      <c r="J18611" t="s">
        <v>5878</v>
      </c>
    </row>
    <row r="18612" spans="9:10" x14ac:dyDescent="0.3">
      <c r="I18612" t="s">
        <v>23761</v>
      </c>
      <c r="J18612" t="s">
        <v>5878</v>
      </c>
    </row>
    <row r="18613" spans="9:10" x14ac:dyDescent="0.3">
      <c r="I18613" t="s">
        <v>23762</v>
      </c>
      <c r="J18613" t="s">
        <v>5878</v>
      </c>
    </row>
    <row r="18614" spans="9:10" x14ac:dyDescent="0.3">
      <c r="I18614" t="s">
        <v>23763</v>
      </c>
      <c r="J18614" t="s">
        <v>5878</v>
      </c>
    </row>
    <row r="18615" spans="9:10" x14ac:dyDescent="0.3">
      <c r="I18615" t="s">
        <v>23764</v>
      </c>
      <c r="J18615" t="s">
        <v>5878</v>
      </c>
    </row>
    <row r="18616" spans="9:10" x14ac:dyDescent="0.3">
      <c r="I18616" t="s">
        <v>23765</v>
      </c>
      <c r="J18616" t="s">
        <v>5878</v>
      </c>
    </row>
    <row r="18617" spans="9:10" x14ac:dyDescent="0.3">
      <c r="I18617" t="s">
        <v>23766</v>
      </c>
      <c r="J18617" t="s">
        <v>5878</v>
      </c>
    </row>
    <row r="18618" spans="9:10" x14ac:dyDescent="0.3">
      <c r="I18618" t="s">
        <v>23767</v>
      </c>
      <c r="J18618" t="s">
        <v>5878</v>
      </c>
    </row>
    <row r="18619" spans="9:10" x14ac:dyDescent="0.3">
      <c r="I18619" t="s">
        <v>23768</v>
      </c>
      <c r="J18619" t="s">
        <v>5878</v>
      </c>
    </row>
    <row r="18620" spans="9:10" x14ac:dyDescent="0.3">
      <c r="I18620" t="s">
        <v>23769</v>
      </c>
      <c r="J18620" t="s">
        <v>5878</v>
      </c>
    </row>
    <row r="18621" spans="9:10" x14ac:dyDescent="0.3">
      <c r="I18621" t="s">
        <v>23770</v>
      </c>
      <c r="J18621" t="s">
        <v>5878</v>
      </c>
    </row>
    <row r="18622" spans="9:10" x14ac:dyDescent="0.3">
      <c r="I18622" t="s">
        <v>23771</v>
      </c>
      <c r="J18622" t="s">
        <v>5878</v>
      </c>
    </row>
    <row r="18623" spans="9:10" x14ac:dyDescent="0.3">
      <c r="I18623" t="s">
        <v>23772</v>
      </c>
      <c r="J18623" t="s">
        <v>5878</v>
      </c>
    </row>
    <row r="18624" spans="9:10" x14ac:dyDescent="0.3">
      <c r="I18624" t="s">
        <v>23773</v>
      </c>
      <c r="J18624" t="s">
        <v>5878</v>
      </c>
    </row>
    <row r="18625" spans="9:10" x14ac:dyDescent="0.3">
      <c r="I18625" t="s">
        <v>23774</v>
      </c>
      <c r="J18625" t="s">
        <v>5878</v>
      </c>
    </row>
    <row r="18626" spans="9:10" x14ac:dyDescent="0.3">
      <c r="I18626" t="s">
        <v>23775</v>
      </c>
      <c r="J18626" t="s">
        <v>5878</v>
      </c>
    </row>
    <row r="18627" spans="9:10" x14ac:dyDescent="0.3">
      <c r="I18627" t="s">
        <v>23776</v>
      </c>
      <c r="J18627" t="s">
        <v>5878</v>
      </c>
    </row>
    <row r="18628" spans="9:10" x14ac:dyDescent="0.3">
      <c r="I18628" t="s">
        <v>23777</v>
      </c>
      <c r="J18628" t="s">
        <v>5878</v>
      </c>
    </row>
    <row r="18629" spans="9:10" x14ac:dyDescent="0.3">
      <c r="I18629" t="s">
        <v>23778</v>
      </c>
      <c r="J18629" t="s">
        <v>5878</v>
      </c>
    </row>
    <row r="18630" spans="9:10" x14ac:dyDescent="0.3">
      <c r="I18630" t="s">
        <v>23779</v>
      </c>
      <c r="J18630" t="s">
        <v>5878</v>
      </c>
    </row>
    <row r="18631" spans="9:10" x14ac:dyDescent="0.3">
      <c r="I18631" t="s">
        <v>23780</v>
      </c>
      <c r="J18631" t="s">
        <v>5878</v>
      </c>
    </row>
    <row r="18632" spans="9:10" x14ac:dyDescent="0.3">
      <c r="I18632" t="s">
        <v>23781</v>
      </c>
      <c r="J18632" t="s">
        <v>5878</v>
      </c>
    </row>
    <row r="18633" spans="9:10" x14ac:dyDescent="0.3">
      <c r="I18633" t="s">
        <v>23782</v>
      </c>
      <c r="J18633" t="s">
        <v>5878</v>
      </c>
    </row>
    <row r="18634" spans="9:10" x14ac:dyDescent="0.3">
      <c r="I18634" t="s">
        <v>23783</v>
      </c>
      <c r="J18634" t="s">
        <v>5878</v>
      </c>
    </row>
    <row r="18635" spans="9:10" x14ac:dyDescent="0.3">
      <c r="I18635" t="s">
        <v>23784</v>
      </c>
      <c r="J18635" t="s">
        <v>5878</v>
      </c>
    </row>
    <row r="18636" spans="9:10" x14ac:dyDescent="0.3">
      <c r="I18636" t="s">
        <v>23785</v>
      </c>
      <c r="J18636" t="s">
        <v>5878</v>
      </c>
    </row>
    <row r="18637" spans="9:10" x14ac:dyDescent="0.3">
      <c r="I18637" t="s">
        <v>23786</v>
      </c>
      <c r="J18637" t="s">
        <v>5878</v>
      </c>
    </row>
    <row r="18638" spans="9:10" x14ac:dyDescent="0.3">
      <c r="I18638" t="s">
        <v>23787</v>
      </c>
      <c r="J18638" t="s">
        <v>5878</v>
      </c>
    </row>
    <row r="18639" spans="9:10" x14ac:dyDescent="0.3">
      <c r="I18639" t="s">
        <v>23788</v>
      </c>
      <c r="J18639" t="s">
        <v>5878</v>
      </c>
    </row>
    <row r="18640" spans="9:10" x14ac:dyDescent="0.3">
      <c r="I18640" t="s">
        <v>23789</v>
      </c>
      <c r="J18640" t="s">
        <v>5878</v>
      </c>
    </row>
    <row r="18641" spans="9:10" x14ac:dyDescent="0.3">
      <c r="I18641" t="s">
        <v>23790</v>
      </c>
      <c r="J18641" t="s">
        <v>5878</v>
      </c>
    </row>
    <row r="18642" spans="9:10" x14ac:dyDescent="0.3">
      <c r="I18642" t="s">
        <v>23790</v>
      </c>
      <c r="J18642" t="s">
        <v>5878</v>
      </c>
    </row>
    <row r="18643" spans="9:10" x14ac:dyDescent="0.3">
      <c r="I18643" t="s">
        <v>23791</v>
      </c>
      <c r="J18643" t="s">
        <v>5878</v>
      </c>
    </row>
    <row r="18644" spans="9:10" x14ac:dyDescent="0.3">
      <c r="I18644" t="s">
        <v>23792</v>
      </c>
      <c r="J18644" t="s">
        <v>5878</v>
      </c>
    </row>
    <row r="18645" spans="9:10" x14ac:dyDescent="0.3">
      <c r="I18645" t="s">
        <v>23793</v>
      </c>
      <c r="J18645" t="s">
        <v>5878</v>
      </c>
    </row>
    <row r="18646" spans="9:10" x14ac:dyDescent="0.3">
      <c r="I18646" t="s">
        <v>23794</v>
      </c>
      <c r="J18646" t="s">
        <v>5878</v>
      </c>
    </row>
    <row r="18647" spans="9:10" x14ac:dyDescent="0.3">
      <c r="I18647" t="s">
        <v>23795</v>
      </c>
      <c r="J18647" t="s">
        <v>5878</v>
      </c>
    </row>
    <row r="18648" spans="9:10" x14ac:dyDescent="0.3">
      <c r="I18648" t="s">
        <v>23796</v>
      </c>
      <c r="J18648" t="s">
        <v>5878</v>
      </c>
    </row>
    <row r="18649" spans="9:10" x14ac:dyDescent="0.3">
      <c r="I18649" t="s">
        <v>23797</v>
      </c>
      <c r="J18649" t="s">
        <v>5878</v>
      </c>
    </row>
    <row r="18650" spans="9:10" x14ac:dyDescent="0.3">
      <c r="I18650" t="s">
        <v>23798</v>
      </c>
      <c r="J18650" t="s">
        <v>5878</v>
      </c>
    </row>
    <row r="18651" spans="9:10" x14ac:dyDescent="0.3">
      <c r="I18651" t="s">
        <v>22560</v>
      </c>
      <c r="J18651" t="s">
        <v>5878</v>
      </c>
    </row>
    <row r="18652" spans="9:10" x14ac:dyDescent="0.3">
      <c r="I18652" t="s">
        <v>23799</v>
      </c>
      <c r="J18652" t="s">
        <v>5878</v>
      </c>
    </row>
    <row r="18653" spans="9:10" x14ac:dyDescent="0.3">
      <c r="I18653" t="s">
        <v>23800</v>
      </c>
      <c r="J18653" t="s">
        <v>5878</v>
      </c>
    </row>
    <row r="18654" spans="9:10" x14ac:dyDescent="0.3">
      <c r="I18654" t="s">
        <v>23801</v>
      </c>
      <c r="J18654" t="s">
        <v>5878</v>
      </c>
    </row>
    <row r="18655" spans="9:10" x14ac:dyDescent="0.3">
      <c r="I18655" t="s">
        <v>23802</v>
      </c>
      <c r="J18655" t="s">
        <v>5878</v>
      </c>
    </row>
    <row r="18656" spans="9:10" x14ac:dyDescent="0.3">
      <c r="I18656" t="s">
        <v>23803</v>
      </c>
      <c r="J18656" t="s">
        <v>5878</v>
      </c>
    </row>
    <row r="18657" spans="9:10" x14ac:dyDescent="0.3">
      <c r="I18657" t="s">
        <v>23804</v>
      </c>
      <c r="J18657" t="s">
        <v>5878</v>
      </c>
    </row>
    <row r="18658" spans="9:10" x14ac:dyDescent="0.3">
      <c r="I18658" t="s">
        <v>23805</v>
      </c>
      <c r="J18658" t="s">
        <v>5878</v>
      </c>
    </row>
    <row r="18659" spans="9:10" x14ac:dyDescent="0.3">
      <c r="I18659" t="s">
        <v>23806</v>
      </c>
      <c r="J18659" t="s">
        <v>5878</v>
      </c>
    </row>
    <row r="18660" spans="9:10" x14ac:dyDescent="0.3">
      <c r="I18660" t="s">
        <v>23807</v>
      </c>
      <c r="J18660" t="s">
        <v>5878</v>
      </c>
    </row>
    <row r="18661" spans="9:10" x14ac:dyDescent="0.3">
      <c r="I18661" t="s">
        <v>23808</v>
      </c>
      <c r="J18661" t="s">
        <v>5878</v>
      </c>
    </row>
    <row r="18662" spans="9:10" x14ac:dyDescent="0.3">
      <c r="I18662" t="s">
        <v>23809</v>
      </c>
      <c r="J18662" t="s">
        <v>5878</v>
      </c>
    </row>
    <row r="18663" spans="9:10" x14ac:dyDescent="0.3">
      <c r="I18663" t="s">
        <v>23810</v>
      </c>
      <c r="J18663" t="s">
        <v>5878</v>
      </c>
    </row>
    <row r="18664" spans="9:10" x14ac:dyDescent="0.3">
      <c r="I18664" t="s">
        <v>23811</v>
      </c>
      <c r="J18664" t="s">
        <v>5878</v>
      </c>
    </row>
    <row r="18665" spans="9:10" x14ac:dyDescent="0.3">
      <c r="I18665" t="s">
        <v>23812</v>
      </c>
      <c r="J18665" t="s">
        <v>5878</v>
      </c>
    </row>
    <row r="18666" spans="9:10" x14ac:dyDescent="0.3">
      <c r="I18666" t="s">
        <v>23813</v>
      </c>
      <c r="J18666" t="s">
        <v>5878</v>
      </c>
    </row>
    <row r="18667" spans="9:10" x14ac:dyDescent="0.3">
      <c r="I18667" t="s">
        <v>23814</v>
      </c>
      <c r="J18667" t="s">
        <v>5878</v>
      </c>
    </row>
    <row r="18668" spans="9:10" x14ac:dyDescent="0.3">
      <c r="I18668" t="s">
        <v>23815</v>
      </c>
      <c r="J18668" t="s">
        <v>5878</v>
      </c>
    </row>
    <row r="18669" spans="9:10" x14ac:dyDescent="0.3">
      <c r="I18669" t="s">
        <v>23816</v>
      </c>
      <c r="J18669" t="s">
        <v>5878</v>
      </c>
    </row>
    <row r="18670" spans="9:10" x14ac:dyDescent="0.3">
      <c r="I18670" t="s">
        <v>23817</v>
      </c>
      <c r="J18670" t="s">
        <v>5878</v>
      </c>
    </row>
    <row r="18671" spans="9:10" x14ac:dyDescent="0.3">
      <c r="I18671" t="s">
        <v>23818</v>
      </c>
      <c r="J18671" t="s">
        <v>5878</v>
      </c>
    </row>
    <row r="18672" spans="9:10" x14ac:dyDescent="0.3">
      <c r="I18672" t="s">
        <v>23819</v>
      </c>
      <c r="J18672" t="s">
        <v>5878</v>
      </c>
    </row>
    <row r="18673" spans="9:10" x14ac:dyDescent="0.3">
      <c r="I18673" t="s">
        <v>23820</v>
      </c>
      <c r="J18673" t="s">
        <v>5878</v>
      </c>
    </row>
    <row r="18674" spans="9:10" x14ac:dyDescent="0.3">
      <c r="I18674" t="s">
        <v>23821</v>
      </c>
      <c r="J18674" t="s">
        <v>5878</v>
      </c>
    </row>
    <row r="18675" spans="9:10" x14ac:dyDescent="0.3">
      <c r="I18675" t="s">
        <v>23822</v>
      </c>
      <c r="J18675" t="s">
        <v>5878</v>
      </c>
    </row>
    <row r="18676" spans="9:10" x14ac:dyDescent="0.3">
      <c r="I18676" t="s">
        <v>23823</v>
      </c>
      <c r="J18676" t="s">
        <v>5878</v>
      </c>
    </row>
    <row r="18677" spans="9:10" x14ac:dyDescent="0.3">
      <c r="I18677" t="s">
        <v>23824</v>
      </c>
      <c r="J18677" t="s">
        <v>5878</v>
      </c>
    </row>
    <row r="18678" spans="9:10" x14ac:dyDescent="0.3">
      <c r="I18678" t="s">
        <v>23825</v>
      </c>
      <c r="J18678" t="s">
        <v>5878</v>
      </c>
    </row>
    <row r="18679" spans="9:10" x14ac:dyDescent="0.3">
      <c r="I18679" t="s">
        <v>22433</v>
      </c>
      <c r="J18679" t="s">
        <v>5878</v>
      </c>
    </row>
    <row r="18680" spans="9:10" x14ac:dyDescent="0.3">
      <c r="I18680" t="s">
        <v>23826</v>
      </c>
      <c r="J18680" t="s">
        <v>5878</v>
      </c>
    </row>
    <row r="18681" spans="9:10" x14ac:dyDescent="0.3">
      <c r="I18681" t="s">
        <v>23827</v>
      </c>
      <c r="J18681" t="s">
        <v>5878</v>
      </c>
    </row>
    <row r="18682" spans="9:10" x14ac:dyDescent="0.3">
      <c r="I18682" t="s">
        <v>23828</v>
      </c>
      <c r="J18682" t="s">
        <v>5878</v>
      </c>
    </row>
    <row r="18683" spans="9:10" x14ac:dyDescent="0.3">
      <c r="I18683" t="s">
        <v>23174</v>
      </c>
      <c r="J18683" t="s">
        <v>5878</v>
      </c>
    </row>
    <row r="18684" spans="9:10" x14ac:dyDescent="0.3">
      <c r="I18684" t="s">
        <v>23829</v>
      </c>
      <c r="J18684" t="s">
        <v>5878</v>
      </c>
    </row>
    <row r="18685" spans="9:10" x14ac:dyDescent="0.3">
      <c r="I18685" t="s">
        <v>23830</v>
      </c>
      <c r="J18685" t="s">
        <v>5878</v>
      </c>
    </row>
    <row r="18686" spans="9:10" x14ac:dyDescent="0.3">
      <c r="I18686" t="s">
        <v>23831</v>
      </c>
      <c r="J18686" t="s">
        <v>5878</v>
      </c>
    </row>
    <row r="18687" spans="9:10" x14ac:dyDescent="0.3">
      <c r="I18687" t="s">
        <v>23832</v>
      </c>
      <c r="J18687" t="s">
        <v>5878</v>
      </c>
    </row>
    <row r="18688" spans="9:10" x14ac:dyDescent="0.3">
      <c r="I18688" t="s">
        <v>23197</v>
      </c>
      <c r="J18688" t="s">
        <v>5878</v>
      </c>
    </row>
    <row r="18689" spans="9:10" x14ac:dyDescent="0.3">
      <c r="I18689" t="s">
        <v>23833</v>
      </c>
      <c r="J18689" t="s">
        <v>5878</v>
      </c>
    </row>
    <row r="18690" spans="9:10" x14ac:dyDescent="0.3">
      <c r="I18690" t="s">
        <v>23834</v>
      </c>
      <c r="J18690" t="s">
        <v>5878</v>
      </c>
    </row>
    <row r="18691" spans="9:10" x14ac:dyDescent="0.3">
      <c r="I18691" t="s">
        <v>23835</v>
      </c>
      <c r="J18691" t="s">
        <v>5878</v>
      </c>
    </row>
    <row r="18692" spans="9:10" x14ac:dyDescent="0.3">
      <c r="I18692" t="s">
        <v>23836</v>
      </c>
      <c r="J18692" t="s">
        <v>5878</v>
      </c>
    </row>
    <row r="18693" spans="9:10" x14ac:dyDescent="0.3">
      <c r="I18693" t="s">
        <v>23837</v>
      </c>
      <c r="J18693" t="s">
        <v>5878</v>
      </c>
    </row>
    <row r="18694" spans="9:10" x14ac:dyDescent="0.3">
      <c r="I18694" t="s">
        <v>23838</v>
      </c>
      <c r="J18694" t="s">
        <v>5878</v>
      </c>
    </row>
    <row r="18695" spans="9:10" x14ac:dyDescent="0.3">
      <c r="I18695" t="s">
        <v>23839</v>
      </c>
      <c r="J18695" t="s">
        <v>5878</v>
      </c>
    </row>
    <row r="18696" spans="9:10" x14ac:dyDescent="0.3">
      <c r="I18696" t="s">
        <v>23840</v>
      </c>
      <c r="J18696" t="s">
        <v>5878</v>
      </c>
    </row>
    <row r="18697" spans="9:10" x14ac:dyDescent="0.3">
      <c r="I18697" t="s">
        <v>23841</v>
      </c>
      <c r="J18697" t="s">
        <v>5878</v>
      </c>
    </row>
    <row r="18698" spans="9:10" x14ac:dyDescent="0.3">
      <c r="I18698" t="s">
        <v>23842</v>
      </c>
      <c r="J18698" t="s">
        <v>5878</v>
      </c>
    </row>
    <row r="18699" spans="9:10" x14ac:dyDescent="0.3">
      <c r="I18699" t="s">
        <v>23843</v>
      </c>
      <c r="J18699" t="s">
        <v>5878</v>
      </c>
    </row>
    <row r="18700" spans="9:10" x14ac:dyDescent="0.3">
      <c r="I18700" t="s">
        <v>23844</v>
      </c>
      <c r="J18700" t="s">
        <v>5878</v>
      </c>
    </row>
    <row r="18701" spans="9:10" x14ac:dyDescent="0.3">
      <c r="I18701" t="s">
        <v>23845</v>
      </c>
      <c r="J18701" t="s">
        <v>5878</v>
      </c>
    </row>
    <row r="18702" spans="9:10" x14ac:dyDescent="0.3">
      <c r="I18702" t="s">
        <v>23846</v>
      </c>
      <c r="J18702" t="s">
        <v>5878</v>
      </c>
    </row>
    <row r="18703" spans="9:10" x14ac:dyDescent="0.3">
      <c r="I18703" t="s">
        <v>23847</v>
      </c>
      <c r="J18703" t="s">
        <v>5878</v>
      </c>
    </row>
    <row r="18704" spans="9:10" x14ac:dyDescent="0.3">
      <c r="I18704" t="s">
        <v>23848</v>
      </c>
      <c r="J18704" t="s">
        <v>5878</v>
      </c>
    </row>
    <row r="18705" spans="9:10" x14ac:dyDescent="0.3">
      <c r="I18705" t="s">
        <v>23849</v>
      </c>
      <c r="J18705" t="s">
        <v>5878</v>
      </c>
    </row>
    <row r="18706" spans="9:10" x14ac:dyDescent="0.3">
      <c r="I18706" t="s">
        <v>23850</v>
      </c>
      <c r="J18706" t="s">
        <v>5878</v>
      </c>
    </row>
    <row r="18707" spans="9:10" x14ac:dyDescent="0.3">
      <c r="I18707" t="s">
        <v>23851</v>
      </c>
      <c r="J18707" t="s">
        <v>5878</v>
      </c>
    </row>
    <row r="18708" spans="9:10" x14ac:dyDescent="0.3">
      <c r="I18708" t="s">
        <v>23852</v>
      </c>
      <c r="J18708" t="s">
        <v>5878</v>
      </c>
    </row>
    <row r="18709" spans="9:10" x14ac:dyDescent="0.3">
      <c r="I18709" t="s">
        <v>23853</v>
      </c>
      <c r="J18709" t="s">
        <v>5878</v>
      </c>
    </row>
    <row r="18710" spans="9:10" x14ac:dyDescent="0.3">
      <c r="I18710" t="s">
        <v>23854</v>
      </c>
      <c r="J18710" t="s">
        <v>5878</v>
      </c>
    </row>
    <row r="18711" spans="9:10" x14ac:dyDescent="0.3">
      <c r="I18711" t="s">
        <v>23855</v>
      </c>
      <c r="J18711" t="s">
        <v>5878</v>
      </c>
    </row>
    <row r="18712" spans="9:10" x14ac:dyDescent="0.3">
      <c r="I18712" t="s">
        <v>23856</v>
      </c>
      <c r="J18712" t="s">
        <v>5878</v>
      </c>
    </row>
    <row r="18713" spans="9:10" x14ac:dyDescent="0.3">
      <c r="I18713" t="s">
        <v>23857</v>
      </c>
      <c r="J18713" t="s">
        <v>5878</v>
      </c>
    </row>
    <row r="18714" spans="9:10" x14ac:dyDescent="0.3">
      <c r="I18714" t="s">
        <v>23858</v>
      </c>
      <c r="J18714" t="s">
        <v>5878</v>
      </c>
    </row>
    <row r="18715" spans="9:10" x14ac:dyDescent="0.3">
      <c r="I18715" t="s">
        <v>23859</v>
      </c>
      <c r="J18715" t="s">
        <v>5878</v>
      </c>
    </row>
    <row r="18716" spans="9:10" x14ac:dyDescent="0.3">
      <c r="I18716" t="s">
        <v>23860</v>
      </c>
      <c r="J18716" t="s">
        <v>5878</v>
      </c>
    </row>
    <row r="18717" spans="9:10" x14ac:dyDescent="0.3">
      <c r="I18717" t="s">
        <v>23861</v>
      </c>
      <c r="J18717" t="s">
        <v>5878</v>
      </c>
    </row>
    <row r="18718" spans="9:10" x14ac:dyDescent="0.3">
      <c r="I18718" t="s">
        <v>23862</v>
      </c>
      <c r="J18718" t="s">
        <v>5878</v>
      </c>
    </row>
    <row r="18719" spans="9:10" x14ac:dyDescent="0.3">
      <c r="I18719" t="s">
        <v>23863</v>
      </c>
      <c r="J18719" t="s">
        <v>5878</v>
      </c>
    </row>
    <row r="18720" spans="9:10" x14ac:dyDescent="0.3">
      <c r="I18720" t="s">
        <v>23864</v>
      </c>
      <c r="J18720" t="s">
        <v>5878</v>
      </c>
    </row>
    <row r="18721" spans="9:10" x14ac:dyDescent="0.3">
      <c r="I18721" t="s">
        <v>23865</v>
      </c>
      <c r="J18721" t="s">
        <v>5878</v>
      </c>
    </row>
    <row r="18722" spans="9:10" x14ac:dyDescent="0.3">
      <c r="I18722" t="s">
        <v>23866</v>
      </c>
      <c r="J18722" t="s">
        <v>5878</v>
      </c>
    </row>
    <row r="18723" spans="9:10" x14ac:dyDescent="0.3">
      <c r="I18723" t="s">
        <v>23867</v>
      </c>
      <c r="J18723" t="s">
        <v>5878</v>
      </c>
    </row>
    <row r="18724" spans="9:10" x14ac:dyDescent="0.3">
      <c r="I18724" t="s">
        <v>23868</v>
      </c>
      <c r="J18724" t="s">
        <v>5878</v>
      </c>
    </row>
    <row r="18725" spans="9:10" x14ac:dyDescent="0.3">
      <c r="I18725" t="s">
        <v>23869</v>
      </c>
      <c r="J18725" t="s">
        <v>5878</v>
      </c>
    </row>
    <row r="18726" spans="9:10" x14ac:dyDescent="0.3">
      <c r="I18726" t="s">
        <v>23870</v>
      </c>
      <c r="J18726" t="s">
        <v>5878</v>
      </c>
    </row>
    <row r="18727" spans="9:10" x14ac:dyDescent="0.3">
      <c r="I18727" t="s">
        <v>23871</v>
      </c>
      <c r="J18727" t="s">
        <v>5878</v>
      </c>
    </row>
    <row r="18728" spans="9:10" x14ac:dyDescent="0.3">
      <c r="I18728" t="s">
        <v>23872</v>
      </c>
      <c r="J18728" t="s">
        <v>5878</v>
      </c>
    </row>
    <row r="18729" spans="9:10" x14ac:dyDescent="0.3">
      <c r="I18729" t="s">
        <v>23873</v>
      </c>
      <c r="J18729" t="s">
        <v>5878</v>
      </c>
    </row>
    <row r="18730" spans="9:10" x14ac:dyDescent="0.3">
      <c r="I18730" t="s">
        <v>23874</v>
      </c>
      <c r="J18730" t="s">
        <v>5878</v>
      </c>
    </row>
    <row r="18731" spans="9:10" x14ac:dyDescent="0.3">
      <c r="I18731" t="s">
        <v>23875</v>
      </c>
      <c r="J18731" t="s">
        <v>5878</v>
      </c>
    </row>
    <row r="18732" spans="9:10" x14ac:dyDescent="0.3">
      <c r="I18732" t="s">
        <v>23876</v>
      </c>
      <c r="J18732" t="s">
        <v>5878</v>
      </c>
    </row>
    <row r="18733" spans="9:10" x14ac:dyDescent="0.3">
      <c r="I18733" t="s">
        <v>23877</v>
      </c>
      <c r="J18733" t="s">
        <v>5878</v>
      </c>
    </row>
    <row r="18734" spans="9:10" x14ac:dyDescent="0.3">
      <c r="I18734" t="s">
        <v>23878</v>
      </c>
      <c r="J18734" t="s">
        <v>5878</v>
      </c>
    </row>
    <row r="18735" spans="9:10" x14ac:dyDescent="0.3">
      <c r="I18735" t="s">
        <v>23879</v>
      </c>
      <c r="J18735" t="s">
        <v>5878</v>
      </c>
    </row>
    <row r="18736" spans="9:10" x14ac:dyDescent="0.3">
      <c r="I18736" t="s">
        <v>23880</v>
      </c>
      <c r="J18736" t="s">
        <v>5878</v>
      </c>
    </row>
    <row r="18737" spans="9:10" x14ac:dyDescent="0.3">
      <c r="I18737" t="s">
        <v>23881</v>
      </c>
      <c r="J18737" t="s">
        <v>5878</v>
      </c>
    </row>
    <row r="18738" spans="9:10" x14ac:dyDescent="0.3">
      <c r="I18738" t="s">
        <v>23882</v>
      </c>
      <c r="J18738" t="s">
        <v>5878</v>
      </c>
    </row>
    <row r="18739" spans="9:10" x14ac:dyDescent="0.3">
      <c r="I18739" t="s">
        <v>23883</v>
      </c>
      <c r="J18739" t="s">
        <v>5878</v>
      </c>
    </row>
    <row r="18740" spans="9:10" x14ac:dyDescent="0.3">
      <c r="I18740" t="s">
        <v>23884</v>
      </c>
      <c r="J18740" t="s">
        <v>5878</v>
      </c>
    </row>
    <row r="18741" spans="9:10" x14ac:dyDescent="0.3">
      <c r="I18741" t="s">
        <v>23885</v>
      </c>
      <c r="J18741" t="s">
        <v>5878</v>
      </c>
    </row>
    <row r="18742" spans="9:10" x14ac:dyDescent="0.3">
      <c r="I18742" t="s">
        <v>23886</v>
      </c>
      <c r="J18742" t="s">
        <v>5878</v>
      </c>
    </row>
    <row r="18743" spans="9:10" x14ac:dyDescent="0.3">
      <c r="I18743" t="s">
        <v>23887</v>
      </c>
      <c r="J18743" t="s">
        <v>5878</v>
      </c>
    </row>
    <row r="18744" spans="9:10" x14ac:dyDescent="0.3">
      <c r="I18744" t="s">
        <v>23888</v>
      </c>
      <c r="J18744" t="s">
        <v>5878</v>
      </c>
    </row>
    <row r="18745" spans="9:10" x14ac:dyDescent="0.3">
      <c r="I18745" t="s">
        <v>23889</v>
      </c>
      <c r="J18745" t="s">
        <v>5878</v>
      </c>
    </row>
    <row r="18746" spans="9:10" x14ac:dyDescent="0.3">
      <c r="I18746" t="s">
        <v>23890</v>
      </c>
      <c r="J18746" t="s">
        <v>5878</v>
      </c>
    </row>
    <row r="18747" spans="9:10" x14ac:dyDescent="0.3">
      <c r="I18747" t="s">
        <v>23891</v>
      </c>
      <c r="J18747" t="s">
        <v>5878</v>
      </c>
    </row>
    <row r="18748" spans="9:10" x14ac:dyDescent="0.3">
      <c r="I18748" t="s">
        <v>23892</v>
      </c>
      <c r="J18748" t="s">
        <v>5878</v>
      </c>
    </row>
    <row r="18749" spans="9:10" x14ac:dyDescent="0.3">
      <c r="I18749" t="s">
        <v>23893</v>
      </c>
      <c r="J18749" t="s">
        <v>5878</v>
      </c>
    </row>
    <row r="18750" spans="9:10" x14ac:dyDescent="0.3">
      <c r="I18750" t="s">
        <v>23894</v>
      </c>
      <c r="J18750" t="s">
        <v>5878</v>
      </c>
    </row>
    <row r="18751" spans="9:10" x14ac:dyDescent="0.3">
      <c r="I18751" t="s">
        <v>23895</v>
      </c>
      <c r="J18751" t="s">
        <v>5878</v>
      </c>
    </row>
    <row r="18752" spans="9:10" x14ac:dyDescent="0.3">
      <c r="I18752" t="s">
        <v>23896</v>
      </c>
      <c r="J18752" t="s">
        <v>5878</v>
      </c>
    </row>
    <row r="18753" spans="9:10" x14ac:dyDescent="0.3">
      <c r="I18753" t="s">
        <v>23897</v>
      </c>
      <c r="J18753" t="s">
        <v>5878</v>
      </c>
    </row>
    <row r="18754" spans="9:10" x14ac:dyDescent="0.3">
      <c r="I18754" t="s">
        <v>23898</v>
      </c>
      <c r="J18754" t="s">
        <v>5878</v>
      </c>
    </row>
    <row r="18755" spans="9:10" x14ac:dyDescent="0.3">
      <c r="I18755" t="s">
        <v>23899</v>
      </c>
      <c r="J18755" t="s">
        <v>5878</v>
      </c>
    </row>
    <row r="18756" spans="9:10" x14ac:dyDescent="0.3">
      <c r="I18756" t="s">
        <v>23900</v>
      </c>
      <c r="J18756" t="s">
        <v>5878</v>
      </c>
    </row>
    <row r="18757" spans="9:10" x14ac:dyDescent="0.3">
      <c r="I18757" t="s">
        <v>23901</v>
      </c>
      <c r="J18757" t="s">
        <v>5878</v>
      </c>
    </row>
    <row r="18758" spans="9:10" x14ac:dyDescent="0.3">
      <c r="I18758" t="s">
        <v>23902</v>
      </c>
      <c r="J18758" t="s">
        <v>5878</v>
      </c>
    </row>
    <row r="18759" spans="9:10" x14ac:dyDescent="0.3">
      <c r="I18759" t="s">
        <v>23903</v>
      </c>
      <c r="J18759" t="s">
        <v>5878</v>
      </c>
    </row>
    <row r="18760" spans="9:10" x14ac:dyDescent="0.3">
      <c r="I18760" t="s">
        <v>23904</v>
      </c>
      <c r="J18760" t="s">
        <v>5878</v>
      </c>
    </row>
    <row r="18761" spans="9:10" x14ac:dyDescent="0.3">
      <c r="I18761" t="s">
        <v>23905</v>
      </c>
      <c r="J18761" t="s">
        <v>5878</v>
      </c>
    </row>
    <row r="18762" spans="9:10" x14ac:dyDescent="0.3">
      <c r="I18762" t="s">
        <v>23906</v>
      </c>
      <c r="J18762" t="s">
        <v>5878</v>
      </c>
    </row>
    <row r="18763" spans="9:10" x14ac:dyDescent="0.3">
      <c r="I18763" t="s">
        <v>23907</v>
      </c>
      <c r="J18763" t="s">
        <v>5878</v>
      </c>
    </row>
    <row r="18764" spans="9:10" x14ac:dyDescent="0.3">
      <c r="I18764" t="s">
        <v>23908</v>
      </c>
      <c r="J18764" t="s">
        <v>5878</v>
      </c>
    </row>
    <row r="18765" spans="9:10" x14ac:dyDescent="0.3">
      <c r="I18765" t="s">
        <v>23909</v>
      </c>
      <c r="J18765" t="s">
        <v>5878</v>
      </c>
    </row>
    <row r="18766" spans="9:10" x14ac:dyDescent="0.3">
      <c r="I18766" t="s">
        <v>23910</v>
      </c>
      <c r="J18766" t="s">
        <v>5878</v>
      </c>
    </row>
    <row r="18767" spans="9:10" x14ac:dyDescent="0.3">
      <c r="I18767" t="s">
        <v>23911</v>
      </c>
      <c r="J18767" t="s">
        <v>5878</v>
      </c>
    </row>
    <row r="18768" spans="9:10" x14ac:dyDescent="0.3">
      <c r="I18768" t="s">
        <v>23912</v>
      </c>
      <c r="J18768" t="s">
        <v>5878</v>
      </c>
    </row>
    <row r="18769" spans="9:10" x14ac:dyDescent="0.3">
      <c r="I18769" t="s">
        <v>23913</v>
      </c>
      <c r="J18769" t="s">
        <v>5878</v>
      </c>
    </row>
    <row r="18770" spans="9:10" x14ac:dyDescent="0.3">
      <c r="I18770" t="s">
        <v>23914</v>
      </c>
      <c r="J18770" t="s">
        <v>5878</v>
      </c>
    </row>
    <row r="18771" spans="9:10" x14ac:dyDescent="0.3">
      <c r="I18771" t="s">
        <v>23915</v>
      </c>
      <c r="J18771" t="s">
        <v>5878</v>
      </c>
    </row>
    <row r="18772" spans="9:10" x14ac:dyDescent="0.3">
      <c r="I18772" t="s">
        <v>23916</v>
      </c>
      <c r="J18772" t="s">
        <v>5878</v>
      </c>
    </row>
    <row r="18773" spans="9:10" x14ac:dyDescent="0.3">
      <c r="I18773" t="s">
        <v>23917</v>
      </c>
      <c r="J18773" t="s">
        <v>5878</v>
      </c>
    </row>
    <row r="18774" spans="9:10" x14ac:dyDescent="0.3">
      <c r="I18774" t="s">
        <v>23918</v>
      </c>
      <c r="J18774" t="s">
        <v>5878</v>
      </c>
    </row>
    <row r="18775" spans="9:10" x14ac:dyDescent="0.3">
      <c r="I18775" t="s">
        <v>23919</v>
      </c>
      <c r="J18775" t="s">
        <v>5878</v>
      </c>
    </row>
    <row r="18776" spans="9:10" x14ac:dyDescent="0.3">
      <c r="I18776" t="s">
        <v>23920</v>
      </c>
      <c r="J18776" t="s">
        <v>5878</v>
      </c>
    </row>
    <row r="18777" spans="9:10" x14ac:dyDescent="0.3">
      <c r="I18777" t="s">
        <v>23921</v>
      </c>
      <c r="J18777" t="s">
        <v>5878</v>
      </c>
    </row>
    <row r="18778" spans="9:10" x14ac:dyDescent="0.3">
      <c r="I18778" t="s">
        <v>23922</v>
      </c>
      <c r="J18778" t="s">
        <v>5878</v>
      </c>
    </row>
    <row r="18779" spans="9:10" x14ac:dyDescent="0.3">
      <c r="I18779" t="s">
        <v>23923</v>
      </c>
      <c r="J18779" t="s">
        <v>5878</v>
      </c>
    </row>
    <row r="18780" spans="9:10" x14ac:dyDescent="0.3">
      <c r="I18780" t="s">
        <v>23924</v>
      </c>
      <c r="J18780" t="s">
        <v>5878</v>
      </c>
    </row>
    <row r="18781" spans="9:10" x14ac:dyDescent="0.3">
      <c r="I18781" t="s">
        <v>23925</v>
      </c>
      <c r="J18781" t="s">
        <v>5878</v>
      </c>
    </row>
    <row r="18782" spans="9:10" x14ac:dyDescent="0.3">
      <c r="I18782" t="s">
        <v>23926</v>
      </c>
      <c r="J18782" t="s">
        <v>5878</v>
      </c>
    </row>
    <row r="18783" spans="9:10" x14ac:dyDescent="0.3">
      <c r="I18783" t="s">
        <v>23927</v>
      </c>
      <c r="J18783" t="s">
        <v>5878</v>
      </c>
    </row>
    <row r="18784" spans="9:10" x14ac:dyDescent="0.3">
      <c r="I18784" t="s">
        <v>23928</v>
      </c>
      <c r="J18784" t="s">
        <v>5878</v>
      </c>
    </row>
    <row r="18785" spans="9:10" x14ac:dyDescent="0.3">
      <c r="I18785" t="s">
        <v>23929</v>
      </c>
      <c r="J18785" t="s">
        <v>5878</v>
      </c>
    </row>
    <row r="18786" spans="9:10" x14ac:dyDescent="0.3">
      <c r="I18786" t="s">
        <v>23930</v>
      </c>
      <c r="J18786" t="s">
        <v>5878</v>
      </c>
    </row>
    <row r="18787" spans="9:10" x14ac:dyDescent="0.3">
      <c r="I18787" t="s">
        <v>23931</v>
      </c>
      <c r="J18787" t="s">
        <v>5878</v>
      </c>
    </row>
    <row r="18788" spans="9:10" x14ac:dyDescent="0.3">
      <c r="I18788" t="s">
        <v>23932</v>
      </c>
      <c r="J18788" t="s">
        <v>5878</v>
      </c>
    </row>
    <row r="18789" spans="9:10" x14ac:dyDescent="0.3">
      <c r="I18789" t="s">
        <v>23933</v>
      </c>
      <c r="J18789" t="s">
        <v>5878</v>
      </c>
    </row>
    <row r="18790" spans="9:10" x14ac:dyDescent="0.3">
      <c r="I18790" t="s">
        <v>23934</v>
      </c>
      <c r="J18790" t="s">
        <v>5878</v>
      </c>
    </row>
    <row r="18791" spans="9:10" x14ac:dyDescent="0.3">
      <c r="I18791" t="s">
        <v>23935</v>
      </c>
      <c r="J18791" t="s">
        <v>5878</v>
      </c>
    </row>
    <row r="18792" spans="9:10" x14ac:dyDescent="0.3">
      <c r="I18792" t="s">
        <v>23936</v>
      </c>
      <c r="J18792" t="s">
        <v>5878</v>
      </c>
    </row>
    <row r="18793" spans="9:10" x14ac:dyDescent="0.3">
      <c r="I18793" t="s">
        <v>23937</v>
      </c>
      <c r="J18793" t="s">
        <v>5878</v>
      </c>
    </row>
    <row r="18794" spans="9:10" x14ac:dyDescent="0.3">
      <c r="I18794" t="s">
        <v>23938</v>
      </c>
      <c r="J18794" t="s">
        <v>5878</v>
      </c>
    </row>
    <row r="18795" spans="9:10" x14ac:dyDescent="0.3">
      <c r="I18795" t="s">
        <v>23939</v>
      </c>
      <c r="J18795" t="s">
        <v>5878</v>
      </c>
    </row>
    <row r="18796" spans="9:10" x14ac:dyDescent="0.3">
      <c r="I18796" t="s">
        <v>23940</v>
      </c>
      <c r="J18796" t="s">
        <v>5878</v>
      </c>
    </row>
    <row r="18797" spans="9:10" x14ac:dyDescent="0.3">
      <c r="I18797" t="s">
        <v>22189</v>
      </c>
      <c r="J18797" t="s">
        <v>5878</v>
      </c>
    </row>
    <row r="18798" spans="9:10" x14ac:dyDescent="0.3">
      <c r="I18798" t="s">
        <v>22189</v>
      </c>
      <c r="J18798" t="s">
        <v>5878</v>
      </c>
    </row>
    <row r="18799" spans="9:10" x14ac:dyDescent="0.3">
      <c r="I18799" t="s">
        <v>22189</v>
      </c>
      <c r="J18799" t="s">
        <v>5878</v>
      </c>
    </row>
    <row r="18800" spans="9:10" x14ac:dyDescent="0.3">
      <c r="I18800" t="s">
        <v>22189</v>
      </c>
      <c r="J18800" t="s">
        <v>5878</v>
      </c>
    </row>
    <row r="18801" spans="9:10" x14ac:dyDescent="0.3">
      <c r="I18801" t="s">
        <v>22189</v>
      </c>
      <c r="J18801" t="s">
        <v>5878</v>
      </c>
    </row>
    <row r="18802" spans="9:10" x14ac:dyDescent="0.3">
      <c r="I18802" t="s">
        <v>23941</v>
      </c>
      <c r="J18802" t="s">
        <v>5878</v>
      </c>
    </row>
    <row r="18803" spans="9:10" x14ac:dyDescent="0.3">
      <c r="I18803" t="s">
        <v>22189</v>
      </c>
      <c r="J18803" t="s">
        <v>5878</v>
      </c>
    </row>
    <row r="18804" spans="9:10" x14ac:dyDescent="0.3">
      <c r="I18804" t="s">
        <v>23942</v>
      </c>
      <c r="J18804" t="s">
        <v>5878</v>
      </c>
    </row>
    <row r="18805" spans="9:10" x14ac:dyDescent="0.3">
      <c r="I18805" t="s">
        <v>22189</v>
      </c>
      <c r="J18805" t="s">
        <v>5878</v>
      </c>
    </row>
    <row r="18806" spans="9:10" x14ac:dyDescent="0.3">
      <c r="I18806" t="s">
        <v>23943</v>
      </c>
      <c r="J18806" t="s">
        <v>5878</v>
      </c>
    </row>
    <row r="18807" spans="9:10" x14ac:dyDescent="0.3">
      <c r="I18807" t="s">
        <v>22189</v>
      </c>
      <c r="J18807" t="s">
        <v>5878</v>
      </c>
    </row>
    <row r="18808" spans="9:10" x14ac:dyDescent="0.3">
      <c r="I18808" t="s">
        <v>22189</v>
      </c>
      <c r="J18808" t="s">
        <v>5878</v>
      </c>
    </row>
    <row r="18809" spans="9:10" x14ac:dyDescent="0.3">
      <c r="I18809" t="s">
        <v>22189</v>
      </c>
      <c r="J18809" t="s">
        <v>5878</v>
      </c>
    </row>
    <row r="18810" spans="9:10" x14ac:dyDescent="0.3">
      <c r="I18810" t="s">
        <v>23944</v>
      </c>
      <c r="J18810" t="s">
        <v>5878</v>
      </c>
    </row>
    <row r="18811" spans="9:10" x14ac:dyDescent="0.3">
      <c r="I18811" t="s">
        <v>23945</v>
      </c>
      <c r="J18811" t="s">
        <v>5878</v>
      </c>
    </row>
    <row r="18812" spans="9:10" x14ac:dyDescent="0.3">
      <c r="I18812" t="s">
        <v>23946</v>
      </c>
      <c r="J18812" t="s">
        <v>5878</v>
      </c>
    </row>
    <row r="18813" spans="9:10" x14ac:dyDescent="0.3">
      <c r="I18813" t="s">
        <v>23947</v>
      </c>
      <c r="J18813" t="s">
        <v>5878</v>
      </c>
    </row>
    <row r="18814" spans="9:10" x14ac:dyDescent="0.3">
      <c r="I18814" t="s">
        <v>23948</v>
      </c>
      <c r="J18814" t="s">
        <v>5878</v>
      </c>
    </row>
    <row r="18815" spans="9:10" x14ac:dyDescent="0.3">
      <c r="I18815" t="s">
        <v>23949</v>
      </c>
      <c r="J18815" t="s">
        <v>5878</v>
      </c>
    </row>
    <row r="18816" spans="9:10" x14ac:dyDescent="0.3">
      <c r="I18816" t="s">
        <v>23950</v>
      </c>
      <c r="J18816" t="s">
        <v>5878</v>
      </c>
    </row>
    <row r="18817" spans="9:10" x14ac:dyDescent="0.3">
      <c r="I18817" t="s">
        <v>23951</v>
      </c>
      <c r="J18817" t="s">
        <v>5878</v>
      </c>
    </row>
    <row r="18818" spans="9:10" x14ac:dyDescent="0.3">
      <c r="I18818" t="s">
        <v>23952</v>
      </c>
      <c r="J18818" t="s">
        <v>5878</v>
      </c>
    </row>
    <row r="18819" spans="9:10" x14ac:dyDescent="0.3">
      <c r="I18819" t="s">
        <v>23953</v>
      </c>
      <c r="J18819" t="s">
        <v>5878</v>
      </c>
    </row>
    <row r="18820" spans="9:10" x14ac:dyDescent="0.3">
      <c r="I18820" t="s">
        <v>23954</v>
      </c>
      <c r="J18820" t="s">
        <v>5878</v>
      </c>
    </row>
    <row r="18821" spans="9:10" x14ac:dyDescent="0.3">
      <c r="I18821" t="s">
        <v>23955</v>
      </c>
      <c r="J18821" t="s">
        <v>5878</v>
      </c>
    </row>
    <row r="18822" spans="9:10" x14ac:dyDescent="0.3">
      <c r="I18822" t="s">
        <v>23956</v>
      </c>
      <c r="J18822" t="s">
        <v>5878</v>
      </c>
    </row>
    <row r="18823" spans="9:10" x14ac:dyDescent="0.3">
      <c r="I18823" t="s">
        <v>23957</v>
      </c>
      <c r="J18823" t="s">
        <v>5878</v>
      </c>
    </row>
    <row r="18824" spans="9:10" x14ac:dyDescent="0.3">
      <c r="I18824" t="s">
        <v>23958</v>
      </c>
      <c r="J18824" t="s">
        <v>5878</v>
      </c>
    </row>
    <row r="18825" spans="9:10" x14ac:dyDescent="0.3">
      <c r="I18825" t="s">
        <v>23959</v>
      </c>
      <c r="J18825" t="s">
        <v>5878</v>
      </c>
    </row>
    <row r="18826" spans="9:10" x14ac:dyDescent="0.3">
      <c r="I18826" t="s">
        <v>23960</v>
      </c>
      <c r="J18826" t="s">
        <v>5878</v>
      </c>
    </row>
    <row r="18827" spans="9:10" x14ac:dyDescent="0.3">
      <c r="I18827" t="s">
        <v>23961</v>
      </c>
      <c r="J18827" t="s">
        <v>5878</v>
      </c>
    </row>
    <row r="18828" spans="9:10" x14ac:dyDescent="0.3">
      <c r="I18828" t="s">
        <v>23962</v>
      </c>
      <c r="J18828" t="s">
        <v>5878</v>
      </c>
    </row>
    <row r="18829" spans="9:10" x14ac:dyDescent="0.3">
      <c r="I18829" t="s">
        <v>22560</v>
      </c>
      <c r="J18829" t="s">
        <v>5878</v>
      </c>
    </row>
    <row r="18830" spans="9:10" x14ac:dyDescent="0.3">
      <c r="I18830" t="s">
        <v>23963</v>
      </c>
      <c r="J18830" t="s">
        <v>5878</v>
      </c>
    </row>
    <row r="18831" spans="9:10" x14ac:dyDescent="0.3">
      <c r="I18831" t="s">
        <v>23964</v>
      </c>
      <c r="J18831" t="s">
        <v>5878</v>
      </c>
    </row>
    <row r="18832" spans="9:10" x14ac:dyDescent="0.3">
      <c r="I18832" t="s">
        <v>23965</v>
      </c>
      <c r="J18832" t="s">
        <v>5878</v>
      </c>
    </row>
    <row r="18833" spans="9:10" x14ac:dyDescent="0.3">
      <c r="I18833" t="s">
        <v>23966</v>
      </c>
      <c r="J18833" t="s">
        <v>5878</v>
      </c>
    </row>
    <row r="18834" spans="9:10" x14ac:dyDescent="0.3">
      <c r="I18834" t="s">
        <v>23967</v>
      </c>
      <c r="J18834" t="s">
        <v>5878</v>
      </c>
    </row>
    <row r="18835" spans="9:10" x14ac:dyDescent="0.3">
      <c r="I18835" t="s">
        <v>23968</v>
      </c>
      <c r="J18835" t="s">
        <v>5878</v>
      </c>
    </row>
    <row r="18836" spans="9:10" x14ac:dyDescent="0.3">
      <c r="I18836" t="s">
        <v>23969</v>
      </c>
      <c r="J18836" t="s">
        <v>5878</v>
      </c>
    </row>
    <row r="18837" spans="9:10" x14ac:dyDescent="0.3">
      <c r="I18837" t="s">
        <v>22189</v>
      </c>
      <c r="J18837" t="s">
        <v>5878</v>
      </c>
    </row>
    <row r="18838" spans="9:10" x14ac:dyDescent="0.3">
      <c r="I18838" t="s">
        <v>22189</v>
      </c>
      <c r="J18838" t="s">
        <v>5878</v>
      </c>
    </row>
    <row r="18839" spans="9:10" x14ac:dyDescent="0.3">
      <c r="I18839" t="s">
        <v>23970</v>
      </c>
      <c r="J18839" t="s">
        <v>5878</v>
      </c>
    </row>
    <row r="18840" spans="9:10" x14ac:dyDescent="0.3">
      <c r="I18840" t="s">
        <v>23971</v>
      </c>
      <c r="J18840" t="s">
        <v>5878</v>
      </c>
    </row>
    <row r="18841" spans="9:10" x14ac:dyDescent="0.3">
      <c r="I18841" t="s">
        <v>23972</v>
      </c>
      <c r="J18841" t="s">
        <v>5878</v>
      </c>
    </row>
    <row r="18842" spans="9:10" x14ac:dyDescent="0.3">
      <c r="I18842" t="s">
        <v>23973</v>
      </c>
      <c r="J18842" t="s">
        <v>5878</v>
      </c>
    </row>
    <row r="18843" spans="9:10" x14ac:dyDescent="0.3">
      <c r="I18843" t="s">
        <v>23974</v>
      </c>
      <c r="J18843" t="s">
        <v>5878</v>
      </c>
    </row>
    <row r="18844" spans="9:10" x14ac:dyDescent="0.3">
      <c r="I18844" t="s">
        <v>23975</v>
      </c>
      <c r="J18844" t="s">
        <v>5878</v>
      </c>
    </row>
    <row r="18845" spans="9:10" x14ac:dyDescent="0.3">
      <c r="I18845" t="s">
        <v>23976</v>
      </c>
      <c r="J18845" t="s">
        <v>5878</v>
      </c>
    </row>
    <row r="18846" spans="9:10" x14ac:dyDescent="0.3">
      <c r="I18846" t="s">
        <v>23977</v>
      </c>
      <c r="J18846" t="s">
        <v>5878</v>
      </c>
    </row>
    <row r="18847" spans="9:10" x14ac:dyDescent="0.3">
      <c r="I18847" t="s">
        <v>23978</v>
      </c>
      <c r="J18847" t="s">
        <v>5878</v>
      </c>
    </row>
    <row r="18848" spans="9:10" x14ac:dyDescent="0.3">
      <c r="I18848" t="s">
        <v>23979</v>
      </c>
      <c r="J18848" t="s">
        <v>5878</v>
      </c>
    </row>
    <row r="18849" spans="9:10" x14ac:dyDescent="0.3">
      <c r="I18849" t="s">
        <v>23980</v>
      </c>
      <c r="J18849" t="s">
        <v>5878</v>
      </c>
    </row>
    <row r="18850" spans="9:10" x14ac:dyDescent="0.3">
      <c r="I18850" t="s">
        <v>23981</v>
      </c>
      <c r="J18850" t="s">
        <v>5878</v>
      </c>
    </row>
    <row r="18851" spans="9:10" x14ac:dyDescent="0.3">
      <c r="I18851" t="s">
        <v>23982</v>
      </c>
      <c r="J18851" t="s">
        <v>5878</v>
      </c>
    </row>
    <row r="18852" spans="9:10" x14ac:dyDescent="0.3">
      <c r="I18852" t="s">
        <v>23983</v>
      </c>
      <c r="J18852" t="s">
        <v>5878</v>
      </c>
    </row>
    <row r="18853" spans="9:10" x14ac:dyDescent="0.3">
      <c r="I18853" t="s">
        <v>23984</v>
      </c>
      <c r="J18853" t="s">
        <v>5878</v>
      </c>
    </row>
    <row r="18854" spans="9:10" x14ac:dyDescent="0.3">
      <c r="I18854" t="s">
        <v>23985</v>
      </c>
      <c r="J18854" t="s">
        <v>5878</v>
      </c>
    </row>
    <row r="18855" spans="9:10" x14ac:dyDescent="0.3">
      <c r="I18855" t="s">
        <v>23986</v>
      </c>
      <c r="J18855" t="s">
        <v>5878</v>
      </c>
    </row>
    <row r="18856" spans="9:10" x14ac:dyDescent="0.3">
      <c r="I18856" t="s">
        <v>23987</v>
      </c>
      <c r="J18856" t="s">
        <v>5878</v>
      </c>
    </row>
    <row r="18857" spans="9:10" x14ac:dyDescent="0.3">
      <c r="I18857" t="s">
        <v>23988</v>
      </c>
      <c r="J18857" t="s">
        <v>5878</v>
      </c>
    </row>
    <row r="18858" spans="9:10" x14ac:dyDescent="0.3">
      <c r="I18858" t="s">
        <v>23989</v>
      </c>
      <c r="J18858" t="s">
        <v>5878</v>
      </c>
    </row>
    <row r="18859" spans="9:10" x14ac:dyDescent="0.3">
      <c r="I18859" t="s">
        <v>23990</v>
      </c>
      <c r="J18859" t="s">
        <v>5878</v>
      </c>
    </row>
    <row r="18860" spans="9:10" x14ac:dyDescent="0.3">
      <c r="I18860" t="s">
        <v>23991</v>
      </c>
      <c r="J18860" t="s">
        <v>5878</v>
      </c>
    </row>
    <row r="18861" spans="9:10" x14ac:dyDescent="0.3">
      <c r="I18861" t="s">
        <v>23992</v>
      </c>
      <c r="J18861" t="s">
        <v>5878</v>
      </c>
    </row>
    <row r="18862" spans="9:10" x14ac:dyDescent="0.3">
      <c r="I18862" t="s">
        <v>23993</v>
      </c>
      <c r="J18862" t="s">
        <v>5878</v>
      </c>
    </row>
    <row r="18863" spans="9:10" x14ac:dyDescent="0.3">
      <c r="I18863" t="s">
        <v>23994</v>
      </c>
      <c r="J18863" t="s">
        <v>5878</v>
      </c>
    </row>
    <row r="18864" spans="9:10" x14ac:dyDescent="0.3">
      <c r="I18864" t="s">
        <v>23995</v>
      </c>
      <c r="J18864" t="s">
        <v>5878</v>
      </c>
    </row>
    <row r="18865" spans="9:10" x14ac:dyDescent="0.3">
      <c r="I18865" t="s">
        <v>23996</v>
      </c>
      <c r="J18865" t="s">
        <v>5878</v>
      </c>
    </row>
    <row r="18866" spans="9:10" x14ac:dyDescent="0.3">
      <c r="I18866" t="s">
        <v>23997</v>
      </c>
      <c r="J18866" t="s">
        <v>5878</v>
      </c>
    </row>
    <row r="18867" spans="9:10" x14ac:dyDescent="0.3">
      <c r="I18867" t="s">
        <v>23998</v>
      </c>
      <c r="J18867" t="s">
        <v>5878</v>
      </c>
    </row>
    <row r="18868" spans="9:10" x14ac:dyDescent="0.3">
      <c r="I18868" t="s">
        <v>23999</v>
      </c>
      <c r="J18868" t="s">
        <v>5878</v>
      </c>
    </row>
    <row r="18869" spans="9:10" x14ac:dyDescent="0.3">
      <c r="I18869" t="s">
        <v>24000</v>
      </c>
      <c r="J18869" t="s">
        <v>5878</v>
      </c>
    </row>
    <row r="18870" spans="9:10" x14ac:dyDescent="0.3">
      <c r="I18870" t="s">
        <v>24001</v>
      </c>
      <c r="J18870" t="s">
        <v>5878</v>
      </c>
    </row>
    <row r="18871" spans="9:10" x14ac:dyDescent="0.3">
      <c r="I18871" t="s">
        <v>24002</v>
      </c>
      <c r="J18871" t="s">
        <v>5878</v>
      </c>
    </row>
    <row r="18872" spans="9:10" x14ac:dyDescent="0.3">
      <c r="I18872" t="s">
        <v>24003</v>
      </c>
      <c r="J18872" t="s">
        <v>5878</v>
      </c>
    </row>
    <row r="18873" spans="9:10" x14ac:dyDescent="0.3">
      <c r="I18873" t="s">
        <v>24004</v>
      </c>
      <c r="J18873" t="s">
        <v>5878</v>
      </c>
    </row>
    <row r="18874" spans="9:10" x14ac:dyDescent="0.3">
      <c r="I18874" t="s">
        <v>24005</v>
      </c>
      <c r="J18874" t="s">
        <v>5878</v>
      </c>
    </row>
    <row r="18875" spans="9:10" x14ac:dyDescent="0.3">
      <c r="I18875" t="s">
        <v>24006</v>
      </c>
      <c r="J18875" t="s">
        <v>5878</v>
      </c>
    </row>
    <row r="18876" spans="9:10" x14ac:dyDescent="0.3">
      <c r="I18876" t="s">
        <v>24007</v>
      </c>
      <c r="J18876" t="s">
        <v>5878</v>
      </c>
    </row>
    <row r="18877" spans="9:10" x14ac:dyDescent="0.3">
      <c r="I18877" t="s">
        <v>24008</v>
      </c>
      <c r="J18877" t="s">
        <v>5878</v>
      </c>
    </row>
    <row r="18878" spans="9:10" x14ac:dyDescent="0.3">
      <c r="I18878" t="s">
        <v>24009</v>
      </c>
      <c r="J18878" t="s">
        <v>5878</v>
      </c>
    </row>
    <row r="18879" spans="9:10" x14ac:dyDescent="0.3">
      <c r="I18879" t="s">
        <v>24010</v>
      </c>
      <c r="J18879" t="s">
        <v>5878</v>
      </c>
    </row>
    <row r="18880" spans="9:10" x14ac:dyDescent="0.3">
      <c r="I18880" t="s">
        <v>24011</v>
      </c>
      <c r="J18880" t="s">
        <v>5878</v>
      </c>
    </row>
    <row r="18881" spans="9:10" x14ac:dyDescent="0.3">
      <c r="I18881" t="s">
        <v>24012</v>
      </c>
      <c r="J18881" t="s">
        <v>5878</v>
      </c>
    </row>
    <row r="18882" spans="9:10" x14ac:dyDescent="0.3">
      <c r="I18882" t="s">
        <v>24013</v>
      </c>
      <c r="J18882" t="s">
        <v>5878</v>
      </c>
    </row>
    <row r="18883" spans="9:10" x14ac:dyDescent="0.3">
      <c r="I18883" t="s">
        <v>24014</v>
      </c>
      <c r="J18883" t="s">
        <v>5878</v>
      </c>
    </row>
    <row r="18884" spans="9:10" x14ac:dyDescent="0.3">
      <c r="I18884" t="s">
        <v>24015</v>
      </c>
      <c r="J18884" t="s">
        <v>5878</v>
      </c>
    </row>
    <row r="18885" spans="9:10" x14ac:dyDescent="0.3">
      <c r="I18885" t="s">
        <v>24016</v>
      </c>
      <c r="J18885" t="s">
        <v>5878</v>
      </c>
    </row>
    <row r="18886" spans="9:10" x14ac:dyDescent="0.3">
      <c r="I18886" t="s">
        <v>24017</v>
      </c>
      <c r="J18886" t="s">
        <v>5878</v>
      </c>
    </row>
    <row r="18887" spans="9:10" x14ac:dyDescent="0.3">
      <c r="I18887" t="s">
        <v>24018</v>
      </c>
      <c r="J18887" t="s">
        <v>5878</v>
      </c>
    </row>
    <row r="18888" spans="9:10" x14ac:dyDescent="0.3">
      <c r="I18888" t="s">
        <v>24019</v>
      </c>
      <c r="J18888" t="s">
        <v>5878</v>
      </c>
    </row>
    <row r="18889" spans="9:10" x14ac:dyDescent="0.3">
      <c r="I18889" t="s">
        <v>24020</v>
      </c>
      <c r="J18889" t="s">
        <v>5878</v>
      </c>
    </row>
    <row r="18890" spans="9:10" x14ac:dyDescent="0.3">
      <c r="I18890" t="s">
        <v>24021</v>
      </c>
      <c r="J18890" t="s">
        <v>5878</v>
      </c>
    </row>
    <row r="18891" spans="9:10" x14ac:dyDescent="0.3">
      <c r="I18891" t="s">
        <v>24022</v>
      </c>
      <c r="J18891" t="s">
        <v>5878</v>
      </c>
    </row>
    <row r="18892" spans="9:10" x14ac:dyDescent="0.3">
      <c r="I18892" t="s">
        <v>24023</v>
      </c>
      <c r="J18892" t="s">
        <v>5878</v>
      </c>
    </row>
    <row r="18893" spans="9:10" x14ac:dyDescent="0.3">
      <c r="I18893" t="s">
        <v>24024</v>
      </c>
      <c r="J18893" t="s">
        <v>5878</v>
      </c>
    </row>
    <row r="18894" spans="9:10" x14ac:dyDescent="0.3">
      <c r="I18894" t="s">
        <v>24025</v>
      </c>
      <c r="J18894" t="s">
        <v>5878</v>
      </c>
    </row>
    <row r="18895" spans="9:10" x14ac:dyDescent="0.3">
      <c r="I18895" t="s">
        <v>24026</v>
      </c>
      <c r="J18895" t="s">
        <v>5878</v>
      </c>
    </row>
    <row r="18896" spans="9:10" x14ac:dyDescent="0.3">
      <c r="I18896" t="s">
        <v>24027</v>
      </c>
      <c r="J18896" t="s">
        <v>5878</v>
      </c>
    </row>
    <row r="18897" spans="9:10" x14ac:dyDescent="0.3">
      <c r="I18897" t="s">
        <v>24028</v>
      </c>
      <c r="J18897" t="s">
        <v>5878</v>
      </c>
    </row>
    <row r="18898" spans="9:10" x14ac:dyDescent="0.3">
      <c r="I18898" t="s">
        <v>24029</v>
      </c>
      <c r="J18898" t="s">
        <v>5878</v>
      </c>
    </row>
    <row r="18899" spans="9:10" x14ac:dyDescent="0.3">
      <c r="I18899" t="s">
        <v>24030</v>
      </c>
      <c r="J18899" t="s">
        <v>5878</v>
      </c>
    </row>
    <row r="18900" spans="9:10" x14ac:dyDescent="0.3">
      <c r="I18900" t="s">
        <v>24031</v>
      </c>
      <c r="J18900" t="s">
        <v>5878</v>
      </c>
    </row>
    <row r="18901" spans="9:10" x14ac:dyDescent="0.3">
      <c r="I18901" t="s">
        <v>24032</v>
      </c>
      <c r="J18901" t="s">
        <v>5878</v>
      </c>
    </row>
    <row r="18902" spans="9:10" x14ac:dyDescent="0.3">
      <c r="I18902" t="s">
        <v>24033</v>
      </c>
      <c r="J18902" t="s">
        <v>5878</v>
      </c>
    </row>
    <row r="18903" spans="9:10" x14ac:dyDescent="0.3">
      <c r="I18903" t="s">
        <v>24034</v>
      </c>
      <c r="J18903" t="s">
        <v>5878</v>
      </c>
    </row>
    <row r="18904" spans="9:10" x14ac:dyDescent="0.3">
      <c r="I18904" t="s">
        <v>24035</v>
      </c>
      <c r="J18904" t="s">
        <v>5878</v>
      </c>
    </row>
    <row r="18905" spans="9:10" x14ac:dyDescent="0.3">
      <c r="I18905" t="s">
        <v>24036</v>
      </c>
      <c r="J18905" t="s">
        <v>5878</v>
      </c>
    </row>
    <row r="18906" spans="9:10" x14ac:dyDescent="0.3">
      <c r="I18906" t="s">
        <v>24037</v>
      </c>
      <c r="J18906" t="s">
        <v>5878</v>
      </c>
    </row>
    <row r="18907" spans="9:10" x14ac:dyDescent="0.3">
      <c r="I18907" t="s">
        <v>24038</v>
      </c>
      <c r="J18907" t="s">
        <v>5878</v>
      </c>
    </row>
    <row r="18908" spans="9:10" x14ac:dyDescent="0.3">
      <c r="I18908" t="s">
        <v>24039</v>
      </c>
      <c r="J18908" t="s">
        <v>5878</v>
      </c>
    </row>
    <row r="18909" spans="9:10" x14ac:dyDescent="0.3">
      <c r="I18909" t="s">
        <v>24040</v>
      </c>
      <c r="J18909" t="s">
        <v>5878</v>
      </c>
    </row>
    <row r="18910" spans="9:10" x14ac:dyDescent="0.3">
      <c r="I18910" t="s">
        <v>24041</v>
      </c>
      <c r="J18910" t="s">
        <v>5878</v>
      </c>
    </row>
    <row r="18911" spans="9:10" x14ac:dyDescent="0.3">
      <c r="I18911" t="s">
        <v>24042</v>
      </c>
      <c r="J18911" t="s">
        <v>5878</v>
      </c>
    </row>
    <row r="18912" spans="9:10" x14ac:dyDescent="0.3">
      <c r="I18912" t="s">
        <v>24043</v>
      </c>
      <c r="J18912" t="s">
        <v>5878</v>
      </c>
    </row>
    <row r="18913" spans="9:10" x14ac:dyDescent="0.3">
      <c r="I18913" t="s">
        <v>24044</v>
      </c>
      <c r="J18913" t="s">
        <v>5878</v>
      </c>
    </row>
    <row r="18914" spans="9:10" x14ac:dyDescent="0.3">
      <c r="I18914" t="s">
        <v>24045</v>
      </c>
      <c r="J18914" t="s">
        <v>5878</v>
      </c>
    </row>
    <row r="18915" spans="9:10" x14ac:dyDescent="0.3">
      <c r="I18915" t="s">
        <v>24046</v>
      </c>
      <c r="J18915" t="s">
        <v>5878</v>
      </c>
    </row>
    <row r="18916" spans="9:10" x14ac:dyDescent="0.3">
      <c r="I18916" t="s">
        <v>24047</v>
      </c>
      <c r="J18916" t="s">
        <v>5878</v>
      </c>
    </row>
    <row r="18917" spans="9:10" x14ac:dyDescent="0.3">
      <c r="I18917" t="s">
        <v>24048</v>
      </c>
      <c r="J18917" t="s">
        <v>5878</v>
      </c>
    </row>
    <row r="18918" spans="9:10" x14ac:dyDescent="0.3">
      <c r="I18918" t="s">
        <v>24049</v>
      </c>
      <c r="J18918" t="s">
        <v>5878</v>
      </c>
    </row>
    <row r="18919" spans="9:10" x14ac:dyDescent="0.3">
      <c r="I18919" t="s">
        <v>24050</v>
      </c>
      <c r="J18919" t="s">
        <v>5878</v>
      </c>
    </row>
    <row r="18920" spans="9:10" x14ac:dyDescent="0.3">
      <c r="I18920" t="s">
        <v>24051</v>
      </c>
      <c r="J18920" t="s">
        <v>5878</v>
      </c>
    </row>
    <row r="18921" spans="9:10" x14ac:dyDescent="0.3">
      <c r="I18921" t="s">
        <v>24052</v>
      </c>
      <c r="J18921" t="s">
        <v>5878</v>
      </c>
    </row>
    <row r="18922" spans="9:10" x14ac:dyDescent="0.3">
      <c r="I18922" t="s">
        <v>24053</v>
      </c>
      <c r="J18922" t="s">
        <v>5878</v>
      </c>
    </row>
    <row r="18923" spans="9:10" x14ac:dyDescent="0.3">
      <c r="I18923" t="s">
        <v>24054</v>
      </c>
      <c r="J18923" t="s">
        <v>5878</v>
      </c>
    </row>
    <row r="18924" spans="9:10" x14ac:dyDescent="0.3">
      <c r="I18924" t="s">
        <v>24055</v>
      </c>
      <c r="J18924" t="s">
        <v>5878</v>
      </c>
    </row>
    <row r="18925" spans="9:10" x14ac:dyDescent="0.3">
      <c r="I18925" t="s">
        <v>24056</v>
      </c>
      <c r="J18925" t="s">
        <v>5878</v>
      </c>
    </row>
    <row r="18926" spans="9:10" x14ac:dyDescent="0.3">
      <c r="I18926" t="s">
        <v>24057</v>
      </c>
      <c r="J18926" t="s">
        <v>5878</v>
      </c>
    </row>
    <row r="18927" spans="9:10" x14ac:dyDescent="0.3">
      <c r="I18927" t="s">
        <v>24058</v>
      </c>
      <c r="J18927" t="s">
        <v>5878</v>
      </c>
    </row>
    <row r="18928" spans="9:10" x14ac:dyDescent="0.3">
      <c r="I18928" t="s">
        <v>24059</v>
      </c>
      <c r="J18928" t="s">
        <v>5878</v>
      </c>
    </row>
    <row r="18929" spans="9:10" x14ac:dyDescent="0.3">
      <c r="I18929" t="s">
        <v>24060</v>
      </c>
      <c r="J18929" t="s">
        <v>5878</v>
      </c>
    </row>
    <row r="18930" spans="9:10" x14ac:dyDescent="0.3">
      <c r="I18930" t="s">
        <v>24061</v>
      </c>
      <c r="J18930" t="s">
        <v>5878</v>
      </c>
    </row>
    <row r="18931" spans="9:10" x14ac:dyDescent="0.3">
      <c r="I18931" t="s">
        <v>24062</v>
      </c>
      <c r="J18931" t="s">
        <v>5878</v>
      </c>
    </row>
    <row r="18932" spans="9:10" x14ac:dyDescent="0.3">
      <c r="I18932" t="s">
        <v>24063</v>
      </c>
      <c r="J18932" t="s">
        <v>5878</v>
      </c>
    </row>
    <row r="18933" spans="9:10" x14ac:dyDescent="0.3">
      <c r="I18933" t="s">
        <v>24064</v>
      </c>
      <c r="J18933" t="s">
        <v>5878</v>
      </c>
    </row>
    <row r="18934" spans="9:10" x14ac:dyDescent="0.3">
      <c r="I18934" t="s">
        <v>24065</v>
      </c>
      <c r="J18934" t="s">
        <v>5878</v>
      </c>
    </row>
    <row r="18935" spans="9:10" x14ac:dyDescent="0.3">
      <c r="I18935" t="s">
        <v>24066</v>
      </c>
      <c r="J18935" t="s">
        <v>5878</v>
      </c>
    </row>
    <row r="18936" spans="9:10" x14ac:dyDescent="0.3">
      <c r="I18936" t="s">
        <v>24067</v>
      </c>
      <c r="J18936" t="s">
        <v>5878</v>
      </c>
    </row>
    <row r="18937" spans="9:10" x14ac:dyDescent="0.3">
      <c r="I18937" t="s">
        <v>24068</v>
      </c>
      <c r="J18937" t="s">
        <v>5878</v>
      </c>
    </row>
    <row r="18938" spans="9:10" x14ac:dyDescent="0.3">
      <c r="I18938" t="s">
        <v>24069</v>
      </c>
      <c r="J18938" t="s">
        <v>5878</v>
      </c>
    </row>
    <row r="18939" spans="9:10" x14ac:dyDescent="0.3">
      <c r="I18939" t="s">
        <v>24070</v>
      </c>
      <c r="J18939" t="s">
        <v>5878</v>
      </c>
    </row>
    <row r="18940" spans="9:10" x14ac:dyDescent="0.3">
      <c r="I18940" t="s">
        <v>24071</v>
      </c>
      <c r="J18940" t="s">
        <v>5878</v>
      </c>
    </row>
    <row r="18941" spans="9:10" x14ac:dyDescent="0.3">
      <c r="I18941" t="s">
        <v>24072</v>
      </c>
      <c r="J18941" t="s">
        <v>5878</v>
      </c>
    </row>
    <row r="18942" spans="9:10" x14ac:dyDescent="0.3">
      <c r="I18942" t="s">
        <v>24073</v>
      </c>
      <c r="J18942" t="s">
        <v>5878</v>
      </c>
    </row>
    <row r="18943" spans="9:10" x14ac:dyDescent="0.3">
      <c r="I18943" t="s">
        <v>24074</v>
      </c>
      <c r="J18943" t="s">
        <v>5878</v>
      </c>
    </row>
    <row r="18944" spans="9:10" x14ac:dyDescent="0.3">
      <c r="I18944" t="s">
        <v>24075</v>
      </c>
      <c r="J18944" t="s">
        <v>5878</v>
      </c>
    </row>
    <row r="18945" spans="9:10" x14ac:dyDescent="0.3">
      <c r="I18945" t="s">
        <v>24076</v>
      </c>
      <c r="J18945" t="s">
        <v>5878</v>
      </c>
    </row>
    <row r="18946" spans="9:10" x14ac:dyDescent="0.3">
      <c r="I18946" t="s">
        <v>24077</v>
      </c>
      <c r="J18946" t="s">
        <v>5878</v>
      </c>
    </row>
    <row r="18947" spans="9:10" x14ac:dyDescent="0.3">
      <c r="I18947" t="s">
        <v>24078</v>
      </c>
      <c r="J18947" t="s">
        <v>5878</v>
      </c>
    </row>
    <row r="18948" spans="9:10" x14ac:dyDescent="0.3">
      <c r="I18948" t="s">
        <v>24079</v>
      </c>
      <c r="J18948" t="s">
        <v>5878</v>
      </c>
    </row>
    <row r="18949" spans="9:10" x14ac:dyDescent="0.3">
      <c r="I18949" t="s">
        <v>24080</v>
      </c>
      <c r="J18949" t="s">
        <v>5878</v>
      </c>
    </row>
    <row r="18950" spans="9:10" x14ac:dyDescent="0.3">
      <c r="I18950" t="s">
        <v>24081</v>
      </c>
      <c r="J18950" t="s">
        <v>5878</v>
      </c>
    </row>
    <row r="18951" spans="9:10" x14ac:dyDescent="0.3">
      <c r="I18951" t="s">
        <v>24082</v>
      </c>
      <c r="J18951" t="s">
        <v>5878</v>
      </c>
    </row>
    <row r="18952" spans="9:10" x14ac:dyDescent="0.3">
      <c r="I18952" t="s">
        <v>24083</v>
      </c>
      <c r="J18952" t="s">
        <v>5878</v>
      </c>
    </row>
    <row r="18953" spans="9:10" x14ac:dyDescent="0.3">
      <c r="I18953" t="s">
        <v>24084</v>
      </c>
      <c r="J18953" t="s">
        <v>5878</v>
      </c>
    </row>
    <row r="18954" spans="9:10" x14ac:dyDescent="0.3">
      <c r="I18954" t="s">
        <v>24085</v>
      </c>
      <c r="J18954" t="s">
        <v>5878</v>
      </c>
    </row>
    <row r="18955" spans="9:10" x14ac:dyDescent="0.3">
      <c r="I18955" t="s">
        <v>24086</v>
      </c>
      <c r="J18955" t="s">
        <v>5878</v>
      </c>
    </row>
    <row r="18956" spans="9:10" x14ac:dyDescent="0.3">
      <c r="I18956" t="s">
        <v>24087</v>
      </c>
      <c r="J18956" t="s">
        <v>5878</v>
      </c>
    </row>
    <row r="18957" spans="9:10" x14ac:dyDescent="0.3">
      <c r="I18957" t="s">
        <v>24088</v>
      </c>
      <c r="J18957" t="s">
        <v>5878</v>
      </c>
    </row>
    <row r="18958" spans="9:10" x14ac:dyDescent="0.3">
      <c r="I18958" t="s">
        <v>24089</v>
      </c>
      <c r="J18958" t="s">
        <v>5878</v>
      </c>
    </row>
    <row r="18959" spans="9:10" x14ac:dyDescent="0.3">
      <c r="I18959" t="s">
        <v>24090</v>
      </c>
      <c r="J18959" t="s">
        <v>5878</v>
      </c>
    </row>
    <row r="18960" spans="9:10" x14ac:dyDescent="0.3">
      <c r="I18960" t="s">
        <v>24091</v>
      </c>
      <c r="J18960" t="s">
        <v>5878</v>
      </c>
    </row>
    <row r="18961" spans="9:10" x14ac:dyDescent="0.3">
      <c r="I18961" t="s">
        <v>24092</v>
      </c>
      <c r="J18961" t="s">
        <v>5878</v>
      </c>
    </row>
    <row r="18962" spans="9:10" x14ac:dyDescent="0.3">
      <c r="I18962" t="s">
        <v>24093</v>
      </c>
      <c r="J18962" t="s">
        <v>5878</v>
      </c>
    </row>
    <row r="18963" spans="9:10" x14ac:dyDescent="0.3">
      <c r="I18963" t="s">
        <v>24094</v>
      </c>
      <c r="J18963" t="s">
        <v>5878</v>
      </c>
    </row>
    <row r="18964" spans="9:10" x14ac:dyDescent="0.3">
      <c r="I18964" t="s">
        <v>24095</v>
      </c>
      <c r="J18964" t="s">
        <v>5878</v>
      </c>
    </row>
    <row r="18965" spans="9:10" x14ac:dyDescent="0.3">
      <c r="I18965" t="s">
        <v>24096</v>
      </c>
      <c r="J18965" t="s">
        <v>5878</v>
      </c>
    </row>
    <row r="18966" spans="9:10" x14ac:dyDescent="0.3">
      <c r="I18966" t="s">
        <v>24097</v>
      </c>
      <c r="J18966" t="s">
        <v>5878</v>
      </c>
    </row>
    <row r="18967" spans="9:10" x14ac:dyDescent="0.3">
      <c r="I18967" t="s">
        <v>24098</v>
      </c>
      <c r="J18967" t="s">
        <v>5878</v>
      </c>
    </row>
    <row r="18968" spans="9:10" x14ac:dyDescent="0.3">
      <c r="I18968" t="s">
        <v>24099</v>
      </c>
      <c r="J18968" t="s">
        <v>5878</v>
      </c>
    </row>
    <row r="18969" spans="9:10" x14ac:dyDescent="0.3">
      <c r="I18969" t="s">
        <v>24100</v>
      </c>
      <c r="J18969" t="s">
        <v>5878</v>
      </c>
    </row>
    <row r="18970" spans="9:10" x14ac:dyDescent="0.3">
      <c r="I18970" t="s">
        <v>24101</v>
      </c>
      <c r="J18970" t="s">
        <v>5878</v>
      </c>
    </row>
    <row r="18971" spans="9:10" x14ac:dyDescent="0.3">
      <c r="I18971" t="s">
        <v>24102</v>
      </c>
      <c r="J18971" t="s">
        <v>5878</v>
      </c>
    </row>
    <row r="18972" spans="9:10" x14ac:dyDescent="0.3">
      <c r="I18972" t="s">
        <v>24103</v>
      </c>
      <c r="J18972" t="s">
        <v>5878</v>
      </c>
    </row>
    <row r="18973" spans="9:10" x14ac:dyDescent="0.3">
      <c r="I18973" t="s">
        <v>24104</v>
      </c>
      <c r="J18973" t="s">
        <v>5878</v>
      </c>
    </row>
    <row r="18974" spans="9:10" x14ac:dyDescent="0.3">
      <c r="I18974" t="s">
        <v>24105</v>
      </c>
      <c r="J18974" t="s">
        <v>5878</v>
      </c>
    </row>
    <row r="18975" spans="9:10" x14ac:dyDescent="0.3">
      <c r="I18975" t="s">
        <v>24106</v>
      </c>
      <c r="J18975" t="s">
        <v>5878</v>
      </c>
    </row>
    <row r="18976" spans="9:10" x14ac:dyDescent="0.3">
      <c r="I18976" t="s">
        <v>24107</v>
      </c>
      <c r="J18976" t="s">
        <v>5878</v>
      </c>
    </row>
    <row r="18977" spans="9:10" x14ac:dyDescent="0.3">
      <c r="I18977" t="s">
        <v>24108</v>
      </c>
      <c r="J18977" t="s">
        <v>5878</v>
      </c>
    </row>
    <row r="18978" spans="9:10" x14ac:dyDescent="0.3">
      <c r="I18978" t="s">
        <v>24109</v>
      </c>
      <c r="J18978" t="s">
        <v>5878</v>
      </c>
    </row>
    <row r="18979" spans="9:10" x14ac:dyDescent="0.3">
      <c r="I18979" t="s">
        <v>24110</v>
      </c>
      <c r="J18979" t="s">
        <v>5878</v>
      </c>
    </row>
    <row r="18980" spans="9:10" x14ac:dyDescent="0.3">
      <c r="I18980" t="s">
        <v>24111</v>
      </c>
      <c r="J18980" t="s">
        <v>5878</v>
      </c>
    </row>
    <row r="18981" spans="9:10" x14ac:dyDescent="0.3">
      <c r="I18981" t="s">
        <v>24112</v>
      </c>
      <c r="J18981" t="s">
        <v>5878</v>
      </c>
    </row>
    <row r="18982" spans="9:10" x14ac:dyDescent="0.3">
      <c r="I18982" t="s">
        <v>24113</v>
      </c>
      <c r="J18982" t="s">
        <v>5878</v>
      </c>
    </row>
    <row r="18983" spans="9:10" x14ac:dyDescent="0.3">
      <c r="I18983" t="s">
        <v>24114</v>
      </c>
      <c r="J18983" t="s">
        <v>5878</v>
      </c>
    </row>
    <row r="18984" spans="9:10" x14ac:dyDescent="0.3">
      <c r="I18984" t="s">
        <v>24115</v>
      </c>
      <c r="J18984" t="s">
        <v>5878</v>
      </c>
    </row>
    <row r="18985" spans="9:10" x14ac:dyDescent="0.3">
      <c r="I18985" t="s">
        <v>24116</v>
      </c>
      <c r="J18985" t="s">
        <v>5878</v>
      </c>
    </row>
    <row r="18986" spans="9:10" x14ac:dyDescent="0.3">
      <c r="I18986" t="s">
        <v>24117</v>
      </c>
      <c r="J18986" t="s">
        <v>5878</v>
      </c>
    </row>
    <row r="18987" spans="9:10" x14ac:dyDescent="0.3">
      <c r="I18987" t="s">
        <v>24118</v>
      </c>
      <c r="J18987" t="s">
        <v>5878</v>
      </c>
    </row>
    <row r="18988" spans="9:10" x14ac:dyDescent="0.3">
      <c r="I18988" t="s">
        <v>24119</v>
      </c>
      <c r="J18988" t="s">
        <v>5878</v>
      </c>
    </row>
    <row r="18989" spans="9:10" x14ac:dyDescent="0.3">
      <c r="I18989" t="s">
        <v>24120</v>
      </c>
      <c r="J18989" t="s">
        <v>5878</v>
      </c>
    </row>
    <row r="18990" spans="9:10" x14ac:dyDescent="0.3">
      <c r="I18990" t="s">
        <v>24121</v>
      </c>
      <c r="J18990" t="s">
        <v>5878</v>
      </c>
    </row>
    <row r="18991" spans="9:10" x14ac:dyDescent="0.3">
      <c r="I18991" t="s">
        <v>24122</v>
      </c>
      <c r="J18991" t="s">
        <v>5878</v>
      </c>
    </row>
    <row r="18992" spans="9:10" x14ac:dyDescent="0.3">
      <c r="I18992" t="s">
        <v>24123</v>
      </c>
      <c r="J18992" t="s">
        <v>5878</v>
      </c>
    </row>
    <row r="18993" spans="9:10" x14ac:dyDescent="0.3">
      <c r="I18993" t="s">
        <v>24124</v>
      </c>
      <c r="J18993" t="s">
        <v>5878</v>
      </c>
    </row>
    <row r="18994" spans="9:10" x14ac:dyDescent="0.3">
      <c r="I18994" t="s">
        <v>24125</v>
      </c>
      <c r="J18994" t="s">
        <v>5878</v>
      </c>
    </row>
    <row r="18995" spans="9:10" x14ac:dyDescent="0.3">
      <c r="I18995" t="s">
        <v>24126</v>
      </c>
      <c r="J18995" t="s">
        <v>5878</v>
      </c>
    </row>
    <row r="18996" spans="9:10" x14ac:dyDescent="0.3">
      <c r="I18996" t="s">
        <v>24127</v>
      </c>
      <c r="J18996" t="s">
        <v>5878</v>
      </c>
    </row>
    <row r="18997" spans="9:10" x14ac:dyDescent="0.3">
      <c r="I18997" t="s">
        <v>24128</v>
      </c>
      <c r="J18997" t="s">
        <v>5878</v>
      </c>
    </row>
    <row r="18998" spans="9:10" x14ac:dyDescent="0.3">
      <c r="I18998" t="s">
        <v>24129</v>
      </c>
      <c r="J18998" t="s">
        <v>5878</v>
      </c>
    </row>
    <row r="18999" spans="9:10" x14ac:dyDescent="0.3">
      <c r="I18999" t="s">
        <v>24130</v>
      </c>
      <c r="J18999" t="s">
        <v>5878</v>
      </c>
    </row>
    <row r="19000" spans="9:10" x14ac:dyDescent="0.3">
      <c r="I19000" t="s">
        <v>24131</v>
      </c>
      <c r="J19000" t="s">
        <v>5878</v>
      </c>
    </row>
    <row r="19001" spans="9:10" x14ac:dyDescent="0.3">
      <c r="I19001" t="s">
        <v>24132</v>
      </c>
      <c r="J19001" t="s">
        <v>5878</v>
      </c>
    </row>
    <row r="19002" spans="9:10" x14ac:dyDescent="0.3">
      <c r="I19002" t="s">
        <v>24133</v>
      </c>
      <c r="J19002" t="s">
        <v>5878</v>
      </c>
    </row>
    <row r="19003" spans="9:10" x14ac:dyDescent="0.3">
      <c r="I19003" t="s">
        <v>24134</v>
      </c>
      <c r="J19003" t="s">
        <v>5878</v>
      </c>
    </row>
    <row r="19004" spans="9:10" x14ac:dyDescent="0.3">
      <c r="I19004" t="s">
        <v>24135</v>
      </c>
      <c r="J19004" t="s">
        <v>5878</v>
      </c>
    </row>
    <row r="19005" spans="9:10" x14ac:dyDescent="0.3">
      <c r="I19005" t="s">
        <v>24136</v>
      </c>
      <c r="J19005" t="s">
        <v>5878</v>
      </c>
    </row>
    <row r="19006" spans="9:10" x14ac:dyDescent="0.3">
      <c r="I19006" t="s">
        <v>24137</v>
      </c>
      <c r="J19006" t="s">
        <v>5878</v>
      </c>
    </row>
    <row r="19007" spans="9:10" x14ac:dyDescent="0.3">
      <c r="I19007" t="s">
        <v>24138</v>
      </c>
      <c r="J19007" t="s">
        <v>5878</v>
      </c>
    </row>
    <row r="19008" spans="9:10" x14ac:dyDescent="0.3">
      <c r="I19008" t="s">
        <v>24139</v>
      </c>
      <c r="J19008" t="s">
        <v>5878</v>
      </c>
    </row>
    <row r="19009" spans="9:10" x14ac:dyDescent="0.3">
      <c r="I19009" t="s">
        <v>24140</v>
      </c>
      <c r="J19009" t="s">
        <v>5878</v>
      </c>
    </row>
    <row r="19010" spans="9:10" x14ac:dyDescent="0.3">
      <c r="I19010" t="s">
        <v>24141</v>
      </c>
      <c r="J19010" t="s">
        <v>5878</v>
      </c>
    </row>
    <row r="19011" spans="9:10" x14ac:dyDescent="0.3">
      <c r="I19011" t="s">
        <v>24142</v>
      </c>
      <c r="J19011" t="s">
        <v>5878</v>
      </c>
    </row>
    <row r="19012" spans="9:10" x14ac:dyDescent="0.3">
      <c r="I19012" t="s">
        <v>24143</v>
      </c>
      <c r="J19012" t="s">
        <v>5878</v>
      </c>
    </row>
    <row r="19013" spans="9:10" x14ac:dyDescent="0.3">
      <c r="I19013" t="s">
        <v>24144</v>
      </c>
      <c r="J19013" t="s">
        <v>5878</v>
      </c>
    </row>
    <row r="19014" spans="9:10" x14ac:dyDescent="0.3">
      <c r="I19014" t="s">
        <v>24145</v>
      </c>
      <c r="J19014" t="s">
        <v>5878</v>
      </c>
    </row>
    <row r="19015" spans="9:10" x14ac:dyDescent="0.3">
      <c r="I19015" t="s">
        <v>24146</v>
      </c>
      <c r="J19015" t="s">
        <v>5878</v>
      </c>
    </row>
    <row r="19016" spans="9:10" x14ac:dyDescent="0.3">
      <c r="I19016" t="s">
        <v>24147</v>
      </c>
      <c r="J19016" t="s">
        <v>5878</v>
      </c>
    </row>
    <row r="19017" spans="9:10" x14ac:dyDescent="0.3">
      <c r="I19017" t="s">
        <v>24148</v>
      </c>
      <c r="J19017" t="s">
        <v>5878</v>
      </c>
    </row>
    <row r="19018" spans="9:10" x14ac:dyDescent="0.3">
      <c r="I19018" t="s">
        <v>24149</v>
      </c>
      <c r="J19018" t="s">
        <v>5878</v>
      </c>
    </row>
    <row r="19019" spans="9:10" x14ac:dyDescent="0.3">
      <c r="I19019" t="s">
        <v>24150</v>
      </c>
      <c r="J19019" t="s">
        <v>5878</v>
      </c>
    </row>
    <row r="19020" spans="9:10" x14ac:dyDescent="0.3">
      <c r="I19020" t="s">
        <v>24151</v>
      </c>
      <c r="J19020" t="s">
        <v>5878</v>
      </c>
    </row>
    <row r="19021" spans="9:10" x14ac:dyDescent="0.3">
      <c r="I19021" t="s">
        <v>24152</v>
      </c>
      <c r="J19021" t="s">
        <v>5878</v>
      </c>
    </row>
    <row r="19022" spans="9:10" x14ac:dyDescent="0.3">
      <c r="I19022" t="s">
        <v>24153</v>
      </c>
      <c r="J19022" t="s">
        <v>5878</v>
      </c>
    </row>
    <row r="19023" spans="9:10" x14ac:dyDescent="0.3">
      <c r="I19023" t="s">
        <v>24154</v>
      </c>
      <c r="J19023" t="s">
        <v>5878</v>
      </c>
    </row>
    <row r="19024" spans="9:10" x14ac:dyDescent="0.3">
      <c r="I19024" t="s">
        <v>24155</v>
      </c>
      <c r="J19024" t="s">
        <v>5878</v>
      </c>
    </row>
    <row r="19025" spans="9:10" x14ac:dyDescent="0.3">
      <c r="I19025" t="s">
        <v>24156</v>
      </c>
      <c r="J19025" t="s">
        <v>5878</v>
      </c>
    </row>
    <row r="19026" spans="9:10" x14ac:dyDescent="0.3">
      <c r="I19026" t="s">
        <v>24157</v>
      </c>
      <c r="J19026" t="s">
        <v>5878</v>
      </c>
    </row>
    <row r="19027" spans="9:10" x14ac:dyDescent="0.3">
      <c r="I19027" t="s">
        <v>24158</v>
      </c>
      <c r="J19027" t="s">
        <v>5878</v>
      </c>
    </row>
    <row r="19028" spans="9:10" x14ac:dyDescent="0.3">
      <c r="I19028" t="s">
        <v>24159</v>
      </c>
      <c r="J19028" t="s">
        <v>5878</v>
      </c>
    </row>
    <row r="19029" spans="9:10" x14ac:dyDescent="0.3">
      <c r="I19029" t="s">
        <v>24160</v>
      </c>
      <c r="J19029" t="s">
        <v>5878</v>
      </c>
    </row>
    <row r="19030" spans="9:10" x14ac:dyDescent="0.3">
      <c r="I19030" t="s">
        <v>24161</v>
      </c>
      <c r="J19030" t="s">
        <v>5878</v>
      </c>
    </row>
    <row r="19031" spans="9:10" x14ac:dyDescent="0.3">
      <c r="I19031" t="s">
        <v>24162</v>
      </c>
      <c r="J19031" t="s">
        <v>5878</v>
      </c>
    </row>
    <row r="19032" spans="9:10" x14ac:dyDescent="0.3">
      <c r="I19032" t="s">
        <v>24163</v>
      </c>
      <c r="J19032" t="s">
        <v>5878</v>
      </c>
    </row>
    <row r="19033" spans="9:10" x14ac:dyDescent="0.3">
      <c r="I19033" t="s">
        <v>24164</v>
      </c>
      <c r="J19033" t="s">
        <v>5878</v>
      </c>
    </row>
    <row r="19034" spans="9:10" x14ac:dyDescent="0.3">
      <c r="I19034" t="s">
        <v>24165</v>
      </c>
      <c r="J19034" t="s">
        <v>5878</v>
      </c>
    </row>
    <row r="19035" spans="9:10" x14ac:dyDescent="0.3">
      <c r="I19035" t="s">
        <v>24166</v>
      </c>
      <c r="J19035" t="s">
        <v>5878</v>
      </c>
    </row>
    <row r="19036" spans="9:10" x14ac:dyDescent="0.3">
      <c r="I19036" t="s">
        <v>24167</v>
      </c>
      <c r="J19036" t="s">
        <v>5878</v>
      </c>
    </row>
    <row r="19037" spans="9:10" x14ac:dyDescent="0.3">
      <c r="I19037" t="s">
        <v>24168</v>
      </c>
      <c r="J19037" t="s">
        <v>5878</v>
      </c>
    </row>
    <row r="19038" spans="9:10" x14ac:dyDescent="0.3">
      <c r="I19038" t="s">
        <v>24169</v>
      </c>
      <c r="J19038" t="s">
        <v>5878</v>
      </c>
    </row>
    <row r="19039" spans="9:10" x14ac:dyDescent="0.3">
      <c r="I19039" t="s">
        <v>24170</v>
      </c>
      <c r="J19039" t="s">
        <v>5878</v>
      </c>
    </row>
    <row r="19040" spans="9:10" x14ac:dyDescent="0.3">
      <c r="I19040" t="s">
        <v>24171</v>
      </c>
      <c r="J19040" t="s">
        <v>5878</v>
      </c>
    </row>
    <row r="19041" spans="9:10" x14ac:dyDescent="0.3">
      <c r="I19041" t="s">
        <v>24172</v>
      </c>
      <c r="J19041" t="s">
        <v>5878</v>
      </c>
    </row>
    <row r="19042" spans="9:10" x14ac:dyDescent="0.3">
      <c r="I19042" t="s">
        <v>22591</v>
      </c>
      <c r="J19042" t="s">
        <v>5878</v>
      </c>
    </row>
    <row r="19043" spans="9:10" x14ac:dyDescent="0.3">
      <c r="I19043" t="s">
        <v>24173</v>
      </c>
      <c r="J19043" t="s">
        <v>5878</v>
      </c>
    </row>
    <row r="19044" spans="9:10" x14ac:dyDescent="0.3">
      <c r="I19044" t="s">
        <v>24174</v>
      </c>
      <c r="J19044" t="s">
        <v>5878</v>
      </c>
    </row>
    <row r="19045" spans="9:10" x14ac:dyDescent="0.3">
      <c r="I19045" t="s">
        <v>24175</v>
      </c>
      <c r="J19045" t="s">
        <v>5878</v>
      </c>
    </row>
    <row r="19046" spans="9:10" x14ac:dyDescent="0.3">
      <c r="I19046" t="s">
        <v>24176</v>
      </c>
      <c r="J19046" t="s">
        <v>5878</v>
      </c>
    </row>
    <row r="19047" spans="9:10" x14ac:dyDescent="0.3">
      <c r="I19047" t="s">
        <v>24177</v>
      </c>
      <c r="J19047" t="s">
        <v>5878</v>
      </c>
    </row>
    <row r="19048" spans="9:10" x14ac:dyDescent="0.3">
      <c r="I19048" t="s">
        <v>24178</v>
      </c>
      <c r="J19048" t="s">
        <v>5878</v>
      </c>
    </row>
    <row r="19049" spans="9:10" x14ac:dyDescent="0.3">
      <c r="I19049" t="s">
        <v>24179</v>
      </c>
      <c r="J19049" t="s">
        <v>5878</v>
      </c>
    </row>
    <row r="19050" spans="9:10" x14ac:dyDescent="0.3">
      <c r="I19050" t="s">
        <v>24180</v>
      </c>
      <c r="J19050" t="s">
        <v>5878</v>
      </c>
    </row>
    <row r="19051" spans="9:10" x14ac:dyDescent="0.3">
      <c r="I19051" t="s">
        <v>24181</v>
      </c>
      <c r="J19051" t="s">
        <v>5878</v>
      </c>
    </row>
    <row r="19052" spans="9:10" x14ac:dyDescent="0.3">
      <c r="I19052" t="s">
        <v>24182</v>
      </c>
      <c r="J19052" t="s">
        <v>5878</v>
      </c>
    </row>
    <row r="19053" spans="9:10" x14ac:dyDescent="0.3">
      <c r="I19053" t="s">
        <v>24183</v>
      </c>
      <c r="J19053" t="s">
        <v>5878</v>
      </c>
    </row>
    <row r="19054" spans="9:10" x14ac:dyDescent="0.3">
      <c r="I19054" t="s">
        <v>24184</v>
      </c>
      <c r="J19054" t="s">
        <v>5878</v>
      </c>
    </row>
    <row r="19055" spans="9:10" x14ac:dyDescent="0.3">
      <c r="I19055" t="s">
        <v>24185</v>
      </c>
      <c r="J19055" t="s">
        <v>5878</v>
      </c>
    </row>
    <row r="19056" spans="9:10" x14ac:dyDescent="0.3">
      <c r="I19056" t="s">
        <v>24186</v>
      </c>
      <c r="J19056" t="s">
        <v>5878</v>
      </c>
    </row>
    <row r="19057" spans="9:10" x14ac:dyDescent="0.3">
      <c r="I19057" t="s">
        <v>24187</v>
      </c>
      <c r="J19057" t="s">
        <v>5878</v>
      </c>
    </row>
    <row r="19058" spans="9:10" x14ac:dyDescent="0.3">
      <c r="I19058" t="s">
        <v>24188</v>
      </c>
      <c r="J19058" t="s">
        <v>5878</v>
      </c>
    </row>
    <row r="19059" spans="9:10" x14ac:dyDescent="0.3">
      <c r="I19059" t="s">
        <v>24189</v>
      </c>
      <c r="J19059" t="s">
        <v>5878</v>
      </c>
    </row>
    <row r="19060" spans="9:10" x14ac:dyDescent="0.3">
      <c r="I19060" t="s">
        <v>24190</v>
      </c>
      <c r="J19060" t="s">
        <v>5878</v>
      </c>
    </row>
    <row r="19061" spans="9:10" x14ac:dyDescent="0.3">
      <c r="I19061" t="s">
        <v>24191</v>
      </c>
      <c r="J19061" t="s">
        <v>5878</v>
      </c>
    </row>
    <row r="19062" spans="9:10" x14ac:dyDescent="0.3">
      <c r="I19062" t="s">
        <v>24192</v>
      </c>
      <c r="J19062" t="s">
        <v>5878</v>
      </c>
    </row>
    <row r="19063" spans="9:10" x14ac:dyDescent="0.3">
      <c r="I19063" t="s">
        <v>24193</v>
      </c>
      <c r="J19063" t="s">
        <v>5878</v>
      </c>
    </row>
    <row r="19064" spans="9:10" x14ac:dyDescent="0.3">
      <c r="I19064" t="s">
        <v>24194</v>
      </c>
      <c r="J19064" t="s">
        <v>5878</v>
      </c>
    </row>
    <row r="19065" spans="9:10" x14ac:dyDescent="0.3">
      <c r="I19065" t="s">
        <v>24195</v>
      </c>
      <c r="J19065" t="s">
        <v>5878</v>
      </c>
    </row>
    <row r="19066" spans="9:10" x14ac:dyDescent="0.3">
      <c r="I19066" t="s">
        <v>24196</v>
      </c>
      <c r="J19066" t="s">
        <v>5878</v>
      </c>
    </row>
    <row r="19067" spans="9:10" x14ac:dyDescent="0.3">
      <c r="I19067" t="s">
        <v>24197</v>
      </c>
      <c r="J19067" t="s">
        <v>5878</v>
      </c>
    </row>
    <row r="19068" spans="9:10" x14ac:dyDescent="0.3">
      <c r="I19068" t="s">
        <v>24198</v>
      </c>
      <c r="J19068" t="s">
        <v>5878</v>
      </c>
    </row>
    <row r="19069" spans="9:10" x14ac:dyDescent="0.3">
      <c r="I19069" t="s">
        <v>24199</v>
      </c>
      <c r="J19069" t="s">
        <v>5878</v>
      </c>
    </row>
    <row r="19070" spans="9:10" x14ac:dyDescent="0.3">
      <c r="I19070" t="s">
        <v>24200</v>
      </c>
      <c r="J19070" t="s">
        <v>5878</v>
      </c>
    </row>
    <row r="19071" spans="9:10" x14ac:dyDescent="0.3">
      <c r="I19071" t="s">
        <v>24201</v>
      </c>
      <c r="J19071" t="s">
        <v>5878</v>
      </c>
    </row>
    <row r="19072" spans="9:10" x14ac:dyDescent="0.3">
      <c r="I19072" t="s">
        <v>24202</v>
      </c>
      <c r="J19072" t="s">
        <v>5878</v>
      </c>
    </row>
    <row r="19073" spans="9:10" x14ac:dyDescent="0.3">
      <c r="I19073" t="s">
        <v>24203</v>
      </c>
      <c r="J19073" t="s">
        <v>5878</v>
      </c>
    </row>
    <row r="19074" spans="9:10" x14ac:dyDescent="0.3">
      <c r="I19074" t="s">
        <v>24204</v>
      </c>
      <c r="J19074" t="s">
        <v>5878</v>
      </c>
    </row>
    <row r="19075" spans="9:10" x14ac:dyDescent="0.3">
      <c r="I19075" t="s">
        <v>24205</v>
      </c>
      <c r="J19075" t="s">
        <v>5878</v>
      </c>
    </row>
    <row r="19076" spans="9:10" x14ac:dyDescent="0.3">
      <c r="I19076" t="s">
        <v>24206</v>
      </c>
      <c r="J19076" t="s">
        <v>5878</v>
      </c>
    </row>
    <row r="19077" spans="9:10" x14ac:dyDescent="0.3">
      <c r="I19077" t="s">
        <v>24207</v>
      </c>
      <c r="J19077" t="s">
        <v>5878</v>
      </c>
    </row>
    <row r="19078" spans="9:10" x14ac:dyDescent="0.3">
      <c r="I19078" t="s">
        <v>24208</v>
      </c>
      <c r="J19078" t="s">
        <v>5878</v>
      </c>
    </row>
    <row r="19079" spans="9:10" x14ac:dyDescent="0.3">
      <c r="I19079" t="s">
        <v>24209</v>
      </c>
      <c r="J19079" t="s">
        <v>5878</v>
      </c>
    </row>
    <row r="19080" spans="9:10" x14ac:dyDescent="0.3">
      <c r="I19080" t="s">
        <v>24210</v>
      </c>
      <c r="J19080" t="s">
        <v>5878</v>
      </c>
    </row>
    <row r="19081" spans="9:10" x14ac:dyDescent="0.3">
      <c r="I19081" t="s">
        <v>24211</v>
      </c>
      <c r="J19081" t="s">
        <v>5878</v>
      </c>
    </row>
    <row r="19082" spans="9:10" x14ac:dyDescent="0.3">
      <c r="I19082" t="s">
        <v>24212</v>
      </c>
      <c r="J19082" t="s">
        <v>5878</v>
      </c>
    </row>
    <row r="19083" spans="9:10" x14ac:dyDescent="0.3">
      <c r="I19083" t="s">
        <v>24213</v>
      </c>
      <c r="J19083" t="s">
        <v>5878</v>
      </c>
    </row>
    <row r="19084" spans="9:10" x14ac:dyDescent="0.3">
      <c r="I19084" t="s">
        <v>24214</v>
      </c>
      <c r="J19084" t="s">
        <v>5878</v>
      </c>
    </row>
    <row r="19085" spans="9:10" x14ac:dyDescent="0.3">
      <c r="I19085" t="s">
        <v>24215</v>
      </c>
      <c r="J19085" t="s">
        <v>5878</v>
      </c>
    </row>
    <row r="19086" spans="9:10" x14ac:dyDescent="0.3">
      <c r="I19086" t="s">
        <v>24216</v>
      </c>
      <c r="J19086" t="s">
        <v>5878</v>
      </c>
    </row>
    <row r="19087" spans="9:10" x14ac:dyDescent="0.3">
      <c r="I19087" t="s">
        <v>24217</v>
      </c>
      <c r="J19087" t="s">
        <v>5878</v>
      </c>
    </row>
    <row r="19088" spans="9:10" x14ac:dyDescent="0.3">
      <c r="I19088" t="s">
        <v>24218</v>
      </c>
      <c r="J19088" t="s">
        <v>5878</v>
      </c>
    </row>
    <row r="19089" spans="9:10" x14ac:dyDescent="0.3">
      <c r="I19089" t="s">
        <v>24219</v>
      </c>
      <c r="J19089" t="s">
        <v>5878</v>
      </c>
    </row>
    <row r="19090" spans="9:10" x14ac:dyDescent="0.3">
      <c r="I19090" t="s">
        <v>24220</v>
      </c>
      <c r="J19090" t="s">
        <v>5878</v>
      </c>
    </row>
    <row r="19091" spans="9:10" x14ac:dyDescent="0.3">
      <c r="I19091" t="s">
        <v>24221</v>
      </c>
      <c r="J19091" t="s">
        <v>5878</v>
      </c>
    </row>
    <row r="19092" spans="9:10" x14ac:dyDescent="0.3">
      <c r="I19092" t="s">
        <v>24222</v>
      </c>
      <c r="J19092" t="s">
        <v>5878</v>
      </c>
    </row>
    <row r="19093" spans="9:10" x14ac:dyDescent="0.3">
      <c r="I19093" t="s">
        <v>24223</v>
      </c>
      <c r="J19093" t="s">
        <v>5878</v>
      </c>
    </row>
    <row r="19094" spans="9:10" x14ac:dyDescent="0.3">
      <c r="I19094" t="s">
        <v>24224</v>
      </c>
      <c r="J19094" t="s">
        <v>5878</v>
      </c>
    </row>
    <row r="19095" spans="9:10" x14ac:dyDescent="0.3">
      <c r="I19095" t="s">
        <v>24225</v>
      </c>
      <c r="J19095" t="s">
        <v>5878</v>
      </c>
    </row>
    <row r="19096" spans="9:10" x14ac:dyDescent="0.3">
      <c r="I19096" t="s">
        <v>24226</v>
      </c>
      <c r="J19096" t="s">
        <v>5878</v>
      </c>
    </row>
    <row r="19097" spans="9:10" x14ac:dyDescent="0.3">
      <c r="I19097" t="s">
        <v>24227</v>
      </c>
      <c r="J19097" t="s">
        <v>5878</v>
      </c>
    </row>
    <row r="19098" spans="9:10" x14ac:dyDescent="0.3">
      <c r="I19098" t="s">
        <v>24228</v>
      </c>
      <c r="J19098" t="s">
        <v>5878</v>
      </c>
    </row>
    <row r="19099" spans="9:10" x14ac:dyDescent="0.3">
      <c r="I19099" t="s">
        <v>24229</v>
      </c>
      <c r="J19099" t="s">
        <v>5878</v>
      </c>
    </row>
    <row r="19100" spans="9:10" x14ac:dyDescent="0.3">
      <c r="I19100" t="s">
        <v>24230</v>
      </c>
      <c r="J19100" t="s">
        <v>5878</v>
      </c>
    </row>
    <row r="19101" spans="9:10" x14ac:dyDescent="0.3">
      <c r="I19101" t="s">
        <v>24231</v>
      </c>
      <c r="J19101" t="s">
        <v>5878</v>
      </c>
    </row>
    <row r="19102" spans="9:10" x14ac:dyDescent="0.3">
      <c r="I19102" t="s">
        <v>24232</v>
      </c>
      <c r="J19102" t="s">
        <v>5878</v>
      </c>
    </row>
    <row r="19103" spans="9:10" x14ac:dyDescent="0.3">
      <c r="I19103" t="s">
        <v>24233</v>
      </c>
      <c r="J19103" t="s">
        <v>5878</v>
      </c>
    </row>
    <row r="19104" spans="9:10" x14ac:dyDescent="0.3">
      <c r="I19104" t="s">
        <v>24234</v>
      </c>
      <c r="J19104" t="s">
        <v>5878</v>
      </c>
    </row>
    <row r="19105" spans="9:10" x14ac:dyDescent="0.3">
      <c r="I19105" t="s">
        <v>24235</v>
      </c>
      <c r="J19105" t="s">
        <v>5878</v>
      </c>
    </row>
    <row r="19106" spans="9:10" x14ac:dyDescent="0.3">
      <c r="I19106" t="s">
        <v>24236</v>
      </c>
      <c r="J19106" t="s">
        <v>5878</v>
      </c>
    </row>
    <row r="19107" spans="9:10" x14ac:dyDescent="0.3">
      <c r="I19107" t="s">
        <v>24237</v>
      </c>
      <c r="J19107" t="s">
        <v>5878</v>
      </c>
    </row>
    <row r="19108" spans="9:10" x14ac:dyDescent="0.3">
      <c r="I19108" t="s">
        <v>24238</v>
      </c>
      <c r="J19108" t="s">
        <v>5878</v>
      </c>
    </row>
    <row r="19109" spans="9:10" x14ac:dyDescent="0.3">
      <c r="I19109" t="s">
        <v>24239</v>
      </c>
      <c r="J19109" t="s">
        <v>5878</v>
      </c>
    </row>
    <row r="19110" spans="9:10" x14ac:dyDescent="0.3">
      <c r="I19110" t="s">
        <v>24240</v>
      </c>
      <c r="J19110" t="s">
        <v>5878</v>
      </c>
    </row>
    <row r="19111" spans="9:10" x14ac:dyDescent="0.3">
      <c r="I19111" t="s">
        <v>24241</v>
      </c>
      <c r="J19111" t="s">
        <v>5878</v>
      </c>
    </row>
    <row r="19112" spans="9:10" x14ac:dyDescent="0.3">
      <c r="I19112" t="s">
        <v>24242</v>
      </c>
      <c r="J19112" t="s">
        <v>5878</v>
      </c>
    </row>
    <row r="19113" spans="9:10" x14ac:dyDescent="0.3">
      <c r="I19113" t="s">
        <v>24243</v>
      </c>
      <c r="J19113" t="s">
        <v>5878</v>
      </c>
    </row>
    <row r="19114" spans="9:10" x14ac:dyDescent="0.3">
      <c r="I19114" t="s">
        <v>24244</v>
      </c>
      <c r="J19114" t="s">
        <v>5878</v>
      </c>
    </row>
    <row r="19115" spans="9:10" x14ac:dyDescent="0.3">
      <c r="I19115" t="s">
        <v>24245</v>
      </c>
      <c r="J19115" t="s">
        <v>5878</v>
      </c>
    </row>
    <row r="19116" spans="9:10" x14ac:dyDescent="0.3">
      <c r="I19116" t="s">
        <v>24246</v>
      </c>
      <c r="J19116" t="s">
        <v>5878</v>
      </c>
    </row>
    <row r="19117" spans="9:10" x14ac:dyDescent="0.3">
      <c r="I19117" t="s">
        <v>24247</v>
      </c>
      <c r="J19117" t="s">
        <v>5878</v>
      </c>
    </row>
    <row r="19118" spans="9:10" x14ac:dyDescent="0.3">
      <c r="I19118" t="s">
        <v>24248</v>
      </c>
      <c r="J19118" t="s">
        <v>5878</v>
      </c>
    </row>
    <row r="19119" spans="9:10" x14ac:dyDescent="0.3">
      <c r="I19119" t="s">
        <v>24249</v>
      </c>
      <c r="J19119" t="s">
        <v>5878</v>
      </c>
    </row>
    <row r="19120" spans="9:10" x14ac:dyDescent="0.3">
      <c r="I19120" t="s">
        <v>24250</v>
      </c>
      <c r="J19120" t="s">
        <v>5878</v>
      </c>
    </row>
    <row r="19121" spans="9:10" x14ac:dyDescent="0.3">
      <c r="I19121" t="s">
        <v>24251</v>
      </c>
      <c r="J19121" t="s">
        <v>5878</v>
      </c>
    </row>
    <row r="19122" spans="9:10" x14ac:dyDescent="0.3">
      <c r="I19122" t="s">
        <v>24252</v>
      </c>
      <c r="J19122" t="s">
        <v>5878</v>
      </c>
    </row>
    <row r="19123" spans="9:10" x14ac:dyDescent="0.3">
      <c r="I19123" t="s">
        <v>24253</v>
      </c>
      <c r="J19123" t="s">
        <v>5878</v>
      </c>
    </row>
    <row r="19124" spans="9:10" x14ac:dyDescent="0.3">
      <c r="I19124" t="s">
        <v>24254</v>
      </c>
      <c r="J19124" t="s">
        <v>5878</v>
      </c>
    </row>
    <row r="19125" spans="9:10" x14ac:dyDescent="0.3">
      <c r="I19125" t="s">
        <v>24255</v>
      </c>
      <c r="J19125" t="s">
        <v>5878</v>
      </c>
    </row>
    <row r="19126" spans="9:10" x14ac:dyDescent="0.3">
      <c r="I19126" t="s">
        <v>24256</v>
      </c>
      <c r="J19126" t="s">
        <v>5878</v>
      </c>
    </row>
    <row r="19127" spans="9:10" x14ac:dyDescent="0.3">
      <c r="I19127" t="s">
        <v>24257</v>
      </c>
      <c r="J19127" t="s">
        <v>5878</v>
      </c>
    </row>
    <row r="19128" spans="9:10" x14ac:dyDescent="0.3">
      <c r="I19128" t="s">
        <v>24258</v>
      </c>
      <c r="J19128" t="s">
        <v>5878</v>
      </c>
    </row>
    <row r="19129" spans="9:10" x14ac:dyDescent="0.3">
      <c r="I19129" t="s">
        <v>24259</v>
      </c>
      <c r="J19129" t="s">
        <v>5878</v>
      </c>
    </row>
    <row r="19130" spans="9:10" x14ac:dyDescent="0.3">
      <c r="I19130" t="s">
        <v>24260</v>
      </c>
      <c r="J19130" t="s">
        <v>5878</v>
      </c>
    </row>
    <row r="19131" spans="9:10" x14ac:dyDescent="0.3">
      <c r="I19131" t="s">
        <v>24261</v>
      </c>
      <c r="J19131" t="s">
        <v>5878</v>
      </c>
    </row>
    <row r="19132" spans="9:10" x14ac:dyDescent="0.3">
      <c r="I19132" t="s">
        <v>24262</v>
      </c>
      <c r="J19132" t="s">
        <v>5878</v>
      </c>
    </row>
    <row r="19133" spans="9:10" x14ac:dyDescent="0.3">
      <c r="I19133" t="s">
        <v>24263</v>
      </c>
      <c r="J19133" t="s">
        <v>5878</v>
      </c>
    </row>
    <row r="19134" spans="9:10" x14ac:dyDescent="0.3">
      <c r="I19134" t="s">
        <v>24264</v>
      </c>
      <c r="J19134" t="s">
        <v>5878</v>
      </c>
    </row>
    <row r="19135" spans="9:10" x14ac:dyDescent="0.3">
      <c r="I19135" t="s">
        <v>24265</v>
      </c>
      <c r="J19135" t="s">
        <v>5878</v>
      </c>
    </row>
    <row r="19136" spans="9:10" x14ac:dyDescent="0.3">
      <c r="I19136" t="s">
        <v>24266</v>
      </c>
      <c r="J19136" t="s">
        <v>5878</v>
      </c>
    </row>
    <row r="19137" spans="9:10" x14ac:dyDescent="0.3">
      <c r="I19137" t="s">
        <v>24267</v>
      </c>
      <c r="J19137" t="s">
        <v>5878</v>
      </c>
    </row>
    <row r="19138" spans="9:10" x14ac:dyDescent="0.3">
      <c r="I19138" t="s">
        <v>24268</v>
      </c>
      <c r="J19138" t="s">
        <v>5878</v>
      </c>
    </row>
    <row r="19139" spans="9:10" x14ac:dyDescent="0.3">
      <c r="I19139" t="s">
        <v>24269</v>
      </c>
      <c r="J19139" t="s">
        <v>5878</v>
      </c>
    </row>
    <row r="19140" spans="9:10" x14ac:dyDescent="0.3">
      <c r="I19140" t="s">
        <v>24270</v>
      </c>
      <c r="J19140" t="s">
        <v>5878</v>
      </c>
    </row>
    <row r="19141" spans="9:10" x14ac:dyDescent="0.3">
      <c r="I19141" t="s">
        <v>24271</v>
      </c>
      <c r="J19141" t="s">
        <v>5878</v>
      </c>
    </row>
    <row r="19142" spans="9:10" x14ac:dyDescent="0.3">
      <c r="I19142" t="s">
        <v>24272</v>
      </c>
      <c r="J19142" t="s">
        <v>5878</v>
      </c>
    </row>
    <row r="19143" spans="9:10" x14ac:dyDescent="0.3">
      <c r="I19143" t="s">
        <v>24273</v>
      </c>
      <c r="J19143" t="s">
        <v>5878</v>
      </c>
    </row>
    <row r="19144" spans="9:10" x14ac:dyDescent="0.3">
      <c r="I19144" t="s">
        <v>24274</v>
      </c>
      <c r="J19144" t="s">
        <v>5878</v>
      </c>
    </row>
    <row r="19145" spans="9:10" x14ac:dyDescent="0.3">
      <c r="I19145" t="s">
        <v>24275</v>
      </c>
      <c r="J19145" t="s">
        <v>5878</v>
      </c>
    </row>
    <row r="19146" spans="9:10" x14ac:dyDescent="0.3">
      <c r="I19146" t="s">
        <v>24276</v>
      </c>
      <c r="J19146" t="s">
        <v>5878</v>
      </c>
    </row>
    <row r="19147" spans="9:10" x14ac:dyDescent="0.3">
      <c r="I19147" t="s">
        <v>24277</v>
      </c>
      <c r="J19147" t="s">
        <v>5878</v>
      </c>
    </row>
    <row r="19148" spans="9:10" x14ac:dyDescent="0.3">
      <c r="I19148" t="s">
        <v>24278</v>
      </c>
      <c r="J19148" t="s">
        <v>5878</v>
      </c>
    </row>
    <row r="19149" spans="9:10" x14ac:dyDescent="0.3">
      <c r="I19149" t="s">
        <v>24279</v>
      </c>
      <c r="J19149" t="s">
        <v>5878</v>
      </c>
    </row>
    <row r="19150" spans="9:10" x14ac:dyDescent="0.3">
      <c r="I19150" t="s">
        <v>24280</v>
      </c>
      <c r="J19150" t="s">
        <v>5878</v>
      </c>
    </row>
    <row r="19151" spans="9:10" x14ac:dyDescent="0.3">
      <c r="I19151" t="s">
        <v>24281</v>
      </c>
      <c r="J19151" t="s">
        <v>5878</v>
      </c>
    </row>
    <row r="19152" spans="9:10" x14ac:dyDescent="0.3">
      <c r="I19152" t="s">
        <v>24282</v>
      </c>
      <c r="J19152" t="s">
        <v>5878</v>
      </c>
    </row>
    <row r="19153" spans="9:10" x14ac:dyDescent="0.3">
      <c r="I19153" t="s">
        <v>24283</v>
      </c>
      <c r="J19153" t="s">
        <v>5878</v>
      </c>
    </row>
    <row r="19154" spans="9:10" x14ac:dyDescent="0.3">
      <c r="I19154" t="s">
        <v>24284</v>
      </c>
      <c r="J19154" t="s">
        <v>5878</v>
      </c>
    </row>
    <row r="19155" spans="9:10" x14ac:dyDescent="0.3">
      <c r="I19155" t="s">
        <v>24285</v>
      </c>
      <c r="J19155" t="s">
        <v>5878</v>
      </c>
    </row>
    <row r="19156" spans="9:10" x14ac:dyDescent="0.3">
      <c r="I19156" t="s">
        <v>24286</v>
      </c>
      <c r="J19156" t="s">
        <v>5878</v>
      </c>
    </row>
    <row r="19157" spans="9:10" x14ac:dyDescent="0.3">
      <c r="I19157" t="s">
        <v>24287</v>
      </c>
      <c r="J19157" t="s">
        <v>5878</v>
      </c>
    </row>
    <row r="19158" spans="9:10" x14ac:dyDescent="0.3">
      <c r="I19158" t="s">
        <v>24288</v>
      </c>
      <c r="J19158" t="s">
        <v>5878</v>
      </c>
    </row>
    <row r="19159" spans="9:10" x14ac:dyDescent="0.3">
      <c r="I19159" t="s">
        <v>24289</v>
      </c>
      <c r="J19159" t="s">
        <v>5878</v>
      </c>
    </row>
    <row r="19160" spans="9:10" x14ac:dyDescent="0.3">
      <c r="I19160" t="s">
        <v>24290</v>
      </c>
      <c r="J19160" t="s">
        <v>5878</v>
      </c>
    </row>
    <row r="19161" spans="9:10" x14ac:dyDescent="0.3">
      <c r="I19161" t="s">
        <v>24291</v>
      </c>
      <c r="J19161" t="s">
        <v>5878</v>
      </c>
    </row>
    <row r="19162" spans="9:10" x14ac:dyDescent="0.3">
      <c r="I19162" t="s">
        <v>24292</v>
      </c>
      <c r="J19162" t="s">
        <v>5878</v>
      </c>
    </row>
    <row r="19163" spans="9:10" x14ac:dyDescent="0.3">
      <c r="I19163" t="s">
        <v>24293</v>
      </c>
      <c r="J19163" t="s">
        <v>5878</v>
      </c>
    </row>
    <row r="19164" spans="9:10" x14ac:dyDescent="0.3">
      <c r="I19164" t="s">
        <v>24294</v>
      </c>
      <c r="J19164" t="s">
        <v>5878</v>
      </c>
    </row>
    <row r="19165" spans="9:10" x14ac:dyDescent="0.3">
      <c r="I19165" t="s">
        <v>24295</v>
      </c>
      <c r="J19165" t="s">
        <v>5878</v>
      </c>
    </row>
    <row r="19166" spans="9:10" x14ac:dyDescent="0.3">
      <c r="I19166" t="s">
        <v>24296</v>
      </c>
      <c r="J19166" t="s">
        <v>5878</v>
      </c>
    </row>
    <row r="19167" spans="9:10" x14ac:dyDescent="0.3">
      <c r="I19167" t="s">
        <v>24297</v>
      </c>
      <c r="J19167" t="s">
        <v>5878</v>
      </c>
    </row>
    <row r="19168" spans="9:10" x14ac:dyDescent="0.3">
      <c r="I19168" t="s">
        <v>24298</v>
      </c>
      <c r="J19168" t="s">
        <v>5878</v>
      </c>
    </row>
    <row r="19169" spans="9:10" x14ac:dyDescent="0.3">
      <c r="I19169" t="s">
        <v>24299</v>
      </c>
      <c r="J19169" t="s">
        <v>5878</v>
      </c>
    </row>
    <row r="19170" spans="9:10" x14ac:dyDescent="0.3">
      <c r="I19170" t="s">
        <v>24300</v>
      </c>
      <c r="J19170" t="s">
        <v>5878</v>
      </c>
    </row>
    <row r="19171" spans="9:10" x14ac:dyDescent="0.3">
      <c r="I19171" t="s">
        <v>24301</v>
      </c>
      <c r="J19171" t="s">
        <v>5878</v>
      </c>
    </row>
    <row r="19172" spans="9:10" x14ac:dyDescent="0.3">
      <c r="I19172" t="s">
        <v>24302</v>
      </c>
      <c r="J19172" t="s">
        <v>5878</v>
      </c>
    </row>
    <row r="19173" spans="9:10" x14ac:dyDescent="0.3">
      <c r="I19173" t="s">
        <v>24303</v>
      </c>
      <c r="J19173" t="s">
        <v>5878</v>
      </c>
    </row>
    <row r="19174" spans="9:10" x14ac:dyDescent="0.3">
      <c r="I19174" t="s">
        <v>24304</v>
      </c>
      <c r="J19174" t="s">
        <v>5878</v>
      </c>
    </row>
    <row r="19175" spans="9:10" x14ac:dyDescent="0.3">
      <c r="I19175" t="s">
        <v>24305</v>
      </c>
      <c r="J19175" t="s">
        <v>5878</v>
      </c>
    </row>
    <row r="19176" spans="9:10" x14ac:dyDescent="0.3">
      <c r="I19176" t="s">
        <v>24306</v>
      </c>
      <c r="J19176" t="s">
        <v>5878</v>
      </c>
    </row>
    <row r="19177" spans="9:10" x14ac:dyDescent="0.3">
      <c r="I19177" t="s">
        <v>24307</v>
      </c>
      <c r="J19177" t="s">
        <v>5878</v>
      </c>
    </row>
    <row r="19178" spans="9:10" x14ac:dyDescent="0.3">
      <c r="I19178" t="s">
        <v>24308</v>
      </c>
      <c r="J19178" t="s">
        <v>5878</v>
      </c>
    </row>
    <row r="19179" spans="9:10" x14ac:dyDescent="0.3">
      <c r="I19179" t="s">
        <v>24309</v>
      </c>
      <c r="J19179" t="s">
        <v>5878</v>
      </c>
    </row>
    <row r="19180" spans="9:10" x14ac:dyDescent="0.3">
      <c r="I19180" t="s">
        <v>24310</v>
      </c>
      <c r="J19180" t="s">
        <v>5878</v>
      </c>
    </row>
    <row r="19181" spans="9:10" x14ac:dyDescent="0.3">
      <c r="I19181" t="s">
        <v>24311</v>
      </c>
      <c r="J19181" t="s">
        <v>5878</v>
      </c>
    </row>
    <row r="19182" spans="9:10" x14ac:dyDescent="0.3">
      <c r="I19182" t="s">
        <v>24312</v>
      </c>
      <c r="J19182" t="s">
        <v>5878</v>
      </c>
    </row>
    <row r="19183" spans="9:10" x14ac:dyDescent="0.3">
      <c r="I19183" t="s">
        <v>24313</v>
      </c>
      <c r="J19183" t="s">
        <v>5878</v>
      </c>
    </row>
    <row r="19184" spans="9:10" x14ac:dyDescent="0.3">
      <c r="I19184" t="s">
        <v>24314</v>
      </c>
      <c r="J19184" t="s">
        <v>5878</v>
      </c>
    </row>
    <row r="19185" spans="9:10" x14ac:dyDescent="0.3">
      <c r="I19185" t="s">
        <v>24315</v>
      </c>
      <c r="J19185" t="s">
        <v>5878</v>
      </c>
    </row>
    <row r="19186" spans="9:10" x14ac:dyDescent="0.3">
      <c r="I19186" t="s">
        <v>24316</v>
      </c>
      <c r="J19186" t="s">
        <v>5878</v>
      </c>
    </row>
    <row r="19187" spans="9:10" x14ac:dyDescent="0.3">
      <c r="I19187" t="s">
        <v>24317</v>
      </c>
      <c r="J19187" t="s">
        <v>5878</v>
      </c>
    </row>
    <row r="19188" spans="9:10" x14ac:dyDescent="0.3">
      <c r="I19188" t="s">
        <v>24318</v>
      </c>
      <c r="J19188" t="s">
        <v>5878</v>
      </c>
    </row>
    <row r="19189" spans="9:10" x14ac:dyDescent="0.3">
      <c r="I19189" t="s">
        <v>24319</v>
      </c>
      <c r="J19189" t="s">
        <v>5878</v>
      </c>
    </row>
    <row r="19190" spans="9:10" x14ac:dyDescent="0.3">
      <c r="I19190" t="s">
        <v>24320</v>
      </c>
      <c r="J19190" t="s">
        <v>5878</v>
      </c>
    </row>
    <row r="19191" spans="9:10" x14ac:dyDescent="0.3">
      <c r="I19191" t="s">
        <v>24321</v>
      </c>
      <c r="J19191" t="s">
        <v>5878</v>
      </c>
    </row>
    <row r="19192" spans="9:10" x14ac:dyDescent="0.3">
      <c r="I19192" t="s">
        <v>24322</v>
      </c>
      <c r="J19192" t="s">
        <v>5878</v>
      </c>
    </row>
    <row r="19193" spans="9:10" x14ac:dyDescent="0.3">
      <c r="I19193" t="s">
        <v>24323</v>
      </c>
      <c r="J19193" t="s">
        <v>5878</v>
      </c>
    </row>
    <row r="19194" spans="9:10" x14ac:dyDescent="0.3">
      <c r="I19194" t="s">
        <v>24324</v>
      </c>
      <c r="J19194" t="s">
        <v>5878</v>
      </c>
    </row>
    <row r="19195" spans="9:10" x14ac:dyDescent="0.3">
      <c r="I19195" t="s">
        <v>24325</v>
      </c>
      <c r="J19195" t="s">
        <v>5878</v>
      </c>
    </row>
    <row r="19196" spans="9:10" x14ac:dyDescent="0.3">
      <c r="I19196" t="s">
        <v>24326</v>
      </c>
      <c r="J19196" t="s">
        <v>5878</v>
      </c>
    </row>
    <row r="19197" spans="9:10" x14ac:dyDescent="0.3">
      <c r="I19197" t="s">
        <v>24327</v>
      </c>
      <c r="J19197" t="s">
        <v>5878</v>
      </c>
    </row>
    <row r="19198" spans="9:10" x14ac:dyDescent="0.3">
      <c r="I19198" t="s">
        <v>24328</v>
      </c>
      <c r="J19198" t="s">
        <v>5878</v>
      </c>
    </row>
    <row r="19199" spans="9:10" x14ac:dyDescent="0.3">
      <c r="I19199" t="s">
        <v>24329</v>
      </c>
      <c r="J19199" t="s">
        <v>5878</v>
      </c>
    </row>
    <row r="19200" spans="9:10" x14ac:dyDescent="0.3">
      <c r="I19200" t="s">
        <v>24330</v>
      </c>
      <c r="J19200" t="s">
        <v>5878</v>
      </c>
    </row>
    <row r="19201" spans="9:10" x14ac:dyDescent="0.3">
      <c r="I19201" t="s">
        <v>24331</v>
      </c>
      <c r="J19201" t="s">
        <v>5878</v>
      </c>
    </row>
    <row r="19202" spans="9:10" x14ac:dyDescent="0.3">
      <c r="I19202" t="s">
        <v>24332</v>
      </c>
      <c r="J19202" t="s">
        <v>5878</v>
      </c>
    </row>
    <row r="19203" spans="9:10" x14ac:dyDescent="0.3">
      <c r="I19203" t="s">
        <v>24333</v>
      </c>
      <c r="J19203" t="s">
        <v>5878</v>
      </c>
    </row>
    <row r="19204" spans="9:10" x14ac:dyDescent="0.3">
      <c r="I19204" t="s">
        <v>24334</v>
      </c>
      <c r="J19204" t="s">
        <v>5878</v>
      </c>
    </row>
    <row r="19205" spans="9:10" x14ac:dyDescent="0.3">
      <c r="I19205" t="s">
        <v>24335</v>
      </c>
      <c r="J19205" t="s">
        <v>5878</v>
      </c>
    </row>
    <row r="19206" spans="9:10" x14ac:dyDescent="0.3">
      <c r="I19206" t="s">
        <v>24336</v>
      </c>
      <c r="J19206" t="s">
        <v>5878</v>
      </c>
    </row>
    <row r="19207" spans="9:10" x14ac:dyDescent="0.3">
      <c r="I19207" t="s">
        <v>24337</v>
      </c>
      <c r="J19207" t="s">
        <v>5878</v>
      </c>
    </row>
    <row r="19208" spans="9:10" x14ac:dyDescent="0.3">
      <c r="I19208" t="s">
        <v>24338</v>
      </c>
      <c r="J19208" t="s">
        <v>5878</v>
      </c>
    </row>
    <row r="19209" spans="9:10" x14ac:dyDescent="0.3">
      <c r="I19209" t="s">
        <v>24339</v>
      </c>
      <c r="J19209" t="s">
        <v>5878</v>
      </c>
    </row>
    <row r="19210" spans="9:10" x14ac:dyDescent="0.3">
      <c r="I19210" t="s">
        <v>24340</v>
      </c>
      <c r="J19210" t="s">
        <v>5878</v>
      </c>
    </row>
    <row r="19211" spans="9:10" x14ac:dyDescent="0.3">
      <c r="I19211" t="s">
        <v>24341</v>
      </c>
      <c r="J19211" t="s">
        <v>5878</v>
      </c>
    </row>
    <row r="19212" spans="9:10" x14ac:dyDescent="0.3">
      <c r="I19212" t="s">
        <v>24342</v>
      </c>
      <c r="J19212" t="s">
        <v>5878</v>
      </c>
    </row>
    <row r="19213" spans="9:10" x14ac:dyDescent="0.3">
      <c r="I19213" t="s">
        <v>24343</v>
      </c>
      <c r="J19213" t="s">
        <v>5878</v>
      </c>
    </row>
    <row r="19214" spans="9:10" x14ac:dyDescent="0.3">
      <c r="I19214" t="s">
        <v>24344</v>
      </c>
      <c r="J19214" t="s">
        <v>5878</v>
      </c>
    </row>
    <row r="19215" spans="9:10" x14ac:dyDescent="0.3">
      <c r="I19215" t="s">
        <v>24345</v>
      </c>
      <c r="J19215" t="s">
        <v>5878</v>
      </c>
    </row>
    <row r="19216" spans="9:10" x14ac:dyDescent="0.3">
      <c r="I19216" t="s">
        <v>24346</v>
      </c>
      <c r="J19216" t="s">
        <v>5878</v>
      </c>
    </row>
    <row r="19217" spans="9:10" x14ac:dyDescent="0.3">
      <c r="I19217" t="s">
        <v>24347</v>
      </c>
      <c r="J19217" t="s">
        <v>5878</v>
      </c>
    </row>
    <row r="19218" spans="9:10" x14ac:dyDescent="0.3">
      <c r="I19218" t="s">
        <v>24348</v>
      </c>
      <c r="J19218" t="s">
        <v>5878</v>
      </c>
    </row>
    <row r="19219" spans="9:10" x14ac:dyDescent="0.3">
      <c r="I19219" t="s">
        <v>24349</v>
      </c>
      <c r="J19219" t="s">
        <v>5878</v>
      </c>
    </row>
    <row r="19220" spans="9:10" x14ac:dyDescent="0.3">
      <c r="I19220" t="s">
        <v>24350</v>
      </c>
      <c r="J19220" t="s">
        <v>5878</v>
      </c>
    </row>
    <row r="19221" spans="9:10" x14ac:dyDescent="0.3">
      <c r="I19221" t="s">
        <v>24351</v>
      </c>
      <c r="J19221" t="s">
        <v>5878</v>
      </c>
    </row>
    <row r="19222" spans="9:10" x14ac:dyDescent="0.3">
      <c r="I19222" t="s">
        <v>24352</v>
      </c>
      <c r="J19222" t="s">
        <v>5878</v>
      </c>
    </row>
    <row r="19223" spans="9:10" x14ac:dyDescent="0.3">
      <c r="I19223" t="s">
        <v>24353</v>
      </c>
      <c r="J19223" t="s">
        <v>5878</v>
      </c>
    </row>
    <row r="19224" spans="9:10" x14ac:dyDescent="0.3">
      <c r="I19224" t="s">
        <v>24354</v>
      </c>
      <c r="J19224" t="s">
        <v>5878</v>
      </c>
    </row>
    <row r="19225" spans="9:10" x14ac:dyDescent="0.3">
      <c r="I19225" t="s">
        <v>24355</v>
      </c>
      <c r="J19225" t="s">
        <v>5878</v>
      </c>
    </row>
    <row r="19226" spans="9:10" x14ac:dyDescent="0.3">
      <c r="I19226" t="s">
        <v>24356</v>
      </c>
      <c r="J19226" t="s">
        <v>5878</v>
      </c>
    </row>
    <row r="19227" spans="9:10" x14ac:dyDescent="0.3">
      <c r="I19227" t="s">
        <v>24357</v>
      </c>
      <c r="J19227" t="s">
        <v>5878</v>
      </c>
    </row>
    <row r="19228" spans="9:10" x14ac:dyDescent="0.3">
      <c r="I19228" t="s">
        <v>24358</v>
      </c>
      <c r="J19228" t="s">
        <v>5878</v>
      </c>
    </row>
    <row r="19229" spans="9:10" x14ac:dyDescent="0.3">
      <c r="I19229" t="s">
        <v>24359</v>
      </c>
      <c r="J19229" t="s">
        <v>5878</v>
      </c>
    </row>
    <row r="19230" spans="9:10" x14ac:dyDescent="0.3">
      <c r="I19230" t="s">
        <v>24360</v>
      </c>
      <c r="J19230" t="s">
        <v>5878</v>
      </c>
    </row>
    <row r="19231" spans="9:10" x14ac:dyDescent="0.3">
      <c r="I19231" t="s">
        <v>24361</v>
      </c>
      <c r="J19231" t="s">
        <v>5878</v>
      </c>
    </row>
    <row r="19232" spans="9:10" x14ac:dyDescent="0.3">
      <c r="I19232" t="s">
        <v>24362</v>
      </c>
      <c r="J19232" t="s">
        <v>5878</v>
      </c>
    </row>
    <row r="19233" spans="9:10" x14ac:dyDescent="0.3">
      <c r="I19233" t="s">
        <v>24363</v>
      </c>
      <c r="J19233" t="s">
        <v>5878</v>
      </c>
    </row>
    <row r="19234" spans="9:10" x14ac:dyDescent="0.3">
      <c r="I19234" t="s">
        <v>24364</v>
      </c>
      <c r="J19234" t="s">
        <v>5878</v>
      </c>
    </row>
    <row r="19235" spans="9:10" x14ac:dyDescent="0.3">
      <c r="I19235" t="s">
        <v>24365</v>
      </c>
      <c r="J19235" t="s">
        <v>5878</v>
      </c>
    </row>
    <row r="19236" spans="9:10" x14ac:dyDescent="0.3">
      <c r="I19236" t="s">
        <v>24366</v>
      </c>
      <c r="J19236" t="s">
        <v>5878</v>
      </c>
    </row>
    <row r="19237" spans="9:10" x14ac:dyDescent="0.3">
      <c r="I19237" t="s">
        <v>24367</v>
      </c>
      <c r="J19237" t="s">
        <v>5878</v>
      </c>
    </row>
    <row r="19238" spans="9:10" x14ac:dyDescent="0.3">
      <c r="I19238" t="s">
        <v>24368</v>
      </c>
      <c r="J19238" t="s">
        <v>5878</v>
      </c>
    </row>
    <row r="19239" spans="9:10" x14ac:dyDescent="0.3">
      <c r="I19239" t="s">
        <v>24369</v>
      </c>
      <c r="J19239" t="s">
        <v>5878</v>
      </c>
    </row>
    <row r="19240" spans="9:10" x14ac:dyDescent="0.3">
      <c r="I19240" t="s">
        <v>24370</v>
      </c>
      <c r="J19240" t="s">
        <v>5878</v>
      </c>
    </row>
    <row r="19241" spans="9:10" x14ac:dyDescent="0.3">
      <c r="I19241" t="s">
        <v>24371</v>
      </c>
      <c r="J19241" t="s">
        <v>5878</v>
      </c>
    </row>
    <row r="19242" spans="9:10" x14ac:dyDescent="0.3">
      <c r="I19242" t="s">
        <v>24372</v>
      </c>
      <c r="J19242" t="s">
        <v>5878</v>
      </c>
    </row>
    <row r="19243" spans="9:10" x14ac:dyDescent="0.3">
      <c r="I19243" t="s">
        <v>24373</v>
      </c>
      <c r="J19243" t="s">
        <v>5878</v>
      </c>
    </row>
    <row r="19244" spans="9:10" x14ac:dyDescent="0.3">
      <c r="I19244" t="s">
        <v>24374</v>
      </c>
      <c r="J19244" t="s">
        <v>5878</v>
      </c>
    </row>
    <row r="19245" spans="9:10" x14ac:dyDescent="0.3">
      <c r="I19245" t="s">
        <v>24375</v>
      </c>
      <c r="J19245" t="s">
        <v>5878</v>
      </c>
    </row>
    <row r="19246" spans="9:10" x14ac:dyDescent="0.3">
      <c r="I19246" t="s">
        <v>24376</v>
      </c>
      <c r="J19246" t="s">
        <v>5878</v>
      </c>
    </row>
    <row r="19247" spans="9:10" x14ac:dyDescent="0.3">
      <c r="I19247" t="s">
        <v>24377</v>
      </c>
      <c r="J19247" t="s">
        <v>5878</v>
      </c>
    </row>
    <row r="19248" spans="9:10" x14ac:dyDescent="0.3">
      <c r="I19248" t="s">
        <v>24378</v>
      </c>
      <c r="J19248" t="s">
        <v>5878</v>
      </c>
    </row>
    <row r="19249" spans="9:10" x14ac:dyDescent="0.3">
      <c r="I19249" t="s">
        <v>24379</v>
      </c>
      <c r="J19249" t="s">
        <v>5878</v>
      </c>
    </row>
    <row r="19250" spans="9:10" x14ac:dyDescent="0.3">
      <c r="I19250" t="s">
        <v>24380</v>
      </c>
      <c r="J19250" t="s">
        <v>5878</v>
      </c>
    </row>
    <row r="19251" spans="9:10" x14ac:dyDescent="0.3">
      <c r="I19251" t="s">
        <v>24381</v>
      </c>
      <c r="J19251" t="s">
        <v>5878</v>
      </c>
    </row>
    <row r="19252" spans="9:10" x14ac:dyDescent="0.3">
      <c r="I19252" t="s">
        <v>24382</v>
      </c>
      <c r="J19252" t="s">
        <v>5878</v>
      </c>
    </row>
    <row r="19253" spans="9:10" x14ac:dyDescent="0.3">
      <c r="I19253" t="s">
        <v>24383</v>
      </c>
      <c r="J19253" t="s">
        <v>5878</v>
      </c>
    </row>
    <row r="19254" spans="9:10" x14ac:dyDescent="0.3">
      <c r="I19254" t="s">
        <v>24384</v>
      </c>
      <c r="J19254" t="s">
        <v>5878</v>
      </c>
    </row>
    <row r="19255" spans="9:10" x14ac:dyDescent="0.3">
      <c r="I19255" t="s">
        <v>24385</v>
      </c>
      <c r="J19255" t="s">
        <v>5878</v>
      </c>
    </row>
    <row r="19256" spans="9:10" x14ac:dyDescent="0.3">
      <c r="I19256" t="s">
        <v>24386</v>
      </c>
      <c r="J19256" t="s">
        <v>5878</v>
      </c>
    </row>
    <row r="19257" spans="9:10" x14ac:dyDescent="0.3">
      <c r="I19257" t="s">
        <v>24387</v>
      </c>
      <c r="J19257" t="s">
        <v>5878</v>
      </c>
    </row>
    <row r="19258" spans="9:10" x14ac:dyDescent="0.3">
      <c r="I19258" t="s">
        <v>24388</v>
      </c>
      <c r="J19258" t="s">
        <v>5878</v>
      </c>
    </row>
    <row r="19259" spans="9:10" x14ac:dyDescent="0.3">
      <c r="I19259" t="s">
        <v>24389</v>
      </c>
      <c r="J19259" t="s">
        <v>5878</v>
      </c>
    </row>
    <row r="19260" spans="9:10" x14ac:dyDescent="0.3">
      <c r="I19260" t="s">
        <v>24390</v>
      </c>
      <c r="J19260" t="s">
        <v>5878</v>
      </c>
    </row>
    <row r="19261" spans="9:10" x14ac:dyDescent="0.3">
      <c r="I19261" t="s">
        <v>24391</v>
      </c>
      <c r="J19261" t="s">
        <v>5878</v>
      </c>
    </row>
    <row r="19262" spans="9:10" x14ac:dyDescent="0.3">
      <c r="I19262" t="s">
        <v>24392</v>
      </c>
      <c r="J19262" t="s">
        <v>5878</v>
      </c>
    </row>
    <row r="19263" spans="9:10" x14ac:dyDescent="0.3">
      <c r="I19263" t="s">
        <v>24393</v>
      </c>
      <c r="J19263" t="s">
        <v>5878</v>
      </c>
    </row>
    <row r="19264" spans="9:10" x14ac:dyDescent="0.3">
      <c r="I19264" t="s">
        <v>24394</v>
      </c>
      <c r="J19264" t="s">
        <v>5878</v>
      </c>
    </row>
    <row r="19265" spans="9:10" x14ac:dyDescent="0.3">
      <c r="I19265" t="s">
        <v>24395</v>
      </c>
      <c r="J19265" t="s">
        <v>5878</v>
      </c>
    </row>
    <row r="19266" spans="9:10" x14ac:dyDescent="0.3">
      <c r="I19266" t="s">
        <v>24396</v>
      </c>
      <c r="J19266" t="s">
        <v>5878</v>
      </c>
    </row>
    <row r="19267" spans="9:10" x14ac:dyDescent="0.3">
      <c r="I19267" t="s">
        <v>24397</v>
      </c>
      <c r="J19267" t="s">
        <v>5878</v>
      </c>
    </row>
    <row r="19268" spans="9:10" x14ac:dyDescent="0.3">
      <c r="I19268" t="s">
        <v>24398</v>
      </c>
      <c r="J19268" t="s">
        <v>5878</v>
      </c>
    </row>
    <row r="19269" spans="9:10" x14ac:dyDescent="0.3">
      <c r="I19269" t="s">
        <v>24399</v>
      </c>
      <c r="J19269" t="s">
        <v>5878</v>
      </c>
    </row>
    <row r="19270" spans="9:10" x14ac:dyDescent="0.3">
      <c r="I19270" t="s">
        <v>24400</v>
      </c>
      <c r="J19270" t="s">
        <v>5878</v>
      </c>
    </row>
    <row r="19271" spans="9:10" x14ac:dyDescent="0.3">
      <c r="I19271" t="s">
        <v>24401</v>
      </c>
      <c r="J19271" t="s">
        <v>5878</v>
      </c>
    </row>
    <row r="19272" spans="9:10" x14ac:dyDescent="0.3">
      <c r="I19272" t="s">
        <v>24402</v>
      </c>
      <c r="J19272" t="s">
        <v>5878</v>
      </c>
    </row>
    <row r="19273" spans="9:10" x14ac:dyDescent="0.3">
      <c r="I19273" t="s">
        <v>24403</v>
      </c>
      <c r="J19273" t="s">
        <v>5878</v>
      </c>
    </row>
    <row r="19274" spans="9:10" x14ac:dyDescent="0.3">
      <c r="I19274" t="s">
        <v>24404</v>
      </c>
      <c r="J19274" t="s">
        <v>5878</v>
      </c>
    </row>
    <row r="19275" spans="9:10" x14ac:dyDescent="0.3">
      <c r="I19275" t="s">
        <v>24405</v>
      </c>
      <c r="J19275" t="s">
        <v>5878</v>
      </c>
    </row>
    <row r="19276" spans="9:10" x14ac:dyDescent="0.3">
      <c r="I19276" t="s">
        <v>24406</v>
      </c>
      <c r="J19276" t="s">
        <v>5878</v>
      </c>
    </row>
    <row r="19277" spans="9:10" x14ac:dyDescent="0.3">
      <c r="I19277" t="s">
        <v>24407</v>
      </c>
      <c r="J19277" t="s">
        <v>5878</v>
      </c>
    </row>
    <row r="19278" spans="9:10" x14ac:dyDescent="0.3">
      <c r="I19278" t="s">
        <v>24408</v>
      </c>
      <c r="J19278" t="s">
        <v>5878</v>
      </c>
    </row>
    <row r="19279" spans="9:10" x14ac:dyDescent="0.3">
      <c r="I19279" t="s">
        <v>24409</v>
      </c>
      <c r="J19279" t="s">
        <v>5878</v>
      </c>
    </row>
    <row r="19280" spans="9:10" x14ac:dyDescent="0.3">
      <c r="I19280" t="s">
        <v>24410</v>
      </c>
      <c r="J19280" t="s">
        <v>5878</v>
      </c>
    </row>
    <row r="19281" spans="9:10" x14ac:dyDescent="0.3">
      <c r="I19281" t="s">
        <v>24411</v>
      </c>
      <c r="J19281" t="s">
        <v>5878</v>
      </c>
    </row>
    <row r="19282" spans="9:10" x14ac:dyDescent="0.3">
      <c r="I19282" t="s">
        <v>24412</v>
      </c>
      <c r="J19282" t="s">
        <v>5878</v>
      </c>
    </row>
    <row r="19283" spans="9:10" x14ac:dyDescent="0.3">
      <c r="I19283" t="s">
        <v>24413</v>
      </c>
      <c r="J19283" t="s">
        <v>5878</v>
      </c>
    </row>
    <row r="19284" spans="9:10" x14ac:dyDescent="0.3">
      <c r="I19284" t="s">
        <v>24414</v>
      </c>
      <c r="J19284" t="s">
        <v>5878</v>
      </c>
    </row>
    <row r="19285" spans="9:10" x14ac:dyDescent="0.3">
      <c r="I19285" t="s">
        <v>24415</v>
      </c>
      <c r="J19285" t="s">
        <v>5878</v>
      </c>
    </row>
    <row r="19286" spans="9:10" x14ac:dyDescent="0.3">
      <c r="I19286" t="s">
        <v>24416</v>
      </c>
      <c r="J19286" t="s">
        <v>5878</v>
      </c>
    </row>
    <row r="19287" spans="9:10" x14ac:dyDescent="0.3">
      <c r="I19287" t="s">
        <v>24417</v>
      </c>
      <c r="J19287" t="s">
        <v>5878</v>
      </c>
    </row>
    <row r="19288" spans="9:10" x14ac:dyDescent="0.3">
      <c r="I19288" t="s">
        <v>24418</v>
      </c>
      <c r="J19288" t="s">
        <v>5878</v>
      </c>
    </row>
    <row r="19289" spans="9:10" x14ac:dyDescent="0.3">
      <c r="I19289" t="s">
        <v>24419</v>
      </c>
      <c r="J19289" t="s">
        <v>5878</v>
      </c>
    </row>
    <row r="19290" spans="9:10" x14ac:dyDescent="0.3">
      <c r="I19290" t="s">
        <v>24420</v>
      </c>
      <c r="J19290" t="s">
        <v>5878</v>
      </c>
    </row>
    <row r="19291" spans="9:10" x14ac:dyDescent="0.3">
      <c r="I19291" t="s">
        <v>24421</v>
      </c>
      <c r="J19291" t="s">
        <v>5878</v>
      </c>
    </row>
    <row r="19292" spans="9:10" x14ac:dyDescent="0.3">
      <c r="I19292" t="s">
        <v>24422</v>
      </c>
      <c r="J19292" t="s">
        <v>5878</v>
      </c>
    </row>
    <row r="19293" spans="9:10" x14ac:dyDescent="0.3">
      <c r="I19293" t="s">
        <v>24423</v>
      </c>
      <c r="J19293" t="s">
        <v>5878</v>
      </c>
    </row>
    <row r="19294" spans="9:10" x14ac:dyDescent="0.3">
      <c r="I19294" t="s">
        <v>24424</v>
      </c>
      <c r="J19294" t="s">
        <v>5878</v>
      </c>
    </row>
    <row r="19295" spans="9:10" x14ac:dyDescent="0.3">
      <c r="I19295" t="s">
        <v>24425</v>
      </c>
      <c r="J19295" t="s">
        <v>5878</v>
      </c>
    </row>
    <row r="19296" spans="9:10" x14ac:dyDescent="0.3">
      <c r="I19296" t="s">
        <v>24426</v>
      </c>
      <c r="J19296" t="s">
        <v>5878</v>
      </c>
    </row>
    <row r="19297" spans="9:10" x14ac:dyDescent="0.3">
      <c r="I19297" t="s">
        <v>24427</v>
      </c>
      <c r="J19297" t="s">
        <v>5878</v>
      </c>
    </row>
    <row r="19298" spans="9:10" x14ac:dyDescent="0.3">
      <c r="I19298" t="s">
        <v>24428</v>
      </c>
      <c r="J19298" t="s">
        <v>5878</v>
      </c>
    </row>
    <row r="19299" spans="9:10" x14ac:dyDescent="0.3">
      <c r="I19299" t="s">
        <v>24429</v>
      </c>
      <c r="J19299" t="s">
        <v>5878</v>
      </c>
    </row>
    <row r="19300" spans="9:10" x14ac:dyDescent="0.3">
      <c r="I19300" t="s">
        <v>24430</v>
      </c>
      <c r="J19300" t="s">
        <v>5878</v>
      </c>
    </row>
    <row r="19301" spans="9:10" x14ac:dyDescent="0.3">
      <c r="I19301" t="s">
        <v>24431</v>
      </c>
      <c r="J19301" t="s">
        <v>5878</v>
      </c>
    </row>
    <row r="19302" spans="9:10" x14ac:dyDescent="0.3">
      <c r="I19302" t="s">
        <v>24432</v>
      </c>
      <c r="J19302" t="s">
        <v>5878</v>
      </c>
    </row>
    <row r="19303" spans="9:10" x14ac:dyDescent="0.3">
      <c r="I19303" t="s">
        <v>24433</v>
      </c>
      <c r="J19303" t="s">
        <v>5878</v>
      </c>
    </row>
    <row r="19304" spans="9:10" x14ac:dyDescent="0.3">
      <c r="I19304" t="s">
        <v>24434</v>
      </c>
      <c r="J19304" t="s">
        <v>5878</v>
      </c>
    </row>
    <row r="19305" spans="9:10" x14ac:dyDescent="0.3">
      <c r="I19305" t="s">
        <v>24435</v>
      </c>
      <c r="J19305" t="s">
        <v>5878</v>
      </c>
    </row>
    <row r="19306" spans="9:10" x14ac:dyDescent="0.3">
      <c r="I19306" t="s">
        <v>24436</v>
      </c>
      <c r="J19306" t="s">
        <v>5878</v>
      </c>
    </row>
    <row r="19307" spans="9:10" x14ac:dyDescent="0.3">
      <c r="I19307" t="s">
        <v>24437</v>
      </c>
      <c r="J19307" t="s">
        <v>5878</v>
      </c>
    </row>
    <row r="19308" spans="9:10" x14ac:dyDescent="0.3">
      <c r="I19308" t="s">
        <v>24438</v>
      </c>
      <c r="J19308" t="s">
        <v>5878</v>
      </c>
    </row>
    <row r="19309" spans="9:10" x14ac:dyDescent="0.3">
      <c r="I19309" t="s">
        <v>24439</v>
      </c>
      <c r="J19309" t="s">
        <v>5878</v>
      </c>
    </row>
    <row r="19310" spans="9:10" x14ac:dyDescent="0.3">
      <c r="I19310" t="s">
        <v>24440</v>
      </c>
      <c r="J19310" t="s">
        <v>5878</v>
      </c>
    </row>
    <row r="19311" spans="9:10" x14ac:dyDescent="0.3">
      <c r="I19311" t="s">
        <v>24441</v>
      </c>
      <c r="J19311" t="s">
        <v>5878</v>
      </c>
    </row>
    <row r="19312" spans="9:10" x14ac:dyDescent="0.3">
      <c r="I19312" t="s">
        <v>24442</v>
      </c>
      <c r="J19312" t="s">
        <v>5878</v>
      </c>
    </row>
    <row r="19313" spans="9:10" x14ac:dyDescent="0.3">
      <c r="I19313" t="s">
        <v>24443</v>
      </c>
      <c r="J19313" t="s">
        <v>5878</v>
      </c>
    </row>
    <row r="19314" spans="9:10" x14ac:dyDescent="0.3">
      <c r="I19314" t="s">
        <v>24444</v>
      </c>
      <c r="J19314" t="s">
        <v>5878</v>
      </c>
    </row>
    <row r="19315" spans="9:10" x14ac:dyDescent="0.3">
      <c r="I19315" t="s">
        <v>24445</v>
      </c>
      <c r="J19315" t="s">
        <v>5878</v>
      </c>
    </row>
    <row r="19316" spans="9:10" x14ac:dyDescent="0.3">
      <c r="I19316" t="s">
        <v>24446</v>
      </c>
      <c r="J19316" t="s">
        <v>5878</v>
      </c>
    </row>
    <row r="19317" spans="9:10" x14ac:dyDescent="0.3">
      <c r="I19317" t="s">
        <v>24447</v>
      </c>
      <c r="J19317" t="s">
        <v>5878</v>
      </c>
    </row>
    <row r="19318" spans="9:10" x14ac:dyDescent="0.3">
      <c r="I19318" t="s">
        <v>24448</v>
      </c>
      <c r="J19318" t="s">
        <v>5878</v>
      </c>
    </row>
    <row r="19319" spans="9:10" x14ac:dyDescent="0.3">
      <c r="I19319" t="s">
        <v>24449</v>
      </c>
      <c r="J19319" t="s">
        <v>5878</v>
      </c>
    </row>
    <row r="19320" spans="9:10" x14ac:dyDescent="0.3">
      <c r="I19320" t="s">
        <v>24450</v>
      </c>
      <c r="J19320" t="s">
        <v>5878</v>
      </c>
    </row>
    <row r="19321" spans="9:10" x14ac:dyDescent="0.3">
      <c r="I19321" t="s">
        <v>24451</v>
      </c>
      <c r="J19321" t="s">
        <v>5878</v>
      </c>
    </row>
    <row r="19322" spans="9:10" x14ac:dyDescent="0.3">
      <c r="I19322" t="s">
        <v>24452</v>
      </c>
      <c r="J19322" t="s">
        <v>5878</v>
      </c>
    </row>
    <row r="19323" spans="9:10" x14ac:dyDescent="0.3">
      <c r="I19323" t="s">
        <v>24453</v>
      </c>
      <c r="J19323" t="s">
        <v>5878</v>
      </c>
    </row>
    <row r="19324" spans="9:10" x14ac:dyDescent="0.3">
      <c r="I19324" t="s">
        <v>24454</v>
      </c>
      <c r="J19324" t="s">
        <v>5878</v>
      </c>
    </row>
    <row r="19325" spans="9:10" x14ac:dyDescent="0.3">
      <c r="I19325" t="s">
        <v>24455</v>
      </c>
      <c r="J19325" t="s">
        <v>5878</v>
      </c>
    </row>
    <row r="19326" spans="9:10" x14ac:dyDescent="0.3">
      <c r="I19326" t="s">
        <v>24456</v>
      </c>
      <c r="J19326" t="s">
        <v>5878</v>
      </c>
    </row>
    <row r="19327" spans="9:10" x14ac:dyDescent="0.3">
      <c r="I19327" t="s">
        <v>24457</v>
      </c>
      <c r="J19327" t="s">
        <v>5878</v>
      </c>
    </row>
    <row r="19328" spans="9:10" x14ac:dyDescent="0.3">
      <c r="I19328" t="s">
        <v>24458</v>
      </c>
      <c r="J19328" t="s">
        <v>5878</v>
      </c>
    </row>
    <row r="19329" spans="9:10" x14ac:dyDescent="0.3">
      <c r="I19329" t="s">
        <v>24459</v>
      </c>
      <c r="J19329" t="s">
        <v>5878</v>
      </c>
    </row>
    <row r="19330" spans="9:10" x14ac:dyDescent="0.3">
      <c r="I19330" t="s">
        <v>24460</v>
      </c>
      <c r="J19330" t="s">
        <v>5878</v>
      </c>
    </row>
    <row r="19331" spans="9:10" x14ac:dyDescent="0.3">
      <c r="I19331" t="s">
        <v>24461</v>
      </c>
      <c r="J19331" t="s">
        <v>5878</v>
      </c>
    </row>
    <row r="19332" spans="9:10" x14ac:dyDescent="0.3">
      <c r="I19332" t="s">
        <v>24462</v>
      </c>
      <c r="J19332" t="s">
        <v>5878</v>
      </c>
    </row>
    <row r="19333" spans="9:10" x14ac:dyDescent="0.3">
      <c r="I19333" t="s">
        <v>24463</v>
      </c>
      <c r="J19333" t="s">
        <v>5878</v>
      </c>
    </row>
    <row r="19334" spans="9:10" x14ac:dyDescent="0.3">
      <c r="I19334" t="s">
        <v>24464</v>
      </c>
      <c r="J19334" t="s">
        <v>5878</v>
      </c>
    </row>
    <row r="19335" spans="9:10" x14ac:dyDescent="0.3">
      <c r="I19335" t="s">
        <v>24465</v>
      </c>
      <c r="J19335" t="s">
        <v>5878</v>
      </c>
    </row>
    <row r="19336" spans="9:10" x14ac:dyDescent="0.3">
      <c r="I19336" t="s">
        <v>24466</v>
      </c>
      <c r="J19336" t="s">
        <v>5878</v>
      </c>
    </row>
    <row r="19337" spans="9:10" x14ac:dyDescent="0.3">
      <c r="I19337" t="s">
        <v>24467</v>
      </c>
      <c r="J19337" t="s">
        <v>5878</v>
      </c>
    </row>
    <row r="19338" spans="9:10" x14ac:dyDescent="0.3">
      <c r="I19338" t="s">
        <v>24468</v>
      </c>
      <c r="J19338" t="s">
        <v>5878</v>
      </c>
    </row>
    <row r="19339" spans="9:10" x14ac:dyDescent="0.3">
      <c r="I19339" t="s">
        <v>24469</v>
      </c>
      <c r="J19339" t="s">
        <v>5878</v>
      </c>
    </row>
    <row r="19340" spans="9:10" x14ac:dyDescent="0.3">
      <c r="I19340" t="s">
        <v>24470</v>
      </c>
      <c r="J19340" t="s">
        <v>5878</v>
      </c>
    </row>
    <row r="19341" spans="9:10" x14ac:dyDescent="0.3">
      <c r="I19341" t="s">
        <v>24471</v>
      </c>
      <c r="J19341" t="s">
        <v>5878</v>
      </c>
    </row>
    <row r="19342" spans="9:10" x14ac:dyDescent="0.3">
      <c r="I19342" t="s">
        <v>24472</v>
      </c>
      <c r="J19342" t="s">
        <v>5878</v>
      </c>
    </row>
    <row r="19343" spans="9:10" x14ac:dyDescent="0.3">
      <c r="I19343" t="s">
        <v>24473</v>
      </c>
      <c r="J19343" t="s">
        <v>5878</v>
      </c>
    </row>
    <row r="19344" spans="9:10" x14ac:dyDescent="0.3">
      <c r="I19344" t="s">
        <v>24474</v>
      </c>
      <c r="J19344" t="s">
        <v>5878</v>
      </c>
    </row>
    <row r="19345" spans="9:10" x14ac:dyDescent="0.3">
      <c r="I19345" t="s">
        <v>24475</v>
      </c>
      <c r="J19345" t="s">
        <v>5878</v>
      </c>
    </row>
    <row r="19346" spans="9:10" x14ac:dyDescent="0.3">
      <c r="I19346" t="s">
        <v>24476</v>
      </c>
      <c r="J19346" t="s">
        <v>5878</v>
      </c>
    </row>
    <row r="19347" spans="9:10" x14ac:dyDescent="0.3">
      <c r="I19347" t="s">
        <v>24477</v>
      </c>
      <c r="J19347" t="s">
        <v>5878</v>
      </c>
    </row>
    <row r="19348" spans="9:10" x14ac:dyDescent="0.3">
      <c r="I19348" t="s">
        <v>24478</v>
      </c>
      <c r="J19348" t="s">
        <v>5878</v>
      </c>
    </row>
    <row r="19349" spans="9:10" x14ac:dyDescent="0.3">
      <c r="I19349" t="s">
        <v>24479</v>
      </c>
      <c r="J19349" t="s">
        <v>5878</v>
      </c>
    </row>
    <row r="19350" spans="9:10" x14ac:dyDescent="0.3">
      <c r="I19350" t="s">
        <v>24480</v>
      </c>
      <c r="J19350" t="s">
        <v>5878</v>
      </c>
    </row>
    <row r="19351" spans="9:10" x14ac:dyDescent="0.3">
      <c r="I19351" t="s">
        <v>24481</v>
      </c>
      <c r="J19351" t="s">
        <v>5878</v>
      </c>
    </row>
    <row r="19352" spans="9:10" x14ac:dyDescent="0.3">
      <c r="I19352" t="s">
        <v>24482</v>
      </c>
      <c r="J19352" t="s">
        <v>5878</v>
      </c>
    </row>
    <row r="19353" spans="9:10" x14ac:dyDescent="0.3">
      <c r="I19353" t="s">
        <v>24483</v>
      </c>
      <c r="J19353" t="s">
        <v>5878</v>
      </c>
    </row>
    <row r="19354" spans="9:10" x14ac:dyDescent="0.3">
      <c r="I19354" t="s">
        <v>24484</v>
      </c>
      <c r="J19354" t="s">
        <v>5878</v>
      </c>
    </row>
    <row r="19355" spans="9:10" x14ac:dyDescent="0.3">
      <c r="I19355" t="s">
        <v>24485</v>
      </c>
      <c r="J19355" t="s">
        <v>5878</v>
      </c>
    </row>
    <row r="19356" spans="9:10" x14ac:dyDescent="0.3">
      <c r="I19356" t="s">
        <v>24486</v>
      </c>
      <c r="J19356" t="s">
        <v>5878</v>
      </c>
    </row>
    <row r="19357" spans="9:10" x14ac:dyDescent="0.3">
      <c r="I19357" t="s">
        <v>24487</v>
      </c>
      <c r="J19357" t="s">
        <v>5878</v>
      </c>
    </row>
    <row r="19358" spans="9:10" x14ac:dyDescent="0.3">
      <c r="I19358" t="s">
        <v>24488</v>
      </c>
      <c r="J19358" t="s">
        <v>5878</v>
      </c>
    </row>
    <row r="19359" spans="9:10" x14ac:dyDescent="0.3">
      <c r="I19359" t="s">
        <v>24489</v>
      </c>
      <c r="J19359" t="s">
        <v>5878</v>
      </c>
    </row>
    <row r="19360" spans="9:10" x14ac:dyDescent="0.3">
      <c r="I19360" t="s">
        <v>24490</v>
      </c>
      <c r="J19360" t="s">
        <v>5878</v>
      </c>
    </row>
    <row r="19361" spans="9:10" x14ac:dyDescent="0.3">
      <c r="I19361" t="s">
        <v>24491</v>
      </c>
      <c r="J19361" t="s">
        <v>5878</v>
      </c>
    </row>
    <row r="19362" spans="9:10" x14ac:dyDescent="0.3">
      <c r="I19362" t="s">
        <v>24492</v>
      </c>
      <c r="J19362" t="s">
        <v>5878</v>
      </c>
    </row>
    <row r="19363" spans="9:10" x14ac:dyDescent="0.3">
      <c r="I19363" t="s">
        <v>24493</v>
      </c>
      <c r="J19363" t="s">
        <v>5878</v>
      </c>
    </row>
    <row r="19364" spans="9:10" x14ac:dyDescent="0.3">
      <c r="I19364" t="s">
        <v>24494</v>
      </c>
      <c r="J19364" t="s">
        <v>5878</v>
      </c>
    </row>
    <row r="19365" spans="9:10" x14ac:dyDescent="0.3">
      <c r="I19365" t="s">
        <v>24495</v>
      </c>
      <c r="J19365" t="s">
        <v>5878</v>
      </c>
    </row>
    <row r="19366" spans="9:10" x14ac:dyDescent="0.3">
      <c r="I19366" t="s">
        <v>24496</v>
      </c>
      <c r="J19366" t="s">
        <v>5878</v>
      </c>
    </row>
    <row r="19367" spans="9:10" x14ac:dyDescent="0.3">
      <c r="I19367" t="s">
        <v>24497</v>
      </c>
      <c r="J19367" t="s">
        <v>5878</v>
      </c>
    </row>
    <row r="19368" spans="9:10" x14ac:dyDescent="0.3">
      <c r="I19368" t="s">
        <v>24498</v>
      </c>
      <c r="J19368" t="s">
        <v>5878</v>
      </c>
    </row>
    <row r="19369" spans="9:10" x14ac:dyDescent="0.3">
      <c r="I19369" t="s">
        <v>24499</v>
      </c>
      <c r="J19369" t="s">
        <v>5878</v>
      </c>
    </row>
    <row r="19370" spans="9:10" x14ac:dyDescent="0.3">
      <c r="I19370" t="s">
        <v>24500</v>
      </c>
      <c r="J19370" t="s">
        <v>5878</v>
      </c>
    </row>
    <row r="19371" spans="9:10" x14ac:dyDescent="0.3">
      <c r="I19371" t="s">
        <v>24501</v>
      </c>
      <c r="J19371" t="s">
        <v>5878</v>
      </c>
    </row>
    <row r="19372" spans="9:10" x14ac:dyDescent="0.3">
      <c r="I19372" t="s">
        <v>24502</v>
      </c>
      <c r="J19372" t="s">
        <v>5878</v>
      </c>
    </row>
    <row r="19373" spans="9:10" x14ac:dyDescent="0.3">
      <c r="I19373" t="s">
        <v>24503</v>
      </c>
      <c r="J19373" t="s">
        <v>5878</v>
      </c>
    </row>
    <row r="19374" spans="9:10" x14ac:dyDescent="0.3">
      <c r="I19374" t="s">
        <v>24504</v>
      </c>
      <c r="J19374" t="s">
        <v>5878</v>
      </c>
    </row>
    <row r="19375" spans="9:10" x14ac:dyDescent="0.3">
      <c r="I19375" t="s">
        <v>24505</v>
      </c>
      <c r="J19375" t="s">
        <v>5878</v>
      </c>
    </row>
    <row r="19376" spans="9:10" x14ac:dyDescent="0.3">
      <c r="I19376" t="s">
        <v>24506</v>
      </c>
      <c r="J19376" t="s">
        <v>5878</v>
      </c>
    </row>
    <row r="19377" spans="9:10" x14ac:dyDescent="0.3">
      <c r="I19377" t="s">
        <v>24507</v>
      </c>
      <c r="J19377" t="s">
        <v>5878</v>
      </c>
    </row>
    <row r="19378" spans="9:10" x14ac:dyDescent="0.3">
      <c r="I19378" t="s">
        <v>24508</v>
      </c>
      <c r="J19378" t="s">
        <v>5878</v>
      </c>
    </row>
    <row r="19379" spans="9:10" x14ac:dyDescent="0.3">
      <c r="I19379" t="s">
        <v>24509</v>
      </c>
      <c r="J19379" t="s">
        <v>5878</v>
      </c>
    </row>
    <row r="19380" spans="9:10" x14ac:dyDescent="0.3">
      <c r="I19380" t="s">
        <v>24510</v>
      </c>
      <c r="J19380" t="s">
        <v>5878</v>
      </c>
    </row>
    <row r="19381" spans="9:10" x14ac:dyDescent="0.3">
      <c r="I19381" t="s">
        <v>24511</v>
      </c>
      <c r="J19381" t="s">
        <v>5878</v>
      </c>
    </row>
    <row r="19382" spans="9:10" x14ac:dyDescent="0.3">
      <c r="I19382" t="s">
        <v>24512</v>
      </c>
      <c r="J19382" t="s">
        <v>5878</v>
      </c>
    </row>
    <row r="19383" spans="9:10" x14ac:dyDescent="0.3">
      <c r="I19383" t="s">
        <v>24513</v>
      </c>
      <c r="J19383" t="s">
        <v>5878</v>
      </c>
    </row>
    <row r="19384" spans="9:10" x14ac:dyDescent="0.3">
      <c r="I19384" t="s">
        <v>24514</v>
      </c>
      <c r="J19384" t="s">
        <v>5878</v>
      </c>
    </row>
    <row r="19385" spans="9:10" x14ac:dyDescent="0.3">
      <c r="I19385" t="s">
        <v>24515</v>
      </c>
      <c r="J19385" t="s">
        <v>5878</v>
      </c>
    </row>
    <row r="19386" spans="9:10" x14ac:dyDescent="0.3">
      <c r="I19386" t="s">
        <v>24516</v>
      </c>
      <c r="J19386" t="s">
        <v>5878</v>
      </c>
    </row>
    <row r="19387" spans="9:10" x14ac:dyDescent="0.3">
      <c r="I19387" t="s">
        <v>24517</v>
      </c>
      <c r="J19387" t="s">
        <v>5878</v>
      </c>
    </row>
    <row r="19388" spans="9:10" x14ac:dyDescent="0.3">
      <c r="I19388" t="s">
        <v>24518</v>
      </c>
      <c r="J19388" t="s">
        <v>5878</v>
      </c>
    </row>
    <row r="19389" spans="9:10" x14ac:dyDescent="0.3">
      <c r="I19389" t="s">
        <v>24519</v>
      </c>
      <c r="J19389" t="s">
        <v>5878</v>
      </c>
    </row>
    <row r="19390" spans="9:10" x14ac:dyDescent="0.3">
      <c r="I19390" t="s">
        <v>24520</v>
      </c>
      <c r="J19390" t="s">
        <v>5878</v>
      </c>
    </row>
    <row r="19391" spans="9:10" x14ac:dyDescent="0.3">
      <c r="I19391" t="s">
        <v>24521</v>
      </c>
      <c r="J19391" t="s">
        <v>5878</v>
      </c>
    </row>
    <row r="19392" spans="9:10" x14ac:dyDescent="0.3">
      <c r="I19392" t="s">
        <v>24522</v>
      </c>
      <c r="J19392" t="s">
        <v>5878</v>
      </c>
    </row>
    <row r="19393" spans="9:10" x14ac:dyDescent="0.3">
      <c r="I19393" t="s">
        <v>24523</v>
      </c>
      <c r="J19393" t="s">
        <v>5878</v>
      </c>
    </row>
    <row r="19394" spans="9:10" x14ac:dyDescent="0.3">
      <c r="I19394" t="s">
        <v>24524</v>
      </c>
      <c r="J19394" t="s">
        <v>5878</v>
      </c>
    </row>
    <row r="19395" spans="9:10" x14ac:dyDescent="0.3">
      <c r="I19395" t="s">
        <v>24525</v>
      </c>
      <c r="J19395" t="s">
        <v>5878</v>
      </c>
    </row>
    <row r="19396" spans="9:10" x14ac:dyDescent="0.3">
      <c r="I19396" t="s">
        <v>24526</v>
      </c>
      <c r="J19396" t="s">
        <v>5878</v>
      </c>
    </row>
    <row r="19397" spans="9:10" x14ac:dyDescent="0.3">
      <c r="I19397" t="s">
        <v>24527</v>
      </c>
      <c r="J19397" t="s">
        <v>5878</v>
      </c>
    </row>
    <row r="19398" spans="9:10" x14ac:dyDescent="0.3">
      <c r="I19398" t="s">
        <v>24528</v>
      </c>
      <c r="J19398" t="s">
        <v>5878</v>
      </c>
    </row>
    <row r="19399" spans="9:10" x14ac:dyDescent="0.3">
      <c r="I19399" t="s">
        <v>24529</v>
      </c>
      <c r="J19399" t="s">
        <v>5878</v>
      </c>
    </row>
    <row r="19400" spans="9:10" x14ac:dyDescent="0.3">
      <c r="I19400" t="s">
        <v>24530</v>
      </c>
      <c r="J19400" t="s">
        <v>5878</v>
      </c>
    </row>
    <row r="19401" spans="9:10" x14ac:dyDescent="0.3">
      <c r="I19401" t="s">
        <v>24531</v>
      </c>
      <c r="J19401" t="s">
        <v>5878</v>
      </c>
    </row>
    <row r="19402" spans="9:10" x14ac:dyDescent="0.3">
      <c r="I19402" t="s">
        <v>24532</v>
      </c>
      <c r="J19402" t="s">
        <v>5878</v>
      </c>
    </row>
    <row r="19403" spans="9:10" x14ac:dyDescent="0.3">
      <c r="I19403" t="s">
        <v>24533</v>
      </c>
      <c r="J19403" t="s">
        <v>5878</v>
      </c>
    </row>
    <row r="19404" spans="9:10" x14ac:dyDescent="0.3">
      <c r="I19404" t="s">
        <v>24534</v>
      </c>
      <c r="J19404" t="s">
        <v>5878</v>
      </c>
    </row>
    <row r="19405" spans="9:10" x14ac:dyDescent="0.3">
      <c r="I19405" t="s">
        <v>24535</v>
      </c>
      <c r="J19405" t="s">
        <v>5878</v>
      </c>
    </row>
    <row r="19406" spans="9:10" x14ac:dyDescent="0.3">
      <c r="I19406" t="s">
        <v>24536</v>
      </c>
      <c r="J19406" t="s">
        <v>5878</v>
      </c>
    </row>
    <row r="19407" spans="9:10" x14ac:dyDescent="0.3">
      <c r="I19407" t="s">
        <v>24537</v>
      </c>
      <c r="J19407" t="s">
        <v>5878</v>
      </c>
    </row>
    <row r="19408" spans="9:10" x14ac:dyDescent="0.3">
      <c r="I19408" t="s">
        <v>24538</v>
      </c>
      <c r="J19408" t="s">
        <v>5878</v>
      </c>
    </row>
    <row r="19409" spans="9:10" x14ac:dyDescent="0.3">
      <c r="I19409" t="s">
        <v>24539</v>
      </c>
      <c r="J19409" t="s">
        <v>5878</v>
      </c>
    </row>
    <row r="19410" spans="9:10" x14ac:dyDescent="0.3">
      <c r="I19410" t="s">
        <v>24540</v>
      </c>
      <c r="J19410" t="s">
        <v>5878</v>
      </c>
    </row>
    <row r="19411" spans="9:10" x14ac:dyDescent="0.3">
      <c r="I19411" t="s">
        <v>24541</v>
      </c>
      <c r="J19411" t="s">
        <v>5878</v>
      </c>
    </row>
    <row r="19412" spans="9:10" x14ac:dyDescent="0.3">
      <c r="I19412" t="s">
        <v>24542</v>
      </c>
      <c r="J19412" t="s">
        <v>5878</v>
      </c>
    </row>
    <row r="19413" spans="9:10" x14ac:dyDescent="0.3">
      <c r="I19413" t="s">
        <v>24543</v>
      </c>
      <c r="J19413" t="s">
        <v>5878</v>
      </c>
    </row>
    <row r="19414" spans="9:10" x14ac:dyDescent="0.3">
      <c r="I19414" t="s">
        <v>24544</v>
      </c>
      <c r="J19414" t="s">
        <v>5878</v>
      </c>
    </row>
    <row r="19415" spans="9:10" x14ac:dyDescent="0.3">
      <c r="I19415" t="s">
        <v>24545</v>
      </c>
      <c r="J19415" t="s">
        <v>5878</v>
      </c>
    </row>
    <row r="19416" spans="9:10" x14ac:dyDescent="0.3">
      <c r="I19416" t="s">
        <v>24546</v>
      </c>
      <c r="J19416" t="s">
        <v>5878</v>
      </c>
    </row>
    <row r="19417" spans="9:10" x14ac:dyDescent="0.3">
      <c r="I19417" t="s">
        <v>24547</v>
      </c>
      <c r="J19417" t="s">
        <v>5878</v>
      </c>
    </row>
    <row r="19418" spans="9:10" x14ac:dyDescent="0.3">
      <c r="I19418" t="s">
        <v>24548</v>
      </c>
      <c r="J19418" t="s">
        <v>5878</v>
      </c>
    </row>
    <row r="19419" spans="9:10" x14ac:dyDescent="0.3">
      <c r="I19419" t="s">
        <v>24549</v>
      </c>
      <c r="J19419" t="s">
        <v>5878</v>
      </c>
    </row>
    <row r="19420" spans="9:10" x14ac:dyDescent="0.3">
      <c r="I19420" t="s">
        <v>24550</v>
      </c>
      <c r="J19420" t="s">
        <v>5878</v>
      </c>
    </row>
    <row r="19421" spans="9:10" x14ac:dyDescent="0.3">
      <c r="I19421" t="s">
        <v>24551</v>
      </c>
      <c r="J19421" t="s">
        <v>5878</v>
      </c>
    </row>
    <row r="19422" spans="9:10" x14ac:dyDescent="0.3">
      <c r="I19422" t="s">
        <v>24552</v>
      </c>
      <c r="J19422" t="s">
        <v>5878</v>
      </c>
    </row>
    <row r="19423" spans="9:10" x14ac:dyDescent="0.3">
      <c r="I19423" t="s">
        <v>24553</v>
      </c>
      <c r="J19423" t="s">
        <v>5878</v>
      </c>
    </row>
    <row r="19424" spans="9:10" x14ac:dyDescent="0.3">
      <c r="I19424" t="s">
        <v>24554</v>
      </c>
      <c r="J19424" t="s">
        <v>5878</v>
      </c>
    </row>
    <row r="19425" spans="9:10" x14ac:dyDescent="0.3">
      <c r="I19425" t="s">
        <v>24555</v>
      </c>
      <c r="J19425" t="s">
        <v>5878</v>
      </c>
    </row>
    <row r="19426" spans="9:10" x14ac:dyDescent="0.3">
      <c r="I19426" t="s">
        <v>24556</v>
      </c>
      <c r="J19426" t="s">
        <v>5878</v>
      </c>
    </row>
    <row r="19427" spans="9:10" x14ac:dyDescent="0.3">
      <c r="I19427" t="s">
        <v>24557</v>
      </c>
      <c r="J19427" t="s">
        <v>5878</v>
      </c>
    </row>
    <row r="19428" spans="9:10" x14ac:dyDescent="0.3">
      <c r="I19428" t="s">
        <v>24558</v>
      </c>
      <c r="J19428" t="s">
        <v>5878</v>
      </c>
    </row>
    <row r="19429" spans="9:10" x14ac:dyDescent="0.3">
      <c r="I19429" t="s">
        <v>24559</v>
      </c>
      <c r="J19429" t="s">
        <v>5878</v>
      </c>
    </row>
    <row r="19430" spans="9:10" x14ac:dyDescent="0.3">
      <c r="I19430" t="s">
        <v>24560</v>
      </c>
      <c r="J19430" t="s">
        <v>5878</v>
      </c>
    </row>
    <row r="19431" spans="9:10" x14ac:dyDescent="0.3">
      <c r="I19431" t="s">
        <v>24561</v>
      </c>
      <c r="J19431" t="s">
        <v>5878</v>
      </c>
    </row>
    <row r="19432" spans="9:10" x14ac:dyDescent="0.3">
      <c r="I19432" t="s">
        <v>24562</v>
      </c>
      <c r="J19432" t="s">
        <v>5878</v>
      </c>
    </row>
    <row r="19433" spans="9:10" x14ac:dyDescent="0.3">
      <c r="I19433" t="s">
        <v>24563</v>
      </c>
      <c r="J19433" t="s">
        <v>5878</v>
      </c>
    </row>
    <row r="19434" spans="9:10" x14ac:dyDescent="0.3">
      <c r="I19434" t="s">
        <v>24564</v>
      </c>
      <c r="J19434" t="s">
        <v>5878</v>
      </c>
    </row>
    <row r="19435" spans="9:10" x14ac:dyDescent="0.3">
      <c r="I19435" t="s">
        <v>24565</v>
      </c>
      <c r="J19435" t="s">
        <v>5878</v>
      </c>
    </row>
    <row r="19436" spans="9:10" x14ac:dyDescent="0.3">
      <c r="I19436" t="s">
        <v>24566</v>
      </c>
      <c r="J19436" t="s">
        <v>5878</v>
      </c>
    </row>
    <row r="19437" spans="9:10" x14ac:dyDescent="0.3">
      <c r="I19437" t="s">
        <v>24567</v>
      </c>
      <c r="J19437" t="s">
        <v>5878</v>
      </c>
    </row>
    <row r="19438" spans="9:10" x14ac:dyDescent="0.3">
      <c r="I19438" t="s">
        <v>24568</v>
      </c>
      <c r="J19438" t="s">
        <v>5878</v>
      </c>
    </row>
    <row r="19439" spans="9:10" x14ac:dyDescent="0.3">
      <c r="I19439" t="s">
        <v>24569</v>
      </c>
      <c r="J19439" t="s">
        <v>5878</v>
      </c>
    </row>
    <row r="19440" spans="9:10" x14ac:dyDescent="0.3">
      <c r="I19440" t="s">
        <v>24570</v>
      </c>
      <c r="J19440" t="s">
        <v>5878</v>
      </c>
    </row>
    <row r="19441" spans="9:10" x14ac:dyDescent="0.3">
      <c r="I19441" t="s">
        <v>24571</v>
      </c>
      <c r="J19441" t="s">
        <v>5878</v>
      </c>
    </row>
    <row r="19442" spans="9:10" x14ac:dyDescent="0.3">
      <c r="I19442" t="s">
        <v>24572</v>
      </c>
      <c r="J19442" t="s">
        <v>5878</v>
      </c>
    </row>
    <row r="19443" spans="9:10" x14ac:dyDescent="0.3">
      <c r="I19443" t="s">
        <v>24573</v>
      </c>
      <c r="J19443" t="s">
        <v>5878</v>
      </c>
    </row>
    <row r="19444" spans="9:10" x14ac:dyDescent="0.3">
      <c r="I19444" t="s">
        <v>24574</v>
      </c>
      <c r="J19444" t="s">
        <v>5878</v>
      </c>
    </row>
    <row r="19445" spans="9:10" x14ac:dyDescent="0.3">
      <c r="I19445" t="s">
        <v>24575</v>
      </c>
      <c r="J19445" t="s">
        <v>5878</v>
      </c>
    </row>
    <row r="19446" spans="9:10" x14ac:dyDescent="0.3">
      <c r="I19446" t="s">
        <v>24576</v>
      </c>
      <c r="J19446" t="s">
        <v>5878</v>
      </c>
    </row>
    <row r="19447" spans="9:10" x14ac:dyDescent="0.3">
      <c r="I19447" t="s">
        <v>24577</v>
      </c>
      <c r="J19447" t="s">
        <v>5878</v>
      </c>
    </row>
    <row r="19448" spans="9:10" x14ac:dyDescent="0.3">
      <c r="I19448" t="s">
        <v>24578</v>
      </c>
      <c r="J19448" t="s">
        <v>5878</v>
      </c>
    </row>
    <row r="19449" spans="9:10" x14ac:dyDescent="0.3">
      <c r="I19449" t="s">
        <v>24579</v>
      </c>
      <c r="J19449" t="s">
        <v>5878</v>
      </c>
    </row>
    <row r="19450" spans="9:10" x14ac:dyDescent="0.3">
      <c r="I19450" t="s">
        <v>24580</v>
      </c>
      <c r="J19450" t="s">
        <v>5878</v>
      </c>
    </row>
    <row r="19451" spans="9:10" x14ac:dyDescent="0.3">
      <c r="I19451" t="s">
        <v>24581</v>
      </c>
      <c r="J19451" t="s">
        <v>5878</v>
      </c>
    </row>
    <row r="19452" spans="9:10" x14ac:dyDescent="0.3">
      <c r="I19452" t="s">
        <v>24582</v>
      </c>
      <c r="J19452" t="s">
        <v>5878</v>
      </c>
    </row>
    <row r="19453" spans="9:10" x14ac:dyDescent="0.3">
      <c r="I19453" t="s">
        <v>24583</v>
      </c>
      <c r="J19453" t="s">
        <v>5878</v>
      </c>
    </row>
    <row r="19454" spans="9:10" x14ac:dyDescent="0.3">
      <c r="I19454" t="s">
        <v>24584</v>
      </c>
      <c r="J19454" t="s">
        <v>5878</v>
      </c>
    </row>
    <row r="19455" spans="9:10" x14ac:dyDescent="0.3">
      <c r="I19455" t="s">
        <v>24585</v>
      </c>
      <c r="J19455" t="s">
        <v>5878</v>
      </c>
    </row>
    <row r="19456" spans="9:10" x14ac:dyDescent="0.3">
      <c r="I19456" t="s">
        <v>24586</v>
      </c>
      <c r="J19456" t="s">
        <v>5878</v>
      </c>
    </row>
    <row r="19457" spans="9:10" x14ac:dyDescent="0.3">
      <c r="I19457" t="s">
        <v>24587</v>
      </c>
      <c r="J19457" t="s">
        <v>5878</v>
      </c>
    </row>
    <row r="19458" spans="9:10" x14ac:dyDescent="0.3">
      <c r="I19458" t="s">
        <v>24588</v>
      </c>
      <c r="J19458" t="s">
        <v>5878</v>
      </c>
    </row>
    <row r="19459" spans="9:10" x14ac:dyDescent="0.3">
      <c r="I19459" t="s">
        <v>24589</v>
      </c>
      <c r="J19459" t="s">
        <v>5878</v>
      </c>
    </row>
    <row r="19460" spans="9:10" x14ac:dyDescent="0.3">
      <c r="I19460" t="s">
        <v>24590</v>
      </c>
      <c r="J19460" t="s">
        <v>5878</v>
      </c>
    </row>
    <row r="19461" spans="9:10" x14ac:dyDescent="0.3">
      <c r="I19461" t="s">
        <v>24591</v>
      </c>
      <c r="J19461" t="s">
        <v>5878</v>
      </c>
    </row>
    <row r="19462" spans="9:10" x14ac:dyDescent="0.3">
      <c r="I19462" t="s">
        <v>24592</v>
      </c>
      <c r="J19462" t="s">
        <v>5878</v>
      </c>
    </row>
    <row r="19463" spans="9:10" x14ac:dyDescent="0.3">
      <c r="I19463" t="s">
        <v>24593</v>
      </c>
      <c r="J19463" t="s">
        <v>5878</v>
      </c>
    </row>
    <row r="19464" spans="9:10" x14ac:dyDescent="0.3">
      <c r="I19464" t="s">
        <v>24594</v>
      </c>
      <c r="J19464" t="s">
        <v>5878</v>
      </c>
    </row>
    <row r="19465" spans="9:10" x14ac:dyDescent="0.3">
      <c r="I19465" t="s">
        <v>24595</v>
      </c>
      <c r="J19465" t="s">
        <v>5878</v>
      </c>
    </row>
    <row r="19466" spans="9:10" x14ac:dyDescent="0.3">
      <c r="I19466" t="s">
        <v>24596</v>
      </c>
      <c r="J19466" t="s">
        <v>5878</v>
      </c>
    </row>
    <row r="19467" spans="9:10" x14ac:dyDescent="0.3">
      <c r="I19467" t="s">
        <v>24597</v>
      </c>
      <c r="J19467" t="s">
        <v>5878</v>
      </c>
    </row>
    <row r="19468" spans="9:10" x14ac:dyDescent="0.3">
      <c r="I19468" t="s">
        <v>24598</v>
      </c>
      <c r="J19468" t="s">
        <v>5878</v>
      </c>
    </row>
    <row r="19469" spans="9:10" x14ac:dyDescent="0.3">
      <c r="I19469" t="s">
        <v>24599</v>
      </c>
      <c r="J19469" t="s">
        <v>5878</v>
      </c>
    </row>
    <row r="19470" spans="9:10" x14ac:dyDescent="0.3">
      <c r="I19470" t="s">
        <v>24600</v>
      </c>
      <c r="J19470" t="s">
        <v>5878</v>
      </c>
    </row>
    <row r="19471" spans="9:10" x14ac:dyDescent="0.3">
      <c r="I19471" t="s">
        <v>24601</v>
      </c>
      <c r="J19471" t="s">
        <v>5878</v>
      </c>
    </row>
    <row r="19472" spans="9:10" x14ac:dyDescent="0.3">
      <c r="I19472" t="s">
        <v>24602</v>
      </c>
      <c r="J19472" t="s">
        <v>5878</v>
      </c>
    </row>
    <row r="19473" spans="9:10" x14ac:dyDescent="0.3">
      <c r="I19473" t="s">
        <v>24603</v>
      </c>
      <c r="J19473" t="s">
        <v>5878</v>
      </c>
    </row>
    <row r="19474" spans="9:10" x14ac:dyDescent="0.3">
      <c r="I19474" t="s">
        <v>24604</v>
      </c>
      <c r="J19474" t="s">
        <v>5878</v>
      </c>
    </row>
    <row r="19475" spans="9:10" x14ac:dyDescent="0.3">
      <c r="I19475" t="s">
        <v>24605</v>
      </c>
      <c r="J19475" t="s">
        <v>5878</v>
      </c>
    </row>
    <row r="19476" spans="9:10" x14ac:dyDescent="0.3">
      <c r="I19476" t="s">
        <v>24606</v>
      </c>
      <c r="J19476" t="s">
        <v>5878</v>
      </c>
    </row>
    <row r="19477" spans="9:10" x14ac:dyDescent="0.3">
      <c r="I19477" t="s">
        <v>24607</v>
      </c>
      <c r="J19477" t="s">
        <v>5878</v>
      </c>
    </row>
    <row r="19478" spans="9:10" x14ac:dyDescent="0.3">
      <c r="I19478" t="s">
        <v>24608</v>
      </c>
      <c r="J19478" t="s">
        <v>5878</v>
      </c>
    </row>
    <row r="19479" spans="9:10" x14ac:dyDescent="0.3">
      <c r="I19479" t="s">
        <v>24609</v>
      </c>
      <c r="J19479" t="s">
        <v>5878</v>
      </c>
    </row>
    <row r="19480" spans="9:10" x14ac:dyDescent="0.3">
      <c r="I19480" t="s">
        <v>24610</v>
      </c>
      <c r="J19480" t="s">
        <v>5878</v>
      </c>
    </row>
    <row r="19481" spans="9:10" x14ac:dyDescent="0.3">
      <c r="I19481" t="s">
        <v>24611</v>
      </c>
      <c r="J19481" t="s">
        <v>5878</v>
      </c>
    </row>
    <row r="19482" spans="9:10" x14ac:dyDescent="0.3">
      <c r="I19482" t="s">
        <v>24612</v>
      </c>
      <c r="J19482" t="s">
        <v>5878</v>
      </c>
    </row>
    <row r="19483" spans="9:10" x14ac:dyDescent="0.3">
      <c r="I19483" t="s">
        <v>24613</v>
      </c>
      <c r="J19483" t="s">
        <v>5878</v>
      </c>
    </row>
    <row r="19484" spans="9:10" x14ac:dyDescent="0.3">
      <c r="I19484" t="s">
        <v>24614</v>
      </c>
      <c r="J19484" t="s">
        <v>5878</v>
      </c>
    </row>
    <row r="19485" spans="9:10" x14ac:dyDescent="0.3">
      <c r="I19485" t="s">
        <v>24615</v>
      </c>
      <c r="J19485" t="s">
        <v>5878</v>
      </c>
    </row>
    <row r="19486" spans="9:10" x14ac:dyDescent="0.3">
      <c r="I19486" t="s">
        <v>24616</v>
      </c>
      <c r="J19486" t="s">
        <v>5878</v>
      </c>
    </row>
    <row r="19487" spans="9:10" x14ac:dyDescent="0.3">
      <c r="I19487" t="s">
        <v>24617</v>
      </c>
      <c r="J19487" t="s">
        <v>5878</v>
      </c>
    </row>
    <row r="19488" spans="9:10" x14ac:dyDescent="0.3">
      <c r="I19488" t="s">
        <v>24618</v>
      </c>
      <c r="J19488" t="s">
        <v>5878</v>
      </c>
    </row>
    <row r="19489" spans="9:10" x14ac:dyDescent="0.3">
      <c r="I19489" t="s">
        <v>24619</v>
      </c>
      <c r="J19489" t="s">
        <v>5878</v>
      </c>
    </row>
    <row r="19490" spans="9:10" x14ac:dyDescent="0.3">
      <c r="I19490" t="s">
        <v>24620</v>
      </c>
      <c r="J19490" t="s">
        <v>5878</v>
      </c>
    </row>
    <row r="19491" spans="9:10" x14ac:dyDescent="0.3">
      <c r="I19491" t="s">
        <v>24621</v>
      </c>
      <c r="J19491" t="s">
        <v>5878</v>
      </c>
    </row>
    <row r="19492" spans="9:10" x14ac:dyDescent="0.3">
      <c r="I19492" t="s">
        <v>24622</v>
      </c>
      <c r="J19492" t="s">
        <v>5878</v>
      </c>
    </row>
    <row r="19493" spans="9:10" x14ac:dyDescent="0.3">
      <c r="I19493" t="s">
        <v>24623</v>
      </c>
      <c r="J19493" t="s">
        <v>5878</v>
      </c>
    </row>
    <row r="19494" spans="9:10" x14ac:dyDescent="0.3">
      <c r="I19494" t="s">
        <v>24624</v>
      </c>
      <c r="J19494" t="s">
        <v>5878</v>
      </c>
    </row>
    <row r="19495" spans="9:10" x14ac:dyDescent="0.3">
      <c r="I19495" t="s">
        <v>24625</v>
      </c>
      <c r="J19495" t="s">
        <v>5878</v>
      </c>
    </row>
    <row r="19496" spans="9:10" x14ac:dyDescent="0.3">
      <c r="I19496" t="s">
        <v>24626</v>
      </c>
      <c r="J19496" t="s">
        <v>5878</v>
      </c>
    </row>
    <row r="19497" spans="9:10" x14ac:dyDescent="0.3">
      <c r="I19497" t="s">
        <v>24627</v>
      </c>
      <c r="J19497" t="s">
        <v>5878</v>
      </c>
    </row>
    <row r="19498" spans="9:10" x14ac:dyDescent="0.3">
      <c r="I19498" t="s">
        <v>24628</v>
      </c>
      <c r="J19498" t="s">
        <v>5878</v>
      </c>
    </row>
    <row r="19499" spans="9:10" x14ac:dyDescent="0.3">
      <c r="I19499" t="s">
        <v>24629</v>
      </c>
      <c r="J19499" t="s">
        <v>5878</v>
      </c>
    </row>
    <row r="19500" spans="9:10" x14ac:dyDescent="0.3">
      <c r="I19500" t="s">
        <v>24630</v>
      </c>
      <c r="J19500" t="s">
        <v>5878</v>
      </c>
    </row>
    <row r="19501" spans="9:10" x14ac:dyDescent="0.3">
      <c r="I19501" t="s">
        <v>24631</v>
      </c>
      <c r="J19501" t="s">
        <v>5878</v>
      </c>
    </row>
    <row r="19502" spans="9:10" x14ac:dyDescent="0.3">
      <c r="I19502" t="s">
        <v>24632</v>
      </c>
      <c r="J19502" t="s">
        <v>5878</v>
      </c>
    </row>
    <row r="19503" spans="9:10" x14ac:dyDescent="0.3">
      <c r="I19503" t="s">
        <v>24633</v>
      </c>
      <c r="J19503" t="s">
        <v>5878</v>
      </c>
    </row>
    <row r="19504" spans="9:10" x14ac:dyDescent="0.3">
      <c r="I19504" t="s">
        <v>24634</v>
      </c>
      <c r="J19504" t="s">
        <v>5878</v>
      </c>
    </row>
    <row r="19505" spans="9:10" x14ac:dyDescent="0.3">
      <c r="I19505" t="s">
        <v>24635</v>
      </c>
      <c r="J19505" t="s">
        <v>5878</v>
      </c>
    </row>
    <row r="19506" spans="9:10" x14ac:dyDescent="0.3">
      <c r="I19506" t="s">
        <v>24636</v>
      </c>
      <c r="J19506" t="s">
        <v>5878</v>
      </c>
    </row>
    <row r="19507" spans="9:10" x14ac:dyDescent="0.3">
      <c r="I19507" t="s">
        <v>24637</v>
      </c>
      <c r="J19507" t="s">
        <v>5878</v>
      </c>
    </row>
    <row r="19508" spans="9:10" x14ac:dyDescent="0.3">
      <c r="I19508" t="s">
        <v>24638</v>
      </c>
      <c r="J19508" t="s">
        <v>5878</v>
      </c>
    </row>
    <row r="19509" spans="9:10" x14ac:dyDescent="0.3">
      <c r="I19509" t="s">
        <v>24639</v>
      </c>
      <c r="J19509" t="s">
        <v>5878</v>
      </c>
    </row>
    <row r="19510" spans="9:10" x14ac:dyDescent="0.3">
      <c r="I19510" t="s">
        <v>24640</v>
      </c>
      <c r="J19510" t="s">
        <v>5878</v>
      </c>
    </row>
    <row r="19511" spans="9:10" x14ac:dyDescent="0.3">
      <c r="I19511" t="s">
        <v>24641</v>
      </c>
      <c r="J19511" t="s">
        <v>5878</v>
      </c>
    </row>
    <row r="19512" spans="9:10" x14ac:dyDescent="0.3">
      <c r="I19512" t="s">
        <v>24642</v>
      </c>
      <c r="J19512" t="s">
        <v>5878</v>
      </c>
    </row>
    <row r="19513" spans="9:10" x14ac:dyDescent="0.3">
      <c r="I19513" t="s">
        <v>24643</v>
      </c>
      <c r="J19513" t="s">
        <v>5878</v>
      </c>
    </row>
    <row r="19514" spans="9:10" x14ac:dyDescent="0.3">
      <c r="I19514" t="s">
        <v>24644</v>
      </c>
      <c r="J19514" t="s">
        <v>5878</v>
      </c>
    </row>
    <row r="19515" spans="9:10" x14ac:dyDescent="0.3">
      <c r="I19515" t="s">
        <v>24645</v>
      </c>
      <c r="J19515" t="s">
        <v>5878</v>
      </c>
    </row>
    <row r="19516" spans="9:10" x14ac:dyDescent="0.3">
      <c r="I19516" t="s">
        <v>24646</v>
      </c>
      <c r="J19516" t="s">
        <v>5878</v>
      </c>
    </row>
    <row r="19517" spans="9:10" x14ac:dyDescent="0.3">
      <c r="I19517" t="s">
        <v>24647</v>
      </c>
      <c r="J19517" t="s">
        <v>5878</v>
      </c>
    </row>
    <row r="19518" spans="9:10" x14ac:dyDescent="0.3">
      <c r="I19518" t="s">
        <v>24648</v>
      </c>
      <c r="J19518" t="s">
        <v>5878</v>
      </c>
    </row>
    <row r="19519" spans="9:10" x14ac:dyDescent="0.3">
      <c r="I19519" t="s">
        <v>24649</v>
      </c>
      <c r="J19519" t="s">
        <v>5878</v>
      </c>
    </row>
    <row r="19520" spans="9:10" x14ac:dyDescent="0.3">
      <c r="I19520" t="s">
        <v>24650</v>
      </c>
      <c r="J19520" t="s">
        <v>5878</v>
      </c>
    </row>
    <row r="19521" spans="9:10" x14ac:dyDescent="0.3">
      <c r="I19521" t="s">
        <v>24651</v>
      </c>
      <c r="J19521" t="s">
        <v>5878</v>
      </c>
    </row>
    <row r="19522" spans="9:10" x14ac:dyDescent="0.3">
      <c r="I19522" t="s">
        <v>24652</v>
      </c>
      <c r="J19522" t="s">
        <v>5878</v>
      </c>
    </row>
    <row r="19523" spans="9:10" x14ac:dyDescent="0.3">
      <c r="I19523" t="s">
        <v>24653</v>
      </c>
      <c r="J19523" t="s">
        <v>5878</v>
      </c>
    </row>
    <row r="19524" spans="9:10" x14ac:dyDescent="0.3">
      <c r="I19524" t="s">
        <v>24654</v>
      </c>
      <c r="J19524" t="s">
        <v>5878</v>
      </c>
    </row>
    <row r="19525" spans="9:10" x14ac:dyDescent="0.3">
      <c r="I19525" t="s">
        <v>24655</v>
      </c>
      <c r="J19525" t="s">
        <v>5878</v>
      </c>
    </row>
    <row r="19526" spans="9:10" x14ac:dyDescent="0.3">
      <c r="I19526" t="s">
        <v>24656</v>
      </c>
      <c r="J19526" t="s">
        <v>5878</v>
      </c>
    </row>
    <row r="19527" spans="9:10" x14ac:dyDescent="0.3">
      <c r="I19527" t="s">
        <v>24657</v>
      </c>
      <c r="J19527" t="s">
        <v>5878</v>
      </c>
    </row>
    <row r="19528" spans="9:10" x14ac:dyDescent="0.3">
      <c r="I19528" t="s">
        <v>23174</v>
      </c>
      <c r="J19528" t="s">
        <v>5878</v>
      </c>
    </row>
    <row r="19529" spans="9:10" x14ac:dyDescent="0.3">
      <c r="I19529" t="s">
        <v>24655</v>
      </c>
      <c r="J19529" t="s">
        <v>5878</v>
      </c>
    </row>
    <row r="19530" spans="9:10" x14ac:dyDescent="0.3">
      <c r="I19530" t="s">
        <v>24658</v>
      </c>
      <c r="J19530" t="s">
        <v>5878</v>
      </c>
    </row>
    <row r="19531" spans="9:10" x14ac:dyDescent="0.3">
      <c r="I19531" t="s">
        <v>24659</v>
      </c>
      <c r="J19531" t="s">
        <v>5878</v>
      </c>
    </row>
    <row r="19532" spans="9:10" x14ac:dyDescent="0.3">
      <c r="I19532" t="s">
        <v>24660</v>
      </c>
      <c r="J19532" t="s">
        <v>5878</v>
      </c>
    </row>
    <row r="19533" spans="9:10" x14ac:dyDescent="0.3">
      <c r="I19533" t="s">
        <v>24661</v>
      </c>
      <c r="J19533" t="s">
        <v>5878</v>
      </c>
    </row>
    <row r="19534" spans="9:10" x14ac:dyDescent="0.3">
      <c r="I19534" t="s">
        <v>24662</v>
      </c>
      <c r="J19534" t="s">
        <v>5878</v>
      </c>
    </row>
    <row r="19535" spans="9:10" x14ac:dyDescent="0.3">
      <c r="I19535" t="s">
        <v>24663</v>
      </c>
      <c r="J19535" t="s">
        <v>5878</v>
      </c>
    </row>
    <row r="19536" spans="9:10" x14ac:dyDescent="0.3">
      <c r="I19536" t="s">
        <v>24664</v>
      </c>
      <c r="J19536" t="s">
        <v>5878</v>
      </c>
    </row>
    <row r="19537" spans="9:10" x14ac:dyDescent="0.3">
      <c r="I19537" t="s">
        <v>24665</v>
      </c>
      <c r="J19537" t="s">
        <v>5878</v>
      </c>
    </row>
    <row r="19538" spans="9:10" x14ac:dyDescent="0.3">
      <c r="I19538" t="s">
        <v>24666</v>
      </c>
      <c r="J19538" t="s">
        <v>5878</v>
      </c>
    </row>
    <row r="19539" spans="9:10" x14ac:dyDescent="0.3">
      <c r="I19539" t="s">
        <v>24667</v>
      </c>
      <c r="J19539" t="s">
        <v>5878</v>
      </c>
    </row>
    <row r="19540" spans="9:10" x14ac:dyDescent="0.3">
      <c r="I19540" t="s">
        <v>24668</v>
      </c>
      <c r="J19540" t="s">
        <v>5878</v>
      </c>
    </row>
    <row r="19541" spans="9:10" x14ac:dyDescent="0.3">
      <c r="I19541" t="s">
        <v>24669</v>
      </c>
      <c r="J19541" t="s">
        <v>5878</v>
      </c>
    </row>
    <row r="19542" spans="9:10" x14ac:dyDescent="0.3">
      <c r="I19542" t="s">
        <v>24670</v>
      </c>
      <c r="J19542" t="s">
        <v>5878</v>
      </c>
    </row>
    <row r="19543" spans="9:10" x14ac:dyDescent="0.3">
      <c r="I19543" t="s">
        <v>24671</v>
      </c>
      <c r="J19543" t="s">
        <v>5878</v>
      </c>
    </row>
    <row r="19544" spans="9:10" x14ac:dyDescent="0.3">
      <c r="I19544" t="s">
        <v>24672</v>
      </c>
      <c r="J19544" t="s">
        <v>5878</v>
      </c>
    </row>
    <row r="19545" spans="9:10" x14ac:dyDescent="0.3">
      <c r="I19545" t="s">
        <v>24673</v>
      </c>
      <c r="J19545" t="s">
        <v>5878</v>
      </c>
    </row>
    <row r="19546" spans="9:10" x14ac:dyDescent="0.3">
      <c r="I19546" t="s">
        <v>24674</v>
      </c>
      <c r="J19546" t="s">
        <v>5878</v>
      </c>
    </row>
    <row r="19547" spans="9:10" x14ac:dyDescent="0.3">
      <c r="I19547" t="s">
        <v>24675</v>
      </c>
      <c r="J19547" t="s">
        <v>5878</v>
      </c>
    </row>
    <row r="19548" spans="9:10" x14ac:dyDescent="0.3">
      <c r="I19548" t="s">
        <v>24676</v>
      </c>
      <c r="J19548" t="s">
        <v>5878</v>
      </c>
    </row>
    <row r="19549" spans="9:10" x14ac:dyDescent="0.3">
      <c r="I19549" t="s">
        <v>24677</v>
      </c>
      <c r="J19549" t="s">
        <v>5878</v>
      </c>
    </row>
    <row r="19550" spans="9:10" x14ac:dyDescent="0.3">
      <c r="I19550" t="s">
        <v>24678</v>
      </c>
      <c r="J19550" t="s">
        <v>5878</v>
      </c>
    </row>
    <row r="19551" spans="9:10" x14ac:dyDescent="0.3">
      <c r="I19551" t="s">
        <v>24679</v>
      </c>
      <c r="J19551" t="s">
        <v>5878</v>
      </c>
    </row>
    <row r="19552" spans="9:10" x14ac:dyDescent="0.3">
      <c r="I19552" t="s">
        <v>24680</v>
      </c>
      <c r="J19552" t="s">
        <v>5878</v>
      </c>
    </row>
    <row r="19553" spans="9:10" x14ac:dyDescent="0.3">
      <c r="I19553" t="s">
        <v>24681</v>
      </c>
      <c r="J19553" t="s">
        <v>5878</v>
      </c>
    </row>
    <row r="19554" spans="9:10" x14ac:dyDescent="0.3">
      <c r="I19554" t="s">
        <v>24682</v>
      </c>
      <c r="J19554" t="s">
        <v>5878</v>
      </c>
    </row>
    <row r="19555" spans="9:10" x14ac:dyDescent="0.3">
      <c r="I19555" t="s">
        <v>24683</v>
      </c>
      <c r="J19555" t="s">
        <v>5878</v>
      </c>
    </row>
    <row r="19556" spans="9:10" x14ac:dyDescent="0.3">
      <c r="I19556" t="s">
        <v>24684</v>
      </c>
      <c r="J19556" t="s">
        <v>5878</v>
      </c>
    </row>
    <row r="19557" spans="9:10" x14ac:dyDescent="0.3">
      <c r="I19557" t="s">
        <v>24685</v>
      </c>
      <c r="J19557" t="s">
        <v>5878</v>
      </c>
    </row>
    <row r="19558" spans="9:10" x14ac:dyDescent="0.3">
      <c r="I19558" t="s">
        <v>24686</v>
      </c>
      <c r="J19558" t="s">
        <v>5878</v>
      </c>
    </row>
    <row r="19559" spans="9:10" x14ac:dyDescent="0.3">
      <c r="I19559" t="s">
        <v>24687</v>
      </c>
      <c r="J19559" t="s">
        <v>5878</v>
      </c>
    </row>
    <row r="19560" spans="9:10" x14ac:dyDescent="0.3">
      <c r="I19560" t="s">
        <v>24688</v>
      </c>
      <c r="J19560" t="s">
        <v>5878</v>
      </c>
    </row>
    <row r="19561" spans="9:10" x14ac:dyDescent="0.3">
      <c r="I19561" t="s">
        <v>24689</v>
      </c>
      <c r="J19561" t="s">
        <v>5878</v>
      </c>
    </row>
    <row r="19562" spans="9:10" x14ac:dyDescent="0.3">
      <c r="I19562" t="s">
        <v>24690</v>
      </c>
      <c r="J19562" t="s">
        <v>5878</v>
      </c>
    </row>
    <row r="19563" spans="9:10" x14ac:dyDescent="0.3">
      <c r="I19563" t="s">
        <v>24691</v>
      </c>
      <c r="J19563" t="s">
        <v>5878</v>
      </c>
    </row>
    <row r="19564" spans="9:10" x14ac:dyDescent="0.3">
      <c r="I19564" t="s">
        <v>24692</v>
      </c>
      <c r="J19564" t="s">
        <v>5878</v>
      </c>
    </row>
    <row r="19565" spans="9:10" x14ac:dyDescent="0.3">
      <c r="I19565" t="s">
        <v>24693</v>
      </c>
      <c r="J19565" t="s">
        <v>5878</v>
      </c>
    </row>
    <row r="19566" spans="9:10" x14ac:dyDescent="0.3">
      <c r="I19566" t="s">
        <v>24694</v>
      </c>
      <c r="J19566" t="s">
        <v>5878</v>
      </c>
    </row>
    <row r="19567" spans="9:10" x14ac:dyDescent="0.3">
      <c r="I19567" t="s">
        <v>24695</v>
      </c>
      <c r="J19567" t="s">
        <v>5878</v>
      </c>
    </row>
    <row r="19568" spans="9:10" x14ac:dyDescent="0.3">
      <c r="I19568" t="s">
        <v>24696</v>
      </c>
      <c r="J19568" t="s">
        <v>5878</v>
      </c>
    </row>
    <row r="19569" spans="9:10" x14ac:dyDescent="0.3">
      <c r="I19569" t="s">
        <v>24697</v>
      </c>
      <c r="J19569" t="s">
        <v>5878</v>
      </c>
    </row>
    <row r="19570" spans="9:10" x14ac:dyDescent="0.3">
      <c r="I19570" t="s">
        <v>24698</v>
      </c>
      <c r="J19570" t="s">
        <v>5878</v>
      </c>
    </row>
    <row r="19571" spans="9:10" x14ac:dyDescent="0.3">
      <c r="I19571" t="s">
        <v>22056</v>
      </c>
      <c r="J19571" t="s">
        <v>5878</v>
      </c>
    </row>
    <row r="19572" spans="9:10" x14ac:dyDescent="0.3">
      <c r="I19572" t="s">
        <v>22056</v>
      </c>
      <c r="J19572" t="s">
        <v>5878</v>
      </c>
    </row>
    <row r="19573" spans="9:10" x14ac:dyDescent="0.3">
      <c r="I19573" t="s">
        <v>24699</v>
      </c>
      <c r="J19573" t="s">
        <v>5878</v>
      </c>
    </row>
    <row r="19574" spans="9:10" x14ac:dyDescent="0.3">
      <c r="I19574" t="s">
        <v>24700</v>
      </c>
      <c r="J19574" t="s">
        <v>5878</v>
      </c>
    </row>
    <row r="19575" spans="9:10" x14ac:dyDescent="0.3">
      <c r="I19575" t="s">
        <v>24701</v>
      </c>
      <c r="J19575" t="s">
        <v>5878</v>
      </c>
    </row>
    <row r="19576" spans="9:10" x14ac:dyDescent="0.3">
      <c r="I19576" t="s">
        <v>24702</v>
      </c>
      <c r="J19576" t="s">
        <v>5878</v>
      </c>
    </row>
    <row r="19577" spans="9:10" x14ac:dyDescent="0.3">
      <c r="I19577" t="s">
        <v>24703</v>
      </c>
      <c r="J19577" t="s">
        <v>5878</v>
      </c>
    </row>
    <row r="19578" spans="9:10" x14ac:dyDescent="0.3">
      <c r="I19578" t="s">
        <v>24704</v>
      </c>
      <c r="J19578" t="s">
        <v>5878</v>
      </c>
    </row>
    <row r="19579" spans="9:10" x14ac:dyDescent="0.3">
      <c r="I19579" t="s">
        <v>24705</v>
      </c>
      <c r="J19579" t="s">
        <v>5878</v>
      </c>
    </row>
    <row r="19580" spans="9:10" x14ac:dyDescent="0.3">
      <c r="I19580" t="s">
        <v>24706</v>
      </c>
      <c r="J19580" t="s">
        <v>5878</v>
      </c>
    </row>
    <row r="19581" spans="9:10" x14ac:dyDescent="0.3">
      <c r="I19581" t="s">
        <v>24707</v>
      </c>
      <c r="J19581" t="s">
        <v>5878</v>
      </c>
    </row>
    <row r="19582" spans="9:10" x14ac:dyDescent="0.3">
      <c r="I19582" t="s">
        <v>24708</v>
      </c>
      <c r="J19582" t="s">
        <v>5878</v>
      </c>
    </row>
    <row r="19583" spans="9:10" x14ac:dyDescent="0.3">
      <c r="I19583" t="s">
        <v>24709</v>
      </c>
      <c r="J19583" t="s">
        <v>5878</v>
      </c>
    </row>
    <row r="19584" spans="9:10" x14ac:dyDescent="0.3">
      <c r="I19584" t="s">
        <v>24710</v>
      </c>
      <c r="J19584" t="s">
        <v>5878</v>
      </c>
    </row>
    <row r="19585" spans="9:10" x14ac:dyDescent="0.3">
      <c r="I19585" t="s">
        <v>24711</v>
      </c>
      <c r="J19585" t="s">
        <v>5878</v>
      </c>
    </row>
    <row r="19586" spans="9:10" x14ac:dyDescent="0.3">
      <c r="I19586" t="s">
        <v>24712</v>
      </c>
      <c r="J19586" t="s">
        <v>5878</v>
      </c>
    </row>
    <row r="19587" spans="9:10" x14ac:dyDescent="0.3">
      <c r="I19587" t="s">
        <v>24713</v>
      </c>
      <c r="J19587" t="s">
        <v>5878</v>
      </c>
    </row>
    <row r="19588" spans="9:10" x14ac:dyDescent="0.3">
      <c r="I19588" t="s">
        <v>24714</v>
      </c>
      <c r="J19588" t="s">
        <v>5878</v>
      </c>
    </row>
    <row r="19589" spans="9:10" x14ac:dyDescent="0.3">
      <c r="I19589" t="s">
        <v>24715</v>
      </c>
      <c r="J19589" t="s">
        <v>5878</v>
      </c>
    </row>
    <row r="19590" spans="9:10" x14ac:dyDescent="0.3">
      <c r="I19590" t="s">
        <v>24716</v>
      </c>
      <c r="J19590" t="s">
        <v>5878</v>
      </c>
    </row>
    <row r="19591" spans="9:10" x14ac:dyDescent="0.3">
      <c r="I19591" t="s">
        <v>24717</v>
      </c>
      <c r="J19591" t="s">
        <v>5878</v>
      </c>
    </row>
    <row r="19592" spans="9:10" x14ac:dyDescent="0.3">
      <c r="I19592" t="s">
        <v>24718</v>
      </c>
      <c r="J19592" t="s">
        <v>5878</v>
      </c>
    </row>
    <row r="19593" spans="9:10" x14ac:dyDescent="0.3">
      <c r="I19593" t="s">
        <v>24719</v>
      </c>
      <c r="J19593" t="s">
        <v>5878</v>
      </c>
    </row>
    <row r="19594" spans="9:10" x14ac:dyDescent="0.3">
      <c r="I19594" t="s">
        <v>22056</v>
      </c>
      <c r="J19594" t="s">
        <v>5878</v>
      </c>
    </row>
    <row r="19595" spans="9:10" x14ac:dyDescent="0.3">
      <c r="I19595" t="s">
        <v>24720</v>
      </c>
      <c r="J19595" t="s">
        <v>5878</v>
      </c>
    </row>
    <row r="19596" spans="9:10" x14ac:dyDescent="0.3">
      <c r="I19596" t="s">
        <v>24721</v>
      </c>
      <c r="J19596" t="s">
        <v>5878</v>
      </c>
    </row>
    <row r="19597" spans="9:10" x14ac:dyDescent="0.3">
      <c r="I19597" t="s">
        <v>24722</v>
      </c>
      <c r="J19597" t="s">
        <v>5878</v>
      </c>
    </row>
    <row r="19598" spans="9:10" x14ac:dyDescent="0.3">
      <c r="I19598" t="s">
        <v>19927</v>
      </c>
      <c r="J19598" t="s">
        <v>5878</v>
      </c>
    </row>
    <row r="19599" spans="9:10" x14ac:dyDescent="0.3">
      <c r="I19599" t="s">
        <v>24723</v>
      </c>
      <c r="J19599" t="s">
        <v>5878</v>
      </c>
    </row>
    <row r="19600" spans="9:10" x14ac:dyDescent="0.3">
      <c r="I19600" t="s">
        <v>24724</v>
      </c>
      <c r="J19600" t="s">
        <v>5878</v>
      </c>
    </row>
    <row r="19601" spans="9:10" x14ac:dyDescent="0.3">
      <c r="I19601" t="s">
        <v>24725</v>
      </c>
      <c r="J19601" t="s">
        <v>5878</v>
      </c>
    </row>
    <row r="19602" spans="9:10" x14ac:dyDescent="0.3">
      <c r="I19602" t="s">
        <v>24726</v>
      </c>
      <c r="J19602" t="s">
        <v>5878</v>
      </c>
    </row>
    <row r="19603" spans="9:10" x14ac:dyDescent="0.3">
      <c r="I19603" t="s">
        <v>24727</v>
      </c>
      <c r="J19603" t="s">
        <v>5878</v>
      </c>
    </row>
    <row r="19604" spans="9:10" x14ac:dyDescent="0.3">
      <c r="I19604" t="s">
        <v>24728</v>
      </c>
      <c r="J19604" t="s">
        <v>5878</v>
      </c>
    </row>
    <row r="19605" spans="9:10" x14ac:dyDescent="0.3">
      <c r="I19605" t="s">
        <v>24729</v>
      </c>
      <c r="J19605" t="s">
        <v>5878</v>
      </c>
    </row>
    <row r="19606" spans="9:10" x14ac:dyDescent="0.3">
      <c r="I19606" t="s">
        <v>24730</v>
      </c>
      <c r="J19606" t="s">
        <v>5878</v>
      </c>
    </row>
    <row r="19607" spans="9:10" x14ac:dyDescent="0.3">
      <c r="I19607" t="s">
        <v>24731</v>
      </c>
      <c r="J19607" t="s">
        <v>5878</v>
      </c>
    </row>
    <row r="19608" spans="9:10" x14ac:dyDescent="0.3">
      <c r="I19608" t="s">
        <v>24732</v>
      </c>
      <c r="J19608" t="s">
        <v>5878</v>
      </c>
    </row>
    <row r="19609" spans="9:10" x14ac:dyDescent="0.3">
      <c r="I19609" t="s">
        <v>24733</v>
      </c>
      <c r="J19609" t="s">
        <v>5878</v>
      </c>
    </row>
    <row r="19610" spans="9:10" x14ac:dyDescent="0.3">
      <c r="I19610" t="s">
        <v>24734</v>
      </c>
      <c r="J19610" t="s">
        <v>5878</v>
      </c>
    </row>
    <row r="19611" spans="9:10" x14ac:dyDescent="0.3">
      <c r="I19611" t="s">
        <v>24735</v>
      </c>
      <c r="J19611" t="s">
        <v>5878</v>
      </c>
    </row>
    <row r="19612" spans="9:10" x14ac:dyDescent="0.3">
      <c r="I19612" t="s">
        <v>24736</v>
      </c>
      <c r="J19612" t="s">
        <v>5878</v>
      </c>
    </row>
    <row r="19613" spans="9:10" x14ac:dyDescent="0.3">
      <c r="I19613" t="s">
        <v>24737</v>
      </c>
      <c r="J19613" t="s">
        <v>5878</v>
      </c>
    </row>
    <row r="19614" spans="9:10" x14ac:dyDescent="0.3">
      <c r="I19614" t="s">
        <v>24738</v>
      </c>
      <c r="J19614" t="s">
        <v>5878</v>
      </c>
    </row>
    <row r="19615" spans="9:10" x14ac:dyDescent="0.3">
      <c r="I19615" t="s">
        <v>24739</v>
      </c>
      <c r="J19615" t="s">
        <v>5878</v>
      </c>
    </row>
    <row r="19616" spans="9:10" x14ac:dyDescent="0.3">
      <c r="I19616" t="s">
        <v>24740</v>
      </c>
      <c r="J19616" t="s">
        <v>5878</v>
      </c>
    </row>
    <row r="19617" spans="9:10" x14ac:dyDescent="0.3">
      <c r="I19617" t="s">
        <v>24741</v>
      </c>
      <c r="J19617" t="s">
        <v>5878</v>
      </c>
    </row>
    <row r="19618" spans="9:10" x14ac:dyDescent="0.3">
      <c r="I19618" t="s">
        <v>24742</v>
      </c>
      <c r="J19618" t="s">
        <v>5878</v>
      </c>
    </row>
    <row r="19619" spans="9:10" x14ac:dyDescent="0.3">
      <c r="I19619" t="s">
        <v>24743</v>
      </c>
      <c r="J19619" t="s">
        <v>5878</v>
      </c>
    </row>
    <row r="19620" spans="9:10" x14ac:dyDescent="0.3">
      <c r="I19620" t="s">
        <v>24744</v>
      </c>
      <c r="J19620" t="s">
        <v>5878</v>
      </c>
    </row>
    <row r="19621" spans="9:10" x14ac:dyDescent="0.3">
      <c r="I19621" t="s">
        <v>24745</v>
      </c>
      <c r="J19621" t="s">
        <v>5878</v>
      </c>
    </row>
    <row r="19622" spans="9:10" x14ac:dyDescent="0.3">
      <c r="I19622" t="s">
        <v>24746</v>
      </c>
      <c r="J19622" t="s">
        <v>5878</v>
      </c>
    </row>
    <row r="19623" spans="9:10" x14ac:dyDescent="0.3">
      <c r="I19623" t="s">
        <v>24747</v>
      </c>
      <c r="J19623" t="s">
        <v>5878</v>
      </c>
    </row>
    <row r="19624" spans="9:10" x14ac:dyDescent="0.3">
      <c r="I19624" t="s">
        <v>24748</v>
      </c>
      <c r="J19624" t="s">
        <v>5878</v>
      </c>
    </row>
    <row r="19625" spans="9:10" x14ac:dyDescent="0.3">
      <c r="I19625" t="s">
        <v>24749</v>
      </c>
      <c r="J19625" t="s">
        <v>5878</v>
      </c>
    </row>
    <row r="19626" spans="9:10" x14ac:dyDescent="0.3">
      <c r="I19626" t="s">
        <v>24750</v>
      </c>
      <c r="J19626" t="s">
        <v>5878</v>
      </c>
    </row>
    <row r="19627" spans="9:10" x14ac:dyDescent="0.3">
      <c r="I19627" t="s">
        <v>24751</v>
      </c>
      <c r="J19627" t="s">
        <v>5878</v>
      </c>
    </row>
    <row r="19628" spans="9:10" x14ac:dyDescent="0.3">
      <c r="I19628" t="s">
        <v>24752</v>
      </c>
      <c r="J19628" t="s">
        <v>5878</v>
      </c>
    </row>
    <row r="19629" spans="9:10" x14ac:dyDescent="0.3">
      <c r="I19629" t="s">
        <v>24753</v>
      </c>
      <c r="J19629" t="s">
        <v>5878</v>
      </c>
    </row>
    <row r="19630" spans="9:10" x14ac:dyDescent="0.3">
      <c r="I19630" t="s">
        <v>24754</v>
      </c>
      <c r="J19630" t="s">
        <v>5878</v>
      </c>
    </row>
    <row r="19631" spans="9:10" x14ac:dyDescent="0.3">
      <c r="I19631" t="s">
        <v>24755</v>
      </c>
      <c r="J19631" t="s">
        <v>5878</v>
      </c>
    </row>
    <row r="19632" spans="9:10" x14ac:dyDescent="0.3">
      <c r="I19632" t="s">
        <v>24756</v>
      </c>
      <c r="J19632" t="s">
        <v>5878</v>
      </c>
    </row>
    <row r="19633" spans="9:10" x14ac:dyDescent="0.3">
      <c r="I19633" t="s">
        <v>24757</v>
      </c>
      <c r="J19633" t="s">
        <v>5878</v>
      </c>
    </row>
    <row r="19634" spans="9:10" x14ac:dyDescent="0.3">
      <c r="I19634" t="s">
        <v>22056</v>
      </c>
      <c r="J19634" t="s">
        <v>5878</v>
      </c>
    </row>
    <row r="19635" spans="9:10" x14ac:dyDescent="0.3">
      <c r="I19635" t="s">
        <v>24758</v>
      </c>
      <c r="J19635" t="s">
        <v>5878</v>
      </c>
    </row>
    <row r="19636" spans="9:10" x14ac:dyDescent="0.3">
      <c r="I19636" t="s">
        <v>24759</v>
      </c>
      <c r="J19636" t="s">
        <v>5878</v>
      </c>
    </row>
    <row r="19637" spans="9:10" x14ac:dyDescent="0.3">
      <c r="I19637" t="s">
        <v>24760</v>
      </c>
      <c r="J19637" t="s">
        <v>5878</v>
      </c>
    </row>
    <row r="19638" spans="9:10" x14ac:dyDescent="0.3">
      <c r="I19638" t="s">
        <v>24761</v>
      </c>
      <c r="J19638" t="s">
        <v>5878</v>
      </c>
    </row>
    <row r="19639" spans="9:10" x14ac:dyDescent="0.3">
      <c r="I19639" t="s">
        <v>24762</v>
      </c>
      <c r="J19639" t="s">
        <v>5878</v>
      </c>
    </row>
    <row r="19640" spans="9:10" x14ac:dyDescent="0.3">
      <c r="I19640" t="s">
        <v>24763</v>
      </c>
      <c r="J19640" t="s">
        <v>5878</v>
      </c>
    </row>
    <row r="19641" spans="9:10" x14ac:dyDescent="0.3">
      <c r="I19641" t="s">
        <v>24764</v>
      </c>
      <c r="J19641" t="s">
        <v>5878</v>
      </c>
    </row>
    <row r="19642" spans="9:10" x14ac:dyDescent="0.3">
      <c r="I19642" t="s">
        <v>22056</v>
      </c>
      <c r="J19642" t="s">
        <v>5878</v>
      </c>
    </row>
    <row r="19643" spans="9:10" x14ac:dyDescent="0.3">
      <c r="I19643" t="s">
        <v>22056</v>
      </c>
      <c r="J19643" t="s">
        <v>5878</v>
      </c>
    </row>
    <row r="19644" spans="9:10" x14ac:dyDescent="0.3">
      <c r="I19644" t="s">
        <v>22056</v>
      </c>
      <c r="J19644" t="s">
        <v>5878</v>
      </c>
    </row>
    <row r="19645" spans="9:10" x14ac:dyDescent="0.3">
      <c r="I19645" t="s">
        <v>22056</v>
      </c>
      <c r="J19645" t="s">
        <v>5878</v>
      </c>
    </row>
    <row r="19646" spans="9:10" x14ac:dyDescent="0.3">
      <c r="I19646" t="s">
        <v>22056</v>
      </c>
      <c r="J19646" t="s">
        <v>5878</v>
      </c>
    </row>
    <row r="19647" spans="9:10" x14ac:dyDescent="0.3">
      <c r="I19647" t="s">
        <v>24765</v>
      </c>
      <c r="J19647" t="s">
        <v>5878</v>
      </c>
    </row>
    <row r="19648" spans="9:10" x14ac:dyDescent="0.3">
      <c r="I19648" t="s">
        <v>24766</v>
      </c>
      <c r="J19648" t="s">
        <v>5878</v>
      </c>
    </row>
    <row r="19649" spans="9:10" x14ac:dyDescent="0.3">
      <c r="I19649" t="s">
        <v>24767</v>
      </c>
      <c r="J19649" t="s">
        <v>5878</v>
      </c>
    </row>
    <row r="19650" spans="9:10" x14ac:dyDescent="0.3">
      <c r="I19650" t="s">
        <v>24768</v>
      </c>
      <c r="J19650" t="s">
        <v>5878</v>
      </c>
    </row>
    <row r="19651" spans="9:10" x14ac:dyDescent="0.3">
      <c r="I19651" t="s">
        <v>24769</v>
      </c>
      <c r="J19651" t="s">
        <v>5878</v>
      </c>
    </row>
    <row r="19652" spans="9:10" x14ac:dyDescent="0.3">
      <c r="I19652" t="s">
        <v>24770</v>
      </c>
      <c r="J19652" t="s">
        <v>5878</v>
      </c>
    </row>
    <row r="19653" spans="9:10" x14ac:dyDescent="0.3">
      <c r="I19653" t="s">
        <v>24771</v>
      </c>
      <c r="J19653" t="s">
        <v>5878</v>
      </c>
    </row>
    <row r="19654" spans="9:10" x14ac:dyDescent="0.3">
      <c r="I19654" t="s">
        <v>24772</v>
      </c>
      <c r="J19654" t="s">
        <v>5878</v>
      </c>
    </row>
    <row r="19655" spans="9:10" x14ac:dyDescent="0.3">
      <c r="I19655" t="s">
        <v>24773</v>
      </c>
      <c r="J19655" t="s">
        <v>5878</v>
      </c>
    </row>
    <row r="19656" spans="9:10" x14ac:dyDescent="0.3">
      <c r="I19656" t="s">
        <v>24774</v>
      </c>
      <c r="J19656" t="s">
        <v>5878</v>
      </c>
    </row>
    <row r="19657" spans="9:10" x14ac:dyDescent="0.3">
      <c r="I19657" t="s">
        <v>24775</v>
      </c>
      <c r="J19657" t="s">
        <v>5878</v>
      </c>
    </row>
    <row r="19658" spans="9:10" x14ac:dyDescent="0.3">
      <c r="I19658" t="s">
        <v>23090</v>
      </c>
      <c r="J19658" t="s">
        <v>5878</v>
      </c>
    </row>
    <row r="19659" spans="9:10" x14ac:dyDescent="0.3">
      <c r="I19659" t="s">
        <v>24776</v>
      </c>
      <c r="J19659" t="s">
        <v>5878</v>
      </c>
    </row>
    <row r="19660" spans="9:10" x14ac:dyDescent="0.3">
      <c r="I19660" t="s">
        <v>24777</v>
      </c>
      <c r="J19660" t="s">
        <v>5878</v>
      </c>
    </row>
    <row r="19661" spans="9:10" x14ac:dyDescent="0.3">
      <c r="I19661" t="s">
        <v>24778</v>
      </c>
      <c r="J19661" t="s">
        <v>5878</v>
      </c>
    </row>
    <row r="19662" spans="9:10" x14ac:dyDescent="0.3">
      <c r="I19662" t="s">
        <v>24779</v>
      </c>
      <c r="J19662" t="s">
        <v>5878</v>
      </c>
    </row>
    <row r="19663" spans="9:10" x14ac:dyDescent="0.3">
      <c r="I19663" t="s">
        <v>24780</v>
      </c>
      <c r="J19663" t="s">
        <v>5878</v>
      </c>
    </row>
    <row r="19664" spans="9:10" x14ac:dyDescent="0.3">
      <c r="I19664" t="s">
        <v>24781</v>
      </c>
      <c r="J19664" t="s">
        <v>5878</v>
      </c>
    </row>
    <row r="19665" spans="9:10" x14ac:dyDescent="0.3">
      <c r="I19665" t="s">
        <v>24782</v>
      </c>
      <c r="J19665" t="s">
        <v>5878</v>
      </c>
    </row>
    <row r="19666" spans="9:10" x14ac:dyDescent="0.3">
      <c r="I19666" t="s">
        <v>24783</v>
      </c>
      <c r="J19666" t="s">
        <v>5878</v>
      </c>
    </row>
    <row r="19667" spans="9:10" x14ac:dyDescent="0.3">
      <c r="I19667" t="s">
        <v>24784</v>
      </c>
      <c r="J19667" t="s">
        <v>5878</v>
      </c>
    </row>
    <row r="19668" spans="9:10" x14ac:dyDescent="0.3">
      <c r="I19668" t="s">
        <v>24785</v>
      </c>
      <c r="J19668" t="s">
        <v>5878</v>
      </c>
    </row>
    <row r="19669" spans="9:10" x14ac:dyDescent="0.3">
      <c r="I19669" t="s">
        <v>24786</v>
      </c>
      <c r="J19669" t="s">
        <v>5878</v>
      </c>
    </row>
    <row r="19670" spans="9:10" x14ac:dyDescent="0.3">
      <c r="I19670" t="s">
        <v>24787</v>
      </c>
      <c r="J19670" t="s">
        <v>5878</v>
      </c>
    </row>
    <row r="19671" spans="9:10" x14ac:dyDescent="0.3">
      <c r="I19671" t="s">
        <v>24788</v>
      </c>
      <c r="J19671" t="s">
        <v>5878</v>
      </c>
    </row>
    <row r="19672" spans="9:10" x14ac:dyDescent="0.3">
      <c r="I19672" t="s">
        <v>24789</v>
      </c>
      <c r="J19672" t="s">
        <v>5878</v>
      </c>
    </row>
    <row r="19673" spans="9:10" x14ac:dyDescent="0.3">
      <c r="I19673" t="s">
        <v>24790</v>
      </c>
      <c r="J19673" t="s">
        <v>5878</v>
      </c>
    </row>
    <row r="19674" spans="9:10" x14ac:dyDescent="0.3">
      <c r="I19674" t="s">
        <v>24791</v>
      </c>
      <c r="J19674" t="s">
        <v>5878</v>
      </c>
    </row>
    <row r="19675" spans="9:10" x14ac:dyDescent="0.3">
      <c r="I19675" t="s">
        <v>24792</v>
      </c>
      <c r="J19675" t="s">
        <v>5878</v>
      </c>
    </row>
    <row r="19676" spans="9:10" x14ac:dyDescent="0.3">
      <c r="I19676" t="s">
        <v>24793</v>
      </c>
      <c r="J19676" t="s">
        <v>5878</v>
      </c>
    </row>
    <row r="19677" spans="9:10" x14ac:dyDescent="0.3">
      <c r="I19677" t="s">
        <v>24794</v>
      </c>
      <c r="J19677" t="s">
        <v>5878</v>
      </c>
    </row>
    <row r="19678" spans="9:10" x14ac:dyDescent="0.3">
      <c r="I19678" t="s">
        <v>24795</v>
      </c>
      <c r="J19678" t="s">
        <v>5878</v>
      </c>
    </row>
    <row r="19679" spans="9:10" x14ac:dyDescent="0.3">
      <c r="I19679" t="s">
        <v>24796</v>
      </c>
      <c r="J19679" t="s">
        <v>5878</v>
      </c>
    </row>
    <row r="19680" spans="9:10" x14ac:dyDescent="0.3">
      <c r="I19680" t="s">
        <v>24797</v>
      </c>
      <c r="J19680" t="s">
        <v>5878</v>
      </c>
    </row>
    <row r="19681" spans="9:10" x14ac:dyDescent="0.3">
      <c r="I19681" t="s">
        <v>24798</v>
      </c>
      <c r="J19681" t="s">
        <v>5878</v>
      </c>
    </row>
    <row r="19682" spans="9:10" x14ac:dyDescent="0.3">
      <c r="I19682" t="s">
        <v>24799</v>
      </c>
      <c r="J19682" t="s">
        <v>5878</v>
      </c>
    </row>
    <row r="19683" spans="9:10" x14ac:dyDescent="0.3">
      <c r="I19683" t="s">
        <v>24800</v>
      </c>
      <c r="J19683" t="s">
        <v>5878</v>
      </c>
    </row>
    <row r="19684" spans="9:10" x14ac:dyDescent="0.3">
      <c r="I19684" t="s">
        <v>22056</v>
      </c>
      <c r="J19684" t="s">
        <v>5878</v>
      </c>
    </row>
    <row r="19685" spans="9:10" x14ac:dyDescent="0.3">
      <c r="I19685" t="s">
        <v>24801</v>
      </c>
      <c r="J19685" t="s">
        <v>5878</v>
      </c>
    </row>
    <row r="19686" spans="9:10" x14ac:dyDescent="0.3">
      <c r="I19686" t="s">
        <v>24802</v>
      </c>
      <c r="J19686" t="s">
        <v>5878</v>
      </c>
    </row>
    <row r="19687" spans="9:10" x14ac:dyDescent="0.3">
      <c r="I19687" t="s">
        <v>22056</v>
      </c>
      <c r="J19687" t="s">
        <v>5878</v>
      </c>
    </row>
    <row r="19688" spans="9:10" x14ac:dyDescent="0.3">
      <c r="I19688" t="s">
        <v>24803</v>
      </c>
      <c r="J19688" t="s">
        <v>5878</v>
      </c>
    </row>
    <row r="19689" spans="9:10" x14ac:dyDescent="0.3">
      <c r="I19689" t="s">
        <v>24804</v>
      </c>
      <c r="J19689" t="s">
        <v>5878</v>
      </c>
    </row>
    <row r="19690" spans="9:10" x14ac:dyDescent="0.3">
      <c r="I19690" t="s">
        <v>24805</v>
      </c>
      <c r="J19690" t="s">
        <v>5878</v>
      </c>
    </row>
    <row r="19691" spans="9:10" x14ac:dyDescent="0.3">
      <c r="I19691" t="s">
        <v>24806</v>
      </c>
      <c r="J19691" t="s">
        <v>5878</v>
      </c>
    </row>
    <row r="19692" spans="9:10" x14ac:dyDescent="0.3">
      <c r="I19692" t="s">
        <v>24807</v>
      </c>
      <c r="J19692" t="s">
        <v>5878</v>
      </c>
    </row>
    <row r="19693" spans="9:10" x14ac:dyDescent="0.3">
      <c r="I19693" t="s">
        <v>24808</v>
      </c>
      <c r="J19693" t="s">
        <v>5878</v>
      </c>
    </row>
    <row r="19694" spans="9:10" x14ac:dyDescent="0.3">
      <c r="I19694" t="s">
        <v>24809</v>
      </c>
      <c r="J19694" t="s">
        <v>5878</v>
      </c>
    </row>
    <row r="19695" spans="9:10" x14ac:dyDescent="0.3">
      <c r="I19695" t="s">
        <v>24810</v>
      </c>
      <c r="J19695" t="s">
        <v>5878</v>
      </c>
    </row>
    <row r="19696" spans="9:10" x14ac:dyDescent="0.3">
      <c r="I19696" t="s">
        <v>24811</v>
      </c>
      <c r="J19696" t="s">
        <v>5878</v>
      </c>
    </row>
    <row r="19697" spans="9:10" x14ac:dyDescent="0.3">
      <c r="I19697" t="s">
        <v>24812</v>
      </c>
      <c r="J19697" t="s">
        <v>5878</v>
      </c>
    </row>
    <row r="19698" spans="9:10" x14ac:dyDescent="0.3">
      <c r="I19698" t="s">
        <v>24813</v>
      </c>
      <c r="J19698" t="s">
        <v>5878</v>
      </c>
    </row>
    <row r="19699" spans="9:10" x14ac:dyDescent="0.3">
      <c r="I19699" t="s">
        <v>24814</v>
      </c>
      <c r="J19699" t="s">
        <v>5878</v>
      </c>
    </row>
    <row r="19700" spans="9:10" x14ac:dyDescent="0.3">
      <c r="I19700" t="s">
        <v>24815</v>
      </c>
      <c r="J19700" t="s">
        <v>5878</v>
      </c>
    </row>
    <row r="19701" spans="9:10" x14ac:dyDescent="0.3">
      <c r="I19701" t="s">
        <v>24816</v>
      </c>
      <c r="J19701" t="s">
        <v>5878</v>
      </c>
    </row>
    <row r="19702" spans="9:10" x14ac:dyDescent="0.3">
      <c r="I19702" t="s">
        <v>24817</v>
      </c>
      <c r="J19702" t="s">
        <v>5878</v>
      </c>
    </row>
    <row r="19703" spans="9:10" x14ac:dyDescent="0.3">
      <c r="I19703" t="s">
        <v>24818</v>
      </c>
      <c r="J19703" t="s">
        <v>5878</v>
      </c>
    </row>
    <row r="19704" spans="9:10" x14ac:dyDescent="0.3">
      <c r="I19704" t="s">
        <v>24819</v>
      </c>
      <c r="J19704" t="s">
        <v>5878</v>
      </c>
    </row>
    <row r="19705" spans="9:10" x14ac:dyDescent="0.3">
      <c r="I19705" t="s">
        <v>24820</v>
      </c>
      <c r="J19705" t="s">
        <v>5878</v>
      </c>
    </row>
    <row r="19706" spans="9:10" x14ac:dyDescent="0.3">
      <c r="I19706" t="s">
        <v>24821</v>
      </c>
      <c r="J19706" t="s">
        <v>5878</v>
      </c>
    </row>
    <row r="19707" spans="9:10" x14ac:dyDescent="0.3">
      <c r="I19707" t="s">
        <v>24822</v>
      </c>
      <c r="J19707" t="s">
        <v>5878</v>
      </c>
    </row>
    <row r="19708" spans="9:10" x14ac:dyDescent="0.3">
      <c r="I19708" t="s">
        <v>24823</v>
      </c>
      <c r="J19708" t="s">
        <v>5878</v>
      </c>
    </row>
    <row r="19709" spans="9:10" x14ac:dyDescent="0.3">
      <c r="I19709" t="s">
        <v>24824</v>
      </c>
      <c r="J19709" t="s">
        <v>5878</v>
      </c>
    </row>
    <row r="19710" spans="9:10" x14ac:dyDescent="0.3">
      <c r="I19710" t="s">
        <v>24825</v>
      </c>
      <c r="J19710" t="s">
        <v>5878</v>
      </c>
    </row>
    <row r="19711" spans="9:10" x14ac:dyDescent="0.3">
      <c r="I19711" t="s">
        <v>24826</v>
      </c>
      <c r="J19711" t="s">
        <v>5878</v>
      </c>
    </row>
    <row r="19712" spans="9:10" x14ac:dyDescent="0.3">
      <c r="I19712" t="s">
        <v>24827</v>
      </c>
      <c r="J19712" t="s">
        <v>5878</v>
      </c>
    </row>
    <row r="19713" spans="9:10" x14ac:dyDescent="0.3">
      <c r="I19713" t="s">
        <v>24828</v>
      </c>
      <c r="J19713" t="s">
        <v>5878</v>
      </c>
    </row>
    <row r="19714" spans="9:10" x14ac:dyDescent="0.3">
      <c r="I19714" t="s">
        <v>24829</v>
      </c>
      <c r="J19714" t="s">
        <v>5878</v>
      </c>
    </row>
    <row r="19715" spans="9:10" x14ac:dyDescent="0.3">
      <c r="I19715" t="s">
        <v>24830</v>
      </c>
      <c r="J19715" t="s">
        <v>5878</v>
      </c>
    </row>
    <row r="19716" spans="9:10" x14ac:dyDescent="0.3">
      <c r="I19716" t="s">
        <v>24831</v>
      </c>
      <c r="J19716" t="s">
        <v>5878</v>
      </c>
    </row>
    <row r="19717" spans="9:10" x14ac:dyDescent="0.3">
      <c r="I19717" t="s">
        <v>24832</v>
      </c>
      <c r="J19717" t="s">
        <v>5878</v>
      </c>
    </row>
    <row r="19718" spans="9:10" x14ac:dyDescent="0.3">
      <c r="I19718" t="s">
        <v>24833</v>
      </c>
      <c r="J19718" t="s">
        <v>5878</v>
      </c>
    </row>
    <row r="19719" spans="9:10" x14ac:dyDescent="0.3">
      <c r="I19719" t="s">
        <v>24834</v>
      </c>
      <c r="J19719" t="s">
        <v>5878</v>
      </c>
    </row>
    <row r="19720" spans="9:10" x14ac:dyDescent="0.3">
      <c r="I19720" t="s">
        <v>24835</v>
      </c>
      <c r="J19720" t="s">
        <v>5878</v>
      </c>
    </row>
    <row r="19721" spans="9:10" x14ac:dyDescent="0.3">
      <c r="I19721" t="s">
        <v>24836</v>
      </c>
      <c r="J19721" t="s">
        <v>5878</v>
      </c>
    </row>
    <row r="19722" spans="9:10" x14ac:dyDescent="0.3">
      <c r="I19722" t="s">
        <v>24837</v>
      </c>
      <c r="J19722" t="s">
        <v>5878</v>
      </c>
    </row>
    <row r="19723" spans="9:10" x14ac:dyDescent="0.3">
      <c r="I19723" t="s">
        <v>24838</v>
      </c>
      <c r="J19723" t="s">
        <v>5878</v>
      </c>
    </row>
    <row r="19724" spans="9:10" x14ac:dyDescent="0.3">
      <c r="I19724" t="s">
        <v>24839</v>
      </c>
      <c r="J19724" t="s">
        <v>5878</v>
      </c>
    </row>
    <row r="19725" spans="9:10" x14ac:dyDescent="0.3">
      <c r="I19725" t="s">
        <v>24840</v>
      </c>
      <c r="J19725" t="s">
        <v>5878</v>
      </c>
    </row>
    <row r="19726" spans="9:10" x14ac:dyDescent="0.3">
      <c r="I19726" t="s">
        <v>24841</v>
      </c>
      <c r="J19726" t="s">
        <v>5878</v>
      </c>
    </row>
    <row r="19727" spans="9:10" x14ac:dyDescent="0.3">
      <c r="I19727" t="s">
        <v>24842</v>
      </c>
      <c r="J19727" t="s">
        <v>5878</v>
      </c>
    </row>
    <row r="19728" spans="9:10" x14ac:dyDescent="0.3">
      <c r="I19728" t="s">
        <v>24843</v>
      </c>
      <c r="J19728" t="s">
        <v>5878</v>
      </c>
    </row>
    <row r="19729" spans="9:10" x14ac:dyDescent="0.3">
      <c r="I19729" t="s">
        <v>24844</v>
      </c>
      <c r="J19729" t="s">
        <v>5878</v>
      </c>
    </row>
    <row r="19730" spans="9:10" x14ac:dyDescent="0.3">
      <c r="I19730" t="s">
        <v>24845</v>
      </c>
      <c r="J19730" t="s">
        <v>5878</v>
      </c>
    </row>
    <row r="19731" spans="9:10" x14ac:dyDescent="0.3">
      <c r="I19731" t="s">
        <v>24846</v>
      </c>
      <c r="J19731" t="s">
        <v>5878</v>
      </c>
    </row>
    <row r="19732" spans="9:10" x14ac:dyDescent="0.3">
      <c r="I19732" t="s">
        <v>24847</v>
      </c>
      <c r="J19732" t="s">
        <v>5878</v>
      </c>
    </row>
    <row r="19733" spans="9:10" x14ac:dyDescent="0.3">
      <c r="I19733" t="s">
        <v>24848</v>
      </c>
      <c r="J19733" t="s">
        <v>5878</v>
      </c>
    </row>
    <row r="19734" spans="9:10" x14ac:dyDescent="0.3">
      <c r="I19734" t="s">
        <v>24849</v>
      </c>
      <c r="J19734" t="s">
        <v>5878</v>
      </c>
    </row>
    <row r="19735" spans="9:10" x14ac:dyDescent="0.3">
      <c r="I19735" t="s">
        <v>24850</v>
      </c>
      <c r="J19735" t="s">
        <v>5878</v>
      </c>
    </row>
    <row r="19736" spans="9:10" x14ac:dyDescent="0.3">
      <c r="I19736" t="s">
        <v>24851</v>
      </c>
      <c r="J19736" t="s">
        <v>5878</v>
      </c>
    </row>
    <row r="19737" spans="9:10" x14ac:dyDescent="0.3">
      <c r="I19737" t="s">
        <v>24852</v>
      </c>
      <c r="J19737" t="s">
        <v>5878</v>
      </c>
    </row>
    <row r="19738" spans="9:10" x14ac:dyDescent="0.3">
      <c r="I19738" t="s">
        <v>24853</v>
      </c>
      <c r="J19738" t="s">
        <v>5878</v>
      </c>
    </row>
    <row r="19739" spans="9:10" x14ac:dyDescent="0.3">
      <c r="I19739" t="s">
        <v>24854</v>
      </c>
      <c r="J19739" t="s">
        <v>5878</v>
      </c>
    </row>
    <row r="19740" spans="9:10" x14ac:dyDescent="0.3">
      <c r="I19740" t="s">
        <v>24855</v>
      </c>
      <c r="J19740" t="s">
        <v>5878</v>
      </c>
    </row>
    <row r="19741" spans="9:10" x14ac:dyDescent="0.3">
      <c r="I19741" t="s">
        <v>24856</v>
      </c>
      <c r="J19741" t="s">
        <v>5878</v>
      </c>
    </row>
    <row r="19742" spans="9:10" x14ac:dyDescent="0.3">
      <c r="I19742" t="s">
        <v>24857</v>
      </c>
      <c r="J19742" t="s">
        <v>5878</v>
      </c>
    </row>
    <row r="19743" spans="9:10" x14ac:dyDescent="0.3">
      <c r="I19743" t="s">
        <v>24858</v>
      </c>
      <c r="J19743" t="s">
        <v>5878</v>
      </c>
    </row>
    <row r="19744" spans="9:10" x14ac:dyDescent="0.3">
      <c r="I19744" t="s">
        <v>24859</v>
      </c>
      <c r="J19744" t="s">
        <v>5878</v>
      </c>
    </row>
    <row r="19745" spans="9:10" x14ac:dyDescent="0.3">
      <c r="I19745" t="s">
        <v>24860</v>
      </c>
      <c r="J19745" t="s">
        <v>5878</v>
      </c>
    </row>
    <row r="19746" spans="9:10" x14ac:dyDescent="0.3">
      <c r="I19746" t="s">
        <v>24861</v>
      </c>
      <c r="J19746" t="s">
        <v>5878</v>
      </c>
    </row>
    <row r="19747" spans="9:10" x14ac:dyDescent="0.3">
      <c r="I19747" t="s">
        <v>24862</v>
      </c>
      <c r="J19747" t="s">
        <v>5878</v>
      </c>
    </row>
    <row r="19748" spans="9:10" x14ac:dyDescent="0.3">
      <c r="I19748" t="s">
        <v>24863</v>
      </c>
      <c r="J19748" t="s">
        <v>5878</v>
      </c>
    </row>
    <row r="19749" spans="9:10" x14ac:dyDescent="0.3">
      <c r="I19749" t="s">
        <v>24864</v>
      </c>
      <c r="J19749" t="s">
        <v>5878</v>
      </c>
    </row>
    <row r="19750" spans="9:10" x14ac:dyDescent="0.3">
      <c r="I19750" t="s">
        <v>24865</v>
      </c>
      <c r="J19750" t="s">
        <v>5878</v>
      </c>
    </row>
    <row r="19751" spans="9:10" x14ac:dyDescent="0.3">
      <c r="I19751" t="s">
        <v>24866</v>
      </c>
      <c r="J19751" t="s">
        <v>5878</v>
      </c>
    </row>
    <row r="19752" spans="9:10" x14ac:dyDescent="0.3">
      <c r="I19752" t="s">
        <v>24867</v>
      </c>
      <c r="J19752" t="s">
        <v>5878</v>
      </c>
    </row>
    <row r="19753" spans="9:10" x14ac:dyDescent="0.3">
      <c r="I19753" t="s">
        <v>24868</v>
      </c>
      <c r="J19753" t="s">
        <v>5878</v>
      </c>
    </row>
    <row r="19754" spans="9:10" x14ac:dyDescent="0.3">
      <c r="I19754" t="s">
        <v>24869</v>
      </c>
      <c r="J19754" t="s">
        <v>5878</v>
      </c>
    </row>
    <row r="19755" spans="9:10" x14ac:dyDescent="0.3">
      <c r="I19755" t="s">
        <v>24870</v>
      </c>
      <c r="J19755" t="s">
        <v>5878</v>
      </c>
    </row>
    <row r="19756" spans="9:10" x14ac:dyDescent="0.3">
      <c r="I19756" t="s">
        <v>23090</v>
      </c>
      <c r="J19756" t="s">
        <v>5878</v>
      </c>
    </row>
    <row r="19757" spans="9:10" x14ac:dyDescent="0.3">
      <c r="I19757" t="s">
        <v>24871</v>
      </c>
      <c r="J19757" t="s">
        <v>5878</v>
      </c>
    </row>
    <row r="19758" spans="9:10" x14ac:dyDescent="0.3">
      <c r="I19758" t="s">
        <v>24872</v>
      </c>
      <c r="J19758" t="s">
        <v>5878</v>
      </c>
    </row>
    <row r="19759" spans="9:10" x14ac:dyDescent="0.3">
      <c r="I19759" t="s">
        <v>24873</v>
      </c>
      <c r="J19759" t="s">
        <v>5878</v>
      </c>
    </row>
    <row r="19760" spans="9:10" x14ac:dyDescent="0.3">
      <c r="I19760" t="s">
        <v>24874</v>
      </c>
      <c r="J19760" t="s">
        <v>5878</v>
      </c>
    </row>
    <row r="19761" spans="9:10" x14ac:dyDescent="0.3">
      <c r="I19761" t="s">
        <v>24875</v>
      </c>
      <c r="J19761" t="s">
        <v>5878</v>
      </c>
    </row>
    <row r="19762" spans="9:10" x14ac:dyDescent="0.3">
      <c r="I19762" t="s">
        <v>24876</v>
      </c>
      <c r="J19762" t="s">
        <v>5878</v>
      </c>
    </row>
    <row r="19763" spans="9:10" x14ac:dyDescent="0.3">
      <c r="I19763" t="s">
        <v>24877</v>
      </c>
      <c r="J19763" t="s">
        <v>5878</v>
      </c>
    </row>
    <row r="19764" spans="9:10" x14ac:dyDescent="0.3">
      <c r="I19764" t="s">
        <v>24878</v>
      </c>
      <c r="J19764" t="s">
        <v>5878</v>
      </c>
    </row>
    <row r="19765" spans="9:10" x14ac:dyDescent="0.3">
      <c r="I19765" t="s">
        <v>24879</v>
      </c>
      <c r="J19765" t="s">
        <v>5878</v>
      </c>
    </row>
    <row r="19766" spans="9:10" x14ac:dyDescent="0.3">
      <c r="I19766" t="s">
        <v>24880</v>
      </c>
      <c r="J19766" t="s">
        <v>5878</v>
      </c>
    </row>
    <row r="19767" spans="9:10" x14ac:dyDescent="0.3">
      <c r="I19767" t="s">
        <v>24881</v>
      </c>
      <c r="J19767" t="s">
        <v>5878</v>
      </c>
    </row>
    <row r="19768" spans="9:10" x14ac:dyDescent="0.3">
      <c r="I19768" t="s">
        <v>24882</v>
      </c>
      <c r="J19768" t="s">
        <v>5878</v>
      </c>
    </row>
    <row r="19769" spans="9:10" x14ac:dyDescent="0.3">
      <c r="I19769" t="s">
        <v>24883</v>
      </c>
      <c r="J19769" t="s">
        <v>5878</v>
      </c>
    </row>
    <row r="19770" spans="9:10" x14ac:dyDescent="0.3">
      <c r="I19770" t="s">
        <v>24884</v>
      </c>
      <c r="J19770" t="s">
        <v>5878</v>
      </c>
    </row>
    <row r="19771" spans="9:10" x14ac:dyDescent="0.3">
      <c r="I19771" t="s">
        <v>23090</v>
      </c>
      <c r="J19771" t="s">
        <v>5878</v>
      </c>
    </row>
    <row r="19772" spans="9:10" x14ac:dyDescent="0.3">
      <c r="I19772" t="s">
        <v>22056</v>
      </c>
      <c r="J19772" t="s">
        <v>5878</v>
      </c>
    </row>
    <row r="19773" spans="9:10" x14ac:dyDescent="0.3">
      <c r="I19773" t="s">
        <v>24885</v>
      </c>
      <c r="J19773" t="s">
        <v>5878</v>
      </c>
    </row>
    <row r="19774" spans="9:10" x14ac:dyDescent="0.3">
      <c r="I19774" t="s">
        <v>24886</v>
      </c>
      <c r="J19774" t="s">
        <v>5878</v>
      </c>
    </row>
    <row r="19775" spans="9:10" x14ac:dyDescent="0.3">
      <c r="I19775" t="s">
        <v>24887</v>
      </c>
      <c r="J19775" t="s">
        <v>5878</v>
      </c>
    </row>
    <row r="19776" spans="9:10" x14ac:dyDescent="0.3">
      <c r="I19776" t="s">
        <v>24888</v>
      </c>
      <c r="J19776" t="s">
        <v>5878</v>
      </c>
    </row>
    <row r="19777" spans="9:10" x14ac:dyDescent="0.3">
      <c r="I19777" t="s">
        <v>24889</v>
      </c>
      <c r="J19777" t="s">
        <v>5878</v>
      </c>
    </row>
    <row r="19778" spans="9:10" x14ac:dyDescent="0.3">
      <c r="I19778" t="s">
        <v>24890</v>
      </c>
      <c r="J19778" t="s">
        <v>5878</v>
      </c>
    </row>
    <row r="19779" spans="9:10" x14ac:dyDescent="0.3">
      <c r="I19779" t="s">
        <v>24891</v>
      </c>
      <c r="J19779" t="s">
        <v>5878</v>
      </c>
    </row>
    <row r="19780" spans="9:10" x14ac:dyDescent="0.3">
      <c r="I19780" t="s">
        <v>24892</v>
      </c>
      <c r="J19780" t="s">
        <v>5878</v>
      </c>
    </row>
    <row r="19781" spans="9:10" x14ac:dyDescent="0.3">
      <c r="I19781" t="s">
        <v>24893</v>
      </c>
      <c r="J19781" t="s">
        <v>5878</v>
      </c>
    </row>
    <row r="19782" spans="9:10" x14ac:dyDescent="0.3">
      <c r="I19782" t="s">
        <v>24894</v>
      </c>
      <c r="J19782" t="s">
        <v>5878</v>
      </c>
    </row>
    <row r="19783" spans="9:10" x14ac:dyDescent="0.3">
      <c r="I19783" t="s">
        <v>24895</v>
      </c>
      <c r="J19783" t="s">
        <v>5878</v>
      </c>
    </row>
    <row r="19784" spans="9:10" x14ac:dyDescent="0.3">
      <c r="I19784" t="s">
        <v>24896</v>
      </c>
      <c r="J19784" t="s">
        <v>5878</v>
      </c>
    </row>
    <row r="19785" spans="9:10" x14ac:dyDescent="0.3">
      <c r="I19785" t="s">
        <v>24897</v>
      </c>
      <c r="J19785" t="s">
        <v>5878</v>
      </c>
    </row>
    <row r="19786" spans="9:10" x14ac:dyDescent="0.3">
      <c r="I19786" t="s">
        <v>24898</v>
      </c>
      <c r="J19786" t="s">
        <v>5878</v>
      </c>
    </row>
    <row r="19787" spans="9:10" x14ac:dyDescent="0.3">
      <c r="I19787" t="s">
        <v>24899</v>
      </c>
      <c r="J19787" t="s">
        <v>5878</v>
      </c>
    </row>
    <row r="19788" spans="9:10" x14ac:dyDescent="0.3">
      <c r="I19788" t="s">
        <v>22056</v>
      </c>
      <c r="J19788" t="s">
        <v>5878</v>
      </c>
    </row>
    <row r="19789" spans="9:10" x14ac:dyDescent="0.3">
      <c r="I19789" t="s">
        <v>24900</v>
      </c>
      <c r="J19789" t="s">
        <v>5878</v>
      </c>
    </row>
    <row r="19790" spans="9:10" x14ac:dyDescent="0.3">
      <c r="I19790" t="s">
        <v>24901</v>
      </c>
      <c r="J19790" t="s">
        <v>5878</v>
      </c>
    </row>
    <row r="19791" spans="9:10" x14ac:dyDescent="0.3">
      <c r="I19791" t="s">
        <v>23747</v>
      </c>
      <c r="J19791" t="s">
        <v>5878</v>
      </c>
    </row>
    <row r="19792" spans="9:10" x14ac:dyDescent="0.3">
      <c r="I19792" t="s">
        <v>11924</v>
      </c>
      <c r="J19792" t="s">
        <v>5878</v>
      </c>
    </row>
    <row r="19793" spans="9:10" x14ac:dyDescent="0.3">
      <c r="I19793" t="s">
        <v>24902</v>
      </c>
      <c r="J19793" t="s">
        <v>5878</v>
      </c>
    </row>
    <row r="19794" spans="9:10" x14ac:dyDescent="0.3">
      <c r="I19794" t="s">
        <v>24903</v>
      </c>
      <c r="J19794" t="s">
        <v>5878</v>
      </c>
    </row>
    <row r="19795" spans="9:10" x14ac:dyDescent="0.3">
      <c r="I19795" t="s">
        <v>24904</v>
      </c>
      <c r="J19795" t="s">
        <v>5878</v>
      </c>
    </row>
    <row r="19796" spans="9:10" x14ac:dyDescent="0.3">
      <c r="I19796" t="s">
        <v>24905</v>
      </c>
      <c r="J19796" t="s">
        <v>5878</v>
      </c>
    </row>
    <row r="19797" spans="9:10" x14ac:dyDescent="0.3">
      <c r="I19797" t="s">
        <v>24906</v>
      </c>
      <c r="J19797" t="s">
        <v>5878</v>
      </c>
    </row>
    <row r="19798" spans="9:10" x14ac:dyDescent="0.3">
      <c r="I19798" t="s">
        <v>24907</v>
      </c>
      <c r="J19798" t="s">
        <v>5878</v>
      </c>
    </row>
    <row r="19799" spans="9:10" x14ac:dyDescent="0.3">
      <c r="I19799" t="s">
        <v>24908</v>
      </c>
      <c r="J19799" t="s">
        <v>5878</v>
      </c>
    </row>
    <row r="19800" spans="9:10" x14ac:dyDescent="0.3">
      <c r="I19800" t="s">
        <v>24909</v>
      </c>
      <c r="J19800" t="s">
        <v>5878</v>
      </c>
    </row>
    <row r="19801" spans="9:10" x14ac:dyDescent="0.3">
      <c r="I19801" t="s">
        <v>24910</v>
      </c>
      <c r="J19801" t="s">
        <v>5878</v>
      </c>
    </row>
    <row r="19802" spans="9:10" x14ac:dyDescent="0.3">
      <c r="I19802" t="s">
        <v>24911</v>
      </c>
      <c r="J19802" t="s">
        <v>5878</v>
      </c>
    </row>
    <row r="19803" spans="9:10" x14ac:dyDescent="0.3">
      <c r="I19803" t="s">
        <v>24912</v>
      </c>
      <c r="J19803" t="s">
        <v>5878</v>
      </c>
    </row>
    <row r="19804" spans="9:10" x14ac:dyDescent="0.3">
      <c r="I19804" t="s">
        <v>23111</v>
      </c>
      <c r="J19804" t="s">
        <v>5878</v>
      </c>
    </row>
    <row r="19805" spans="9:10" x14ac:dyDescent="0.3">
      <c r="I19805" t="s">
        <v>24913</v>
      </c>
      <c r="J19805" t="s">
        <v>5878</v>
      </c>
    </row>
    <row r="19806" spans="9:10" x14ac:dyDescent="0.3">
      <c r="I19806" t="s">
        <v>24914</v>
      </c>
      <c r="J19806" t="s">
        <v>5878</v>
      </c>
    </row>
    <row r="19807" spans="9:10" x14ac:dyDescent="0.3">
      <c r="I19807" t="s">
        <v>24915</v>
      </c>
      <c r="J19807" t="s">
        <v>5878</v>
      </c>
    </row>
    <row r="19808" spans="9:10" x14ac:dyDescent="0.3">
      <c r="I19808" t="s">
        <v>24916</v>
      </c>
      <c r="J19808" t="s">
        <v>5878</v>
      </c>
    </row>
    <row r="19809" spans="9:10" x14ac:dyDescent="0.3">
      <c r="I19809" t="s">
        <v>24917</v>
      </c>
      <c r="J19809" t="s">
        <v>5878</v>
      </c>
    </row>
    <row r="19810" spans="9:10" x14ac:dyDescent="0.3">
      <c r="I19810" t="s">
        <v>24918</v>
      </c>
      <c r="J19810" t="s">
        <v>5878</v>
      </c>
    </row>
    <row r="19811" spans="9:10" x14ac:dyDescent="0.3">
      <c r="I19811" t="s">
        <v>24919</v>
      </c>
      <c r="J19811" t="s">
        <v>5878</v>
      </c>
    </row>
    <row r="19812" spans="9:10" x14ac:dyDescent="0.3">
      <c r="I19812" t="s">
        <v>24920</v>
      </c>
      <c r="J19812" t="s">
        <v>5878</v>
      </c>
    </row>
    <row r="19813" spans="9:10" x14ac:dyDescent="0.3">
      <c r="I19813" t="s">
        <v>23197</v>
      </c>
      <c r="J19813" t="s">
        <v>5878</v>
      </c>
    </row>
    <row r="19814" spans="9:10" x14ac:dyDescent="0.3">
      <c r="I19814" t="s">
        <v>22056</v>
      </c>
      <c r="J19814" t="s">
        <v>5878</v>
      </c>
    </row>
    <row r="19815" spans="9:10" x14ac:dyDescent="0.3">
      <c r="I19815" t="s">
        <v>24921</v>
      </c>
      <c r="J19815" t="s">
        <v>5878</v>
      </c>
    </row>
    <row r="19816" spans="9:10" x14ac:dyDescent="0.3">
      <c r="I19816" t="s">
        <v>24922</v>
      </c>
      <c r="J19816" t="s">
        <v>5878</v>
      </c>
    </row>
    <row r="19817" spans="9:10" x14ac:dyDescent="0.3">
      <c r="I19817" t="s">
        <v>24923</v>
      </c>
      <c r="J19817" t="s">
        <v>5878</v>
      </c>
    </row>
    <row r="19818" spans="9:10" x14ac:dyDescent="0.3">
      <c r="I19818" t="s">
        <v>24924</v>
      </c>
      <c r="J19818" t="s">
        <v>5878</v>
      </c>
    </row>
    <row r="19819" spans="9:10" x14ac:dyDescent="0.3">
      <c r="I19819" t="s">
        <v>24925</v>
      </c>
      <c r="J19819" t="s">
        <v>5878</v>
      </c>
    </row>
    <row r="19820" spans="9:10" x14ac:dyDescent="0.3">
      <c r="I19820" t="s">
        <v>24926</v>
      </c>
      <c r="J19820" t="s">
        <v>5878</v>
      </c>
    </row>
    <row r="19821" spans="9:10" x14ac:dyDescent="0.3">
      <c r="I19821" t="s">
        <v>24927</v>
      </c>
      <c r="J19821" t="s">
        <v>5878</v>
      </c>
    </row>
    <row r="19822" spans="9:10" x14ac:dyDescent="0.3">
      <c r="I19822" t="s">
        <v>24928</v>
      </c>
      <c r="J19822" t="s">
        <v>5878</v>
      </c>
    </row>
    <row r="19823" spans="9:10" x14ac:dyDescent="0.3">
      <c r="I19823" t="s">
        <v>24929</v>
      </c>
      <c r="J19823" t="s">
        <v>5878</v>
      </c>
    </row>
    <row r="19824" spans="9:10" x14ac:dyDescent="0.3">
      <c r="I19824" t="s">
        <v>24930</v>
      </c>
      <c r="J19824" t="s">
        <v>5878</v>
      </c>
    </row>
    <row r="19825" spans="9:10" x14ac:dyDescent="0.3">
      <c r="I19825" t="s">
        <v>24931</v>
      </c>
      <c r="J19825" t="s">
        <v>5878</v>
      </c>
    </row>
    <row r="19826" spans="9:10" x14ac:dyDescent="0.3">
      <c r="I19826" t="s">
        <v>24932</v>
      </c>
      <c r="J19826" t="s">
        <v>5878</v>
      </c>
    </row>
    <row r="19827" spans="9:10" x14ac:dyDescent="0.3">
      <c r="I19827" t="s">
        <v>24764</v>
      </c>
      <c r="J19827" t="s">
        <v>5878</v>
      </c>
    </row>
    <row r="19828" spans="9:10" x14ac:dyDescent="0.3">
      <c r="I19828" t="s">
        <v>24933</v>
      </c>
      <c r="J19828" t="s">
        <v>5878</v>
      </c>
    </row>
    <row r="19829" spans="9:10" x14ac:dyDescent="0.3">
      <c r="I19829" t="s">
        <v>24934</v>
      </c>
      <c r="J19829" t="s">
        <v>5878</v>
      </c>
    </row>
    <row r="19830" spans="9:10" x14ac:dyDescent="0.3">
      <c r="I19830" t="s">
        <v>24935</v>
      </c>
      <c r="J19830" t="s">
        <v>5878</v>
      </c>
    </row>
    <row r="19831" spans="9:10" x14ac:dyDescent="0.3">
      <c r="I19831" t="s">
        <v>24936</v>
      </c>
      <c r="J19831" t="s">
        <v>5878</v>
      </c>
    </row>
    <row r="19832" spans="9:10" x14ac:dyDescent="0.3">
      <c r="I19832" t="s">
        <v>24937</v>
      </c>
      <c r="J19832" t="s">
        <v>5878</v>
      </c>
    </row>
    <row r="19833" spans="9:10" x14ac:dyDescent="0.3">
      <c r="I19833" t="s">
        <v>24938</v>
      </c>
      <c r="J19833" t="s">
        <v>5878</v>
      </c>
    </row>
    <row r="19834" spans="9:10" x14ac:dyDescent="0.3">
      <c r="I19834" t="s">
        <v>24939</v>
      </c>
      <c r="J19834" t="s">
        <v>5878</v>
      </c>
    </row>
    <row r="19835" spans="9:10" x14ac:dyDescent="0.3">
      <c r="I19835" t="s">
        <v>24940</v>
      </c>
      <c r="J19835" t="s">
        <v>5878</v>
      </c>
    </row>
    <row r="19836" spans="9:10" x14ac:dyDescent="0.3">
      <c r="I19836" t="s">
        <v>24941</v>
      </c>
      <c r="J19836" t="s">
        <v>5878</v>
      </c>
    </row>
    <row r="19837" spans="9:10" x14ac:dyDescent="0.3">
      <c r="I19837" t="s">
        <v>24942</v>
      </c>
      <c r="J19837" t="s">
        <v>5878</v>
      </c>
    </row>
    <row r="19838" spans="9:10" x14ac:dyDescent="0.3">
      <c r="I19838" t="s">
        <v>24943</v>
      </c>
      <c r="J19838" t="s">
        <v>5878</v>
      </c>
    </row>
    <row r="19839" spans="9:10" x14ac:dyDescent="0.3">
      <c r="I19839" t="s">
        <v>24944</v>
      </c>
      <c r="J19839" t="s">
        <v>5878</v>
      </c>
    </row>
    <row r="19840" spans="9:10" x14ac:dyDescent="0.3">
      <c r="I19840" t="s">
        <v>24945</v>
      </c>
      <c r="J19840" t="s">
        <v>5878</v>
      </c>
    </row>
    <row r="19841" spans="9:10" x14ac:dyDescent="0.3">
      <c r="I19841" t="s">
        <v>24946</v>
      </c>
      <c r="J19841" t="s">
        <v>5878</v>
      </c>
    </row>
    <row r="19842" spans="9:10" x14ac:dyDescent="0.3">
      <c r="I19842" t="s">
        <v>24947</v>
      </c>
      <c r="J19842" t="s">
        <v>5878</v>
      </c>
    </row>
    <row r="19843" spans="9:10" x14ac:dyDescent="0.3">
      <c r="I19843" t="s">
        <v>24948</v>
      </c>
      <c r="J19843" t="s">
        <v>5878</v>
      </c>
    </row>
    <row r="19844" spans="9:10" x14ac:dyDescent="0.3">
      <c r="I19844" t="s">
        <v>24949</v>
      </c>
      <c r="J19844" t="s">
        <v>5878</v>
      </c>
    </row>
    <row r="19845" spans="9:10" x14ac:dyDescent="0.3">
      <c r="I19845" t="s">
        <v>24950</v>
      </c>
      <c r="J19845" t="s">
        <v>5878</v>
      </c>
    </row>
    <row r="19846" spans="9:10" x14ac:dyDescent="0.3">
      <c r="I19846" t="s">
        <v>24951</v>
      </c>
      <c r="J19846" t="s">
        <v>5878</v>
      </c>
    </row>
    <row r="19847" spans="9:10" x14ac:dyDescent="0.3">
      <c r="I19847" t="s">
        <v>24952</v>
      </c>
      <c r="J19847" t="s">
        <v>5878</v>
      </c>
    </row>
    <row r="19848" spans="9:10" x14ac:dyDescent="0.3">
      <c r="I19848" t="s">
        <v>24953</v>
      </c>
      <c r="J19848" t="s">
        <v>5878</v>
      </c>
    </row>
    <row r="19849" spans="9:10" x14ac:dyDescent="0.3">
      <c r="I19849" t="s">
        <v>24954</v>
      </c>
      <c r="J19849" t="s">
        <v>5878</v>
      </c>
    </row>
    <row r="19850" spans="9:10" x14ac:dyDescent="0.3">
      <c r="I19850" t="s">
        <v>24955</v>
      </c>
      <c r="J19850" t="s">
        <v>5878</v>
      </c>
    </row>
    <row r="19851" spans="9:10" x14ac:dyDescent="0.3">
      <c r="I19851" t="s">
        <v>24956</v>
      </c>
      <c r="J19851" t="s">
        <v>5878</v>
      </c>
    </row>
    <row r="19852" spans="9:10" x14ac:dyDescent="0.3">
      <c r="I19852" t="s">
        <v>24957</v>
      </c>
      <c r="J19852" t="s">
        <v>5878</v>
      </c>
    </row>
    <row r="19853" spans="9:10" x14ac:dyDescent="0.3">
      <c r="I19853" t="s">
        <v>24958</v>
      </c>
      <c r="J19853" t="s">
        <v>5878</v>
      </c>
    </row>
    <row r="19854" spans="9:10" x14ac:dyDescent="0.3">
      <c r="I19854" t="s">
        <v>24959</v>
      </c>
      <c r="J19854" t="s">
        <v>5878</v>
      </c>
    </row>
    <row r="19855" spans="9:10" x14ac:dyDescent="0.3">
      <c r="I19855" t="s">
        <v>24960</v>
      </c>
      <c r="J19855" t="s">
        <v>5878</v>
      </c>
    </row>
    <row r="19856" spans="9:10" x14ac:dyDescent="0.3">
      <c r="I19856" t="s">
        <v>24961</v>
      </c>
      <c r="J19856" t="s">
        <v>5878</v>
      </c>
    </row>
    <row r="19857" spans="9:10" x14ac:dyDescent="0.3">
      <c r="I19857" t="s">
        <v>24962</v>
      </c>
      <c r="J19857" t="s">
        <v>5878</v>
      </c>
    </row>
    <row r="19858" spans="9:10" x14ac:dyDescent="0.3">
      <c r="I19858" t="s">
        <v>24963</v>
      </c>
      <c r="J19858" t="s">
        <v>5878</v>
      </c>
    </row>
    <row r="19859" spans="9:10" x14ac:dyDescent="0.3">
      <c r="I19859" t="s">
        <v>24964</v>
      </c>
      <c r="J19859" t="s">
        <v>5878</v>
      </c>
    </row>
    <row r="19860" spans="9:10" x14ac:dyDescent="0.3">
      <c r="I19860" t="s">
        <v>24965</v>
      </c>
      <c r="J19860" t="s">
        <v>5878</v>
      </c>
    </row>
    <row r="19861" spans="9:10" x14ac:dyDescent="0.3">
      <c r="I19861" t="s">
        <v>24966</v>
      </c>
      <c r="J19861" t="s">
        <v>5878</v>
      </c>
    </row>
    <row r="19862" spans="9:10" x14ac:dyDescent="0.3">
      <c r="I19862" t="s">
        <v>24967</v>
      </c>
      <c r="J19862" t="s">
        <v>5878</v>
      </c>
    </row>
    <row r="19863" spans="9:10" x14ac:dyDescent="0.3">
      <c r="I19863" t="s">
        <v>24968</v>
      </c>
      <c r="J19863" t="s">
        <v>5878</v>
      </c>
    </row>
    <row r="19864" spans="9:10" x14ac:dyDescent="0.3">
      <c r="I19864" t="s">
        <v>24969</v>
      </c>
      <c r="J19864" t="s">
        <v>5878</v>
      </c>
    </row>
    <row r="19865" spans="9:10" x14ac:dyDescent="0.3">
      <c r="I19865" t="s">
        <v>24970</v>
      </c>
      <c r="J19865" t="s">
        <v>5878</v>
      </c>
    </row>
    <row r="19866" spans="9:10" x14ac:dyDescent="0.3">
      <c r="I19866" t="s">
        <v>24971</v>
      </c>
      <c r="J19866" t="s">
        <v>5878</v>
      </c>
    </row>
    <row r="19867" spans="9:10" x14ac:dyDescent="0.3">
      <c r="I19867" t="s">
        <v>24972</v>
      </c>
      <c r="J19867" t="s">
        <v>5878</v>
      </c>
    </row>
    <row r="19868" spans="9:10" x14ac:dyDescent="0.3">
      <c r="I19868" t="s">
        <v>24973</v>
      </c>
      <c r="J19868" t="s">
        <v>5878</v>
      </c>
    </row>
    <row r="19869" spans="9:10" x14ac:dyDescent="0.3">
      <c r="I19869" t="s">
        <v>24974</v>
      </c>
      <c r="J19869" t="s">
        <v>5878</v>
      </c>
    </row>
    <row r="19870" spans="9:10" x14ac:dyDescent="0.3">
      <c r="I19870" t="s">
        <v>24975</v>
      </c>
      <c r="J19870" t="s">
        <v>5878</v>
      </c>
    </row>
    <row r="19871" spans="9:10" x14ac:dyDescent="0.3">
      <c r="I19871" t="s">
        <v>24976</v>
      </c>
      <c r="J19871" t="s">
        <v>5878</v>
      </c>
    </row>
    <row r="19872" spans="9:10" x14ac:dyDescent="0.3">
      <c r="I19872" t="s">
        <v>24977</v>
      </c>
      <c r="J19872" t="s">
        <v>5878</v>
      </c>
    </row>
    <row r="19873" spans="9:10" x14ac:dyDescent="0.3">
      <c r="I19873" t="s">
        <v>24978</v>
      </c>
      <c r="J19873" t="s">
        <v>5878</v>
      </c>
    </row>
    <row r="19874" spans="9:10" x14ac:dyDescent="0.3">
      <c r="I19874" t="s">
        <v>24979</v>
      </c>
      <c r="J19874" t="s">
        <v>5878</v>
      </c>
    </row>
    <row r="19875" spans="9:10" x14ac:dyDescent="0.3">
      <c r="I19875" t="s">
        <v>24980</v>
      </c>
      <c r="J19875" t="s">
        <v>5878</v>
      </c>
    </row>
    <row r="19876" spans="9:10" x14ac:dyDescent="0.3">
      <c r="I19876" t="s">
        <v>24981</v>
      </c>
      <c r="J19876" t="s">
        <v>5878</v>
      </c>
    </row>
    <row r="19877" spans="9:10" x14ac:dyDescent="0.3">
      <c r="I19877" t="s">
        <v>24982</v>
      </c>
      <c r="J19877" t="s">
        <v>5878</v>
      </c>
    </row>
    <row r="19878" spans="9:10" x14ac:dyDescent="0.3">
      <c r="I19878" t="s">
        <v>24983</v>
      </c>
      <c r="J19878" t="s">
        <v>5878</v>
      </c>
    </row>
    <row r="19879" spans="9:10" x14ac:dyDescent="0.3">
      <c r="I19879" t="s">
        <v>24984</v>
      </c>
      <c r="J19879" t="s">
        <v>5878</v>
      </c>
    </row>
    <row r="19880" spans="9:10" x14ac:dyDescent="0.3">
      <c r="I19880" t="s">
        <v>24985</v>
      </c>
      <c r="J19880" t="s">
        <v>5878</v>
      </c>
    </row>
    <row r="19881" spans="9:10" x14ac:dyDescent="0.3">
      <c r="I19881" t="s">
        <v>24986</v>
      </c>
      <c r="J19881" t="s">
        <v>5878</v>
      </c>
    </row>
    <row r="19882" spans="9:10" x14ac:dyDescent="0.3">
      <c r="I19882" t="s">
        <v>24987</v>
      </c>
      <c r="J19882" t="s">
        <v>5878</v>
      </c>
    </row>
    <row r="19883" spans="9:10" x14ac:dyDescent="0.3">
      <c r="I19883" t="s">
        <v>24988</v>
      </c>
      <c r="J19883" t="s">
        <v>5878</v>
      </c>
    </row>
    <row r="19884" spans="9:10" x14ac:dyDescent="0.3">
      <c r="I19884" t="s">
        <v>24989</v>
      </c>
      <c r="J19884" t="s">
        <v>5878</v>
      </c>
    </row>
    <row r="19885" spans="9:10" x14ac:dyDescent="0.3">
      <c r="I19885" t="s">
        <v>24990</v>
      </c>
      <c r="J19885" t="s">
        <v>5878</v>
      </c>
    </row>
    <row r="19886" spans="9:10" x14ac:dyDescent="0.3">
      <c r="I19886" t="s">
        <v>24991</v>
      </c>
      <c r="J19886" t="s">
        <v>5878</v>
      </c>
    </row>
    <row r="19887" spans="9:10" x14ac:dyDescent="0.3">
      <c r="I19887" t="s">
        <v>24992</v>
      </c>
      <c r="J19887" t="s">
        <v>5878</v>
      </c>
    </row>
    <row r="19888" spans="9:10" x14ac:dyDescent="0.3">
      <c r="I19888" t="s">
        <v>24993</v>
      </c>
      <c r="J19888" t="s">
        <v>5878</v>
      </c>
    </row>
    <row r="19889" spans="9:10" x14ac:dyDescent="0.3">
      <c r="I19889" t="s">
        <v>24994</v>
      </c>
      <c r="J19889" t="s">
        <v>5878</v>
      </c>
    </row>
    <row r="19890" spans="9:10" x14ac:dyDescent="0.3">
      <c r="I19890" t="s">
        <v>24995</v>
      </c>
      <c r="J19890" t="s">
        <v>5878</v>
      </c>
    </row>
    <row r="19891" spans="9:10" x14ac:dyDescent="0.3">
      <c r="I19891" t="s">
        <v>24996</v>
      </c>
      <c r="J19891" t="s">
        <v>5878</v>
      </c>
    </row>
    <row r="19892" spans="9:10" x14ac:dyDescent="0.3">
      <c r="I19892" t="s">
        <v>24997</v>
      </c>
      <c r="J19892" t="s">
        <v>5878</v>
      </c>
    </row>
    <row r="19893" spans="9:10" x14ac:dyDescent="0.3">
      <c r="I19893" t="s">
        <v>24998</v>
      </c>
      <c r="J19893" t="s">
        <v>5878</v>
      </c>
    </row>
    <row r="19894" spans="9:10" x14ac:dyDescent="0.3">
      <c r="I19894" t="s">
        <v>24999</v>
      </c>
      <c r="J19894" t="s">
        <v>5878</v>
      </c>
    </row>
    <row r="19895" spans="9:10" x14ac:dyDescent="0.3">
      <c r="I19895" t="s">
        <v>25000</v>
      </c>
      <c r="J19895" t="s">
        <v>5878</v>
      </c>
    </row>
    <row r="19896" spans="9:10" x14ac:dyDescent="0.3">
      <c r="I19896" t="s">
        <v>25001</v>
      </c>
      <c r="J19896" t="s">
        <v>5878</v>
      </c>
    </row>
    <row r="19897" spans="9:10" x14ac:dyDescent="0.3">
      <c r="I19897" t="s">
        <v>25002</v>
      </c>
      <c r="J19897" t="s">
        <v>5878</v>
      </c>
    </row>
    <row r="19898" spans="9:10" x14ac:dyDescent="0.3">
      <c r="I19898" t="s">
        <v>25003</v>
      </c>
      <c r="J19898" t="s">
        <v>5878</v>
      </c>
    </row>
    <row r="19899" spans="9:10" x14ac:dyDescent="0.3">
      <c r="I19899" t="s">
        <v>25004</v>
      </c>
      <c r="J19899" t="s">
        <v>5878</v>
      </c>
    </row>
    <row r="19900" spans="9:10" x14ac:dyDescent="0.3">
      <c r="I19900" t="s">
        <v>25005</v>
      </c>
      <c r="J19900" t="s">
        <v>5878</v>
      </c>
    </row>
    <row r="19901" spans="9:10" x14ac:dyDescent="0.3">
      <c r="I19901" t="s">
        <v>25006</v>
      </c>
      <c r="J19901" t="s">
        <v>5878</v>
      </c>
    </row>
    <row r="19902" spans="9:10" x14ac:dyDescent="0.3">
      <c r="I19902" t="s">
        <v>25007</v>
      </c>
      <c r="J19902" t="s">
        <v>5878</v>
      </c>
    </row>
    <row r="19903" spans="9:10" x14ac:dyDescent="0.3">
      <c r="I19903" t="s">
        <v>25008</v>
      </c>
      <c r="J19903" t="s">
        <v>5878</v>
      </c>
    </row>
    <row r="19904" spans="9:10" x14ac:dyDescent="0.3">
      <c r="I19904" t="s">
        <v>25009</v>
      </c>
      <c r="J19904" t="s">
        <v>5878</v>
      </c>
    </row>
    <row r="19905" spans="9:10" x14ac:dyDescent="0.3">
      <c r="I19905" t="s">
        <v>25010</v>
      </c>
      <c r="J19905" t="s">
        <v>5878</v>
      </c>
    </row>
    <row r="19906" spans="9:10" x14ac:dyDescent="0.3">
      <c r="I19906" t="s">
        <v>25011</v>
      </c>
      <c r="J19906" t="s">
        <v>5878</v>
      </c>
    </row>
    <row r="19907" spans="9:10" x14ac:dyDescent="0.3">
      <c r="I19907" t="s">
        <v>25012</v>
      </c>
      <c r="J19907" t="s">
        <v>5878</v>
      </c>
    </row>
    <row r="19908" spans="9:10" x14ac:dyDescent="0.3">
      <c r="I19908" t="s">
        <v>25013</v>
      </c>
      <c r="J19908" t="s">
        <v>5878</v>
      </c>
    </row>
    <row r="19909" spans="9:10" x14ac:dyDescent="0.3">
      <c r="I19909" t="s">
        <v>25014</v>
      </c>
      <c r="J19909" t="s">
        <v>5878</v>
      </c>
    </row>
    <row r="19910" spans="9:10" x14ac:dyDescent="0.3">
      <c r="I19910" t="s">
        <v>25015</v>
      </c>
      <c r="J19910" t="s">
        <v>5878</v>
      </c>
    </row>
    <row r="19911" spans="9:10" x14ac:dyDescent="0.3">
      <c r="I19911" t="s">
        <v>25016</v>
      </c>
      <c r="J19911" t="s">
        <v>5878</v>
      </c>
    </row>
    <row r="19912" spans="9:10" x14ac:dyDescent="0.3">
      <c r="I19912" t="s">
        <v>25017</v>
      </c>
      <c r="J19912" t="s">
        <v>5878</v>
      </c>
    </row>
    <row r="19913" spans="9:10" x14ac:dyDescent="0.3">
      <c r="I19913" t="s">
        <v>25018</v>
      </c>
      <c r="J19913" t="s">
        <v>5878</v>
      </c>
    </row>
    <row r="19914" spans="9:10" x14ac:dyDescent="0.3">
      <c r="I19914" t="s">
        <v>25019</v>
      </c>
      <c r="J19914" t="s">
        <v>5878</v>
      </c>
    </row>
    <row r="19915" spans="9:10" x14ac:dyDescent="0.3">
      <c r="I19915" t="s">
        <v>25020</v>
      </c>
      <c r="J19915" t="s">
        <v>5878</v>
      </c>
    </row>
    <row r="19916" spans="9:10" x14ac:dyDescent="0.3">
      <c r="I19916">
        <v>71746</v>
      </c>
      <c r="J19916" t="s">
        <v>5878</v>
      </c>
    </row>
    <row r="19917" spans="9:10" x14ac:dyDescent="0.3">
      <c r="I19917" t="s">
        <v>25021</v>
      </c>
      <c r="J19917" t="s">
        <v>5878</v>
      </c>
    </row>
    <row r="19918" spans="9:10" x14ac:dyDescent="0.3">
      <c r="I19918" t="s">
        <v>25022</v>
      </c>
      <c r="J19918" t="s">
        <v>5878</v>
      </c>
    </row>
    <row r="19919" spans="9:10" x14ac:dyDescent="0.3">
      <c r="I19919" t="s">
        <v>25023</v>
      </c>
      <c r="J19919" t="s">
        <v>5878</v>
      </c>
    </row>
    <row r="19920" spans="9:10" x14ac:dyDescent="0.3">
      <c r="I19920" t="s">
        <v>25024</v>
      </c>
      <c r="J19920" t="s">
        <v>5878</v>
      </c>
    </row>
    <row r="19921" spans="9:10" x14ac:dyDescent="0.3">
      <c r="I19921" t="s">
        <v>25025</v>
      </c>
      <c r="J19921" t="s">
        <v>5878</v>
      </c>
    </row>
    <row r="19922" spans="9:10" x14ac:dyDescent="0.3">
      <c r="I19922" t="s">
        <v>25026</v>
      </c>
      <c r="J19922" t="s">
        <v>5878</v>
      </c>
    </row>
    <row r="19923" spans="9:10" x14ac:dyDescent="0.3">
      <c r="I19923" t="s">
        <v>25027</v>
      </c>
      <c r="J19923" t="s">
        <v>5878</v>
      </c>
    </row>
    <row r="19924" spans="9:10" x14ac:dyDescent="0.3">
      <c r="I19924" t="s">
        <v>25028</v>
      </c>
      <c r="J19924" t="s">
        <v>5878</v>
      </c>
    </row>
    <row r="19925" spans="9:10" x14ac:dyDescent="0.3">
      <c r="I19925" t="s">
        <v>25029</v>
      </c>
      <c r="J19925" t="s">
        <v>5878</v>
      </c>
    </row>
    <row r="19926" spans="9:10" x14ac:dyDescent="0.3">
      <c r="I19926" t="s">
        <v>22056</v>
      </c>
      <c r="J19926" t="s">
        <v>5878</v>
      </c>
    </row>
    <row r="19927" spans="9:10" x14ac:dyDescent="0.3">
      <c r="I19927" t="s">
        <v>25030</v>
      </c>
      <c r="J19927" t="s">
        <v>5878</v>
      </c>
    </row>
    <row r="19928" spans="9:10" x14ac:dyDescent="0.3">
      <c r="I19928" t="s">
        <v>25031</v>
      </c>
      <c r="J19928" t="s">
        <v>5878</v>
      </c>
    </row>
    <row r="19929" spans="9:10" x14ac:dyDescent="0.3">
      <c r="I19929" t="s">
        <v>25032</v>
      </c>
      <c r="J19929" t="s">
        <v>5878</v>
      </c>
    </row>
    <row r="19930" spans="9:10" x14ac:dyDescent="0.3">
      <c r="I19930" t="s">
        <v>25033</v>
      </c>
      <c r="J19930" t="s">
        <v>5878</v>
      </c>
    </row>
    <row r="19931" spans="9:10" x14ac:dyDescent="0.3">
      <c r="I19931" t="s">
        <v>25034</v>
      </c>
      <c r="J19931" t="s">
        <v>5878</v>
      </c>
    </row>
    <row r="19932" spans="9:10" x14ac:dyDescent="0.3">
      <c r="I19932" t="s">
        <v>25035</v>
      </c>
      <c r="J19932" t="s">
        <v>5878</v>
      </c>
    </row>
    <row r="19933" spans="9:10" x14ac:dyDescent="0.3">
      <c r="I19933" t="s">
        <v>25036</v>
      </c>
      <c r="J19933" t="s">
        <v>5878</v>
      </c>
    </row>
    <row r="19934" spans="9:10" x14ac:dyDescent="0.3">
      <c r="I19934" t="s">
        <v>25037</v>
      </c>
      <c r="J19934" t="s">
        <v>5878</v>
      </c>
    </row>
    <row r="19935" spans="9:10" x14ac:dyDescent="0.3">
      <c r="I19935" t="s">
        <v>25038</v>
      </c>
      <c r="J19935" t="s">
        <v>5878</v>
      </c>
    </row>
    <row r="19936" spans="9:10" x14ac:dyDescent="0.3">
      <c r="I19936" t="s">
        <v>25039</v>
      </c>
      <c r="J19936" t="s">
        <v>5878</v>
      </c>
    </row>
    <row r="19937" spans="9:10" x14ac:dyDescent="0.3">
      <c r="I19937" t="s">
        <v>25040</v>
      </c>
      <c r="J19937" t="s">
        <v>5878</v>
      </c>
    </row>
    <row r="19938" spans="9:10" x14ac:dyDescent="0.3">
      <c r="I19938" t="s">
        <v>25041</v>
      </c>
      <c r="J19938" t="s">
        <v>5878</v>
      </c>
    </row>
    <row r="19939" spans="9:10" x14ac:dyDescent="0.3">
      <c r="I19939" t="s">
        <v>25042</v>
      </c>
      <c r="J19939" t="s">
        <v>5878</v>
      </c>
    </row>
    <row r="19940" spans="9:10" x14ac:dyDescent="0.3">
      <c r="I19940" t="s">
        <v>25043</v>
      </c>
      <c r="J19940" t="s">
        <v>5878</v>
      </c>
    </row>
    <row r="19941" spans="9:10" x14ac:dyDescent="0.3">
      <c r="I19941" t="s">
        <v>25044</v>
      </c>
      <c r="J19941" t="s">
        <v>5878</v>
      </c>
    </row>
    <row r="19942" spans="9:10" x14ac:dyDescent="0.3">
      <c r="I19942" t="s">
        <v>25045</v>
      </c>
      <c r="J19942" t="s">
        <v>5878</v>
      </c>
    </row>
    <row r="19943" spans="9:10" x14ac:dyDescent="0.3">
      <c r="I19943" t="s">
        <v>25046</v>
      </c>
      <c r="J19943" t="s">
        <v>5878</v>
      </c>
    </row>
    <row r="19944" spans="9:10" x14ac:dyDescent="0.3">
      <c r="I19944" t="s">
        <v>25047</v>
      </c>
      <c r="J19944" t="s">
        <v>5878</v>
      </c>
    </row>
    <row r="19945" spans="9:10" x14ac:dyDescent="0.3">
      <c r="I19945" t="s">
        <v>25048</v>
      </c>
    </row>
    <row r="19946" spans="9:10" x14ac:dyDescent="0.3">
      <c r="I19946" t="s">
        <v>25049</v>
      </c>
    </row>
    <row r="19947" spans="9:10" x14ac:dyDescent="0.3">
      <c r="I19947" t="s">
        <v>25050</v>
      </c>
    </row>
    <row r="19948" spans="9:10" x14ac:dyDescent="0.3">
      <c r="I19948" t="s">
        <v>25051</v>
      </c>
    </row>
    <row r="19949" spans="9:10" x14ac:dyDescent="0.3">
      <c r="I19949" t="s">
        <v>25052</v>
      </c>
    </row>
    <row r="19950" spans="9:10" x14ac:dyDescent="0.3">
      <c r="I19950" t="s">
        <v>25053</v>
      </c>
      <c r="J19950" t="s">
        <v>5879</v>
      </c>
    </row>
    <row r="19951" spans="9:10" x14ac:dyDescent="0.3">
      <c r="I19951" t="s">
        <v>25054</v>
      </c>
      <c r="J19951" t="s">
        <v>5879</v>
      </c>
    </row>
    <row r="19952" spans="9:10" x14ac:dyDescent="0.3">
      <c r="I19952" t="s">
        <v>25055</v>
      </c>
      <c r="J19952" t="s">
        <v>5879</v>
      </c>
    </row>
    <row r="19953" spans="9:10" x14ac:dyDescent="0.3">
      <c r="I19953" t="s">
        <v>25056</v>
      </c>
      <c r="J19953" t="s">
        <v>5879</v>
      </c>
    </row>
    <row r="19954" spans="9:10" x14ac:dyDescent="0.3">
      <c r="I19954" t="s">
        <v>25057</v>
      </c>
      <c r="J19954" t="s">
        <v>5879</v>
      </c>
    </row>
    <row r="19955" spans="9:10" x14ac:dyDescent="0.3">
      <c r="I19955" t="s">
        <v>25058</v>
      </c>
      <c r="J19955" t="s">
        <v>5879</v>
      </c>
    </row>
    <row r="19956" spans="9:10" x14ac:dyDescent="0.3">
      <c r="I19956" t="s">
        <v>25059</v>
      </c>
      <c r="J19956" t="s">
        <v>5879</v>
      </c>
    </row>
    <row r="19957" spans="9:10" x14ac:dyDescent="0.3">
      <c r="I19957" t="s">
        <v>25057</v>
      </c>
      <c r="J19957" t="s">
        <v>5879</v>
      </c>
    </row>
    <row r="19958" spans="9:10" x14ac:dyDescent="0.3">
      <c r="I19958" t="s">
        <v>25060</v>
      </c>
      <c r="J19958" t="s">
        <v>5879</v>
      </c>
    </row>
    <row r="19959" spans="9:10" x14ac:dyDescent="0.3">
      <c r="I19959" t="s">
        <v>25061</v>
      </c>
    </row>
    <row r="19960" spans="9:10" x14ac:dyDescent="0.3">
      <c r="I19960" t="s">
        <v>25062</v>
      </c>
    </row>
    <row r="19961" spans="9:10" x14ac:dyDescent="0.3">
      <c r="I19961" t="s">
        <v>25063</v>
      </c>
    </row>
    <row r="19962" spans="9:10" x14ac:dyDescent="0.3">
      <c r="I19962" t="s">
        <v>25064</v>
      </c>
      <c r="J19962" t="s">
        <v>293</v>
      </c>
    </row>
    <row r="19963" spans="9:10" x14ac:dyDescent="0.3">
      <c r="I19963" t="s">
        <v>25065</v>
      </c>
      <c r="J19963" t="s">
        <v>5880</v>
      </c>
    </row>
    <row r="19964" spans="9:10" x14ac:dyDescent="0.3">
      <c r="I19964" t="s">
        <v>25066</v>
      </c>
      <c r="J19964" t="s">
        <v>5881</v>
      </c>
    </row>
    <row r="19965" spans="9:10" x14ac:dyDescent="0.3">
      <c r="I19965" t="s">
        <v>25067</v>
      </c>
      <c r="J19965" t="s">
        <v>5882</v>
      </c>
    </row>
    <row r="19966" spans="9:10" x14ac:dyDescent="0.3">
      <c r="I19966" t="s">
        <v>25067</v>
      </c>
      <c r="J19966" t="s">
        <v>5882</v>
      </c>
    </row>
    <row r="19967" spans="9:10" x14ac:dyDescent="0.3">
      <c r="I19967" t="s">
        <v>25068</v>
      </c>
      <c r="J19967" t="s">
        <v>719</v>
      </c>
    </row>
    <row r="19968" spans="9:10" x14ac:dyDescent="0.3">
      <c r="I19968" t="s">
        <v>25068</v>
      </c>
      <c r="J19968" t="s">
        <v>719</v>
      </c>
    </row>
    <row r="19969" spans="9:10" x14ac:dyDescent="0.3">
      <c r="I19969" t="s">
        <v>25069</v>
      </c>
    </row>
    <row r="19970" spans="9:10" x14ac:dyDescent="0.3">
      <c r="I19970" t="s">
        <v>25070</v>
      </c>
    </row>
    <row r="19971" spans="9:10" x14ac:dyDescent="0.3">
      <c r="I19971" t="s">
        <v>25071</v>
      </c>
      <c r="J19971" t="s">
        <v>5883</v>
      </c>
    </row>
    <row r="19972" spans="9:10" x14ac:dyDescent="0.3">
      <c r="I19972" t="s">
        <v>25072</v>
      </c>
      <c r="J19972" t="s">
        <v>5884</v>
      </c>
    </row>
    <row r="19973" spans="9:10" x14ac:dyDescent="0.3">
      <c r="I19973" t="s">
        <v>25073</v>
      </c>
      <c r="J19973" t="s">
        <v>5884</v>
      </c>
    </row>
    <row r="19974" spans="9:10" x14ac:dyDescent="0.3">
      <c r="I19974" t="s">
        <v>25074</v>
      </c>
      <c r="J19974" t="s">
        <v>5885</v>
      </c>
    </row>
    <row r="19975" spans="9:10" x14ac:dyDescent="0.3">
      <c r="I19975" t="s">
        <v>25075</v>
      </c>
      <c r="J19975" t="s">
        <v>5886</v>
      </c>
    </row>
    <row r="19976" spans="9:10" x14ac:dyDescent="0.3">
      <c r="I19976" t="s">
        <v>25076</v>
      </c>
      <c r="J19976" t="s">
        <v>5887</v>
      </c>
    </row>
    <row r="19977" spans="9:10" x14ac:dyDescent="0.3">
      <c r="I19977" t="s">
        <v>25076</v>
      </c>
      <c r="J19977" t="s">
        <v>5887</v>
      </c>
    </row>
    <row r="19978" spans="9:10" x14ac:dyDescent="0.3">
      <c r="I19978" t="s">
        <v>25076</v>
      </c>
      <c r="J19978" t="s">
        <v>5887</v>
      </c>
    </row>
    <row r="19979" spans="9:10" x14ac:dyDescent="0.3">
      <c r="I19979" t="s">
        <v>25077</v>
      </c>
    </row>
    <row r="19980" spans="9:10" x14ac:dyDescent="0.3">
      <c r="I19980" t="s">
        <v>25078</v>
      </c>
    </row>
    <row r="19981" spans="9:10" x14ac:dyDescent="0.3">
      <c r="I19981" t="s">
        <v>19248</v>
      </c>
      <c r="J19981" t="s">
        <v>5888</v>
      </c>
    </row>
    <row r="19982" spans="9:10" x14ac:dyDescent="0.3">
      <c r="I19982" t="s">
        <v>25079</v>
      </c>
      <c r="J19982" t="s">
        <v>5889</v>
      </c>
    </row>
    <row r="19983" spans="9:10" x14ac:dyDescent="0.3">
      <c r="I19983" t="s">
        <v>25080</v>
      </c>
    </row>
    <row r="19984" spans="9:10" x14ac:dyDescent="0.3">
      <c r="I19984" t="s">
        <v>25081</v>
      </c>
    </row>
    <row r="19985" spans="9:10" x14ac:dyDescent="0.3">
      <c r="I19985" t="s">
        <v>25082</v>
      </c>
    </row>
    <row r="19986" spans="9:10" x14ac:dyDescent="0.3">
      <c r="I19986" t="s">
        <v>25083</v>
      </c>
    </row>
    <row r="19987" spans="9:10" x14ac:dyDescent="0.3">
      <c r="I19987" t="s">
        <v>25084</v>
      </c>
    </row>
    <row r="19988" spans="9:10" x14ac:dyDescent="0.3">
      <c r="I19988" t="s">
        <v>25085</v>
      </c>
    </row>
    <row r="19989" spans="9:10" x14ac:dyDescent="0.3">
      <c r="I19989" t="s">
        <v>25086</v>
      </c>
    </row>
    <row r="19990" spans="9:10" x14ac:dyDescent="0.3">
      <c r="I19990" t="s">
        <v>25087</v>
      </c>
      <c r="J19990" t="s">
        <v>5890</v>
      </c>
    </row>
    <row r="19991" spans="9:10" x14ac:dyDescent="0.3">
      <c r="I19991" t="s">
        <v>25087</v>
      </c>
      <c r="J19991" t="s">
        <v>5890</v>
      </c>
    </row>
    <row r="19992" spans="9:10" x14ac:dyDescent="0.3">
      <c r="I19992" t="s">
        <v>25088</v>
      </c>
      <c r="J19992" t="s">
        <v>5891</v>
      </c>
    </row>
    <row r="19993" spans="9:10" x14ac:dyDescent="0.3">
      <c r="I19993" t="s">
        <v>25089</v>
      </c>
      <c r="J19993" t="s">
        <v>5892</v>
      </c>
    </row>
    <row r="19994" spans="9:10" x14ac:dyDescent="0.3">
      <c r="I19994" t="s">
        <v>25090</v>
      </c>
      <c r="J19994" t="s">
        <v>630</v>
      </c>
    </row>
    <row r="19995" spans="9:10" x14ac:dyDescent="0.3">
      <c r="I19995" t="s">
        <v>25091</v>
      </c>
      <c r="J19995" t="s">
        <v>630</v>
      </c>
    </row>
    <row r="19996" spans="9:10" x14ac:dyDescent="0.3">
      <c r="I19996" t="s">
        <v>25092</v>
      </c>
      <c r="J19996" t="s">
        <v>5893</v>
      </c>
    </row>
    <row r="19997" spans="9:10" x14ac:dyDescent="0.3">
      <c r="I19997" t="s">
        <v>25093</v>
      </c>
      <c r="J19997" t="s">
        <v>5893</v>
      </c>
    </row>
    <row r="19998" spans="9:10" x14ac:dyDescent="0.3">
      <c r="I19998" t="s">
        <v>25094</v>
      </c>
    </row>
    <row r="19999" spans="9:10" x14ac:dyDescent="0.3">
      <c r="I19999" t="s">
        <v>25095</v>
      </c>
      <c r="J19999" t="s">
        <v>5894</v>
      </c>
    </row>
    <row r="20000" spans="9:10" x14ac:dyDescent="0.3">
      <c r="I20000" t="s">
        <v>25096</v>
      </c>
      <c r="J20000" t="s">
        <v>5895</v>
      </c>
    </row>
    <row r="20001" spans="9:10" x14ac:dyDescent="0.3">
      <c r="I20001" t="s">
        <v>25097</v>
      </c>
    </row>
    <row r="20002" spans="9:10" x14ac:dyDescent="0.3">
      <c r="I20002" t="s">
        <v>25098</v>
      </c>
    </row>
    <row r="20003" spans="9:10" x14ac:dyDescent="0.3">
      <c r="I20003" t="s">
        <v>25098</v>
      </c>
    </row>
    <row r="20004" spans="9:10" x14ac:dyDescent="0.3">
      <c r="I20004" t="s">
        <v>25099</v>
      </c>
      <c r="J20004" t="s">
        <v>5896</v>
      </c>
    </row>
    <row r="20005" spans="9:10" x14ac:dyDescent="0.3">
      <c r="I20005" t="s">
        <v>25100</v>
      </c>
      <c r="J20005" t="s">
        <v>5897</v>
      </c>
    </row>
    <row r="20006" spans="9:10" x14ac:dyDescent="0.3">
      <c r="I20006" t="s">
        <v>25101</v>
      </c>
    </row>
    <row r="20007" spans="9:10" x14ac:dyDescent="0.3">
      <c r="I20007" t="s">
        <v>25102</v>
      </c>
    </row>
    <row r="20008" spans="9:10" x14ac:dyDescent="0.3">
      <c r="I20008" t="s">
        <v>25103</v>
      </c>
    </row>
    <row r="20009" spans="9:10" x14ac:dyDescent="0.3">
      <c r="I20009" t="s">
        <v>25104</v>
      </c>
    </row>
    <row r="20010" spans="9:10" x14ac:dyDescent="0.3">
      <c r="I20010" t="s">
        <v>25105</v>
      </c>
    </row>
    <row r="20011" spans="9:10" x14ac:dyDescent="0.3">
      <c r="I20011" t="s">
        <v>25106</v>
      </c>
    </row>
    <row r="20012" spans="9:10" x14ac:dyDescent="0.3">
      <c r="I20012" t="s">
        <v>25107</v>
      </c>
    </row>
    <row r="20013" spans="9:10" x14ac:dyDescent="0.3">
      <c r="I20013" t="s">
        <v>25108</v>
      </c>
      <c r="J20013" t="s">
        <v>5898</v>
      </c>
    </row>
    <row r="20014" spans="9:10" x14ac:dyDescent="0.3">
      <c r="I20014" t="s">
        <v>25109</v>
      </c>
      <c r="J20014" t="s">
        <v>5898</v>
      </c>
    </row>
    <row r="20015" spans="9:10" x14ac:dyDescent="0.3">
      <c r="I20015" t="s">
        <v>25110</v>
      </c>
    </row>
    <row r="20016" spans="9:10" x14ac:dyDescent="0.3">
      <c r="I20016" t="s">
        <v>25111</v>
      </c>
      <c r="J20016" t="s">
        <v>5899</v>
      </c>
    </row>
    <row r="20017" spans="9:10" x14ac:dyDescent="0.3">
      <c r="I20017" t="s">
        <v>25112</v>
      </c>
      <c r="J20017" t="s">
        <v>5900</v>
      </c>
    </row>
    <row r="20018" spans="9:10" x14ac:dyDescent="0.3">
      <c r="I20018" t="s">
        <v>25113</v>
      </c>
      <c r="J20018" t="s">
        <v>5901</v>
      </c>
    </row>
    <row r="20019" spans="9:10" x14ac:dyDescent="0.3">
      <c r="I20019" t="s">
        <v>25114</v>
      </c>
      <c r="J20019" t="s">
        <v>5902</v>
      </c>
    </row>
    <row r="20020" spans="9:10" x14ac:dyDescent="0.3">
      <c r="I20020" t="s">
        <v>25115</v>
      </c>
      <c r="J20020" t="s">
        <v>5903</v>
      </c>
    </row>
    <row r="20021" spans="9:10" x14ac:dyDescent="0.3">
      <c r="I20021" t="s">
        <v>25116</v>
      </c>
      <c r="J20021" t="s">
        <v>5904</v>
      </c>
    </row>
    <row r="20022" spans="9:10" x14ac:dyDescent="0.3">
      <c r="I20022" t="s">
        <v>25117</v>
      </c>
    </row>
    <row r="20023" spans="9:10" x14ac:dyDescent="0.3">
      <c r="I20023" t="s">
        <v>25118</v>
      </c>
    </row>
    <row r="20024" spans="9:10" x14ac:dyDescent="0.3">
      <c r="I20024" t="s">
        <v>25119</v>
      </c>
    </row>
    <row r="20025" spans="9:10" x14ac:dyDescent="0.3">
      <c r="I20025" t="s">
        <v>25120</v>
      </c>
    </row>
    <row r="20026" spans="9:10" x14ac:dyDescent="0.3">
      <c r="I20026" t="s">
        <v>25121</v>
      </c>
    </row>
    <row r="20027" spans="9:10" x14ac:dyDescent="0.3">
      <c r="I20027" t="s">
        <v>25122</v>
      </c>
    </row>
    <row r="20028" spans="9:10" x14ac:dyDescent="0.3">
      <c r="I20028" t="s">
        <v>25123</v>
      </c>
    </row>
    <row r="20029" spans="9:10" x14ac:dyDescent="0.3">
      <c r="I20029" t="s">
        <v>25124</v>
      </c>
    </row>
    <row r="20030" spans="9:10" x14ac:dyDescent="0.3">
      <c r="I20030" t="s">
        <v>25125</v>
      </c>
    </row>
    <row r="20031" spans="9:10" x14ac:dyDescent="0.3">
      <c r="I20031" t="s">
        <v>25126</v>
      </c>
      <c r="J20031" t="s">
        <v>5905</v>
      </c>
    </row>
    <row r="20032" spans="9:10" x14ac:dyDescent="0.3">
      <c r="I20032" t="s">
        <v>25127</v>
      </c>
    </row>
    <row r="20033" spans="9:10" x14ac:dyDescent="0.3">
      <c r="I20033" t="s">
        <v>25128</v>
      </c>
      <c r="J20033" t="s">
        <v>5906</v>
      </c>
    </row>
    <row r="20034" spans="9:10" x14ac:dyDescent="0.3">
      <c r="I20034" t="s">
        <v>25129</v>
      </c>
      <c r="J20034" t="s">
        <v>5907</v>
      </c>
    </row>
    <row r="20035" spans="9:10" x14ac:dyDescent="0.3">
      <c r="I20035" t="s">
        <v>25130</v>
      </c>
      <c r="J20035" t="s">
        <v>5908</v>
      </c>
    </row>
    <row r="20036" spans="9:10" x14ac:dyDescent="0.3">
      <c r="I20036" t="s">
        <v>25131</v>
      </c>
    </row>
    <row r="20037" spans="9:10" x14ac:dyDescent="0.3">
      <c r="I20037" t="s">
        <v>25132</v>
      </c>
    </row>
    <row r="20038" spans="9:10" x14ac:dyDescent="0.3">
      <c r="I20038" t="s">
        <v>25133</v>
      </c>
    </row>
    <row r="20039" spans="9:10" x14ac:dyDescent="0.3">
      <c r="I20039" t="s">
        <v>25134</v>
      </c>
      <c r="J20039" t="s">
        <v>659</v>
      </c>
    </row>
    <row r="20040" spans="9:10" x14ac:dyDescent="0.3">
      <c r="I20040" t="s">
        <v>25135</v>
      </c>
      <c r="J20040" t="s">
        <v>659</v>
      </c>
    </row>
    <row r="20041" spans="9:10" x14ac:dyDescent="0.3">
      <c r="I20041" t="s">
        <v>25136</v>
      </c>
      <c r="J20041" t="s">
        <v>5909</v>
      </c>
    </row>
    <row r="20042" spans="9:10" x14ac:dyDescent="0.3">
      <c r="I20042" t="s">
        <v>25136</v>
      </c>
      <c r="J20042" t="s">
        <v>5909</v>
      </c>
    </row>
    <row r="20043" spans="9:10" x14ac:dyDescent="0.3">
      <c r="I20043" t="s">
        <v>25137</v>
      </c>
    </row>
    <row r="20044" spans="9:10" x14ac:dyDescent="0.3">
      <c r="I20044" t="s">
        <v>25138</v>
      </c>
    </row>
    <row r="20045" spans="9:10" x14ac:dyDescent="0.3">
      <c r="I20045" t="s">
        <v>25139</v>
      </c>
      <c r="J20045" t="s">
        <v>5910</v>
      </c>
    </row>
    <row r="20046" spans="9:10" x14ac:dyDescent="0.3">
      <c r="I20046" t="s">
        <v>25140</v>
      </c>
      <c r="J20046" t="s">
        <v>5910</v>
      </c>
    </row>
    <row r="20047" spans="9:10" x14ac:dyDescent="0.3">
      <c r="I20047" t="s">
        <v>25141</v>
      </c>
      <c r="J20047" t="s">
        <v>5910</v>
      </c>
    </row>
    <row r="20048" spans="9:10" x14ac:dyDescent="0.3">
      <c r="I20048" t="s">
        <v>25142</v>
      </c>
    </row>
    <row r="20049" spans="9:10" x14ac:dyDescent="0.3">
      <c r="I20049" t="s">
        <v>25143</v>
      </c>
      <c r="J20049" t="s">
        <v>5911</v>
      </c>
    </row>
    <row r="20050" spans="9:10" x14ac:dyDescent="0.3">
      <c r="I20050" t="s">
        <v>25144</v>
      </c>
      <c r="J20050" t="s">
        <v>5912</v>
      </c>
    </row>
    <row r="20051" spans="9:10" x14ac:dyDescent="0.3">
      <c r="I20051" t="s">
        <v>25144</v>
      </c>
      <c r="J20051" t="s">
        <v>5912</v>
      </c>
    </row>
    <row r="20052" spans="9:10" x14ac:dyDescent="0.3">
      <c r="I20052" t="s">
        <v>25144</v>
      </c>
      <c r="J20052" t="s">
        <v>5912</v>
      </c>
    </row>
    <row r="20053" spans="9:10" x14ac:dyDescent="0.3">
      <c r="I20053" t="s">
        <v>25145</v>
      </c>
    </row>
    <row r="20054" spans="9:10" x14ac:dyDescent="0.3">
      <c r="I20054" t="s">
        <v>25146</v>
      </c>
      <c r="J20054" t="s">
        <v>5913</v>
      </c>
    </row>
    <row r="20055" spans="9:10" x14ac:dyDescent="0.3">
      <c r="I20055" t="s">
        <v>25147</v>
      </c>
      <c r="J20055" t="s">
        <v>5914</v>
      </c>
    </row>
    <row r="20056" spans="9:10" x14ac:dyDescent="0.3">
      <c r="I20056" t="s">
        <v>25148</v>
      </c>
    </row>
    <row r="20057" spans="9:10" x14ac:dyDescent="0.3">
      <c r="I20057" t="s">
        <v>25149</v>
      </c>
      <c r="J20057" t="s">
        <v>5915</v>
      </c>
    </row>
    <row r="20058" spans="9:10" x14ac:dyDescent="0.3">
      <c r="I20058" t="s">
        <v>25150</v>
      </c>
      <c r="J20058" t="s">
        <v>5915</v>
      </c>
    </row>
    <row r="20059" spans="9:10" x14ac:dyDescent="0.3">
      <c r="I20059" t="s">
        <v>25149</v>
      </c>
      <c r="J20059" t="s">
        <v>5915</v>
      </c>
    </row>
    <row r="20060" spans="9:10" x14ac:dyDescent="0.3">
      <c r="I20060" t="s">
        <v>25151</v>
      </c>
      <c r="J20060" t="s">
        <v>5915</v>
      </c>
    </row>
    <row r="20061" spans="9:10" x14ac:dyDescent="0.3">
      <c r="I20061" t="s">
        <v>25152</v>
      </c>
      <c r="J20061" t="s">
        <v>5916</v>
      </c>
    </row>
    <row r="20062" spans="9:10" x14ac:dyDescent="0.3">
      <c r="I20062" t="s">
        <v>25153</v>
      </c>
      <c r="J20062" t="s">
        <v>5916</v>
      </c>
    </row>
    <row r="20063" spans="9:10" x14ac:dyDescent="0.3">
      <c r="I20063" t="s">
        <v>25154</v>
      </c>
      <c r="J20063" t="s">
        <v>5916</v>
      </c>
    </row>
    <row r="20064" spans="9:10" x14ac:dyDescent="0.3">
      <c r="I20064" t="s">
        <v>25153</v>
      </c>
      <c r="J20064" t="s">
        <v>5916</v>
      </c>
    </row>
    <row r="20065" spans="9:10" x14ac:dyDescent="0.3">
      <c r="I20065" t="s">
        <v>25155</v>
      </c>
      <c r="J20065" t="s">
        <v>5917</v>
      </c>
    </row>
    <row r="20066" spans="9:10" x14ac:dyDescent="0.3">
      <c r="I20066" t="s">
        <v>25156</v>
      </c>
      <c r="J20066" t="s">
        <v>5918</v>
      </c>
    </row>
    <row r="20067" spans="9:10" x14ac:dyDescent="0.3">
      <c r="I20067" t="s">
        <v>25157</v>
      </c>
      <c r="J20067" t="s">
        <v>5919</v>
      </c>
    </row>
    <row r="20068" spans="9:10" x14ac:dyDescent="0.3">
      <c r="I20068" t="s">
        <v>25157</v>
      </c>
      <c r="J20068" t="s">
        <v>5919</v>
      </c>
    </row>
    <row r="20069" spans="9:10" x14ac:dyDescent="0.3">
      <c r="I20069" t="s">
        <v>25158</v>
      </c>
      <c r="J20069" t="s">
        <v>5920</v>
      </c>
    </row>
    <row r="20070" spans="9:10" x14ac:dyDescent="0.3">
      <c r="I20070" t="s">
        <v>25159</v>
      </c>
    </row>
    <row r="20071" spans="9:10" x14ac:dyDescent="0.3">
      <c r="I20071" t="s">
        <v>25160</v>
      </c>
      <c r="J20071" t="s">
        <v>5921</v>
      </c>
    </row>
    <row r="20072" spans="9:10" x14ac:dyDescent="0.3">
      <c r="I20072" t="s">
        <v>25161</v>
      </c>
      <c r="J20072" t="s">
        <v>5922</v>
      </c>
    </row>
    <row r="20073" spans="9:10" x14ac:dyDescent="0.3">
      <c r="I20073" t="s">
        <v>25162</v>
      </c>
    </row>
    <row r="20074" spans="9:10" x14ac:dyDescent="0.3">
      <c r="I20074" t="s">
        <v>25163</v>
      </c>
    </row>
    <row r="20075" spans="9:10" x14ac:dyDescent="0.3">
      <c r="I20075" t="s">
        <v>25164</v>
      </c>
    </row>
    <row r="20076" spans="9:10" x14ac:dyDescent="0.3">
      <c r="I20076" t="s">
        <v>25165</v>
      </c>
    </row>
    <row r="20077" spans="9:10" x14ac:dyDescent="0.3">
      <c r="I20077" t="s">
        <v>25166</v>
      </c>
    </row>
    <row r="20078" spans="9:10" x14ac:dyDescent="0.3">
      <c r="I20078" t="s">
        <v>25167</v>
      </c>
    </row>
    <row r="20079" spans="9:10" x14ac:dyDescent="0.3">
      <c r="I20079" t="s">
        <v>25167</v>
      </c>
    </row>
    <row r="20080" spans="9:10" x14ac:dyDescent="0.3">
      <c r="I20080" t="s">
        <v>25168</v>
      </c>
      <c r="J20080" t="s">
        <v>5923</v>
      </c>
    </row>
    <row r="20081" spans="9:10" x14ac:dyDescent="0.3">
      <c r="I20081" t="s">
        <v>25169</v>
      </c>
    </row>
    <row r="20082" spans="9:10" x14ac:dyDescent="0.3">
      <c r="I20082" t="s">
        <v>25170</v>
      </c>
    </row>
    <row r="20083" spans="9:10" x14ac:dyDescent="0.3">
      <c r="I20083" t="s">
        <v>25171</v>
      </c>
    </row>
    <row r="20084" spans="9:10" x14ac:dyDescent="0.3">
      <c r="I20084" t="s">
        <v>25172</v>
      </c>
      <c r="J20084" t="s">
        <v>5924</v>
      </c>
    </row>
    <row r="20085" spans="9:10" x14ac:dyDescent="0.3">
      <c r="I20085" t="s">
        <v>25172</v>
      </c>
      <c r="J20085" t="s">
        <v>5924</v>
      </c>
    </row>
    <row r="20086" spans="9:10" x14ac:dyDescent="0.3">
      <c r="I20086" t="s">
        <v>25173</v>
      </c>
      <c r="J20086" t="s">
        <v>5925</v>
      </c>
    </row>
    <row r="20087" spans="9:10" x14ac:dyDescent="0.3">
      <c r="I20087" t="s">
        <v>25174</v>
      </c>
      <c r="J20087" t="s">
        <v>453</v>
      </c>
    </row>
    <row r="20088" spans="9:10" x14ac:dyDescent="0.3">
      <c r="I20088" t="s">
        <v>25175</v>
      </c>
    </row>
    <row r="20089" spans="9:10" x14ac:dyDescent="0.3">
      <c r="I20089" t="s">
        <v>25176</v>
      </c>
    </row>
    <row r="20090" spans="9:10" x14ac:dyDescent="0.3">
      <c r="I20090" t="s">
        <v>25177</v>
      </c>
    </row>
    <row r="20091" spans="9:10" x14ac:dyDescent="0.3">
      <c r="I20091" t="s">
        <v>25178</v>
      </c>
    </row>
    <row r="20092" spans="9:10" x14ac:dyDescent="0.3">
      <c r="I20092" t="s">
        <v>25179</v>
      </c>
      <c r="J20092" t="s">
        <v>5926</v>
      </c>
    </row>
    <row r="20093" spans="9:10" x14ac:dyDescent="0.3">
      <c r="I20093" t="s">
        <v>25180</v>
      </c>
      <c r="J20093" t="s">
        <v>5927</v>
      </c>
    </row>
    <row r="20094" spans="9:10" x14ac:dyDescent="0.3">
      <c r="I20094" t="s">
        <v>25181</v>
      </c>
    </row>
    <row r="20095" spans="9:10" x14ac:dyDescent="0.3">
      <c r="I20095" t="s">
        <v>25182</v>
      </c>
      <c r="J20095" t="s">
        <v>771</v>
      </c>
    </row>
    <row r="20096" spans="9:10" x14ac:dyDescent="0.3">
      <c r="I20096" t="s">
        <v>25183</v>
      </c>
    </row>
    <row r="20097" spans="9:10" x14ac:dyDescent="0.3">
      <c r="I20097" t="s">
        <v>25184</v>
      </c>
    </row>
    <row r="20098" spans="9:10" x14ac:dyDescent="0.3">
      <c r="I20098" t="s">
        <v>25185</v>
      </c>
    </row>
    <row r="20099" spans="9:10" x14ac:dyDescent="0.3">
      <c r="I20099" t="s">
        <v>25186</v>
      </c>
    </row>
    <row r="20100" spans="9:10" x14ac:dyDescent="0.3">
      <c r="I20100" t="s">
        <v>25187</v>
      </c>
      <c r="J20100" t="s">
        <v>5928</v>
      </c>
    </row>
    <row r="20101" spans="9:10" x14ac:dyDescent="0.3">
      <c r="I20101" t="s">
        <v>25188</v>
      </c>
      <c r="J20101" t="s">
        <v>5929</v>
      </c>
    </row>
    <row r="20102" spans="9:10" x14ac:dyDescent="0.3">
      <c r="I20102" t="s">
        <v>25189</v>
      </c>
    </row>
    <row r="20103" spans="9:10" x14ac:dyDescent="0.3">
      <c r="I20103" t="s">
        <v>25190</v>
      </c>
      <c r="J20103" t="s">
        <v>5930</v>
      </c>
    </row>
    <row r="20104" spans="9:10" x14ac:dyDescent="0.3">
      <c r="I20104" t="s">
        <v>25191</v>
      </c>
    </row>
    <row r="20105" spans="9:10" x14ac:dyDescent="0.3">
      <c r="I20105" t="s">
        <v>25192</v>
      </c>
      <c r="J20105" t="s">
        <v>336</v>
      </c>
    </row>
    <row r="20106" spans="9:10" x14ac:dyDescent="0.3">
      <c r="I20106" t="s">
        <v>25193</v>
      </c>
    </row>
    <row r="20107" spans="9:10" x14ac:dyDescent="0.3">
      <c r="I20107" t="s">
        <v>25194</v>
      </c>
    </row>
    <row r="20108" spans="9:10" x14ac:dyDescent="0.3">
      <c r="I20108" t="s">
        <v>25195</v>
      </c>
    </row>
    <row r="20109" spans="9:10" x14ac:dyDescent="0.3">
      <c r="I20109" t="s">
        <v>25196</v>
      </c>
    </row>
    <row r="20110" spans="9:10" x14ac:dyDescent="0.3">
      <c r="I20110" t="s">
        <v>25197</v>
      </c>
    </row>
    <row r="20111" spans="9:10" x14ac:dyDescent="0.3">
      <c r="I20111" t="s">
        <v>25197</v>
      </c>
    </row>
    <row r="20112" spans="9:10" x14ac:dyDescent="0.3">
      <c r="I20112" t="s">
        <v>25198</v>
      </c>
    </row>
    <row r="20113" spans="9:10" x14ac:dyDescent="0.3">
      <c r="I20113" t="s">
        <v>25198</v>
      </c>
    </row>
    <row r="20114" spans="9:10" x14ac:dyDescent="0.3">
      <c r="I20114" t="s">
        <v>25199</v>
      </c>
      <c r="J20114" t="s">
        <v>5931</v>
      </c>
    </row>
    <row r="20115" spans="9:10" x14ac:dyDescent="0.3">
      <c r="I20115" t="s">
        <v>25200</v>
      </c>
      <c r="J20115" t="s">
        <v>5932</v>
      </c>
    </row>
    <row r="20116" spans="9:10" x14ac:dyDescent="0.3">
      <c r="I20116" t="s">
        <v>25201</v>
      </c>
      <c r="J20116" t="s">
        <v>5933</v>
      </c>
    </row>
    <row r="20117" spans="9:10" x14ac:dyDescent="0.3">
      <c r="I20117" t="s">
        <v>25202</v>
      </c>
      <c r="J20117" t="s">
        <v>5933</v>
      </c>
    </row>
    <row r="20118" spans="9:10" x14ac:dyDescent="0.3">
      <c r="I20118" t="s">
        <v>25203</v>
      </c>
      <c r="J20118" t="s">
        <v>5934</v>
      </c>
    </row>
    <row r="20119" spans="9:10" x14ac:dyDescent="0.3">
      <c r="I20119" t="s">
        <v>25204</v>
      </c>
      <c r="J20119" t="s">
        <v>5935</v>
      </c>
    </row>
    <row r="20120" spans="9:10" x14ac:dyDescent="0.3">
      <c r="I20120" t="s">
        <v>25205</v>
      </c>
    </row>
    <row r="20121" spans="9:10" x14ac:dyDescent="0.3">
      <c r="I20121" t="s">
        <v>25206</v>
      </c>
    </row>
    <row r="20122" spans="9:10" x14ac:dyDescent="0.3">
      <c r="I20122" t="s">
        <v>25207</v>
      </c>
    </row>
    <row r="20123" spans="9:10" x14ac:dyDescent="0.3">
      <c r="I20123" t="s">
        <v>25208</v>
      </c>
    </row>
    <row r="20124" spans="9:10" x14ac:dyDescent="0.3">
      <c r="I20124" t="s">
        <v>25209</v>
      </c>
    </row>
    <row r="20125" spans="9:10" x14ac:dyDescent="0.3">
      <c r="I20125" t="s">
        <v>25210</v>
      </c>
      <c r="J20125" t="s">
        <v>5936</v>
      </c>
    </row>
    <row r="20126" spans="9:10" x14ac:dyDescent="0.3">
      <c r="I20126" t="s">
        <v>25211</v>
      </c>
    </row>
    <row r="20127" spans="9:10" x14ac:dyDescent="0.3">
      <c r="I20127" t="s">
        <v>25212</v>
      </c>
    </row>
    <row r="20128" spans="9:10" x14ac:dyDescent="0.3">
      <c r="I20128" t="s">
        <v>25213</v>
      </c>
    </row>
    <row r="20129" spans="9:10" x14ac:dyDescent="0.3">
      <c r="I20129" t="s">
        <v>25214</v>
      </c>
    </row>
    <row r="20130" spans="9:10" x14ac:dyDescent="0.3">
      <c r="I20130" t="s">
        <v>25215</v>
      </c>
    </row>
    <row r="20131" spans="9:10" x14ac:dyDescent="0.3">
      <c r="I20131" t="s">
        <v>25216</v>
      </c>
      <c r="J20131" t="s">
        <v>5937</v>
      </c>
    </row>
    <row r="20132" spans="9:10" x14ac:dyDescent="0.3">
      <c r="I20132" t="s">
        <v>25217</v>
      </c>
      <c r="J20132" t="s">
        <v>5938</v>
      </c>
    </row>
    <row r="20133" spans="9:10" x14ac:dyDescent="0.3">
      <c r="I20133" t="s">
        <v>25218</v>
      </c>
    </row>
    <row r="20134" spans="9:10" x14ac:dyDescent="0.3">
      <c r="I20134" t="s">
        <v>25219</v>
      </c>
    </row>
    <row r="20135" spans="9:10" x14ac:dyDescent="0.3">
      <c r="I20135" t="s">
        <v>25220</v>
      </c>
    </row>
    <row r="20136" spans="9:10" x14ac:dyDescent="0.3">
      <c r="I20136" t="s">
        <v>25221</v>
      </c>
    </row>
    <row r="20137" spans="9:10" x14ac:dyDescent="0.3">
      <c r="I20137" t="s">
        <v>25222</v>
      </c>
    </row>
    <row r="20138" spans="9:10" x14ac:dyDescent="0.3">
      <c r="I20138" t="s">
        <v>25223</v>
      </c>
    </row>
    <row r="20139" spans="9:10" x14ac:dyDescent="0.3">
      <c r="I20139" t="s">
        <v>25224</v>
      </c>
      <c r="J20139" t="s">
        <v>5939</v>
      </c>
    </row>
    <row r="20140" spans="9:10" x14ac:dyDescent="0.3">
      <c r="I20140" t="s">
        <v>25224</v>
      </c>
      <c r="J20140" t="s">
        <v>5939</v>
      </c>
    </row>
    <row r="20141" spans="9:10" x14ac:dyDescent="0.3">
      <c r="I20141" t="s">
        <v>25225</v>
      </c>
    </row>
    <row r="20142" spans="9:10" x14ac:dyDescent="0.3">
      <c r="I20142" t="s">
        <v>25226</v>
      </c>
    </row>
    <row r="20143" spans="9:10" x14ac:dyDescent="0.3">
      <c r="I20143" t="s">
        <v>25227</v>
      </c>
    </row>
    <row r="20144" spans="9:10" x14ac:dyDescent="0.3">
      <c r="I20144" t="s">
        <v>25228</v>
      </c>
      <c r="J20144" t="s">
        <v>5940</v>
      </c>
    </row>
    <row r="20145" spans="9:10" x14ac:dyDescent="0.3">
      <c r="I20145" t="s">
        <v>25229</v>
      </c>
      <c r="J20145" t="s">
        <v>5941</v>
      </c>
    </row>
    <row r="20146" spans="9:10" x14ac:dyDescent="0.3">
      <c r="I20146" t="s">
        <v>25229</v>
      </c>
      <c r="J20146" t="s">
        <v>5941</v>
      </c>
    </row>
    <row r="20147" spans="9:10" x14ac:dyDescent="0.3">
      <c r="I20147" t="s">
        <v>25230</v>
      </c>
      <c r="J20147" t="s">
        <v>5942</v>
      </c>
    </row>
    <row r="20148" spans="9:10" x14ac:dyDescent="0.3">
      <c r="I20148" t="s">
        <v>25231</v>
      </c>
    </row>
    <row r="20149" spans="9:10" x14ac:dyDescent="0.3">
      <c r="I20149" t="s">
        <v>25232</v>
      </c>
      <c r="J20149" t="s">
        <v>5943</v>
      </c>
    </row>
    <row r="20150" spans="9:10" x14ac:dyDescent="0.3">
      <c r="I20150" t="s">
        <v>25233</v>
      </c>
      <c r="J20150" t="s">
        <v>5944</v>
      </c>
    </row>
    <row r="20151" spans="9:10" x14ac:dyDescent="0.3">
      <c r="I20151" t="s">
        <v>25234</v>
      </c>
    </row>
    <row r="20152" spans="9:10" x14ac:dyDescent="0.3">
      <c r="I20152" t="s">
        <v>25235</v>
      </c>
    </row>
    <row r="20153" spans="9:10" x14ac:dyDescent="0.3">
      <c r="I20153" t="s">
        <v>25236</v>
      </c>
    </row>
    <row r="20154" spans="9:10" x14ac:dyDescent="0.3">
      <c r="I20154" t="s">
        <v>25237</v>
      </c>
      <c r="J20154" t="s">
        <v>5945</v>
      </c>
    </row>
    <row r="20155" spans="9:10" x14ac:dyDescent="0.3">
      <c r="I20155" t="s">
        <v>25238</v>
      </c>
      <c r="J20155" t="s">
        <v>5946</v>
      </c>
    </row>
    <row r="20156" spans="9:10" x14ac:dyDescent="0.3">
      <c r="I20156" t="s">
        <v>25239</v>
      </c>
    </row>
    <row r="20157" spans="9:10" x14ac:dyDescent="0.3">
      <c r="I20157" t="s">
        <v>25240</v>
      </c>
    </row>
    <row r="20158" spans="9:10" x14ac:dyDescent="0.3">
      <c r="I20158" t="s">
        <v>25241</v>
      </c>
    </row>
    <row r="20159" spans="9:10" x14ac:dyDescent="0.3">
      <c r="I20159" t="s">
        <v>25242</v>
      </c>
    </row>
    <row r="20160" spans="9:10" x14ac:dyDescent="0.3">
      <c r="I20160" t="s">
        <v>25243</v>
      </c>
      <c r="J20160" t="s">
        <v>5947</v>
      </c>
    </row>
    <row r="20161" spans="9:10" x14ac:dyDescent="0.3">
      <c r="I20161" t="s">
        <v>25244</v>
      </c>
      <c r="J20161" t="s">
        <v>5948</v>
      </c>
    </row>
    <row r="20162" spans="9:10" x14ac:dyDescent="0.3">
      <c r="I20162" t="s">
        <v>25245</v>
      </c>
      <c r="J20162" t="s">
        <v>5949</v>
      </c>
    </row>
    <row r="20163" spans="9:10" x14ac:dyDescent="0.3">
      <c r="I20163" t="s">
        <v>25246</v>
      </c>
      <c r="J20163" t="s">
        <v>142</v>
      </c>
    </row>
    <row r="20164" spans="9:10" x14ac:dyDescent="0.3">
      <c r="I20164" t="s">
        <v>25246</v>
      </c>
      <c r="J20164" t="s">
        <v>142</v>
      </c>
    </row>
    <row r="20165" spans="9:10" x14ac:dyDescent="0.3">
      <c r="I20165" t="s">
        <v>25247</v>
      </c>
      <c r="J20165" t="s">
        <v>5950</v>
      </c>
    </row>
    <row r="20166" spans="9:10" x14ac:dyDescent="0.3">
      <c r="I20166" t="s">
        <v>25248</v>
      </c>
      <c r="J20166" t="s">
        <v>5951</v>
      </c>
    </row>
    <row r="20167" spans="9:10" x14ac:dyDescent="0.3">
      <c r="I20167" t="s">
        <v>25249</v>
      </c>
    </row>
    <row r="20168" spans="9:10" x14ac:dyDescent="0.3">
      <c r="I20168" t="s">
        <v>25250</v>
      </c>
    </row>
    <row r="20169" spans="9:10" x14ac:dyDescent="0.3">
      <c r="I20169" t="s">
        <v>25251</v>
      </c>
      <c r="J20169" t="s">
        <v>5952</v>
      </c>
    </row>
    <row r="20170" spans="9:10" x14ac:dyDescent="0.3">
      <c r="I20170" t="s">
        <v>25252</v>
      </c>
      <c r="J20170" t="s">
        <v>5953</v>
      </c>
    </row>
    <row r="20171" spans="9:10" x14ac:dyDescent="0.3">
      <c r="I20171" t="s">
        <v>25253</v>
      </c>
    </row>
    <row r="20172" spans="9:10" x14ac:dyDescent="0.3">
      <c r="I20172" t="s">
        <v>25254</v>
      </c>
      <c r="J20172" t="s">
        <v>5954</v>
      </c>
    </row>
    <row r="20173" spans="9:10" x14ac:dyDescent="0.3">
      <c r="I20173" t="s">
        <v>25255</v>
      </c>
      <c r="J20173" t="s">
        <v>5954</v>
      </c>
    </row>
    <row r="20174" spans="9:10" x14ac:dyDescent="0.3">
      <c r="I20174" t="s">
        <v>25256</v>
      </c>
    </row>
    <row r="20175" spans="9:10" x14ac:dyDescent="0.3">
      <c r="I20175" t="s">
        <v>25257</v>
      </c>
    </row>
    <row r="20176" spans="9:10" x14ac:dyDescent="0.3">
      <c r="I20176" t="s">
        <v>25258</v>
      </c>
    </row>
    <row r="20177" spans="9:10" x14ac:dyDescent="0.3">
      <c r="I20177" t="s">
        <v>25259</v>
      </c>
    </row>
    <row r="20178" spans="9:10" x14ac:dyDescent="0.3">
      <c r="I20178" t="s">
        <v>743</v>
      </c>
      <c r="J20178" t="s">
        <v>744</v>
      </c>
    </row>
    <row r="20179" spans="9:10" x14ac:dyDescent="0.3">
      <c r="I20179" t="s">
        <v>25260</v>
      </c>
      <c r="J20179" t="s">
        <v>5955</v>
      </c>
    </row>
    <row r="20180" spans="9:10" x14ac:dyDescent="0.3">
      <c r="I20180" t="s">
        <v>25261</v>
      </c>
      <c r="J20180" t="s">
        <v>5955</v>
      </c>
    </row>
    <row r="20181" spans="9:10" x14ac:dyDescent="0.3">
      <c r="I20181" t="s">
        <v>25262</v>
      </c>
      <c r="J20181" t="s">
        <v>5955</v>
      </c>
    </row>
    <row r="20182" spans="9:10" x14ac:dyDescent="0.3">
      <c r="I20182" t="s">
        <v>25263</v>
      </c>
      <c r="J20182" t="s">
        <v>5955</v>
      </c>
    </row>
    <row r="20183" spans="9:10" x14ac:dyDescent="0.3">
      <c r="I20183" t="s">
        <v>25264</v>
      </c>
      <c r="J20183" t="s">
        <v>5956</v>
      </c>
    </row>
    <row r="20184" spans="9:10" x14ac:dyDescent="0.3">
      <c r="I20184" t="s">
        <v>25264</v>
      </c>
      <c r="J20184" t="s">
        <v>5956</v>
      </c>
    </row>
    <row r="20185" spans="9:10" x14ac:dyDescent="0.3">
      <c r="I20185" t="s">
        <v>25265</v>
      </c>
      <c r="J20185" t="s">
        <v>5957</v>
      </c>
    </row>
    <row r="20186" spans="9:10" x14ac:dyDescent="0.3">
      <c r="I20186" t="s">
        <v>25266</v>
      </c>
      <c r="J20186" t="s">
        <v>134</v>
      </c>
    </row>
    <row r="20187" spans="9:10" x14ac:dyDescent="0.3">
      <c r="I20187" t="s">
        <v>25266</v>
      </c>
      <c r="J20187" t="s">
        <v>134</v>
      </c>
    </row>
    <row r="20188" spans="9:10" x14ac:dyDescent="0.3">
      <c r="I20188" t="s">
        <v>25267</v>
      </c>
    </row>
    <row r="20189" spans="9:10" x14ac:dyDescent="0.3">
      <c r="I20189" t="s">
        <v>25268</v>
      </c>
    </row>
    <row r="20190" spans="9:10" x14ac:dyDescent="0.3">
      <c r="I20190" t="s">
        <v>25269</v>
      </c>
    </row>
    <row r="20191" spans="9:10" x14ac:dyDescent="0.3">
      <c r="I20191" t="s">
        <v>25270</v>
      </c>
    </row>
    <row r="20192" spans="9:10" x14ac:dyDescent="0.3">
      <c r="I20192" t="s">
        <v>25271</v>
      </c>
      <c r="J20192" t="s">
        <v>5958</v>
      </c>
    </row>
    <row r="20193" spans="9:10" x14ac:dyDescent="0.3">
      <c r="I20193" t="s">
        <v>25272</v>
      </c>
    </row>
    <row r="20194" spans="9:10" x14ac:dyDescent="0.3">
      <c r="I20194" t="s">
        <v>25273</v>
      </c>
    </row>
    <row r="20195" spans="9:10" x14ac:dyDescent="0.3">
      <c r="I20195" t="s">
        <v>25274</v>
      </c>
    </row>
    <row r="20196" spans="9:10" x14ac:dyDescent="0.3">
      <c r="I20196" t="s">
        <v>25275</v>
      </c>
    </row>
    <row r="20197" spans="9:10" x14ac:dyDescent="0.3">
      <c r="I20197" t="s">
        <v>25276</v>
      </c>
    </row>
    <row r="20198" spans="9:10" x14ac:dyDescent="0.3">
      <c r="I20198" t="s">
        <v>25277</v>
      </c>
    </row>
    <row r="20199" spans="9:10" x14ac:dyDescent="0.3">
      <c r="I20199" t="s">
        <v>25278</v>
      </c>
    </row>
    <row r="20200" spans="9:10" x14ac:dyDescent="0.3">
      <c r="I20200" t="s">
        <v>25279</v>
      </c>
    </row>
    <row r="20201" spans="9:10" x14ac:dyDescent="0.3">
      <c r="I20201" t="s">
        <v>25280</v>
      </c>
      <c r="J20201" t="s">
        <v>5959</v>
      </c>
    </row>
    <row r="20202" spans="9:10" x14ac:dyDescent="0.3">
      <c r="I20202" t="s">
        <v>25281</v>
      </c>
      <c r="J20202" t="s">
        <v>5960</v>
      </c>
    </row>
    <row r="20203" spans="9:10" x14ac:dyDescent="0.3">
      <c r="I20203" t="s">
        <v>25281</v>
      </c>
      <c r="J20203" t="s">
        <v>5960</v>
      </c>
    </row>
    <row r="20204" spans="9:10" x14ac:dyDescent="0.3">
      <c r="I20204" t="s">
        <v>25281</v>
      </c>
      <c r="J20204" t="s">
        <v>5960</v>
      </c>
    </row>
    <row r="20205" spans="9:10" x14ac:dyDescent="0.3">
      <c r="I20205" t="s">
        <v>25281</v>
      </c>
      <c r="J20205" t="s">
        <v>5960</v>
      </c>
    </row>
    <row r="20206" spans="9:10" x14ac:dyDescent="0.3">
      <c r="I20206" t="s">
        <v>25281</v>
      </c>
      <c r="J20206" t="s">
        <v>5960</v>
      </c>
    </row>
    <row r="20207" spans="9:10" x14ac:dyDescent="0.3">
      <c r="I20207" t="s">
        <v>25282</v>
      </c>
      <c r="J20207" t="s">
        <v>5961</v>
      </c>
    </row>
    <row r="20208" spans="9:10" x14ac:dyDescent="0.3">
      <c r="I20208" t="s">
        <v>25283</v>
      </c>
      <c r="J20208" t="s">
        <v>5962</v>
      </c>
    </row>
    <row r="20209" spans="9:10" x14ac:dyDescent="0.3">
      <c r="I20209" t="s">
        <v>25284</v>
      </c>
    </row>
    <row r="20210" spans="9:10" x14ac:dyDescent="0.3">
      <c r="I20210" t="s">
        <v>25285</v>
      </c>
      <c r="J20210" t="s">
        <v>5963</v>
      </c>
    </row>
    <row r="20211" spans="9:10" x14ac:dyDescent="0.3">
      <c r="I20211" t="s">
        <v>25286</v>
      </c>
      <c r="J20211" t="s">
        <v>5964</v>
      </c>
    </row>
    <row r="20212" spans="9:10" x14ac:dyDescent="0.3">
      <c r="I20212" t="s">
        <v>25287</v>
      </c>
      <c r="J20212" t="s">
        <v>5965</v>
      </c>
    </row>
    <row r="20213" spans="9:10" x14ac:dyDescent="0.3">
      <c r="I20213" t="s">
        <v>25288</v>
      </c>
    </row>
    <row r="20214" spans="9:10" x14ac:dyDescent="0.3">
      <c r="I20214" t="s">
        <v>25289</v>
      </c>
    </row>
    <row r="20215" spans="9:10" x14ac:dyDescent="0.3">
      <c r="I20215" t="s">
        <v>25290</v>
      </c>
    </row>
    <row r="20216" spans="9:10" x14ac:dyDescent="0.3">
      <c r="I20216" t="s">
        <v>25290</v>
      </c>
    </row>
    <row r="20217" spans="9:10" x14ac:dyDescent="0.3">
      <c r="I20217" t="s">
        <v>11759</v>
      </c>
    </row>
    <row r="20218" spans="9:10" x14ac:dyDescent="0.3">
      <c r="I20218" t="s">
        <v>25291</v>
      </c>
    </row>
    <row r="20219" spans="9:10" x14ac:dyDescent="0.3">
      <c r="I20219" t="s">
        <v>25292</v>
      </c>
      <c r="J20219" t="s">
        <v>4921</v>
      </c>
    </row>
    <row r="20220" spans="9:10" x14ac:dyDescent="0.3">
      <c r="I20220" t="s">
        <v>25292</v>
      </c>
      <c r="J20220" t="s">
        <v>4921</v>
      </c>
    </row>
    <row r="20221" spans="9:10" x14ac:dyDescent="0.3">
      <c r="I20221" t="s">
        <v>25292</v>
      </c>
      <c r="J20221" t="s">
        <v>4921</v>
      </c>
    </row>
    <row r="20222" spans="9:10" x14ac:dyDescent="0.3">
      <c r="I20222" t="s">
        <v>25293</v>
      </c>
      <c r="J20222" t="s">
        <v>4921</v>
      </c>
    </row>
    <row r="20223" spans="9:10" x14ac:dyDescent="0.3">
      <c r="I20223" t="s">
        <v>25292</v>
      </c>
      <c r="J20223" t="s">
        <v>4921</v>
      </c>
    </row>
    <row r="20224" spans="9:10" x14ac:dyDescent="0.3">
      <c r="I20224" t="s">
        <v>25294</v>
      </c>
      <c r="J20224" t="s">
        <v>5966</v>
      </c>
    </row>
    <row r="20225" spans="9:10" x14ac:dyDescent="0.3">
      <c r="I20225" t="s">
        <v>25295</v>
      </c>
      <c r="J20225" t="s">
        <v>5966</v>
      </c>
    </row>
    <row r="20226" spans="9:10" x14ac:dyDescent="0.3">
      <c r="I20226" t="s">
        <v>25296</v>
      </c>
    </row>
    <row r="20227" spans="9:10" x14ac:dyDescent="0.3">
      <c r="I20227" t="s">
        <v>25297</v>
      </c>
      <c r="J20227" t="s">
        <v>5967</v>
      </c>
    </row>
    <row r="20228" spans="9:10" x14ac:dyDescent="0.3">
      <c r="I20228" t="s">
        <v>25298</v>
      </c>
      <c r="J20228" t="s">
        <v>5968</v>
      </c>
    </row>
    <row r="20229" spans="9:10" x14ac:dyDescent="0.3">
      <c r="I20229" t="s">
        <v>25299</v>
      </c>
      <c r="J20229" t="s">
        <v>5969</v>
      </c>
    </row>
    <row r="20230" spans="9:10" x14ac:dyDescent="0.3">
      <c r="I20230" t="s">
        <v>25300</v>
      </c>
      <c r="J20230" t="s">
        <v>5969</v>
      </c>
    </row>
    <row r="20231" spans="9:10" x14ac:dyDescent="0.3">
      <c r="I20231" t="s">
        <v>25301</v>
      </c>
      <c r="J20231" t="s">
        <v>303</v>
      </c>
    </row>
    <row r="20232" spans="9:10" x14ac:dyDescent="0.3">
      <c r="I20232" t="s">
        <v>25302</v>
      </c>
      <c r="J20232" t="s">
        <v>303</v>
      </c>
    </row>
    <row r="20233" spans="9:10" x14ac:dyDescent="0.3">
      <c r="I20233" t="s">
        <v>25303</v>
      </c>
      <c r="J20233" t="s">
        <v>303</v>
      </c>
    </row>
    <row r="20234" spans="9:10" x14ac:dyDescent="0.3">
      <c r="I20234" t="s">
        <v>25304</v>
      </c>
    </row>
    <row r="20235" spans="9:10" x14ac:dyDescent="0.3">
      <c r="I20235" t="s">
        <v>25305</v>
      </c>
      <c r="J20235" t="s">
        <v>5970</v>
      </c>
    </row>
    <row r="20236" spans="9:10" x14ac:dyDescent="0.3">
      <c r="I20236" t="s">
        <v>25305</v>
      </c>
      <c r="J20236" t="s">
        <v>5970</v>
      </c>
    </row>
    <row r="20237" spans="9:10" x14ac:dyDescent="0.3">
      <c r="I20237" t="s">
        <v>25305</v>
      </c>
      <c r="J20237" t="s">
        <v>5970</v>
      </c>
    </row>
    <row r="20238" spans="9:10" x14ac:dyDescent="0.3">
      <c r="I20238" t="s">
        <v>25306</v>
      </c>
      <c r="J20238" t="s">
        <v>5970</v>
      </c>
    </row>
    <row r="20239" spans="9:10" x14ac:dyDescent="0.3">
      <c r="I20239" t="s">
        <v>25307</v>
      </c>
    </row>
    <row r="20240" spans="9:10" x14ac:dyDescent="0.3">
      <c r="I20240" t="s">
        <v>25308</v>
      </c>
      <c r="J20240" t="s">
        <v>5971</v>
      </c>
    </row>
    <row r="20241" spans="9:10" x14ac:dyDescent="0.3">
      <c r="I20241" t="s">
        <v>25308</v>
      </c>
      <c r="J20241" t="s">
        <v>5971</v>
      </c>
    </row>
    <row r="20242" spans="9:10" x14ac:dyDescent="0.3">
      <c r="I20242" t="s">
        <v>25309</v>
      </c>
      <c r="J20242" t="s">
        <v>5972</v>
      </c>
    </row>
    <row r="20243" spans="9:10" x14ac:dyDescent="0.3">
      <c r="I20243" t="s">
        <v>25310</v>
      </c>
      <c r="J20243" t="s">
        <v>5972</v>
      </c>
    </row>
    <row r="20244" spans="9:10" x14ac:dyDescent="0.3">
      <c r="I20244" t="s">
        <v>25311</v>
      </c>
      <c r="J20244" t="s">
        <v>5973</v>
      </c>
    </row>
    <row r="20245" spans="9:10" x14ac:dyDescent="0.3">
      <c r="I20245" t="s">
        <v>25312</v>
      </c>
      <c r="J20245" t="s">
        <v>5974</v>
      </c>
    </row>
    <row r="20246" spans="9:10" x14ac:dyDescent="0.3">
      <c r="I20246" t="s">
        <v>25312</v>
      </c>
      <c r="J20246" t="s">
        <v>5974</v>
      </c>
    </row>
    <row r="20247" spans="9:10" x14ac:dyDescent="0.3">
      <c r="I20247" t="s">
        <v>25313</v>
      </c>
    </row>
    <row r="20248" spans="9:10" x14ac:dyDescent="0.3">
      <c r="I20248" t="s">
        <v>25314</v>
      </c>
    </row>
    <row r="20249" spans="9:10" x14ac:dyDescent="0.3">
      <c r="I20249" t="s">
        <v>25315</v>
      </c>
    </row>
    <row r="20250" spans="9:10" x14ac:dyDescent="0.3">
      <c r="I20250" t="s">
        <v>25316</v>
      </c>
      <c r="J20250" t="s">
        <v>5975</v>
      </c>
    </row>
    <row r="20251" spans="9:10" x14ac:dyDescent="0.3">
      <c r="I20251" t="s">
        <v>25317</v>
      </c>
    </row>
    <row r="20252" spans="9:10" x14ac:dyDescent="0.3">
      <c r="I20252" t="s">
        <v>25318</v>
      </c>
    </row>
    <row r="20253" spans="9:10" x14ac:dyDescent="0.3">
      <c r="I20253" t="s">
        <v>25319</v>
      </c>
    </row>
    <row r="20254" spans="9:10" x14ac:dyDescent="0.3">
      <c r="I20254" t="s">
        <v>25320</v>
      </c>
    </row>
    <row r="20255" spans="9:10" x14ac:dyDescent="0.3">
      <c r="I20255" t="s">
        <v>25321</v>
      </c>
      <c r="J20255" t="s">
        <v>5976</v>
      </c>
    </row>
    <row r="20256" spans="9:10" x14ac:dyDescent="0.3">
      <c r="I20256" t="s">
        <v>25322</v>
      </c>
      <c r="J20256" t="s">
        <v>5977</v>
      </c>
    </row>
    <row r="20257" spans="9:10" x14ac:dyDescent="0.3">
      <c r="I20257" t="s">
        <v>25323</v>
      </c>
    </row>
    <row r="20258" spans="9:10" x14ac:dyDescent="0.3">
      <c r="I20258" t="s">
        <v>25324</v>
      </c>
    </row>
    <row r="20259" spans="9:10" x14ac:dyDescent="0.3">
      <c r="I20259" t="s">
        <v>25325</v>
      </c>
    </row>
    <row r="20260" spans="9:10" x14ac:dyDescent="0.3">
      <c r="I20260" t="s">
        <v>25326</v>
      </c>
    </row>
    <row r="20261" spans="9:10" x14ac:dyDescent="0.3">
      <c r="I20261" t="s">
        <v>25327</v>
      </c>
    </row>
    <row r="20262" spans="9:10" x14ac:dyDescent="0.3">
      <c r="I20262" t="s">
        <v>25328</v>
      </c>
    </row>
    <row r="20263" spans="9:10" x14ac:dyDescent="0.3">
      <c r="I20263" t="s">
        <v>25329</v>
      </c>
    </row>
    <row r="20264" spans="9:10" x14ac:dyDescent="0.3">
      <c r="I20264" t="s">
        <v>25330</v>
      </c>
    </row>
    <row r="20265" spans="9:10" x14ac:dyDescent="0.3">
      <c r="I20265" t="s">
        <v>25331</v>
      </c>
    </row>
    <row r="20266" spans="9:10" x14ac:dyDescent="0.3">
      <c r="I20266" t="s">
        <v>25332</v>
      </c>
    </row>
    <row r="20267" spans="9:10" x14ac:dyDescent="0.3">
      <c r="I20267" t="s">
        <v>25333</v>
      </c>
    </row>
    <row r="20268" spans="9:10" x14ac:dyDescent="0.3">
      <c r="I20268" t="s">
        <v>25334</v>
      </c>
      <c r="J20268" t="s">
        <v>5978</v>
      </c>
    </row>
    <row r="20269" spans="9:10" x14ac:dyDescent="0.3">
      <c r="I20269" t="s">
        <v>25335</v>
      </c>
    </row>
    <row r="20270" spans="9:10" x14ac:dyDescent="0.3">
      <c r="I20270" t="s">
        <v>25336</v>
      </c>
      <c r="J20270" t="s">
        <v>5979</v>
      </c>
    </row>
    <row r="20271" spans="9:10" x14ac:dyDescent="0.3">
      <c r="I20271" t="s">
        <v>25337</v>
      </c>
    </row>
    <row r="20272" spans="9:10" x14ac:dyDescent="0.3">
      <c r="I20272" t="s">
        <v>25338</v>
      </c>
      <c r="J20272" t="s">
        <v>5980</v>
      </c>
    </row>
    <row r="20273" spans="9:10" x14ac:dyDescent="0.3">
      <c r="I20273" t="s">
        <v>25339</v>
      </c>
    </row>
    <row r="20274" spans="9:10" x14ac:dyDescent="0.3">
      <c r="I20274" t="s">
        <v>25340</v>
      </c>
      <c r="J20274" t="s">
        <v>5981</v>
      </c>
    </row>
    <row r="20275" spans="9:10" x14ac:dyDescent="0.3">
      <c r="I20275" t="s">
        <v>25341</v>
      </c>
      <c r="J20275" t="s">
        <v>5982</v>
      </c>
    </row>
    <row r="20276" spans="9:10" x14ac:dyDescent="0.3">
      <c r="I20276" t="s">
        <v>25342</v>
      </c>
      <c r="J20276" t="s">
        <v>5983</v>
      </c>
    </row>
    <row r="20277" spans="9:10" x14ac:dyDescent="0.3">
      <c r="I20277" t="s">
        <v>25343</v>
      </c>
      <c r="J20277" t="s">
        <v>5984</v>
      </c>
    </row>
    <row r="20278" spans="9:10" x14ac:dyDescent="0.3">
      <c r="I20278" t="s">
        <v>25344</v>
      </c>
      <c r="J20278" t="s">
        <v>5985</v>
      </c>
    </row>
    <row r="20279" spans="9:10" x14ac:dyDescent="0.3">
      <c r="I20279" t="s">
        <v>25345</v>
      </c>
      <c r="J20279" t="s">
        <v>5986</v>
      </c>
    </row>
    <row r="20280" spans="9:10" x14ac:dyDescent="0.3">
      <c r="I20280" t="s">
        <v>25346</v>
      </c>
      <c r="J20280" t="s">
        <v>5987</v>
      </c>
    </row>
    <row r="20281" spans="9:10" x14ac:dyDescent="0.3">
      <c r="I20281" t="s">
        <v>25347</v>
      </c>
      <c r="J20281" t="s">
        <v>5988</v>
      </c>
    </row>
    <row r="20282" spans="9:10" x14ac:dyDescent="0.3">
      <c r="I20282" t="s">
        <v>25348</v>
      </c>
    </row>
    <row r="20283" spans="9:10" x14ac:dyDescent="0.3">
      <c r="I20283" t="s">
        <v>25349</v>
      </c>
      <c r="J20283" t="s">
        <v>5989</v>
      </c>
    </row>
    <row r="20284" spans="9:10" x14ac:dyDescent="0.3">
      <c r="I20284" t="s">
        <v>25350</v>
      </c>
      <c r="J20284" t="s">
        <v>5990</v>
      </c>
    </row>
    <row r="20285" spans="9:10" x14ac:dyDescent="0.3">
      <c r="I20285" t="s">
        <v>25351</v>
      </c>
      <c r="J20285" t="s">
        <v>5991</v>
      </c>
    </row>
    <row r="20286" spans="9:10" x14ac:dyDescent="0.3">
      <c r="I20286" t="s">
        <v>25352</v>
      </c>
      <c r="J20286" t="s">
        <v>5992</v>
      </c>
    </row>
    <row r="20287" spans="9:10" x14ac:dyDescent="0.3">
      <c r="I20287" t="s">
        <v>25353</v>
      </c>
      <c r="J20287" t="s">
        <v>5993</v>
      </c>
    </row>
    <row r="20288" spans="9:10" x14ac:dyDescent="0.3">
      <c r="I20288" t="s">
        <v>25354</v>
      </c>
      <c r="J20288" t="s">
        <v>5994</v>
      </c>
    </row>
    <row r="20289" spans="9:10" x14ac:dyDescent="0.3">
      <c r="I20289" t="s">
        <v>25355</v>
      </c>
      <c r="J20289" t="s">
        <v>5995</v>
      </c>
    </row>
    <row r="20290" spans="9:10" x14ac:dyDescent="0.3">
      <c r="I20290" t="s">
        <v>25356</v>
      </c>
      <c r="J20290" t="s">
        <v>5996</v>
      </c>
    </row>
    <row r="20291" spans="9:10" x14ac:dyDescent="0.3">
      <c r="I20291" t="s">
        <v>25357</v>
      </c>
      <c r="J20291" t="s">
        <v>5997</v>
      </c>
    </row>
    <row r="20292" spans="9:10" x14ac:dyDescent="0.3">
      <c r="I20292" t="s">
        <v>25358</v>
      </c>
    </row>
    <row r="20293" spans="9:10" x14ac:dyDescent="0.3">
      <c r="I20293" t="s">
        <v>25359</v>
      </c>
    </row>
    <row r="20294" spans="9:10" x14ac:dyDescent="0.3">
      <c r="I20294" t="s">
        <v>25360</v>
      </c>
    </row>
    <row r="20295" spans="9:10" x14ac:dyDescent="0.3">
      <c r="I20295" t="s">
        <v>25361</v>
      </c>
    </row>
    <row r="20296" spans="9:10" x14ac:dyDescent="0.3">
      <c r="I20296" t="s">
        <v>25362</v>
      </c>
      <c r="J20296" t="s">
        <v>5998</v>
      </c>
    </row>
    <row r="20297" spans="9:10" x14ac:dyDescent="0.3">
      <c r="I20297" t="s">
        <v>25363</v>
      </c>
      <c r="J20297" t="s">
        <v>5998</v>
      </c>
    </row>
    <row r="20298" spans="9:10" x14ac:dyDescent="0.3">
      <c r="I20298" t="s">
        <v>25363</v>
      </c>
      <c r="J20298" t="s">
        <v>5998</v>
      </c>
    </row>
    <row r="20299" spans="9:10" x14ac:dyDescent="0.3">
      <c r="I20299" t="s">
        <v>25364</v>
      </c>
      <c r="J20299" t="s">
        <v>5999</v>
      </c>
    </row>
    <row r="20300" spans="9:10" x14ac:dyDescent="0.3">
      <c r="I20300" t="s">
        <v>25365</v>
      </c>
      <c r="J20300" t="s">
        <v>6000</v>
      </c>
    </row>
    <row r="20301" spans="9:10" x14ac:dyDescent="0.3">
      <c r="I20301" t="s">
        <v>25366</v>
      </c>
    </row>
    <row r="20302" spans="9:10" x14ac:dyDescent="0.3">
      <c r="I20302" t="s">
        <v>25366</v>
      </c>
    </row>
    <row r="20303" spans="9:10" x14ac:dyDescent="0.3">
      <c r="I20303" t="s">
        <v>25366</v>
      </c>
    </row>
    <row r="20304" spans="9:10" x14ac:dyDescent="0.3">
      <c r="I20304" t="s">
        <v>25367</v>
      </c>
    </row>
    <row r="20305" spans="9:10" x14ac:dyDescent="0.3">
      <c r="I20305" t="s">
        <v>25368</v>
      </c>
      <c r="J20305" t="s">
        <v>6001</v>
      </c>
    </row>
    <row r="20306" spans="9:10" x14ac:dyDescent="0.3">
      <c r="I20306" t="s">
        <v>25369</v>
      </c>
      <c r="J20306" t="s">
        <v>6002</v>
      </c>
    </row>
    <row r="20307" spans="9:10" x14ac:dyDescent="0.3">
      <c r="I20307" t="s">
        <v>25370</v>
      </c>
    </row>
    <row r="20308" spans="9:10" x14ac:dyDescent="0.3">
      <c r="I20308" t="s">
        <v>25371</v>
      </c>
      <c r="J20308" t="s">
        <v>6003</v>
      </c>
    </row>
    <row r="20309" spans="9:10" x14ac:dyDescent="0.3">
      <c r="I20309" t="s">
        <v>25372</v>
      </c>
    </row>
    <row r="20310" spans="9:10" x14ac:dyDescent="0.3">
      <c r="I20310" t="s">
        <v>25373</v>
      </c>
      <c r="J20310" t="s">
        <v>6004</v>
      </c>
    </row>
    <row r="20311" spans="9:10" x14ac:dyDescent="0.3">
      <c r="I20311" t="s">
        <v>25374</v>
      </c>
      <c r="J20311" t="s">
        <v>926</v>
      </c>
    </row>
    <row r="20312" spans="9:10" x14ac:dyDescent="0.3">
      <c r="I20312" t="s">
        <v>25375</v>
      </c>
      <c r="J20312" t="s">
        <v>282</v>
      </c>
    </row>
    <row r="20313" spans="9:10" x14ac:dyDescent="0.3">
      <c r="I20313" t="s">
        <v>25376</v>
      </c>
      <c r="J20313" t="s">
        <v>282</v>
      </c>
    </row>
    <row r="20314" spans="9:10" x14ac:dyDescent="0.3">
      <c r="I20314" t="s">
        <v>25377</v>
      </c>
      <c r="J20314" t="s">
        <v>282</v>
      </c>
    </row>
    <row r="20315" spans="9:10" x14ac:dyDescent="0.3">
      <c r="I20315" t="s">
        <v>25378</v>
      </c>
      <c r="J20315" t="s">
        <v>282</v>
      </c>
    </row>
    <row r="20316" spans="9:10" x14ac:dyDescent="0.3">
      <c r="I20316" t="s">
        <v>25377</v>
      </c>
      <c r="J20316" t="s">
        <v>282</v>
      </c>
    </row>
    <row r="20317" spans="9:10" x14ac:dyDescent="0.3">
      <c r="I20317" t="s">
        <v>25379</v>
      </c>
      <c r="J20317" t="s">
        <v>282</v>
      </c>
    </row>
    <row r="20318" spans="9:10" x14ac:dyDescent="0.3">
      <c r="I20318" t="s">
        <v>25380</v>
      </c>
    </row>
    <row r="20319" spans="9:10" x14ac:dyDescent="0.3">
      <c r="I20319" t="s">
        <v>25381</v>
      </c>
      <c r="J20319" t="s">
        <v>6005</v>
      </c>
    </row>
    <row r="20320" spans="9:10" x14ac:dyDescent="0.3">
      <c r="I20320" t="s">
        <v>25382</v>
      </c>
      <c r="J20320" t="s">
        <v>6006</v>
      </c>
    </row>
    <row r="20321" spans="9:10" x14ac:dyDescent="0.3">
      <c r="I20321" t="s">
        <v>25383</v>
      </c>
    </row>
    <row r="20322" spans="9:10" x14ac:dyDescent="0.3">
      <c r="I20322" t="s">
        <v>25384</v>
      </c>
    </row>
    <row r="20323" spans="9:10" x14ac:dyDescent="0.3">
      <c r="I20323" t="s">
        <v>25385</v>
      </c>
    </row>
    <row r="20324" spans="9:10" x14ac:dyDescent="0.3">
      <c r="I20324" t="s">
        <v>25386</v>
      </c>
      <c r="J20324" t="s">
        <v>6007</v>
      </c>
    </row>
    <row r="20325" spans="9:10" x14ac:dyDescent="0.3">
      <c r="I20325" t="s">
        <v>25387</v>
      </c>
      <c r="J20325" t="s">
        <v>6007</v>
      </c>
    </row>
    <row r="20326" spans="9:10" x14ac:dyDescent="0.3">
      <c r="I20326" t="s">
        <v>25388</v>
      </c>
    </row>
    <row r="20327" spans="9:10" x14ac:dyDescent="0.3">
      <c r="I20327" t="s">
        <v>25389</v>
      </c>
      <c r="J20327" t="s">
        <v>6008</v>
      </c>
    </row>
    <row r="20328" spans="9:10" x14ac:dyDescent="0.3">
      <c r="I20328" t="s">
        <v>25390</v>
      </c>
      <c r="J20328" t="s">
        <v>6008</v>
      </c>
    </row>
    <row r="20329" spans="9:10" x14ac:dyDescent="0.3">
      <c r="I20329" t="s">
        <v>25391</v>
      </c>
      <c r="J20329" t="s">
        <v>6009</v>
      </c>
    </row>
    <row r="20330" spans="9:10" x14ac:dyDescent="0.3">
      <c r="I20330" t="s">
        <v>25392</v>
      </c>
    </row>
    <row r="20331" spans="9:10" x14ac:dyDescent="0.3">
      <c r="I20331" t="s">
        <v>25393</v>
      </c>
      <c r="J20331" t="s">
        <v>6010</v>
      </c>
    </row>
    <row r="20332" spans="9:10" x14ac:dyDescent="0.3">
      <c r="I20332" t="s">
        <v>25393</v>
      </c>
      <c r="J20332" t="s">
        <v>6010</v>
      </c>
    </row>
    <row r="20333" spans="9:10" x14ac:dyDescent="0.3">
      <c r="I20333" t="s">
        <v>25394</v>
      </c>
      <c r="J20333" t="s">
        <v>6011</v>
      </c>
    </row>
    <row r="20334" spans="9:10" x14ac:dyDescent="0.3">
      <c r="I20334" t="s">
        <v>25395</v>
      </c>
      <c r="J20334" t="s">
        <v>6011</v>
      </c>
    </row>
    <row r="20335" spans="9:10" x14ac:dyDescent="0.3">
      <c r="I20335" t="s">
        <v>25396</v>
      </c>
      <c r="J20335" t="s">
        <v>6012</v>
      </c>
    </row>
    <row r="20336" spans="9:10" x14ac:dyDescent="0.3">
      <c r="I20336" t="s">
        <v>25397</v>
      </c>
      <c r="J20336" t="s">
        <v>6013</v>
      </c>
    </row>
    <row r="20337" spans="9:10" x14ac:dyDescent="0.3">
      <c r="I20337" t="s">
        <v>25398</v>
      </c>
      <c r="J20337" t="s">
        <v>6013</v>
      </c>
    </row>
    <row r="20338" spans="9:10" x14ac:dyDescent="0.3">
      <c r="I20338" t="s">
        <v>25397</v>
      </c>
      <c r="J20338" t="s">
        <v>6013</v>
      </c>
    </row>
    <row r="20339" spans="9:10" x14ac:dyDescent="0.3">
      <c r="I20339" t="s">
        <v>25397</v>
      </c>
      <c r="J20339" t="s">
        <v>6013</v>
      </c>
    </row>
    <row r="20340" spans="9:10" x14ac:dyDescent="0.3">
      <c r="I20340" t="s">
        <v>25399</v>
      </c>
      <c r="J20340" t="s">
        <v>6014</v>
      </c>
    </row>
    <row r="20341" spans="9:10" x14ac:dyDescent="0.3">
      <c r="I20341" t="s">
        <v>25400</v>
      </c>
      <c r="J20341" t="s">
        <v>6015</v>
      </c>
    </row>
    <row r="20342" spans="9:10" x14ac:dyDescent="0.3">
      <c r="I20342" t="s">
        <v>25401</v>
      </c>
      <c r="J20342" t="s">
        <v>6015</v>
      </c>
    </row>
    <row r="20343" spans="9:10" x14ac:dyDescent="0.3">
      <c r="I20343" t="s">
        <v>25402</v>
      </c>
      <c r="J20343" t="s">
        <v>6016</v>
      </c>
    </row>
    <row r="20344" spans="9:10" x14ac:dyDescent="0.3">
      <c r="I20344" t="s">
        <v>25402</v>
      </c>
      <c r="J20344" t="s">
        <v>6016</v>
      </c>
    </row>
    <row r="20345" spans="9:10" x14ac:dyDescent="0.3">
      <c r="I20345" t="s">
        <v>25403</v>
      </c>
      <c r="J20345" t="s">
        <v>6017</v>
      </c>
    </row>
    <row r="20346" spans="9:10" x14ac:dyDescent="0.3">
      <c r="I20346" t="s">
        <v>25404</v>
      </c>
      <c r="J20346" t="s">
        <v>6018</v>
      </c>
    </row>
    <row r="20347" spans="9:10" x14ac:dyDescent="0.3">
      <c r="I20347" t="s">
        <v>25405</v>
      </c>
      <c r="J20347" t="s">
        <v>385</v>
      </c>
    </row>
    <row r="20348" spans="9:10" x14ac:dyDescent="0.3">
      <c r="I20348" t="s">
        <v>25406</v>
      </c>
      <c r="J20348" t="s">
        <v>6019</v>
      </c>
    </row>
    <row r="20349" spans="9:10" x14ac:dyDescent="0.3">
      <c r="I20349" t="s">
        <v>25407</v>
      </c>
    </row>
    <row r="20350" spans="9:10" x14ac:dyDescent="0.3">
      <c r="I20350" t="s">
        <v>25408</v>
      </c>
    </row>
    <row r="20351" spans="9:10" x14ac:dyDescent="0.3">
      <c r="I20351" t="s">
        <v>25409</v>
      </c>
      <c r="J20351" t="s">
        <v>720</v>
      </c>
    </row>
    <row r="20352" spans="9:10" x14ac:dyDescent="0.3">
      <c r="I20352" t="s">
        <v>25409</v>
      </c>
      <c r="J20352" t="s">
        <v>720</v>
      </c>
    </row>
    <row r="20353" spans="9:10" x14ac:dyDescent="0.3">
      <c r="I20353" t="s">
        <v>25410</v>
      </c>
    </row>
    <row r="20354" spans="9:10" x14ac:dyDescent="0.3">
      <c r="I20354" t="s">
        <v>25411</v>
      </c>
      <c r="J20354" t="s">
        <v>6020</v>
      </c>
    </row>
    <row r="20355" spans="9:10" x14ac:dyDescent="0.3">
      <c r="I20355" t="s">
        <v>25412</v>
      </c>
      <c r="J20355" t="s">
        <v>6020</v>
      </c>
    </row>
    <row r="20356" spans="9:10" x14ac:dyDescent="0.3">
      <c r="I20356" t="s">
        <v>25412</v>
      </c>
      <c r="J20356" t="s">
        <v>6020</v>
      </c>
    </row>
    <row r="20357" spans="9:10" x14ac:dyDescent="0.3">
      <c r="I20357" t="s">
        <v>25411</v>
      </c>
      <c r="J20357" t="s">
        <v>6020</v>
      </c>
    </row>
    <row r="20358" spans="9:10" x14ac:dyDescent="0.3">
      <c r="I20358" t="s">
        <v>25413</v>
      </c>
      <c r="J20358" t="s">
        <v>877</v>
      </c>
    </row>
    <row r="20359" spans="9:10" x14ac:dyDescent="0.3">
      <c r="I20359" t="s">
        <v>25414</v>
      </c>
      <c r="J20359" t="s">
        <v>877</v>
      </c>
    </row>
    <row r="20360" spans="9:10" x14ac:dyDescent="0.3">
      <c r="I20360" t="s">
        <v>25415</v>
      </c>
      <c r="J20360" t="s">
        <v>877</v>
      </c>
    </row>
    <row r="20361" spans="9:10" x14ac:dyDescent="0.3">
      <c r="I20361" t="s">
        <v>25416</v>
      </c>
      <c r="J20361" t="s">
        <v>6021</v>
      </c>
    </row>
    <row r="20362" spans="9:10" x14ac:dyDescent="0.3">
      <c r="I20362" t="s">
        <v>25417</v>
      </c>
      <c r="J20362" t="s">
        <v>6022</v>
      </c>
    </row>
    <row r="20363" spans="9:10" x14ac:dyDescent="0.3">
      <c r="I20363" t="s">
        <v>25418</v>
      </c>
      <c r="J20363" t="s">
        <v>6022</v>
      </c>
    </row>
    <row r="20364" spans="9:10" x14ac:dyDescent="0.3">
      <c r="I20364" t="s">
        <v>25419</v>
      </c>
    </row>
    <row r="20365" spans="9:10" x14ac:dyDescent="0.3">
      <c r="I20365" t="s">
        <v>25420</v>
      </c>
    </row>
    <row r="20366" spans="9:10" x14ac:dyDescent="0.3">
      <c r="I20366" t="s">
        <v>25421</v>
      </c>
    </row>
    <row r="20367" spans="9:10" x14ac:dyDescent="0.3">
      <c r="I20367" t="s">
        <v>25422</v>
      </c>
      <c r="J20367" t="s">
        <v>6023</v>
      </c>
    </row>
    <row r="20368" spans="9:10" x14ac:dyDescent="0.3">
      <c r="I20368" t="s">
        <v>25423</v>
      </c>
    </row>
    <row r="20369" spans="9:10" x14ac:dyDescent="0.3">
      <c r="I20369" t="s">
        <v>25424</v>
      </c>
      <c r="J20369" t="s">
        <v>6024</v>
      </c>
    </row>
    <row r="20370" spans="9:10" x14ac:dyDescent="0.3">
      <c r="I20370" t="s">
        <v>25425</v>
      </c>
      <c r="J20370" t="s">
        <v>6024</v>
      </c>
    </row>
    <row r="20371" spans="9:10" x14ac:dyDescent="0.3">
      <c r="I20371" t="s">
        <v>25426</v>
      </c>
      <c r="J20371" t="s">
        <v>6024</v>
      </c>
    </row>
    <row r="20372" spans="9:10" x14ac:dyDescent="0.3">
      <c r="I20372" t="s">
        <v>25427</v>
      </c>
      <c r="J20372" t="s">
        <v>1056</v>
      </c>
    </row>
    <row r="20373" spans="9:10" x14ac:dyDescent="0.3">
      <c r="I20373" t="s">
        <v>25428</v>
      </c>
    </row>
    <row r="20374" spans="9:10" x14ac:dyDescent="0.3">
      <c r="I20374" t="s">
        <v>25429</v>
      </c>
      <c r="J20374" t="s">
        <v>6025</v>
      </c>
    </row>
    <row r="20375" spans="9:10" x14ac:dyDescent="0.3">
      <c r="I20375" t="s">
        <v>25430</v>
      </c>
    </row>
    <row r="20376" spans="9:10" x14ac:dyDescent="0.3">
      <c r="I20376" t="s">
        <v>25431</v>
      </c>
      <c r="J20376" t="s">
        <v>6026</v>
      </c>
    </row>
    <row r="20377" spans="9:10" x14ac:dyDescent="0.3">
      <c r="I20377" t="s">
        <v>25432</v>
      </c>
      <c r="J20377" t="s">
        <v>6027</v>
      </c>
    </row>
    <row r="20378" spans="9:10" x14ac:dyDescent="0.3">
      <c r="I20378" t="s">
        <v>25433</v>
      </c>
      <c r="J20378" t="s">
        <v>6027</v>
      </c>
    </row>
    <row r="20379" spans="9:10" x14ac:dyDescent="0.3">
      <c r="I20379" t="s">
        <v>25434</v>
      </c>
      <c r="J20379" t="s">
        <v>6027</v>
      </c>
    </row>
    <row r="20380" spans="9:10" x14ac:dyDescent="0.3">
      <c r="I20380" t="s">
        <v>25435</v>
      </c>
      <c r="J20380" t="s">
        <v>6027</v>
      </c>
    </row>
    <row r="20381" spans="9:10" x14ac:dyDescent="0.3">
      <c r="I20381" t="s">
        <v>25436</v>
      </c>
      <c r="J20381" t="s">
        <v>6027</v>
      </c>
    </row>
    <row r="20382" spans="9:10" x14ac:dyDescent="0.3">
      <c r="I20382" t="s">
        <v>25432</v>
      </c>
      <c r="J20382" t="s">
        <v>6027</v>
      </c>
    </row>
    <row r="20383" spans="9:10" x14ac:dyDescent="0.3">
      <c r="I20383" t="s">
        <v>25437</v>
      </c>
      <c r="J20383" t="s">
        <v>6028</v>
      </c>
    </row>
    <row r="20384" spans="9:10" x14ac:dyDescent="0.3">
      <c r="I20384" t="s">
        <v>25437</v>
      </c>
      <c r="J20384" t="s">
        <v>6028</v>
      </c>
    </row>
    <row r="20385" spans="9:10" x14ac:dyDescent="0.3">
      <c r="I20385" t="s">
        <v>25438</v>
      </c>
    </row>
    <row r="20386" spans="9:10" x14ac:dyDescent="0.3">
      <c r="I20386" t="s">
        <v>25439</v>
      </c>
    </row>
    <row r="20387" spans="9:10" x14ac:dyDescent="0.3">
      <c r="I20387" t="s">
        <v>25440</v>
      </c>
    </row>
    <row r="20388" spans="9:10" x14ac:dyDescent="0.3">
      <c r="I20388" t="s">
        <v>25441</v>
      </c>
    </row>
    <row r="20389" spans="9:10" x14ac:dyDescent="0.3">
      <c r="I20389" t="s">
        <v>25442</v>
      </c>
    </row>
    <row r="20390" spans="9:10" x14ac:dyDescent="0.3">
      <c r="I20390" t="s">
        <v>25443</v>
      </c>
      <c r="J20390" t="s">
        <v>6029</v>
      </c>
    </row>
    <row r="20391" spans="9:10" x14ac:dyDescent="0.3">
      <c r="I20391" t="s">
        <v>25443</v>
      </c>
      <c r="J20391" t="s">
        <v>6029</v>
      </c>
    </row>
    <row r="20392" spans="9:10" x14ac:dyDescent="0.3">
      <c r="I20392" t="s">
        <v>25444</v>
      </c>
      <c r="J20392" t="s">
        <v>6030</v>
      </c>
    </row>
    <row r="20393" spans="9:10" x14ac:dyDescent="0.3">
      <c r="I20393" t="s">
        <v>25444</v>
      </c>
      <c r="J20393" t="s">
        <v>6030</v>
      </c>
    </row>
    <row r="20394" spans="9:10" x14ac:dyDescent="0.3">
      <c r="I20394" t="s">
        <v>25445</v>
      </c>
    </row>
    <row r="20395" spans="9:10" x14ac:dyDescent="0.3">
      <c r="I20395" t="s">
        <v>25446</v>
      </c>
    </row>
    <row r="20396" spans="9:10" x14ac:dyDescent="0.3">
      <c r="I20396" t="s">
        <v>25447</v>
      </c>
      <c r="J20396" t="s">
        <v>6031</v>
      </c>
    </row>
    <row r="20397" spans="9:10" x14ac:dyDescent="0.3">
      <c r="I20397" t="s">
        <v>25448</v>
      </c>
      <c r="J20397" t="s">
        <v>6032</v>
      </c>
    </row>
    <row r="20398" spans="9:10" x14ac:dyDescent="0.3">
      <c r="I20398" t="s">
        <v>25449</v>
      </c>
      <c r="J20398" t="s">
        <v>781</v>
      </c>
    </row>
    <row r="20399" spans="9:10" x14ac:dyDescent="0.3">
      <c r="I20399" t="s">
        <v>25449</v>
      </c>
      <c r="J20399" t="s">
        <v>781</v>
      </c>
    </row>
    <row r="20400" spans="9:10" x14ac:dyDescent="0.3">
      <c r="I20400" t="s">
        <v>25450</v>
      </c>
    </row>
    <row r="20401" spans="9:10" x14ac:dyDescent="0.3">
      <c r="I20401" t="s">
        <v>25451</v>
      </c>
    </row>
    <row r="20402" spans="9:10" x14ac:dyDescent="0.3">
      <c r="I20402" t="s">
        <v>25452</v>
      </c>
      <c r="J20402" t="s">
        <v>6033</v>
      </c>
    </row>
    <row r="20403" spans="9:10" x14ac:dyDescent="0.3">
      <c r="I20403" t="s">
        <v>25453</v>
      </c>
      <c r="J20403" t="s">
        <v>6034</v>
      </c>
    </row>
    <row r="20404" spans="9:10" x14ac:dyDescent="0.3">
      <c r="I20404" t="s">
        <v>25454</v>
      </c>
    </row>
    <row r="20405" spans="9:10" x14ac:dyDescent="0.3">
      <c r="I20405" t="s">
        <v>25455</v>
      </c>
    </row>
    <row r="20406" spans="9:10" x14ac:dyDescent="0.3">
      <c r="I20406" t="s">
        <v>25456</v>
      </c>
    </row>
    <row r="20407" spans="9:10" x14ac:dyDescent="0.3">
      <c r="I20407" t="s">
        <v>25457</v>
      </c>
    </row>
    <row r="20408" spans="9:10" x14ac:dyDescent="0.3">
      <c r="I20408" t="s">
        <v>25458</v>
      </c>
    </row>
    <row r="20409" spans="9:10" x14ac:dyDescent="0.3">
      <c r="I20409" t="s">
        <v>25459</v>
      </c>
    </row>
    <row r="20410" spans="9:10" x14ac:dyDescent="0.3">
      <c r="I20410" t="s">
        <v>25460</v>
      </c>
      <c r="J20410" t="s">
        <v>6035</v>
      </c>
    </row>
    <row r="20411" spans="9:10" x14ac:dyDescent="0.3">
      <c r="I20411" t="s">
        <v>11783</v>
      </c>
      <c r="J20411" t="s">
        <v>1810</v>
      </c>
    </row>
    <row r="20412" spans="9:10" x14ac:dyDescent="0.3">
      <c r="I20412" t="s">
        <v>11783</v>
      </c>
      <c r="J20412" t="s">
        <v>1810</v>
      </c>
    </row>
    <row r="20413" spans="9:10" x14ac:dyDescent="0.3">
      <c r="I20413" t="s">
        <v>25461</v>
      </c>
      <c r="J20413" t="s">
        <v>6036</v>
      </c>
    </row>
    <row r="20414" spans="9:10" x14ac:dyDescent="0.3">
      <c r="I20414" t="s">
        <v>25462</v>
      </c>
    </row>
    <row r="20415" spans="9:10" x14ac:dyDescent="0.3">
      <c r="I20415" t="s">
        <v>25463</v>
      </c>
    </row>
    <row r="20416" spans="9:10" x14ac:dyDescent="0.3">
      <c r="I20416" t="s">
        <v>25464</v>
      </c>
    </row>
    <row r="20417" spans="9:10" x14ac:dyDescent="0.3">
      <c r="I20417" t="s">
        <v>25465</v>
      </c>
      <c r="J20417" t="s">
        <v>6037</v>
      </c>
    </row>
    <row r="20418" spans="9:10" x14ac:dyDescent="0.3">
      <c r="I20418" t="s">
        <v>25466</v>
      </c>
      <c r="J20418" t="s">
        <v>6037</v>
      </c>
    </row>
    <row r="20419" spans="9:10" x14ac:dyDescent="0.3">
      <c r="I20419" t="s">
        <v>25467</v>
      </c>
      <c r="J20419" t="s">
        <v>1200</v>
      </c>
    </row>
    <row r="20420" spans="9:10" x14ac:dyDescent="0.3">
      <c r="I20420" t="s">
        <v>25467</v>
      </c>
      <c r="J20420" t="s">
        <v>1200</v>
      </c>
    </row>
    <row r="20421" spans="9:10" x14ac:dyDescent="0.3">
      <c r="I20421" t="s">
        <v>25467</v>
      </c>
      <c r="J20421" t="s">
        <v>1200</v>
      </c>
    </row>
    <row r="20422" spans="9:10" x14ac:dyDescent="0.3">
      <c r="I20422" t="s">
        <v>25467</v>
      </c>
      <c r="J20422" t="s">
        <v>1200</v>
      </c>
    </row>
    <row r="20423" spans="9:10" x14ac:dyDescent="0.3">
      <c r="I20423" t="s">
        <v>25467</v>
      </c>
      <c r="J20423" t="s">
        <v>1200</v>
      </c>
    </row>
    <row r="20424" spans="9:10" x14ac:dyDescent="0.3">
      <c r="I20424" t="s">
        <v>25468</v>
      </c>
      <c r="J20424" t="s">
        <v>6038</v>
      </c>
    </row>
    <row r="20425" spans="9:10" x14ac:dyDescent="0.3">
      <c r="I20425" t="s">
        <v>25469</v>
      </c>
      <c r="J20425" t="s">
        <v>6039</v>
      </c>
    </row>
    <row r="20426" spans="9:10" x14ac:dyDescent="0.3">
      <c r="I20426" t="s">
        <v>25470</v>
      </c>
      <c r="J20426" t="s">
        <v>476</v>
      </c>
    </row>
    <row r="20427" spans="9:10" x14ac:dyDescent="0.3">
      <c r="I20427" t="s">
        <v>16113</v>
      </c>
      <c r="J20427" t="s">
        <v>476</v>
      </c>
    </row>
    <row r="20428" spans="9:10" x14ac:dyDescent="0.3">
      <c r="I20428" t="s">
        <v>16113</v>
      </c>
      <c r="J20428" t="s">
        <v>476</v>
      </c>
    </row>
    <row r="20429" spans="9:10" x14ac:dyDescent="0.3">
      <c r="I20429" t="s">
        <v>25471</v>
      </c>
    </row>
    <row r="20430" spans="9:10" x14ac:dyDescent="0.3">
      <c r="I20430" t="s">
        <v>25472</v>
      </c>
    </row>
    <row r="20431" spans="9:10" x14ac:dyDescent="0.3">
      <c r="I20431" t="s">
        <v>25473</v>
      </c>
    </row>
    <row r="20432" spans="9:10" x14ac:dyDescent="0.3">
      <c r="I20432" t="s">
        <v>25474</v>
      </c>
    </row>
    <row r="20433" spans="9:10" x14ac:dyDescent="0.3">
      <c r="I20433" t="s">
        <v>25475</v>
      </c>
      <c r="J20433" t="s">
        <v>4011</v>
      </c>
    </row>
    <row r="20434" spans="9:10" x14ac:dyDescent="0.3">
      <c r="I20434" t="s">
        <v>16896</v>
      </c>
      <c r="J20434" t="s">
        <v>4011</v>
      </c>
    </row>
    <row r="20435" spans="9:10" x14ac:dyDescent="0.3">
      <c r="I20435" t="s">
        <v>25476</v>
      </c>
      <c r="J20435" t="s">
        <v>4011</v>
      </c>
    </row>
    <row r="20436" spans="9:10" x14ac:dyDescent="0.3">
      <c r="I20436" t="s">
        <v>16896</v>
      </c>
      <c r="J20436" t="s">
        <v>4011</v>
      </c>
    </row>
    <row r="20437" spans="9:10" x14ac:dyDescent="0.3">
      <c r="I20437" t="s">
        <v>16896</v>
      </c>
      <c r="J20437" t="s">
        <v>4011</v>
      </c>
    </row>
    <row r="20438" spans="9:10" x14ac:dyDescent="0.3">
      <c r="I20438" t="s">
        <v>16896</v>
      </c>
      <c r="J20438" t="s">
        <v>4011</v>
      </c>
    </row>
    <row r="20439" spans="9:10" x14ac:dyDescent="0.3">
      <c r="I20439" t="s">
        <v>16896</v>
      </c>
      <c r="J20439" t="s">
        <v>4011</v>
      </c>
    </row>
    <row r="20440" spans="9:10" x14ac:dyDescent="0.3">
      <c r="I20440" t="s">
        <v>25477</v>
      </c>
      <c r="J20440" t="s">
        <v>4011</v>
      </c>
    </row>
    <row r="20441" spans="9:10" x14ac:dyDescent="0.3">
      <c r="I20441" t="s">
        <v>25478</v>
      </c>
      <c r="J20441" t="s">
        <v>4011</v>
      </c>
    </row>
    <row r="20442" spans="9:10" x14ac:dyDescent="0.3">
      <c r="I20442" t="s">
        <v>25478</v>
      </c>
      <c r="J20442" t="s">
        <v>4011</v>
      </c>
    </row>
    <row r="20443" spans="9:10" x14ac:dyDescent="0.3">
      <c r="I20443" t="s">
        <v>25478</v>
      </c>
      <c r="J20443" t="s">
        <v>4011</v>
      </c>
    </row>
    <row r="20444" spans="9:10" x14ac:dyDescent="0.3">
      <c r="I20444" t="s">
        <v>16896</v>
      </c>
      <c r="J20444" t="s">
        <v>4011</v>
      </c>
    </row>
    <row r="20445" spans="9:10" x14ac:dyDescent="0.3">
      <c r="I20445" t="s">
        <v>16896</v>
      </c>
      <c r="J20445" t="s">
        <v>4011</v>
      </c>
    </row>
    <row r="20446" spans="9:10" x14ac:dyDescent="0.3">
      <c r="I20446" t="s">
        <v>16896</v>
      </c>
      <c r="J20446" t="s">
        <v>4011</v>
      </c>
    </row>
    <row r="20447" spans="9:10" x14ac:dyDescent="0.3">
      <c r="I20447" t="s">
        <v>25479</v>
      </c>
      <c r="J20447" t="s">
        <v>4011</v>
      </c>
    </row>
    <row r="20448" spans="9:10" x14ac:dyDescent="0.3">
      <c r="I20448" t="s">
        <v>25480</v>
      </c>
      <c r="J20448" t="s">
        <v>4011</v>
      </c>
    </row>
    <row r="20449" spans="9:10" x14ac:dyDescent="0.3">
      <c r="I20449" t="s">
        <v>25481</v>
      </c>
      <c r="J20449" t="s">
        <v>4011</v>
      </c>
    </row>
    <row r="20450" spans="9:10" x14ac:dyDescent="0.3">
      <c r="I20450" t="s">
        <v>25482</v>
      </c>
      <c r="J20450" t="s">
        <v>4011</v>
      </c>
    </row>
    <row r="20451" spans="9:10" x14ac:dyDescent="0.3">
      <c r="I20451" t="s">
        <v>25483</v>
      </c>
      <c r="J20451" t="s">
        <v>4011</v>
      </c>
    </row>
    <row r="20452" spans="9:10" x14ac:dyDescent="0.3">
      <c r="I20452" t="s">
        <v>25484</v>
      </c>
      <c r="J20452" t="s">
        <v>4011</v>
      </c>
    </row>
    <row r="20453" spans="9:10" x14ac:dyDescent="0.3">
      <c r="I20453" t="s">
        <v>25485</v>
      </c>
      <c r="J20453" t="s">
        <v>4011</v>
      </c>
    </row>
    <row r="20454" spans="9:10" x14ac:dyDescent="0.3">
      <c r="I20454" t="s">
        <v>25477</v>
      </c>
      <c r="J20454" t="s">
        <v>4011</v>
      </c>
    </row>
    <row r="20455" spans="9:10" x14ac:dyDescent="0.3">
      <c r="I20455" t="s">
        <v>16896</v>
      </c>
      <c r="J20455" t="s">
        <v>4011</v>
      </c>
    </row>
    <row r="20456" spans="9:10" x14ac:dyDescent="0.3">
      <c r="I20456" t="s">
        <v>16896</v>
      </c>
      <c r="J20456" t="s">
        <v>4011</v>
      </c>
    </row>
    <row r="20457" spans="9:10" x14ac:dyDescent="0.3">
      <c r="I20457" t="s">
        <v>25486</v>
      </c>
      <c r="J20457" t="s">
        <v>6040</v>
      </c>
    </row>
    <row r="20458" spans="9:10" x14ac:dyDescent="0.3">
      <c r="I20458" t="s">
        <v>25487</v>
      </c>
      <c r="J20458" t="s">
        <v>6041</v>
      </c>
    </row>
    <row r="20459" spans="9:10" x14ac:dyDescent="0.3">
      <c r="I20459" t="s">
        <v>25488</v>
      </c>
      <c r="J20459" t="s">
        <v>6042</v>
      </c>
    </row>
    <row r="20460" spans="9:10" x14ac:dyDescent="0.3">
      <c r="I20460" t="s">
        <v>25489</v>
      </c>
      <c r="J20460" t="s">
        <v>6043</v>
      </c>
    </row>
    <row r="20461" spans="9:10" x14ac:dyDescent="0.3">
      <c r="I20461" t="s">
        <v>25489</v>
      </c>
      <c r="J20461" t="s">
        <v>6043</v>
      </c>
    </row>
    <row r="20462" spans="9:10" x14ac:dyDescent="0.3">
      <c r="I20462" t="s">
        <v>25490</v>
      </c>
      <c r="J20462" t="s">
        <v>6044</v>
      </c>
    </row>
    <row r="20463" spans="9:10" x14ac:dyDescent="0.3">
      <c r="I20463" t="s">
        <v>25491</v>
      </c>
      <c r="J20463" t="s">
        <v>6045</v>
      </c>
    </row>
    <row r="20464" spans="9:10" x14ac:dyDescent="0.3">
      <c r="I20464" t="s">
        <v>25492</v>
      </c>
      <c r="J20464" t="s">
        <v>6046</v>
      </c>
    </row>
    <row r="20465" spans="9:10" x14ac:dyDescent="0.3">
      <c r="I20465" t="s">
        <v>25493</v>
      </c>
      <c r="J20465" t="s">
        <v>3946</v>
      </c>
    </row>
    <row r="20466" spans="9:10" x14ac:dyDescent="0.3">
      <c r="I20466" t="s">
        <v>25494</v>
      </c>
      <c r="J20466" t="s">
        <v>3946</v>
      </c>
    </row>
    <row r="20467" spans="9:10" x14ac:dyDescent="0.3">
      <c r="I20467" t="s">
        <v>16735</v>
      </c>
      <c r="J20467" t="s">
        <v>3946</v>
      </c>
    </row>
    <row r="20468" spans="9:10" x14ac:dyDescent="0.3">
      <c r="I20468" t="s">
        <v>25494</v>
      </c>
      <c r="J20468" t="s">
        <v>3946</v>
      </c>
    </row>
    <row r="20469" spans="9:10" x14ac:dyDescent="0.3">
      <c r="I20469" t="s">
        <v>16735</v>
      </c>
      <c r="J20469" t="s">
        <v>3946</v>
      </c>
    </row>
    <row r="20470" spans="9:10" x14ac:dyDescent="0.3">
      <c r="I20470" t="s">
        <v>25495</v>
      </c>
      <c r="J20470" t="s">
        <v>6047</v>
      </c>
    </row>
    <row r="20471" spans="9:10" x14ac:dyDescent="0.3">
      <c r="I20471" t="s">
        <v>25496</v>
      </c>
    </row>
    <row r="20472" spans="9:10" x14ac:dyDescent="0.3">
      <c r="I20472" t="s">
        <v>25497</v>
      </c>
    </row>
    <row r="20473" spans="9:10" x14ac:dyDescent="0.3">
      <c r="I20473" t="s">
        <v>25497</v>
      </c>
    </row>
    <row r="20474" spans="9:10" x14ac:dyDescent="0.3">
      <c r="I20474" t="s">
        <v>25498</v>
      </c>
    </row>
    <row r="20475" spans="9:10" x14ac:dyDescent="0.3">
      <c r="I20475" t="s">
        <v>25499</v>
      </c>
    </row>
    <row r="20476" spans="9:10" x14ac:dyDescent="0.3">
      <c r="I20476" t="s">
        <v>25500</v>
      </c>
    </row>
    <row r="20477" spans="9:10" x14ac:dyDescent="0.3">
      <c r="I20477" t="s">
        <v>25501</v>
      </c>
      <c r="J20477" t="s">
        <v>6048</v>
      </c>
    </row>
    <row r="20478" spans="9:10" x14ac:dyDescent="0.3">
      <c r="I20478" t="s">
        <v>25502</v>
      </c>
      <c r="J20478" t="s">
        <v>6048</v>
      </c>
    </row>
    <row r="20479" spans="9:10" x14ac:dyDescent="0.3">
      <c r="I20479" t="s">
        <v>25503</v>
      </c>
      <c r="J20479" t="s">
        <v>6049</v>
      </c>
    </row>
    <row r="20480" spans="9:10" x14ac:dyDescent="0.3">
      <c r="I20480" t="s">
        <v>25504</v>
      </c>
    </row>
    <row r="20481" spans="9:10" x14ac:dyDescent="0.3">
      <c r="I20481" t="s">
        <v>25505</v>
      </c>
    </row>
    <row r="20482" spans="9:10" x14ac:dyDescent="0.3">
      <c r="I20482" t="s">
        <v>25506</v>
      </c>
      <c r="J20482" t="s">
        <v>6050</v>
      </c>
    </row>
    <row r="20483" spans="9:10" x14ac:dyDescent="0.3">
      <c r="I20483" t="s">
        <v>25507</v>
      </c>
      <c r="J20483" t="s">
        <v>6051</v>
      </c>
    </row>
    <row r="20484" spans="9:10" x14ac:dyDescent="0.3">
      <c r="I20484" t="s">
        <v>25508</v>
      </c>
      <c r="J20484" t="s">
        <v>6052</v>
      </c>
    </row>
    <row r="20485" spans="9:10" x14ac:dyDescent="0.3">
      <c r="I20485" t="s">
        <v>25509</v>
      </c>
    </row>
    <row r="20486" spans="9:10" x14ac:dyDescent="0.3">
      <c r="I20486" t="s">
        <v>25510</v>
      </c>
      <c r="J20486" t="s">
        <v>6053</v>
      </c>
    </row>
    <row r="20487" spans="9:10" x14ac:dyDescent="0.3">
      <c r="I20487" t="s">
        <v>25511</v>
      </c>
    </row>
    <row r="20488" spans="9:10" x14ac:dyDescent="0.3">
      <c r="I20488" t="s">
        <v>25512</v>
      </c>
      <c r="J20488" t="s">
        <v>6054</v>
      </c>
    </row>
    <row r="20489" spans="9:10" x14ac:dyDescent="0.3">
      <c r="I20489" t="s">
        <v>25513</v>
      </c>
      <c r="J20489" t="s">
        <v>6055</v>
      </c>
    </row>
    <row r="20490" spans="9:10" x14ac:dyDescent="0.3">
      <c r="I20490" t="s">
        <v>25514</v>
      </c>
    </row>
    <row r="20491" spans="9:10" x14ac:dyDescent="0.3">
      <c r="I20491" t="s">
        <v>25515</v>
      </c>
      <c r="J20491" t="s">
        <v>6056</v>
      </c>
    </row>
    <row r="20492" spans="9:10" x14ac:dyDescent="0.3">
      <c r="I20492" t="s">
        <v>25516</v>
      </c>
      <c r="J20492" t="s">
        <v>6057</v>
      </c>
    </row>
    <row r="20493" spans="9:10" x14ac:dyDescent="0.3">
      <c r="I20493" t="s">
        <v>25517</v>
      </c>
      <c r="J20493" t="s">
        <v>6058</v>
      </c>
    </row>
    <row r="20494" spans="9:10" x14ac:dyDescent="0.3">
      <c r="I20494" t="s">
        <v>25518</v>
      </c>
      <c r="J20494" t="s">
        <v>6059</v>
      </c>
    </row>
    <row r="20495" spans="9:10" x14ac:dyDescent="0.3">
      <c r="I20495" t="s">
        <v>25519</v>
      </c>
      <c r="J20495" t="s">
        <v>6060</v>
      </c>
    </row>
    <row r="20496" spans="9:10" x14ac:dyDescent="0.3">
      <c r="I20496" t="s">
        <v>25520</v>
      </c>
      <c r="J20496" t="s">
        <v>6060</v>
      </c>
    </row>
    <row r="20497" spans="9:10" x14ac:dyDescent="0.3">
      <c r="I20497" t="s">
        <v>25519</v>
      </c>
      <c r="J20497" t="s">
        <v>6060</v>
      </c>
    </row>
    <row r="20498" spans="9:10" x14ac:dyDescent="0.3">
      <c r="I20498" t="s">
        <v>25520</v>
      </c>
      <c r="J20498" t="s">
        <v>6060</v>
      </c>
    </row>
    <row r="20499" spans="9:10" x14ac:dyDescent="0.3">
      <c r="I20499" t="s">
        <v>25521</v>
      </c>
      <c r="J20499" t="s">
        <v>6061</v>
      </c>
    </row>
    <row r="20500" spans="9:10" x14ac:dyDescent="0.3">
      <c r="I20500" t="s">
        <v>25522</v>
      </c>
      <c r="J20500" t="s">
        <v>6061</v>
      </c>
    </row>
    <row r="20501" spans="9:10" x14ac:dyDescent="0.3">
      <c r="I20501" t="s">
        <v>25523</v>
      </c>
      <c r="J20501" t="s">
        <v>6062</v>
      </c>
    </row>
    <row r="20502" spans="9:10" x14ac:dyDescent="0.3">
      <c r="I20502" t="s">
        <v>25524</v>
      </c>
      <c r="J20502" t="s">
        <v>6062</v>
      </c>
    </row>
    <row r="20503" spans="9:10" x14ac:dyDescent="0.3">
      <c r="I20503" t="s">
        <v>25525</v>
      </c>
      <c r="J20503" t="s">
        <v>6063</v>
      </c>
    </row>
    <row r="20504" spans="9:10" x14ac:dyDescent="0.3">
      <c r="I20504" t="s">
        <v>25526</v>
      </c>
      <c r="J20504" t="s">
        <v>6063</v>
      </c>
    </row>
    <row r="20505" spans="9:10" x14ac:dyDescent="0.3">
      <c r="I20505" t="s">
        <v>25527</v>
      </c>
      <c r="J20505" t="s">
        <v>6064</v>
      </c>
    </row>
    <row r="20506" spans="9:10" x14ac:dyDescent="0.3">
      <c r="I20506" t="s">
        <v>25528</v>
      </c>
    </row>
    <row r="20507" spans="9:10" x14ac:dyDescent="0.3">
      <c r="I20507" t="s">
        <v>25529</v>
      </c>
      <c r="J20507" t="s">
        <v>6065</v>
      </c>
    </row>
    <row r="20508" spans="9:10" x14ac:dyDescent="0.3">
      <c r="I20508" t="s">
        <v>25530</v>
      </c>
    </row>
    <row r="20509" spans="9:10" x14ac:dyDescent="0.3">
      <c r="I20509" t="s">
        <v>25531</v>
      </c>
      <c r="J20509" t="s">
        <v>6066</v>
      </c>
    </row>
    <row r="20510" spans="9:10" x14ac:dyDescent="0.3">
      <c r="I20510" t="s">
        <v>25532</v>
      </c>
      <c r="J20510" t="s">
        <v>6067</v>
      </c>
    </row>
    <row r="20511" spans="9:10" x14ac:dyDescent="0.3">
      <c r="I20511" t="s">
        <v>25533</v>
      </c>
      <c r="J20511" t="s">
        <v>6068</v>
      </c>
    </row>
    <row r="20512" spans="9:10" x14ac:dyDescent="0.3">
      <c r="I20512" t="s">
        <v>25534</v>
      </c>
      <c r="J20512" t="s">
        <v>6069</v>
      </c>
    </row>
    <row r="20513" spans="9:10" x14ac:dyDescent="0.3">
      <c r="I20513" t="s">
        <v>25535</v>
      </c>
    </row>
    <row r="20514" spans="9:10" x14ac:dyDescent="0.3">
      <c r="I20514" t="s">
        <v>25536</v>
      </c>
      <c r="J20514" t="s">
        <v>6070</v>
      </c>
    </row>
    <row r="20515" spans="9:10" x14ac:dyDescent="0.3">
      <c r="I20515" t="s">
        <v>25536</v>
      </c>
      <c r="J20515" t="s">
        <v>6070</v>
      </c>
    </row>
    <row r="20516" spans="9:10" x14ac:dyDescent="0.3">
      <c r="I20516" t="s">
        <v>25537</v>
      </c>
      <c r="J20516" t="s">
        <v>786</v>
      </c>
    </row>
    <row r="20517" spans="9:10" x14ac:dyDescent="0.3">
      <c r="I20517" t="s">
        <v>25537</v>
      </c>
      <c r="J20517" t="s">
        <v>786</v>
      </c>
    </row>
    <row r="20518" spans="9:10" x14ac:dyDescent="0.3">
      <c r="I20518" t="s">
        <v>25538</v>
      </c>
      <c r="J20518" t="s">
        <v>786</v>
      </c>
    </row>
    <row r="20519" spans="9:10" x14ac:dyDescent="0.3">
      <c r="I20519" t="s">
        <v>15435</v>
      </c>
      <c r="J20519" t="s">
        <v>246</v>
      </c>
    </row>
    <row r="20520" spans="9:10" x14ac:dyDescent="0.3">
      <c r="I20520" t="s">
        <v>25539</v>
      </c>
      <c r="J20520" t="s">
        <v>246</v>
      </c>
    </row>
    <row r="20521" spans="9:10" x14ac:dyDescent="0.3">
      <c r="I20521" t="s">
        <v>25540</v>
      </c>
      <c r="J20521" t="s">
        <v>6071</v>
      </c>
    </row>
    <row r="20522" spans="9:10" x14ac:dyDescent="0.3">
      <c r="I20522" t="s">
        <v>25541</v>
      </c>
      <c r="J20522" t="s">
        <v>6071</v>
      </c>
    </row>
    <row r="20523" spans="9:10" x14ac:dyDescent="0.3">
      <c r="I20523" t="s">
        <v>25542</v>
      </c>
      <c r="J20523" t="s">
        <v>6071</v>
      </c>
    </row>
    <row r="20524" spans="9:10" x14ac:dyDescent="0.3">
      <c r="I20524" t="s">
        <v>25543</v>
      </c>
    </row>
    <row r="20525" spans="9:10" x14ac:dyDescent="0.3">
      <c r="I20525" t="s">
        <v>25544</v>
      </c>
      <c r="J20525" t="s">
        <v>6072</v>
      </c>
    </row>
    <row r="20526" spans="9:10" x14ac:dyDescent="0.3">
      <c r="I20526" t="s">
        <v>25545</v>
      </c>
    </row>
    <row r="20527" spans="9:10" x14ac:dyDescent="0.3">
      <c r="I20527" t="s">
        <v>10569</v>
      </c>
      <c r="J20527" t="s">
        <v>877</v>
      </c>
    </row>
    <row r="20528" spans="9:10" x14ac:dyDescent="0.3">
      <c r="I20528" t="s">
        <v>876</v>
      </c>
      <c r="J20528" t="s">
        <v>877</v>
      </c>
    </row>
    <row r="20529" spans="9:10" x14ac:dyDescent="0.3">
      <c r="I20529" t="s">
        <v>25546</v>
      </c>
      <c r="J20529" t="s">
        <v>877</v>
      </c>
    </row>
    <row r="20530" spans="9:10" x14ac:dyDescent="0.3">
      <c r="I20530" t="s">
        <v>25547</v>
      </c>
      <c r="J20530" t="s">
        <v>877</v>
      </c>
    </row>
    <row r="20531" spans="9:10" x14ac:dyDescent="0.3">
      <c r="I20531" t="s">
        <v>25548</v>
      </c>
      <c r="J20531" t="s">
        <v>877</v>
      </c>
    </row>
    <row r="20532" spans="9:10" x14ac:dyDescent="0.3">
      <c r="I20532" t="s">
        <v>876</v>
      </c>
      <c r="J20532" t="s">
        <v>877</v>
      </c>
    </row>
    <row r="20533" spans="9:10" x14ac:dyDescent="0.3">
      <c r="I20533" t="s">
        <v>25549</v>
      </c>
      <c r="J20533" t="s">
        <v>6073</v>
      </c>
    </row>
    <row r="20534" spans="9:10" x14ac:dyDescent="0.3">
      <c r="I20534" t="s">
        <v>25549</v>
      </c>
      <c r="J20534" t="s">
        <v>6073</v>
      </c>
    </row>
    <row r="20535" spans="9:10" x14ac:dyDescent="0.3">
      <c r="I20535" t="s">
        <v>25550</v>
      </c>
      <c r="J20535" t="s">
        <v>6073</v>
      </c>
    </row>
    <row r="20536" spans="9:10" x14ac:dyDescent="0.3">
      <c r="I20536" t="s">
        <v>25551</v>
      </c>
      <c r="J20536" t="s">
        <v>6074</v>
      </c>
    </row>
    <row r="20537" spans="9:10" x14ac:dyDescent="0.3">
      <c r="I20537" t="s">
        <v>25552</v>
      </c>
      <c r="J20537" t="s">
        <v>6075</v>
      </c>
    </row>
    <row r="20538" spans="9:10" x14ac:dyDescent="0.3">
      <c r="I20538" t="s">
        <v>25553</v>
      </c>
      <c r="J20538" t="s">
        <v>6076</v>
      </c>
    </row>
    <row r="20539" spans="9:10" x14ac:dyDescent="0.3">
      <c r="I20539" t="s">
        <v>25553</v>
      </c>
      <c r="J20539" t="s">
        <v>6076</v>
      </c>
    </row>
    <row r="20540" spans="9:10" x14ac:dyDescent="0.3">
      <c r="I20540" t="s">
        <v>25554</v>
      </c>
      <c r="J20540" t="s">
        <v>6077</v>
      </c>
    </row>
    <row r="20541" spans="9:10" x14ac:dyDescent="0.3">
      <c r="I20541" t="s">
        <v>25554</v>
      </c>
      <c r="J20541" t="s">
        <v>6077</v>
      </c>
    </row>
    <row r="20542" spans="9:10" x14ac:dyDescent="0.3">
      <c r="I20542" t="s">
        <v>25555</v>
      </c>
    </row>
    <row r="20543" spans="9:10" x14ac:dyDescent="0.3">
      <c r="I20543" t="s">
        <v>25556</v>
      </c>
    </row>
    <row r="20544" spans="9:10" x14ac:dyDescent="0.3">
      <c r="I20544" t="s">
        <v>25557</v>
      </c>
    </row>
    <row r="20545" spans="9:10" x14ac:dyDescent="0.3">
      <c r="I20545" t="s">
        <v>25558</v>
      </c>
    </row>
    <row r="20546" spans="9:10" x14ac:dyDescent="0.3">
      <c r="I20546" t="s">
        <v>25559</v>
      </c>
      <c r="J20546" t="s">
        <v>6078</v>
      </c>
    </row>
    <row r="20547" spans="9:10" x14ac:dyDescent="0.3">
      <c r="I20547" t="s">
        <v>25560</v>
      </c>
      <c r="J20547" t="s">
        <v>6079</v>
      </c>
    </row>
    <row r="20548" spans="9:10" x14ac:dyDescent="0.3">
      <c r="I20548" t="s">
        <v>25561</v>
      </c>
    </row>
    <row r="20549" spans="9:10" x14ac:dyDescent="0.3">
      <c r="I20549" t="s">
        <v>25562</v>
      </c>
    </row>
    <row r="20550" spans="9:10" x14ac:dyDescent="0.3">
      <c r="I20550" t="s">
        <v>25563</v>
      </c>
    </row>
    <row r="20551" spans="9:10" x14ac:dyDescent="0.3">
      <c r="I20551" t="s">
        <v>25564</v>
      </c>
    </row>
    <row r="20552" spans="9:10" x14ac:dyDescent="0.3">
      <c r="I20552" t="s">
        <v>25565</v>
      </c>
    </row>
    <row r="20553" spans="9:10" x14ac:dyDescent="0.3">
      <c r="I20553" t="s">
        <v>25566</v>
      </c>
      <c r="J20553" t="s">
        <v>406</v>
      </c>
    </row>
    <row r="20554" spans="9:10" x14ac:dyDescent="0.3">
      <c r="I20554" t="s">
        <v>25567</v>
      </c>
      <c r="J20554" t="s">
        <v>6080</v>
      </c>
    </row>
    <row r="20555" spans="9:10" x14ac:dyDescent="0.3">
      <c r="I20555" t="s">
        <v>25568</v>
      </c>
      <c r="J20555" t="s">
        <v>6081</v>
      </c>
    </row>
    <row r="20556" spans="9:10" x14ac:dyDescent="0.3">
      <c r="I20556" t="s">
        <v>25569</v>
      </c>
      <c r="J20556" t="s">
        <v>6081</v>
      </c>
    </row>
    <row r="20557" spans="9:10" x14ac:dyDescent="0.3">
      <c r="I20557" t="s">
        <v>25570</v>
      </c>
      <c r="J20557" t="s">
        <v>6082</v>
      </c>
    </row>
    <row r="20558" spans="9:10" x14ac:dyDescent="0.3">
      <c r="I20558" t="s">
        <v>25571</v>
      </c>
      <c r="J20558" t="s">
        <v>6083</v>
      </c>
    </row>
    <row r="20559" spans="9:10" x14ac:dyDescent="0.3">
      <c r="I20559" t="s">
        <v>25572</v>
      </c>
      <c r="J20559" t="s">
        <v>6084</v>
      </c>
    </row>
    <row r="20560" spans="9:10" x14ac:dyDescent="0.3">
      <c r="I20560" t="s">
        <v>25573</v>
      </c>
      <c r="J20560" t="s">
        <v>6085</v>
      </c>
    </row>
    <row r="20561" spans="9:10" x14ac:dyDescent="0.3">
      <c r="I20561" t="s">
        <v>25574</v>
      </c>
      <c r="J20561" t="s">
        <v>6085</v>
      </c>
    </row>
    <row r="20562" spans="9:10" x14ac:dyDescent="0.3">
      <c r="I20562" t="s">
        <v>25575</v>
      </c>
    </row>
    <row r="20563" spans="9:10" x14ac:dyDescent="0.3">
      <c r="I20563" t="s">
        <v>25576</v>
      </c>
    </row>
    <row r="20564" spans="9:10" x14ac:dyDescent="0.3">
      <c r="I20564" t="s">
        <v>25577</v>
      </c>
      <c r="J20564" t="s">
        <v>6086</v>
      </c>
    </row>
    <row r="20565" spans="9:10" x14ac:dyDescent="0.3">
      <c r="I20565" t="s">
        <v>25578</v>
      </c>
      <c r="J20565" t="s">
        <v>6087</v>
      </c>
    </row>
    <row r="20566" spans="9:10" x14ac:dyDescent="0.3">
      <c r="I20566" t="s">
        <v>25579</v>
      </c>
      <c r="J20566" t="s">
        <v>6087</v>
      </c>
    </row>
    <row r="20567" spans="9:10" x14ac:dyDescent="0.3">
      <c r="I20567" t="s">
        <v>25580</v>
      </c>
      <c r="J20567" t="s">
        <v>6088</v>
      </c>
    </row>
    <row r="20568" spans="9:10" x14ac:dyDescent="0.3">
      <c r="I20568" t="s">
        <v>25581</v>
      </c>
      <c r="J20568">
        <v>0</v>
      </c>
    </row>
    <row r="20569" spans="9:10" x14ac:dyDescent="0.3">
      <c r="I20569" t="s">
        <v>25582</v>
      </c>
      <c r="J20569" t="s">
        <v>6089</v>
      </c>
    </row>
    <row r="20570" spans="9:10" x14ac:dyDescent="0.3">
      <c r="I20570" t="s">
        <v>25582</v>
      </c>
      <c r="J20570" t="s">
        <v>6089</v>
      </c>
    </row>
    <row r="20571" spans="9:10" x14ac:dyDescent="0.3">
      <c r="I20571" t="s">
        <v>25583</v>
      </c>
      <c r="J20571" t="s">
        <v>621</v>
      </c>
    </row>
    <row r="20572" spans="9:10" x14ac:dyDescent="0.3">
      <c r="I20572" t="s">
        <v>25584</v>
      </c>
      <c r="J20572" t="s">
        <v>6090</v>
      </c>
    </row>
    <row r="20573" spans="9:10" x14ac:dyDescent="0.3">
      <c r="I20573" t="s">
        <v>25585</v>
      </c>
    </row>
    <row r="20574" spans="9:10" x14ac:dyDescent="0.3">
      <c r="I20574" t="s">
        <v>25586</v>
      </c>
      <c r="J20574" t="s">
        <v>6091</v>
      </c>
    </row>
    <row r="20575" spans="9:10" x14ac:dyDescent="0.3">
      <c r="I20575" t="s">
        <v>25587</v>
      </c>
      <c r="J20575" t="s">
        <v>6091</v>
      </c>
    </row>
    <row r="20576" spans="9:10" x14ac:dyDescent="0.3">
      <c r="I20576" t="s">
        <v>25588</v>
      </c>
      <c r="J20576" t="s">
        <v>6092</v>
      </c>
    </row>
    <row r="20577" spans="9:10" x14ac:dyDescent="0.3">
      <c r="I20577" t="s">
        <v>25589</v>
      </c>
      <c r="J20577" t="s">
        <v>6093</v>
      </c>
    </row>
    <row r="20578" spans="9:10" x14ac:dyDescent="0.3">
      <c r="I20578" t="s">
        <v>25590</v>
      </c>
      <c r="J20578" t="s">
        <v>6093</v>
      </c>
    </row>
    <row r="20579" spans="9:10" x14ac:dyDescent="0.3">
      <c r="I20579" t="s">
        <v>25590</v>
      </c>
      <c r="J20579" t="s">
        <v>6093</v>
      </c>
    </row>
    <row r="20580" spans="9:10" x14ac:dyDescent="0.3">
      <c r="I20580" t="s">
        <v>25591</v>
      </c>
      <c r="J20580" t="s">
        <v>6094</v>
      </c>
    </row>
    <row r="20581" spans="9:10" x14ac:dyDescent="0.3">
      <c r="I20581" t="s">
        <v>25592</v>
      </c>
      <c r="J20581" t="s">
        <v>6095</v>
      </c>
    </row>
    <row r="20582" spans="9:10" x14ac:dyDescent="0.3">
      <c r="I20582" t="s">
        <v>25593</v>
      </c>
      <c r="J20582" t="s">
        <v>6096</v>
      </c>
    </row>
    <row r="20583" spans="9:10" x14ac:dyDescent="0.3">
      <c r="I20583" t="s">
        <v>25594</v>
      </c>
      <c r="J20583" t="s">
        <v>6097</v>
      </c>
    </row>
    <row r="20584" spans="9:10" x14ac:dyDescent="0.3">
      <c r="I20584" t="s">
        <v>25595</v>
      </c>
      <c r="J20584" t="s">
        <v>6098</v>
      </c>
    </row>
    <row r="20585" spans="9:10" x14ac:dyDescent="0.3">
      <c r="I20585" t="s">
        <v>25595</v>
      </c>
      <c r="J20585" t="s">
        <v>6098</v>
      </c>
    </row>
    <row r="20586" spans="9:10" x14ac:dyDescent="0.3">
      <c r="I20586" t="s">
        <v>25595</v>
      </c>
      <c r="J20586" t="s">
        <v>6098</v>
      </c>
    </row>
    <row r="20587" spans="9:10" x14ac:dyDescent="0.3">
      <c r="I20587" t="s">
        <v>25595</v>
      </c>
      <c r="J20587" t="s">
        <v>6098</v>
      </c>
    </row>
    <row r="20588" spans="9:10" x14ac:dyDescent="0.3">
      <c r="I20588" t="s">
        <v>25595</v>
      </c>
      <c r="J20588" t="s">
        <v>6098</v>
      </c>
    </row>
    <row r="20589" spans="9:10" x14ac:dyDescent="0.3">
      <c r="I20589" t="s">
        <v>25596</v>
      </c>
      <c r="J20589" t="s">
        <v>6099</v>
      </c>
    </row>
    <row r="20590" spans="9:10" x14ac:dyDescent="0.3">
      <c r="I20590" t="s">
        <v>25596</v>
      </c>
      <c r="J20590" t="s">
        <v>6099</v>
      </c>
    </row>
    <row r="20591" spans="9:10" x14ac:dyDescent="0.3">
      <c r="I20591" t="s">
        <v>25597</v>
      </c>
      <c r="J20591" t="s">
        <v>6100</v>
      </c>
    </row>
    <row r="20592" spans="9:10" x14ac:dyDescent="0.3">
      <c r="I20592" t="s">
        <v>25598</v>
      </c>
      <c r="J20592" t="s">
        <v>6101</v>
      </c>
    </row>
    <row r="20593" spans="9:10" x14ac:dyDescent="0.3">
      <c r="I20593" t="s">
        <v>25599</v>
      </c>
      <c r="J20593" t="s">
        <v>6102</v>
      </c>
    </row>
    <row r="20594" spans="9:10" x14ac:dyDescent="0.3">
      <c r="I20594" t="s">
        <v>25600</v>
      </c>
      <c r="J20594" t="s">
        <v>6103</v>
      </c>
    </row>
    <row r="20595" spans="9:10" x14ac:dyDescent="0.3">
      <c r="I20595" t="s">
        <v>25601</v>
      </c>
      <c r="J20595" t="s">
        <v>6104</v>
      </c>
    </row>
    <row r="20596" spans="9:10" x14ac:dyDescent="0.3">
      <c r="I20596" t="s">
        <v>25602</v>
      </c>
      <c r="J20596" t="s">
        <v>6105</v>
      </c>
    </row>
    <row r="20597" spans="9:10" x14ac:dyDescent="0.3">
      <c r="I20597" t="s">
        <v>25603</v>
      </c>
      <c r="J20597" t="s">
        <v>6106</v>
      </c>
    </row>
    <row r="20598" spans="9:10" x14ac:dyDescent="0.3">
      <c r="I20598" t="s">
        <v>25604</v>
      </c>
      <c r="J20598" t="s">
        <v>6106</v>
      </c>
    </row>
    <row r="20599" spans="9:10" x14ac:dyDescent="0.3">
      <c r="I20599" t="s">
        <v>25605</v>
      </c>
    </row>
    <row r="20600" spans="9:10" x14ac:dyDescent="0.3">
      <c r="I20600" t="s">
        <v>25606</v>
      </c>
    </row>
    <row r="20601" spans="9:10" x14ac:dyDescent="0.3">
      <c r="I20601" t="s">
        <v>25607</v>
      </c>
    </row>
    <row r="20602" spans="9:10" x14ac:dyDescent="0.3">
      <c r="I20602" t="s">
        <v>25608</v>
      </c>
    </row>
    <row r="20603" spans="9:10" x14ac:dyDescent="0.3">
      <c r="I20603" t="s">
        <v>25609</v>
      </c>
    </row>
    <row r="20604" spans="9:10" x14ac:dyDescent="0.3">
      <c r="I20604" t="s">
        <v>25610</v>
      </c>
      <c r="J20604" t="s">
        <v>6107</v>
      </c>
    </row>
    <row r="20605" spans="9:10" x14ac:dyDescent="0.3">
      <c r="I20605" t="s">
        <v>25611</v>
      </c>
      <c r="J20605" t="s">
        <v>6107</v>
      </c>
    </row>
    <row r="20606" spans="9:10" x14ac:dyDescent="0.3">
      <c r="I20606" t="s">
        <v>25612</v>
      </c>
      <c r="J20606" t="s">
        <v>6108</v>
      </c>
    </row>
    <row r="20607" spans="9:10" x14ac:dyDescent="0.3">
      <c r="I20607" t="s">
        <v>25613</v>
      </c>
      <c r="J20607" t="s">
        <v>6109</v>
      </c>
    </row>
    <row r="20608" spans="9:10" x14ac:dyDescent="0.3">
      <c r="I20608" t="s">
        <v>25614</v>
      </c>
      <c r="J20608" t="s">
        <v>6110</v>
      </c>
    </row>
    <row r="20609" spans="9:10" x14ac:dyDescent="0.3">
      <c r="I20609" t="s">
        <v>25615</v>
      </c>
      <c r="J20609" t="s">
        <v>6110</v>
      </c>
    </row>
    <row r="20610" spans="9:10" x14ac:dyDescent="0.3">
      <c r="I20610" t="s">
        <v>25616</v>
      </c>
      <c r="J20610" t="s">
        <v>6110</v>
      </c>
    </row>
    <row r="20611" spans="9:10" x14ac:dyDescent="0.3">
      <c r="I20611" t="s">
        <v>25614</v>
      </c>
      <c r="J20611" t="s">
        <v>6110</v>
      </c>
    </row>
    <row r="20612" spans="9:10" x14ac:dyDescent="0.3">
      <c r="I20612" t="s">
        <v>25617</v>
      </c>
    </row>
    <row r="20613" spans="9:10" x14ac:dyDescent="0.3">
      <c r="I20613" t="s">
        <v>25617</v>
      </c>
    </row>
    <row r="20614" spans="9:10" x14ac:dyDescent="0.3">
      <c r="I20614" t="s">
        <v>25618</v>
      </c>
    </row>
    <row r="20615" spans="9:10" x14ac:dyDescent="0.3">
      <c r="I20615" t="s">
        <v>25619</v>
      </c>
    </row>
    <row r="20616" spans="9:10" x14ac:dyDescent="0.3">
      <c r="I20616" t="s">
        <v>25620</v>
      </c>
    </row>
    <row r="20617" spans="9:10" x14ac:dyDescent="0.3">
      <c r="I20617" t="s">
        <v>25621</v>
      </c>
    </row>
    <row r="20618" spans="9:10" x14ac:dyDescent="0.3">
      <c r="I20618" t="s">
        <v>25622</v>
      </c>
      <c r="J20618" t="s">
        <v>6111</v>
      </c>
    </row>
    <row r="20619" spans="9:10" x14ac:dyDescent="0.3">
      <c r="I20619" t="s">
        <v>25623</v>
      </c>
      <c r="J20619" t="s">
        <v>6112</v>
      </c>
    </row>
    <row r="20620" spans="9:10" x14ac:dyDescent="0.3">
      <c r="I20620" t="s">
        <v>25624</v>
      </c>
      <c r="J20620" t="s">
        <v>6113</v>
      </c>
    </row>
    <row r="20621" spans="9:10" x14ac:dyDescent="0.3">
      <c r="I20621" t="s">
        <v>25625</v>
      </c>
      <c r="J20621" t="s">
        <v>6114</v>
      </c>
    </row>
    <row r="20622" spans="9:10" x14ac:dyDescent="0.3">
      <c r="I20622" t="s">
        <v>25626</v>
      </c>
      <c r="J20622" t="s">
        <v>6115</v>
      </c>
    </row>
    <row r="20623" spans="9:10" x14ac:dyDescent="0.3">
      <c r="I20623" t="s">
        <v>25627</v>
      </c>
      <c r="J20623" t="s">
        <v>6116</v>
      </c>
    </row>
    <row r="20624" spans="9:10" x14ac:dyDescent="0.3">
      <c r="I20624" t="s">
        <v>25628</v>
      </c>
      <c r="J20624" t="s">
        <v>6117</v>
      </c>
    </row>
    <row r="20625" spans="9:10" x14ac:dyDescent="0.3">
      <c r="I20625" t="s">
        <v>25629</v>
      </c>
      <c r="J20625" t="s">
        <v>6118</v>
      </c>
    </row>
    <row r="20626" spans="9:10" x14ac:dyDescent="0.3">
      <c r="I20626" t="s">
        <v>25630</v>
      </c>
      <c r="J20626" t="s">
        <v>6119</v>
      </c>
    </row>
    <row r="20627" spans="9:10" x14ac:dyDescent="0.3">
      <c r="I20627" t="s">
        <v>25631</v>
      </c>
      <c r="J20627" t="s">
        <v>6120</v>
      </c>
    </row>
    <row r="20628" spans="9:10" x14ac:dyDescent="0.3">
      <c r="I20628" t="s">
        <v>25632</v>
      </c>
      <c r="J20628" t="s">
        <v>6121</v>
      </c>
    </row>
    <row r="20629" spans="9:10" x14ac:dyDescent="0.3">
      <c r="I20629" t="s">
        <v>25633</v>
      </c>
      <c r="J20629" t="s">
        <v>6122</v>
      </c>
    </row>
    <row r="20630" spans="9:10" x14ac:dyDescent="0.3">
      <c r="I20630" t="s">
        <v>25634</v>
      </c>
      <c r="J20630" t="s">
        <v>6123</v>
      </c>
    </row>
    <row r="20631" spans="9:10" x14ac:dyDescent="0.3">
      <c r="I20631" t="s">
        <v>25635</v>
      </c>
      <c r="J20631" t="s">
        <v>1733</v>
      </c>
    </row>
    <row r="20632" spans="9:10" x14ac:dyDescent="0.3">
      <c r="I20632" t="s">
        <v>25636</v>
      </c>
      <c r="J20632" t="s">
        <v>1733</v>
      </c>
    </row>
    <row r="20633" spans="9:10" x14ac:dyDescent="0.3">
      <c r="I20633" t="s">
        <v>25637</v>
      </c>
      <c r="J20633" t="s">
        <v>1733</v>
      </c>
    </row>
    <row r="20634" spans="9:10" x14ac:dyDescent="0.3">
      <c r="I20634" t="s">
        <v>25638</v>
      </c>
      <c r="J20634" t="s">
        <v>1733</v>
      </c>
    </row>
    <row r="20635" spans="9:10" x14ac:dyDescent="0.3">
      <c r="I20635" t="s">
        <v>25639</v>
      </c>
      <c r="J20635" t="s">
        <v>1733</v>
      </c>
    </row>
    <row r="20636" spans="9:10" x14ac:dyDescent="0.3">
      <c r="I20636" t="s">
        <v>25640</v>
      </c>
      <c r="J20636" t="s">
        <v>1733</v>
      </c>
    </row>
    <row r="20637" spans="9:10" x14ac:dyDescent="0.3">
      <c r="I20637" t="s">
        <v>25641</v>
      </c>
      <c r="J20637" t="s">
        <v>1733</v>
      </c>
    </row>
    <row r="20638" spans="9:10" x14ac:dyDescent="0.3">
      <c r="I20638" t="s">
        <v>25642</v>
      </c>
      <c r="J20638" t="s">
        <v>1733</v>
      </c>
    </row>
    <row r="20639" spans="9:10" x14ac:dyDescent="0.3">
      <c r="I20639" t="s">
        <v>25643</v>
      </c>
      <c r="J20639" t="s">
        <v>1733</v>
      </c>
    </row>
    <row r="20640" spans="9:10" x14ac:dyDescent="0.3">
      <c r="I20640" t="s">
        <v>25644</v>
      </c>
      <c r="J20640" t="s">
        <v>1733</v>
      </c>
    </row>
    <row r="20641" spans="9:10" x14ac:dyDescent="0.3">
      <c r="I20641" t="s">
        <v>25645</v>
      </c>
    </row>
    <row r="20642" spans="9:10" x14ac:dyDescent="0.3">
      <c r="I20642" t="s">
        <v>25646</v>
      </c>
      <c r="J20642" t="s">
        <v>6124</v>
      </c>
    </row>
    <row r="20643" spans="9:10" x14ac:dyDescent="0.3">
      <c r="I20643" t="s">
        <v>25647</v>
      </c>
      <c r="J20643" t="s">
        <v>6125</v>
      </c>
    </row>
    <row r="20644" spans="9:10" x14ac:dyDescent="0.3">
      <c r="I20644" t="s">
        <v>25648</v>
      </c>
      <c r="J20644" t="s">
        <v>6126</v>
      </c>
    </row>
    <row r="20645" spans="9:10" x14ac:dyDescent="0.3">
      <c r="I20645" t="s">
        <v>25649</v>
      </c>
      <c r="J20645" t="s">
        <v>6127</v>
      </c>
    </row>
    <row r="20646" spans="9:10" x14ac:dyDescent="0.3">
      <c r="I20646" t="s">
        <v>25650</v>
      </c>
      <c r="J20646" t="s">
        <v>6128</v>
      </c>
    </row>
    <row r="20647" spans="9:10" x14ac:dyDescent="0.3">
      <c r="I20647" t="s">
        <v>25651</v>
      </c>
    </row>
    <row r="20648" spans="9:10" x14ac:dyDescent="0.3">
      <c r="I20648" t="s">
        <v>25652</v>
      </c>
    </row>
    <row r="20649" spans="9:10" x14ac:dyDescent="0.3">
      <c r="I20649" t="s">
        <v>25653</v>
      </c>
    </row>
    <row r="20650" spans="9:10" x14ac:dyDescent="0.3">
      <c r="I20650" t="s">
        <v>25654</v>
      </c>
      <c r="J20650" t="s">
        <v>6129</v>
      </c>
    </row>
    <row r="20651" spans="9:10" x14ac:dyDescent="0.3">
      <c r="I20651" t="s">
        <v>25655</v>
      </c>
      <c r="J20651" t="s">
        <v>6130</v>
      </c>
    </row>
    <row r="20652" spans="9:10" x14ac:dyDescent="0.3">
      <c r="I20652" t="s">
        <v>25656</v>
      </c>
      <c r="J20652" t="s">
        <v>6131</v>
      </c>
    </row>
    <row r="20653" spans="9:10" x14ac:dyDescent="0.3">
      <c r="I20653" t="s">
        <v>25657</v>
      </c>
      <c r="J20653" t="s">
        <v>4862</v>
      </c>
    </row>
    <row r="20654" spans="9:10" x14ac:dyDescent="0.3">
      <c r="I20654" t="s">
        <v>25657</v>
      </c>
      <c r="J20654" t="s">
        <v>4862</v>
      </c>
    </row>
    <row r="20655" spans="9:10" x14ac:dyDescent="0.3">
      <c r="I20655" t="s">
        <v>25657</v>
      </c>
      <c r="J20655" t="s">
        <v>4862</v>
      </c>
    </row>
    <row r="20656" spans="9:10" x14ac:dyDescent="0.3">
      <c r="I20656" t="s">
        <v>18679</v>
      </c>
      <c r="J20656" t="s">
        <v>4862</v>
      </c>
    </row>
    <row r="20657" spans="9:10" x14ac:dyDescent="0.3">
      <c r="I20657" t="s">
        <v>25658</v>
      </c>
      <c r="J20657" t="s">
        <v>6132</v>
      </c>
    </row>
    <row r="20658" spans="9:10" x14ac:dyDescent="0.3">
      <c r="I20658" t="s">
        <v>25659</v>
      </c>
      <c r="J20658" t="s">
        <v>6132</v>
      </c>
    </row>
    <row r="20659" spans="9:10" x14ac:dyDescent="0.3">
      <c r="I20659" t="s">
        <v>25660</v>
      </c>
    </row>
    <row r="20660" spans="9:10" x14ac:dyDescent="0.3">
      <c r="I20660" t="s">
        <v>25661</v>
      </c>
      <c r="J20660" t="s">
        <v>6133</v>
      </c>
    </row>
    <row r="20661" spans="9:10" x14ac:dyDescent="0.3">
      <c r="I20661" t="s">
        <v>25662</v>
      </c>
    </row>
    <row r="20662" spans="9:10" x14ac:dyDescent="0.3">
      <c r="I20662" t="s">
        <v>25663</v>
      </c>
    </row>
    <row r="20663" spans="9:10" x14ac:dyDescent="0.3">
      <c r="I20663" t="s">
        <v>25664</v>
      </c>
    </row>
    <row r="20664" spans="9:10" x14ac:dyDescent="0.3">
      <c r="I20664" t="s">
        <v>25665</v>
      </c>
    </row>
    <row r="20665" spans="9:10" x14ac:dyDescent="0.3">
      <c r="I20665" t="s">
        <v>25666</v>
      </c>
      <c r="J20665" t="s">
        <v>6134</v>
      </c>
    </row>
    <row r="20666" spans="9:10" x14ac:dyDescent="0.3">
      <c r="I20666" t="s">
        <v>25667</v>
      </c>
      <c r="J20666" t="s">
        <v>6135</v>
      </c>
    </row>
    <row r="20667" spans="9:10" x14ac:dyDescent="0.3">
      <c r="I20667" t="s">
        <v>25668</v>
      </c>
    </row>
    <row r="20668" spans="9:10" x14ac:dyDescent="0.3">
      <c r="I20668" t="s">
        <v>25669</v>
      </c>
      <c r="J20668" t="s">
        <v>6136</v>
      </c>
    </row>
    <row r="20669" spans="9:10" x14ac:dyDescent="0.3">
      <c r="I20669" t="s">
        <v>25670</v>
      </c>
    </row>
    <row r="20670" spans="9:10" x14ac:dyDescent="0.3">
      <c r="I20670" t="s">
        <v>25671</v>
      </c>
      <c r="J20670" t="s">
        <v>6137</v>
      </c>
    </row>
    <row r="20671" spans="9:10" x14ac:dyDescent="0.3">
      <c r="I20671" t="s">
        <v>25672</v>
      </c>
      <c r="J20671" t="s">
        <v>6137</v>
      </c>
    </row>
    <row r="20672" spans="9:10" x14ac:dyDescent="0.3">
      <c r="I20672" t="s">
        <v>25671</v>
      </c>
      <c r="J20672" t="s">
        <v>6137</v>
      </c>
    </row>
    <row r="20673" spans="9:10" x14ac:dyDescent="0.3">
      <c r="I20673" t="s">
        <v>25673</v>
      </c>
    </row>
    <row r="20674" spans="9:10" x14ac:dyDescent="0.3">
      <c r="I20674" t="s">
        <v>25674</v>
      </c>
    </row>
    <row r="20675" spans="9:10" x14ac:dyDescent="0.3">
      <c r="I20675" t="s">
        <v>25675</v>
      </c>
      <c r="J20675" t="s">
        <v>6138</v>
      </c>
    </row>
    <row r="20676" spans="9:10" x14ac:dyDescent="0.3">
      <c r="I20676" t="s">
        <v>25676</v>
      </c>
      <c r="J20676" t="s">
        <v>6138</v>
      </c>
    </row>
    <row r="20677" spans="9:10" x14ac:dyDescent="0.3">
      <c r="I20677" t="s">
        <v>25677</v>
      </c>
      <c r="J20677" t="s">
        <v>6139</v>
      </c>
    </row>
    <row r="20678" spans="9:10" x14ac:dyDescent="0.3">
      <c r="I20678" t="s">
        <v>25678</v>
      </c>
      <c r="J20678" t="s">
        <v>6140</v>
      </c>
    </row>
    <row r="20679" spans="9:10" x14ac:dyDescent="0.3">
      <c r="I20679" t="s">
        <v>25679</v>
      </c>
      <c r="J20679" t="s">
        <v>6141</v>
      </c>
    </row>
    <row r="20680" spans="9:10" x14ac:dyDescent="0.3">
      <c r="I20680" t="s">
        <v>25680</v>
      </c>
      <c r="J20680" t="s">
        <v>6142</v>
      </c>
    </row>
    <row r="20681" spans="9:10" x14ac:dyDescent="0.3">
      <c r="I20681" t="s">
        <v>25681</v>
      </c>
      <c r="J20681" t="s">
        <v>6142</v>
      </c>
    </row>
    <row r="20682" spans="9:10" x14ac:dyDescent="0.3">
      <c r="I20682" t="s">
        <v>25682</v>
      </c>
    </row>
    <row r="20683" spans="9:10" x14ac:dyDescent="0.3">
      <c r="I20683" t="s">
        <v>25683</v>
      </c>
    </row>
    <row r="20684" spans="9:10" x14ac:dyDescent="0.3">
      <c r="I20684" t="s">
        <v>25684</v>
      </c>
      <c r="J20684" t="s">
        <v>6143</v>
      </c>
    </row>
    <row r="20685" spans="9:10" x14ac:dyDescent="0.3">
      <c r="I20685" t="s">
        <v>25685</v>
      </c>
      <c r="J20685" t="s">
        <v>6144</v>
      </c>
    </row>
    <row r="20686" spans="9:10" x14ac:dyDescent="0.3">
      <c r="I20686" t="s">
        <v>25686</v>
      </c>
      <c r="J20686" t="s">
        <v>6145</v>
      </c>
    </row>
    <row r="20687" spans="9:10" x14ac:dyDescent="0.3">
      <c r="I20687" t="s">
        <v>25687</v>
      </c>
      <c r="J20687" t="s">
        <v>6145</v>
      </c>
    </row>
    <row r="20688" spans="9:10" x14ac:dyDescent="0.3">
      <c r="I20688" t="s">
        <v>25688</v>
      </c>
      <c r="J20688" t="s">
        <v>6146</v>
      </c>
    </row>
    <row r="20689" spans="9:10" x14ac:dyDescent="0.3">
      <c r="I20689" t="s">
        <v>25689</v>
      </c>
      <c r="J20689" t="s">
        <v>6147</v>
      </c>
    </row>
    <row r="20690" spans="9:10" x14ac:dyDescent="0.3">
      <c r="I20690" t="s">
        <v>25690</v>
      </c>
    </row>
    <row r="20691" spans="9:10" x14ac:dyDescent="0.3">
      <c r="I20691" t="s">
        <v>25691</v>
      </c>
    </row>
    <row r="20692" spans="9:10" x14ac:dyDescent="0.3">
      <c r="I20692" t="s">
        <v>25692</v>
      </c>
      <c r="J20692" t="s">
        <v>6148</v>
      </c>
    </row>
    <row r="20693" spans="9:10" x14ac:dyDescent="0.3">
      <c r="I20693" t="s">
        <v>25693</v>
      </c>
      <c r="J20693" t="s">
        <v>6149</v>
      </c>
    </row>
    <row r="20694" spans="9:10" x14ac:dyDescent="0.3">
      <c r="I20694" t="s">
        <v>25694</v>
      </c>
      <c r="J20694" t="s">
        <v>6150</v>
      </c>
    </row>
    <row r="20695" spans="9:10" x14ac:dyDescent="0.3">
      <c r="I20695" t="s">
        <v>25694</v>
      </c>
      <c r="J20695" t="s">
        <v>6150</v>
      </c>
    </row>
    <row r="20696" spans="9:10" x14ac:dyDescent="0.3">
      <c r="I20696" t="s">
        <v>25695</v>
      </c>
      <c r="J20696" t="s">
        <v>6151</v>
      </c>
    </row>
    <row r="20697" spans="9:10" x14ac:dyDescent="0.3">
      <c r="I20697" t="s">
        <v>25695</v>
      </c>
      <c r="J20697" t="s">
        <v>6151</v>
      </c>
    </row>
    <row r="20698" spans="9:10" x14ac:dyDescent="0.3">
      <c r="I20698" t="s">
        <v>25695</v>
      </c>
      <c r="J20698" t="s">
        <v>6151</v>
      </c>
    </row>
    <row r="20699" spans="9:10" x14ac:dyDescent="0.3">
      <c r="I20699" t="s">
        <v>25695</v>
      </c>
      <c r="J20699" t="s">
        <v>6151</v>
      </c>
    </row>
    <row r="20700" spans="9:10" x14ac:dyDescent="0.3">
      <c r="I20700" t="s">
        <v>25695</v>
      </c>
      <c r="J20700" t="s">
        <v>6151</v>
      </c>
    </row>
    <row r="20701" spans="9:10" x14ac:dyDescent="0.3">
      <c r="I20701" t="s">
        <v>25696</v>
      </c>
      <c r="J20701" t="s">
        <v>6152</v>
      </c>
    </row>
    <row r="20702" spans="9:10" x14ac:dyDescent="0.3">
      <c r="I20702" t="s">
        <v>25697</v>
      </c>
      <c r="J20702" t="s">
        <v>6152</v>
      </c>
    </row>
    <row r="20703" spans="9:10" x14ac:dyDescent="0.3">
      <c r="I20703" t="s">
        <v>25698</v>
      </c>
      <c r="J20703" t="s">
        <v>6152</v>
      </c>
    </row>
    <row r="20704" spans="9:10" x14ac:dyDescent="0.3">
      <c r="I20704" t="s">
        <v>25698</v>
      </c>
      <c r="J20704" t="s">
        <v>6152</v>
      </c>
    </row>
    <row r="20705" spans="9:10" x14ac:dyDescent="0.3">
      <c r="I20705" t="s">
        <v>25699</v>
      </c>
      <c r="J20705" t="s">
        <v>6153</v>
      </c>
    </row>
    <row r="20706" spans="9:10" x14ac:dyDescent="0.3">
      <c r="I20706" t="s">
        <v>25700</v>
      </c>
      <c r="J20706" t="s">
        <v>6154</v>
      </c>
    </row>
    <row r="20707" spans="9:10" x14ac:dyDescent="0.3">
      <c r="I20707" t="s">
        <v>25701</v>
      </c>
      <c r="J20707" t="s">
        <v>766</v>
      </c>
    </row>
    <row r="20708" spans="9:10" x14ac:dyDescent="0.3">
      <c r="I20708" t="s">
        <v>25701</v>
      </c>
      <c r="J20708" t="s">
        <v>766</v>
      </c>
    </row>
    <row r="20709" spans="9:10" x14ac:dyDescent="0.3">
      <c r="I20709" t="s">
        <v>25702</v>
      </c>
      <c r="J20709" t="s">
        <v>767</v>
      </c>
    </row>
    <row r="20710" spans="9:10" x14ac:dyDescent="0.3">
      <c r="I20710" t="s">
        <v>25702</v>
      </c>
      <c r="J20710" t="s">
        <v>767</v>
      </c>
    </row>
    <row r="20711" spans="9:10" x14ac:dyDescent="0.3">
      <c r="I20711" t="s">
        <v>25703</v>
      </c>
      <c r="J20711" t="s">
        <v>6155</v>
      </c>
    </row>
    <row r="20712" spans="9:10" x14ac:dyDescent="0.3">
      <c r="I20712" t="s">
        <v>25703</v>
      </c>
      <c r="J20712" t="s">
        <v>6155</v>
      </c>
    </row>
    <row r="20713" spans="9:10" x14ac:dyDescent="0.3">
      <c r="I20713" t="s">
        <v>25704</v>
      </c>
      <c r="J20713" t="s">
        <v>6156</v>
      </c>
    </row>
    <row r="20714" spans="9:10" x14ac:dyDescent="0.3">
      <c r="I20714" t="s">
        <v>25705</v>
      </c>
      <c r="J20714" t="s">
        <v>6157</v>
      </c>
    </row>
    <row r="20715" spans="9:10" x14ac:dyDescent="0.3">
      <c r="I20715" t="s">
        <v>25705</v>
      </c>
      <c r="J20715" t="s">
        <v>6157</v>
      </c>
    </row>
    <row r="20716" spans="9:10" x14ac:dyDescent="0.3">
      <c r="I20716" t="s">
        <v>25705</v>
      </c>
      <c r="J20716" t="s">
        <v>6157</v>
      </c>
    </row>
    <row r="20717" spans="9:10" x14ac:dyDescent="0.3">
      <c r="I20717" t="s">
        <v>25705</v>
      </c>
      <c r="J20717" t="s">
        <v>6157</v>
      </c>
    </row>
    <row r="20718" spans="9:10" x14ac:dyDescent="0.3">
      <c r="I20718" t="s">
        <v>25706</v>
      </c>
      <c r="J20718" t="s">
        <v>6158</v>
      </c>
    </row>
    <row r="20719" spans="9:10" x14ac:dyDescent="0.3">
      <c r="I20719" t="s">
        <v>25707</v>
      </c>
      <c r="J20719" t="s">
        <v>6158</v>
      </c>
    </row>
    <row r="20720" spans="9:10" x14ac:dyDescent="0.3">
      <c r="I20720" t="s">
        <v>25708</v>
      </c>
      <c r="J20720" t="s">
        <v>6158</v>
      </c>
    </row>
    <row r="20721" spans="9:10" x14ac:dyDescent="0.3">
      <c r="I20721" t="s">
        <v>25709</v>
      </c>
      <c r="J20721" t="s">
        <v>6158</v>
      </c>
    </row>
    <row r="20722" spans="9:10" x14ac:dyDescent="0.3">
      <c r="I20722" t="s">
        <v>25709</v>
      </c>
      <c r="J20722" t="s">
        <v>6158</v>
      </c>
    </row>
    <row r="20723" spans="9:10" x14ac:dyDescent="0.3">
      <c r="I20723" t="s">
        <v>25710</v>
      </c>
      <c r="J20723" t="s">
        <v>6158</v>
      </c>
    </row>
    <row r="20724" spans="9:10" x14ac:dyDescent="0.3">
      <c r="I20724" t="s">
        <v>25711</v>
      </c>
      <c r="J20724" t="s">
        <v>6158</v>
      </c>
    </row>
    <row r="20725" spans="9:10" x14ac:dyDescent="0.3">
      <c r="I20725" t="s">
        <v>25712</v>
      </c>
      <c r="J20725" t="s">
        <v>6159</v>
      </c>
    </row>
    <row r="20726" spans="9:10" x14ac:dyDescent="0.3">
      <c r="I20726" t="s">
        <v>25713</v>
      </c>
      <c r="J20726" t="s">
        <v>6160</v>
      </c>
    </row>
    <row r="20727" spans="9:10" x14ac:dyDescent="0.3">
      <c r="I20727" t="s">
        <v>25714</v>
      </c>
      <c r="J20727" t="s">
        <v>6161</v>
      </c>
    </row>
    <row r="20728" spans="9:10" x14ac:dyDescent="0.3">
      <c r="I20728" t="s">
        <v>25715</v>
      </c>
      <c r="J20728" t="s">
        <v>6161</v>
      </c>
    </row>
    <row r="20729" spans="9:10" x14ac:dyDescent="0.3">
      <c r="I20729" t="s">
        <v>25716</v>
      </c>
      <c r="J20729" t="s">
        <v>6162</v>
      </c>
    </row>
    <row r="20730" spans="9:10" x14ac:dyDescent="0.3">
      <c r="I20730" t="s">
        <v>25716</v>
      </c>
      <c r="J20730" t="s">
        <v>6162</v>
      </c>
    </row>
    <row r="20731" spans="9:10" x14ac:dyDescent="0.3">
      <c r="I20731" t="s">
        <v>25716</v>
      </c>
      <c r="J20731" t="s">
        <v>6162</v>
      </c>
    </row>
    <row r="20732" spans="9:10" x14ac:dyDescent="0.3">
      <c r="I20732" t="s">
        <v>25717</v>
      </c>
      <c r="J20732" t="s">
        <v>6163</v>
      </c>
    </row>
    <row r="20733" spans="9:10" x14ac:dyDescent="0.3">
      <c r="I20733" t="s">
        <v>25717</v>
      </c>
      <c r="J20733" t="s">
        <v>6163</v>
      </c>
    </row>
    <row r="20734" spans="9:10" x14ac:dyDescent="0.3">
      <c r="I20734" t="s">
        <v>25718</v>
      </c>
      <c r="J20734" t="s">
        <v>6163</v>
      </c>
    </row>
    <row r="20735" spans="9:10" x14ac:dyDescent="0.3">
      <c r="I20735" t="s">
        <v>25719</v>
      </c>
      <c r="J20735" t="s">
        <v>6164</v>
      </c>
    </row>
    <row r="20736" spans="9:10" x14ac:dyDescent="0.3">
      <c r="I20736" t="s">
        <v>25720</v>
      </c>
      <c r="J20736" t="s">
        <v>6165</v>
      </c>
    </row>
    <row r="20737" spans="9:10" x14ac:dyDescent="0.3">
      <c r="I20737" t="s">
        <v>25721</v>
      </c>
      <c r="J20737" t="s">
        <v>6166</v>
      </c>
    </row>
    <row r="20738" spans="9:10" x14ac:dyDescent="0.3">
      <c r="I20738" t="s">
        <v>25722</v>
      </c>
      <c r="J20738" t="s">
        <v>6167</v>
      </c>
    </row>
    <row r="20739" spans="9:10" x14ac:dyDescent="0.3">
      <c r="I20739" t="s">
        <v>25722</v>
      </c>
      <c r="J20739" t="s">
        <v>6167</v>
      </c>
    </row>
    <row r="20740" spans="9:10" x14ac:dyDescent="0.3">
      <c r="I20740" t="s">
        <v>25723</v>
      </c>
      <c r="J20740" t="s">
        <v>6168</v>
      </c>
    </row>
    <row r="20741" spans="9:10" x14ac:dyDescent="0.3">
      <c r="I20741" t="s">
        <v>25724</v>
      </c>
      <c r="J20741" t="s">
        <v>6169</v>
      </c>
    </row>
    <row r="20742" spans="9:10" x14ac:dyDescent="0.3">
      <c r="I20742" t="s">
        <v>25725</v>
      </c>
      <c r="J20742" t="s">
        <v>6170</v>
      </c>
    </row>
    <row r="20743" spans="9:10" x14ac:dyDescent="0.3">
      <c r="I20743" t="s">
        <v>25726</v>
      </c>
      <c r="J20743" t="s">
        <v>6171</v>
      </c>
    </row>
    <row r="20744" spans="9:10" x14ac:dyDescent="0.3">
      <c r="I20744" t="s">
        <v>25727</v>
      </c>
      <c r="J20744" t="s">
        <v>6172</v>
      </c>
    </row>
    <row r="20745" spans="9:10" x14ac:dyDescent="0.3">
      <c r="I20745" t="s">
        <v>25728</v>
      </c>
      <c r="J20745" t="s">
        <v>6172</v>
      </c>
    </row>
    <row r="20746" spans="9:10" x14ac:dyDescent="0.3">
      <c r="I20746" t="s">
        <v>25728</v>
      </c>
      <c r="J20746" t="s">
        <v>6172</v>
      </c>
    </row>
    <row r="20747" spans="9:10" x14ac:dyDescent="0.3">
      <c r="I20747" t="s">
        <v>25729</v>
      </c>
    </row>
    <row r="20748" spans="9:10" x14ac:dyDescent="0.3">
      <c r="I20748" t="s">
        <v>25730</v>
      </c>
    </row>
    <row r="20749" spans="9:10" x14ac:dyDescent="0.3">
      <c r="I20749" t="s">
        <v>25731</v>
      </c>
    </row>
    <row r="20750" spans="9:10" x14ac:dyDescent="0.3">
      <c r="I20750" t="s">
        <v>25732</v>
      </c>
      <c r="J20750" t="s">
        <v>2714</v>
      </c>
    </row>
    <row r="20751" spans="9:10" x14ac:dyDescent="0.3">
      <c r="I20751" t="s">
        <v>25733</v>
      </c>
      <c r="J20751" t="s">
        <v>6173</v>
      </c>
    </row>
    <row r="20752" spans="9:10" x14ac:dyDescent="0.3">
      <c r="I20752" t="s">
        <v>25734</v>
      </c>
      <c r="J20752" t="s">
        <v>6174</v>
      </c>
    </row>
    <row r="20753" spans="9:10" x14ac:dyDescent="0.3">
      <c r="I20753" t="s">
        <v>25735</v>
      </c>
      <c r="J20753" t="s">
        <v>6174</v>
      </c>
    </row>
    <row r="20754" spans="9:10" x14ac:dyDescent="0.3">
      <c r="I20754" t="s">
        <v>25736</v>
      </c>
      <c r="J20754" t="s">
        <v>6175</v>
      </c>
    </row>
    <row r="20755" spans="9:10" x14ac:dyDescent="0.3">
      <c r="I20755" t="s">
        <v>25737</v>
      </c>
    </row>
    <row r="20756" spans="9:10" x14ac:dyDescent="0.3">
      <c r="I20756" t="s">
        <v>25738</v>
      </c>
      <c r="J20756" t="s">
        <v>6176</v>
      </c>
    </row>
    <row r="20757" spans="9:10" x14ac:dyDescent="0.3">
      <c r="I20757" t="s">
        <v>25739</v>
      </c>
      <c r="J20757" t="s">
        <v>6177</v>
      </c>
    </row>
    <row r="20758" spans="9:10" x14ac:dyDescent="0.3">
      <c r="I20758" t="s">
        <v>25740</v>
      </c>
    </row>
    <row r="20759" spans="9:10" x14ac:dyDescent="0.3">
      <c r="I20759" t="s">
        <v>25741</v>
      </c>
      <c r="J20759" t="s">
        <v>6178</v>
      </c>
    </row>
    <row r="20760" spans="9:10" x14ac:dyDescent="0.3">
      <c r="I20760" t="s">
        <v>25741</v>
      </c>
      <c r="J20760" t="s">
        <v>6178</v>
      </c>
    </row>
    <row r="20761" spans="9:10" x14ac:dyDescent="0.3">
      <c r="I20761" t="s">
        <v>25742</v>
      </c>
      <c r="J20761" t="s">
        <v>6179</v>
      </c>
    </row>
    <row r="20762" spans="9:10" x14ac:dyDescent="0.3">
      <c r="I20762" t="s">
        <v>25743</v>
      </c>
      <c r="J20762" t="s">
        <v>6180</v>
      </c>
    </row>
    <row r="20763" spans="9:10" x14ac:dyDescent="0.3">
      <c r="I20763" t="s">
        <v>25744</v>
      </c>
      <c r="J20763" t="s">
        <v>6181</v>
      </c>
    </row>
    <row r="20764" spans="9:10" x14ac:dyDescent="0.3">
      <c r="I20764" t="s">
        <v>25745</v>
      </c>
      <c r="J20764" t="s">
        <v>6182</v>
      </c>
    </row>
    <row r="20765" spans="9:10" x14ac:dyDescent="0.3">
      <c r="I20765" t="s">
        <v>25745</v>
      </c>
      <c r="J20765" t="s">
        <v>6182</v>
      </c>
    </row>
    <row r="20766" spans="9:10" x14ac:dyDescent="0.3">
      <c r="I20766" t="s">
        <v>25745</v>
      </c>
      <c r="J20766" t="s">
        <v>6182</v>
      </c>
    </row>
    <row r="20767" spans="9:10" x14ac:dyDescent="0.3">
      <c r="I20767" t="s">
        <v>25746</v>
      </c>
      <c r="J20767" t="s">
        <v>6182</v>
      </c>
    </row>
    <row r="20768" spans="9:10" x14ac:dyDescent="0.3">
      <c r="I20768" t="s">
        <v>25747</v>
      </c>
      <c r="J20768" t="s">
        <v>6182</v>
      </c>
    </row>
    <row r="20769" spans="9:10" x14ac:dyDescent="0.3">
      <c r="I20769" t="s">
        <v>25748</v>
      </c>
      <c r="J20769" t="s">
        <v>6182</v>
      </c>
    </row>
    <row r="20770" spans="9:10" x14ac:dyDescent="0.3">
      <c r="I20770" t="s">
        <v>25749</v>
      </c>
      <c r="J20770" t="s">
        <v>6183</v>
      </c>
    </row>
    <row r="20771" spans="9:10" x14ac:dyDescent="0.3">
      <c r="I20771" t="s">
        <v>25750</v>
      </c>
      <c r="J20771" t="s">
        <v>6184</v>
      </c>
    </row>
    <row r="20772" spans="9:10" x14ac:dyDescent="0.3">
      <c r="I20772" t="s">
        <v>25751</v>
      </c>
    </row>
    <row r="20773" spans="9:10" x14ac:dyDescent="0.3">
      <c r="I20773" t="s">
        <v>25752</v>
      </c>
      <c r="J20773" t="s">
        <v>6185</v>
      </c>
    </row>
    <row r="20774" spans="9:10" x14ac:dyDescent="0.3">
      <c r="I20774" t="s">
        <v>25753</v>
      </c>
      <c r="J20774" t="s">
        <v>6185</v>
      </c>
    </row>
    <row r="20775" spans="9:10" x14ac:dyDescent="0.3">
      <c r="I20775" t="s">
        <v>25753</v>
      </c>
      <c r="J20775" t="s">
        <v>6185</v>
      </c>
    </row>
    <row r="20776" spans="9:10" x14ac:dyDescent="0.3">
      <c r="I20776" t="s">
        <v>25754</v>
      </c>
      <c r="J20776" t="s">
        <v>6186</v>
      </c>
    </row>
    <row r="20777" spans="9:10" x14ac:dyDescent="0.3">
      <c r="I20777" t="s">
        <v>25755</v>
      </c>
      <c r="J20777" t="s">
        <v>122</v>
      </c>
    </row>
    <row r="20778" spans="9:10" x14ac:dyDescent="0.3">
      <c r="I20778" t="s">
        <v>25756</v>
      </c>
      <c r="J20778" t="s">
        <v>6187</v>
      </c>
    </row>
    <row r="20779" spans="9:10" x14ac:dyDescent="0.3">
      <c r="I20779" t="s">
        <v>25757</v>
      </c>
    </row>
    <row r="20780" spans="9:10" x14ac:dyDescent="0.3">
      <c r="I20780" t="s">
        <v>25758</v>
      </c>
      <c r="J20780" t="s">
        <v>6188</v>
      </c>
    </row>
    <row r="20781" spans="9:10" x14ac:dyDescent="0.3">
      <c r="I20781" t="s">
        <v>25759</v>
      </c>
      <c r="J20781" t="s">
        <v>6189</v>
      </c>
    </row>
    <row r="20782" spans="9:10" x14ac:dyDescent="0.3">
      <c r="I20782" t="s">
        <v>25760</v>
      </c>
      <c r="J20782" t="s">
        <v>6190</v>
      </c>
    </row>
    <row r="20783" spans="9:10" x14ac:dyDescent="0.3">
      <c r="I20783" t="s">
        <v>25761</v>
      </c>
      <c r="J20783" t="s">
        <v>6190</v>
      </c>
    </row>
    <row r="20784" spans="9:10" x14ac:dyDescent="0.3">
      <c r="I20784" t="s">
        <v>25762</v>
      </c>
      <c r="J20784" t="s">
        <v>6190</v>
      </c>
    </row>
    <row r="20785" spans="9:10" x14ac:dyDescent="0.3">
      <c r="I20785" t="s">
        <v>25762</v>
      </c>
      <c r="J20785" t="s">
        <v>6190</v>
      </c>
    </row>
    <row r="20786" spans="9:10" x14ac:dyDescent="0.3">
      <c r="I20786" t="s">
        <v>25763</v>
      </c>
    </row>
    <row r="20787" spans="9:10" x14ac:dyDescent="0.3">
      <c r="I20787" t="s">
        <v>25764</v>
      </c>
    </row>
    <row r="20788" spans="9:10" x14ac:dyDescent="0.3">
      <c r="I20788" t="s">
        <v>25765</v>
      </c>
    </row>
    <row r="20789" spans="9:10" x14ac:dyDescent="0.3">
      <c r="I20789" t="s">
        <v>25766</v>
      </c>
    </row>
    <row r="20790" spans="9:10" x14ac:dyDescent="0.3">
      <c r="I20790" t="s">
        <v>25767</v>
      </c>
      <c r="J20790" t="s">
        <v>6191</v>
      </c>
    </row>
    <row r="20791" spans="9:10" x14ac:dyDescent="0.3">
      <c r="I20791" t="s">
        <v>25768</v>
      </c>
      <c r="J20791" t="s">
        <v>6192</v>
      </c>
    </row>
    <row r="20792" spans="9:10" x14ac:dyDescent="0.3">
      <c r="I20792" t="s">
        <v>25769</v>
      </c>
      <c r="J20792" t="s">
        <v>5375</v>
      </c>
    </row>
    <row r="20793" spans="9:10" x14ac:dyDescent="0.3">
      <c r="I20793" t="s">
        <v>20711</v>
      </c>
      <c r="J20793" t="s">
        <v>5375</v>
      </c>
    </row>
    <row r="20794" spans="9:10" x14ac:dyDescent="0.3">
      <c r="I20794" t="s">
        <v>25770</v>
      </c>
    </row>
    <row r="20795" spans="9:10" x14ac:dyDescent="0.3">
      <c r="I20795" t="s">
        <v>25771</v>
      </c>
      <c r="J20795" t="s">
        <v>6193</v>
      </c>
    </row>
    <row r="20796" spans="9:10" x14ac:dyDescent="0.3">
      <c r="I20796" t="s">
        <v>25772</v>
      </c>
      <c r="J20796" t="s">
        <v>6194</v>
      </c>
    </row>
    <row r="20797" spans="9:10" x14ac:dyDescent="0.3">
      <c r="I20797" t="s">
        <v>25772</v>
      </c>
      <c r="J20797" t="s">
        <v>6194</v>
      </c>
    </row>
    <row r="20798" spans="9:10" x14ac:dyDescent="0.3">
      <c r="I20798" t="s">
        <v>25772</v>
      </c>
      <c r="J20798" t="s">
        <v>6194</v>
      </c>
    </row>
    <row r="20799" spans="9:10" x14ac:dyDescent="0.3">
      <c r="I20799" t="s">
        <v>25772</v>
      </c>
      <c r="J20799" t="s">
        <v>6194</v>
      </c>
    </row>
    <row r="20800" spans="9:10" x14ac:dyDescent="0.3">
      <c r="I20800" t="s">
        <v>25773</v>
      </c>
      <c r="J20800" t="s">
        <v>6194</v>
      </c>
    </row>
    <row r="20801" spans="9:10" x14ac:dyDescent="0.3">
      <c r="I20801" t="s">
        <v>25772</v>
      </c>
      <c r="J20801" t="s">
        <v>6194</v>
      </c>
    </row>
    <row r="20802" spans="9:10" x14ac:dyDescent="0.3">
      <c r="I20802" t="s">
        <v>25774</v>
      </c>
      <c r="J20802" t="s">
        <v>6194</v>
      </c>
    </row>
    <row r="20803" spans="9:10" x14ac:dyDescent="0.3">
      <c r="I20803" t="s">
        <v>25772</v>
      </c>
      <c r="J20803" t="s">
        <v>6194</v>
      </c>
    </row>
    <row r="20804" spans="9:10" x14ac:dyDescent="0.3">
      <c r="I20804" t="s">
        <v>25772</v>
      </c>
      <c r="J20804" t="s">
        <v>6194</v>
      </c>
    </row>
    <row r="20805" spans="9:10" x14ac:dyDescent="0.3">
      <c r="I20805" t="s">
        <v>25772</v>
      </c>
      <c r="J20805" t="s">
        <v>6194</v>
      </c>
    </row>
    <row r="20806" spans="9:10" x14ac:dyDescent="0.3">
      <c r="I20806" t="s">
        <v>25775</v>
      </c>
      <c r="J20806" t="s">
        <v>5878</v>
      </c>
    </row>
    <row r="20807" spans="9:10" x14ac:dyDescent="0.3">
      <c r="I20807" t="s">
        <v>25776</v>
      </c>
      <c r="J20807" t="s">
        <v>5878</v>
      </c>
    </row>
    <row r="20808" spans="9:10" x14ac:dyDescent="0.3">
      <c r="I20808" t="s">
        <v>25777</v>
      </c>
      <c r="J20808" t="s">
        <v>5878</v>
      </c>
    </row>
    <row r="20809" spans="9:10" x14ac:dyDescent="0.3">
      <c r="I20809" t="s">
        <v>25778</v>
      </c>
      <c r="J20809" t="s">
        <v>5878</v>
      </c>
    </row>
    <row r="20810" spans="9:10" x14ac:dyDescent="0.3">
      <c r="I20810" t="s">
        <v>25779</v>
      </c>
      <c r="J20810" t="s">
        <v>5878</v>
      </c>
    </row>
    <row r="20811" spans="9:10" x14ac:dyDescent="0.3">
      <c r="I20811" t="s">
        <v>25780</v>
      </c>
      <c r="J20811" t="s">
        <v>5878</v>
      </c>
    </row>
    <row r="20812" spans="9:10" x14ac:dyDescent="0.3">
      <c r="I20812" t="s">
        <v>25781</v>
      </c>
      <c r="J20812" t="s">
        <v>5878</v>
      </c>
    </row>
    <row r="20813" spans="9:10" x14ac:dyDescent="0.3">
      <c r="I20813" t="s">
        <v>25782</v>
      </c>
      <c r="J20813" t="s">
        <v>5878</v>
      </c>
    </row>
    <row r="20814" spans="9:10" x14ac:dyDescent="0.3">
      <c r="I20814" t="s">
        <v>25780</v>
      </c>
      <c r="J20814" t="s">
        <v>5878</v>
      </c>
    </row>
    <row r="20815" spans="9:10" x14ac:dyDescent="0.3">
      <c r="I20815" t="s">
        <v>25783</v>
      </c>
      <c r="J20815" t="s">
        <v>5878</v>
      </c>
    </row>
    <row r="20816" spans="9:10" x14ac:dyDescent="0.3">
      <c r="I20816" t="s">
        <v>25784</v>
      </c>
      <c r="J20816" t="s">
        <v>5878</v>
      </c>
    </row>
    <row r="20817" spans="9:10" x14ac:dyDescent="0.3">
      <c r="I20817" t="s">
        <v>25785</v>
      </c>
      <c r="J20817" t="s">
        <v>5878</v>
      </c>
    </row>
    <row r="20818" spans="9:10" x14ac:dyDescent="0.3">
      <c r="I20818" t="s">
        <v>25786</v>
      </c>
      <c r="J20818" t="s">
        <v>5878</v>
      </c>
    </row>
    <row r="20819" spans="9:10" x14ac:dyDescent="0.3">
      <c r="I20819" t="s">
        <v>25787</v>
      </c>
      <c r="J20819" t="s">
        <v>5878</v>
      </c>
    </row>
    <row r="20820" spans="9:10" x14ac:dyDescent="0.3">
      <c r="I20820" t="s">
        <v>25788</v>
      </c>
      <c r="J20820" t="s">
        <v>5878</v>
      </c>
    </row>
    <row r="20821" spans="9:10" x14ac:dyDescent="0.3">
      <c r="I20821" t="s">
        <v>25789</v>
      </c>
      <c r="J20821" t="s">
        <v>5878</v>
      </c>
    </row>
    <row r="20822" spans="9:10" x14ac:dyDescent="0.3">
      <c r="I20822" t="s">
        <v>25790</v>
      </c>
      <c r="J20822" t="s">
        <v>5878</v>
      </c>
    </row>
    <row r="20823" spans="9:10" x14ac:dyDescent="0.3">
      <c r="I20823" t="s">
        <v>25791</v>
      </c>
      <c r="J20823" t="s">
        <v>5878</v>
      </c>
    </row>
    <row r="20824" spans="9:10" x14ac:dyDescent="0.3">
      <c r="I20824" t="s">
        <v>25792</v>
      </c>
      <c r="J20824" t="s">
        <v>5878</v>
      </c>
    </row>
    <row r="20825" spans="9:10" x14ac:dyDescent="0.3">
      <c r="I20825" t="s">
        <v>25793</v>
      </c>
      <c r="J20825" t="s">
        <v>5878</v>
      </c>
    </row>
    <row r="20826" spans="9:10" x14ac:dyDescent="0.3">
      <c r="I20826" t="s">
        <v>25794</v>
      </c>
      <c r="J20826" t="s">
        <v>5878</v>
      </c>
    </row>
    <row r="20827" spans="9:10" x14ac:dyDescent="0.3">
      <c r="I20827" t="s">
        <v>25795</v>
      </c>
      <c r="J20827" t="s">
        <v>5878</v>
      </c>
    </row>
    <row r="20828" spans="9:10" x14ac:dyDescent="0.3">
      <c r="I20828" t="s">
        <v>25796</v>
      </c>
      <c r="J20828" t="s">
        <v>5878</v>
      </c>
    </row>
    <row r="20829" spans="9:10" x14ac:dyDescent="0.3">
      <c r="I20829" t="s">
        <v>25797</v>
      </c>
      <c r="J20829" t="s">
        <v>5878</v>
      </c>
    </row>
    <row r="20830" spans="9:10" x14ac:dyDescent="0.3">
      <c r="I20830" t="s">
        <v>25798</v>
      </c>
      <c r="J20830" t="s">
        <v>5878</v>
      </c>
    </row>
    <row r="20831" spans="9:10" x14ac:dyDescent="0.3">
      <c r="I20831" t="s">
        <v>25799</v>
      </c>
      <c r="J20831" t="s">
        <v>5878</v>
      </c>
    </row>
    <row r="20832" spans="9:10" x14ac:dyDescent="0.3">
      <c r="I20832" t="s">
        <v>25800</v>
      </c>
      <c r="J20832" t="s">
        <v>5878</v>
      </c>
    </row>
    <row r="20833" spans="9:10" x14ac:dyDescent="0.3">
      <c r="I20833" t="s">
        <v>25801</v>
      </c>
      <c r="J20833" t="s">
        <v>5878</v>
      </c>
    </row>
    <row r="20834" spans="9:10" x14ac:dyDescent="0.3">
      <c r="I20834" t="s">
        <v>22015</v>
      </c>
      <c r="J20834" t="s">
        <v>5878</v>
      </c>
    </row>
    <row r="20835" spans="9:10" x14ac:dyDescent="0.3">
      <c r="I20835" t="s">
        <v>25802</v>
      </c>
      <c r="J20835" t="s">
        <v>5878</v>
      </c>
    </row>
    <row r="20836" spans="9:10" x14ac:dyDescent="0.3">
      <c r="I20836" t="s">
        <v>25803</v>
      </c>
      <c r="J20836" t="s">
        <v>5878</v>
      </c>
    </row>
    <row r="20837" spans="9:10" x14ac:dyDescent="0.3">
      <c r="I20837" t="s">
        <v>25804</v>
      </c>
      <c r="J20837" t="s">
        <v>5878</v>
      </c>
    </row>
    <row r="20838" spans="9:10" x14ac:dyDescent="0.3">
      <c r="I20838" t="s">
        <v>25805</v>
      </c>
      <c r="J20838" t="s">
        <v>5878</v>
      </c>
    </row>
    <row r="20839" spans="9:10" x14ac:dyDescent="0.3">
      <c r="I20839" t="s">
        <v>25806</v>
      </c>
      <c r="J20839" t="s">
        <v>5878</v>
      </c>
    </row>
    <row r="20840" spans="9:10" x14ac:dyDescent="0.3">
      <c r="I20840" t="s">
        <v>25807</v>
      </c>
      <c r="J20840" t="s">
        <v>5878</v>
      </c>
    </row>
    <row r="20841" spans="9:10" x14ac:dyDescent="0.3">
      <c r="I20841" t="s">
        <v>25808</v>
      </c>
      <c r="J20841" t="s">
        <v>5878</v>
      </c>
    </row>
    <row r="20842" spans="9:10" x14ac:dyDescent="0.3">
      <c r="I20842" t="s">
        <v>25809</v>
      </c>
      <c r="J20842" t="s">
        <v>5878</v>
      </c>
    </row>
    <row r="20843" spans="9:10" x14ac:dyDescent="0.3">
      <c r="I20843" t="s">
        <v>25810</v>
      </c>
      <c r="J20843" t="s">
        <v>5878</v>
      </c>
    </row>
    <row r="20844" spans="9:10" x14ac:dyDescent="0.3">
      <c r="I20844" t="s">
        <v>25811</v>
      </c>
      <c r="J20844" t="s">
        <v>5878</v>
      </c>
    </row>
    <row r="20845" spans="9:10" x14ac:dyDescent="0.3">
      <c r="I20845" t="s">
        <v>25812</v>
      </c>
      <c r="J20845" t="s">
        <v>5878</v>
      </c>
    </row>
    <row r="20846" spans="9:10" x14ac:dyDescent="0.3">
      <c r="I20846" t="s">
        <v>25813</v>
      </c>
      <c r="J20846" t="s">
        <v>5878</v>
      </c>
    </row>
    <row r="20847" spans="9:10" x14ac:dyDescent="0.3">
      <c r="I20847" t="s">
        <v>25814</v>
      </c>
      <c r="J20847" t="s">
        <v>5878</v>
      </c>
    </row>
    <row r="20848" spans="9:10" x14ac:dyDescent="0.3">
      <c r="I20848" t="s">
        <v>25815</v>
      </c>
      <c r="J20848" t="s">
        <v>5878</v>
      </c>
    </row>
    <row r="20849" spans="9:10" x14ac:dyDescent="0.3">
      <c r="I20849" t="s">
        <v>25816</v>
      </c>
      <c r="J20849" t="s">
        <v>5878</v>
      </c>
    </row>
    <row r="20850" spans="9:10" x14ac:dyDescent="0.3">
      <c r="I20850" t="s">
        <v>25817</v>
      </c>
      <c r="J20850" t="s">
        <v>5878</v>
      </c>
    </row>
    <row r="20851" spans="9:10" x14ac:dyDescent="0.3">
      <c r="I20851" t="s">
        <v>25818</v>
      </c>
      <c r="J20851" t="s">
        <v>5878</v>
      </c>
    </row>
    <row r="20852" spans="9:10" x14ac:dyDescent="0.3">
      <c r="I20852" t="s">
        <v>25819</v>
      </c>
      <c r="J20852" t="s">
        <v>5878</v>
      </c>
    </row>
    <row r="20853" spans="9:10" x14ac:dyDescent="0.3">
      <c r="I20853" t="s">
        <v>25820</v>
      </c>
      <c r="J20853" t="s">
        <v>5878</v>
      </c>
    </row>
    <row r="20854" spans="9:10" x14ac:dyDescent="0.3">
      <c r="I20854" t="s">
        <v>25821</v>
      </c>
      <c r="J20854" t="s">
        <v>5878</v>
      </c>
    </row>
    <row r="20855" spans="9:10" x14ac:dyDescent="0.3">
      <c r="I20855" t="s">
        <v>25822</v>
      </c>
      <c r="J20855" t="s">
        <v>5878</v>
      </c>
    </row>
    <row r="20856" spans="9:10" x14ac:dyDescent="0.3">
      <c r="I20856" t="s">
        <v>25823</v>
      </c>
      <c r="J20856" t="s">
        <v>5878</v>
      </c>
    </row>
    <row r="20857" spans="9:10" x14ac:dyDescent="0.3">
      <c r="I20857" t="s">
        <v>25824</v>
      </c>
      <c r="J20857" t="s">
        <v>5878</v>
      </c>
    </row>
    <row r="20858" spans="9:10" x14ac:dyDescent="0.3">
      <c r="I20858" t="s">
        <v>25825</v>
      </c>
      <c r="J20858" t="s">
        <v>5878</v>
      </c>
    </row>
    <row r="20859" spans="9:10" x14ac:dyDescent="0.3">
      <c r="I20859" t="s">
        <v>25826</v>
      </c>
      <c r="J20859" t="s">
        <v>5878</v>
      </c>
    </row>
    <row r="20860" spans="9:10" x14ac:dyDescent="0.3">
      <c r="I20860" t="s">
        <v>25827</v>
      </c>
      <c r="J20860" t="s">
        <v>5878</v>
      </c>
    </row>
    <row r="20861" spans="9:10" x14ac:dyDescent="0.3">
      <c r="I20861" t="s">
        <v>25828</v>
      </c>
      <c r="J20861" t="s">
        <v>5878</v>
      </c>
    </row>
    <row r="20862" spans="9:10" x14ac:dyDescent="0.3">
      <c r="I20862" t="s">
        <v>25829</v>
      </c>
      <c r="J20862" t="s">
        <v>5878</v>
      </c>
    </row>
    <row r="20863" spans="9:10" x14ac:dyDescent="0.3">
      <c r="I20863" t="s">
        <v>25830</v>
      </c>
      <c r="J20863" t="s">
        <v>5878</v>
      </c>
    </row>
    <row r="20864" spans="9:10" x14ac:dyDescent="0.3">
      <c r="I20864" t="s">
        <v>25831</v>
      </c>
      <c r="J20864" t="s">
        <v>6195</v>
      </c>
    </row>
    <row r="20865" spans="9:10" x14ac:dyDescent="0.3">
      <c r="I20865" t="s">
        <v>25832</v>
      </c>
      <c r="J20865" t="s">
        <v>6195</v>
      </c>
    </row>
    <row r="20866" spans="9:10" x14ac:dyDescent="0.3">
      <c r="I20866" t="s">
        <v>25833</v>
      </c>
      <c r="J20866" t="s">
        <v>6196</v>
      </c>
    </row>
    <row r="20867" spans="9:10" x14ac:dyDescent="0.3">
      <c r="I20867" t="s">
        <v>25834</v>
      </c>
      <c r="J20867" t="s">
        <v>6197</v>
      </c>
    </row>
    <row r="20868" spans="9:10" x14ac:dyDescent="0.3">
      <c r="I20868" t="s">
        <v>25835</v>
      </c>
    </row>
    <row r="20869" spans="9:10" x14ac:dyDescent="0.3">
      <c r="I20869" t="s">
        <v>25836</v>
      </c>
    </row>
    <row r="20870" spans="9:10" x14ac:dyDescent="0.3">
      <c r="I20870" t="s">
        <v>25837</v>
      </c>
    </row>
    <row r="20871" spans="9:10" x14ac:dyDescent="0.3">
      <c r="I20871" t="s">
        <v>25838</v>
      </c>
    </row>
    <row r="20872" spans="9:10" x14ac:dyDescent="0.3">
      <c r="I20872" t="s">
        <v>25839</v>
      </c>
    </row>
    <row r="20873" spans="9:10" x14ac:dyDescent="0.3">
      <c r="I20873" t="s">
        <v>25840</v>
      </c>
      <c r="J20873" t="s">
        <v>6198</v>
      </c>
    </row>
    <row r="20874" spans="9:10" x14ac:dyDescent="0.3">
      <c r="I20874" t="s">
        <v>25840</v>
      </c>
      <c r="J20874" t="s">
        <v>6198</v>
      </c>
    </row>
    <row r="20875" spans="9:10" x14ac:dyDescent="0.3">
      <c r="I20875" t="s">
        <v>25840</v>
      </c>
      <c r="J20875" t="s">
        <v>6198</v>
      </c>
    </row>
    <row r="20876" spans="9:10" x14ac:dyDescent="0.3">
      <c r="I20876" t="s">
        <v>25841</v>
      </c>
      <c r="J20876" t="s">
        <v>6198</v>
      </c>
    </row>
    <row r="20877" spans="9:10" x14ac:dyDescent="0.3">
      <c r="I20877" t="s">
        <v>25842</v>
      </c>
      <c r="J20877" t="s">
        <v>6198</v>
      </c>
    </row>
    <row r="20878" spans="9:10" x14ac:dyDescent="0.3">
      <c r="I20878" t="s">
        <v>25843</v>
      </c>
      <c r="J20878" t="s">
        <v>6198</v>
      </c>
    </row>
    <row r="20879" spans="9:10" x14ac:dyDescent="0.3">
      <c r="I20879" t="s">
        <v>25844</v>
      </c>
    </row>
    <row r="20880" spans="9:10" x14ac:dyDescent="0.3">
      <c r="I20880" t="s">
        <v>25845</v>
      </c>
      <c r="J20880" t="s">
        <v>6199</v>
      </c>
    </row>
    <row r="20881" spans="9:10" x14ac:dyDescent="0.3">
      <c r="I20881" t="s">
        <v>25846</v>
      </c>
      <c r="J20881" t="s">
        <v>6200</v>
      </c>
    </row>
    <row r="20882" spans="9:10" x14ac:dyDescent="0.3">
      <c r="I20882" t="s">
        <v>25847</v>
      </c>
      <c r="J20882" t="s">
        <v>6201</v>
      </c>
    </row>
    <row r="20883" spans="9:10" x14ac:dyDescent="0.3">
      <c r="I20883" t="s">
        <v>25847</v>
      </c>
      <c r="J20883" t="s">
        <v>6201</v>
      </c>
    </row>
    <row r="20884" spans="9:10" x14ac:dyDescent="0.3">
      <c r="I20884" t="s">
        <v>25848</v>
      </c>
      <c r="J20884" t="s">
        <v>6202</v>
      </c>
    </row>
    <row r="20885" spans="9:10" x14ac:dyDescent="0.3">
      <c r="I20885" t="s">
        <v>25849</v>
      </c>
      <c r="J20885" t="s">
        <v>6202</v>
      </c>
    </row>
    <row r="20886" spans="9:10" x14ac:dyDescent="0.3">
      <c r="I20886" t="s">
        <v>25850</v>
      </c>
      <c r="J20886" t="s">
        <v>6203</v>
      </c>
    </row>
    <row r="20887" spans="9:10" x14ac:dyDescent="0.3">
      <c r="I20887" t="s">
        <v>25851</v>
      </c>
      <c r="J20887" t="s">
        <v>6204</v>
      </c>
    </row>
    <row r="20888" spans="9:10" x14ac:dyDescent="0.3">
      <c r="I20888" t="s">
        <v>25852</v>
      </c>
    </row>
    <row r="20889" spans="9:10" x14ac:dyDescent="0.3">
      <c r="I20889" t="s">
        <v>25853</v>
      </c>
      <c r="J20889" t="s">
        <v>6205</v>
      </c>
    </row>
    <row r="20890" spans="9:10" x14ac:dyDescent="0.3">
      <c r="I20890" t="s">
        <v>25854</v>
      </c>
    </row>
    <row r="20891" spans="9:10" x14ac:dyDescent="0.3">
      <c r="I20891" t="s">
        <v>25855</v>
      </c>
      <c r="J20891" t="s">
        <v>6206</v>
      </c>
    </row>
    <row r="20892" spans="9:10" x14ac:dyDescent="0.3">
      <c r="I20892" t="s">
        <v>25856</v>
      </c>
    </row>
    <row r="20893" spans="9:10" x14ac:dyDescent="0.3">
      <c r="I20893" t="s">
        <v>25857</v>
      </c>
    </row>
    <row r="20894" spans="9:10" x14ac:dyDescent="0.3">
      <c r="I20894" t="s">
        <v>25858</v>
      </c>
      <c r="J20894" t="s">
        <v>6207</v>
      </c>
    </row>
    <row r="20895" spans="9:10" x14ac:dyDescent="0.3">
      <c r="I20895" t="s">
        <v>25859</v>
      </c>
      <c r="J20895" t="s">
        <v>6208</v>
      </c>
    </row>
    <row r="20896" spans="9:10" x14ac:dyDescent="0.3">
      <c r="I20896" t="s">
        <v>25859</v>
      </c>
      <c r="J20896" t="s">
        <v>6208</v>
      </c>
    </row>
    <row r="20897" spans="9:10" x14ac:dyDescent="0.3">
      <c r="I20897" t="s">
        <v>25860</v>
      </c>
      <c r="J20897" t="s">
        <v>6209</v>
      </c>
    </row>
    <row r="20898" spans="9:10" x14ac:dyDescent="0.3">
      <c r="I20898" t="s">
        <v>25861</v>
      </c>
      <c r="J20898" t="s">
        <v>6210</v>
      </c>
    </row>
    <row r="20899" spans="9:10" x14ac:dyDescent="0.3">
      <c r="I20899" t="s">
        <v>25862</v>
      </c>
      <c r="J20899" t="s">
        <v>6211</v>
      </c>
    </row>
    <row r="20900" spans="9:10" x14ac:dyDescent="0.3">
      <c r="I20900" t="s">
        <v>25862</v>
      </c>
      <c r="J20900" t="s">
        <v>6211</v>
      </c>
    </row>
    <row r="20901" spans="9:10" x14ac:dyDescent="0.3">
      <c r="I20901" t="s">
        <v>25862</v>
      </c>
      <c r="J20901" t="s">
        <v>6211</v>
      </c>
    </row>
    <row r="20902" spans="9:10" x14ac:dyDescent="0.3">
      <c r="I20902" t="s">
        <v>25863</v>
      </c>
      <c r="J20902" t="s">
        <v>6212</v>
      </c>
    </row>
    <row r="20903" spans="9:10" x14ac:dyDescent="0.3">
      <c r="I20903" t="s">
        <v>25863</v>
      </c>
      <c r="J20903" t="s">
        <v>6212</v>
      </c>
    </row>
    <row r="20904" spans="9:10" x14ac:dyDescent="0.3">
      <c r="I20904" t="s">
        <v>25864</v>
      </c>
    </row>
    <row r="20905" spans="9:10" x14ac:dyDescent="0.3">
      <c r="I20905" t="s">
        <v>25865</v>
      </c>
    </row>
    <row r="20906" spans="9:10" x14ac:dyDescent="0.3">
      <c r="I20906" t="s">
        <v>25866</v>
      </c>
      <c r="J20906" t="s">
        <v>6213</v>
      </c>
    </row>
    <row r="20907" spans="9:10" x14ac:dyDescent="0.3">
      <c r="I20907" t="s">
        <v>25867</v>
      </c>
    </row>
    <row r="20908" spans="9:10" x14ac:dyDescent="0.3">
      <c r="I20908" t="s">
        <v>25868</v>
      </c>
    </row>
    <row r="20909" spans="9:10" x14ac:dyDescent="0.3">
      <c r="I20909" t="s">
        <v>25869</v>
      </c>
    </row>
    <row r="20910" spans="9:10" x14ac:dyDescent="0.3">
      <c r="I20910" t="s">
        <v>25870</v>
      </c>
      <c r="J20910" t="s">
        <v>6214</v>
      </c>
    </row>
    <row r="20911" spans="9:10" x14ac:dyDescent="0.3">
      <c r="I20911" t="s">
        <v>25871</v>
      </c>
    </row>
    <row r="20912" spans="9:10" x14ac:dyDescent="0.3">
      <c r="I20912" t="s">
        <v>25872</v>
      </c>
      <c r="J20912" t="s">
        <v>6215</v>
      </c>
    </row>
    <row r="20913" spans="9:10" x14ac:dyDescent="0.3">
      <c r="I20913" t="s">
        <v>25873</v>
      </c>
      <c r="J20913" t="s">
        <v>6215</v>
      </c>
    </row>
    <row r="20914" spans="9:10" x14ac:dyDescent="0.3">
      <c r="I20914" t="s">
        <v>25874</v>
      </c>
      <c r="J20914" t="s">
        <v>319</v>
      </c>
    </row>
    <row r="20915" spans="9:10" x14ac:dyDescent="0.3">
      <c r="I20915" t="s">
        <v>25875</v>
      </c>
    </row>
    <row r="20916" spans="9:10" x14ac:dyDescent="0.3">
      <c r="I20916" t="s">
        <v>25876</v>
      </c>
    </row>
    <row r="20917" spans="9:10" x14ac:dyDescent="0.3">
      <c r="I20917" t="s">
        <v>25877</v>
      </c>
    </row>
    <row r="20918" spans="9:10" x14ac:dyDescent="0.3">
      <c r="I20918" t="s">
        <v>25878</v>
      </c>
    </row>
    <row r="20919" spans="9:10" x14ac:dyDescent="0.3">
      <c r="I20919" t="s">
        <v>25879</v>
      </c>
      <c r="J20919" t="s">
        <v>6216</v>
      </c>
    </row>
    <row r="20920" spans="9:10" x14ac:dyDescent="0.3">
      <c r="I20920" t="s">
        <v>25879</v>
      </c>
      <c r="J20920" t="s">
        <v>6216</v>
      </c>
    </row>
    <row r="20921" spans="9:10" x14ac:dyDescent="0.3">
      <c r="I20921" t="s">
        <v>25880</v>
      </c>
    </row>
    <row r="20922" spans="9:10" x14ac:dyDescent="0.3">
      <c r="I20922" t="s">
        <v>25881</v>
      </c>
    </row>
    <row r="20923" spans="9:10" x14ac:dyDescent="0.3">
      <c r="I20923" t="s">
        <v>25882</v>
      </c>
      <c r="J20923" t="s">
        <v>6217</v>
      </c>
    </row>
    <row r="20924" spans="9:10" x14ac:dyDescent="0.3">
      <c r="I20924" t="s">
        <v>25883</v>
      </c>
      <c r="J20924" t="s">
        <v>6217</v>
      </c>
    </row>
    <row r="20925" spans="9:10" x14ac:dyDescent="0.3">
      <c r="I20925" t="s">
        <v>25884</v>
      </c>
      <c r="J20925" t="s">
        <v>6217</v>
      </c>
    </row>
    <row r="20926" spans="9:10" x14ac:dyDescent="0.3">
      <c r="I20926" t="s">
        <v>25885</v>
      </c>
    </row>
    <row r="20927" spans="9:10" x14ac:dyDescent="0.3">
      <c r="I20927" t="s">
        <v>25886</v>
      </c>
      <c r="J20927" t="s">
        <v>6218</v>
      </c>
    </row>
    <row r="20928" spans="9:10" x14ac:dyDescent="0.3">
      <c r="I20928" t="s">
        <v>25887</v>
      </c>
      <c r="J20928" t="s">
        <v>6219</v>
      </c>
    </row>
    <row r="20929" spans="9:10" x14ac:dyDescent="0.3">
      <c r="I20929" t="s">
        <v>25888</v>
      </c>
    </row>
    <row r="20930" spans="9:10" x14ac:dyDescent="0.3">
      <c r="I20930" t="s">
        <v>25889</v>
      </c>
      <c r="J20930" t="s">
        <v>6220</v>
      </c>
    </row>
    <row r="20931" spans="9:10" x14ac:dyDescent="0.3">
      <c r="I20931" t="s">
        <v>25890</v>
      </c>
    </row>
    <row r="20932" spans="9:10" x14ac:dyDescent="0.3">
      <c r="I20932" t="s">
        <v>25891</v>
      </c>
    </row>
    <row r="20933" spans="9:10" x14ac:dyDescent="0.3">
      <c r="I20933" t="s">
        <v>25892</v>
      </c>
      <c r="J20933" t="s">
        <v>6221</v>
      </c>
    </row>
    <row r="20934" spans="9:10" x14ac:dyDescent="0.3">
      <c r="I20934" t="s">
        <v>25893</v>
      </c>
      <c r="J20934" t="s">
        <v>6222</v>
      </c>
    </row>
    <row r="20935" spans="9:10" x14ac:dyDescent="0.3">
      <c r="I20935" t="s">
        <v>25894</v>
      </c>
      <c r="J20935" t="s">
        <v>6223</v>
      </c>
    </row>
    <row r="20936" spans="9:10" x14ac:dyDescent="0.3">
      <c r="I20936" t="s">
        <v>25895</v>
      </c>
      <c r="J20936" t="s">
        <v>6224</v>
      </c>
    </row>
    <row r="20937" spans="9:10" x14ac:dyDescent="0.3">
      <c r="I20937" t="s">
        <v>25896</v>
      </c>
      <c r="J20937" t="s">
        <v>6224</v>
      </c>
    </row>
    <row r="20938" spans="9:10" x14ac:dyDescent="0.3">
      <c r="I20938" t="s">
        <v>25895</v>
      </c>
      <c r="J20938" t="s">
        <v>6224</v>
      </c>
    </row>
    <row r="20939" spans="9:10" x14ac:dyDescent="0.3">
      <c r="I20939" t="s">
        <v>25897</v>
      </c>
    </row>
    <row r="20940" spans="9:10" x14ac:dyDescent="0.3">
      <c r="I20940" t="s">
        <v>25898</v>
      </c>
    </row>
    <row r="20941" spans="9:10" x14ac:dyDescent="0.3">
      <c r="I20941" t="s">
        <v>25899</v>
      </c>
      <c r="J20941" t="s">
        <v>6225</v>
      </c>
    </row>
    <row r="20942" spans="9:10" x14ac:dyDescent="0.3">
      <c r="I20942" t="s">
        <v>25900</v>
      </c>
      <c r="J20942" t="s">
        <v>6225</v>
      </c>
    </row>
    <row r="20943" spans="9:10" x14ac:dyDescent="0.3">
      <c r="I20943" t="s">
        <v>25901</v>
      </c>
      <c r="J20943" t="s">
        <v>6226</v>
      </c>
    </row>
    <row r="20944" spans="9:10" x14ac:dyDescent="0.3">
      <c r="I20944" t="s">
        <v>25902</v>
      </c>
      <c r="J20944" t="s">
        <v>6226</v>
      </c>
    </row>
    <row r="20945" spans="9:10" x14ac:dyDescent="0.3">
      <c r="I20945" t="s">
        <v>25903</v>
      </c>
    </row>
    <row r="20946" spans="9:10" x14ac:dyDescent="0.3">
      <c r="I20946" t="s">
        <v>25904</v>
      </c>
      <c r="J20946" t="s">
        <v>6227</v>
      </c>
    </row>
    <row r="20947" spans="9:10" x14ac:dyDescent="0.3">
      <c r="I20947" t="s">
        <v>25905</v>
      </c>
    </row>
    <row r="20948" spans="9:10" x14ac:dyDescent="0.3">
      <c r="I20948" t="s">
        <v>25906</v>
      </c>
    </row>
    <row r="20949" spans="9:10" x14ac:dyDescent="0.3">
      <c r="I20949" t="s">
        <v>25907</v>
      </c>
      <c r="J20949" t="s">
        <v>6228</v>
      </c>
    </row>
    <row r="20950" spans="9:10" x14ac:dyDescent="0.3">
      <c r="I20950" t="s">
        <v>25908</v>
      </c>
      <c r="J20950" t="s">
        <v>6229</v>
      </c>
    </row>
    <row r="20951" spans="9:10" x14ac:dyDescent="0.3">
      <c r="I20951" t="s">
        <v>25909</v>
      </c>
      <c r="J20951" t="s">
        <v>6229</v>
      </c>
    </row>
    <row r="20952" spans="9:10" x14ac:dyDescent="0.3">
      <c r="I20952" t="s">
        <v>25910</v>
      </c>
      <c r="J20952" t="s">
        <v>120</v>
      </c>
    </row>
    <row r="20953" spans="9:10" x14ac:dyDescent="0.3">
      <c r="I20953" t="s">
        <v>25911</v>
      </c>
    </row>
    <row r="20954" spans="9:10" x14ac:dyDescent="0.3">
      <c r="I20954" t="s">
        <v>11008</v>
      </c>
      <c r="J20954" t="s">
        <v>1329</v>
      </c>
    </row>
    <row r="20955" spans="9:10" x14ac:dyDescent="0.3">
      <c r="I20955" t="s">
        <v>25912</v>
      </c>
    </row>
    <row r="20956" spans="9:10" x14ac:dyDescent="0.3">
      <c r="I20956" t="s">
        <v>25912</v>
      </c>
    </row>
    <row r="20957" spans="9:10" x14ac:dyDescent="0.3">
      <c r="I20957" t="s">
        <v>25913</v>
      </c>
    </row>
    <row r="20958" spans="9:10" x14ac:dyDescent="0.3">
      <c r="I20958" t="s">
        <v>25914</v>
      </c>
    </row>
    <row r="20959" spans="9:10" x14ac:dyDescent="0.3">
      <c r="I20959" t="s">
        <v>25915</v>
      </c>
    </row>
    <row r="20960" spans="9:10" x14ac:dyDescent="0.3">
      <c r="I20960" t="s">
        <v>25916</v>
      </c>
      <c r="J20960" t="s">
        <v>6230</v>
      </c>
    </row>
    <row r="20961" spans="9:10" x14ac:dyDescent="0.3">
      <c r="I20961" t="s">
        <v>25917</v>
      </c>
      <c r="J20961" t="s">
        <v>6231</v>
      </c>
    </row>
    <row r="20962" spans="9:10" x14ac:dyDescent="0.3">
      <c r="I20962" t="s">
        <v>25918</v>
      </c>
    </row>
    <row r="20963" spans="9:10" x14ac:dyDescent="0.3">
      <c r="I20963" t="s">
        <v>25919</v>
      </c>
      <c r="J20963" t="s">
        <v>6232</v>
      </c>
    </row>
    <row r="20964" spans="9:10" x14ac:dyDescent="0.3">
      <c r="I20964" t="s">
        <v>25920</v>
      </c>
    </row>
    <row r="20965" spans="9:10" x14ac:dyDescent="0.3">
      <c r="I20965" t="s">
        <v>25921</v>
      </c>
      <c r="J20965" t="s">
        <v>513</v>
      </c>
    </row>
    <row r="20966" spans="9:10" x14ac:dyDescent="0.3">
      <c r="I20966" t="s">
        <v>25922</v>
      </c>
      <c r="J20966" t="s">
        <v>513</v>
      </c>
    </row>
    <row r="20967" spans="9:10" x14ac:dyDescent="0.3">
      <c r="I20967" t="s">
        <v>25922</v>
      </c>
      <c r="J20967" t="s">
        <v>513</v>
      </c>
    </row>
    <row r="20968" spans="9:10" x14ac:dyDescent="0.3">
      <c r="I20968" t="s">
        <v>25921</v>
      </c>
      <c r="J20968" t="s">
        <v>513</v>
      </c>
    </row>
    <row r="20969" spans="9:10" x14ac:dyDescent="0.3">
      <c r="I20969" t="s">
        <v>25921</v>
      </c>
      <c r="J20969" t="s">
        <v>513</v>
      </c>
    </row>
    <row r="20970" spans="9:10" x14ac:dyDescent="0.3">
      <c r="I20970" t="s">
        <v>25921</v>
      </c>
      <c r="J20970" t="s">
        <v>513</v>
      </c>
    </row>
    <row r="20971" spans="9:10" x14ac:dyDescent="0.3">
      <c r="I20971" t="s">
        <v>25923</v>
      </c>
    </row>
    <row r="20972" spans="9:10" x14ac:dyDescent="0.3">
      <c r="I20972" t="s">
        <v>25924</v>
      </c>
      <c r="J20972" t="s">
        <v>6233</v>
      </c>
    </row>
    <row r="20973" spans="9:10" x14ac:dyDescent="0.3">
      <c r="I20973" t="s">
        <v>25925</v>
      </c>
      <c r="J20973" t="s">
        <v>6233</v>
      </c>
    </row>
    <row r="20974" spans="9:10" x14ac:dyDescent="0.3">
      <c r="I20974" t="s">
        <v>25926</v>
      </c>
      <c r="J20974" t="s">
        <v>6234</v>
      </c>
    </row>
    <row r="20975" spans="9:10" x14ac:dyDescent="0.3">
      <c r="I20975" t="s">
        <v>25927</v>
      </c>
    </row>
    <row r="20976" spans="9:10" x14ac:dyDescent="0.3">
      <c r="I20976" t="s">
        <v>25928</v>
      </c>
    </row>
    <row r="20977" spans="9:10" x14ac:dyDescent="0.3">
      <c r="I20977" t="s">
        <v>25929</v>
      </c>
    </row>
    <row r="20978" spans="9:10" x14ac:dyDescent="0.3">
      <c r="I20978" t="s">
        <v>25929</v>
      </c>
    </row>
    <row r="20979" spans="9:10" x14ac:dyDescent="0.3">
      <c r="I20979" t="s">
        <v>25930</v>
      </c>
    </row>
    <row r="20980" spans="9:10" x14ac:dyDescent="0.3">
      <c r="I20980" t="s">
        <v>25931</v>
      </c>
      <c r="J20980" t="s">
        <v>6235</v>
      </c>
    </row>
    <row r="20981" spans="9:10" x14ac:dyDescent="0.3">
      <c r="I20981" t="s">
        <v>25932</v>
      </c>
    </row>
    <row r="20982" spans="9:10" x14ac:dyDescent="0.3">
      <c r="I20982" t="s">
        <v>25933</v>
      </c>
      <c r="J20982" t="s">
        <v>6236</v>
      </c>
    </row>
    <row r="20983" spans="9:10" x14ac:dyDescent="0.3">
      <c r="I20983" t="s">
        <v>25934</v>
      </c>
    </row>
    <row r="20984" spans="9:10" x14ac:dyDescent="0.3">
      <c r="I20984" t="s">
        <v>25934</v>
      </c>
    </row>
    <row r="20985" spans="9:10" x14ac:dyDescent="0.3">
      <c r="I20985" t="s">
        <v>25935</v>
      </c>
    </row>
    <row r="20986" spans="9:10" x14ac:dyDescent="0.3">
      <c r="I20986" t="s">
        <v>25936</v>
      </c>
    </row>
    <row r="20987" spans="9:10" x14ac:dyDescent="0.3">
      <c r="I20987" t="s">
        <v>25937</v>
      </c>
      <c r="J20987" t="s">
        <v>6237</v>
      </c>
    </row>
    <row r="20988" spans="9:10" x14ac:dyDescent="0.3">
      <c r="I20988" t="s">
        <v>25938</v>
      </c>
      <c r="J20988" t="s">
        <v>6238</v>
      </c>
    </row>
    <row r="20989" spans="9:10" x14ac:dyDescent="0.3">
      <c r="I20989" t="s">
        <v>25939</v>
      </c>
      <c r="J20989" t="s">
        <v>6239</v>
      </c>
    </row>
    <row r="20990" spans="9:10" x14ac:dyDescent="0.3">
      <c r="I20990" t="s">
        <v>25940</v>
      </c>
      <c r="J20990" t="s">
        <v>6240</v>
      </c>
    </row>
    <row r="20991" spans="9:10" x14ac:dyDescent="0.3">
      <c r="I20991" t="s">
        <v>25941</v>
      </c>
      <c r="J20991" t="s">
        <v>6241</v>
      </c>
    </row>
    <row r="20992" spans="9:10" x14ac:dyDescent="0.3">
      <c r="I20992" t="s">
        <v>25942</v>
      </c>
      <c r="J20992" t="s">
        <v>6242</v>
      </c>
    </row>
    <row r="20993" spans="9:10" x14ac:dyDescent="0.3">
      <c r="I20993" t="s">
        <v>25942</v>
      </c>
      <c r="J20993" t="s">
        <v>6242</v>
      </c>
    </row>
    <row r="20994" spans="9:10" x14ac:dyDescent="0.3">
      <c r="I20994" t="s">
        <v>25943</v>
      </c>
    </row>
    <row r="20995" spans="9:10" x14ac:dyDescent="0.3">
      <c r="I20995" t="s">
        <v>25944</v>
      </c>
    </row>
    <row r="20996" spans="9:10" x14ac:dyDescent="0.3">
      <c r="I20996" t="s">
        <v>25945</v>
      </c>
      <c r="J20996" t="s">
        <v>6243</v>
      </c>
    </row>
    <row r="20997" spans="9:10" x14ac:dyDescent="0.3">
      <c r="I20997" t="s">
        <v>25946</v>
      </c>
    </row>
    <row r="20998" spans="9:10" x14ac:dyDescent="0.3">
      <c r="I20998" t="s">
        <v>25947</v>
      </c>
      <c r="J20998" t="s">
        <v>6244</v>
      </c>
    </row>
    <row r="20999" spans="9:10" x14ac:dyDescent="0.3">
      <c r="I20999" t="s">
        <v>25947</v>
      </c>
      <c r="J20999" t="s">
        <v>6244</v>
      </c>
    </row>
    <row r="21000" spans="9:10" x14ac:dyDescent="0.3">
      <c r="I21000" t="s">
        <v>25948</v>
      </c>
      <c r="J21000" t="s">
        <v>6245</v>
      </c>
    </row>
    <row r="21001" spans="9:10" x14ac:dyDescent="0.3">
      <c r="I21001" t="s">
        <v>25948</v>
      </c>
      <c r="J21001" t="s">
        <v>6245</v>
      </c>
    </row>
    <row r="21002" spans="9:10" x14ac:dyDescent="0.3">
      <c r="I21002" t="s">
        <v>25949</v>
      </c>
      <c r="J21002" t="s">
        <v>6246</v>
      </c>
    </row>
    <row r="21003" spans="9:10" x14ac:dyDescent="0.3">
      <c r="I21003" t="s">
        <v>25949</v>
      </c>
      <c r="J21003" t="s">
        <v>6246</v>
      </c>
    </row>
    <row r="21004" spans="9:10" x14ac:dyDescent="0.3">
      <c r="I21004" t="s">
        <v>25950</v>
      </c>
      <c r="J21004" t="s">
        <v>6247</v>
      </c>
    </row>
    <row r="21005" spans="9:10" x14ac:dyDescent="0.3">
      <c r="I21005" t="s">
        <v>25951</v>
      </c>
      <c r="J21005" t="s">
        <v>6248</v>
      </c>
    </row>
    <row r="21006" spans="9:10" x14ac:dyDescent="0.3">
      <c r="I21006" t="s">
        <v>25951</v>
      </c>
      <c r="J21006" t="s">
        <v>6248</v>
      </c>
    </row>
    <row r="21007" spans="9:10" x14ac:dyDescent="0.3">
      <c r="I21007" t="s">
        <v>25952</v>
      </c>
      <c r="J21007" t="s">
        <v>6249</v>
      </c>
    </row>
    <row r="21008" spans="9:10" x14ac:dyDescent="0.3">
      <c r="I21008" t="s">
        <v>25953</v>
      </c>
      <c r="J21008" t="s">
        <v>6250</v>
      </c>
    </row>
    <row r="21009" spans="9:10" x14ac:dyDescent="0.3">
      <c r="I21009" t="s">
        <v>25954</v>
      </c>
    </row>
    <row r="21010" spans="9:10" x14ac:dyDescent="0.3">
      <c r="I21010" t="s">
        <v>25955</v>
      </c>
    </row>
    <row r="21011" spans="9:10" x14ac:dyDescent="0.3">
      <c r="I21011" t="s">
        <v>25956</v>
      </c>
    </row>
    <row r="21012" spans="9:10" x14ac:dyDescent="0.3">
      <c r="I21012" t="s">
        <v>25957</v>
      </c>
      <c r="J21012" t="s">
        <v>6251</v>
      </c>
    </row>
    <row r="21013" spans="9:10" x14ac:dyDescent="0.3">
      <c r="I21013" t="s">
        <v>25958</v>
      </c>
    </row>
    <row r="21014" spans="9:10" x14ac:dyDescent="0.3">
      <c r="I21014" t="s">
        <v>25959</v>
      </c>
    </row>
    <row r="21015" spans="9:10" x14ac:dyDescent="0.3">
      <c r="I21015" t="s">
        <v>25960</v>
      </c>
      <c r="J21015" t="s">
        <v>6252</v>
      </c>
    </row>
    <row r="21016" spans="9:10" x14ac:dyDescent="0.3">
      <c r="I21016" t="s">
        <v>25961</v>
      </c>
    </row>
    <row r="21017" spans="9:10" x14ac:dyDescent="0.3">
      <c r="I21017" t="s">
        <v>25962</v>
      </c>
      <c r="J21017" t="s">
        <v>6253</v>
      </c>
    </row>
    <row r="21018" spans="9:10" x14ac:dyDescent="0.3">
      <c r="I21018" t="s">
        <v>25963</v>
      </c>
      <c r="J21018" t="s">
        <v>6253</v>
      </c>
    </row>
    <row r="21019" spans="9:10" x14ac:dyDescent="0.3">
      <c r="I21019" t="s">
        <v>25964</v>
      </c>
      <c r="J21019" t="s">
        <v>6254</v>
      </c>
    </row>
    <row r="21020" spans="9:10" x14ac:dyDescent="0.3">
      <c r="I21020" t="s">
        <v>25965</v>
      </c>
      <c r="J21020" t="s">
        <v>6255</v>
      </c>
    </row>
    <row r="21021" spans="9:10" x14ac:dyDescent="0.3">
      <c r="I21021" t="s">
        <v>25966</v>
      </c>
      <c r="J21021" t="s">
        <v>512</v>
      </c>
    </row>
    <row r="21022" spans="9:10" x14ac:dyDescent="0.3">
      <c r="I21022" t="s">
        <v>25967</v>
      </c>
    </row>
    <row r="21023" spans="9:10" x14ac:dyDescent="0.3">
      <c r="I21023" t="s">
        <v>25968</v>
      </c>
    </row>
    <row r="21024" spans="9:10" x14ac:dyDescent="0.3">
      <c r="I21024" t="s">
        <v>25969</v>
      </c>
      <c r="J21024" t="s">
        <v>6256</v>
      </c>
    </row>
    <row r="21025" spans="9:10" x14ac:dyDescent="0.3">
      <c r="I21025" t="s">
        <v>25970</v>
      </c>
      <c r="J21025" t="s">
        <v>6257</v>
      </c>
    </row>
    <row r="21026" spans="9:10" x14ac:dyDescent="0.3">
      <c r="I21026" t="s">
        <v>25971</v>
      </c>
      <c r="J21026" t="s">
        <v>6257</v>
      </c>
    </row>
    <row r="21027" spans="9:10" x14ac:dyDescent="0.3">
      <c r="I21027" t="s">
        <v>25970</v>
      </c>
      <c r="J21027" t="s">
        <v>6257</v>
      </c>
    </row>
    <row r="21028" spans="9:10" x14ac:dyDescent="0.3">
      <c r="I21028" t="s">
        <v>25972</v>
      </c>
      <c r="J21028" t="s">
        <v>6257</v>
      </c>
    </row>
    <row r="21029" spans="9:10" x14ac:dyDescent="0.3">
      <c r="I21029" t="s">
        <v>25973</v>
      </c>
      <c r="J21029" t="s">
        <v>6258</v>
      </c>
    </row>
    <row r="21030" spans="9:10" x14ac:dyDescent="0.3">
      <c r="I21030" t="s">
        <v>25974</v>
      </c>
    </row>
    <row r="21031" spans="9:10" x14ac:dyDescent="0.3">
      <c r="I21031" t="s">
        <v>25975</v>
      </c>
    </row>
    <row r="21032" spans="9:10" x14ac:dyDescent="0.3">
      <c r="I21032" t="s">
        <v>25976</v>
      </c>
    </row>
    <row r="21033" spans="9:10" x14ac:dyDescent="0.3">
      <c r="I21033" t="s">
        <v>25977</v>
      </c>
      <c r="J21033" t="s">
        <v>6259</v>
      </c>
    </row>
    <row r="21034" spans="9:10" x14ac:dyDescent="0.3">
      <c r="I21034" t="s">
        <v>25978</v>
      </c>
      <c r="J21034" t="s">
        <v>6260</v>
      </c>
    </row>
    <row r="21035" spans="9:10" x14ac:dyDescent="0.3">
      <c r="I21035" t="s">
        <v>25979</v>
      </c>
      <c r="J21035" t="s">
        <v>6261</v>
      </c>
    </row>
    <row r="21036" spans="9:10" x14ac:dyDescent="0.3">
      <c r="I21036" t="s">
        <v>25980</v>
      </c>
      <c r="J21036" t="s">
        <v>2045</v>
      </c>
    </row>
    <row r="21037" spans="9:10" x14ac:dyDescent="0.3">
      <c r="I21037" t="s">
        <v>25981</v>
      </c>
      <c r="J21037" t="s">
        <v>6262</v>
      </c>
    </row>
    <row r="21038" spans="9:10" x14ac:dyDescent="0.3">
      <c r="I21038" t="s">
        <v>25982</v>
      </c>
    </row>
    <row r="21039" spans="9:10" x14ac:dyDescent="0.3">
      <c r="I21039" t="s">
        <v>25983</v>
      </c>
    </row>
    <row r="21040" spans="9:10" x14ac:dyDescent="0.3">
      <c r="I21040" t="s">
        <v>25984</v>
      </c>
    </row>
    <row r="21041" spans="9:10" x14ac:dyDescent="0.3">
      <c r="I21041" t="s">
        <v>25985</v>
      </c>
      <c r="J21041" t="s">
        <v>6263</v>
      </c>
    </row>
    <row r="21042" spans="9:10" x14ac:dyDescent="0.3">
      <c r="I21042" t="s">
        <v>25985</v>
      </c>
      <c r="J21042" t="s">
        <v>6263</v>
      </c>
    </row>
    <row r="21043" spans="9:10" x14ac:dyDescent="0.3">
      <c r="I21043" t="s">
        <v>25986</v>
      </c>
      <c r="J21043" t="s">
        <v>6264</v>
      </c>
    </row>
    <row r="21044" spans="9:10" x14ac:dyDescent="0.3">
      <c r="I21044" t="s">
        <v>25987</v>
      </c>
      <c r="J21044" t="s">
        <v>6265</v>
      </c>
    </row>
    <row r="21045" spans="9:10" x14ac:dyDescent="0.3">
      <c r="I21045" t="s">
        <v>25987</v>
      </c>
      <c r="J21045" t="s">
        <v>6265</v>
      </c>
    </row>
    <row r="21046" spans="9:10" x14ac:dyDescent="0.3">
      <c r="I21046" t="s">
        <v>25988</v>
      </c>
      <c r="J21046" t="s">
        <v>6265</v>
      </c>
    </row>
    <row r="21047" spans="9:10" x14ac:dyDescent="0.3">
      <c r="I21047" t="s">
        <v>25989</v>
      </c>
    </row>
    <row r="21048" spans="9:10" x14ac:dyDescent="0.3">
      <c r="I21048" t="s">
        <v>25990</v>
      </c>
      <c r="J21048" t="s">
        <v>6266</v>
      </c>
    </row>
    <row r="21049" spans="9:10" x14ac:dyDescent="0.3">
      <c r="I21049" t="s">
        <v>25990</v>
      </c>
      <c r="J21049" t="s">
        <v>6266</v>
      </c>
    </row>
    <row r="21050" spans="9:10" x14ac:dyDescent="0.3">
      <c r="I21050" t="s">
        <v>25991</v>
      </c>
      <c r="J21050" t="s">
        <v>6267</v>
      </c>
    </row>
    <row r="21051" spans="9:10" x14ac:dyDescent="0.3">
      <c r="I21051" t="s">
        <v>25992</v>
      </c>
    </row>
    <row r="21052" spans="9:10" x14ac:dyDescent="0.3">
      <c r="I21052" t="s">
        <v>25993</v>
      </c>
    </row>
    <row r="21053" spans="9:10" x14ac:dyDescent="0.3">
      <c r="I21053" t="s">
        <v>25994</v>
      </c>
      <c r="J21053" t="s">
        <v>6268</v>
      </c>
    </row>
    <row r="21054" spans="9:10" x14ac:dyDescent="0.3">
      <c r="I21054" t="s">
        <v>25995</v>
      </c>
      <c r="J21054" t="s">
        <v>6269</v>
      </c>
    </row>
    <row r="21055" spans="9:10" x14ac:dyDescent="0.3">
      <c r="I21055" t="s">
        <v>25996</v>
      </c>
      <c r="J21055" t="s">
        <v>6270</v>
      </c>
    </row>
    <row r="21056" spans="9:10" x14ac:dyDescent="0.3">
      <c r="I21056" t="s">
        <v>25997</v>
      </c>
      <c r="J21056" t="s">
        <v>6270</v>
      </c>
    </row>
    <row r="21057" spans="9:10" x14ac:dyDescent="0.3">
      <c r="I21057" t="s">
        <v>25998</v>
      </c>
      <c r="J21057" t="s">
        <v>6271</v>
      </c>
    </row>
    <row r="21058" spans="9:10" x14ac:dyDescent="0.3">
      <c r="I21058" t="s">
        <v>25999</v>
      </c>
      <c r="J21058" t="s">
        <v>6272</v>
      </c>
    </row>
    <row r="21059" spans="9:10" x14ac:dyDescent="0.3">
      <c r="I21059" t="s">
        <v>25999</v>
      </c>
      <c r="J21059" t="s">
        <v>6272</v>
      </c>
    </row>
    <row r="21060" spans="9:10" x14ac:dyDescent="0.3">
      <c r="I21060" t="s">
        <v>26000</v>
      </c>
      <c r="J21060" t="s">
        <v>6273</v>
      </c>
    </row>
    <row r="21061" spans="9:10" x14ac:dyDescent="0.3">
      <c r="I21061" t="s">
        <v>26000</v>
      </c>
      <c r="J21061" t="s">
        <v>6273</v>
      </c>
    </row>
    <row r="21062" spans="9:10" x14ac:dyDescent="0.3">
      <c r="I21062" t="s">
        <v>26001</v>
      </c>
    </row>
    <row r="21063" spans="9:10" x14ac:dyDescent="0.3">
      <c r="I21063" t="s">
        <v>26002</v>
      </c>
    </row>
    <row r="21064" spans="9:10" x14ac:dyDescent="0.3">
      <c r="I21064" t="s">
        <v>26003</v>
      </c>
      <c r="J21064" t="s">
        <v>6274</v>
      </c>
    </row>
    <row r="21065" spans="9:10" x14ac:dyDescent="0.3">
      <c r="I21065" t="s">
        <v>26004</v>
      </c>
      <c r="J21065" t="s">
        <v>6275</v>
      </c>
    </row>
    <row r="21066" spans="9:10" x14ac:dyDescent="0.3">
      <c r="I21066" t="s">
        <v>26005</v>
      </c>
      <c r="J21066" t="s">
        <v>6276</v>
      </c>
    </row>
    <row r="21067" spans="9:10" x14ac:dyDescent="0.3">
      <c r="I21067" t="s">
        <v>26006</v>
      </c>
      <c r="J21067" t="s">
        <v>6277</v>
      </c>
    </row>
    <row r="21068" spans="9:10" x14ac:dyDescent="0.3">
      <c r="I21068" t="s">
        <v>26007</v>
      </c>
      <c r="J21068" t="s">
        <v>6278</v>
      </c>
    </row>
    <row r="21069" spans="9:10" x14ac:dyDescent="0.3">
      <c r="I21069" t="s">
        <v>26007</v>
      </c>
      <c r="J21069" t="s">
        <v>6278</v>
      </c>
    </row>
    <row r="21070" spans="9:10" x14ac:dyDescent="0.3">
      <c r="I21070" t="s">
        <v>26008</v>
      </c>
      <c r="J21070" t="s">
        <v>6278</v>
      </c>
    </row>
    <row r="21071" spans="9:10" x14ac:dyDescent="0.3">
      <c r="I21071" t="s">
        <v>26009</v>
      </c>
      <c r="J21071">
        <v>0</v>
      </c>
    </row>
    <row r="21072" spans="9:10" x14ac:dyDescent="0.3">
      <c r="I21072" t="s">
        <v>26010</v>
      </c>
      <c r="J21072" t="s">
        <v>6279</v>
      </c>
    </row>
    <row r="21073" spans="9:10" x14ac:dyDescent="0.3">
      <c r="I21073" t="s">
        <v>26011</v>
      </c>
      <c r="J21073" t="s">
        <v>6280</v>
      </c>
    </row>
    <row r="21074" spans="9:10" x14ac:dyDescent="0.3">
      <c r="I21074" t="s">
        <v>26012</v>
      </c>
    </row>
    <row r="21075" spans="9:10" x14ac:dyDescent="0.3">
      <c r="I21075" t="s">
        <v>26013</v>
      </c>
      <c r="J21075" t="s">
        <v>6281</v>
      </c>
    </row>
    <row r="21076" spans="9:10" x14ac:dyDescent="0.3">
      <c r="I21076" t="s">
        <v>26014</v>
      </c>
      <c r="J21076" t="s">
        <v>6282</v>
      </c>
    </row>
    <row r="21077" spans="9:10" x14ac:dyDescent="0.3">
      <c r="I21077" t="s">
        <v>26015</v>
      </c>
      <c r="J21077" t="s">
        <v>6283</v>
      </c>
    </row>
    <row r="21078" spans="9:10" x14ac:dyDescent="0.3">
      <c r="I21078" t="s">
        <v>26016</v>
      </c>
    </row>
    <row r="21079" spans="9:10" x14ac:dyDescent="0.3">
      <c r="I21079" t="s">
        <v>26017</v>
      </c>
      <c r="J21079" t="s">
        <v>6284</v>
      </c>
    </row>
    <row r="21080" spans="9:10" x14ac:dyDescent="0.3">
      <c r="I21080" t="s">
        <v>26018</v>
      </c>
      <c r="J21080" t="s">
        <v>6285</v>
      </c>
    </row>
    <row r="21081" spans="9:10" x14ac:dyDescent="0.3">
      <c r="I21081" t="s">
        <v>26019</v>
      </c>
      <c r="J21081" t="s">
        <v>6286</v>
      </c>
    </row>
    <row r="21082" spans="9:10" x14ac:dyDescent="0.3">
      <c r="I21082" t="s">
        <v>26020</v>
      </c>
      <c r="J21082" t="s">
        <v>6287</v>
      </c>
    </row>
    <row r="21083" spans="9:10" x14ac:dyDescent="0.3">
      <c r="I21083" t="s">
        <v>26020</v>
      </c>
      <c r="J21083" t="s">
        <v>6287</v>
      </c>
    </row>
    <row r="21084" spans="9:10" x14ac:dyDescent="0.3">
      <c r="I21084" t="s">
        <v>26021</v>
      </c>
    </row>
    <row r="21085" spans="9:10" x14ac:dyDescent="0.3">
      <c r="I21085" t="s">
        <v>26022</v>
      </c>
      <c r="J21085" t="s">
        <v>6288</v>
      </c>
    </row>
    <row r="21086" spans="9:10" x14ac:dyDescent="0.3">
      <c r="I21086" t="s">
        <v>26023</v>
      </c>
      <c r="J21086" t="s">
        <v>6288</v>
      </c>
    </row>
    <row r="21087" spans="9:10" x14ac:dyDescent="0.3">
      <c r="I21087" t="s">
        <v>26024</v>
      </c>
      <c r="J21087" t="s">
        <v>6289</v>
      </c>
    </row>
    <row r="21088" spans="9:10" x14ac:dyDescent="0.3">
      <c r="I21088" t="s">
        <v>26025</v>
      </c>
      <c r="J21088" t="s">
        <v>6290</v>
      </c>
    </row>
    <row r="21089" spans="9:10" x14ac:dyDescent="0.3">
      <c r="I21089" t="s">
        <v>26026</v>
      </c>
      <c r="J21089" t="s">
        <v>6291</v>
      </c>
    </row>
    <row r="21090" spans="9:10" x14ac:dyDescent="0.3">
      <c r="I21090" t="s">
        <v>26027</v>
      </c>
      <c r="J21090" t="s">
        <v>6292</v>
      </c>
    </row>
    <row r="21091" spans="9:10" x14ac:dyDescent="0.3">
      <c r="I21091" t="s">
        <v>26028</v>
      </c>
      <c r="J21091" t="s">
        <v>6293</v>
      </c>
    </row>
    <row r="21092" spans="9:10" x14ac:dyDescent="0.3">
      <c r="I21092" t="s">
        <v>26029</v>
      </c>
      <c r="J21092" t="s">
        <v>6294</v>
      </c>
    </row>
    <row r="21093" spans="9:10" x14ac:dyDescent="0.3">
      <c r="I21093" t="s">
        <v>26030</v>
      </c>
      <c r="J21093" t="s">
        <v>6294</v>
      </c>
    </row>
    <row r="21094" spans="9:10" x14ac:dyDescent="0.3">
      <c r="I21094" t="s">
        <v>26031</v>
      </c>
      <c r="J21094" t="s">
        <v>6295</v>
      </c>
    </row>
    <row r="21095" spans="9:10" x14ac:dyDescent="0.3">
      <c r="I21095" t="s">
        <v>26032</v>
      </c>
      <c r="J21095" t="s">
        <v>6296</v>
      </c>
    </row>
    <row r="21096" spans="9:10" x14ac:dyDescent="0.3">
      <c r="I21096" t="s">
        <v>26033</v>
      </c>
      <c r="J21096" t="s">
        <v>6297</v>
      </c>
    </row>
    <row r="21097" spans="9:10" x14ac:dyDescent="0.3">
      <c r="I21097" t="s">
        <v>26034</v>
      </c>
      <c r="J21097" t="s">
        <v>6298</v>
      </c>
    </row>
    <row r="21098" spans="9:10" x14ac:dyDescent="0.3">
      <c r="I21098" t="s">
        <v>26035</v>
      </c>
    </row>
    <row r="21099" spans="9:10" x14ac:dyDescent="0.3">
      <c r="I21099" t="s">
        <v>26036</v>
      </c>
    </row>
    <row r="21100" spans="9:10" x14ac:dyDescent="0.3">
      <c r="I21100" t="s">
        <v>26037</v>
      </c>
    </row>
    <row r="21101" spans="9:10" x14ac:dyDescent="0.3">
      <c r="I21101" t="s">
        <v>26038</v>
      </c>
      <c r="J21101">
        <v>0</v>
      </c>
    </row>
    <row r="21102" spans="9:10" x14ac:dyDescent="0.3">
      <c r="I21102" t="s">
        <v>26039</v>
      </c>
      <c r="J21102" t="s">
        <v>6299</v>
      </c>
    </row>
    <row r="21103" spans="9:10" x14ac:dyDescent="0.3">
      <c r="I21103" t="s">
        <v>26040</v>
      </c>
      <c r="J21103" t="s">
        <v>6299</v>
      </c>
    </row>
    <row r="21104" spans="9:10" x14ac:dyDescent="0.3">
      <c r="I21104" t="s">
        <v>26041</v>
      </c>
      <c r="J21104" t="s">
        <v>6300</v>
      </c>
    </row>
    <row r="21105" spans="9:10" x14ac:dyDescent="0.3">
      <c r="I21105" t="s">
        <v>26042</v>
      </c>
      <c r="J21105" t="s">
        <v>6301</v>
      </c>
    </row>
    <row r="21106" spans="9:10" x14ac:dyDescent="0.3">
      <c r="I21106" t="s">
        <v>26043</v>
      </c>
      <c r="J21106" t="s">
        <v>6302</v>
      </c>
    </row>
    <row r="21107" spans="9:10" x14ac:dyDescent="0.3">
      <c r="I21107" t="s">
        <v>26044</v>
      </c>
      <c r="J21107" t="s">
        <v>6303</v>
      </c>
    </row>
    <row r="21108" spans="9:10" x14ac:dyDescent="0.3">
      <c r="I21108" t="s">
        <v>26045</v>
      </c>
      <c r="J21108" t="s">
        <v>6303</v>
      </c>
    </row>
    <row r="21109" spans="9:10" x14ac:dyDescent="0.3">
      <c r="I21109" t="s">
        <v>26046</v>
      </c>
      <c r="J21109" t="s">
        <v>6304</v>
      </c>
    </row>
    <row r="21110" spans="9:10" x14ac:dyDescent="0.3">
      <c r="I21110" t="s">
        <v>26047</v>
      </c>
    </row>
    <row r="21111" spans="9:10" x14ac:dyDescent="0.3">
      <c r="I21111" t="s">
        <v>26048</v>
      </c>
    </row>
    <row r="21112" spans="9:10" x14ac:dyDescent="0.3">
      <c r="I21112" t="s">
        <v>26049</v>
      </c>
    </row>
    <row r="21113" spans="9:10" x14ac:dyDescent="0.3">
      <c r="I21113" t="s">
        <v>26050</v>
      </c>
    </row>
    <row r="21114" spans="9:10" x14ac:dyDescent="0.3">
      <c r="I21114" t="s">
        <v>26050</v>
      </c>
    </row>
    <row r="21115" spans="9:10" x14ac:dyDescent="0.3">
      <c r="I21115" t="s">
        <v>26051</v>
      </c>
      <c r="J21115" t="s">
        <v>6305</v>
      </c>
    </row>
    <row r="21116" spans="9:10" x14ac:dyDescent="0.3">
      <c r="I21116" t="s">
        <v>26052</v>
      </c>
      <c r="J21116" t="s">
        <v>6306</v>
      </c>
    </row>
    <row r="21117" spans="9:10" x14ac:dyDescent="0.3">
      <c r="I21117" t="s">
        <v>26053</v>
      </c>
      <c r="J21117" t="s">
        <v>6307</v>
      </c>
    </row>
    <row r="21118" spans="9:10" x14ac:dyDescent="0.3">
      <c r="I21118" t="s">
        <v>26054</v>
      </c>
      <c r="J21118" t="s">
        <v>6308</v>
      </c>
    </row>
    <row r="21119" spans="9:10" x14ac:dyDescent="0.3">
      <c r="I21119" t="s">
        <v>26055</v>
      </c>
      <c r="J21119" t="s">
        <v>6309</v>
      </c>
    </row>
    <row r="21120" spans="9:10" x14ac:dyDescent="0.3">
      <c r="I21120" t="s">
        <v>26056</v>
      </c>
      <c r="J21120" t="s">
        <v>686</v>
      </c>
    </row>
    <row r="21121" spans="9:10" x14ac:dyDescent="0.3">
      <c r="I21121" t="s">
        <v>26057</v>
      </c>
    </row>
    <row r="21122" spans="9:10" x14ac:dyDescent="0.3">
      <c r="I21122" t="s">
        <v>26058</v>
      </c>
      <c r="J21122" t="s">
        <v>6310</v>
      </c>
    </row>
    <row r="21123" spans="9:10" x14ac:dyDescent="0.3">
      <c r="I21123" t="s">
        <v>26059</v>
      </c>
      <c r="J21123" t="s">
        <v>6311</v>
      </c>
    </row>
    <row r="21124" spans="9:10" x14ac:dyDescent="0.3">
      <c r="I21124" t="s">
        <v>26060</v>
      </c>
    </row>
    <row r="21125" spans="9:10" x14ac:dyDescent="0.3">
      <c r="I21125" t="s">
        <v>26061</v>
      </c>
    </row>
    <row r="21126" spans="9:10" x14ac:dyDescent="0.3">
      <c r="I21126" t="s">
        <v>26062</v>
      </c>
      <c r="J21126" t="s">
        <v>6312</v>
      </c>
    </row>
    <row r="21127" spans="9:10" x14ac:dyDescent="0.3">
      <c r="I21127" t="s">
        <v>26062</v>
      </c>
      <c r="J21127" t="s">
        <v>6312</v>
      </c>
    </row>
    <row r="21128" spans="9:10" x14ac:dyDescent="0.3">
      <c r="I21128" t="s">
        <v>26063</v>
      </c>
      <c r="J21128" t="s">
        <v>6313</v>
      </c>
    </row>
    <row r="21129" spans="9:10" x14ac:dyDescent="0.3">
      <c r="I21129" t="s">
        <v>26064</v>
      </c>
      <c r="J21129" t="s">
        <v>6313</v>
      </c>
    </row>
    <row r="21130" spans="9:10" x14ac:dyDescent="0.3">
      <c r="I21130" t="s">
        <v>26065</v>
      </c>
      <c r="J21130" t="s">
        <v>6314</v>
      </c>
    </row>
    <row r="21131" spans="9:10" x14ac:dyDescent="0.3">
      <c r="I21131" t="s">
        <v>26066</v>
      </c>
      <c r="J21131" t="s">
        <v>6314</v>
      </c>
    </row>
    <row r="21132" spans="9:10" x14ac:dyDescent="0.3">
      <c r="I21132" t="s">
        <v>26067</v>
      </c>
      <c r="J21132" t="s">
        <v>6315</v>
      </c>
    </row>
    <row r="21133" spans="9:10" x14ac:dyDescent="0.3">
      <c r="I21133" t="s">
        <v>26067</v>
      </c>
      <c r="J21133" t="s">
        <v>6315</v>
      </c>
    </row>
    <row r="21134" spans="9:10" x14ac:dyDescent="0.3">
      <c r="I21134" t="s">
        <v>26067</v>
      </c>
      <c r="J21134" t="s">
        <v>6315</v>
      </c>
    </row>
    <row r="21135" spans="9:10" x14ac:dyDescent="0.3">
      <c r="I21135" t="s">
        <v>26068</v>
      </c>
      <c r="J21135" t="s">
        <v>6316</v>
      </c>
    </row>
    <row r="21136" spans="9:10" x14ac:dyDescent="0.3">
      <c r="I21136" t="s">
        <v>26069</v>
      </c>
      <c r="J21136" t="s">
        <v>6317</v>
      </c>
    </row>
    <row r="21137" spans="9:10" x14ac:dyDescent="0.3">
      <c r="I21137" t="s">
        <v>26070</v>
      </c>
      <c r="J21137" t="s">
        <v>6318</v>
      </c>
    </row>
    <row r="21138" spans="9:10" x14ac:dyDescent="0.3">
      <c r="I21138" t="s">
        <v>26071</v>
      </c>
    </row>
    <row r="21139" spans="9:10" x14ac:dyDescent="0.3">
      <c r="I21139" t="s">
        <v>26072</v>
      </c>
      <c r="J21139" t="s">
        <v>6319</v>
      </c>
    </row>
    <row r="21140" spans="9:10" x14ac:dyDescent="0.3">
      <c r="I21140" t="s">
        <v>26073</v>
      </c>
      <c r="J21140" t="s">
        <v>6320</v>
      </c>
    </row>
    <row r="21141" spans="9:10" x14ac:dyDescent="0.3">
      <c r="I21141" t="s">
        <v>26074</v>
      </c>
      <c r="J21141" t="s">
        <v>6320</v>
      </c>
    </row>
    <row r="21142" spans="9:10" x14ac:dyDescent="0.3">
      <c r="I21142" t="s">
        <v>26075</v>
      </c>
    </row>
    <row r="21143" spans="9:10" x14ac:dyDescent="0.3">
      <c r="I21143" t="s">
        <v>26076</v>
      </c>
      <c r="J21143" t="s">
        <v>6321</v>
      </c>
    </row>
    <row r="21144" spans="9:10" x14ac:dyDescent="0.3">
      <c r="I21144" t="s">
        <v>26077</v>
      </c>
      <c r="J21144" t="s">
        <v>6322</v>
      </c>
    </row>
    <row r="21145" spans="9:10" x14ac:dyDescent="0.3">
      <c r="I21145" t="s">
        <v>26078</v>
      </c>
    </row>
    <row r="21146" spans="9:10" x14ac:dyDescent="0.3">
      <c r="I21146" t="s">
        <v>26079</v>
      </c>
      <c r="J21146" t="s">
        <v>6323</v>
      </c>
    </row>
    <row r="21147" spans="9:10" x14ac:dyDescent="0.3">
      <c r="I21147" t="s">
        <v>26080</v>
      </c>
      <c r="J21147" t="s">
        <v>590</v>
      </c>
    </row>
    <row r="21148" spans="9:10" x14ac:dyDescent="0.3">
      <c r="I21148" t="s">
        <v>26081</v>
      </c>
      <c r="J21148" t="s">
        <v>6324</v>
      </c>
    </row>
    <row r="21149" spans="9:10" x14ac:dyDescent="0.3">
      <c r="I21149" t="s">
        <v>26082</v>
      </c>
      <c r="J21149" t="s">
        <v>6325</v>
      </c>
    </row>
    <row r="21150" spans="9:10" x14ac:dyDescent="0.3">
      <c r="I21150" t="s">
        <v>26083</v>
      </c>
      <c r="J21150" t="s">
        <v>6326</v>
      </c>
    </row>
    <row r="21151" spans="9:10" x14ac:dyDescent="0.3">
      <c r="I21151" t="s">
        <v>26084</v>
      </c>
    </row>
    <row r="21152" spans="9:10" x14ac:dyDescent="0.3">
      <c r="I21152" t="s">
        <v>26085</v>
      </c>
    </row>
    <row r="21153" spans="9:10" x14ac:dyDescent="0.3">
      <c r="I21153" t="s">
        <v>26085</v>
      </c>
    </row>
    <row r="21154" spans="9:10" x14ac:dyDescent="0.3">
      <c r="I21154" t="s">
        <v>26086</v>
      </c>
      <c r="J21154" t="s">
        <v>6327</v>
      </c>
    </row>
    <row r="21155" spans="9:10" x14ac:dyDescent="0.3">
      <c r="I21155" t="s">
        <v>26087</v>
      </c>
      <c r="J21155" t="s">
        <v>6328</v>
      </c>
    </row>
    <row r="21156" spans="9:10" x14ac:dyDescent="0.3">
      <c r="I21156" t="s">
        <v>26088</v>
      </c>
      <c r="J21156" t="s">
        <v>6329</v>
      </c>
    </row>
    <row r="21157" spans="9:10" x14ac:dyDescent="0.3">
      <c r="I21157" t="s">
        <v>26089</v>
      </c>
      <c r="J21157" t="s">
        <v>6330</v>
      </c>
    </row>
    <row r="21158" spans="9:10" x14ac:dyDescent="0.3">
      <c r="I21158" t="s">
        <v>26090</v>
      </c>
      <c r="J21158" t="s">
        <v>6331</v>
      </c>
    </row>
    <row r="21159" spans="9:10" x14ac:dyDescent="0.3">
      <c r="I21159" t="s">
        <v>26091</v>
      </c>
      <c r="J21159" t="s">
        <v>6332</v>
      </c>
    </row>
    <row r="21160" spans="9:10" x14ac:dyDescent="0.3">
      <c r="I21160" t="s">
        <v>26092</v>
      </c>
      <c r="J21160" t="s">
        <v>6333</v>
      </c>
    </row>
    <row r="21161" spans="9:10" x14ac:dyDescent="0.3">
      <c r="I21161" t="s">
        <v>26093</v>
      </c>
      <c r="J21161" t="s">
        <v>6334</v>
      </c>
    </row>
    <row r="21162" spans="9:10" x14ac:dyDescent="0.3">
      <c r="I21162" t="s">
        <v>26094</v>
      </c>
      <c r="J21162" t="s">
        <v>6335</v>
      </c>
    </row>
    <row r="21163" spans="9:10" x14ac:dyDescent="0.3">
      <c r="I21163" t="s">
        <v>26094</v>
      </c>
      <c r="J21163" t="s">
        <v>6335</v>
      </c>
    </row>
    <row r="21164" spans="9:10" x14ac:dyDescent="0.3">
      <c r="I21164" t="s">
        <v>26094</v>
      </c>
      <c r="J21164" t="s">
        <v>6335</v>
      </c>
    </row>
    <row r="21165" spans="9:10" x14ac:dyDescent="0.3">
      <c r="I21165" t="s">
        <v>26094</v>
      </c>
      <c r="J21165" t="s">
        <v>6335</v>
      </c>
    </row>
    <row r="21166" spans="9:10" x14ac:dyDescent="0.3">
      <c r="I21166" t="s">
        <v>26094</v>
      </c>
      <c r="J21166" t="s">
        <v>6335</v>
      </c>
    </row>
    <row r="21167" spans="9:10" x14ac:dyDescent="0.3">
      <c r="I21167" t="s">
        <v>26095</v>
      </c>
      <c r="J21167" t="s">
        <v>6335</v>
      </c>
    </row>
    <row r="21168" spans="9:10" x14ac:dyDescent="0.3">
      <c r="I21168" t="s">
        <v>26094</v>
      </c>
      <c r="J21168" t="s">
        <v>6335</v>
      </c>
    </row>
    <row r="21169" spans="9:10" x14ac:dyDescent="0.3">
      <c r="I21169" t="s">
        <v>26096</v>
      </c>
    </row>
    <row r="21170" spans="9:10" x14ac:dyDescent="0.3">
      <c r="I21170" t="s">
        <v>26097</v>
      </c>
      <c r="J21170" t="s">
        <v>6336</v>
      </c>
    </row>
    <row r="21171" spans="9:10" x14ac:dyDescent="0.3">
      <c r="I21171" t="s">
        <v>26098</v>
      </c>
      <c r="J21171" t="s">
        <v>6337</v>
      </c>
    </row>
    <row r="21172" spans="9:10" x14ac:dyDescent="0.3">
      <c r="I21172" t="s">
        <v>26099</v>
      </c>
      <c r="J21172" t="s">
        <v>6338</v>
      </c>
    </row>
    <row r="21173" spans="9:10" x14ac:dyDescent="0.3">
      <c r="I21173" t="s">
        <v>26100</v>
      </c>
      <c r="J21173" t="s">
        <v>6339</v>
      </c>
    </row>
    <row r="21174" spans="9:10" x14ac:dyDescent="0.3">
      <c r="I21174" t="s">
        <v>26101</v>
      </c>
    </row>
    <row r="21175" spans="9:10" x14ac:dyDescent="0.3">
      <c r="I21175" t="s">
        <v>26102</v>
      </c>
    </row>
    <row r="21176" spans="9:10" x14ac:dyDescent="0.3">
      <c r="I21176" t="s">
        <v>26103</v>
      </c>
      <c r="J21176" t="s">
        <v>6340</v>
      </c>
    </row>
    <row r="21177" spans="9:10" x14ac:dyDescent="0.3">
      <c r="I21177" t="s">
        <v>26104</v>
      </c>
      <c r="J21177" t="s">
        <v>5623</v>
      </c>
    </row>
    <row r="21178" spans="9:10" x14ac:dyDescent="0.3">
      <c r="I21178" t="s">
        <v>26105</v>
      </c>
    </row>
    <row r="21179" spans="9:10" x14ac:dyDescent="0.3">
      <c r="I21179" t="s">
        <v>10052</v>
      </c>
      <c r="J21179" t="s">
        <v>1008</v>
      </c>
    </row>
    <row r="21180" spans="9:10" x14ac:dyDescent="0.3">
      <c r="I21180" t="s">
        <v>26106</v>
      </c>
      <c r="J21180" t="s">
        <v>1008</v>
      </c>
    </row>
    <row r="21181" spans="9:10" x14ac:dyDescent="0.3">
      <c r="I21181" t="s">
        <v>26107</v>
      </c>
      <c r="J21181" t="s">
        <v>1008</v>
      </c>
    </row>
    <row r="21182" spans="9:10" x14ac:dyDescent="0.3">
      <c r="I21182" t="s">
        <v>26108</v>
      </c>
      <c r="J21182" t="s">
        <v>6341</v>
      </c>
    </row>
    <row r="21183" spans="9:10" x14ac:dyDescent="0.3">
      <c r="I21183" t="s">
        <v>26108</v>
      </c>
      <c r="J21183" t="s">
        <v>6341</v>
      </c>
    </row>
    <row r="21184" spans="9:10" x14ac:dyDescent="0.3">
      <c r="I21184" t="s">
        <v>26109</v>
      </c>
      <c r="J21184" t="s">
        <v>6342</v>
      </c>
    </row>
    <row r="21185" spans="9:10" x14ac:dyDescent="0.3">
      <c r="I21185" t="s">
        <v>26110</v>
      </c>
      <c r="J21185" t="s">
        <v>6343</v>
      </c>
    </row>
    <row r="21186" spans="9:10" x14ac:dyDescent="0.3">
      <c r="I21186" t="s">
        <v>26111</v>
      </c>
      <c r="J21186" t="s">
        <v>6344</v>
      </c>
    </row>
    <row r="21187" spans="9:10" x14ac:dyDescent="0.3">
      <c r="I21187" t="s">
        <v>26112</v>
      </c>
      <c r="J21187" t="s">
        <v>6345</v>
      </c>
    </row>
    <row r="21188" spans="9:10" x14ac:dyDescent="0.3">
      <c r="I21188" t="s">
        <v>26113</v>
      </c>
    </row>
    <row r="21189" spans="9:10" x14ac:dyDescent="0.3">
      <c r="I21189" t="s">
        <v>26114</v>
      </c>
      <c r="J21189" t="s">
        <v>6346</v>
      </c>
    </row>
    <row r="21190" spans="9:10" x14ac:dyDescent="0.3">
      <c r="I21190" t="s">
        <v>26115</v>
      </c>
      <c r="J21190" t="s">
        <v>6346</v>
      </c>
    </row>
    <row r="21191" spans="9:10" x14ac:dyDescent="0.3">
      <c r="I21191" t="s">
        <v>26116</v>
      </c>
      <c r="J21191" t="s">
        <v>6347</v>
      </c>
    </row>
    <row r="21192" spans="9:10" x14ac:dyDescent="0.3">
      <c r="I21192" t="s">
        <v>26117</v>
      </c>
    </row>
    <row r="21193" spans="9:10" x14ac:dyDescent="0.3">
      <c r="I21193" t="s">
        <v>26118</v>
      </c>
      <c r="J21193" t="s">
        <v>6348</v>
      </c>
    </row>
    <row r="21194" spans="9:10" x14ac:dyDescent="0.3">
      <c r="I21194" t="s">
        <v>26119</v>
      </c>
      <c r="J21194" t="s">
        <v>6349</v>
      </c>
    </row>
    <row r="21195" spans="9:10" x14ac:dyDescent="0.3">
      <c r="I21195" t="s">
        <v>26119</v>
      </c>
      <c r="J21195" t="s">
        <v>6349</v>
      </c>
    </row>
    <row r="21196" spans="9:10" x14ac:dyDescent="0.3">
      <c r="I21196" t="s">
        <v>26120</v>
      </c>
    </row>
    <row r="21197" spans="9:10" x14ac:dyDescent="0.3">
      <c r="I21197" t="s">
        <v>25769</v>
      </c>
      <c r="J21197" t="s">
        <v>5375</v>
      </c>
    </row>
    <row r="21198" spans="9:10" x14ac:dyDescent="0.3">
      <c r="I21198" t="s">
        <v>20720</v>
      </c>
      <c r="J21198" t="s">
        <v>5375</v>
      </c>
    </row>
    <row r="21199" spans="9:10" x14ac:dyDescent="0.3">
      <c r="I21199" t="s">
        <v>26121</v>
      </c>
      <c r="J21199" t="s">
        <v>5375</v>
      </c>
    </row>
    <row r="21200" spans="9:10" x14ac:dyDescent="0.3">
      <c r="I21200" t="s">
        <v>26122</v>
      </c>
      <c r="J21200" t="s">
        <v>5375</v>
      </c>
    </row>
    <row r="21201" spans="9:10" x14ac:dyDescent="0.3">
      <c r="I21201" t="s">
        <v>26123</v>
      </c>
      <c r="J21201" t="s">
        <v>6350</v>
      </c>
    </row>
    <row r="21202" spans="9:10" x14ac:dyDescent="0.3">
      <c r="I21202" t="s">
        <v>26124</v>
      </c>
      <c r="J21202" t="s">
        <v>6350</v>
      </c>
    </row>
    <row r="21203" spans="9:10" x14ac:dyDescent="0.3">
      <c r="I21203" t="s">
        <v>26125</v>
      </c>
      <c r="J21203" t="s">
        <v>6350</v>
      </c>
    </row>
    <row r="21204" spans="9:10" x14ac:dyDescent="0.3">
      <c r="I21204" t="s">
        <v>26125</v>
      </c>
      <c r="J21204" t="s">
        <v>6350</v>
      </c>
    </row>
    <row r="21205" spans="9:10" x14ac:dyDescent="0.3">
      <c r="I21205" t="s">
        <v>26125</v>
      </c>
      <c r="J21205" t="s">
        <v>6350</v>
      </c>
    </row>
    <row r="21206" spans="9:10" x14ac:dyDescent="0.3">
      <c r="I21206" t="s">
        <v>26125</v>
      </c>
      <c r="J21206" t="s">
        <v>6350</v>
      </c>
    </row>
    <row r="21207" spans="9:10" x14ac:dyDescent="0.3">
      <c r="I21207" t="s">
        <v>26126</v>
      </c>
      <c r="J21207" t="s">
        <v>253</v>
      </c>
    </row>
    <row r="21208" spans="9:10" x14ac:dyDescent="0.3">
      <c r="I21208" t="s">
        <v>26127</v>
      </c>
      <c r="J21208">
        <v>0</v>
      </c>
    </row>
    <row r="21209" spans="9:10" x14ac:dyDescent="0.3">
      <c r="I21209" t="s">
        <v>26128</v>
      </c>
    </row>
    <row r="21210" spans="9:10" x14ac:dyDescent="0.3">
      <c r="I21210" t="s">
        <v>26129</v>
      </c>
    </row>
    <row r="21211" spans="9:10" x14ac:dyDescent="0.3">
      <c r="I21211" t="s">
        <v>26130</v>
      </c>
      <c r="J21211" t="s">
        <v>6351</v>
      </c>
    </row>
    <row r="21212" spans="9:10" x14ac:dyDescent="0.3">
      <c r="I21212" t="s">
        <v>26131</v>
      </c>
    </row>
    <row r="21213" spans="9:10" x14ac:dyDescent="0.3">
      <c r="I21213" t="s">
        <v>26132</v>
      </c>
      <c r="J21213" t="s">
        <v>6352</v>
      </c>
    </row>
    <row r="21214" spans="9:10" x14ac:dyDescent="0.3">
      <c r="I21214" t="s">
        <v>26133</v>
      </c>
    </row>
    <row r="21215" spans="9:10" x14ac:dyDescent="0.3">
      <c r="I21215" t="s">
        <v>26134</v>
      </c>
      <c r="J21215" t="s">
        <v>6353</v>
      </c>
    </row>
    <row r="21216" spans="9:10" x14ac:dyDescent="0.3">
      <c r="I21216" t="s">
        <v>26135</v>
      </c>
      <c r="J21216" t="s">
        <v>6354</v>
      </c>
    </row>
    <row r="21217" spans="9:10" x14ac:dyDescent="0.3">
      <c r="I21217" t="s">
        <v>26136</v>
      </c>
      <c r="J21217" t="s">
        <v>6354</v>
      </c>
    </row>
    <row r="21218" spans="9:10" x14ac:dyDescent="0.3">
      <c r="I21218" t="s">
        <v>26137</v>
      </c>
      <c r="J21218" t="s">
        <v>6354</v>
      </c>
    </row>
    <row r="21219" spans="9:10" x14ac:dyDescent="0.3">
      <c r="I21219" t="s">
        <v>26138</v>
      </c>
      <c r="J21219" t="s">
        <v>6355</v>
      </c>
    </row>
    <row r="21220" spans="9:10" x14ac:dyDescent="0.3">
      <c r="I21220" t="s">
        <v>26139</v>
      </c>
      <c r="J21220" t="s">
        <v>6356</v>
      </c>
    </row>
    <row r="21221" spans="9:10" x14ac:dyDescent="0.3">
      <c r="I21221" t="s">
        <v>26140</v>
      </c>
    </row>
    <row r="21222" spans="9:10" x14ac:dyDescent="0.3">
      <c r="I21222" t="s">
        <v>26141</v>
      </c>
      <c r="J21222" t="s">
        <v>6357</v>
      </c>
    </row>
    <row r="21223" spans="9:10" x14ac:dyDescent="0.3">
      <c r="I21223" t="s">
        <v>26142</v>
      </c>
    </row>
    <row r="21224" spans="9:10" x14ac:dyDescent="0.3">
      <c r="I21224" t="s">
        <v>26143</v>
      </c>
    </row>
    <row r="21225" spans="9:10" x14ac:dyDescent="0.3">
      <c r="I21225" t="s">
        <v>26144</v>
      </c>
      <c r="J21225" t="s">
        <v>6358</v>
      </c>
    </row>
    <row r="21226" spans="9:10" x14ac:dyDescent="0.3">
      <c r="I21226" t="s">
        <v>26145</v>
      </c>
    </row>
    <row r="21227" spans="9:10" x14ac:dyDescent="0.3">
      <c r="I21227" t="s">
        <v>26146</v>
      </c>
      <c r="J21227">
        <v>0</v>
      </c>
    </row>
    <row r="21228" spans="9:10" x14ac:dyDescent="0.3">
      <c r="I21228" t="s">
        <v>26147</v>
      </c>
      <c r="J21228" t="s">
        <v>6359</v>
      </c>
    </row>
    <row r="21229" spans="9:10" x14ac:dyDescent="0.3">
      <c r="I21229" t="s">
        <v>26148</v>
      </c>
      <c r="J21229" t="s">
        <v>6360</v>
      </c>
    </row>
    <row r="21230" spans="9:10" x14ac:dyDescent="0.3">
      <c r="I21230" t="s">
        <v>26148</v>
      </c>
      <c r="J21230" t="s">
        <v>6360</v>
      </c>
    </row>
    <row r="21231" spans="9:10" x14ac:dyDescent="0.3">
      <c r="I21231" t="s">
        <v>26149</v>
      </c>
    </row>
    <row r="21232" spans="9:10" x14ac:dyDescent="0.3">
      <c r="I21232" t="s">
        <v>26150</v>
      </c>
      <c r="J21232" t="s">
        <v>6361</v>
      </c>
    </row>
    <row r="21233" spans="9:10" x14ac:dyDescent="0.3">
      <c r="I21233" t="s">
        <v>26151</v>
      </c>
      <c r="J21233" t="s">
        <v>6361</v>
      </c>
    </row>
    <row r="21234" spans="9:10" x14ac:dyDescent="0.3">
      <c r="I21234" t="s">
        <v>26152</v>
      </c>
      <c r="J21234" t="s">
        <v>6361</v>
      </c>
    </row>
    <row r="21235" spans="9:10" x14ac:dyDescent="0.3">
      <c r="I21235" t="s">
        <v>26153</v>
      </c>
      <c r="J21235" t="s">
        <v>6362</v>
      </c>
    </row>
    <row r="21236" spans="9:10" x14ac:dyDescent="0.3">
      <c r="I21236" t="s">
        <v>26154</v>
      </c>
      <c r="J21236" t="s">
        <v>6362</v>
      </c>
    </row>
    <row r="21237" spans="9:10" x14ac:dyDescent="0.3">
      <c r="I21237" t="s">
        <v>26155</v>
      </c>
      <c r="J21237" t="s">
        <v>6363</v>
      </c>
    </row>
    <row r="21238" spans="9:10" x14ac:dyDescent="0.3">
      <c r="I21238" t="s">
        <v>26156</v>
      </c>
      <c r="J21238" t="s">
        <v>6363</v>
      </c>
    </row>
    <row r="21239" spans="9:10" x14ac:dyDescent="0.3">
      <c r="I21239" t="s">
        <v>26157</v>
      </c>
      <c r="J21239" t="s">
        <v>6363</v>
      </c>
    </row>
    <row r="21240" spans="9:10" x14ac:dyDescent="0.3">
      <c r="I21240" t="s">
        <v>26158</v>
      </c>
      <c r="J21240" t="s">
        <v>6363</v>
      </c>
    </row>
    <row r="21241" spans="9:10" x14ac:dyDescent="0.3">
      <c r="I21241" t="s">
        <v>26159</v>
      </c>
      <c r="J21241" t="s">
        <v>6364</v>
      </c>
    </row>
    <row r="21242" spans="9:10" x14ac:dyDescent="0.3">
      <c r="I21242" t="s">
        <v>26160</v>
      </c>
      <c r="J21242" t="s">
        <v>6365</v>
      </c>
    </row>
    <row r="21243" spans="9:10" x14ac:dyDescent="0.3">
      <c r="I21243" t="s">
        <v>26161</v>
      </c>
      <c r="J21243" t="s">
        <v>6366</v>
      </c>
    </row>
    <row r="21244" spans="9:10" x14ac:dyDescent="0.3">
      <c r="I21244" t="s">
        <v>26162</v>
      </c>
      <c r="J21244" t="s">
        <v>6367</v>
      </c>
    </row>
    <row r="21245" spans="9:10" x14ac:dyDescent="0.3">
      <c r="I21245" t="s">
        <v>26163</v>
      </c>
      <c r="J21245" t="s">
        <v>6368</v>
      </c>
    </row>
    <row r="21246" spans="9:10" x14ac:dyDescent="0.3">
      <c r="I21246" t="s">
        <v>26164</v>
      </c>
      <c r="J21246" t="s">
        <v>6369</v>
      </c>
    </row>
    <row r="21247" spans="9:10" x14ac:dyDescent="0.3">
      <c r="I21247" t="s">
        <v>26165</v>
      </c>
      <c r="J21247" t="s">
        <v>6370</v>
      </c>
    </row>
    <row r="21248" spans="9:10" x14ac:dyDescent="0.3">
      <c r="I21248" t="s">
        <v>26166</v>
      </c>
      <c r="J21248" t="s">
        <v>6371</v>
      </c>
    </row>
    <row r="21249" spans="9:10" x14ac:dyDescent="0.3">
      <c r="I21249" t="s">
        <v>26167</v>
      </c>
      <c r="J21249" t="s">
        <v>6372</v>
      </c>
    </row>
    <row r="21250" spans="9:10" x14ac:dyDescent="0.3">
      <c r="I21250" t="s">
        <v>26168</v>
      </c>
      <c r="J21250" t="s">
        <v>6373</v>
      </c>
    </row>
    <row r="21251" spans="9:10" x14ac:dyDescent="0.3">
      <c r="I21251" t="s">
        <v>26169</v>
      </c>
      <c r="J21251" t="s">
        <v>6374</v>
      </c>
    </row>
    <row r="21252" spans="9:10" x14ac:dyDescent="0.3">
      <c r="I21252" t="s">
        <v>26170</v>
      </c>
      <c r="J21252" t="s">
        <v>6375</v>
      </c>
    </row>
    <row r="21253" spans="9:10" x14ac:dyDescent="0.3">
      <c r="I21253" t="s">
        <v>26171</v>
      </c>
      <c r="J21253" t="s">
        <v>6376</v>
      </c>
    </row>
    <row r="21254" spans="9:10" x14ac:dyDescent="0.3">
      <c r="I21254" t="s">
        <v>26172</v>
      </c>
      <c r="J21254" t="s">
        <v>6377</v>
      </c>
    </row>
    <row r="21255" spans="9:10" x14ac:dyDescent="0.3">
      <c r="I21255" t="s">
        <v>26173</v>
      </c>
      <c r="J21255" t="s">
        <v>1396</v>
      </c>
    </row>
    <row r="21256" spans="9:10" x14ac:dyDescent="0.3">
      <c r="I21256" t="s">
        <v>26174</v>
      </c>
    </row>
    <row r="21257" spans="9:10" x14ac:dyDescent="0.3">
      <c r="I21257" t="s">
        <v>26175</v>
      </c>
    </row>
    <row r="21258" spans="9:10" x14ac:dyDescent="0.3">
      <c r="I21258" t="s">
        <v>26176</v>
      </c>
    </row>
    <row r="21259" spans="9:10" x14ac:dyDescent="0.3">
      <c r="I21259" t="s">
        <v>26177</v>
      </c>
    </row>
    <row r="21260" spans="9:10" x14ac:dyDescent="0.3">
      <c r="I21260" t="s">
        <v>26178</v>
      </c>
    </row>
    <row r="21261" spans="9:10" x14ac:dyDescent="0.3">
      <c r="I21261" t="s">
        <v>26179</v>
      </c>
    </row>
    <row r="21262" spans="9:10" x14ac:dyDescent="0.3">
      <c r="I21262" t="s">
        <v>26180</v>
      </c>
    </row>
    <row r="21263" spans="9:10" x14ac:dyDescent="0.3">
      <c r="I21263" t="s">
        <v>26181</v>
      </c>
      <c r="J21263" t="s">
        <v>6378</v>
      </c>
    </row>
    <row r="21264" spans="9:10" x14ac:dyDescent="0.3">
      <c r="I21264" t="s">
        <v>26182</v>
      </c>
      <c r="J21264" t="s">
        <v>6378</v>
      </c>
    </row>
    <row r="21265" spans="9:10" x14ac:dyDescent="0.3">
      <c r="I21265" t="s">
        <v>26183</v>
      </c>
      <c r="J21265" t="s">
        <v>6379</v>
      </c>
    </row>
    <row r="21266" spans="9:10" x14ac:dyDescent="0.3">
      <c r="I21266" t="s">
        <v>26184</v>
      </c>
      <c r="J21266" t="s">
        <v>184</v>
      </c>
    </row>
    <row r="21267" spans="9:10" x14ac:dyDescent="0.3">
      <c r="I21267" t="s">
        <v>26185</v>
      </c>
      <c r="J21267" t="s">
        <v>559</v>
      </c>
    </row>
    <row r="21268" spans="9:10" x14ac:dyDescent="0.3">
      <c r="I21268" t="s">
        <v>26186</v>
      </c>
      <c r="J21268" t="s">
        <v>6380</v>
      </c>
    </row>
    <row r="21269" spans="9:10" x14ac:dyDescent="0.3">
      <c r="I21269" t="s">
        <v>26187</v>
      </c>
      <c r="J21269" t="s">
        <v>6380</v>
      </c>
    </row>
    <row r="21270" spans="9:10" x14ac:dyDescent="0.3">
      <c r="I21270" t="s">
        <v>26188</v>
      </c>
      <c r="J21270" t="s">
        <v>6381</v>
      </c>
    </row>
    <row r="21271" spans="9:10" x14ac:dyDescent="0.3">
      <c r="I21271" t="s">
        <v>26189</v>
      </c>
    </row>
    <row r="21272" spans="9:10" x14ac:dyDescent="0.3">
      <c r="I21272" t="s">
        <v>16113</v>
      </c>
      <c r="J21272" t="s">
        <v>476</v>
      </c>
    </row>
    <row r="21273" spans="9:10" x14ac:dyDescent="0.3">
      <c r="I21273" t="s">
        <v>26190</v>
      </c>
    </row>
    <row r="21274" spans="9:10" x14ac:dyDescent="0.3">
      <c r="I21274" t="s">
        <v>26191</v>
      </c>
      <c r="J21274" t="s">
        <v>6382</v>
      </c>
    </row>
    <row r="21275" spans="9:10" x14ac:dyDescent="0.3">
      <c r="I21275" t="s">
        <v>26192</v>
      </c>
      <c r="J21275" t="s">
        <v>6382</v>
      </c>
    </row>
    <row r="21276" spans="9:10" x14ac:dyDescent="0.3">
      <c r="I21276" t="s">
        <v>26193</v>
      </c>
      <c r="J21276" t="s">
        <v>6382</v>
      </c>
    </row>
    <row r="21277" spans="9:10" x14ac:dyDescent="0.3">
      <c r="I21277" t="s">
        <v>26194</v>
      </c>
      <c r="J21277" t="s">
        <v>6382</v>
      </c>
    </row>
    <row r="21278" spans="9:10" x14ac:dyDescent="0.3">
      <c r="I21278" t="s">
        <v>26195</v>
      </c>
      <c r="J21278" t="s">
        <v>6383</v>
      </c>
    </row>
    <row r="21279" spans="9:10" x14ac:dyDescent="0.3">
      <c r="I21279" t="s">
        <v>26196</v>
      </c>
      <c r="J21279" t="s">
        <v>6384</v>
      </c>
    </row>
    <row r="21280" spans="9:10" x14ac:dyDescent="0.3">
      <c r="I21280" t="s">
        <v>26197</v>
      </c>
      <c r="J21280" t="s">
        <v>6385</v>
      </c>
    </row>
    <row r="21281" spans="9:10" x14ac:dyDescent="0.3">
      <c r="I21281" t="s">
        <v>26198</v>
      </c>
      <c r="J21281" t="s">
        <v>6386</v>
      </c>
    </row>
    <row r="21282" spans="9:10" x14ac:dyDescent="0.3">
      <c r="I21282" t="s">
        <v>26199</v>
      </c>
    </row>
    <row r="21283" spans="9:10" x14ac:dyDescent="0.3">
      <c r="I21283" t="s">
        <v>26200</v>
      </c>
    </row>
    <row r="21284" spans="9:10" x14ac:dyDescent="0.3">
      <c r="I21284" t="s">
        <v>26201</v>
      </c>
      <c r="J21284" t="s">
        <v>2378</v>
      </c>
    </row>
    <row r="21285" spans="9:10" x14ac:dyDescent="0.3">
      <c r="I21285" t="s">
        <v>26202</v>
      </c>
    </row>
    <row r="21286" spans="9:10" x14ac:dyDescent="0.3">
      <c r="I21286" t="s">
        <v>26203</v>
      </c>
      <c r="J21286" t="s">
        <v>6387</v>
      </c>
    </row>
    <row r="21287" spans="9:10" x14ac:dyDescent="0.3">
      <c r="I21287" t="s">
        <v>26204</v>
      </c>
    </row>
    <row r="21288" spans="9:10" x14ac:dyDescent="0.3">
      <c r="I21288" t="s">
        <v>26205</v>
      </c>
      <c r="J21288" t="s">
        <v>6388</v>
      </c>
    </row>
    <row r="21289" spans="9:10" x14ac:dyDescent="0.3">
      <c r="I21289" t="s">
        <v>26206</v>
      </c>
      <c r="J21289" t="s">
        <v>891</v>
      </c>
    </row>
    <row r="21290" spans="9:10" x14ac:dyDescent="0.3">
      <c r="I21290" t="s">
        <v>26207</v>
      </c>
    </row>
    <row r="21291" spans="9:10" x14ac:dyDescent="0.3">
      <c r="I21291" t="s">
        <v>26208</v>
      </c>
    </row>
    <row r="21292" spans="9:10" x14ac:dyDescent="0.3">
      <c r="I21292" t="s">
        <v>26209</v>
      </c>
      <c r="J21292" t="s">
        <v>6389</v>
      </c>
    </row>
    <row r="21293" spans="9:10" x14ac:dyDescent="0.3">
      <c r="I21293" t="s">
        <v>26210</v>
      </c>
      <c r="J21293">
        <v>0</v>
      </c>
    </row>
    <row r="21294" spans="9:10" x14ac:dyDescent="0.3">
      <c r="I21294" t="s">
        <v>26211</v>
      </c>
      <c r="J21294" t="s">
        <v>6390</v>
      </c>
    </row>
    <row r="21295" spans="9:10" x14ac:dyDescent="0.3">
      <c r="I21295" t="s">
        <v>26212</v>
      </c>
      <c r="J21295" t="s">
        <v>6391</v>
      </c>
    </row>
    <row r="21296" spans="9:10" x14ac:dyDescent="0.3">
      <c r="I21296" t="s">
        <v>26213</v>
      </c>
      <c r="J21296" t="s">
        <v>6392</v>
      </c>
    </row>
    <row r="21297" spans="9:10" x14ac:dyDescent="0.3">
      <c r="I21297" t="s">
        <v>26214</v>
      </c>
      <c r="J21297" t="s">
        <v>6393</v>
      </c>
    </row>
    <row r="21298" spans="9:10" x14ac:dyDescent="0.3">
      <c r="I21298" t="s">
        <v>26215</v>
      </c>
      <c r="J21298" t="s">
        <v>6394</v>
      </c>
    </row>
    <row r="21299" spans="9:10" x14ac:dyDescent="0.3">
      <c r="I21299" t="s">
        <v>26216</v>
      </c>
      <c r="J21299" t="s">
        <v>6395</v>
      </c>
    </row>
    <row r="21300" spans="9:10" x14ac:dyDescent="0.3">
      <c r="I21300" t="s">
        <v>26217</v>
      </c>
      <c r="J21300" t="s">
        <v>6396</v>
      </c>
    </row>
    <row r="21301" spans="9:10" x14ac:dyDescent="0.3">
      <c r="I21301" t="s">
        <v>26218</v>
      </c>
      <c r="J21301" t="s">
        <v>6397</v>
      </c>
    </row>
    <row r="21302" spans="9:10" x14ac:dyDescent="0.3">
      <c r="I21302" t="s">
        <v>26218</v>
      </c>
      <c r="J21302" t="s">
        <v>6397</v>
      </c>
    </row>
    <row r="21303" spans="9:10" x14ac:dyDescent="0.3">
      <c r="I21303" t="s">
        <v>26218</v>
      </c>
      <c r="J21303" t="s">
        <v>6397</v>
      </c>
    </row>
    <row r="21304" spans="9:10" x14ac:dyDescent="0.3">
      <c r="I21304" t="s">
        <v>26219</v>
      </c>
    </row>
    <row r="21305" spans="9:10" x14ac:dyDescent="0.3">
      <c r="I21305" t="s">
        <v>26220</v>
      </c>
      <c r="J21305" t="s">
        <v>6398</v>
      </c>
    </row>
    <row r="21306" spans="9:10" x14ac:dyDescent="0.3">
      <c r="I21306" t="s">
        <v>26221</v>
      </c>
      <c r="J21306" t="s">
        <v>4019</v>
      </c>
    </row>
    <row r="21307" spans="9:10" x14ac:dyDescent="0.3">
      <c r="I21307" t="s">
        <v>16940</v>
      </c>
      <c r="J21307" t="s">
        <v>4019</v>
      </c>
    </row>
    <row r="21308" spans="9:10" x14ac:dyDescent="0.3">
      <c r="I21308" t="s">
        <v>26222</v>
      </c>
    </row>
    <row r="21309" spans="9:10" x14ac:dyDescent="0.3">
      <c r="I21309" t="s">
        <v>26223</v>
      </c>
    </row>
    <row r="21310" spans="9:10" x14ac:dyDescent="0.3">
      <c r="I21310" t="s">
        <v>26224</v>
      </c>
    </row>
    <row r="21311" spans="9:10" x14ac:dyDescent="0.3">
      <c r="I21311" t="s">
        <v>26225</v>
      </c>
    </row>
    <row r="21312" spans="9:10" x14ac:dyDescent="0.3">
      <c r="I21312" t="s">
        <v>26226</v>
      </c>
    </row>
    <row r="21313" spans="9:10" x14ac:dyDescent="0.3">
      <c r="I21313" t="s">
        <v>26227</v>
      </c>
    </row>
    <row r="21314" spans="9:10" x14ac:dyDescent="0.3">
      <c r="I21314" t="s">
        <v>26228</v>
      </c>
      <c r="J21314" t="s">
        <v>6399</v>
      </c>
    </row>
    <row r="21315" spans="9:10" x14ac:dyDescent="0.3">
      <c r="I21315" t="s">
        <v>26229</v>
      </c>
      <c r="J21315" t="s">
        <v>6400</v>
      </c>
    </row>
    <row r="21316" spans="9:10" x14ac:dyDescent="0.3">
      <c r="I21316" t="s">
        <v>26230</v>
      </c>
      <c r="J21316" t="s">
        <v>6400</v>
      </c>
    </row>
    <row r="21317" spans="9:10" x14ac:dyDescent="0.3">
      <c r="I21317" t="s">
        <v>26229</v>
      </c>
      <c r="J21317" t="s">
        <v>6400</v>
      </c>
    </row>
    <row r="21318" spans="9:10" x14ac:dyDescent="0.3">
      <c r="I21318" t="s">
        <v>26229</v>
      </c>
      <c r="J21318" t="s">
        <v>6400</v>
      </c>
    </row>
    <row r="21319" spans="9:10" x14ac:dyDescent="0.3">
      <c r="I21319" t="s">
        <v>26231</v>
      </c>
      <c r="J21319" t="s">
        <v>6400</v>
      </c>
    </row>
    <row r="21320" spans="9:10" x14ac:dyDescent="0.3">
      <c r="I21320" t="s">
        <v>26229</v>
      </c>
      <c r="J21320" t="s">
        <v>6400</v>
      </c>
    </row>
    <row r="21321" spans="9:10" x14ac:dyDescent="0.3">
      <c r="I21321" t="s">
        <v>26229</v>
      </c>
      <c r="J21321" t="s">
        <v>6400</v>
      </c>
    </row>
    <row r="21322" spans="9:10" x14ac:dyDescent="0.3">
      <c r="I21322" t="s">
        <v>26232</v>
      </c>
      <c r="J21322" t="s">
        <v>4856</v>
      </c>
    </row>
    <row r="21323" spans="9:10" x14ac:dyDescent="0.3">
      <c r="I21323" t="s">
        <v>26233</v>
      </c>
      <c r="J21323" t="s">
        <v>6401</v>
      </c>
    </row>
    <row r="21324" spans="9:10" x14ac:dyDescent="0.3">
      <c r="I21324" t="s">
        <v>26234</v>
      </c>
      <c r="J21324" t="s">
        <v>6401</v>
      </c>
    </row>
    <row r="21325" spans="9:10" x14ac:dyDescent="0.3">
      <c r="I21325" t="s">
        <v>26233</v>
      </c>
      <c r="J21325" t="s">
        <v>6401</v>
      </c>
    </row>
    <row r="21326" spans="9:10" x14ac:dyDescent="0.3">
      <c r="I21326" t="s">
        <v>26235</v>
      </c>
      <c r="J21326" t="s">
        <v>6402</v>
      </c>
    </row>
    <row r="21327" spans="9:10" x14ac:dyDescent="0.3">
      <c r="I21327" t="s">
        <v>26236</v>
      </c>
      <c r="J21327" t="s">
        <v>6402</v>
      </c>
    </row>
    <row r="21328" spans="9:10" x14ac:dyDescent="0.3">
      <c r="I21328" t="s">
        <v>26237</v>
      </c>
      <c r="J21328" t="s">
        <v>6403</v>
      </c>
    </row>
    <row r="21329" spans="9:10" x14ac:dyDescent="0.3">
      <c r="I21329" t="s">
        <v>26238</v>
      </c>
      <c r="J21329" t="s">
        <v>6404</v>
      </c>
    </row>
    <row r="21330" spans="9:10" x14ac:dyDescent="0.3">
      <c r="I21330" t="s">
        <v>26238</v>
      </c>
      <c r="J21330" t="s">
        <v>6404</v>
      </c>
    </row>
    <row r="21331" spans="9:10" x14ac:dyDescent="0.3">
      <c r="I21331" t="s">
        <v>26238</v>
      </c>
      <c r="J21331" t="s">
        <v>6404</v>
      </c>
    </row>
    <row r="21332" spans="9:10" x14ac:dyDescent="0.3">
      <c r="I21332" t="s">
        <v>26238</v>
      </c>
      <c r="J21332" t="s">
        <v>6404</v>
      </c>
    </row>
    <row r="21333" spans="9:10" x14ac:dyDescent="0.3">
      <c r="I21333" t="s">
        <v>26238</v>
      </c>
      <c r="J21333" t="s">
        <v>6404</v>
      </c>
    </row>
    <row r="21334" spans="9:10" x14ac:dyDescent="0.3">
      <c r="I21334" t="s">
        <v>26238</v>
      </c>
      <c r="J21334" t="s">
        <v>6404</v>
      </c>
    </row>
    <row r="21335" spans="9:10" x14ac:dyDescent="0.3">
      <c r="I21335" t="s">
        <v>26239</v>
      </c>
      <c r="J21335" t="s">
        <v>6405</v>
      </c>
    </row>
    <row r="21336" spans="9:10" x14ac:dyDescent="0.3">
      <c r="I21336" t="s">
        <v>26240</v>
      </c>
      <c r="J21336" t="s">
        <v>6406</v>
      </c>
    </row>
    <row r="21337" spans="9:10" x14ac:dyDescent="0.3">
      <c r="I21337" t="s">
        <v>26241</v>
      </c>
      <c r="J21337" t="s">
        <v>6407</v>
      </c>
    </row>
    <row r="21338" spans="9:10" x14ac:dyDescent="0.3">
      <c r="I21338" t="s">
        <v>26242</v>
      </c>
      <c r="J21338" t="s">
        <v>6408</v>
      </c>
    </row>
    <row r="21339" spans="9:10" x14ac:dyDescent="0.3">
      <c r="I21339" t="s">
        <v>26243</v>
      </c>
      <c r="J21339" t="s">
        <v>6409</v>
      </c>
    </row>
    <row r="21340" spans="9:10" x14ac:dyDescent="0.3">
      <c r="I21340" t="s">
        <v>26243</v>
      </c>
      <c r="J21340" t="s">
        <v>6409</v>
      </c>
    </row>
    <row r="21341" spans="9:10" x14ac:dyDescent="0.3">
      <c r="I21341" t="s">
        <v>26244</v>
      </c>
      <c r="J21341" t="s">
        <v>6410</v>
      </c>
    </row>
    <row r="21342" spans="9:10" x14ac:dyDescent="0.3">
      <c r="I21342" t="s">
        <v>26245</v>
      </c>
      <c r="J21342" t="s">
        <v>6411</v>
      </c>
    </row>
    <row r="21343" spans="9:10" x14ac:dyDescent="0.3">
      <c r="I21343" t="s">
        <v>26246</v>
      </c>
      <c r="J21343" t="s">
        <v>6411</v>
      </c>
    </row>
    <row r="21344" spans="9:10" x14ac:dyDescent="0.3">
      <c r="I21344" t="s">
        <v>26247</v>
      </c>
      <c r="J21344" t="s">
        <v>6412</v>
      </c>
    </row>
    <row r="21345" spans="9:10" x14ac:dyDescent="0.3">
      <c r="I21345" t="s">
        <v>26248</v>
      </c>
    </row>
    <row r="21346" spans="9:10" x14ac:dyDescent="0.3">
      <c r="I21346" t="s">
        <v>26249</v>
      </c>
    </row>
    <row r="21347" spans="9:10" x14ac:dyDescent="0.3">
      <c r="I21347" t="s">
        <v>26250</v>
      </c>
    </row>
    <row r="21348" spans="9:10" x14ac:dyDescent="0.3">
      <c r="I21348" t="s">
        <v>26251</v>
      </c>
      <c r="J21348" t="s">
        <v>373</v>
      </c>
    </row>
    <row r="21349" spans="9:10" x14ac:dyDescent="0.3">
      <c r="I21349" t="s">
        <v>16744</v>
      </c>
      <c r="J21349" t="s">
        <v>3946</v>
      </c>
    </row>
    <row r="21350" spans="9:10" x14ac:dyDescent="0.3">
      <c r="I21350" t="s">
        <v>26252</v>
      </c>
      <c r="J21350" t="s">
        <v>6413</v>
      </c>
    </row>
    <row r="21351" spans="9:10" x14ac:dyDescent="0.3">
      <c r="I21351" t="s">
        <v>26253</v>
      </c>
    </row>
    <row r="21352" spans="9:10" x14ac:dyDescent="0.3">
      <c r="I21352" t="s">
        <v>26254</v>
      </c>
    </row>
    <row r="21353" spans="9:10" x14ac:dyDescent="0.3">
      <c r="I21353" t="s">
        <v>26255</v>
      </c>
      <c r="J21353">
        <v>0</v>
      </c>
    </row>
    <row r="21354" spans="9:10" x14ac:dyDescent="0.3">
      <c r="I21354" t="s">
        <v>26256</v>
      </c>
    </row>
    <row r="21355" spans="9:10" x14ac:dyDescent="0.3">
      <c r="I21355" t="s">
        <v>26257</v>
      </c>
      <c r="J21355" t="s">
        <v>6414</v>
      </c>
    </row>
    <row r="21356" spans="9:10" x14ac:dyDescent="0.3">
      <c r="I21356" t="s">
        <v>26258</v>
      </c>
      <c r="J21356" t="s">
        <v>6414</v>
      </c>
    </row>
    <row r="21357" spans="9:10" x14ac:dyDescent="0.3">
      <c r="I21357" t="s">
        <v>26259</v>
      </c>
      <c r="J21357" t="s">
        <v>6415</v>
      </c>
    </row>
    <row r="21358" spans="9:10" x14ac:dyDescent="0.3">
      <c r="I21358" t="s">
        <v>26260</v>
      </c>
    </row>
    <row r="21359" spans="9:10" x14ac:dyDescent="0.3">
      <c r="I21359" t="s">
        <v>26261</v>
      </c>
    </row>
    <row r="21360" spans="9:10" x14ac:dyDescent="0.3">
      <c r="I21360" t="s">
        <v>26262</v>
      </c>
    </row>
    <row r="21361" spans="9:10" x14ac:dyDescent="0.3">
      <c r="I21361" t="s">
        <v>26263</v>
      </c>
    </row>
    <row r="21362" spans="9:10" x14ac:dyDescent="0.3">
      <c r="I21362" t="s">
        <v>26264</v>
      </c>
    </row>
    <row r="21363" spans="9:10" x14ac:dyDescent="0.3">
      <c r="I21363" t="s">
        <v>26265</v>
      </c>
    </row>
    <row r="21364" spans="9:10" x14ac:dyDescent="0.3">
      <c r="I21364" t="s">
        <v>26266</v>
      </c>
    </row>
    <row r="21365" spans="9:10" x14ac:dyDescent="0.3">
      <c r="I21365" t="s">
        <v>26267</v>
      </c>
      <c r="J21365">
        <v>0</v>
      </c>
    </row>
    <row r="21366" spans="9:10" x14ac:dyDescent="0.3">
      <c r="I21366" t="s">
        <v>26268</v>
      </c>
    </row>
    <row r="21367" spans="9:10" x14ac:dyDescent="0.3">
      <c r="I21367" t="s">
        <v>26269</v>
      </c>
    </row>
    <row r="21368" spans="9:10" x14ac:dyDescent="0.3">
      <c r="I21368" t="s">
        <v>26270</v>
      </c>
    </row>
    <row r="21369" spans="9:10" x14ac:dyDescent="0.3">
      <c r="I21369" t="s">
        <v>26271</v>
      </c>
    </row>
    <row r="21370" spans="9:10" x14ac:dyDescent="0.3">
      <c r="I21370" t="s">
        <v>26272</v>
      </c>
    </row>
    <row r="21371" spans="9:10" x14ac:dyDescent="0.3">
      <c r="I21371" t="s">
        <v>26273</v>
      </c>
      <c r="J21371" t="s">
        <v>6416</v>
      </c>
    </row>
    <row r="21372" spans="9:10" x14ac:dyDescent="0.3">
      <c r="I21372" t="s">
        <v>26273</v>
      </c>
      <c r="J21372" t="s">
        <v>6416</v>
      </c>
    </row>
    <row r="21373" spans="9:10" x14ac:dyDescent="0.3">
      <c r="I21373" t="s">
        <v>26274</v>
      </c>
      <c r="J21373" t="s">
        <v>6416</v>
      </c>
    </row>
    <row r="21374" spans="9:10" x14ac:dyDescent="0.3">
      <c r="I21374" t="s">
        <v>26274</v>
      </c>
      <c r="J21374" t="s">
        <v>6416</v>
      </c>
    </row>
    <row r="21375" spans="9:10" x14ac:dyDescent="0.3">
      <c r="I21375" t="s">
        <v>26275</v>
      </c>
      <c r="J21375" t="s">
        <v>6416</v>
      </c>
    </row>
    <row r="21376" spans="9:10" x14ac:dyDescent="0.3">
      <c r="I21376" t="s">
        <v>26274</v>
      </c>
      <c r="J21376" t="s">
        <v>6416</v>
      </c>
    </row>
    <row r="21377" spans="9:10" x14ac:dyDescent="0.3">
      <c r="I21377" t="s">
        <v>26274</v>
      </c>
      <c r="J21377" t="s">
        <v>6416</v>
      </c>
    </row>
    <row r="21378" spans="9:10" x14ac:dyDescent="0.3">
      <c r="I21378" t="s">
        <v>26276</v>
      </c>
      <c r="J21378" t="s">
        <v>6417</v>
      </c>
    </row>
    <row r="21379" spans="9:10" x14ac:dyDescent="0.3">
      <c r="I21379" t="s">
        <v>26277</v>
      </c>
      <c r="J21379" t="s">
        <v>6418</v>
      </c>
    </row>
    <row r="21380" spans="9:10" x14ac:dyDescent="0.3">
      <c r="I21380" t="s">
        <v>26278</v>
      </c>
      <c r="J21380" t="s">
        <v>6418</v>
      </c>
    </row>
    <row r="21381" spans="9:10" x14ac:dyDescent="0.3">
      <c r="I21381" t="s">
        <v>26279</v>
      </c>
    </row>
    <row r="21382" spans="9:10" x14ac:dyDescent="0.3">
      <c r="I21382" t="s">
        <v>26280</v>
      </c>
      <c r="J21382" t="s">
        <v>6419</v>
      </c>
    </row>
    <row r="21383" spans="9:10" x14ac:dyDescent="0.3">
      <c r="I21383" t="s">
        <v>26281</v>
      </c>
      <c r="J21383" t="s">
        <v>6420</v>
      </c>
    </row>
    <row r="21384" spans="9:10" x14ac:dyDescent="0.3">
      <c r="I21384" t="s">
        <v>26282</v>
      </c>
      <c r="J21384" t="s">
        <v>6421</v>
      </c>
    </row>
    <row r="21385" spans="9:10" x14ac:dyDescent="0.3">
      <c r="I21385" t="s">
        <v>26283</v>
      </c>
      <c r="J21385" t="s">
        <v>6422</v>
      </c>
    </row>
    <row r="21386" spans="9:10" x14ac:dyDescent="0.3">
      <c r="I21386" t="s">
        <v>26284</v>
      </c>
      <c r="J21386" t="s">
        <v>6422</v>
      </c>
    </row>
    <row r="21387" spans="9:10" x14ac:dyDescent="0.3">
      <c r="I21387" t="s">
        <v>26283</v>
      </c>
      <c r="J21387" t="s">
        <v>6422</v>
      </c>
    </row>
    <row r="21388" spans="9:10" x14ac:dyDescent="0.3">
      <c r="I21388" t="s">
        <v>26285</v>
      </c>
      <c r="J21388" t="s">
        <v>6423</v>
      </c>
    </row>
    <row r="21389" spans="9:10" x14ac:dyDescent="0.3">
      <c r="I21389" t="s">
        <v>26286</v>
      </c>
    </row>
    <row r="21390" spans="9:10" x14ac:dyDescent="0.3">
      <c r="I21390" t="s">
        <v>26287</v>
      </c>
      <c r="J21390" t="s">
        <v>6424</v>
      </c>
    </row>
    <row r="21391" spans="9:10" x14ac:dyDescent="0.3">
      <c r="I21391" t="s">
        <v>26288</v>
      </c>
      <c r="J21391" t="s">
        <v>6425</v>
      </c>
    </row>
    <row r="21392" spans="9:10" x14ac:dyDescent="0.3">
      <c r="I21392" t="s">
        <v>26289</v>
      </c>
      <c r="J21392" t="s">
        <v>6425</v>
      </c>
    </row>
    <row r="21393" spans="9:10" x14ac:dyDescent="0.3">
      <c r="I21393" t="s">
        <v>26290</v>
      </c>
      <c r="J21393" t="s">
        <v>6426</v>
      </c>
    </row>
    <row r="21394" spans="9:10" x14ac:dyDescent="0.3">
      <c r="I21394" t="s">
        <v>26291</v>
      </c>
      <c r="J21394" t="s">
        <v>6426</v>
      </c>
    </row>
    <row r="21395" spans="9:10" x14ac:dyDescent="0.3">
      <c r="I21395" t="s">
        <v>26292</v>
      </c>
      <c r="J21395" t="s">
        <v>6427</v>
      </c>
    </row>
    <row r="21396" spans="9:10" x14ac:dyDescent="0.3">
      <c r="I21396" t="s">
        <v>26293</v>
      </c>
      <c r="J21396" t="s">
        <v>6428</v>
      </c>
    </row>
    <row r="21397" spans="9:10" x14ac:dyDescent="0.3">
      <c r="I21397" t="s">
        <v>26294</v>
      </c>
    </row>
    <row r="21398" spans="9:10" x14ac:dyDescent="0.3">
      <c r="I21398" t="s">
        <v>26295</v>
      </c>
      <c r="J21398" t="s">
        <v>6429</v>
      </c>
    </row>
    <row r="21399" spans="9:10" x14ac:dyDescent="0.3">
      <c r="I21399" t="s">
        <v>26296</v>
      </c>
    </row>
    <row r="21400" spans="9:10" x14ac:dyDescent="0.3">
      <c r="I21400" t="s">
        <v>26297</v>
      </c>
      <c r="J21400" t="s">
        <v>6430</v>
      </c>
    </row>
    <row r="21401" spans="9:10" x14ac:dyDescent="0.3">
      <c r="I21401" t="s">
        <v>26298</v>
      </c>
    </row>
    <row r="21402" spans="9:10" x14ac:dyDescent="0.3">
      <c r="I21402" t="s">
        <v>26299</v>
      </c>
    </row>
    <row r="21403" spans="9:10" x14ac:dyDescent="0.3">
      <c r="I21403" t="s">
        <v>26300</v>
      </c>
    </row>
    <row r="21404" spans="9:10" x14ac:dyDescent="0.3">
      <c r="I21404" t="s">
        <v>26301</v>
      </c>
    </row>
    <row r="21405" spans="9:10" x14ac:dyDescent="0.3">
      <c r="I21405" t="s">
        <v>26302</v>
      </c>
    </row>
    <row r="21406" spans="9:10" x14ac:dyDescent="0.3">
      <c r="I21406" t="s">
        <v>26303</v>
      </c>
      <c r="J21406" t="s">
        <v>6431</v>
      </c>
    </row>
    <row r="21407" spans="9:10" x14ac:dyDescent="0.3">
      <c r="I21407" t="s">
        <v>26304</v>
      </c>
      <c r="J21407" t="s">
        <v>6432</v>
      </c>
    </row>
    <row r="21408" spans="9:10" x14ac:dyDescent="0.3">
      <c r="I21408" t="s">
        <v>26305</v>
      </c>
      <c r="J21408" t="s">
        <v>6433</v>
      </c>
    </row>
    <row r="21409" spans="9:10" x14ac:dyDescent="0.3">
      <c r="I21409" t="s">
        <v>15435</v>
      </c>
      <c r="J21409" t="s">
        <v>246</v>
      </c>
    </row>
    <row r="21410" spans="9:10" x14ac:dyDescent="0.3">
      <c r="I21410" t="s">
        <v>26306</v>
      </c>
      <c r="J21410" t="s">
        <v>246</v>
      </c>
    </row>
    <row r="21411" spans="9:10" x14ac:dyDescent="0.3">
      <c r="I21411" t="s">
        <v>26307</v>
      </c>
    </row>
    <row r="21412" spans="9:10" x14ac:dyDescent="0.3">
      <c r="I21412" t="s">
        <v>26307</v>
      </c>
    </row>
    <row r="21413" spans="9:10" x14ac:dyDescent="0.3">
      <c r="I21413" t="s">
        <v>26308</v>
      </c>
    </row>
    <row r="21414" spans="9:10" x14ac:dyDescent="0.3">
      <c r="I21414" t="s">
        <v>26309</v>
      </c>
      <c r="J21414" t="s">
        <v>6434</v>
      </c>
    </row>
    <row r="21415" spans="9:10" x14ac:dyDescent="0.3">
      <c r="I21415" t="s">
        <v>26310</v>
      </c>
    </row>
    <row r="21416" spans="9:10" x14ac:dyDescent="0.3">
      <c r="I21416" t="s">
        <v>26311</v>
      </c>
    </row>
    <row r="21417" spans="9:10" x14ac:dyDescent="0.3">
      <c r="I21417" t="s">
        <v>26312</v>
      </c>
    </row>
    <row r="21418" spans="9:10" x14ac:dyDescent="0.3">
      <c r="I21418" t="s">
        <v>26313</v>
      </c>
    </row>
    <row r="21419" spans="9:10" x14ac:dyDescent="0.3">
      <c r="I21419" t="s">
        <v>26314</v>
      </c>
      <c r="J21419" t="s">
        <v>177</v>
      </c>
    </row>
    <row r="21420" spans="9:10" x14ac:dyDescent="0.3">
      <c r="I21420" t="s">
        <v>26315</v>
      </c>
      <c r="J21420" t="s">
        <v>177</v>
      </c>
    </row>
    <row r="21421" spans="9:10" x14ac:dyDescent="0.3">
      <c r="I21421" t="s">
        <v>26315</v>
      </c>
      <c r="J21421" t="s">
        <v>177</v>
      </c>
    </row>
    <row r="21422" spans="9:10" x14ac:dyDescent="0.3">
      <c r="I21422" t="s">
        <v>26315</v>
      </c>
      <c r="J21422" t="s">
        <v>177</v>
      </c>
    </row>
    <row r="21423" spans="9:10" x14ac:dyDescent="0.3">
      <c r="I21423" t="s">
        <v>26315</v>
      </c>
      <c r="J21423" t="s">
        <v>177</v>
      </c>
    </row>
    <row r="21424" spans="9:10" x14ac:dyDescent="0.3">
      <c r="I21424" t="s">
        <v>26316</v>
      </c>
      <c r="J21424" t="s">
        <v>177</v>
      </c>
    </row>
    <row r="21425" spans="9:10" x14ac:dyDescent="0.3">
      <c r="I21425" t="s">
        <v>26315</v>
      </c>
      <c r="J21425" t="s">
        <v>177</v>
      </c>
    </row>
    <row r="21426" spans="9:10" x14ac:dyDescent="0.3">
      <c r="I21426" t="s">
        <v>26314</v>
      </c>
      <c r="J21426" t="s">
        <v>177</v>
      </c>
    </row>
    <row r="21427" spans="9:10" x14ac:dyDescent="0.3">
      <c r="I21427" t="s">
        <v>26317</v>
      </c>
      <c r="J21427" t="s">
        <v>177</v>
      </c>
    </row>
    <row r="21428" spans="9:10" x14ac:dyDescent="0.3">
      <c r="I21428" t="s">
        <v>9907</v>
      </c>
      <c r="J21428" t="s">
        <v>177</v>
      </c>
    </row>
    <row r="21429" spans="9:10" x14ac:dyDescent="0.3">
      <c r="I21429" t="s">
        <v>9907</v>
      </c>
      <c r="J21429" t="s">
        <v>177</v>
      </c>
    </row>
    <row r="21430" spans="9:10" x14ac:dyDescent="0.3">
      <c r="I21430" t="s">
        <v>26318</v>
      </c>
      <c r="J21430" t="s">
        <v>6435</v>
      </c>
    </row>
    <row r="21431" spans="9:10" x14ac:dyDescent="0.3">
      <c r="I21431" t="s">
        <v>26319</v>
      </c>
      <c r="J21431" t="s">
        <v>6436</v>
      </c>
    </row>
    <row r="21432" spans="9:10" x14ac:dyDescent="0.3">
      <c r="I21432" t="s">
        <v>26320</v>
      </c>
      <c r="J21432" t="s">
        <v>6437</v>
      </c>
    </row>
    <row r="21433" spans="9:10" x14ac:dyDescent="0.3">
      <c r="I21433" t="s">
        <v>26321</v>
      </c>
      <c r="J21433" t="s">
        <v>6437</v>
      </c>
    </row>
    <row r="21434" spans="9:10" x14ac:dyDescent="0.3">
      <c r="I21434" t="s">
        <v>26322</v>
      </c>
      <c r="J21434" t="s">
        <v>6437</v>
      </c>
    </row>
    <row r="21435" spans="9:10" x14ac:dyDescent="0.3">
      <c r="I21435" t="s">
        <v>26323</v>
      </c>
      <c r="J21435" t="s">
        <v>6438</v>
      </c>
    </row>
    <row r="21436" spans="9:10" x14ac:dyDescent="0.3">
      <c r="I21436" t="s">
        <v>26323</v>
      </c>
      <c r="J21436" t="s">
        <v>6438</v>
      </c>
    </row>
    <row r="21437" spans="9:10" x14ac:dyDescent="0.3">
      <c r="I21437" t="s">
        <v>26323</v>
      </c>
      <c r="J21437" t="s">
        <v>6438</v>
      </c>
    </row>
    <row r="21438" spans="9:10" x14ac:dyDescent="0.3">
      <c r="I21438" t="s">
        <v>26323</v>
      </c>
      <c r="J21438" t="s">
        <v>6438</v>
      </c>
    </row>
    <row r="21439" spans="9:10" x14ac:dyDescent="0.3">
      <c r="I21439" t="s">
        <v>26324</v>
      </c>
      <c r="J21439" t="s">
        <v>213</v>
      </c>
    </row>
    <row r="21440" spans="9:10" x14ac:dyDescent="0.3">
      <c r="I21440" t="s">
        <v>26325</v>
      </c>
    </row>
    <row r="21441" spans="9:10" x14ac:dyDescent="0.3">
      <c r="I21441" t="s">
        <v>26326</v>
      </c>
    </row>
    <row r="21442" spans="9:10" x14ac:dyDescent="0.3">
      <c r="I21442" t="s">
        <v>26327</v>
      </c>
      <c r="J21442" t="s">
        <v>6439</v>
      </c>
    </row>
    <row r="21443" spans="9:10" x14ac:dyDescent="0.3">
      <c r="I21443" t="s">
        <v>26328</v>
      </c>
    </row>
    <row r="21444" spans="9:10" x14ac:dyDescent="0.3">
      <c r="I21444" t="s">
        <v>26329</v>
      </c>
    </row>
    <row r="21445" spans="9:10" x14ac:dyDescent="0.3">
      <c r="I21445" t="s">
        <v>26330</v>
      </c>
    </row>
    <row r="21446" spans="9:10" x14ac:dyDescent="0.3">
      <c r="I21446" t="s">
        <v>26331</v>
      </c>
    </row>
    <row r="21447" spans="9:10" x14ac:dyDescent="0.3">
      <c r="I21447" t="s">
        <v>26332</v>
      </c>
    </row>
    <row r="21448" spans="9:10" x14ac:dyDescent="0.3">
      <c r="I21448" t="s">
        <v>26333</v>
      </c>
    </row>
    <row r="21449" spans="9:10" x14ac:dyDescent="0.3">
      <c r="I21449" t="s">
        <v>26334</v>
      </c>
    </row>
    <row r="21450" spans="9:10" x14ac:dyDescent="0.3">
      <c r="I21450" t="s">
        <v>26334</v>
      </c>
    </row>
    <row r="21451" spans="9:10" x14ac:dyDescent="0.3">
      <c r="I21451" t="s">
        <v>26335</v>
      </c>
    </row>
    <row r="21452" spans="9:10" x14ac:dyDescent="0.3">
      <c r="I21452" t="s">
        <v>26336</v>
      </c>
    </row>
    <row r="21453" spans="9:10" x14ac:dyDescent="0.3">
      <c r="I21453" t="s">
        <v>26337</v>
      </c>
      <c r="J21453" t="s">
        <v>6440</v>
      </c>
    </row>
    <row r="21454" spans="9:10" x14ac:dyDescent="0.3">
      <c r="I21454" t="s">
        <v>26338</v>
      </c>
    </row>
    <row r="21455" spans="9:10" x14ac:dyDescent="0.3">
      <c r="I21455" t="s">
        <v>26339</v>
      </c>
      <c r="J21455" t="s">
        <v>6441</v>
      </c>
    </row>
    <row r="21456" spans="9:10" x14ac:dyDescent="0.3">
      <c r="I21456" t="s">
        <v>26340</v>
      </c>
      <c r="J21456" t="s">
        <v>6441</v>
      </c>
    </row>
    <row r="21457" spans="9:10" x14ac:dyDescent="0.3">
      <c r="I21457" t="s">
        <v>26341</v>
      </c>
      <c r="J21457" t="s">
        <v>6441</v>
      </c>
    </row>
    <row r="21458" spans="9:10" x14ac:dyDescent="0.3">
      <c r="I21458" t="s">
        <v>26342</v>
      </c>
      <c r="J21458" t="s">
        <v>6442</v>
      </c>
    </row>
    <row r="21459" spans="9:10" x14ac:dyDescent="0.3">
      <c r="I21459" t="s">
        <v>26343</v>
      </c>
      <c r="J21459" t="s">
        <v>6443</v>
      </c>
    </row>
    <row r="21460" spans="9:10" x14ac:dyDescent="0.3">
      <c r="I21460" t="s">
        <v>26344</v>
      </c>
    </row>
    <row r="21461" spans="9:10" x14ac:dyDescent="0.3">
      <c r="I21461" t="s">
        <v>26345</v>
      </c>
    </row>
    <row r="21462" spans="9:10" x14ac:dyDescent="0.3">
      <c r="I21462" t="s">
        <v>26346</v>
      </c>
    </row>
    <row r="21463" spans="9:10" x14ac:dyDescent="0.3">
      <c r="I21463" t="s">
        <v>26347</v>
      </c>
      <c r="J21463" t="s">
        <v>6444</v>
      </c>
    </row>
    <row r="21464" spans="9:10" x14ac:dyDescent="0.3">
      <c r="I21464" t="s">
        <v>26347</v>
      </c>
      <c r="J21464" t="s">
        <v>6444</v>
      </c>
    </row>
    <row r="21465" spans="9:10" x14ac:dyDescent="0.3">
      <c r="I21465" t="s">
        <v>26348</v>
      </c>
    </row>
    <row r="21466" spans="9:10" x14ac:dyDescent="0.3">
      <c r="I21466" t="s">
        <v>26349</v>
      </c>
      <c r="J21466" t="s">
        <v>6445</v>
      </c>
    </row>
    <row r="21467" spans="9:10" x14ac:dyDescent="0.3">
      <c r="I21467" t="s">
        <v>26349</v>
      </c>
      <c r="J21467" t="s">
        <v>6445</v>
      </c>
    </row>
    <row r="21468" spans="9:10" x14ac:dyDescent="0.3">
      <c r="I21468" t="s">
        <v>26349</v>
      </c>
      <c r="J21468" t="s">
        <v>6445</v>
      </c>
    </row>
    <row r="21469" spans="9:10" x14ac:dyDescent="0.3">
      <c r="I21469" t="s">
        <v>26349</v>
      </c>
      <c r="J21469" t="s">
        <v>6445</v>
      </c>
    </row>
    <row r="21470" spans="9:10" x14ac:dyDescent="0.3">
      <c r="I21470" t="s">
        <v>26350</v>
      </c>
      <c r="J21470" t="s">
        <v>6446</v>
      </c>
    </row>
    <row r="21471" spans="9:10" x14ac:dyDescent="0.3">
      <c r="I21471" t="s">
        <v>26351</v>
      </c>
      <c r="J21471" t="s">
        <v>6446</v>
      </c>
    </row>
    <row r="21472" spans="9:10" x14ac:dyDescent="0.3">
      <c r="I21472" t="s">
        <v>26350</v>
      </c>
      <c r="J21472" t="s">
        <v>6446</v>
      </c>
    </row>
    <row r="21473" spans="9:10" x14ac:dyDescent="0.3">
      <c r="I21473" t="s">
        <v>26352</v>
      </c>
      <c r="J21473" t="s">
        <v>6447</v>
      </c>
    </row>
    <row r="21474" spans="9:10" x14ac:dyDescent="0.3">
      <c r="I21474" t="s">
        <v>26353</v>
      </c>
      <c r="J21474" t="s">
        <v>6448</v>
      </c>
    </row>
    <row r="21475" spans="9:10" x14ac:dyDescent="0.3">
      <c r="I21475" t="s">
        <v>26354</v>
      </c>
      <c r="J21475" t="s">
        <v>6449</v>
      </c>
    </row>
    <row r="21476" spans="9:10" x14ac:dyDescent="0.3">
      <c r="I21476" t="s">
        <v>26355</v>
      </c>
      <c r="J21476" t="s">
        <v>6449</v>
      </c>
    </row>
    <row r="21477" spans="9:10" x14ac:dyDescent="0.3">
      <c r="I21477" t="s">
        <v>26356</v>
      </c>
      <c r="J21477" t="s">
        <v>6450</v>
      </c>
    </row>
    <row r="21478" spans="9:10" x14ac:dyDescent="0.3">
      <c r="I21478" t="s">
        <v>26357</v>
      </c>
    </row>
    <row r="21479" spans="9:10" x14ac:dyDescent="0.3">
      <c r="I21479" t="s">
        <v>26358</v>
      </c>
    </row>
    <row r="21480" spans="9:10" x14ac:dyDescent="0.3">
      <c r="I21480" t="s">
        <v>26359</v>
      </c>
      <c r="J21480" t="s">
        <v>6451</v>
      </c>
    </row>
    <row r="21481" spans="9:10" x14ac:dyDescent="0.3">
      <c r="I21481" t="s">
        <v>26360</v>
      </c>
      <c r="J21481" t="s">
        <v>6451</v>
      </c>
    </row>
    <row r="21482" spans="9:10" x14ac:dyDescent="0.3">
      <c r="I21482" t="s">
        <v>26361</v>
      </c>
      <c r="J21482" t="s">
        <v>6452</v>
      </c>
    </row>
    <row r="21483" spans="9:10" x14ac:dyDescent="0.3">
      <c r="I21483" t="s">
        <v>26362</v>
      </c>
      <c r="J21483" t="s">
        <v>6453</v>
      </c>
    </row>
    <row r="21484" spans="9:10" x14ac:dyDescent="0.3">
      <c r="I21484" t="s">
        <v>26363</v>
      </c>
      <c r="J21484" t="s">
        <v>6454</v>
      </c>
    </row>
    <row r="21485" spans="9:10" x14ac:dyDescent="0.3">
      <c r="I21485" t="s">
        <v>26364</v>
      </c>
      <c r="J21485" t="s">
        <v>6455</v>
      </c>
    </row>
    <row r="21486" spans="9:10" x14ac:dyDescent="0.3">
      <c r="I21486" t="s">
        <v>26365</v>
      </c>
      <c r="J21486" t="s">
        <v>6456</v>
      </c>
    </row>
    <row r="21487" spans="9:10" x14ac:dyDescent="0.3">
      <c r="I21487" t="s">
        <v>26365</v>
      </c>
      <c r="J21487" t="s">
        <v>6456</v>
      </c>
    </row>
    <row r="21488" spans="9:10" x14ac:dyDescent="0.3">
      <c r="I21488" t="s">
        <v>26366</v>
      </c>
      <c r="J21488" t="s">
        <v>6457</v>
      </c>
    </row>
    <row r="21489" spans="9:10" x14ac:dyDescent="0.3">
      <c r="I21489" t="s">
        <v>26367</v>
      </c>
      <c r="J21489" t="s">
        <v>5878</v>
      </c>
    </row>
    <row r="21490" spans="9:10" x14ac:dyDescent="0.3">
      <c r="I21490" t="s">
        <v>26368</v>
      </c>
      <c r="J21490" t="s">
        <v>5878</v>
      </c>
    </row>
    <row r="21491" spans="9:10" x14ac:dyDescent="0.3">
      <c r="I21491" t="s">
        <v>26369</v>
      </c>
      <c r="J21491" t="s">
        <v>5878</v>
      </c>
    </row>
    <row r="21492" spans="9:10" x14ac:dyDescent="0.3">
      <c r="I21492" t="s">
        <v>11957</v>
      </c>
      <c r="J21492" t="s">
        <v>5878</v>
      </c>
    </row>
    <row r="21493" spans="9:10" x14ac:dyDescent="0.3">
      <c r="I21493" t="s">
        <v>11954</v>
      </c>
      <c r="J21493" t="s">
        <v>5878</v>
      </c>
    </row>
    <row r="21494" spans="9:10" x14ac:dyDescent="0.3">
      <c r="I21494" t="s">
        <v>11954</v>
      </c>
      <c r="J21494" t="s">
        <v>5878</v>
      </c>
    </row>
    <row r="21495" spans="9:10" x14ac:dyDescent="0.3">
      <c r="I21495" t="s">
        <v>26370</v>
      </c>
      <c r="J21495" t="s">
        <v>5878</v>
      </c>
    </row>
    <row r="21496" spans="9:10" x14ac:dyDescent="0.3">
      <c r="I21496" t="s">
        <v>11957</v>
      </c>
      <c r="J21496" t="s">
        <v>5878</v>
      </c>
    </row>
    <row r="21497" spans="9:10" x14ac:dyDescent="0.3">
      <c r="I21497" t="s">
        <v>11954</v>
      </c>
      <c r="J21497" t="s">
        <v>5878</v>
      </c>
    </row>
    <row r="21498" spans="9:10" x14ac:dyDescent="0.3">
      <c r="I21498" t="s">
        <v>11957</v>
      </c>
      <c r="J21498" t="s">
        <v>5878</v>
      </c>
    </row>
    <row r="21499" spans="9:10" x14ac:dyDescent="0.3">
      <c r="I21499" t="s">
        <v>11957</v>
      </c>
      <c r="J21499" t="s">
        <v>5878</v>
      </c>
    </row>
    <row r="21500" spans="9:10" x14ac:dyDescent="0.3">
      <c r="I21500" t="s">
        <v>26371</v>
      </c>
      <c r="J21500" t="s">
        <v>5878</v>
      </c>
    </row>
    <row r="21501" spans="9:10" x14ac:dyDescent="0.3">
      <c r="I21501" t="s">
        <v>11954</v>
      </c>
      <c r="J21501" t="s">
        <v>5878</v>
      </c>
    </row>
    <row r="21502" spans="9:10" x14ac:dyDescent="0.3">
      <c r="I21502" t="s">
        <v>26372</v>
      </c>
      <c r="J21502" t="s">
        <v>5878</v>
      </c>
    </row>
    <row r="21503" spans="9:10" x14ac:dyDescent="0.3">
      <c r="I21503" t="s">
        <v>26373</v>
      </c>
      <c r="J21503" t="s">
        <v>5878</v>
      </c>
    </row>
    <row r="21504" spans="9:10" x14ac:dyDescent="0.3">
      <c r="I21504" t="s">
        <v>26374</v>
      </c>
    </row>
    <row r="21505" spans="9:10" x14ac:dyDescent="0.3">
      <c r="I21505" t="s">
        <v>26375</v>
      </c>
      <c r="J21505" t="s">
        <v>6458</v>
      </c>
    </row>
    <row r="21506" spans="9:10" x14ac:dyDescent="0.3">
      <c r="I21506" t="s">
        <v>26376</v>
      </c>
      <c r="J21506" t="s">
        <v>6459</v>
      </c>
    </row>
    <row r="21507" spans="9:10" x14ac:dyDescent="0.3">
      <c r="I21507" t="s">
        <v>26377</v>
      </c>
      <c r="J21507" t="s">
        <v>6460</v>
      </c>
    </row>
    <row r="21508" spans="9:10" x14ac:dyDescent="0.3">
      <c r="I21508" t="s">
        <v>26378</v>
      </c>
      <c r="J21508" t="s">
        <v>6461</v>
      </c>
    </row>
    <row r="21509" spans="9:10" x14ac:dyDescent="0.3">
      <c r="I21509" t="s">
        <v>26379</v>
      </c>
    </row>
    <row r="21510" spans="9:10" x14ac:dyDescent="0.3">
      <c r="I21510" t="s">
        <v>26380</v>
      </c>
      <c r="J21510" t="s">
        <v>5437</v>
      </c>
    </row>
    <row r="21511" spans="9:10" x14ac:dyDescent="0.3">
      <c r="I21511" t="s">
        <v>26381</v>
      </c>
      <c r="J21511" t="s">
        <v>6462</v>
      </c>
    </row>
    <row r="21512" spans="9:10" x14ac:dyDescent="0.3">
      <c r="I21512" t="s">
        <v>26382</v>
      </c>
      <c r="J21512" t="s">
        <v>6463</v>
      </c>
    </row>
    <row r="21513" spans="9:10" x14ac:dyDescent="0.3">
      <c r="I21513" t="s">
        <v>26383</v>
      </c>
      <c r="J21513" t="s">
        <v>6464</v>
      </c>
    </row>
    <row r="21514" spans="9:10" x14ac:dyDescent="0.3">
      <c r="I21514" t="s">
        <v>26384</v>
      </c>
      <c r="J21514" t="s">
        <v>6464</v>
      </c>
    </row>
    <row r="21515" spans="9:10" x14ac:dyDescent="0.3">
      <c r="I21515" t="s">
        <v>26385</v>
      </c>
      <c r="J21515" t="s">
        <v>6465</v>
      </c>
    </row>
    <row r="21516" spans="9:10" x14ac:dyDescent="0.3">
      <c r="I21516" t="s">
        <v>26386</v>
      </c>
      <c r="J21516" t="s">
        <v>6466</v>
      </c>
    </row>
    <row r="21517" spans="9:10" x14ac:dyDescent="0.3">
      <c r="I21517" t="s">
        <v>26387</v>
      </c>
      <c r="J21517" t="s">
        <v>6467</v>
      </c>
    </row>
    <row r="21518" spans="9:10" x14ac:dyDescent="0.3">
      <c r="I21518" t="s">
        <v>26388</v>
      </c>
      <c r="J21518" t="s">
        <v>6468</v>
      </c>
    </row>
    <row r="21519" spans="9:10" x14ac:dyDescent="0.3">
      <c r="I21519" t="s">
        <v>26389</v>
      </c>
      <c r="J21519" t="s">
        <v>6469</v>
      </c>
    </row>
    <row r="21520" spans="9:10" x14ac:dyDescent="0.3">
      <c r="I21520" t="s">
        <v>26390</v>
      </c>
    </row>
    <row r="21521" spans="9:10" x14ac:dyDescent="0.3">
      <c r="I21521" t="s">
        <v>26391</v>
      </c>
    </row>
    <row r="21522" spans="9:10" x14ac:dyDescent="0.3">
      <c r="I21522" t="s">
        <v>26392</v>
      </c>
      <c r="J21522" t="s">
        <v>6470</v>
      </c>
    </row>
    <row r="21523" spans="9:10" x14ac:dyDescent="0.3">
      <c r="I21523" t="s">
        <v>26393</v>
      </c>
      <c r="J21523" t="s">
        <v>6471</v>
      </c>
    </row>
    <row r="21524" spans="9:10" x14ac:dyDescent="0.3">
      <c r="I21524" t="s">
        <v>26394</v>
      </c>
      <c r="J21524" t="s">
        <v>6472</v>
      </c>
    </row>
    <row r="21525" spans="9:10" x14ac:dyDescent="0.3">
      <c r="I21525" t="s">
        <v>26395</v>
      </c>
      <c r="J21525" t="s">
        <v>6473</v>
      </c>
    </row>
    <row r="21526" spans="9:10" x14ac:dyDescent="0.3">
      <c r="I21526" t="s">
        <v>26396</v>
      </c>
      <c r="J21526" t="s">
        <v>6474</v>
      </c>
    </row>
    <row r="21527" spans="9:10" x14ac:dyDescent="0.3">
      <c r="I21527" t="s">
        <v>26397</v>
      </c>
      <c r="J21527" t="s">
        <v>6475</v>
      </c>
    </row>
    <row r="21528" spans="9:10" x14ac:dyDescent="0.3">
      <c r="I21528" t="s">
        <v>26398</v>
      </c>
      <c r="J21528" t="s">
        <v>5426</v>
      </c>
    </row>
    <row r="21529" spans="9:10" x14ac:dyDescent="0.3">
      <c r="I21529" t="s">
        <v>26399</v>
      </c>
      <c r="J21529" t="s">
        <v>6476</v>
      </c>
    </row>
    <row r="21530" spans="9:10" x14ac:dyDescent="0.3">
      <c r="I21530" t="s">
        <v>26400</v>
      </c>
      <c r="J21530" t="s">
        <v>5429</v>
      </c>
    </row>
    <row r="21531" spans="9:10" x14ac:dyDescent="0.3">
      <c r="I21531" t="s">
        <v>26401</v>
      </c>
      <c r="J21531" t="s">
        <v>6477</v>
      </c>
    </row>
    <row r="21532" spans="9:10" x14ac:dyDescent="0.3">
      <c r="I21532" t="s">
        <v>26402</v>
      </c>
      <c r="J21532" t="s">
        <v>845</v>
      </c>
    </row>
    <row r="21533" spans="9:10" x14ac:dyDescent="0.3">
      <c r="I21533" t="s">
        <v>26403</v>
      </c>
      <c r="J21533" t="s">
        <v>6478</v>
      </c>
    </row>
    <row r="21534" spans="9:10" x14ac:dyDescent="0.3">
      <c r="I21534" t="s">
        <v>26404</v>
      </c>
      <c r="J21534" t="s">
        <v>6479</v>
      </c>
    </row>
    <row r="21535" spans="9:10" x14ac:dyDescent="0.3">
      <c r="I21535" t="s">
        <v>26405</v>
      </c>
      <c r="J21535" t="s">
        <v>6480</v>
      </c>
    </row>
    <row r="21536" spans="9:10" x14ac:dyDescent="0.3">
      <c r="I21536" t="s">
        <v>26406</v>
      </c>
      <c r="J21536" t="s">
        <v>1609</v>
      </c>
    </row>
    <row r="21537" spans="9:10" x14ac:dyDescent="0.3">
      <c r="I21537" t="s">
        <v>26407</v>
      </c>
      <c r="J21537" t="s">
        <v>6481</v>
      </c>
    </row>
    <row r="21538" spans="9:10" x14ac:dyDescent="0.3">
      <c r="I21538" t="s">
        <v>26408</v>
      </c>
      <c r="J21538" t="s">
        <v>6482</v>
      </c>
    </row>
    <row r="21539" spans="9:10" x14ac:dyDescent="0.3">
      <c r="I21539" t="s">
        <v>26409</v>
      </c>
      <c r="J21539" t="s">
        <v>6483</v>
      </c>
    </row>
    <row r="21540" spans="9:10" x14ac:dyDescent="0.3">
      <c r="I21540" t="s">
        <v>26410</v>
      </c>
      <c r="J21540" t="s">
        <v>6484</v>
      </c>
    </row>
    <row r="21541" spans="9:10" x14ac:dyDescent="0.3">
      <c r="I21541" t="s">
        <v>26411</v>
      </c>
      <c r="J21541" t="s">
        <v>6485</v>
      </c>
    </row>
    <row r="21542" spans="9:10" x14ac:dyDescent="0.3">
      <c r="I21542" t="s">
        <v>26412</v>
      </c>
      <c r="J21542" t="s">
        <v>6486</v>
      </c>
    </row>
    <row r="21543" spans="9:10" x14ac:dyDescent="0.3">
      <c r="I21543" t="s">
        <v>26413</v>
      </c>
      <c r="J21543" t="s">
        <v>6487</v>
      </c>
    </row>
    <row r="21544" spans="9:10" x14ac:dyDescent="0.3">
      <c r="I21544" t="s">
        <v>26414</v>
      </c>
      <c r="J21544" t="s">
        <v>6488</v>
      </c>
    </row>
    <row r="21545" spans="9:10" x14ac:dyDescent="0.3">
      <c r="I21545" t="s">
        <v>26415</v>
      </c>
      <c r="J21545" t="s">
        <v>6489</v>
      </c>
    </row>
    <row r="21546" spans="9:10" x14ac:dyDescent="0.3">
      <c r="I21546" t="s">
        <v>26416</v>
      </c>
      <c r="J21546" t="s">
        <v>6490</v>
      </c>
    </row>
    <row r="21547" spans="9:10" x14ac:dyDescent="0.3">
      <c r="I21547" t="s">
        <v>26417</v>
      </c>
      <c r="J21547" t="s">
        <v>6491</v>
      </c>
    </row>
    <row r="21548" spans="9:10" x14ac:dyDescent="0.3">
      <c r="I21548" t="s">
        <v>26418</v>
      </c>
      <c r="J21548" t="s">
        <v>6492</v>
      </c>
    </row>
    <row r="21549" spans="9:10" x14ac:dyDescent="0.3">
      <c r="I21549" t="s">
        <v>26419</v>
      </c>
      <c r="J21549" t="s">
        <v>6493</v>
      </c>
    </row>
    <row r="21550" spans="9:10" x14ac:dyDescent="0.3">
      <c r="I21550" t="s">
        <v>26420</v>
      </c>
      <c r="J21550" t="s">
        <v>6494</v>
      </c>
    </row>
    <row r="21551" spans="9:10" x14ac:dyDescent="0.3">
      <c r="I21551" t="s">
        <v>26421</v>
      </c>
      <c r="J21551">
        <v>0</v>
      </c>
    </row>
    <row r="21552" spans="9:10" x14ac:dyDescent="0.3">
      <c r="I21552" t="s">
        <v>26422</v>
      </c>
      <c r="J21552" t="s">
        <v>4389</v>
      </c>
    </row>
    <row r="21553" spans="9:10" x14ac:dyDescent="0.3">
      <c r="I21553" t="s">
        <v>26423</v>
      </c>
      <c r="J21553" t="s">
        <v>6495</v>
      </c>
    </row>
    <row r="21554" spans="9:10" x14ac:dyDescent="0.3">
      <c r="I21554" t="s">
        <v>26424</v>
      </c>
      <c r="J21554" t="s">
        <v>3846</v>
      </c>
    </row>
    <row r="21555" spans="9:10" x14ac:dyDescent="0.3">
      <c r="I21555" t="s">
        <v>26425</v>
      </c>
      <c r="J21555" t="s">
        <v>6496</v>
      </c>
    </row>
    <row r="21556" spans="9:10" x14ac:dyDescent="0.3">
      <c r="I21556" t="s">
        <v>26425</v>
      </c>
      <c r="J21556" t="s">
        <v>6496</v>
      </c>
    </row>
    <row r="21557" spans="9:10" x14ac:dyDescent="0.3">
      <c r="I21557" t="s">
        <v>26425</v>
      </c>
      <c r="J21557" t="s">
        <v>6496</v>
      </c>
    </row>
    <row r="21558" spans="9:10" x14ac:dyDescent="0.3">
      <c r="I21558" t="s">
        <v>26425</v>
      </c>
      <c r="J21558" t="s">
        <v>6496</v>
      </c>
    </row>
    <row r="21559" spans="9:10" x14ac:dyDescent="0.3">
      <c r="I21559" t="s">
        <v>26425</v>
      </c>
      <c r="J21559" t="s">
        <v>6496</v>
      </c>
    </row>
    <row r="21560" spans="9:10" x14ac:dyDescent="0.3">
      <c r="I21560" t="s">
        <v>26426</v>
      </c>
      <c r="J21560">
        <v>0</v>
      </c>
    </row>
    <row r="21561" spans="9:10" x14ac:dyDescent="0.3">
      <c r="I21561" t="s">
        <v>26427</v>
      </c>
      <c r="J21561">
        <v>0</v>
      </c>
    </row>
    <row r="21562" spans="9:10" x14ac:dyDescent="0.3">
      <c r="I21562" t="s">
        <v>26428</v>
      </c>
      <c r="J21562" t="s">
        <v>2045</v>
      </c>
    </row>
    <row r="21563" spans="9:10" x14ac:dyDescent="0.3">
      <c r="I21563" t="s">
        <v>26429</v>
      </c>
    </row>
    <row r="21564" spans="9:10" x14ac:dyDescent="0.3">
      <c r="I21564" t="s">
        <v>26430</v>
      </c>
      <c r="J21564" t="s">
        <v>6497</v>
      </c>
    </row>
    <row r="21565" spans="9:10" x14ac:dyDescent="0.3">
      <c r="I21565" t="s">
        <v>26430</v>
      </c>
      <c r="J21565" t="s">
        <v>6497</v>
      </c>
    </row>
    <row r="21566" spans="9:10" x14ac:dyDescent="0.3">
      <c r="I21566" t="s">
        <v>26431</v>
      </c>
      <c r="J21566" t="s">
        <v>6498</v>
      </c>
    </row>
    <row r="21567" spans="9:10" x14ac:dyDescent="0.3">
      <c r="I21567" t="s">
        <v>26432</v>
      </c>
      <c r="J21567" t="s">
        <v>6498</v>
      </c>
    </row>
    <row r="21568" spans="9:10" x14ac:dyDescent="0.3">
      <c r="I21568" t="s">
        <v>26433</v>
      </c>
    </row>
    <row r="21569" spans="9:10" x14ac:dyDescent="0.3">
      <c r="I21569" t="s">
        <v>26434</v>
      </c>
      <c r="J21569" t="s">
        <v>6499</v>
      </c>
    </row>
    <row r="21570" spans="9:10" x14ac:dyDescent="0.3">
      <c r="I21570" t="s">
        <v>26435</v>
      </c>
      <c r="J21570" t="s">
        <v>6500</v>
      </c>
    </row>
    <row r="21571" spans="9:10" x14ac:dyDescent="0.3">
      <c r="I21571" t="s">
        <v>26436</v>
      </c>
      <c r="J21571" t="s">
        <v>6501</v>
      </c>
    </row>
    <row r="21572" spans="9:10" x14ac:dyDescent="0.3">
      <c r="I21572" t="s">
        <v>26437</v>
      </c>
      <c r="J21572" t="s">
        <v>6502</v>
      </c>
    </row>
    <row r="21573" spans="9:10" x14ac:dyDescent="0.3">
      <c r="I21573" t="s">
        <v>26438</v>
      </c>
      <c r="J21573" t="s">
        <v>6503</v>
      </c>
    </row>
    <row r="21574" spans="9:10" x14ac:dyDescent="0.3">
      <c r="I21574" t="s">
        <v>26439</v>
      </c>
      <c r="J21574" t="s">
        <v>6504</v>
      </c>
    </row>
    <row r="21575" spans="9:10" x14ac:dyDescent="0.3">
      <c r="I21575" t="s">
        <v>26440</v>
      </c>
      <c r="J21575" t="s">
        <v>6504</v>
      </c>
    </row>
    <row r="21576" spans="9:10" x14ac:dyDescent="0.3">
      <c r="I21576" t="s">
        <v>26441</v>
      </c>
      <c r="J21576" t="s">
        <v>6505</v>
      </c>
    </row>
    <row r="21577" spans="9:10" x14ac:dyDescent="0.3">
      <c r="I21577" t="s">
        <v>26442</v>
      </c>
      <c r="J21577" t="s">
        <v>6506</v>
      </c>
    </row>
    <row r="21578" spans="9:10" x14ac:dyDescent="0.3">
      <c r="I21578" t="s">
        <v>26443</v>
      </c>
      <c r="J21578" t="s">
        <v>6507</v>
      </c>
    </row>
    <row r="21579" spans="9:10" x14ac:dyDescent="0.3">
      <c r="I21579" t="s">
        <v>26444</v>
      </c>
      <c r="J21579" t="s">
        <v>6508</v>
      </c>
    </row>
    <row r="21580" spans="9:10" x14ac:dyDescent="0.3">
      <c r="I21580" t="s">
        <v>26445</v>
      </c>
      <c r="J21580" t="s">
        <v>6509</v>
      </c>
    </row>
    <row r="21581" spans="9:10" x14ac:dyDescent="0.3">
      <c r="I21581" t="s">
        <v>26446</v>
      </c>
    </row>
    <row r="21582" spans="9:10" x14ac:dyDescent="0.3">
      <c r="I21582" t="s">
        <v>26447</v>
      </c>
    </row>
    <row r="21583" spans="9:10" x14ac:dyDescent="0.3">
      <c r="I21583" t="s">
        <v>26448</v>
      </c>
      <c r="J21583" t="s">
        <v>6510</v>
      </c>
    </row>
    <row r="21584" spans="9:10" x14ac:dyDescent="0.3">
      <c r="I21584" t="s">
        <v>26449</v>
      </c>
      <c r="J21584" t="s">
        <v>6511</v>
      </c>
    </row>
    <row r="21585" spans="9:10" x14ac:dyDescent="0.3">
      <c r="I21585" t="s">
        <v>26450</v>
      </c>
      <c r="J21585" t="s">
        <v>6512</v>
      </c>
    </row>
    <row r="21586" spans="9:10" x14ac:dyDescent="0.3">
      <c r="I21586" t="s">
        <v>26451</v>
      </c>
      <c r="J21586" t="s">
        <v>6513</v>
      </c>
    </row>
    <row r="21587" spans="9:10" x14ac:dyDescent="0.3">
      <c r="I21587" t="s">
        <v>26452</v>
      </c>
      <c r="J21587" t="s">
        <v>6514</v>
      </c>
    </row>
    <row r="21588" spans="9:10" x14ac:dyDescent="0.3">
      <c r="I21588" t="s">
        <v>26453</v>
      </c>
      <c r="J21588" t="s">
        <v>6515</v>
      </c>
    </row>
    <row r="21589" spans="9:10" x14ac:dyDescent="0.3">
      <c r="I21589" t="s">
        <v>26454</v>
      </c>
      <c r="J21589" t="s">
        <v>6516</v>
      </c>
    </row>
    <row r="21590" spans="9:10" x14ac:dyDescent="0.3">
      <c r="I21590" t="s">
        <v>26455</v>
      </c>
      <c r="J21590" t="s">
        <v>6516</v>
      </c>
    </row>
    <row r="21591" spans="9:10" x14ac:dyDescent="0.3">
      <c r="I21591" t="s">
        <v>26455</v>
      </c>
      <c r="J21591" t="s">
        <v>6516</v>
      </c>
    </row>
    <row r="21592" spans="9:10" x14ac:dyDescent="0.3">
      <c r="I21592" t="s">
        <v>26455</v>
      </c>
      <c r="J21592" t="s">
        <v>6516</v>
      </c>
    </row>
    <row r="21593" spans="9:10" x14ac:dyDescent="0.3">
      <c r="I21593" t="s">
        <v>26456</v>
      </c>
      <c r="J21593" t="s">
        <v>6517</v>
      </c>
    </row>
    <row r="21594" spans="9:10" x14ac:dyDescent="0.3">
      <c r="I21594" t="s">
        <v>26457</v>
      </c>
      <c r="J21594" t="s">
        <v>6518</v>
      </c>
    </row>
    <row r="21595" spans="9:10" x14ac:dyDescent="0.3">
      <c r="I21595" t="s">
        <v>26458</v>
      </c>
      <c r="J21595" t="s">
        <v>6518</v>
      </c>
    </row>
    <row r="21596" spans="9:10" x14ac:dyDescent="0.3">
      <c r="I21596" t="s">
        <v>26459</v>
      </c>
      <c r="J21596" t="s">
        <v>6519</v>
      </c>
    </row>
    <row r="21597" spans="9:10" x14ac:dyDescent="0.3">
      <c r="I21597" t="s">
        <v>26460</v>
      </c>
    </row>
    <row r="21598" spans="9:10" x14ac:dyDescent="0.3">
      <c r="I21598" t="s">
        <v>26461</v>
      </c>
      <c r="J21598" t="s">
        <v>6520</v>
      </c>
    </row>
    <row r="21599" spans="9:10" x14ac:dyDescent="0.3">
      <c r="I21599" t="s">
        <v>26462</v>
      </c>
      <c r="J21599" t="s">
        <v>6520</v>
      </c>
    </row>
    <row r="21600" spans="9:10" x14ac:dyDescent="0.3">
      <c r="I21600" t="s">
        <v>26463</v>
      </c>
    </row>
    <row r="21601" spans="9:10" x14ac:dyDescent="0.3">
      <c r="I21601" t="s">
        <v>26464</v>
      </c>
    </row>
    <row r="21602" spans="9:10" x14ac:dyDescent="0.3">
      <c r="I21602" t="s">
        <v>26465</v>
      </c>
    </row>
    <row r="21603" spans="9:10" x14ac:dyDescent="0.3">
      <c r="I21603" t="s">
        <v>26466</v>
      </c>
      <c r="J21603" t="s">
        <v>6521</v>
      </c>
    </row>
    <row r="21604" spans="9:10" x14ac:dyDescent="0.3">
      <c r="I21604" t="s">
        <v>26467</v>
      </c>
      <c r="J21604" t="s">
        <v>6522</v>
      </c>
    </row>
    <row r="21605" spans="9:10" x14ac:dyDescent="0.3">
      <c r="I21605" t="s">
        <v>26468</v>
      </c>
    </row>
    <row r="21606" spans="9:10" x14ac:dyDescent="0.3">
      <c r="I21606" t="s">
        <v>26469</v>
      </c>
      <c r="J21606" t="s">
        <v>6523</v>
      </c>
    </row>
    <row r="21607" spans="9:10" x14ac:dyDescent="0.3">
      <c r="I21607" t="s">
        <v>26470</v>
      </c>
    </row>
    <row r="21608" spans="9:10" x14ac:dyDescent="0.3">
      <c r="I21608" t="s">
        <v>26471</v>
      </c>
      <c r="J21608" t="s">
        <v>793</v>
      </c>
    </row>
    <row r="21609" spans="9:10" x14ac:dyDescent="0.3">
      <c r="I21609" t="s">
        <v>26472</v>
      </c>
      <c r="J21609" t="s">
        <v>460</v>
      </c>
    </row>
    <row r="21610" spans="9:10" x14ac:dyDescent="0.3">
      <c r="I21610" t="s">
        <v>26473</v>
      </c>
      <c r="J21610" t="s">
        <v>6524</v>
      </c>
    </row>
    <row r="21611" spans="9:10" x14ac:dyDescent="0.3">
      <c r="I21611" t="s">
        <v>26474</v>
      </c>
      <c r="J21611" t="s">
        <v>6524</v>
      </c>
    </row>
    <row r="21612" spans="9:10" x14ac:dyDescent="0.3">
      <c r="I21612" t="s">
        <v>26475</v>
      </c>
      <c r="J21612" t="s">
        <v>6525</v>
      </c>
    </row>
    <row r="21613" spans="9:10" x14ac:dyDescent="0.3">
      <c r="I21613" t="s">
        <v>26476</v>
      </c>
    </row>
    <row r="21614" spans="9:10" x14ac:dyDescent="0.3">
      <c r="I21614" t="s">
        <v>26477</v>
      </c>
    </row>
    <row r="21615" spans="9:10" x14ac:dyDescent="0.3">
      <c r="I21615" t="s">
        <v>26478</v>
      </c>
    </row>
    <row r="21616" spans="9:10" x14ac:dyDescent="0.3">
      <c r="I21616" t="s">
        <v>26479</v>
      </c>
    </row>
    <row r="21617" spans="9:10" x14ac:dyDescent="0.3">
      <c r="I21617" t="s">
        <v>26480</v>
      </c>
      <c r="J21617" t="s">
        <v>6526</v>
      </c>
    </row>
    <row r="21618" spans="9:10" x14ac:dyDescent="0.3">
      <c r="I21618" t="s">
        <v>26481</v>
      </c>
    </row>
    <row r="21619" spans="9:10" x14ac:dyDescent="0.3">
      <c r="I21619" t="s">
        <v>26482</v>
      </c>
    </row>
    <row r="21620" spans="9:10" x14ac:dyDescent="0.3">
      <c r="I21620" t="s">
        <v>26483</v>
      </c>
      <c r="J21620" t="s">
        <v>6527</v>
      </c>
    </row>
    <row r="21621" spans="9:10" x14ac:dyDescent="0.3">
      <c r="I21621" t="s">
        <v>26484</v>
      </c>
      <c r="J21621" t="s">
        <v>6528</v>
      </c>
    </row>
    <row r="21622" spans="9:10" x14ac:dyDescent="0.3">
      <c r="I21622" t="s">
        <v>26485</v>
      </c>
    </row>
    <row r="21623" spans="9:10" x14ac:dyDescent="0.3">
      <c r="I21623" t="s">
        <v>26486</v>
      </c>
    </row>
    <row r="21624" spans="9:10" x14ac:dyDescent="0.3">
      <c r="I21624" t="s">
        <v>26487</v>
      </c>
      <c r="J21624" t="s">
        <v>5878</v>
      </c>
    </row>
    <row r="21625" spans="9:10" x14ac:dyDescent="0.3">
      <c r="I21625" t="s">
        <v>26488</v>
      </c>
      <c r="J21625" t="s">
        <v>5878</v>
      </c>
    </row>
    <row r="21626" spans="9:10" x14ac:dyDescent="0.3">
      <c r="I21626" t="s">
        <v>26489</v>
      </c>
      <c r="J21626" t="s">
        <v>5878</v>
      </c>
    </row>
    <row r="21627" spans="9:10" x14ac:dyDescent="0.3">
      <c r="I21627" t="s">
        <v>26490</v>
      </c>
      <c r="J21627" t="s">
        <v>5878</v>
      </c>
    </row>
    <row r="21628" spans="9:10" x14ac:dyDescent="0.3">
      <c r="I21628" t="s">
        <v>26491</v>
      </c>
      <c r="J21628" t="s">
        <v>798</v>
      </c>
    </row>
    <row r="21629" spans="9:10" x14ac:dyDescent="0.3">
      <c r="I21629" t="s">
        <v>26491</v>
      </c>
      <c r="J21629" t="s">
        <v>798</v>
      </c>
    </row>
    <row r="21630" spans="9:10" x14ac:dyDescent="0.3">
      <c r="I21630" t="s">
        <v>26491</v>
      </c>
      <c r="J21630" t="s">
        <v>798</v>
      </c>
    </row>
    <row r="21631" spans="9:10" x14ac:dyDescent="0.3">
      <c r="I21631" t="s">
        <v>26492</v>
      </c>
    </row>
    <row r="21632" spans="9:10" x14ac:dyDescent="0.3">
      <c r="I21632" t="s">
        <v>26493</v>
      </c>
      <c r="J21632" t="s">
        <v>6529</v>
      </c>
    </row>
    <row r="21633" spans="9:10" x14ac:dyDescent="0.3">
      <c r="I21633" t="s">
        <v>26494</v>
      </c>
    </row>
    <row r="21634" spans="9:10" x14ac:dyDescent="0.3">
      <c r="I21634" t="s">
        <v>6530</v>
      </c>
      <c r="J21634" t="s">
        <v>6530</v>
      </c>
    </row>
    <row r="21635" spans="9:10" x14ac:dyDescent="0.3">
      <c r="I21635" t="s">
        <v>26495</v>
      </c>
      <c r="J21635" t="s">
        <v>6531</v>
      </c>
    </row>
    <row r="21636" spans="9:10" x14ac:dyDescent="0.3">
      <c r="I21636" t="s">
        <v>26496</v>
      </c>
      <c r="J21636" t="s">
        <v>6532</v>
      </c>
    </row>
    <row r="21637" spans="9:10" x14ac:dyDescent="0.3">
      <c r="I21637" t="s">
        <v>26497</v>
      </c>
      <c r="J21637" t="s">
        <v>6533</v>
      </c>
    </row>
    <row r="21638" spans="9:10" x14ac:dyDescent="0.3">
      <c r="I21638" t="s">
        <v>26497</v>
      </c>
      <c r="J21638" t="s">
        <v>6533</v>
      </c>
    </row>
    <row r="21639" spans="9:10" x14ac:dyDescent="0.3">
      <c r="I21639" t="s">
        <v>26498</v>
      </c>
      <c r="J21639" t="s">
        <v>6534</v>
      </c>
    </row>
    <row r="21640" spans="9:10" x14ac:dyDescent="0.3">
      <c r="I21640" t="s">
        <v>26499</v>
      </c>
      <c r="J21640" t="s">
        <v>6535</v>
      </c>
    </row>
    <row r="21641" spans="9:10" x14ac:dyDescent="0.3">
      <c r="I21641" t="s">
        <v>26500</v>
      </c>
      <c r="J21641" t="s">
        <v>6536</v>
      </c>
    </row>
    <row r="21642" spans="9:10" x14ac:dyDescent="0.3">
      <c r="I21642" t="s">
        <v>26501</v>
      </c>
      <c r="J21642" t="s">
        <v>6537</v>
      </c>
    </row>
    <row r="21643" spans="9:10" x14ac:dyDescent="0.3">
      <c r="I21643" t="s">
        <v>26501</v>
      </c>
      <c r="J21643" t="s">
        <v>6537</v>
      </c>
    </row>
    <row r="21644" spans="9:10" x14ac:dyDescent="0.3">
      <c r="I21644" t="s">
        <v>26502</v>
      </c>
      <c r="J21644" t="s">
        <v>6538</v>
      </c>
    </row>
    <row r="21645" spans="9:10" x14ac:dyDescent="0.3">
      <c r="I21645" t="s">
        <v>26502</v>
      </c>
      <c r="J21645" t="s">
        <v>6538</v>
      </c>
    </row>
    <row r="21646" spans="9:10" x14ac:dyDescent="0.3">
      <c r="I21646" t="s">
        <v>26502</v>
      </c>
      <c r="J21646" t="s">
        <v>6538</v>
      </c>
    </row>
    <row r="21647" spans="9:10" x14ac:dyDescent="0.3">
      <c r="I21647" t="s">
        <v>26502</v>
      </c>
      <c r="J21647" t="s">
        <v>6538</v>
      </c>
    </row>
    <row r="21648" spans="9:10" x14ac:dyDescent="0.3">
      <c r="I21648" t="s">
        <v>26503</v>
      </c>
      <c r="J21648" t="s">
        <v>6539</v>
      </c>
    </row>
    <row r="21649" spans="9:10" x14ac:dyDescent="0.3">
      <c r="I21649" t="s">
        <v>26504</v>
      </c>
    </row>
    <row r="21650" spans="9:10" x14ac:dyDescent="0.3">
      <c r="I21650" t="s">
        <v>26505</v>
      </c>
      <c r="J21650" t="s">
        <v>6540</v>
      </c>
    </row>
    <row r="21651" spans="9:10" x14ac:dyDescent="0.3">
      <c r="I21651" t="s">
        <v>26506</v>
      </c>
      <c r="J21651" t="s">
        <v>6541</v>
      </c>
    </row>
    <row r="21652" spans="9:10" x14ac:dyDescent="0.3">
      <c r="I21652" t="s">
        <v>26507</v>
      </c>
      <c r="J21652" t="s">
        <v>6542</v>
      </c>
    </row>
    <row r="21653" spans="9:10" x14ac:dyDescent="0.3">
      <c r="I21653" t="s">
        <v>26508</v>
      </c>
      <c r="J21653" t="s">
        <v>6543</v>
      </c>
    </row>
    <row r="21654" spans="9:10" x14ac:dyDescent="0.3">
      <c r="I21654" t="s">
        <v>26509</v>
      </c>
      <c r="J21654" t="s">
        <v>6544</v>
      </c>
    </row>
    <row r="21655" spans="9:10" x14ac:dyDescent="0.3">
      <c r="I21655" t="s">
        <v>26509</v>
      </c>
      <c r="J21655" t="s">
        <v>6544</v>
      </c>
    </row>
    <row r="21656" spans="9:10" x14ac:dyDescent="0.3">
      <c r="I21656" t="s">
        <v>26510</v>
      </c>
      <c r="J21656" t="s">
        <v>6545</v>
      </c>
    </row>
    <row r="21657" spans="9:10" x14ac:dyDescent="0.3">
      <c r="I21657" t="s">
        <v>26511</v>
      </c>
      <c r="J21657" t="s">
        <v>6546</v>
      </c>
    </row>
    <row r="21658" spans="9:10" x14ac:dyDescent="0.3">
      <c r="I21658" t="s">
        <v>26512</v>
      </c>
      <c r="J21658" t="s">
        <v>6546</v>
      </c>
    </row>
    <row r="21659" spans="9:10" x14ac:dyDescent="0.3">
      <c r="I21659" t="s">
        <v>26513</v>
      </c>
    </row>
    <row r="21660" spans="9:10" x14ac:dyDescent="0.3">
      <c r="I21660" t="s">
        <v>26514</v>
      </c>
    </row>
    <row r="21661" spans="9:10" x14ac:dyDescent="0.3">
      <c r="I21661" t="s">
        <v>26515</v>
      </c>
    </row>
    <row r="21662" spans="9:10" x14ac:dyDescent="0.3">
      <c r="I21662" t="s">
        <v>26516</v>
      </c>
    </row>
    <row r="21663" spans="9:10" x14ac:dyDescent="0.3">
      <c r="I21663" t="s">
        <v>26517</v>
      </c>
      <c r="J21663" t="s">
        <v>6547</v>
      </c>
    </row>
    <row r="21664" spans="9:10" x14ac:dyDescent="0.3">
      <c r="I21664" t="s">
        <v>26518</v>
      </c>
      <c r="J21664" t="s">
        <v>6548</v>
      </c>
    </row>
    <row r="21665" spans="9:10" x14ac:dyDescent="0.3">
      <c r="I21665" t="s">
        <v>26519</v>
      </c>
      <c r="J21665" t="s">
        <v>6549</v>
      </c>
    </row>
    <row r="21666" spans="9:10" x14ac:dyDescent="0.3">
      <c r="I21666" t="s">
        <v>26520</v>
      </c>
    </row>
    <row r="21667" spans="9:10" x14ac:dyDescent="0.3">
      <c r="I21667" t="s">
        <v>26520</v>
      </c>
    </row>
    <row r="21668" spans="9:10" x14ac:dyDescent="0.3">
      <c r="I21668" t="s">
        <v>26521</v>
      </c>
    </row>
    <row r="21669" spans="9:10" x14ac:dyDescent="0.3">
      <c r="I21669" t="s">
        <v>26522</v>
      </c>
      <c r="J21669" t="s">
        <v>6550</v>
      </c>
    </row>
    <row r="21670" spans="9:10" x14ac:dyDescent="0.3">
      <c r="I21670" t="s">
        <v>26523</v>
      </c>
      <c r="J21670" t="s">
        <v>6550</v>
      </c>
    </row>
    <row r="21671" spans="9:10" x14ac:dyDescent="0.3">
      <c r="I21671" t="s">
        <v>26524</v>
      </c>
      <c r="J21671" t="s">
        <v>6551</v>
      </c>
    </row>
    <row r="21672" spans="9:10" x14ac:dyDescent="0.3">
      <c r="I21672" t="s">
        <v>26525</v>
      </c>
      <c r="J21672" t="s">
        <v>6552</v>
      </c>
    </row>
    <row r="21673" spans="9:10" x14ac:dyDescent="0.3">
      <c r="I21673" t="s">
        <v>26526</v>
      </c>
      <c r="J21673" t="s">
        <v>6552</v>
      </c>
    </row>
    <row r="21674" spans="9:10" x14ac:dyDescent="0.3">
      <c r="I21674" t="s">
        <v>26526</v>
      </c>
      <c r="J21674" t="s">
        <v>6552</v>
      </c>
    </row>
    <row r="21675" spans="9:10" x14ac:dyDescent="0.3">
      <c r="I21675" t="s">
        <v>26526</v>
      </c>
      <c r="J21675" t="s">
        <v>6552</v>
      </c>
    </row>
    <row r="21676" spans="9:10" x14ac:dyDescent="0.3">
      <c r="I21676" t="s">
        <v>26527</v>
      </c>
      <c r="J21676" t="s">
        <v>6553</v>
      </c>
    </row>
    <row r="21677" spans="9:10" x14ac:dyDescent="0.3">
      <c r="I21677" t="s">
        <v>26528</v>
      </c>
      <c r="J21677" t="s">
        <v>6554</v>
      </c>
    </row>
    <row r="21678" spans="9:10" x14ac:dyDescent="0.3">
      <c r="I21678" t="s">
        <v>26529</v>
      </c>
      <c r="J21678" t="s">
        <v>6555</v>
      </c>
    </row>
    <row r="21679" spans="9:10" x14ac:dyDescent="0.3">
      <c r="I21679" t="s">
        <v>26530</v>
      </c>
      <c r="J21679" t="s">
        <v>6556</v>
      </c>
    </row>
    <row r="21680" spans="9:10" x14ac:dyDescent="0.3">
      <c r="I21680" t="s">
        <v>26531</v>
      </c>
      <c r="J21680" t="s">
        <v>6557</v>
      </c>
    </row>
    <row r="21681" spans="9:10" x14ac:dyDescent="0.3">
      <c r="I21681" t="s">
        <v>26532</v>
      </c>
      <c r="J21681" t="s">
        <v>6558</v>
      </c>
    </row>
    <row r="21682" spans="9:10" x14ac:dyDescent="0.3">
      <c r="I21682" t="s">
        <v>26533</v>
      </c>
      <c r="J21682" t="s">
        <v>6559</v>
      </c>
    </row>
    <row r="21683" spans="9:10" x14ac:dyDescent="0.3">
      <c r="I21683" t="s">
        <v>26534</v>
      </c>
      <c r="J21683" t="s">
        <v>6559</v>
      </c>
    </row>
    <row r="21684" spans="9:10" x14ac:dyDescent="0.3">
      <c r="I21684" t="s">
        <v>26534</v>
      </c>
      <c r="J21684" t="s">
        <v>6559</v>
      </c>
    </row>
    <row r="21685" spans="9:10" x14ac:dyDescent="0.3">
      <c r="I21685" t="s">
        <v>26535</v>
      </c>
    </row>
    <row r="21686" spans="9:10" x14ac:dyDescent="0.3">
      <c r="I21686" t="s">
        <v>26536</v>
      </c>
      <c r="J21686" t="s">
        <v>6560</v>
      </c>
    </row>
    <row r="21687" spans="9:10" x14ac:dyDescent="0.3">
      <c r="I21687" t="s">
        <v>26537</v>
      </c>
      <c r="J21687" t="s">
        <v>6561</v>
      </c>
    </row>
    <row r="21688" spans="9:10" x14ac:dyDescent="0.3">
      <c r="I21688" t="s">
        <v>26538</v>
      </c>
      <c r="J21688" t="s">
        <v>6561</v>
      </c>
    </row>
    <row r="21689" spans="9:10" x14ac:dyDescent="0.3">
      <c r="I21689" t="s">
        <v>26539</v>
      </c>
    </row>
    <row r="21690" spans="9:10" x14ac:dyDescent="0.3">
      <c r="I21690" t="s">
        <v>26540</v>
      </c>
    </row>
    <row r="21691" spans="9:10" x14ac:dyDescent="0.3">
      <c r="I21691" t="s">
        <v>26541</v>
      </c>
    </row>
    <row r="21692" spans="9:10" x14ac:dyDescent="0.3">
      <c r="I21692" t="s">
        <v>26542</v>
      </c>
      <c r="J21692" t="s">
        <v>6562</v>
      </c>
    </row>
    <row r="21693" spans="9:10" x14ac:dyDescent="0.3">
      <c r="I21693" t="s">
        <v>26543</v>
      </c>
      <c r="J21693" t="s">
        <v>6563</v>
      </c>
    </row>
    <row r="21694" spans="9:10" x14ac:dyDescent="0.3">
      <c r="I21694" t="s">
        <v>26544</v>
      </c>
      <c r="J21694" t="s">
        <v>6564</v>
      </c>
    </row>
    <row r="21695" spans="9:10" x14ac:dyDescent="0.3">
      <c r="I21695" t="s">
        <v>26545</v>
      </c>
      <c r="J21695" t="s">
        <v>6565</v>
      </c>
    </row>
    <row r="21696" spans="9:10" x14ac:dyDescent="0.3">
      <c r="I21696" t="s">
        <v>26545</v>
      </c>
      <c r="J21696" t="s">
        <v>6565</v>
      </c>
    </row>
    <row r="21697" spans="9:10" x14ac:dyDescent="0.3">
      <c r="I21697" t="s">
        <v>26546</v>
      </c>
      <c r="J21697" t="s">
        <v>6566</v>
      </c>
    </row>
    <row r="21698" spans="9:10" x14ac:dyDescent="0.3">
      <c r="I21698" t="s">
        <v>26546</v>
      </c>
      <c r="J21698" t="s">
        <v>6566</v>
      </c>
    </row>
    <row r="21699" spans="9:10" x14ac:dyDescent="0.3">
      <c r="I21699" t="s">
        <v>26547</v>
      </c>
      <c r="J21699" t="s">
        <v>6567</v>
      </c>
    </row>
    <row r="21700" spans="9:10" x14ac:dyDescent="0.3">
      <c r="I21700" t="s">
        <v>26548</v>
      </c>
      <c r="J21700" t="s">
        <v>6567</v>
      </c>
    </row>
    <row r="21701" spans="9:10" x14ac:dyDescent="0.3">
      <c r="I21701" t="s">
        <v>26549</v>
      </c>
      <c r="J21701" t="s">
        <v>6567</v>
      </c>
    </row>
    <row r="21702" spans="9:10" x14ac:dyDescent="0.3">
      <c r="I21702" t="s">
        <v>26550</v>
      </c>
      <c r="J21702" t="s">
        <v>6567</v>
      </c>
    </row>
    <row r="21703" spans="9:10" x14ac:dyDescent="0.3">
      <c r="I21703" t="s">
        <v>26551</v>
      </c>
      <c r="J21703" t="s">
        <v>6568</v>
      </c>
    </row>
    <row r="21704" spans="9:10" x14ac:dyDescent="0.3">
      <c r="I21704" t="s">
        <v>26552</v>
      </c>
    </row>
    <row r="21705" spans="9:10" x14ac:dyDescent="0.3">
      <c r="I21705" t="s">
        <v>26553</v>
      </c>
    </row>
    <row r="21706" spans="9:10" x14ac:dyDescent="0.3">
      <c r="I21706" t="s">
        <v>26554</v>
      </c>
      <c r="J21706" t="s">
        <v>4962</v>
      </c>
    </row>
    <row r="21707" spans="9:10" x14ac:dyDescent="0.3">
      <c r="I21707" t="s">
        <v>26555</v>
      </c>
    </row>
    <row r="21708" spans="9:10" x14ac:dyDescent="0.3">
      <c r="I21708" t="s">
        <v>26556</v>
      </c>
    </row>
    <row r="21709" spans="9:10" x14ac:dyDescent="0.3">
      <c r="I21709" t="s">
        <v>26557</v>
      </c>
      <c r="J21709" t="s">
        <v>6569</v>
      </c>
    </row>
    <row r="21710" spans="9:10" x14ac:dyDescent="0.3">
      <c r="I21710" t="s">
        <v>26558</v>
      </c>
    </row>
    <row r="21711" spans="9:10" x14ac:dyDescent="0.3">
      <c r="I21711" t="s">
        <v>26559</v>
      </c>
      <c r="J21711" t="s">
        <v>6570</v>
      </c>
    </row>
    <row r="21712" spans="9:10" x14ac:dyDescent="0.3">
      <c r="I21712" t="s">
        <v>26560</v>
      </c>
      <c r="J21712" t="s">
        <v>6571</v>
      </c>
    </row>
    <row r="21713" spans="9:10" x14ac:dyDescent="0.3">
      <c r="I21713" t="s">
        <v>26561</v>
      </c>
      <c r="J21713" t="s">
        <v>6572</v>
      </c>
    </row>
    <row r="21714" spans="9:10" x14ac:dyDescent="0.3">
      <c r="I21714" t="s">
        <v>26562</v>
      </c>
      <c r="J21714" t="s">
        <v>6573</v>
      </c>
    </row>
    <row r="21715" spans="9:10" x14ac:dyDescent="0.3">
      <c r="I21715" t="s">
        <v>26563</v>
      </c>
      <c r="J21715" t="s">
        <v>6574</v>
      </c>
    </row>
    <row r="21716" spans="9:10" x14ac:dyDescent="0.3">
      <c r="I21716" t="s">
        <v>26564</v>
      </c>
      <c r="J21716" t="s">
        <v>6574</v>
      </c>
    </row>
    <row r="21717" spans="9:10" x14ac:dyDescent="0.3">
      <c r="I21717" t="s">
        <v>26565</v>
      </c>
      <c r="J21717" t="s">
        <v>6575</v>
      </c>
    </row>
    <row r="21718" spans="9:10" x14ac:dyDescent="0.3">
      <c r="I21718" t="s">
        <v>26565</v>
      </c>
      <c r="J21718" t="s">
        <v>6575</v>
      </c>
    </row>
    <row r="21719" spans="9:10" x14ac:dyDescent="0.3">
      <c r="I21719" t="s">
        <v>26566</v>
      </c>
      <c r="J21719" t="s">
        <v>6576</v>
      </c>
    </row>
    <row r="21720" spans="9:10" x14ac:dyDescent="0.3">
      <c r="I21720" t="s">
        <v>26566</v>
      </c>
      <c r="J21720" t="s">
        <v>6576</v>
      </c>
    </row>
    <row r="21721" spans="9:10" x14ac:dyDescent="0.3">
      <c r="I21721" t="s">
        <v>26567</v>
      </c>
      <c r="J21721" t="s">
        <v>6577</v>
      </c>
    </row>
    <row r="21722" spans="9:10" x14ac:dyDescent="0.3">
      <c r="I21722" t="s">
        <v>26568</v>
      </c>
      <c r="J21722" t="s">
        <v>6578</v>
      </c>
    </row>
    <row r="21723" spans="9:10" x14ac:dyDescent="0.3">
      <c r="I21723" t="s">
        <v>26569</v>
      </c>
      <c r="J21723" t="s">
        <v>6578</v>
      </c>
    </row>
    <row r="21724" spans="9:10" x14ac:dyDescent="0.3">
      <c r="I21724" t="s">
        <v>26570</v>
      </c>
      <c r="J21724" t="s">
        <v>6579</v>
      </c>
    </row>
    <row r="21725" spans="9:10" x14ac:dyDescent="0.3">
      <c r="I21725" t="s">
        <v>26571</v>
      </c>
      <c r="J21725" t="s">
        <v>6580</v>
      </c>
    </row>
    <row r="21726" spans="9:10" x14ac:dyDescent="0.3">
      <c r="I21726" t="s">
        <v>26572</v>
      </c>
      <c r="J21726" t="s">
        <v>6581</v>
      </c>
    </row>
    <row r="21727" spans="9:10" x14ac:dyDescent="0.3">
      <c r="I21727" t="s">
        <v>26573</v>
      </c>
      <c r="J21727" t="s">
        <v>6582</v>
      </c>
    </row>
    <row r="21728" spans="9:10" x14ac:dyDescent="0.3">
      <c r="I21728" t="s">
        <v>26574</v>
      </c>
      <c r="J21728" t="s">
        <v>6583</v>
      </c>
    </row>
    <row r="21729" spans="9:10" x14ac:dyDescent="0.3">
      <c r="I21729" t="s">
        <v>26575</v>
      </c>
    </row>
    <row r="21730" spans="9:10" x14ac:dyDescent="0.3">
      <c r="I21730" t="s">
        <v>26576</v>
      </c>
      <c r="J21730" t="s">
        <v>6584</v>
      </c>
    </row>
    <row r="21731" spans="9:10" x14ac:dyDescent="0.3">
      <c r="I21731" t="s">
        <v>26577</v>
      </c>
    </row>
    <row r="21732" spans="9:10" x14ac:dyDescent="0.3">
      <c r="I21732" t="s">
        <v>26578</v>
      </c>
    </row>
    <row r="21733" spans="9:10" x14ac:dyDescent="0.3">
      <c r="I21733" t="s">
        <v>26579</v>
      </c>
    </row>
    <row r="21734" spans="9:10" x14ac:dyDescent="0.3">
      <c r="I21734" t="s">
        <v>26580</v>
      </c>
    </row>
    <row r="21735" spans="9:10" x14ac:dyDescent="0.3">
      <c r="I21735" t="s">
        <v>26581</v>
      </c>
    </row>
    <row r="21736" spans="9:10" x14ac:dyDescent="0.3">
      <c r="I21736" t="s">
        <v>26582</v>
      </c>
    </row>
    <row r="21737" spans="9:10" x14ac:dyDescent="0.3">
      <c r="I21737" t="s">
        <v>26583</v>
      </c>
    </row>
    <row r="21738" spans="9:10" x14ac:dyDescent="0.3">
      <c r="I21738" t="s">
        <v>26584</v>
      </c>
    </row>
    <row r="21739" spans="9:10" x14ac:dyDescent="0.3">
      <c r="I21739" t="s">
        <v>26585</v>
      </c>
    </row>
    <row r="21740" spans="9:10" x14ac:dyDescent="0.3">
      <c r="I21740" t="s">
        <v>26586</v>
      </c>
    </row>
    <row r="21741" spans="9:10" x14ac:dyDescent="0.3">
      <c r="I21741" t="s">
        <v>26587</v>
      </c>
      <c r="J21741" t="s">
        <v>6585</v>
      </c>
    </row>
    <row r="21742" spans="9:10" x14ac:dyDescent="0.3">
      <c r="I21742" t="s">
        <v>26588</v>
      </c>
      <c r="J21742" t="s">
        <v>6586</v>
      </c>
    </row>
    <row r="21743" spans="9:10" x14ac:dyDescent="0.3">
      <c r="I21743" t="s">
        <v>26589</v>
      </c>
      <c r="J21743" t="s">
        <v>6587</v>
      </c>
    </row>
    <row r="21744" spans="9:10" x14ac:dyDescent="0.3">
      <c r="I21744" t="s">
        <v>26590</v>
      </c>
      <c r="J21744" t="s">
        <v>6588</v>
      </c>
    </row>
    <row r="21745" spans="9:10" x14ac:dyDescent="0.3">
      <c r="I21745" t="s">
        <v>26591</v>
      </c>
      <c r="J21745" t="s">
        <v>6588</v>
      </c>
    </row>
    <row r="21746" spans="9:10" x14ac:dyDescent="0.3">
      <c r="I21746" t="s">
        <v>26590</v>
      </c>
      <c r="J21746" t="s">
        <v>6588</v>
      </c>
    </row>
    <row r="21747" spans="9:10" x14ac:dyDescent="0.3">
      <c r="I21747" t="s">
        <v>26591</v>
      </c>
      <c r="J21747" t="s">
        <v>6588</v>
      </c>
    </row>
    <row r="21748" spans="9:10" x14ac:dyDescent="0.3">
      <c r="I21748" t="s">
        <v>26592</v>
      </c>
      <c r="J21748" t="s">
        <v>6589</v>
      </c>
    </row>
    <row r="21749" spans="9:10" x14ac:dyDescent="0.3">
      <c r="I21749" t="s">
        <v>26593</v>
      </c>
      <c r="J21749" t="s">
        <v>6590</v>
      </c>
    </row>
    <row r="21750" spans="9:10" x14ac:dyDescent="0.3">
      <c r="I21750" t="s">
        <v>26593</v>
      </c>
      <c r="J21750" t="s">
        <v>6590</v>
      </c>
    </row>
    <row r="21751" spans="9:10" x14ac:dyDescent="0.3">
      <c r="I21751" t="s">
        <v>26594</v>
      </c>
      <c r="J21751" t="s">
        <v>6590</v>
      </c>
    </row>
    <row r="21752" spans="9:10" x14ac:dyDescent="0.3">
      <c r="I21752" t="s">
        <v>26593</v>
      </c>
      <c r="J21752" t="s">
        <v>6590</v>
      </c>
    </row>
    <row r="21753" spans="9:10" x14ac:dyDescent="0.3">
      <c r="I21753" t="s">
        <v>26594</v>
      </c>
      <c r="J21753" t="s">
        <v>6590</v>
      </c>
    </row>
    <row r="21754" spans="9:10" x14ac:dyDescent="0.3">
      <c r="I21754" t="s">
        <v>26594</v>
      </c>
      <c r="J21754" t="s">
        <v>6590</v>
      </c>
    </row>
    <row r="21755" spans="9:10" x14ac:dyDescent="0.3">
      <c r="I21755" t="s">
        <v>26595</v>
      </c>
      <c r="J21755" t="s">
        <v>6591</v>
      </c>
    </row>
    <row r="21756" spans="9:10" x14ac:dyDescent="0.3">
      <c r="I21756" t="s">
        <v>26595</v>
      </c>
      <c r="J21756" t="s">
        <v>6591</v>
      </c>
    </row>
    <row r="21757" spans="9:10" x14ac:dyDescent="0.3">
      <c r="I21757" t="s">
        <v>26596</v>
      </c>
    </row>
    <row r="21758" spans="9:10" x14ac:dyDescent="0.3">
      <c r="I21758" t="s">
        <v>26597</v>
      </c>
    </row>
    <row r="21759" spans="9:10" x14ac:dyDescent="0.3">
      <c r="I21759" t="s">
        <v>26598</v>
      </c>
    </row>
    <row r="21760" spans="9:10" x14ac:dyDescent="0.3">
      <c r="I21760" t="s">
        <v>26599</v>
      </c>
    </row>
    <row r="21761" spans="9:10" x14ac:dyDescent="0.3">
      <c r="I21761" t="s">
        <v>26600</v>
      </c>
    </row>
    <row r="21762" spans="9:10" x14ac:dyDescent="0.3">
      <c r="I21762" t="s">
        <v>26601</v>
      </c>
      <c r="J21762" t="s">
        <v>6592</v>
      </c>
    </row>
    <row r="21763" spans="9:10" x14ac:dyDescent="0.3">
      <c r="I21763" t="s">
        <v>26602</v>
      </c>
      <c r="J21763" t="s">
        <v>6592</v>
      </c>
    </row>
    <row r="21764" spans="9:10" x14ac:dyDescent="0.3">
      <c r="I21764" t="s">
        <v>26603</v>
      </c>
      <c r="J21764" t="s">
        <v>6593</v>
      </c>
    </row>
    <row r="21765" spans="9:10" x14ac:dyDescent="0.3">
      <c r="I21765" t="s">
        <v>26604</v>
      </c>
      <c r="J21765" t="s">
        <v>6594</v>
      </c>
    </row>
    <row r="21766" spans="9:10" x14ac:dyDescent="0.3">
      <c r="I21766" t="s">
        <v>26604</v>
      </c>
      <c r="J21766" t="s">
        <v>6594</v>
      </c>
    </row>
    <row r="21767" spans="9:10" x14ac:dyDescent="0.3">
      <c r="I21767" t="s">
        <v>26605</v>
      </c>
      <c r="J21767" t="s">
        <v>6595</v>
      </c>
    </row>
    <row r="21768" spans="9:10" x14ac:dyDescent="0.3">
      <c r="I21768" t="s">
        <v>26606</v>
      </c>
      <c r="J21768" t="s">
        <v>6595</v>
      </c>
    </row>
    <row r="21769" spans="9:10" x14ac:dyDescent="0.3">
      <c r="I21769" t="s">
        <v>26607</v>
      </c>
      <c r="J21769" t="s">
        <v>6596</v>
      </c>
    </row>
    <row r="21770" spans="9:10" x14ac:dyDescent="0.3">
      <c r="I21770" t="s">
        <v>26608</v>
      </c>
      <c r="J21770" t="s">
        <v>6597</v>
      </c>
    </row>
    <row r="21771" spans="9:10" x14ac:dyDescent="0.3">
      <c r="I21771" t="s">
        <v>26609</v>
      </c>
    </row>
    <row r="21772" spans="9:10" x14ac:dyDescent="0.3">
      <c r="I21772" t="s">
        <v>26610</v>
      </c>
    </row>
    <row r="21773" spans="9:10" x14ac:dyDescent="0.3">
      <c r="I21773" t="s">
        <v>26611</v>
      </c>
      <c r="J21773" t="s">
        <v>6598</v>
      </c>
    </row>
    <row r="21774" spans="9:10" x14ac:dyDescent="0.3">
      <c r="I21774" t="s">
        <v>26612</v>
      </c>
      <c r="J21774" t="s">
        <v>6599</v>
      </c>
    </row>
    <row r="21775" spans="9:10" x14ac:dyDescent="0.3">
      <c r="I21775" t="s">
        <v>26613</v>
      </c>
      <c r="J21775" t="s">
        <v>6600</v>
      </c>
    </row>
    <row r="21776" spans="9:10" x14ac:dyDescent="0.3">
      <c r="I21776" t="s">
        <v>26614</v>
      </c>
      <c r="J21776" t="s">
        <v>6601</v>
      </c>
    </row>
    <row r="21777" spans="9:10" x14ac:dyDescent="0.3">
      <c r="I21777" t="s">
        <v>26615</v>
      </c>
      <c r="J21777" t="s">
        <v>6601</v>
      </c>
    </row>
    <row r="21778" spans="9:10" x14ac:dyDescent="0.3">
      <c r="I21778" t="s">
        <v>26616</v>
      </c>
      <c r="J21778" t="s">
        <v>6602</v>
      </c>
    </row>
    <row r="21779" spans="9:10" x14ac:dyDescent="0.3">
      <c r="I21779" t="s">
        <v>26617</v>
      </c>
      <c r="J21779" t="s">
        <v>6603</v>
      </c>
    </row>
    <row r="21780" spans="9:10" x14ac:dyDescent="0.3">
      <c r="I21780" t="s">
        <v>26618</v>
      </c>
      <c r="J21780" t="s">
        <v>6604</v>
      </c>
    </row>
    <row r="21781" spans="9:10" x14ac:dyDescent="0.3">
      <c r="I21781" t="s">
        <v>26619</v>
      </c>
      <c r="J21781" t="s">
        <v>6605</v>
      </c>
    </row>
    <row r="21782" spans="9:10" x14ac:dyDescent="0.3">
      <c r="I21782" t="s">
        <v>26619</v>
      </c>
      <c r="J21782" t="s">
        <v>6605</v>
      </c>
    </row>
    <row r="21783" spans="9:10" x14ac:dyDescent="0.3">
      <c r="I21783" t="s">
        <v>26620</v>
      </c>
      <c r="J21783" t="s">
        <v>6606</v>
      </c>
    </row>
    <row r="21784" spans="9:10" x14ac:dyDescent="0.3">
      <c r="I21784" t="s">
        <v>26621</v>
      </c>
      <c r="J21784" t="s">
        <v>6607</v>
      </c>
    </row>
    <row r="21785" spans="9:10" x14ac:dyDescent="0.3">
      <c r="I21785" t="s">
        <v>26621</v>
      </c>
      <c r="J21785" t="s">
        <v>6607</v>
      </c>
    </row>
    <row r="21786" spans="9:10" x14ac:dyDescent="0.3">
      <c r="I21786" t="s">
        <v>26622</v>
      </c>
      <c r="J21786" t="s">
        <v>6608</v>
      </c>
    </row>
    <row r="21787" spans="9:10" x14ac:dyDescent="0.3">
      <c r="I21787" t="s">
        <v>26622</v>
      </c>
      <c r="J21787" t="s">
        <v>6608</v>
      </c>
    </row>
    <row r="21788" spans="9:10" x14ac:dyDescent="0.3">
      <c r="I21788" t="s">
        <v>26623</v>
      </c>
    </row>
    <row r="21789" spans="9:10" x14ac:dyDescent="0.3">
      <c r="I21789" t="s">
        <v>26624</v>
      </c>
    </row>
    <row r="21790" spans="9:10" x14ac:dyDescent="0.3">
      <c r="I21790" t="s">
        <v>26625</v>
      </c>
      <c r="J21790" t="s">
        <v>6609</v>
      </c>
    </row>
    <row r="21791" spans="9:10" x14ac:dyDescent="0.3">
      <c r="I21791" t="s">
        <v>26626</v>
      </c>
      <c r="J21791" t="s">
        <v>6610</v>
      </c>
    </row>
    <row r="21792" spans="9:10" x14ac:dyDescent="0.3">
      <c r="I21792" t="s">
        <v>26627</v>
      </c>
      <c r="J21792" t="s">
        <v>6610</v>
      </c>
    </row>
    <row r="21793" spans="9:10" x14ac:dyDescent="0.3">
      <c r="I21793" t="s">
        <v>26628</v>
      </c>
      <c r="J21793" t="s">
        <v>6611</v>
      </c>
    </row>
    <row r="21794" spans="9:10" x14ac:dyDescent="0.3">
      <c r="I21794" t="s">
        <v>26629</v>
      </c>
    </row>
    <row r="21795" spans="9:10" x14ac:dyDescent="0.3">
      <c r="I21795" t="s">
        <v>26630</v>
      </c>
    </row>
    <row r="21796" spans="9:10" x14ac:dyDescent="0.3">
      <c r="I21796" t="s">
        <v>26631</v>
      </c>
      <c r="J21796" t="s">
        <v>2045</v>
      </c>
    </row>
    <row r="21797" spans="9:10" x14ac:dyDescent="0.3">
      <c r="I21797" t="s">
        <v>26632</v>
      </c>
      <c r="J21797" t="s">
        <v>6612</v>
      </c>
    </row>
    <row r="21798" spans="9:10" x14ac:dyDescent="0.3">
      <c r="I21798" t="s">
        <v>26633</v>
      </c>
      <c r="J21798" t="s">
        <v>6613</v>
      </c>
    </row>
    <row r="21799" spans="9:10" x14ac:dyDescent="0.3">
      <c r="I21799" t="s">
        <v>26634</v>
      </c>
    </row>
    <row r="21800" spans="9:10" x14ac:dyDescent="0.3">
      <c r="I21800" t="s">
        <v>26635</v>
      </c>
    </row>
    <row r="21801" spans="9:10" x14ac:dyDescent="0.3">
      <c r="I21801" t="s">
        <v>26636</v>
      </c>
      <c r="J21801" t="s">
        <v>6614</v>
      </c>
    </row>
    <row r="21802" spans="9:10" x14ac:dyDescent="0.3">
      <c r="I21802" t="s">
        <v>26637</v>
      </c>
      <c r="J21802" t="s">
        <v>6615</v>
      </c>
    </row>
    <row r="21803" spans="9:10" x14ac:dyDescent="0.3">
      <c r="I21803" t="s">
        <v>26638</v>
      </c>
      <c r="J21803" t="s">
        <v>6616</v>
      </c>
    </row>
    <row r="21804" spans="9:10" x14ac:dyDescent="0.3">
      <c r="I21804" t="s">
        <v>26639</v>
      </c>
      <c r="J21804" t="s">
        <v>6617</v>
      </c>
    </row>
    <row r="21805" spans="9:10" x14ac:dyDescent="0.3">
      <c r="I21805" t="s">
        <v>26639</v>
      </c>
      <c r="J21805" t="s">
        <v>6617</v>
      </c>
    </row>
    <row r="21806" spans="9:10" x14ac:dyDescent="0.3">
      <c r="I21806" t="s">
        <v>26640</v>
      </c>
      <c r="J21806" t="s">
        <v>6618</v>
      </c>
    </row>
    <row r="21807" spans="9:10" x14ac:dyDescent="0.3">
      <c r="I21807" t="s">
        <v>26641</v>
      </c>
    </row>
    <row r="21808" spans="9:10" x14ac:dyDescent="0.3">
      <c r="I21808" t="s">
        <v>26642</v>
      </c>
      <c r="J21808" t="s">
        <v>3052</v>
      </c>
    </row>
    <row r="21809" spans="9:10" x14ac:dyDescent="0.3">
      <c r="I21809" t="s">
        <v>26643</v>
      </c>
      <c r="J21809" t="s">
        <v>6619</v>
      </c>
    </row>
    <row r="21810" spans="9:10" x14ac:dyDescent="0.3">
      <c r="I21810" t="s">
        <v>26644</v>
      </c>
      <c r="J21810" t="s">
        <v>6619</v>
      </c>
    </row>
    <row r="21811" spans="9:10" x14ac:dyDescent="0.3">
      <c r="I21811" t="s">
        <v>26643</v>
      </c>
      <c r="J21811" t="s">
        <v>6619</v>
      </c>
    </row>
    <row r="21812" spans="9:10" x14ac:dyDescent="0.3">
      <c r="I21812" t="s">
        <v>26643</v>
      </c>
      <c r="J21812" t="s">
        <v>6619</v>
      </c>
    </row>
    <row r="21813" spans="9:10" x14ac:dyDescent="0.3">
      <c r="I21813" t="s">
        <v>26645</v>
      </c>
      <c r="J21813" t="s">
        <v>6620</v>
      </c>
    </row>
    <row r="21814" spans="9:10" x14ac:dyDescent="0.3">
      <c r="I21814" t="s">
        <v>26646</v>
      </c>
      <c r="J21814" t="s">
        <v>6620</v>
      </c>
    </row>
    <row r="21815" spans="9:10" x14ac:dyDescent="0.3">
      <c r="I21815" t="s">
        <v>26647</v>
      </c>
      <c r="J21815" t="s">
        <v>6620</v>
      </c>
    </row>
    <row r="21816" spans="9:10" x14ac:dyDescent="0.3">
      <c r="I21816" t="s">
        <v>26648</v>
      </c>
      <c r="J21816" t="s">
        <v>6620</v>
      </c>
    </row>
    <row r="21817" spans="9:10" x14ac:dyDescent="0.3">
      <c r="I21817" t="s">
        <v>26648</v>
      </c>
      <c r="J21817" t="s">
        <v>6620</v>
      </c>
    </row>
    <row r="21818" spans="9:10" x14ac:dyDescent="0.3">
      <c r="I21818" t="s">
        <v>26645</v>
      </c>
      <c r="J21818" t="s">
        <v>6620</v>
      </c>
    </row>
    <row r="21819" spans="9:10" x14ac:dyDescent="0.3">
      <c r="I21819" t="s">
        <v>26649</v>
      </c>
      <c r="J21819" t="s">
        <v>6620</v>
      </c>
    </row>
    <row r="21820" spans="9:10" x14ac:dyDescent="0.3">
      <c r="I21820" t="s">
        <v>26650</v>
      </c>
      <c r="J21820" t="s">
        <v>6621</v>
      </c>
    </row>
    <row r="21821" spans="9:10" x14ac:dyDescent="0.3">
      <c r="I21821" t="s">
        <v>26650</v>
      </c>
      <c r="J21821" t="s">
        <v>6621</v>
      </c>
    </row>
    <row r="21822" spans="9:10" x14ac:dyDescent="0.3">
      <c r="I21822" t="s">
        <v>26651</v>
      </c>
      <c r="J21822" t="s">
        <v>6622</v>
      </c>
    </row>
    <row r="21823" spans="9:10" x14ac:dyDescent="0.3">
      <c r="I21823" t="s">
        <v>26652</v>
      </c>
      <c r="J21823" t="s">
        <v>6623</v>
      </c>
    </row>
    <row r="21824" spans="9:10" x14ac:dyDescent="0.3">
      <c r="I21824" t="s">
        <v>26653</v>
      </c>
      <c r="J21824" t="s">
        <v>227</v>
      </c>
    </row>
    <row r="21825" spans="9:10" x14ac:dyDescent="0.3">
      <c r="I21825" t="s">
        <v>26653</v>
      </c>
      <c r="J21825" t="s">
        <v>227</v>
      </c>
    </row>
    <row r="21826" spans="9:10" x14ac:dyDescent="0.3">
      <c r="I21826" t="s">
        <v>26653</v>
      </c>
      <c r="J21826" t="s">
        <v>227</v>
      </c>
    </row>
    <row r="21827" spans="9:10" x14ac:dyDescent="0.3">
      <c r="I21827" t="s">
        <v>26654</v>
      </c>
      <c r="J21827" t="s">
        <v>6624</v>
      </c>
    </row>
    <row r="21828" spans="9:10" x14ac:dyDescent="0.3">
      <c r="I21828" t="s">
        <v>26655</v>
      </c>
      <c r="J21828" t="s">
        <v>6624</v>
      </c>
    </row>
    <row r="21829" spans="9:10" x14ac:dyDescent="0.3">
      <c r="I21829" t="s">
        <v>26656</v>
      </c>
      <c r="J21829" t="s">
        <v>6625</v>
      </c>
    </row>
    <row r="21830" spans="9:10" x14ac:dyDescent="0.3">
      <c r="I21830" t="s">
        <v>26657</v>
      </c>
      <c r="J21830" t="s">
        <v>6626</v>
      </c>
    </row>
    <row r="21831" spans="9:10" x14ac:dyDescent="0.3">
      <c r="I21831" t="s">
        <v>26658</v>
      </c>
      <c r="J21831" t="s">
        <v>6627</v>
      </c>
    </row>
    <row r="21832" spans="9:10" x14ac:dyDescent="0.3">
      <c r="I21832" t="s">
        <v>26659</v>
      </c>
      <c r="J21832" t="s">
        <v>6628</v>
      </c>
    </row>
    <row r="21833" spans="9:10" x14ac:dyDescent="0.3">
      <c r="I21833" t="s">
        <v>26660</v>
      </c>
      <c r="J21833" t="s">
        <v>6628</v>
      </c>
    </row>
    <row r="21834" spans="9:10" x14ac:dyDescent="0.3">
      <c r="I21834" t="s">
        <v>26661</v>
      </c>
      <c r="J21834" t="s">
        <v>6629</v>
      </c>
    </row>
    <row r="21835" spans="9:10" x14ac:dyDescent="0.3">
      <c r="I21835" t="s">
        <v>26661</v>
      </c>
      <c r="J21835" t="s">
        <v>6629</v>
      </c>
    </row>
    <row r="21836" spans="9:10" x14ac:dyDescent="0.3">
      <c r="I21836" t="s">
        <v>26662</v>
      </c>
    </row>
    <row r="21837" spans="9:10" x14ac:dyDescent="0.3">
      <c r="I21837" t="s">
        <v>26663</v>
      </c>
      <c r="J21837" t="s">
        <v>6630</v>
      </c>
    </row>
    <row r="21838" spans="9:10" x14ac:dyDescent="0.3">
      <c r="I21838" t="s">
        <v>26664</v>
      </c>
      <c r="J21838">
        <v>0</v>
      </c>
    </row>
    <row r="21839" spans="9:10" x14ac:dyDescent="0.3">
      <c r="I21839" t="s">
        <v>26665</v>
      </c>
      <c r="J21839" t="s">
        <v>6631</v>
      </c>
    </row>
    <row r="21840" spans="9:10" x14ac:dyDescent="0.3">
      <c r="I21840" t="s">
        <v>26666</v>
      </c>
      <c r="J21840" t="s">
        <v>6631</v>
      </c>
    </row>
    <row r="21841" spans="9:10" x14ac:dyDescent="0.3">
      <c r="I21841" t="s">
        <v>26667</v>
      </c>
    </row>
    <row r="21842" spans="9:10" x14ac:dyDescent="0.3">
      <c r="I21842" t="s">
        <v>26668</v>
      </c>
      <c r="J21842" t="s">
        <v>6632</v>
      </c>
    </row>
    <row r="21843" spans="9:10" x14ac:dyDescent="0.3">
      <c r="I21843" t="s">
        <v>26669</v>
      </c>
    </row>
    <row r="21844" spans="9:10" x14ac:dyDescent="0.3">
      <c r="I21844" t="s">
        <v>26670</v>
      </c>
    </row>
    <row r="21845" spans="9:10" x14ac:dyDescent="0.3">
      <c r="I21845" t="s">
        <v>26671</v>
      </c>
      <c r="J21845" t="s">
        <v>6633</v>
      </c>
    </row>
    <row r="21846" spans="9:10" x14ac:dyDescent="0.3">
      <c r="I21846" t="s">
        <v>26672</v>
      </c>
      <c r="J21846" t="s">
        <v>6634</v>
      </c>
    </row>
    <row r="21847" spans="9:10" x14ac:dyDescent="0.3">
      <c r="I21847" t="s">
        <v>26672</v>
      </c>
      <c r="J21847" t="s">
        <v>6634</v>
      </c>
    </row>
    <row r="21848" spans="9:10" x14ac:dyDescent="0.3">
      <c r="I21848" t="s">
        <v>26673</v>
      </c>
      <c r="J21848" t="s">
        <v>6635</v>
      </c>
    </row>
    <row r="21849" spans="9:10" x14ac:dyDescent="0.3">
      <c r="I21849" t="s">
        <v>26674</v>
      </c>
      <c r="J21849" t="s">
        <v>6635</v>
      </c>
    </row>
    <row r="21850" spans="9:10" x14ac:dyDescent="0.3">
      <c r="I21850" t="s">
        <v>26675</v>
      </c>
      <c r="J21850" t="s">
        <v>6636</v>
      </c>
    </row>
    <row r="21851" spans="9:10" x14ac:dyDescent="0.3">
      <c r="I21851" t="s">
        <v>26676</v>
      </c>
      <c r="J21851" t="s">
        <v>6637</v>
      </c>
    </row>
    <row r="21852" spans="9:10" x14ac:dyDescent="0.3">
      <c r="I21852" t="s">
        <v>26677</v>
      </c>
      <c r="J21852" t="s">
        <v>6638</v>
      </c>
    </row>
    <row r="21853" spans="9:10" x14ac:dyDescent="0.3">
      <c r="I21853" t="s">
        <v>26678</v>
      </c>
      <c r="J21853" t="s">
        <v>6639</v>
      </c>
    </row>
    <row r="21854" spans="9:10" x14ac:dyDescent="0.3">
      <c r="I21854" t="s">
        <v>26679</v>
      </c>
      <c r="J21854" t="s">
        <v>6640</v>
      </c>
    </row>
    <row r="21855" spans="9:10" x14ac:dyDescent="0.3">
      <c r="I21855" t="s">
        <v>26680</v>
      </c>
      <c r="J21855" t="s">
        <v>6640</v>
      </c>
    </row>
    <row r="21856" spans="9:10" x14ac:dyDescent="0.3">
      <c r="I21856" t="s">
        <v>26679</v>
      </c>
      <c r="J21856" t="s">
        <v>6640</v>
      </c>
    </row>
    <row r="21857" spans="9:10" x14ac:dyDescent="0.3">
      <c r="I21857" t="s">
        <v>26681</v>
      </c>
      <c r="J21857" t="s">
        <v>6641</v>
      </c>
    </row>
    <row r="21858" spans="9:10" x14ac:dyDescent="0.3">
      <c r="I21858" t="s">
        <v>26682</v>
      </c>
    </row>
    <row r="21859" spans="9:10" x14ac:dyDescent="0.3">
      <c r="I21859" t="s">
        <v>26683</v>
      </c>
    </row>
    <row r="21860" spans="9:10" x14ac:dyDescent="0.3">
      <c r="I21860" t="s">
        <v>26684</v>
      </c>
    </row>
    <row r="21861" spans="9:10" x14ac:dyDescent="0.3">
      <c r="I21861" t="s">
        <v>26685</v>
      </c>
    </row>
    <row r="21862" spans="9:10" x14ac:dyDescent="0.3">
      <c r="I21862" t="s">
        <v>26686</v>
      </c>
    </row>
    <row r="21863" spans="9:10" x14ac:dyDescent="0.3">
      <c r="I21863" t="s">
        <v>26687</v>
      </c>
      <c r="J21863" t="s">
        <v>6642</v>
      </c>
    </row>
    <row r="21864" spans="9:10" x14ac:dyDescent="0.3">
      <c r="I21864" t="s">
        <v>26688</v>
      </c>
      <c r="J21864" t="s">
        <v>6643</v>
      </c>
    </row>
    <row r="21865" spans="9:10" x14ac:dyDescent="0.3">
      <c r="I21865" t="s">
        <v>26689</v>
      </c>
      <c r="J21865" t="s">
        <v>6644</v>
      </c>
    </row>
    <row r="21866" spans="9:10" x14ac:dyDescent="0.3">
      <c r="I21866" t="s">
        <v>26690</v>
      </c>
      <c r="J21866" t="s">
        <v>6645</v>
      </c>
    </row>
    <row r="21867" spans="9:10" x14ac:dyDescent="0.3">
      <c r="I21867" t="s">
        <v>26691</v>
      </c>
      <c r="J21867" t="s">
        <v>6645</v>
      </c>
    </row>
    <row r="21868" spans="9:10" x14ac:dyDescent="0.3">
      <c r="I21868" t="s">
        <v>26691</v>
      </c>
      <c r="J21868" t="s">
        <v>6645</v>
      </c>
    </row>
    <row r="21869" spans="9:10" x14ac:dyDescent="0.3">
      <c r="I21869" t="s">
        <v>26691</v>
      </c>
      <c r="J21869" t="s">
        <v>6645</v>
      </c>
    </row>
    <row r="21870" spans="9:10" x14ac:dyDescent="0.3">
      <c r="I21870" t="s">
        <v>26692</v>
      </c>
      <c r="J21870" t="s">
        <v>6646</v>
      </c>
    </row>
    <row r="21871" spans="9:10" x14ac:dyDescent="0.3">
      <c r="I21871" t="s">
        <v>26693</v>
      </c>
      <c r="J21871" t="s">
        <v>6647</v>
      </c>
    </row>
    <row r="21872" spans="9:10" x14ac:dyDescent="0.3">
      <c r="I21872" t="s">
        <v>26694</v>
      </c>
      <c r="J21872" t="s">
        <v>6648</v>
      </c>
    </row>
    <row r="21873" spans="9:10" x14ac:dyDescent="0.3">
      <c r="I21873" t="s">
        <v>26695</v>
      </c>
      <c r="J21873" t="s">
        <v>6649</v>
      </c>
    </row>
    <row r="21874" spans="9:10" x14ac:dyDescent="0.3">
      <c r="I21874" t="s">
        <v>26696</v>
      </c>
    </row>
    <row r="21875" spans="9:10" x14ac:dyDescent="0.3">
      <c r="I21875" t="s">
        <v>26697</v>
      </c>
    </row>
    <row r="21876" spans="9:10" x14ac:dyDescent="0.3">
      <c r="I21876" t="s">
        <v>26698</v>
      </c>
      <c r="J21876" t="s">
        <v>6650</v>
      </c>
    </row>
    <row r="21877" spans="9:10" x14ac:dyDescent="0.3">
      <c r="I21877" t="s">
        <v>26699</v>
      </c>
      <c r="J21877" t="s">
        <v>6651</v>
      </c>
    </row>
    <row r="21878" spans="9:10" x14ac:dyDescent="0.3">
      <c r="I21878" t="s">
        <v>26700</v>
      </c>
      <c r="J21878" t="s">
        <v>6652</v>
      </c>
    </row>
    <row r="21879" spans="9:10" x14ac:dyDescent="0.3">
      <c r="I21879" t="s">
        <v>26701</v>
      </c>
    </row>
    <row r="21880" spans="9:10" x14ac:dyDescent="0.3">
      <c r="I21880" t="s">
        <v>26702</v>
      </c>
    </row>
    <row r="21881" spans="9:10" x14ac:dyDescent="0.3">
      <c r="I21881" t="s">
        <v>26703</v>
      </c>
    </row>
    <row r="21882" spans="9:10" x14ac:dyDescent="0.3">
      <c r="I21882" t="s">
        <v>26704</v>
      </c>
    </row>
    <row r="21883" spans="9:10" x14ac:dyDescent="0.3">
      <c r="I21883" t="s">
        <v>26705</v>
      </c>
    </row>
    <row r="21884" spans="9:10" x14ac:dyDescent="0.3">
      <c r="I21884" t="s">
        <v>26706</v>
      </c>
    </row>
    <row r="21885" spans="9:10" x14ac:dyDescent="0.3">
      <c r="I21885" t="s">
        <v>26707</v>
      </c>
    </row>
    <row r="21886" spans="9:10" x14ac:dyDescent="0.3">
      <c r="I21886" t="s">
        <v>26708</v>
      </c>
      <c r="J21886" t="s">
        <v>6653</v>
      </c>
    </row>
    <row r="21887" spans="9:10" x14ac:dyDescent="0.3">
      <c r="I21887" t="s">
        <v>26709</v>
      </c>
      <c r="J21887" t="s">
        <v>6654</v>
      </c>
    </row>
    <row r="21888" spans="9:10" x14ac:dyDescent="0.3">
      <c r="I21888" t="s">
        <v>26710</v>
      </c>
      <c r="J21888" t="s">
        <v>6655</v>
      </c>
    </row>
    <row r="21889" spans="9:10" x14ac:dyDescent="0.3">
      <c r="I21889" t="s">
        <v>26711</v>
      </c>
      <c r="J21889" t="s">
        <v>6655</v>
      </c>
    </row>
    <row r="21890" spans="9:10" x14ac:dyDescent="0.3">
      <c r="I21890" t="s">
        <v>26712</v>
      </c>
    </row>
    <row r="21891" spans="9:10" x14ac:dyDescent="0.3">
      <c r="I21891" t="s">
        <v>26713</v>
      </c>
      <c r="J21891" t="s">
        <v>6656</v>
      </c>
    </row>
    <row r="21892" spans="9:10" x14ac:dyDescent="0.3">
      <c r="I21892" t="s">
        <v>26714</v>
      </c>
      <c r="J21892" t="s">
        <v>6657</v>
      </c>
    </row>
    <row r="21893" spans="9:10" x14ac:dyDescent="0.3">
      <c r="I21893" t="s">
        <v>26715</v>
      </c>
      <c r="J21893">
        <v>0</v>
      </c>
    </row>
    <row r="21894" spans="9:10" x14ac:dyDescent="0.3">
      <c r="I21894" t="s">
        <v>26716</v>
      </c>
      <c r="J21894" t="s">
        <v>6658</v>
      </c>
    </row>
    <row r="21895" spans="9:10" x14ac:dyDescent="0.3">
      <c r="I21895" t="s">
        <v>26716</v>
      </c>
      <c r="J21895" t="s">
        <v>6658</v>
      </c>
    </row>
    <row r="21896" spans="9:10" x14ac:dyDescent="0.3">
      <c r="I21896" t="s">
        <v>26717</v>
      </c>
      <c r="J21896" t="s">
        <v>6659</v>
      </c>
    </row>
    <row r="21897" spans="9:10" x14ac:dyDescent="0.3">
      <c r="I21897" t="s">
        <v>26717</v>
      </c>
      <c r="J21897" t="s">
        <v>6659</v>
      </c>
    </row>
    <row r="21898" spans="9:10" x14ac:dyDescent="0.3">
      <c r="I21898" t="s">
        <v>26717</v>
      </c>
      <c r="J21898" t="s">
        <v>6659</v>
      </c>
    </row>
    <row r="21899" spans="9:10" x14ac:dyDescent="0.3">
      <c r="I21899" t="s">
        <v>26718</v>
      </c>
      <c r="J21899" t="s">
        <v>6659</v>
      </c>
    </row>
    <row r="21900" spans="9:10" x14ac:dyDescent="0.3">
      <c r="I21900" t="s">
        <v>26717</v>
      </c>
      <c r="J21900" t="s">
        <v>6659</v>
      </c>
    </row>
    <row r="21901" spans="9:10" x14ac:dyDescent="0.3">
      <c r="I21901" t="s">
        <v>26717</v>
      </c>
      <c r="J21901" t="s">
        <v>6659</v>
      </c>
    </row>
    <row r="21902" spans="9:10" x14ac:dyDescent="0.3">
      <c r="I21902" t="s">
        <v>26717</v>
      </c>
      <c r="J21902" t="s">
        <v>6659</v>
      </c>
    </row>
    <row r="21903" spans="9:10" x14ac:dyDescent="0.3">
      <c r="I21903" t="s">
        <v>26717</v>
      </c>
      <c r="J21903" t="s">
        <v>6659</v>
      </c>
    </row>
    <row r="21904" spans="9:10" x14ac:dyDescent="0.3">
      <c r="I21904" t="s">
        <v>26717</v>
      </c>
      <c r="J21904" t="s">
        <v>6659</v>
      </c>
    </row>
    <row r="21905" spans="9:10" x14ac:dyDescent="0.3">
      <c r="I21905" t="s">
        <v>26717</v>
      </c>
      <c r="J21905" t="s">
        <v>6659</v>
      </c>
    </row>
    <row r="21906" spans="9:10" x14ac:dyDescent="0.3">
      <c r="I21906" t="s">
        <v>26717</v>
      </c>
      <c r="J21906" t="s">
        <v>6659</v>
      </c>
    </row>
    <row r="21907" spans="9:10" x14ac:dyDescent="0.3">
      <c r="I21907" t="s">
        <v>26717</v>
      </c>
      <c r="J21907" t="s">
        <v>6659</v>
      </c>
    </row>
    <row r="21908" spans="9:10" x14ac:dyDescent="0.3">
      <c r="I21908" t="s">
        <v>26717</v>
      </c>
      <c r="J21908" t="s">
        <v>6659</v>
      </c>
    </row>
    <row r="21909" spans="9:10" x14ac:dyDescent="0.3">
      <c r="I21909" t="s">
        <v>26717</v>
      </c>
      <c r="J21909" t="s">
        <v>6659</v>
      </c>
    </row>
    <row r="21910" spans="9:10" x14ac:dyDescent="0.3">
      <c r="I21910" t="s">
        <v>26719</v>
      </c>
      <c r="J21910" t="s">
        <v>6660</v>
      </c>
    </row>
    <row r="21911" spans="9:10" x14ac:dyDescent="0.3">
      <c r="I21911" t="s">
        <v>26720</v>
      </c>
      <c r="J21911" t="s">
        <v>6661</v>
      </c>
    </row>
    <row r="21912" spans="9:10" x14ac:dyDescent="0.3">
      <c r="I21912" t="s">
        <v>26720</v>
      </c>
      <c r="J21912" t="s">
        <v>6661</v>
      </c>
    </row>
    <row r="21913" spans="9:10" x14ac:dyDescent="0.3">
      <c r="I21913" t="s">
        <v>26721</v>
      </c>
      <c r="J21913" t="s">
        <v>6662</v>
      </c>
    </row>
    <row r="21914" spans="9:10" x14ac:dyDescent="0.3">
      <c r="I21914" t="s">
        <v>26722</v>
      </c>
    </row>
    <row r="21915" spans="9:10" x14ac:dyDescent="0.3">
      <c r="I21915" t="s">
        <v>26723</v>
      </c>
    </row>
    <row r="21916" spans="9:10" x14ac:dyDescent="0.3">
      <c r="I21916" t="s">
        <v>26724</v>
      </c>
      <c r="J21916" t="s">
        <v>6663</v>
      </c>
    </row>
    <row r="21917" spans="9:10" x14ac:dyDescent="0.3">
      <c r="I21917" t="s">
        <v>26725</v>
      </c>
      <c r="J21917" t="s">
        <v>6663</v>
      </c>
    </row>
    <row r="21918" spans="9:10" x14ac:dyDescent="0.3">
      <c r="I21918" t="s">
        <v>26726</v>
      </c>
    </row>
    <row r="21919" spans="9:10" x14ac:dyDescent="0.3">
      <c r="I21919" t="s">
        <v>26727</v>
      </c>
      <c r="J21919" t="s">
        <v>2118</v>
      </c>
    </row>
    <row r="21920" spans="9:10" x14ac:dyDescent="0.3">
      <c r="I21920" t="s">
        <v>26727</v>
      </c>
      <c r="J21920" t="s">
        <v>2118</v>
      </c>
    </row>
    <row r="21921" spans="9:10" x14ac:dyDescent="0.3">
      <c r="I21921" t="s">
        <v>26728</v>
      </c>
      <c r="J21921" t="s">
        <v>6664</v>
      </c>
    </row>
    <row r="21922" spans="9:10" x14ac:dyDescent="0.3">
      <c r="I21922" t="s">
        <v>26729</v>
      </c>
      <c r="J21922" t="s">
        <v>6665</v>
      </c>
    </row>
    <row r="21923" spans="9:10" x14ac:dyDescent="0.3">
      <c r="I21923" t="s">
        <v>26729</v>
      </c>
      <c r="J21923" t="s">
        <v>6665</v>
      </c>
    </row>
    <row r="21924" spans="9:10" x14ac:dyDescent="0.3">
      <c r="I21924" t="s">
        <v>26730</v>
      </c>
      <c r="J21924" t="s">
        <v>6666</v>
      </c>
    </row>
    <row r="21925" spans="9:10" x14ac:dyDescent="0.3">
      <c r="I21925" t="s">
        <v>26731</v>
      </c>
      <c r="J21925">
        <v>0</v>
      </c>
    </row>
    <row r="21926" spans="9:10" x14ac:dyDescent="0.3">
      <c r="I21926" t="s">
        <v>26732</v>
      </c>
      <c r="J21926" t="s">
        <v>476</v>
      </c>
    </row>
    <row r="21927" spans="9:10" x14ac:dyDescent="0.3">
      <c r="I21927" t="s">
        <v>16124</v>
      </c>
      <c r="J21927" t="s">
        <v>476</v>
      </c>
    </row>
    <row r="21928" spans="9:10" x14ac:dyDescent="0.3">
      <c r="I21928" t="s">
        <v>16115</v>
      </c>
      <c r="J21928" t="s">
        <v>476</v>
      </c>
    </row>
    <row r="21929" spans="9:10" x14ac:dyDescent="0.3">
      <c r="I21929" t="s">
        <v>16113</v>
      </c>
      <c r="J21929" t="s">
        <v>476</v>
      </c>
    </row>
    <row r="21930" spans="9:10" x14ac:dyDescent="0.3">
      <c r="I21930" t="s">
        <v>16115</v>
      </c>
      <c r="J21930" t="s">
        <v>476</v>
      </c>
    </row>
    <row r="21931" spans="9:10" x14ac:dyDescent="0.3">
      <c r="I21931" t="s">
        <v>26733</v>
      </c>
      <c r="J21931" t="s">
        <v>476</v>
      </c>
    </row>
    <row r="21932" spans="9:10" x14ac:dyDescent="0.3">
      <c r="I21932" t="s">
        <v>26734</v>
      </c>
      <c r="J21932" t="s">
        <v>476</v>
      </c>
    </row>
    <row r="21933" spans="9:10" x14ac:dyDescent="0.3">
      <c r="I21933" t="s">
        <v>16113</v>
      </c>
      <c r="J21933" t="s">
        <v>476</v>
      </c>
    </row>
    <row r="21934" spans="9:10" x14ac:dyDescent="0.3">
      <c r="I21934" t="s">
        <v>26735</v>
      </c>
      <c r="J21934" t="s">
        <v>476</v>
      </c>
    </row>
    <row r="21935" spans="9:10" x14ac:dyDescent="0.3">
      <c r="I21935" t="s">
        <v>26736</v>
      </c>
      <c r="J21935" t="s">
        <v>476</v>
      </c>
    </row>
    <row r="21936" spans="9:10" x14ac:dyDescent="0.3">
      <c r="I21936" t="s">
        <v>16115</v>
      </c>
      <c r="J21936" t="s">
        <v>476</v>
      </c>
    </row>
    <row r="21937" spans="9:10" x14ac:dyDescent="0.3">
      <c r="I21937" t="s">
        <v>26737</v>
      </c>
      <c r="J21937" t="s">
        <v>476</v>
      </c>
    </row>
    <row r="21938" spans="9:10" x14ac:dyDescent="0.3">
      <c r="I21938" t="s">
        <v>26738</v>
      </c>
      <c r="J21938" t="s">
        <v>476</v>
      </c>
    </row>
    <row r="21939" spans="9:10" x14ac:dyDescent="0.3">
      <c r="I21939" t="s">
        <v>26733</v>
      </c>
      <c r="J21939" t="s">
        <v>476</v>
      </c>
    </row>
    <row r="21940" spans="9:10" x14ac:dyDescent="0.3">
      <c r="I21940" t="s">
        <v>26739</v>
      </c>
      <c r="J21940" t="s">
        <v>476</v>
      </c>
    </row>
    <row r="21941" spans="9:10" x14ac:dyDescent="0.3">
      <c r="I21941" t="s">
        <v>16113</v>
      </c>
      <c r="J21941" t="s">
        <v>476</v>
      </c>
    </row>
    <row r="21942" spans="9:10" x14ac:dyDescent="0.3">
      <c r="I21942" t="s">
        <v>26740</v>
      </c>
      <c r="J21942" t="s">
        <v>6667</v>
      </c>
    </row>
    <row r="21943" spans="9:10" x14ac:dyDescent="0.3">
      <c r="I21943" t="s">
        <v>26740</v>
      </c>
      <c r="J21943" t="s">
        <v>6667</v>
      </c>
    </row>
    <row r="21944" spans="9:10" x14ac:dyDescent="0.3">
      <c r="I21944" t="s">
        <v>26741</v>
      </c>
      <c r="J21944" t="s">
        <v>6668</v>
      </c>
    </row>
    <row r="21945" spans="9:10" x14ac:dyDescent="0.3">
      <c r="I21945" t="s">
        <v>26742</v>
      </c>
    </row>
    <row r="21946" spans="9:10" x14ac:dyDescent="0.3">
      <c r="I21946" t="s">
        <v>26742</v>
      </c>
    </row>
    <row r="21947" spans="9:10" x14ac:dyDescent="0.3">
      <c r="I21947" t="s">
        <v>26743</v>
      </c>
    </row>
    <row r="21948" spans="9:10" x14ac:dyDescent="0.3">
      <c r="I21948" t="s">
        <v>26744</v>
      </c>
    </row>
    <row r="21949" spans="9:10" x14ac:dyDescent="0.3">
      <c r="I21949" t="s">
        <v>26745</v>
      </c>
    </row>
    <row r="21950" spans="9:10" x14ac:dyDescent="0.3">
      <c r="I21950" t="s">
        <v>26746</v>
      </c>
    </row>
    <row r="21951" spans="9:10" x14ac:dyDescent="0.3">
      <c r="I21951" t="s">
        <v>26747</v>
      </c>
    </row>
    <row r="21952" spans="9:10" x14ac:dyDescent="0.3">
      <c r="I21952" t="s">
        <v>26748</v>
      </c>
    </row>
    <row r="21953" spans="9:10" x14ac:dyDescent="0.3">
      <c r="I21953" t="s">
        <v>26749</v>
      </c>
      <c r="J21953" t="s">
        <v>4237</v>
      </c>
    </row>
    <row r="21954" spans="9:10" x14ac:dyDescent="0.3">
      <c r="I21954" t="s">
        <v>26749</v>
      </c>
      <c r="J21954" t="s">
        <v>4237</v>
      </c>
    </row>
    <row r="21955" spans="9:10" x14ac:dyDescent="0.3">
      <c r="I21955" t="s">
        <v>26750</v>
      </c>
      <c r="J21955" t="s">
        <v>6669</v>
      </c>
    </row>
    <row r="21956" spans="9:10" x14ac:dyDescent="0.3">
      <c r="I21956" t="s">
        <v>26751</v>
      </c>
      <c r="J21956" t="s">
        <v>6670</v>
      </c>
    </row>
    <row r="21957" spans="9:10" x14ac:dyDescent="0.3">
      <c r="I21957" t="s">
        <v>26752</v>
      </c>
      <c r="J21957" t="s">
        <v>6671</v>
      </c>
    </row>
    <row r="21958" spans="9:10" x14ac:dyDescent="0.3">
      <c r="I21958" t="s">
        <v>26753</v>
      </c>
    </row>
    <row r="21959" spans="9:10" x14ac:dyDescent="0.3">
      <c r="I21959" t="s">
        <v>26754</v>
      </c>
      <c r="J21959" t="s">
        <v>2045</v>
      </c>
    </row>
    <row r="21960" spans="9:10" x14ac:dyDescent="0.3">
      <c r="I21960" t="s">
        <v>26755</v>
      </c>
      <c r="J21960" t="s">
        <v>6672</v>
      </c>
    </row>
    <row r="21961" spans="9:10" x14ac:dyDescent="0.3">
      <c r="I21961" t="s">
        <v>26755</v>
      </c>
      <c r="J21961" t="s">
        <v>6672</v>
      </c>
    </row>
    <row r="21962" spans="9:10" x14ac:dyDescent="0.3">
      <c r="I21962" t="s">
        <v>26756</v>
      </c>
      <c r="J21962" t="s">
        <v>6673</v>
      </c>
    </row>
    <row r="21963" spans="9:10" x14ac:dyDescent="0.3">
      <c r="I21963" t="s">
        <v>26757</v>
      </c>
      <c r="J21963" t="s">
        <v>6674</v>
      </c>
    </row>
    <row r="21964" spans="9:10" x14ac:dyDescent="0.3">
      <c r="I21964" t="s">
        <v>26758</v>
      </c>
      <c r="J21964" t="s">
        <v>6675</v>
      </c>
    </row>
    <row r="21965" spans="9:10" x14ac:dyDescent="0.3">
      <c r="I21965" t="s">
        <v>26758</v>
      </c>
      <c r="J21965" t="s">
        <v>6675</v>
      </c>
    </row>
    <row r="21966" spans="9:10" x14ac:dyDescent="0.3">
      <c r="I21966" t="s">
        <v>26759</v>
      </c>
      <c r="J21966" t="s">
        <v>6676</v>
      </c>
    </row>
    <row r="21967" spans="9:10" x14ac:dyDescent="0.3">
      <c r="I21967" t="s">
        <v>26760</v>
      </c>
      <c r="J21967" t="s">
        <v>6676</v>
      </c>
    </row>
    <row r="21968" spans="9:10" x14ac:dyDescent="0.3">
      <c r="I21968" t="s">
        <v>26760</v>
      </c>
      <c r="J21968" t="s">
        <v>6676</v>
      </c>
    </row>
    <row r="21969" spans="9:10" x14ac:dyDescent="0.3">
      <c r="I21969" t="s">
        <v>26760</v>
      </c>
      <c r="J21969" t="s">
        <v>6676</v>
      </c>
    </row>
    <row r="21970" spans="9:10" x14ac:dyDescent="0.3">
      <c r="I21970" t="s">
        <v>26759</v>
      </c>
      <c r="J21970" t="s">
        <v>6676</v>
      </c>
    </row>
    <row r="21971" spans="9:10" x14ac:dyDescent="0.3">
      <c r="I21971" t="s">
        <v>26760</v>
      </c>
      <c r="J21971" t="s">
        <v>6676</v>
      </c>
    </row>
    <row r="21972" spans="9:10" x14ac:dyDescent="0.3">
      <c r="I21972" t="s">
        <v>26760</v>
      </c>
      <c r="J21972" t="s">
        <v>6676</v>
      </c>
    </row>
    <row r="21973" spans="9:10" x14ac:dyDescent="0.3">
      <c r="I21973" t="s">
        <v>26760</v>
      </c>
      <c r="J21973" t="s">
        <v>6676</v>
      </c>
    </row>
    <row r="21974" spans="9:10" x14ac:dyDescent="0.3">
      <c r="I21974" t="s">
        <v>26760</v>
      </c>
      <c r="J21974" t="s">
        <v>6676</v>
      </c>
    </row>
    <row r="21975" spans="9:10" x14ac:dyDescent="0.3">
      <c r="I21975" t="s">
        <v>26760</v>
      </c>
      <c r="J21975" t="s">
        <v>6676</v>
      </c>
    </row>
    <row r="21976" spans="9:10" x14ac:dyDescent="0.3">
      <c r="I21976" t="s">
        <v>26761</v>
      </c>
    </row>
    <row r="21977" spans="9:10" x14ac:dyDescent="0.3">
      <c r="I21977" t="s">
        <v>26762</v>
      </c>
      <c r="J21977" t="s">
        <v>6677</v>
      </c>
    </row>
    <row r="21978" spans="9:10" x14ac:dyDescent="0.3">
      <c r="I21978" t="s">
        <v>26763</v>
      </c>
      <c r="J21978" t="s">
        <v>6678</v>
      </c>
    </row>
    <row r="21979" spans="9:10" x14ac:dyDescent="0.3">
      <c r="I21979" t="s">
        <v>26764</v>
      </c>
      <c r="J21979" t="s">
        <v>6679</v>
      </c>
    </row>
    <row r="21980" spans="9:10" x14ac:dyDescent="0.3">
      <c r="I21980" t="s">
        <v>26765</v>
      </c>
      <c r="J21980" t="s">
        <v>6680</v>
      </c>
    </row>
    <row r="21981" spans="9:10" x14ac:dyDescent="0.3">
      <c r="I21981" t="s">
        <v>26766</v>
      </c>
      <c r="J21981" t="s">
        <v>6681</v>
      </c>
    </row>
    <row r="21982" spans="9:10" x14ac:dyDescent="0.3">
      <c r="I21982" t="s">
        <v>26767</v>
      </c>
      <c r="J21982" t="s">
        <v>6682</v>
      </c>
    </row>
    <row r="21983" spans="9:10" x14ac:dyDescent="0.3">
      <c r="I21983" t="s">
        <v>26767</v>
      </c>
      <c r="J21983" t="s">
        <v>6682</v>
      </c>
    </row>
    <row r="21984" spans="9:10" x14ac:dyDescent="0.3">
      <c r="I21984" t="s">
        <v>26768</v>
      </c>
      <c r="J21984" t="s">
        <v>6683</v>
      </c>
    </row>
    <row r="21985" spans="9:10" x14ac:dyDescent="0.3">
      <c r="I21985" t="s">
        <v>26768</v>
      </c>
      <c r="J21985" t="s">
        <v>6683</v>
      </c>
    </row>
    <row r="21986" spans="9:10" x14ac:dyDescent="0.3">
      <c r="I21986" t="s">
        <v>26768</v>
      </c>
      <c r="J21986" t="s">
        <v>6683</v>
      </c>
    </row>
    <row r="21987" spans="9:10" x14ac:dyDescent="0.3">
      <c r="I21987" t="s">
        <v>26769</v>
      </c>
    </row>
    <row r="21988" spans="9:10" x14ac:dyDescent="0.3">
      <c r="I21988" t="s">
        <v>26770</v>
      </c>
    </row>
    <row r="21989" spans="9:10" x14ac:dyDescent="0.3">
      <c r="I21989" t="s">
        <v>26770</v>
      </c>
    </row>
    <row r="21990" spans="9:10" x14ac:dyDescent="0.3">
      <c r="I21990" t="s">
        <v>26771</v>
      </c>
      <c r="J21990" t="s">
        <v>6684</v>
      </c>
    </row>
    <row r="21991" spans="9:10" x14ac:dyDescent="0.3">
      <c r="I21991" t="s">
        <v>26772</v>
      </c>
    </row>
    <row r="21992" spans="9:10" x14ac:dyDescent="0.3">
      <c r="I21992" t="s">
        <v>26773</v>
      </c>
    </row>
    <row r="21993" spans="9:10" x14ac:dyDescent="0.3">
      <c r="I21993" t="s">
        <v>26774</v>
      </c>
      <c r="J21993" t="s">
        <v>6685</v>
      </c>
    </row>
    <row r="21994" spans="9:10" x14ac:dyDescent="0.3">
      <c r="I21994" t="s">
        <v>26775</v>
      </c>
      <c r="J21994" t="s">
        <v>6686</v>
      </c>
    </row>
    <row r="21995" spans="9:10" x14ac:dyDescent="0.3">
      <c r="I21995" t="s">
        <v>26776</v>
      </c>
      <c r="J21995" t="s">
        <v>6687</v>
      </c>
    </row>
    <row r="21996" spans="9:10" x14ac:dyDescent="0.3">
      <c r="I21996" t="s">
        <v>26777</v>
      </c>
      <c r="J21996" t="s">
        <v>6687</v>
      </c>
    </row>
    <row r="21997" spans="9:10" x14ac:dyDescent="0.3">
      <c r="I21997" t="s">
        <v>26778</v>
      </c>
      <c r="J21997" t="s">
        <v>2045</v>
      </c>
    </row>
    <row r="21998" spans="9:10" x14ac:dyDescent="0.3">
      <c r="I21998" t="s">
        <v>26779</v>
      </c>
      <c r="J21998" t="s">
        <v>2045</v>
      </c>
    </row>
    <row r="21999" spans="9:10" x14ac:dyDescent="0.3">
      <c r="I21999" t="s">
        <v>26780</v>
      </c>
      <c r="J21999" t="s">
        <v>6688</v>
      </c>
    </row>
    <row r="22000" spans="9:10" x14ac:dyDescent="0.3">
      <c r="I22000" t="s">
        <v>26781</v>
      </c>
      <c r="J22000" t="s">
        <v>6688</v>
      </c>
    </row>
    <row r="22001" spans="9:10" x14ac:dyDescent="0.3">
      <c r="I22001" t="s">
        <v>26782</v>
      </c>
      <c r="J22001" t="s">
        <v>6689</v>
      </c>
    </row>
    <row r="22002" spans="9:10" x14ac:dyDescent="0.3">
      <c r="I22002" t="s">
        <v>26783</v>
      </c>
      <c r="J22002" t="s">
        <v>6689</v>
      </c>
    </row>
    <row r="22003" spans="9:10" x14ac:dyDescent="0.3">
      <c r="I22003" t="s">
        <v>26783</v>
      </c>
      <c r="J22003" t="s">
        <v>6689</v>
      </c>
    </row>
    <row r="22004" spans="9:10" x14ac:dyDescent="0.3">
      <c r="I22004" t="s">
        <v>26784</v>
      </c>
    </row>
    <row r="22005" spans="9:10" x14ac:dyDescent="0.3">
      <c r="I22005" t="s">
        <v>26785</v>
      </c>
    </row>
    <row r="22006" spans="9:10" x14ac:dyDescent="0.3">
      <c r="I22006" t="s">
        <v>26785</v>
      </c>
    </row>
    <row r="22007" spans="9:10" x14ac:dyDescent="0.3">
      <c r="I22007" t="s">
        <v>26786</v>
      </c>
    </row>
    <row r="22008" spans="9:10" x14ac:dyDescent="0.3">
      <c r="I22008" t="s">
        <v>26786</v>
      </c>
    </row>
    <row r="22009" spans="9:10" x14ac:dyDescent="0.3">
      <c r="I22009" t="s">
        <v>26787</v>
      </c>
      <c r="J22009" t="s">
        <v>2045</v>
      </c>
    </row>
    <row r="22010" spans="9:10" x14ac:dyDescent="0.3">
      <c r="I22010" t="s">
        <v>26788</v>
      </c>
    </row>
    <row r="22011" spans="9:10" x14ac:dyDescent="0.3">
      <c r="I22011" t="s">
        <v>26789</v>
      </c>
      <c r="J22011" t="s">
        <v>6690</v>
      </c>
    </row>
    <row r="22012" spans="9:10" x14ac:dyDescent="0.3">
      <c r="I22012" t="s">
        <v>26789</v>
      </c>
      <c r="J22012" t="s">
        <v>6690</v>
      </c>
    </row>
    <row r="22013" spans="9:10" x14ac:dyDescent="0.3">
      <c r="I22013" t="s">
        <v>26789</v>
      </c>
      <c r="J22013" t="s">
        <v>6690</v>
      </c>
    </row>
    <row r="22014" spans="9:10" x14ac:dyDescent="0.3">
      <c r="I22014" t="s">
        <v>26790</v>
      </c>
      <c r="J22014" t="s">
        <v>6691</v>
      </c>
    </row>
    <row r="22015" spans="9:10" x14ac:dyDescent="0.3">
      <c r="I22015" t="s">
        <v>26791</v>
      </c>
      <c r="J22015" t="s">
        <v>6692</v>
      </c>
    </row>
    <row r="22016" spans="9:10" x14ac:dyDescent="0.3">
      <c r="I22016" t="s">
        <v>26792</v>
      </c>
      <c r="J22016" t="s">
        <v>6692</v>
      </c>
    </row>
    <row r="22017" spans="9:10" x14ac:dyDescent="0.3">
      <c r="I22017" t="s">
        <v>26793</v>
      </c>
    </row>
    <row r="22018" spans="9:10" x14ac:dyDescent="0.3">
      <c r="I22018" t="s">
        <v>26793</v>
      </c>
    </row>
    <row r="22019" spans="9:10" x14ac:dyDescent="0.3">
      <c r="I22019" t="s">
        <v>26793</v>
      </c>
    </row>
    <row r="22020" spans="9:10" x14ac:dyDescent="0.3">
      <c r="I22020" t="s">
        <v>26793</v>
      </c>
    </row>
    <row r="22021" spans="9:10" x14ac:dyDescent="0.3">
      <c r="I22021" t="s">
        <v>26794</v>
      </c>
      <c r="J22021" t="s">
        <v>6693</v>
      </c>
    </row>
    <row r="22022" spans="9:10" x14ac:dyDescent="0.3">
      <c r="I22022" t="s">
        <v>26795</v>
      </c>
      <c r="J22022" t="s">
        <v>6694</v>
      </c>
    </row>
    <row r="22023" spans="9:10" x14ac:dyDescent="0.3">
      <c r="I22023" t="s">
        <v>26795</v>
      </c>
      <c r="J22023" t="s">
        <v>6694</v>
      </c>
    </row>
    <row r="22024" spans="9:10" x14ac:dyDescent="0.3">
      <c r="I22024" t="s">
        <v>26796</v>
      </c>
      <c r="J22024" t="s">
        <v>6695</v>
      </c>
    </row>
    <row r="22025" spans="9:10" x14ac:dyDescent="0.3">
      <c r="I22025" t="s">
        <v>26797</v>
      </c>
    </row>
    <row r="22026" spans="9:10" x14ac:dyDescent="0.3">
      <c r="I22026" t="s">
        <v>26798</v>
      </c>
      <c r="J22026" t="s">
        <v>6696</v>
      </c>
    </row>
    <row r="22027" spans="9:10" x14ac:dyDescent="0.3">
      <c r="I22027" t="s">
        <v>26799</v>
      </c>
    </row>
    <row r="22028" spans="9:10" x14ac:dyDescent="0.3">
      <c r="I22028" t="s">
        <v>26800</v>
      </c>
    </row>
    <row r="22029" spans="9:10" x14ac:dyDescent="0.3">
      <c r="I22029" t="s">
        <v>26801</v>
      </c>
      <c r="J22029" t="s">
        <v>6697</v>
      </c>
    </row>
    <row r="22030" spans="9:10" x14ac:dyDescent="0.3">
      <c r="I22030" t="s">
        <v>26802</v>
      </c>
      <c r="J22030" t="s">
        <v>6698</v>
      </c>
    </row>
    <row r="22031" spans="9:10" x14ac:dyDescent="0.3">
      <c r="I22031" t="s">
        <v>26803</v>
      </c>
      <c r="J22031" t="s">
        <v>6699</v>
      </c>
    </row>
    <row r="22032" spans="9:10" x14ac:dyDescent="0.3">
      <c r="I22032" t="s">
        <v>26804</v>
      </c>
      <c r="J22032" t="s">
        <v>6699</v>
      </c>
    </row>
    <row r="22033" spans="9:10" x14ac:dyDescent="0.3">
      <c r="I22033" t="s">
        <v>26805</v>
      </c>
    </row>
    <row r="22034" spans="9:10" x14ac:dyDescent="0.3">
      <c r="I22034" t="s">
        <v>26806</v>
      </c>
    </row>
    <row r="22035" spans="9:10" x14ac:dyDescent="0.3">
      <c r="I22035" t="s">
        <v>26807</v>
      </c>
    </row>
    <row r="22036" spans="9:10" x14ac:dyDescent="0.3">
      <c r="I22036" t="s">
        <v>26808</v>
      </c>
      <c r="J22036" t="s">
        <v>6700</v>
      </c>
    </row>
    <row r="22037" spans="9:10" x14ac:dyDescent="0.3">
      <c r="I22037" t="s">
        <v>26809</v>
      </c>
    </row>
    <row r="22038" spans="9:10" x14ac:dyDescent="0.3">
      <c r="I22038" t="s">
        <v>26810</v>
      </c>
    </row>
    <row r="22039" spans="9:10" x14ac:dyDescent="0.3">
      <c r="I22039" t="s">
        <v>26811</v>
      </c>
      <c r="J22039" t="s">
        <v>6701</v>
      </c>
    </row>
    <row r="22040" spans="9:10" x14ac:dyDescent="0.3">
      <c r="I22040" t="s">
        <v>26812</v>
      </c>
      <c r="J22040" t="s">
        <v>6702</v>
      </c>
    </row>
    <row r="22041" spans="9:10" x14ac:dyDescent="0.3">
      <c r="I22041" t="s">
        <v>26813</v>
      </c>
    </row>
    <row r="22042" spans="9:10" x14ac:dyDescent="0.3">
      <c r="I22042" t="s">
        <v>26814</v>
      </c>
      <c r="J22042">
        <v>0</v>
      </c>
    </row>
    <row r="22043" spans="9:10" x14ac:dyDescent="0.3">
      <c r="I22043" t="s">
        <v>26815</v>
      </c>
      <c r="J22043" t="s">
        <v>6703</v>
      </c>
    </row>
    <row r="22044" spans="9:10" x14ac:dyDescent="0.3">
      <c r="I22044" t="s">
        <v>26816</v>
      </c>
      <c r="J22044">
        <v>0</v>
      </c>
    </row>
    <row r="22045" spans="9:10" x14ac:dyDescent="0.3">
      <c r="I22045" t="s">
        <v>26817</v>
      </c>
      <c r="J22045" t="s">
        <v>6704</v>
      </c>
    </row>
    <row r="22046" spans="9:10" x14ac:dyDescent="0.3">
      <c r="I22046" t="s">
        <v>26818</v>
      </c>
    </row>
    <row r="22047" spans="9:10" x14ac:dyDescent="0.3">
      <c r="I22047" t="s">
        <v>26819</v>
      </c>
      <c r="J22047" t="s">
        <v>6705</v>
      </c>
    </row>
    <row r="22048" spans="9:10" x14ac:dyDescent="0.3">
      <c r="I22048" t="s">
        <v>26820</v>
      </c>
    </row>
    <row r="22049" spans="9:10" x14ac:dyDescent="0.3">
      <c r="I22049" t="s">
        <v>26821</v>
      </c>
      <c r="J22049" t="s">
        <v>6706</v>
      </c>
    </row>
    <row r="22050" spans="9:10" x14ac:dyDescent="0.3">
      <c r="I22050" t="s">
        <v>26822</v>
      </c>
    </row>
    <row r="22051" spans="9:10" x14ac:dyDescent="0.3">
      <c r="I22051" t="s">
        <v>26823</v>
      </c>
      <c r="J22051" t="s">
        <v>5878</v>
      </c>
    </row>
    <row r="22052" spans="9:10" x14ac:dyDescent="0.3">
      <c r="I22052" t="s">
        <v>26824</v>
      </c>
    </row>
    <row r="22053" spans="9:10" x14ac:dyDescent="0.3">
      <c r="I22053" t="s">
        <v>26825</v>
      </c>
    </row>
    <row r="22054" spans="9:10" x14ac:dyDescent="0.3">
      <c r="I22054" t="s">
        <v>26826</v>
      </c>
      <c r="J22054" t="s">
        <v>6707</v>
      </c>
    </row>
    <row r="22055" spans="9:10" x14ac:dyDescent="0.3">
      <c r="I22055" t="s">
        <v>26827</v>
      </c>
      <c r="J22055" t="s">
        <v>6708</v>
      </c>
    </row>
    <row r="22056" spans="9:10" x14ac:dyDescent="0.3">
      <c r="I22056" t="s">
        <v>26828</v>
      </c>
      <c r="J22056" t="s">
        <v>6708</v>
      </c>
    </row>
    <row r="22057" spans="9:10" x14ac:dyDescent="0.3">
      <c r="I22057" t="s">
        <v>26829</v>
      </c>
      <c r="J22057" t="s">
        <v>6709</v>
      </c>
    </row>
    <row r="22058" spans="9:10" x14ac:dyDescent="0.3">
      <c r="I22058" t="s">
        <v>26830</v>
      </c>
      <c r="J22058" t="s">
        <v>6709</v>
      </c>
    </row>
    <row r="22059" spans="9:10" x14ac:dyDescent="0.3">
      <c r="I22059" t="s">
        <v>26831</v>
      </c>
      <c r="J22059" t="s">
        <v>6710</v>
      </c>
    </row>
    <row r="22060" spans="9:10" x14ac:dyDescent="0.3">
      <c r="I22060" t="s">
        <v>26832</v>
      </c>
      <c r="J22060" t="s">
        <v>6711</v>
      </c>
    </row>
    <row r="22061" spans="9:10" x14ac:dyDescent="0.3">
      <c r="I22061" t="s">
        <v>26833</v>
      </c>
      <c r="J22061" t="s">
        <v>6711</v>
      </c>
    </row>
    <row r="22062" spans="9:10" x14ac:dyDescent="0.3">
      <c r="I22062" t="s">
        <v>26834</v>
      </c>
      <c r="J22062" t="s">
        <v>6712</v>
      </c>
    </row>
    <row r="22063" spans="9:10" x14ac:dyDescent="0.3">
      <c r="I22063" t="s">
        <v>26835</v>
      </c>
      <c r="J22063" t="s">
        <v>6713</v>
      </c>
    </row>
    <row r="22064" spans="9:10" x14ac:dyDescent="0.3">
      <c r="I22064" t="s">
        <v>26836</v>
      </c>
      <c r="J22064" t="s">
        <v>6714</v>
      </c>
    </row>
    <row r="22065" spans="9:10" x14ac:dyDescent="0.3">
      <c r="I22065" t="s">
        <v>26837</v>
      </c>
      <c r="J22065" t="s">
        <v>6715</v>
      </c>
    </row>
    <row r="22066" spans="9:10" x14ac:dyDescent="0.3">
      <c r="I22066" t="s">
        <v>26838</v>
      </c>
      <c r="J22066" t="s">
        <v>6716</v>
      </c>
    </row>
    <row r="22067" spans="9:10" x14ac:dyDescent="0.3">
      <c r="I22067" t="s">
        <v>26839</v>
      </c>
    </row>
    <row r="22068" spans="9:10" x14ac:dyDescent="0.3">
      <c r="I22068" t="s">
        <v>26840</v>
      </c>
    </row>
    <row r="22069" spans="9:10" x14ac:dyDescent="0.3">
      <c r="I22069" t="s">
        <v>26841</v>
      </c>
    </row>
    <row r="22070" spans="9:10" x14ac:dyDescent="0.3">
      <c r="I22070" t="s">
        <v>26842</v>
      </c>
    </row>
    <row r="22071" spans="9:10" x14ac:dyDescent="0.3">
      <c r="I22071" t="s">
        <v>26843</v>
      </c>
    </row>
    <row r="22072" spans="9:10" x14ac:dyDescent="0.3">
      <c r="I22072" t="s">
        <v>26844</v>
      </c>
    </row>
    <row r="22073" spans="9:10" x14ac:dyDescent="0.3">
      <c r="I22073" t="s">
        <v>26845</v>
      </c>
    </row>
    <row r="22074" spans="9:10" x14ac:dyDescent="0.3">
      <c r="I22074" t="s">
        <v>26846</v>
      </c>
      <c r="J22074" t="s">
        <v>6717</v>
      </c>
    </row>
    <row r="22075" spans="9:10" x14ac:dyDescent="0.3">
      <c r="I22075" t="s">
        <v>26846</v>
      </c>
      <c r="J22075" t="s">
        <v>6717</v>
      </c>
    </row>
    <row r="22076" spans="9:10" x14ac:dyDescent="0.3">
      <c r="I22076" t="s">
        <v>26846</v>
      </c>
      <c r="J22076" t="s">
        <v>6717</v>
      </c>
    </row>
    <row r="22077" spans="9:10" x14ac:dyDescent="0.3">
      <c r="I22077" t="s">
        <v>26847</v>
      </c>
      <c r="J22077" t="s">
        <v>6718</v>
      </c>
    </row>
    <row r="22078" spans="9:10" x14ac:dyDescent="0.3">
      <c r="I22078" t="s">
        <v>26848</v>
      </c>
      <c r="J22078" t="s">
        <v>6719</v>
      </c>
    </row>
    <row r="22079" spans="9:10" x14ac:dyDescent="0.3">
      <c r="I22079" t="s">
        <v>26849</v>
      </c>
      <c r="J22079" t="s">
        <v>6720</v>
      </c>
    </row>
    <row r="22080" spans="9:10" x14ac:dyDescent="0.3">
      <c r="I22080" t="s">
        <v>26850</v>
      </c>
      <c r="J22080" t="s">
        <v>6720</v>
      </c>
    </row>
    <row r="22081" spans="9:10" x14ac:dyDescent="0.3">
      <c r="I22081" t="s">
        <v>26851</v>
      </c>
      <c r="J22081" t="s">
        <v>6721</v>
      </c>
    </row>
    <row r="22082" spans="9:10" x14ac:dyDescent="0.3">
      <c r="I22082" t="s">
        <v>26852</v>
      </c>
      <c r="J22082" t="s">
        <v>6722</v>
      </c>
    </row>
    <row r="22083" spans="9:10" x14ac:dyDescent="0.3">
      <c r="I22083" t="s">
        <v>26853</v>
      </c>
    </row>
    <row r="22084" spans="9:10" x14ac:dyDescent="0.3">
      <c r="I22084" t="s">
        <v>26854</v>
      </c>
      <c r="J22084" t="s">
        <v>6723</v>
      </c>
    </row>
    <row r="22085" spans="9:10" x14ac:dyDescent="0.3">
      <c r="I22085" t="s">
        <v>26855</v>
      </c>
      <c r="J22085" t="s">
        <v>167</v>
      </c>
    </row>
    <row r="22086" spans="9:10" x14ac:dyDescent="0.3">
      <c r="I22086" t="s">
        <v>26855</v>
      </c>
      <c r="J22086" t="s">
        <v>167</v>
      </c>
    </row>
    <row r="22087" spans="9:10" x14ac:dyDescent="0.3">
      <c r="I22087" t="s">
        <v>26855</v>
      </c>
      <c r="J22087" t="s">
        <v>167</v>
      </c>
    </row>
    <row r="22088" spans="9:10" x14ac:dyDescent="0.3">
      <c r="I22088" t="s">
        <v>26856</v>
      </c>
      <c r="J22088" t="s">
        <v>6724</v>
      </c>
    </row>
    <row r="22089" spans="9:10" x14ac:dyDescent="0.3">
      <c r="I22089" t="s">
        <v>26857</v>
      </c>
    </row>
    <row r="22090" spans="9:10" x14ac:dyDescent="0.3">
      <c r="I22090" t="s">
        <v>26858</v>
      </c>
    </row>
    <row r="22091" spans="9:10" x14ac:dyDescent="0.3">
      <c r="I22091" t="s">
        <v>26859</v>
      </c>
      <c r="J22091" t="s">
        <v>6725</v>
      </c>
    </row>
    <row r="22092" spans="9:10" x14ac:dyDescent="0.3">
      <c r="I22092" t="s">
        <v>26859</v>
      </c>
      <c r="J22092" t="s">
        <v>6725</v>
      </c>
    </row>
    <row r="22093" spans="9:10" x14ac:dyDescent="0.3">
      <c r="I22093" t="s">
        <v>26859</v>
      </c>
      <c r="J22093" t="s">
        <v>6725</v>
      </c>
    </row>
    <row r="22094" spans="9:10" x14ac:dyDescent="0.3">
      <c r="I22094" t="s">
        <v>26860</v>
      </c>
      <c r="J22094" t="s">
        <v>6726</v>
      </c>
    </row>
    <row r="22095" spans="9:10" x14ac:dyDescent="0.3">
      <c r="I22095" t="s">
        <v>26861</v>
      </c>
      <c r="J22095" t="s">
        <v>6727</v>
      </c>
    </row>
    <row r="22096" spans="9:10" x14ac:dyDescent="0.3">
      <c r="I22096" t="s">
        <v>26861</v>
      </c>
      <c r="J22096" t="s">
        <v>6727</v>
      </c>
    </row>
    <row r="22097" spans="9:10" x14ac:dyDescent="0.3">
      <c r="I22097" t="s">
        <v>26862</v>
      </c>
    </row>
    <row r="22098" spans="9:10" x14ac:dyDescent="0.3">
      <c r="I22098" t="s">
        <v>26863</v>
      </c>
    </row>
    <row r="22099" spans="9:10" x14ac:dyDescent="0.3">
      <c r="I22099" t="s">
        <v>26864</v>
      </c>
    </row>
    <row r="22100" spans="9:10" x14ac:dyDescent="0.3">
      <c r="I22100" t="s">
        <v>26865</v>
      </c>
    </row>
    <row r="22101" spans="9:10" x14ac:dyDescent="0.3">
      <c r="I22101" t="s">
        <v>26866</v>
      </c>
    </row>
    <row r="22102" spans="9:10" x14ac:dyDescent="0.3">
      <c r="I22102" t="s">
        <v>26867</v>
      </c>
    </row>
    <row r="22103" spans="9:10" x14ac:dyDescent="0.3">
      <c r="I22103" t="s">
        <v>26868</v>
      </c>
      <c r="J22103" t="s">
        <v>6728</v>
      </c>
    </row>
    <row r="22104" spans="9:10" x14ac:dyDescent="0.3">
      <c r="I22104" t="s">
        <v>26868</v>
      </c>
      <c r="J22104" t="s">
        <v>6728</v>
      </c>
    </row>
    <row r="22105" spans="9:10" x14ac:dyDescent="0.3">
      <c r="I22105" t="s">
        <v>26869</v>
      </c>
      <c r="J22105" t="s">
        <v>6729</v>
      </c>
    </row>
    <row r="22106" spans="9:10" x14ac:dyDescent="0.3">
      <c r="I22106" t="s">
        <v>26870</v>
      </c>
      <c r="J22106" t="s">
        <v>6730</v>
      </c>
    </row>
    <row r="22107" spans="9:10" x14ac:dyDescent="0.3">
      <c r="I22107" t="s">
        <v>26871</v>
      </c>
      <c r="J22107" t="s">
        <v>6731</v>
      </c>
    </row>
    <row r="22108" spans="9:10" x14ac:dyDescent="0.3">
      <c r="I22108" t="s">
        <v>26872</v>
      </c>
      <c r="J22108" t="s">
        <v>6732</v>
      </c>
    </row>
    <row r="22109" spans="9:10" x14ac:dyDescent="0.3">
      <c r="I22109" t="s">
        <v>26873</v>
      </c>
      <c r="J22109" t="s">
        <v>6733</v>
      </c>
    </row>
    <row r="22110" spans="9:10" x14ac:dyDescent="0.3">
      <c r="I22110" t="s">
        <v>26874</v>
      </c>
      <c r="J22110" t="s">
        <v>6734</v>
      </c>
    </row>
    <row r="22111" spans="9:10" x14ac:dyDescent="0.3">
      <c r="I22111" t="s">
        <v>26875</v>
      </c>
      <c r="J22111" t="s">
        <v>6735</v>
      </c>
    </row>
    <row r="22112" spans="9:10" x14ac:dyDescent="0.3">
      <c r="I22112" t="s">
        <v>26876</v>
      </c>
      <c r="J22112" t="s">
        <v>6736</v>
      </c>
    </row>
    <row r="22113" spans="9:10" x14ac:dyDescent="0.3">
      <c r="I22113" t="s">
        <v>26877</v>
      </c>
      <c r="J22113" t="s">
        <v>6737</v>
      </c>
    </row>
    <row r="22114" spans="9:10" x14ac:dyDescent="0.3">
      <c r="I22114" t="s">
        <v>26878</v>
      </c>
      <c r="J22114" t="s">
        <v>6738</v>
      </c>
    </row>
    <row r="22115" spans="9:10" x14ac:dyDescent="0.3">
      <c r="I22115" t="s">
        <v>26879</v>
      </c>
      <c r="J22115" t="s">
        <v>6739</v>
      </c>
    </row>
    <row r="22116" spans="9:10" x14ac:dyDescent="0.3">
      <c r="I22116" t="s">
        <v>26880</v>
      </c>
      <c r="J22116" t="s">
        <v>6740</v>
      </c>
    </row>
    <row r="22117" spans="9:10" x14ac:dyDescent="0.3">
      <c r="I22117" t="s">
        <v>26881</v>
      </c>
      <c r="J22117" t="s">
        <v>6741</v>
      </c>
    </row>
    <row r="22118" spans="9:10" x14ac:dyDescent="0.3">
      <c r="I22118" t="s">
        <v>26882</v>
      </c>
    </row>
    <row r="22119" spans="9:10" x14ac:dyDescent="0.3">
      <c r="I22119" t="s">
        <v>26883</v>
      </c>
      <c r="J22119" t="s">
        <v>6742</v>
      </c>
    </row>
    <row r="22120" spans="9:10" x14ac:dyDescent="0.3">
      <c r="I22120" t="s">
        <v>26884</v>
      </c>
      <c r="J22120" t="s">
        <v>6743</v>
      </c>
    </row>
    <row r="22121" spans="9:10" x14ac:dyDescent="0.3">
      <c r="I22121" t="s">
        <v>26885</v>
      </c>
    </row>
    <row r="22122" spans="9:10" x14ac:dyDescent="0.3">
      <c r="I22122" t="s">
        <v>26886</v>
      </c>
      <c r="J22122" t="s">
        <v>6744</v>
      </c>
    </row>
    <row r="22123" spans="9:10" x14ac:dyDescent="0.3">
      <c r="I22123" t="s">
        <v>26887</v>
      </c>
      <c r="J22123" t="s">
        <v>6745</v>
      </c>
    </row>
    <row r="22124" spans="9:10" x14ac:dyDescent="0.3">
      <c r="I22124" t="s">
        <v>26888</v>
      </c>
      <c r="J22124" t="s">
        <v>6746</v>
      </c>
    </row>
    <row r="22125" spans="9:10" x14ac:dyDescent="0.3">
      <c r="I22125" t="s">
        <v>26889</v>
      </c>
      <c r="J22125" t="s">
        <v>6747</v>
      </c>
    </row>
    <row r="22126" spans="9:10" x14ac:dyDescent="0.3">
      <c r="I22126" t="s">
        <v>26890</v>
      </c>
      <c r="J22126" t="s">
        <v>6748</v>
      </c>
    </row>
    <row r="22127" spans="9:10" x14ac:dyDescent="0.3">
      <c r="I22127" t="s">
        <v>26891</v>
      </c>
      <c r="J22127" t="s">
        <v>593</v>
      </c>
    </row>
    <row r="22128" spans="9:10" x14ac:dyDescent="0.3">
      <c r="I22128" t="s">
        <v>26891</v>
      </c>
      <c r="J22128" t="s">
        <v>593</v>
      </c>
    </row>
    <row r="22129" spans="9:10" x14ac:dyDescent="0.3">
      <c r="I22129" t="s">
        <v>26892</v>
      </c>
      <c r="J22129" t="s">
        <v>6749</v>
      </c>
    </row>
    <row r="22130" spans="9:10" x14ac:dyDescent="0.3">
      <c r="I22130" t="s">
        <v>26893</v>
      </c>
      <c r="J22130" t="s">
        <v>6750</v>
      </c>
    </row>
    <row r="22131" spans="9:10" x14ac:dyDescent="0.3">
      <c r="I22131" t="s">
        <v>26894</v>
      </c>
      <c r="J22131" t="s">
        <v>6751</v>
      </c>
    </row>
    <row r="22132" spans="9:10" x14ac:dyDescent="0.3">
      <c r="I22132" t="s">
        <v>26895</v>
      </c>
      <c r="J22132" t="s">
        <v>6752</v>
      </c>
    </row>
    <row r="22133" spans="9:10" x14ac:dyDescent="0.3">
      <c r="I22133" t="s">
        <v>26896</v>
      </c>
      <c r="J22133" t="s">
        <v>6753</v>
      </c>
    </row>
    <row r="22134" spans="9:10" x14ac:dyDescent="0.3">
      <c r="I22134" t="s">
        <v>26896</v>
      </c>
      <c r="J22134" t="s">
        <v>6753</v>
      </c>
    </row>
    <row r="22135" spans="9:10" x14ac:dyDescent="0.3">
      <c r="I22135" t="s">
        <v>26897</v>
      </c>
      <c r="J22135" t="s">
        <v>6754</v>
      </c>
    </row>
    <row r="22136" spans="9:10" x14ac:dyDescent="0.3">
      <c r="I22136" t="s">
        <v>26898</v>
      </c>
    </row>
    <row r="22137" spans="9:10" x14ac:dyDescent="0.3">
      <c r="I22137" t="s">
        <v>26899</v>
      </c>
      <c r="J22137" t="s">
        <v>6755</v>
      </c>
    </row>
    <row r="22138" spans="9:10" x14ac:dyDescent="0.3">
      <c r="I22138" t="s">
        <v>26900</v>
      </c>
      <c r="J22138" t="s">
        <v>6756</v>
      </c>
    </row>
    <row r="22139" spans="9:10" x14ac:dyDescent="0.3">
      <c r="I22139" t="s">
        <v>26900</v>
      </c>
      <c r="J22139" t="s">
        <v>6756</v>
      </c>
    </row>
    <row r="22140" spans="9:10" x14ac:dyDescent="0.3">
      <c r="I22140" t="s">
        <v>26901</v>
      </c>
    </row>
    <row r="22141" spans="9:10" x14ac:dyDescent="0.3">
      <c r="I22141" t="s">
        <v>26902</v>
      </c>
      <c r="J22141" t="s">
        <v>6757</v>
      </c>
    </row>
    <row r="22142" spans="9:10" x14ac:dyDescent="0.3">
      <c r="I22142" t="s">
        <v>26903</v>
      </c>
      <c r="J22142" t="s">
        <v>6757</v>
      </c>
    </row>
    <row r="22143" spans="9:10" x14ac:dyDescent="0.3">
      <c r="I22143" t="s">
        <v>26904</v>
      </c>
      <c r="J22143" t="s">
        <v>6757</v>
      </c>
    </row>
    <row r="22144" spans="9:10" x14ac:dyDescent="0.3">
      <c r="I22144" t="s">
        <v>26905</v>
      </c>
      <c r="J22144" t="s">
        <v>6758</v>
      </c>
    </row>
    <row r="22145" spans="9:10" x14ac:dyDescent="0.3">
      <c r="I22145" t="s">
        <v>26906</v>
      </c>
      <c r="J22145" t="s">
        <v>6758</v>
      </c>
    </row>
    <row r="22146" spans="9:10" x14ac:dyDescent="0.3">
      <c r="I22146" t="s">
        <v>26907</v>
      </c>
      <c r="J22146" t="s">
        <v>6758</v>
      </c>
    </row>
    <row r="22147" spans="9:10" x14ac:dyDescent="0.3">
      <c r="I22147" t="s">
        <v>26908</v>
      </c>
    </row>
    <row r="22148" spans="9:10" x14ac:dyDescent="0.3">
      <c r="I22148" t="s">
        <v>26909</v>
      </c>
    </row>
    <row r="22149" spans="9:10" x14ac:dyDescent="0.3">
      <c r="I22149" t="s">
        <v>26910</v>
      </c>
    </row>
    <row r="22150" spans="9:10" x14ac:dyDescent="0.3">
      <c r="I22150" t="s">
        <v>26911</v>
      </c>
      <c r="J22150" t="s">
        <v>6759</v>
      </c>
    </row>
    <row r="22151" spans="9:10" x14ac:dyDescent="0.3">
      <c r="I22151" t="s">
        <v>26911</v>
      </c>
      <c r="J22151" t="s">
        <v>6759</v>
      </c>
    </row>
    <row r="22152" spans="9:10" x14ac:dyDescent="0.3">
      <c r="I22152" t="s">
        <v>26912</v>
      </c>
      <c r="J22152" t="s">
        <v>6760</v>
      </c>
    </row>
    <row r="22153" spans="9:10" x14ac:dyDescent="0.3">
      <c r="I22153" t="s">
        <v>26913</v>
      </c>
      <c r="J22153" t="s">
        <v>6760</v>
      </c>
    </row>
    <row r="22154" spans="9:10" x14ac:dyDescent="0.3">
      <c r="I22154" t="s">
        <v>26914</v>
      </c>
    </row>
    <row r="22155" spans="9:10" x14ac:dyDescent="0.3">
      <c r="I22155" t="s">
        <v>26915</v>
      </c>
      <c r="J22155" t="s">
        <v>6761</v>
      </c>
    </row>
    <row r="22156" spans="9:10" x14ac:dyDescent="0.3">
      <c r="I22156" t="s">
        <v>26916</v>
      </c>
      <c r="J22156" t="s">
        <v>6762</v>
      </c>
    </row>
    <row r="22157" spans="9:10" x14ac:dyDescent="0.3">
      <c r="I22157" t="s">
        <v>26916</v>
      </c>
      <c r="J22157" t="s">
        <v>6762</v>
      </c>
    </row>
    <row r="22158" spans="9:10" x14ac:dyDescent="0.3">
      <c r="I22158" t="s">
        <v>26917</v>
      </c>
    </row>
    <row r="22159" spans="9:10" x14ac:dyDescent="0.3">
      <c r="I22159" t="s">
        <v>26918</v>
      </c>
      <c r="J22159" t="s">
        <v>6763</v>
      </c>
    </row>
    <row r="22160" spans="9:10" x14ac:dyDescent="0.3">
      <c r="I22160" t="s">
        <v>26919</v>
      </c>
      <c r="J22160" t="s">
        <v>6764</v>
      </c>
    </row>
    <row r="22161" spans="9:10" x14ac:dyDescent="0.3">
      <c r="I22161" t="s">
        <v>26920</v>
      </c>
    </row>
    <row r="22162" spans="9:10" x14ac:dyDescent="0.3">
      <c r="I22162" t="s">
        <v>26921</v>
      </c>
      <c r="J22162" t="s">
        <v>6765</v>
      </c>
    </row>
    <row r="22163" spans="9:10" x14ac:dyDescent="0.3">
      <c r="I22163" t="s">
        <v>26922</v>
      </c>
      <c r="J22163" t="s">
        <v>6766</v>
      </c>
    </row>
    <row r="22164" spans="9:10" x14ac:dyDescent="0.3">
      <c r="I22164" t="s">
        <v>26923</v>
      </c>
      <c r="J22164" t="s">
        <v>6766</v>
      </c>
    </row>
    <row r="22165" spans="9:10" x14ac:dyDescent="0.3">
      <c r="I22165" t="s">
        <v>26924</v>
      </c>
      <c r="J22165" t="s">
        <v>6767</v>
      </c>
    </row>
    <row r="22166" spans="9:10" x14ac:dyDescent="0.3">
      <c r="I22166" t="s">
        <v>26925</v>
      </c>
    </row>
    <row r="22167" spans="9:10" x14ac:dyDescent="0.3">
      <c r="I22167" t="s">
        <v>26926</v>
      </c>
      <c r="J22167" t="s">
        <v>6768</v>
      </c>
    </row>
    <row r="22168" spans="9:10" x14ac:dyDescent="0.3">
      <c r="I22168" t="s">
        <v>26926</v>
      </c>
      <c r="J22168" t="s">
        <v>6768</v>
      </c>
    </row>
    <row r="22169" spans="9:10" x14ac:dyDescent="0.3">
      <c r="I22169" t="s">
        <v>26927</v>
      </c>
    </row>
    <row r="22170" spans="9:10" x14ac:dyDescent="0.3">
      <c r="I22170" t="s">
        <v>26928</v>
      </c>
      <c r="J22170" t="s">
        <v>6769</v>
      </c>
    </row>
    <row r="22171" spans="9:10" x14ac:dyDescent="0.3">
      <c r="I22171" t="s">
        <v>26929</v>
      </c>
      <c r="J22171" t="s">
        <v>6769</v>
      </c>
    </row>
    <row r="22172" spans="9:10" x14ac:dyDescent="0.3">
      <c r="I22172" t="s">
        <v>26930</v>
      </c>
    </row>
    <row r="22173" spans="9:10" x14ac:dyDescent="0.3">
      <c r="I22173" t="s">
        <v>26931</v>
      </c>
      <c r="J22173" t="s">
        <v>6770</v>
      </c>
    </row>
    <row r="22174" spans="9:10" x14ac:dyDescent="0.3">
      <c r="I22174" t="s">
        <v>26932</v>
      </c>
    </row>
    <row r="22175" spans="9:10" x14ac:dyDescent="0.3">
      <c r="I22175" t="s">
        <v>26933</v>
      </c>
      <c r="J22175" t="s">
        <v>6771</v>
      </c>
    </row>
    <row r="22176" spans="9:10" x14ac:dyDescent="0.3">
      <c r="I22176" t="s">
        <v>26934</v>
      </c>
    </row>
    <row r="22177" spans="9:10" x14ac:dyDescent="0.3">
      <c r="I22177" t="s">
        <v>26935</v>
      </c>
      <c r="J22177" t="s">
        <v>6772</v>
      </c>
    </row>
    <row r="22178" spans="9:10" x14ac:dyDescent="0.3">
      <c r="I22178" t="s">
        <v>26936</v>
      </c>
    </row>
    <row r="22179" spans="9:10" x14ac:dyDescent="0.3">
      <c r="I22179" t="s">
        <v>26937</v>
      </c>
    </row>
    <row r="22180" spans="9:10" x14ac:dyDescent="0.3">
      <c r="I22180" t="s">
        <v>26938</v>
      </c>
      <c r="J22180" t="s">
        <v>6773</v>
      </c>
    </row>
    <row r="22181" spans="9:10" x14ac:dyDescent="0.3">
      <c r="I22181" t="s">
        <v>26939</v>
      </c>
      <c r="J22181" t="s">
        <v>6774</v>
      </c>
    </row>
    <row r="22182" spans="9:10" x14ac:dyDescent="0.3">
      <c r="I22182" t="s">
        <v>26940</v>
      </c>
      <c r="J22182">
        <v>0</v>
      </c>
    </row>
    <row r="22183" spans="9:10" x14ac:dyDescent="0.3">
      <c r="I22183" t="s">
        <v>26941</v>
      </c>
    </row>
    <row r="22184" spans="9:10" x14ac:dyDescent="0.3">
      <c r="I22184" t="s">
        <v>26942</v>
      </c>
    </row>
    <row r="22185" spans="9:10" x14ac:dyDescent="0.3">
      <c r="I22185" t="s">
        <v>26943</v>
      </c>
    </row>
    <row r="22186" spans="9:10" x14ac:dyDescent="0.3">
      <c r="I22186" t="s">
        <v>26944</v>
      </c>
      <c r="J22186" t="s">
        <v>6775</v>
      </c>
    </row>
    <row r="22187" spans="9:10" x14ac:dyDescent="0.3">
      <c r="I22187" t="s">
        <v>26945</v>
      </c>
      <c r="J22187" t="s">
        <v>6776</v>
      </c>
    </row>
    <row r="22188" spans="9:10" x14ac:dyDescent="0.3">
      <c r="I22188" t="s">
        <v>26946</v>
      </c>
      <c r="J22188" t="s">
        <v>6777</v>
      </c>
    </row>
    <row r="22189" spans="9:10" x14ac:dyDescent="0.3">
      <c r="I22189" t="s">
        <v>26947</v>
      </c>
      <c r="J22189" t="s">
        <v>214</v>
      </c>
    </row>
    <row r="22190" spans="9:10" x14ac:dyDescent="0.3">
      <c r="I22190" t="s">
        <v>26948</v>
      </c>
      <c r="J22190" t="s">
        <v>6778</v>
      </c>
    </row>
    <row r="22191" spans="9:10" x14ac:dyDescent="0.3">
      <c r="I22191" t="s">
        <v>26949</v>
      </c>
      <c r="J22191" t="s">
        <v>6779</v>
      </c>
    </row>
    <row r="22192" spans="9:10" x14ac:dyDescent="0.3">
      <c r="I22192" t="s">
        <v>26950</v>
      </c>
    </row>
    <row r="22193" spans="9:10" x14ac:dyDescent="0.3">
      <c r="I22193" t="s">
        <v>26951</v>
      </c>
    </row>
    <row r="22194" spans="9:10" x14ac:dyDescent="0.3">
      <c r="I22194" t="s">
        <v>26952</v>
      </c>
      <c r="J22194" t="s">
        <v>6780</v>
      </c>
    </row>
    <row r="22195" spans="9:10" x14ac:dyDescent="0.3">
      <c r="I22195" t="s">
        <v>26953</v>
      </c>
      <c r="J22195" t="s">
        <v>6780</v>
      </c>
    </row>
    <row r="22196" spans="9:10" x14ac:dyDescent="0.3">
      <c r="I22196" t="s">
        <v>26954</v>
      </c>
      <c r="J22196" t="s">
        <v>6781</v>
      </c>
    </row>
    <row r="22197" spans="9:10" x14ac:dyDescent="0.3">
      <c r="I22197" t="s">
        <v>26955</v>
      </c>
      <c r="J22197">
        <v>0</v>
      </c>
    </row>
    <row r="22198" spans="9:10" x14ac:dyDescent="0.3">
      <c r="I22198" t="s">
        <v>26956</v>
      </c>
      <c r="J22198">
        <v>0</v>
      </c>
    </row>
    <row r="22199" spans="9:10" x14ac:dyDescent="0.3">
      <c r="I22199" t="s">
        <v>26957</v>
      </c>
      <c r="J22199" t="s">
        <v>6782</v>
      </c>
    </row>
    <row r="22200" spans="9:10" x14ac:dyDescent="0.3">
      <c r="I22200" t="s">
        <v>26958</v>
      </c>
      <c r="J22200" t="s">
        <v>6783</v>
      </c>
    </row>
    <row r="22201" spans="9:10" x14ac:dyDescent="0.3">
      <c r="I22201" t="s">
        <v>26959</v>
      </c>
      <c r="J22201" t="s">
        <v>6784</v>
      </c>
    </row>
    <row r="22202" spans="9:10" x14ac:dyDescent="0.3">
      <c r="I22202" t="s">
        <v>26960</v>
      </c>
      <c r="J22202" t="s">
        <v>6785</v>
      </c>
    </row>
    <row r="22203" spans="9:10" x14ac:dyDescent="0.3">
      <c r="I22203" t="s">
        <v>26961</v>
      </c>
      <c r="J22203" t="s">
        <v>6786</v>
      </c>
    </row>
    <row r="22204" spans="9:10" x14ac:dyDescent="0.3">
      <c r="I22204" t="s">
        <v>26961</v>
      </c>
      <c r="J22204" t="s">
        <v>6786</v>
      </c>
    </row>
    <row r="22205" spans="9:10" x14ac:dyDescent="0.3">
      <c r="I22205" t="s">
        <v>26961</v>
      </c>
      <c r="J22205" t="s">
        <v>6786</v>
      </c>
    </row>
    <row r="22206" spans="9:10" x14ac:dyDescent="0.3">
      <c r="I22206" t="s">
        <v>26962</v>
      </c>
      <c r="J22206" t="s">
        <v>6787</v>
      </c>
    </row>
    <row r="22207" spans="9:10" x14ac:dyDescent="0.3">
      <c r="I22207" t="s">
        <v>26963</v>
      </c>
      <c r="J22207" t="s">
        <v>6787</v>
      </c>
    </row>
    <row r="22208" spans="9:10" x14ac:dyDescent="0.3">
      <c r="I22208" t="s">
        <v>26964</v>
      </c>
    </row>
    <row r="22209" spans="9:10" x14ac:dyDescent="0.3">
      <c r="I22209" t="s">
        <v>26965</v>
      </c>
    </row>
    <row r="22210" spans="9:10" x14ac:dyDescent="0.3">
      <c r="I22210" t="s">
        <v>26966</v>
      </c>
      <c r="J22210" t="s">
        <v>894</v>
      </c>
    </row>
    <row r="22211" spans="9:10" x14ac:dyDescent="0.3">
      <c r="I22211" t="s">
        <v>26967</v>
      </c>
      <c r="J22211" t="s">
        <v>6788</v>
      </c>
    </row>
    <row r="22212" spans="9:10" x14ac:dyDescent="0.3">
      <c r="I22212" t="s">
        <v>26968</v>
      </c>
      <c r="J22212">
        <v>0</v>
      </c>
    </row>
    <row r="22213" spans="9:10" x14ac:dyDescent="0.3">
      <c r="I22213" t="s">
        <v>26969</v>
      </c>
      <c r="J22213">
        <v>0</v>
      </c>
    </row>
    <row r="22214" spans="9:10" x14ac:dyDescent="0.3">
      <c r="I22214" t="s">
        <v>26970</v>
      </c>
      <c r="J22214">
        <v>0</v>
      </c>
    </row>
    <row r="22215" spans="9:10" x14ac:dyDescent="0.3">
      <c r="I22215" t="s">
        <v>26971</v>
      </c>
      <c r="J22215" t="s">
        <v>371</v>
      </c>
    </row>
    <row r="22216" spans="9:10" x14ac:dyDescent="0.3">
      <c r="I22216" t="s">
        <v>26972</v>
      </c>
    </row>
    <row r="22217" spans="9:10" x14ac:dyDescent="0.3">
      <c r="I22217" t="s">
        <v>26973</v>
      </c>
      <c r="J22217" t="s">
        <v>6789</v>
      </c>
    </row>
    <row r="22218" spans="9:10" x14ac:dyDescent="0.3">
      <c r="I22218" t="s">
        <v>26974</v>
      </c>
      <c r="J22218" t="s">
        <v>6790</v>
      </c>
    </row>
    <row r="22219" spans="9:10" x14ac:dyDescent="0.3">
      <c r="I22219" t="s">
        <v>26975</v>
      </c>
      <c r="J22219" t="s">
        <v>6791</v>
      </c>
    </row>
    <row r="22220" spans="9:10" x14ac:dyDescent="0.3">
      <c r="I22220" t="s">
        <v>26976</v>
      </c>
      <c r="J22220" t="s">
        <v>6791</v>
      </c>
    </row>
    <row r="22221" spans="9:10" x14ac:dyDescent="0.3">
      <c r="I22221" t="s">
        <v>26977</v>
      </c>
      <c r="J22221">
        <v>0</v>
      </c>
    </row>
    <row r="22222" spans="9:10" x14ac:dyDescent="0.3">
      <c r="I22222" t="s">
        <v>26977</v>
      </c>
      <c r="J22222">
        <v>0</v>
      </c>
    </row>
    <row r="22223" spans="9:10" x14ac:dyDescent="0.3">
      <c r="I22223" t="s">
        <v>26977</v>
      </c>
      <c r="J22223">
        <v>0</v>
      </c>
    </row>
    <row r="22224" spans="9:10" x14ac:dyDescent="0.3">
      <c r="I22224" t="s">
        <v>26978</v>
      </c>
      <c r="J22224" t="s">
        <v>6792</v>
      </c>
    </row>
    <row r="22225" spans="9:10" x14ac:dyDescent="0.3">
      <c r="I22225" t="s">
        <v>26979</v>
      </c>
      <c r="J22225" t="s">
        <v>6793</v>
      </c>
    </row>
    <row r="22226" spans="9:10" x14ac:dyDescent="0.3">
      <c r="I22226" t="s">
        <v>26980</v>
      </c>
      <c r="J22226" t="s">
        <v>6794</v>
      </c>
    </row>
    <row r="22227" spans="9:10" x14ac:dyDescent="0.3">
      <c r="I22227" t="s">
        <v>26981</v>
      </c>
    </row>
    <row r="22228" spans="9:10" x14ac:dyDescent="0.3">
      <c r="I22228" t="s">
        <v>26982</v>
      </c>
      <c r="J22228" t="s">
        <v>6795</v>
      </c>
    </row>
    <row r="22229" spans="9:10" x14ac:dyDescent="0.3">
      <c r="I22229" t="s">
        <v>26983</v>
      </c>
      <c r="J22229" t="s">
        <v>6796</v>
      </c>
    </row>
    <row r="22230" spans="9:10" x14ac:dyDescent="0.3">
      <c r="I22230" t="s">
        <v>26984</v>
      </c>
      <c r="J22230" s="155" t="s">
        <v>6797</v>
      </c>
    </row>
    <row r="22231" spans="9:10" x14ac:dyDescent="0.3">
      <c r="I22231" t="s">
        <v>26985</v>
      </c>
      <c r="J22231" t="s">
        <v>6798</v>
      </c>
    </row>
    <row r="22232" spans="9:10" x14ac:dyDescent="0.3">
      <c r="I22232" t="s">
        <v>26986</v>
      </c>
      <c r="J22232" t="s">
        <v>6799</v>
      </c>
    </row>
    <row r="22233" spans="9:10" x14ac:dyDescent="0.3">
      <c r="I22233" t="s">
        <v>26987</v>
      </c>
      <c r="J22233" t="s">
        <v>6800</v>
      </c>
    </row>
    <row r="22234" spans="9:10" x14ac:dyDescent="0.3">
      <c r="I22234" t="s">
        <v>26988</v>
      </c>
      <c r="J22234" t="s">
        <v>6801</v>
      </c>
    </row>
    <row r="22235" spans="9:10" x14ac:dyDescent="0.3">
      <c r="I22235" t="s">
        <v>26989</v>
      </c>
      <c r="J22235" t="s">
        <v>6802</v>
      </c>
    </row>
    <row r="22236" spans="9:10" x14ac:dyDescent="0.3">
      <c r="I22236" t="s">
        <v>26990</v>
      </c>
      <c r="J22236" t="s">
        <v>6803</v>
      </c>
    </row>
    <row r="22237" spans="9:10" x14ac:dyDescent="0.3">
      <c r="I22237" t="s">
        <v>26991</v>
      </c>
      <c r="J22237" t="s">
        <v>6804</v>
      </c>
    </row>
    <row r="22238" spans="9:10" x14ac:dyDescent="0.3">
      <c r="I22238" t="s">
        <v>26992</v>
      </c>
      <c r="J22238" t="s">
        <v>6805</v>
      </c>
    </row>
    <row r="22239" spans="9:10" x14ac:dyDescent="0.3">
      <c r="I22239" t="s">
        <v>26993</v>
      </c>
      <c r="J22239" t="s">
        <v>6806</v>
      </c>
    </row>
    <row r="22240" spans="9:10" x14ac:dyDescent="0.3">
      <c r="I22240" t="s">
        <v>26994</v>
      </c>
      <c r="J22240" t="s">
        <v>6404</v>
      </c>
    </row>
    <row r="22241" spans="9:10" x14ac:dyDescent="0.3">
      <c r="I22241" t="s">
        <v>26995</v>
      </c>
      <c r="J22241" t="s">
        <v>6404</v>
      </c>
    </row>
    <row r="22242" spans="9:10" x14ac:dyDescent="0.3">
      <c r="I22242" t="s">
        <v>26996</v>
      </c>
      <c r="J22242" t="s">
        <v>6404</v>
      </c>
    </row>
    <row r="22243" spans="9:10" x14ac:dyDescent="0.3">
      <c r="I22243" t="s">
        <v>26997</v>
      </c>
    </row>
    <row r="22244" spans="9:10" x14ac:dyDescent="0.3">
      <c r="I22244" t="s">
        <v>26998</v>
      </c>
      <c r="J22244" t="s">
        <v>6807</v>
      </c>
    </row>
    <row r="22245" spans="9:10" x14ac:dyDescent="0.3">
      <c r="I22245" t="s">
        <v>26999</v>
      </c>
    </row>
    <row r="22246" spans="9:10" x14ac:dyDescent="0.3">
      <c r="I22246" t="s">
        <v>27000</v>
      </c>
      <c r="J22246" t="s">
        <v>6808</v>
      </c>
    </row>
    <row r="22247" spans="9:10" x14ac:dyDescent="0.3">
      <c r="I22247" t="s">
        <v>27001</v>
      </c>
      <c r="J22247" t="s">
        <v>6809</v>
      </c>
    </row>
    <row r="22248" spans="9:10" x14ac:dyDescent="0.3">
      <c r="I22248" t="s">
        <v>27002</v>
      </c>
      <c r="J22248" t="s">
        <v>6810</v>
      </c>
    </row>
    <row r="22249" spans="9:10" x14ac:dyDescent="0.3">
      <c r="I22249" t="s">
        <v>27003</v>
      </c>
      <c r="J22249" t="s">
        <v>6811</v>
      </c>
    </row>
    <row r="22250" spans="9:10" x14ac:dyDescent="0.3">
      <c r="I22250" t="s">
        <v>27003</v>
      </c>
      <c r="J22250" t="s">
        <v>6811</v>
      </c>
    </row>
    <row r="22251" spans="9:10" x14ac:dyDescent="0.3">
      <c r="I22251" t="s">
        <v>27003</v>
      </c>
      <c r="J22251" t="s">
        <v>6811</v>
      </c>
    </row>
    <row r="22252" spans="9:10" x14ac:dyDescent="0.3">
      <c r="I22252" t="s">
        <v>27004</v>
      </c>
      <c r="J22252" t="s">
        <v>2045</v>
      </c>
    </row>
    <row r="22253" spans="9:10" x14ac:dyDescent="0.3">
      <c r="I22253" t="s">
        <v>27005</v>
      </c>
    </row>
    <row r="22254" spans="9:10" x14ac:dyDescent="0.3">
      <c r="I22254" t="s">
        <v>27006</v>
      </c>
    </row>
    <row r="22255" spans="9:10" x14ac:dyDescent="0.3">
      <c r="I22255" t="s">
        <v>27007</v>
      </c>
      <c r="J22255" t="s">
        <v>6812</v>
      </c>
    </row>
    <row r="22256" spans="9:10" x14ac:dyDescent="0.3">
      <c r="I22256" t="s">
        <v>27008</v>
      </c>
      <c r="J22256" t="s">
        <v>6813</v>
      </c>
    </row>
    <row r="22257" spans="9:10" x14ac:dyDescent="0.3">
      <c r="I22257" t="s">
        <v>27009</v>
      </c>
      <c r="J22257" t="s">
        <v>6814</v>
      </c>
    </row>
    <row r="22258" spans="9:10" x14ac:dyDescent="0.3">
      <c r="I22258" t="s">
        <v>27010</v>
      </c>
      <c r="J22258" t="s">
        <v>6815</v>
      </c>
    </row>
    <row r="22259" spans="9:10" x14ac:dyDescent="0.3">
      <c r="I22259" t="s">
        <v>27011</v>
      </c>
      <c r="J22259" t="s">
        <v>6816</v>
      </c>
    </row>
    <row r="22260" spans="9:10" x14ac:dyDescent="0.3">
      <c r="I22260" t="s">
        <v>27012</v>
      </c>
      <c r="J22260" t="s">
        <v>6817</v>
      </c>
    </row>
    <row r="22261" spans="9:10" x14ac:dyDescent="0.3">
      <c r="I22261" t="s">
        <v>27013</v>
      </c>
      <c r="J22261" t="s">
        <v>6818</v>
      </c>
    </row>
    <row r="22262" spans="9:10" x14ac:dyDescent="0.3">
      <c r="I22262" t="s">
        <v>27014</v>
      </c>
      <c r="J22262" t="s">
        <v>6819</v>
      </c>
    </row>
    <row r="22263" spans="9:10" x14ac:dyDescent="0.3">
      <c r="I22263" t="s">
        <v>27015</v>
      </c>
      <c r="J22263" t="s">
        <v>6820</v>
      </c>
    </row>
    <row r="22264" spans="9:10" x14ac:dyDescent="0.3">
      <c r="I22264" t="s">
        <v>27016</v>
      </c>
      <c r="J22264" t="s">
        <v>6821</v>
      </c>
    </row>
    <row r="22265" spans="9:10" x14ac:dyDescent="0.3">
      <c r="I22265" t="s">
        <v>27017</v>
      </c>
      <c r="J22265" t="s">
        <v>6821</v>
      </c>
    </row>
    <row r="22266" spans="9:10" x14ac:dyDescent="0.3">
      <c r="I22266" t="s">
        <v>27018</v>
      </c>
      <c r="J22266" t="s">
        <v>6821</v>
      </c>
    </row>
    <row r="22267" spans="9:10" x14ac:dyDescent="0.3">
      <c r="I22267" t="s">
        <v>27017</v>
      </c>
      <c r="J22267" t="s">
        <v>6821</v>
      </c>
    </row>
    <row r="22268" spans="9:10" x14ac:dyDescent="0.3">
      <c r="I22268" t="s">
        <v>27019</v>
      </c>
      <c r="J22268" t="s">
        <v>6821</v>
      </c>
    </row>
    <row r="22269" spans="9:10" x14ac:dyDescent="0.3">
      <c r="I22269" t="s">
        <v>27020</v>
      </c>
      <c r="J22269" t="s">
        <v>6821</v>
      </c>
    </row>
    <row r="22270" spans="9:10" x14ac:dyDescent="0.3">
      <c r="I22270" t="s">
        <v>27018</v>
      </c>
      <c r="J22270" t="s">
        <v>6821</v>
      </c>
    </row>
    <row r="22271" spans="9:10" x14ac:dyDescent="0.3">
      <c r="I22271" t="s">
        <v>27021</v>
      </c>
      <c r="J22271" t="s">
        <v>6822</v>
      </c>
    </row>
    <row r="22272" spans="9:10" x14ac:dyDescent="0.3">
      <c r="I22272" t="s">
        <v>27022</v>
      </c>
      <c r="J22272" t="s">
        <v>6823</v>
      </c>
    </row>
    <row r="22273" spans="9:10" x14ac:dyDescent="0.3">
      <c r="I22273" t="s">
        <v>27023</v>
      </c>
      <c r="J22273" t="s">
        <v>6824</v>
      </c>
    </row>
    <row r="22274" spans="9:10" x14ac:dyDescent="0.3">
      <c r="I22274" t="s">
        <v>27024</v>
      </c>
      <c r="J22274" t="s">
        <v>6825</v>
      </c>
    </row>
    <row r="22275" spans="9:10" x14ac:dyDescent="0.3">
      <c r="I22275" t="s">
        <v>27025</v>
      </c>
      <c r="J22275" t="s">
        <v>6826</v>
      </c>
    </row>
    <row r="22276" spans="9:10" x14ac:dyDescent="0.3">
      <c r="I22276" t="s">
        <v>27026</v>
      </c>
      <c r="J22276" t="s">
        <v>6827</v>
      </c>
    </row>
    <row r="22277" spans="9:10" x14ac:dyDescent="0.3">
      <c r="I22277" t="s">
        <v>27027</v>
      </c>
      <c r="J22277" t="s">
        <v>6828</v>
      </c>
    </row>
    <row r="22278" spans="9:10" x14ac:dyDescent="0.3">
      <c r="I22278" t="s">
        <v>27028</v>
      </c>
      <c r="J22278" t="s">
        <v>6829</v>
      </c>
    </row>
    <row r="22279" spans="9:10" x14ac:dyDescent="0.3">
      <c r="I22279" t="s">
        <v>27029</v>
      </c>
      <c r="J22279" t="s">
        <v>6830</v>
      </c>
    </row>
    <row r="22280" spans="9:10" x14ac:dyDescent="0.3">
      <c r="I22280" t="s">
        <v>27029</v>
      </c>
      <c r="J22280" t="s">
        <v>6830</v>
      </c>
    </row>
    <row r="22281" spans="9:10" x14ac:dyDescent="0.3">
      <c r="I22281" t="s">
        <v>27029</v>
      </c>
      <c r="J22281" t="s">
        <v>6830</v>
      </c>
    </row>
    <row r="22282" spans="9:10" x14ac:dyDescent="0.3">
      <c r="I22282" t="s">
        <v>27029</v>
      </c>
      <c r="J22282" t="s">
        <v>6830</v>
      </c>
    </row>
    <row r="22283" spans="9:10" x14ac:dyDescent="0.3">
      <c r="I22283" t="s">
        <v>27030</v>
      </c>
      <c r="J22283" t="s">
        <v>6831</v>
      </c>
    </row>
    <row r="22284" spans="9:10" x14ac:dyDescent="0.3">
      <c r="I22284" t="s">
        <v>27031</v>
      </c>
      <c r="J22284" t="s">
        <v>6832</v>
      </c>
    </row>
    <row r="22285" spans="9:10" x14ac:dyDescent="0.3">
      <c r="I22285" t="s">
        <v>27032</v>
      </c>
      <c r="J22285" t="s">
        <v>6833</v>
      </c>
    </row>
    <row r="22286" spans="9:10" x14ac:dyDescent="0.3">
      <c r="I22286" t="s">
        <v>27033</v>
      </c>
      <c r="J22286" t="s">
        <v>6834</v>
      </c>
    </row>
    <row r="22287" spans="9:10" x14ac:dyDescent="0.3">
      <c r="I22287" t="s">
        <v>27033</v>
      </c>
      <c r="J22287" t="s">
        <v>6834</v>
      </c>
    </row>
    <row r="22288" spans="9:10" x14ac:dyDescent="0.3">
      <c r="I22288" t="s">
        <v>27034</v>
      </c>
      <c r="J22288" t="s">
        <v>6835</v>
      </c>
    </row>
    <row r="22289" spans="9:10" x14ac:dyDescent="0.3">
      <c r="I22289" t="s">
        <v>27035</v>
      </c>
      <c r="J22289" t="s">
        <v>6836</v>
      </c>
    </row>
    <row r="22290" spans="9:10" x14ac:dyDescent="0.3">
      <c r="I22290" t="s">
        <v>27036</v>
      </c>
      <c r="J22290" t="s">
        <v>6837</v>
      </c>
    </row>
    <row r="22291" spans="9:10" x14ac:dyDescent="0.3">
      <c r="I22291" t="s">
        <v>27037</v>
      </c>
      <c r="J22291" t="s">
        <v>6838</v>
      </c>
    </row>
    <row r="22292" spans="9:10" x14ac:dyDescent="0.3">
      <c r="I22292" t="s">
        <v>27038</v>
      </c>
      <c r="J22292" t="s">
        <v>6839</v>
      </c>
    </row>
    <row r="22293" spans="9:10" x14ac:dyDescent="0.3">
      <c r="I22293" t="s">
        <v>27039</v>
      </c>
      <c r="J22293" t="s">
        <v>6840</v>
      </c>
    </row>
    <row r="22294" spans="9:10" x14ac:dyDescent="0.3">
      <c r="I22294" t="s">
        <v>27040</v>
      </c>
    </row>
    <row r="22295" spans="9:10" x14ac:dyDescent="0.3">
      <c r="I22295" t="s">
        <v>27041</v>
      </c>
      <c r="J22295" t="s">
        <v>6841</v>
      </c>
    </row>
    <row r="22296" spans="9:10" x14ac:dyDescent="0.3">
      <c r="I22296" t="s">
        <v>27042</v>
      </c>
      <c r="J22296" t="s">
        <v>6842</v>
      </c>
    </row>
    <row r="22297" spans="9:10" x14ac:dyDescent="0.3">
      <c r="I22297" t="s">
        <v>27043</v>
      </c>
      <c r="J22297" t="s">
        <v>757</v>
      </c>
    </row>
    <row r="22298" spans="9:10" x14ac:dyDescent="0.3">
      <c r="I22298" t="s">
        <v>27044</v>
      </c>
      <c r="J22298" t="s">
        <v>6843</v>
      </c>
    </row>
    <row r="22299" spans="9:10" x14ac:dyDescent="0.3">
      <c r="I22299" t="s">
        <v>27045</v>
      </c>
      <c r="J22299" t="s">
        <v>6844</v>
      </c>
    </row>
    <row r="22300" spans="9:10" x14ac:dyDescent="0.3">
      <c r="I22300" t="s">
        <v>27046</v>
      </c>
      <c r="J22300" t="s">
        <v>6845</v>
      </c>
    </row>
    <row r="22301" spans="9:10" x14ac:dyDescent="0.3">
      <c r="I22301" t="s">
        <v>27046</v>
      </c>
      <c r="J22301" t="s">
        <v>6845</v>
      </c>
    </row>
    <row r="22302" spans="9:10" x14ac:dyDescent="0.3">
      <c r="I22302" t="s">
        <v>27046</v>
      </c>
      <c r="J22302" t="s">
        <v>6845</v>
      </c>
    </row>
    <row r="22303" spans="9:10" x14ac:dyDescent="0.3">
      <c r="I22303" t="s">
        <v>27046</v>
      </c>
      <c r="J22303" t="s">
        <v>6845</v>
      </c>
    </row>
    <row r="22304" spans="9:10" x14ac:dyDescent="0.3">
      <c r="I22304" t="s">
        <v>27047</v>
      </c>
      <c r="J22304" t="s">
        <v>6846</v>
      </c>
    </row>
    <row r="22305" spans="9:10" x14ac:dyDescent="0.3">
      <c r="I22305" t="s">
        <v>27048</v>
      </c>
      <c r="J22305" t="s">
        <v>6847</v>
      </c>
    </row>
    <row r="22306" spans="9:10" x14ac:dyDescent="0.3">
      <c r="I22306" t="s">
        <v>27049</v>
      </c>
      <c r="J22306" t="s">
        <v>6848</v>
      </c>
    </row>
    <row r="22307" spans="9:10" x14ac:dyDescent="0.3">
      <c r="I22307" t="s">
        <v>27050</v>
      </c>
      <c r="J22307" t="s">
        <v>6849</v>
      </c>
    </row>
    <row r="22308" spans="9:10" x14ac:dyDescent="0.3">
      <c r="I22308" t="s">
        <v>27051</v>
      </c>
      <c r="J22308" t="s">
        <v>6850</v>
      </c>
    </row>
    <row r="22309" spans="9:10" x14ac:dyDescent="0.3">
      <c r="I22309" t="s">
        <v>27051</v>
      </c>
      <c r="J22309" t="s">
        <v>6850</v>
      </c>
    </row>
    <row r="22310" spans="9:10" x14ac:dyDescent="0.3">
      <c r="I22310" t="s">
        <v>27052</v>
      </c>
      <c r="J22310" t="s">
        <v>6851</v>
      </c>
    </row>
    <row r="22311" spans="9:10" x14ac:dyDescent="0.3">
      <c r="I22311" t="s">
        <v>27053</v>
      </c>
      <c r="J22311" t="s">
        <v>6852</v>
      </c>
    </row>
    <row r="22312" spans="9:10" x14ac:dyDescent="0.3">
      <c r="I22312" t="s">
        <v>27054</v>
      </c>
      <c r="J22312" t="s">
        <v>6853</v>
      </c>
    </row>
    <row r="22313" spans="9:10" x14ac:dyDescent="0.3">
      <c r="I22313" t="s">
        <v>27054</v>
      </c>
      <c r="J22313" t="s">
        <v>6853</v>
      </c>
    </row>
    <row r="22314" spans="9:10" x14ac:dyDescent="0.3">
      <c r="I22314" t="s">
        <v>27055</v>
      </c>
    </row>
    <row r="22315" spans="9:10" x14ac:dyDescent="0.3">
      <c r="I22315" t="s">
        <v>27056</v>
      </c>
      <c r="J22315" t="s">
        <v>6854</v>
      </c>
    </row>
    <row r="22316" spans="9:10" x14ac:dyDescent="0.3">
      <c r="I22316" t="s">
        <v>27057</v>
      </c>
      <c r="J22316" t="s">
        <v>6854</v>
      </c>
    </row>
    <row r="22317" spans="9:10" x14ac:dyDescent="0.3">
      <c r="I22317" t="s">
        <v>27058</v>
      </c>
      <c r="J22317">
        <v>0</v>
      </c>
    </row>
    <row r="22318" spans="9:10" x14ac:dyDescent="0.3">
      <c r="I22318" t="s">
        <v>27059</v>
      </c>
      <c r="J22318" t="s">
        <v>6855</v>
      </c>
    </row>
    <row r="22319" spans="9:10" x14ac:dyDescent="0.3">
      <c r="I22319" t="s">
        <v>27060</v>
      </c>
      <c r="J22319" t="s">
        <v>6856</v>
      </c>
    </row>
    <row r="22320" spans="9:10" x14ac:dyDescent="0.3">
      <c r="I22320" t="s">
        <v>27061</v>
      </c>
      <c r="J22320" t="s">
        <v>6857</v>
      </c>
    </row>
    <row r="22321" spans="9:10" x14ac:dyDescent="0.3">
      <c r="I22321" t="s">
        <v>27062</v>
      </c>
      <c r="J22321" t="s">
        <v>6857</v>
      </c>
    </row>
    <row r="22322" spans="9:10" x14ac:dyDescent="0.3">
      <c r="I22322" t="s">
        <v>27063</v>
      </c>
      <c r="J22322" t="s">
        <v>6858</v>
      </c>
    </row>
    <row r="22323" spans="9:10" x14ac:dyDescent="0.3">
      <c r="I22323" t="s">
        <v>27064</v>
      </c>
      <c r="J22323" t="s">
        <v>6859</v>
      </c>
    </row>
    <row r="22324" spans="9:10" x14ac:dyDescent="0.3">
      <c r="I22324" t="s">
        <v>27065</v>
      </c>
      <c r="J22324" t="s">
        <v>6860</v>
      </c>
    </row>
    <row r="22325" spans="9:10" x14ac:dyDescent="0.3">
      <c r="I22325" t="s">
        <v>27066</v>
      </c>
      <c r="J22325" t="s">
        <v>6861</v>
      </c>
    </row>
    <row r="22326" spans="9:10" x14ac:dyDescent="0.3">
      <c r="I22326" t="s">
        <v>27067</v>
      </c>
      <c r="J22326" t="s">
        <v>6861</v>
      </c>
    </row>
    <row r="22327" spans="9:10" x14ac:dyDescent="0.3">
      <c r="I22327" t="s">
        <v>27068</v>
      </c>
      <c r="J22327" t="s">
        <v>6862</v>
      </c>
    </row>
    <row r="22328" spans="9:10" x14ac:dyDescent="0.3">
      <c r="I22328" t="s">
        <v>27069</v>
      </c>
    </row>
    <row r="22329" spans="9:10" x14ac:dyDescent="0.3">
      <c r="I22329" t="s">
        <v>27070</v>
      </c>
      <c r="J22329" t="s">
        <v>6863</v>
      </c>
    </row>
    <row r="22330" spans="9:10" x14ac:dyDescent="0.3">
      <c r="I22330" t="s">
        <v>27071</v>
      </c>
      <c r="J22330">
        <v>0</v>
      </c>
    </row>
    <row r="22331" spans="9:10" x14ac:dyDescent="0.3">
      <c r="I22331" t="s">
        <v>27072</v>
      </c>
      <c r="J22331" t="s">
        <v>6864</v>
      </c>
    </row>
    <row r="22332" spans="9:10" x14ac:dyDescent="0.3">
      <c r="I22332" t="s">
        <v>27073</v>
      </c>
      <c r="J22332" t="s">
        <v>6865</v>
      </c>
    </row>
    <row r="22333" spans="9:10" x14ac:dyDescent="0.3">
      <c r="I22333" t="s">
        <v>27074</v>
      </c>
      <c r="J22333" t="s">
        <v>6866</v>
      </c>
    </row>
    <row r="22334" spans="9:10" x14ac:dyDescent="0.3">
      <c r="I22334" t="s">
        <v>27074</v>
      </c>
      <c r="J22334" t="s">
        <v>6866</v>
      </c>
    </row>
    <row r="22335" spans="9:10" x14ac:dyDescent="0.3">
      <c r="I22335" t="s">
        <v>27075</v>
      </c>
    </row>
    <row r="22336" spans="9:10" x14ac:dyDescent="0.3">
      <c r="I22336" t="s">
        <v>27076</v>
      </c>
      <c r="J22336" t="s">
        <v>6867</v>
      </c>
    </row>
    <row r="22337" spans="9:10" x14ac:dyDescent="0.3">
      <c r="I22337" t="s">
        <v>27077</v>
      </c>
      <c r="J22337" t="s">
        <v>6868</v>
      </c>
    </row>
    <row r="22338" spans="9:10" x14ac:dyDescent="0.3">
      <c r="I22338" t="s">
        <v>27078</v>
      </c>
      <c r="J22338" t="s">
        <v>6869</v>
      </c>
    </row>
    <row r="22339" spans="9:10" x14ac:dyDescent="0.3">
      <c r="I22339" t="s">
        <v>27079</v>
      </c>
      <c r="J22339" t="s">
        <v>6870</v>
      </c>
    </row>
    <row r="22340" spans="9:10" x14ac:dyDescent="0.3">
      <c r="I22340" t="s">
        <v>27079</v>
      </c>
      <c r="J22340" t="s">
        <v>6870</v>
      </c>
    </row>
    <row r="22341" spans="9:10" x14ac:dyDescent="0.3">
      <c r="I22341" t="s">
        <v>27080</v>
      </c>
      <c r="J22341" t="s">
        <v>6871</v>
      </c>
    </row>
    <row r="22342" spans="9:10" x14ac:dyDescent="0.3">
      <c r="I22342" t="s">
        <v>27081</v>
      </c>
      <c r="J22342" t="s">
        <v>6872</v>
      </c>
    </row>
    <row r="22343" spans="9:10" x14ac:dyDescent="0.3">
      <c r="I22343" t="s">
        <v>27082</v>
      </c>
      <c r="J22343" t="s">
        <v>6872</v>
      </c>
    </row>
    <row r="22344" spans="9:10" x14ac:dyDescent="0.3">
      <c r="I22344" t="s">
        <v>27083</v>
      </c>
      <c r="J22344" t="s">
        <v>6873</v>
      </c>
    </row>
    <row r="22345" spans="9:10" x14ac:dyDescent="0.3">
      <c r="I22345" t="s">
        <v>27084</v>
      </c>
      <c r="J22345" t="s">
        <v>6874</v>
      </c>
    </row>
    <row r="22346" spans="9:10" x14ac:dyDescent="0.3">
      <c r="I22346" t="s">
        <v>27085</v>
      </c>
      <c r="J22346" t="s">
        <v>6875</v>
      </c>
    </row>
    <row r="22347" spans="9:10" x14ac:dyDescent="0.3">
      <c r="I22347" t="s">
        <v>27086</v>
      </c>
    </row>
    <row r="22348" spans="9:10" x14ac:dyDescent="0.3">
      <c r="I22348" t="s">
        <v>27087</v>
      </c>
    </row>
    <row r="22349" spans="9:10" x14ac:dyDescent="0.3">
      <c r="I22349" t="s">
        <v>27088</v>
      </c>
      <c r="J22349" t="s">
        <v>6876</v>
      </c>
    </row>
    <row r="22350" spans="9:10" x14ac:dyDescent="0.3">
      <c r="I22350" t="s">
        <v>27089</v>
      </c>
      <c r="J22350" t="s">
        <v>6877</v>
      </c>
    </row>
    <row r="22351" spans="9:10" x14ac:dyDescent="0.3">
      <c r="I22351" t="s">
        <v>27090</v>
      </c>
      <c r="J22351" t="s">
        <v>6878</v>
      </c>
    </row>
    <row r="22352" spans="9:10" x14ac:dyDescent="0.3">
      <c r="I22352" t="s">
        <v>27091</v>
      </c>
      <c r="J22352" t="s">
        <v>6879</v>
      </c>
    </row>
    <row r="22353" spans="9:10" x14ac:dyDescent="0.3">
      <c r="I22353" t="s">
        <v>27092</v>
      </c>
      <c r="J22353" t="s">
        <v>6880</v>
      </c>
    </row>
    <row r="22354" spans="9:10" x14ac:dyDescent="0.3">
      <c r="I22354" t="s">
        <v>27093</v>
      </c>
      <c r="J22354" t="s">
        <v>6881</v>
      </c>
    </row>
    <row r="22355" spans="9:10" x14ac:dyDescent="0.3">
      <c r="I22355" t="s">
        <v>27094</v>
      </c>
      <c r="J22355" t="s">
        <v>6882</v>
      </c>
    </row>
    <row r="22356" spans="9:10" x14ac:dyDescent="0.3">
      <c r="I22356" t="s">
        <v>27095</v>
      </c>
      <c r="J22356" t="s">
        <v>6883</v>
      </c>
    </row>
    <row r="22357" spans="9:10" x14ac:dyDescent="0.3">
      <c r="I22357" t="s">
        <v>27096</v>
      </c>
      <c r="J22357" t="s">
        <v>6884</v>
      </c>
    </row>
    <row r="22358" spans="9:10" x14ac:dyDescent="0.3">
      <c r="I22358" t="s">
        <v>27097</v>
      </c>
      <c r="J22358" t="s">
        <v>6885</v>
      </c>
    </row>
    <row r="22359" spans="9:10" x14ac:dyDescent="0.3">
      <c r="I22359" t="s">
        <v>27098</v>
      </c>
      <c r="J22359" t="s">
        <v>6885</v>
      </c>
    </row>
    <row r="22360" spans="9:10" x14ac:dyDescent="0.3">
      <c r="I22360" t="s">
        <v>27099</v>
      </c>
      <c r="J22360" t="s">
        <v>6885</v>
      </c>
    </row>
    <row r="22361" spans="9:10" x14ac:dyDescent="0.3">
      <c r="I22361" t="s">
        <v>27100</v>
      </c>
      <c r="J22361" t="s">
        <v>6886</v>
      </c>
    </row>
    <row r="22362" spans="9:10" x14ac:dyDescent="0.3">
      <c r="I22362" t="s">
        <v>27100</v>
      </c>
      <c r="J22362" t="s">
        <v>6886</v>
      </c>
    </row>
    <row r="22363" spans="9:10" x14ac:dyDescent="0.3">
      <c r="I22363" t="s">
        <v>27101</v>
      </c>
      <c r="J22363" t="s">
        <v>6887</v>
      </c>
    </row>
    <row r="22364" spans="9:10" x14ac:dyDescent="0.3">
      <c r="I22364" t="s">
        <v>27102</v>
      </c>
      <c r="J22364" t="s">
        <v>6888</v>
      </c>
    </row>
    <row r="22365" spans="9:10" x14ac:dyDescent="0.3">
      <c r="I22365" t="s">
        <v>27103</v>
      </c>
      <c r="J22365" t="s">
        <v>6889</v>
      </c>
    </row>
    <row r="22366" spans="9:10" x14ac:dyDescent="0.3">
      <c r="I22366" t="s">
        <v>27104</v>
      </c>
      <c r="J22366" t="s">
        <v>6890</v>
      </c>
    </row>
    <row r="22367" spans="9:10" x14ac:dyDescent="0.3">
      <c r="I22367" t="s">
        <v>27105</v>
      </c>
      <c r="J22367" t="s">
        <v>6891</v>
      </c>
    </row>
    <row r="22368" spans="9:10" x14ac:dyDescent="0.3">
      <c r="I22368" t="s">
        <v>27106</v>
      </c>
      <c r="J22368" t="s">
        <v>6892</v>
      </c>
    </row>
    <row r="22369" spans="9:10" x14ac:dyDescent="0.3">
      <c r="I22369" t="s">
        <v>27107</v>
      </c>
      <c r="J22369" t="s">
        <v>6893</v>
      </c>
    </row>
    <row r="22370" spans="9:10" x14ac:dyDescent="0.3">
      <c r="I22370" t="s">
        <v>27108</v>
      </c>
      <c r="J22370" t="s">
        <v>6894</v>
      </c>
    </row>
    <row r="22371" spans="9:10" x14ac:dyDescent="0.3">
      <c r="I22371" t="s">
        <v>27109</v>
      </c>
      <c r="J22371" t="s">
        <v>6895</v>
      </c>
    </row>
    <row r="22372" spans="9:10" x14ac:dyDescent="0.3">
      <c r="I22372" t="s">
        <v>27110</v>
      </c>
      <c r="J22372" t="s">
        <v>6896</v>
      </c>
    </row>
    <row r="22373" spans="9:10" x14ac:dyDescent="0.3">
      <c r="I22373" t="s">
        <v>27110</v>
      </c>
      <c r="J22373" t="s">
        <v>6896</v>
      </c>
    </row>
    <row r="22374" spans="9:10" x14ac:dyDescent="0.3">
      <c r="I22374" t="s">
        <v>27111</v>
      </c>
      <c r="J22374" t="s">
        <v>6897</v>
      </c>
    </row>
    <row r="22375" spans="9:10" x14ac:dyDescent="0.3">
      <c r="I22375" t="s">
        <v>27112</v>
      </c>
      <c r="J22375" t="s">
        <v>6897</v>
      </c>
    </row>
    <row r="22376" spans="9:10" x14ac:dyDescent="0.3">
      <c r="I22376" t="s">
        <v>27113</v>
      </c>
      <c r="J22376" t="s">
        <v>6898</v>
      </c>
    </row>
    <row r="22377" spans="9:10" x14ac:dyDescent="0.3">
      <c r="I22377" t="s">
        <v>27114</v>
      </c>
    </row>
    <row r="22378" spans="9:10" x14ac:dyDescent="0.3">
      <c r="I22378" t="s">
        <v>27115</v>
      </c>
    </row>
    <row r="22379" spans="9:10" x14ac:dyDescent="0.3">
      <c r="I22379" t="s">
        <v>27116</v>
      </c>
    </row>
    <row r="22380" spans="9:10" x14ac:dyDescent="0.3">
      <c r="I22380" t="s">
        <v>27117</v>
      </c>
    </row>
    <row r="22381" spans="9:10" x14ac:dyDescent="0.3">
      <c r="I22381" t="s">
        <v>27118</v>
      </c>
      <c r="J22381" t="s">
        <v>6899</v>
      </c>
    </row>
    <row r="22382" spans="9:10" x14ac:dyDescent="0.3">
      <c r="I22382" t="s">
        <v>27119</v>
      </c>
      <c r="J22382" t="s">
        <v>6899</v>
      </c>
    </row>
    <row r="22383" spans="9:10" x14ac:dyDescent="0.3">
      <c r="I22383" t="s">
        <v>27120</v>
      </c>
    </row>
    <row r="22384" spans="9:10" x14ac:dyDescent="0.3">
      <c r="I22384" t="s">
        <v>27121</v>
      </c>
    </row>
    <row r="22385" spans="9:10" x14ac:dyDescent="0.3">
      <c r="I22385" t="s">
        <v>27122</v>
      </c>
      <c r="J22385" t="s">
        <v>6900</v>
      </c>
    </row>
    <row r="22386" spans="9:10" x14ac:dyDescent="0.3">
      <c r="I22386" t="s">
        <v>27123</v>
      </c>
      <c r="J22386" t="s">
        <v>6900</v>
      </c>
    </row>
    <row r="22387" spans="9:10" x14ac:dyDescent="0.3">
      <c r="I22387" t="s">
        <v>27124</v>
      </c>
      <c r="J22387" t="s">
        <v>6901</v>
      </c>
    </row>
    <row r="22388" spans="9:10" x14ac:dyDescent="0.3">
      <c r="I22388" t="s">
        <v>27124</v>
      </c>
      <c r="J22388" t="s">
        <v>6901</v>
      </c>
    </row>
    <row r="22389" spans="9:10" x14ac:dyDescent="0.3">
      <c r="I22389" t="s">
        <v>27125</v>
      </c>
    </row>
    <row r="22390" spans="9:10" x14ac:dyDescent="0.3">
      <c r="I22390" t="s">
        <v>27126</v>
      </c>
      <c r="J22390">
        <v>0</v>
      </c>
    </row>
    <row r="22391" spans="9:10" x14ac:dyDescent="0.3">
      <c r="I22391" t="s">
        <v>27127</v>
      </c>
    </row>
    <row r="22392" spans="9:10" x14ac:dyDescent="0.3">
      <c r="I22392" t="s">
        <v>27128</v>
      </c>
      <c r="J22392" t="s">
        <v>6902</v>
      </c>
    </row>
    <row r="22393" spans="9:10" x14ac:dyDescent="0.3">
      <c r="I22393" t="s">
        <v>27129</v>
      </c>
      <c r="J22393" t="s">
        <v>6902</v>
      </c>
    </row>
    <row r="22394" spans="9:10" x14ac:dyDescent="0.3">
      <c r="I22394" t="s">
        <v>27130</v>
      </c>
      <c r="J22394" t="s">
        <v>6902</v>
      </c>
    </row>
    <row r="22395" spans="9:10" x14ac:dyDescent="0.3">
      <c r="I22395" t="s">
        <v>27131</v>
      </c>
      <c r="J22395" t="s">
        <v>6902</v>
      </c>
    </row>
    <row r="22396" spans="9:10" x14ac:dyDescent="0.3">
      <c r="I22396" t="s">
        <v>27131</v>
      </c>
      <c r="J22396" t="s">
        <v>6902</v>
      </c>
    </row>
    <row r="22397" spans="9:10" x14ac:dyDescent="0.3">
      <c r="I22397" t="s">
        <v>27131</v>
      </c>
      <c r="J22397" t="s">
        <v>6902</v>
      </c>
    </row>
    <row r="22398" spans="9:10" x14ac:dyDescent="0.3">
      <c r="I22398" t="s">
        <v>27132</v>
      </c>
      <c r="J22398" t="s">
        <v>6903</v>
      </c>
    </row>
    <row r="22399" spans="9:10" x14ac:dyDescent="0.3">
      <c r="I22399" t="s">
        <v>27133</v>
      </c>
      <c r="J22399" t="s">
        <v>6904</v>
      </c>
    </row>
    <row r="22400" spans="9:10" x14ac:dyDescent="0.3">
      <c r="I22400" t="s">
        <v>27134</v>
      </c>
    </row>
    <row r="22401" spans="9:10" x14ac:dyDescent="0.3">
      <c r="I22401" t="s">
        <v>27135</v>
      </c>
      <c r="J22401" t="s">
        <v>6905</v>
      </c>
    </row>
    <row r="22402" spans="9:10" x14ac:dyDescent="0.3">
      <c r="I22402" t="s">
        <v>27136</v>
      </c>
    </row>
    <row r="22403" spans="9:10" x14ac:dyDescent="0.3">
      <c r="I22403" t="s">
        <v>27137</v>
      </c>
      <c r="J22403" t="s">
        <v>6906</v>
      </c>
    </row>
    <row r="22404" spans="9:10" x14ac:dyDescent="0.3">
      <c r="I22404" t="s">
        <v>27138</v>
      </c>
      <c r="J22404" t="s">
        <v>2931</v>
      </c>
    </row>
    <row r="22405" spans="9:10" x14ac:dyDescent="0.3">
      <c r="I22405" t="s">
        <v>27139</v>
      </c>
      <c r="J22405" t="s">
        <v>6907</v>
      </c>
    </row>
    <row r="22406" spans="9:10" x14ac:dyDescent="0.3">
      <c r="I22406" t="s">
        <v>27140</v>
      </c>
      <c r="J22406" t="s">
        <v>6908</v>
      </c>
    </row>
    <row r="22407" spans="9:10" x14ac:dyDescent="0.3">
      <c r="I22407" t="s">
        <v>27141</v>
      </c>
      <c r="J22407" t="s">
        <v>6909</v>
      </c>
    </row>
    <row r="22408" spans="9:10" x14ac:dyDescent="0.3">
      <c r="I22408" t="s">
        <v>27142</v>
      </c>
      <c r="J22408" t="s">
        <v>6910</v>
      </c>
    </row>
    <row r="22409" spans="9:10" x14ac:dyDescent="0.3">
      <c r="I22409" t="s">
        <v>27142</v>
      </c>
      <c r="J22409" t="s">
        <v>6910</v>
      </c>
    </row>
    <row r="22410" spans="9:10" x14ac:dyDescent="0.3">
      <c r="I22410" t="s">
        <v>27143</v>
      </c>
      <c r="J22410" t="s">
        <v>6911</v>
      </c>
    </row>
    <row r="22411" spans="9:10" x14ac:dyDescent="0.3">
      <c r="I22411" t="s">
        <v>27144</v>
      </c>
    </row>
    <row r="22412" spans="9:10" x14ac:dyDescent="0.3">
      <c r="I22412" t="s">
        <v>27145</v>
      </c>
      <c r="J22412" t="s">
        <v>6912</v>
      </c>
    </row>
    <row r="22413" spans="9:10" x14ac:dyDescent="0.3">
      <c r="I22413" t="s">
        <v>27146</v>
      </c>
      <c r="J22413" t="s">
        <v>6913</v>
      </c>
    </row>
    <row r="22414" spans="9:10" x14ac:dyDescent="0.3">
      <c r="I22414" t="s">
        <v>27147</v>
      </c>
      <c r="J22414" t="s">
        <v>6914</v>
      </c>
    </row>
    <row r="22415" spans="9:10" x14ac:dyDescent="0.3">
      <c r="I22415" t="s">
        <v>27148</v>
      </c>
      <c r="J22415" t="s">
        <v>6915</v>
      </c>
    </row>
    <row r="22416" spans="9:10" x14ac:dyDescent="0.3">
      <c r="I22416" t="s">
        <v>27149</v>
      </c>
      <c r="J22416" t="s">
        <v>6916</v>
      </c>
    </row>
    <row r="22417" spans="9:10" x14ac:dyDescent="0.3">
      <c r="I22417" t="s">
        <v>27150</v>
      </c>
      <c r="J22417" t="s">
        <v>6917</v>
      </c>
    </row>
    <row r="22418" spans="9:10" x14ac:dyDescent="0.3">
      <c r="I22418" t="s">
        <v>27151</v>
      </c>
      <c r="J22418" t="s">
        <v>6918</v>
      </c>
    </row>
    <row r="22419" spans="9:10" x14ac:dyDescent="0.3">
      <c r="I22419" t="s">
        <v>27152</v>
      </c>
      <c r="J22419" t="s">
        <v>6919</v>
      </c>
    </row>
    <row r="22420" spans="9:10" x14ac:dyDescent="0.3">
      <c r="I22420" t="s">
        <v>27153</v>
      </c>
      <c r="J22420" t="s">
        <v>6920</v>
      </c>
    </row>
    <row r="22421" spans="9:10" x14ac:dyDescent="0.3">
      <c r="I22421" t="s">
        <v>27154</v>
      </c>
      <c r="J22421" t="s">
        <v>6921</v>
      </c>
    </row>
    <row r="22422" spans="9:10" x14ac:dyDescent="0.3">
      <c r="I22422" t="s">
        <v>27155</v>
      </c>
    </row>
    <row r="22423" spans="9:10" x14ac:dyDescent="0.3">
      <c r="I22423" t="s">
        <v>27156</v>
      </c>
    </row>
    <row r="22424" spans="9:10" x14ac:dyDescent="0.3">
      <c r="I22424" t="s">
        <v>27157</v>
      </c>
      <c r="J22424" t="s">
        <v>6922</v>
      </c>
    </row>
    <row r="22425" spans="9:10" x14ac:dyDescent="0.3">
      <c r="I22425" t="s">
        <v>27158</v>
      </c>
      <c r="J22425" t="s">
        <v>6922</v>
      </c>
    </row>
    <row r="22426" spans="9:10" x14ac:dyDescent="0.3">
      <c r="I22426" t="s">
        <v>27159</v>
      </c>
      <c r="J22426" t="s">
        <v>6923</v>
      </c>
    </row>
    <row r="22427" spans="9:10" x14ac:dyDescent="0.3">
      <c r="I22427" t="s">
        <v>27160</v>
      </c>
    </row>
    <row r="22428" spans="9:10" x14ac:dyDescent="0.3">
      <c r="I22428" t="s">
        <v>27161</v>
      </c>
    </row>
    <row r="22429" spans="9:10" x14ac:dyDescent="0.3">
      <c r="I22429" t="s">
        <v>27161</v>
      </c>
    </row>
    <row r="22430" spans="9:10" x14ac:dyDescent="0.3">
      <c r="I22430" t="s">
        <v>27162</v>
      </c>
    </row>
    <row r="22431" spans="9:10" x14ac:dyDescent="0.3">
      <c r="I22431" t="s">
        <v>27163</v>
      </c>
    </row>
    <row r="22432" spans="9:10" x14ac:dyDescent="0.3">
      <c r="I22432" t="s">
        <v>27164</v>
      </c>
      <c r="J22432" t="s">
        <v>6924</v>
      </c>
    </row>
    <row r="22433" spans="9:10" x14ac:dyDescent="0.3">
      <c r="I22433" t="s">
        <v>27164</v>
      </c>
      <c r="J22433" t="s">
        <v>6924</v>
      </c>
    </row>
    <row r="22434" spans="9:10" x14ac:dyDescent="0.3">
      <c r="I22434" t="s">
        <v>27165</v>
      </c>
      <c r="J22434" t="s">
        <v>6925</v>
      </c>
    </row>
    <row r="22435" spans="9:10" x14ac:dyDescent="0.3">
      <c r="I22435" t="s">
        <v>27166</v>
      </c>
    </row>
    <row r="22436" spans="9:10" x14ac:dyDescent="0.3">
      <c r="I22436" t="s">
        <v>27167</v>
      </c>
      <c r="J22436" t="s">
        <v>6926</v>
      </c>
    </row>
    <row r="22437" spans="9:10" x14ac:dyDescent="0.3">
      <c r="I22437" t="s">
        <v>27168</v>
      </c>
    </row>
    <row r="22438" spans="9:10" x14ac:dyDescent="0.3">
      <c r="I22438" t="s">
        <v>27169</v>
      </c>
    </row>
    <row r="22439" spans="9:10" x14ac:dyDescent="0.3">
      <c r="I22439" t="s">
        <v>27170</v>
      </c>
    </row>
    <row r="22440" spans="9:10" x14ac:dyDescent="0.3">
      <c r="I22440" t="s">
        <v>27171</v>
      </c>
    </row>
    <row r="22441" spans="9:10" x14ac:dyDescent="0.3">
      <c r="I22441" t="s">
        <v>27172</v>
      </c>
    </row>
    <row r="22442" spans="9:10" x14ac:dyDescent="0.3">
      <c r="I22442" t="s">
        <v>27173</v>
      </c>
    </row>
    <row r="22443" spans="9:10" x14ac:dyDescent="0.3">
      <c r="I22443" t="s">
        <v>27174</v>
      </c>
    </row>
    <row r="22444" spans="9:10" x14ac:dyDescent="0.3">
      <c r="I22444" t="s">
        <v>27175</v>
      </c>
    </row>
    <row r="22445" spans="9:10" x14ac:dyDescent="0.3">
      <c r="I22445" t="s">
        <v>27176</v>
      </c>
    </row>
    <row r="22446" spans="9:10" x14ac:dyDescent="0.3">
      <c r="I22446" t="s">
        <v>27177</v>
      </c>
    </row>
    <row r="22447" spans="9:10" x14ac:dyDescent="0.3">
      <c r="I22447" t="s">
        <v>27178</v>
      </c>
    </row>
    <row r="22448" spans="9:10" x14ac:dyDescent="0.3">
      <c r="I22448" t="s">
        <v>27179</v>
      </c>
      <c r="J22448" t="s">
        <v>4080</v>
      </c>
    </row>
    <row r="22449" spans="9:10" x14ac:dyDescent="0.3">
      <c r="I22449" t="s">
        <v>27180</v>
      </c>
      <c r="J22449" t="s">
        <v>4080</v>
      </c>
    </row>
    <row r="22450" spans="9:10" x14ac:dyDescent="0.3">
      <c r="I22450" t="s">
        <v>27181</v>
      </c>
    </row>
    <row r="22451" spans="9:10" x14ac:dyDescent="0.3">
      <c r="I22451" t="s">
        <v>27182</v>
      </c>
    </row>
    <row r="22452" spans="9:10" x14ac:dyDescent="0.3">
      <c r="I22452" t="s">
        <v>27183</v>
      </c>
    </row>
    <row r="22453" spans="9:10" x14ac:dyDescent="0.3">
      <c r="I22453" t="s">
        <v>27184</v>
      </c>
    </row>
    <row r="22454" spans="9:10" x14ac:dyDescent="0.3">
      <c r="I22454" t="s">
        <v>27185</v>
      </c>
    </row>
    <row r="22455" spans="9:10" x14ac:dyDescent="0.3">
      <c r="I22455" t="s">
        <v>27186</v>
      </c>
    </row>
    <row r="22456" spans="9:10" x14ac:dyDescent="0.3">
      <c r="I22456" t="s">
        <v>27187</v>
      </c>
      <c r="J22456" t="s">
        <v>6927</v>
      </c>
    </row>
    <row r="22457" spans="9:10" x14ac:dyDescent="0.3">
      <c r="I22457" t="s">
        <v>27188</v>
      </c>
      <c r="J22457" t="s">
        <v>6927</v>
      </c>
    </row>
    <row r="22458" spans="9:10" x14ac:dyDescent="0.3">
      <c r="I22458" t="s">
        <v>27189</v>
      </c>
      <c r="J22458" t="s">
        <v>6927</v>
      </c>
    </row>
    <row r="22459" spans="9:10" x14ac:dyDescent="0.3">
      <c r="I22459" t="s">
        <v>27190</v>
      </c>
      <c r="J22459" t="s">
        <v>6928</v>
      </c>
    </row>
    <row r="22460" spans="9:10" x14ac:dyDescent="0.3">
      <c r="I22460" t="s">
        <v>27191</v>
      </c>
      <c r="J22460" t="s">
        <v>476</v>
      </c>
    </row>
    <row r="22461" spans="9:10" x14ac:dyDescent="0.3">
      <c r="I22461" t="s">
        <v>27192</v>
      </c>
      <c r="J22461" t="s">
        <v>6929</v>
      </c>
    </row>
    <row r="22462" spans="9:10" x14ac:dyDescent="0.3">
      <c r="I22462" t="s">
        <v>27193</v>
      </c>
      <c r="J22462" t="s">
        <v>6930</v>
      </c>
    </row>
    <row r="22463" spans="9:10" x14ac:dyDescent="0.3">
      <c r="I22463" t="s">
        <v>27194</v>
      </c>
      <c r="J22463" t="s">
        <v>6931</v>
      </c>
    </row>
    <row r="22464" spans="9:10" x14ac:dyDescent="0.3">
      <c r="I22464" t="s">
        <v>27195</v>
      </c>
      <c r="J22464" t="s">
        <v>6932</v>
      </c>
    </row>
    <row r="22465" spans="9:10" x14ac:dyDescent="0.3">
      <c r="I22465" t="s">
        <v>27196</v>
      </c>
      <c r="J22465" t="s">
        <v>6933</v>
      </c>
    </row>
    <row r="22466" spans="9:10" x14ac:dyDescent="0.3">
      <c r="I22466" t="s">
        <v>27197</v>
      </c>
      <c r="J22466" t="s">
        <v>6934</v>
      </c>
    </row>
    <row r="22467" spans="9:10" x14ac:dyDescent="0.3">
      <c r="I22467" t="s">
        <v>27198</v>
      </c>
    </row>
    <row r="22468" spans="9:10" x14ac:dyDescent="0.3">
      <c r="I22468" t="s">
        <v>27199</v>
      </c>
    </row>
    <row r="22469" spans="9:10" x14ac:dyDescent="0.3">
      <c r="I22469" t="s">
        <v>27200</v>
      </c>
      <c r="J22469" t="s">
        <v>1008</v>
      </c>
    </row>
    <row r="22470" spans="9:10" x14ac:dyDescent="0.3">
      <c r="I22470" t="s">
        <v>27201</v>
      </c>
      <c r="J22470" t="s">
        <v>1008</v>
      </c>
    </row>
    <row r="22471" spans="9:10" x14ac:dyDescent="0.3">
      <c r="I22471" t="s">
        <v>27200</v>
      </c>
      <c r="J22471" t="s">
        <v>1008</v>
      </c>
    </row>
    <row r="22472" spans="9:10" x14ac:dyDescent="0.3">
      <c r="I22472" t="s">
        <v>27202</v>
      </c>
      <c r="J22472">
        <v>0</v>
      </c>
    </row>
    <row r="22473" spans="9:10" x14ac:dyDescent="0.3">
      <c r="I22473" t="s">
        <v>27203</v>
      </c>
    </row>
    <row r="22474" spans="9:10" x14ac:dyDescent="0.3">
      <c r="I22474" t="s">
        <v>27204</v>
      </c>
    </row>
    <row r="22475" spans="9:10" x14ac:dyDescent="0.3">
      <c r="I22475" t="s">
        <v>27205</v>
      </c>
      <c r="J22475" t="s">
        <v>6935</v>
      </c>
    </row>
    <row r="22476" spans="9:10" x14ac:dyDescent="0.3">
      <c r="I22476" t="s">
        <v>27206</v>
      </c>
      <c r="J22476" t="s">
        <v>6936</v>
      </c>
    </row>
    <row r="22477" spans="9:10" x14ac:dyDescent="0.3">
      <c r="I22477" t="s">
        <v>27207</v>
      </c>
    </row>
    <row r="22478" spans="9:10" x14ac:dyDescent="0.3">
      <c r="I22478" t="s">
        <v>27207</v>
      </c>
    </row>
    <row r="22479" spans="9:10" x14ac:dyDescent="0.3">
      <c r="I22479" t="s">
        <v>27208</v>
      </c>
    </row>
    <row r="22480" spans="9:10" x14ac:dyDescent="0.3">
      <c r="I22480" t="s">
        <v>27209</v>
      </c>
    </row>
    <row r="22481" spans="9:10" x14ac:dyDescent="0.3">
      <c r="I22481" t="s">
        <v>27210</v>
      </c>
    </row>
    <row r="22482" spans="9:10" x14ac:dyDescent="0.3">
      <c r="I22482" t="s">
        <v>27211</v>
      </c>
      <c r="J22482" t="s">
        <v>6937</v>
      </c>
    </row>
    <row r="22483" spans="9:10" x14ac:dyDescent="0.3">
      <c r="I22483" t="s">
        <v>27212</v>
      </c>
      <c r="J22483" t="s">
        <v>6938</v>
      </c>
    </row>
    <row r="22484" spans="9:10" x14ac:dyDescent="0.3">
      <c r="I22484" t="s">
        <v>27213</v>
      </c>
      <c r="J22484" t="s">
        <v>6939</v>
      </c>
    </row>
    <row r="22485" spans="9:10" x14ac:dyDescent="0.3">
      <c r="I22485" t="s">
        <v>27214</v>
      </c>
      <c r="J22485" t="s">
        <v>6940</v>
      </c>
    </row>
    <row r="22486" spans="9:10" x14ac:dyDescent="0.3">
      <c r="I22486" t="s">
        <v>27215</v>
      </c>
    </row>
    <row r="22487" spans="9:10" x14ac:dyDescent="0.3">
      <c r="I22487" t="s">
        <v>27216</v>
      </c>
    </row>
    <row r="22488" spans="9:10" x14ac:dyDescent="0.3">
      <c r="I22488" t="s">
        <v>27217</v>
      </c>
    </row>
    <row r="22489" spans="9:10" x14ac:dyDescent="0.3">
      <c r="I22489" t="s">
        <v>27218</v>
      </c>
    </row>
    <row r="22490" spans="9:10" x14ac:dyDescent="0.3">
      <c r="I22490" t="s">
        <v>27219</v>
      </c>
    </row>
    <row r="22491" spans="9:10" x14ac:dyDescent="0.3">
      <c r="I22491" t="s">
        <v>27220</v>
      </c>
      <c r="J22491" t="s">
        <v>6941</v>
      </c>
    </row>
    <row r="22492" spans="9:10" x14ac:dyDescent="0.3">
      <c r="I22492" t="s">
        <v>27221</v>
      </c>
      <c r="J22492" t="s">
        <v>6942</v>
      </c>
    </row>
    <row r="22493" spans="9:10" x14ac:dyDescent="0.3">
      <c r="I22493" t="s">
        <v>27222</v>
      </c>
      <c r="J22493" t="s">
        <v>6943</v>
      </c>
    </row>
    <row r="22494" spans="9:10" x14ac:dyDescent="0.3">
      <c r="I22494" t="s">
        <v>27223</v>
      </c>
      <c r="J22494" t="s">
        <v>6944</v>
      </c>
    </row>
    <row r="22495" spans="9:10" x14ac:dyDescent="0.3">
      <c r="I22495" t="s">
        <v>27224</v>
      </c>
    </row>
    <row r="22496" spans="9:10" x14ac:dyDescent="0.3">
      <c r="I22496" t="s">
        <v>27225</v>
      </c>
    </row>
    <row r="22497" spans="9:10" x14ac:dyDescent="0.3">
      <c r="I22497" t="s">
        <v>27226</v>
      </c>
    </row>
    <row r="22498" spans="9:10" x14ac:dyDescent="0.3">
      <c r="I22498" t="s">
        <v>27227</v>
      </c>
    </row>
    <row r="22499" spans="9:10" x14ac:dyDescent="0.3">
      <c r="I22499" t="s">
        <v>27228</v>
      </c>
    </row>
    <row r="22500" spans="9:10" x14ac:dyDescent="0.3">
      <c r="I22500" t="s">
        <v>27229</v>
      </c>
      <c r="J22500" t="s">
        <v>6945</v>
      </c>
    </row>
    <row r="22501" spans="9:10" x14ac:dyDescent="0.3">
      <c r="I22501" t="s">
        <v>27230</v>
      </c>
      <c r="J22501" t="s">
        <v>6946</v>
      </c>
    </row>
    <row r="22502" spans="9:10" x14ac:dyDescent="0.3">
      <c r="I22502" t="s">
        <v>27230</v>
      </c>
      <c r="J22502" t="s">
        <v>6946</v>
      </c>
    </row>
    <row r="22503" spans="9:10" x14ac:dyDescent="0.3">
      <c r="I22503" t="s">
        <v>27231</v>
      </c>
      <c r="J22503" t="s">
        <v>6947</v>
      </c>
    </row>
    <row r="22504" spans="9:10" x14ac:dyDescent="0.3">
      <c r="I22504" t="s">
        <v>27232</v>
      </c>
      <c r="J22504" t="s">
        <v>6948</v>
      </c>
    </row>
    <row r="22505" spans="9:10" x14ac:dyDescent="0.3">
      <c r="I22505" t="s">
        <v>27233</v>
      </c>
      <c r="J22505" t="s">
        <v>6949</v>
      </c>
    </row>
    <row r="22506" spans="9:10" x14ac:dyDescent="0.3">
      <c r="I22506" t="s">
        <v>27234</v>
      </c>
      <c r="J22506" t="s">
        <v>6950</v>
      </c>
    </row>
    <row r="22507" spans="9:10" x14ac:dyDescent="0.3">
      <c r="I22507" t="s">
        <v>27235</v>
      </c>
      <c r="J22507" t="s">
        <v>6951</v>
      </c>
    </row>
    <row r="22508" spans="9:10" x14ac:dyDescent="0.3">
      <c r="I22508" t="s">
        <v>27236</v>
      </c>
    </row>
    <row r="22509" spans="9:10" x14ac:dyDescent="0.3">
      <c r="I22509" t="s">
        <v>27237</v>
      </c>
      <c r="J22509" t="s">
        <v>6952</v>
      </c>
    </row>
    <row r="22510" spans="9:10" x14ac:dyDescent="0.3">
      <c r="I22510" t="s">
        <v>27238</v>
      </c>
      <c r="J22510" t="s">
        <v>6952</v>
      </c>
    </row>
    <row r="22511" spans="9:10" x14ac:dyDescent="0.3">
      <c r="I22511" t="s">
        <v>27239</v>
      </c>
      <c r="J22511" t="s">
        <v>6952</v>
      </c>
    </row>
    <row r="22512" spans="9:10" x14ac:dyDescent="0.3">
      <c r="I22512" t="s">
        <v>27240</v>
      </c>
      <c r="J22512" t="s">
        <v>6952</v>
      </c>
    </row>
    <row r="22513" spans="9:10" x14ac:dyDescent="0.3">
      <c r="I22513" t="s">
        <v>27241</v>
      </c>
      <c r="J22513" t="s">
        <v>6952</v>
      </c>
    </row>
    <row r="22514" spans="9:10" x14ac:dyDescent="0.3">
      <c r="I22514" t="s">
        <v>27242</v>
      </c>
      <c r="J22514" t="s">
        <v>6952</v>
      </c>
    </row>
    <row r="22515" spans="9:10" x14ac:dyDescent="0.3">
      <c r="I22515" t="s">
        <v>27243</v>
      </c>
      <c r="J22515" t="s">
        <v>6953</v>
      </c>
    </row>
    <row r="22516" spans="9:10" x14ac:dyDescent="0.3">
      <c r="I22516" t="s">
        <v>27244</v>
      </c>
      <c r="J22516" t="s">
        <v>2203</v>
      </c>
    </row>
    <row r="22517" spans="9:10" x14ac:dyDescent="0.3">
      <c r="I22517" t="s">
        <v>27245</v>
      </c>
      <c r="J22517" t="s">
        <v>6954</v>
      </c>
    </row>
    <row r="22518" spans="9:10" x14ac:dyDescent="0.3">
      <c r="I22518" t="s">
        <v>27246</v>
      </c>
      <c r="J22518" t="s">
        <v>6954</v>
      </c>
    </row>
    <row r="22519" spans="9:10" x14ac:dyDescent="0.3">
      <c r="I22519" t="s">
        <v>27247</v>
      </c>
      <c r="J22519" t="s">
        <v>6955</v>
      </c>
    </row>
    <row r="22520" spans="9:10" x14ac:dyDescent="0.3">
      <c r="I22520" t="s">
        <v>27248</v>
      </c>
    </row>
    <row r="22521" spans="9:10" x14ac:dyDescent="0.3">
      <c r="I22521" t="s">
        <v>27249</v>
      </c>
    </row>
    <row r="22522" spans="9:10" x14ac:dyDescent="0.3">
      <c r="I22522" t="s">
        <v>27250</v>
      </c>
    </row>
    <row r="22523" spans="9:10" x14ac:dyDescent="0.3">
      <c r="I22523" t="s">
        <v>27251</v>
      </c>
      <c r="J22523" t="s">
        <v>6956</v>
      </c>
    </row>
    <row r="22524" spans="9:10" x14ac:dyDescent="0.3">
      <c r="I22524" t="s">
        <v>27252</v>
      </c>
      <c r="J22524" t="s">
        <v>6957</v>
      </c>
    </row>
    <row r="22525" spans="9:10" x14ac:dyDescent="0.3">
      <c r="I22525" t="s">
        <v>27253</v>
      </c>
      <c r="J22525" t="s">
        <v>646</v>
      </c>
    </row>
    <row r="22526" spans="9:10" x14ac:dyDescent="0.3">
      <c r="I22526" t="s">
        <v>27254</v>
      </c>
      <c r="J22526" t="s">
        <v>646</v>
      </c>
    </row>
    <row r="22527" spans="9:10" x14ac:dyDescent="0.3">
      <c r="I22527" t="s">
        <v>27255</v>
      </c>
      <c r="J22527" t="s">
        <v>563</v>
      </c>
    </row>
    <row r="22528" spans="9:10" x14ac:dyDescent="0.3">
      <c r="I22528" t="s">
        <v>27256</v>
      </c>
      <c r="J22528" t="s">
        <v>6958</v>
      </c>
    </row>
    <row r="22529" spans="9:10" x14ac:dyDescent="0.3">
      <c r="I22529" t="s">
        <v>27257</v>
      </c>
      <c r="J22529" t="s">
        <v>6959</v>
      </c>
    </row>
    <row r="22530" spans="9:10" x14ac:dyDescent="0.3">
      <c r="I22530" t="s">
        <v>27258</v>
      </c>
      <c r="J22530" t="s">
        <v>6960</v>
      </c>
    </row>
    <row r="22531" spans="9:10" x14ac:dyDescent="0.3">
      <c r="I22531" t="s">
        <v>27259</v>
      </c>
      <c r="J22531" t="s">
        <v>6961</v>
      </c>
    </row>
    <row r="22532" spans="9:10" x14ac:dyDescent="0.3">
      <c r="I22532" t="s">
        <v>27260</v>
      </c>
      <c r="J22532" t="s">
        <v>6962</v>
      </c>
    </row>
    <row r="22533" spans="9:10" x14ac:dyDescent="0.3">
      <c r="I22533" t="s">
        <v>27261</v>
      </c>
      <c r="J22533" t="s">
        <v>6963</v>
      </c>
    </row>
    <row r="22534" spans="9:10" x14ac:dyDescent="0.3">
      <c r="I22534" t="s">
        <v>27262</v>
      </c>
      <c r="J22534" t="s">
        <v>6964</v>
      </c>
    </row>
    <row r="22535" spans="9:10" x14ac:dyDescent="0.3">
      <c r="I22535" t="s">
        <v>27263</v>
      </c>
      <c r="J22535" t="s">
        <v>6965</v>
      </c>
    </row>
    <row r="22536" spans="9:10" x14ac:dyDescent="0.3">
      <c r="I22536" t="s">
        <v>27264</v>
      </c>
      <c r="J22536" t="s">
        <v>6965</v>
      </c>
    </row>
    <row r="22537" spans="9:10" x14ac:dyDescent="0.3">
      <c r="I22537" t="s">
        <v>27265</v>
      </c>
      <c r="J22537" t="s">
        <v>6966</v>
      </c>
    </row>
    <row r="22538" spans="9:10" x14ac:dyDescent="0.3">
      <c r="I22538" t="s">
        <v>27266</v>
      </c>
      <c r="J22538" t="s">
        <v>6967</v>
      </c>
    </row>
    <row r="22539" spans="9:10" x14ac:dyDescent="0.3">
      <c r="I22539" t="s">
        <v>27267</v>
      </c>
      <c r="J22539" t="s">
        <v>6967</v>
      </c>
    </row>
    <row r="22540" spans="9:10" x14ac:dyDescent="0.3">
      <c r="I22540" t="s">
        <v>27268</v>
      </c>
      <c r="J22540" t="s">
        <v>6968</v>
      </c>
    </row>
    <row r="22541" spans="9:10" x14ac:dyDescent="0.3">
      <c r="I22541" t="s">
        <v>27269</v>
      </c>
      <c r="J22541" t="s">
        <v>6968</v>
      </c>
    </row>
    <row r="22542" spans="9:10" x14ac:dyDescent="0.3">
      <c r="I22542" t="s">
        <v>27270</v>
      </c>
      <c r="J22542" t="s">
        <v>6969</v>
      </c>
    </row>
    <row r="22543" spans="9:10" x14ac:dyDescent="0.3">
      <c r="I22543" t="s">
        <v>27271</v>
      </c>
    </row>
    <row r="22544" spans="9:10" x14ac:dyDescent="0.3">
      <c r="I22544" t="s">
        <v>27272</v>
      </c>
    </row>
    <row r="22545" spans="9:10" x14ac:dyDescent="0.3">
      <c r="I22545" t="s">
        <v>27273</v>
      </c>
      <c r="J22545" t="s">
        <v>6970</v>
      </c>
    </row>
    <row r="22546" spans="9:10" x14ac:dyDescent="0.3">
      <c r="I22546" t="s">
        <v>27274</v>
      </c>
      <c r="J22546" t="s">
        <v>6971</v>
      </c>
    </row>
    <row r="22547" spans="9:10" x14ac:dyDescent="0.3">
      <c r="I22547" t="s">
        <v>27275</v>
      </c>
      <c r="J22547" t="s">
        <v>6972</v>
      </c>
    </row>
    <row r="22548" spans="9:10" x14ac:dyDescent="0.3">
      <c r="I22548" t="s">
        <v>27276</v>
      </c>
      <c r="J22548" t="s">
        <v>6973</v>
      </c>
    </row>
    <row r="22549" spans="9:10" x14ac:dyDescent="0.3">
      <c r="I22549" t="s">
        <v>27277</v>
      </c>
      <c r="J22549" t="s">
        <v>6974</v>
      </c>
    </row>
    <row r="22550" spans="9:10" x14ac:dyDescent="0.3">
      <c r="I22550" t="s">
        <v>27278</v>
      </c>
    </row>
    <row r="22551" spans="9:10" x14ac:dyDescent="0.3">
      <c r="I22551" t="s">
        <v>27278</v>
      </c>
    </row>
    <row r="22552" spans="9:10" x14ac:dyDescent="0.3">
      <c r="I22552" t="s">
        <v>27279</v>
      </c>
      <c r="J22552" t="s">
        <v>6975</v>
      </c>
    </row>
    <row r="22553" spans="9:10" x14ac:dyDescent="0.3">
      <c r="I22553" t="s">
        <v>27280</v>
      </c>
      <c r="J22553" t="s">
        <v>6976</v>
      </c>
    </row>
    <row r="22554" spans="9:10" x14ac:dyDescent="0.3">
      <c r="I22554" t="s">
        <v>27281</v>
      </c>
      <c r="J22554" t="s">
        <v>6977</v>
      </c>
    </row>
    <row r="22555" spans="9:10" x14ac:dyDescent="0.3">
      <c r="I22555" t="s">
        <v>27282</v>
      </c>
      <c r="J22555" t="s">
        <v>6977</v>
      </c>
    </row>
    <row r="22556" spans="9:10" x14ac:dyDescent="0.3">
      <c r="I22556" t="s">
        <v>27281</v>
      </c>
      <c r="J22556" t="s">
        <v>6977</v>
      </c>
    </row>
    <row r="22557" spans="9:10" x14ac:dyDescent="0.3">
      <c r="I22557" t="s">
        <v>27283</v>
      </c>
      <c r="J22557" t="s">
        <v>6978</v>
      </c>
    </row>
    <row r="22558" spans="9:10" x14ac:dyDescent="0.3">
      <c r="I22558" t="s">
        <v>27284</v>
      </c>
      <c r="J22558" t="s">
        <v>6979</v>
      </c>
    </row>
    <row r="22559" spans="9:10" x14ac:dyDescent="0.3">
      <c r="I22559" t="s">
        <v>27285</v>
      </c>
      <c r="J22559" t="s">
        <v>6980</v>
      </c>
    </row>
    <row r="22560" spans="9:10" x14ac:dyDescent="0.3">
      <c r="I22560" t="s">
        <v>27286</v>
      </c>
      <c r="J22560" t="s">
        <v>6981</v>
      </c>
    </row>
    <row r="22561" spans="9:10" x14ac:dyDescent="0.3">
      <c r="I22561" t="s">
        <v>27287</v>
      </c>
      <c r="J22561" t="s">
        <v>6982</v>
      </c>
    </row>
    <row r="22562" spans="9:10" x14ac:dyDescent="0.3">
      <c r="I22562" t="s">
        <v>27288</v>
      </c>
      <c r="J22562" t="s">
        <v>6983</v>
      </c>
    </row>
    <row r="22563" spans="9:10" x14ac:dyDescent="0.3">
      <c r="I22563" t="s">
        <v>27289</v>
      </c>
      <c r="J22563" t="s">
        <v>6984</v>
      </c>
    </row>
    <row r="22564" spans="9:10" x14ac:dyDescent="0.3">
      <c r="I22564" t="s">
        <v>27290</v>
      </c>
    </row>
    <row r="22565" spans="9:10" x14ac:dyDescent="0.3">
      <c r="I22565" t="s">
        <v>27290</v>
      </c>
    </row>
    <row r="22566" spans="9:10" x14ac:dyDescent="0.3">
      <c r="I22566" t="s">
        <v>27290</v>
      </c>
    </row>
    <row r="22567" spans="9:10" x14ac:dyDescent="0.3">
      <c r="I22567" t="s">
        <v>27290</v>
      </c>
    </row>
    <row r="22568" spans="9:10" x14ac:dyDescent="0.3">
      <c r="I22568" t="s">
        <v>27290</v>
      </c>
    </row>
    <row r="22569" spans="9:10" x14ac:dyDescent="0.3">
      <c r="I22569" t="s">
        <v>27291</v>
      </c>
      <c r="J22569" t="s">
        <v>6985</v>
      </c>
    </row>
    <row r="22570" spans="9:10" x14ac:dyDescent="0.3">
      <c r="I22570" t="s">
        <v>27292</v>
      </c>
      <c r="J22570" t="s">
        <v>6986</v>
      </c>
    </row>
    <row r="22571" spans="9:10" x14ac:dyDescent="0.3">
      <c r="I22571" t="s">
        <v>27293</v>
      </c>
      <c r="J22571" t="s">
        <v>6986</v>
      </c>
    </row>
    <row r="22572" spans="9:10" x14ac:dyDescent="0.3">
      <c r="I22572" t="s">
        <v>27294</v>
      </c>
      <c r="J22572" t="s">
        <v>6986</v>
      </c>
    </row>
    <row r="22573" spans="9:10" x14ac:dyDescent="0.3">
      <c r="I22573" t="s">
        <v>27295</v>
      </c>
    </row>
    <row r="22574" spans="9:10" x14ac:dyDescent="0.3">
      <c r="I22574" t="s">
        <v>27296</v>
      </c>
    </row>
    <row r="22575" spans="9:10" x14ac:dyDescent="0.3">
      <c r="I22575" t="s">
        <v>27297</v>
      </c>
      <c r="J22575" t="s">
        <v>6987</v>
      </c>
    </row>
    <row r="22576" spans="9:10" x14ac:dyDescent="0.3">
      <c r="I22576" t="s">
        <v>27297</v>
      </c>
      <c r="J22576" t="s">
        <v>6987</v>
      </c>
    </row>
    <row r="22577" spans="9:10" x14ac:dyDescent="0.3">
      <c r="I22577" t="s">
        <v>27298</v>
      </c>
      <c r="J22577" t="s">
        <v>6987</v>
      </c>
    </row>
    <row r="22578" spans="9:10" x14ac:dyDescent="0.3">
      <c r="I22578" t="s">
        <v>27299</v>
      </c>
    </row>
    <row r="22579" spans="9:10" x14ac:dyDescent="0.3">
      <c r="I22579" t="s">
        <v>27300</v>
      </c>
      <c r="J22579" t="s">
        <v>6988</v>
      </c>
    </row>
    <row r="22580" spans="9:10" x14ac:dyDescent="0.3">
      <c r="I22580" t="s">
        <v>27300</v>
      </c>
      <c r="J22580" t="s">
        <v>6988</v>
      </c>
    </row>
    <row r="22581" spans="9:10" x14ac:dyDescent="0.3">
      <c r="I22581" t="s">
        <v>27300</v>
      </c>
      <c r="J22581" t="s">
        <v>6988</v>
      </c>
    </row>
    <row r="22582" spans="9:10" x14ac:dyDescent="0.3">
      <c r="I22582" t="s">
        <v>27301</v>
      </c>
      <c r="J22582" t="s">
        <v>6989</v>
      </c>
    </row>
    <row r="22583" spans="9:10" x14ac:dyDescent="0.3">
      <c r="I22583" t="s">
        <v>27301</v>
      </c>
      <c r="J22583" t="s">
        <v>6989</v>
      </c>
    </row>
    <row r="22584" spans="9:10" x14ac:dyDescent="0.3">
      <c r="I22584" t="s">
        <v>27302</v>
      </c>
      <c r="J22584" t="s">
        <v>6990</v>
      </c>
    </row>
    <row r="22585" spans="9:10" x14ac:dyDescent="0.3">
      <c r="I22585" t="s">
        <v>27302</v>
      </c>
      <c r="J22585" t="s">
        <v>6990</v>
      </c>
    </row>
    <row r="22586" spans="9:10" x14ac:dyDescent="0.3">
      <c r="I22586" t="s">
        <v>27303</v>
      </c>
      <c r="J22586" t="s">
        <v>6991</v>
      </c>
    </row>
    <row r="22587" spans="9:10" x14ac:dyDescent="0.3">
      <c r="I22587" t="s">
        <v>27304</v>
      </c>
    </row>
    <row r="22588" spans="9:10" x14ac:dyDescent="0.3">
      <c r="I22588" t="s">
        <v>27305</v>
      </c>
    </row>
    <row r="22589" spans="9:10" x14ac:dyDescent="0.3">
      <c r="I22589" t="s">
        <v>27306</v>
      </c>
      <c r="J22589" t="s">
        <v>6992</v>
      </c>
    </row>
    <row r="22590" spans="9:10" x14ac:dyDescent="0.3">
      <c r="I22590" t="s">
        <v>27306</v>
      </c>
      <c r="J22590" t="s">
        <v>6992</v>
      </c>
    </row>
    <row r="22591" spans="9:10" x14ac:dyDescent="0.3">
      <c r="I22591" t="s">
        <v>27307</v>
      </c>
      <c r="J22591" t="s">
        <v>6992</v>
      </c>
    </row>
    <row r="22592" spans="9:10" x14ac:dyDescent="0.3">
      <c r="I22592" t="s">
        <v>27306</v>
      </c>
      <c r="J22592" t="s">
        <v>6992</v>
      </c>
    </row>
    <row r="22593" spans="9:10" x14ac:dyDescent="0.3">
      <c r="I22593" t="s">
        <v>27306</v>
      </c>
      <c r="J22593" t="s">
        <v>6992</v>
      </c>
    </row>
    <row r="22594" spans="9:10" x14ac:dyDescent="0.3">
      <c r="I22594" t="s">
        <v>27306</v>
      </c>
      <c r="J22594" t="s">
        <v>6992</v>
      </c>
    </row>
    <row r="22595" spans="9:10" x14ac:dyDescent="0.3">
      <c r="I22595" t="s">
        <v>27306</v>
      </c>
      <c r="J22595" t="s">
        <v>6992</v>
      </c>
    </row>
    <row r="22596" spans="9:10" x14ac:dyDescent="0.3">
      <c r="I22596" t="s">
        <v>27306</v>
      </c>
      <c r="J22596" t="s">
        <v>6992</v>
      </c>
    </row>
    <row r="22597" spans="9:10" x14ac:dyDescent="0.3">
      <c r="I22597" t="s">
        <v>27306</v>
      </c>
      <c r="J22597" t="s">
        <v>6992</v>
      </c>
    </row>
    <row r="22598" spans="9:10" x14ac:dyDescent="0.3">
      <c r="I22598" t="s">
        <v>27306</v>
      </c>
      <c r="J22598" t="s">
        <v>6992</v>
      </c>
    </row>
    <row r="22599" spans="9:10" x14ac:dyDescent="0.3">
      <c r="I22599" t="s">
        <v>27306</v>
      </c>
      <c r="J22599" t="s">
        <v>6992</v>
      </c>
    </row>
    <row r="22600" spans="9:10" x14ac:dyDescent="0.3">
      <c r="I22600" t="s">
        <v>27306</v>
      </c>
      <c r="J22600" t="s">
        <v>6992</v>
      </c>
    </row>
    <row r="22601" spans="9:10" x14ac:dyDescent="0.3">
      <c r="I22601" t="s">
        <v>27306</v>
      </c>
      <c r="J22601" t="s">
        <v>6992</v>
      </c>
    </row>
    <row r="22602" spans="9:10" x14ac:dyDescent="0.3">
      <c r="I22602" t="s">
        <v>27308</v>
      </c>
      <c r="J22602" t="s">
        <v>6993</v>
      </c>
    </row>
    <row r="22603" spans="9:10" x14ac:dyDescent="0.3">
      <c r="I22603" t="s">
        <v>27309</v>
      </c>
      <c r="J22603" t="s">
        <v>6994</v>
      </c>
    </row>
    <row r="22604" spans="9:10" x14ac:dyDescent="0.3">
      <c r="I22604" t="s">
        <v>27310</v>
      </c>
      <c r="J22604" t="s">
        <v>6995</v>
      </c>
    </row>
    <row r="22605" spans="9:10" x14ac:dyDescent="0.3">
      <c r="I22605" t="s">
        <v>27311</v>
      </c>
      <c r="J22605" t="s">
        <v>6996</v>
      </c>
    </row>
    <row r="22606" spans="9:10" x14ac:dyDescent="0.3">
      <c r="I22606" t="s">
        <v>27312</v>
      </c>
      <c r="J22606" t="s">
        <v>6997</v>
      </c>
    </row>
    <row r="22607" spans="9:10" x14ac:dyDescent="0.3">
      <c r="I22607" t="s">
        <v>27313</v>
      </c>
    </row>
    <row r="22608" spans="9:10" x14ac:dyDescent="0.3">
      <c r="I22608" t="s">
        <v>27314</v>
      </c>
    </row>
    <row r="22609" spans="9:10" x14ac:dyDescent="0.3">
      <c r="I22609" t="s">
        <v>27315</v>
      </c>
    </row>
    <row r="22610" spans="9:10" x14ac:dyDescent="0.3">
      <c r="I22610" t="s">
        <v>27316</v>
      </c>
      <c r="J22610" t="s">
        <v>6998</v>
      </c>
    </row>
    <row r="22611" spans="9:10" x14ac:dyDescent="0.3">
      <c r="I22611" t="s">
        <v>27317</v>
      </c>
    </row>
    <row r="22612" spans="9:10" x14ac:dyDescent="0.3">
      <c r="I22612" t="s">
        <v>27318</v>
      </c>
    </row>
    <row r="22613" spans="9:10" x14ac:dyDescent="0.3">
      <c r="I22613" t="s">
        <v>27319</v>
      </c>
    </row>
    <row r="22614" spans="9:10" x14ac:dyDescent="0.3">
      <c r="I22614" t="s">
        <v>26831</v>
      </c>
      <c r="J22614" t="s">
        <v>6999</v>
      </c>
    </row>
    <row r="22615" spans="9:10" x14ac:dyDescent="0.3">
      <c r="I22615" t="s">
        <v>27320</v>
      </c>
      <c r="J22615" t="s">
        <v>7000</v>
      </c>
    </row>
    <row r="22616" spans="9:10" x14ac:dyDescent="0.3">
      <c r="I22616" t="s">
        <v>27320</v>
      </c>
      <c r="J22616" t="s">
        <v>7000</v>
      </c>
    </row>
    <row r="22617" spans="9:10" x14ac:dyDescent="0.3">
      <c r="I22617" t="s">
        <v>27321</v>
      </c>
      <c r="J22617" t="s">
        <v>7001</v>
      </c>
    </row>
    <row r="22618" spans="9:10" x14ac:dyDescent="0.3">
      <c r="I22618" t="s">
        <v>27322</v>
      </c>
      <c r="J22618" t="s">
        <v>7001</v>
      </c>
    </row>
    <row r="22619" spans="9:10" x14ac:dyDescent="0.3">
      <c r="I22619" t="s">
        <v>27321</v>
      </c>
      <c r="J22619" t="s">
        <v>7001</v>
      </c>
    </row>
    <row r="22620" spans="9:10" x14ac:dyDescent="0.3">
      <c r="I22620" t="s">
        <v>27323</v>
      </c>
      <c r="J22620" t="s">
        <v>7002</v>
      </c>
    </row>
    <row r="22621" spans="9:10" x14ac:dyDescent="0.3">
      <c r="I22621" t="s">
        <v>27324</v>
      </c>
    </row>
    <row r="22622" spans="9:10" x14ac:dyDescent="0.3">
      <c r="I22622" t="s">
        <v>27325</v>
      </c>
      <c r="J22622" t="s">
        <v>7003</v>
      </c>
    </row>
    <row r="22623" spans="9:10" x14ac:dyDescent="0.3">
      <c r="I22623" t="s">
        <v>27325</v>
      </c>
      <c r="J22623" t="s">
        <v>7003</v>
      </c>
    </row>
    <row r="22624" spans="9:10" x14ac:dyDescent="0.3">
      <c r="I22624" t="s">
        <v>27326</v>
      </c>
      <c r="J22624" t="s">
        <v>7004</v>
      </c>
    </row>
    <row r="22625" spans="9:10" x14ac:dyDescent="0.3">
      <c r="I22625" t="s">
        <v>27327</v>
      </c>
      <c r="J22625" t="s">
        <v>7005</v>
      </c>
    </row>
    <row r="22626" spans="9:10" x14ac:dyDescent="0.3">
      <c r="I22626" t="s">
        <v>27328</v>
      </c>
      <c r="J22626" t="s">
        <v>7006</v>
      </c>
    </row>
    <row r="22627" spans="9:10" x14ac:dyDescent="0.3">
      <c r="I22627" t="s">
        <v>27329</v>
      </c>
      <c r="J22627" t="s">
        <v>7007</v>
      </c>
    </row>
    <row r="22628" spans="9:10" x14ac:dyDescent="0.3">
      <c r="I22628" t="s">
        <v>27330</v>
      </c>
      <c r="J22628" t="s">
        <v>2045</v>
      </c>
    </row>
    <row r="22629" spans="9:10" x14ac:dyDescent="0.3">
      <c r="I22629" t="s">
        <v>27330</v>
      </c>
      <c r="J22629" t="s">
        <v>2045</v>
      </c>
    </row>
    <row r="22630" spans="9:10" x14ac:dyDescent="0.3">
      <c r="I22630" t="s">
        <v>27331</v>
      </c>
    </row>
    <row r="22631" spans="9:10" x14ac:dyDescent="0.3">
      <c r="I22631" t="s">
        <v>27332</v>
      </c>
    </row>
    <row r="22632" spans="9:10" x14ac:dyDescent="0.3">
      <c r="I22632" t="s">
        <v>27333</v>
      </c>
      <c r="J22632" t="s">
        <v>7008</v>
      </c>
    </row>
    <row r="22633" spans="9:10" x14ac:dyDescent="0.3">
      <c r="I22633" t="s">
        <v>27334</v>
      </c>
      <c r="J22633" t="s">
        <v>7009</v>
      </c>
    </row>
    <row r="22634" spans="9:10" x14ac:dyDescent="0.3">
      <c r="I22634" t="s">
        <v>27335</v>
      </c>
      <c r="J22634" t="s">
        <v>7010</v>
      </c>
    </row>
    <row r="22635" spans="9:10" x14ac:dyDescent="0.3">
      <c r="I22635" t="s">
        <v>27336</v>
      </c>
      <c r="J22635" t="s">
        <v>7011</v>
      </c>
    </row>
    <row r="22636" spans="9:10" x14ac:dyDescent="0.3">
      <c r="I22636" t="s">
        <v>27337</v>
      </c>
      <c r="J22636" t="s">
        <v>7011</v>
      </c>
    </row>
    <row r="22637" spans="9:10" x14ac:dyDescent="0.3">
      <c r="I22637" t="s">
        <v>27338</v>
      </c>
      <c r="J22637" t="s">
        <v>7012</v>
      </c>
    </row>
    <row r="22638" spans="9:10" x14ac:dyDescent="0.3">
      <c r="I22638" t="s">
        <v>27339</v>
      </c>
      <c r="J22638" t="s">
        <v>7012</v>
      </c>
    </row>
    <row r="22639" spans="9:10" x14ac:dyDescent="0.3">
      <c r="I22639" t="s">
        <v>27340</v>
      </c>
      <c r="J22639" t="s">
        <v>7013</v>
      </c>
    </row>
    <row r="22640" spans="9:10" x14ac:dyDescent="0.3">
      <c r="I22640" t="s">
        <v>27341</v>
      </c>
      <c r="J22640" t="s">
        <v>7013</v>
      </c>
    </row>
    <row r="22641" spans="9:10" x14ac:dyDescent="0.3">
      <c r="I22641" t="s">
        <v>27340</v>
      </c>
      <c r="J22641" t="s">
        <v>7013</v>
      </c>
    </row>
    <row r="22642" spans="9:10" x14ac:dyDescent="0.3">
      <c r="I22642" t="s">
        <v>27342</v>
      </c>
      <c r="J22642" t="s">
        <v>7014</v>
      </c>
    </row>
    <row r="22643" spans="9:10" x14ac:dyDescent="0.3">
      <c r="I22643" t="s">
        <v>27342</v>
      </c>
      <c r="J22643" t="s">
        <v>7014</v>
      </c>
    </row>
    <row r="22644" spans="9:10" x14ac:dyDescent="0.3">
      <c r="I22644" t="s">
        <v>27343</v>
      </c>
      <c r="J22644" t="s">
        <v>7014</v>
      </c>
    </row>
    <row r="22645" spans="9:10" x14ac:dyDescent="0.3">
      <c r="I22645" t="s">
        <v>27344</v>
      </c>
      <c r="J22645" t="s">
        <v>6467</v>
      </c>
    </row>
    <row r="22646" spans="9:10" x14ac:dyDescent="0.3">
      <c r="I22646" t="s">
        <v>27345</v>
      </c>
      <c r="J22646" t="s">
        <v>6467</v>
      </c>
    </row>
    <row r="22647" spans="9:10" x14ac:dyDescent="0.3">
      <c r="I22647" t="s">
        <v>27346</v>
      </c>
    </row>
    <row r="22648" spans="9:10" x14ac:dyDescent="0.3">
      <c r="I22648" t="s">
        <v>27347</v>
      </c>
      <c r="J22648" t="s">
        <v>7015</v>
      </c>
    </row>
    <row r="22649" spans="9:10" x14ac:dyDescent="0.3">
      <c r="I22649" t="s">
        <v>27348</v>
      </c>
      <c r="J22649" t="s">
        <v>7016</v>
      </c>
    </row>
    <row r="22650" spans="9:10" x14ac:dyDescent="0.3">
      <c r="I22650" t="s">
        <v>27349</v>
      </c>
      <c r="J22650" t="s">
        <v>7017</v>
      </c>
    </row>
    <row r="22651" spans="9:10" x14ac:dyDescent="0.3">
      <c r="I22651" t="s">
        <v>27350</v>
      </c>
      <c r="J22651" t="s">
        <v>7018</v>
      </c>
    </row>
    <row r="22652" spans="9:10" x14ac:dyDescent="0.3">
      <c r="I22652" t="s">
        <v>27351</v>
      </c>
      <c r="J22652" t="s">
        <v>7019</v>
      </c>
    </row>
    <row r="22653" spans="9:10" x14ac:dyDescent="0.3">
      <c r="I22653" t="s">
        <v>27352</v>
      </c>
      <c r="J22653" t="s">
        <v>7020</v>
      </c>
    </row>
    <row r="22654" spans="9:10" x14ac:dyDescent="0.3">
      <c r="I22654" t="s">
        <v>27353</v>
      </c>
    </row>
    <row r="22655" spans="9:10" x14ac:dyDescent="0.3">
      <c r="I22655" t="s">
        <v>27354</v>
      </c>
    </row>
    <row r="22656" spans="9:10" x14ac:dyDescent="0.3">
      <c r="I22656" t="s">
        <v>27355</v>
      </c>
    </row>
    <row r="22657" spans="9:10" x14ac:dyDescent="0.3">
      <c r="I22657" t="s">
        <v>27356</v>
      </c>
    </row>
    <row r="22658" spans="9:10" x14ac:dyDescent="0.3">
      <c r="I22658" t="s">
        <v>27357</v>
      </c>
    </row>
    <row r="22659" spans="9:10" x14ac:dyDescent="0.3">
      <c r="I22659" t="s">
        <v>497</v>
      </c>
      <c r="J22659" t="s">
        <v>498</v>
      </c>
    </row>
    <row r="22660" spans="9:10" x14ac:dyDescent="0.3">
      <c r="I22660" t="s">
        <v>497</v>
      </c>
      <c r="J22660" t="s">
        <v>498</v>
      </c>
    </row>
    <row r="22661" spans="9:10" x14ac:dyDescent="0.3">
      <c r="I22661" t="s">
        <v>497</v>
      </c>
      <c r="J22661" t="s">
        <v>498</v>
      </c>
    </row>
    <row r="22662" spans="9:10" x14ac:dyDescent="0.3">
      <c r="I22662" t="s">
        <v>27358</v>
      </c>
      <c r="J22662" t="s">
        <v>7021</v>
      </c>
    </row>
    <row r="22663" spans="9:10" x14ac:dyDescent="0.3">
      <c r="I22663" t="s">
        <v>27359</v>
      </c>
      <c r="J22663" t="s">
        <v>7021</v>
      </c>
    </row>
    <row r="22664" spans="9:10" x14ac:dyDescent="0.3">
      <c r="I22664" t="s">
        <v>27360</v>
      </c>
      <c r="J22664" t="s">
        <v>7022</v>
      </c>
    </row>
    <row r="22665" spans="9:10" x14ac:dyDescent="0.3">
      <c r="I22665" t="s">
        <v>27361</v>
      </c>
    </row>
    <row r="22666" spans="9:10" x14ac:dyDescent="0.3">
      <c r="I22666" t="s">
        <v>27362</v>
      </c>
      <c r="J22666" t="s">
        <v>7023</v>
      </c>
    </row>
    <row r="22667" spans="9:10" x14ac:dyDescent="0.3">
      <c r="I22667" t="s">
        <v>27363</v>
      </c>
      <c r="J22667" t="s">
        <v>7024</v>
      </c>
    </row>
    <row r="22668" spans="9:10" x14ac:dyDescent="0.3">
      <c r="I22668" t="s">
        <v>27364</v>
      </c>
      <c r="J22668" t="s">
        <v>7025</v>
      </c>
    </row>
    <row r="22669" spans="9:10" x14ac:dyDescent="0.3">
      <c r="I22669" t="s">
        <v>27365</v>
      </c>
      <c r="J22669" t="s">
        <v>7026</v>
      </c>
    </row>
    <row r="22670" spans="9:10" x14ac:dyDescent="0.3">
      <c r="I22670" t="s">
        <v>27366</v>
      </c>
      <c r="J22670" t="s">
        <v>7027</v>
      </c>
    </row>
    <row r="22671" spans="9:10" x14ac:dyDescent="0.3">
      <c r="I22671" t="s">
        <v>27367</v>
      </c>
    </row>
    <row r="22672" spans="9:10" x14ac:dyDescent="0.3">
      <c r="I22672" t="s">
        <v>27368</v>
      </c>
      <c r="J22672" t="s">
        <v>7028</v>
      </c>
    </row>
    <row r="22673" spans="9:10" x14ac:dyDescent="0.3">
      <c r="I22673" t="s">
        <v>27369</v>
      </c>
    </row>
    <row r="22674" spans="9:10" x14ac:dyDescent="0.3">
      <c r="I22674" t="s">
        <v>27370</v>
      </c>
      <c r="J22674" t="s">
        <v>473</v>
      </c>
    </row>
    <row r="22675" spans="9:10" x14ac:dyDescent="0.3">
      <c r="I22675" t="s">
        <v>27371</v>
      </c>
      <c r="J22675" t="s">
        <v>7029</v>
      </c>
    </row>
    <row r="22676" spans="9:10" x14ac:dyDescent="0.3">
      <c r="I22676" t="s">
        <v>27372</v>
      </c>
      <c r="J22676" t="s">
        <v>7030</v>
      </c>
    </row>
    <row r="22677" spans="9:10" x14ac:dyDescent="0.3">
      <c r="I22677" t="s">
        <v>27373</v>
      </c>
    </row>
    <row r="22678" spans="9:10" x14ac:dyDescent="0.3">
      <c r="I22678" t="s">
        <v>27374</v>
      </c>
    </row>
    <row r="22679" spans="9:10" x14ac:dyDescent="0.3">
      <c r="I22679" t="s">
        <v>27375</v>
      </c>
    </row>
    <row r="22680" spans="9:10" x14ac:dyDescent="0.3">
      <c r="I22680" t="s">
        <v>27376</v>
      </c>
      <c r="J22680" t="s">
        <v>7031</v>
      </c>
    </row>
    <row r="22681" spans="9:10" x14ac:dyDescent="0.3">
      <c r="I22681" t="s">
        <v>27376</v>
      </c>
      <c r="J22681" t="s">
        <v>7031</v>
      </c>
    </row>
    <row r="22682" spans="9:10" x14ac:dyDescent="0.3">
      <c r="I22682" t="s">
        <v>27377</v>
      </c>
      <c r="J22682" t="s">
        <v>7032</v>
      </c>
    </row>
    <row r="22683" spans="9:10" x14ac:dyDescent="0.3">
      <c r="I22683" t="s">
        <v>27378</v>
      </c>
      <c r="J22683" t="s">
        <v>7033</v>
      </c>
    </row>
    <row r="22684" spans="9:10" x14ac:dyDescent="0.3">
      <c r="I22684" t="s">
        <v>27379</v>
      </c>
      <c r="J22684" t="s">
        <v>7033</v>
      </c>
    </row>
    <row r="22685" spans="9:10" x14ac:dyDescent="0.3">
      <c r="I22685" t="s">
        <v>27380</v>
      </c>
      <c r="J22685" t="s">
        <v>7034</v>
      </c>
    </row>
    <row r="22686" spans="9:10" x14ac:dyDescent="0.3">
      <c r="I22686" t="s">
        <v>27381</v>
      </c>
      <c r="J22686" t="s">
        <v>7034</v>
      </c>
    </row>
    <row r="22687" spans="9:10" x14ac:dyDescent="0.3">
      <c r="I22687" t="s">
        <v>27382</v>
      </c>
      <c r="J22687" t="s">
        <v>7035</v>
      </c>
    </row>
    <row r="22688" spans="9:10" x14ac:dyDescent="0.3">
      <c r="I22688" t="s">
        <v>27383</v>
      </c>
      <c r="J22688" t="s">
        <v>7035</v>
      </c>
    </row>
    <row r="22689" spans="9:10" x14ac:dyDescent="0.3">
      <c r="I22689" t="s">
        <v>27384</v>
      </c>
      <c r="J22689" t="s">
        <v>7036</v>
      </c>
    </row>
    <row r="22690" spans="9:10" x14ac:dyDescent="0.3">
      <c r="I22690" t="s">
        <v>27385</v>
      </c>
      <c r="J22690" t="s">
        <v>7037</v>
      </c>
    </row>
    <row r="22691" spans="9:10" x14ac:dyDescent="0.3">
      <c r="I22691" t="s">
        <v>27386</v>
      </c>
      <c r="J22691" t="s">
        <v>7038</v>
      </c>
    </row>
    <row r="22692" spans="9:10" x14ac:dyDescent="0.3">
      <c r="I22692" t="s">
        <v>27387</v>
      </c>
      <c r="J22692" t="s">
        <v>7038</v>
      </c>
    </row>
    <row r="22693" spans="9:10" x14ac:dyDescent="0.3">
      <c r="I22693" t="s">
        <v>27388</v>
      </c>
    </row>
    <row r="22694" spans="9:10" x14ac:dyDescent="0.3">
      <c r="I22694" t="s">
        <v>27389</v>
      </c>
    </row>
    <row r="22695" spans="9:10" x14ac:dyDescent="0.3">
      <c r="I22695" t="s">
        <v>27390</v>
      </c>
      <c r="J22695" t="s">
        <v>7039</v>
      </c>
    </row>
    <row r="22696" spans="9:10" x14ac:dyDescent="0.3">
      <c r="I22696" t="s">
        <v>27391</v>
      </c>
    </row>
    <row r="22697" spans="9:10" x14ac:dyDescent="0.3">
      <c r="I22697" t="s">
        <v>27392</v>
      </c>
    </row>
    <row r="22698" spans="9:10" x14ac:dyDescent="0.3">
      <c r="I22698" t="s">
        <v>27393</v>
      </c>
    </row>
    <row r="22699" spans="9:10" x14ac:dyDescent="0.3">
      <c r="I22699" t="s">
        <v>27394</v>
      </c>
      <c r="J22699" t="s">
        <v>7040</v>
      </c>
    </row>
    <row r="22700" spans="9:10" x14ac:dyDescent="0.3">
      <c r="I22700" t="s">
        <v>27395</v>
      </c>
      <c r="J22700" t="s">
        <v>7041</v>
      </c>
    </row>
    <row r="22701" spans="9:10" x14ac:dyDescent="0.3">
      <c r="I22701" t="s">
        <v>27396</v>
      </c>
      <c r="J22701" t="s">
        <v>7042</v>
      </c>
    </row>
    <row r="22702" spans="9:10" x14ac:dyDescent="0.3">
      <c r="I22702" t="s">
        <v>27397</v>
      </c>
      <c r="J22702" t="s">
        <v>7042</v>
      </c>
    </row>
    <row r="22703" spans="9:10" x14ac:dyDescent="0.3">
      <c r="I22703" t="s">
        <v>27398</v>
      </c>
      <c r="J22703" t="s">
        <v>7042</v>
      </c>
    </row>
    <row r="22704" spans="9:10" x14ac:dyDescent="0.3">
      <c r="I22704" t="s">
        <v>27399</v>
      </c>
      <c r="J22704" t="s">
        <v>7042</v>
      </c>
    </row>
    <row r="22705" spans="9:10" x14ac:dyDescent="0.3">
      <c r="I22705" t="s">
        <v>27400</v>
      </c>
      <c r="J22705" t="s">
        <v>7042</v>
      </c>
    </row>
    <row r="22706" spans="9:10" x14ac:dyDescent="0.3">
      <c r="I22706" t="s">
        <v>27401</v>
      </c>
      <c r="J22706" t="s">
        <v>7043</v>
      </c>
    </row>
    <row r="22707" spans="9:10" x14ac:dyDescent="0.3">
      <c r="I22707" t="s">
        <v>27402</v>
      </c>
      <c r="J22707" t="s">
        <v>7043</v>
      </c>
    </row>
    <row r="22708" spans="9:10" x14ac:dyDescent="0.3">
      <c r="I22708" t="s">
        <v>27403</v>
      </c>
      <c r="J22708" t="s">
        <v>7043</v>
      </c>
    </row>
    <row r="22709" spans="9:10" x14ac:dyDescent="0.3">
      <c r="I22709" t="s">
        <v>27404</v>
      </c>
      <c r="J22709" t="s">
        <v>7043</v>
      </c>
    </row>
    <row r="22710" spans="9:10" x14ac:dyDescent="0.3">
      <c r="I22710" t="s">
        <v>27405</v>
      </c>
      <c r="J22710" t="s">
        <v>7043</v>
      </c>
    </row>
    <row r="22711" spans="9:10" x14ac:dyDescent="0.3">
      <c r="I22711" t="s">
        <v>27406</v>
      </c>
      <c r="J22711" t="s">
        <v>7044</v>
      </c>
    </row>
    <row r="22712" spans="9:10" x14ac:dyDescent="0.3">
      <c r="I22712" t="s">
        <v>27407</v>
      </c>
    </row>
    <row r="22713" spans="9:10" x14ac:dyDescent="0.3">
      <c r="I22713" t="s">
        <v>27408</v>
      </c>
      <c r="J22713" t="s">
        <v>7045</v>
      </c>
    </row>
    <row r="22714" spans="9:10" x14ac:dyDescent="0.3">
      <c r="I22714" t="s">
        <v>27409</v>
      </c>
      <c r="J22714" t="s">
        <v>7046</v>
      </c>
    </row>
    <row r="22715" spans="9:10" x14ac:dyDescent="0.3">
      <c r="I22715" t="s">
        <v>27410</v>
      </c>
      <c r="J22715" t="s">
        <v>7047</v>
      </c>
    </row>
    <row r="22716" spans="9:10" x14ac:dyDescent="0.3">
      <c r="I22716" t="s">
        <v>27411</v>
      </c>
      <c r="J22716" t="s">
        <v>7047</v>
      </c>
    </row>
    <row r="22717" spans="9:10" x14ac:dyDescent="0.3">
      <c r="I22717" t="s">
        <v>27412</v>
      </c>
    </row>
    <row r="22718" spans="9:10" x14ac:dyDescent="0.3">
      <c r="I22718" t="s">
        <v>27413</v>
      </c>
      <c r="J22718" t="s">
        <v>7048</v>
      </c>
    </row>
    <row r="22719" spans="9:10" x14ac:dyDescent="0.3">
      <c r="I22719" t="s">
        <v>27413</v>
      </c>
      <c r="J22719" t="s">
        <v>7048</v>
      </c>
    </row>
    <row r="22720" spans="9:10" x14ac:dyDescent="0.3">
      <c r="I22720" t="s">
        <v>27414</v>
      </c>
    </row>
    <row r="22721" spans="9:10" x14ac:dyDescent="0.3">
      <c r="I22721" t="s">
        <v>27415</v>
      </c>
    </row>
    <row r="22722" spans="9:10" x14ac:dyDescent="0.3">
      <c r="I22722" t="s">
        <v>27416</v>
      </c>
      <c r="J22722" t="s">
        <v>7049</v>
      </c>
    </row>
    <row r="22723" spans="9:10" x14ac:dyDescent="0.3">
      <c r="I22723" t="s">
        <v>27417</v>
      </c>
      <c r="J22723" t="s">
        <v>7050</v>
      </c>
    </row>
    <row r="22724" spans="9:10" x14ac:dyDescent="0.3">
      <c r="I22724" t="s">
        <v>27418</v>
      </c>
      <c r="J22724" t="s">
        <v>7051</v>
      </c>
    </row>
    <row r="22725" spans="9:10" x14ac:dyDescent="0.3">
      <c r="I22725" t="s">
        <v>27419</v>
      </c>
      <c r="J22725" t="s">
        <v>7052</v>
      </c>
    </row>
    <row r="22726" spans="9:10" x14ac:dyDescent="0.3">
      <c r="I22726" t="s">
        <v>27420</v>
      </c>
      <c r="J22726" t="s">
        <v>7053</v>
      </c>
    </row>
    <row r="22727" spans="9:10" x14ac:dyDescent="0.3">
      <c r="I22727" t="s">
        <v>27421</v>
      </c>
      <c r="J22727" t="s">
        <v>7054</v>
      </c>
    </row>
    <row r="22728" spans="9:10" x14ac:dyDescent="0.3">
      <c r="I22728" t="s">
        <v>27422</v>
      </c>
      <c r="J22728" t="s">
        <v>7055</v>
      </c>
    </row>
    <row r="22729" spans="9:10" x14ac:dyDescent="0.3">
      <c r="I22729" t="s">
        <v>27423</v>
      </c>
      <c r="J22729" t="s">
        <v>7056</v>
      </c>
    </row>
    <row r="22730" spans="9:10" x14ac:dyDescent="0.3">
      <c r="I22730" t="s">
        <v>27424</v>
      </c>
      <c r="J22730" t="s">
        <v>7057</v>
      </c>
    </row>
    <row r="22731" spans="9:10" x14ac:dyDescent="0.3">
      <c r="I22731" t="s">
        <v>27425</v>
      </c>
      <c r="J22731" t="s">
        <v>7058</v>
      </c>
    </row>
    <row r="22732" spans="9:10" x14ac:dyDescent="0.3">
      <c r="I22732" t="s">
        <v>27426</v>
      </c>
    </row>
    <row r="22733" spans="9:10" x14ac:dyDescent="0.3">
      <c r="I22733" t="s">
        <v>27427</v>
      </c>
    </row>
    <row r="22734" spans="9:10" x14ac:dyDescent="0.3">
      <c r="I22734" t="s">
        <v>27428</v>
      </c>
      <c r="J22734" t="s">
        <v>7059</v>
      </c>
    </row>
    <row r="22735" spans="9:10" x14ac:dyDescent="0.3">
      <c r="I22735" t="s">
        <v>27429</v>
      </c>
      <c r="J22735" t="s">
        <v>7060</v>
      </c>
    </row>
    <row r="22736" spans="9:10" x14ac:dyDescent="0.3">
      <c r="I22736" t="s">
        <v>27430</v>
      </c>
    </row>
    <row r="22737" spans="9:10" x14ac:dyDescent="0.3">
      <c r="I22737" t="s">
        <v>27431</v>
      </c>
    </row>
    <row r="22738" spans="9:10" x14ac:dyDescent="0.3">
      <c r="I22738" t="s">
        <v>27432</v>
      </c>
    </row>
    <row r="22739" spans="9:10" x14ac:dyDescent="0.3">
      <c r="I22739" t="s">
        <v>27433</v>
      </c>
      <c r="J22739" t="s">
        <v>7061</v>
      </c>
    </row>
    <row r="22740" spans="9:10" x14ac:dyDescent="0.3">
      <c r="I22740" t="s">
        <v>27434</v>
      </c>
      <c r="J22740" t="s">
        <v>7062</v>
      </c>
    </row>
    <row r="22741" spans="9:10" x14ac:dyDescent="0.3">
      <c r="I22741" t="s">
        <v>27435</v>
      </c>
    </row>
    <row r="22742" spans="9:10" x14ac:dyDescent="0.3">
      <c r="I22742" t="s">
        <v>27436</v>
      </c>
      <c r="J22742">
        <v>0</v>
      </c>
    </row>
    <row r="22743" spans="9:10" x14ac:dyDescent="0.3">
      <c r="I22743" t="s">
        <v>27437</v>
      </c>
    </row>
    <row r="22744" spans="9:10" x14ac:dyDescent="0.3">
      <c r="I22744" t="s">
        <v>27438</v>
      </c>
    </row>
    <row r="22745" spans="9:10" x14ac:dyDescent="0.3">
      <c r="I22745" t="s">
        <v>27439</v>
      </c>
    </row>
    <row r="22746" spans="9:10" x14ac:dyDescent="0.3">
      <c r="I22746" t="s">
        <v>27440</v>
      </c>
      <c r="J22746" t="s">
        <v>7063</v>
      </c>
    </row>
    <row r="22747" spans="9:10" x14ac:dyDescent="0.3">
      <c r="I22747" t="s">
        <v>27440</v>
      </c>
      <c r="J22747" t="s">
        <v>7063</v>
      </c>
    </row>
    <row r="22748" spans="9:10" x14ac:dyDescent="0.3">
      <c r="I22748" t="s">
        <v>27441</v>
      </c>
      <c r="J22748" t="s">
        <v>7064</v>
      </c>
    </row>
    <row r="22749" spans="9:10" x14ac:dyDescent="0.3">
      <c r="I22749" t="s">
        <v>27442</v>
      </c>
    </row>
    <row r="22750" spans="9:10" x14ac:dyDescent="0.3">
      <c r="I22750" t="s">
        <v>27442</v>
      </c>
    </row>
    <row r="22751" spans="9:10" x14ac:dyDescent="0.3">
      <c r="I22751" t="s">
        <v>27443</v>
      </c>
    </row>
    <row r="22752" spans="9:10" x14ac:dyDescent="0.3">
      <c r="I22752" t="s">
        <v>27444</v>
      </c>
    </row>
    <row r="22753" spans="9:10" x14ac:dyDescent="0.3">
      <c r="I22753" t="s">
        <v>27445</v>
      </c>
      <c r="J22753" t="s">
        <v>7065</v>
      </c>
    </row>
    <row r="22754" spans="9:10" x14ac:dyDescent="0.3">
      <c r="I22754" t="s">
        <v>27446</v>
      </c>
      <c r="J22754" t="s">
        <v>7066</v>
      </c>
    </row>
    <row r="22755" spans="9:10" x14ac:dyDescent="0.3">
      <c r="I22755" t="s">
        <v>27447</v>
      </c>
      <c r="J22755" t="s">
        <v>7067</v>
      </c>
    </row>
    <row r="22756" spans="9:10" x14ac:dyDescent="0.3">
      <c r="I22756" t="s">
        <v>27448</v>
      </c>
    </row>
    <row r="22757" spans="9:10" x14ac:dyDescent="0.3">
      <c r="I22757" t="s">
        <v>27449</v>
      </c>
    </row>
    <row r="22758" spans="9:10" x14ac:dyDescent="0.3">
      <c r="I22758" t="s">
        <v>27450</v>
      </c>
      <c r="J22758" t="s">
        <v>7068</v>
      </c>
    </row>
    <row r="22759" spans="9:10" x14ac:dyDescent="0.3">
      <c r="I22759" t="s">
        <v>27451</v>
      </c>
    </row>
    <row r="22760" spans="9:10" x14ac:dyDescent="0.3">
      <c r="I22760" t="s">
        <v>27452</v>
      </c>
    </row>
    <row r="22761" spans="9:10" x14ac:dyDescent="0.3">
      <c r="I22761" t="s">
        <v>27453</v>
      </c>
    </row>
    <row r="22762" spans="9:10" x14ac:dyDescent="0.3">
      <c r="I22762" t="s">
        <v>27454</v>
      </c>
      <c r="J22762" t="s">
        <v>7069</v>
      </c>
    </row>
    <row r="22763" spans="9:10" x14ac:dyDescent="0.3">
      <c r="I22763" t="s">
        <v>27455</v>
      </c>
      <c r="J22763" t="s">
        <v>7069</v>
      </c>
    </row>
    <row r="22764" spans="9:10" x14ac:dyDescent="0.3">
      <c r="I22764" t="s">
        <v>27456</v>
      </c>
      <c r="J22764" t="s">
        <v>7070</v>
      </c>
    </row>
    <row r="22765" spans="9:10" x14ac:dyDescent="0.3">
      <c r="I22765" t="s">
        <v>27457</v>
      </c>
      <c r="J22765" t="s">
        <v>7071</v>
      </c>
    </row>
    <row r="22766" spans="9:10" x14ac:dyDescent="0.3">
      <c r="I22766" t="s">
        <v>27458</v>
      </c>
    </row>
    <row r="22767" spans="9:10" x14ac:dyDescent="0.3">
      <c r="I22767" t="s">
        <v>27459</v>
      </c>
      <c r="J22767" t="s">
        <v>7072</v>
      </c>
    </row>
    <row r="22768" spans="9:10" x14ac:dyDescent="0.3">
      <c r="I22768" t="s">
        <v>27459</v>
      </c>
      <c r="J22768" t="s">
        <v>7072</v>
      </c>
    </row>
    <row r="22769" spans="9:10" x14ac:dyDescent="0.3">
      <c r="I22769" t="s">
        <v>27459</v>
      </c>
      <c r="J22769" t="s">
        <v>7072</v>
      </c>
    </row>
    <row r="22770" spans="9:10" x14ac:dyDescent="0.3">
      <c r="I22770" t="s">
        <v>27460</v>
      </c>
      <c r="J22770" t="s">
        <v>7073</v>
      </c>
    </row>
    <row r="22771" spans="9:10" x14ac:dyDescent="0.3">
      <c r="I22771" t="s">
        <v>27461</v>
      </c>
    </row>
    <row r="22772" spans="9:10" x14ac:dyDescent="0.3">
      <c r="I22772" t="s">
        <v>27462</v>
      </c>
    </row>
    <row r="22773" spans="9:10" x14ac:dyDescent="0.3">
      <c r="I22773" t="s">
        <v>27463</v>
      </c>
    </row>
    <row r="22774" spans="9:10" x14ac:dyDescent="0.3">
      <c r="I22774" t="s">
        <v>27464</v>
      </c>
      <c r="J22774" t="s">
        <v>7074</v>
      </c>
    </row>
    <row r="22775" spans="9:10" x14ac:dyDescent="0.3">
      <c r="I22775" t="s">
        <v>27465</v>
      </c>
    </row>
    <row r="22776" spans="9:10" x14ac:dyDescent="0.3">
      <c r="I22776" t="s">
        <v>27466</v>
      </c>
      <c r="J22776" t="s">
        <v>7075</v>
      </c>
    </row>
    <row r="22777" spans="9:10" x14ac:dyDescent="0.3">
      <c r="I22777" t="s">
        <v>27467</v>
      </c>
    </row>
    <row r="22778" spans="9:10" x14ac:dyDescent="0.3">
      <c r="I22778" t="s">
        <v>27468</v>
      </c>
      <c r="J22778" t="s">
        <v>7076</v>
      </c>
    </row>
    <row r="22779" spans="9:10" x14ac:dyDescent="0.3">
      <c r="I22779" t="s">
        <v>27469</v>
      </c>
      <c r="J22779" t="s">
        <v>7076</v>
      </c>
    </row>
    <row r="22780" spans="9:10" x14ac:dyDescent="0.3">
      <c r="I22780" t="s">
        <v>27470</v>
      </c>
      <c r="J22780" t="s">
        <v>7076</v>
      </c>
    </row>
    <row r="22781" spans="9:10" x14ac:dyDescent="0.3">
      <c r="I22781" t="s">
        <v>27471</v>
      </c>
      <c r="J22781" t="s">
        <v>7076</v>
      </c>
    </row>
    <row r="22782" spans="9:10" x14ac:dyDescent="0.3">
      <c r="I22782" t="s">
        <v>27472</v>
      </c>
      <c r="J22782" t="s">
        <v>7076</v>
      </c>
    </row>
    <row r="22783" spans="9:10" x14ac:dyDescent="0.3">
      <c r="I22783" t="s">
        <v>27473</v>
      </c>
      <c r="J22783" t="s">
        <v>7076</v>
      </c>
    </row>
    <row r="22784" spans="9:10" x14ac:dyDescent="0.3">
      <c r="I22784" t="s">
        <v>27474</v>
      </c>
      <c r="J22784" t="s">
        <v>7076</v>
      </c>
    </row>
    <row r="22785" spans="9:10" x14ac:dyDescent="0.3">
      <c r="I22785" t="s">
        <v>27475</v>
      </c>
      <c r="J22785" t="s">
        <v>7076</v>
      </c>
    </row>
    <row r="22786" spans="9:10" x14ac:dyDescent="0.3">
      <c r="I22786" t="s">
        <v>27476</v>
      </c>
      <c r="J22786" t="s">
        <v>7076</v>
      </c>
    </row>
    <row r="22787" spans="9:10" x14ac:dyDescent="0.3">
      <c r="I22787" t="s">
        <v>27477</v>
      </c>
      <c r="J22787" t="s">
        <v>7076</v>
      </c>
    </row>
    <row r="22788" spans="9:10" x14ac:dyDescent="0.3">
      <c r="I22788" t="s">
        <v>27478</v>
      </c>
      <c r="J22788" t="s">
        <v>7076</v>
      </c>
    </row>
    <row r="22789" spans="9:10" x14ac:dyDescent="0.3">
      <c r="I22789" t="s">
        <v>27479</v>
      </c>
      <c r="J22789" t="s">
        <v>7076</v>
      </c>
    </row>
    <row r="22790" spans="9:10" x14ac:dyDescent="0.3">
      <c r="I22790" t="s">
        <v>27480</v>
      </c>
      <c r="J22790" t="s">
        <v>7076</v>
      </c>
    </row>
    <row r="22791" spans="9:10" x14ac:dyDescent="0.3">
      <c r="I22791" t="s">
        <v>27481</v>
      </c>
      <c r="J22791" t="s">
        <v>7076</v>
      </c>
    </row>
    <row r="22792" spans="9:10" x14ac:dyDescent="0.3">
      <c r="I22792" t="s">
        <v>27482</v>
      </c>
      <c r="J22792" t="s">
        <v>7076</v>
      </c>
    </row>
    <row r="22793" spans="9:10" x14ac:dyDescent="0.3">
      <c r="I22793" t="s">
        <v>27483</v>
      </c>
    </row>
    <row r="22794" spans="9:10" x14ac:dyDescent="0.3">
      <c r="I22794" t="s">
        <v>27484</v>
      </c>
    </row>
    <row r="22795" spans="9:10" x14ac:dyDescent="0.3">
      <c r="I22795" t="s">
        <v>27485</v>
      </c>
    </row>
    <row r="22796" spans="9:10" x14ac:dyDescent="0.3">
      <c r="I22796" t="s">
        <v>27486</v>
      </c>
    </row>
    <row r="22797" spans="9:10" x14ac:dyDescent="0.3">
      <c r="I22797" t="s">
        <v>27487</v>
      </c>
    </row>
    <row r="22798" spans="9:10" x14ac:dyDescent="0.3">
      <c r="I22798" t="s">
        <v>27488</v>
      </c>
    </row>
    <row r="22799" spans="9:10" x14ac:dyDescent="0.3">
      <c r="I22799" t="s">
        <v>27489</v>
      </c>
      <c r="J22799" t="s">
        <v>7077</v>
      </c>
    </row>
    <row r="22800" spans="9:10" x14ac:dyDescent="0.3">
      <c r="I22800" t="s">
        <v>27490</v>
      </c>
    </row>
    <row r="22801" spans="9:10" x14ac:dyDescent="0.3">
      <c r="I22801" t="s">
        <v>27491</v>
      </c>
    </row>
    <row r="22802" spans="9:10" x14ac:dyDescent="0.3">
      <c r="I22802" t="s">
        <v>27491</v>
      </c>
    </row>
    <row r="22803" spans="9:10" x14ac:dyDescent="0.3">
      <c r="I22803" t="s">
        <v>27492</v>
      </c>
      <c r="J22803" t="s">
        <v>7078</v>
      </c>
    </row>
    <row r="22804" spans="9:10" x14ac:dyDescent="0.3">
      <c r="I22804" t="s">
        <v>27493</v>
      </c>
      <c r="J22804" t="s">
        <v>7079</v>
      </c>
    </row>
    <row r="22805" spans="9:10" x14ac:dyDescent="0.3">
      <c r="I22805" t="s">
        <v>27494</v>
      </c>
      <c r="J22805" t="s">
        <v>7080</v>
      </c>
    </row>
    <row r="22806" spans="9:10" x14ac:dyDescent="0.3">
      <c r="I22806" t="s">
        <v>27495</v>
      </c>
      <c r="J22806" t="s">
        <v>7080</v>
      </c>
    </row>
    <row r="22807" spans="9:10" x14ac:dyDescent="0.3">
      <c r="I22807" t="s">
        <v>27496</v>
      </c>
      <c r="J22807" t="s">
        <v>7080</v>
      </c>
    </row>
    <row r="22808" spans="9:10" x14ac:dyDescent="0.3">
      <c r="I22808" t="s">
        <v>27497</v>
      </c>
      <c r="J22808" t="s">
        <v>7080</v>
      </c>
    </row>
    <row r="22809" spans="9:10" x14ac:dyDescent="0.3">
      <c r="I22809" t="s">
        <v>27498</v>
      </c>
      <c r="J22809" t="s">
        <v>7080</v>
      </c>
    </row>
    <row r="22810" spans="9:10" x14ac:dyDescent="0.3">
      <c r="I22810" t="s">
        <v>27499</v>
      </c>
      <c r="J22810" t="s">
        <v>7081</v>
      </c>
    </row>
    <row r="22811" spans="9:10" x14ac:dyDescent="0.3">
      <c r="I22811" t="s">
        <v>27500</v>
      </c>
      <c r="J22811" t="s">
        <v>7081</v>
      </c>
    </row>
    <row r="22812" spans="9:10" x14ac:dyDescent="0.3">
      <c r="I22812" t="s">
        <v>27501</v>
      </c>
      <c r="J22812" t="s">
        <v>7081</v>
      </c>
    </row>
    <row r="22813" spans="9:10" x14ac:dyDescent="0.3">
      <c r="I22813" t="s">
        <v>27500</v>
      </c>
      <c r="J22813" t="s">
        <v>7081</v>
      </c>
    </row>
    <row r="22814" spans="9:10" x14ac:dyDescent="0.3">
      <c r="I22814" t="s">
        <v>27502</v>
      </c>
      <c r="J22814" t="s">
        <v>7082</v>
      </c>
    </row>
    <row r="22815" spans="9:10" x14ac:dyDescent="0.3">
      <c r="I22815" t="s">
        <v>27503</v>
      </c>
      <c r="J22815" t="s">
        <v>7083</v>
      </c>
    </row>
    <row r="22816" spans="9:10" x14ac:dyDescent="0.3">
      <c r="I22816" t="s">
        <v>27504</v>
      </c>
      <c r="J22816" t="s">
        <v>7083</v>
      </c>
    </row>
    <row r="22817" spans="9:10" x14ac:dyDescent="0.3">
      <c r="I22817" t="s">
        <v>27505</v>
      </c>
      <c r="J22817" t="s">
        <v>7083</v>
      </c>
    </row>
    <row r="22818" spans="9:10" x14ac:dyDescent="0.3">
      <c r="I22818" t="s">
        <v>27506</v>
      </c>
      <c r="J22818" t="s">
        <v>7084</v>
      </c>
    </row>
    <row r="22819" spans="9:10" x14ac:dyDescent="0.3">
      <c r="I22819" t="s">
        <v>27506</v>
      </c>
      <c r="J22819" t="s">
        <v>7084</v>
      </c>
    </row>
    <row r="22820" spans="9:10" x14ac:dyDescent="0.3">
      <c r="I22820" t="s">
        <v>27507</v>
      </c>
    </row>
    <row r="22821" spans="9:10" x14ac:dyDescent="0.3">
      <c r="I22821" t="s">
        <v>27508</v>
      </c>
      <c r="J22821" t="s">
        <v>7085</v>
      </c>
    </row>
    <row r="22822" spans="9:10" x14ac:dyDescent="0.3">
      <c r="I22822" t="s">
        <v>27509</v>
      </c>
      <c r="J22822" t="s">
        <v>7086</v>
      </c>
    </row>
    <row r="22823" spans="9:10" x14ac:dyDescent="0.3">
      <c r="I22823" t="s">
        <v>27510</v>
      </c>
      <c r="J22823" t="s">
        <v>7087</v>
      </c>
    </row>
    <row r="22824" spans="9:10" x14ac:dyDescent="0.3">
      <c r="I22824" t="s">
        <v>27511</v>
      </c>
      <c r="J22824" t="s">
        <v>7088</v>
      </c>
    </row>
    <row r="22825" spans="9:10" x14ac:dyDescent="0.3">
      <c r="I22825" t="s">
        <v>27512</v>
      </c>
      <c r="J22825" t="s">
        <v>7089</v>
      </c>
    </row>
    <row r="22826" spans="9:10" x14ac:dyDescent="0.3">
      <c r="I22826" t="s">
        <v>27513</v>
      </c>
      <c r="J22826" t="s">
        <v>7089</v>
      </c>
    </row>
    <row r="22827" spans="9:10" x14ac:dyDescent="0.3">
      <c r="I22827" t="s">
        <v>27514</v>
      </c>
      <c r="J22827" t="s">
        <v>7090</v>
      </c>
    </row>
    <row r="22828" spans="9:10" x14ac:dyDescent="0.3">
      <c r="I22828" t="s">
        <v>27515</v>
      </c>
      <c r="J22828" t="s">
        <v>7091</v>
      </c>
    </row>
    <row r="22829" spans="9:10" x14ac:dyDescent="0.3">
      <c r="I22829" t="s">
        <v>27516</v>
      </c>
      <c r="J22829" t="s">
        <v>7092</v>
      </c>
    </row>
    <row r="22830" spans="9:10" x14ac:dyDescent="0.3">
      <c r="I22830" t="s">
        <v>27517</v>
      </c>
      <c r="J22830" t="s">
        <v>7093</v>
      </c>
    </row>
    <row r="22831" spans="9:10" x14ac:dyDescent="0.3">
      <c r="I22831" t="s">
        <v>27518</v>
      </c>
      <c r="J22831" t="s">
        <v>7093</v>
      </c>
    </row>
    <row r="22832" spans="9:10" x14ac:dyDescent="0.3">
      <c r="I22832" t="s">
        <v>27519</v>
      </c>
      <c r="J22832" t="s">
        <v>7093</v>
      </c>
    </row>
    <row r="22833" spans="9:10" x14ac:dyDescent="0.3">
      <c r="I22833" t="s">
        <v>27520</v>
      </c>
      <c r="J22833" t="s">
        <v>7093</v>
      </c>
    </row>
    <row r="22834" spans="9:10" x14ac:dyDescent="0.3">
      <c r="I22834" t="s">
        <v>27521</v>
      </c>
      <c r="J22834" t="s">
        <v>7093</v>
      </c>
    </row>
    <row r="22835" spans="9:10" x14ac:dyDescent="0.3">
      <c r="I22835" t="s">
        <v>27522</v>
      </c>
      <c r="J22835" t="s">
        <v>7093</v>
      </c>
    </row>
    <row r="22836" spans="9:10" x14ac:dyDescent="0.3">
      <c r="I22836" t="s">
        <v>27523</v>
      </c>
      <c r="J22836" t="s">
        <v>7093</v>
      </c>
    </row>
    <row r="22837" spans="9:10" x14ac:dyDescent="0.3">
      <c r="I22837" t="s">
        <v>27524</v>
      </c>
      <c r="J22837" t="s">
        <v>7093</v>
      </c>
    </row>
    <row r="22838" spans="9:10" x14ac:dyDescent="0.3">
      <c r="I22838" t="s">
        <v>27525</v>
      </c>
      <c r="J22838" t="s">
        <v>7093</v>
      </c>
    </row>
    <row r="22839" spans="9:10" x14ac:dyDescent="0.3">
      <c r="I22839" t="s">
        <v>27517</v>
      </c>
      <c r="J22839" t="s">
        <v>7093</v>
      </c>
    </row>
    <row r="22840" spans="9:10" x14ac:dyDescent="0.3">
      <c r="I22840" t="s">
        <v>27517</v>
      </c>
      <c r="J22840" t="s">
        <v>7093</v>
      </c>
    </row>
    <row r="22841" spans="9:10" x14ac:dyDescent="0.3">
      <c r="I22841" t="s">
        <v>27526</v>
      </c>
      <c r="J22841" t="s">
        <v>7093</v>
      </c>
    </row>
    <row r="22842" spans="9:10" x14ac:dyDescent="0.3">
      <c r="I22842" t="s">
        <v>27527</v>
      </c>
      <c r="J22842" t="s">
        <v>7093</v>
      </c>
    </row>
    <row r="22843" spans="9:10" x14ac:dyDescent="0.3">
      <c r="I22843" t="s">
        <v>27528</v>
      </c>
      <c r="J22843" t="s">
        <v>7093</v>
      </c>
    </row>
    <row r="22844" spans="9:10" x14ac:dyDescent="0.3">
      <c r="I22844" t="s">
        <v>27529</v>
      </c>
      <c r="J22844" t="s">
        <v>7093</v>
      </c>
    </row>
    <row r="22845" spans="9:10" x14ac:dyDescent="0.3">
      <c r="I22845" t="s">
        <v>27530</v>
      </c>
      <c r="J22845" t="s">
        <v>7093</v>
      </c>
    </row>
    <row r="22846" spans="9:10" x14ac:dyDescent="0.3">
      <c r="I22846" t="s">
        <v>27531</v>
      </c>
      <c r="J22846" t="s">
        <v>7093</v>
      </c>
    </row>
    <row r="22847" spans="9:10" x14ac:dyDescent="0.3">
      <c r="I22847" t="s">
        <v>27532</v>
      </c>
      <c r="J22847" t="s">
        <v>7093</v>
      </c>
    </row>
    <row r="22848" spans="9:10" x14ac:dyDescent="0.3">
      <c r="I22848" t="s">
        <v>27533</v>
      </c>
      <c r="J22848" t="s">
        <v>7093</v>
      </c>
    </row>
    <row r="22849" spans="9:10" x14ac:dyDescent="0.3">
      <c r="I22849" t="s">
        <v>27534</v>
      </c>
      <c r="J22849" t="s">
        <v>7093</v>
      </c>
    </row>
    <row r="22850" spans="9:10" x14ac:dyDescent="0.3">
      <c r="I22850" t="s">
        <v>27535</v>
      </c>
      <c r="J22850" t="s">
        <v>7093</v>
      </c>
    </row>
    <row r="22851" spans="9:10" x14ac:dyDescent="0.3">
      <c r="I22851" t="s">
        <v>27536</v>
      </c>
      <c r="J22851" t="s">
        <v>7093</v>
      </c>
    </row>
    <row r="22852" spans="9:10" x14ac:dyDescent="0.3">
      <c r="I22852" t="s">
        <v>27537</v>
      </c>
      <c r="J22852" t="s">
        <v>7093</v>
      </c>
    </row>
    <row r="22853" spans="9:10" x14ac:dyDescent="0.3">
      <c r="I22853" t="s">
        <v>27538</v>
      </c>
      <c r="J22853" t="s">
        <v>7093</v>
      </c>
    </row>
    <row r="22854" spans="9:10" x14ac:dyDescent="0.3">
      <c r="I22854" t="s">
        <v>27539</v>
      </c>
      <c r="J22854" t="s">
        <v>7093</v>
      </c>
    </row>
    <row r="22855" spans="9:10" x14ac:dyDescent="0.3">
      <c r="I22855" t="s">
        <v>27540</v>
      </c>
      <c r="J22855" t="s">
        <v>7093</v>
      </c>
    </row>
    <row r="22856" spans="9:10" x14ac:dyDescent="0.3">
      <c r="I22856" t="s">
        <v>27541</v>
      </c>
      <c r="J22856" t="s">
        <v>7093</v>
      </c>
    </row>
    <row r="22857" spans="9:10" x14ac:dyDescent="0.3">
      <c r="I22857" t="s">
        <v>27542</v>
      </c>
      <c r="J22857" t="s">
        <v>7093</v>
      </c>
    </row>
    <row r="22858" spans="9:10" x14ac:dyDescent="0.3">
      <c r="I22858" t="s">
        <v>27543</v>
      </c>
      <c r="J22858" t="s">
        <v>7093</v>
      </c>
    </row>
    <row r="22859" spans="9:10" x14ac:dyDescent="0.3">
      <c r="I22859" t="s">
        <v>27544</v>
      </c>
      <c r="J22859" t="s">
        <v>7093</v>
      </c>
    </row>
    <row r="22860" spans="9:10" x14ac:dyDescent="0.3">
      <c r="I22860" t="s">
        <v>27545</v>
      </c>
      <c r="J22860" t="s">
        <v>7093</v>
      </c>
    </row>
    <row r="22861" spans="9:10" x14ac:dyDescent="0.3">
      <c r="I22861" t="s">
        <v>27546</v>
      </c>
      <c r="J22861" t="s">
        <v>7094</v>
      </c>
    </row>
    <row r="22862" spans="9:10" x14ac:dyDescent="0.3">
      <c r="I22862" t="s">
        <v>27547</v>
      </c>
      <c r="J22862" t="s">
        <v>7095</v>
      </c>
    </row>
    <row r="22863" spans="9:10" x14ac:dyDescent="0.3">
      <c r="I22863" t="s">
        <v>27548</v>
      </c>
      <c r="J22863" t="s">
        <v>7095</v>
      </c>
    </row>
    <row r="22864" spans="9:10" x14ac:dyDescent="0.3">
      <c r="I22864" t="s">
        <v>27549</v>
      </c>
      <c r="J22864" t="s">
        <v>7095</v>
      </c>
    </row>
    <row r="22865" spans="9:10" x14ac:dyDescent="0.3">
      <c r="I22865" t="s">
        <v>27550</v>
      </c>
      <c r="J22865" t="s">
        <v>7095</v>
      </c>
    </row>
    <row r="22866" spans="9:10" x14ac:dyDescent="0.3">
      <c r="I22866" t="s">
        <v>27551</v>
      </c>
      <c r="J22866" t="s">
        <v>7096</v>
      </c>
    </row>
    <row r="22867" spans="9:10" x14ac:dyDescent="0.3">
      <c r="I22867" t="s">
        <v>27551</v>
      </c>
      <c r="J22867" t="s">
        <v>7096</v>
      </c>
    </row>
    <row r="22868" spans="9:10" x14ac:dyDescent="0.3">
      <c r="I22868" t="s">
        <v>27551</v>
      </c>
      <c r="J22868" t="s">
        <v>7096</v>
      </c>
    </row>
    <row r="22869" spans="9:10" x14ac:dyDescent="0.3">
      <c r="I22869" t="s">
        <v>27552</v>
      </c>
    </row>
    <row r="22870" spans="9:10" x14ac:dyDescent="0.3">
      <c r="I22870" t="s">
        <v>27553</v>
      </c>
      <c r="J22870" t="s">
        <v>7097</v>
      </c>
    </row>
    <row r="22871" spans="9:10" x14ac:dyDescent="0.3">
      <c r="I22871" t="s">
        <v>27554</v>
      </c>
    </row>
    <row r="22872" spans="9:10" x14ac:dyDescent="0.3">
      <c r="I22872" t="s">
        <v>27555</v>
      </c>
    </row>
    <row r="22873" spans="9:10" x14ac:dyDescent="0.3">
      <c r="I22873" t="s">
        <v>27556</v>
      </c>
      <c r="J22873" t="s">
        <v>7098</v>
      </c>
    </row>
    <row r="22874" spans="9:10" x14ac:dyDescent="0.3">
      <c r="I22874" t="s">
        <v>27556</v>
      </c>
      <c r="J22874" t="s">
        <v>7098</v>
      </c>
    </row>
    <row r="22875" spans="9:10" x14ac:dyDescent="0.3">
      <c r="I22875" t="s">
        <v>27557</v>
      </c>
      <c r="J22875" t="s">
        <v>2352</v>
      </c>
    </row>
    <row r="22876" spans="9:10" x14ac:dyDescent="0.3">
      <c r="I22876" t="s">
        <v>27558</v>
      </c>
      <c r="J22876" t="s">
        <v>7099</v>
      </c>
    </row>
    <row r="22877" spans="9:10" x14ac:dyDescent="0.3">
      <c r="I22877" t="s">
        <v>27559</v>
      </c>
    </row>
    <row r="22878" spans="9:10" x14ac:dyDescent="0.3">
      <c r="I22878" t="s">
        <v>27560</v>
      </c>
      <c r="J22878" t="s">
        <v>7100</v>
      </c>
    </row>
    <row r="22879" spans="9:10" x14ac:dyDescent="0.3">
      <c r="I22879" t="s">
        <v>27561</v>
      </c>
      <c r="J22879" t="s">
        <v>907</v>
      </c>
    </row>
    <row r="22880" spans="9:10" x14ac:dyDescent="0.3">
      <c r="I22880" t="s">
        <v>27562</v>
      </c>
      <c r="J22880" t="s">
        <v>7101</v>
      </c>
    </row>
    <row r="22881" spans="9:10" x14ac:dyDescent="0.3">
      <c r="I22881" t="s">
        <v>16853</v>
      </c>
      <c r="J22881" t="s">
        <v>3991</v>
      </c>
    </row>
    <row r="22882" spans="9:10" x14ac:dyDescent="0.3">
      <c r="I22882" t="s">
        <v>16853</v>
      </c>
      <c r="J22882" t="s">
        <v>3991</v>
      </c>
    </row>
    <row r="22883" spans="9:10" x14ac:dyDescent="0.3">
      <c r="I22883" t="s">
        <v>27563</v>
      </c>
    </row>
    <row r="22884" spans="9:10" x14ac:dyDescent="0.3">
      <c r="I22884" t="s">
        <v>27564</v>
      </c>
    </row>
    <row r="22885" spans="9:10" x14ac:dyDescent="0.3">
      <c r="I22885" t="s">
        <v>27565</v>
      </c>
    </row>
    <row r="22886" spans="9:10" x14ac:dyDescent="0.3">
      <c r="I22886" t="s">
        <v>27566</v>
      </c>
      <c r="J22886" t="s">
        <v>7102</v>
      </c>
    </row>
    <row r="22887" spans="9:10" x14ac:dyDescent="0.3">
      <c r="I22887" t="s">
        <v>27567</v>
      </c>
      <c r="J22887" t="s">
        <v>7102</v>
      </c>
    </row>
    <row r="22888" spans="9:10" x14ac:dyDescent="0.3">
      <c r="I22888" t="s">
        <v>27566</v>
      </c>
      <c r="J22888" t="s">
        <v>7102</v>
      </c>
    </row>
    <row r="22889" spans="9:10" x14ac:dyDescent="0.3">
      <c r="I22889" t="s">
        <v>27568</v>
      </c>
      <c r="J22889" t="s">
        <v>7103</v>
      </c>
    </row>
    <row r="22890" spans="9:10" x14ac:dyDescent="0.3">
      <c r="I22890" t="s">
        <v>27569</v>
      </c>
      <c r="J22890" t="s">
        <v>721</v>
      </c>
    </row>
    <row r="22891" spans="9:10" x14ac:dyDescent="0.3">
      <c r="I22891" t="s">
        <v>27570</v>
      </c>
    </row>
    <row r="22892" spans="9:10" x14ac:dyDescent="0.3">
      <c r="I22892" t="s">
        <v>27571</v>
      </c>
      <c r="J22892" t="s">
        <v>7104</v>
      </c>
    </row>
    <row r="22893" spans="9:10" x14ac:dyDescent="0.3">
      <c r="I22893" t="s">
        <v>27572</v>
      </c>
    </row>
    <row r="22894" spans="9:10" x14ac:dyDescent="0.3">
      <c r="I22894" t="s">
        <v>27573</v>
      </c>
      <c r="J22894" t="s">
        <v>7105</v>
      </c>
    </row>
    <row r="22895" spans="9:10" x14ac:dyDescent="0.3">
      <c r="I22895" t="s">
        <v>27573</v>
      </c>
      <c r="J22895" t="s">
        <v>7105</v>
      </c>
    </row>
    <row r="22896" spans="9:10" x14ac:dyDescent="0.3">
      <c r="I22896" t="s">
        <v>27574</v>
      </c>
      <c r="J22896" t="s">
        <v>7106</v>
      </c>
    </row>
    <row r="22897" spans="9:10" x14ac:dyDescent="0.3">
      <c r="I22897" t="s">
        <v>27575</v>
      </c>
      <c r="J22897" t="s">
        <v>7107</v>
      </c>
    </row>
    <row r="22898" spans="9:10" x14ac:dyDescent="0.3">
      <c r="I22898" t="s">
        <v>27576</v>
      </c>
      <c r="J22898" t="s">
        <v>7108</v>
      </c>
    </row>
    <row r="22899" spans="9:10" x14ac:dyDescent="0.3">
      <c r="I22899" t="s">
        <v>27576</v>
      </c>
      <c r="J22899" t="s">
        <v>7108</v>
      </c>
    </row>
    <row r="22900" spans="9:10" x14ac:dyDescent="0.3">
      <c r="I22900" t="s">
        <v>27577</v>
      </c>
    </row>
    <row r="22901" spans="9:10" x14ac:dyDescent="0.3">
      <c r="I22901" t="s">
        <v>27578</v>
      </c>
    </row>
    <row r="22902" spans="9:10" x14ac:dyDescent="0.3">
      <c r="I22902" t="s">
        <v>27579</v>
      </c>
    </row>
    <row r="22903" spans="9:10" x14ac:dyDescent="0.3">
      <c r="I22903" t="s">
        <v>27580</v>
      </c>
    </row>
    <row r="22904" spans="9:10" x14ac:dyDescent="0.3">
      <c r="I22904" t="s">
        <v>27581</v>
      </c>
      <c r="J22904" t="s">
        <v>7109</v>
      </c>
    </row>
    <row r="22905" spans="9:10" x14ac:dyDescent="0.3">
      <c r="I22905" t="s">
        <v>27582</v>
      </c>
      <c r="J22905" t="s">
        <v>7110</v>
      </c>
    </row>
    <row r="22906" spans="9:10" x14ac:dyDescent="0.3">
      <c r="I22906" t="s">
        <v>27583</v>
      </c>
      <c r="J22906" t="s">
        <v>570</v>
      </c>
    </row>
    <row r="22907" spans="9:10" x14ac:dyDescent="0.3">
      <c r="I22907" t="s">
        <v>27584</v>
      </c>
      <c r="J22907" t="s">
        <v>7111</v>
      </c>
    </row>
    <row r="22908" spans="9:10" x14ac:dyDescent="0.3">
      <c r="I22908" t="s">
        <v>27585</v>
      </c>
      <c r="J22908" t="s">
        <v>7112</v>
      </c>
    </row>
    <row r="22909" spans="9:10" x14ac:dyDescent="0.3">
      <c r="I22909" t="s">
        <v>27586</v>
      </c>
    </row>
    <row r="22910" spans="9:10" x14ac:dyDescent="0.3">
      <c r="I22910" t="s">
        <v>27587</v>
      </c>
    </row>
    <row r="22911" spans="9:10" x14ac:dyDescent="0.3">
      <c r="I22911" t="s">
        <v>27588</v>
      </c>
      <c r="J22911" t="s">
        <v>5878</v>
      </c>
    </row>
    <row r="22912" spans="9:10" x14ac:dyDescent="0.3">
      <c r="I22912" t="s">
        <v>27589</v>
      </c>
      <c r="J22912" t="s">
        <v>5878</v>
      </c>
    </row>
    <row r="22913" spans="9:10" x14ac:dyDescent="0.3">
      <c r="I22913" t="s">
        <v>27590</v>
      </c>
      <c r="J22913" t="s">
        <v>7113</v>
      </c>
    </row>
    <row r="22914" spans="9:10" x14ac:dyDescent="0.3">
      <c r="I22914" t="s">
        <v>27591</v>
      </c>
      <c r="J22914" t="s">
        <v>7114</v>
      </c>
    </row>
    <row r="22915" spans="9:10" x14ac:dyDescent="0.3">
      <c r="I22915" t="s">
        <v>27592</v>
      </c>
      <c r="J22915" t="s">
        <v>506</v>
      </c>
    </row>
    <row r="22916" spans="9:10" x14ac:dyDescent="0.3">
      <c r="I22916" t="s">
        <v>505</v>
      </c>
      <c r="J22916" t="s">
        <v>506</v>
      </c>
    </row>
    <row r="22917" spans="9:10" x14ac:dyDescent="0.3">
      <c r="I22917" t="s">
        <v>27593</v>
      </c>
    </row>
    <row r="22918" spans="9:10" x14ac:dyDescent="0.3">
      <c r="I22918" t="s">
        <v>27594</v>
      </c>
    </row>
    <row r="22919" spans="9:10" x14ac:dyDescent="0.3">
      <c r="I22919" t="s">
        <v>27595</v>
      </c>
      <c r="J22919">
        <v>0</v>
      </c>
    </row>
    <row r="22920" spans="9:10" x14ac:dyDescent="0.3">
      <c r="I22920" t="s">
        <v>27596</v>
      </c>
    </row>
    <row r="22921" spans="9:10" x14ac:dyDescent="0.3">
      <c r="I22921" t="s">
        <v>27597</v>
      </c>
    </row>
    <row r="22922" spans="9:10" x14ac:dyDescent="0.3">
      <c r="I22922" t="s">
        <v>27598</v>
      </c>
      <c r="J22922" t="s">
        <v>7115</v>
      </c>
    </row>
    <row r="22923" spans="9:10" x14ac:dyDescent="0.3">
      <c r="I22923" t="s">
        <v>27599</v>
      </c>
      <c r="J22923" t="s">
        <v>7116</v>
      </c>
    </row>
    <row r="22924" spans="9:10" x14ac:dyDescent="0.3">
      <c r="I22924" t="s">
        <v>27600</v>
      </c>
      <c r="J22924" t="s">
        <v>2045</v>
      </c>
    </row>
    <row r="22925" spans="9:10" x14ac:dyDescent="0.3">
      <c r="I22925" t="s">
        <v>27601</v>
      </c>
    </row>
    <row r="22926" spans="9:10" x14ac:dyDescent="0.3">
      <c r="I22926" t="s">
        <v>27602</v>
      </c>
    </row>
    <row r="22927" spans="9:10" x14ac:dyDescent="0.3">
      <c r="I22927" t="s">
        <v>27603</v>
      </c>
      <c r="J22927">
        <v>0</v>
      </c>
    </row>
    <row r="22928" spans="9:10" x14ac:dyDescent="0.3">
      <c r="I22928" t="s">
        <v>27604</v>
      </c>
    </row>
    <row r="22929" spans="9:10" x14ac:dyDescent="0.3">
      <c r="I22929" t="s">
        <v>27605</v>
      </c>
      <c r="J22929">
        <v>0</v>
      </c>
    </row>
    <row r="22930" spans="9:10" x14ac:dyDescent="0.3">
      <c r="I22930" t="s">
        <v>27606</v>
      </c>
      <c r="J22930" t="s">
        <v>7117</v>
      </c>
    </row>
    <row r="22931" spans="9:10" x14ac:dyDescent="0.3">
      <c r="I22931" t="s">
        <v>27607</v>
      </c>
      <c r="J22931" t="s">
        <v>7118</v>
      </c>
    </row>
    <row r="22932" spans="9:10" x14ac:dyDescent="0.3">
      <c r="I22932" t="s">
        <v>27608</v>
      </c>
      <c r="J22932">
        <v>0</v>
      </c>
    </row>
    <row r="22933" spans="9:10" x14ac:dyDescent="0.3">
      <c r="I22933" t="s">
        <v>27609</v>
      </c>
      <c r="J22933">
        <v>0</v>
      </c>
    </row>
    <row r="22934" spans="9:10" x14ac:dyDescent="0.3">
      <c r="I22934" t="s">
        <v>27610</v>
      </c>
      <c r="J22934">
        <v>0</v>
      </c>
    </row>
    <row r="22935" spans="9:10" x14ac:dyDescent="0.3">
      <c r="I22935" t="s">
        <v>27611</v>
      </c>
      <c r="J22935">
        <v>0</v>
      </c>
    </row>
    <row r="22936" spans="9:10" x14ac:dyDescent="0.3">
      <c r="I22936" t="s">
        <v>27612</v>
      </c>
    </row>
    <row r="22937" spans="9:10" x14ac:dyDescent="0.3">
      <c r="I22937" t="s">
        <v>27613</v>
      </c>
      <c r="J22937" t="s">
        <v>7119</v>
      </c>
    </row>
    <row r="22938" spans="9:10" x14ac:dyDescent="0.3">
      <c r="I22938" t="s">
        <v>27614</v>
      </c>
      <c r="J22938" t="s">
        <v>7120</v>
      </c>
    </row>
    <row r="22939" spans="9:10" x14ac:dyDescent="0.3">
      <c r="I22939" t="s">
        <v>27615</v>
      </c>
      <c r="J22939" t="s">
        <v>7121</v>
      </c>
    </row>
    <row r="22940" spans="9:10" x14ac:dyDescent="0.3">
      <c r="I22940" t="s">
        <v>27616</v>
      </c>
      <c r="J22940" t="s">
        <v>7122</v>
      </c>
    </row>
    <row r="22941" spans="9:10" x14ac:dyDescent="0.3">
      <c r="I22941" t="s">
        <v>27617</v>
      </c>
    </row>
    <row r="22942" spans="9:10" x14ac:dyDescent="0.3">
      <c r="I22942" t="s">
        <v>27618</v>
      </c>
      <c r="J22942" t="s">
        <v>7123</v>
      </c>
    </row>
    <row r="22943" spans="9:10" x14ac:dyDescent="0.3">
      <c r="I22943" t="s">
        <v>27619</v>
      </c>
      <c r="J22943" t="s">
        <v>7123</v>
      </c>
    </row>
    <row r="22944" spans="9:10" x14ac:dyDescent="0.3">
      <c r="I22944" t="s">
        <v>27620</v>
      </c>
    </row>
    <row r="22945" spans="9:10" x14ac:dyDescent="0.3">
      <c r="I22945" t="s">
        <v>27621</v>
      </c>
    </row>
    <row r="22946" spans="9:10" x14ac:dyDescent="0.3">
      <c r="I22946" t="s">
        <v>27622</v>
      </c>
      <c r="J22946" t="s">
        <v>7124</v>
      </c>
    </row>
    <row r="22947" spans="9:10" x14ac:dyDescent="0.3">
      <c r="I22947" t="s">
        <v>27623</v>
      </c>
      <c r="J22947" t="s">
        <v>7124</v>
      </c>
    </row>
    <row r="22948" spans="9:10" x14ac:dyDescent="0.3">
      <c r="I22948" t="s">
        <v>27624</v>
      </c>
      <c r="J22948" t="s">
        <v>7125</v>
      </c>
    </row>
    <row r="22949" spans="9:10" x14ac:dyDescent="0.3">
      <c r="I22949" t="s">
        <v>27625</v>
      </c>
      <c r="J22949" t="s">
        <v>7125</v>
      </c>
    </row>
    <row r="22950" spans="9:10" x14ac:dyDescent="0.3">
      <c r="I22950" t="s">
        <v>27626</v>
      </c>
      <c r="J22950" t="s">
        <v>7126</v>
      </c>
    </row>
    <row r="22951" spans="9:10" x14ac:dyDescent="0.3">
      <c r="I22951" t="s">
        <v>27627</v>
      </c>
    </row>
    <row r="22952" spans="9:10" x14ac:dyDescent="0.3">
      <c r="I22952" t="s">
        <v>27628</v>
      </c>
      <c r="J22952" t="s">
        <v>7127</v>
      </c>
    </row>
    <row r="22953" spans="9:10" x14ac:dyDescent="0.3">
      <c r="I22953" t="s">
        <v>27629</v>
      </c>
      <c r="J22953" t="s">
        <v>7128</v>
      </c>
    </row>
    <row r="22954" spans="9:10" x14ac:dyDescent="0.3">
      <c r="I22954" t="s">
        <v>27630</v>
      </c>
      <c r="J22954">
        <v>0</v>
      </c>
    </row>
    <row r="22955" spans="9:10" x14ac:dyDescent="0.3">
      <c r="I22955" t="s">
        <v>27631</v>
      </c>
      <c r="J22955" t="s">
        <v>2045</v>
      </c>
    </row>
    <row r="22956" spans="9:10" x14ac:dyDescent="0.3">
      <c r="I22956" t="s">
        <v>27632</v>
      </c>
      <c r="J22956">
        <v>0</v>
      </c>
    </row>
    <row r="22957" spans="9:10" x14ac:dyDescent="0.3">
      <c r="I22957" t="s">
        <v>27633</v>
      </c>
      <c r="J22957">
        <v>0</v>
      </c>
    </row>
    <row r="22958" spans="9:10" x14ac:dyDescent="0.3">
      <c r="I22958" t="s">
        <v>27634</v>
      </c>
    </row>
    <row r="22959" spans="9:10" x14ac:dyDescent="0.3">
      <c r="I22959" t="s">
        <v>27635</v>
      </c>
      <c r="J22959" t="s">
        <v>7129</v>
      </c>
    </row>
    <row r="22960" spans="9:10" x14ac:dyDescent="0.3">
      <c r="I22960" t="s">
        <v>27636</v>
      </c>
      <c r="J22960" t="s">
        <v>7130</v>
      </c>
    </row>
    <row r="22961" spans="9:10" x14ac:dyDescent="0.3">
      <c r="I22961" t="s">
        <v>27637</v>
      </c>
      <c r="J22961" t="s">
        <v>7131</v>
      </c>
    </row>
    <row r="22962" spans="9:10" x14ac:dyDescent="0.3">
      <c r="I22962" t="s">
        <v>27638</v>
      </c>
      <c r="J22962" t="s">
        <v>7132</v>
      </c>
    </row>
    <row r="22963" spans="9:10" x14ac:dyDescent="0.3">
      <c r="I22963" t="s">
        <v>27639</v>
      </c>
    </row>
    <row r="22964" spans="9:10" x14ac:dyDescent="0.3">
      <c r="I22964" t="s">
        <v>27640</v>
      </c>
      <c r="J22964" t="s">
        <v>7133</v>
      </c>
    </row>
    <row r="22965" spans="9:10" x14ac:dyDescent="0.3">
      <c r="I22965" t="s">
        <v>27641</v>
      </c>
    </row>
    <row r="22966" spans="9:10" x14ac:dyDescent="0.3">
      <c r="I22966" t="s">
        <v>27642</v>
      </c>
      <c r="J22966" t="s">
        <v>7134</v>
      </c>
    </row>
    <row r="22967" spans="9:10" x14ac:dyDescent="0.3">
      <c r="I22967" t="s">
        <v>27643</v>
      </c>
      <c r="J22967" t="s">
        <v>7135</v>
      </c>
    </row>
    <row r="22968" spans="9:10" x14ac:dyDescent="0.3">
      <c r="I22968" t="s">
        <v>27644</v>
      </c>
    </row>
    <row r="22969" spans="9:10" x14ac:dyDescent="0.3">
      <c r="I22969" t="s">
        <v>27645</v>
      </c>
    </row>
    <row r="22970" spans="9:10" x14ac:dyDescent="0.3">
      <c r="I22970" t="s">
        <v>27646</v>
      </c>
    </row>
    <row r="22971" spans="9:10" x14ac:dyDescent="0.3">
      <c r="I22971" t="s">
        <v>27647</v>
      </c>
      <c r="J22971" t="s">
        <v>7136</v>
      </c>
    </row>
    <row r="22972" spans="9:10" x14ac:dyDescent="0.3">
      <c r="I22972" t="s">
        <v>27648</v>
      </c>
      <c r="J22972" t="s">
        <v>7137</v>
      </c>
    </row>
    <row r="22973" spans="9:10" x14ac:dyDescent="0.3">
      <c r="I22973" t="s">
        <v>27649</v>
      </c>
      <c r="J22973" t="s">
        <v>7138</v>
      </c>
    </row>
    <row r="22974" spans="9:10" x14ac:dyDescent="0.3">
      <c r="I22974" t="s">
        <v>27649</v>
      </c>
      <c r="J22974" t="s">
        <v>7138</v>
      </c>
    </row>
    <row r="22975" spans="9:10" x14ac:dyDescent="0.3">
      <c r="I22975" t="s">
        <v>27650</v>
      </c>
      <c r="J22975" t="s">
        <v>799</v>
      </c>
    </row>
    <row r="22976" spans="9:10" x14ac:dyDescent="0.3">
      <c r="I22976" t="s">
        <v>27650</v>
      </c>
      <c r="J22976" t="s">
        <v>799</v>
      </c>
    </row>
    <row r="22977" spans="9:10" x14ac:dyDescent="0.3">
      <c r="I22977" t="s">
        <v>27651</v>
      </c>
      <c r="J22977" t="s">
        <v>7139</v>
      </c>
    </row>
    <row r="22978" spans="9:10" x14ac:dyDescent="0.3">
      <c r="I22978" t="s">
        <v>27652</v>
      </c>
      <c r="J22978" t="s">
        <v>7140</v>
      </c>
    </row>
    <row r="22979" spans="9:10" x14ac:dyDescent="0.3">
      <c r="I22979" t="s">
        <v>27653</v>
      </c>
      <c r="J22979" t="s">
        <v>7141</v>
      </c>
    </row>
    <row r="22980" spans="9:10" x14ac:dyDescent="0.3">
      <c r="I22980" t="s">
        <v>27654</v>
      </c>
      <c r="J22980" t="s">
        <v>7142</v>
      </c>
    </row>
    <row r="22981" spans="9:10" x14ac:dyDescent="0.3">
      <c r="I22981" t="s">
        <v>27655</v>
      </c>
      <c r="J22981" t="s">
        <v>7143</v>
      </c>
    </row>
    <row r="22982" spans="9:10" x14ac:dyDescent="0.3">
      <c r="I22982" t="s">
        <v>27656</v>
      </c>
      <c r="J22982" t="s">
        <v>7144</v>
      </c>
    </row>
    <row r="22983" spans="9:10" x14ac:dyDescent="0.3">
      <c r="I22983" t="s">
        <v>27657</v>
      </c>
      <c r="J22983" t="s">
        <v>7145</v>
      </c>
    </row>
    <row r="22984" spans="9:10" x14ac:dyDescent="0.3">
      <c r="I22984" t="s">
        <v>27658</v>
      </c>
      <c r="J22984" t="s">
        <v>7146</v>
      </c>
    </row>
    <row r="22985" spans="9:10" x14ac:dyDescent="0.3">
      <c r="I22985" t="s">
        <v>27659</v>
      </c>
      <c r="J22985" t="s">
        <v>7147</v>
      </c>
    </row>
    <row r="22986" spans="9:10" x14ac:dyDescent="0.3">
      <c r="I22986" t="s">
        <v>27660</v>
      </c>
      <c r="J22986" t="s">
        <v>7148</v>
      </c>
    </row>
    <row r="22987" spans="9:10" x14ac:dyDescent="0.3">
      <c r="I22987" t="s">
        <v>27661</v>
      </c>
      <c r="J22987" t="s">
        <v>7149</v>
      </c>
    </row>
    <row r="22988" spans="9:10" x14ac:dyDescent="0.3">
      <c r="I22988" t="s">
        <v>27662</v>
      </c>
      <c r="J22988" t="s">
        <v>7150</v>
      </c>
    </row>
    <row r="22989" spans="9:10" x14ac:dyDescent="0.3">
      <c r="I22989" t="s">
        <v>27663</v>
      </c>
      <c r="J22989" t="s">
        <v>7151</v>
      </c>
    </row>
    <row r="22990" spans="9:10" x14ac:dyDescent="0.3">
      <c r="I22990" t="s">
        <v>27664</v>
      </c>
      <c r="J22990" t="s">
        <v>7152</v>
      </c>
    </row>
    <row r="22991" spans="9:10" x14ac:dyDescent="0.3">
      <c r="I22991" t="s">
        <v>27665</v>
      </c>
      <c r="J22991" t="s">
        <v>7153</v>
      </c>
    </row>
    <row r="22992" spans="9:10" x14ac:dyDescent="0.3">
      <c r="I22992" t="s">
        <v>27666</v>
      </c>
      <c r="J22992" t="s">
        <v>7154</v>
      </c>
    </row>
    <row r="22993" spans="9:10" x14ac:dyDescent="0.3">
      <c r="I22993" t="s">
        <v>27667</v>
      </c>
      <c r="J22993" t="s">
        <v>7155</v>
      </c>
    </row>
    <row r="22994" spans="9:10" x14ac:dyDescent="0.3">
      <c r="I22994" t="s">
        <v>27668</v>
      </c>
      <c r="J22994" t="s">
        <v>7156</v>
      </c>
    </row>
    <row r="22995" spans="9:10" x14ac:dyDescent="0.3">
      <c r="I22995" t="s">
        <v>27669</v>
      </c>
      <c r="J22995" t="s">
        <v>7157</v>
      </c>
    </row>
    <row r="22996" spans="9:10" x14ac:dyDescent="0.3">
      <c r="I22996" t="s">
        <v>27670</v>
      </c>
      <c r="J22996" t="s">
        <v>7158</v>
      </c>
    </row>
    <row r="22997" spans="9:10" x14ac:dyDescent="0.3">
      <c r="I22997" t="s">
        <v>27671</v>
      </c>
      <c r="J22997" t="s">
        <v>7159</v>
      </c>
    </row>
    <row r="22998" spans="9:10" x14ac:dyDescent="0.3">
      <c r="I22998" t="s">
        <v>27672</v>
      </c>
      <c r="J22998" t="s">
        <v>7160</v>
      </c>
    </row>
    <row r="22999" spans="9:10" x14ac:dyDescent="0.3">
      <c r="I22999" t="s">
        <v>27673</v>
      </c>
      <c r="J22999" t="s">
        <v>7161</v>
      </c>
    </row>
    <row r="23000" spans="9:10" x14ac:dyDescent="0.3">
      <c r="I23000" t="s">
        <v>27674</v>
      </c>
      <c r="J23000" t="s">
        <v>7162</v>
      </c>
    </row>
    <row r="23001" spans="9:10" x14ac:dyDescent="0.3">
      <c r="I23001" t="s">
        <v>27675</v>
      </c>
      <c r="J23001" t="s">
        <v>7163</v>
      </c>
    </row>
    <row r="23002" spans="9:10" x14ac:dyDescent="0.3">
      <c r="I23002" t="s">
        <v>27676</v>
      </c>
      <c r="J23002" t="s">
        <v>7164</v>
      </c>
    </row>
    <row r="23003" spans="9:10" x14ac:dyDescent="0.3">
      <c r="I23003" t="s">
        <v>27677</v>
      </c>
      <c r="J23003" t="s">
        <v>7165</v>
      </c>
    </row>
    <row r="23004" spans="9:10" x14ac:dyDescent="0.3">
      <c r="I23004" t="s">
        <v>27678</v>
      </c>
      <c r="J23004" t="s">
        <v>7166</v>
      </c>
    </row>
    <row r="23005" spans="9:10" x14ac:dyDescent="0.3">
      <c r="I23005" t="s">
        <v>27679</v>
      </c>
      <c r="J23005" t="s">
        <v>7167</v>
      </c>
    </row>
    <row r="23006" spans="9:10" x14ac:dyDescent="0.3">
      <c r="I23006" t="s">
        <v>27680</v>
      </c>
      <c r="J23006" t="s">
        <v>7168</v>
      </c>
    </row>
    <row r="23007" spans="9:10" x14ac:dyDescent="0.3">
      <c r="I23007" t="s">
        <v>27681</v>
      </c>
      <c r="J23007" t="s">
        <v>7169</v>
      </c>
    </row>
    <row r="23008" spans="9:10" x14ac:dyDescent="0.3">
      <c r="I23008" t="s">
        <v>27682</v>
      </c>
      <c r="J23008" t="s">
        <v>7170</v>
      </c>
    </row>
    <row r="23009" spans="9:10" x14ac:dyDescent="0.3">
      <c r="I23009" t="s">
        <v>27683</v>
      </c>
      <c r="J23009">
        <v>0</v>
      </c>
    </row>
    <row r="23010" spans="9:10" x14ac:dyDescent="0.3">
      <c r="I23010" t="s">
        <v>27684</v>
      </c>
      <c r="J23010">
        <v>0</v>
      </c>
    </row>
    <row r="23011" spans="9:10" x14ac:dyDescent="0.3">
      <c r="I23011" t="s">
        <v>27685</v>
      </c>
      <c r="J23011" t="s">
        <v>7171</v>
      </c>
    </row>
    <row r="23012" spans="9:10" x14ac:dyDescent="0.3">
      <c r="I23012" t="s">
        <v>27686</v>
      </c>
      <c r="J23012" t="s">
        <v>7172</v>
      </c>
    </row>
    <row r="23013" spans="9:10" x14ac:dyDescent="0.3">
      <c r="I23013" t="s">
        <v>27687</v>
      </c>
    </row>
    <row r="23014" spans="9:10" x14ac:dyDescent="0.3">
      <c r="I23014" t="s">
        <v>27688</v>
      </c>
    </row>
    <row r="23015" spans="9:10" x14ac:dyDescent="0.3">
      <c r="I23015" t="s">
        <v>27689</v>
      </c>
      <c r="J23015" t="s">
        <v>7173</v>
      </c>
    </row>
    <row r="23016" spans="9:10" x14ac:dyDescent="0.3">
      <c r="I23016" t="s">
        <v>27690</v>
      </c>
      <c r="J23016" t="s">
        <v>7174</v>
      </c>
    </row>
    <row r="23017" spans="9:10" x14ac:dyDescent="0.3">
      <c r="I23017" t="s">
        <v>27691</v>
      </c>
      <c r="J23017" t="s">
        <v>7175</v>
      </c>
    </row>
    <row r="23018" spans="9:10" x14ac:dyDescent="0.3">
      <c r="I23018" t="s">
        <v>27692</v>
      </c>
      <c r="J23018" t="s">
        <v>7176</v>
      </c>
    </row>
    <row r="23019" spans="9:10" x14ac:dyDescent="0.3">
      <c r="I23019" t="s">
        <v>27693</v>
      </c>
      <c r="J23019" t="s">
        <v>7177</v>
      </c>
    </row>
    <row r="23020" spans="9:10" x14ac:dyDescent="0.3">
      <c r="I23020" t="s">
        <v>27694</v>
      </c>
      <c r="J23020" t="s">
        <v>7178</v>
      </c>
    </row>
    <row r="23021" spans="9:10" x14ac:dyDescent="0.3">
      <c r="I23021" t="s">
        <v>27695</v>
      </c>
      <c r="J23021" t="s">
        <v>7179</v>
      </c>
    </row>
    <row r="23022" spans="9:10" x14ac:dyDescent="0.3">
      <c r="I23022" t="s">
        <v>27696</v>
      </c>
      <c r="J23022" t="s">
        <v>7180</v>
      </c>
    </row>
    <row r="23023" spans="9:10" x14ac:dyDescent="0.3">
      <c r="I23023" t="s">
        <v>27697</v>
      </c>
      <c r="J23023" t="s">
        <v>7181</v>
      </c>
    </row>
    <row r="23024" spans="9:10" x14ac:dyDescent="0.3">
      <c r="I23024" t="s">
        <v>27698</v>
      </c>
      <c r="J23024" t="s">
        <v>369</v>
      </c>
    </row>
    <row r="23025" spans="9:10" x14ac:dyDescent="0.3">
      <c r="I23025" t="s">
        <v>27699</v>
      </c>
      <c r="J23025" t="s">
        <v>7182</v>
      </c>
    </row>
    <row r="23026" spans="9:10" x14ac:dyDescent="0.3">
      <c r="I23026" t="s">
        <v>27700</v>
      </c>
      <c r="J23026" t="s">
        <v>7183</v>
      </c>
    </row>
    <row r="23027" spans="9:10" x14ac:dyDescent="0.3">
      <c r="I23027" t="s">
        <v>27701</v>
      </c>
      <c r="J23027" t="s">
        <v>7184</v>
      </c>
    </row>
    <row r="23028" spans="9:10" x14ac:dyDescent="0.3">
      <c r="I23028" t="s">
        <v>27702</v>
      </c>
      <c r="J23028" t="s">
        <v>7185</v>
      </c>
    </row>
    <row r="23029" spans="9:10" x14ac:dyDescent="0.3">
      <c r="I23029" t="s">
        <v>27703</v>
      </c>
    </row>
    <row r="23030" spans="9:10" x14ac:dyDescent="0.3">
      <c r="I23030" t="s">
        <v>27704</v>
      </c>
      <c r="J23030" t="s">
        <v>7186</v>
      </c>
    </row>
    <row r="23031" spans="9:10" x14ac:dyDescent="0.3">
      <c r="I23031" t="s">
        <v>27705</v>
      </c>
      <c r="J23031" t="s">
        <v>7187</v>
      </c>
    </row>
    <row r="23032" spans="9:10" x14ac:dyDescent="0.3">
      <c r="I23032" t="s">
        <v>27706</v>
      </c>
      <c r="J23032" t="s">
        <v>7187</v>
      </c>
    </row>
    <row r="23033" spans="9:10" x14ac:dyDescent="0.3">
      <c r="I23033" t="s">
        <v>27707</v>
      </c>
      <c r="J23033" t="s">
        <v>7188</v>
      </c>
    </row>
    <row r="23034" spans="9:10" x14ac:dyDescent="0.3">
      <c r="I23034" t="s">
        <v>27708</v>
      </c>
      <c r="J23034">
        <v>0</v>
      </c>
    </row>
    <row r="23035" spans="9:10" x14ac:dyDescent="0.3">
      <c r="I23035" t="s">
        <v>27709</v>
      </c>
    </row>
    <row r="23036" spans="9:10" x14ac:dyDescent="0.3">
      <c r="I23036" t="s">
        <v>27710</v>
      </c>
      <c r="J23036" t="s">
        <v>7189</v>
      </c>
    </row>
    <row r="23037" spans="9:10" x14ac:dyDescent="0.3">
      <c r="I23037" t="s">
        <v>27711</v>
      </c>
      <c r="J23037" t="s">
        <v>7190</v>
      </c>
    </row>
    <row r="23038" spans="9:10" x14ac:dyDescent="0.3">
      <c r="I23038" t="s">
        <v>27712</v>
      </c>
    </row>
    <row r="23039" spans="9:10" x14ac:dyDescent="0.3">
      <c r="I23039" t="s">
        <v>27713</v>
      </c>
    </row>
    <row r="23040" spans="9:10" x14ac:dyDescent="0.3">
      <c r="I23040" t="s">
        <v>27714</v>
      </c>
      <c r="J23040" t="s">
        <v>7191</v>
      </c>
    </row>
    <row r="23041" spans="9:10" x14ac:dyDescent="0.3">
      <c r="I23041" t="s">
        <v>27715</v>
      </c>
      <c r="J23041" t="s">
        <v>7192</v>
      </c>
    </row>
    <row r="23042" spans="9:10" x14ac:dyDescent="0.3">
      <c r="I23042" t="s">
        <v>27716</v>
      </c>
    </row>
    <row r="23043" spans="9:10" x14ac:dyDescent="0.3">
      <c r="I23043" t="s">
        <v>27717</v>
      </c>
      <c r="J23043">
        <v>0</v>
      </c>
    </row>
    <row r="23044" spans="9:10" x14ac:dyDescent="0.3">
      <c r="I23044" t="s">
        <v>27718</v>
      </c>
      <c r="J23044">
        <v>0</v>
      </c>
    </row>
    <row r="23045" spans="9:10" x14ac:dyDescent="0.3">
      <c r="I23045" t="s">
        <v>27719</v>
      </c>
      <c r="J23045" t="s">
        <v>7193</v>
      </c>
    </row>
    <row r="23046" spans="9:10" x14ac:dyDescent="0.3">
      <c r="I23046" t="s">
        <v>27720</v>
      </c>
      <c r="J23046" t="s">
        <v>7194</v>
      </c>
    </row>
    <row r="23047" spans="9:10" x14ac:dyDescent="0.3">
      <c r="I23047" t="s">
        <v>27721</v>
      </c>
    </row>
    <row r="23048" spans="9:10" x14ac:dyDescent="0.3">
      <c r="I23048" t="s">
        <v>27722</v>
      </c>
      <c r="J23048" t="s">
        <v>7195</v>
      </c>
    </row>
    <row r="23049" spans="9:10" x14ac:dyDescent="0.3">
      <c r="I23049" t="s">
        <v>27723</v>
      </c>
    </row>
    <row r="23050" spans="9:10" x14ac:dyDescent="0.3">
      <c r="I23050" t="s">
        <v>27724</v>
      </c>
      <c r="J23050" t="s">
        <v>7196</v>
      </c>
    </row>
    <row r="23051" spans="9:10" x14ac:dyDescent="0.3">
      <c r="I23051" t="s">
        <v>27725</v>
      </c>
      <c r="J23051" t="s">
        <v>7197</v>
      </c>
    </row>
    <row r="23052" spans="9:10" x14ac:dyDescent="0.3">
      <c r="I23052" t="s">
        <v>27726</v>
      </c>
      <c r="J23052" t="s">
        <v>7198</v>
      </c>
    </row>
    <row r="23053" spans="9:10" x14ac:dyDescent="0.3">
      <c r="I23053" t="s">
        <v>27727</v>
      </c>
      <c r="J23053" t="s">
        <v>7199</v>
      </c>
    </row>
    <row r="23054" spans="9:10" x14ac:dyDescent="0.3">
      <c r="I23054" t="s">
        <v>27727</v>
      </c>
      <c r="J23054" t="s">
        <v>7199</v>
      </c>
    </row>
    <row r="23055" spans="9:10" x14ac:dyDescent="0.3">
      <c r="I23055" t="s">
        <v>27728</v>
      </c>
      <c r="J23055" t="s">
        <v>7200</v>
      </c>
    </row>
    <row r="23056" spans="9:10" x14ac:dyDescent="0.3">
      <c r="I23056" t="s">
        <v>27729</v>
      </c>
    </row>
    <row r="23057" spans="9:10" x14ac:dyDescent="0.3">
      <c r="I23057" t="s">
        <v>27730</v>
      </c>
      <c r="J23057" t="s">
        <v>7201</v>
      </c>
    </row>
    <row r="23058" spans="9:10" x14ac:dyDescent="0.3">
      <c r="I23058" t="s">
        <v>27731</v>
      </c>
      <c r="J23058" t="s">
        <v>161</v>
      </c>
    </row>
    <row r="23059" spans="9:10" x14ac:dyDescent="0.3">
      <c r="I23059" t="s">
        <v>27731</v>
      </c>
      <c r="J23059" t="s">
        <v>161</v>
      </c>
    </row>
    <row r="23060" spans="9:10" x14ac:dyDescent="0.3">
      <c r="I23060" t="s">
        <v>27732</v>
      </c>
      <c r="J23060" t="s">
        <v>7202</v>
      </c>
    </row>
    <row r="23061" spans="9:10" x14ac:dyDescent="0.3">
      <c r="I23061" t="s">
        <v>27733</v>
      </c>
      <c r="J23061" t="s">
        <v>7203</v>
      </c>
    </row>
    <row r="23062" spans="9:10" x14ac:dyDescent="0.3">
      <c r="I23062" t="s">
        <v>27733</v>
      </c>
      <c r="J23062" t="s">
        <v>7203</v>
      </c>
    </row>
    <row r="23063" spans="9:10" x14ac:dyDescent="0.3">
      <c r="I23063" t="s">
        <v>27734</v>
      </c>
      <c r="J23063" t="s">
        <v>7204</v>
      </c>
    </row>
    <row r="23064" spans="9:10" x14ac:dyDescent="0.3">
      <c r="I23064" t="s">
        <v>27735</v>
      </c>
      <c r="J23064" t="s">
        <v>7205</v>
      </c>
    </row>
    <row r="23065" spans="9:10" x14ac:dyDescent="0.3">
      <c r="I23065" t="s">
        <v>27736</v>
      </c>
      <c r="J23065" t="s">
        <v>7205</v>
      </c>
    </row>
    <row r="23066" spans="9:10" x14ac:dyDescent="0.3">
      <c r="I23066" t="s">
        <v>27737</v>
      </c>
      <c r="J23066" t="s">
        <v>163</v>
      </c>
    </row>
    <row r="23067" spans="9:10" x14ac:dyDescent="0.3">
      <c r="I23067" t="s">
        <v>162</v>
      </c>
      <c r="J23067" t="s">
        <v>163</v>
      </c>
    </row>
    <row r="23068" spans="9:10" x14ac:dyDescent="0.3">
      <c r="I23068" t="s">
        <v>27738</v>
      </c>
      <c r="J23068" t="s">
        <v>163</v>
      </c>
    </row>
    <row r="23069" spans="9:10" x14ac:dyDescent="0.3">
      <c r="I23069" t="s">
        <v>27739</v>
      </c>
      <c r="J23069" t="s">
        <v>163</v>
      </c>
    </row>
    <row r="23070" spans="9:10" x14ac:dyDescent="0.3">
      <c r="I23070" t="s">
        <v>27740</v>
      </c>
      <c r="J23070" t="s">
        <v>163</v>
      </c>
    </row>
    <row r="23071" spans="9:10" x14ac:dyDescent="0.3">
      <c r="I23071" t="s">
        <v>27741</v>
      </c>
      <c r="J23071" t="s">
        <v>163</v>
      </c>
    </row>
    <row r="23072" spans="9:10" x14ac:dyDescent="0.3">
      <c r="I23072" t="s">
        <v>27742</v>
      </c>
      <c r="J23072" t="s">
        <v>7206</v>
      </c>
    </row>
    <row r="23073" spans="9:10" x14ac:dyDescent="0.3">
      <c r="I23073" t="s">
        <v>27743</v>
      </c>
      <c r="J23073" t="s">
        <v>7206</v>
      </c>
    </row>
    <row r="23074" spans="9:10" x14ac:dyDescent="0.3">
      <c r="I23074" t="s">
        <v>164</v>
      </c>
      <c r="J23074" t="s">
        <v>165</v>
      </c>
    </row>
    <row r="23075" spans="9:10" x14ac:dyDescent="0.3">
      <c r="I23075" t="s">
        <v>164</v>
      </c>
      <c r="J23075" t="s">
        <v>165</v>
      </c>
    </row>
    <row r="23076" spans="9:10" x14ac:dyDescent="0.3">
      <c r="I23076" t="s">
        <v>27744</v>
      </c>
    </row>
    <row r="23077" spans="9:10" x14ac:dyDescent="0.3">
      <c r="I23077" t="s">
        <v>27745</v>
      </c>
      <c r="J23077" t="s">
        <v>7207</v>
      </c>
    </row>
    <row r="23078" spans="9:10" x14ac:dyDescent="0.3">
      <c r="I23078" t="s">
        <v>27746</v>
      </c>
      <c r="J23078" t="s">
        <v>7208</v>
      </c>
    </row>
    <row r="23079" spans="9:10" x14ac:dyDescent="0.3">
      <c r="I23079" t="s">
        <v>27746</v>
      </c>
      <c r="J23079" t="s">
        <v>7208</v>
      </c>
    </row>
    <row r="23080" spans="9:10" x14ac:dyDescent="0.3">
      <c r="I23080" t="s">
        <v>27747</v>
      </c>
      <c r="J23080" t="s">
        <v>7209</v>
      </c>
    </row>
    <row r="23081" spans="9:10" x14ac:dyDescent="0.3">
      <c r="I23081" t="s">
        <v>27748</v>
      </c>
    </row>
    <row r="23082" spans="9:10" x14ac:dyDescent="0.3">
      <c r="I23082" t="s">
        <v>27749</v>
      </c>
    </row>
    <row r="23083" spans="9:10" x14ac:dyDescent="0.3">
      <c r="I23083" t="s">
        <v>27750</v>
      </c>
      <c r="J23083" t="s">
        <v>7210</v>
      </c>
    </row>
    <row r="23084" spans="9:10" x14ac:dyDescent="0.3">
      <c r="I23084" t="s">
        <v>27750</v>
      </c>
      <c r="J23084" t="s">
        <v>7210</v>
      </c>
    </row>
    <row r="23085" spans="9:10" x14ac:dyDescent="0.3">
      <c r="I23085" t="s">
        <v>27751</v>
      </c>
    </row>
    <row r="23086" spans="9:10" x14ac:dyDescent="0.3">
      <c r="I23086" t="s">
        <v>27752</v>
      </c>
    </row>
    <row r="23087" spans="9:10" x14ac:dyDescent="0.3">
      <c r="I23087" t="s">
        <v>15680</v>
      </c>
    </row>
    <row r="23088" spans="9:10" x14ac:dyDescent="0.3">
      <c r="I23088" t="s">
        <v>27752</v>
      </c>
    </row>
    <row r="23089" spans="9:10" x14ac:dyDescent="0.3">
      <c r="I23089" t="s">
        <v>27753</v>
      </c>
      <c r="J23089" t="s">
        <v>7211</v>
      </c>
    </row>
    <row r="23090" spans="9:10" x14ac:dyDescent="0.3">
      <c r="I23090" t="s">
        <v>27754</v>
      </c>
      <c r="J23090" t="s">
        <v>7211</v>
      </c>
    </row>
    <row r="23091" spans="9:10" x14ac:dyDescent="0.3">
      <c r="I23091" t="s">
        <v>27755</v>
      </c>
      <c r="J23091" t="s">
        <v>7212</v>
      </c>
    </row>
    <row r="23092" spans="9:10" x14ac:dyDescent="0.3">
      <c r="I23092" t="s">
        <v>27756</v>
      </c>
      <c r="J23092" t="s">
        <v>7212</v>
      </c>
    </row>
    <row r="23093" spans="9:10" x14ac:dyDescent="0.3">
      <c r="I23093" t="s">
        <v>27756</v>
      </c>
      <c r="J23093" t="s">
        <v>7212</v>
      </c>
    </row>
    <row r="23094" spans="9:10" x14ac:dyDescent="0.3">
      <c r="I23094" t="s">
        <v>27757</v>
      </c>
      <c r="J23094" t="s">
        <v>7213</v>
      </c>
    </row>
    <row r="23095" spans="9:10" x14ac:dyDescent="0.3">
      <c r="I23095" t="s">
        <v>27758</v>
      </c>
      <c r="J23095" t="s">
        <v>7213</v>
      </c>
    </row>
    <row r="23096" spans="9:10" x14ac:dyDescent="0.3">
      <c r="I23096" t="s">
        <v>27759</v>
      </c>
      <c r="J23096" t="s">
        <v>7214</v>
      </c>
    </row>
    <row r="23097" spans="9:10" x14ac:dyDescent="0.3">
      <c r="I23097" t="s">
        <v>27760</v>
      </c>
      <c r="J23097" t="s">
        <v>7214</v>
      </c>
    </row>
    <row r="23098" spans="9:10" x14ac:dyDescent="0.3">
      <c r="I23098" t="s">
        <v>27761</v>
      </c>
      <c r="J23098" t="s">
        <v>7215</v>
      </c>
    </row>
    <row r="23099" spans="9:10" x14ac:dyDescent="0.3">
      <c r="I23099" t="s">
        <v>27762</v>
      </c>
      <c r="J23099" t="s">
        <v>7216</v>
      </c>
    </row>
    <row r="23100" spans="9:10" x14ac:dyDescent="0.3">
      <c r="I23100" t="s">
        <v>27763</v>
      </c>
      <c r="J23100" t="s">
        <v>7216</v>
      </c>
    </row>
    <row r="23101" spans="9:10" x14ac:dyDescent="0.3">
      <c r="I23101" t="s">
        <v>27764</v>
      </c>
      <c r="J23101" t="s">
        <v>7216</v>
      </c>
    </row>
    <row r="23102" spans="9:10" x14ac:dyDescent="0.3">
      <c r="I23102" t="s">
        <v>27765</v>
      </c>
      <c r="J23102" t="s">
        <v>7217</v>
      </c>
    </row>
    <row r="23103" spans="9:10" x14ac:dyDescent="0.3">
      <c r="I23103" t="s">
        <v>27766</v>
      </c>
      <c r="J23103" t="s">
        <v>7217</v>
      </c>
    </row>
    <row r="23104" spans="9:10" x14ac:dyDescent="0.3">
      <c r="I23104" t="s">
        <v>27767</v>
      </c>
      <c r="J23104" t="s">
        <v>7218</v>
      </c>
    </row>
    <row r="23105" spans="9:10" x14ac:dyDescent="0.3">
      <c r="I23105" t="s">
        <v>27767</v>
      </c>
      <c r="J23105" t="s">
        <v>7218</v>
      </c>
    </row>
    <row r="23106" spans="9:10" x14ac:dyDescent="0.3">
      <c r="I23106" t="s">
        <v>27768</v>
      </c>
    </row>
    <row r="23107" spans="9:10" x14ac:dyDescent="0.3">
      <c r="I23107" t="s">
        <v>27769</v>
      </c>
    </row>
    <row r="23108" spans="9:10" x14ac:dyDescent="0.3">
      <c r="I23108" t="s">
        <v>27770</v>
      </c>
      <c r="J23108" t="s">
        <v>7219</v>
      </c>
    </row>
    <row r="23109" spans="9:10" x14ac:dyDescent="0.3">
      <c r="I23109" t="s">
        <v>27771</v>
      </c>
      <c r="J23109" t="s">
        <v>7220</v>
      </c>
    </row>
    <row r="23110" spans="9:10" x14ac:dyDescent="0.3">
      <c r="I23110" t="s">
        <v>27772</v>
      </c>
      <c r="J23110" t="s">
        <v>7221</v>
      </c>
    </row>
    <row r="23111" spans="9:10" x14ac:dyDescent="0.3">
      <c r="I23111" t="s">
        <v>27772</v>
      </c>
      <c r="J23111" t="s">
        <v>7221</v>
      </c>
    </row>
    <row r="23112" spans="9:10" x14ac:dyDescent="0.3">
      <c r="I23112" t="s">
        <v>27773</v>
      </c>
    </row>
    <row r="23113" spans="9:10" x14ac:dyDescent="0.3">
      <c r="I23113" t="s">
        <v>27774</v>
      </c>
    </row>
    <row r="23114" spans="9:10" x14ac:dyDescent="0.3">
      <c r="I23114" t="s">
        <v>27775</v>
      </c>
      <c r="J23114" t="s">
        <v>7222</v>
      </c>
    </row>
    <row r="23115" spans="9:10" x14ac:dyDescent="0.3">
      <c r="I23115" t="s">
        <v>27776</v>
      </c>
    </row>
    <row r="23116" spans="9:10" x14ac:dyDescent="0.3">
      <c r="I23116" t="s">
        <v>27777</v>
      </c>
      <c r="J23116" t="s">
        <v>7223</v>
      </c>
    </row>
    <row r="23117" spans="9:10" x14ac:dyDescent="0.3">
      <c r="I23117" t="s">
        <v>27778</v>
      </c>
      <c r="J23117" t="s">
        <v>7223</v>
      </c>
    </row>
    <row r="23118" spans="9:10" x14ac:dyDescent="0.3">
      <c r="I23118" t="s">
        <v>27779</v>
      </c>
      <c r="J23118" t="s">
        <v>7224</v>
      </c>
    </row>
    <row r="23119" spans="9:10" x14ac:dyDescent="0.3">
      <c r="I23119" t="s">
        <v>27780</v>
      </c>
      <c r="J23119" t="s">
        <v>7224</v>
      </c>
    </row>
    <row r="23120" spans="9:10" x14ac:dyDescent="0.3">
      <c r="I23120" t="s">
        <v>27781</v>
      </c>
      <c r="J23120" t="s">
        <v>7225</v>
      </c>
    </row>
    <row r="23121" spans="9:10" x14ac:dyDescent="0.3">
      <c r="I23121" t="s">
        <v>27782</v>
      </c>
      <c r="J23121" t="s">
        <v>7226</v>
      </c>
    </row>
    <row r="23122" spans="9:10" x14ac:dyDescent="0.3">
      <c r="I23122" t="s">
        <v>27783</v>
      </c>
    </row>
    <row r="23123" spans="9:10" x14ac:dyDescent="0.3">
      <c r="I23123" t="s">
        <v>27784</v>
      </c>
    </row>
    <row r="23124" spans="9:10" x14ac:dyDescent="0.3">
      <c r="I23124" t="s">
        <v>27785</v>
      </c>
      <c r="J23124" t="s">
        <v>7227</v>
      </c>
    </row>
    <row r="23125" spans="9:10" x14ac:dyDescent="0.3">
      <c r="I23125" t="s">
        <v>27786</v>
      </c>
      <c r="J23125" t="s">
        <v>7228</v>
      </c>
    </row>
    <row r="23126" spans="9:10" x14ac:dyDescent="0.3">
      <c r="I23126" t="s">
        <v>27787</v>
      </c>
    </row>
    <row r="23127" spans="9:10" x14ac:dyDescent="0.3">
      <c r="I23127" t="s">
        <v>27788</v>
      </c>
    </row>
    <row r="23128" spans="9:10" x14ac:dyDescent="0.3">
      <c r="I23128" t="s">
        <v>27789</v>
      </c>
      <c r="J23128" t="s">
        <v>7229</v>
      </c>
    </row>
    <row r="23129" spans="9:10" x14ac:dyDescent="0.3">
      <c r="I23129" t="s">
        <v>27790</v>
      </c>
      <c r="J23129" t="s">
        <v>7229</v>
      </c>
    </row>
    <row r="23130" spans="9:10" x14ac:dyDescent="0.3">
      <c r="I23130" t="s">
        <v>27791</v>
      </c>
      <c r="J23130" t="s">
        <v>7229</v>
      </c>
    </row>
    <row r="23131" spans="9:10" x14ac:dyDescent="0.3">
      <c r="I23131" t="s">
        <v>27791</v>
      </c>
      <c r="J23131" t="s">
        <v>7229</v>
      </c>
    </row>
    <row r="23132" spans="9:10" x14ac:dyDescent="0.3">
      <c r="I23132" t="s">
        <v>27792</v>
      </c>
    </row>
    <row r="23133" spans="9:10" x14ac:dyDescent="0.3">
      <c r="I23133" t="s">
        <v>27793</v>
      </c>
    </row>
    <row r="23134" spans="9:10" x14ac:dyDescent="0.3">
      <c r="I23134" t="s">
        <v>27794</v>
      </c>
    </row>
    <row r="23135" spans="9:10" x14ac:dyDescent="0.3">
      <c r="I23135" t="s">
        <v>27795</v>
      </c>
    </row>
    <row r="23136" spans="9:10" x14ac:dyDescent="0.3">
      <c r="I23136" t="s">
        <v>27796</v>
      </c>
    </row>
    <row r="23137" spans="9:10" x14ac:dyDescent="0.3">
      <c r="I23137" t="s">
        <v>27797</v>
      </c>
    </row>
    <row r="23138" spans="9:10" x14ac:dyDescent="0.3">
      <c r="I23138" t="s">
        <v>27798</v>
      </c>
    </row>
    <row r="23139" spans="9:10" x14ac:dyDescent="0.3">
      <c r="I23139" t="s">
        <v>27799</v>
      </c>
    </row>
    <row r="23140" spans="9:10" x14ac:dyDescent="0.3">
      <c r="I23140" t="s">
        <v>27800</v>
      </c>
      <c r="J23140" t="s">
        <v>7230</v>
      </c>
    </row>
    <row r="23141" spans="9:10" x14ac:dyDescent="0.3">
      <c r="I23141" t="s">
        <v>27801</v>
      </c>
      <c r="J23141" t="s">
        <v>7230</v>
      </c>
    </row>
    <row r="23142" spans="9:10" x14ac:dyDescent="0.3">
      <c r="I23142" t="s">
        <v>27802</v>
      </c>
      <c r="J23142" t="s">
        <v>7230</v>
      </c>
    </row>
    <row r="23143" spans="9:10" x14ac:dyDescent="0.3">
      <c r="I23143" t="s">
        <v>27803</v>
      </c>
      <c r="J23143" t="s">
        <v>7231</v>
      </c>
    </row>
    <row r="23144" spans="9:10" x14ac:dyDescent="0.3">
      <c r="I23144" t="s">
        <v>27804</v>
      </c>
      <c r="J23144" t="s">
        <v>7232</v>
      </c>
    </row>
    <row r="23145" spans="9:10" x14ac:dyDescent="0.3">
      <c r="I23145" t="s">
        <v>27805</v>
      </c>
    </row>
    <row r="23146" spans="9:10" x14ac:dyDescent="0.3">
      <c r="I23146" t="s">
        <v>27806</v>
      </c>
    </row>
    <row r="23147" spans="9:10" x14ac:dyDescent="0.3">
      <c r="I23147" t="s">
        <v>27807</v>
      </c>
      <c r="J23147" t="s">
        <v>7233</v>
      </c>
    </row>
    <row r="23148" spans="9:10" x14ac:dyDescent="0.3">
      <c r="I23148" t="s">
        <v>27808</v>
      </c>
      <c r="J23148" t="s">
        <v>7234</v>
      </c>
    </row>
    <row r="23149" spans="9:10" x14ac:dyDescent="0.3">
      <c r="I23149" t="s">
        <v>27809</v>
      </c>
      <c r="J23149" t="s">
        <v>7235</v>
      </c>
    </row>
    <row r="23150" spans="9:10" x14ac:dyDescent="0.3">
      <c r="I23150" t="s">
        <v>27810</v>
      </c>
      <c r="J23150" t="s">
        <v>7236</v>
      </c>
    </row>
    <row r="23151" spans="9:10" x14ac:dyDescent="0.3">
      <c r="I23151" t="s">
        <v>27811</v>
      </c>
      <c r="J23151" t="s">
        <v>7237</v>
      </c>
    </row>
    <row r="23152" spans="9:10" x14ac:dyDescent="0.3">
      <c r="I23152" t="s">
        <v>27812</v>
      </c>
      <c r="J23152" t="s">
        <v>7238</v>
      </c>
    </row>
    <row r="23153" spans="9:10" x14ac:dyDescent="0.3">
      <c r="I23153" t="s">
        <v>27813</v>
      </c>
    </row>
    <row r="23154" spans="9:10" x14ac:dyDescent="0.3">
      <c r="I23154" t="s">
        <v>27814</v>
      </c>
      <c r="J23154" t="s">
        <v>7239</v>
      </c>
    </row>
    <row r="23155" spans="9:10" x14ac:dyDescent="0.3">
      <c r="I23155" t="s">
        <v>27815</v>
      </c>
      <c r="J23155" t="s">
        <v>7240</v>
      </c>
    </row>
    <row r="23156" spans="9:10" x14ac:dyDescent="0.3">
      <c r="I23156" t="s">
        <v>27815</v>
      </c>
      <c r="J23156" t="s">
        <v>7240</v>
      </c>
    </row>
    <row r="23157" spans="9:10" x14ac:dyDescent="0.3">
      <c r="I23157" t="s">
        <v>27816</v>
      </c>
      <c r="J23157" t="s">
        <v>791</v>
      </c>
    </row>
    <row r="23158" spans="9:10" x14ac:dyDescent="0.3">
      <c r="I23158" t="s">
        <v>27817</v>
      </c>
      <c r="J23158" t="s">
        <v>791</v>
      </c>
    </row>
    <row r="23159" spans="9:10" x14ac:dyDescent="0.3">
      <c r="I23159" t="s">
        <v>27816</v>
      </c>
      <c r="J23159" t="s">
        <v>791</v>
      </c>
    </row>
    <row r="23160" spans="9:10" x14ac:dyDescent="0.3">
      <c r="I23160" t="s">
        <v>27816</v>
      </c>
      <c r="J23160" t="s">
        <v>791</v>
      </c>
    </row>
    <row r="23161" spans="9:10" x14ac:dyDescent="0.3">
      <c r="I23161" t="s">
        <v>27818</v>
      </c>
      <c r="J23161" t="s">
        <v>7241</v>
      </c>
    </row>
    <row r="23162" spans="9:10" x14ac:dyDescent="0.3">
      <c r="I23162" t="s">
        <v>27819</v>
      </c>
      <c r="J23162" t="s">
        <v>7242</v>
      </c>
    </row>
    <row r="23163" spans="9:10" x14ac:dyDescent="0.3">
      <c r="I23163" t="s">
        <v>27820</v>
      </c>
      <c r="J23163" t="s">
        <v>7243</v>
      </c>
    </row>
    <row r="23164" spans="9:10" x14ac:dyDescent="0.3">
      <c r="I23164" t="s">
        <v>27821</v>
      </c>
      <c r="J23164" t="s">
        <v>7244</v>
      </c>
    </row>
    <row r="23165" spans="9:10" x14ac:dyDescent="0.3">
      <c r="I23165" t="s">
        <v>27822</v>
      </c>
      <c r="J23165" t="s">
        <v>7245</v>
      </c>
    </row>
    <row r="23166" spans="9:10" x14ac:dyDescent="0.3">
      <c r="I23166" t="s">
        <v>27823</v>
      </c>
      <c r="J23166" t="s">
        <v>7246</v>
      </c>
    </row>
    <row r="23167" spans="9:10" x14ac:dyDescent="0.3">
      <c r="I23167" t="s">
        <v>27824</v>
      </c>
      <c r="J23167" t="s">
        <v>7247</v>
      </c>
    </row>
    <row r="23168" spans="9:10" x14ac:dyDescent="0.3">
      <c r="I23168" t="s">
        <v>27825</v>
      </c>
      <c r="J23168" t="s">
        <v>7248</v>
      </c>
    </row>
    <row r="23169" spans="9:10" x14ac:dyDescent="0.3">
      <c r="I23169" t="s">
        <v>27826</v>
      </c>
    </row>
    <row r="23170" spans="9:10" x14ac:dyDescent="0.3">
      <c r="I23170" t="s">
        <v>27827</v>
      </c>
      <c r="J23170" t="s">
        <v>7249</v>
      </c>
    </row>
    <row r="23171" spans="9:10" x14ac:dyDescent="0.3">
      <c r="I23171" t="s">
        <v>27828</v>
      </c>
      <c r="J23171" t="s">
        <v>7249</v>
      </c>
    </row>
    <row r="23172" spans="9:10" x14ac:dyDescent="0.3">
      <c r="I23172" t="s">
        <v>27829</v>
      </c>
      <c r="J23172" t="s">
        <v>7249</v>
      </c>
    </row>
    <row r="23173" spans="9:10" x14ac:dyDescent="0.3">
      <c r="I23173" t="s">
        <v>27830</v>
      </c>
      <c r="J23173" t="s">
        <v>7249</v>
      </c>
    </row>
    <row r="23174" spans="9:10" x14ac:dyDescent="0.3">
      <c r="I23174" t="s">
        <v>27827</v>
      </c>
      <c r="J23174" t="s">
        <v>7249</v>
      </c>
    </row>
    <row r="23175" spans="9:10" x14ac:dyDescent="0.3">
      <c r="I23175" t="s">
        <v>27831</v>
      </c>
    </row>
    <row r="23176" spans="9:10" x14ac:dyDescent="0.3">
      <c r="I23176" t="s">
        <v>27832</v>
      </c>
    </row>
    <row r="23177" spans="9:10" x14ac:dyDescent="0.3">
      <c r="I23177" t="s">
        <v>27833</v>
      </c>
    </row>
    <row r="23178" spans="9:10" x14ac:dyDescent="0.3">
      <c r="I23178" t="s">
        <v>27834</v>
      </c>
    </row>
    <row r="23179" spans="9:10" x14ac:dyDescent="0.3">
      <c r="I23179" t="s">
        <v>27835</v>
      </c>
    </row>
    <row r="23180" spans="9:10" x14ac:dyDescent="0.3">
      <c r="I23180" t="s">
        <v>27836</v>
      </c>
    </row>
    <row r="23181" spans="9:10" x14ac:dyDescent="0.3">
      <c r="I23181" t="s">
        <v>27837</v>
      </c>
    </row>
    <row r="23182" spans="9:10" x14ac:dyDescent="0.3">
      <c r="I23182" t="s">
        <v>27838</v>
      </c>
    </row>
    <row r="23183" spans="9:10" x14ac:dyDescent="0.3">
      <c r="I23183" t="s">
        <v>27838</v>
      </c>
    </row>
    <row r="23184" spans="9:10" x14ac:dyDescent="0.3">
      <c r="I23184" t="s">
        <v>27839</v>
      </c>
    </row>
    <row r="23185" spans="9:10" x14ac:dyDescent="0.3">
      <c r="I23185" t="s">
        <v>27839</v>
      </c>
    </row>
    <row r="23186" spans="9:10" x14ac:dyDescent="0.3">
      <c r="I23186" t="s">
        <v>27840</v>
      </c>
    </row>
    <row r="23187" spans="9:10" x14ac:dyDescent="0.3">
      <c r="I23187" t="s">
        <v>27841</v>
      </c>
      <c r="J23187" t="s">
        <v>7250</v>
      </c>
    </row>
    <row r="23188" spans="9:10" x14ac:dyDescent="0.3">
      <c r="I23188" t="s">
        <v>27842</v>
      </c>
      <c r="J23188" t="s">
        <v>7251</v>
      </c>
    </row>
    <row r="23189" spans="9:10" x14ac:dyDescent="0.3">
      <c r="I23189" t="s">
        <v>27842</v>
      </c>
      <c r="J23189" t="s">
        <v>7251</v>
      </c>
    </row>
    <row r="23190" spans="9:10" x14ac:dyDescent="0.3">
      <c r="I23190" t="s">
        <v>27843</v>
      </c>
    </row>
    <row r="23191" spans="9:10" x14ac:dyDescent="0.3">
      <c r="I23191" t="s">
        <v>27844</v>
      </c>
      <c r="J23191" t="s">
        <v>7252</v>
      </c>
    </row>
    <row r="23192" spans="9:10" x14ac:dyDescent="0.3">
      <c r="I23192" t="s">
        <v>27844</v>
      </c>
      <c r="J23192" t="s">
        <v>7252</v>
      </c>
    </row>
    <row r="23193" spans="9:10" x14ac:dyDescent="0.3">
      <c r="I23193" t="s">
        <v>27844</v>
      </c>
      <c r="J23193" t="s">
        <v>7252</v>
      </c>
    </row>
    <row r="23194" spans="9:10" x14ac:dyDescent="0.3">
      <c r="I23194" t="s">
        <v>27845</v>
      </c>
      <c r="J23194" t="s">
        <v>7252</v>
      </c>
    </row>
    <row r="23195" spans="9:10" x14ac:dyDescent="0.3">
      <c r="I23195" t="s">
        <v>27844</v>
      </c>
      <c r="J23195" t="s">
        <v>7252</v>
      </c>
    </row>
    <row r="23196" spans="9:10" x14ac:dyDescent="0.3">
      <c r="I23196" t="s">
        <v>27844</v>
      </c>
      <c r="J23196" t="s">
        <v>7252</v>
      </c>
    </row>
    <row r="23197" spans="9:10" x14ac:dyDescent="0.3">
      <c r="I23197" t="s">
        <v>27844</v>
      </c>
      <c r="J23197" t="s">
        <v>7252</v>
      </c>
    </row>
    <row r="23198" spans="9:10" x14ac:dyDescent="0.3">
      <c r="I23198" t="s">
        <v>27844</v>
      </c>
      <c r="J23198" t="s">
        <v>7252</v>
      </c>
    </row>
    <row r="23199" spans="9:10" x14ac:dyDescent="0.3">
      <c r="I23199" t="s">
        <v>27844</v>
      </c>
      <c r="J23199" t="s">
        <v>7252</v>
      </c>
    </row>
    <row r="23200" spans="9:10" x14ac:dyDescent="0.3">
      <c r="I23200" t="s">
        <v>27846</v>
      </c>
      <c r="J23200" t="s">
        <v>7252</v>
      </c>
    </row>
    <row r="23201" spans="9:10" x14ac:dyDescent="0.3">
      <c r="I23201" t="s">
        <v>27847</v>
      </c>
      <c r="J23201" t="s">
        <v>7252</v>
      </c>
    </row>
    <row r="23202" spans="9:10" x14ac:dyDescent="0.3">
      <c r="I23202" t="s">
        <v>27844</v>
      </c>
      <c r="J23202" t="s">
        <v>7252</v>
      </c>
    </row>
    <row r="23203" spans="9:10" x14ac:dyDescent="0.3">
      <c r="I23203" t="s">
        <v>27848</v>
      </c>
      <c r="J23203" t="s">
        <v>7252</v>
      </c>
    </row>
    <row r="23204" spans="9:10" x14ac:dyDescent="0.3">
      <c r="I23204" t="s">
        <v>27844</v>
      </c>
      <c r="J23204" t="s">
        <v>7252</v>
      </c>
    </row>
    <row r="23205" spans="9:10" x14ac:dyDescent="0.3">
      <c r="I23205" t="s">
        <v>27844</v>
      </c>
      <c r="J23205" t="s">
        <v>7252</v>
      </c>
    </row>
    <row r="23206" spans="9:10" x14ac:dyDescent="0.3">
      <c r="I23206" t="s">
        <v>27844</v>
      </c>
      <c r="J23206" t="s">
        <v>7252</v>
      </c>
    </row>
    <row r="23207" spans="9:10" x14ac:dyDescent="0.3">
      <c r="I23207" t="s">
        <v>27844</v>
      </c>
      <c r="J23207" t="s">
        <v>7252</v>
      </c>
    </row>
    <row r="23208" spans="9:10" x14ac:dyDescent="0.3">
      <c r="I23208" t="s">
        <v>27844</v>
      </c>
      <c r="J23208" t="s">
        <v>7252</v>
      </c>
    </row>
    <row r="23209" spans="9:10" x14ac:dyDescent="0.3">
      <c r="I23209" t="s">
        <v>27844</v>
      </c>
      <c r="J23209" t="s">
        <v>7252</v>
      </c>
    </row>
    <row r="23210" spans="9:10" x14ac:dyDescent="0.3">
      <c r="I23210" t="s">
        <v>27844</v>
      </c>
      <c r="J23210" t="s">
        <v>7252</v>
      </c>
    </row>
    <row r="23211" spans="9:10" x14ac:dyDescent="0.3">
      <c r="I23211" t="s">
        <v>27844</v>
      </c>
      <c r="J23211" t="s">
        <v>7252</v>
      </c>
    </row>
    <row r="23212" spans="9:10" x14ac:dyDescent="0.3">
      <c r="I23212" t="s">
        <v>27844</v>
      </c>
      <c r="J23212" t="s">
        <v>7252</v>
      </c>
    </row>
    <row r="23213" spans="9:10" x14ac:dyDescent="0.3">
      <c r="I23213" t="s">
        <v>27844</v>
      </c>
      <c r="J23213" t="s">
        <v>7252</v>
      </c>
    </row>
    <row r="23214" spans="9:10" x14ac:dyDescent="0.3">
      <c r="I23214" t="s">
        <v>27849</v>
      </c>
      <c r="J23214" t="s">
        <v>7253</v>
      </c>
    </row>
    <row r="23215" spans="9:10" x14ac:dyDescent="0.3">
      <c r="I23215" t="s">
        <v>27850</v>
      </c>
    </row>
    <row r="23216" spans="9:10" x14ac:dyDescent="0.3">
      <c r="I23216" t="s">
        <v>27851</v>
      </c>
    </row>
    <row r="23217" spans="9:10" x14ac:dyDescent="0.3">
      <c r="I23217" t="s">
        <v>27852</v>
      </c>
    </row>
    <row r="23218" spans="9:10" x14ac:dyDescent="0.3">
      <c r="I23218" t="s">
        <v>27853</v>
      </c>
      <c r="J23218" t="s">
        <v>7254</v>
      </c>
    </row>
    <row r="23219" spans="9:10" x14ac:dyDescent="0.3">
      <c r="I23219" t="s">
        <v>27854</v>
      </c>
      <c r="J23219" t="s">
        <v>7255</v>
      </c>
    </row>
    <row r="23220" spans="9:10" x14ac:dyDescent="0.3">
      <c r="I23220" t="s">
        <v>27855</v>
      </c>
      <c r="J23220" t="s">
        <v>7256</v>
      </c>
    </row>
    <row r="23221" spans="9:10" x14ac:dyDescent="0.3">
      <c r="I23221" t="s">
        <v>27856</v>
      </c>
      <c r="J23221" t="s">
        <v>7257</v>
      </c>
    </row>
    <row r="23222" spans="9:10" x14ac:dyDescent="0.3">
      <c r="I23222" t="s">
        <v>27857</v>
      </c>
    </row>
    <row r="23223" spans="9:10" x14ac:dyDescent="0.3">
      <c r="I23223" t="s">
        <v>27858</v>
      </c>
    </row>
    <row r="23224" spans="9:10" x14ac:dyDescent="0.3">
      <c r="I23224" t="s">
        <v>27859</v>
      </c>
    </row>
    <row r="23225" spans="9:10" x14ac:dyDescent="0.3">
      <c r="I23225" t="s">
        <v>27860</v>
      </c>
    </row>
    <row r="23226" spans="9:10" x14ac:dyDescent="0.3">
      <c r="I23226" t="s">
        <v>27861</v>
      </c>
    </row>
    <row r="23227" spans="9:10" x14ac:dyDescent="0.3">
      <c r="I23227" t="s">
        <v>27862</v>
      </c>
    </row>
    <row r="23228" spans="9:10" x14ac:dyDescent="0.3">
      <c r="I23228" t="s">
        <v>27863</v>
      </c>
    </row>
    <row r="23229" spans="9:10" x14ac:dyDescent="0.3">
      <c r="I23229" t="s">
        <v>27864</v>
      </c>
      <c r="J23229" t="s">
        <v>7258</v>
      </c>
    </row>
    <row r="23230" spans="9:10" x14ac:dyDescent="0.3">
      <c r="I23230" t="s">
        <v>27865</v>
      </c>
      <c r="J23230" t="s">
        <v>7259</v>
      </c>
    </row>
    <row r="23231" spans="9:10" x14ac:dyDescent="0.3">
      <c r="I23231" t="s">
        <v>27866</v>
      </c>
      <c r="J23231" t="s">
        <v>7259</v>
      </c>
    </row>
    <row r="23232" spans="9:10" x14ac:dyDescent="0.3">
      <c r="I23232" t="s">
        <v>27865</v>
      </c>
      <c r="J23232" t="s">
        <v>7259</v>
      </c>
    </row>
    <row r="23233" spans="9:10" x14ac:dyDescent="0.3">
      <c r="I23233" t="s">
        <v>27867</v>
      </c>
      <c r="J23233" t="s">
        <v>7260</v>
      </c>
    </row>
    <row r="23234" spans="9:10" x14ac:dyDescent="0.3">
      <c r="I23234" t="s">
        <v>27868</v>
      </c>
      <c r="J23234" t="s">
        <v>7261</v>
      </c>
    </row>
    <row r="23235" spans="9:10" x14ac:dyDescent="0.3">
      <c r="I23235" t="s">
        <v>27869</v>
      </c>
      <c r="J23235" t="s">
        <v>7262</v>
      </c>
    </row>
    <row r="23236" spans="9:10" x14ac:dyDescent="0.3">
      <c r="I23236" t="s">
        <v>27869</v>
      </c>
      <c r="J23236" t="s">
        <v>7262</v>
      </c>
    </row>
    <row r="23237" spans="9:10" x14ac:dyDescent="0.3">
      <c r="I23237" t="s">
        <v>27870</v>
      </c>
      <c r="J23237" t="s">
        <v>7263</v>
      </c>
    </row>
    <row r="23238" spans="9:10" x14ac:dyDescent="0.3">
      <c r="I23238" t="s">
        <v>27870</v>
      </c>
      <c r="J23238" t="s">
        <v>7263</v>
      </c>
    </row>
    <row r="23239" spans="9:10" x14ac:dyDescent="0.3">
      <c r="I23239" t="s">
        <v>27871</v>
      </c>
      <c r="J23239" t="s">
        <v>7264</v>
      </c>
    </row>
    <row r="23240" spans="9:10" x14ac:dyDescent="0.3">
      <c r="I23240" t="s">
        <v>27872</v>
      </c>
      <c r="J23240" t="s">
        <v>7265</v>
      </c>
    </row>
    <row r="23241" spans="9:10" x14ac:dyDescent="0.3">
      <c r="I23241" t="s">
        <v>27872</v>
      </c>
      <c r="J23241" t="s">
        <v>7265</v>
      </c>
    </row>
    <row r="23242" spans="9:10" x14ac:dyDescent="0.3">
      <c r="I23242" t="s">
        <v>27872</v>
      </c>
      <c r="J23242" t="s">
        <v>7265</v>
      </c>
    </row>
    <row r="23243" spans="9:10" x14ac:dyDescent="0.3">
      <c r="I23243" t="s">
        <v>27873</v>
      </c>
      <c r="J23243" t="s">
        <v>7266</v>
      </c>
    </row>
    <row r="23244" spans="9:10" x14ac:dyDescent="0.3">
      <c r="I23244" t="s">
        <v>27874</v>
      </c>
    </row>
    <row r="23245" spans="9:10" x14ac:dyDescent="0.3">
      <c r="I23245" t="s">
        <v>27875</v>
      </c>
    </row>
    <row r="23246" spans="9:10" x14ac:dyDescent="0.3">
      <c r="I23246" t="s">
        <v>27876</v>
      </c>
    </row>
    <row r="23247" spans="9:10" x14ac:dyDescent="0.3">
      <c r="I23247" t="s">
        <v>27877</v>
      </c>
      <c r="J23247" t="s">
        <v>7267</v>
      </c>
    </row>
    <row r="23248" spans="9:10" x14ac:dyDescent="0.3">
      <c r="I23248" t="s">
        <v>27878</v>
      </c>
      <c r="J23248" t="s">
        <v>7268</v>
      </c>
    </row>
    <row r="23249" spans="9:10" x14ac:dyDescent="0.3">
      <c r="I23249" t="s">
        <v>27878</v>
      </c>
      <c r="J23249" t="s">
        <v>7268</v>
      </c>
    </row>
    <row r="23250" spans="9:10" x14ac:dyDescent="0.3">
      <c r="I23250" t="s">
        <v>27879</v>
      </c>
      <c r="J23250" t="s">
        <v>7269</v>
      </c>
    </row>
    <row r="23251" spans="9:10" x14ac:dyDescent="0.3">
      <c r="I23251" t="s">
        <v>27880</v>
      </c>
    </row>
    <row r="23252" spans="9:10" x14ac:dyDescent="0.3">
      <c r="I23252" t="s">
        <v>27881</v>
      </c>
    </row>
    <row r="23253" spans="9:10" x14ac:dyDescent="0.3">
      <c r="I23253" t="s">
        <v>27882</v>
      </c>
      <c r="J23253" t="s">
        <v>250</v>
      </c>
    </row>
    <row r="23254" spans="9:10" x14ac:dyDescent="0.3">
      <c r="I23254" t="s">
        <v>27883</v>
      </c>
    </row>
    <row r="23255" spans="9:10" x14ac:dyDescent="0.3">
      <c r="I23255" t="s">
        <v>27884</v>
      </c>
    </row>
    <row r="23256" spans="9:10" x14ac:dyDescent="0.3">
      <c r="I23256" t="s">
        <v>27885</v>
      </c>
    </row>
    <row r="23257" spans="9:10" x14ac:dyDescent="0.3">
      <c r="I23257" t="s">
        <v>27886</v>
      </c>
    </row>
    <row r="23258" spans="9:10" x14ac:dyDescent="0.3">
      <c r="I23258" t="s">
        <v>27887</v>
      </c>
    </row>
    <row r="23259" spans="9:10" x14ac:dyDescent="0.3">
      <c r="I23259" t="s">
        <v>27888</v>
      </c>
      <c r="J23259" t="s">
        <v>702</v>
      </c>
    </row>
    <row r="23260" spans="9:10" x14ac:dyDescent="0.3">
      <c r="I23260" t="s">
        <v>18053</v>
      </c>
      <c r="J23260" t="s">
        <v>7270</v>
      </c>
    </row>
    <row r="23261" spans="9:10" x14ac:dyDescent="0.3">
      <c r="I23261" t="s">
        <v>27889</v>
      </c>
    </row>
    <row r="23262" spans="9:10" x14ac:dyDescent="0.3">
      <c r="I23262" t="s">
        <v>27890</v>
      </c>
      <c r="J23262" t="s">
        <v>7271</v>
      </c>
    </row>
    <row r="23263" spans="9:10" x14ac:dyDescent="0.3">
      <c r="I23263" t="s">
        <v>27891</v>
      </c>
    </row>
    <row r="23264" spans="9:10" x14ac:dyDescent="0.3">
      <c r="I23264" t="s">
        <v>27892</v>
      </c>
      <c r="J23264" t="s">
        <v>7272</v>
      </c>
    </row>
    <row r="23265" spans="9:10" x14ac:dyDescent="0.3">
      <c r="I23265" t="s">
        <v>27892</v>
      </c>
      <c r="J23265" t="s">
        <v>7272</v>
      </c>
    </row>
    <row r="23266" spans="9:10" x14ac:dyDescent="0.3">
      <c r="I23266" t="s">
        <v>27893</v>
      </c>
    </row>
    <row r="23267" spans="9:10" x14ac:dyDescent="0.3">
      <c r="I23267" t="s">
        <v>27894</v>
      </c>
      <c r="J23267" t="s">
        <v>7273</v>
      </c>
    </row>
    <row r="23268" spans="9:10" x14ac:dyDescent="0.3">
      <c r="I23268" t="s">
        <v>27895</v>
      </c>
    </row>
    <row r="23269" spans="9:10" x14ac:dyDescent="0.3">
      <c r="I23269" t="s">
        <v>27896</v>
      </c>
    </row>
    <row r="23270" spans="9:10" x14ac:dyDescent="0.3">
      <c r="I23270" t="s">
        <v>27897</v>
      </c>
    </row>
    <row r="23271" spans="9:10" x14ac:dyDescent="0.3">
      <c r="I23271" t="s">
        <v>27898</v>
      </c>
      <c r="J23271" t="s">
        <v>7274</v>
      </c>
    </row>
    <row r="23272" spans="9:10" x14ac:dyDescent="0.3">
      <c r="I23272" t="s">
        <v>27898</v>
      </c>
      <c r="J23272" t="s">
        <v>7274</v>
      </c>
    </row>
    <row r="23273" spans="9:10" x14ac:dyDescent="0.3">
      <c r="I23273" t="s">
        <v>27899</v>
      </c>
      <c r="J23273" t="s">
        <v>7275</v>
      </c>
    </row>
    <row r="23274" spans="9:10" x14ac:dyDescent="0.3">
      <c r="I23274" t="s">
        <v>27900</v>
      </c>
      <c r="J23274" t="s">
        <v>7276</v>
      </c>
    </row>
    <row r="23275" spans="9:10" x14ac:dyDescent="0.3">
      <c r="I23275" t="s">
        <v>27901</v>
      </c>
    </row>
    <row r="23276" spans="9:10" x14ac:dyDescent="0.3">
      <c r="I23276" t="s">
        <v>27902</v>
      </c>
    </row>
    <row r="23277" spans="9:10" x14ac:dyDescent="0.3">
      <c r="I23277" t="s">
        <v>27903</v>
      </c>
      <c r="J23277" t="s">
        <v>7277</v>
      </c>
    </row>
    <row r="23278" spans="9:10" x14ac:dyDescent="0.3">
      <c r="I23278" t="s">
        <v>27904</v>
      </c>
      <c r="J23278" t="s">
        <v>7278</v>
      </c>
    </row>
    <row r="23279" spans="9:10" x14ac:dyDescent="0.3">
      <c r="I23279" t="s">
        <v>27905</v>
      </c>
    </row>
    <row r="23280" spans="9:10" x14ac:dyDescent="0.3">
      <c r="I23280" t="s">
        <v>27906</v>
      </c>
      <c r="J23280" t="s">
        <v>7279</v>
      </c>
    </row>
    <row r="23281" spans="9:10" x14ac:dyDescent="0.3">
      <c r="I23281" t="s">
        <v>27907</v>
      </c>
      <c r="J23281" t="s">
        <v>7280</v>
      </c>
    </row>
    <row r="23282" spans="9:10" x14ac:dyDescent="0.3">
      <c r="I23282" t="s">
        <v>27908</v>
      </c>
      <c r="J23282" t="s">
        <v>7281</v>
      </c>
    </row>
    <row r="23283" spans="9:10" x14ac:dyDescent="0.3">
      <c r="I23283" t="s">
        <v>27909</v>
      </c>
      <c r="J23283" t="s">
        <v>7282</v>
      </c>
    </row>
    <row r="23284" spans="9:10" x14ac:dyDescent="0.3">
      <c r="I23284" t="s">
        <v>27910</v>
      </c>
      <c r="J23284" t="s">
        <v>718</v>
      </c>
    </row>
    <row r="23285" spans="9:10" x14ac:dyDescent="0.3">
      <c r="I23285" t="s">
        <v>27910</v>
      </c>
      <c r="J23285" t="s">
        <v>718</v>
      </c>
    </row>
    <row r="23286" spans="9:10" x14ac:dyDescent="0.3">
      <c r="I23286" t="s">
        <v>27911</v>
      </c>
      <c r="J23286" t="s">
        <v>718</v>
      </c>
    </row>
    <row r="23287" spans="9:10" x14ac:dyDescent="0.3">
      <c r="I23287" t="s">
        <v>27912</v>
      </c>
      <c r="J23287" t="s">
        <v>717</v>
      </c>
    </row>
    <row r="23288" spans="9:10" x14ac:dyDescent="0.3">
      <c r="I23288" t="s">
        <v>27913</v>
      </c>
      <c r="J23288" t="s">
        <v>7283</v>
      </c>
    </row>
    <row r="23289" spans="9:10" x14ac:dyDescent="0.3">
      <c r="I23289" t="s">
        <v>27914</v>
      </c>
      <c r="J23289" t="s">
        <v>7284</v>
      </c>
    </row>
    <row r="23290" spans="9:10" x14ac:dyDescent="0.3">
      <c r="I23290" t="s">
        <v>27915</v>
      </c>
      <c r="J23290" t="s">
        <v>7285</v>
      </c>
    </row>
    <row r="23291" spans="9:10" x14ac:dyDescent="0.3">
      <c r="I23291" t="s">
        <v>27916</v>
      </c>
    </row>
    <row r="23292" spans="9:10" x14ac:dyDescent="0.3">
      <c r="I23292" t="s">
        <v>27916</v>
      </c>
    </row>
    <row r="23293" spans="9:10" x14ac:dyDescent="0.3">
      <c r="I23293" t="s">
        <v>27917</v>
      </c>
      <c r="J23293" t="s">
        <v>7286</v>
      </c>
    </row>
    <row r="23294" spans="9:10" x14ac:dyDescent="0.3">
      <c r="I23294" t="s">
        <v>27918</v>
      </c>
      <c r="J23294" t="s">
        <v>7287</v>
      </c>
    </row>
    <row r="23295" spans="9:10" x14ac:dyDescent="0.3">
      <c r="I23295" t="s">
        <v>27919</v>
      </c>
    </row>
    <row r="23296" spans="9:10" x14ac:dyDescent="0.3">
      <c r="I23296" t="s">
        <v>27920</v>
      </c>
      <c r="J23296" t="s">
        <v>7288</v>
      </c>
    </row>
    <row r="23297" spans="9:10" x14ac:dyDescent="0.3">
      <c r="I23297" t="s">
        <v>27921</v>
      </c>
    </row>
    <row r="23298" spans="9:10" x14ac:dyDescent="0.3">
      <c r="I23298" t="s">
        <v>27922</v>
      </c>
    </row>
    <row r="23299" spans="9:10" x14ac:dyDescent="0.3">
      <c r="I23299" t="s">
        <v>27923</v>
      </c>
    </row>
    <row r="23300" spans="9:10" x14ac:dyDescent="0.3">
      <c r="I23300" t="s">
        <v>27924</v>
      </c>
      <c r="J23300" t="s">
        <v>7289</v>
      </c>
    </row>
    <row r="23301" spans="9:10" x14ac:dyDescent="0.3">
      <c r="I23301" t="s">
        <v>27925</v>
      </c>
      <c r="J23301" t="s">
        <v>7290</v>
      </c>
    </row>
    <row r="23302" spans="9:10" x14ac:dyDescent="0.3">
      <c r="I23302" t="s">
        <v>27926</v>
      </c>
      <c r="J23302" t="s">
        <v>7290</v>
      </c>
    </row>
    <row r="23303" spans="9:10" x14ac:dyDescent="0.3">
      <c r="I23303" t="s">
        <v>27927</v>
      </c>
    </row>
    <row r="23304" spans="9:10" x14ac:dyDescent="0.3">
      <c r="I23304" t="s">
        <v>27928</v>
      </c>
      <c r="J23304" t="s">
        <v>7291</v>
      </c>
    </row>
    <row r="23305" spans="9:10" x14ac:dyDescent="0.3">
      <c r="I23305" t="s">
        <v>27929</v>
      </c>
    </row>
    <row r="23306" spans="9:10" x14ac:dyDescent="0.3">
      <c r="I23306" t="s">
        <v>27930</v>
      </c>
      <c r="J23306" t="s">
        <v>7292</v>
      </c>
    </row>
    <row r="23307" spans="9:10" x14ac:dyDescent="0.3">
      <c r="I23307" t="s">
        <v>27931</v>
      </c>
      <c r="J23307" t="s">
        <v>7293</v>
      </c>
    </row>
    <row r="23308" spans="9:10" x14ac:dyDescent="0.3">
      <c r="I23308" t="s">
        <v>27932</v>
      </c>
      <c r="J23308" t="s">
        <v>7294</v>
      </c>
    </row>
    <row r="23309" spans="9:10" x14ac:dyDescent="0.3">
      <c r="I23309" t="s">
        <v>27933</v>
      </c>
      <c r="J23309" t="s">
        <v>7295</v>
      </c>
    </row>
    <row r="23310" spans="9:10" x14ac:dyDescent="0.3">
      <c r="I23310" t="s">
        <v>27934</v>
      </c>
      <c r="J23310" t="s">
        <v>7296</v>
      </c>
    </row>
    <row r="23311" spans="9:10" x14ac:dyDescent="0.3">
      <c r="I23311" t="s">
        <v>27935</v>
      </c>
      <c r="J23311" t="s">
        <v>7297</v>
      </c>
    </row>
    <row r="23312" spans="9:10" x14ac:dyDescent="0.3">
      <c r="I23312" t="s">
        <v>27936</v>
      </c>
    </row>
    <row r="23313" spans="9:10" x14ac:dyDescent="0.3">
      <c r="I23313" t="s">
        <v>27936</v>
      </c>
    </row>
    <row r="23314" spans="9:10" x14ac:dyDescent="0.3">
      <c r="I23314" t="s">
        <v>27937</v>
      </c>
    </row>
    <row r="23315" spans="9:10" x14ac:dyDescent="0.3">
      <c r="I23315" t="s">
        <v>27938</v>
      </c>
    </row>
    <row r="23316" spans="9:10" x14ac:dyDescent="0.3">
      <c r="I23316" t="s">
        <v>27939</v>
      </c>
    </row>
    <row r="23317" spans="9:10" x14ac:dyDescent="0.3">
      <c r="I23317" t="s">
        <v>27940</v>
      </c>
    </row>
    <row r="23318" spans="9:10" x14ac:dyDescent="0.3">
      <c r="I23318" t="s">
        <v>27941</v>
      </c>
    </row>
    <row r="23319" spans="9:10" x14ac:dyDescent="0.3">
      <c r="I23319" t="s">
        <v>27942</v>
      </c>
    </row>
    <row r="23320" spans="9:10" x14ac:dyDescent="0.3">
      <c r="I23320" t="s">
        <v>27943</v>
      </c>
    </row>
    <row r="23321" spans="9:10" x14ac:dyDescent="0.3">
      <c r="I23321" t="s">
        <v>27944</v>
      </c>
      <c r="J23321" t="s">
        <v>290</v>
      </c>
    </row>
    <row r="23322" spans="9:10" x14ac:dyDescent="0.3">
      <c r="I23322" t="s">
        <v>27945</v>
      </c>
      <c r="J23322" t="s">
        <v>7298</v>
      </c>
    </row>
    <row r="23323" spans="9:10" x14ac:dyDescent="0.3">
      <c r="I23323" t="s">
        <v>27946</v>
      </c>
      <c r="J23323" t="s">
        <v>7299</v>
      </c>
    </row>
    <row r="23324" spans="9:10" x14ac:dyDescent="0.3">
      <c r="I23324" t="s">
        <v>27946</v>
      </c>
      <c r="J23324" t="s">
        <v>7299</v>
      </c>
    </row>
    <row r="23325" spans="9:10" x14ac:dyDescent="0.3">
      <c r="I23325" t="s">
        <v>27947</v>
      </c>
    </row>
    <row r="23326" spans="9:10" x14ac:dyDescent="0.3">
      <c r="I23326" t="s">
        <v>27948</v>
      </c>
      <c r="J23326" t="s">
        <v>7300</v>
      </c>
    </row>
    <row r="23327" spans="9:10" x14ac:dyDescent="0.3">
      <c r="I23327" t="s">
        <v>27949</v>
      </c>
    </row>
    <row r="23328" spans="9:10" x14ac:dyDescent="0.3">
      <c r="I23328" t="s">
        <v>27950</v>
      </c>
      <c r="J23328" t="s">
        <v>7301</v>
      </c>
    </row>
    <row r="23329" spans="9:10" x14ac:dyDescent="0.3">
      <c r="I23329" t="s">
        <v>27951</v>
      </c>
      <c r="J23329" t="s">
        <v>7301</v>
      </c>
    </row>
    <row r="23330" spans="9:10" x14ac:dyDescent="0.3">
      <c r="I23330" t="s">
        <v>27952</v>
      </c>
      <c r="J23330" t="s">
        <v>7301</v>
      </c>
    </row>
    <row r="23331" spans="9:10" x14ac:dyDescent="0.3">
      <c r="I23331" t="s">
        <v>27953</v>
      </c>
      <c r="J23331" t="s">
        <v>7301</v>
      </c>
    </row>
    <row r="23332" spans="9:10" x14ac:dyDescent="0.3">
      <c r="I23332" t="s">
        <v>27954</v>
      </c>
      <c r="J23332" t="s">
        <v>7302</v>
      </c>
    </row>
    <row r="23333" spans="9:10" x14ac:dyDescent="0.3">
      <c r="I23333" t="s">
        <v>27955</v>
      </c>
    </row>
    <row r="23334" spans="9:10" x14ac:dyDescent="0.3">
      <c r="I23334" t="s">
        <v>27956</v>
      </c>
    </row>
    <row r="23335" spans="9:10" x14ac:dyDescent="0.3">
      <c r="I23335" t="s">
        <v>27957</v>
      </c>
      <c r="J23335" t="s">
        <v>7303</v>
      </c>
    </row>
    <row r="23336" spans="9:10" x14ac:dyDescent="0.3">
      <c r="I23336" t="s">
        <v>27958</v>
      </c>
    </row>
    <row r="23337" spans="9:10" x14ac:dyDescent="0.3">
      <c r="I23337" t="s">
        <v>27958</v>
      </c>
    </row>
    <row r="23338" spans="9:10" x14ac:dyDescent="0.3">
      <c r="I23338" t="s">
        <v>27959</v>
      </c>
      <c r="J23338" t="s">
        <v>7304</v>
      </c>
    </row>
    <row r="23339" spans="9:10" x14ac:dyDescent="0.3">
      <c r="I23339" t="s">
        <v>27960</v>
      </c>
      <c r="J23339" t="s">
        <v>7305</v>
      </c>
    </row>
    <row r="23340" spans="9:10" x14ac:dyDescent="0.3">
      <c r="I23340" t="s">
        <v>27961</v>
      </c>
      <c r="J23340" t="s">
        <v>7305</v>
      </c>
    </row>
    <row r="23341" spans="9:10" x14ac:dyDescent="0.3">
      <c r="I23341" t="s">
        <v>27962</v>
      </c>
      <c r="J23341" t="s">
        <v>7306</v>
      </c>
    </row>
    <row r="23342" spans="9:10" x14ac:dyDescent="0.3">
      <c r="I23342" t="s">
        <v>27962</v>
      </c>
      <c r="J23342" t="s">
        <v>7306</v>
      </c>
    </row>
    <row r="23343" spans="9:10" x14ac:dyDescent="0.3">
      <c r="I23343" t="s">
        <v>27963</v>
      </c>
    </row>
    <row r="23344" spans="9:10" x14ac:dyDescent="0.3">
      <c r="I23344" t="s">
        <v>27964</v>
      </c>
      <c r="J23344" t="s">
        <v>7307</v>
      </c>
    </row>
    <row r="23345" spans="9:10" x14ac:dyDescent="0.3">
      <c r="I23345" t="s">
        <v>27964</v>
      </c>
      <c r="J23345" t="s">
        <v>7307</v>
      </c>
    </row>
    <row r="23346" spans="9:10" x14ac:dyDescent="0.3">
      <c r="I23346" t="s">
        <v>27965</v>
      </c>
      <c r="J23346" t="s">
        <v>7308</v>
      </c>
    </row>
    <row r="23347" spans="9:10" x14ac:dyDescent="0.3">
      <c r="I23347" t="s">
        <v>27966</v>
      </c>
      <c r="J23347" t="s">
        <v>7309</v>
      </c>
    </row>
    <row r="23348" spans="9:10" x14ac:dyDescent="0.3">
      <c r="I23348" t="s">
        <v>27967</v>
      </c>
      <c r="J23348" t="s">
        <v>7310</v>
      </c>
    </row>
    <row r="23349" spans="9:10" x14ac:dyDescent="0.3">
      <c r="I23349" t="s">
        <v>27968</v>
      </c>
      <c r="J23349" t="s">
        <v>7311</v>
      </c>
    </row>
    <row r="23350" spans="9:10" x14ac:dyDescent="0.3">
      <c r="I23350" t="s">
        <v>27969</v>
      </c>
    </row>
    <row r="23351" spans="9:10" x14ac:dyDescent="0.3">
      <c r="I23351" t="s">
        <v>27969</v>
      </c>
    </row>
    <row r="23352" spans="9:10" x14ac:dyDescent="0.3">
      <c r="I23352" t="s">
        <v>27970</v>
      </c>
      <c r="J23352" t="s">
        <v>7312</v>
      </c>
    </row>
    <row r="23353" spans="9:10" x14ac:dyDescent="0.3">
      <c r="I23353" t="s">
        <v>27971</v>
      </c>
    </row>
    <row r="23354" spans="9:10" x14ac:dyDescent="0.3">
      <c r="I23354" t="s">
        <v>27972</v>
      </c>
    </row>
    <row r="23355" spans="9:10" x14ac:dyDescent="0.3">
      <c r="I23355" t="s">
        <v>27973</v>
      </c>
    </row>
    <row r="23356" spans="9:10" x14ac:dyDescent="0.3">
      <c r="I23356" t="s">
        <v>27974</v>
      </c>
    </row>
    <row r="23357" spans="9:10" x14ac:dyDescent="0.3">
      <c r="I23357" t="s">
        <v>27975</v>
      </c>
    </row>
    <row r="23358" spans="9:10" x14ac:dyDescent="0.3">
      <c r="I23358" t="s">
        <v>27975</v>
      </c>
    </row>
    <row r="23359" spans="9:10" x14ac:dyDescent="0.3">
      <c r="I23359" t="s">
        <v>27976</v>
      </c>
      <c r="J23359" t="s">
        <v>7313</v>
      </c>
    </row>
    <row r="23360" spans="9:10" x14ac:dyDescent="0.3">
      <c r="I23360" t="s">
        <v>27977</v>
      </c>
      <c r="J23360" t="s">
        <v>7314</v>
      </c>
    </row>
    <row r="23361" spans="9:10" x14ac:dyDescent="0.3">
      <c r="I23361" t="s">
        <v>27978</v>
      </c>
      <c r="J23361" t="s">
        <v>7314</v>
      </c>
    </row>
    <row r="23362" spans="9:10" x14ac:dyDescent="0.3">
      <c r="I23362" t="s">
        <v>27979</v>
      </c>
      <c r="J23362" t="s">
        <v>7315</v>
      </c>
    </row>
    <row r="23363" spans="9:10" x14ac:dyDescent="0.3">
      <c r="I23363" t="s">
        <v>27980</v>
      </c>
      <c r="J23363" t="s">
        <v>7316</v>
      </c>
    </row>
    <row r="23364" spans="9:10" x14ac:dyDescent="0.3">
      <c r="I23364" t="s">
        <v>27981</v>
      </c>
      <c r="J23364" t="s">
        <v>7317</v>
      </c>
    </row>
    <row r="23365" spans="9:10" x14ac:dyDescent="0.3">
      <c r="I23365" t="s">
        <v>27982</v>
      </c>
      <c r="J23365" t="s">
        <v>7318</v>
      </c>
    </row>
    <row r="23366" spans="9:10" x14ac:dyDescent="0.3">
      <c r="I23366" t="s">
        <v>27983</v>
      </c>
      <c r="J23366" t="s">
        <v>7319</v>
      </c>
    </row>
    <row r="23367" spans="9:10" x14ac:dyDescent="0.3">
      <c r="I23367" t="s">
        <v>27983</v>
      </c>
      <c r="J23367" t="s">
        <v>7319</v>
      </c>
    </row>
    <row r="23368" spans="9:10" x14ac:dyDescent="0.3">
      <c r="I23368" t="s">
        <v>27983</v>
      </c>
      <c r="J23368" t="s">
        <v>7319</v>
      </c>
    </row>
    <row r="23369" spans="9:10" x14ac:dyDescent="0.3">
      <c r="I23369" t="s">
        <v>27983</v>
      </c>
      <c r="J23369" t="s">
        <v>7319</v>
      </c>
    </row>
    <row r="23370" spans="9:10" x14ac:dyDescent="0.3">
      <c r="I23370" t="s">
        <v>27984</v>
      </c>
      <c r="J23370" t="s">
        <v>7319</v>
      </c>
    </row>
    <row r="23371" spans="9:10" x14ac:dyDescent="0.3">
      <c r="I23371" t="s">
        <v>27985</v>
      </c>
      <c r="J23371" t="s">
        <v>7320</v>
      </c>
    </row>
    <row r="23372" spans="9:10" x14ac:dyDescent="0.3">
      <c r="I23372" t="s">
        <v>27986</v>
      </c>
      <c r="J23372" t="s">
        <v>7321</v>
      </c>
    </row>
    <row r="23373" spans="9:10" x14ac:dyDescent="0.3">
      <c r="I23373" t="s">
        <v>27987</v>
      </c>
    </row>
    <row r="23374" spans="9:10" x14ac:dyDescent="0.3">
      <c r="I23374" t="s">
        <v>27988</v>
      </c>
    </row>
    <row r="23375" spans="9:10" x14ac:dyDescent="0.3">
      <c r="I23375" t="s">
        <v>27989</v>
      </c>
    </row>
    <row r="23376" spans="9:10" x14ac:dyDescent="0.3">
      <c r="I23376" t="s">
        <v>27990</v>
      </c>
    </row>
    <row r="23377" spans="9:10" x14ac:dyDescent="0.3">
      <c r="I23377" t="s">
        <v>27991</v>
      </c>
    </row>
    <row r="23378" spans="9:10" x14ac:dyDescent="0.3">
      <c r="I23378" t="s">
        <v>27992</v>
      </c>
      <c r="J23378" t="s">
        <v>7322</v>
      </c>
    </row>
    <row r="23379" spans="9:10" x14ac:dyDescent="0.3">
      <c r="I23379" t="s">
        <v>27993</v>
      </c>
      <c r="J23379" t="s">
        <v>7323</v>
      </c>
    </row>
    <row r="23380" spans="9:10" x14ac:dyDescent="0.3">
      <c r="I23380" t="s">
        <v>27994</v>
      </c>
      <c r="J23380" t="s">
        <v>7324</v>
      </c>
    </row>
    <row r="23381" spans="9:10" x14ac:dyDescent="0.3">
      <c r="I23381" t="s">
        <v>27995</v>
      </c>
      <c r="J23381" t="s">
        <v>7325</v>
      </c>
    </row>
    <row r="23382" spans="9:10" x14ac:dyDescent="0.3">
      <c r="I23382" t="s">
        <v>27995</v>
      </c>
      <c r="J23382" t="s">
        <v>7325</v>
      </c>
    </row>
    <row r="23383" spans="9:10" x14ac:dyDescent="0.3">
      <c r="I23383" t="s">
        <v>27996</v>
      </c>
      <c r="J23383" t="s">
        <v>7326</v>
      </c>
    </row>
    <row r="23384" spans="9:10" x14ac:dyDescent="0.3">
      <c r="I23384" t="s">
        <v>27997</v>
      </c>
      <c r="J23384" t="s">
        <v>7327</v>
      </c>
    </row>
    <row r="23385" spans="9:10" x14ac:dyDescent="0.3">
      <c r="I23385" t="s">
        <v>27998</v>
      </c>
    </row>
    <row r="23386" spans="9:10" x14ac:dyDescent="0.3">
      <c r="I23386" t="s">
        <v>27999</v>
      </c>
      <c r="J23386" t="s">
        <v>7328</v>
      </c>
    </row>
    <row r="23387" spans="9:10" x14ac:dyDescent="0.3">
      <c r="I23387" t="s">
        <v>28000</v>
      </c>
      <c r="J23387" t="s">
        <v>7329</v>
      </c>
    </row>
    <row r="23388" spans="9:10" x14ac:dyDescent="0.3">
      <c r="I23388" t="s">
        <v>28001</v>
      </c>
    </row>
    <row r="23389" spans="9:10" x14ac:dyDescent="0.3">
      <c r="I23389" t="s">
        <v>28002</v>
      </c>
    </row>
    <row r="23390" spans="9:10" x14ac:dyDescent="0.3">
      <c r="I23390" t="s">
        <v>28003</v>
      </c>
    </row>
    <row r="23391" spans="9:10" x14ac:dyDescent="0.3">
      <c r="I23391" t="s">
        <v>28004</v>
      </c>
    </row>
    <row r="23392" spans="9:10" x14ac:dyDescent="0.3">
      <c r="I23392" t="s">
        <v>28005</v>
      </c>
    </row>
    <row r="23393" spans="9:10" x14ac:dyDescent="0.3">
      <c r="I23393" t="s">
        <v>28006</v>
      </c>
      <c r="J23393" t="s">
        <v>7330</v>
      </c>
    </row>
    <row r="23394" spans="9:10" x14ac:dyDescent="0.3">
      <c r="I23394" t="s">
        <v>28007</v>
      </c>
    </row>
    <row r="23395" spans="9:10" x14ac:dyDescent="0.3">
      <c r="I23395" t="s">
        <v>28008</v>
      </c>
    </row>
    <row r="23396" spans="9:10" x14ac:dyDescent="0.3">
      <c r="I23396" t="s">
        <v>28009</v>
      </c>
    </row>
    <row r="23397" spans="9:10" x14ac:dyDescent="0.3">
      <c r="I23397" t="s">
        <v>28010</v>
      </c>
    </row>
    <row r="23398" spans="9:10" x14ac:dyDescent="0.3">
      <c r="I23398" t="s">
        <v>28011</v>
      </c>
      <c r="J23398" t="s">
        <v>7331</v>
      </c>
    </row>
    <row r="23399" spans="9:10" x14ac:dyDescent="0.3">
      <c r="I23399" t="s">
        <v>28012</v>
      </c>
      <c r="J23399" t="s">
        <v>7332</v>
      </c>
    </row>
    <row r="23400" spans="9:10" x14ac:dyDescent="0.3">
      <c r="I23400" t="s">
        <v>28012</v>
      </c>
      <c r="J23400" t="s">
        <v>7332</v>
      </c>
    </row>
    <row r="23401" spans="9:10" x14ac:dyDescent="0.3">
      <c r="I23401" t="s">
        <v>28013</v>
      </c>
      <c r="J23401" t="s">
        <v>7333</v>
      </c>
    </row>
    <row r="23402" spans="9:10" x14ac:dyDescent="0.3">
      <c r="I23402" t="s">
        <v>28013</v>
      </c>
      <c r="J23402" t="s">
        <v>7333</v>
      </c>
    </row>
    <row r="23403" spans="9:10" x14ac:dyDescent="0.3">
      <c r="I23403" t="s">
        <v>28014</v>
      </c>
    </row>
    <row r="23404" spans="9:10" x14ac:dyDescent="0.3">
      <c r="I23404" t="s">
        <v>28015</v>
      </c>
      <c r="J23404" t="s">
        <v>7334</v>
      </c>
    </row>
    <row r="23405" spans="9:10" x14ac:dyDescent="0.3">
      <c r="I23405" t="s">
        <v>28016</v>
      </c>
      <c r="J23405" t="s">
        <v>7335</v>
      </c>
    </row>
    <row r="23406" spans="9:10" x14ac:dyDescent="0.3">
      <c r="I23406" t="s">
        <v>28017</v>
      </c>
      <c r="J23406" t="s">
        <v>7336</v>
      </c>
    </row>
    <row r="23407" spans="9:10" x14ac:dyDescent="0.3">
      <c r="I23407" t="s">
        <v>28017</v>
      </c>
      <c r="J23407" t="s">
        <v>7336</v>
      </c>
    </row>
    <row r="23408" spans="9:10" x14ac:dyDescent="0.3">
      <c r="I23408" t="s">
        <v>28018</v>
      </c>
    </row>
    <row r="23409" spans="9:10" x14ac:dyDescent="0.3">
      <c r="I23409" t="s">
        <v>28019</v>
      </c>
      <c r="J23409" t="s">
        <v>7337</v>
      </c>
    </row>
    <row r="23410" spans="9:10" x14ac:dyDescent="0.3">
      <c r="I23410" t="s">
        <v>28020</v>
      </c>
      <c r="J23410" t="s">
        <v>912</v>
      </c>
    </row>
    <row r="23411" spans="9:10" x14ac:dyDescent="0.3">
      <c r="I23411" t="s">
        <v>28021</v>
      </c>
      <c r="J23411" t="s">
        <v>7338</v>
      </c>
    </row>
    <row r="23412" spans="9:10" x14ac:dyDescent="0.3">
      <c r="I23412" t="s">
        <v>28022</v>
      </c>
      <c r="J23412" t="s">
        <v>7339</v>
      </c>
    </row>
    <row r="23413" spans="9:10" x14ac:dyDescent="0.3">
      <c r="I23413" t="s">
        <v>28023</v>
      </c>
      <c r="J23413" t="s">
        <v>102</v>
      </c>
    </row>
    <row r="23414" spans="9:10" x14ac:dyDescent="0.3">
      <c r="I23414" t="s">
        <v>28024</v>
      </c>
    </row>
    <row r="23415" spans="9:10" x14ac:dyDescent="0.3">
      <c r="I23415" t="s">
        <v>28025</v>
      </c>
    </row>
    <row r="23416" spans="9:10" x14ac:dyDescent="0.3">
      <c r="I23416" t="s">
        <v>28026</v>
      </c>
    </row>
    <row r="23417" spans="9:10" x14ac:dyDescent="0.3">
      <c r="I23417" t="s">
        <v>28027</v>
      </c>
    </row>
    <row r="23418" spans="9:10" x14ac:dyDescent="0.3">
      <c r="I23418" t="s">
        <v>28028</v>
      </c>
    </row>
    <row r="23419" spans="9:10" x14ac:dyDescent="0.3">
      <c r="I23419" t="s">
        <v>28029</v>
      </c>
    </row>
    <row r="23420" spans="9:10" x14ac:dyDescent="0.3">
      <c r="I23420" t="s">
        <v>28030</v>
      </c>
    </row>
    <row r="23421" spans="9:10" x14ac:dyDescent="0.3">
      <c r="I23421" t="s">
        <v>28031</v>
      </c>
    </row>
    <row r="23422" spans="9:10" x14ac:dyDescent="0.3">
      <c r="I23422" t="s">
        <v>28032</v>
      </c>
      <c r="J23422" t="s">
        <v>7340</v>
      </c>
    </row>
    <row r="23423" spans="9:10" x14ac:dyDescent="0.3">
      <c r="I23423" t="s">
        <v>28033</v>
      </c>
      <c r="J23423" t="s">
        <v>7340</v>
      </c>
    </row>
    <row r="23424" spans="9:10" x14ac:dyDescent="0.3">
      <c r="I23424" t="s">
        <v>28034</v>
      </c>
      <c r="J23424" t="s">
        <v>7340</v>
      </c>
    </row>
    <row r="23425" spans="9:10" x14ac:dyDescent="0.3">
      <c r="I23425" t="s">
        <v>28035</v>
      </c>
      <c r="J23425" t="s">
        <v>7340</v>
      </c>
    </row>
    <row r="23426" spans="9:10" x14ac:dyDescent="0.3">
      <c r="I23426" t="s">
        <v>28036</v>
      </c>
      <c r="J23426" t="s">
        <v>669</v>
      </c>
    </row>
    <row r="23427" spans="9:10" x14ac:dyDescent="0.3">
      <c r="I23427" t="s">
        <v>28037</v>
      </c>
      <c r="J23427" t="s">
        <v>7341</v>
      </c>
    </row>
    <row r="23428" spans="9:10" x14ac:dyDescent="0.3">
      <c r="I23428" t="s">
        <v>15457</v>
      </c>
      <c r="J23428" t="s">
        <v>246</v>
      </c>
    </row>
    <row r="23429" spans="9:10" x14ac:dyDescent="0.3">
      <c r="I23429" t="s">
        <v>15435</v>
      </c>
      <c r="J23429" t="s">
        <v>246</v>
      </c>
    </row>
    <row r="23430" spans="9:10" x14ac:dyDescent="0.3">
      <c r="I23430" t="s">
        <v>15435</v>
      </c>
      <c r="J23430" t="s">
        <v>246</v>
      </c>
    </row>
    <row r="23431" spans="9:10" x14ac:dyDescent="0.3">
      <c r="I23431" t="s">
        <v>15435</v>
      </c>
      <c r="J23431" t="s">
        <v>246</v>
      </c>
    </row>
    <row r="23432" spans="9:10" x14ac:dyDescent="0.3">
      <c r="I23432" t="s">
        <v>28038</v>
      </c>
      <c r="J23432" t="s">
        <v>7342</v>
      </c>
    </row>
    <row r="23433" spans="9:10" x14ac:dyDescent="0.3">
      <c r="I23433" t="s">
        <v>28039</v>
      </c>
      <c r="J23433" t="s">
        <v>7342</v>
      </c>
    </row>
    <row r="23434" spans="9:10" x14ac:dyDescent="0.3">
      <c r="I23434" t="s">
        <v>28040</v>
      </c>
      <c r="J23434" t="s">
        <v>7343</v>
      </c>
    </row>
    <row r="23435" spans="9:10" x14ac:dyDescent="0.3">
      <c r="I23435" t="s">
        <v>28041</v>
      </c>
      <c r="J23435" t="s">
        <v>7344</v>
      </c>
    </row>
    <row r="23436" spans="9:10" x14ac:dyDescent="0.3">
      <c r="I23436" t="s">
        <v>28042</v>
      </c>
      <c r="J23436" t="s">
        <v>7345</v>
      </c>
    </row>
    <row r="23437" spans="9:10" x14ac:dyDescent="0.3">
      <c r="I23437" t="s">
        <v>28043</v>
      </c>
      <c r="J23437" t="s">
        <v>7346</v>
      </c>
    </row>
    <row r="23438" spans="9:10" x14ac:dyDescent="0.3">
      <c r="I23438" t="s">
        <v>28044</v>
      </c>
      <c r="J23438" t="s">
        <v>7346</v>
      </c>
    </row>
    <row r="23439" spans="9:10" x14ac:dyDescent="0.3">
      <c r="I23439" t="s">
        <v>28045</v>
      </c>
      <c r="J23439" t="s">
        <v>7347</v>
      </c>
    </row>
    <row r="23440" spans="9:10" x14ac:dyDescent="0.3">
      <c r="I23440" t="s">
        <v>28046</v>
      </c>
      <c r="J23440" t="s">
        <v>7348</v>
      </c>
    </row>
    <row r="23441" spans="9:10" x14ac:dyDescent="0.3">
      <c r="I23441" t="s">
        <v>28047</v>
      </c>
      <c r="J23441" t="s">
        <v>7349</v>
      </c>
    </row>
    <row r="23442" spans="9:10" x14ac:dyDescent="0.3">
      <c r="I23442" t="s">
        <v>28048</v>
      </c>
    </row>
    <row r="23443" spans="9:10" x14ac:dyDescent="0.3">
      <c r="I23443" t="s">
        <v>28049</v>
      </c>
      <c r="J23443" t="s">
        <v>7350</v>
      </c>
    </row>
    <row r="23444" spans="9:10" x14ac:dyDescent="0.3">
      <c r="I23444" t="s">
        <v>28050</v>
      </c>
      <c r="J23444" t="s">
        <v>7351</v>
      </c>
    </row>
    <row r="23445" spans="9:10" x14ac:dyDescent="0.3">
      <c r="I23445" t="s">
        <v>28051</v>
      </c>
      <c r="J23445" t="s">
        <v>7352</v>
      </c>
    </row>
    <row r="23446" spans="9:10" x14ac:dyDescent="0.3">
      <c r="I23446" t="s">
        <v>28052</v>
      </c>
      <c r="J23446" t="s">
        <v>7353</v>
      </c>
    </row>
    <row r="23447" spans="9:10" x14ac:dyDescent="0.3">
      <c r="I23447" t="s">
        <v>28053</v>
      </c>
      <c r="J23447" t="s">
        <v>7353</v>
      </c>
    </row>
    <row r="23448" spans="9:10" x14ac:dyDescent="0.3">
      <c r="I23448" t="s">
        <v>28054</v>
      </c>
      <c r="J23448" t="s">
        <v>6448</v>
      </c>
    </row>
    <row r="23449" spans="9:10" x14ac:dyDescent="0.3">
      <c r="I23449" t="s">
        <v>28055</v>
      </c>
    </row>
    <row r="23450" spans="9:10" x14ac:dyDescent="0.3">
      <c r="I23450" t="s">
        <v>28056</v>
      </c>
    </row>
    <row r="23451" spans="9:10" x14ac:dyDescent="0.3">
      <c r="I23451" t="s">
        <v>28057</v>
      </c>
      <c r="J23451" t="s">
        <v>7354</v>
      </c>
    </row>
    <row r="23452" spans="9:10" x14ac:dyDescent="0.3">
      <c r="I23452" t="s">
        <v>28057</v>
      </c>
      <c r="J23452" t="s">
        <v>7354</v>
      </c>
    </row>
    <row r="23453" spans="9:10" x14ac:dyDescent="0.3">
      <c r="I23453" t="s">
        <v>28058</v>
      </c>
      <c r="J23453" t="s">
        <v>7355</v>
      </c>
    </row>
    <row r="23454" spans="9:10" x14ac:dyDescent="0.3">
      <c r="I23454" t="s">
        <v>28059</v>
      </c>
      <c r="J23454" t="s">
        <v>7356</v>
      </c>
    </row>
    <row r="23455" spans="9:10" x14ac:dyDescent="0.3">
      <c r="I23455" t="s">
        <v>28060</v>
      </c>
      <c r="J23455" t="s">
        <v>7356</v>
      </c>
    </row>
    <row r="23456" spans="9:10" x14ac:dyDescent="0.3">
      <c r="I23456" t="s">
        <v>28061</v>
      </c>
      <c r="J23456" t="s">
        <v>7357</v>
      </c>
    </row>
    <row r="23457" spans="9:10" x14ac:dyDescent="0.3">
      <c r="I23457" t="s">
        <v>28062</v>
      </c>
    </row>
    <row r="23458" spans="9:10" x14ac:dyDescent="0.3">
      <c r="I23458" t="s">
        <v>28063</v>
      </c>
      <c r="J23458" t="s">
        <v>7358</v>
      </c>
    </row>
    <row r="23459" spans="9:10" x14ac:dyDescent="0.3">
      <c r="I23459" t="s">
        <v>28064</v>
      </c>
      <c r="J23459" t="s">
        <v>7359</v>
      </c>
    </row>
    <row r="23460" spans="9:10" x14ac:dyDescent="0.3">
      <c r="I23460" t="s">
        <v>28065</v>
      </c>
      <c r="J23460" t="s">
        <v>7359</v>
      </c>
    </row>
    <row r="23461" spans="9:10" x14ac:dyDescent="0.3">
      <c r="I23461" t="s">
        <v>28066</v>
      </c>
      <c r="J23461" t="s">
        <v>7360</v>
      </c>
    </row>
    <row r="23462" spans="9:10" x14ac:dyDescent="0.3">
      <c r="I23462" t="s">
        <v>28067</v>
      </c>
      <c r="J23462" t="s">
        <v>7361</v>
      </c>
    </row>
    <row r="23463" spans="9:10" x14ac:dyDescent="0.3">
      <c r="I23463" t="s">
        <v>28068</v>
      </c>
      <c r="J23463" t="s">
        <v>7362</v>
      </c>
    </row>
    <row r="23464" spans="9:10" x14ac:dyDescent="0.3">
      <c r="I23464" t="s">
        <v>28069</v>
      </c>
      <c r="J23464" t="s">
        <v>7363</v>
      </c>
    </row>
    <row r="23465" spans="9:10" x14ac:dyDescent="0.3">
      <c r="I23465" t="s">
        <v>28070</v>
      </c>
    </row>
    <row r="23466" spans="9:10" x14ac:dyDescent="0.3">
      <c r="I23466" t="s">
        <v>28071</v>
      </c>
      <c r="J23466" t="s">
        <v>4339</v>
      </c>
    </row>
    <row r="23467" spans="9:10" x14ac:dyDescent="0.3">
      <c r="I23467" t="s">
        <v>28071</v>
      </c>
      <c r="J23467" t="s">
        <v>4339</v>
      </c>
    </row>
    <row r="23468" spans="9:10" x14ac:dyDescent="0.3">
      <c r="I23468" t="s">
        <v>28072</v>
      </c>
      <c r="J23468" t="s">
        <v>7364</v>
      </c>
    </row>
    <row r="23469" spans="9:10" x14ac:dyDescent="0.3">
      <c r="I23469" t="s">
        <v>28073</v>
      </c>
      <c r="J23469" t="s">
        <v>7364</v>
      </c>
    </row>
    <row r="23470" spans="9:10" x14ac:dyDescent="0.3">
      <c r="I23470" t="s">
        <v>28074</v>
      </c>
    </row>
    <row r="23471" spans="9:10" x14ac:dyDescent="0.3">
      <c r="I23471" t="s">
        <v>28075</v>
      </c>
      <c r="J23471" t="s">
        <v>7365</v>
      </c>
    </row>
    <row r="23472" spans="9:10" x14ac:dyDescent="0.3">
      <c r="I23472" t="s">
        <v>28076</v>
      </c>
      <c r="J23472" t="s">
        <v>7366</v>
      </c>
    </row>
    <row r="23473" spans="9:10" x14ac:dyDescent="0.3">
      <c r="I23473" t="s">
        <v>28077</v>
      </c>
      <c r="J23473" t="s">
        <v>7367</v>
      </c>
    </row>
    <row r="23474" spans="9:10" x14ac:dyDescent="0.3">
      <c r="I23474" t="s">
        <v>28078</v>
      </c>
      <c r="J23474" t="s">
        <v>7368</v>
      </c>
    </row>
    <row r="23475" spans="9:10" x14ac:dyDescent="0.3">
      <c r="I23475" t="s">
        <v>28079</v>
      </c>
    </row>
    <row r="23476" spans="9:10" x14ac:dyDescent="0.3">
      <c r="I23476" t="s">
        <v>28080</v>
      </c>
    </row>
    <row r="23477" spans="9:10" x14ac:dyDescent="0.3">
      <c r="I23477" t="s">
        <v>28081</v>
      </c>
    </row>
    <row r="23478" spans="9:10" x14ac:dyDescent="0.3">
      <c r="I23478" t="s">
        <v>28082</v>
      </c>
      <c r="J23478" t="s">
        <v>7369</v>
      </c>
    </row>
    <row r="23479" spans="9:10" x14ac:dyDescent="0.3">
      <c r="I23479" t="s">
        <v>28082</v>
      </c>
      <c r="J23479" t="s">
        <v>7369</v>
      </c>
    </row>
    <row r="23480" spans="9:10" x14ac:dyDescent="0.3">
      <c r="I23480" t="s">
        <v>28082</v>
      </c>
      <c r="J23480" t="s">
        <v>7369</v>
      </c>
    </row>
    <row r="23481" spans="9:10" x14ac:dyDescent="0.3">
      <c r="I23481" t="s">
        <v>28083</v>
      </c>
      <c r="J23481" t="s">
        <v>7370</v>
      </c>
    </row>
    <row r="23482" spans="9:10" x14ac:dyDescent="0.3">
      <c r="I23482" t="s">
        <v>28084</v>
      </c>
      <c r="J23482" t="s">
        <v>361</v>
      </c>
    </row>
    <row r="23483" spans="9:10" x14ac:dyDescent="0.3">
      <c r="I23483" t="s">
        <v>28085</v>
      </c>
      <c r="J23483" t="s">
        <v>361</v>
      </c>
    </row>
    <row r="23484" spans="9:10" x14ac:dyDescent="0.3">
      <c r="I23484" t="s">
        <v>28086</v>
      </c>
      <c r="J23484" t="s">
        <v>683</v>
      </c>
    </row>
    <row r="23485" spans="9:10" x14ac:dyDescent="0.3">
      <c r="I23485" t="s">
        <v>28087</v>
      </c>
    </row>
    <row r="23486" spans="9:10" x14ac:dyDescent="0.3">
      <c r="I23486" t="s">
        <v>28088</v>
      </c>
      <c r="J23486" t="s">
        <v>7371</v>
      </c>
    </row>
    <row r="23487" spans="9:10" x14ac:dyDescent="0.3">
      <c r="I23487" t="s">
        <v>28088</v>
      </c>
      <c r="J23487" t="s">
        <v>7371</v>
      </c>
    </row>
    <row r="23488" spans="9:10" x14ac:dyDescent="0.3">
      <c r="I23488" t="s">
        <v>28088</v>
      </c>
      <c r="J23488" t="s">
        <v>7371</v>
      </c>
    </row>
    <row r="23489" spans="9:10" x14ac:dyDescent="0.3">
      <c r="I23489" t="s">
        <v>28088</v>
      </c>
      <c r="J23489" t="s">
        <v>7371</v>
      </c>
    </row>
    <row r="23490" spans="9:10" x14ac:dyDescent="0.3">
      <c r="I23490" t="s">
        <v>28088</v>
      </c>
      <c r="J23490" t="s">
        <v>7371</v>
      </c>
    </row>
    <row r="23491" spans="9:10" x14ac:dyDescent="0.3">
      <c r="I23491" t="s">
        <v>28088</v>
      </c>
      <c r="J23491" t="s">
        <v>7371</v>
      </c>
    </row>
    <row r="23492" spans="9:10" x14ac:dyDescent="0.3">
      <c r="I23492" t="s">
        <v>28088</v>
      </c>
      <c r="J23492" t="s">
        <v>7371</v>
      </c>
    </row>
    <row r="23493" spans="9:10" x14ac:dyDescent="0.3">
      <c r="I23493" t="s">
        <v>28088</v>
      </c>
      <c r="J23493" t="s">
        <v>7371</v>
      </c>
    </row>
    <row r="23494" spans="9:10" x14ac:dyDescent="0.3">
      <c r="I23494" t="s">
        <v>28088</v>
      </c>
      <c r="J23494" t="s">
        <v>7371</v>
      </c>
    </row>
    <row r="23495" spans="9:10" x14ac:dyDescent="0.3">
      <c r="I23495" t="s">
        <v>28088</v>
      </c>
      <c r="J23495" t="s">
        <v>7371</v>
      </c>
    </row>
    <row r="23496" spans="9:10" x14ac:dyDescent="0.3">
      <c r="I23496" t="s">
        <v>28088</v>
      </c>
      <c r="J23496" t="s">
        <v>7371</v>
      </c>
    </row>
    <row r="23497" spans="9:10" x14ac:dyDescent="0.3">
      <c r="I23497" t="s">
        <v>28088</v>
      </c>
      <c r="J23497" t="s">
        <v>7371</v>
      </c>
    </row>
    <row r="23498" spans="9:10" x14ac:dyDescent="0.3">
      <c r="I23498" t="s">
        <v>28089</v>
      </c>
      <c r="J23498" t="s">
        <v>7372</v>
      </c>
    </row>
    <row r="23499" spans="9:10" x14ac:dyDescent="0.3">
      <c r="I23499" t="s">
        <v>28090</v>
      </c>
      <c r="J23499" t="s">
        <v>7373</v>
      </c>
    </row>
    <row r="23500" spans="9:10" x14ac:dyDescent="0.3">
      <c r="I23500" t="s">
        <v>28091</v>
      </c>
      <c r="J23500" t="s">
        <v>7374</v>
      </c>
    </row>
    <row r="23501" spans="9:10" x14ac:dyDescent="0.3">
      <c r="I23501" t="s">
        <v>28092</v>
      </c>
      <c r="J23501" t="s">
        <v>7374</v>
      </c>
    </row>
    <row r="23502" spans="9:10" x14ac:dyDescent="0.3">
      <c r="I23502" t="s">
        <v>28093</v>
      </c>
    </row>
    <row r="23503" spans="9:10" x14ac:dyDescent="0.3">
      <c r="I23503" t="s">
        <v>28094</v>
      </c>
      <c r="J23503" t="s">
        <v>7375</v>
      </c>
    </row>
    <row r="23504" spans="9:10" x14ac:dyDescent="0.3">
      <c r="I23504" t="s">
        <v>28094</v>
      </c>
      <c r="J23504" t="s">
        <v>7375</v>
      </c>
    </row>
    <row r="23505" spans="9:10" x14ac:dyDescent="0.3">
      <c r="I23505" t="s">
        <v>28095</v>
      </c>
      <c r="J23505" t="s">
        <v>7375</v>
      </c>
    </row>
    <row r="23506" spans="9:10" x14ac:dyDescent="0.3">
      <c r="I23506" t="s">
        <v>28096</v>
      </c>
      <c r="J23506" t="s">
        <v>7376</v>
      </c>
    </row>
    <row r="23507" spans="9:10" x14ac:dyDescent="0.3">
      <c r="I23507" t="s">
        <v>28097</v>
      </c>
      <c r="J23507" t="s">
        <v>7377</v>
      </c>
    </row>
    <row r="23508" spans="9:10" x14ac:dyDescent="0.3">
      <c r="I23508" t="s">
        <v>28098</v>
      </c>
    </row>
    <row r="23509" spans="9:10" x14ac:dyDescent="0.3">
      <c r="I23509" t="s">
        <v>28099</v>
      </c>
    </row>
    <row r="23510" spans="9:10" x14ac:dyDescent="0.3">
      <c r="I23510" t="s">
        <v>28100</v>
      </c>
      <c r="J23510" t="s">
        <v>3028</v>
      </c>
    </row>
    <row r="23511" spans="9:10" x14ac:dyDescent="0.3">
      <c r="I23511" t="s">
        <v>28100</v>
      </c>
      <c r="J23511" t="s">
        <v>3028</v>
      </c>
    </row>
    <row r="23512" spans="9:10" x14ac:dyDescent="0.3">
      <c r="I23512" t="s">
        <v>28101</v>
      </c>
      <c r="J23512" t="s">
        <v>7378</v>
      </c>
    </row>
    <row r="23513" spans="9:10" x14ac:dyDescent="0.3">
      <c r="I23513" t="s">
        <v>28102</v>
      </c>
      <c r="J23513" t="s">
        <v>1041</v>
      </c>
    </row>
    <row r="23514" spans="9:10" x14ac:dyDescent="0.3">
      <c r="I23514" t="s">
        <v>28103</v>
      </c>
      <c r="J23514" t="s">
        <v>7379</v>
      </c>
    </row>
    <row r="23515" spans="9:10" x14ac:dyDescent="0.3">
      <c r="I23515" t="s">
        <v>28104</v>
      </c>
      <c r="J23515" t="s">
        <v>7380</v>
      </c>
    </row>
    <row r="23516" spans="9:10" x14ac:dyDescent="0.3">
      <c r="I23516" t="s">
        <v>28105</v>
      </c>
      <c r="J23516" t="s">
        <v>7380</v>
      </c>
    </row>
    <row r="23517" spans="9:10" x14ac:dyDescent="0.3">
      <c r="I23517" t="s">
        <v>28106</v>
      </c>
    </row>
    <row r="23518" spans="9:10" x14ac:dyDescent="0.3">
      <c r="I23518" t="s">
        <v>28106</v>
      </c>
    </row>
    <row r="23519" spans="9:10" x14ac:dyDescent="0.3">
      <c r="I23519" t="s">
        <v>28107</v>
      </c>
      <c r="J23519" t="s">
        <v>7381</v>
      </c>
    </row>
    <row r="23520" spans="9:10" x14ac:dyDescent="0.3">
      <c r="I23520" t="s">
        <v>28108</v>
      </c>
      <c r="J23520" t="s">
        <v>7382</v>
      </c>
    </row>
    <row r="23521" spans="9:10" x14ac:dyDescent="0.3">
      <c r="I23521" t="s">
        <v>28109</v>
      </c>
    </row>
    <row r="23522" spans="9:10" x14ac:dyDescent="0.3">
      <c r="I23522" t="s">
        <v>18227</v>
      </c>
      <c r="J23522" t="s">
        <v>7383</v>
      </c>
    </row>
    <row r="23523" spans="9:10" x14ac:dyDescent="0.3">
      <c r="I23523" t="s">
        <v>18227</v>
      </c>
      <c r="J23523" t="s">
        <v>7383</v>
      </c>
    </row>
    <row r="23524" spans="9:10" x14ac:dyDescent="0.3">
      <c r="I23524" t="s">
        <v>28110</v>
      </c>
    </row>
    <row r="23525" spans="9:10" x14ac:dyDescent="0.3">
      <c r="I23525" t="s">
        <v>28111</v>
      </c>
    </row>
    <row r="23526" spans="9:10" x14ac:dyDescent="0.3">
      <c r="I23526" t="s">
        <v>28112</v>
      </c>
      <c r="J23526" t="s">
        <v>7384</v>
      </c>
    </row>
    <row r="23527" spans="9:10" x14ac:dyDescent="0.3">
      <c r="I23527" t="s">
        <v>28113</v>
      </c>
      <c r="J23527" t="s">
        <v>251</v>
      </c>
    </row>
    <row r="23528" spans="9:10" x14ac:dyDescent="0.3">
      <c r="I23528" t="s">
        <v>28114</v>
      </c>
      <c r="J23528" t="s">
        <v>251</v>
      </c>
    </row>
    <row r="23529" spans="9:10" x14ac:dyDescent="0.3">
      <c r="I23529" t="s">
        <v>28114</v>
      </c>
      <c r="J23529" t="s">
        <v>251</v>
      </c>
    </row>
    <row r="23530" spans="9:10" x14ac:dyDescent="0.3">
      <c r="I23530" t="s">
        <v>28115</v>
      </c>
      <c r="J23530" t="s">
        <v>251</v>
      </c>
    </row>
    <row r="23531" spans="9:10" x14ac:dyDescent="0.3">
      <c r="I23531" t="s">
        <v>28116</v>
      </c>
      <c r="J23531" t="s">
        <v>251</v>
      </c>
    </row>
    <row r="23532" spans="9:10" x14ac:dyDescent="0.3">
      <c r="I23532" t="s">
        <v>28117</v>
      </c>
    </row>
    <row r="23533" spans="9:10" x14ac:dyDescent="0.3">
      <c r="I23533" t="s">
        <v>28118</v>
      </c>
    </row>
    <row r="23534" spans="9:10" x14ac:dyDescent="0.3">
      <c r="I23534" t="s">
        <v>28119</v>
      </c>
      <c r="J23534" t="s">
        <v>7385</v>
      </c>
    </row>
    <row r="23535" spans="9:10" x14ac:dyDescent="0.3">
      <c r="I23535" t="s">
        <v>28120</v>
      </c>
      <c r="J23535" t="s">
        <v>7386</v>
      </c>
    </row>
    <row r="23536" spans="9:10" x14ac:dyDescent="0.3">
      <c r="I23536" t="s">
        <v>28121</v>
      </c>
    </row>
    <row r="23537" spans="9:10" x14ac:dyDescent="0.3">
      <c r="I23537" t="s">
        <v>28122</v>
      </c>
    </row>
    <row r="23538" spans="9:10" x14ac:dyDescent="0.3">
      <c r="I23538" t="s">
        <v>28123</v>
      </c>
    </row>
    <row r="23539" spans="9:10" x14ac:dyDescent="0.3">
      <c r="I23539" t="s">
        <v>28124</v>
      </c>
    </row>
    <row r="23540" spans="9:10" x14ac:dyDescent="0.3">
      <c r="I23540" t="s">
        <v>28125</v>
      </c>
      <c r="J23540" t="s">
        <v>7387</v>
      </c>
    </row>
    <row r="23541" spans="9:10" x14ac:dyDescent="0.3">
      <c r="I23541" t="s">
        <v>28126</v>
      </c>
      <c r="J23541" t="s">
        <v>7387</v>
      </c>
    </row>
    <row r="23542" spans="9:10" x14ac:dyDescent="0.3">
      <c r="I23542" t="s">
        <v>28127</v>
      </c>
      <c r="J23542" t="s">
        <v>7387</v>
      </c>
    </row>
    <row r="23543" spans="9:10" x14ac:dyDescent="0.3">
      <c r="I23543" t="s">
        <v>28128</v>
      </c>
      <c r="J23543" t="s">
        <v>7387</v>
      </c>
    </row>
    <row r="23544" spans="9:10" x14ac:dyDescent="0.3">
      <c r="I23544" t="s">
        <v>28129</v>
      </c>
      <c r="J23544" t="s">
        <v>7387</v>
      </c>
    </row>
    <row r="23545" spans="9:10" x14ac:dyDescent="0.3">
      <c r="I23545" t="s">
        <v>28130</v>
      </c>
      <c r="J23545" t="s">
        <v>7387</v>
      </c>
    </row>
    <row r="23546" spans="9:10" x14ac:dyDescent="0.3">
      <c r="I23546" t="s">
        <v>28131</v>
      </c>
      <c r="J23546" t="s">
        <v>7387</v>
      </c>
    </row>
    <row r="23547" spans="9:10" x14ac:dyDescent="0.3">
      <c r="I23547" t="s">
        <v>28132</v>
      </c>
      <c r="J23547" t="s">
        <v>7387</v>
      </c>
    </row>
    <row r="23548" spans="9:10" x14ac:dyDescent="0.3">
      <c r="I23548" t="s">
        <v>28133</v>
      </c>
      <c r="J23548" t="s">
        <v>7387</v>
      </c>
    </row>
    <row r="23549" spans="9:10" x14ac:dyDescent="0.3">
      <c r="I23549" t="s">
        <v>28134</v>
      </c>
      <c r="J23549" t="s">
        <v>7387</v>
      </c>
    </row>
    <row r="23550" spans="9:10" x14ac:dyDescent="0.3">
      <c r="I23550" t="s">
        <v>28135</v>
      </c>
      <c r="J23550" t="s">
        <v>7387</v>
      </c>
    </row>
    <row r="23551" spans="9:10" x14ac:dyDescent="0.3">
      <c r="I23551" t="s">
        <v>28136</v>
      </c>
      <c r="J23551" t="s">
        <v>7388</v>
      </c>
    </row>
    <row r="23552" spans="9:10" x14ac:dyDescent="0.3">
      <c r="I23552" t="s">
        <v>28137</v>
      </c>
      <c r="J23552" t="s">
        <v>7388</v>
      </c>
    </row>
    <row r="23553" spans="9:10" x14ac:dyDescent="0.3">
      <c r="I23553" t="s">
        <v>28138</v>
      </c>
      <c r="J23553" t="s">
        <v>7389</v>
      </c>
    </row>
    <row r="23554" spans="9:10" x14ac:dyDescent="0.3">
      <c r="I23554" t="s">
        <v>28139</v>
      </c>
    </row>
    <row r="23555" spans="9:10" x14ac:dyDescent="0.3">
      <c r="I23555" t="s">
        <v>28140</v>
      </c>
      <c r="J23555" t="s">
        <v>7390</v>
      </c>
    </row>
    <row r="23556" spans="9:10" x14ac:dyDescent="0.3">
      <c r="I23556" t="s">
        <v>28141</v>
      </c>
      <c r="J23556" t="s">
        <v>7391</v>
      </c>
    </row>
    <row r="23557" spans="9:10" x14ac:dyDescent="0.3">
      <c r="I23557" t="s">
        <v>28142</v>
      </c>
      <c r="J23557" t="s">
        <v>7392</v>
      </c>
    </row>
    <row r="23558" spans="9:10" x14ac:dyDescent="0.3">
      <c r="I23558" t="s">
        <v>28143</v>
      </c>
      <c r="J23558" t="s">
        <v>7393</v>
      </c>
    </row>
    <row r="23559" spans="9:10" x14ac:dyDescent="0.3">
      <c r="I23559" t="s">
        <v>28144</v>
      </c>
    </row>
    <row r="23560" spans="9:10" x14ac:dyDescent="0.3">
      <c r="I23560" t="s">
        <v>28145</v>
      </c>
    </row>
    <row r="23561" spans="9:10" x14ac:dyDescent="0.3">
      <c r="I23561" t="s">
        <v>28146</v>
      </c>
    </row>
    <row r="23562" spans="9:10" x14ac:dyDescent="0.3">
      <c r="I23562" t="s">
        <v>28147</v>
      </c>
      <c r="J23562" t="s">
        <v>7394</v>
      </c>
    </row>
    <row r="23563" spans="9:10" x14ac:dyDescent="0.3">
      <c r="I23563" t="s">
        <v>16735</v>
      </c>
      <c r="J23563" t="s">
        <v>3946</v>
      </c>
    </row>
    <row r="23564" spans="9:10" x14ac:dyDescent="0.3">
      <c r="I23564" t="s">
        <v>25493</v>
      </c>
      <c r="J23564" t="s">
        <v>3946</v>
      </c>
    </row>
    <row r="23565" spans="9:10" x14ac:dyDescent="0.3">
      <c r="I23565" t="s">
        <v>16735</v>
      </c>
      <c r="J23565" t="s">
        <v>3946</v>
      </c>
    </row>
    <row r="23566" spans="9:10" x14ac:dyDescent="0.3">
      <c r="I23566" t="s">
        <v>16896</v>
      </c>
      <c r="J23566" t="s">
        <v>4011</v>
      </c>
    </row>
    <row r="23567" spans="9:10" x14ac:dyDescent="0.3">
      <c r="I23567" t="s">
        <v>28148</v>
      </c>
      <c r="J23567" t="s">
        <v>4011</v>
      </c>
    </row>
    <row r="23568" spans="9:10" x14ac:dyDescent="0.3">
      <c r="I23568" t="s">
        <v>16896</v>
      </c>
      <c r="J23568" t="s">
        <v>4011</v>
      </c>
    </row>
    <row r="23569" spans="9:10" x14ac:dyDescent="0.3">
      <c r="I23569" t="s">
        <v>28149</v>
      </c>
      <c r="J23569" t="s">
        <v>993</v>
      </c>
    </row>
    <row r="23570" spans="9:10" x14ac:dyDescent="0.3">
      <c r="I23570" t="s">
        <v>28149</v>
      </c>
      <c r="J23570" t="s">
        <v>993</v>
      </c>
    </row>
    <row r="23571" spans="9:10" x14ac:dyDescent="0.3">
      <c r="I23571" t="s">
        <v>28150</v>
      </c>
      <c r="J23571" t="s">
        <v>7395</v>
      </c>
    </row>
    <row r="23572" spans="9:10" x14ac:dyDescent="0.3">
      <c r="I23572" t="s">
        <v>28151</v>
      </c>
      <c r="J23572" t="s">
        <v>7395</v>
      </c>
    </row>
    <row r="23573" spans="9:10" x14ac:dyDescent="0.3">
      <c r="I23573" t="s">
        <v>28152</v>
      </c>
      <c r="J23573" t="s">
        <v>7396</v>
      </c>
    </row>
    <row r="23574" spans="9:10" x14ac:dyDescent="0.3">
      <c r="I23574" t="s">
        <v>28153</v>
      </c>
      <c r="J23574" t="s">
        <v>7396</v>
      </c>
    </row>
    <row r="23575" spans="9:10" x14ac:dyDescent="0.3">
      <c r="I23575" t="s">
        <v>28154</v>
      </c>
      <c r="J23575" t="s">
        <v>7397</v>
      </c>
    </row>
    <row r="23576" spans="9:10" x14ac:dyDescent="0.3">
      <c r="I23576" t="s">
        <v>28155</v>
      </c>
      <c r="J23576" t="s">
        <v>7398</v>
      </c>
    </row>
    <row r="23577" spans="9:10" x14ac:dyDescent="0.3">
      <c r="I23577" t="s">
        <v>28156</v>
      </c>
      <c r="J23577" t="s">
        <v>908</v>
      </c>
    </row>
    <row r="23578" spans="9:10" x14ac:dyDescent="0.3">
      <c r="I23578" t="s">
        <v>28156</v>
      </c>
      <c r="J23578" t="s">
        <v>908</v>
      </c>
    </row>
    <row r="23579" spans="9:10" x14ac:dyDescent="0.3">
      <c r="I23579" t="s">
        <v>28157</v>
      </c>
      <c r="J23579" t="s">
        <v>7399</v>
      </c>
    </row>
    <row r="23580" spans="9:10" x14ac:dyDescent="0.3">
      <c r="I23580" t="s">
        <v>28158</v>
      </c>
      <c r="J23580" t="s">
        <v>7400</v>
      </c>
    </row>
    <row r="23581" spans="9:10" x14ac:dyDescent="0.3">
      <c r="I23581" t="s">
        <v>28158</v>
      </c>
      <c r="J23581" t="s">
        <v>7400</v>
      </c>
    </row>
    <row r="23582" spans="9:10" x14ac:dyDescent="0.3">
      <c r="I23582" t="s">
        <v>28159</v>
      </c>
      <c r="J23582" t="s">
        <v>7401</v>
      </c>
    </row>
    <row r="23583" spans="9:10" x14ac:dyDescent="0.3">
      <c r="I23583" t="s">
        <v>28160</v>
      </c>
      <c r="J23583" t="s">
        <v>7402</v>
      </c>
    </row>
    <row r="23584" spans="9:10" x14ac:dyDescent="0.3">
      <c r="I23584" t="s">
        <v>28161</v>
      </c>
      <c r="J23584" t="s">
        <v>7403</v>
      </c>
    </row>
    <row r="23585" spans="9:10" x14ac:dyDescent="0.3">
      <c r="I23585" t="s">
        <v>28162</v>
      </c>
      <c r="J23585" t="s">
        <v>7404</v>
      </c>
    </row>
    <row r="23586" spans="9:10" x14ac:dyDescent="0.3">
      <c r="I23586" t="s">
        <v>28162</v>
      </c>
      <c r="J23586" t="s">
        <v>7404</v>
      </c>
    </row>
    <row r="23587" spans="9:10" x14ac:dyDescent="0.3">
      <c r="I23587" t="s">
        <v>28162</v>
      </c>
      <c r="J23587" t="s">
        <v>7404</v>
      </c>
    </row>
    <row r="23588" spans="9:10" x14ac:dyDescent="0.3">
      <c r="I23588" t="s">
        <v>28163</v>
      </c>
      <c r="J23588" t="s">
        <v>7405</v>
      </c>
    </row>
    <row r="23589" spans="9:10" x14ac:dyDescent="0.3">
      <c r="I23589" t="s">
        <v>28163</v>
      </c>
      <c r="J23589" t="s">
        <v>7405</v>
      </c>
    </row>
    <row r="23590" spans="9:10" x14ac:dyDescent="0.3">
      <c r="I23590" t="s">
        <v>28163</v>
      </c>
      <c r="J23590" t="s">
        <v>7405</v>
      </c>
    </row>
    <row r="23591" spans="9:10" x14ac:dyDescent="0.3">
      <c r="I23591" t="s">
        <v>28164</v>
      </c>
      <c r="J23591" t="s">
        <v>7406</v>
      </c>
    </row>
    <row r="23592" spans="9:10" x14ac:dyDescent="0.3">
      <c r="I23592" t="s">
        <v>28164</v>
      </c>
      <c r="J23592" t="s">
        <v>7406</v>
      </c>
    </row>
    <row r="23593" spans="9:10" x14ac:dyDescent="0.3">
      <c r="I23593" t="s">
        <v>28165</v>
      </c>
      <c r="J23593" t="s">
        <v>7407</v>
      </c>
    </row>
    <row r="23594" spans="9:10" x14ac:dyDescent="0.3">
      <c r="I23594" t="s">
        <v>28165</v>
      </c>
      <c r="J23594" t="s">
        <v>7407</v>
      </c>
    </row>
    <row r="23595" spans="9:10" x14ac:dyDescent="0.3">
      <c r="I23595" t="s">
        <v>28165</v>
      </c>
      <c r="J23595" t="s">
        <v>7407</v>
      </c>
    </row>
    <row r="23596" spans="9:10" x14ac:dyDescent="0.3">
      <c r="I23596" t="s">
        <v>28166</v>
      </c>
      <c r="J23596" t="s">
        <v>7408</v>
      </c>
    </row>
    <row r="23597" spans="9:10" x14ac:dyDescent="0.3">
      <c r="I23597" t="s">
        <v>28166</v>
      </c>
      <c r="J23597" t="s">
        <v>7408</v>
      </c>
    </row>
    <row r="23598" spans="9:10" x14ac:dyDescent="0.3">
      <c r="I23598" t="s">
        <v>28166</v>
      </c>
      <c r="J23598" t="s">
        <v>7408</v>
      </c>
    </row>
    <row r="23599" spans="9:10" x14ac:dyDescent="0.3">
      <c r="I23599" t="s">
        <v>28167</v>
      </c>
      <c r="J23599" t="s">
        <v>7409</v>
      </c>
    </row>
    <row r="23600" spans="9:10" x14ac:dyDescent="0.3">
      <c r="I23600" t="s">
        <v>28168</v>
      </c>
      <c r="J23600" t="s">
        <v>7410</v>
      </c>
    </row>
    <row r="23601" spans="9:10" x14ac:dyDescent="0.3">
      <c r="I23601" t="s">
        <v>28169</v>
      </c>
    </row>
    <row r="23602" spans="9:10" x14ac:dyDescent="0.3">
      <c r="I23602" t="s">
        <v>28170</v>
      </c>
      <c r="J23602" t="s">
        <v>7411</v>
      </c>
    </row>
    <row r="23603" spans="9:10" x14ac:dyDescent="0.3">
      <c r="I23603" t="s">
        <v>28170</v>
      </c>
      <c r="J23603" t="s">
        <v>7411</v>
      </c>
    </row>
    <row r="23604" spans="9:10" x14ac:dyDescent="0.3">
      <c r="I23604" t="s">
        <v>28171</v>
      </c>
      <c r="J23604" t="s">
        <v>7412</v>
      </c>
    </row>
    <row r="23605" spans="9:10" x14ac:dyDescent="0.3">
      <c r="I23605" t="s">
        <v>28171</v>
      </c>
      <c r="J23605" t="s">
        <v>7412</v>
      </c>
    </row>
    <row r="23606" spans="9:10" x14ac:dyDescent="0.3">
      <c r="I23606" t="s">
        <v>28172</v>
      </c>
      <c r="J23606" t="s">
        <v>884</v>
      </c>
    </row>
    <row r="23607" spans="9:10" x14ac:dyDescent="0.3">
      <c r="I23607" t="s">
        <v>28173</v>
      </c>
      <c r="J23607" t="s">
        <v>7413</v>
      </c>
    </row>
    <row r="23608" spans="9:10" x14ac:dyDescent="0.3">
      <c r="I23608" t="s">
        <v>28174</v>
      </c>
      <c r="J23608" t="s">
        <v>7414</v>
      </c>
    </row>
    <row r="23609" spans="9:10" x14ac:dyDescent="0.3">
      <c r="I23609" t="s">
        <v>28174</v>
      </c>
      <c r="J23609" t="s">
        <v>7414</v>
      </c>
    </row>
    <row r="23610" spans="9:10" x14ac:dyDescent="0.3">
      <c r="I23610" t="s">
        <v>28175</v>
      </c>
      <c r="J23610" t="s">
        <v>7415</v>
      </c>
    </row>
    <row r="23611" spans="9:10" x14ac:dyDescent="0.3">
      <c r="I23611" t="s">
        <v>28176</v>
      </c>
      <c r="J23611" t="s">
        <v>7416</v>
      </c>
    </row>
    <row r="23612" spans="9:10" x14ac:dyDescent="0.3">
      <c r="I23612" t="s">
        <v>28177</v>
      </c>
    </row>
    <row r="23613" spans="9:10" x14ac:dyDescent="0.3">
      <c r="I23613" t="s">
        <v>28178</v>
      </c>
    </row>
    <row r="23614" spans="9:10" x14ac:dyDescent="0.3">
      <c r="I23614" t="s">
        <v>28179</v>
      </c>
    </row>
    <row r="23615" spans="9:10" x14ac:dyDescent="0.3">
      <c r="I23615" t="s">
        <v>28180</v>
      </c>
    </row>
    <row r="23616" spans="9:10" x14ac:dyDescent="0.3">
      <c r="I23616" t="s">
        <v>28181</v>
      </c>
      <c r="J23616" t="s">
        <v>792</v>
      </c>
    </row>
    <row r="23617" spans="9:10" x14ac:dyDescent="0.3">
      <c r="I23617" t="s">
        <v>28182</v>
      </c>
      <c r="J23617" t="s">
        <v>7417</v>
      </c>
    </row>
    <row r="23618" spans="9:10" x14ac:dyDescent="0.3">
      <c r="I23618" t="s">
        <v>28183</v>
      </c>
      <c r="J23618" t="s">
        <v>1014</v>
      </c>
    </row>
    <row r="23619" spans="9:10" x14ac:dyDescent="0.3">
      <c r="I23619" t="s">
        <v>28184</v>
      </c>
      <c r="J23619" t="s">
        <v>7418</v>
      </c>
    </row>
    <row r="23620" spans="9:10" x14ac:dyDescent="0.3">
      <c r="I23620" t="s">
        <v>28185</v>
      </c>
    </row>
    <row r="23621" spans="9:10" x14ac:dyDescent="0.3">
      <c r="I23621" t="s">
        <v>28186</v>
      </c>
    </row>
    <row r="23622" spans="9:10" x14ac:dyDescent="0.3">
      <c r="I23622" t="s">
        <v>28187</v>
      </c>
    </row>
    <row r="23623" spans="9:10" x14ac:dyDescent="0.3">
      <c r="I23623" t="s">
        <v>28187</v>
      </c>
    </row>
    <row r="23624" spans="9:10" x14ac:dyDescent="0.3">
      <c r="I23624" t="s">
        <v>28188</v>
      </c>
    </row>
    <row r="23625" spans="9:10" x14ac:dyDescent="0.3">
      <c r="I23625" t="s">
        <v>28189</v>
      </c>
      <c r="J23625" t="s">
        <v>4019</v>
      </c>
    </row>
    <row r="23626" spans="9:10" x14ac:dyDescent="0.3">
      <c r="I23626" t="s">
        <v>28189</v>
      </c>
      <c r="J23626" t="s">
        <v>4019</v>
      </c>
    </row>
    <row r="23627" spans="9:10" x14ac:dyDescent="0.3">
      <c r="I23627" t="s">
        <v>28190</v>
      </c>
      <c r="J23627" t="s">
        <v>7419</v>
      </c>
    </row>
    <row r="23628" spans="9:10" x14ac:dyDescent="0.3">
      <c r="I23628" t="s">
        <v>28191</v>
      </c>
      <c r="J23628" t="s">
        <v>7420</v>
      </c>
    </row>
    <row r="23629" spans="9:10" x14ac:dyDescent="0.3">
      <c r="I23629" t="s">
        <v>28192</v>
      </c>
      <c r="J23629" t="s">
        <v>7421</v>
      </c>
    </row>
    <row r="23630" spans="9:10" x14ac:dyDescent="0.3">
      <c r="I23630" t="s">
        <v>28193</v>
      </c>
      <c r="J23630" t="s">
        <v>7422</v>
      </c>
    </row>
    <row r="23631" spans="9:10" x14ac:dyDescent="0.3">
      <c r="I23631" t="s">
        <v>28194</v>
      </c>
      <c r="J23631" t="s">
        <v>7423</v>
      </c>
    </row>
    <row r="23632" spans="9:10" x14ac:dyDescent="0.3">
      <c r="I23632" t="s">
        <v>28195</v>
      </c>
      <c r="J23632" t="s">
        <v>7424</v>
      </c>
    </row>
    <row r="23633" spans="9:10" x14ac:dyDescent="0.3">
      <c r="I23633" t="s">
        <v>28196</v>
      </c>
      <c r="J23633" t="s">
        <v>7425</v>
      </c>
    </row>
    <row r="23634" spans="9:10" x14ac:dyDescent="0.3">
      <c r="I23634" t="s">
        <v>28197</v>
      </c>
    </row>
    <row r="23635" spans="9:10" x14ac:dyDescent="0.3">
      <c r="I23635" t="s">
        <v>28198</v>
      </c>
      <c r="J23635" t="s">
        <v>7426</v>
      </c>
    </row>
    <row r="23636" spans="9:10" x14ac:dyDescent="0.3">
      <c r="I23636" t="s">
        <v>28198</v>
      </c>
      <c r="J23636" t="s">
        <v>7426</v>
      </c>
    </row>
    <row r="23637" spans="9:10" x14ac:dyDescent="0.3">
      <c r="I23637" t="s">
        <v>28199</v>
      </c>
      <c r="J23637" t="s">
        <v>7427</v>
      </c>
    </row>
    <row r="23638" spans="9:10" x14ac:dyDescent="0.3">
      <c r="I23638" t="s">
        <v>28200</v>
      </c>
      <c r="J23638" t="s">
        <v>695</v>
      </c>
    </row>
    <row r="23639" spans="9:10" x14ac:dyDescent="0.3">
      <c r="I23639" t="s">
        <v>28201</v>
      </c>
      <c r="J23639" t="s">
        <v>697</v>
      </c>
    </row>
    <row r="23640" spans="9:10" x14ac:dyDescent="0.3">
      <c r="I23640" t="s">
        <v>28202</v>
      </c>
      <c r="J23640" t="s">
        <v>696</v>
      </c>
    </row>
    <row r="23641" spans="9:10" x14ac:dyDescent="0.3">
      <c r="I23641" t="s">
        <v>28203</v>
      </c>
      <c r="J23641" t="s">
        <v>7428</v>
      </c>
    </row>
    <row r="23642" spans="9:10" x14ac:dyDescent="0.3">
      <c r="I23642" t="s">
        <v>28204</v>
      </c>
    </row>
    <row r="23643" spans="9:10" x14ac:dyDescent="0.3">
      <c r="I23643" t="s">
        <v>28205</v>
      </c>
      <c r="J23643" t="s">
        <v>7429</v>
      </c>
    </row>
    <row r="23644" spans="9:10" x14ac:dyDescent="0.3">
      <c r="I23644" t="s">
        <v>28206</v>
      </c>
    </row>
    <row r="23645" spans="9:10" x14ac:dyDescent="0.3">
      <c r="I23645" t="s">
        <v>28207</v>
      </c>
    </row>
    <row r="23646" spans="9:10" x14ac:dyDescent="0.3">
      <c r="I23646" t="s">
        <v>28208</v>
      </c>
    </row>
    <row r="23647" spans="9:10" x14ac:dyDescent="0.3">
      <c r="I23647" t="s">
        <v>28209</v>
      </c>
      <c r="J23647" t="s">
        <v>7430</v>
      </c>
    </row>
    <row r="23648" spans="9:10" x14ac:dyDescent="0.3">
      <c r="I23648" t="s">
        <v>28210</v>
      </c>
      <c r="J23648" t="s">
        <v>7430</v>
      </c>
    </row>
    <row r="23649" spans="9:10" x14ac:dyDescent="0.3">
      <c r="I23649" t="s">
        <v>28211</v>
      </c>
      <c r="J23649" t="s">
        <v>7430</v>
      </c>
    </row>
    <row r="23650" spans="9:10" x14ac:dyDescent="0.3">
      <c r="I23650" t="s">
        <v>28212</v>
      </c>
      <c r="J23650" t="s">
        <v>7431</v>
      </c>
    </row>
    <row r="23651" spans="9:10" x14ac:dyDescent="0.3">
      <c r="I23651" t="s">
        <v>28213</v>
      </c>
    </row>
    <row r="23652" spans="9:10" x14ac:dyDescent="0.3">
      <c r="I23652" t="s">
        <v>28214</v>
      </c>
      <c r="J23652" t="s">
        <v>7432</v>
      </c>
    </row>
    <row r="23653" spans="9:10" x14ac:dyDescent="0.3">
      <c r="I23653" t="s">
        <v>28215</v>
      </c>
    </row>
    <row r="23654" spans="9:10" x14ac:dyDescent="0.3">
      <c r="I23654" t="s">
        <v>28216</v>
      </c>
      <c r="J23654" t="s">
        <v>7433</v>
      </c>
    </row>
    <row r="23655" spans="9:10" x14ac:dyDescent="0.3">
      <c r="I23655" t="s">
        <v>28217</v>
      </c>
      <c r="J23655" t="s">
        <v>7434</v>
      </c>
    </row>
    <row r="23656" spans="9:10" x14ac:dyDescent="0.3">
      <c r="I23656" t="s">
        <v>28218</v>
      </c>
      <c r="J23656">
        <v>0</v>
      </c>
    </row>
    <row r="23657" spans="9:10" x14ac:dyDescent="0.3">
      <c r="I23657" t="s">
        <v>28219</v>
      </c>
      <c r="J23657">
        <v>0</v>
      </c>
    </row>
    <row r="23658" spans="9:10" x14ac:dyDescent="0.3">
      <c r="I23658" t="s">
        <v>28220</v>
      </c>
    </row>
    <row r="23659" spans="9:10" x14ac:dyDescent="0.3">
      <c r="I23659" t="s">
        <v>28221</v>
      </c>
    </row>
    <row r="23660" spans="9:10" x14ac:dyDescent="0.3">
      <c r="I23660" t="s">
        <v>28222</v>
      </c>
      <c r="J23660" t="s">
        <v>7435</v>
      </c>
    </row>
    <row r="23661" spans="9:10" x14ac:dyDescent="0.3">
      <c r="I23661" t="s">
        <v>28223</v>
      </c>
    </row>
    <row r="23662" spans="9:10" x14ac:dyDescent="0.3">
      <c r="I23662" t="s">
        <v>28224</v>
      </c>
      <c r="J23662" t="s">
        <v>7436</v>
      </c>
    </row>
    <row r="23663" spans="9:10" x14ac:dyDescent="0.3">
      <c r="I23663" t="s">
        <v>28225</v>
      </c>
      <c r="J23663" t="s">
        <v>7437</v>
      </c>
    </row>
    <row r="23664" spans="9:10" x14ac:dyDescent="0.3">
      <c r="I23664" t="s">
        <v>28226</v>
      </c>
    </row>
    <row r="23665" spans="9:10" x14ac:dyDescent="0.3">
      <c r="I23665" t="s">
        <v>28227</v>
      </c>
    </row>
    <row r="23666" spans="9:10" x14ac:dyDescent="0.3">
      <c r="I23666" t="s">
        <v>28228</v>
      </c>
      <c r="J23666" t="s">
        <v>7438</v>
      </c>
    </row>
    <row r="23667" spans="9:10" x14ac:dyDescent="0.3">
      <c r="I23667" t="s">
        <v>28229</v>
      </c>
      <c r="J23667" t="s">
        <v>7438</v>
      </c>
    </row>
    <row r="23668" spans="9:10" x14ac:dyDescent="0.3">
      <c r="I23668" t="s">
        <v>28230</v>
      </c>
      <c r="J23668" t="s">
        <v>7438</v>
      </c>
    </row>
    <row r="23669" spans="9:10" x14ac:dyDescent="0.3">
      <c r="I23669" t="s">
        <v>28231</v>
      </c>
      <c r="J23669" t="s">
        <v>7439</v>
      </c>
    </row>
    <row r="23670" spans="9:10" x14ac:dyDescent="0.3">
      <c r="I23670" t="s">
        <v>28232</v>
      </c>
      <c r="J23670" t="s">
        <v>7440</v>
      </c>
    </row>
    <row r="23671" spans="9:10" x14ac:dyDescent="0.3">
      <c r="I23671" t="s">
        <v>28233</v>
      </c>
      <c r="J23671" t="s">
        <v>7440</v>
      </c>
    </row>
    <row r="23672" spans="9:10" x14ac:dyDescent="0.3">
      <c r="I23672" t="s">
        <v>28234</v>
      </c>
      <c r="J23672" t="s">
        <v>7440</v>
      </c>
    </row>
    <row r="23673" spans="9:10" x14ac:dyDescent="0.3">
      <c r="I23673" t="s">
        <v>28235</v>
      </c>
      <c r="J23673" t="s">
        <v>7441</v>
      </c>
    </row>
    <row r="23674" spans="9:10" x14ac:dyDescent="0.3">
      <c r="I23674" t="s">
        <v>28236</v>
      </c>
    </row>
    <row r="23675" spans="9:10" x14ac:dyDescent="0.3">
      <c r="I23675" t="s">
        <v>28237</v>
      </c>
      <c r="J23675" t="s">
        <v>7442</v>
      </c>
    </row>
    <row r="23676" spans="9:10" x14ac:dyDescent="0.3">
      <c r="I23676" t="s">
        <v>28238</v>
      </c>
      <c r="J23676" t="s">
        <v>7443</v>
      </c>
    </row>
    <row r="23677" spans="9:10" x14ac:dyDescent="0.3">
      <c r="I23677" t="s">
        <v>28239</v>
      </c>
      <c r="J23677" t="s">
        <v>7444</v>
      </c>
    </row>
    <row r="23678" spans="9:10" x14ac:dyDescent="0.3">
      <c r="I23678" t="s">
        <v>28240</v>
      </c>
      <c r="J23678" t="s">
        <v>7445</v>
      </c>
    </row>
    <row r="23679" spans="9:10" x14ac:dyDescent="0.3">
      <c r="I23679" t="s">
        <v>28241</v>
      </c>
      <c r="J23679" t="s">
        <v>7446</v>
      </c>
    </row>
    <row r="23680" spans="9:10" x14ac:dyDescent="0.3">
      <c r="I23680" t="s">
        <v>28242</v>
      </c>
      <c r="J23680" t="s">
        <v>7447</v>
      </c>
    </row>
    <row r="23681" spans="9:10" x14ac:dyDescent="0.3">
      <c r="I23681" t="s">
        <v>28243</v>
      </c>
      <c r="J23681" t="s">
        <v>7448</v>
      </c>
    </row>
    <row r="23682" spans="9:10" x14ac:dyDescent="0.3">
      <c r="I23682" t="s">
        <v>28244</v>
      </c>
      <c r="J23682" t="s">
        <v>7449</v>
      </c>
    </row>
    <row r="23683" spans="9:10" x14ac:dyDescent="0.3">
      <c r="I23683" t="s">
        <v>28245</v>
      </c>
    </row>
    <row r="23684" spans="9:10" x14ac:dyDescent="0.3">
      <c r="I23684" t="s">
        <v>28246</v>
      </c>
    </row>
    <row r="23685" spans="9:10" x14ac:dyDescent="0.3">
      <c r="I23685" t="s">
        <v>28247</v>
      </c>
    </row>
    <row r="23686" spans="9:10" x14ac:dyDescent="0.3">
      <c r="I23686" t="s">
        <v>28248</v>
      </c>
    </row>
    <row r="23687" spans="9:10" x14ac:dyDescent="0.3">
      <c r="I23687" t="s">
        <v>28249</v>
      </c>
      <c r="J23687" t="s">
        <v>7450</v>
      </c>
    </row>
    <row r="23688" spans="9:10" x14ac:dyDescent="0.3">
      <c r="I23688" t="s">
        <v>28250</v>
      </c>
      <c r="J23688" t="s">
        <v>7451</v>
      </c>
    </row>
    <row r="23689" spans="9:10" x14ac:dyDescent="0.3">
      <c r="I23689" t="s">
        <v>28251</v>
      </c>
      <c r="J23689" t="s">
        <v>7452</v>
      </c>
    </row>
    <row r="23690" spans="9:10" x14ac:dyDescent="0.3">
      <c r="I23690" t="s">
        <v>28252</v>
      </c>
      <c r="J23690" t="s">
        <v>7453</v>
      </c>
    </row>
    <row r="23691" spans="9:10" x14ac:dyDescent="0.3">
      <c r="I23691" t="s">
        <v>28253</v>
      </c>
      <c r="J23691" t="s">
        <v>7454</v>
      </c>
    </row>
    <row r="23692" spans="9:10" x14ac:dyDescent="0.3">
      <c r="I23692" t="s">
        <v>28254</v>
      </c>
      <c r="J23692" t="s">
        <v>7455</v>
      </c>
    </row>
    <row r="23693" spans="9:10" x14ac:dyDescent="0.3">
      <c r="I23693" t="s">
        <v>28255</v>
      </c>
      <c r="J23693" t="s">
        <v>7456</v>
      </c>
    </row>
    <row r="23694" spans="9:10" x14ac:dyDescent="0.3">
      <c r="I23694" t="s">
        <v>28256</v>
      </c>
      <c r="J23694" t="s">
        <v>7457</v>
      </c>
    </row>
    <row r="23695" spans="9:10" x14ac:dyDescent="0.3">
      <c r="I23695" t="s">
        <v>28257</v>
      </c>
      <c r="J23695" t="s">
        <v>7458</v>
      </c>
    </row>
    <row r="23696" spans="9:10" x14ac:dyDescent="0.3">
      <c r="I23696" t="s">
        <v>28258</v>
      </c>
    </row>
    <row r="23697" spans="9:10" x14ac:dyDescent="0.3">
      <c r="I23697" t="s">
        <v>28259</v>
      </c>
    </row>
    <row r="23698" spans="9:10" x14ac:dyDescent="0.3">
      <c r="I23698" t="s">
        <v>28260</v>
      </c>
      <c r="J23698" t="s">
        <v>7459</v>
      </c>
    </row>
    <row r="23699" spans="9:10" x14ac:dyDescent="0.3">
      <c r="I23699" t="s">
        <v>28261</v>
      </c>
      <c r="J23699" t="s">
        <v>7460</v>
      </c>
    </row>
    <row r="23700" spans="9:10" x14ac:dyDescent="0.3">
      <c r="I23700" t="s">
        <v>28262</v>
      </c>
      <c r="J23700" t="s">
        <v>7461</v>
      </c>
    </row>
    <row r="23701" spans="9:10" x14ac:dyDescent="0.3">
      <c r="I23701" t="s">
        <v>28263</v>
      </c>
    </row>
    <row r="23702" spans="9:10" x14ac:dyDescent="0.3">
      <c r="I23702" t="s">
        <v>28264</v>
      </c>
    </row>
    <row r="23703" spans="9:10" x14ac:dyDescent="0.3">
      <c r="I23703" t="s">
        <v>28265</v>
      </c>
      <c r="J23703" t="s">
        <v>4697</v>
      </c>
    </row>
    <row r="23704" spans="9:10" x14ac:dyDescent="0.3">
      <c r="I23704" t="s">
        <v>28266</v>
      </c>
      <c r="J23704" t="s">
        <v>4697</v>
      </c>
    </row>
    <row r="23705" spans="9:10" x14ac:dyDescent="0.3">
      <c r="I23705" t="s">
        <v>28267</v>
      </c>
      <c r="J23705" t="s">
        <v>7462</v>
      </c>
    </row>
    <row r="23706" spans="9:10" x14ac:dyDescent="0.3">
      <c r="I23706" t="s">
        <v>28268</v>
      </c>
      <c r="J23706" t="s">
        <v>7462</v>
      </c>
    </row>
    <row r="23707" spans="9:10" x14ac:dyDescent="0.3">
      <c r="I23707" t="s">
        <v>28269</v>
      </c>
      <c r="J23707" t="s">
        <v>7463</v>
      </c>
    </row>
    <row r="23708" spans="9:10" x14ac:dyDescent="0.3">
      <c r="I23708" t="s">
        <v>28270</v>
      </c>
      <c r="J23708" t="s">
        <v>7464</v>
      </c>
    </row>
    <row r="23709" spans="9:10" x14ac:dyDescent="0.3">
      <c r="I23709" t="s">
        <v>28270</v>
      </c>
      <c r="J23709" t="s">
        <v>7464</v>
      </c>
    </row>
    <row r="23710" spans="9:10" x14ac:dyDescent="0.3">
      <c r="I23710" t="s">
        <v>28271</v>
      </c>
      <c r="J23710" t="s">
        <v>7465</v>
      </c>
    </row>
    <row r="23711" spans="9:10" x14ac:dyDescent="0.3">
      <c r="I23711" t="s">
        <v>28272</v>
      </c>
      <c r="J23711" t="s">
        <v>7466</v>
      </c>
    </row>
    <row r="23712" spans="9:10" x14ac:dyDescent="0.3">
      <c r="I23712" t="s">
        <v>28273</v>
      </c>
      <c r="J23712" t="s">
        <v>7467</v>
      </c>
    </row>
    <row r="23713" spans="9:10" x14ac:dyDescent="0.3">
      <c r="I23713" t="s">
        <v>28274</v>
      </c>
    </row>
    <row r="23714" spans="9:10" x14ac:dyDescent="0.3">
      <c r="I23714" t="s">
        <v>28275</v>
      </c>
      <c r="J23714" t="s">
        <v>7468</v>
      </c>
    </row>
    <row r="23715" spans="9:10" x14ac:dyDescent="0.3">
      <c r="I23715" t="s">
        <v>28275</v>
      </c>
      <c r="J23715" t="s">
        <v>7468</v>
      </c>
    </row>
    <row r="23716" spans="9:10" x14ac:dyDescent="0.3">
      <c r="I23716" t="s">
        <v>28276</v>
      </c>
      <c r="J23716" t="s">
        <v>7469</v>
      </c>
    </row>
    <row r="23717" spans="9:10" x14ac:dyDescent="0.3">
      <c r="I23717" t="s">
        <v>28277</v>
      </c>
      <c r="J23717" t="s">
        <v>7470</v>
      </c>
    </row>
    <row r="23718" spans="9:10" x14ac:dyDescent="0.3">
      <c r="I23718" t="s">
        <v>28278</v>
      </c>
      <c r="J23718" t="s">
        <v>7470</v>
      </c>
    </row>
    <row r="23719" spans="9:10" x14ac:dyDescent="0.3">
      <c r="I23719" t="s">
        <v>28277</v>
      </c>
      <c r="J23719" t="s">
        <v>7470</v>
      </c>
    </row>
    <row r="23720" spans="9:10" x14ac:dyDescent="0.3">
      <c r="I23720" t="s">
        <v>28279</v>
      </c>
      <c r="J23720" t="s">
        <v>7471</v>
      </c>
    </row>
    <row r="23721" spans="9:10" x14ac:dyDescent="0.3">
      <c r="I23721" t="s">
        <v>28280</v>
      </c>
      <c r="J23721" t="s">
        <v>7472</v>
      </c>
    </row>
    <row r="23722" spans="9:10" x14ac:dyDescent="0.3">
      <c r="I23722" t="s">
        <v>28281</v>
      </c>
      <c r="J23722" t="s">
        <v>7473</v>
      </c>
    </row>
    <row r="23723" spans="9:10" x14ac:dyDescent="0.3">
      <c r="I23723" t="s">
        <v>28282</v>
      </c>
      <c r="J23723" t="s">
        <v>7474</v>
      </c>
    </row>
    <row r="23724" spans="9:10" x14ac:dyDescent="0.3">
      <c r="I23724" t="s">
        <v>28283</v>
      </c>
      <c r="J23724" t="s">
        <v>7475</v>
      </c>
    </row>
    <row r="23725" spans="9:10" x14ac:dyDescent="0.3">
      <c r="I23725" t="s">
        <v>28284</v>
      </c>
      <c r="J23725" t="s">
        <v>7476</v>
      </c>
    </row>
    <row r="23726" spans="9:10" x14ac:dyDescent="0.3">
      <c r="I23726" t="s">
        <v>28285</v>
      </c>
      <c r="J23726" t="s">
        <v>7477</v>
      </c>
    </row>
    <row r="23727" spans="9:10" x14ac:dyDescent="0.3">
      <c r="I23727" t="s">
        <v>28286</v>
      </c>
      <c r="J23727" t="s">
        <v>7477</v>
      </c>
    </row>
    <row r="23728" spans="9:10" x14ac:dyDescent="0.3">
      <c r="I23728" t="s">
        <v>28287</v>
      </c>
      <c r="J23728" t="s">
        <v>7478</v>
      </c>
    </row>
    <row r="23729" spans="9:10" x14ac:dyDescent="0.3">
      <c r="I23729" t="s">
        <v>28288</v>
      </c>
      <c r="J23729" t="s">
        <v>7479</v>
      </c>
    </row>
    <row r="23730" spans="9:10" x14ac:dyDescent="0.3">
      <c r="I23730" t="s">
        <v>28289</v>
      </c>
      <c r="J23730" t="s">
        <v>7480</v>
      </c>
    </row>
    <row r="23731" spans="9:10" x14ac:dyDescent="0.3">
      <c r="I23731" t="s">
        <v>28290</v>
      </c>
      <c r="J23731" t="s">
        <v>7481</v>
      </c>
    </row>
    <row r="23732" spans="9:10" x14ac:dyDescent="0.3">
      <c r="I23732" t="s">
        <v>28291</v>
      </c>
      <c r="J23732" t="s">
        <v>7482</v>
      </c>
    </row>
    <row r="23733" spans="9:10" x14ac:dyDescent="0.3">
      <c r="I23733" t="s">
        <v>28292</v>
      </c>
    </row>
    <row r="23734" spans="9:10" x14ac:dyDescent="0.3">
      <c r="I23734" t="s">
        <v>28293</v>
      </c>
      <c r="J23734" t="s">
        <v>7483</v>
      </c>
    </row>
    <row r="23735" spans="9:10" x14ac:dyDescent="0.3">
      <c r="I23735" t="s">
        <v>11800</v>
      </c>
      <c r="J23735" t="s">
        <v>1814</v>
      </c>
    </row>
    <row r="23736" spans="9:10" x14ac:dyDescent="0.3">
      <c r="I23736" t="s">
        <v>11800</v>
      </c>
      <c r="J23736" t="s">
        <v>1814</v>
      </c>
    </row>
    <row r="23737" spans="9:10" x14ac:dyDescent="0.3">
      <c r="I23737" t="s">
        <v>737</v>
      </c>
    </row>
    <row r="23738" spans="9:10" x14ac:dyDescent="0.3">
      <c r="I23738" t="s">
        <v>28294</v>
      </c>
      <c r="J23738" t="s">
        <v>2012</v>
      </c>
    </row>
    <row r="23739" spans="9:10" x14ac:dyDescent="0.3">
      <c r="I23739" t="s">
        <v>28295</v>
      </c>
      <c r="J23739" t="s">
        <v>7484</v>
      </c>
    </row>
    <row r="23740" spans="9:10" x14ac:dyDescent="0.3">
      <c r="I23740" t="s">
        <v>28296</v>
      </c>
      <c r="J23740" t="s">
        <v>7485</v>
      </c>
    </row>
    <row r="23741" spans="9:10" x14ac:dyDescent="0.3">
      <c r="I23741" t="s">
        <v>28297</v>
      </c>
      <c r="J23741" t="s">
        <v>7486</v>
      </c>
    </row>
    <row r="23742" spans="9:10" x14ac:dyDescent="0.3">
      <c r="I23742" t="s">
        <v>28297</v>
      </c>
      <c r="J23742" t="s">
        <v>7486</v>
      </c>
    </row>
    <row r="23743" spans="9:10" x14ac:dyDescent="0.3">
      <c r="I23743" t="s">
        <v>28297</v>
      </c>
      <c r="J23743" t="s">
        <v>7486</v>
      </c>
    </row>
    <row r="23744" spans="9:10" x14ac:dyDescent="0.3">
      <c r="I23744" t="s">
        <v>28298</v>
      </c>
      <c r="J23744" t="s">
        <v>7486</v>
      </c>
    </row>
    <row r="23745" spans="9:10" x14ac:dyDescent="0.3">
      <c r="I23745" t="s">
        <v>28299</v>
      </c>
      <c r="J23745" t="s">
        <v>7487</v>
      </c>
    </row>
    <row r="23746" spans="9:10" x14ac:dyDescent="0.3">
      <c r="I23746" t="s">
        <v>28300</v>
      </c>
      <c r="J23746" t="s">
        <v>940</v>
      </c>
    </row>
    <row r="23747" spans="9:10" x14ac:dyDescent="0.3">
      <c r="I23747" t="s">
        <v>28301</v>
      </c>
      <c r="J23747" t="s">
        <v>7488</v>
      </c>
    </row>
    <row r="23748" spans="9:10" x14ac:dyDescent="0.3">
      <c r="I23748" t="s">
        <v>28302</v>
      </c>
      <c r="J23748" t="s">
        <v>7489</v>
      </c>
    </row>
    <row r="23749" spans="9:10" x14ac:dyDescent="0.3">
      <c r="I23749" t="s">
        <v>28303</v>
      </c>
      <c r="J23749" t="s">
        <v>7490</v>
      </c>
    </row>
    <row r="23750" spans="9:10" x14ac:dyDescent="0.3">
      <c r="I23750" t="s">
        <v>28303</v>
      </c>
      <c r="J23750" t="s">
        <v>7490</v>
      </c>
    </row>
    <row r="23751" spans="9:10" x14ac:dyDescent="0.3">
      <c r="I23751" t="s">
        <v>28304</v>
      </c>
      <c r="J23751" t="s">
        <v>725</v>
      </c>
    </row>
    <row r="23752" spans="9:10" x14ac:dyDescent="0.3">
      <c r="I23752" t="s">
        <v>28305</v>
      </c>
      <c r="J23752" t="s">
        <v>4821</v>
      </c>
    </row>
    <row r="23753" spans="9:10" x14ac:dyDescent="0.3">
      <c r="I23753" t="s">
        <v>28306</v>
      </c>
      <c r="J23753" t="s">
        <v>4821</v>
      </c>
    </row>
    <row r="23754" spans="9:10" x14ac:dyDescent="0.3">
      <c r="I23754" t="s">
        <v>28307</v>
      </c>
      <c r="J23754" t="s">
        <v>4821</v>
      </c>
    </row>
    <row r="23755" spans="9:10" x14ac:dyDescent="0.3">
      <c r="I23755" t="s">
        <v>28305</v>
      </c>
      <c r="J23755" t="s">
        <v>4821</v>
      </c>
    </row>
    <row r="23756" spans="9:10" x14ac:dyDescent="0.3">
      <c r="I23756" t="s">
        <v>28305</v>
      </c>
      <c r="J23756" t="s">
        <v>4821</v>
      </c>
    </row>
    <row r="23757" spans="9:10" x14ac:dyDescent="0.3">
      <c r="I23757" t="s">
        <v>28308</v>
      </c>
      <c r="J23757" t="s">
        <v>4821</v>
      </c>
    </row>
    <row r="23758" spans="9:10" x14ac:dyDescent="0.3">
      <c r="I23758" t="s">
        <v>28309</v>
      </c>
      <c r="J23758" t="s">
        <v>4821</v>
      </c>
    </row>
    <row r="23759" spans="9:10" x14ac:dyDescent="0.3">
      <c r="I23759" t="s">
        <v>28310</v>
      </c>
      <c r="J23759" t="s">
        <v>177</v>
      </c>
    </row>
    <row r="23760" spans="9:10" x14ac:dyDescent="0.3">
      <c r="I23760" t="s">
        <v>26195</v>
      </c>
      <c r="J23760" t="s">
        <v>6383</v>
      </c>
    </row>
    <row r="23761" spans="9:10" x14ac:dyDescent="0.3">
      <c r="I23761" t="s">
        <v>28311</v>
      </c>
      <c r="J23761" t="s">
        <v>6383</v>
      </c>
    </row>
    <row r="23762" spans="9:10" x14ac:dyDescent="0.3">
      <c r="I23762" t="s">
        <v>26195</v>
      </c>
      <c r="J23762" t="s">
        <v>6383</v>
      </c>
    </row>
    <row r="23763" spans="9:10" x14ac:dyDescent="0.3">
      <c r="I23763" t="s">
        <v>26195</v>
      </c>
      <c r="J23763" t="s">
        <v>6383</v>
      </c>
    </row>
    <row r="23764" spans="9:10" x14ac:dyDescent="0.3">
      <c r="I23764" t="s">
        <v>28312</v>
      </c>
      <c r="J23764" t="s">
        <v>6383</v>
      </c>
    </row>
    <row r="23765" spans="9:10" x14ac:dyDescent="0.3">
      <c r="I23765" t="s">
        <v>28313</v>
      </c>
      <c r="J23765" t="s">
        <v>7491</v>
      </c>
    </row>
    <row r="23766" spans="9:10" x14ac:dyDescent="0.3">
      <c r="I23766" t="s">
        <v>28314</v>
      </c>
      <c r="J23766" t="s">
        <v>7492</v>
      </c>
    </row>
    <row r="23767" spans="9:10" x14ac:dyDescent="0.3">
      <c r="I23767" t="s">
        <v>28315</v>
      </c>
      <c r="J23767" t="s">
        <v>7493</v>
      </c>
    </row>
    <row r="23768" spans="9:10" x14ac:dyDescent="0.3">
      <c r="I23768" t="s">
        <v>28316</v>
      </c>
    </row>
    <row r="23769" spans="9:10" x14ac:dyDescent="0.3">
      <c r="I23769" t="s">
        <v>28316</v>
      </c>
    </row>
    <row r="23770" spans="9:10" x14ac:dyDescent="0.3">
      <c r="I23770" t="s">
        <v>28317</v>
      </c>
    </row>
    <row r="23771" spans="9:10" x14ac:dyDescent="0.3">
      <c r="I23771" t="s">
        <v>28318</v>
      </c>
      <c r="J23771" t="s">
        <v>7494</v>
      </c>
    </row>
    <row r="23772" spans="9:10" x14ac:dyDescent="0.3">
      <c r="I23772" t="s">
        <v>28319</v>
      </c>
      <c r="J23772" t="s">
        <v>7495</v>
      </c>
    </row>
    <row r="23773" spans="9:10" x14ac:dyDescent="0.3">
      <c r="I23773" t="s">
        <v>28320</v>
      </c>
    </row>
    <row r="23774" spans="9:10" x14ac:dyDescent="0.3">
      <c r="I23774" t="s">
        <v>28321</v>
      </c>
      <c r="J23774" t="s">
        <v>7496</v>
      </c>
    </row>
    <row r="23775" spans="9:10" x14ac:dyDescent="0.3">
      <c r="I23775" t="s">
        <v>28322</v>
      </c>
      <c r="J23775" t="s">
        <v>7497</v>
      </c>
    </row>
    <row r="23776" spans="9:10" x14ac:dyDescent="0.3">
      <c r="I23776" t="s">
        <v>28323</v>
      </c>
      <c r="J23776" t="s">
        <v>7498</v>
      </c>
    </row>
    <row r="23777" spans="9:10" x14ac:dyDescent="0.3">
      <c r="I23777" t="s">
        <v>28324</v>
      </c>
      <c r="J23777" t="s">
        <v>7498</v>
      </c>
    </row>
    <row r="23778" spans="9:10" x14ac:dyDescent="0.3">
      <c r="I23778" t="s">
        <v>28325</v>
      </c>
      <c r="J23778" t="s">
        <v>7498</v>
      </c>
    </row>
    <row r="23779" spans="9:10" x14ac:dyDescent="0.3">
      <c r="I23779" t="s">
        <v>28326</v>
      </c>
      <c r="J23779" t="s">
        <v>7498</v>
      </c>
    </row>
    <row r="23780" spans="9:10" x14ac:dyDescent="0.3">
      <c r="I23780" t="s">
        <v>28327</v>
      </c>
      <c r="J23780" t="s">
        <v>7498</v>
      </c>
    </row>
    <row r="23781" spans="9:10" x14ac:dyDescent="0.3">
      <c r="I23781" t="s">
        <v>28328</v>
      </c>
      <c r="J23781" t="s">
        <v>7498</v>
      </c>
    </row>
    <row r="23782" spans="9:10" x14ac:dyDescent="0.3">
      <c r="I23782" t="s">
        <v>28329</v>
      </c>
      <c r="J23782" t="s">
        <v>7498</v>
      </c>
    </row>
    <row r="23783" spans="9:10" x14ac:dyDescent="0.3">
      <c r="I23783" t="s">
        <v>28330</v>
      </c>
      <c r="J23783" t="s">
        <v>7498</v>
      </c>
    </row>
    <row r="23784" spans="9:10" x14ac:dyDescent="0.3">
      <c r="I23784" t="s">
        <v>28331</v>
      </c>
      <c r="J23784" t="s">
        <v>7498</v>
      </c>
    </row>
    <row r="23785" spans="9:10" x14ac:dyDescent="0.3">
      <c r="I23785" t="s">
        <v>28332</v>
      </c>
      <c r="J23785" t="s">
        <v>660</v>
      </c>
    </row>
    <row r="23786" spans="9:10" x14ac:dyDescent="0.3">
      <c r="I23786" t="s">
        <v>28333</v>
      </c>
      <c r="J23786" t="s">
        <v>660</v>
      </c>
    </row>
    <row r="23787" spans="9:10" x14ac:dyDescent="0.3">
      <c r="I23787" t="s">
        <v>28334</v>
      </c>
    </row>
    <row r="23788" spans="9:10" x14ac:dyDescent="0.3">
      <c r="I23788" t="s">
        <v>28335</v>
      </c>
    </row>
    <row r="23789" spans="9:10" x14ac:dyDescent="0.3">
      <c r="I23789" t="s">
        <v>28336</v>
      </c>
      <c r="J23789" t="s">
        <v>7499</v>
      </c>
    </row>
    <row r="23790" spans="9:10" x14ac:dyDescent="0.3">
      <c r="I23790" t="s">
        <v>28337</v>
      </c>
    </row>
    <row r="23791" spans="9:10" x14ac:dyDescent="0.3">
      <c r="I23791" t="s">
        <v>28338</v>
      </c>
    </row>
    <row r="23792" spans="9:10" x14ac:dyDescent="0.3">
      <c r="I23792" t="s">
        <v>28339</v>
      </c>
      <c r="J23792" t="s">
        <v>7500</v>
      </c>
    </row>
    <row r="23793" spans="9:10" x14ac:dyDescent="0.3">
      <c r="I23793" t="s">
        <v>28340</v>
      </c>
      <c r="J23793" t="s">
        <v>7501</v>
      </c>
    </row>
    <row r="23794" spans="9:10" x14ac:dyDescent="0.3">
      <c r="I23794" t="s">
        <v>17728</v>
      </c>
      <c r="J23794" t="s">
        <v>7501</v>
      </c>
    </row>
    <row r="23795" spans="9:10" x14ac:dyDescent="0.3">
      <c r="I23795" t="s">
        <v>28341</v>
      </c>
      <c r="J23795" t="s">
        <v>7502</v>
      </c>
    </row>
    <row r="23796" spans="9:10" x14ac:dyDescent="0.3">
      <c r="I23796" t="s">
        <v>28342</v>
      </c>
      <c r="J23796" t="s">
        <v>1217</v>
      </c>
    </row>
    <row r="23797" spans="9:10" x14ac:dyDescent="0.3">
      <c r="I23797" t="s">
        <v>28343</v>
      </c>
    </row>
    <row r="23798" spans="9:10" x14ac:dyDescent="0.3">
      <c r="I23798" t="s">
        <v>28344</v>
      </c>
    </row>
    <row r="23799" spans="9:10" x14ac:dyDescent="0.3">
      <c r="I23799" t="s">
        <v>28345</v>
      </c>
      <c r="J23799" t="s">
        <v>7503</v>
      </c>
    </row>
    <row r="23800" spans="9:10" x14ac:dyDescent="0.3">
      <c r="I23800" t="s">
        <v>28346</v>
      </c>
      <c r="J23800" t="s">
        <v>7504</v>
      </c>
    </row>
    <row r="23801" spans="9:10" x14ac:dyDescent="0.3">
      <c r="I23801" t="s">
        <v>28347</v>
      </c>
      <c r="J23801" t="s">
        <v>7505</v>
      </c>
    </row>
    <row r="23802" spans="9:10" x14ac:dyDescent="0.3">
      <c r="I23802" t="s">
        <v>28348</v>
      </c>
      <c r="J23802" t="s">
        <v>7506</v>
      </c>
    </row>
    <row r="23803" spans="9:10" x14ac:dyDescent="0.3">
      <c r="I23803" t="s">
        <v>28349</v>
      </c>
      <c r="J23803" t="s">
        <v>3422</v>
      </c>
    </row>
    <row r="23804" spans="9:10" x14ac:dyDescent="0.3">
      <c r="I23804" t="s">
        <v>28350</v>
      </c>
    </row>
    <row r="23805" spans="9:10" x14ac:dyDescent="0.3">
      <c r="I23805" t="s">
        <v>28351</v>
      </c>
      <c r="J23805" t="s">
        <v>7507</v>
      </c>
    </row>
    <row r="23806" spans="9:10" x14ac:dyDescent="0.3">
      <c r="I23806" t="s">
        <v>28352</v>
      </c>
      <c r="J23806" t="s">
        <v>7507</v>
      </c>
    </row>
    <row r="23807" spans="9:10" x14ac:dyDescent="0.3">
      <c r="I23807" t="s">
        <v>28353</v>
      </c>
      <c r="J23807" t="s">
        <v>7508</v>
      </c>
    </row>
    <row r="23808" spans="9:10" x14ac:dyDescent="0.3">
      <c r="I23808" t="s">
        <v>28354</v>
      </c>
    </row>
    <row r="23809" spans="9:10" x14ac:dyDescent="0.3">
      <c r="I23809" t="s">
        <v>28355</v>
      </c>
    </row>
    <row r="23810" spans="9:10" x14ac:dyDescent="0.3">
      <c r="I23810" t="s">
        <v>28356</v>
      </c>
    </row>
    <row r="23811" spans="9:10" x14ac:dyDescent="0.3">
      <c r="I23811" t="s">
        <v>28357</v>
      </c>
    </row>
    <row r="23812" spans="9:10" x14ac:dyDescent="0.3">
      <c r="I23812" t="s">
        <v>28358</v>
      </c>
    </row>
    <row r="23813" spans="9:10" x14ac:dyDescent="0.3">
      <c r="I23813" t="s">
        <v>28359</v>
      </c>
    </row>
    <row r="23814" spans="9:10" x14ac:dyDescent="0.3">
      <c r="I23814" t="s">
        <v>28360</v>
      </c>
      <c r="J23814" t="s">
        <v>7509</v>
      </c>
    </row>
    <row r="23815" spans="9:10" x14ac:dyDescent="0.3">
      <c r="I23815" t="s">
        <v>28361</v>
      </c>
      <c r="J23815" t="s">
        <v>7509</v>
      </c>
    </row>
    <row r="23816" spans="9:10" x14ac:dyDescent="0.3">
      <c r="I23816" t="s">
        <v>28360</v>
      </c>
      <c r="J23816" t="s">
        <v>7509</v>
      </c>
    </row>
    <row r="23817" spans="9:10" x14ac:dyDescent="0.3">
      <c r="I23817" t="s">
        <v>28362</v>
      </c>
      <c r="J23817" t="s">
        <v>7510</v>
      </c>
    </row>
    <row r="23818" spans="9:10" x14ac:dyDescent="0.3">
      <c r="I23818" t="s">
        <v>28363</v>
      </c>
    </row>
    <row r="23819" spans="9:10" x14ac:dyDescent="0.3">
      <c r="I23819" t="s">
        <v>28364</v>
      </c>
    </row>
    <row r="23820" spans="9:10" x14ac:dyDescent="0.3">
      <c r="I23820" t="s">
        <v>28365</v>
      </c>
      <c r="J23820" t="s">
        <v>7511</v>
      </c>
    </row>
    <row r="23821" spans="9:10" x14ac:dyDescent="0.3">
      <c r="I23821" t="s">
        <v>28366</v>
      </c>
      <c r="J23821" t="s">
        <v>7512</v>
      </c>
    </row>
    <row r="23822" spans="9:10" x14ac:dyDescent="0.3">
      <c r="I23822" t="s">
        <v>28367</v>
      </c>
      <c r="J23822" t="s">
        <v>7513</v>
      </c>
    </row>
    <row r="23823" spans="9:10" x14ac:dyDescent="0.3">
      <c r="I23823" t="s">
        <v>28368</v>
      </c>
      <c r="J23823" t="s">
        <v>7514</v>
      </c>
    </row>
    <row r="23824" spans="9:10" x14ac:dyDescent="0.3">
      <c r="I23824" t="s">
        <v>28369</v>
      </c>
      <c r="J23824" t="s">
        <v>7515</v>
      </c>
    </row>
    <row r="23825" spans="9:10" x14ac:dyDescent="0.3">
      <c r="I23825" t="s">
        <v>28370</v>
      </c>
      <c r="J23825" t="s">
        <v>7516</v>
      </c>
    </row>
    <row r="23826" spans="9:10" x14ac:dyDescent="0.3">
      <c r="I23826" t="s">
        <v>28371</v>
      </c>
      <c r="J23826" t="s">
        <v>7517</v>
      </c>
    </row>
    <row r="23827" spans="9:10" x14ac:dyDescent="0.3">
      <c r="I23827" t="s">
        <v>28372</v>
      </c>
      <c r="J23827" t="s">
        <v>7518</v>
      </c>
    </row>
    <row r="23828" spans="9:10" x14ac:dyDescent="0.3">
      <c r="I23828" t="s">
        <v>28373</v>
      </c>
      <c r="J23828" t="s">
        <v>7519</v>
      </c>
    </row>
    <row r="23829" spans="9:10" x14ac:dyDescent="0.3">
      <c r="I23829" t="s">
        <v>28374</v>
      </c>
      <c r="J23829" t="s">
        <v>7520</v>
      </c>
    </row>
    <row r="23830" spans="9:10" x14ac:dyDescent="0.3">
      <c r="I23830" t="s">
        <v>28375</v>
      </c>
      <c r="J23830" t="s">
        <v>7521</v>
      </c>
    </row>
    <row r="23831" spans="9:10" x14ac:dyDescent="0.3">
      <c r="I23831" t="s">
        <v>28376</v>
      </c>
      <c r="J23831" t="s">
        <v>7522</v>
      </c>
    </row>
    <row r="23832" spans="9:10" x14ac:dyDescent="0.3">
      <c r="I23832" t="s">
        <v>28377</v>
      </c>
      <c r="J23832" t="s">
        <v>7522</v>
      </c>
    </row>
    <row r="23833" spans="9:10" x14ac:dyDescent="0.3">
      <c r="I23833" t="s">
        <v>28378</v>
      </c>
      <c r="J23833" t="s">
        <v>7523</v>
      </c>
    </row>
    <row r="23834" spans="9:10" x14ac:dyDescent="0.3">
      <c r="I23834" t="s">
        <v>28379</v>
      </c>
    </row>
    <row r="23835" spans="9:10" x14ac:dyDescent="0.3">
      <c r="I23835" t="s">
        <v>28380</v>
      </c>
    </row>
    <row r="23836" spans="9:10" x14ac:dyDescent="0.3">
      <c r="I23836" t="s">
        <v>28381</v>
      </c>
      <c r="J23836" t="s">
        <v>3121</v>
      </c>
    </row>
    <row r="23837" spans="9:10" x14ac:dyDescent="0.3">
      <c r="I23837" t="s">
        <v>28381</v>
      </c>
      <c r="J23837" t="s">
        <v>3121</v>
      </c>
    </row>
    <row r="23838" spans="9:10" x14ac:dyDescent="0.3">
      <c r="I23838" t="s">
        <v>28382</v>
      </c>
      <c r="J23838" t="s">
        <v>7524</v>
      </c>
    </row>
    <row r="23839" spans="9:10" x14ac:dyDescent="0.3">
      <c r="I23839" t="s">
        <v>28383</v>
      </c>
    </row>
    <row r="23840" spans="9:10" x14ac:dyDescent="0.3">
      <c r="I23840" t="s">
        <v>28384</v>
      </c>
    </row>
    <row r="23841" spans="9:10" x14ac:dyDescent="0.3">
      <c r="I23841" t="s">
        <v>28385</v>
      </c>
    </row>
    <row r="23842" spans="9:10" x14ac:dyDescent="0.3">
      <c r="I23842" t="s">
        <v>28386</v>
      </c>
      <c r="J23842" t="s">
        <v>7525</v>
      </c>
    </row>
    <row r="23843" spans="9:10" x14ac:dyDescent="0.3">
      <c r="I23843" t="s">
        <v>28387</v>
      </c>
      <c r="J23843" t="s">
        <v>7526</v>
      </c>
    </row>
    <row r="23844" spans="9:10" x14ac:dyDescent="0.3">
      <c r="I23844" t="s">
        <v>28388</v>
      </c>
      <c r="J23844" t="s">
        <v>7526</v>
      </c>
    </row>
    <row r="23845" spans="9:10" x14ac:dyDescent="0.3">
      <c r="I23845" t="s">
        <v>28388</v>
      </c>
      <c r="J23845" t="s">
        <v>7526</v>
      </c>
    </row>
    <row r="23846" spans="9:10" x14ac:dyDescent="0.3">
      <c r="I23846" t="s">
        <v>28389</v>
      </c>
    </row>
    <row r="23847" spans="9:10" x14ac:dyDescent="0.3">
      <c r="I23847" t="s">
        <v>28390</v>
      </c>
    </row>
    <row r="23848" spans="9:10" x14ac:dyDescent="0.3">
      <c r="I23848" t="s">
        <v>26125</v>
      </c>
      <c r="J23848" t="s">
        <v>7527</v>
      </c>
    </row>
    <row r="23849" spans="9:10" x14ac:dyDescent="0.3">
      <c r="I23849" t="s">
        <v>28391</v>
      </c>
      <c r="J23849" t="s">
        <v>7528</v>
      </c>
    </row>
    <row r="23850" spans="9:10" x14ac:dyDescent="0.3">
      <c r="I23850" t="s">
        <v>28392</v>
      </c>
    </row>
    <row r="23851" spans="9:10" x14ac:dyDescent="0.3">
      <c r="I23851" t="s">
        <v>28393</v>
      </c>
    </row>
    <row r="23852" spans="9:10" x14ac:dyDescent="0.3">
      <c r="I23852" t="s">
        <v>28394</v>
      </c>
    </row>
    <row r="23853" spans="9:10" x14ac:dyDescent="0.3">
      <c r="I23853" t="s">
        <v>28395</v>
      </c>
    </row>
    <row r="23854" spans="9:10" x14ac:dyDescent="0.3">
      <c r="I23854" t="s">
        <v>28396</v>
      </c>
    </row>
    <row r="23855" spans="9:10" x14ac:dyDescent="0.3">
      <c r="I23855" t="s">
        <v>28397</v>
      </c>
    </row>
    <row r="23856" spans="9:10" x14ac:dyDescent="0.3">
      <c r="I23856" t="s">
        <v>28398</v>
      </c>
    </row>
    <row r="23857" spans="9:10" x14ac:dyDescent="0.3">
      <c r="I23857" t="s">
        <v>28399</v>
      </c>
    </row>
    <row r="23858" spans="9:10" x14ac:dyDescent="0.3">
      <c r="I23858" t="s">
        <v>28400</v>
      </c>
      <c r="J23858" t="s">
        <v>5878</v>
      </c>
    </row>
    <row r="23859" spans="9:10" x14ac:dyDescent="0.3">
      <c r="I23859" t="s">
        <v>28400</v>
      </c>
      <c r="J23859" t="s">
        <v>5878</v>
      </c>
    </row>
    <row r="23860" spans="9:10" x14ac:dyDescent="0.3">
      <c r="I23860" t="s">
        <v>28401</v>
      </c>
      <c r="J23860" t="s">
        <v>7529</v>
      </c>
    </row>
    <row r="23861" spans="9:10" x14ac:dyDescent="0.3">
      <c r="I23861" t="s">
        <v>28401</v>
      </c>
      <c r="J23861" t="s">
        <v>7529</v>
      </c>
    </row>
    <row r="23862" spans="9:10" x14ac:dyDescent="0.3">
      <c r="I23862" t="s">
        <v>28402</v>
      </c>
      <c r="J23862" t="s">
        <v>7529</v>
      </c>
    </row>
    <row r="23863" spans="9:10" x14ac:dyDescent="0.3">
      <c r="I23863" t="s">
        <v>28401</v>
      </c>
      <c r="J23863" t="s">
        <v>7529</v>
      </c>
    </row>
    <row r="23864" spans="9:10" x14ac:dyDescent="0.3">
      <c r="I23864" t="s">
        <v>28403</v>
      </c>
      <c r="J23864" t="s">
        <v>7530</v>
      </c>
    </row>
    <row r="23865" spans="9:10" x14ac:dyDescent="0.3">
      <c r="I23865" t="s">
        <v>28404</v>
      </c>
      <c r="J23865" t="s">
        <v>7530</v>
      </c>
    </row>
    <row r="23866" spans="9:10" x14ac:dyDescent="0.3">
      <c r="I23866" t="s">
        <v>28405</v>
      </c>
      <c r="J23866" t="s">
        <v>7531</v>
      </c>
    </row>
    <row r="23867" spans="9:10" x14ac:dyDescent="0.3">
      <c r="I23867" t="s">
        <v>28406</v>
      </c>
      <c r="J23867" t="s">
        <v>7532</v>
      </c>
    </row>
    <row r="23868" spans="9:10" x14ac:dyDescent="0.3">
      <c r="I23868" t="s">
        <v>28407</v>
      </c>
    </row>
    <row r="23869" spans="9:10" x14ac:dyDescent="0.3">
      <c r="I23869" t="s">
        <v>28408</v>
      </c>
      <c r="J23869" t="s">
        <v>7533</v>
      </c>
    </row>
    <row r="23870" spans="9:10" x14ac:dyDescent="0.3">
      <c r="I23870" t="s">
        <v>28409</v>
      </c>
      <c r="J23870" t="s">
        <v>7534</v>
      </c>
    </row>
    <row r="23871" spans="9:10" x14ac:dyDescent="0.3">
      <c r="I23871" t="s">
        <v>28409</v>
      </c>
      <c r="J23871" t="s">
        <v>7534</v>
      </c>
    </row>
    <row r="23872" spans="9:10" x14ac:dyDescent="0.3">
      <c r="I23872" t="s">
        <v>28410</v>
      </c>
      <c r="J23872" t="s">
        <v>7535</v>
      </c>
    </row>
    <row r="23873" spans="9:10" x14ac:dyDescent="0.3">
      <c r="I23873" t="s">
        <v>28411</v>
      </c>
    </row>
    <row r="23874" spans="9:10" x14ac:dyDescent="0.3">
      <c r="I23874" t="s">
        <v>28412</v>
      </c>
      <c r="J23874" t="s">
        <v>7536</v>
      </c>
    </row>
    <row r="23875" spans="9:10" x14ac:dyDescent="0.3">
      <c r="I23875" t="s">
        <v>28413</v>
      </c>
      <c r="J23875" t="s">
        <v>7537</v>
      </c>
    </row>
    <row r="23876" spans="9:10" x14ac:dyDescent="0.3">
      <c r="I23876" t="s">
        <v>28414</v>
      </c>
      <c r="J23876" t="s">
        <v>7538</v>
      </c>
    </row>
    <row r="23877" spans="9:10" x14ac:dyDescent="0.3">
      <c r="I23877" t="s">
        <v>28414</v>
      </c>
      <c r="J23877" t="s">
        <v>7538</v>
      </c>
    </row>
    <row r="23878" spans="9:10" x14ac:dyDescent="0.3">
      <c r="I23878" t="s">
        <v>28415</v>
      </c>
      <c r="J23878">
        <v>0</v>
      </c>
    </row>
    <row r="23879" spans="9:10" x14ac:dyDescent="0.3">
      <c r="I23879" t="s">
        <v>28416</v>
      </c>
    </row>
    <row r="23880" spans="9:10" x14ac:dyDescent="0.3">
      <c r="I23880" t="s">
        <v>28417</v>
      </c>
      <c r="J23880" t="s">
        <v>7539</v>
      </c>
    </row>
    <row r="23881" spans="9:10" x14ac:dyDescent="0.3">
      <c r="I23881" t="s">
        <v>28418</v>
      </c>
      <c r="J23881" t="s">
        <v>7540</v>
      </c>
    </row>
    <row r="23882" spans="9:10" x14ac:dyDescent="0.3">
      <c r="I23882" t="s">
        <v>28419</v>
      </c>
    </row>
    <row r="23883" spans="9:10" x14ac:dyDescent="0.3">
      <c r="I23883" t="s">
        <v>28420</v>
      </c>
    </row>
    <row r="23884" spans="9:10" x14ac:dyDescent="0.3">
      <c r="I23884" t="s">
        <v>28421</v>
      </c>
      <c r="J23884" t="s">
        <v>7541</v>
      </c>
    </row>
    <row r="23885" spans="9:10" x14ac:dyDescent="0.3">
      <c r="I23885" t="s">
        <v>28422</v>
      </c>
      <c r="J23885" t="s">
        <v>616</v>
      </c>
    </row>
    <row r="23886" spans="9:10" x14ac:dyDescent="0.3">
      <c r="I23886" t="s">
        <v>28423</v>
      </c>
      <c r="J23886" t="s">
        <v>616</v>
      </c>
    </row>
    <row r="23887" spans="9:10" x14ac:dyDescent="0.3">
      <c r="I23887" t="s">
        <v>28424</v>
      </c>
      <c r="J23887" t="s">
        <v>7542</v>
      </c>
    </row>
    <row r="23888" spans="9:10" x14ac:dyDescent="0.3">
      <c r="I23888" t="s">
        <v>28425</v>
      </c>
      <c r="J23888" t="s">
        <v>7542</v>
      </c>
    </row>
    <row r="23889" spans="9:10" x14ac:dyDescent="0.3">
      <c r="I23889" t="s">
        <v>28426</v>
      </c>
      <c r="J23889" t="s">
        <v>7543</v>
      </c>
    </row>
    <row r="23890" spans="9:10" x14ac:dyDescent="0.3">
      <c r="I23890" t="s">
        <v>28427</v>
      </c>
      <c r="J23890" t="s">
        <v>7544</v>
      </c>
    </row>
    <row r="23891" spans="9:10" x14ac:dyDescent="0.3">
      <c r="I23891" t="s">
        <v>28428</v>
      </c>
      <c r="J23891" t="s">
        <v>7545</v>
      </c>
    </row>
    <row r="23892" spans="9:10" x14ac:dyDescent="0.3">
      <c r="I23892" t="s">
        <v>28429</v>
      </c>
      <c r="J23892" t="s">
        <v>407</v>
      </c>
    </row>
    <row r="23893" spans="9:10" x14ac:dyDescent="0.3">
      <c r="I23893" t="s">
        <v>28430</v>
      </c>
    </row>
    <row r="23894" spans="9:10" x14ac:dyDescent="0.3">
      <c r="I23894" t="s">
        <v>28431</v>
      </c>
    </row>
    <row r="23895" spans="9:10" x14ac:dyDescent="0.3">
      <c r="I23895" t="s">
        <v>28432</v>
      </c>
      <c r="J23895" t="s">
        <v>7546</v>
      </c>
    </row>
    <row r="23896" spans="9:10" x14ac:dyDescent="0.3">
      <c r="I23896" t="s">
        <v>28433</v>
      </c>
    </row>
    <row r="23897" spans="9:10" x14ac:dyDescent="0.3">
      <c r="I23897" t="s">
        <v>28434</v>
      </c>
      <c r="J23897" t="s">
        <v>7547</v>
      </c>
    </row>
    <row r="23898" spans="9:10" x14ac:dyDescent="0.3">
      <c r="I23898" t="s">
        <v>28435</v>
      </c>
      <c r="J23898" t="s">
        <v>7548</v>
      </c>
    </row>
    <row r="23899" spans="9:10" x14ac:dyDescent="0.3">
      <c r="I23899" t="s">
        <v>28436</v>
      </c>
      <c r="J23899" t="s">
        <v>7549</v>
      </c>
    </row>
    <row r="23900" spans="9:10" x14ac:dyDescent="0.3">
      <c r="I23900" t="s">
        <v>28437</v>
      </c>
      <c r="J23900" t="s">
        <v>7550</v>
      </c>
    </row>
    <row r="23901" spans="9:10" x14ac:dyDescent="0.3">
      <c r="I23901" t="s">
        <v>28438</v>
      </c>
      <c r="J23901" t="s">
        <v>7550</v>
      </c>
    </row>
    <row r="23902" spans="9:10" x14ac:dyDescent="0.3">
      <c r="I23902" t="s">
        <v>28439</v>
      </c>
      <c r="J23902" t="s">
        <v>7551</v>
      </c>
    </row>
    <row r="23903" spans="9:10" x14ac:dyDescent="0.3">
      <c r="I23903" t="s">
        <v>28440</v>
      </c>
      <c r="J23903" t="s">
        <v>7552</v>
      </c>
    </row>
    <row r="23904" spans="9:10" x14ac:dyDescent="0.3">
      <c r="I23904" t="s">
        <v>28441</v>
      </c>
      <c r="J23904" t="s">
        <v>7553</v>
      </c>
    </row>
    <row r="23905" spans="9:10" x14ac:dyDescent="0.3">
      <c r="I23905" t="s">
        <v>28442</v>
      </c>
      <c r="J23905" t="s">
        <v>7554</v>
      </c>
    </row>
    <row r="23906" spans="9:10" x14ac:dyDescent="0.3">
      <c r="I23906" t="s">
        <v>28443</v>
      </c>
      <c r="J23906" t="s">
        <v>584</v>
      </c>
    </row>
    <row r="23907" spans="9:10" x14ac:dyDescent="0.3">
      <c r="I23907" t="s">
        <v>28444</v>
      </c>
    </row>
    <row r="23908" spans="9:10" x14ac:dyDescent="0.3">
      <c r="I23908" t="s">
        <v>28445</v>
      </c>
      <c r="J23908" t="s">
        <v>7555</v>
      </c>
    </row>
    <row r="23909" spans="9:10" x14ac:dyDescent="0.3">
      <c r="I23909" t="s">
        <v>28446</v>
      </c>
    </row>
    <row r="23910" spans="9:10" x14ac:dyDescent="0.3">
      <c r="I23910" t="s">
        <v>28447</v>
      </c>
    </row>
    <row r="23911" spans="9:10" x14ac:dyDescent="0.3">
      <c r="I23911" t="s">
        <v>28448</v>
      </c>
    </row>
    <row r="23912" spans="9:10" x14ac:dyDescent="0.3">
      <c r="I23912" t="s">
        <v>28449</v>
      </c>
      <c r="J23912" t="s">
        <v>7556</v>
      </c>
    </row>
    <row r="23913" spans="9:10" x14ac:dyDescent="0.3">
      <c r="I23913" t="s">
        <v>28450</v>
      </c>
    </row>
    <row r="23914" spans="9:10" x14ac:dyDescent="0.3">
      <c r="I23914" t="s">
        <v>28451</v>
      </c>
    </row>
    <row r="23915" spans="9:10" x14ac:dyDescent="0.3">
      <c r="I23915" t="s">
        <v>28452</v>
      </c>
      <c r="J23915" t="s">
        <v>7557</v>
      </c>
    </row>
    <row r="23916" spans="9:10" x14ac:dyDescent="0.3">
      <c r="I23916" t="s">
        <v>28453</v>
      </c>
      <c r="J23916" t="s">
        <v>7558</v>
      </c>
    </row>
    <row r="23917" spans="9:10" x14ac:dyDescent="0.3">
      <c r="I23917" t="s">
        <v>28454</v>
      </c>
      <c r="J23917" t="s">
        <v>7559</v>
      </c>
    </row>
    <row r="23918" spans="9:10" x14ac:dyDescent="0.3">
      <c r="I23918" t="s">
        <v>28455</v>
      </c>
      <c r="J23918" t="s">
        <v>7560</v>
      </c>
    </row>
    <row r="23919" spans="9:10" x14ac:dyDescent="0.3">
      <c r="I23919" t="s">
        <v>28456</v>
      </c>
      <c r="J23919" t="s">
        <v>7560</v>
      </c>
    </row>
    <row r="23920" spans="9:10" x14ac:dyDescent="0.3">
      <c r="I23920" t="s">
        <v>28457</v>
      </c>
      <c r="J23920" t="s">
        <v>7561</v>
      </c>
    </row>
    <row r="23921" spans="9:10" x14ac:dyDescent="0.3">
      <c r="I23921" t="s">
        <v>28458</v>
      </c>
      <c r="J23921" t="s">
        <v>7562</v>
      </c>
    </row>
    <row r="23922" spans="9:10" x14ac:dyDescent="0.3">
      <c r="I23922" t="s">
        <v>28459</v>
      </c>
      <c r="J23922" t="s">
        <v>7563</v>
      </c>
    </row>
    <row r="23923" spans="9:10" x14ac:dyDescent="0.3">
      <c r="I23923" t="s">
        <v>28460</v>
      </c>
      <c r="J23923" t="s">
        <v>7563</v>
      </c>
    </row>
    <row r="23924" spans="9:10" x14ac:dyDescent="0.3">
      <c r="I23924" t="s">
        <v>28461</v>
      </c>
      <c r="J23924" t="s">
        <v>7564</v>
      </c>
    </row>
    <row r="23925" spans="9:10" x14ac:dyDescent="0.3">
      <c r="I23925" t="s">
        <v>28462</v>
      </c>
    </row>
    <row r="23926" spans="9:10" x14ac:dyDescent="0.3">
      <c r="I23926" t="s">
        <v>28463</v>
      </c>
    </row>
    <row r="23927" spans="9:10" x14ac:dyDescent="0.3">
      <c r="I23927" t="s">
        <v>28464</v>
      </c>
      <c r="J23927" t="s">
        <v>7565</v>
      </c>
    </row>
    <row r="23928" spans="9:10" x14ac:dyDescent="0.3">
      <c r="I23928" t="s">
        <v>28465</v>
      </c>
    </row>
    <row r="23929" spans="9:10" x14ac:dyDescent="0.3">
      <c r="I23929" t="s">
        <v>28466</v>
      </c>
      <c r="J23929" t="s">
        <v>7566</v>
      </c>
    </row>
    <row r="23930" spans="9:10" x14ac:dyDescent="0.3">
      <c r="I23930" t="s">
        <v>28467</v>
      </c>
    </row>
    <row r="23931" spans="9:10" x14ac:dyDescent="0.3">
      <c r="I23931" t="s">
        <v>28468</v>
      </c>
    </row>
    <row r="23932" spans="9:10" x14ac:dyDescent="0.3">
      <c r="I23932" t="s">
        <v>28469</v>
      </c>
    </row>
    <row r="23933" spans="9:10" x14ac:dyDescent="0.3">
      <c r="I23933" t="s">
        <v>28470</v>
      </c>
    </row>
    <row r="23934" spans="9:10" x14ac:dyDescent="0.3">
      <c r="I23934" t="s">
        <v>28471</v>
      </c>
    </row>
    <row r="23935" spans="9:10" x14ac:dyDescent="0.3">
      <c r="I23935" t="s">
        <v>28472</v>
      </c>
    </row>
    <row r="23936" spans="9:10" x14ac:dyDescent="0.3">
      <c r="I23936" t="s">
        <v>28473</v>
      </c>
    </row>
    <row r="23937" spans="9:10" x14ac:dyDescent="0.3">
      <c r="I23937" t="s">
        <v>28474</v>
      </c>
      <c r="J23937" t="s">
        <v>7567</v>
      </c>
    </row>
    <row r="23938" spans="9:10" x14ac:dyDescent="0.3">
      <c r="I23938" t="s">
        <v>28475</v>
      </c>
      <c r="J23938" t="s">
        <v>7568</v>
      </c>
    </row>
    <row r="23939" spans="9:10" x14ac:dyDescent="0.3">
      <c r="I23939" t="s">
        <v>28476</v>
      </c>
      <c r="J23939" t="s">
        <v>7569</v>
      </c>
    </row>
    <row r="23940" spans="9:10" x14ac:dyDescent="0.3">
      <c r="I23940" t="s">
        <v>28477</v>
      </c>
    </row>
    <row r="23941" spans="9:10" x14ac:dyDescent="0.3">
      <c r="I23941" t="s">
        <v>28478</v>
      </c>
    </row>
    <row r="23942" spans="9:10" x14ac:dyDescent="0.3">
      <c r="I23942" t="s">
        <v>28479</v>
      </c>
    </row>
    <row r="23943" spans="9:10" x14ac:dyDescent="0.3">
      <c r="I23943" t="s">
        <v>28480</v>
      </c>
    </row>
    <row r="23944" spans="9:10" x14ac:dyDescent="0.3">
      <c r="I23944" t="s">
        <v>28481</v>
      </c>
      <c r="J23944" t="s">
        <v>7570</v>
      </c>
    </row>
    <row r="23945" spans="9:10" x14ac:dyDescent="0.3">
      <c r="I23945" t="s">
        <v>28482</v>
      </c>
    </row>
    <row r="23946" spans="9:10" x14ac:dyDescent="0.3">
      <c r="I23946" t="s">
        <v>28483</v>
      </c>
    </row>
    <row r="23947" spans="9:10" x14ac:dyDescent="0.3">
      <c r="I23947" t="s">
        <v>28484</v>
      </c>
      <c r="J23947" t="s">
        <v>7571</v>
      </c>
    </row>
    <row r="23948" spans="9:10" x14ac:dyDescent="0.3">
      <c r="I23948" t="s">
        <v>28485</v>
      </c>
      <c r="J23948" t="s">
        <v>7572</v>
      </c>
    </row>
    <row r="23949" spans="9:10" x14ac:dyDescent="0.3">
      <c r="I23949" t="s">
        <v>28485</v>
      </c>
      <c r="J23949" t="s">
        <v>7572</v>
      </c>
    </row>
    <row r="23950" spans="9:10" x14ac:dyDescent="0.3">
      <c r="I23950" t="s">
        <v>28485</v>
      </c>
      <c r="J23950" t="s">
        <v>7572</v>
      </c>
    </row>
    <row r="23951" spans="9:10" x14ac:dyDescent="0.3">
      <c r="I23951" t="s">
        <v>28486</v>
      </c>
      <c r="J23951" t="s">
        <v>7573</v>
      </c>
    </row>
    <row r="23952" spans="9:10" x14ac:dyDescent="0.3">
      <c r="I23952" t="s">
        <v>28486</v>
      </c>
      <c r="J23952" t="s">
        <v>7573</v>
      </c>
    </row>
    <row r="23953" spans="9:10" x14ac:dyDescent="0.3">
      <c r="I23953" t="s">
        <v>28486</v>
      </c>
      <c r="J23953" t="s">
        <v>7573</v>
      </c>
    </row>
    <row r="23954" spans="9:10" x14ac:dyDescent="0.3">
      <c r="I23954" t="s">
        <v>28487</v>
      </c>
    </row>
    <row r="23955" spans="9:10" x14ac:dyDescent="0.3">
      <c r="I23955" t="s">
        <v>28488</v>
      </c>
      <c r="J23955" t="s">
        <v>7574</v>
      </c>
    </row>
    <row r="23956" spans="9:10" x14ac:dyDescent="0.3">
      <c r="I23956" t="s">
        <v>28489</v>
      </c>
      <c r="J23956" t="s">
        <v>7575</v>
      </c>
    </row>
    <row r="23957" spans="9:10" x14ac:dyDescent="0.3">
      <c r="I23957" t="s">
        <v>28490</v>
      </c>
      <c r="J23957" t="s">
        <v>7576</v>
      </c>
    </row>
    <row r="23958" spans="9:10" x14ac:dyDescent="0.3">
      <c r="I23958" t="s">
        <v>28491</v>
      </c>
      <c r="J23958" t="s">
        <v>7577</v>
      </c>
    </row>
    <row r="23959" spans="9:10" x14ac:dyDescent="0.3">
      <c r="I23959" t="s">
        <v>28492</v>
      </c>
      <c r="J23959" t="s">
        <v>7578</v>
      </c>
    </row>
    <row r="23960" spans="9:10" x14ac:dyDescent="0.3">
      <c r="I23960" t="s">
        <v>28493</v>
      </c>
      <c r="J23960" t="s">
        <v>7579</v>
      </c>
    </row>
    <row r="23961" spans="9:10" x14ac:dyDescent="0.3">
      <c r="I23961" t="s">
        <v>28494</v>
      </c>
      <c r="J23961" t="s">
        <v>7580</v>
      </c>
    </row>
    <row r="23962" spans="9:10" x14ac:dyDescent="0.3">
      <c r="I23962" t="s">
        <v>28495</v>
      </c>
      <c r="J23962" t="s">
        <v>7581</v>
      </c>
    </row>
    <row r="23963" spans="9:10" x14ac:dyDescent="0.3">
      <c r="I23963" t="s">
        <v>28496</v>
      </c>
      <c r="J23963" t="s">
        <v>7582</v>
      </c>
    </row>
    <row r="23964" spans="9:10" x14ac:dyDescent="0.3">
      <c r="I23964" t="s">
        <v>28497</v>
      </c>
      <c r="J23964" t="s">
        <v>7583</v>
      </c>
    </row>
    <row r="23965" spans="9:10" x14ac:dyDescent="0.3">
      <c r="I23965" t="s">
        <v>28498</v>
      </c>
      <c r="J23965" t="s">
        <v>7584</v>
      </c>
    </row>
    <row r="23966" spans="9:10" x14ac:dyDescent="0.3">
      <c r="I23966" t="s">
        <v>28499</v>
      </c>
      <c r="J23966" t="s">
        <v>7584</v>
      </c>
    </row>
    <row r="23967" spans="9:10" x14ac:dyDescent="0.3">
      <c r="I23967" t="s">
        <v>28500</v>
      </c>
    </row>
    <row r="23968" spans="9:10" x14ac:dyDescent="0.3">
      <c r="I23968" t="s">
        <v>28501</v>
      </c>
      <c r="J23968" t="s">
        <v>7585</v>
      </c>
    </row>
    <row r="23969" spans="9:10" x14ac:dyDescent="0.3">
      <c r="I23969" t="s">
        <v>28502</v>
      </c>
      <c r="J23969" t="s">
        <v>7586</v>
      </c>
    </row>
    <row r="23970" spans="9:10" x14ac:dyDescent="0.3">
      <c r="I23970" t="s">
        <v>28503</v>
      </c>
      <c r="J23970" t="s">
        <v>7587</v>
      </c>
    </row>
    <row r="23971" spans="9:10" x14ac:dyDescent="0.3">
      <c r="I23971" t="s">
        <v>28504</v>
      </c>
      <c r="J23971" t="s">
        <v>7588</v>
      </c>
    </row>
    <row r="23972" spans="9:10" x14ac:dyDescent="0.3">
      <c r="I23972" t="s">
        <v>28505</v>
      </c>
      <c r="J23972" t="s">
        <v>7589</v>
      </c>
    </row>
    <row r="23973" spans="9:10" x14ac:dyDescent="0.3">
      <c r="I23973" t="s">
        <v>28506</v>
      </c>
      <c r="J23973" t="s">
        <v>7589</v>
      </c>
    </row>
    <row r="23974" spans="9:10" x14ac:dyDescent="0.3">
      <c r="I23974" t="s">
        <v>28507</v>
      </c>
      <c r="J23974" t="s">
        <v>7590</v>
      </c>
    </row>
    <row r="23975" spans="9:10" x14ac:dyDescent="0.3">
      <c r="I23975" t="s">
        <v>28508</v>
      </c>
    </row>
    <row r="23976" spans="9:10" x14ac:dyDescent="0.3">
      <c r="I23976" t="s">
        <v>28509</v>
      </c>
      <c r="J23976" t="s">
        <v>7591</v>
      </c>
    </row>
    <row r="23977" spans="9:10" x14ac:dyDescent="0.3">
      <c r="I23977" t="s">
        <v>28510</v>
      </c>
    </row>
    <row r="23978" spans="9:10" x14ac:dyDescent="0.3">
      <c r="I23978" t="s">
        <v>28511</v>
      </c>
    </row>
    <row r="23979" spans="9:10" x14ac:dyDescent="0.3">
      <c r="I23979" t="s">
        <v>28512</v>
      </c>
    </row>
    <row r="23980" spans="9:10" x14ac:dyDescent="0.3">
      <c r="I23980" t="s">
        <v>28513</v>
      </c>
    </row>
    <row r="23981" spans="9:10" x14ac:dyDescent="0.3">
      <c r="I23981" t="s">
        <v>28514</v>
      </c>
      <c r="J23981" t="s">
        <v>7592</v>
      </c>
    </row>
    <row r="23982" spans="9:10" x14ac:dyDescent="0.3">
      <c r="I23982" t="s">
        <v>28515</v>
      </c>
      <c r="J23982" t="s">
        <v>7593</v>
      </c>
    </row>
    <row r="23983" spans="9:10" x14ac:dyDescent="0.3">
      <c r="I23983" t="s">
        <v>28516</v>
      </c>
    </row>
    <row r="23984" spans="9:10" x14ac:dyDescent="0.3">
      <c r="I23984" t="s">
        <v>28517</v>
      </c>
    </row>
    <row r="23985" spans="9:10" x14ac:dyDescent="0.3">
      <c r="I23985" t="s">
        <v>28518</v>
      </c>
    </row>
    <row r="23986" spans="9:10" x14ac:dyDescent="0.3">
      <c r="I23986" t="s">
        <v>355</v>
      </c>
      <c r="J23986" t="s">
        <v>356</v>
      </c>
    </row>
    <row r="23987" spans="9:10" x14ac:dyDescent="0.3">
      <c r="I23987" t="s">
        <v>28519</v>
      </c>
      <c r="J23987" t="s">
        <v>356</v>
      </c>
    </row>
    <row r="23988" spans="9:10" x14ac:dyDescent="0.3">
      <c r="I23988" t="s">
        <v>28519</v>
      </c>
      <c r="J23988" t="s">
        <v>356</v>
      </c>
    </row>
    <row r="23989" spans="9:10" x14ac:dyDescent="0.3">
      <c r="I23989" t="s">
        <v>28519</v>
      </c>
      <c r="J23989" t="s">
        <v>356</v>
      </c>
    </row>
    <row r="23990" spans="9:10" x14ac:dyDescent="0.3">
      <c r="I23990" t="s">
        <v>28520</v>
      </c>
      <c r="J23990" t="s">
        <v>7594</v>
      </c>
    </row>
    <row r="23991" spans="9:10" x14ac:dyDescent="0.3">
      <c r="I23991" t="s">
        <v>28521</v>
      </c>
      <c r="J23991" t="s">
        <v>7595</v>
      </c>
    </row>
    <row r="23992" spans="9:10" x14ac:dyDescent="0.3">
      <c r="I23992" t="s">
        <v>28522</v>
      </c>
      <c r="J23992" t="s">
        <v>7596</v>
      </c>
    </row>
    <row r="23993" spans="9:10" x14ac:dyDescent="0.3">
      <c r="I23993" t="s">
        <v>28523</v>
      </c>
      <c r="J23993" t="s">
        <v>7596</v>
      </c>
    </row>
    <row r="23994" spans="9:10" x14ac:dyDescent="0.3">
      <c r="I23994" t="s">
        <v>28524</v>
      </c>
    </row>
    <row r="23995" spans="9:10" x14ac:dyDescent="0.3">
      <c r="I23995" t="s">
        <v>28525</v>
      </c>
      <c r="J23995" t="s">
        <v>7597</v>
      </c>
    </row>
    <row r="23996" spans="9:10" x14ac:dyDescent="0.3">
      <c r="I23996" t="s">
        <v>28526</v>
      </c>
    </row>
    <row r="23997" spans="9:10" x14ac:dyDescent="0.3">
      <c r="I23997" t="s">
        <v>28527</v>
      </c>
    </row>
    <row r="23998" spans="9:10" x14ac:dyDescent="0.3">
      <c r="I23998" t="s">
        <v>28528</v>
      </c>
      <c r="J23998" t="s">
        <v>7598</v>
      </c>
    </row>
    <row r="23999" spans="9:10" x14ac:dyDescent="0.3">
      <c r="I23999" t="s">
        <v>28529</v>
      </c>
      <c r="J23999" t="s">
        <v>7599</v>
      </c>
    </row>
    <row r="24000" spans="9:10" x14ac:dyDescent="0.3">
      <c r="I24000" t="s">
        <v>28530</v>
      </c>
      <c r="J24000" t="s">
        <v>7600</v>
      </c>
    </row>
    <row r="24001" spans="9:10" x14ac:dyDescent="0.3">
      <c r="I24001" t="s">
        <v>28531</v>
      </c>
      <c r="J24001" t="s">
        <v>7601</v>
      </c>
    </row>
    <row r="24002" spans="9:10" x14ac:dyDescent="0.3">
      <c r="I24002" t="s">
        <v>28532</v>
      </c>
      <c r="J24002" t="s">
        <v>7602</v>
      </c>
    </row>
    <row r="24003" spans="9:10" x14ac:dyDescent="0.3">
      <c r="I24003" t="s">
        <v>28533</v>
      </c>
      <c r="J24003" t="s">
        <v>7603</v>
      </c>
    </row>
    <row r="24004" spans="9:10" x14ac:dyDescent="0.3">
      <c r="I24004" t="s">
        <v>28534</v>
      </c>
      <c r="J24004" t="s">
        <v>7604</v>
      </c>
    </row>
    <row r="24005" spans="9:10" x14ac:dyDescent="0.3">
      <c r="I24005" t="s">
        <v>28535</v>
      </c>
    </row>
    <row r="24006" spans="9:10" x14ac:dyDescent="0.3">
      <c r="I24006" t="s">
        <v>28536</v>
      </c>
    </row>
    <row r="24007" spans="9:10" x14ac:dyDescent="0.3">
      <c r="I24007" t="s">
        <v>28537</v>
      </c>
      <c r="J24007" t="s">
        <v>7605</v>
      </c>
    </row>
    <row r="24008" spans="9:10" x14ac:dyDescent="0.3">
      <c r="I24008" t="s">
        <v>28538</v>
      </c>
      <c r="J24008" t="s">
        <v>7606</v>
      </c>
    </row>
    <row r="24009" spans="9:10" x14ac:dyDescent="0.3">
      <c r="I24009" t="s">
        <v>28539</v>
      </c>
      <c r="J24009" t="s">
        <v>7607</v>
      </c>
    </row>
    <row r="24010" spans="9:10" x14ac:dyDescent="0.3">
      <c r="I24010" t="s">
        <v>28540</v>
      </c>
      <c r="J24010" t="s">
        <v>7608</v>
      </c>
    </row>
    <row r="24011" spans="9:10" x14ac:dyDescent="0.3">
      <c r="I24011" t="s">
        <v>28541</v>
      </c>
      <c r="J24011" t="s">
        <v>7609</v>
      </c>
    </row>
    <row r="24012" spans="9:10" x14ac:dyDescent="0.3">
      <c r="I24012" t="s">
        <v>28542</v>
      </c>
      <c r="J24012" t="s">
        <v>7610</v>
      </c>
    </row>
    <row r="24013" spans="9:10" x14ac:dyDescent="0.3">
      <c r="I24013" t="s">
        <v>28543</v>
      </c>
    </row>
    <row r="24014" spans="9:10" x14ac:dyDescent="0.3">
      <c r="I24014" t="s">
        <v>28544</v>
      </c>
    </row>
    <row r="24015" spans="9:10" x14ac:dyDescent="0.3">
      <c r="I24015" t="s">
        <v>28545</v>
      </c>
    </row>
    <row r="24016" spans="9:10" x14ac:dyDescent="0.3">
      <c r="I24016" t="s">
        <v>28546</v>
      </c>
      <c r="J24016" t="s">
        <v>7611</v>
      </c>
    </row>
    <row r="24017" spans="9:10" x14ac:dyDescent="0.3">
      <c r="I24017" t="s">
        <v>28547</v>
      </c>
    </row>
    <row r="24018" spans="9:10" x14ac:dyDescent="0.3">
      <c r="I24018" t="s">
        <v>28548</v>
      </c>
    </row>
    <row r="24019" spans="9:10" x14ac:dyDescent="0.3">
      <c r="I24019" t="s">
        <v>28549</v>
      </c>
    </row>
    <row r="24020" spans="9:10" x14ac:dyDescent="0.3">
      <c r="I24020" t="s">
        <v>28550</v>
      </c>
      <c r="J24020" t="s">
        <v>7612</v>
      </c>
    </row>
    <row r="24021" spans="9:10" x14ac:dyDescent="0.3">
      <c r="I24021" t="s">
        <v>28551</v>
      </c>
      <c r="J24021" t="s">
        <v>7613</v>
      </c>
    </row>
    <row r="24022" spans="9:10" x14ac:dyDescent="0.3">
      <c r="I24022" t="s">
        <v>28552</v>
      </c>
      <c r="J24022" t="s">
        <v>7614</v>
      </c>
    </row>
    <row r="24023" spans="9:10" x14ac:dyDescent="0.3">
      <c r="I24023" t="s">
        <v>28553</v>
      </c>
    </row>
    <row r="24024" spans="9:10" x14ac:dyDescent="0.3">
      <c r="I24024" t="s">
        <v>28554</v>
      </c>
      <c r="J24024" t="s">
        <v>775</v>
      </c>
    </row>
    <row r="24025" spans="9:10" x14ac:dyDescent="0.3">
      <c r="I24025" t="s">
        <v>28555</v>
      </c>
      <c r="J24025" t="s">
        <v>7615</v>
      </c>
    </row>
    <row r="24026" spans="9:10" x14ac:dyDescent="0.3">
      <c r="I24026" t="s">
        <v>28556</v>
      </c>
      <c r="J24026" t="s">
        <v>7616</v>
      </c>
    </row>
    <row r="24027" spans="9:10" x14ac:dyDescent="0.3">
      <c r="I24027" t="s">
        <v>28556</v>
      </c>
      <c r="J24027" t="s">
        <v>7616</v>
      </c>
    </row>
    <row r="24028" spans="9:10" x14ac:dyDescent="0.3">
      <c r="I24028" t="s">
        <v>28557</v>
      </c>
      <c r="J24028" t="s">
        <v>7617</v>
      </c>
    </row>
    <row r="24029" spans="9:10" x14ac:dyDescent="0.3">
      <c r="I24029" t="s">
        <v>28558</v>
      </c>
    </row>
    <row r="24030" spans="9:10" x14ac:dyDescent="0.3">
      <c r="I24030" t="s">
        <v>28559</v>
      </c>
    </row>
    <row r="24031" spans="9:10" x14ac:dyDescent="0.3">
      <c r="I24031" t="s">
        <v>28560</v>
      </c>
      <c r="J24031" t="s">
        <v>7618</v>
      </c>
    </row>
    <row r="24032" spans="9:10" x14ac:dyDescent="0.3">
      <c r="I24032" t="s">
        <v>28561</v>
      </c>
      <c r="J24032" t="s">
        <v>7619</v>
      </c>
    </row>
    <row r="24033" spans="9:10" x14ac:dyDescent="0.3">
      <c r="I24033" t="s">
        <v>28561</v>
      </c>
      <c r="J24033" t="s">
        <v>7619</v>
      </c>
    </row>
    <row r="24034" spans="9:10" x14ac:dyDescent="0.3">
      <c r="I24034" t="s">
        <v>28562</v>
      </c>
      <c r="J24034" t="s">
        <v>7620</v>
      </c>
    </row>
    <row r="24035" spans="9:10" x14ac:dyDescent="0.3">
      <c r="I24035" t="s">
        <v>172</v>
      </c>
      <c r="J24035" t="s">
        <v>173</v>
      </c>
    </row>
    <row r="24036" spans="9:10" x14ac:dyDescent="0.3">
      <c r="I24036" t="s">
        <v>28563</v>
      </c>
      <c r="J24036" t="s">
        <v>173</v>
      </c>
    </row>
    <row r="24037" spans="9:10" x14ac:dyDescent="0.3">
      <c r="I24037" t="s">
        <v>28563</v>
      </c>
      <c r="J24037" t="s">
        <v>173</v>
      </c>
    </row>
    <row r="24038" spans="9:10" x14ac:dyDescent="0.3">
      <c r="I24038" t="s">
        <v>28564</v>
      </c>
      <c r="J24038" t="s">
        <v>7621</v>
      </c>
    </row>
    <row r="24039" spans="9:10" x14ac:dyDescent="0.3">
      <c r="I24039" t="s">
        <v>28565</v>
      </c>
      <c r="J24039" t="s">
        <v>7622</v>
      </c>
    </row>
    <row r="24040" spans="9:10" x14ac:dyDescent="0.3">
      <c r="I24040" t="s">
        <v>28566</v>
      </c>
      <c r="J24040" t="s">
        <v>7623</v>
      </c>
    </row>
    <row r="24041" spans="9:10" x14ac:dyDescent="0.3">
      <c r="I24041" t="s">
        <v>28567</v>
      </c>
      <c r="J24041" t="s">
        <v>7624</v>
      </c>
    </row>
    <row r="24042" spans="9:10" x14ac:dyDescent="0.3">
      <c r="I24042" t="s">
        <v>28568</v>
      </c>
      <c r="J24042" t="s">
        <v>7625</v>
      </c>
    </row>
    <row r="24043" spans="9:10" x14ac:dyDescent="0.3">
      <c r="I24043" t="s">
        <v>28569</v>
      </c>
      <c r="J24043" t="s">
        <v>7626</v>
      </c>
    </row>
    <row r="24044" spans="9:10" x14ac:dyDescent="0.3">
      <c r="I24044" t="s">
        <v>28570</v>
      </c>
      <c r="J24044" t="s">
        <v>7627</v>
      </c>
    </row>
    <row r="24045" spans="9:10" x14ac:dyDescent="0.3">
      <c r="I24045" t="s">
        <v>28571</v>
      </c>
      <c r="J24045" t="s">
        <v>7627</v>
      </c>
    </row>
    <row r="24046" spans="9:10" x14ac:dyDescent="0.3">
      <c r="I24046" t="s">
        <v>28571</v>
      </c>
      <c r="J24046" t="s">
        <v>7627</v>
      </c>
    </row>
    <row r="24047" spans="9:10" x14ac:dyDescent="0.3">
      <c r="I24047" t="s">
        <v>28571</v>
      </c>
      <c r="J24047" t="s">
        <v>7627</v>
      </c>
    </row>
    <row r="24048" spans="9:10" x14ac:dyDescent="0.3">
      <c r="I24048" t="s">
        <v>28572</v>
      </c>
      <c r="J24048" t="s">
        <v>7628</v>
      </c>
    </row>
    <row r="24049" spans="9:10" x14ac:dyDescent="0.3">
      <c r="I24049" t="s">
        <v>28573</v>
      </c>
      <c r="J24049" t="s">
        <v>7629</v>
      </c>
    </row>
    <row r="24050" spans="9:10" x14ac:dyDescent="0.3">
      <c r="I24050" t="s">
        <v>28573</v>
      </c>
      <c r="J24050" t="s">
        <v>7629</v>
      </c>
    </row>
    <row r="24051" spans="9:10" x14ac:dyDescent="0.3">
      <c r="I24051" t="s">
        <v>28573</v>
      </c>
      <c r="J24051" t="s">
        <v>7629</v>
      </c>
    </row>
    <row r="24052" spans="9:10" x14ac:dyDescent="0.3">
      <c r="I24052" t="s">
        <v>28574</v>
      </c>
      <c r="J24052" t="s">
        <v>7630</v>
      </c>
    </row>
    <row r="24053" spans="9:10" x14ac:dyDescent="0.3">
      <c r="I24053" t="s">
        <v>28575</v>
      </c>
      <c r="J24053" t="s">
        <v>7631</v>
      </c>
    </row>
    <row r="24054" spans="9:10" x14ac:dyDescent="0.3">
      <c r="I24054" t="s">
        <v>28576</v>
      </c>
    </row>
    <row r="24055" spans="9:10" x14ac:dyDescent="0.3">
      <c r="I24055" t="s">
        <v>28577</v>
      </c>
    </row>
    <row r="24056" spans="9:10" x14ac:dyDescent="0.3">
      <c r="I24056" t="s">
        <v>28578</v>
      </c>
    </row>
    <row r="24057" spans="9:10" x14ac:dyDescent="0.3">
      <c r="I24057" t="s">
        <v>28579</v>
      </c>
      <c r="J24057" t="s">
        <v>7632</v>
      </c>
    </row>
    <row r="24058" spans="9:10" x14ac:dyDescent="0.3">
      <c r="I24058" t="s">
        <v>28580</v>
      </c>
      <c r="J24058" t="s">
        <v>7632</v>
      </c>
    </row>
    <row r="24059" spans="9:10" x14ac:dyDescent="0.3">
      <c r="I24059" t="s">
        <v>28581</v>
      </c>
      <c r="J24059" t="s">
        <v>7632</v>
      </c>
    </row>
    <row r="24060" spans="9:10" x14ac:dyDescent="0.3">
      <c r="I24060" t="s">
        <v>28582</v>
      </c>
      <c r="J24060" t="s">
        <v>7633</v>
      </c>
    </row>
    <row r="24061" spans="9:10" x14ac:dyDescent="0.3">
      <c r="I24061" t="s">
        <v>28583</v>
      </c>
      <c r="J24061" t="s">
        <v>7633</v>
      </c>
    </row>
    <row r="24062" spans="9:10" x14ac:dyDescent="0.3">
      <c r="I24062" t="s">
        <v>28584</v>
      </c>
      <c r="J24062" t="s">
        <v>7634</v>
      </c>
    </row>
    <row r="24063" spans="9:10" x14ac:dyDescent="0.3">
      <c r="I24063" t="s">
        <v>28585</v>
      </c>
      <c r="J24063" t="s">
        <v>7635</v>
      </c>
    </row>
    <row r="24064" spans="9:10" x14ac:dyDescent="0.3">
      <c r="I24064" t="s">
        <v>28586</v>
      </c>
    </row>
    <row r="24065" spans="9:10" x14ac:dyDescent="0.3">
      <c r="I24065" t="s">
        <v>28587</v>
      </c>
    </row>
    <row r="24066" spans="9:10" x14ac:dyDescent="0.3">
      <c r="I24066" t="s">
        <v>28587</v>
      </c>
    </row>
    <row r="24067" spans="9:10" x14ac:dyDescent="0.3">
      <c r="I24067" t="s">
        <v>28588</v>
      </c>
    </row>
    <row r="24068" spans="9:10" x14ac:dyDescent="0.3">
      <c r="I24068" t="s">
        <v>28589</v>
      </c>
    </row>
    <row r="24069" spans="9:10" x14ac:dyDescent="0.3">
      <c r="I24069" t="s">
        <v>28590</v>
      </c>
      <c r="J24069" t="s">
        <v>700</v>
      </c>
    </row>
    <row r="24070" spans="9:10" x14ac:dyDescent="0.3">
      <c r="I24070" t="s">
        <v>28591</v>
      </c>
      <c r="J24070" t="s">
        <v>7636</v>
      </c>
    </row>
    <row r="24071" spans="9:10" x14ac:dyDescent="0.3">
      <c r="I24071" t="s">
        <v>28592</v>
      </c>
      <c r="J24071" t="s">
        <v>7637</v>
      </c>
    </row>
    <row r="24072" spans="9:10" x14ac:dyDescent="0.3">
      <c r="I24072" t="s">
        <v>28593</v>
      </c>
      <c r="J24072" t="s">
        <v>7638</v>
      </c>
    </row>
    <row r="24073" spans="9:10" x14ac:dyDescent="0.3">
      <c r="I24073" t="s">
        <v>28594</v>
      </c>
      <c r="J24073" t="s">
        <v>7639</v>
      </c>
    </row>
    <row r="24074" spans="9:10" x14ac:dyDescent="0.3">
      <c r="I24074" t="s">
        <v>28595</v>
      </c>
      <c r="J24074" t="s">
        <v>7640</v>
      </c>
    </row>
    <row r="24075" spans="9:10" x14ac:dyDescent="0.3">
      <c r="I24075" t="s">
        <v>28596</v>
      </c>
      <c r="J24075" t="s">
        <v>7641</v>
      </c>
    </row>
    <row r="24076" spans="9:10" x14ac:dyDescent="0.3">
      <c r="I24076" t="s">
        <v>28597</v>
      </c>
      <c r="J24076" t="s">
        <v>7642</v>
      </c>
    </row>
    <row r="24077" spans="9:10" x14ac:dyDescent="0.3">
      <c r="I24077" t="s">
        <v>28598</v>
      </c>
      <c r="J24077" t="s">
        <v>7643</v>
      </c>
    </row>
    <row r="24078" spans="9:10" x14ac:dyDescent="0.3">
      <c r="I24078" t="s">
        <v>28599</v>
      </c>
      <c r="J24078" t="s">
        <v>7643</v>
      </c>
    </row>
    <row r="24079" spans="9:10" x14ac:dyDescent="0.3">
      <c r="I24079" t="s">
        <v>28599</v>
      </c>
      <c r="J24079" t="s">
        <v>7643</v>
      </c>
    </row>
    <row r="24080" spans="9:10" x14ac:dyDescent="0.3">
      <c r="I24080" t="s">
        <v>28600</v>
      </c>
      <c r="J24080" t="s">
        <v>7644</v>
      </c>
    </row>
    <row r="24081" spans="9:10" x14ac:dyDescent="0.3">
      <c r="I24081" t="s">
        <v>28601</v>
      </c>
      <c r="J24081" t="s">
        <v>7645</v>
      </c>
    </row>
    <row r="24082" spans="9:10" x14ac:dyDescent="0.3">
      <c r="I24082" t="s">
        <v>28602</v>
      </c>
      <c r="J24082" t="s">
        <v>7646</v>
      </c>
    </row>
    <row r="24083" spans="9:10" x14ac:dyDescent="0.3">
      <c r="I24083" t="s">
        <v>28603</v>
      </c>
      <c r="J24083" t="s">
        <v>7647</v>
      </c>
    </row>
    <row r="24084" spans="9:10" x14ac:dyDescent="0.3">
      <c r="I24084" t="s">
        <v>28604</v>
      </c>
      <c r="J24084" t="s">
        <v>7647</v>
      </c>
    </row>
    <row r="24085" spans="9:10" x14ac:dyDescent="0.3">
      <c r="I24085" t="s">
        <v>28605</v>
      </c>
      <c r="J24085" t="s">
        <v>7648</v>
      </c>
    </row>
    <row r="24086" spans="9:10" x14ac:dyDescent="0.3">
      <c r="I24086" t="s">
        <v>28606</v>
      </c>
      <c r="J24086" t="s">
        <v>897</v>
      </c>
    </row>
    <row r="24087" spans="9:10" x14ac:dyDescent="0.3">
      <c r="I24087" t="s">
        <v>28607</v>
      </c>
    </row>
    <row r="24088" spans="9:10" x14ac:dyDescent="0.3">
      <c r="I24088" t="s">
        <v>28608</v>
      </c>
    </row>
    <row r="24089" spans="9:10" x14ac:dyDescent="0.3">
      <c r="I24089" t="s">
        <v>28609</v>
      </c>
    </row>
    <row r="24090" spans="9:10" x14ac:dyDescent="0.3">
      <c r="I24090" t="s">
        <v>28610</v>
      </c>
      <c r="J24090" t="s">
        <v>895</v>
      </c>
    </row>
    <row r="24091" spans="9:10" x14ac:dyDescent="0.3">
      <c r="I24091" t="s">
        <v>28611</v>
      </c>
      <c r="J24091" t="s">
        <v>7649</v>
      </c>
    </row>
    <row r="24092" spans="9:10" x14ac:dyDescent="0.3">
      <c r="I24092" t="s">
        <v>28612</v>
      </c>
    </row>
    <row r="24093" spans="9:10" x14ac:dyDescent="0.3">
      <c r="I24093" t="s">
        <v>28613</v>
      </c>
      <c r="J24093" t="s">
        <v>7650</v>
      </c>
    </row>
    <row r="24094" spans="9:10" x14ac:dyDescent="0.3">
      <c r="I24094" t="s">
        <v>28614</v>
      </c>
    </row>
    <row r="24095" spans="9:10" x14ac:dyDescent="0.3">
      <c r="I24095" t="s">
        <v>28615</v>
      </c>
    </row>
    <row r="24096" spans="9:10" x14ac:dyDescent="0.3">
      <c r="I24096" t="s">
        <v>28616</v>
      </c>
    </row>
    <row r="24097" spans="9:10" x14ac:dyDescent="0.3">
      <c r="I24097" t="s">
        <v>28617</v>
      </c>
    </row>
    <row r="24098" spans="9:10" x14ac:dyDescent="0.3">
      <c r="I24098" t="s">
        <v>28618</v>
      </c>
    </row>
    <row r="24099" spans="9:10" x14ac:dyDescent="0.3">
      <c r="I24099" t="s">
        <v>28619</v>
      </c>
    </row>
    <row r="24100" spans="9:10" x14ac:dyDescent="0.3">
      <c r="I24100" t="s">
        <v>28620</v>
      </c>
    </row>
    <row r="24101" spans="9:10" x14ac:dyDescent="0.3">
      <c r="I24101" t="s">
        <v>28621</v>
      </c>
      <c r="J24101" t="s">
        <v>7651</v>
      </c>
    </row>
    <row r="24102" spans="9:10" x14ac:dyDescent="0.3">
      <c r="I24102" t="s">
        <v>28622</v>
      </c>
    </row>
    <row r="24103" spans="9:10" x14ac:dyDescent="0.3">
      <c r="I24103" t="s">
        <v>28623</v>
      </c>
    </row>
    <row r="24104" spans="9:10" x14ac:dyDescent="0.3">
      <c r="I24104" t="s">
        <v>28624</v>
      </c>
      <c r="J24104" t="s">
        <v>7652</v>
      </c>
    </row>
    <row r="24105" spans="9:10" x14ac:dyDescent="0.3">
      <c r="I24105" t="s">
        <v>28625</v>
      </c>
      <c r="J24105" t="s">
        <v>7653</v>
      </c>
    </row>
    <row r="24106" spans="9:10" x14ac:dyDescent="0.3">
      <c r="I24106" t="s">
        <v>28626</v>
      </c>
      <c r="J24106" t="s">
        <v>7654</v>
      </c>
    </row>
    <row r="24107" spans="9:10" x14ac:dyDescent="0.3">
      <c r="I24107" t="s">
        <v>28627</v>
      </c>
      <c r="J24107" t="s">
        <v>7655</v>
      </c>
    </row>
    <row r="24108" spans="9:10" x14ac:dyDescent="0.3">
      <c r="I24108" t="s">
        <v>28628</v>
      </c>
      <c r="J24108" t="s">
        <v>7656</v>
      </c>
    </row>
    <row r="24109" spans="9:10" x14ac:dyDescent="0.3">
      <c r="I24109" t="s">
        <v>28628</v>
      </c>
      <c r="J24109" t="s">
        <v>7656</v>
      </c>
    </row>
    <row r="24110" spans="9:10" x14ac:dyDescent="0.3">
      <c r="I24110" t="s">
        <v>28629</v>
      </c>
    </row>
    <row r="24111" spans="9:10" x14ac:dyDescent="0.3">
      <c r="I24111" t="s">
        <v>28630</v>
      </c>
      <c r="J24111" t="s">
        <v>7657</v>
      </c>
    </row>
    <row r="24112" spans="9:10" x14ac:dyDescent="0.3">
      <c r="I24112" t="s">
        <v>28631</v>
      </c>
      <c r="J24112" t="s">
        <v>7658</v>
      </c>
    </row>
    <row r="24113" spans="9:10" x14ac:dyDescent="0.3">
      <c r="I24113" t="s">
        <v>28632</v>
      </c>
      <c r="J24113" t="s">
        <v>7659</v>
      </c>
    </row>
    <row r="24114" spans="9:10" x14ac:dyDescent="0.3">
      <c r="I24114" t="s">
        <v>28633</v>
      </c>
      <c r="J24114" t="s">
        <v>7659</v>
      </c>
    </row>
    <row r="24115" spans="9:10" x14ac:dyDescent="0.3">
      <c r="I24115" t="s">
        <v>28634</v>
      </c>
      <c r="J24115" t="s">
        <v>7660</v>
      </c>
    </row>
    <row r="24116" spans="9:10" x14ac:dyDescent="0.3">
      <c r="I24116" t="s">
        <v>28635</v>
      </c>
      <c r="J24116" t="s">
        <v>7661</v>
      </c>
    </row>
    <row r="24117" spans="9:10" x14ac:dyDescent="0.3">
      <c r="I24117" t="s">
        <v>28636</v>
      </c>
      <c r="J24117" t="s">
        <v>7662</v>
      </c>
    </row>
    <row r="24118" spans="9:10" x14ac:dyDescent="0.3">
      <c r="I24118" t="s">
        <v>28637</v>
      </c>
    </row>
    <row r="24119" spans="9:10" x14ac:dyDescent="0.3">
      <c r="I24119" t="s">
        <v>28638</v>
      </c>
      <c r="J24119" t="s">
        <v>7663</v>
      </c>
    </row>
    <row r="24120" spans="9:10" x14ac:dyDescent="0.3">
      <c r="I24120" t="s">
        <v>28639</v>
      </c>
      <c r="J24120" t="s">
        <v>7664</v>
      </c>
    </row>
    <row r="24121" spans="9:10" x14ac:dyDescent="0.3">
      <c r="I24121" t="s">
        <v>28640</v>
      </c>
      <c r="J24121" t="s">
        <v>7665</v>
      </c>
    </row>
    <row r="24122" spans="9:10" x14ac:dyDescent="0.3">
      <c r="I24122" t="s">
        <v>28641</v>
      </c>
      <c r="J24122" t="s">
        <v>7666</v>
      </c>
    </row>
    <row r="24123" spans="9:10" x14ac:dyDescent="0.3">
      <c r="I24123" t="s">
        <v>28642</v>
      </c>
    </row>
    <row r="24124" spans="9:10" x14ac:dyDescent="0.3">
      <c r="I24124" t="s">
        <v>28643</v>
      </c>
    </row>
    <row r="24125" spans="9:10" x14ac:dyDescent="0.3">
      <c r="I24125" t="s">
        <v>28644</v>
      </c>
    </row>
    <row r="24126" spans="9:10" x14ac:dyDescent="0.3">
      <c r="I24126" t="s">
        <v>28645</v>
      </c>
      <c r="J24126" t="s">
        <v>7667</v>
      </c>
    </row>
    <row r="24127" spans="9:10" x14ac:dyDescent="0.3">
      <c r="I24127" t="s">
        <v>28646</v>
      </c>
    </row>
    <row r="24128" spans="9:10" x14ac:dyDescent="0.3">
      <c r="I24128" t="s">
        <v>28647</v>
      </c>
    </row>
    <row r="24129" spans="9:10" x14ac:dyDescent="0.3">
      <c r="I24129" t="s">
        <v>28648</v>
      </c>
    </row>
    <row r="24130" spans="9:10" x14ac:dyDescent="0.3">
      <c r="I24130" t="s">
        <v>28649</v>
      </c>
    </row>
    <row r="24131" spans="9:10" x14ac:dyDescent="0.3">
      <c r="I24131" t="s">
        <v>28650</v>
      </c>
      <c r="J24131" t="s">
        <v>7668</v>
      </c>
    </row>
    <row r="24132" spans="9:10" x14ac:dyDescent="0.3">
      <c r="I24132" t="s">
        <v>28651</v>
      </c>
      <c r="J24132" t="s">
        <v>7669</v>
      </c>
    </row>
    <row r="24133" spans="9:10" x14ac:dyDescent="0.3">
      <c r="I24133" t="s">
        <v>28652</v>
      </c>
      <c r="J24133" t="s">
        <v>7670</v>
      </c>
    </row>
    <row r="24134" spans="9:10" x14ac:dyDescent="0.3">
      <c r="I24134" t="s">
        <v>28652</v>
      </c>
      <c r="J24134" t="s">
        <v>7670</v>
      </c>
    </row>
    <row r="24135" spans="9:10" x14ac:dyDescent="0.3">
      <c r="I24135" t="s">
        <v>28653</v>
      </c>
      <c r="J24135" t="s">
        <v>7671</v>
      </c>
    </row>
    <row r="24136" spans="9:10" x14ac:dyDescent="0.3">
      <c r="I24136" t="s">
        <v>28654</v>
      </c>
      <c r="J24136" t="s">
        <v>7672</v>
      </c>
    </row>
    <row r="24137" spans="9:10" x14ac:dyDescent="0.3">
      <c r="I24137" t="s">
        <v>28655</v>
      </c>
      <c r="J24137" t="s">
        <v>7672</v>
      </c>
    </row>
    <row r="24138" spans="9:10" x14ac:dyDescent="0.3">
      <c r="I24138" t="s">
        <v>28656</v>
      </c>
    </row>
    <row r="24139" spans="9:10" x14ac:dyDescent="0.3">
      <c r="I24139" t="s">
        <v>28657</v>
      </c>
    </row>
    <row r="24140" spans="9:10" x14ac:dyDescent="0.3">
      <c r="I24140" t="s">
        <v>28658</v>
      </c>
      <c r="J24140" t="s">
        <v>7673</v>
      </c>
    </row>
    <row r="24141" spans="9:10" x14ac:dyDescent="0.3">
      <c r="I24141" t="s">
        <v>28659</v>
      </c>
    </row>
    <row r="24142" spans="9:10" x14ac:dyDescent="0.3">
      <c r="I24142" t="s">
        <v>28660</v>
      </c>
    </row>
    <row r="24143" spans="9:10" x14ac:dyDescent="0.3">
      <c r="I24143" t="s">
        <v>28661</v>
      </c>
    </row>
    <row r="24144" spans="9:10" x14ac:dyDescent="0.3">
      <c r="I24144" t="s">
        <v>28662</v>
      </c>
      <c r="J24144" t="s">
        <v>7674</v>
      </c>
    </row>
    <row r="24145" spans="9:10" x14ac:dyDescent="0.3">
      <c r="I24145" t="s">
        <v>28663</v>
      </c>
    </row>
    <row r="24146" spans="9:10" x14ac:dyDescent="0.3">
      <c r="I24146" t="s">
        <v>28664</v>
      </c>
    </row>
    <row r="24147" spans="9:10" x14ac:dyDescent="0.3">
      <c r="I24147" t="s">
        <v>28665</v>
      </c>
    </row>
    <row r="24148" spans="9:10" x14ac:dyDescent="0.3">
      <c r="I24148" t="s">
        <v>28666</v>
      </c>
    </row>
    <row r="24149" spans="9:10" x14ac:dyDescent="0.3">
      <c r="I24149" t="s">
        <v>28667</v>
      </c>
      <c r="J24149" t="s">
        <v>7675</v>
      </c>
    </row>
    <row r="24150" spans="9:10" x14ac:dyDescent="0.3">
      <c r="I24150" t="s">
        <v>28668</v>
      </c>
    </row>
    <row r="24151" spans="9:10" x14ac:dyDescent="0.3">
      <c r="I24151" t="s">
        <v>28669</v>
      </c>
      <c r="J24151" t="s">
        <v>7676</v>
      </c>
    </row>
    <row r="24152" spans="9:10" x14ac:dyDescent="0.3">
      <c r="I24152" t="s">
        <v>28670</v>
      </c>
      <c r="J24152" t="s">
        <v>7676</v>
      </c>
    </row>
    <row r="24153" spans="9:10" x14ac:dyDescent="0.3">
      <c r="I24153" t="s">
        <v>28669</v>
      </c>
      <c r="J24153" t="s">
        <v>7676</v>
      </c>
    </row>
    <row r="24154" spans="9:10" x14ac:dyDescent="0.3">
      <c r="I24154" t="s">
        <v>28671</v>
      </c>
      <c r="J24154" t="s">
        <v>7677</v>
      </c>
    </row>
    <row r="24155" spans="9:10" x14ac:dyDescent="0.3">
      <c r="I24155" t="s">
        <v>28672</v>
      </c>
      <c r="J24155" t="s">
        <v>7678</v>
      </c>
    </row>
    <row r="24156" spans="9:10" x14ac:dyDescent="0.3">
      <c r="I24156" t="s">
        <v>28673</v>
      </c>
      <c r="J24156" t="s">
        <v>7679</v>
      </c>
    </row>
    <row r="24157" spans="9:10" x14ac:dyDescent="0.3">
      <c r="I24157" t="s">
        <v>28674</v>
      </c>
    </row>
    <row r="24158" spans="9:10" x14ac:dyDescent="0.3">
      <c r="I24158" t="s">
        <v>28675</v>
      </c>
    </row>
    <row r="24159" spans="9:10" x14ac:dyDescent="0.3">
      <c r="I24159" t="s">
        <v>28676</v>
      </c>
      <c r="J24159" t="s">
        <v>7680</v>
      </c>
    </row>
    <row r="24160" spans="9:10" x14ac:dyDescent="0.3">
      <c r="I24160" t="s">
        <v>28677</v>
      </c>
      <c r="J24160" t="s">
        <v>7681</v>
      </c>
    </row>
    <row r="24161" spans="9:10" x14ac:dyDescent="0.3">
      <c r="I24161" t="s">
        <v>28677</v>
      </c>
      <c r="J24161" t="s">
        <v>7681</v>
      </c>
    </row>
    <row r="24162" spans="9:10" x14ac:dyDescent="0.3">
      <c r="I24162" t="s">
        <v>28678</v>
      </c>
      <c r="J24162" t="s">
        <v>7682</v>
      </c>
    </row>
    <row r="24163" spans="9:10" x14ac:dyDescent="0.3">
      <c r="I24163" t="s">
        <v>28679</v>
      </c>
    </row>
    <row r="24164" spans="9:10" x14ac:dyDescent="0.3">
      <c r="I24164" t="s">
        <v>28680</v>
      </c>
    </row>
    <row r="24165" spans="9:10" x14ac:dyDescent="0.3">
      <c r="I24165" t="s">
        <v>28681</v>
      </c>
    </row>
    <row r="24166" spans="9:10" x14ac:dyDescent="0.3">
      <c r="I24166" t="s">
        <v>28682</v>
      </c>
      <c r="J24166" t="s">
        <v>7683</v>
      </c>
    </row>
    <row r="24167" spans="9:10" x14ac:dyDescent="0.3">
      <c r="I24167" t="s">
        <v>28683</v>
      </c>
      <c r="J24167" t="s">
        <v>7684</v>
      </c>
    </row>
    <row r="24168" spans="9:10" x14ac:dyDescent="0.3">
      <c r="I24168" t="s">
        <v>28684</v>
      </c>
      <c r="J24168" t="s">
        <v>7685</v>
      </c>
    </row>
    <row r="24169" spans="9:10" x14ac:dyDescent="0.3">
      <c r="I24169" t="s">
        <v>28685</v>
      </c>
      <c r="J24169" t="s">
        <v>7686</v>
      </c>
    </row>
    <row r="24170" spans="9:10" x14ac:dyDescent="0.3">
      <c r="I24170" t="s">
        <v>28686</v>
      </c>
    </row>
    <row r="24171" spans="9:10" x14ac:dyDescent="0.3">
      <c r="I24171" t="s">
        <v>28686</v>
      </c>
    </row>
    <row r="24172" spans="9:10" x14ac:dyDescent="0.3">
      <c r="I24172" t="s">
        <v>28686</v>
      </c>
    </row>
    <row r="24173" spans="9:10" x14ac:dyDescent="0.3">
      <c r="I24173" t="s">
        <v>28686</v>
      </c>
    </row>
    <row r="24174" spans="9:10" x14ac:dyDescent="0.3">
      <c r="I24174" t="s">
        <v>28687</v>
      </c>
    </row>
    <row r="24175" spans="9:10" x14ac:dyDescent="0.3">
      <c r="I24175" t="s">
        <v>28688</v>
      </c>
    </row>
    <row r="24176" spans="9:10" x14ac:dyDescent="0.3">
      <c r="I24176" t="s">
        <v>28689</v>
      </c>
    </row>
    <row r="24177" spans="9:10" x14ac:dyDescent="0.3">
      <c r="I24177" t="s">
        <v>28690</v>
      </c>
    </row>
    <row r="24178" spans="9:10" x14ac:dyDescent="0.3">
      <c r="I24178" t="s">
        <v>28691</v>
      </c>
    </row>
    <row r="24179" spans="9:10" x14ac:dyDescent="0.3">
      <c r="I24179" t="s">
        <v>28692</v>
      </c>
    </row>
    <row r="24180" spans="9:10" x14ac:dyDescent="0.3">
      <c r="I24180" t="s">
        <v>28693</v>
      </c>
    </row>
    <row r="24181" spans="9:10" x14ac:dyDescent="0.3">
      <c r="I24181" t="s">
        <v>28694</v>
      </c>
    </row>
    <row r="24182" spans="9:10" x14ac:dyDescent="0.3">
      <c r="I24182" t="s">
        <v>28694</v>
      </c>
    </row>
    <row r="24183" spans="9:10" x14ac:dyDescent="0.3">
      <c r="I24183" t="s">
        <v>28695</v>
      </c>
    </row>
    <row r="24184" spans="9:10" x14ac:dyDescent="0.3">
      <c r="I24184" t="s">
        <v>28696</v>
      </c>
    </row>
    <row r="24185" spans="9:10" x14ac:dyDescent="0.3">
      <c r="I24185" t="s">
        <v>28697</v>
      </c>
    </row>
    <row r="24186" spans="9:10" x14ac:dyDescent="0.3">
      <c r="I24186" t="s">
        <v>28698</v>
      </c>
      <c r="J24186" t="s">
        <v>7687</v>
      </c>
    </row>
    <row r="24187" spans="9:10" x14ac:dyDescent="0.3">
      <c r="I24187" t="s">
        <v>28699</v>
      </c>
      <c r="J24187" t="s">
        <v>7688</v>
      </c>
    </row>
    <row r="24188" spans="9:10" x14ac:dyDescent="0.3">
      <c r="I24188" t="s">
        <v>28700</v>
      </c>
      <c r="J24188" t="s">
        <v>7689</v>
      </c>
    </row>
    <row r="24189" spans="9:10" x14ac:dyDescent="0.3">
      <c r="I24189" t="s">
        <v>28701</v>
      </c>
      <c r="J24189" t="s">
        <v>7690</v>
      </c>
    </row>
    <row r="24190" spans="9:10" x14ac:dyDescent="0.3">
      <c r="I24190" t="s">
        <v>28702</v>
      </c>
      <c r="J24190" t="s">
        <v>7691</v>
      </c>
    </row>
    <row r="24191" spans="9:10" x14ac:dyDescent="0.3">
      <c r="I24191" t="s">
        <v>28703</v>
      </c>
    </row>
    <row r="24192" spans="9:10" x14ac:dyDescent="0.3">
      <c r="I24192" t="s">
        <v>28704</v>
      </c>
      <c r="J24192" t="s">
        <v>7692</v>
      </c>
    </row>
    <row r="24193" spans="9:10" x14ac:dyDescent="0.3">
      <c r="I24193" t="s">
        <v>28705</v>
      </c>
    </row>
    <row r="24194" spans="9:10" x14ac:dyDescent="0.3">
      <c r="I24194" t="s">
        <v>28706</v>
      </c>
    </row>
    <row r="24195" spans="9:10" x14ac:dyDescent="0.3">
      <c r="I24195" t="s">
        <v>28707</v>
      </c>
    </row>
    <row r="24196" spans="9:10" x14ac:dyDescent="0.3">
      <c r="I24196" t="s">
        <v>28708</v>
      </c>
    </row>
    <row r="24197" spans="9:10" x14ac:dyDescent="0.3">
      <c r="I24197" t="s">
        <v>28709</v>
      </c>
    </row>
    <row r="24198" spans="9:10" x14ac:dyDescent="0.3">
      <c r="I24198" t="s">
        <v>28710</v>
      </c>
    </row>
    <row r="24199" spans="9:10" x14ac:dyDescent="0.3">
      <c r="I24199" t="s">
        <v>28711</v>
      </c>
      <c r="J24199" t="s">
        <v>7693</v>
      </c>
    </row>
    <row r="24200" spans="9:10" x14ac:dyDescent="0.3">
      <c r="I24200" t="s">
        <v>28712</v>
      </c>
      <c r="J24200" t="s">
        <v>7694</v>
      </c>
    </row>
    <row r="24201" spans="9:10" x14ac:dyDescent="0.3">
      <c r="I24201" t="s">
        <v>28713</v>
      </c>
      <c r="J24201" t="s">
        <v>7695</v>
      </c>
    </row>
    <row r="24202" spans="9:10" x14ac:dyDescent="0.3">
      <c r="I24202" t="s">
        <v>28714</v>
      </c>
    </row>
    <row r="24203" spans="9:10" x14ac:dyDescent="0.3">
      <c r="I24203" t="s">
        <v>28715</v>
      </c>
    </row>
    <row r="24204" spans="9:10" x14ac:dyDescent="0.3">
      <c r="I24204" t="s">
        <v>28716</v>
      </c>
    </row>
    <row r="24205" spans="9:10" x14ac:dyDescent="0.3">
      <c r="I24205" t="s">
        <v>28717</v>
      </c>
    </row>
    <row r="24206" spans="9:10" x14ac:dyDescent="0.3">
      <c r="I24206" t="s">
        <v>28718</v>
      </c>
    </row>
    <row r="24207" spans="9:10" x14ac:dyDescent="0.3">
      <c r="I24207" t="s">
        <v>28719</v>
      </c>
      <c r="J24207" t="s">
        <v>7696</v>
      </c>
    </row>
    <row r="24208" spans="9:10" x14ac:dyDescent="0.3">
      <c r="I24208" t="s">
        <v>28720</v>
      </c>
    </row>
    <row r="24209" spans="9:10" x14ac:dyDescent="0.3">
      <c r="I24209" t="s">
        <v>28721</v>
      </c>
      <c r="J24209" t="s">
        <v>7697</v>
      </c>
    </row>
    <row r="24210" spans="9:10" x14ac:dyDescent="0.3">
      <c r="I24210" t="s">
        <v>28722</v>
      </c>
      <c r="J24210" t="s">
        <v>7698</v>
      </c>
    </row>
    <row r="24211" spans="9:10" x14ac:dyDescent="0.3">
      <c r="I24211" t="s">
        <v>28723</v>
      </c>
      <c r="J24211" t="s">
        <v>7699</v>
      </c>
    </row>
    <row r="24212" spans="9:10" x14ac:dyDescent="0.3">
      <c r="I24212" t="s">
        <v>28724</v>
      </c>
    </row>
    <row r="24213" spans="9:10" x14ac:dyDescent="0.3">
      <c r="I24213" t="s">
        <v>28725</v>
      </c>
    </row>
    <row r="24214" spans="9:10" x14ac:dyDescent="0.3">
      <c r="I24214" t="s">
        <v>28726</v>
      </c>
      <c r="J24214" t="s">
        <v>7700</v>
      </c>
    </row>
    <row r="24215" spans="9:10" x14ac:dyDescent="0.3">
      <c r="I24215" t="s">
        <v>28727</v>
      </c>
    </row>
    <row r="24216" spans="9:10" x14ac:dyDescent="0.3">
      <c r="I24216" t="s">
        <v>28728</v>
      </c>
      <c r="J24216" t="s">
        <v>7701</v>
      </c>
    </row>
    <row r="24217" spans="9:10" x14ac:dyDescent="0.3">
      <c r="I24217" t="s">
        <v>28729</v>
      </c>
    </row>
    <row r="24218" spans="9:10" x14ac:dyDescent="0.3">
      <c r="I24218" t="s">
        <v>28730</v>
      </c>
    </row>
    <row r="24219" spans="9:10" x14ac:dyDescent="0.3">
      <c r="I24219" t="s">
        <v>28731</v>
      </c>
    </row>
    <row r="24220" spans="9:10" x14ac:dyDescent="0.3">
      <c r="I24220" t="s">
        <v>28732</v>
      </c>
      <c r="J24220" t="s">
        <v>7702</v>
      </c>
    </row>
    <row r="24221" spans="9:10" x14ac:dyDescent="0.3">
      <c r="I24221" t="s">
        <v>28733</v>
      </c>
      <c r="J24221" t="s">
        <v>7703</v>
      </c>
    </row>
    <row r="24222" spans="9:10" x14ac:dyDescent="0.3">
      <c r="I24222" t="s">
        <v>28734</v>
      </c>
      <c r="J24222" t="s">
        <v>7704</v>
      </c>
    </row>
    <row r="24223" spans="9:10" x14ac:dyDescent="0.3">
      <c r="I24223" t="s">
        <v>28735</v>
      </c>
      <c r="J24223" t="s">
        <v>7705</v>
      </c>
    </row>
    <row r="24224" spans="9:10" x14ac:dyDescent="0.3">
      <c r="I24224" t="s">
        <v>28736</v>
      </c>
    </row>
    <row r="24225" spans="9:10" x14ac:dyDescent="0.3">
      <c r="I24225" t="s">
        <v>28737</v>
      </c>
    </row>
    <row r="24226" spans="9:10" x14ac:dyDescent="0.3">
      <c r="I24226" t="s">
        <v>28738</v>
      </c>
    </row>
    <row r="24227" spans="9:10" x14ac:dyDescent="0.3">
      <c r="I24227" t="s">
        <v>28739</v>
      </c>
    </row>
    <row r="24228" spans="9:10" x14ac:dyDescent="0.3">
      <c r="I24228" t="s">
        <v>28740</v>
      </c>
    </row>
    <row r="24229" spans="9:10" x14ac:dyDescent="0.3">
      <c r="I24229" t="s">
        <v>28741</v>
      </c>
      <c r="J24229" t="s">
        <v>7706</v>
      </c>
    </row>
    <row r="24230" spans="9:10" x14ac:dyDescent="0.3">
      <c r="I24230" t="s">
        <v>28741</v>
      </c>
      <c r="J24230" t="s">
        <v>7706</v>
      </c>
    </row>
    <row r="24231" spans="9:10" x14ac:dyDescent="0.3">
      <c r="I24231" t="s">
        <v>28741</v>
      </c>
      <c r="J24231" t="s">
        <v>7706</v>
      </c>
    </row>
    <row r="24232" spans="9:10" x14ac:dyDescent="0.3">
      <c r="I24232" t="s">
        <v>28742</v>
      </c>
      <c r="J24232" t="s">
        <v>6619</v>
      </c>
    </row>
    <row r="24233" spans="9:10" x14ac:dyDescent="0.3">
      <c r="I24233" t="s">
        <v>28743</v>
      </c>
    </row>
    <row r="24234" spans="9:10" x14ac:dyDescent="0.3">
      <c r="I24234" t="s">
        <v>28744</v>
      </c>
    </row>
    <row r="24235" spans="9:10" x14ac:dyDescent="0.3">
      <c r="I24235" t="s">
        <v>28745</v>
      </c>
      <c r="J24235" t="s">
        <v>7707</v>
      </c>
    </row>
    <row r="24236" spans="9:10" x14ac:dyDescent="0.3">
      <c r="I24236" t="s">
        <v>28746</v>
      </c>
      <c r="J24236" t="s">
        <v>7707</v>
      </c>
    </row>
    <row r="24237" spans="9:10" x14ac:dyDescent="0.3">
      <c r="I24237" t="s">
        <v>28747</v>
      </c>
    </row>
    <row r="24238" spans="9:10" x14ac:dyDescent="0.3">
      <c r="I24238" t="s">
        <v>28748</v>
      </c>
    </row>
    <row r="24239" spans="9:10" x14ac:dyDescent="0.3">
      <c r="I24239" t="s">
        <v>28749</v>
      </c>
      <c r="J24239" t="s">
        <v>7708</v>
      </c>
    </row>
    <row r="24240" spans="9:10" x14ac:dyDescent="0.3">
      <c r="I24240" t="s">
        <v>28750</v>
      </c>
      <c r="J24240" t="s">
        <v>7708</v>
      </c>
    </row>
    <row r="24241" spans="9:10" x14ac:dyDescent="0.3">
      <c r="I24241" t="s">
        <v>28751</v>
      </c>
      <c r="J24241" t="s">
        <v>7709</v>
      </c>
    </row>
    <row r="24242" spans="9:10" x14ac:dyDescent="0.3">
      <c r="I24242" t="s">
        <v>28752</v>
      </c>
      <c r="J24242" t="s">
        <v>7710</v>
      </c>
    </row>
    <row r="24243" spans="9:10" x14ac:dyDescent="0.3">
      <c r="I24243" t="s">
        <v>28753</v>
      </c>
      <c r="J24243" t="s">
        <v>7711</v>
      </c>
    </row>
    <row r="24244" spans="9:10" x14ac:dyDescent="0.3">
      <c r="I24244" t="s">
        <v>28754</v>
      </c>
    </row>
    <row r="24245" spans="9:10" x14ac:dyDescent="0.3">
      <c r="I24245" t="s">
        <v>28755</v>
      </c>
    </row>
    <row r="24246" spans="9:10" x14ac:dyDescent="0.3">
      <c r="I24246" t="s">
        <v>28756</v>
      </c>
    </row>
    <row r="24247" spans="9:10" x14ac:dyDescent="0.3">
      <c r="I24247" t="s">
        <v>28757</v>
      </c>
    </row>
    <row r="24248" spans="9:10" x14ac:dyDescent="0.3">
      <c r="I24248" t="s">
        <v>28758</v>
      </c>
    </row>
    <row r="24249" spans="9:10" x14ac:dyDescent="0.3">
      <c r="I24249" t="s">
        <v>28759</v>
      </c>
    </row>
    <row r="24250" spans="9:10" x14ac:dyDescent="0.3">
      <c r="I24250" t="s">
        <v>28760</v>
      </c>
    </row>
    <row r="24251" spans="9:10" x14ac:dyDescent="0.3">
      <c r="I24251" t="s">
        <v>28761</v>
      </c>
    </row>
    <row r="24252" spans="9:10" x14ac:dyDescent="0.3">
      <c r="I24252" t="s">
        <v>28762</v>
      </c>
      <c r="J24252" t="s">
        <v>7712</v>
      </c>
    </row>
    <row r="24253" spans="9:10" x14ac:dyDescent="0.3">
      <c r="I24253" t="s">
        <v>28763</v>
      </c>
      <c r="J24253" t="s">
        <v>263</v>
      </c>
    </row>
    <row r="24254" spans="9:10" x14ac:dyDescent="0.3">
      <c r="I24254" t="s">
        <v>28764</v>
      </c>
      <c r="J24254" t="s">
        <v>613</v>
      </c>
    </row>
    <row r="24255" spans="9:10" x14ac:dyDescent="0.3">
      <c r="I24255" t="s">
        <v>28765</v>
      </c>
      <c r="J24255" t="s">
        <v>7713</v>
      </c>
    </row>
    <row r="24256" spans="9:10" x14ac:dyDescent="0.3">
      <c r="I24256" t="s">
        <v>28766</v>
      </c>
      <c r="J24256" t="s">
        <v>7714</v>
      </c>
    </row>
    <row r="24257" spans="9:10" x14ac:dyDescent="0.3">
      <c r="I24257" t="s">
        <v>28767</v>
      </c>
    </row>
    <row r="24258" spans="9:10" x14ac:dyDescent="0.3">
      <c r="I24258" t="s">
        <v>28767</v>
      </c>
    </row>
    <row r="24259" spans="9:10" x14ac:dyDescent="0.3">
      <c r="I24259" t="s">
        <v>28768</v>
      </c>
      <c r="J24259" t="s">
        <v>7715</v>
      </c>
    </row>
    <row r="24260" spans="9:10" x14ac:dyDescent="0.3">
      <c r="I24260" t="s">
        <v>28769</v>
      </c>
    </row>
    <row r="24261" spans="9:10" x14ac:dyDescent="0.3">
      <c r="I24261" t="s">
        <v>28770</v>
      </c>
    </row>
    <row r="24262" spans="9:10" x14ac:dyDescent="0.3">
      <c r="I24262" t="s">
        <v>28771</v>
      </c>
      <c r="J24262" t="s">
        <v>7716</v>
      </c>
    </row>
    <row r="24263" spans="9:10" x14ac:dyDescent="0.3">
      <c r="I24263" t="s">
        <v>28772</v>
      </c>
      <c r="J24263" t="s">
        <v>7717</v>
      </c>
    </row>
    <row r="24264" spans="9:10" x14ac:dyDescent="0.3">
      <c r="I24264" t="s">
        <v>28773</v>
      </c>
      <c r="J24264" t="s">
        <v>7717</v>
      </c>
    </row>
    <row r="24265" spans="9:10" x14ac:dyDescent="0.3">
      <c r="I24265" t="s">
        <v>28774</v>
      </c>
      <c r="J24265" t="s">
        <v>7717</v>
      </c>
    </row>
    <row r="24266" spans="9:10" x14ac:dyDescent="0.3">
      <c r="I24266" t="s">
        <v>28772</v>
      </c>
      <c r="J24266" t="s">
        <v>7717</v>
      </c>
    </row>
    <row r="24267" spans="9:10" x14ac:dyDescent="0.3">
      <c r="I24267" t="s">
        <v>28775</v>
      </c>
    </row>
    <row r="24268" spans="9:10" x14ac:dyDescent="0.3">
      <c r="I24268" t="s">
        <v>28776</v>
      </c>
      <c r="J24268" t="s">
        <v>7718</v>
      </c>
    </row>
    <row r="24269" spans="9:10" x14ac:dyDescent="0.3">
      <c r="I24269" t="s">
        <v>28777</v>
      </c>
    </row>
    <row r="24270" spans="9:10" x14ac:dyDescent="0.3">
      <c r="I24270" t="s">
        <v>28778</v>
      </c>
      <c r="J24270" t="s">
        <v>7719</v>
      </c>
    </row>
    <row r="24271" spans="9:10" x14ac:dyDescent="0.3">
      <c r="I24271" t="s">
        <v>28779</v>
      </c>
      <c r="J24271" t="s">
        <v>7720</v>
      </c>
    </row>
    <row r="24272" spans="9:10" x14ac:dyDescent="0.3">
      <c r="I24272" t="s">
        <v>28780</v>
      </c>
    </row>
    <row r="24273" spans="9:10" x14ac:dyDescent="0.3">
      <c r="I24273" t="s">
        <v>28781</v>
      </c>
      <c r="J24273" t="s">
        <v>7721</v>
      </c>
    </row>
    <row r="24274" spans="9:10" x14ac:dyDescent="0.3">
      <c r="I24274" t="s">
        <v>28782</v>
      </c>
      <c r="J24274" t="s">
        <v>7722</v>
      </c>
    </row>
    <row r="24275" spans="9:10" x14ac:dyDescent="0.3">
      <c r="I24275" t="s">
        <v>28783</v>
      </c>
      <c r="J24275" t="s">
        <v>7723</v>
      </c>
    </row>
    <row r="24276" spans="9:10" x14ac:dyDescent="0.3">
      <c r="I24276" t="s">
        <v>28784</v>
      </c>
      <c r="J24276" t="s">
        <v>7724</v>
      </c>
    </row>
    <row r="24277" spans="9:10" x14ac:dyDescent="0.3">
      <c r="I24277" t="s">
        <v>28785</v>
      </c>
      <c r="J24277" t="s">
        <v>7725</v>
      </c>
    </row>
    <row r="24278" spans="9:10" x14ac:dyDescent="0.3">
      <c r="I24278" t="s">
        <v>28786</v>
      </c>
      <c r="J24278" t="s">
        <v>7726</v>
      </c>
    </row>
    <row r="24279" spans="9:10" x14ac:dyDescent="0.3">
      <c r="I24279" t="s">
        <v>28787</v>
      </c>
      <c r="J24279" t="s">
        <v>7726</v>
      </c>
    </row>
    <row r="24280" spans="9:10" x14ac:dyDescent="0.3">
      <c r="I24280" t="s">
        <v>28788</v>
      </c>
      <c r="J24280" t="s">
        <v>7727</v>
      </c>
    </row>
    <row r="24281" spans="9:10" x14ac:dyDescent="0.3">
      <c r="I24281" t="s">
        <v>28789</v>
      </c>
      <c r="J24281" t="s">
        <v>7727</v>
      </c>
    </row>
    <row r="24282" spans="9:10" x14ac:dyDescent="0.3">
      <c r="I24282" t="s">
        <v>28790</v>
      </c>
      <c r="J24282" t="s">
        <v>7727</v>
      </c>
    </row>
    <row r="24283" spans="9:10" x14ac:dyDescent="0.3">
      <c r="I24283" t="s">
        <v>28791</v>
      </c>
      <c r="J24283" t="s">
        <v>7728</v>
      </c>
    </row>
    <row r="24284" spans="9:10" x14ac:dyDescent="0.3">
      <c r="I24284" t="s">
        <v>28792</v>
      </c>
      <c r="J24284" t="s">
        <v>7728</v>
      </c>
    </row>
    <row r="24285" spans="9:10" x14ac:dyDescent="0.3">
      <c r="I24285" t="s">
        <v>28793</v>
      </c>
      <c r="J24285" t="s">
        <v>7728</v>
      </c>
    </row>
    <row r="24286" spans="9:10" x14ac:dyDescent="0.3">
      <c r="I24286" t="s">
        <v>28794</v>
      </c>
      <c r="J24286" t="s">
        <v>7728</v>
      </c>
    </row>
    <row r="24287" spans="9:10" x14ac:dyDescent="0.3">
      <c r="I24287" t="s">
        <v>28795</v>
      </c>
      <c r="J24287" t="s">
        <v>7728</v>
      </c>
    </row>
    <row r="24288" spans="9:10" x14ac:dyDescent="0.3">
      <c r="I24288" t="s">
        <v>28796</v>
      </c>
      <c r="J24288" t="s">
        <v>7728</v>
      </c>
    </row>
    <row r="24289" spans="9:10" x14ac:dyDescent="0.3">
      <c r="I24289" t="s">
        <v>28797</v>
      </c>
      <c r="J24289" t="s">
        <v>7729</v>
      </c>
    </row>
    <row r="24290" spans="9:10" x14ac:dyDescent="0.3">
      <c r="I24290" t="s">
        <v>28798</v>
      </c>
    </row>
    <row r="24291" spans="9:10" x14ac:dyDescent="0.3">
      <c r="I24291" t="s">
        <v>28799</v>
      </c>
    </row>
    <row r="24292" spans="9:10" x14ac:dyDescent="0.3">
      <c r="I24292" t="s">
        <v>28800</v>
      </c>
      <c r="J24292" t="s">
        <v>7730</v>
      </c>
    </row>
    <row r="24293" spans="9:10" x14ac:dyDescent="0.3">
      <c r="I24293" t="s">
        <v>28801</v>
      </c>
      <c r="J24293" t="s">
        <v>7731</v>
      </c>
    </row>
    <row r="24294" spans="9:10" x14ac:dyDescent="0.3">
      <c r="I24294" t="s">
        <v>28802</v>
      </c>
      <c r="J24294" t="s">
        <v>7731</v>
      </c>
    </row>
    <row r="24295" spans="9:10" x14ac:dyDescent="0.3">
      <c r="I24295" t="s">
        <v>28803</v>
      </c>
      <c r="J24295" t="s">
        <v>7732</v>
      </c>
    </row>
    <row r="24296" spans="9:10" x14ac:dyDescent="0.3">
      <c r="I24296" t="s">
        <v>28804</v>
      </c>
      <c r="J24296" t="s">
        <v>7733</v>
      </c>
    </row>
    <row r="24297" spans="9:10" x14ac:dyDescent="0.3">
      <c r="I24297" t="s">
        <v>28805</v>
      </c>
    </row>
    <row r="24298" spans="9:10" x14ac:dyDescent="0.3">
      <c r="I24298" t="s">
        <v>28806</v>
      </c>
      <c r="J24298" t="s">
        <v>7734</v>
      </c>
    </row>
    <row r="24299" spans="9:10" x14ac:dyDescent="0.3">
      <c r="I24299" t="s">
        <v>28807</v>
      </c>
      <c r="J24299" t="s">
        <v>7735</v>
      </c>
    </row>
    <row r="24300" spans="9:10" x14ac:dyDescent="0.3">
      <c r="I24300" t="s">
        <v>28808</v>
      </c>
      <c r="J24300" t="s">
        <v>7736</v>
      </c>
    </row>
    <row r="24301" spans="9:10" x14ac:dyDescent="0.3">
      <c r="I24301" t="s">
        <v>28809</v>
      </c>
    </row>
    <row r="24302" spans="9:10" x14ac:dyDescent="0.3">
      <c r="I24302" t="s">
        <v>28810</v>
      </c>
      <c r="J24302" t="s">
        <v>2931</v>
      </c>
    </row>
    <row r="24303" spans="9:10" x14ac:dyDescent="0.3">
      <c r="I24303" t="s">
        <v>28811</v>
      </c>
      <c r="J24303" t="s">
        <v>7737</v>
      </c>
    </row>
    <row r="24304" spans="9:10" x14ac:dyDescent="0.3">
      <c r="I24304" t="s">
        <v>28812</v>
      </c>
      <c r="J24304" t="s">
        <v>7738</v>
      </c>
    </row>
    <row r="24305" spans="9:10" x14ac:dyDescent="0.3">
      <c r="I24305" t="s">
        <v>28813</v>
      </c>
      <c r="J24305" t="s">
        <v>7738</v>
      </c>
    </row>
    <row r="24306" spans="9:10" x14ac:dyDescent="0.3">
      <c r="I24306" t="s">
        <v>28814</v>
      </c>
      <c r="J24306" t="s">
        <v>7738</v>
      </c>
    </row>
    <row r="24307" spans="9:10" x14ac:dyDescent="0.3">
      <c r="I24307" t="s">
        <v>28815</v>
      </c>
      <c r="J24307" t="s">
        <v>7739</v>
      </c>
    </row>
    <row r="24308" spans="9:10" x14ac:dyDescent="0.3">
      <c r="I24308" t="s">
        <v>28816</v>
      </c>
      <c r="J24308" t="s">
        <v>7739</v>
      </c>
    </row>
    <row r="24309" spans="9:10" x14ac:dyDescent="0.3">
      <c r="I24309" t="s">
        <v>28817</v>
      </c>
      <c r="J24309" t="s">
        <v>7739</v>
      </c>
    </row>
    <row r="24310" spans="9:10" x14ac:dyDescent="0.3">
      <c r="I24310" t="s">
        <v>28818</v>
      </c>
      <c r="J24310" t="s">
        <v>7740</v>
      </c>
    </row>
    <row r="24311" spans="9:10" x14ac:dyDescent="0.3">
      <c r="I24311" t="s">
        <v>28819</v>
      </c>
      <c r="J24311" t="s">
        <v>7740</v>
      </c>
    </row>
    <row r="24312" spans="9:10" x14ac:dyDescent="0.3">
      <c r="I24312" t="s">
        <v>28820</v>
      </c>
      <c r="J24312" t="s">
        <v>7740</v>
      </c>
    </row>
    <row r="24313" spans="9:10" x14ac:dyDescent="0.3">
      <c r="I24313" t="s">
        <v>28821</v>
      </c>
      <c r="J24313" t="s">
        <v>7740</v>
      </c>
    </row>
    <row r="24314" spans="9:10" x14ac:dyDescent="0.3">
      <c r="I24314" t="s">
        <v>28822</v>
      </c>
      <c r="J24314" t="s">
        <v>7740</v>
      </c>
    </row>
    <row r="24315" spans="9:10" x14ac:dyDescent="0.3">
      <c r="I24315" t="s">
        <v>28823</v>
      </c>
      <c r="J24315" t="s">
        <v>7740</v>
      </c>
    </row>
    <row r="24316" spans="9:10" x14ac:dyDescent="0.3">
      <c r="I24316" t="s">
        <v>28824</v>
      </c>
      <c r="J24316" t="s">
        <v>7740</v>
      </c>
    </row>
    <row r="24317" spans="9:10" x14ac:dyDescent="0.3">
      <c r="I24317" t="s">
        <v>28825</v>
      </c>
      <c r="J24317" t="s">
        <v>7740</v>
      </c>
    </row>
    <row r="24318" spans="9:10" x14ac:dyDescent="0.3">
      <c r="I24318" t="s">
        <v>28826</v>
      </c>
      <c r="J24318" t="s">
        <v>7741</v>
      </c>
    </row>
    <row r="24319" spans="9:10" x14ac:dyDescent="0.3">
      <c r="I24319" t="s">
        <v>28827</v>
      </c>
      <c r="J24319" t="s">
        <v>7742</v>
      </c>
    </row>
    <row r="24320" spans="9:10" x14ac:dyDescent="0.3">
      <c r="I24320" t="s">
        <v>28828</v>
      </c>
      <c r="J24320" t="s">
        <v>7743</v>
      </c>
    </row>
    <row r="24321" spans="9:10" x14ac:dyDescent="0.3">
      <c r="I24321" t="s">
        <v>28829</v>
      </c>
      <c r="J24321" t="s">
        <v>7744</v>
      </c>
    </row>
    <row r="24322" spans="9:10" x14ac:dyDescent="0.3">
      <c r="I24322" t="s">
        <v>28829</v>
      </c>
      <c r="J24322" t="s">
        <v>7744</v>
      </c>
    </row>
    <row r="24323" spans="9:10" x14ac:dyDescent="0.3">
      <c r="I24323" t="s">
        <v>28830</v>
      </c>
      <c r="J24323" t="s">
        <v>7745</v>
      </c>
    </row>
    <row r="24324" spans="9:10" x14ac:dyDescent="0.3">
      <c r="I24324" t="s">
        <v>28831</v>
      </c>
      <c r="J24324" t="s">
        <v>7746</v>
      </c>
    </row>
    <row r="24325" spans="9:10" x14ac:dyDescent="0.3">
      <c r="I24325" t="s">
        <v>28832</v>
      </c>
      <c r="J24325" t="s">
        <v>7747</v>
      </c>
    </row>
    <row r="24326" spans="9:10" x14ac:dyDescent="0.3">
      <c r="I24326" t="s">
        <v>28833</v>
      </c>
      <c r="J24326" t="s">
        <v>7747</v>
      </c>
    </row>
    <row r="24327" spans="9:10" x14ac:dyDescent="0.3">
      <c r="I24327" t="s">
        <v>28834</v>
      </c>
    </row>
    <row r="24328" spans="9:10" x14ac:dyDescent="0.3">
      <c r="I24328" t="s">
        <v>28834</v>
      </c>
    </row>
    <row r="24329" spans="9:10" x14ac:dyDescent="0.3">
      <c r="I24329" t="s">
        <v>28835</v>
      </c>
    </row>
    <row r="24330" spans="9:10" x14ac:dyDescent="0.3">
      <c r="I24330" t="s">
        <v>28836</v>
      </c>
    </row>
    <row r="24331" spans="9:10" x14ac:dyDescent="0.3">
      <c r="I24331" t="s">
        <v>28837</v>
      </c>
    </row>
    <row r="24332" spans="9:10" x14ac:dyDescent="0.3">
      <c r="I24332" t="s">
        <v>28838</v>
      </c>
    </row>
    <row r="24333" spans="9:10" x14ac:dyDescent="0.3">
      <c r="I24333" t="s">
        <v>28839</v>
      </c>
    </row>
    <row r="24334" spans="9:10" x14ac:dyDescent="0.3">
      <c r="I24334" t="s">
        <v>28840</v>
      </c>
    </row>
    <row r="24335" spans="9:10" x14ac:dyDescent="0.3">
      <c r="I24335" t="s">
        <v>28841</v>
      </c>
      <c r="J24335" t="s">
        <v>7748</v>
      </c>
    </row>
    <row r="24336" spans="9:10" x14ac:dyDescent="0.3">
      <c r="I24336" t="s">
        <v>28842</v>
      </c>
      <c r="J24336">
        <v>0</v>
      </c>
    </row>
    <row r="24337" spans="9:10" x14ac:dyDescent="0.3">
      <c r="I24337" t="s">
        <v>28843</v>
      </c>
    </row>
    <row r="24338" spans="9:10" x14ac:dyDescent="0.3">
      <c r="I24338" t="s">
        <v>28844</v>
      </c>
      <c r="J24338" t="s">
        <v>7749</v>
      </c>
    </row>
    <row r="24339" spans="9:10" x14ac:dyDescent="0.3">
      <c r="I24339" t="s">
        <v>28845</v>
      </c>
      <c r="J24339" t="s">
        <v>7749</v>
      </c>
    </row>
    <row r="24340" spans="9:10" x14ac:dyDescent="0.3">
      <c r="I24340" t="s">
        <v>28844</v>
      </c>
      <c r="J24340" t="s">
        <v>7749</v>
      </c>
    </row>
    <row r="24341" spans="9:10" x14ac:dyDescent="0.3">
      <c r="I24341" t="s">
        <v>28846</v>
      </c>
      <c r="J24341" t="s">
        <v>7750</v>
      </c>
    </row>
    <row r="24342" spans="9:10" x14ac:dyDescent="0.3">
      <c r="I24342" t="s">
        <v>28847</v>
      </c>
      <c r="J24342" t="s">
        <v>7751</v>
      </c>
    </row>
    <row r="24343" spans="9:10" x14ac:dyDescent="0.3">
      <c r="I24343" t="s">
        <v>28848</v>
      </c>
      <c r="J24343" t="s">
        <v>7752</v>
      </c>
    </row>
    <row r="24344" spans="9:10" x14ac:dyDescent="0.3">
      <c r="I24344" t="s">
        <v>28849</v>
      </c>
      <c r="J24344" t="s">
        <v>7753</v>
      </c>
    </row>
    <row r="24345" spans="9:10" x14ac:dyDescent="0.3">
      <c r="I24345" t="s">
        <v>28850</v>
      </c>
    </row>
    <row r="24346" spans="9:10" x14ac:dyDescent="0.3">
      <c r="I24346" t="s">
        <v>28850</v>
      </c>
    </row>
    <row r="24347" spans="9:10" x14ac:dyDescent="0.3">
      <c r="I24347" t="s">
        <v>28851</v>
      </c>
      <c r="J24347" t="s">
        <v>7754</v>
      </c>
    </row>
    <row r="24348" spans="9:10" x14ac:dyDescent="0.3">
      <c r="I24348" t="s">
        <v>28852</v>
      </c>
      <c r="J24348" t="s">
        <v>7755</v>
      </c>
    </row>
    <row r="24349" spans="9:10" x14ac:dyDescent="0.3">
      <c r="I24349" t="s">
        <v>28853</v>
      </c>
    </row>
    <row r="24350" spans="9:10" x14ac:dyDescent="0.3">
      <c r="I24350" t="s">
        <v>28854</v>
      </c>
      <c r="J24350" t="s">
        <v>7756</v>
      </c>
    </row>
    <row r="24351" spans="9:10" x14ac:dyDescent="0.3">
      <c r="I24351" t="s">
        <v>28855</v>
      </c>
      <c r="J24351" t="s">
        <v>7756</v>
      </c>
    </row>
    <row r="24352" spans="9:10" x14ac:dyDescent="0.3">
      <c r="I24352" t="s">
        <v>28855</v>
      </c>
      <c r="J24352" t="s">
        <v>7756</v>
      </c>
    </row>
    <row r="24353" spans="9:10" x14ac:dyDescent="0.3">
      <c r="I24353" t="s">
        <v>28856</v>
      </c>
      <c r="J24353" t="s">
        <v>7757</v>
      </c>
    </row>
    <row r="24354" spans="9:10" x14ac:dyDescent="0.3">
      <c r="I24354" t="s">
        <v>28857</v>
      </c>
      <c r="J24354" t="s">
        <v>7758</v>
      </c>
    </row>
    <row r="24355" spans="9:10" x14ac:dyDescent="0.3">
      <c r="I24355" t="s">
        <v>28858</v>
      </c>
      <c r="J24355" t="s">
        <v>7759</v>
      </c>
    </row>
    <row r="24356" spans="9:10" x14ac:dyDescent="0.3">
      <c r="I24356" t="s">
        <v>28859</v>
      </c>
      <c r="J24356" t="s">
        <v>7760</v>
      </c>
    </row>
    <row r="24357" spans="9:10" x14ac:dyDescent="0.3">
      <c r="I24357" t="s">
        <v>28860</v>
      </c>
    </row>
    <row r="24358" spans="9:10" x14ac:dyDescent="0.3">
      <c r="I24358" t="s">
        <v>28861</v>
      </c>
    </row>
    <row r="24359" spans="9:10" x14ac:dyDescent="0.3">
      <c r="I24359" t="s">
        <v>28862</v>
      </c>
      <c r="J24359" t="s">
        <v>7761</v>
      </c>
    </row>
    <row r="24360" spans="9:10" x14ac:dyDescent="0.3">
      <c r="I24360" t="s">
        <v>28863</v>
      </c>
    </row>
    <row r="24361" spans="9:10" x14ac:dyDescent="0.3">
      <c r="I24361" t="s">
        <v>28864</v>
      </c>
    </row>
    <row r="24362" spans="9:10" x14ac:dyDescent="0.3">
      <c r="I24362" t="s">
        <v>28865</v>
      </c>
    </row>
    <row r="24363" spans="9:10" x14ac:dyDescent="0.3">
      <c r="I24363" t="s">
        <v>28866</v>
      </c>
      <c r="J24363" t="s">
        <v>7762</v>
      </c>
    </row>
    <row r="24364" spans="9:10" x14ac:dyDescent="0.3">
      <c r="I24364" t="s">
        <v>28867</v>
      </c>
    </row>
    <row r="24365" spans="9:10" x14ac:dyDescent="0.3">
      <c r="I24365" t="s">
        <v>28868</v>
      </c>
    </row>
    <row r="24366" spans="9:10" x14ac:dyDescent="0.3">
      <c r="I24366" t="s">
        <v>28869</v>
      </c>
      <c r="J24366" t="s">
        <v>7763</v>
      </c>
    </row>
    <row r="24367" spans="9:10" x14ac:dyDescent="0.3">
      <c r="I24367" t="s">
        <v>28870</v>
      </c>
      <c r="J24367" t="s">
        <v>7764</v>
      </c>
    </row>
    <row r="24368" spans="9:10" x14ac:dyDescent="0.3">
      <c r="I24368" t="s">
        <v>28871</v>
      </c>
      <c r="J24368" t="s">
        <v>338</v>
      </c>
    </row>
    <row r="24369" spans="9:10" x14ac:dyDescent="0.3">
      <c r="I24369" t="s">
        <v>28872</v>
      </c>
      <c r="J24369" t="s">
        <v>338</v>
      </c>
    </row>
    <row r="24370" spans="9:10" x14ac:dyDescent="0.3">
      <c r="I24370" t="s">
        <v>28873</v>
      </c>
      <c r="J24370" t="s">
        <v>7765</v>
      </c>
    </row>
    <row r="24371" spans="9:10" x14ac:dyDescent="0.3">
      <c r="I24371" t="s">
        <v>28874</v>
      </c>
      <c r="J24371" t="s">
        <v>7766</v>
      </c>
    </row>
    <row r="24372" spans="9:10" x14ac:dyDescent="0.3">
      <c r="I24372" t="s">
        <v>28874</v>
      </c>
      <c r="J24372" t="s">
        <v>7766</v>
      </c>
    </row>
    <row r="24373" spans="9:10" x14ac:dyDescent="0.3">
      <c r="I24373" t="s">
        <v>28874</v>
      </c>
      <c r="J24373" t="s">
        <v>7766</v>
      </c>
    </row>
    <row r="24374" spans="9:10" x14ac:dyDescent="0.3">
      <c r="I24374" t="s">
        <v>28875</v>
      </c>
      <c r="J24374" t="s">
        <v>7767</v>
      </c>
    </row>
    <row r="24375" spans="9:10" x14ac:dyDescent="0.3">
      <c r="I24375" t="s">
        <v>28875</v>
      </c>
      <c r="J24375" t="s">
        <v>7767</v>
      </c>
    </row>
    <row r="24376" spans="9:10" x14ac:dyDescent="0.3">
      <c r="I24376" t="s">
        <v>28876</v>
      </c>
    </row>
    <row r="24377" spans="9:10" x14ac:dyDescent="0.3">
      <c r="I24377" t="s">
        <v>28877</v>
      </c>
    </row>
    <row r="24378" spans="9:10" x14ac:dyDescent="0.3">
      <c r="I24378" t="s">
        <v>28878</v>
      </c>
    </row>
    <row r="24379" spans="9:10" x14ac:dyDescent="0.3">
      <c r="I24379" t="s">
        <v>28879</v>
      </c>
    </row>
    <row r="24380" spans="9:10" x14ac:dyDescent="0.3">
      <c r="I24380" t="s">
        <v>28880</v>
      </c>
      <c r="J24380" t="s">
        <v>7768</v>
      </c>
    </row>
    <row r="24381" spans="9:10" x14ac:dyDescent="0.3">
      <c r="I24381" t="s">
        <v>28881</v>
      </c>
      <c r="J24381" t="s">
        <v>7769</v>
      </c>
    </row>
    <row r="24382" spans="9:10" x14ac:dyDescent="0.3">
      <c r="I24382" t="s">
        <v>28882</v>
      </c>
      <c r="J24382" t="s">
        <v>7770</v>
      </c>
    </row>
    <row r="24383" spans="9:10" x14ac:dyDescent="0.3">
      <c r="I24383" t="s">
        <v>28883</v>
      </c>
      <c r="J24383" t="s">
        <v>7771</v>
      </c>
    </row>
    <row r="24384" spans="9:10" x14ac:dyDescent="0.3">
      <c r="I24384" t="s">
        <v>28884</v>
      </c>
      <c r="J24384" t="s">
        <v>7772</v>
      </c>
    </row>
    <row r="24385" spans="9:10" x14ac:dyDescent="0.3">
      <c r="I24385" t="s">
        <v>28885</v>
      </c>
      <c r="J24385" t="s">
        <v>7772</v>
      </c>
    </row>
    <row r="24386" spans="9:10" x14ac:dyDescent="0.3">
      <c r="I24386" t="s">
        <v>28886</v>
      </c>
      <c r="J24386" t="s">
        <v>7773</v>
      </c>
    </row>
    <row r="24387" spans="9:10" x14ac:dyDescent="0.3">
      <c r="I24387" t="s">
        <v>28886</v>
      </c>
      <c r="J24387" t="s">
        <v>7773</v>
      </c>
    </row>
    <row r="24388" spans="9:10" x14ac:dyDescent="0.3">
      <c r="I24388" t="s">
        <v>28887</v>
      </c>
      <c r="J24388" t="s">
        <v>7773</v>
      </c>
    </row>
    <row r="24389" spans="9:10" x14ac:dyDescent="0.3">
      <c r="I24389" t="s">
        <v>28888</v>
      </c>
      <c r="J24389" t="s">
        <v>7773</v>
      </c>
    </row>
    <row r="24390" spans="9:10" x14ac:dyDescent="0.3">
      <c r="I24390" t="s">
        <v>28889</v>
      </c>
    </row>
    <row r="24391" spans="9:10" x14ac:dyDescent="0.3">
      <c r="I24391" t="s">
        <v>28890</v>
      </c>
    </row>
    <row r="24392" spans="9:10" x14ac:dyDescent="0.3">
      <c r="I24392" t="s">
        <v>28891</v>
      </c>
    </row>
    <row r="24393" spans="9:10" x14ac:dyDescent="0.3">
      <c r="I24393" t="s">
        <v>28891</v>
      </c>
    </row>
    <row r="24394" spans="9:10" x14ac:dyDescent="0.3">
      <c r="I24394" t="s">
        <v>28892</v>
      </c>
    </row>
    <row r="24395" spans="9:10" x14ac:dyDescent="0.3">
      <c r="I24395" t="s">
        <v>28893</v>
      </c>
    </row>
    <row r="24396" spans="9:10" x14ac:dyDescent="0.3">
      <c r="I24396" t="s">
        <v>28894</v>
      </c>
      <c r="J24396" t="s">
        <v>7774</v>
      </c>
    </row>
    <row r="24397" spans="9:10" x14ac:dyDescent="0.3">
      <c r="I24397" t="s">
        <v>28895</v>
      </c>
      <c r="J24397" t="s">
        <v>7775</v>
      </c>
    </row>
    <row r="24398" spans="9:10" x14ac:dyDescent="0.3">
      <c r="I24398" t="s">
        <v>28896</v>
      </c>
    </row>
    <row r="24399" spans="9:10" x14ac:dyDescent="0.3">
      <c r="I24399" t="s">
        <v>28897</v>
      </c>
    </row>
    <row r="24400" spans="9:10" x14ac:dyDescent="0.3">
      <c r="I24400" t="s">
        <v>28898</v>
      </c>
      <c r="J24400" t="s">
        <v>7776</v>
      </c>
    </row>
    <row r="24401" spans="9:10" x14ac:dyDescent="0.3">
      <c r="I24401" t="s">
        <v>28899</v>
      </c>
      <c r="J24401" t="s">
        <v>7777</v>
      </c>
    </row>
    <row r="24402" spans="9:10" x14ac:dyDescent="0.3">
      <c r="I24402" t="s">
        <v>28900</v>
      </c>
      <c r="J24402" t="s">
        <v>2045</v>
      </c>
    </row>
    <row r="24403" spans="9:10" x14ac:dyDescent="0.3">
      <c r="I24403" t="s">
        <v>28901</v>
      </c>
      <c r="J24403" t="s">
        <v>7778</v>
      </c>
    </row>
    <row r="24404" spans="9:10" x14ac:dyDescent="0.3">
      <c r="I24404" t="s">
        <v>28902</v>
      </c>
      <c r="J24404" t="s">
        <v>2045</v>
      </c>
    </row>
    <row r="24405" spans="9:10" x14ac:dyDescent="0.3">
      <c r="I24405" t="s">
        <v>28902</v>
      </c>
      <c r="J24405" t="s">
        <v>2045</v>
      </c>
    </row>
    <row r="24406" spans="9:10" x14ac:dyDescent="0.3">
      <c r="I24406" t="s">
        <v>28903</v>
      </c>
      <c r="J24406" t="s">
        <v>7779</v>
      </c>
    </row>
    <row r="24407" spans="9:10" x14ac:dyDescent="0.3">
      <c r="I24407" t="s">
        <v>28904</v>
      </c>
    </row>
    <row r="24408" spans="9:10" x14ac:dyDescent="0.3">
      <c r="I24408" t="s">
        <v>28905</v>
      </c>
    </row>
    <row r="24409" spans="9:10" x14ac:dyDescent="0.3">
      <c r="I24409" t="s">
        <v>28906</v>
      </c>
    </row>
    <row r="24410" spans="9:10" x14ac:dyDescent="0.3">
      <c r="I24410" t="s">
        <v>28907</v>
      </c>
    </row>
    <row r="24411" spans="9:10" x14ac:dyDescent="0.3">
      <c r="I24411" t="s">
        <v>28908</v>
      </c>
    </row>
    <row r="24412" spans="9:10" x14ac:dyDescent="0.3">
      <c r="I24412" t="s">
        <v>28909</v>
      </c>
    </row>
    <row r="24413" spans="9:10" x14ac:dyDescent="0.3">
      <c r="I24413" t="s">
        <v>28910</v>
      </c>
    </row>
    <row r="24414" spans="9:10" x14ac:dyDescent="0.3">
      <c r="I24414" t="s">
        <v>28911</v>
      </c>
    </row>
    <row r="24415" spans="9:10" x14ac:dyDescent="0.3">
      <c r="I24415" t="s">
        <v>28912</v>
      </c>
    </row>
    <row r="24416" spans="9:10" x14ac:dyDescent="0.3">
      <c r="I24416" t="s">
        <v>28913</v>
      </c>
    </row>
    <row r="24417" spans="9:10" x14ac:dyDescent="0.3">
      <c r="I24417" t="s">
        <v>28914</v>
      </c>
    </row>
    <row r="24418" spans="9:10" x14ac:dyDescent="0.3">
      <c r="I24418" t="s">
        <v>28915</v>
      </c>
      <c r="J24418" t="s">
        <v>7780</v>
      </c>
    </row>
    <row r="24419" spans="9:10" x14ac:dyDescent="0.3">
      <c r="I24419" t="s">
        <v>28916</v>
      </c>
      <c r="J24419" t="s">
        <v>1054</v>
      </c>
    </row>
    <row r="24420" spans="9:10" x14ac:dyDescent="0.3">
      <c r="I24420" t="s">
        <v>28917</v>
      </c>
      <c r="J24420" t="s">
        <v>7781</v>
      </c>
    </row>
    <row r="24421" spans="9:10" x14ac:dyDescent="0.3">
      <c r="I24421" t="s">
        <v>28918</v>
      </c>
    </row>
    <row r="24422" spans="9:10" x14ac:dyDescent="0.3">
      <c r="I24422" t="s">
        <v>28919</v>
      </c>
    </row>
    <row r="24423" spans="9:10" x14ac:dyDescent="0.3">
      <c r="I24423" t="s">
        <v>28920</v>
      </c>
      <c r="J24423" t="s">
        <v>7782</v>
      </c>
    </row>
    <row r="24424" spans="9:10" x14ac:dyDescent="0.3">
      <c r="I24424" t="s">
        <v>28921</v>
      </c>
    </row>
    <row r="24425" spans="9:10" x14ac:dyDescent="0.3">
      <c r="I24425" t="s">
        <v>28922</v>
      </c>
      <c r="J24425" t="s">
        <v>7783</v>
      </c>
    </row>
    <row r="24426" spans="9:10" x14ac:dyDescent="0.3">
      <c r="I24426" t="s">
        <v>28923</v>
      </c>
      <c r="J24426" t="s">
        <v>7784</v>
      </c>
    </row>
    <row r="24427" spans="9:10" x14ac:dyDescent="0.3">
      <c r="I24427" t="s">
        <v>28923</v>
      </c>
      <c r="J24427" t="s">
        <v>7784</v>
      </c>
    </row>
    <row r="24428" spans="9:10" x14ac:dyDescent="0.3">
      <c r="I24428" t="s">
        <v>28924</v>
      </c>
      <c r="J24428" t="s">
        <v>7785</v>
      </c>
    </row>
    <row r="24429" spans="9:10" x14ac:dyDescent="0.3">
      <c r="I24429" t="s">
        <v>28925</v>
      </c>
      <c r="J24429" t="s">
        <v>7785</v>
      </c>
    </row>
    <row r="24430" spans="9:10" x14ac:dyDescent="0.3">
      <c r="I24430" t="s">
        <v>28926</v>
      </c>
      <c r="J24430" t="s">
        <v>7785</v>
      </c>
    </row>
    <row r="24431" spans="9:10" x14ac:dyDescent="0.3">
      <c r="I24431" t="s">
        <v>28927</v>
      </c>
      <c r="J24431" t="s">
        <v>7786</v>
      </c>
    </row>
    <row r="24432" spans="9:10" x14ac:dyDescent="0.3">
      <c r="I24432" t="s">
        <v>28928</v>
      </c>
      <c r="J24432" t="s">
        <v>7787</v>
      </c>
    </row>
    <row r="24433" spans="9:10" x14ac:dyDescent="0.3">
      <c r="I24433" t="s">
        <v>28929</v>
      </c>
      <c r="J24433" t="s">
        <v>7788</v>
      </c>
    </row>
    <row r="24434" spans="9:10" x14ac:dyDescent="0.3">
      <c r="I24434" t="s">
        <v>28930</v>
      </c>
      <c r="J24434" t="s">
        <v>7788</v>
      </c>
    </row>
    <row r="24435" spans="9:10" x14ac:dyDescent="0.3">
      <c r="I24435" t="s">
        <v>28931</v>
      </c>
      <c r="J24435" t="s">
        <v>7789</v>
      </c>
    </row>
    <row r="24436" spans="9:10" x14ac:dyDescent="0.3">
      <c r="I24436" t="s">
        <v>28932</v>
      </c>
      <c r="J24436" t="s">
        <v>7790</v>
      </c>
    </row>
    <row r="24437" spans="9:10" x14ac:dyDescent="0.3">
      <c r="I24437" t="s">
        <v>28933</v>
      </c>
      <c r="J24437" t="s">
        <v>7791</v>
      </c>
    </row>
    <row r="24438" spans="9:10" x14ac:dyDescent="0.3">
      <c r="I24438" t="s">
        <v>28933</v>
      </c>
      <c r="J24438" t="s">
        <v>7791</v>
      </c>
    </row>
    <row r="24439" spans="9:10" x14ac:dyDescent="0.3">
      <c r="I24439" t="s">
        <v>28934</v>
      </c>
      <c r="J24439" t="s">
        <v>7792</v>
      </c>
    </row>
    <row r="24440" spans="9:10" x14ac:dyDescent="0.3">
      <c r="I24440" t="s">
        <v>28935</v>
      </c>
      <c r="J24440" t="s">
        <v>7793</v>
      </c>
    </row>
    <row r="24441" spans="9:10" x14ac:dyDescent="0.3">
      <c r="I24441" t="s">
        <v>28936</v>
      </c>
      <c r="J24441" t="s">
        <v>7794</v>
      </c>
    </row>
    <row r="24442" spans="9:10" x14ac:dyDescent="0.3">
      <c r="I24442" t="s">
        <v>28937</v>
      </c>
      <c r="J24442" t="s">
        <v>7795</v>
      </c>
    </row>
    <row r="24443" spans="9:10" x14ac:dyDescent="0.3">
      <c r="I24443" t="s">
        <v>28937</v>
      </c>
      <c r="J24443" t="s">
        <v>7795</v>
      </c>
    </row>
    <row r="24444" spans="9:10" x14ac:dyDescent="0.3">
      <c r="I24444" t="s">
        <v>28938</v>
      </c>
    </row>
    <row r="24445" spans="9:10" x14ac:dyDescent="0.3">
      <c r="I24445" t="s">
        <v>28939</v>
      </c>
    </row>
    <row r="24446" spans="9:10" x14ac:dyDescent="0.3">
      <c r="I24446" t="s">
        <v>28940</v>
      </c>
    </row>
    <row r="24447" spans="9:10" x14ac:dyDescent="0.3">
      <c r="I24447" t="s">
        <v>28941</v>
      </c>
    </row>
    <row r="24448" spans="9:10" x14ac:dyDescent="0.3">
      <c r="I24448" t="s">
        <v>28942</v>
      </c>
    </row>
    <row r="24449" spans="9:10" x14ac:dyDescent="0.3">
      <c r="I24449" t="s">
        <v>28943</v>
      </c>
    </row>
    <row r="24450" spans="9:10" x14ac:dyDescent="0.3">
      <c r="I24450" t="s">
        <v>28944</v>
      </c>
    </row>
    <row r="24451" spans="9:10" x14ac:dyDescent="0.3">
      <c r="I24451" t="s">
        <v>28945</v>
      </c>
    </row>
    <row r="24452" spans="9:10" x14ac:dyDescent="0.3">
      <c r="I24452" t="s">
        <v>28946</v>
      </c>
    </row>
    <row r="24453" spans="9:10" x14ac:dyDescent="0.3">
      <c r="I24453" t="s">
        <v>28947</v>
      </c>
    </row>
    <row r="24454" spans="9:10" x14ac:dyDescent="0.3">
      <c r="I24454" t="s">
        <v>28948</v>
      </c>
    </row>
    <row r="24455" spans="9:10" x14ac:dyDescent="0.3">
      <c r="I24455" t="s">
        <v>28949</v>
      </c>
      <c r="J24455" t="s">
        <v>7796</v>
      </c>
    </row>
    <row r="24456" spans="9:10" x14ac:dyDescent="0.3">
      <c r="I24456" t="s">
        <v>28950</v>
      </c>
    </row>
    <row r="24457" spans="9:10" x14ac:dyDescent="0.3">
      <c r="I24457" t="s">
        <v>28951</v>
      </c>
      <c r="J24457" t="s">
        <v>434</v>
      </c>
    </row>
    <row r="24458" spans="9:10" x14ac:dyDescent="0.3">
      <c r="I24458" t="s">
        <v>433</v>
      </c>
      <c r="J24458" t="s">
        <v>434</v>
      </c>
    </row>
    <row r="24459" spans="9:10" x14ac:dyDescent="0.3">
      <c r="I24459" t="s">
        <v>28951</v>
      </c>
      <c r="J24459" t="s">
        <v>434</v>
      </c>
    </row>
    <row r="24460" spans="9:10" x14ac:dyDescent="0.3">
      <c r="I24460" t="s">
        <v>28952</v>
      </c>
      <c r="J24460" t="s">
        <v>7797</v>
      </c>
    </row>
    <row r="24461" spans="9:10" x14ac:dyDescent="0.3">
      <c r="I24461" t="s">
        <v>28953</v>
      </c>
    </row>
    <row r="24462" spans="9:10" x14ac:dyDescent="0.3">
      <c r="I24462" t="s">
        <v>28954</v>
      </c>
    </row>
    <row r="24463" spans="9:10" x14ac:dyDescent="0.3">
      <c r="I24463" t="s">
        <v>28954</v>
      </c>
    </row>
    <row r="24464" spans="9:10" x14ac:dyDescent="0.3">
      <c r="I24464" t="s">
        <v>28955</v>
      </c>
    </row>
    <row r="24465" spans="9:10" x14ac:dyDescent="0.3">
      <c r="I24465" t="s">
        <v>28955</v>
      </c>
    </row>
    <row r="24466" spans="9:10" x14ac:dyDescent="0.3">
      <c r="I24466" t="s">
        <v>28956</v>
      </c>
    </row>
    <row r="24467" spans="9:10" x14ac:dyDescent="0.3">
      <c r="I24467" t="s">
        <v>28957</v>
      </c>
      <c r="J24467" t="s">
        <v>7798</v>
      </c>
    </row>
    <row r="24468" spans="9:10" x14ac:dyDescent="0.3">
      <c r="I24468" t="s">
        <v>28958</v>
      </c>
      <c r="J24468" t="s">
        <v>7798</v>
      </c>
    </row>
    <row r="24469" spans="9:10" x14ac:dyDescent="0.3">
      <c r="I24469" t="s">
        <v>28959</v>
      </c>
      <c r="J24469" t="s">
        <v>7799</v>
      </c>
    </row>
    <row r="24470" spans="9:10" x14ac:dyDescent="0.3">
      <c r="I24470" t="s">
        <v>28960</v>
      </c>
      <c r="J24470" t="s">
        <v>7799</v>
      </c>
    </row>
    <row r="24471" spans="9:10" x14ac:dyDescent="0.3">
      <c r="I24471" t="s">
        <v>28961</v>
      </c>
      <c r="J24471" t="s">
        <v>7800</v>
      </c>
    </row>
    <row r="24472" spans="9:10" x14ac:dyDescent="0.3">
      <c r="I24472" t="s">
        <v>28962</v>
      </c>
      <c r="J24472" t="s">
        <v>7801</v>
      </c>
    </row>
    <row r="24473" spans="9:10" x14ac:dyDescent="0.3">
      <c r="I24473" t="s">
        <v>28962</v>
      </c>
      <c r="J24473" t="s">
        <v>7801</v>
      </c>
    </row>
    <row r="24474" spans="9:10" x14ac:dyDescent="0.3">
      <c r="I24474" t="s">
        <v>28963</v>
      </c>
      <c r="J24474" t="s">
        <v>7802</v>
      </c>
    </row>
    <row r="24475" spans="9:10" x14ac:dyDescent="0.3">
      <c r="I24475" t="s">
        <v>28964</v>
      </c>
      <c r="J24475" t="s">
        <v>7802</v>
      </c>
    </row>
    <row r="24476" spans="9:10" x14ac:dyDescent="0.3">
      <c r="I24476" t="s">
        <v>28965</v>
      </c>
      <c r="J24476" t="s">
        <v>7803</v>
      </c>
    </row>
    <row r="24477" spans="9:10" x14ac:dyDescent="0.3">
      <c r="I24477" t="s">
        <v>28966</v>
      </c>
      <c r="J24477" t="s">
        <v>7804</v>
      </c>
    </row>
    <row r="24478" spans="9:10" x14ac:dyDescent="0.3">
      <c r="I24478" t="s">
        <v>28967</v>
      </c>
      <c r="J24478" t="s">
        <v>7805</v>
      </c>
    </row>
    <row r="24479" spans="9:10" x14ac:dyDescent="0.3">
      <c r="I24479" t="s">
        <v>28968</v>
      </c>
      <c r="J24479" t="s">
        <v>4475</v>
      </c>
    </row>
    <row r="24480" spans="9:10" x14ac:dyDescent="0.3">
      <c r="I24480" t="s">
        <v>28969</v>
      </c>
      <c r="J24480" t="s">
        <v>7806</v>
      </c>
    </row>
    <row r="24481" spans="9:10" x14ac:dyDescent="0.3">
      <c r="I24481" t="s">
        <v>28970</v>
      </c>
      <c r="J24481" t="s">
        <v>7807</v>
      </c>
    </row>
    <row r="24482" spans="9:10" x14ac:dyDescent="0.3">
      <c r="I24482" t="s">
        <v>28971</v>
      </c>
    </row>
    <row r="24483" spans="9:10" x14ac:dyDescent="0.3">
      <c r="I24483" t="s">
        <v>28972</v>
      </c>
    </row>
    <row r="24484" spans="9:10" x14ac:dyDescent="0.3">
      <c r="I24484" t="s">
        <v>28973</v>
      </c>
      <c r="J24484" t="s">
        <v>7808</v>
      </c>
    </row>
    <row r="24485" spans="9:10" x14ac:dyDescent="0.3">
      <c r="I24485" t="s">
        <v>28974</v>
      </c>
      <c r="J24485" t="s">
        <v>203</v>
      </c>
    </row>
    <row r="24486" spans="9:10" x14ac:dyDescent="0.3">
      <c r="I24486" t="s">
        <v>28974</v>
      </c>
      <c r="J24486" t="s">
        <v>203</v>
      </c>
    </row>
    <row r="24487" spans="9:10" x14ac:dyDescent="0.3">
      <c r="I24487" t="s">
        <v>28975</v>
      </c>
      <c r="J24487" t="s">
        <v>7809</v>
      </c>
    </row>
    <row r="24488" spans="9:10" x14ac:dyDescent="0.3">
      <c r="I24488" t="s">
        <v>28976</v>
      </c>
    </row>
    <row r="24489" spans="9:10" x14ac:dyDescent="0.3">
      <c r="I24489" t="s">
        <v>28977</v>
      </c>
    </row>
    <row r="24490" spans="9:10" x14ac:dyDescent="0.3">
      <c r="I24490" t="s">
        <v>28978</v>
      </c>
    </row>
    <row r="24491" spans="9:10" x14ac:dyDescent="0.3">
      <c r="I24491" t="s">
        <v>28979</v>
      </c>
      <c r="J24491" t="s">
        <v>7810</v>
      </c>
    </row>
    <row r="24492" spans="9:10" x14ac:dyDescent="0.3">
      <c r="I24492" t="s">
        <v>28980</v>
      </c>
      <c r="J24492" t="s">
        <v>7811</v>
      </c>
    </row>
    <row r="24493" spans="9:10" x14ac:dyDescent="0.3">
      <c r="I24493" t="s">
        <v>28981</v>
      </c>
    </row>
    <row r="24494" spans="9:10" x14ac:dyDescent="0.3">
      <c r="I24494" t="s">
        <v>28982</v>
      </c>
    </row>
    <row r="24495" spans="9:10" x14ac:dyDescent="0.3">
      <c r="I24495" t="s">
        <v>28983</v>
      </c>
      <c r="J24495" t="s">
        <v>7812</v>
      </c>
    </row>
    <row r="24496" spans="9:10" x14ac:dyDescent="0.3">
      <c r="I24496" t="s">
        <v>28984</v>
      </c>
      <c r="J24496" t="s">
        <v>7813</v>
      </c>
    </row>
    <row r="24497" spans="9:10" x14ac:dyDescent="0.3">
      <c r="I24497" t="s">
        <v>28985</v>
      </c>
      <c r="J24497" t="s">
        <v>7814</v>
      </c>
    </row>
    <row r="24498" spans="9:10" x14ac:dyDescent="0.3">
      <c r="I24498" t="s">
        <v>28986</v>
      </c>
    </row>
    <row r="24499" spans="9:10" x14ac:dyDescent="0.3">
      <c r="I24499" t="s">
        <v>28987</v>
      </c>
    </row>
    <row r="24500" spans="9:10" x14ac:dyDescent="0.3">
      <c r="I24500" t="s">
        <v>28988</v>
      </c>
      <c r="J24500" t="s">
        <v>7815</v>
      </c>
    </row>
    <row r="24501" spans="9:10" x14ac:dyDescent="0.3">
      <c r="I24501" t="s">
        <v>28989</v>
      </c>
    </row>
    <row r="24502" spans="9:10" x14ac:dyDescent="0.3">
      <c r="I24502" t="s">
        <v>28990</v>
      </c>
      <c r="J24502" t="s">
        <v>7816</v>
      </c>
    </row>
    <row r="24503" spans="9:10" x14ac:dyDescent="0.3">
      <c r="I24503" t="s">
        <v>28991</v>
      </c>
    </row>
    <row r="24504" spans="9:10" x14ac:dyDescent="0.3">
      <c r="I24504" t="s">
        <v>28992</v>
      </c>
      <c r="J24504" t="s">
        <v>7817</v>
      </c>
    </row>
    <row r="24505" spans="9:10" x14ac:dyDescent="0.3">
      <c r="I24505" t="s">
        <v>28993</v>
      </c>
    </row>
    <row r="24506" spans="9:10" x14ac:dyDescent="0.3">
      <c r="I24506" t="s">
        <v>28994</v>
      </c>
    </row>
    <row r="24507" spans="9:10" x14ac:dyDescent="0.3">
      <c r="I24507" t="s">
        <v>28995</v>
      </c>
    </row>
    <row r="24508" spans="9:10" x14ac:dyDescent="0.3">
      <c r="I24508" t="s">
        <v>28996</v>
      </c>
    </row>
    <row r="24509" spans="9:10" x14ac:dyDescent="0.3">
      <c r="I24509" t="s">
        <v>28997</v>
      </c>
    </row>
    <row r="24510" spans="9:10" x14ac:dyDescent="0.3">
      <c r="I24510" t="s">
        <v>28998</v>
      </c>
    </row>
    <row r="24511" spans="9:10" x14ac:dyDescent="0.3">
      <c r="I24511" t="s">
        <v>28999</v>
      </c>
    </row>
    <row r="24512" spans="9:10" x14ac:dyDescent="0.3">
      <c r="I24512" t="s">
        <v>29000</v>
      </c>
      <c r="J24512" t="s">
        <v>7818</v>
      </c>
    </row>
    <row r="24513" spans="9:10" x14ac:dyDescent="0.3">
      <c r="I24513" t="s">
        <v>29001</v>
      </c>
    </row>
    <row r="24514" spans="9:10" x14ac:dyDescent="0.3">
      <c r="I24514" t="s">
        <v>29002</v>
      </c>
      <c r="J24514" t="s">
        <v>7819</v>
      </c>
    </row>
    <row r="24515" spans="9:10" x14ac:dyDescent="0.3">
      <c r="I24515" t="s">
        <v>29003</v>
      </c>
      <c r="J24515" t="s">
        <v>7820</v>
      </c>
    </row>
    <row r="24516" spans="9:10" x14ac:dyDescent="0.3">
      <c r="I24516" t="s">
        <v>29004</v>
      </c>
      <c r="J24516" t="s">
        <v>7821</v>
      </c>
    </row>
    <row r="24517" spans="9:10" x14ac:dyDescent="0.3">
      <c r="I24517" t="s">
        <v>29005</v>
      </c>
      <c r="J24517" t="s">
        <v>7822</v>
      </c>
    </row>
    <row r="24518" spans="9:10" x14ac:dyDescent="0.3">
      <c r="I24518" t="s">
        <v>29006</v>
      </c>
    </row>
    <row r="24519" spans="9:10" x14ac:dyDescent="0.3">
      <c r="I24519" t="s">
        <v>29007</v>
      </c>
    </row>
    <row r="24520" spans="9:10" x14ac:dyDescent="0.3">
      <c r="I24520" t="s">
        <v>29008</v>
      </c>
    </row>
    <row r="24521" spans="9:10" x14ac:dyDescent="0.3">
      <c r="I24521" t="s">
        <v>29009</v>
      </c>
    </row>
    <row r="24522" spans="9:10" x14ac:dyDescent="0.3">
      <c r="I24522" t="s">
        <v>29010</v>
      </c>
    </row>
    <row r="24523" spans="9:10" x14ac:dyDescent="0.3">
      <c r="I24523" t="s">
        <v>29011</v>
      </c>
    </row>
    <row r="24524" spans="9:10" x14ac:dyDescent="0.3">
      <c r="I24524" t="s">
        <v>29012</v>
      </c>
      <c r="J24524" t="s">
        <v>7823</v>
      </c>
    </row>
    <row r="24525" spans="9:10" x14ac:dyDescent="0.3">
      <c r="I24525" t="s">
        <v>29013</v>
      </c>
      <c r="J24525" t="s">
        <v>7824</v>
      </c>
    </row>
    <row r="24526" spans="9:10" x14ac:dyDescent="0.3">
      <c r="I24526" t="s">
        <v>29014</v>
      </c>
    </row>
    <row r="24527" spans="9:10" x14ac:dyDescent="0.3">
      <c r="I24527" t="s">
        <v>29015</v>
      </c>
    </row>
    <row r="24528" spans="9:10" x14ac:dyDescent="0.3">
      <c r="I24528" t="s">
        <v>29016</v>
      </c>
    </row>
    <row r="24529" spans="9:10" x14ac:dyDescent="0.3">
      <c r="I24529" t="s">
        <v>29017</v>
      </c>
    </row>
    <row r="24530" spans="9:10" x14ac:dyDescent="0.3">
      <c r="I24530" t="s">
        <v>29018</v>
      </c>
    </row>
    <row r="24531" spans="9:10" x14ac:dyDescent="0.3">
      <c r="I24531" t="s">
        <v>29018</v>
      </c>
    </row>
    <row r="24532" spans="9:10" x14ac:dyDescent="0.3">
      <c r="I24532" t="s">
        <v>29019</v>
      </c>
    </row>
    <row r="24533" spans="9:10" x14ac:dyDescent="0.3">
      <c r="I24533" t="s">
        <v>29020</v>
      </c>
    </row>
    <row r="24534" spans="9:10" x14ac:dyDescent="0.3">
      <c r="I24534" t="s">
        <v>29021</v>
      </c>
    </row>
    <row r="24535" spans="9:10" x14ac:dyDescent="0.3">
      <c r="I24535" t="s">
        <v>29022</v>
      </c>
      <c r="J24535" t="s">
        <v>7825</v>
      </c>
    </row>
    <row r="24536" spans="9:10" x14ac:dyDescent="0.3">
      <c r="I24536" t="s">
        <v>29023</v>
      </c>
      <c r="J24536" t="s">
        <v>7826</v>
      </c>
    </row>
    <row r="24537" spans="9:10" x14ac:dyDescent="0.3">
      <c r="I24537" t="s">
        <v>29024</v>
      </c>
      <c r="J24537" t="s">
        <v>7827</v>
      </c>
    </row>
    <row r="24538" spans="9:10" x14ac:dyDescent="0.3">
      <c r="I24538" t="s">
        <v>29025</v>
      </c>
    </row>
    <row r="24539" spans="9:10" x14ac:dyDescent="0.3">
      <c r="I24539" t="s">
        <v>29026</v>
      </c>
    </row>
    <row r="24540" spans="9:10" x14ac:dyDescent="0.3">
      <c r="I24540" t="s">
        <v>29027</v>
      </c>
    </row>
    <row r="24541" spans="9:10" x14ac:dyDescent="0.3">
      <c r="I24541" t="s">
        <v>29028</v>
      </c>
    </row>
    <row r="24542" spans="9:10" x14ac:dyDescent="0.3">
      <c r="I24542" t="s">
        <v>29029</v>
      </c>
      <c r="J24542" t="s">
        <v>7828</v>
      </c>
    </row>
    <row r="24543" spans="9:10" x14ac:dyDescent="0.3">
      <c r="I24543" t="s">
        <v>29030</v>
      </c>
      <c r="J24543" t="s">
        <v>7829</v>
      </c>
    </row>
    <row r="24544" spans="9:10" x14ac:dyDescent="0.3">
      <c r="I24544" t="s">
        <v>29031</v>
      </c>
      <c r="J24544" t="s">
        <v>7829</v>
      </c>
    </row>
    <row r="24545" spans="9:10" x14ac:dyDescent="0.3">
      <c r="I24545" t="s">
        <v>29032</v>
      </c>
      <c r="J24545" t="s">
        <v>7830</v>
      </c>
    </row>
    <row r="24546" spans="9:10" x14ac:dyDescent="0.3">
      <c r="I24546" t="s">
        <v>29032</v>
      </c>
      <c r="J24546" t="s">
        <v>7830</v>
      </c>
    </row>
    <row r="24547" spans="9:10" x14ac:dyDescent="0.3">
      <c r="I24547" t="s">
        <v>29032</v>
      </c>
      <c r="J24547" t="s">
        <v>7830</v>
      </c>
    </row>
    <row r="24548" spans="9:10" x14ac:dyDescent="0.3">
      <c r="I24548" t="s">
        <v>29033</v>
      </c>
    </row>
    <row r="24549" spans="9:10" x14ac:dyDescent="0.3">
      <c r="I24549" t="s">
        <v>29034</v>
      </c>
    </row>
    <row r="24550" spans="9:10" x14ac:dyDescent="0.3">
      <c r="I24550" t="s">
        <v>29035</v>
      </c>
      <c r="J24550" t="s">
        <v>7831</v>
      </c>
    </row>
    <row r="24551" spans="9:10" x14ac:dyDescent="0.3">
      <c r="I24551" t="s">
        <v>29036</v>
      </c>
    </row>
    <row r="24552" spans="9:10" x14ac:dyDescent="0.3">
      <c r="I24552" t="s">
        <v>29037</v>
      </c>
    </row>
    <row r="24553" spans="9:10" x14ac:dyDescent="0.3">
      <c r="I24553" t="s">
        <v>29038</v>
      </c>
    </row>
    <row r="24554" spans="9:10" x14ac:dyDescent="0.3">
      <c r="I24554" t="s">
        <v>29039</v>
      </c>
      <c r="J24554" t="s">
        <v>7832</v>
      </c>
    </row>
    <row r="24555" spans="9:10" x14ac:dyDescent="0.3">
      <c r="I24555" t="s">
        <v>29040</v>
      </c>
    </row>
    <row r="24556" spans="9:10" x14ac:dyDescent="0.3">
      <c r="I24556" t="s">
        <v>29041</v>
      </c>
      <c r="J24556" t="s">
        <v>7833</v>
      </c>
    </row>
    <row r="24557" spans="9:10" x14ac:dyDescent="0.3">
      <c r="I24557" t="s">
        <v>29042</v>
      </c>
    </row>
    <row r="24558" spans="9:10" x14ac:dyDescent="0.3">
      <c r="I24558" t="s">
        <v>29043</v>
      </c>
      <c r="J24558" t="s">
        <v>7834</v>
      </c>
    </row>
    <row r="24559" spans="9:10" x14ac:dyDescent="0.3">
      <c r="I24559" t="s">
        <v>29044</v>
      </c>
      <c r="J24559" t="s">
        <v>7834</v>
      </c>
    </row>
    <row r="24560" spans="9:10" x14ac:dyDescent="0.3">
      <c r="I24560" t="s">
        <v>29044</v>
      </c>
      <c r="J24560" t="s">
        <v>7834</v>
      </c>
    </row>
    <row r="24561" spans="9:10" x14ac:dyDescent="0.3">
      <c r="I24561" t="s">
        <v>29045</v>
      </c>
      <c r="J24561" t="s">
        <v>7835</v>
      </c>
    </row>
    <row r="24562" spans="9:10" x14ac:dyDescent="0.3">
      <c r="I24562" t="s">
        <v>29046</v>
      </c>
      <c r="J24562" t="s">
        <v>7835</v>
      </c>
    </row>
    <row r="24563" spans="9:10" x14ac:dyDescent="0.3">
      <c r="I24563" t="s">
        <v>29047</v>
      </c>
    </row>
    <row r="24564" spans="9:10" x14ac:dyDescent="0.3">
      <c r="I24564" t="s">
        <v>29048</v>
      </c>
    </row>
    <row r="24565" spans="9:10" x14ac:dyDescent="0.3">
      <c r="I24565" t="s">
        <v>29049</v>
      </c>
    </row>
    <row r="24566" spans="9:10" x14ac:dyDescent="0.3">
      <c r="I24566" t="s">
        <v>29050</v>
      </c>
    </row>
    <row r="24567" spans="9:10" x14ac:dyDescent="0.3">
      <c r="I24567" t="s">
        <v>29051</v>
      </c>
    </row>
    <row r="24568" spans="9:10" x14ac:dyDescent="0.3">
      <c r="I24568" t="s">
        <v>29052</v>
      </c>
    </row>
    <row r="24569" spans="9:10" x14ac:dyDescent="0.3">
      <c r="I24569" t="s">
        <v>29053</v>
      </c>
    </row>
    <row r="24570" spans="9:10" x14ac:dyDescent="0.3">
      <c r="I24570" t="s">
        <v>29054</v>
      </c>
    </row>
    <row r="24571" spans="9:10" x14ac:dyDescent="0.3">
      <c r="I24571" t="s">
        <v>29055</v>
      </c>
      <c r="J24571" t="s">
        <v>233</v>
      </c>
    </row>
    <row r="24572" spans="9:10" x14ac:dyDescent="0.3">
      <c r="I24572" t="s">
        <v>29056</v>
      </c>
      <c r="J24572" t="s">
        <v>7836</v>
      </c>
    </row>
    <row r="24573" spans="9:10" x14ac:dyDescent="0.3">
      <c r="I24573" t="s">
        <v>29057</v>
      </c>
      <c r="J24573" t="s">
        <v>7836</v>
      </c>
    </row>
    <row r="24574" spans="9:10" x14ac:dyDescent="0.3">
      <c r="I24574" t="s">
        <v>29058</v>
      </c>
      <c r="J24574" t="s">
        <v>7837</v>
      </c>
    </row>
    <row r="24575" spans="9:10" x14ac:dyDescent="0.3">
      <c r="I24575" t="s">
        <v>29059</v>
      </c>
    </row>
    <row r="24576" spans="9:10" x14ac:dyDescent="0.3">
      <c r="I24576" t="s">
        <v>29060</v>
      </c>
    </row>
    <row r="24577" spans="9:10" x14ac:dyDescent="0.3">
      <c r="I24577" t="s">
        <v>29061</v>
      </c>
      <c r="J24577" t="s">
        <v>7838</v>
      </c>
    </row>
    <row r="24578" spans="9:10" x14ac:dyDescent="0.3">
      <c r="I24578" t="s">
        <v>29062</v>
      </c>
      <c r="J24578" t="s">
        <v>7838</v>
      </c>
    </row>
    <row r="24579" spans="9:10" x14ac:dyDescent="0.3">
      <c r="I24579" t="s">
        <v>29063</v>
      </c>
      <c r="J24579" t="s">
        <v>7838</v>
      </c>
    </row>
    <row r="24580" spans="9:10" x14ac:dyDescent="0.3">
      <c r="I24580" t="s">
        <v>29064</v>
      </c>
      <c r="J24580" t="s">
        <v>7839</v>
      </c>
    </row>
    <row r="24581" spans="9:10" x14ac:dyDescent="0.3">
      <c r="I24581" t="s">
        <v>29065</v>
      </c>
      <c r="J24581" t="s">
        <v>7840</v>
      </c>
    </row>
    <row r="24582" spans="9:10" x14ac:dyDescent="0.3">
      <c r="I24582" t="s">
        <v>29066</v>
      </c>
      <c r="J24582" t="s">
        <v>7840</v>
      </c>
    </row>
    <row r="24583" spans="9:10" x14ac:dyDescent="0.3">
      <c r="I24583" t="s">
        <v>29067</v>
      </c>
      <c r="J24583" t="s">
        <v>7841</v>
      </c>
    </row>
    <row r="24584" spans="9:10" x14ac:dyDescent="0.3">
      <c r="I24584" t="s">
        <v>29068</v>
      </c>
      <c r="J24584" t="s">
        <v>7842</v>
      </c>
    </row>
    <row r="24585" spans="9:10" x14ac:dyDescent="0.3">
      <c r="I24585" t="s">
        <v>29069</v>
      </c>
      <c r="J24585" t="s">
        <v>7843</v>
      </c>
    </row>
    <row r="24586" spans="9:10" x14ac:dyDescent="0.3">
      <c r="I24586" t="s">
        <v>29070</v>
      </c>
      <c r="J24586" t="s">
        <v>7844</v>
      </c>
    </row>
    <row r="24587" spans="9:10" x14ac:dyDescent="0.3">
      <c r="I24587" t="s">
        <v>29071</v>
      </c>
    </row>
    <row r="24588" spans="9:10" x14ac:dyDescent="0.3">
      <c r="I24588" t="s">
        <v>29071</v>
      </c>
    </row>
    <row r="24589" spans="9:10" x14ac:dyDescent="0.3">
      <c r="I24589" t="s">
        <v>29072</v>
      </c>
      <c r="J24589" t="s">
        <v>7845</v>
      </c>
    </row>
    <row r="24590" spans="9:10" x14ac:dyDescent="0.3">
      <c r="I24590" t="s">
        <v>29073</v>
      </c>
    </row>
    <row r="24591" spans="9:10" x14ac:dyDescent="0.3">
      <c r="I24591" t="s">
        <v>29074</v>
      </c>
      <c r="J24591" t="s">
        <v>7846</v>
      </c>
    </row>
    <row r="24592" spans="9:10" x14ac:dyDescent="0.3">
      <c r="I24592" t="s">
        <v>29075</v>
      </c>
    </row>
    <row r="24593" spans="9:10" x14ac:dyDescent="0.3">
      <c r="I24593" t="s">
        <v>29076</v>
      </c>
    </row>
    <row r="24594" spans="9:10" x14ac:dyDescent="0.3">
      <c r="I24594" t="s">
        <v>29077</v>
      </c>
      <c r="J24594">
        <v>0</v>
      </c>
    </row>
    <row r="24595" spans="9:10" x14ac:dyDescent="0.3">
      <c r="I24595" t="s">
        <v>29078</v>
      </c>
      <c r="J24595">
        <v>0</v>
      </c>
    </row>
    <row r="24596" spans="9:10" x14ac:dyDescent="0.3">
      <c r="I24596" t="s">
        <v>29079</v>
      </c>
      <c r="J24596" t="s">
        <v>401</v>
      </c>
    </row>
    <row r="24597" spans="9:10" x14ac:dyDescent="0.3">
      <c r="I24597" t="s">
        <v>29080</v>
      </c>
      <c r="J24597" t="s">
        <v>7847</v>
      </c>
    </row>
    <row r="24598" spans="9:10" x14ac:dyDescent="0.3">
      <c r="I24598" t="s">
        <v>29081</v>
      </c>
    </row>
    <row r="24599" spans="9:10" x14ac:dyDescent="0.3">
      <c r="I24599" t="s">
        <v>29082</v>
      </c>
    </row>
    <row r="24600" spans="9:10" x14ac:dyDescent="0.3">
      <c r="I24600" t="s">
        <v>29083</v>
      </c>
      <c r="J24600" t="s">
        <v>7848</v>
      </c>
    </row>
    <row r="24601" spans="9:10" x14ac:dyDescent="0.3">
      <c r="I24601" t="s">
        <v>29084</v>
      </c>
    </row>
    <row r="24602" spans="9:10" x14ac:dyDescent="0.3">
      <c r="I24602" t="s">
        <v>29085</v>
      </c>
    </row>
    <row r="24603" spans="9:10" x14ac:dyDescent="0.3">
      <c r="I24603" t="s">
        <v>29086</v>
      </c>
    </row>
    <row r="24604" spans="9:10" x14ac:dyDescent="0.3">
      <c r="I24604" t="s">
        <v>29087</v>
      </c>
    </row>
    <row r="24605" spans="9:10" x14ac:dyDescent="0.3">
      <c r="I24605" t="s">
        <v>29088</v>
      </c>
      <c r="J24605" t="s">
        <v>7849</v>
      </c>
    </row>
    <row r="24606" spans="9:10" x14ac:dyDescent="0.3">
      <c r="I24606" t="s">
        <v>29088</v>
      </c>
      <c r="J24606" t="s">
        <v>7849</v>
      </c>
    </row>
    <row r="24607" spans="9:10" x14ac:dyDescent="0.3">
      <c r="I24607" t="s">
        <v>29088</v>
      </c>
      <c r="J24607" t="s">
        <v>7849</v>
      </c>
    </row>
    <row r="24608" spans="9:10" x14ac:dyDescent="0.3">
      <c r="I24608" t="s">
        <v>29088</v>
      </c>
      <c r="J24608" t="s">
        <v>7849</v>
      </c>
    </row>
    <row r="24609" spans="9:10" x14ac:dyDescent="0.3">
      <c r="I24609" t="s">
        <v>29088</v>
      </c>
      <c r="J24609" t="s">
        <v>7849</v>
      </c>
    </row>
    <row r="24610" spans="9:10" x14ac:dyDescent="0.3">
      <c r="I24610" t="s">
        <v>29089</v>
      </c>
      <c r="J24610" t="s">
        <v>7850</v>
      </c>
    </row>
    <row r="24611" spans="9:10" x14ac:dyDescent="0.3">
      <c r="I24611" t="s">
        <v>29090</v>
      </c>
      <c r="J24611" t="s">
        <v>7850</v>
      </c>
    </row>
    <row r="24612" spans="9:10" x14ac:dyDescent="0.3">
      <c r="I24612" t="s">
        <v>29091</v>
      </c>
      <c r="J24612" t="s">
        <v>7851</v>
      </c>
    </row>
    <row r="24613" spans="9:10" x14ac:dyDescent="0.3">
      <c r="I24613" t="s">
        <v>29092</v>
      </c>
    </row>
    <row r="24614" spans="9:10" x14ac:dyDescent="0.3">
      <c r="I24614" t="s">
        <v>29093</v>
      </c>
      <c r="J24614" t="s">
        <v>7852</v>
      </c>
    </row>
    <row r="24615" spans="9:10" x14ac:dyDescent="0.3">
      <c r="I24615" t="s">
        <v>29094</v>
      </c>
      <c r="J24615" t="s">
        <v>7853</v>
      </c>
    </row>
    <row r="24616" spans="9:10" x14ac:dyDescent="0.3">
      <c r="I24616" t="s">
        <v>29095</v>
      </c>
    </row>
    <row r="24617" spans="9:10" x14ac:dyDescent="0.3">
      <c r="I24617" t="s">
        <v>29096</v>
      </c>
    </row>
    <row r="24618" spans="9:10" x14ac:dyDescent="0.3">
      <c r="I24618" t="s">
        <v>29097</v>
      </c>
      <c r="J24618" t="s">
        <v>7854</v>
      </c>
    </row>
    <row r="24619" spans="9:10" x14ac:dyDescent="0.3">
      <c r="I24619" t="s">
        <v>29098</v>
      </c>
    </row>
    <row r="24620" spans="9:10" x14ac:dyDescent="0.3">
      <c r="I24620" t="s">
        <v>29099</v>
      </c>
    </row>
    <row r="24621" spans="9:10" x14ac:dyDescent="0.3">
      <c r="I24621" t="s">
        <v>29100</v>
      </c>
      <c r="J24621" t="s">
        <v>7855</v>
      </c>
    </row>
    <row r="24622" spans="9:10" x14ac:dyDescent="0.3">
      <c r="I24622" t="s">
        <v>29101</v>
      </c>
      <c r="J24622" t="s">
        <v>7856</v>
      </c>
    </row>
    <row r="24623" spans="9:10" x14ac:dyDescent="0.3">
      <c r="I24623" t="s">
        <v>29101</v>
      </c>
      <c r="J24623" t="s">
        <v>7856</v>
      </c>
    </row>
    <row r="24624" spans="9:10" x14ac:dyDescent="0.3">
      <c r="I24624" t="s">
        <v>29102</v>
      </c>
    </row>
    <row r="24625" spans="9:10" x14ac:dyDescent="0.3">
      <c r="I24625" t="s">
        <v>29103</v>
      </c>
    </row>
    <row r="24626" spans="9:10" x14ac:dyDescent="0.3">
      <c r="I24626" t="s">
        <v>29104</v>
      </c>
    </row>
    <row r="24627" spans="9:10" x14ac:dyDescent="0.3">
      <c r="I24627" t="s">
        <v>29105</v>
      </c>
    </row>
    <row r="24628" spans="9:10" x14ac:dyDescent="0.3">
      <c r="I24628" t="s">
        <v>29106</v>
      </c>
      <c r="J24628" t="s">
        <v>7857</v>
      </c>
    </row>
    <row r="24629" spans="9:10" x14ac:dyDescent="0.3">
      <c r="I24629" t="s">
        <v>29107</v>
      </c>
      <c r="J24629" t="s">
        <v>7858</v>
      </c>
    </row>
    <row r="24630" spans="9:10" x14ac:dyDescent="0.3">
      <c r="I24630" t="s">
        <v>29108</v>
      </c>
      <c r="J24630" t="s">
        <v>7859</v>
      </c>
    </row>
    <row r="24631" spans="9:10" x14ac:dyDescent="0.3">
      <c r="I24631" t="s">
        <v>29108</v>
      </c>
      <c r="J24631" t="s">
        <v>7859</v>
      </c>
    </row>
    <row r="24632" spans="9:10" x14ac:dyDescent="0.3">
      <c r="I24632" t="s">
        <v>29109</v>
      </c>
      <c r="J24632" t="s">
        <v>7860</v>
      </c>
    </row>
    <row r="24633" spans="9:10" x14ac:dyDescent="0.3">
      <c r="I24633" t="s">
        <v>29110</v>
      </c>
    </row>
    <row r="24634" spans="9:10" x14ac:dyDescent="0.3">
      <c r="I24634" t="s">
        <v>29111</v>
      </c>
    </row>
    <row r="24635" spans="9:10" x14ac:dyDescent="0.3">
      <c r="I24635" t="s">
        <v>29112</v>
      </c>
      <c r="J24635" t="s">
        <v>7861</v>
      </c>
    </row>
    <row r="24636" spans="9:10" x14ac:dyDescent="0.3">
      <c r="I24636" t="s">
        <v>29112</v>
      </c>
      <c r="J24636" t="s">
        <v>7861</v>
      </c>
    </row>
    <row r="24637" spans="9:10" x14ac:dyDescent="0.3">
      <c r="I24637" t="s">
        <v>29113</v>
      </c>
    </row>
    <row r="24638" spans="9:10" x14ac:dyDescent="0.3">
      <c r="I24638" t="s">
        <v>29114</v>
      </c>
    </row>
    <row r="24639" spans="9:10" x14ac:dyDescent="0.3">
      <c r="I24639" t="s">
        <v>29115</v>
      </c>
    </row>
    <row r="24640" spans="9:10" x14ac:dyDescent="0.3">
      <c r="I24640" t="s">
        <v>29116</v>
      </c>
    </row>
    <row r="24641" spans="9:10" x14ac:dyDescent="0.3">
      <c r="I24641" t="s">
        <v>29117</v>
      </c>
    </row>
    <row r="24642" spans="9:10" x14ac:dyDescent="0.3">
      <c r="I24642" t="s">
        <v>29118</v>
      </c>
    </row>
    <row r="24643" spans="9:10" x14ac:dyDescent="0.3">
      <c r="I24643" t="s">
        <v>29119</v>
      </c>
      <c r="J24643" t="s">
        <v>7862</v>
      </c>
    </row>
    <row r="24644" spans="9:10" x14ac:dyDescent="0.3">
      <c r="I24644" t="s">
        <v>29119</v>
      </c>
      <c r="J24644" t="s">
        <v>7862</v>
      </c>
    </row>
    <row r="24645" spans="9:10" x14ac:dyDescent="0.3">
      <c r="I24645" t="s">
        <v>29119</v>
      </c>
      <c r="J24645" t="s">
        <v>7862</v>
      </c>
    </row>
    <row r="24646" spans="9:10" x14ac:dyDescent="0.3">
      <c r="I24646" t="s">
        <v>29119</v>
      </c>
      <c r="J24646" t="s">
        <v>7862</v>
      </c>
    </row>
    <row r="24647" spans="9:10" x14ac:dyDescent="0.3">
      <c r="I24647" t="s">
        <v>29120</v>
      </c>
      <c r="J24647" t="s">
        <v>7863</v>
      </c>
    </row>
    <row r="24648" spans="9:10" x14ac:dyDescent="0.3">
      <c r="I24648" t="s">
        <v>29121</v>
      </c>
    </row>
    <row r="24649" spans="9:10" x14ac:dyDescent="0.3">
      <c r="I24649" t="s">
        <v>29122</v>
      </c>
    </row>
    <row r="24650" spans="9:10" x14ac:dyDescent="0.3">
      <c r="I24650" t="s">
        <v>29123</v>
      </c>
    </row>
    <row r="24651" spans="9:10" x14ac:dyDescent="0.3">
      <c r="I24651" t="s">
        <v>29124</v>
      </c>
    </row>
    <row r="24652" spans="9:10" x14ac:dyDescent="0.3">
      <c r="I24652" t="s">
        <v>29125</v>
      </c>
    </row>
    <row r="24653" spans="9:10" x14ac:dyDescent="0.3">
      <c r="I24653" t="s">
        <v>29125</v>
      </c>
    </row>
    <row r="24654" spans="9:10" x14ac:dyDescent="0.3">
      <c r="I24654" t="s">
        <v>29125</v>
      </c>
    </row>
    <row r="24655" spans="9:10" x14ac:dyDescent="0.3">
      <c r="I24655" t="s">
        <v>29125</v>
      </c>
    </row>
    <row r="24656" spans="9:10" x14ac:dyDescent="0.3">
      <c r="I24656" t="s">
        <v>29125</v>
      </c>
    </row>
    <row r="24657" spans="9:10" x14ac:dyDescent="0.3">
      <c r="I24657" t="s">
        <v>29125</v>
      </c>
    </row>
    <row r="24658" spans="9:10" x14ac:dyDescent="0.3">
      <c r="I24658" t="s">
        <v>29126</v>
      </c>
    </row>
    <row r="24659" spans="9:10" x14ac:dyDescent="0.3">
      <c r="I24659" t="s">
        <v>29127</v>
      </c>
      <c r="J24659" t="s">
        <v>7864</v>
      </c>
    </row>
    <row r="24660" spans="9:10" x14ac:dyDescent="0.3">
      <c r="I24660" t="s">
        <v>29128</v>
      </c>
      <c r="J24660" t="s">
        <v>7865</v>
      </c>
    </row>
    <row r="24661" spans="9:10" x14ac:dyDescent="0.3">
      <c r="I24661" t="s">
        <v>29129</v>
      </c>
    </row>
    <row r="24662" spans="9:10" x14ac:dyDescent="0.3">
      <c r="I24662" t="s">
        <v>29130</v>
      </c>
      <c r="J24662" t="s">
        <v>7866</v>
      </c>
    </row>
    <row r="24663" spans="9:10" x14ac:dyDescent="0.3">
      <c r="I24663" t="s">
        <v>29131</v>
      </c>
    </row>
    <row r="24664" spans="9:10" x14ac:dyDescent="0.3">
      <c r="I24664" t="s">
        <v>29132</v>
      </c>
    </row>
    <row r="24665" spans="9:10" x14ac:dyDescent="0.3">
      <c r="I24665" t="s">
        <v>29133</v>
      </c>
      <c r="J24665" t="s">
        <v>7867</v>
      </c>
    </row>
    <row r="24666" spans="9:10" x14ac:dyDescent="0.3">
      <c r="I24666" t="s">
        <v>29134</v>
      </c>
    </row>
    <row r="24667" spans="9:10" x14ac:dyDescent="0.3">
      <c r="I24667" t="s">
        <v>29135</v>
      </c>
    </row>
    <row r="24668" spans="9:10" x14ac:dyDescent="0.3">
      <c r="I24668" t="s">
        <v>29136</v>
      </c>
    </row>
    <row r="24669" spans="9:10" x14ac:dyDescent="0.3">
      <c r="I24669" t="s">
        <v>29137</v>
      </c>
      <c r="J24669" t="s">
        <v>7868</v>
      </c>
    </row>
    <row r="24670" spans="9:10" x14ac:dyDescent="0.3">
      <c r="I24670" t="s">
        <v>29138</v>
      </c>
      <c r="J24670" t="s">
        <v>7869</v>
      </c>
    </row>
    <row r="24671" spans="9:10" x14ac:dyDescent="0.3">
      <c r="I24671" t="s">
        <v>29139</v>
      </c>
      <c r="J24671" t="s">
        <v>7870</v>
      </c>
    </row>
    <row r="24672" spans="9:10" x14ac:dyDescent="0.3">
      <c r="I24672" t="s">
        <v>29140</v>
      </c>
      <c r="J24672" t="s">
        <v>7871</v>
      </c>
    </row>
    <row r="24673" spans="9:10" x14ac:dyDescent="0.3">
      <c r="I24673" t="s">
        <v>29141</v>
      </c>
      <c r="J24673" t="s">
        <v>7872</v>
      </c>
    </row>
    <row r="24674" spans="9:10" x14ac:dyDescent="0.3">
      <c r="I24674" t="s">
        <v>29142</v>
      </c>
    </row>
    <row r="24675" spans="9:10" x14ac:dyDescent="0.3">
      <c r="I24675" t="s">
        <v>29143</v>
      </c>
    </row>
    <row r="24676" spans="9:10" x14ac:dyDescent="0.3">
      <c r="I24676" t="s">
        <v>29144</v>
      </c>
    </row>
    <row r="24677" spans="9:10" x14ac:dyDescent="0.3">
      <c r="I24677" t="s">
        <v>29145</v>
      </c>
    </row>
    <row r="24678" spans="9:10" x14ac:dyDescent="0.3">
      <c r="I24678" t="s">
        <v>29146</v>
      </c>
    </row>
    <row r="24679" spans="9:10" x14ac:dyDescent="0.3">
      <c r="I24679" t="s">
        <v>29147</v>
      </c>
      <c r="J24679" t="s">
        <v>7873</v>
      </c>
    </row>
    <row r="24680" spans="9:10" x14ac:dyDescent="0.3">
      <c r="I24680" t="s">
        <v>29148</v>
      </c>
      <c r="J24680" t="s">
        <v>7874</v>
      </c>
    </row>
    <row r="24681" spans="9:10" x14ac:dyDescent="0.3">
      <c r="I24681" t="s">
        <v>29148</v>
      </c>
      <c r="J24681" t="s">
        <v>7874</v>
      </c>
    </row>
    <row r="24682" spans="9:10" x14ac:dyDescent="0.3">
      <c r="I24682" t="s">
        <v>29149</v>
      </c>
      <c r="J24682" t="s">
        <v>7875</v>
      </c>
    </row>
    <row r="24683" spans="9:10" x14ac:dyDescent="0.3">
      <c r="I24683" t="s">
        <v>29150</v>
      </c>
      <c r="J24683" t="s">
        <v>7876</v>
      </c>
    </row>
    <row r="24684" spans="9:10" x14ac:dyDescent="0.3">
      <c r="I24684" t="s">
        <v>29151</v>
      </c>
    </row>
    <row r="24685" spans="9:10" x14ac:dyDescent="0.3">
      <c r="I24685" t="s">
        <v>29152</v>
      </c>
    </row>
    <row r="24686" spans="9:10" x14ac:dyDescent="0.3">
      <c r="I24686" t="s">
        <v>29153</v>
      </c>
    </row>
    <row r="24687" spans="9:10" x14ac:dyDescent="0.3">
      <c r="I24687" t="s">
        <v>29154</v>
      </c>
      <c r="J24687" t="s">
        <v>7877</v>
      </c>
    </row>
    <row r="24688" spans="9:10" x14ac:dyDescent="0.3">
      <c r="I24688" t="s">
        <v>29155</v>
      </c>
      <c r="J24688" t="s">
        <v>7878</v>
      </c>
    </row>
    <row r="24689" spans="9:10" x14ac:dyDescent="0.3">
      <c r="I24689" t="s">
        <v>29156</v>
      </c>
    </row>
    <row r="24690" spans="9:10" x14ac:dyDescent="0.3">
      <c r="I24690" t="s">
        <v>29157</v>
      </c>
    </row>
    <row r="24691" spans="9:10" x14ac:dyDescent="0.3">
      <c r="I24691" t="s">
        <v>29158</v>
      </c>
      <c r="J24691" t="s">
        <v>177</v>
      </c>
    </row>
    <row r="24692" spans="9:10" x14ac:dyDescent="0.3">
      <c r="I24692" t="s">
        <v>29158</v>
      </c>
      <c r="J24692" t="s">
        <v>177</v>
      </c>
    </row>
    <row r="24693" spans="9:10" x14ac:dyDescent="0.3">
      <c r="I24693" t="s">
        <v>29159</v>
      </c>
      <c r="J24693" t="s">
        <v>7879</v>
      </c>
    </row>
    <row r="24694" spans="9:10" x14ac:dyDescent="0.3">
      <c r="I24694" t="s">
        <v>29160</v>
      </c>
      <c r="J24694" t="s">
        <v>7880</v>
      </c>
    </row>
    <row r="24695" spans="9:10" x14ac:dyDescent="0.3">
      <c r="I24695" t="s">
        <v>29161</v>
      </c>
      <c r="J24695" t="s">
        <v>7881</v>
      </c>
    </row>
    <row r="24696" spans="9:10" x14ac:dyDescent="0.3">
      <c r="I24696" t="s">
        <v>29162</v>
      </c>
    </row>
    <row r="24697" spans="9:10" x14ac:dyDescent="0.3">
      <c r="I24697" t="s">
        <v>29163</v>
      </c>
    </row>
    <row r="24698" spans="9:10" x14ac:dyDescent="0.3">
      <c r="I24698" t="s">
        <v>29164</v>
      </c>
    </row>
    <row r="24699" spans="9:10" x14ac:dyDescent="0.3">
      <c r="I24699" t="s">
        <v>29165</v>
      </c>
      <c r="J24699" t="s">
        <v>7882</v>
      </c>
    </row>
    <row r="24700" spans="9:10" x14ac:dyDescent="0.3">
      <c r="I24700" t="s">
        <v>29166</v>
      </c>
      <c r="J24700">
        <v>0</v>
      </c>
    </row>
    <row r="24701" spans="9:10" x14ac:dyDescent="0.3">
      <c r="I24701" t="s">
        <v>29167</v>
      </c>
      <c r="J24701" t="s">
        <v>7883</v>
      </c>
    </row>
    <row r="24702" spans="9:10" x14ac:dyDescent="0.3">
      <c r="I24702" t="s">
        <v>29168</v>
      </c>
    </row>
    <row r="24703" spans="9:10" x14ac:dyDescent="0.3">
      <c r="I24703" t="s">
        <v>29169</v>
      </c>
      <c r="J24703" t="s">
        <v>7884</v>
      </c>
    </row>
    <row r="24704" spans="9:10" x14ac:dyDescent="0.3">
      <c r="I24704" t="s">
        <v>29170</v>
      </c>
      <c r="J24704" t="s">
        <v>7885</v>
      </c>
    </row>
    <row r="24705" spans="9:10" x14ac:dyDescent="0.3">
      <c r="I24705" t="s">
        <v>29171</v>
      </c>
      <c r="J24705" t="s">
        <v>7886</v>
      </c>
    </row>
    <row r="24706" spans="9:10" x14ac:dyDescent="0.3">
      <c r="I24706" t="s">
        <v>29172</v>
      </c>
    </row>
    <row r="24707" spans="9:10" x14ac:dyDescent="0.3">
      <c r="I24707" t="s">
        <v>29173</v>
      </c>
      <c r="J24707" t="s">
        <v>7887</v>
      </c>
    </row>
    <row r="24708" spans="9:10" x14ac:dyDescent="0.3">
      <c r="I24708" t="s">
        <v>29173</v>
      </c>
      <c r="J24708" t="s">
        <v>7887</v>
      </c>
    </row>
    <row r="24709" spans="9:10" x14ac:dyDescent="0.3">
      <c r="I24709" t="s">
        <v>29174</v>
      </c>
    </row>
    <row r="24710" spans="9:10" x14ac:dyDescent="0.3">
      <c r="I24710" t="s">
        <v>29175</v>
      </c>
      <c r="J24710" t="s">
        <v>7888</v>
      </c>
    </row>
    <row r="24711" spans="9:10" x14ac:dyDescent="0.3">
      <c r="I24711" t="s">
        <v>29176</v>
      </c>
      <c r="J24711" t="s">
        <v>7888</v>
      </c>
    </row>
    <row r="24712" spans="9:10" x14ac:dyDescent="0.3">
      <c r="I24712" t="s">
        <v>29177</v>
      </c>
      <c r="J24712" t="s">
        <v>7889</v>
      </c>
    </row>
    <row r="24713" spans="9:10" x14ac:dyDescent="0.3">
      <c r="I24713" t="s">
        <v>29178</v>
      </c>
      <c r="J24713" t="s">
        <v>7890</v>
      </c>
    </row>
    <row r="24714" spans="9:10" x14ac:dyDescent="0.3">
      <c r="I24714" t="s">
        <v>29179</v>
      </c>
      <c r="J24714" t="s">
        <v>7891</v>
      </c>
    </row>
    <row r="24715" spans="9:10" x14ac:dyDescent="0.3">
      <c r="I24715" t="s">
        <v>29180</v>
      </c>
      <c r="J24715" t="s">
        <v>7892</v>
      </c>
    </row>
    <row r="24716" spans="9:10" x14ac:dyDescent="0.3">
      <c r="I24716" t="s">
        <v>29181</v>
      </c>
    </row>
    <row r="24717" spans="9:10" x14ac:dyDescent="0.3">
      <c r="I24717" t="s">
        <v>29182</v>
      </c>
    </row>
    <row r="24718" spans="9:10" x14ac:dyDescent="0.3">
      <c r="I24718" t="s">
        <v>29183</v>
      </c>
    </row>
    <row r="24719" spans="9:10" x14ac:dyDescent="0.3">
      <c r="I24719" t="s">
        <v>29184</v>
      </c>
    </row>
    <row r="24720" spans="9:10" x14ac:dyDescent="0.3">
      <c r="I24720" t="s">
        <v>29185</v>
      </c>
    </row>
    <row r="24721" spans="9:10" x14ac:dyDescent="0.3">
      <c r="I24721" t="s">
        <v>29186</v>
      </c>
      <c r="J24721" t="s">
        <v>7893</v>
      </c>
    </row>
    <row r="24722" spans="9:10" x14ac:dyDescent="0.3">
      <c r="I24722" t="s">
        <v>29187</v>
      </c>
      <c r="J24722" t="s">
        <v>7894</v>
      </c>
    </row>
    <row r="24723" spans="9:10" x14ac:dyDescent="0.3">
      <c r="I24723" t="s">
        <v>29188</v>
      </c>
      <c r="J24723" t="s">
        <v>7895</v>
      </c>
    </row>
    <row r="24724" spans="9:10" x14ac:dyDescent="0.3">
      <c r="I24724" t="s">
        <v>29189</v>
      </c>
    </row>
    <row r="24725" spans="9:10" x14ac:dyDescent="0.3">
      <c r="I24725" t="s">
        <v>29190</v>
      </c>
    </row>
    <row r="24726" spans="9:10" x14ac:dyDescent="0.3">
      <c r="I24726" t="s">
        <v>29191</v>
      </c>
    </row>
    <row r="24727" spans="9:10" x14ac:dyDescent="0.3">
      <c r="I24727" t="s">
        <v>29192</v>
      </c>
    </row>
    <row r="24728" spans="9:10" x14ac:dyDescent="0.3">
      <c r="I24728" t="s">
        <v>29193</v>
      </c>
      <c r="J24728" t="s">
        <v>7896</v>
      </c>
    </row>
    <row r="24729" spans="9:10" x14ac:dyDescent="0.3">
      <c r="I24729" t="s">
        <v>29194</v>
      </c>
      <c r="J24729" t="s">
        <v>183</v>
      </c>
    </row>
    <row r="24730" spans="9:10" x14ac:dyDescent="0.3">
      <c r="I24730" t="s">
        <v>29194</v>
      </c>
      <c r="J24730" t="s">
        <v>183</v>
      </c>
    </row>
    <row r="24731" spans="9:10" x14ac:dyDescent="0.3">
      <c r="I24731" t="s">
        <v>29195</v>
      </c>
      <c r="J24731" t="s">
        <v>183</v>
      </c>
    </row>
    <row r="24732" spans="9:10" x14ac:dyDescent="0.3">
      <c r="I24732" t="s">
        <v>29196</v>
      </c>
      <c r="J24732" t="s">
        <v>7897</v>
      </c>
    </row>
    <row r="24733" spans="9:10" x14ac:dyDescent="0.3">
      <c r="I24733" t="s">
        <v>29197</v>
      </c>
    </row>
    <row r="24734" spans="9:10" x14ac:dyDescent="0.3">
      <c r="I24734" t="s">
        <v>29198</v>
      </c>
    </row>
    <row r="24735" spans="9:10" x14ac:dyDescent="0.3">
      <c r="I24735" t="s">
        <v>29199</v>
      </c>
      <c r="J24735" t="s">
        <v>7898</v>
      </c>
    </row>
    <row r="24736" spans="9:10" x14ac:dyDescent="0.3">
      <c r="I24736" t="s">
        <v>29200</v>
      </c>
      <c r="J24736" t="s">
        <v>7899</v>
      </c>
    </row>
    <row r="24737" spans="9:10" x14ac:dyDescent="0.3">
      <c r="I24737" t="s">
        <v>29200</v>
      </c>
      <c r="J24737" t="s">
        <v>7899</v>
      </c>
    </row>
    <row r="24738" spans="9:10" x14ac:dyDescent="0.3">
      <c r="I24738" t="s">
        <v>29201</v>
      </c>
      <c r="J24738" t="s">
        <v>207</v>
      </c>
    </row>
    <row r="24739" spans="9:10" x14ac:dyDescent="0.3">
      <c r="I24739" t="s">
        <v>29202</v>
      </c>
      <c r="J24739" t="s">
        <v>903</v>
      </c>
    </row>
    <row r="24740" spans="9:10" x14ac:dyDescent="0.3">
      <c r="I24740" t="s">
        <v>29203</v>
      </c>
      <c r="J24740" t="s">
        <v>903</v>
      </c>
    </row>
    <row r="24741" spans="9:10" x14ac:dyDescent="0.3">
      <c r="I24741" t="s">
        <v>29204</v>
      </c>
      <c r="J24741" t="s">
        <v>903</v>
      </c>
    </row>
    <row r="24742" spans="9:10" x14ac:dyDescent="0.3">
      <c r="I24742" t="s">
        <v>29205</v>
      </c>
    </row>
    <row r="24743" spans="9:10" x14ac:dyDescent="0.3">
      <c r="I24743" t="s">
        <v>29206</v>
      </c>
    </row>
    <row r="24744" spans="9:10" x14ac:dyDescent="0.3">
      <c r="I24744" t="s">
        <v>29207</v>
      </c>
      <c r="J24744" t="s">
        <v>7900</v>
      </c>
    </row>
    <row r="24745" spans="9:10" x14ac:dyDescent="0.3">
      <c r="I24745" t="s">
        <v>29208</v>
      </c>
    </row>
    <row r="24746" spans="9:10" x14ac:dyDescent="0.3">
      <c r="I24746" t="s">
        <v>29209</v>
      </c>
    </row>
    <row r="24747" spans="9:10" x14ac:dyDescent="0.3">
      <c r="I24747" t="s">
        <v>29210</v>
      </c>
      <c r="J24747" t="s">
        <v>7901</v>
      </c>
    </row>
    <row r="24748" spans="9:10" x14ac:dyDescent="0.3">
      <c r="I24748" t="s">
        <v>29211</v>
      </c>
    </row>
    <row r="24749" spans="9:10" x14ac:dyDescent="0.3">
      <c r="I24749" t="s">
        <v>29212</v>
      </c>
      <c r="J24749" t="s">
        <v>7902</v>
      </c>
    </row>
    <row r="24750" spans="9:10" x14ac:dyDescent="0.3">
      <c r="I24750" t="s">
        <v>29212</v>
      </c>
      <c r="J24750" t="s">
        <v>7902</v>
      </c>
    </row>
    <row r="24751" spans="9:10" x14ac:dyDescent="0.3">
      <c r="I24751" t="s">
        <v>29213</v>
      </c>
    </row>
    <row r="24752" spans="9:10" x14ac:dyDescent="0.3">
      <c r="I24752" t="s">
        <v>29214</v>
      </c>
    </row>
    <row r="24753" spans="9:10" x14ac:dyDescent="0.3">
      <c r="I24753" t="s">
        <v>29215</v>
      </c>
      <c r="J24753" t="s">
        <v>7903</v>
      </c>
    </row>
    <row r="24754" spans="9:10" x14ac:dyDescent="0.3">
      <c r="I24754" t="s">
        <v>29216</v>
      </c>
      <c r="J24754" t="s">
        <v>7904</v>
      </c>
    </row>
    <row r="24755" spans="9:10" x14ac:dyDescent="0.3">
      <c r="I24755" t="s">
        <v>29217</v>
      </c>
      <c r="J24755" t="s">
        <v>7905</v>
      </c>
    </row>
    <row r="24756" spans="9:10" x14ac:dyDescent="0.3">
      <c r="I24756" t="s">
        <v>29218</v>
      </c>
      <c r="J24756" t="s">
        <v>7906</v>
      </c>
    </row>
    <row r="24757" spans="9:10" x14ac:dyDescent="0.3">
      <c r="I24757" t="s">
        <v>29219</v>
      </c>
      <c r="J24757" t="s">
        <v>7907</v>
      </c>
    </row>
    <row r="24758" spans="9:10" x14ac:dyDescent="0.3">
      <c r="I24758" t="s">
        <v>29220</v>
      </c>
      <c r="J24758" t="s">
        <v>7907</v>
      </c>
    </row>
    <row r="24759" spans="9:10" x14ac:dyDescent="0.3">
      <c r="I24759" t="s">
        <v>29221</v>
      </c>
      <c r="J24759" t="s">
        <v>7908</v>
      </c>
    </row>
    <row r="24760" spans="9:10" x14ac:dyDescent="0.3">
      <c r="I24760" t="s">
        <v>29222</v>
      </c>
      <c r="J24760" t="s">
        <v>7909</v>
      </c>
    </row>
    <row r="24761" spans="9:10" x14ac:dyDescent="0.3">
      <c r="I24761" t="s">
        <v>29223</v>
      </c>
      <c r="J24761" t="s">
        <v>7909</v>
      </c>
    </row>
    <row r="24762" spans="9:10" x14ac:dyDescent="0.3">
      <c r="I24762" t="s">
        <v>29224</v>
      </c>
      <c r="J24762" t="s">
        <v>7910</v>
      </c>
    </row>
    <row r="24763" spans="9:10" x14ac:dyDescent="0.3">
      <c r="I24763" t="s">
        <v>29225</v>
      </c>
      <c r="J24763" t="s">
        <v>7911</v>
      </c>
    </row>
    <row r="24764" spans="9:10" x14ac:dyDescent="0.3">
      <c r="I24764" t="s">
        <v>29226</v>
      </c>
    </row>
    <row r="24765" spans="9:10" x14ac:dyDescent="0.3">
      <c r="I24765" t="s">
        <v>29227</v>
      </c>
    </row>
    <row r="24766" spans="9:10" x14ac:dyDescent="0.3">
      <c r="I24766" t="s">
        <v>29228</v>
      </c>
      <c r="J24766" t="s">
        <v>879</v>
      </c>
    </row>
    <row r="24767" spans="9:10" x14ac:dyDescent="0.3">
      <c r="I24767" t="s">
        <v>29229</v>
      </c>
      <c r="J24767" t="s">
        <v>879</v>
      </c>
    </row>
    <row r="24768" spans="9:10" x14ac:dyDescent="0.3">
      <c r="I24768" t="s">
        <v>29230</v>
      </c>
      <c r="J24768" t="s">
        <v>7912</v>
      </c>
    </row>
    <row r="24769" spans="9:10" x14ac:dyDescent="0.3">
      <c r="I24769" t="s">
        <v>29231</v>
      </c>
      <c r="J24769" t="s">
        <v>7912</v>
      </c>
    </row>
    <row r="24770" spans="9:10" x14ac:dyDescent="0.3">
      <c r="I24770" t="s">
        <v>29232</v>
      </c>
      <c r="J24770" t="s">
        <v>7912</v>
      </c>
    </row>
    <row r="24771" spans="9:10" x14ac:dyDescent="0.3">
      <c r="I24771" t="s">
        <v>29233</v>
      </c>
      <c r="J24771" t="s">
        <v>7913</v>
      </c>
    </row>
    <row r="24772" spans="9:10" x14ac:dyDescent="0.3">
      <c r="I24772" t="s">
        <v>29234</v>
      </c>
    </row>
    <row r="24773" spans="9:10" x14ac:dyDescent="0.3">
      <c r="I24773" t="s">
        <v>29235</v>
      </c>
      <c r="J24773" t="s">
        <v>7914</v>
      </c>
    </row>
    <row r="24774" spans="9:10" x14ac:dyDescent="0.3">
      <c r="I24774" t="s">
        <v>29236</v>
      </c>
    </row>
    <row r="24775" spans="9:10" x14ac:dyDescent="0.3">
      <c r="I24775" t="s">
        <v>29237</v>
      </c>
      <c r="J24775" t="s">
        <v>7915</v>
      </c>
    </row>
    <row r="24776" spans="9:10" x14ac:dyDescent="0.3">
      <c r="I24776" t="s">
        <v>29238</v>
      </c>
    </row>
    <row r="24777" spans="9:10" x14ac:dyDescent="0.3">
      <c r="I24777" t="s">
        <v>29239</v>
      </c>
    </row>
    <row r="24778" spans="9:10" x14ac:dyDescent="0.3">
      <c r="I24778" t="s">
        <v>29240</v>
      </c>
    </row>
    <row r="24779" spans="9:10" x14ac:dyDescent="0.3">
      <c r="I24779" t="s">
        <v>29241</v>
      </c>
    </row>
    <row r="24780" spans="9:10" x14ac:dyDescent="0.3">
      <c r="I24780" t="s">
        <v>29242</v>
      </c>
      <c r="J24780" t="s">
        <v>7916</v>
      </c>
    </row>
    <row r="24781" spans="9:10" x14ac:dyDescent="0.3">
      <c r="I24781" t="s">
        <v>29243</v>
      </c>
      <c r="J24781" t="s">
        <v>7917</v>
      </c>
    </row>
    <row r="24782" spans="9:10" x14ac:dyDescent="0.3">
      <c r="I24782" t="s">
        <v>29244</v>
      </c>
      <c r="J24782" t="s">
        <v>7918</v>
      </c>
    </row>
    <row r="24783" spans="9:10" x14ac:dyDescent="0.3">
      <c r="I24783" t="s">
        <v>29245</v>
      </c>
      <c r="J24783" t="s">
        <v>7919</v>
      </c>
    </row>
    <row r="24784" spans="9:10" x14ac:dyDescent="0.3">
      <c r="I24784" t="s">
        <v>29246</v>
      </c>
    </row>
    <row r="24785" spans="9:10" x14ac:dyDescent="0.3">
      <c r="I24785" t="s">
        <v>29247</v>
      </c>
    </row>
    <row r="24786" spans="9:10" x14ac:dyDescent="0.3">
      <c r="I24786" t="s">
        <v>29248</v>
      </c>
    </row>
    <row r="24787" spans="9:10" x14ac:dyDescent="0.3">
      <c r="I24787" t="s">
        <v>29249</v>
      </c>
      <c r="J24787" t="s">
        <v>526</v>
      </c>
    </row>
    <row r="24788" spans="9:10" x14ac:dyDescent="0.3">
      <c r="I24788" t="s">
        <v>29250</v>
      </c>
      <c r="J24788" t="s">
        <v>526</v>
      </c>
    </row>
    <row r="24789" spans="9:10" x14ac:dyDescent="0.3">
      <c r="I24789" t="s">
        <v>29251</v>
      </c>
      <c r="J24789" t="s">
        <v>7920</v>
      </c>
    </row>
    <row r="24790" spans="9:10" x14ac:dyDescent="0.3">
      <c r="I24790" t="s">
        <v>29252</v>
      </c>
    </row>
    <row r="24791" spans="9:10" x14ac:dyDescent="0.3">
      <c r="I24791" t="s">
        <v>29253</v>
      </c>
      <c r="J24791" t="s">
        <v>7921</v>
      </c>
    </row>
    <row r="24792" spans="9:10" x14ac:dyDescent="0.3">
      <c r="I24792" t="s">
        <v>29254</v>
      </c>
    </row>
    <row r="24793" spans="9:10" x14ac:dyDescent="0.3">
      <c r="I24793" t="s">
        <v>29255</v>
      </c>
      <c r="J24793" t="s">
        <v>7922</v>
      </c>
    </row>
    <row r="24794" spans="9:10" x14ac:dyDescent="0.3">
      <c r="I24794" t="s">
        <v>29256</v>
      </c>
    </row>
    <row r="24795" spans="9:10" x14ac:dyDescent="0.3">
      <c r="I24795" t="s">
        <v>29257</v>
      </c>
      <c r="J24795" t="s">
        <v>7923</v>
      </c>
    </row>
    <row r="24796" spans="9:10" x14ac:dyDescent="0.3">
      <c r="I24796" t="s">
        <v>29258</v>
      </c>
      <c r="J24796" t="s">
        <v>7924</v>
      </c>
    </row>
    <row r="24797" spans="9:10" x14ac:dyDescent="0.3">
      <c r="I24797" t="s">
        <v>29259</v>
      </c>
      <c r="J24797" t="s">
        <v>7925</v>
      </c>
    </row>
    <row r="24798" spans="9:10" x14ac:dyDescent="0.3">
      <c r="I24798" t="s">
        <v>29260</v>
      </c>
      <c r="J24798" t="s">
        <v>7926</v>
      </c>
    </row>
    <row r="24799" spans="9:10" x14ac:dyDescent="0.3">
      <c r="I24799" t="s">
        <v>29261</v>
      </c>
      <c r="J24799" t="s">
        <v>7927</v>
      </c>
    </row>
    <row r="24800" spans="9:10" x14ac:dyDescent="0.3">
      <c r="I24800" t="s">
        <v>29262</v>
      </c>
      <c r="J24800" t="s">
        <v>7928</v>
      </c>
    </row>
    <row r="24801" spans="9:10" x14ac:dyDescent="0.3">
      <c r="I24801" t="s">
        <v>29263</v>
      </c>
    </row>
    <row r="24802" spans="9:10" x14ac:dyDescent="0.3">
      <c r="I24802" t="s">
        <v>29264</v>
      </c>
      <c r="J24802" t="s">
        <v>7929</v>
      </c>
    </row>
    <row r="24803" spans="9:10" x14ac:dyDescent="0.3">
      <c r="I24803" t="s">
        <v>29264</v>
      </c>
      <c r="J24803" t="s">
        <v>7929</v>
      </c>
    </row>
    <row r="24804" spans="9:10" x14ac:dyDescent="0.3">
      <c r="I24804" t="s">
        <v>29265</v>
      </c>
      <c r="J24804" t="s">
        <v>7930</v>
      </c>
    </row>
    <row r="24805" spans="9:10" x14ac:dyDescent="0.3">
      <c r="I24805" t="s">
        <v>29266</v>
      </c>
      <c r="J24805" t="s">
        <v>7931</v>
      </c>
    </row>
    <row r="24806" spans="9:10" x14ac:dyDescent="0.3">
      <c r="I24806" t="s">
        <v>29267</v>
      </c>
      <c r="J24806" t="s">
        <v>7931</v>
      </c>
    </row>
    <row r="24807" spans="9:10" x14ac:dyDescent="0.3">
      <c r="I24807" t="s">
        <v>29268</v>
      </c>
    </row>
    <row r="24808" spans="9:10" x14ac:dyDescent="0.3">
      <c r="I24808" t="s">
        <v>29269</v>
      </c>
    </row>
    <row r="24809" spans="9:10" x14ac:dyDescent="0.3">
      <c r="I24809" t="s">
        <v>29270</v>
      </c>
      <c r="J24809" t="s">
        <v>7932</v>
      </c>
    </row>
    <row r="24810" spans="9:10" x14ac:dyDescent="0.3">
      <c r="I24810" t="s">
        <v>29270</v>
      </c>
      <c r="J24810" t="s">
        <v>7932</v>
      </c>
    </row>
    <row r="24811" spans="9:10" x14ac:dyDescent="0.3">
      <c r="I24811" t="s">
        <v>29271</v>
      </c>
      <c r="J24811" t="s">
        <v>7933</v>
      </c>
    </row>
    <row r="24812" spans="9:10" x14ac:dyDescent="0.3">
      <c r="I24812" t="s">
        <v>29272</v>
      </c>
      <c r="J24812" t="s">
        <v>7933</v>
      </c>
    </row>
    <row r="24813" spans="9:10" x14ac:dyDescent="0.3">
      <c r="I24813" t="s">
        <v>29273</v>
      </c>
      <c r="J24813" t="s">
        <v>7934</v>
      </c>
    </row>
    <row r="24814" spans="9:10" x14ac:dyDescent="0.3">
      <c r="I24814" t="s">
        <v>29274</v>
      </c>
    </row>
    <row r="24815" spans="9:10" x14ac:dyDescent="0.3">
      <c r="I24815" t="s">
        <v>29275</v>
      </c>
    </row>
    <row r="24816" spans="9:10" x14ac:dyDescent="0.3">
      <c r="I24816" t="s">
        <v>29276</v>
      </c>
      <c r="J24816" t="s">
        <v>7935</v>
      </c>
    </row>
    <row r="24817" spans="9:10" x14ac:dyDescent="0.3">
      <c r="I24817" t="s">
        <v>29277</v>
      </c>
      <c r="J24817" t="s">
        <v>7936</v>
      </c>
    </row>
    <row r="24818" spans="9:10" x14ac:dyDescent="0.3">
      <c r="I24818" t="s">
        <v>29277</v>
      </c>
      <c r="J24818" t="s">
        <v>7936</v>
      </c>
    </row>
    <row r="24819" spans="9:10" x14ac:dyDescent="0.3">
      <c r="I24819" t="s">
        <v>29278</v>
      </c>
      <c r="J24819" t="s">
        <v>7937</v>
      </c>
    </row>
    <row r="24820" spans="9:10" x14ac:dyDescent="0.3">
      <c r="I24820" t="s">
        <v>29278</v>
      </c>
      <c r="J24820" t="s">
        <v>7937</v>
      </c>
    </row>
    <row r="24821" spans="9:10" x14ac:dyDescent="0.3">
      <c r="I24821" t="s">
        <v>29279</v>
      </c>
      <c r="J24821" t="s">
        <v>7938</v>
      </c>
    </row>
    <row r="24822" spans="9:10" x14ac:dyDescent="0.3">
      <c r="I24822" t="s">
        <v>29280</v>
      </c>
    </row>
    <row r="24823" spans="9:10" x14ac:dyDescent="0.3">
      <c r="I24823" t="s">
        <v>29281</v>
      </c>
    </row>
    <row r="24824" spans="9:10" x14ac:dyDescent="0.3">
      <c r="I24824" t="s">
        <v>29282</v>
      </c>
    </row>
    <row r="24825" spans="9:10" x14ac:dyDescent="0.3">
      <c r="I24825" t="s">
        <v>29283</v>
      </c>
      <c r="J24825" t="s">
        <v>7939</v>
      </c>
    </row>
    <row r="24826" spans="9:10" x14ac:dyDescent="0.3">
      <c r="I24826" t="s">
        <v>29284</v>
      </c>
    </row>
    <row r="24827" spans="9:10" x14ac:dyDescent="0.3">
      <c r="I24827" t="s">
        <v>29285</v>
      </c>
      <c r="J24827" t="s">
        <v>7940</v>
      </c>
    </row>
    <row r="24828" spans="9:10" x14ac:dyDescent="0.3">
      <c r="I24828" t="s">
        <v>29286</v>
      </c>
    </row>
    <row r="24829" spans="9:10" x14ac:dyDescent="0.3">
      <c r="I24829" t="s">
        <v>29287</v>
      </c>
      <c r="J24829" t="s">
        <v>7941</v>
      </c>
    </row>
    <row r="24830" spans="9:10" x14ac:dyDescent="0.3">
      <c r="I24830" t="s">
        <v>29288</v>
      </c>
      <c r="J24830" t="s">
        <v>7942</v>
      </c>
    </row>
    <row r="24831" spans="9:10" x14ac:dyDescent="0.3">
      <c r="I24831" t="s">
        <v>29289</v>
      </c>
      <c r="J24831" t="s">
        <v>7943</v>
      </c>
    </row>
    <row r="24832" spans="9:10" x14ac:dyDescent="0.3">
      <c r="I24832" t="s">
        <v>29290</v>
      </c>
    </row>
    <row r="24833" spans="9:10" x14ac:dyDescent="0.3">
      <c r="I24833" t="s">
        <v>29291</v>
      </c>
      <c r="J24833" t="s">
        <v>7944</v>
      </c>
    </row>
    <row r="24834" spans="9:10" x14ac:dyDescent="0.3">
      <c r="I24834" t="s">
        <v>29292</v>
      </c>
    </row>
    <row r="24835" spans="9:10" x14ac:dyDescent="0.3">
      <c r="I24835" t="s">
        <v>29293</v>
      </c>
    </row>
    <row r="24836" spans="9:10" x14ac:dyDescent="0.3">
      <c r="I24836" t="s">
        <v>29294</v>
      </c>
      <c r="J24836" t="s">
        <v>7945</v>
      </c>
    </row>
    <row r="24837" spans="9:10" x14ac:dyDescent="0.3">
      <c r="I24837" t="s">
        <v>29295</v>
      </c>
    </row>
    <row r="24838" spans="9:10" x14ac:dyDescent="0.3">
      <c r="I24838" t="s">
        <v>29296</v>
      </c>
      <c r="J24838" t="s">
        <v>7946</v>
      </c>
    </row>
    <row r="24839" spans="9:10" x14ac:dyDescent="0.3">
      <c r="I24839" t="s">
        <v>29297</v>
      </c>
    </row>
    <row r="24840" spans="9:10" x14ac:dyDescent="0.3">
      <c r="I24840" t="s">
        <v>29298</v>
      </c>
      <c r="J24840" t="s">
        <v>7947</v>
      </c>
    </row>
    <row r="24841" spans="9:10" x14ac:dyDescent="0.3">
      <c r="I24841" t="s">
        <v>29299</v>
      </c>
      <c r="J24841" t="s">
        <v>7948</v>
      </c>
    </row>
    <row r="24842" spans="9:10" x14ac:dyDescent="0.3">
      <c r="I24842" t="s">
        <v>29300</v>
      </c>
      <c r="J24842" t="s">
        <v>7948</v>
      </c>
    </row>
    <row r="24843" spans="9:10" x14ac:dyDescent="0.3">
      <c r="I24843" t="s">
        <v>29301</v>
      </c>
      <c r="J24843" t="s">
        <v>7949</v>
      </c>
    </row>
    <row r="24844" spans="9:10" x14ac:dyDescent="0.3">
      <c r="I24844" t="s">
        <v>29302</v>
      </c>
      <c r="J24844" t="s">
        <v>7950</v>
      </c>
    </row>
    <row r="24845" spans="9:10" x14ac:dyDescent="0.3">
      <c r="I24845" t="s">
        <v>29303</v>
      </c>
      <c r="J24845" t="s">
        <v>7950</v>
      </c>
    </row>
    <row r="24846" spans="9:10" x14ac:dyDescent="0.3">
      <c r="I24846" t="s">
        <v>29304</v>
      </c>
    </row>
    <row r="24847" spans="9:10" x14ac:dyDescent="0.3">
      <c r="I24847" t="s">
        <v>29305</v>
      </c>
    </row>
    <row r="24848" spans="9:10" x14ac:dyDescent="0.3">
      <c r="I24848" t="s">
        <v>29306</v>
      </c>
    </row>
    <row r="24849" spans="9:10" x14ac:dyDescent="0.3">
      <c r="I24849" t="s">
        <v>29307</v>
      </c>
    </row>
    <row r="24850" spans="9:10" x14ac:dyDescent="0.3">
      <c r="I24850" t="s">
        <v>29308</v>
      </c>
      <c r="J24850" t="s">
        <v>383</v>
      </c>
    </row>
    <row r="24851" spans="9:10" x14ac:dyDescent="0.3">
      <c r="I24851" t="s">
        <v>29309</v>
      </c>
      <c r="J24851" t="s">
        <v>7951</v>
      </c>
    </row>
    <row r="24852" spans="9:10" x14ac:dyDescent="0.3">
      <c r="I24852" t="s">
        <v>29310</v>
      </c>
    </row>
    <row r="24853" spans="9:10" x14ac:dyDescent="0.3">
      <c r="I24853" t="s">
        <v>29311</v>
      </c>
      <c r="J24853" t="s">
        <v>7952</v>
      </c>
    </row>
    <row r="24854" spans="9:10" x14ac:dyDescent="0.3">
      <c r="I24854" t="s">
        <v>29311</v>
      </c>
      <c r="J24854" t="s">
        <v>7952</v>
      </c>
    </row>
    <row r="24855" spans="9:10" x14ac:dyDescent="0.3">
      <c r="I24855" t="s">
        <v>29312</v>
      </c>
      <c r="J24855" t="s">
        <v>7952</v>
      </c>
    </row>
    <row r="24856" spans="9:10" x14ac:dyDescent="0.3">
      <c r="I24856" t="s">
        <v>29313</v>
      </c>
      <c r="J24856">
        <v>0</v>
      </c>
    </row>
    <row r="24857" spans="9:10" x14ac:dyDescent="0.3">
      <c r="I24857" t="s">
        <v>29314</v>
      </c>
      <c r="J24857" t="s">
        <v>7953</v>
      </c>
    </row>
    <row r="24858" spans="9:10" x14ac:dyDescent="0.3">
      <c r="I24858" t="s">
        <v>29315</v>
      </c>
      <c r="J24858" t="s">
        <v>7953</v>
      </c>
    </row>
    <row r="24859" spans="9:10" x14ac:dyDescent="0.3">
      <c r="I24859" t="s">
        <v>29316</v>
      </c>
      <c r="J24859" t="s">
        <v>7954</v>
      </c>
    </row>
    <row r="24860" spans="9:10" x14ac:dyDescent="0.3">
      <c r="I24860" t="s">
        <v>29317</v>
      </c>
      <c r="J24860" t="s">
        <v>924</v>
      </c>
    </row>
    <row r="24861" spans="9:10" x14ac:dyDescent="0.3">
      <c r="I24861" t="s">
        <v>29318</v>
      </c>
      <c r="J24861" t="s">
        <v>924</v>
      </c>
    </row>
    <row r="24862" spans="9:10" x14ac:dyDescent="0.3">
      <c r="I24862" t="s">
        <v>29319</v>
      </c>
    </row>
    <row r="24863" spans="9:10" x14ac:dyDescent="0.3">
      <c r="I24863" t="s">
        <v>29320</v>
      </c>
      <c r="J24863" t="s">
        <v>240</v>
      </c>
    </row>
    <row r="24864" spans="9:10" x14ac:dyDescent="0.3">
      <c r="I24864" t="s">
        <v>29320</v>
      </c>
      <c r="J24864" t="s">
        <v>240</v>
      </c>
    </row>
    <row r="24865" spans="9:10" x14ac:dyDescent="0.3">
      <c r="I24865" t="s">
        <v>29321</v>
      </c>
      <c r="J24865" t="s">
        <v>7955</v>
      </c>
    </row>
    <row r="24866" spans="9:10" x14ac:dyDescent="0.3">
      <c r="I24866" t="s">
        <v>29322</v>
      </c>
      <c r="J24866" t="s">
        <v>7956</v>
      </c>
    </row>
    <row r="24867" spans="9:10" x14ac:dyDescent="0.3">
      <c r="I24867" t="s">
        <v>29323</v>
      </c>
      <c r="J24867" t="s">
        <v>7957</v>
      </c>
    </row>
    <row r="24868" spans="9:10" x14ac:dyDescent="0.3">
      <c r="I24868" t="s">
        <v>29324</v>
      </c>
      <c r="J24868" t="s">
        <v>7958</v>
      </c>
    </row>
    <row r="24869" spans="9:10" x14ac:dyDescent="0.3">
      <c r="I24869" t="s">
        <v>29325</v>
      </c>
    </row>
    <row r="24870" spans="9:10" x14ac:dyDescent="0.3">
      <c r="I24870" t="s">
        <v>29326</v>
      </c>
    </row>
    <row r="24871" spans="9:10" x14ac:dyDescent="0.3">
      <c r="I24871" t="s">
        <v>29327</v>
      </c>
      <c r="J24871" t="s">
        <v>7959</v>
      </c>
    </row>
    <row r="24872" spans="9:10" x14ac:dyDescent="0.3">
      <c r="I24872" t="s">
        <v>29328</v>
      </c>
      <c r="J24872" t="s">
        <v>7960</v>
      </c>
    </row>
    <row r="24873" spans="9:10" x14ac:dyDescent="0.3">
      <c r="I24873" t="s">
        <v>29329</v>
      </c>
    </row>
    <row r="24874" spans="9:10" x14ac:dyDescent="0.3">
      <c r="I24874" t="s">
        <v>29330</v>
      </c>
    </row>
    <row r="24875" spans="9:10" x14ac:dyDescent="0.3">
      <c r="I24875" t="s">
        <v>29331</v>
      </c>
    </row>
    <row r="24876" spans="9:10" x14ac:dyDescent="0.3">
      <c r="I24876" t="s">
        <v>29332</v>
      </c>
    </row>
    <row r="24877" spans="9:10" x14ac:dyDescent="0.3">
      <c r="I24877" t="s">
        <v>29333</v>
      </c>
    </row>
    <row r="24878" spans="9:10" x14ac:dyDescent="0.3">
      <c r="I24878" t="s">
        <v>29334</v>
      </c>
    </row>
    <row r="24879" spans="9:10" x14ac:dyDescent="0.3">
      <c r="I24879" t="s">
        <v>29335</v>
      </c>
      <c r="J24879" t="s">
        <v>7961</v>
      </c>
    </row>
    <row r="24880" spans="9:10" x14ac:dyDescent="0.3">
      <c r="I24880" t="s">
        <v>29336</v>
      </c>
    </row>
    <row r="24881" spans="9:10" x14ac:dyDescent="0.3">
      <c r="I24881" t="s">
        <v>29337</v>
      </c>
      <c r="J24881" t="s">
        <v>7962</v>
      </c>
    </row>
    <row r="24882" spans="9:10" x14ac:dyDescent="0.3">
      <c r="I24882" t="s">
        <v>29337</v>
      </c>
      <c r="J24882" t="s">
        <v>7962</v>
      </c>
    </row>
    <row r="24883" spans="9:10" x14ac:dyDescent="0.3">
      <c r="I24883" t="s">
        <v>29337</v>
      </c>
      <c r="J24883" t="s">
        <v>7962</v>
      </c>
    </row>
    <row r="24884" spans="9:10" x14ac:dyDescent="0.3">
      <c r="I24884" t="s">
        <v>29337</v>
      </c>
      <c r="J24884" t="s">
        <v>7962</v>
      </c>
    </row>
    <row r="24885" spans="9:10" x14ac:dyDescent="0.3">
      <c r="I24885" t="s">
        <v>29337</v>
      </c>
      <c r="J24885" t="s">
        <v>7962</v>
      </c>
    </row>
    <row r="24886" spans="9:10" x14ac:dyDescent="0.3">
      <c r="I24886" t="s">
        <v>29338</v>
      </c>
    </row>
    <row r="24887" spans="9:10" x14ac:dyDescent="0.3">
      <c r="I24887" t="s">
        <v>29339</v>
      </c>
    </row>
    <row r="24888" spans="9:10" x14ac:dyDescent="0.3">
      <c r="I24888" t="s">
        <v>29340</v>
      </c>
      <c r="J24888" t="s">
        <v>7963</v>
      </c>
    </row>
    <row r="24889" spans="9:10" x14ac:dyDescent="0.3">
      <c r="I24889" t="s">
        <v>29341</v>
      </c>
      <c r="J24889" t="s">
        <v>7964</v>
      </c>
    </row>
    <row r="24890" spans="9:10" x14ac:dyDescent="0.3">
      <c r="I24890" t="s">
        <v>29342</v>
      </c>
      <c r="J24890" t="s">
        <v>7965</v>
      </c>
    </row>
    <row r="24891" spans="9:10" x14ac:dyDescent="0.3">
      <c r="I24891" t="s">
        <v>29343</v>
      </c>
      <c r="J24891" t="s">
        <v>7966</v>
      </c>
    </row>
    <row r="24892" spans="9:10" x14ac:dyDescent="0.3">
      <c r="I24892" t="s">
        <v>29344</v>
      </c>
      <c r="J24892">
        <v>0</v>
      </c>
    </row>
    <row r="24893" spans="9:10" x14ac:dyDescent="0.3">
      <c r="I24893" t="s">
        <v>29345</v>
      </c>
      <c r="J24893" t="s">
        <v>7967</v>
      </c>
    </row>
    <row r="24894" spans="9:10" x14ac:dyDescent="0.3">
      <c r="I24894" t="s">
        <v>29346</v>
      </c>
      <c r="J24894" t="s">
        <v>7968</v>
      </c>
    </row>
    <row r="24895" spans="9:10" x14ac:dyDescent="0.3">
      <c r="I24895" t="s">
        <v>29347</v>
      </c>
      <c r="J24895">
        <v>0</v>
      </c>
    </row>
    <row r="24896" spans="9:10" x14ac:dyDescent="0.3">
      <c r="I24896" t="s">
        <v>29348</v>
      </c>
      <c r="J24896">
        <v>0</v>
      </c>
    </row>
    <row r="24897" spans="9:10" x14ac:dyDescent="0.3">
      <c r="I24897" t="s">
        <v>29349</v>
      </c>
    </row>
    <row r="24898" spans="9:10" x14ac:dyDescent="0.3">
      <c r="I24898" t="s">
        <v>29350</v>
      </c>
      <c r="J24898">
        <v>0</v>
      </c>
    </row>
    <row r="24899" spans="9:10" x14ac:dyDescent="0.3">
      <c r="I24899" t="s">
        <v>29351</v>
      </c>
      <c r="J24899" t="s">
        <v>7969</v>
      </c>
    </row>
    <row r="24900" spans="9:10" x14ac:dyDescent="0.3">
      <c r="I24900" t="s">
        <v>29352</v>
      </c>
      <c r="J24900" t="s">
        <v>7970</v>
      </c>
    </row>
    <row r="24901" spans="9:10" x14ac:dyDescent="0.3">
      <c r="I24901" t="s">
        <v>29353</v>
      </c>
      <c r="J24901">
        <v>0</v>
      </c>
    </row>
    <row r="24902" spans="9:10" x14ac:dyDescent="0.3">
      <c r="I24902" t="s">
        <v>29354</v>
      </c>
      <c r="J24902" t="s">
        <v>7971</v>
      </c>
    </row>
    <row r="24903" spans="9:10" x14ac:dyDescent="0.3">
      <c r="I24903" t="s">
        <v>29355</v>
      </c>
      <c r="J24903" t="s">
        <v>7972</v>
      </c>
    </row>
    <row r="24904" spans="9:10" x14ac:dyDescent="0.3">
      <c r="I24904" t="s">
        <v>29356</v>
      </c>
      <c r="J24904" t="s">
        <v>7973</v>
      </c>
    </row>
    <row r="24905" spans="9:10" x14ac:dyDescent="0.3">
      <c r="I24905" t="s">
        <v>29357</v>
      </c>
      <c r="J24905" t="s">
        <v>7974</v>
      </c>
    </row>
    <row r="24906" spans="9:10" x14ac:dyDescent="0.3">
      <c r="I24906" t="s">
        <v>29358</v>
      </c>
      <c r="J24906" t="s">
        <v>7975</v>
      </c>
    </row>
    <row r="24907" spans="9:10" x14ac:dyDescent="0.3">
      <c r="I24907" t="s">
        <v>29359</v>
      </c>
      <c r="J24907" t="s">
        <v>7976</v>
      </c>
    </row>
    <row r="24908" spans="9:10" x14ac:dyDescent="0.3">
      <c r="I24908" t="s">
        <v>29360</v>
      </c>
    </row>
    <row r="24909" spans="9:10" x14ac:dyDescent="0.3">
      <c r="I24909" t="s">
        <v>29361</v>
      </c>
      <c r="J24909" t="s">
        <v>7977</v>
      </c>
    </row>
    <row r="24910" spans="9:10" x14ac:dyDescent="0.3">
      <c r="I24910" t="s">
        <v>29362</v>
      </c>
      <c r="J24910" t="s">
        <v>7978</v>
      </c>
    </row>
    <row r="24911" spans="9:10" x14ac:dyDescent="0.3">
      <c r="I24911" t="s">
        <v>29363</v>
      </c>
    </row>
    <row r="24912" spans="9:10" x14ac:dyDescent="0.3">
      <c r="I24912" t="s">
        <v>29364</v>
      </c>
    </row>
    <row r="24913" spans="9:10" x14ac:dyDescent="0.3">
      <c r="I24913" t="s">
        <v>29365</v>
      </c>
    </row>
    <row r="24914" spans="9:10" x14ac:dyDescent="0.3">
      <c r="I24914" t="s">
        <v>29366</v>
      </c>
    </row>
    <row r="24915" spans="9:10" x14ac:dyDescent="0.3">
      <c r="I24915" t="s">
        <v>29367</v>
      </c>
    </row>
    <row r="24916" spans="9:10" x14ac:dyDescent="0.3">
      <c r="I24916" t="s">
        <v>29368</v>
      </c>
      <c r="J24916" t="s">
        <v>7979</v>
      </c>
    </row>
    <row r="24917" spans="9:10" x14ac:dyDescent="0.3">
      <c r="I24917" t="s">
        <v>29369</v>
      </c>
      <c r="J24917" t="s">
        <v>7980</v>
      </c>
    </row>
    <row r="24918" spans="9:10" x14ac:dyDescent="0.3">
      <c r="I24918" t="s">
        <v>29370</v>
      </c>
    </row>
    <row r="24919" spans="9:10" x14ac:dyDescent="0.3">
      <c r="I24919" t="s">
        <v>29371</v>
      </c>
    </row>
    <row r="24920" spans="9:10" x14ac:dyDescent="0.3">
      <c r="I24920" t="s">
        <v>29372</v>
      </c>
    </row>
    <row r="24921" spans="9:10" x14ac:dyDescent="0.3">
      <c r="I24921" t="s">
        <v>29373</v>
      </c>
      <c r="J24921" t="s">
        <v>7981</v>
      </c>
    </row>
    <row r="24922" spans="9:10" x14ac:dyDescent="0.3">
      <c r="I24922" t="s">
        <v>29374</v>
      </c>
    </row>
    <row r="24923" spans="9:10" x14ac:dyDescent="0.3">
      <c r="I24923" t="s">
        <v>29375</v>
      </c>
      <c r="J24923">
        <v>0</v>
      </c>
    </row>
    <row r="24924" spans="9:10" x14ac:dyDescent="0.3">
      <c r="I24924" t="s">
        <v>29376</v>
      </c>
      <c r="J24924" t="s">
        <v>7982</v>
      </c>
    </row>
    <row r="24925" spans="9:10" x14ac:dyDescent="0.3">
      <c r="I24925" t="s">
        <v>29377</v>
      </c>
      <c r="J24925" t="s">
        <v>7982</v>
      </c>
    </row>
    <row r="24926" spans="9:10" x14ac:dyDescent="0.3">
      <c r="I24926" t="s">
        <v>29378</v>
      </c>
    </row>
    <row r="24927" spans="9:10" x14ac:dyDescent="0.3">
      <c r="I24927" t="s">
        <v>29379</v>
      </c>
    </row>
    <row r="24928" spans="9:10" x14ac:dyDescent="0.3">
      <c r="I24928" t="s">
        <v>29380</v>
      </c>
    </row>
    <row r="24929" spans="9:10" x14ac:dyDescent="0.3">
      <c r="I24929" t="s">
        <v>29381</v>
      </c>
    </row>
    <row r="24930" spans="9:10" x14ac:dyDescent="0.3">
      <c r="I24930" t="s">
        <v>29382</v>
      </c>
      <c r="J24930" t="s">
        <v>7983</v>
      </c>
    </row>
    <row r="24931" spans="9:10" x14ac:dyDescent="0.3">
      <c r="I24931" t="s">
        <v>29382</v>
      </c>
      <c r="J24931" t="s">
        <v>7983</v>
      </c>
    </row>
    <row r="24932" spans="9:10" x14ac:dyDescent="0.3">
      <c r="I24932" t="s">
        <v>29383</v>
      </c>
      <c r="J24932" t="s">
        <v>7984</v>
      </c>
    </row>
    <row r="24933" spans="9:10" x14ac:dyDescent="0.3">
      <c r="I24933" t="s">
        <v>29384</v>
      </c>
      <c r="J24933" t="s">
        <v>7985</v>
      </c>
    </row>
    <row r="24934" spans="9:10" x14ac:dyDescent="0.3">
      <c r="I24934" t="s">
        <v>29385</v>
      </c>
      <c r="J24934" t="s">
        <v>7986</v>
      </c>
    </row>
    <row r="24935" spans="9:10" x14ac:dyDescent="0.3">
      <c r="I24935" t="s">
        <v>29386</v>
      </c>
      <c r="J24935" t="s">
        <v>7987</v>
      </c>
    </row>
    <row r="24936" spans="9:10" x14ac:dyDescent="0.3">
      <c r="I24936" t="s">
        <v>29387</v>
      </c>
      <c r="J24936" t="s">
        <v>7988</v>
      </c>
    </row>
    <row r="24937" spans="9:10" x14ac:dyDescent="0.3">
      <c r="I24937" t="s">
        <v>29388</v>
      </c>
      <c r="J24937" t="s">
        <v>7988</v>
      </c>
    </row>
    <row r="24938" spans="9:10" x14ac:dyDescent="0.3">
      <c r="I24938" t="s">
        <v>29388</v>
      </c>
      <c r="J24938" t="s">
        <v>7988</v>
      </c>
    </row>
    <row r="24939" spans="9:10" x14ac:dyDescent="0.3">
      <c r="I24939" t="s">
        <v>29389</v>
      </c>
      <c r="J24939" t="s">
        <v>7988</v>
      </c>
    </row>
    <row r="24940" spans="9:10" x14ac:dyDescent="0.3">
      <c r="I24940" t="s">
        <v>29390</v>
      </c>
    </row>
    <row r="24941" spans="9:10" x14ac:dyDescent="0.3">
      <c r="I24941" t="s">
        <v>29391</v>
      </c>
    </row>
    <row r="24942" spans="9:10" x14ac:dyDescent="0.3">
      <c r="I24942" t="s">
        <v>29392</v>
      </c>
    </row>
    <row r="24943" spans="9:10" x14ac:dyDescent="0.3">
      <c r="I24943" t="s">
        <v>29393</v>
      </c>
      <c r="J24943" t="s">
        <v>7989</v>
      </c>
    </row>
    <row r="24944" spans="9:10" x14ac:dyDescent="0.3">
      <c r="I24944" t="s">
        <v>29394</v>
      </c>
      <c r="J24944" t="s">
        <v>7990</v>
      </c>
    </row>
    <row r="24945" spans="9:10" x14ac:dyDescent="0.3">
      <c r="I24945" t="s">
        <v>29395</v>
      </c>
      <c r="J24945" t="s">
        <v>7991</v>
      </c>
    </row>
    <row r="24946" spans="9:10" x14ac:dyDescent="0.3">
      <c r="I24946" t="s">
        <v>29396</v>
      </c>
      <c r="J24946" t="s">
        <v>7992</v>
      </c>
    </row>
    <row r="24947" spans="9:10" x14ac:dyDescent="0.3">
      <c r="I24947" t="s">
        <v>29397</v>
      </c>
      <c r="J24947" t="s">
        <v>7993</v>
      </c>
    </row>
    <row r="24948" spans="9:10" x14ac:dyDescent="0.3">
      <c r="I24948" t="s">
        <v>29398</v>
      </c>
      <c r="J24948" t="s">
        <v>7994</v>
      </c>
    </row>
    <row r="24949" spans="9:10" x14ac:dyDescent="0.3">
      <c r="I24949" t="s">
        <v>29399</v>
      </c>
      <c r="J24949" t="s">
        <v>7995</v>
      </c>
    </row>
    <row r="24950" spans="9:10" x14ac:dyDescent="0.3">
      <c r="I24950" t="s">
        <v>29400</v>
      </c>
      <c r="J24950" t="s">
        <v>7995</v>
      </c>
    </row>
    <row r="24951" spans="9:10" x14ac:dyDescent="0.3">
      <c r="I24951" t="s">
        <v>29401</v>
      </c>
      <c r="J24951" t="s">
        <v>7995</v>
      </c>
    </row>
    <row r="24952" spans="9:10" x14ac:dyDescent="0.3">
      <c r="I24952" t="s">
        <v>29399</v>
      </c>
      <c r="J24952" t="s">
        <v>7995</v>
      </c>
    </row>
    <row r="24953" spans="9:10" x14ac:dyDescent="0.3">
      <c r="I24953" t="s">
        <v>29402</v>
      </c>
      <c r="J24953" t="s">
        <v>7996</v>
      </c>
    </row>
    <row r="24954" spans="9:10" x14ac:dyDescent="0.3">
      <c r="I24954" t="s">
        <v>29403</v>
      </c>
      <c r="J24954" t="s">
        <v>7996</v>
      </c>
    </row>
    <row r="24955" spans="9:10" x14ac:dyDescent="0.3">
      <c r="I24955" t="s">
        <v>29404</v>
      </c>
      <c r="J24955" t="s">
        <v>7997</v>
      </c>
    </row>
    <row r="24956" spans="9:10" x14ac:dyDescent="0.3">
      <c r="I24956" t="s">
        <v>29405</v>
      </c>
      <c r="J24956" t="s">
        <v>7997</v>
      </c>
    </row>
    <row r="24957" spans="9:10" x14ac:dyDescent="0.3">
      <c r="I24957" t="s">
        <v>29406</v>
      </c>
      <c r="J24957" t="s">
        <v>7998</v>
      </c>
    </row>
    <row r="24958" spans="9:10" x14ac:dyDescent="0.3">
      <c r="I24958" t="s">
        <v>29407</v>
      </c>
      <c r="J24958" t="s">
        <v>7998</v>
      </c>
    </row>
    <row r="24959" spans="9:10" x14ac:dyDescent="0.3">
      <c r="I24959" t="s">
        <v>29408</v>
      </c>
      <c r="J24959" t="s">
        <v>7999</v>
      </c>
    </row>
    <row r="24960" spans="9:10" x14ac:dyDescent="0.3">
      <c r="I24960" t="s">
        <v>29408</v>
      </c>
      <c r="J24960" t="s">
        <v>7999</v>
      </c>
    </row>
    <row r="24961" spans="9:10" x14ac:dyDescent="0.3">
      <c r="I24961" t="s">
        <v>29409</v>
      </c>
      <c r="J24961" t="s">
        <v>8000</v>
      </c>
    </row>
    <row r="24962" spans="9:10" x14ac:dyDescent="0.3">
      <c r="I24962" t="s">
        <v>29410</v>
      </c>
      <c r="J24962" t="s">
        <v>8001</v>
      </c>
    </row>
    <row r="24963" spans="9:10" x14ac:dyDescent="0.3">
      <c r="I24963" t="s">
        <v>29411</v>
      </c>
      <c r="J24963" t="s">
        <v>8001</v>
      </c>
    </row>
    <row r="24964" spans="9:10" x14ac:dyDescent="0.3">
      <c r="I24964" t="s">
        <v>29412</v>
      </c>
      <c r="J24964" t="s">
        <v>8002</v>
      </c>
    </row>
    <row r="24965" spans="9:10" x14ac:dyDescent="0.3">
      <c r="I24965" t="s">
        <v>29413</v>
      </c>
      <c r="J24965" t="s">
        <v>8003</v>
      </c>
    </row>
    <row r="24966" spans="9:10" x14ac:dyDescent="0.3">
      <c r="I24966" t="s">
        <v>29414</v>
      </c>
      <c r="J24966" t="s">
        <v>8004</v>
      </c>
    </row>
    <row r="24967" spans="9:10" x14ac:dyDescent="0.3">
      <c r="I24967" t="s">
        <v>29414</v>
      </c>
      <c r="J24967" t="s">
        <v>8004</v>
      </c>
    </row>
    <row r="24968" spans="9:10" x14ac:dyDescent="0.3">
      <c r="I24968" t="s">
        <v>29415</v>
      </c>
      <c r="J24968" t="s">
        <v>8005</v>
      </c>
    </row>
    <row r="24969" spans="9:10" x14ac:dyDescent="0.3">
      <c r="I24969" t="s">
        <v>29416</v>
      </c>
    </row>
    <row r="24970" spans="9:10" x14ac:dyDescent="0.3">
      <c r="I24970" t="s">
        <v>29417</v>
      </c>
    </row>
    <row r="24971" spans="9:10" x14ac:dyDescent="0.3">
      <c r="I24971" t="s">
        <v>29418</v>
      </c>
      <c r="J24971" t="s">
        <v>8006</v>
      </c>
    </row>
    <row r="24972" spans="9:10" x14ac:dyDescent="0.3">
      <c r="I24972" t="s">
        <v>29419</v>
      </c>
      <c r="J24972" t="s">
        <v>8007</v>
      </c>
    </row>
    <row r="24973" spans="9:10" x14ac:dyDescent="0.3">
      <c r="I24973" t="s">
        <v>29420</v>
      </c>
    </row>
    <row r="24974" spans="9:10" x14ac:dyDescent="0.3">
      <c r="I24974" t="s">
        <v>29421</v>
      </c>
      <c r="J24974" t="s">
        <v>8008</v>
      </c>
    </row>
    <row r="24975" spans="9:10" x14ac:dyDescent="0.3">
      <c r="I24975" t="s">
        <v>29422</v>
      </c>
    </row>
    <row r="24976" spans="9:10" x14ac:dyDescent="0.3">
      <c r="I24976" t="s">
        <v>29423</v>
      </c>
    </row>
    <row r="24977" spans="9:10" x14ac:dyDescent="0.3">
      <c r="I24977" t="s">
        <v>29424</v>
      </c>
      <c r="J24977" t="s">
        <v>8009</v>
      </c>
    </row>
    <row r="24978" spans="9:10" x14ac:dyDescent="0.3">
      <c r="I24978" t="s">
        <v>29424</v>
      </c>
      <c r="J24978" t="s">
        <v>8009</v>
      </c>
    </row>
    <row r="24979" spans="9:10" x14ac:dyDescent="0.3">
      <c r="I24979" t="s">
        <v>29425</v>
      </c>
      <c r="J24979" t="s">
        <v>8010</v>
      </c>
    </row>
    <row r="24980" spans="9:10" x14ac:dyDescent="0.3">
      <c r="I24980" t="s">
        <v>29425</v>
      </c>
      <c r="J24980" t="s">
        <v>8010</v>
      </c>
    </row>
    <row r="24981" spans="9:10" x14ac:dyDescent="0.3">
      <c r="I24981" t="s">
        <v>29426</v>
      </c>
      <c r="J24981" t="s">
        <v>8010</v>
      </c>
    </row>
    <row r="24982" spans="9:10" x14ac:dyDescent="0.3">
      <c r="I24982" t="s">
        <v>29427</v>
      </c>
      <c r="J24982" t="s">
        <v>5878</v>
      </c>
    </row>
    <row r="24983" spans="9:10" x14ac:dyDescent="0.3">
      <c r="I24983" t="s">
        <v>29428</v>
      </c>
      <c r="J24983" t="s">
        <v>5878</v>
      </c>
    </row>
    <row r="24984" spans="9:10" x14ac:dyDescent="0.3">
      <c r="I24984" t="s">
        <v>29429</v>
      </c>
      <c r="J24984" t="s">
        <v>5878</v>
      </c>
    </row>
    <row r="24985" spans="9:10" x14ac:dyDescent="0.3">
      <c r="I24985" t="s">
        <v>29430</v>
      </c>
      <c r="J24985" t="s">
        <v>8011</v>
      </c>
    </row>
    <row r="24986" spans="9:10" x14ac:dyDescent="0.3">
      <c r="I24986" t="s">
        <v>29431</v>
      </c>
      <c r="J24986" t="s">
        <v>8012</v>
      </c>
    </row>
    <row r="24987" spans="9:10" x14ac:dyDescent="0.3">
      <c r="I24987" t="s">
        <v>29432</v>
      </c>
      <c r="J24987" t="s">
        <v>8012</v>
      </c>
    </row>
    <row r="24988" spans="9:10" x14ac:dyDescent="0.3">
      <c r="I24988" t="s">
        <v>29433</v>
      </c>
      <c r="J24988" t="s">
        <v>340</v>
      </c>
    </row>
    <row r="24989" spans="9:10" x14ac:dyDescent="0.3">
      <c r="I24989" t="s">
        <v>29434</v>
      </c>
    </row>
    <row r="24990" spans="9:10" x14ac:dyDescent="0.3">
      <c r="I24990" t="s">
        <v>29434</v>
      </c>
    </row>
    <row r="24991" spans="9:10" x14ac:dyDescent="0.3">
      <c r="I24991" t="s">
        <v>29435</v>
      </c>
    </row>
    <row r="24992" spans="9:10" x14ac:dyDescent="0.3">
      <c r="I24992" t="s">
        <v>29436</v>
      </c>
      <c r="J24992" t="s">
        <v>8013</v>
      </c>
    </row>
    <row r="24993" spans="9:10" x14ac:dyDescent="0.3">
      <c r="I24993" t="s">
        <v>29437</v>
      </c>
    </row>
    <row r="24994" spans="9:10" x14ac:dyDescent="0.3">
      <c r="I24994" t="s">
        <v>29438</v>
      </c>
    </row>
    <row r="24995" spans="9:10" x14ac:dyDescent="0.3">
      <c r="I24995" t="s">
        <v>29439</v>
      </c>
      <c r="J24995" t="s">
        <v>8014</v>
      </c>
    </row>
    <row r="24996" spans="9:10" x14ac:dyDescent="0.3">
      <c r="I24996" t="s">
        <v>29440</v>
      </c>
    </row>
    <row r="24997" spans="9:10" x14ac:dyDescent="0.3">
      <c r="I24997" t="s">
        <v>29441</v>
      </c>
    </row>
    <row r="24998" spans="9:10" x14ac:dyDescent="0.3">
      <c r="I24998" t="s">
        <v>29442</v>
      </c>
    </row>
    <row r="24999" spans="9:10" x14ac:dyDescent="0.3">
      <c r="I24999" t="s">
        <v>29443</v>
      </c>
    </row>
    <row r="25000" spans="9:10" x14ac:dyDescent="0.3">
      <c r="I25000" t="s">
        <v>29444</v>
      </c>
      <c r="J25000" t="s">
        <v>8015</v>
      </c>
    </row>
    <row r="25001" spans="9:10" x14ac:dyDescent="0.3">
      <c r="I25001" t="s">
        <v>29445</v>
      </c>
      <c r="J25001" t="s">
        <v>8016</v>
      </c>
    </row>
    <row r="25002" spans="9:10" x14ac:dyDescent="0.3">
      <c r="I25002" t="s">
        <v>29446</v>
      </c>
      <c r="J25002" t="s">
        <v>8016</v>
      </c>
    </row>
    <row r="25003" spans="9:10" x14ac:dyDescent="0.3">
      <c r="I25003" t="s">
        <v>29447</v>
      </c>
      <c r="J25003" t="s">
        <v>8017</v>
      </c>
    </row>
    <row r="25004" spans="9:10" x14ac:dyDescent="0.3">
      <c r="I25004" t="s">
        <v>29448</v>
      </c>
      <c r="J25004" t="s">
        <v>8017</v>
      </c>
    </row>
    <row r="25005" spans="9:10" x14ac:dyDescent="0.3">
      <c r="I25005" t="s">
        <v>29449</v>
      </c>
      <c r="J25005" t="s">
        <v>8018</v>
      </c>
    </row>
    <row r="25006" spans="9:10" x14ac:dyDescent="0.3">
      <c r="I25006" t="s">
        <v>29450</v>
      </c>
      <c r="J25006" t="s">
        <v>8018</v>
      </c>
    </row>
    <row r="25007" spans="9:10" x14ac:dyDescent="0.3">
      <c r="I25007" t="s">
        <v>29449</v>
      </c>
      <c r="J25007" t="s">
        <v>8018</v>
      </c>
    </row>
    <row r="25008" spans="9:10" x14ac:dyDescent="0.3">
      <c r="I25008" t="s">
        <v>29451</v>
      </c>
      <c r="J25008" t="s">
        <v>8019</v>
      </c>
    </row>
    <row r="25009" spans="9:10" x14ac:dyDescent="0.3">
      <c r="I25009" t="s">
        <v>29452</v>
      </c>
      <c r="J25009" t="s">
        <v>168</v>
      </c>
    </row>
    <row r="25010" spans="9:10" x14ac:dyDescent="0.3">
      <c r="I25010" t="s">
        <v>29453</v>
      </c>
      <c r="J25010" t="s">
        <v>8020</v>
      </c>
    </row>
    <row r="25011" spans="9:10" x14ac:dyDescent="0.3">
      <c r="I25011" t="s">
        <v>29453</v>
      </c>
      <c r="J25011" t="s">
        <v>8020</v>
      </c>
    </row>
    <row r="25012" spans="9:10" x14ac:dyDescent="0.3">
      <c r="I25012" t="s">
        <v>29454</v>
      </c>
      <c r="J25012" t="s">
        <v>8021</v>
      </c>
    </row>
    <row r="25013" spans="9:10" x14ac:dyDescent="0.3">
      <c r="I25013" t="s">
        <v>29455</v>
      </c>
      <c r="J25013" t="s">
        <v>8022</v>
      </c>
    </row>
    <row r="25014" spans="9:10" x14ac:dyDescent="0.3">
      <c r="I25014" t="s">
        <v>29456</v>
      </c>
      <c r="J25014" t="s">
        <v>8023</v>
      </c>
    </row>
    <row r="25015" spans="9:10" x14ac:dyDescent="0.3">
      <c r="I25015" t="s">
        <v>29457</v>
      </c>
      <c r="J25015">
        <v>0</v>
      </c>
    </row>
    <row r="25016" spans="9:10" x14ac:dyDescent="0.3">
      <c r="I25016" t="s">
        <v>29458</v>
      </c>
      <c r="J25016" t="s">
        <v>8024</v>
      </c>
    </row>
    <row r="25017" spans="9:10" x14ac:dyDescent="0.3">
      <c r="I25017" t="s">
        <v>29459</v>
      </c>
      <c r="J25017" t="s">
        <v>8025</v>
      </c>
    </row>
    <row r="25018" spans="9:10" x14ac:dyDescent="0.3">
      <c r="I25018" t="s">
        <v>29460</v>
      </c>
    </row>
    <row r="25019" spans="9:10" x14ac:dyDescent="0.3">
      <c r="I25019" t="s">
        <v>29461</v>
      </c>
    </row>
    <row r="25020" spans="9:10" x14ac:dyDescent="0.3">
      <c r="I25020" t="s">
        <v>29462</v>
      </c>
    </row>
    <row r="25021" spans="9:10" x14ac:dyDescent="0.3">
      <c r="I25021" t="s">
        <v>29463</v>
      </c>
    </row>
    <row r="25022" spans="9:10" x14ac:dyDescent="0.3">
      <c r="I25022" t="s">
        <v>29464</v>
      </c>
    </row>
    <row r="25023" spans="9:10" x14ac:dyDescent="0.3">
      <c r="I25023" t="s">
        <v>29465</v>
      </c>
      <c r="J25023" t="s">
        <v>8026</v>
      </c>
    </row>
    <row r="25024" spans="9:10" x14ac:dyDescent="0.3">
      <c r="I25024" t="s">
        <v>29466</v>
      </c>
      <c r="J25024" t="s">
        <v>8027</v>
      </c>
    </row>
    <row r="25025" spans="9:10" x14ac:dyDescent="0.3">
      <c r="I25025" t="s">
        <v>29467</v>
      </c>
      <c r="J25025" t="s">
        <v>8027</v>
      </c>
    </row>
    <row r="25026" spans="9:10" x14ac:dyDescent="0.3">
      <c r="I25026" t="s">
        <v>29468</v>
      </c>
      <c r="J25026" t="s">
        <v>8028</v>
      </c>
    </row>
    <row r="25027" spans="9:10" x14ac:dyDescent="0.3">
      <c r="I25027" t="s">
        <v>29469</v>
      </c>
      <c r="J25027">
        <v>0</v>
      </c>
    </row>
    <row r="25028" spans="9:10" x14ac:dyDescent="0.3">
      <c r="I25028" t="s">
        <v>29470</v>
      </c>
      <c r="J25028" t="s">
        <v>8029</v>
      </c>
    </row>
    <row r="25029" spans="9:10" x14ac:dyDescent="0.3">
      <c r="I25029" t="s">
        <v>29470</v>
      </c>
      <c r="J25029" t="s">
        <v>8029</v>
      </c>
    </row>
    <row r="25030" spans="9:10" x14ac:dyDescent="0.3">
      <c r="I25030" t="s">
        <v>29470</v>
      </c>
      <c r="J25030" t="s">
        <v>8029</v>
      </c>
    </row>
    <row r="25031" spans="9:10" x14ac:dyDescent="0.3">
      <c r="I25031" t="s">
        <v>29471</v>
      </c>
      <c r="J25031" t="s">
        <v>8030</v>
      </c>
    </row>
    <row r="25032" spans="9:10" x14ac:dyDescent="0.3">
      <c r="I25032" t="s">
        <v>29472</v>
      </c>
      <c r="J25032" t="s">
        <v>8031</v>
      </c>
    </row>
    <row r="25033" spans="9:10" x14ac:dyDescent="0.3">
      <c r="I25033" t="s">
        <v>29473</v>
      </c>
      <c r="J25033" t="s">
        <v>8031</v>
      </c>
    </row>
    <row r="25034" spans="9:10" x14ac:dyDescent="0.3">
      <c r="I25034" t="s">
        <v>29474</v>
      </c>
      <c r="J25034" t="s">
        <v>8032</v>
      </c>
    </row>
    <row r="25035" spans="9:10" x14ac:dyDescent="0.3">
      <c r="I25035" t="s">
        <v>29475</v>
      </c>
      <c r="J25035" t="s">
        <v>8033</v>
      </c>
    </row>
    <row r="25036" spans="9:10" x14ac:dyDescent="0.3">
      <c r="I25036" t="s">
        <v>29476</v>
      </c>
      <c r="J25036" t="s">
        <v>8033</v>
      </c>
    </row>
    <row r="25037" spans="9:10" x14ac:dyDescent="0.3">
      <c r="I25037" t="s">
        <v>17601</v>
      </c>
      <c r="J25037" t="s">
        <v>4332</v>
      </c>
    </row>
    <row r="25038" spans="9:10" x14ac:dyDescent="0.3">
      <c r="I25038" t="s">
        <v>29477</v>
      </c>
      <c r="J25038" t="s">
        <v>3052</v>
      </c>
    </row>
    <row r="25039" spans="9:10" x14ac:dyDescent="0.3">
      <c r="I25039" t="s">
        <v>29478</v>
      </c>
    </row>
    <row r="25040" spans="9:10" x14ac:dyDescent="0.3">
      <c r="I25040" t="s">
        <v>29479</v>
      </c>
      <c r="J25040" t="s">
        <v>8034</v>
      </c>
    </row>
    <row r="25041" spans="9:10" x14ac:dyDescent="0.3">
      <c r="I25041" t="s">
        <v>29480</v>
      </c>
      <c r="J25041" t="s">
        <v>8035</v>
      </c>
    </row>
    <row r="25042" spans="9:10" x14ac:dyDescent="0.3">
      <c r="I25042" t="s">
        <v>29481</v>
      </c>
      <c r="J25042" t="s">
        <v>2411</v>
      </c>
    </row>
    <row r="25043" spans="9:10" x14ac:dyDescent="0.3">
      <c r="I25043" t="s">
        <v>29482</v>
      </c>
      <c r="J25043" t="s">
        <v>8036</v>
      </c>
    </row>
    <row r="25044" spans="9:10" x14ac:dyDescent="0.3">
      <c r="I25044" t="s">
        <v>29482</v>
      </c>
      <c r="J25044" t="s">
        <v>8036</v>
      </c>
    </row>
    <row r="25045" spans="9:10" x14ac:dyDescent="0.3">
      <c r="I25045" t="s">
        <v>29483</v>
      </c>
      <c r="J25045" t="s">
        <v>8037</v>
      </c>
    </row>
    <row r="25046" spans="9:10" x14ac:dyDescent="0.3">
      <c r="I25046" t="s">
        <v>29484</v>
      </c>
      <c r="J25046" t="s">
        <v>8038</v>
      </c>
    </row>
    <row r="25047" spans="9:10" x14ac:dyDescent="0.3">
      <c r="I25047" t="s">
        <v>29485</v>
      </c>
      <c r="J25047" t="s">
        <v>8039</v>
      </c>
    </row>
    <row r="25048" spans="9:10" x14ac:dyDescent="0.3">
      <c r="I25048" t="s">
        <v>29486</v>
      </c>
      <c r="J25048" t="s">
        <v>8040</v>
      </c>
    </row>
    <row r="25049" spans="9:10" x14ac:dyDescent="0.3">
      <c r="I25049" t="s">
        <v>12618</v>
      </c>
      <c r="J25049" t="s">
        <v>8041</v>
      </c>
    </row>
    <row r="25050" spans="9:10" x14ac:dyDescent="0.3">
      <c r="I25050" t="s">
        <v>29487</v>
      </c>
      <c r="J25050" t="s">
        <v>8042</v>
      </c>
    </row>
    <row r="25051" spans="9:10" x14ac:dyDescent="0.3">
      <c r="I25051" t="s">
        <v>29488</v>
      </c>
    </row>
    <row r="25052" spans="9:10" x14ac:dyDescent="0.3">
      <c r="I25052" t="s">
        <v>29489</v>
      </c>
      <c r="J25052" t="s">
        <v>8043</v>
      </c>
    </row>
    <row r="25053" spans="9:10" x14ac:dyDescent="0.3">
      <c r="I25053" t="s">
        <v>29490</v>
      </c>
      <c r="J25053" t="s">
        <v>8044</v>
      </c>
    </row>
    <row r="25054" spans="9:10" x14ac:dyDescent="0.3">
      <c r="I25054" t="s">
        <v>29491</v>
      </c>
    </row>
    <row r="25055" spans="9:10" x14ac:dyDescent="0.3">
      <c r="I25055" t="s">
        <v>29492</v>
      </c>
    </row>
    <row r="25056" spans="9:10" x14ac:dyDescent="0.3">
      <c r="I25056" t="s">
        <v>29493</v>
      </c>
    </row>
    <row r="25057" spans="9:10" x14ac:dyDescent="0.3">
      <c r="I25057" t="s">
        <v>29494</v>
      </c>
      <c r="J25057" t="s">
        <v>8045</v>
      </c>
    </row>
    <row r="25058" spans="9:10" x14ac:dyDescent="0.3">
      <c r="I25058" t="s">
        <v>29495</v>
      </c>
      <c r="J25058">
        <v>0</v>
      </c>
    </row>
    <row r="25059" spans="9:10" x14ac:dyDescent="0.3">
      <c r="I25059" t="s">
        <v>29496</v>
      </c>
    </row>
    <row r="25060" spans="9:10" x14ac:dyDescent="0.3">
      <c r="I25060" t="s">
        <v>29497</v>
      </c>
    </row>
    <row r="25061" spans="9:10" x14ac:dyDescent="0.3">
      <c r="I25061" t="s">
        <v>29498</v>
      </c>
      <c r="J25061" t="s">
        <v>6151</v>
      </c>
    </row>
    <row r="25062" spans="9:10" x14ac:dyDescent="0.3">
      <c r="I25062" t="s">
        <v>29498</v>
      </c>
      <c r="J25062" t="s">
        <v>6151</v>
      </c>
    </row>
    <row r="25063" spans="9:10" x14ac:dyDescent="0.3">
      <c r="I25063" t="s">
        <v>29498</v>
      </c>
      <c r="J25063" t="s">
        <v>6151</v>
      </c>
    </row>
    <row r="25064" spans="9:10" x14ac:dyDescent="0.3">
      <c r="I25064" t="s">
        <v>29499</v>
      </c>
      <c r="J25064" t="s">
        <v>2363</v>
      </c>
    </row>
    <row r="25065" spans="9:10" x14ac:dyDescent="0.3">
      <c r="I25065" t="s">
        <v>29500</v>
      </c>
      <c r="J25065" t="s">
        <v>8046</v>
      </c>
    </row>
    <row r="25066" spans="9:10" x14ac:dyDescent="0.3">
      <c r="I25066" t="s">
        <v>29501</v>
      </c>
      <c r="J25066" t="s">
        <v>8047</v>
      </c>
    </row>
    <row r="25067" spans="9:10" x14ac:dyDescent="0.3">
      <c r="I25067" t="s">
        <v>29502</v>
      </c>
    </row>
    <row r="25068" spans="9:10" x14ac:dyDescent="0.3">
      <c r="I25068" t="s">
        <v>29503</v>
      </c>
    </row>
    <row r="25069" spans="9:10" x14ac:dyDescent="0.3">
      <c r="I25069" t="s">
        <v>29504</v>
      </c>
      <c r="J25069" t="s">
        <v>8048</v>
      </c>
    </row>
    <row r="25070" spans="9:10" x14ac:dyDescent="0.3">
      <c r="I25070" t="s">
        <v>29505</v>
      </c>
      <c r="J25070" t="s">
        <v>8049</v>
      </c>
    </row>
    <row r="25071" spans="9:10" x14ac:dyDescent="0.3">
      <c r="I25071" t="s">
        <v>29506</v>
      </c>
      <c r="J25071" t="s">
        <v>960</v>
      </c>
    </row>
    <row r="25072" spans="9:10" x14ac:dyDescent="0.3">
      <c r="I25072" t="s">
        <v>29507</v>
      </c>
      <c r="J25072" t="s">
        <v>8050</v>
      </c>
    </row>
    <row r="25073" spans="9:10" x14ac:dyDescent="0.3">
      <c r="I25073" t="s">
        <v>29508</v>
      </c>
      <c r="J25073" t="s">
        <v>8051</v>
      </c>
    </row>
    <row r="25074" spans="9:10" x14ac:dyDescent="0.3">
      <c r="I25074" t="s">
        <v>29509</v>
      </c>
      <c r="J25074" t="s">
        <v>8052</v>
      </c>
    </row>
    <row r="25075" spans="9:10" x14ac:dyDescent="0.3">
      <c r="I25075" t="s">
        <v>29510</v>
      </c>
    </row>
    <row r="25076" spans="9:10" x14ac:dyDescent="0.3">
      <c r="I25076" t="s">
        <v>29511</v>
      </c>
    </row>
    <row r="25077" spans="9:10" x14ac:dyDescent="0.3">
      <c r="I25077" t="s">
        <v>29512</v>
      </c>
      <c r="J25077" t="s">
        <v>8053</v>
      </c>
    </row>
    <row r="25078" spans="9:10" x14ac:dyDescent="0.3">
      <c r="I25078" t="s">
        <v>29513</v>
      </c>
      <c r="J25078" t="s">
        <v>8054</v>
      </c>
    </row>
    <row r="25079" spans="9:10" x14ac:dyDescent="0.3">
      <c r="I25079" t="s">
        <v>29514</v>
      </c>
      <c r="J25079" t="s">
        <v>8055</v>
      </c>
    </row>
    <row r="25080" spans="9:10" x14ac:dyDescent="0.3">
      <c r="I25080" t="s">
        <v>29515</v>
      </c>
    </row>
    <row r="25081" spans="9:10" x14ac:dyDescent="0.3">
      <c r="I25081" t="s">
        <v>29515</v>
      </c>
    </row>
    <row r="25082" spans="9:10" x14ac:dyDescent="0.3">
      <c r="I25082" t="s">
        <v>29516</v>
      </c>
      <c r="J25082" t="s">
        <v>8056</v>
      </c>
    </row>
    <row r="25083" spans="9:10" x14ac:dyDescent="0.3">
      <c r="I25083" t="s">
        <v>29517</v>
      </c>
      <c r="J25083" t="s">
        <v>8056</v>
      </c>
    </row>
    <row r="25084" spans="9:10" x14ac:dyDescent="0.3">
      <c r="I25084" t="s">
        <v>29518</v>
      </c>
      <c r="J25084" t="s">
        <v>8057</v>
      </c>
    </row>
    <row r="25085" spans="9:10" x14ac:dyDescent="0.3">
      <c r="I25085" t="s">
        <v>29519</v>
      </c>
    </row>
    <row r="25086" spans="9:10" x14ac:dyDescent="0.3">
      <c r="I25086" t="s">
        <v>29520</v>
      </c>
      <c r="J25086" t="s">
        <v>847</v>
      </c>
    </row>
    <row r="25087" spans="9:10" x14ac:dyDescent="0.3">
      <c r="I25087" t="s">
        <v>29520</v>
      </c>
      <c r="J25087" t="s">
        <v>847</v>
      </c>
    </row>
    <row r="25088" spans="9:10" x14ac:dyDescent="0.3">
      <c r="I25088" t="s">
        <v>29521</v>
      </c>
      <c r="J25088" t="s">
        <v>847</v>
      </c>
    </row>
    <row r="25089" spans="9:10" x14ac:dyDescent="0.3">
      <c r="I25089" t="s">
        <v>17955</v>
      </c>
      <c r="J25089" t="s">
        <v>4438</v>
      </c>
    </row>
    <row r="25090" spans="9:10" x14ac:dyDescent="0.3">
      <c r="I25090" t="s">
        <v>29522</v>
      </c>
      <c r="J25090" t="s">
        <v>4438</v>
      </c>
    </row>
    <row r="25091" spans="9:10" x14ac:dyDescent="0.3">
      <c r="I25091" t="s">
        <v>17954</v>
      </c>
      <c r="J25091" t="s">
        <v>4438</v>
      </c>
    </row>
    <row r="25092" spans="9:10" x14ac:dyDescent="0.3">
      <c r="I25092" t="s">
        <v>29523</v>
      </c>
      <c r="J25092" t="s">
        <v>8058</v>
      </c>
    </row>
    <row r="25093" spans="9:10" x14ac:dyDescent="0.3">
      <c r="I25093" t="s">
        <v>29524</v>
      </c>
      <c r="J25093" t="s">
        <v>8058</v>
      </c>
    </row>
    <row r="25094" spans="9:10" x14ac:dyDescent="0.3">
      <c r="I25094" t="s">
        <v>29525</v>
      </c>
      <c r="J25094" t="s">
        <v>8059</v>
      </c>
    </row>
    <row r="25095" spans="9:10" x14ac:dyDescent="0.3">
      <c r="I25095" t="s">
        <v>29526</v>
      </c>
      <c r="J25095" t="s">
        <v>8060</v>
      </c>
    </row>
    <row r="25096" spans="9:10" x14ac:dyDescent="0.3">
      <c r="I25096" t="s">
        <v>29527</v>
      </c>
      <c r="J25096" t="s">
        <v>8061</v>
      </c>
    </row>
    <row r="25097" spans="9:10" x14ac:dyDescent="0.3">
      <c r="I25097" t="s">
        <v>29527</v>
      </c>
      <c r="J25097" t="s">
        <v>8061</v>
      </c>
    </row>
    <row r="25098" spans="9:10" x14ac:dyDescent="0.3">
      <c r="I25098" t="s">
        <v>29528</v>
      </c>
      <c r="J25098" t="s">
        <v>8062</v>
      </c>
    </row>
    <row r="25099" spans="9:10" x14ac:dyDescent="0.3">
      <c r="I25099" t="s">
        <v>29529</v>
      </c>
      <c r="J25099" t="s">
        <v>8062</v>
      </c>
    </row>
    <row r="25100" spans="9:10" x14ac:dyDescent="0.3">
      <c r="I25100" t="s">
        <v>29530</v>
      </c>
      <c r="J25100" t="s">
        <v>8063</v>
      </c>
    </row>
    <row r="25101" spans="9:10" x14ac:dyDescent="0.3">
      <c r="I25101" t="s">
        <v>29531</v>
      </c>
      <c r="J25101" t="s">
        <v>8063</v>
      </c>
    </row>
    <row r="25102" spans="9:10" x14ac:dyDescent="0.3">
      <c r="I25102" t="s">
        <v>29532</v>
      </c>
      <c r="J25102" t="s">
        <v>8063</v>
      </c>
    </row>
    <row r="25103" spans="9:10" x14ac:dyDescent="0.3">
      <c r="I25103" t="s">
        <v>29533</v>
      </c>
      <c r="J25103" t="s">
        <v>8064</v>
      </c>
    </row>
    <row r="25104" spans="9:10" x14ac:dyDescent="0.3">
      <c r="I25104" t="s">
        <v>29534</v>
      </c>
    </row>
    <row r="25105" spans="9:10" x14ac:dyDescent="0.3">
      <c r="I25105" t="s">
        <v>29535</v>
      </c>
    </row>
    <row r="25106" spans="9:10" x14ac:dyDescent="0.3">
      <c r="I25106" t="s">
        <v>29536</v>
      </c>
    </row>
    <row r="25107" spans="9:10" x14ac:dyDescent="0.3">
      <c r="I25107" t="s">
        <v>29537</v>
      </c>
      <c r="J25107" t="s">
        <v>5878</v>
      </c>
    </row>
    <row r="25108" spans="9:10" x14ac:dyDescent="0.3">
      <c r="I25108" t="s">
        <v>29538</v>
      </c>
      <c r="J25108" t="s">
        <v>5878</v>
      </c>
    </row>
    <row r="25109" spans="9:10" x14ac:dyDescent="0.3">
      <c r="I25109" t="s">
        <v>29539</v>
      </c>
      <c r="J25109" t="s">
        <v>708</v>
      </c>
    </row>
    <row r="25110" spans="9:10" x14ac:dyDescent="0.3">
      <c r="I25110" t="s">
        <v>29539</v>
      </c>
      <c r="J25110" t="s">
        <v>708</v>
      </c>
    </row>
    <row r="25111" spans="9:10" x14ac:dyDescent="0.3">
      <c r="I25111" t="s">
        <v>29539</v>
      </c>
      <c r="J25111" t="s">
        <v>708</v>
      </c>
    </row>
    <row r="25112" spans="9:10" x14ac:dyDescent="0.3">
      <c r="I25112" t="s">
        <v>29540</v>
      </c>
      <c r="J25112" t="s">
        <v>708</v>
      </c>
    </row>
    <row r="25113" spans="9:10" x14ac:dyDescent="0.3">
      <c r="I25113" t="s">
        <v>29541</v>
      </c>
      <c r="J25113" t="s">
        <v>8065</v>
      </c>
    </row>
    <row r="25114" spans="9:10" x14ac:dyDescent="0.3">
      <c r="I25114" t="s">
        <v>29542</v>
      </c>
      <c r="J25114" t="s">
        <v>8066</v>
      </c>
    </row>
    <row r="25115" spans="9:10" x14ac:dyDescent="0.3">
      <c r="I25115" t="s">
        <v>29543</v>
      </c>
      <c r="J25115" t="s">
        <v>8067</v>
      </c>
    </row>
    <row r="25116" spans="9:10" x14ac:dyDescent="0.3">
      <c r="I25116" t="s">
        <v>29544</v>
      </c>
      <c r="J25116" t="s">
        <v>8068</v>
      </c>
    </row>
    <row r="25117" spans="9:10" x14ac:dyDescent="0.3">
      <c r="I25117" t="s">
        <v>29545</v>
      </c>
    </row>
    <row r="25118" spans="9:10" x14ac:dyDescent="0.3">
      <c r="I25118" t="s">
        <v>29546</v>
      </c>
    </row>
    <row r="25119" spans="9:10" x14ac:dyDescent="0.3">
      <c r="I25119" t="s">
        <v>29547</v>
      </c>
    </row>
    <row r="25120" spans="9:10" x14ac:dyDescent="0.3">
      <c r="I25120" t="s">
        <v>29548</v>
      </c>
    </row>
    <row r="25121" spans="9:10" x14ac:dyDescent="0.3">
      <c r="I25121" t="s">
        <v>29549</v>
      </c>
    </row>
    <row r="25122" spans="9:10" x14ac:dyDescent="0.3">
      <c r="I25122" t="s">
        <v>29550</v>
      </c>
    </row>
    <row r="25123" spans="9:10" x14ac:dyDescent="0.3">
      <c r="I25123" t="s">
        <v>29551</v>
      </c>
      <c r="J25123" t="s">
        <v>8069</v>
      </c>
    </row>
    <row r="25124" spans="9:10" x14ac:dyDescent="0.3">
      <c r="I25124" t="s">
        <v>29552</v>
      </c>
      <c r="J25124" t="s">
        <v>8069</v>
      </c>
    </row>
    <row r="25125" spans="9:10" x14ac:dyDescent="0.3">
      <c r="I25125" t="s">
        <v>29552</v>
      </c>
      <c r="J25125" t="s">
        <v>8069</v>
      </c>
    </row>
    <row r="25126" spans="9:10" x14ac:dyDescent="0.3">
      <c r="I25126" t="s">
        <v>29553</v>
      </c>
      <c r="J25126" t="s">
        <v>8070</v>
      </c>
    </row>
    <row r="25127" spans="9:10" x14ac:dyDescent="0.3">
      <c r="I25127" t="s">
        <v>29553</v>
      </c>
      <c r="J25127" t="s">
        <v>8070</v>
      </c>
    </row>
    <row r="25128" spans="9:10" x14ac:dyDescent="0.3">
      <c r="I25128" t="s">
        <v>29553</v>
      </c>
      <c r="J25128" t="s">
        <v>8070</v>
      </c>
    </row>
    <row r="25129" spans="9:10" x14ac:dyDescent="0.3">
      <c r="I25129" t="s">
        <v>29554</v>
      </c>
      <c r="J25129" t="s">
        <v>8071</v>
      </c>
    </row>
    <row r="25130" spans="9:10" x14ac:dyDescent="0.3">
      <c r="I25130" t="s">
        <v>29555</v>
      </c>
      <c r="J25130" t="s">
        <v>8072</v>
      </c>
    </row>
    <row r="25131" spans="9:10" x14ac:dyDescent="0.3">
      <c r="I25131" t="s">
        <v>29556</v>
      </c>
      <c r="J25131" t="s">
        <v>8073</v>
      </c>
    </row>
    <row r="25132" spans="9:10" x14ac:dyDescent="0.3">
      <c r="I25132" t="s">
        <v>29557</v>
      </c>
      <c r="J25132" t="s">
        <v>8074</v>
      </c>
    </row>
    <row r="25133" spans="9:10" x14ac:dyDescent="0.3">
      <c r="I25133" t="s">
        <v>29558</v>
      </c>
    </row>
    <row r="25134" spans="9:10" x14ac:dyDescent="0.3">
      <c r="I25134" t="s">
        <v>29559</v>
      </c>
      <c r="J25134" t="s">
        <v>8075</v>
      </c>
    </row>
    <row r="25135" spans="9:10" x14ac:dyDescent="0.3">
      <c r="I25135" t="s">
        <v>29560</v>
      </c>
      <c r="J25135" t="s">
        <v>8075</v>
      </c>
    </row>
    <row r="25136" spans="9:10" x14ac:dyDescent="0.3">
      <c r="I25136" t="s">
        <v>29561</v>
      </c>
      <c r="J25136" t="s">
        <v>8075</v>
      </c>
    </row>
    <row r="25137" spans="9:10" x14ac:dyDescent="0.3">
      <c r="I25137" t="s">
        <v>29562</v>
      </c>
    </row>
    <row r="25138" spans="9:10" x14ac:dyDescent="0.3">
      <c r="I25138" t="s">
        <v>29563</v>
      </c>
      <c r="J25138" t="s">
        <v>8076</v>
      </c>
    </row>
    <row r="25139" spans="9:10" x14ac:dyDescent="0.3">
      <c r="I25139" t="s">
        <v>29563</v>
      </c>
      <c r="J25139" t="s">
        <v>8076</v>
      </c>
    </row>
    <row r="25140" spans="9:10" x14ac:dyDescent="0.3">
      <c r="I25140" t="s">
        <v>29564</v>
      </c>
      <c r="J25140" t="s">
        <v>8077</v>
      </c>
    </row>
    <row r="25141" spans="9:10" x14ac:dyDescent="0.3">
      <c r="I25141" t="s">
        <v>29565</v>
      </c>
    </row>
    <row r="25142" spans="9:10" x14ac:dyDescent="0.3">
      <c r="I25142" t="s">
        <v>29566</v>
      </c>
    </row>
    <row r="25143" spans="9:10" x14ac:dyDescent="0.3">
      <c r="I25143" t="s">
        <v>29567</v>
      </c>
    </row>
    <row r="25144" spans="9:10" x14ac:dyDescent="0.3">
      <c r="I25144" t="s">
        <v>29568</v>
      </c>
      <c r="J25144" t="s">
        <v>8078</v>
      </c>
    </row>
    <row r="25145" spans="9:10" x14ac:dyDescent="0.3">
      <c r="I25145" t="s">
        <v>29569</v>
      </c>
      <c r="J25145" t="s">
        <v>8079</v>
      </c>
    </row>
    <row r="25146" spans="9:10" x14ac:dyDescent="0.3">
      <c r="I25146" t="s">
        <v>29570</v>
      </c>
    </row>
    <row r="25147" spans="9:10" x14ac:dyDescent="0.3">
      <c r="I25147" t="s">
        <v>29571</v>
      </c>
    </row>
    <row r="25148" spans="9:10" x14ac:dyDescent="0.3">
      <c r="I25148" t="s">
        <v>29572</v>
      </c>
    </row>
    <row r="25149" spans="9:10" x14ac:dyDescent="0.3">
      <c r="I25149" t="s">
        <v>29573</v>
      </c>
    </row>
    <row r="25150" spans="9:10" x14ac:dyDescent="0.3">
      <c r="I25150" t="s">
        <v>29574</v>
      </c>
    </row>
    <row r="25151" spans="9:10" x14ac:dyDescent="0.3">
      <c r="I25151" t="s">
        <v>29575</v>
      </c>
    </row>
    <row r="25152" spans="9:10" x14ac:dyDescent="0.3">
      <c r="I25152" t="s">
        <v>29576</v>
      </c>
      <c r="J25152" t="s">
        <v>8080</v>
      </c>
    </row>
    <row r="25153" spans="9:10" x14ac:dyDescent="0.3">
      <c r="I25153" t="s">
        <v>29577</v>
      </c>
      <c r="J25153" t="s">
        <v>301</v>
      </c>
    </row>
    <row r="25154" spans="9:10" x14ac:dyDescent="0.3">
      <c r="I25154" t="s">
        <v>29578</v>
      </c>
    </row>
    <row r="25155" spans="9:10" x14ac:dyDescent="0.3">
      <c r="I25155" t="s">
        <v>29579</v>
      </c>
    </row>
    <row r="25156" spans="9:10" x14ac:dyDescent="0.3">
      <c r="I25156" t="s">
        <v>29580</v>
      </c>
      <c r="J25156" t="s">
        <v>8081</v>
      </c>
    </row>
    <row r="25157" spans="9:10" x14ac:dyDescent="0.3">
      <c r="I25157" t="s">
        <v>29581</v>
      </c>
      <c r="J25157" t="s">
        <v>8082</v>
      </c>
    </row>
    <row r="25158" spans="9:10" x14ac:dyDescent="0.3">
      <c r="I25158" t="s">
        <v>29582</v>
      </c>
      <c r="J25158" t="s">
        <v>8083</v>
      </c>
    </row>
    <row r="25159" spans="9:10" x14ac:dyDescent="0.3">
      <c r="I25159" t="s">
        <v>29583</v>
      </c>
    </row>
    <row r="25160" spans="9:10" x14ac:dyDescent="0.3">
      <c r="I25160" t="s">
        <v>29584</v>
      </c>
    </row>
    <row r="25161" spans="9:10" x14ac:dyDescent="0.3">
      <c r="I25161" t="s">
        <v>29585</v>
      </c>
    </row>
    <row r="25162" spans="9:10" x14ac:dyDescent="0.3">
      <c r="I25162" t="s">
        <v>29586</v>
      </c>
      <c r="J25162" t="s">
        <v>8084</v>
      </c>
    </row>
    <row r="25163" spans="9:10" x14ac:dyDescent="0.3">
      <c r="I25163" t="s">
        <v>29586</v>
      </c>
      <c r="J25163" t="s">
        <v>8084</v>
      </c>
    </row>
    <row r="25164" spans="9:10" x14ac:dyDescent="0.3">
      <c r="I25164" t="s">
        <v>29587</v>
      </c>
    </row>
    <row r="25165" spans="9:10" x14ac:dyDescent="0.3">
      <c r="I25165" t="s">
        <v>29588</v>
      </c>
      <c r="J25165" t="s">
        <v>8085</v>
      </c>
    </row>
    <row r="25166" spans="9:10" x14ac:dyDescent="0.3">
      <c r="I25166" t="s">
        <v>29589</v>
      </c>
      <c r="J25166" t="s">
        <v>8086</v>
      </c>
    </row>
    <row r="25167" spans="9:10" x14ac:dyDescent="0.3">
      <c r="I25167" t="s">
        <v>29590</v>
      </c>
      <c r="J25167" t="s">
        <v>8087</v>
      </c>
    </row>
    <row r="25168" spans="9:10" x14ac:dyDescent="0.3">
      <c r="I25168" t="s">
        <v>29591</v>
      </c>
      <c r="J25168" t="s">
        <v>8087</v>
      </c>
    </row>
    <row r="25169" spans="9:10" x14ac:dyDescent="0.3">
      <c r="I25169" t="s">
        <v>29592</v>
      </c>
      <c r="J25169" t="s">
        <v>8088</v>
      </c>
    </row>
    <row r="25170" spans="9:10" x14ac:dyDescent="0.3">
      <c r="I25170" t="s">
        <v>29593</v>
      </c>
      <c r="J25170" t="s">
        <v>8089</v>
      </c>
    </row>
    <row r="25171" spans="9:10" x14ac:dyDescent="0.3">
      <c r="I25171" t="s">
        <v>29594</v>
      </c>
      <c r="J25171" t="s">
        <v>8090</v>
      </c>
    </row>
    <row r="25172" spans="9:10" x14ac:dyDescent="0.3">
      <c r="I25172" t="s">
        <v>13183</v>
      </c>
      <c r="J25172" t="s">
        <v>2045</v>
      </c>
    </row>
    <row r="25173" spans="9:10" x14ac:dyDescent="0.3">
      <c r="I25173" t="s">
        <v>29595</v>
      </c>
      <c r="J25173" t="s">
        <v>8091</v>
      </c>
    </row>
    <row r="25174" spans="9:10" x14ac:dyDescent="0.3">
      <c r="I25174" t="s">
        <v>29596</v>
      </c>
    </row>
    <row r="25175" spans="9:10" x14ac:dyDescent="0.3">
      <c r="I25175" t="s">
        <v>29597</v>
      </c>
      <c r="J25175" t="s">
        <v>8092</v>
      </c>
    </row>
    <row r="25176" spans="9:10" x14ac:dyDescent="0.3">
      <c r="I25176" t="s">
        <v>29598</v>
      </c>
      <c r="J25176" t="s">
        <v>8092</v>
      </c>
    </row>
    <row r="25177" spans="9:10" x14ac:dyDescent="0.3">
      <c r="I25177" t="s">
        <v>29599</v>
      </c>
    </row>
    <row r="25178" spans="9:10" x14ac:dyDescent="0.3">
      <c r="I25178" t="s">
        <v>29600</v>
      </c>
      <c r="J25178" t="s">
        <v>8093</v>
      </c>
    </row>
    <row r="25179" spans="9:10" x14ac:dyDescent="0.3">
      <c r="I25179" t="s">
        <v>29601</v>
      </c>
    </row>
    <row r="25180" spans="9:10" x14ac:dyDescent="0.3">
      <c r="I25180" t="s">
        <v>29602</v>
      </c>
    </row>
    <row r="25181" spans="9:10" x14ac:dyDescent="0.3">
      <c r="I25181" t="s">
        <v>29603</v>
      </c>
    </row>
    <row r="25182" spans="9:10" x14ac:dyDescent="0.3">
      <c r="I25182" t="s">
        <v>29604</v>
      </c>
    </row>
    <row r="25183" spans="9:10" x14ac:dyDescent="0.3">
      <c r="I25183" t="s">
        <v>29605</v>
      </c>
      <c r="J25183" t="s">
        <v>8094</v>
      </c>
    </row>
    <row r="25184" spans="9:10" x14ac:dyDescent="0.3">
      <c r="I25184" t="s">
        <v>29606</v>
      </c>
    </row>
    <row r="25185" spans="9:10" x14ac:dyDescent="0.3">
      <c r="I25185" t="s">
        <v>29607</v>
      </c>
    </row>
    <row r="25186" spans="9:10" x14ac:dyDescent="0.3">
      <c r="I25186" t="s">
        <v>29608</v>
      </c>
    </row>
    <row r="25187" spans="9:10" x14ac:dyDescent="0.3">
      <c r="I25187" t="s">
        <v>29609</v>
      </c>
      <c r="J25187" t="s">
        <v>8095</v>
      </c>
    </row>
    <row r="25188" spans="9:10" x14ac:dyDescent="0.3">
      <c r="I25188" t="s">
        <v>29610</v>
      </c>
    </row>
    <row r="25189" spans="9:10" x14ac:dyDescent="0.3">
      <c r="I25189" t="s">
        <v>29611</v>
      </c>
      <c r="J25189" t="s">
        <v>8096</v>
      </c>
    </row>
    <row r="25190" spans="9:10" x14ac:dyDescent="0.3">
      <c r="I25190" t="s">
        <v>29612</v>
      </c>
      <c r="J25190" t="s">
        <v>8097</v>
      </c>
    </row>
    <row r="25191" spans="9:10" x14ac:dyDescent="0.3">
      <c r="I25191" t="s">
        <v>29613</v>
      </c>
      <c r="J25191" t="s">
        <v>8098</v>
      </c>
    </row>
    <row r="25192" spans="9:10" x14ac:dyDescent="0.3">
      <c r="I25192" t="s">
        <v>29614</v>
      </c>
    </row>
    <row r="25193" spans="9:10" x14ac:dyDescent="0.3">
      <c r="I25193" t="s">
        <v>29615</v>
      </c>
    </row>
    <row r="25194" spans="9:10" x14ac:dyDescent="0.3">
      <c r="I25194" t="s">
        <v>29616</v>
      </c>
    </row>
    <row r="25195" spans="9:10" x14ac:dyDescent="0.3">
      <c r="I25195" t="s">
        <v>29617</v>
      </c>
      <c r="J25195" t="s">
        <v>8099</v>
      </c>
    </row>
    <row r="25196" spans="9:10" x14ac:dyDescent="0.3">
      <c r="I25196" t="s">
        <v>29618</v>
      </c>
      <c r="J25196" t="s">
        <v>8100</v>
      </c>
    </row>
    <row r="25197" spans="9:10" x14ac:dyDescent="0.3">
      <c r="I25197" t="s">
        <v>29619</v>
      </c>
    </row>
    <row r="25198" spans="9:10" x14ac:dyDescent="0.3">
      <c r="I25198" t="s">
        <v>29620</v>
      </c>
    </row>
    <row r="25199" spans="9:10" x14ac:dyDescent="0.3">
      <c r="I25199" t="s">
        <v>29621</v>
      </c>
      <c r="J25199" t="s">
        <v>8101</v>
      </c>
    </row>
    <row r="25200" spans="9:10" x14ac:dyDescent="0.3">
      <c r="I25200" t="s">
        <v>29622</v>
      </c>
      <c r="J25200" t="s">
        <v>8102</v>
      </c>
    </row>
    <row r="25201" spans="9:10" x14ac:dyDescent="0.3">
      <c r="I25201" t="s">
        <v>29623</v>
      </c>
      <c r="J25201" t="s">
        <v>8103</v>
      </c>
    </row>
    <row r="25202" spans="9:10" x14ac:dyDescent="0.3">
      <c r="I25202" t="s">
        <v>29624</v>
      </c>
    </row>
    <row r="25203" spans="9:10" x14ac:dyDescent="0.3">
      <c r="I25203" t="s">
        <v>29625</v>
      </c>
    </row>
    <row r="25204" spans="9:10" x14ac:dyDescent="0.3">
      <c r="I25204" t="s">
        <v>29626</v>
      </c>
      <c r="J25204" t="s">
        <v>8104</v>
      </c>
    </row>
    <row r="25205" spans="9:10" x14ac:dyDescent="0.3">
      <c r="I25205" t="s">
        <v>29627</v>
      </c>
      <c r="J25205" t="s">
        <v>8105</v>
      </c>
    </row>
    <row r="25206" spans="9:10" x14ac:dyDescent="0.3">
      <c r="I25206" t="s">
        <v>29627</v>
      </c>
      <c r="J25206" t="s">
        <v>8105</v>
      </c>
    </row>
    <row r="25207" spans="9:10" x14ac:dyDescent="0.3">
      <c r="I25207" t="s">
        <v>29628</v>
      </c>
    </row>
    <row r="25208" spans="9:10" x14ac:dyDescent="0.3">
      <c r="I25208" t="s">
        <v>29628</v>
      </c>
    </row>
    <row r="25209" spans="9:10" x14ac:dyDescent="0.3">
      <c r="I25209" t="s">
        <v>29629</v>
      </c>
    </row>
    <row r="25210" spans="9:10" x14ac:dyDescent="0.3">
      <c r="I25210" t="s">
        <v>29630</v>
      </c>
    </row>
    <row r="25211" spans="9:10" x14ac:dyDescent="0.3">
      <c r="I25211" t="s">
        <v>29631</v>
      </c>
    </row>
    <row r="25212" spans="9:10" x14ac:dyDescent="0.3">
      <c r="I25212" t="s">
        <v>29632</v>
      </c>
    </row>
    <row r="25213" spans="9:10" x14ac:dyDescent="0.3">
      <c r="I25213" t="s">
        <v>29633</v>
      </c>
    </row>
    <row r="25214" spans="9:10" x14ac:dyDescent="0.3">
      <c r="I25214" t="s">
        <v>29634</v>
      </c>
    </row>
    <row r="25215" spans="9:10" x14ac:dyDescent="0.3">
      <c r="I25215" t="s">
        <v>29635</v>
      </c>
      <c r="J25215" t="s">
        <v>8106</v>
      </c>
    </row>
    <row r="25216" spans="9:10" x14ac:dyDescent="0.3">
      <c r="I25216" t="s">
        <v>29636</v>
      </c>
    </row>
    <row r="25217" spans="9:10" x14ac:dyDescent="0.3">
      <c r="I25217" t="s">
        <v>29637</v>
      </c>
    </row>
    <row r="25218" spans="9:10" x14ac:dyDescent="0.3">
      <c r="I25218" t="s">
        <v>29638</v>
      </c>
    </row>
    <row r="25219" spans="9:10" x14ac:dyDescent="0.3">
      <c r="I25219" t="s">
        <v>29639</v>
      </c>
    </row>
    <row r="25220" spans="9:10" x14ac:dyDescent="0.3">
      <c r="I25220" t="s">
        <v>29640</v>
      </c>
      <c r="J25220" t="s">
        <v>8107</v>
      </c>
    </row>
    <row r="25221" spans="9:10" x14ac:dyDescent="0.3">
      <c r="I25221" t="s">
        <v>29641</v>
      </c>
      <c r="J25221" t="s">
        <v>8108</v>
      </c>
    </row>
    <row r="25222" spans="9:10" x14ac:dyDescent="0.3">
      <c r="I25222" t="s">
        <v>29642</v>
      </c>
      <c r="J25222" t="s">
        <v>8109</v>
      </c>
    </row>
    <row r="25223" spans="9:10" x14ac:dyDescent="0.3">
      <c r="I25223" t="s">
        <v>29642</v>
      </c>
      <c r="J25223" t="s">
        <v>8109</v>
      </c>
    </row>
    <row r="25224" spans="9:10" x14ac:dyDescent="0.3">
      <c r="I25224" t="s">
        <v>29643</v>
      </c>
      <c r="J25224" t="s">
        <v>8109</v>
      </c>
    </row>
    <row r="25225" spans="9:10" x14ac:dyDescent="0.3">
      <c r="I25225" t="s">
        <v>29644</v>
      </c>
    </row>
    <row r="25226" spans="9:10" x14ac:dyDescent="0.3">
      <c r="I25226" t="s">
        <v>29645</v>
      </c>
    </row>
    <row r="25227" spans="9:10" x14ac:dyDescent="0.3">
      <c r="I25227" t="s">
        <v>29646</v>
      </c>
    </row>
    <row r="25228" spans="9:10" x14ac:dyDescent="0.3">
      <c r="I25228" t="s">
        <v>29647</v>
      </c>
      <c r="J25228" t="s">
        <v>8110</v>
      </c>
    </row>
    <row r="25229" spans="9:10" x14ac:dyDescent="0.3">
      <c r="I25229" t="s">
        <v>29648</v>
      </c>
      <c r="J25229" t="s">
        <v>5118</v>
      </c>
    </row>
    <row r="25230" spans="9:10" x14ac:dyDescent="0.3">
      <c r="I25230" t="s">
        <v>29649</v>
      </c>
      <c r="J25230" t="s">
        <v>8111</v>
      </c>
    </row>
    <row r="25231" spans="9:10" x14ac:dyDescent="0.3">
      <c r="I25231" t="s">
        <v>29649</v>
      </c>
      <c r="J25231" t="s">
        <v>8111</v>
      </c>
    </row>
    <row r="25232" spans="9:10" x14ac:dyDescent="0.3">
      <c r="I25232" t="s">
        <v>29650</v>
      </c>
    </row>
    <row r="25233" spans="9:10" x14ac:dyDescent="0.3">
      <c r="I25233" t="s">
        <v>29651</v>
      </c>
      <c r="J25233" t="s">
        <v>8112</v>
      </c>
    </row>
    <row r="25234" spans="9:10" x14ac:dyDescent="0.3">
      <c r="I25234" t="s">
        <v>29652</v>
      </c>
      <c r="J25234" t="s">
        <v>8113</v>
      </c>
    </row>
    <row r="25235" spans="9:10" x14ac:dyDescent="0.3">
      <c r="I25235" t="s">
        <v>29652</v>
      </c>
      <c r="J25235" t="s">
        <v>8113</v>
      </c>
    </row>
    <row r="25236" spans="9:10" x14ac:dyDescent="0.3">
      <c r="I25236" t="s">
        <v>29653</v>
      </c>
      <c r="J25236" t="s">
        <v>8114</v>
      </c>
    </row>
    <row r="25237" spans="9:10" x14ac:dyDescent="0.3">
      <c r="I25237" t="s">
        <v>29653</v>
      </c>
      <c r="J25237" t="s">
        <v>8114</v>
      </c>
    </row>
    <row r="25238" spans="9:10" x14ac:dyDescent="0.3">
      <c r="I25238" t="s">
        <v>29654</v>
      </c>
      <c r="J25238" t="s">
        <v>8115</v>
      </c>
    </row>
    <row r="25239" spans="9:10" x14ac:dyDescent="0.3">
      <c r="I25239" t="s">
        <v>29655</v>
      </c>
    </row>
    <row r="25240" spans="9:10" x14ac:dyDescent="0.3">
      <c r="I25240" t="s">
        <v>29656</v>
      </c>
      <c r="J25240" t="s">
        <v>8116</v>
      </c>
    </row>
    <row r="25241" spans="9:10" x14ac:dyDescent="0.3">
      <c r="I25241" t="s">
        <v>29657</v>
      </c>
    </row>
    <row r="25242" spans="9:10" x14ac:dyDescent="0.3">
      <c r="I25242" t="s">
        <v>29658</v>
      </c>
    </row>
    <row r="25243" spans="9:10" x14ac:dyDescent="0.3">
      <c r="I25243" t="s">
        <v>29659</v>
      </c>
    </row>
    <row r="25244" spans="9:10" x14ac:dyDescent="0.3">
      <c r="I25244" t="s">
        <v>29660</v>
      </c>
    </row>
    <row r="25245" spans="9:10" x14ac:dyDescent="0.3">
      <c r="I25245" t="s">
        <v>29661</v>
      </c>
    </row>
    <row r="25246" spans="9:10" x14ac:dyDescent="0.3">
      <c r="I25246" t="s">
        <v>29662</v>
      </c>
      <c r="J25246" t="s">
        <v>8117</v>
      </c>
    </row>
    <row r="25247" spans="9:10" x14ac:dyDescent="0.3">
      <c r="I25247" t="s">
        <v>29663</v>
      </c>
      <c r="J25247" t="s">
        <v>8118</v>
      </c>
    </row>
    <row r="25248" spans="9:10" x14ac:dyDescent="0.3">
      <c r="I25248" t="s">
        <v>29664</v>
      </c>
    </row>
    <row r="25249" spans="9:10" x14ac:dyDescent="0.3">
      <c r="I25249" t="s">
        <v>29665</v>
      </c>
    </row>
    <row r="25250" spans="9:10" x14ac:dyDescent="0.3">
      <c r="I25250" t="s">
        <v>29666</v>
      </c>
      <c r="J25250" t="s">
        <v>8119</v>
      </c>
    </row>
    <row r="25251" spans="9:10" x14ac:dyDescent="0.3">
      <c r="I25251" t="s">
        <v>29667</v>
      </c>
    </row>
    <row r="25252" spans="9:10" x14ac:dyDescent="0.3">
      <c r="I25252" t="s">
        <v>29668</v>
      </c>
    </row>
    <row r="25253" spans="9:10" x14ac:dyDescent="0.3">
      <c r="I25253" t="s">
        <v>29669</v>
      </c>
    </row>
    <row r="25254" spans="9:10" x14ac:dyDescent="0.3">
      <c r="I25254" t="s">
        <v>29670</v>
      </c>
    </row>
    <row r="25255" spans="9:10" x14ac:dyDescent="0.3">
      <c r="I25255" t="s">
        <v>29671</v>
      </c>
      <c r="J25255" t="s">
        <v>8120</v>
      </c>
    </row>
    <row r="25256" spans="9:10" x14ac:dyDescent="0.3">
      <c r="I25256" t="s">
        <v>29672</v>
      </c>
      <c r="J25256" t="s">
        <v>8121</v>
      </c>
    </row>
    <row r="25257" spans="9:10" x14ac:dyDescent="0.3">
      <c r="I25257" t="s">
        <v>29673</v>
      </c>
    </row>
    <row r="25258" spans="9:10" x14ac:dyDescent="0.3">
      <c r="I25258" t="s">
        <v>29674</v>
      </c>
      <c r="J25258" t="s">
        <v>8122</v>
      </c>
    </row>
    <row r="25259" spans="9:10" x14ac:dyDescent="0.3">
      <c r="I25259" t="s">
        <v>29675</v>
      </c>
      <c r="J25259" t="s">
        <v>8123</v>
      </c>
    </row>
    <row r="25260" spans="9:10" x14ac:dyDescent="0.3">
      <c r="I25260" t="s">
        <v>29676</v>
      </c>
      <c r="J25260" t="s">
        <v>8124</v>
      </c>
    </row>
    <row r="25261" spans="9:10" x14ac:dyDescent="0.3">
      <c r="I25261" t="s">
        <v>29677</v>
      </c>
      <c r="J25261" t="s">
        <v>8125</v>
      </c>
    </row>
    <row r="25262" spans="9:10" x14ac:dyDescent="0.3">
      <c r="I25262" t="s">
        <v>29678</v>
      </c>
    </row>
    <row r="25263" spans="9:10" x14ac:dyDescent="0.3">
      <c r="I25263" t="s">
        <v>29679</v>
      </c>
    </row>
    <row r="25264" spans="9:10" x14ac:dyDescent="0.3">
      <c r="I25264" t="s">
        <v>29680</v>
      </c>
    </row>
    <row r="25265" spans="9:10" x14ac:dyDescent="0.3">
      <c r="I25265" t="s">
        <v>29680</v>
      </c>
    </row>
    <row r="25266" spans="9:10" x14ac:dyDescent="0.3">
      <c r="I25266" t="s">
        <v>29681</v>
      </c>
      <c r="J25266" t="s">
        <v>8126</v>
      </c>
    </row>
    <row r="25267" spans="9:10" x14ac:dyDescent="0.3">
      <c r="I25267" t="s">
        <v>29682</v>
      </c>
      <c r="J25267" t="s">
        <v>8127</v>
      </c>
    </row>
    <row r="25268" spans="9:10" x14ac:dyDescent="0.3">
      <c r="I25268" t="s">
        <v>29683</v>
      </c>
    </row>
    <row r="25269" spans="9:10" x14ac:dyDescent="0.3">
      <c r="I25269" t="s">
        <v>29684</v>
      </c>
    </row>
    <row r="25270" spans="9:10" x14ac:dyDescent="0.3">
      <c r="I25270" t="s">
        <v>29685</v>
      </c>
      <c r="J25270" t="s">
        <v>8128</v>
      </c>
    </row>
    <row r="25271" spans="9:10" x14ac:dyDescent="0.3">
      <c r="I25271" t="s">
        <v>29686</v>
      </c>
      <c r="J25271" t="s">
        <v>8128</v>
      </c>
    </row>
    <row r="25272" spans="9:10" x14ac:dyDescent="0.3">
      <c r="I25272" t="s">
        <v>29685</v>
      </c>
      <c r="J25272" t="s">
        <v>8128</v>
      </c>
    </row>
    <row r="25273" spans="9:10" x14ac:dyDescent="0.3">
      <c r="I25273" t="s">
        <v>29687</v>
      </c>
      <c r="J25273" t="s">
        <v>8129</v>
      </c>
    </row>
    <row r="25274" spans="9:10" x14ac:dyDescent="0.3">
      <c r="I25274" t="s">
        <v>29688</v>
      </c>
      <c r="J25274" t="s">
        <v>8130</v>
      </c>
    </row>
    <row r="25275" spans="9:10" x14ac:dyDescent="0.3">
      <c r="I25275" t="s">
        <v>29689</v>
      </c>
      <c r="J25275" t="s">
        <v>8130</v>
      </c>
    </row>
    <row r="25276" spans="9:10" x14ac:dyDescent="0.3">
      <c r="I25276" t="s">
        <v>29690</v>
      </c>
    </row>
    <row r="25277" spans="9:10" x14ac:dyDescent="0.3">
      <c r="I25277" t="s">
        <v>29691</v>
      </c>
      <c r="J25277" t="s">
        <v>8131</v>
      </c>
    </row>
    <row r="25278" spans="9:10" x14ac:dyDescent="0.3">
      <c r="I25278" t="s">
        <v>29692</v>
      </c>
      <c r="J25278" t="s">
        <v>8132</v>
      </c>
    </row>
    <row r="25279" spans="9:10" x14ac:dyDescent="0.3">
      <c r="I25279" t="s">
        <v>29693</v>
      </c>
    </row>
    <row r="25280" spans="9:10" x14ac:dyDescent="0.3">
      <c r="I25280" t="s">
        <v>29694</v>
      </c>
    </row>
    <row r="25281" spans="9:10" x14ac:dyDescent="0.3">
      <c r="I25281" t="s">
        <v>29695</v>
      </c>
    </row>
    <row r="25282" spans="9:10" x14ac:dyDescent="0.3">
      <c r="I25282" t="s">
        <v>29696</v>
      </c>
    </row>
    <row r="25283" spans="9:10" x14ac:dyDescent="0.3">
      <c r="I25283" t="s">
        <v>29697</v>
      </c>
      <c r="J25283" t="s">
        <v>8133</v>
      </c>
    </row>
    <row r="25284" spans="9:10" x14ac:dyDescent="0.3">
      <c r="I25284" t="s">
        <v>29698</v>
      </c>
    </row>
    <row r="25285" spans="9:10" x14ac:dyDescent="0.3">
      <c r="I25285" t="s">
        <v>29699</v>
      </c>
      <c r="J25285" t="s">
        <v>587</v>
      </c>
    </row>
    <row r="25286" spans="9:10" x14ac:dyDescent="0.3">
      <c r="I25286" t="s">
        <v>29700</v>
      </c>
    </row>
    <row r="25287" spans="9:10" x14ac:dyDescent="0.3">
      <c r="I25287" t="s">
        <v>29701</v>
      </c>
      <c r="J25287" t="s">
        <v>8134</v>
      </c>
    </row>
    <row r="25288" spans="9:10" x14ac:dyDescent="0.3">
      <c r="I25288" t="s">
        <v>29702</v>
      </c>
      <c r="J25288" t="s">
        <v>8135</v>
      </c>
    </row>
    <row r="25289" spans="9:10" x14ac:dyDescent="0.3">
      <c r="I25289" t="s">
        <v>29703</v>
      </c>
      <c r="J25289">
        <v>0</v>
      </c>
    </row>
    <row r="25290" spans="9:10" x14ac:dyDescent="0.3">
      <c r="I25290" t="s">
        <v>29704</v>
      </c>
      <c r="J25290" t="s">
        <v>8136</v>
      </c>
    </row>
    <row r="25291" spans="9:10" x14ac:dyDescent="0.3">
      <c r="I25291" t="s">
        <v>29705</v>
      </c>
      <c r="J25291" t="s">
        <v>8137</v>
      </c>
    </row>
    <row r="25292" spans="9:10" x14ac:dyDescent="0.3">
      <c r="I25292" t="s">
        <v>29706</v>
      </c>
      <c r="J25292" t="s">
        <v>8138</v>
      </c>
    </row>
    <row r="25293" spans="9:10" x14ac:dyDescent="0.3">
      <c r="I25293" t="s">
        <v>29707</v>
      </c>
    </row>
    <row r="25294" spans="9:10" x14ac:dyDescent="0.3">
      <c r="I25294" t="s">
        <v>29708</v>
      </c>
      <c r="J25294" t="s">
        <v>8139</v>
      </c>
    </row>
    <row r="25295" spans="9:10" x14ac:dyDescent="0.3">
      <c r="I25295" t="s">
        <v>29709</v>
      </c>
    </row>
    <row r="25296" spans="9:10" x14ac:dyDescent="0.3">
      <c r="I25296" t="s">
        <v>29710</v>
      </c>
      <c r="J25296" t="s">
        <v>8140</v>
      </c>
    </row>
    <row r="25297" spans="9:10" x14ac:dyDescent="0.3">
      <c r="I25297" t="s">
        <v>29710</v>
      </c>
      <c r="J25297" t="s">
        <v>8140</v>
      </c>
    </row>
    <row r="25298" spans="9:10" x14ac:dyDescent="0.3">
      <c r="I25298" t="s">
        <v>29711</v>
      </c>
    </row>
    <row r="25299" spans="9:10" x14ac:dyDescent="0.3">
      <c r="I25299" t="s">
        <v>29712</v>
      </c>
    </row>
    <row r="25300" spans="9:10" x14ac:dyDescent="0.3">
      <c r="I25300" t="s">
        <v>29713</v>
      </c>
    </row>
    <row r="25301" spans="9:10" x14ac:dyDescent="0.3">
      <c r="I25301" t="s">
        <v>29714</v>
      </c>
      <c r="J25301" t="s">
        <v>8141</v>
      </c>
    </row>
    <row r="25302" spans="9:10" x14ac:dyDescent="0.3">
      <c r="I25302" t="s">
        <v>29715</v>
      </c>
      <c r="J25302" t="s">
        <v>8142</v>
      </c>
    </row>
    <row r="25303" spans="9:10" x14ac:dyDescent="0.3">
      <c r="I25303" t="s">
        <v>29716</v>
      </c>
    </row>
    <row r="25304" spans="9:10" x14ac:dyDescent="0.3">
      <c r="I25304" t="s">
        <v>29716</v>
      </c>
    </row>
    <row r="25305" spans="9:10" x14ac:dyDescent="0.3">
      <c r="I25305" t="s">
        <v>29717</v>
      </c>
      <c r="J25305" t="s">
        <v>8143</v>
      </c>
    </row>
    <row r="25306" spans="9:10" x14ac:dyDescent="0.3">
      <c r="I25306" t="s">
        <v>29718</v>
      </c>
      <c r="J25306" t="s">
        <v>733</v>
      </c>
    </row>
    <row r="25307" spans="9:10" x14ac:dyDescent="0.3">
      <c r="I25307" t="s">
        <v>29719</v>
      </c>
      <c r="J25307" t="s">
        <v>8144</v>
      </c>
    </row>
    <row r="25308" spans="9:10" x14ac:dyDescent="0.3">
      <c r="I25308" t="s">
        <v>29720</v>
      </c>
      <c r="J25308" t="s">
        <v>8145</v>
      </c>
    </row>
    <row r="25309" spans="9:10" x14ac:dyDescent="0.3">
      <c r="I25309" t="s">
        <v>29721</v>
      </c>
      <c r="J25309" t="s">
        <v>8145</v>
      </c>
    </row>
    <row r="25310" spans="9:10" x14ac:dyDescent="0.3">
      <c r="I25310" t="s">
        <v>29722</v>
      </c>
      <c r="J25310" t="s">
        <v>480</v>
      </c>
    </row>
    <row r="25311" spans="9:10" x14ac:dyDescent="0.3">
      <c r="I25311" t="s">
        <v>29723</v>
      </c>
    </row>
    <row r="25312" spans="9:10" x14ac:dyDescent="0.3">
      <c r="I25312" t="s">
        <v>29724</v>
      </c>
      <c r="J25312" t="s">
        <v>8146</v>
      </c>
    </row>
    <row r="25313" spans="9:10" x14ac:dyDescent="0.3">
      <c r="I25313" t="s">
        <v>29725</v>
      </c>
      <c r="J25313" t="s">
        <v>8147</v>
      </c>
    </row>
    <row r="25314" spans="9:10" x14ac:dyDescent="0.3">
      <c r="I25314" t="s">
        <v>29726</v>
      </c>
    </row>
    <row r="25315" spans="9:10" x14ac:dyDescent="0.3">
      <c r="I25315" t="s">
        <v>29727</v>
      </c>
    </row>
    <row r="25316" spans="9:10" x14ac:dyDescent="0.3">
      <c r="I25316" t="s">
        <v>29728</v>
      </c>
    </row>
    <row r="25317" spans="9:10" x14ac:dyDescent="0.3">
      <c r="I25317" t="s">
        <v>29729</v>
      </c>
      <c r="J25317" t="s">
        <v>8148</v>
      </c>
    </row>
    <row r="25318" spans="9:10" x14ac:dyDescent="0.3">
      <c r="I25318" t="s">
        <v>29730</v>
      </c>
    </row>
    <row r="25319" spans="9:10" x14ac:dyDescent="0.3">
      <c r="I25319" t="s">
        <v>29731</v>
      </c>
    </row>
    <row r="25320" spans="9:10" x14ac:dyDescent="0.3">
      <c r="I25320" t="s">
        <v>29732</v>
      </c>
    </row>
    <row r="25321" spans="9:10" x14ac:dyDescent="0.3">
      <c r="I25321" t="s">
        <v>29733</v>
      </c>
      <c r="J25321" t="s">
        <v>8149</v>
      </c>
    </row>
    <row r="25322" spans="9:10" x14ac:dyDescent="0.3">
      <c r="I25322" t="s">
        <v>29734</v>
      </c>
      <c r="J25322" t="s">
        <v>8150</v>
      </c>
    </row>
    <row r="25323" spans="9:10" x14ac:dyDescent="0.3">
      <c r="I25323" t="s">
        <v>29735</v>
      </c>
    </row>
    <row r="25324" spans="9:10" x14ac:dyDescent="0.3">
      <c r="I25324" t="s">
        <v>29736</v>
      </c>
    </row>
    <row r="25325" spans="9:10" x14ac:dyDescent="0.3">
      <c r="I25325" t="s">
        <v>29737</v>
      </c>
      <c r="J25325" t="s">
        <v>671</v>
      </c>
    </row>
    <row r="25326" spans="9:10" x14ac:dyDescent="0.3">
      <c r="I25326" t="s">
        <v>29737</v>
      </c>
      <c r="J25326" t="s">
        <v>671</v>
      </c>
    </row>
    <row r="25327" spans="9:10" x14ac:dyDescent="0.3">
      <c r="I25327" t="s">
        <v>29738</v>
      </c>
      <c r="J25327" t="s">
        <v>8151</v>
      </c>
    </row>
    <row r="25328" spans="9:10" x14ac:dyDescent="0.3">
      <c r="I25328" t="s">
        <v>29739</v>
      </c>
      <c r="J25328" t="s">
        <v>8152</v>
      </c>
    </row>
    <row r="25329" spans="9:10" x14ac:dyDescent="0.3">
      <c r="I25329" t="s">
        <v>29740</v>
      </c>
      <c r="J25329" t="s">
        <v>8153</v>
      </c>
    </row>
    <row r="25330" spans="9:10" x14ac:dyDescent="0.3">
      <c r="I25330" t="s">
        <v>29741</v>
      </c>
      <c r="J25330" t="s">
        <v>8153</v>
      </c>
    </row>
    <row r="25331" spans="9:10" x14ac:dyDescent="0.3">
      <c r="I25331" t="s">
        <v>29740</v>
      </c>
      <c r="J25331" t="s">
        <v>8153</v>
      </c>
    </row>
    <row r="25332" spans="9:10" x14ac:dyDescent="0.3">
      <c r="I25332" t="s">
        <v>29742</v>
      </c>
      <c r="J25332" t="s">
        <v>8154</v>
      </c>
    </row>
    <row r="25333" spans="9:10" x14ac:dyDescent="0.3">
      <c r="I25333" t="s">
        <v>29742</v>
      </c>
      <c r="J25333" t="s">
        <v>8154</v>
      </c>
    </row>
    <row r="25334" spans="9:10" x14ac:dyDescent="0.3">
      <c r="I25334" t="s">
        <v>29743</v>
      </c>
      <c r="J25334" t="s">
        <v>8155</v>
      </c>
    </row>
    <row r="25335" spans="9:10" x14ac:dyDescent="0.3">
      <c r="I25335" t="s">
        <v>29744</v>
      </c>
    </row>
    <row r="25336" spans="9:10" x14ac:dyDescent="0.3">
      <c r="I25336" t="s">
        <v>29745</v>
      </c>
    </row>
    <row r="25337" spans="9:10" x14ac:dyDescent="0.3">
      <c r="I25337" t="s">
        <v>29746</v>
      </c>
      <c r="J25337" t="s">
        <v>8156</v>
      </c>
    </row>
    <row r="25338" spans="9:10" x14ac:dyDescent="0.3">
      <c r="I25338" t="s">
        <v>29747</v>
      </c>
      <c r="J25338" t="s">
        <v>8157</v>
      </c>
    </row>
    <row r="25339" spans="9:10" x14ac:dyDescent="0.3">
      <c r="I25339" t="s">
        <v>29747</v>
      </c>
      <c r="J25339" t="s">
        <v>8157</v>
      </c>
    </row>
    <row r="25340" spans="9:10" x14ac:dyDescent="0.3">
      <c r="I25340" t="s">
        <v>29747</v>
      </c>
      <c r="J25340" t="s">
        <v>8157</v>
      </c>
    </row>
    <row r="25341" spans="9:10" x14ac:dyDescent="0.3">
      <c r="I25341" t="s">
        <v>29748</v>
      </c>
      <c r="J25341" t="s">
        <v>8157</v>
      </c>
    </row>
    <row r="25342" spans="9:10" x14ac:dyDescent="0.3">
      <c r="I25342" t="s">
        <v>29749</v>
      </c>
      <c r="J25342" t="s">
        <v>8158</v>
      </c>
    </row>
    <row r="25343" spans="9:10" x14ac:dyDescent="0.3">
      <c r="I25343" t="s">
        <v>29750</v>
      </c>
      <c r="J25343" t="s">
        <v>8159</v>
      </c>
    </row>
    <row r="25344" spans="9:10" x14ac:dyDescent="0.3">
      <c r="I25344" t="s">
        <v>29751</v>
      </c>
    </row>
    <row r="25345" spans="9:10" x14ac:dyDescent="0.3">
      <c r="I25345" t="s">
        <v>29752</v>
      </c>
    </row>
    <row r="25346" spans="9:10" x14ac:dyDescent="0.3">
      <c r="I25346" t="s">
        <v>29753</v>
      </c>
      <c r="J25346" t="s">
        <v>8160</v>
      </c>
    </row>
    <row r="25347" spans="9:10" x14ac:dyDescent="0.3">
      <c r="I25347" t="s">
        <v>29754</v>
      </c>
    </row>
    <row r="25348" spans="9:10" x14ac:dyDescent="0.3">
      <c r="I25348" t="s">
        <v>29755</v>
      </c>
    </row>
    <row r="25349" spans="9:10" x14ac:dyDescent="0.3">
      <c r="I25349" t="s">
        <v>29756</v>
      </c>
    </row>
    <row r="25350" spans="9:10" x14ac:dyDescent="0.3">
      <c r="I25350" t="s">
        <v>29757</v>
      </c>
    </row>
    <row r="25351" spans="9:10" x14ac:dyDescent="0.3">
      <c r="I25351" t="s">
        <v>29758</v>
      </c>
    </row>
    <row r="25352" spans="9:10" x14ac:dyDescent="0.3">
      <c r="I25352" t="s">
        <v>29759</v>
      </c>
      <c r="J25352" t="s">
        <v>8161</v>
      </c>
    </row>
    <row r="25353" spans="9:10" x14ac:dyDescent="0.3">
      <c r="I25353" t="s">
        <v>29760</v>
      </c>
      <c r="J25353" t="s">
        <v>1459</v>
      </c>
    </row>
    <row r="25354" spans="9:10" x14ac:dyDescent="0.3">
      <c r="I25354" t="s">
        <v>29761</v>
      </c>
    </row>
    <row r="25355" spans="9:10" x14ac:dyDescent="0.3">
      <c r="I25355" t="s">
        <v>29762</v>
      </c>
    </row>
    <row r="25356" spans="9:10" x14ac:dyDescent="0.3">
      <c r="I25356" t="s">
        <v>29763</v>
      </c>
    </row>
    <row r="25357" spans="9:10" x14ac:dyDescent="0.3">
      <c r="I25357" t="s">
        <v>29764</v>
      </c>
      <c r="J25357" t="s">
        <v>8162</v>
      </c>
    </row>
    <row r="25358" spans="9:10" x14ac:dyDescent="0.3">
      <c r="I25358" t="s">
        <v>29765</v>
      </c>
    </row>
    <row r="25359" spans="9:10" x14ac:dyDescent="0.3">
      <c r="I25359" t="s">
        <v>29766</v>
      </c>
    </row>
    <row r="25360" spans="9:10" x14ac:dyDescent="0.3">
      <c r="I25360" t="s">
        <v>29767</v>
      </c>
      <c r="J25360" t="s">
        <v>8163</v>
      </c>
    </row>
    <row r="25361" spans="9:10" x14ac:dyDescent="0.3">
      <c r="I25361" t="s">
        <v>29768</v>
      </c>
    </row>
    <row r="25362" spans="9:10" x14ac:dyDescent="0.3">
      <c r="I25362" t="s">
        <v>29769</v>
      </c>
      <c r="J25362" t="s">
        <v>8164</v>
      </c>
    </row>
    <row r="25363" spans="9:10" x14ac:dyDescent="0.3">
      <c r="I25363" t="s">
        <v>29770</v>
      </c>
      <c r="J25363" t="s">
        <v>8165</v>
      </c>
    </row>
    <row r="25364" spans="9:10" x14ac:dyDescent="0.3">
      <c r="I25364" t="s">
        <v>29771</v>
      </c>
    </row>
    <row r="25365" spans="9:10" x14ac:dyDescent="0.3">
      <c r="I25365" t="s">
        <v>29772</v>
      </c>
      <c r="J25365" t="s">
        <v>8166</v>
      </c>
    </row>
    <row r="25366" spans="9:10" x14ac:dyDescent="0.3">
      <c r="I25366" t="s">
        <v>29772</v>
      </c>
      <c r="J25366" t="s">
        <v>8166</v>
      </c>
    </row>
    <row r="25367" spans="9:10" x14ac:dyDescent="0.3">
      <c r="I25367" t="s">
        <v>29773</v>
      </c>
      <c r="J25367" t="s">
        <v>768</v>
      </c>
    </row>
    <row r="25368" spans="9:10" x14ac:dyDescent="0.3">
      <c r="I25368" t="s">
        <v>29774</v>
      </c>
      <c r="J25368" t="s">
        <v>8167</v>
      </c>
    </row>
    <row r="25369" spans="9:10" x14ac:dyDescent="0.3">
      <c r="I25369" t="s">
        <v>29775</v>
      </c>
      <c r="J25369" t="s">
        <v>8168</v>
      </c>
    </row>
    <row r="25370" spans="9:10" x14ac:dyDescent="0.3">
      <c r="I25370" t="s">
        <v>29776</v>
      </c>
    </row>
    <row r="25371" spans="9:10" x14ac:dyDescent="0.3">
      <c r="I25371" t="s">
        <v>29777</v>
      </c>
    </row>
    <row r="25372" spans="9:10" x14ac:dyDescent="0.3">
      <c r="I25372" t="s">
        <v>29778</v>
      </c>
    </row>
    <row r="25373" spans="9:10" x14ac:dyDescent="0.3">
      <c r="I25373" t="s">
        <v>29779</v>
      </c>
    </row>
    <row r="25374" spans="9:10" x14ac:dyDescent="0.3">
      <c r="I25374" t="s">
        <v>29780</v>
      </c>
      <c r="J25374" t="s">
        <v>8169</v>
      </c>
    </row>
    <row r="25375" spans="9:10" x14ac:dyDescent="0.3">
      <c r="I25375" t="s">
        <v>29781</v>
      </c>
      <c r="J25375" t="s">
        <v>8170</v>
      </c>
    </row>
    <row r="25376" spans="9:10" x14ac:dyDescent="0.3">
      <c r="I25376" t="s">
        <v>29782</v>
      </c>
      <c r="J25376" t="s">
        <v>8171</v>
      </c>
    </row>
    <row r="25377" spans="9:10" x14ac:dyDescent="0.3">
      <c r="I25377" t="s">
        <v>29783</v>
      </c>
      <c r="J25377" t="s">
        <v>8172</v>
      </c>
    </row>
    <row r="25378" spans="9:10" x14ac:dyDescent="0.3">
      <c r="I25378" t="s">
        <v>29784</v>
      </c>
      <c r="J25378" t="s">
        <v>8173</v>
      </c>
    </row>
    <row r="25379" spans="9:10" x14ac:dyDescent="0.3">
      <c r="I25379" t="s">
        <v>29785</v>
      </c>
      <c r="J25379" t="s">
        <v>645</v>
      </c>
    </row>
    <row r="25380" spans="9:10" x14ac:dyDescent="0.3">
      <c r="I25380" t="s">
        <v>29785</v>
      </c>
      <c r="J25380" t="s">
        <v>645</v>
      </c>
    </row>
    <row r="25381" spans="9:10" x14ac:dyDescent="0.3">
      <c r="I25381" t="s">
        <v>29785</v>
      </c>
      <c r="J25381" t="s">
        <v>645</v>
      </c>
    </row>
    <row r="25382" spans="9:10" x14ac:dyDescent="0.3">
      <c r="I25382" t="s">
        <v>29786</v>
      </c>
    </row>
    <row r="25383" spans="9:10" x14ac:dyDescent="0.3">
      <c r="I25383" t="s">
        <v>29787</v>
      </c>
      <c r="J25383" t="s">
        <v>8174</v>
      </c>
    </row>
    <row r="25384" spans="9:10" x14ac:dyDescent="0.3">
      <c r="I25384" t="s">
        <v>29788</v>
      </c>
    </row>
    <row r="25385" spans="9:10" x14ac:dyDescent="0.3">
      <c r="I25385" t="s">
        <v>29789</v>
      </c>
    </row>
    <row r="25386" spans="9:10" x14ac:dyDescent="0.3">
      <c r="I25386" t="s">
        <v>29790</v>
      </c>
    </row>
    <row r="25387" spans="9:10" x14ac:dyDescent="0.3">
      <c r="I25387" t="s">
        <v>29791</v>
      </c>
    </row>
    <row r="25388" spans="9:10" x14ac:dyDescent="0.3">
      <c r="I25388" t="s">
        <v>29792</v>
      </c>
    </row>
    <row r="25389" spans="9:10" x14ac:dyDescent="0.3">
      <c r="I25389" t="s">
        <v>29793</v>
      </c>
      <c r="J25389" t="s">
        <v>8175</v>
      </c>
    </row>
    <row r="25390" spans="9:10" x14ac:dyDescent="0.3">
      <c r="I25390" t="s">
        <v>29794</v>
      </c>
      <c r="J25390">
        <v>0</v>
      </c>
    </row>
    <row r="25391" spans="9:10" x14ac:dyDescent="0.3">
      <c r="I25391" t="s">
        <v>29795</v>
      </c>
      <c r="J25391" t="s">
        <v>8176</v>
      </c>
    </row>
    <row r="25392" spans="9:10" x14ac:dyDescent="0.3">
      <c r="I25392" t="s">
        <v>29796</v>
      </c>
    </row>
    <row r="25393" spans="9:10" x14ac:dyDescent="0.3">
      <c r="I25393" t="s">
        <v>29797</v>
      </c>
      <c r="J25393" t="s">
        <v>8177</v>
      </c>
    </row>
    <row r="25394" spans="9:10" x14ac:dyDescent="0.3">
      <c r="I25394" t="s">
        <v>29798</v>
      </c>
    </row>
    <row r="25395" spans="9:10" x14ac:dyDescent="0.3">
      <c r="I25395" t="s">
        <v>29799</v>
      </c>
      <c r="J25395" t="s">
        <v>8178</v>
      </c>
    </row>
    <row r="25396" spans="9:10" x14ac:dyDescent="0.3">
      <c r="I25396" t="s">
        <v>29800</v>
      </c>
    </row>
    <row r="25397" spans="9:10" x14ac:dyDescent="0.3">
      <c r="I25397" t="s">
        <v>29801</v>
      </c>
    </row>
    <row r="25398" spans="9:10" x14ac:dyDescent="0.3">
      <c r="I25398" t="s">
        <v>29802</v>
      </c>
      <c r="J25398" t="s">
        <v>8179</v>
      </c>
    </row>
    <row r="25399" spans="9:10" x14ac:dyDescent="0.3">
      <c r="I25399" t="s">
        <v>29803</v>
      </c>
    </row>
    <row r="25400" spans="9:10" x14ac:dyDescent="0.3">
      <c r="I25400" t="s">
        <v>29804</v>
      </c>
    </row>
    <row r="25401" spans="9:10" x14ac:dyDescent="0.3">
      <c r="I25401" t="s">
        <v>29805</v>
      </c>
    </row>
    <row r="25402" spans="9:10" x14ac:dyDescent="0.3">
      <c r="I25402" t="s">
        <v>29806</v>
      </c>
    </row>
    <row r="25403" spans="9:10" x14ac:dyDescent="0.3">
      <c r="I25403" t="s">
        <v>29807</v>
      </c>
    </row>
    <row r="25404" spans="9:10" x14ac:dyDescent="0.3">
      <c r="I25404" t="s">
        <v>29808</v>
      </c>
    </row>
    <row r="25405" spans="9:10" x14ac:dyDescent="0.3">
      <c r="I25405" t="s">
        <v>29809</v>
      </c>
      <c r="J25405" t="s">
        <v>179</v>
      </c>
    </row>
    <row r="25406" spans="9:10" x14ac:dyDescent="0.3">
      <c r="I25406" t="s">
        <v>29810</v>
      </c>
    </row>
    <row r="25407" spans="9:10" x14ac:dyDescent="0.3">
      <c r="I25407" t="s">
        <v>29811</v>
      </c>
    </row>
    <row r="25408" spans="9:10" x14ac:dyDescent="0.3">
      <c r="I25408" t="s">
        <v>29812</v>
      </c>
    </row>
    <row r="25409" spans="9:10" x14ac:dyDescent="0.3">
      <c r="I25409" t="s">
        <v>29813</v>
      </c>
    </row>
    <row r="25410" spans="9:10" x14ac:dyDescent="0.3">
      <c r="I25410" t="s">
        <v>29814</v>
      </c>
      <c r="J25410" t="s">
        <v>8180</v>
      </c>
    </row>
    <row r="25411" spans="9:10" x14ac:dyDescent="0.3">
      <c r="I25411" t="s">
        <v>29815</v>
      </c>
      <c r="J25411" t="s">
        <v>8181</v>
      </c>
    </row>
    <row r="25412" spans="9:10" x14ac:dyDescent="0.3">
      <c r="I25412" t="s">
        <v>29816</v>
      </c>
      <c r="J25412" t="s">
        <v>8182</v>
      </c>
    </row>
    <row r="25413" spans="9:10" x14ac:dyDescent="0.3">
      <c r="I25413" t="s">
        <v>29817</v>
      </c>
    </row>
    <row r="25414" spans="9:10" x14ac:dyDescent="0.3">
      <c r="I25414" t="s">
        <v>29818</v>
      </c>
      <c r="J25414" t="s">
        <v>8183</v>
      </c>
    </row>
    <row r="25415" spans="9:10" x14ac:dyDescent="0.3">
      <c r="I25415" t="s">
        <v>29819</v>
      </c>
      <c r="J25415" t="s">
        <v>8184</v>
      </c>
    </row>
    <row r="25416" spans="9:10" x14ac:dyDescent="0.3">
      <c r="I25416" t="s">
        <v>29820</v>
      </c>
      <c r="J25416" t="s">
        <v>8185</v>
      </c>
    </row>
    <row r="25417" spans="9:10" x14ac:dyDescent="0.3">
      <c r="I25417" t="s">
        <v>29821</v>
      </c>
      <c r="J25417" t="s">
        <v>8186</v>
      </c>
    </row>
    <row r="25418" spans="9:10" x14ac:dyDescent="0.3">
      <c r="I25418" t="s">
        <v>29822</v>
      </c>
      <c r="J25418" t="s">
        <v>8187</v>
      </c>
    </row>
    <row r="25419" spans="9:10" x14ac:dyDescent="0.3">
      <c r="I25419" t="s">
        <v>29823</v>
      </c>
      <c r="J25419" t="s">
        <v>8188</v>
      </c>
    </row>
    <row r="25420" spans="9:10" x14ac:dyDescent="0.3">
      <c r="I25420" t="s">
        <v>29824</v>
      </c>
    </row>
    <row r="25421" spans="9:10" x14ac:dyDescent="0.3">
      <c r="I25421" t="s">
        <v>29825</v>
      </c>
      <c r="J25421" t="s">
        <v>8189</v>
      </c>
    </row>
    <row r="25422" spans="9:10" x14ac:dyDescent="0.3">
      <c r="I25422" t="s">
        <v>29825</v>
      </c>
      <c r="J25422" t="s">
        <v>8189</v>
      </c>
    </row>
    <row r="25423" spans="9:10" x14ac:dyDescent="0.3">
      <c r="I25423" t="s">
        <v>29826</v>
      </c>
    </row>
    <row r="25424" spans="9:10" x14ac:dyDescent="0.3">
      <c r="I25424" t="s">
        <v>29827</v>
      </c>
    </row>
    <row r="25425" spans="9:10" x14ac:dyDescent="0.3">
      <c r="I25425" t="s">
        <v>29828</v>
      </c>
    </row>
    <row r="25426" spans="9:10" x14ac:dyDescent="0.3">
      <c r="I25426" t="s">
        <v>29829</v>
      </c>
    </row>
    <row r="25427" spans="9:10" x14ac:dyDescent="0.3">
      <c r="I25427" t="s">
        <v>29830</v>
      </c>
    </row>
    <row r="25428" spans="9:10" x14ac:dyDescent="0.3">
      <c r="I25428" t="s">
        <v>29831</v>
      </c>
      <c r="J25428" t="s">
        <v>8190</v>
      </c>
    </row>
    <row r="25429" spans="9:10" x14ac:dyDescent="0.3">
      <c r="I25429" t="s">
        <v>29832</v>
      </c>
      <c r="J25429" t="s">
        <v>8191</v>
      </c>
    </row>
    <row r="25430" spans="9:10" x14ac:dyDescent="0.3">
      <c r="I25430" t="s">
        <v>29832</v>
      </c>
      <c r="J25430" t="s">
        <v>8191</v>
      </c>
    </row>
    <row r="25431" spans="9:10" x14ac:dyDescent="0.3">
      <c r="I25431" t="s">
        <v>29833</v>
      </c>
      <c r="J25431" t="s">
        <v>8192</v>
      </c>
    </row>
    <row r="25432" spans="9:10" x14ac:dyDescent="0.3">
      <c r="I25432" t="s">
        <v>29834</v>
      </c>
    </row>
    <row r="25433" spans="9:10" x14ac:dyDescent="0.3">
      <c r="I25433" t="s">
        <v>29835</v>
      </c>
    </row>
    <row r="25434" spans="9:10" x14ac:dyDescent="0.3">
      <c r="I25434" t="s">
        <v>29836</v>
      </c>
    </row>
    <row r="25435" spans="9:10" x14ac:dyDescent="0.3">
      <c r="I25435" t="s">
        <v>29837</v>
      </c>
      <c r="J25435" t="s">
        <v>8193</v>
      </c>
    </row>
    <row r="25436" spans="9:10" x14ac:dyDescent="0.3">
      <c r="I25436" t="s">
        <v>29838</v>
      </c>
      <c r="J25436" t="s">
        <v>8194</v>
      </c>
    </row>
    <row r="25437" spans="9:10" x14ac:dyDescent="0.3">
      <c r="I25437" t="s">
        <v>29839</v>
      </c>
      <c r="J25437" t="s">
        <v>8195</v>
      </c>
    </row>
    <row r="25438" spans="9:10" x14ac:dyDescent="0.3">
      <c r="I25438" t="s">
        <v>29840</v>
      </c>
    </row>
    <row r="25439" spans="9:10" x14ac:dyDescent="0.3">
      <c r="I25439" t="s">
        <v>29841</v>
      </c>
    </row>
    <row r="25440" spans="9:10" x14ac:dyDescent="0.3">
      <c r="I25440" t="s">
        <v>29842</v>
      </c>
    </row>
    <row r="25441" spans="9:10" x14ac:dyDescent="0.3">
      <c r="I25441" t="s">
        <v>29843</v>
      </c>
    </row>
    <row r="25442" spans="9:10" x14ac:dyDescent="0.3">
      <c r="I25442" t="s">
        <v>29844</v>
      </c>
    </row>
    <row r="25443" spans="9:10" x14ac:dyDescent="0.3">
      <c r="I25443" t="s">
        <v>29845</v>
      </c>
    </row>
    <row r="25444" spans="9:10" x14ac:dyDescent="0.3">
      <c r="I25444" t="s">
        <v>29846</v>
      </c>
      <c r="J25444" t="s">
        <v>8196</v>
      </c>
    </row>
    <row r="25445" spans="9:10" x14ac:dyDescent="0.3">
      <c r="I25445" t="s">
        <v>29847</v>
      </c>
      <c r="J25445" t="s">
        <v>8197</v>
      </c>
    </row>
    <row r="25446" spans="9:10" x14ac:dyDescent="0.3">
      <c r="I25446" t="s">
        <v>29848</v>
      </c>
      <c r="J25446" t="s">
        <v>8197</v>
      </c>
    </row>
    <row r="25447" spans="9:10" x14ac:dyDescent="0.3">
      <c r="I25447" t="s">
        <v>29849</v>
      </c>
      <c r="J25447" t="s">
        <v>8198</v>
      </c>
    </row>
    <row r="25448" spans="9:10" x14ac:dyDescent="0.3">
      <c r="I25448" t="s">
        <v>29850</v>
      </c>
      <c r="J25448" t="s">
        <v>8199</v>
      </c>
    </row>
    <row r="25449" spans="9:10" x14ac:dyDescent="0.3">
      <c r="I25449" t="s">
        <v>29851</v>
      </c>
      <c r="J25449" t="s">
        <v>8200</v>
      </c>
    </row>
    <row r="25450" spans="9:10" x14ac:dyDescent="0.3">
      <c r="I25450" t="s">
        <v>29852</v>
      </c>
    </row>
    <row r="25451" spans="9:10" x14ac:dyDescent="0.3">
      <c r="I25451" t="s">
        <v>29853</v>
      </c>
      <c r="J25451" t="s">
        <v>8201</v>
      </c>
    </row>
    <row r="25452" spans="9:10" x14ac:dyDescent="0.3">
      <c r="I25452" t="s">
        <v>29854</v>
      </c>
      <c r="J25452" t="s">
        <v>2045</v>
      </c>
    </row>
    <row r="25453" spans="9:10" x14ac:dyDescent="0.3">
      <c r="I25453" t="s">
        <v>29855</v>
      </c>
    </row>
    <row r="25454" spans="9:10" x14ac:dyDescent="0.3">
      <c r="I25454" t="s">
        <v>29856</v>
      </c>
    </row>
    <row r="25455" spans="9:10" x14ac:dyDescent="0.3">
      <c r="I25455" t="s">
        <v>29857</v>
      </c>
    </row>
    <row r="25456" spans="9:10" x14ac:dyDescent="0.3">
      <c r="I25456" t="s">
        <v>29858</v>
      </c>
    </row>
    <row r="25457" spans="9:10" x14ac:dyDescent="0.3">
      <c r="I25457" t="s">
        <v>29859</v>
      </c>
    </row>
    <row r="25458" spans="9:10" x14ac:dyDescent="0.3">
      <c r="I25458" t="s">
        <v>29860</v>
      </c>
    </row>
    <row r="25459" spans="9:10" x14ac:dyDescent="0.3">
      <c r="I25459" t="s">
        <v>29861</v>
      </c>
    </row>
    <row r="25460" spans="9:10" x14ac:dyDescent="0.3">
      <c r="I25460" t="s">
        <v>29862</v>
      </c>
    </row>
    <row r="25461" spans="9:10" x14ac:dyDescent="0.3">
      <c r="I25461" t="s">
        <v>29863</v>
      </c>
      <c r="J25461">
        <v>0</v>
      </c>
    </row>
    <row r="25462" spans="9:10" x14ac:dyDescent="0.3">
      <c r="I25462" t="s">
        <v>29864</v>
      </c>
      <c r="J25462" t="s">
        <v>1217</v>
      </c>
    </row>
    <row r="25463" spans="9:10" x14ac:dyDescent="0.3">
      <c r="I25463" t="s">
        <v>10683</v>
      </c>
      <c r="J25463" t="s">
        <v>1217</v>
      </c>
    </row>
    <row r="25464" spans="9:10" x14ac:dyDescent="0.3">
      <c r="I25464" t="s">
        <v>29865</v>
      </c>
      <c r="J25464" t="s">
        <v>1217</v>
      </c>
    </row>
    <row r="25465" spans="9:10" x14ac:dyDescent="0.3">
      <c r="I25465" t="s">
        <v>29866</v>
      </c>
      <c r="J25465" t="s">
        <v>1217</v>
      </c>
    </row>
    <row r="25466" spans="9:10" x14ac:dyDescent="0.3">
      <c r="I25466" t="s">
        <v>29867</v>
      </c>
    </row>
    <row r="25467" spans="9:10" x14ac:dyDescent="0.3">
      <c r="I25467" t="s">
        <v>29868</v>
      </c>
    </row>
    <row r="25468" spans="9:10" x14ac:dyDescent="0.3">
      <c r="I25468" t="s">
        <v>29869</v>
      </c>
    </row>
    <row r="25469" spans="9:10" x14ac:dyDescent="0.3">
      <c r="I25469" t="s">
        <v>29870</v>
      </c>
    </row>
    <row r="25470" spans="9:10" x14ac:dyDescent="0.3">
      <c r="I25470" t="s">
        <v>29871</v>
      </c>
      <c r="J25470" t="s">
        <v>8202</v>
      </c>
    </row>
    <row r="25471" spans="9:10" x14ac:dyDescent="0.3">
      <c r="I25471" t="s">
        <v>29872</v>
      </c>
    </row>
    <row r="25472" spans="9:10" x14ac:dyDescent="0.3">
      <c r="I25472" t="s">
        <v>29873</v>
      </c>
    </row>
    <row r="25473" spans="9:10" x14ac:dyDescent="0.3">
      <c r="I25473" t="s">
        <v>29874</v>
      </c>
      <c r="J25473" t="s">
        <v>8203</v>
      </c>
    </row>
    <row r="25474" spans="9:10" x14ac:dyDescent="0.3">
      <c r="I25474" t="s">
        <v>29874</v>
      </c>
      <c r="J25474" t="s">
        <v>8203</v>
      </c>
    </row>
    <row r="25475" spans="9:10" x14ac:dyDescent="0.3">
      <c r="I25475" t="s">
        <v>29875</v>
      </c>
      <c r="J25475" t="s">
        <v>8204</v>
      </c>
    </row>
    <row r="25476" spans="9:10" x14ac:dyDescent="0.3">
      <c r="I25476" t="s">
        <v>29876</v>
      </c>
      <c r="J25476" t="s">
        <v>8205</v>
      </c>
    </row>
    <row r="25477" spans="9:10" x14ac:dyDescent="0.3">
      <c r="I25477" t="s">
        <v>29876</v>
      </c>
      <c r="J25477" t="s">
        <v>8205</v>
      </c>
    </row>
    <row r="25478" spans="9:10" x14ac:dyDescent="0.3">
      <c r="I25478" t="s">
        <v>29877</v>
      </c>
      <c r="J25478" t="s">
        <v>8206</v>
      </c>
    </row>
    <row r="25479" spans="9:10" x14ac:dyDescent="0.3">
      <c r="I25479" t="s">
        <v>29878</v>
      </c>
    </row>
    <row r="25480" spans="9:10" x14ac:dyDescent="0.3">
      <c r="I25480" t="s">
        <v>29879</v>
      </c>
    </row>
    <row r="25481" spans="9:10" x14ac:dyDescent="0.3">
      <c r="I25481" t="s">
        <v>29880</v>
      </c>
      <c r="J25481" t="s">
        <v>8207</v>
      </c>
    </row>
    <row r="25482" spans="9:10" x14ac:dyDescent="0.3">
      <c r="I25482" t="s">
        <v>29881</v>
      </c>
    </row>
    <row r="25483" spans="9:10" x14ac:dyDescent="0.3">
      <c r="I25483" t="s">
        <v>29882</v>
      </c>
      <c r="J25483" t="s">
        <v>8208</v>
      </c>
    </row>
    <row r="25484" spans="9:10" x14ac:dyDescent="0.3">
      <c r="I25484" t="s">
        <v>29882</v>
      </c>
      <c r="J25484" t="s">
        <v>8208</v>
      </c>
    </row>
    <row r="25485" spans="9:10" x14ac:dyDescent="0.3">
      <c r="I25485" t="s">
        <v>29883</v>
      </c>
      <c r="J25485" t="s">
        <v>8209</v>
      </c>
    </row>
    <row r="25486" spans="9:10" x14ac:dyDescent="0.3">
      <c r="I25486" t="s">
        <v>29884</v>
      </c>
    </row>
    <row r="25487" spans="9:10" x14ac:dyDescent="0.3">
      <c r="I25487" t="s">
        <v>29885</v>
      </c>
    </row>
    <row r="25488" spans="9:10" x14ac:dyDescent="0.3">
      <c r="I25488" t="s">
        <v>29886</v>
      </c>
      <c r="J25488" t="s">
        <v>8210</v>
      </c>
    </row>
    <row r="25489" spans="9:10" x14ac:dyDescent="0.3">
      <c r="I25489" t="s">
        <v>29887</v>
      </c>
    </row>
    <row r="25490" spans="9:10" x14ac:dyDescent="0.3">
      <c r="I25490" t="s">
        <v>29888</v>
      </c>
    </row>
    <row r="25491" spans="9:10" x14ac:dyDescent="0.3">
      <c r="I25491" t="s">
        <v>29887</v>
      </c>
    </row>
    <row r="25492" spans="9:10" x14ac:dyDescent="0.3">
      <c r="I25492" t="s">
        <v>29889</v>
      </c>
    </row>
    <row r="25493" spans="9:10" x14ac:dyDescent="0.3">
      <c r="I25493" t="s">
        <v>29890</v>
      </c>
    </row>
    <row r="25494" spans="9:10" x14ac:dyDescent="0.3">
      <c r="I25494" t="s">
        <v>29891</v>
      </c>
      <c r="J25494" t="s">
        <v>8211</v>
      </c>
    </row>
    <row r="25495" spans="9:10" x14ac:dyDescent="0.3">
      <c r="I25495" t="s">
        <v>29892</v>
      </c>
      <c r="J25495" t="s">
        <v>8212</v>
      </c>
    </row>
    <row r="25496" spans="9:10" x14ac:dyDescent="0.3">
      <c r="I25496" t="s">
        <v>29892</v>
      </c>
      <c r="J25496" t="s">
        <v>8212</v>
      </c>
    </row>
    <row r="25497" spans="9:10" x14ac:dyDescent="0.3">
      <c r="I25497" t="s">
        <v>29893</v>
      </c>
    </row>
    <row r="25498" spans="9:10" x14ac:dyDescent="0.3">
      <c r="I25498" t="s">
        <v>29894</v>
      </c>
      <c r="J25498" t="s">
        <v>8213</v>
      </c>
    </row>
    <row r="25499" spans="9:10" x14ac:dyDescent="0.3">
      <c r="I25499" t="s">
        <v>29895</v>
      </c>
    </row>
    <row r="25500" spans="9:10" x14ac:dyDescent="0.3">
      <c r="I25500" t="s">
        <v>29896</v>
      </c>
    </row>
    <row r="25501" spans="9:10" x14ac:dyDescent="0.3">
      <c r="I25501" t="s">
        <v>29897</v>
      </c>
    </row>
    <row r="25502" spans="9:10" x14ac:dyDescent="0.3">
      <c r="I25502" t="s">
        <v>29898</v>
      </c>
      <c r="J25502" t="s">
        <v>8214</v>
      </c>
    </row>
    <row r="25503" spans="9:10" x14ac:dyDescent="0.3">
      <c r="I25503" t="s">
        <v>29899</v>
      </c>
      <c r="J25503" t="s">
        <v>8214</v>
      </c>
    </row>
    <row r="25504" spans="9:10" x14ac:dyDescent="0.3">
      <c r="I25504" t="s">
        <v>29899</v>
      </c>
      <c r="J25504" t="s">
        <v>8214</v>
      </c>
    </row>
    <row r="25505" spans="9:10" x14ac:dyDescent="0.3">
      <c r="I25505" t="s">
        <v>29900</v>
      </c>
      <c r="J25505" t="s">
        <v>8214</v>
      </c>
    </row>
    <row r="25506" spans="9:10" x14ac:dyDescent="0.3">
      <c r="I25506" t="s">
        <v>29901</v>
      </c>
      <c r="J25506" t="s">
        <v>8214</v>
      </c>
    </row>
    <row r="25507" spans="9:10" x14ac:dyDescent="0.3">
      <c r="I25507" t="s">
        <v>29902</v>
      </c>
      <c r="J25507" t="s">
        <v>8214</v>
      </c>
    </row>
    <row r="25508" spans="9:10" x14ac:dyDescent="0.3">
      <c r="I25508" t="s">
        <v>29903</v>
      </c>
    </row>
    <row r="25509" spans="9:10" x14ac:dyDescent="0.3">
      <c r="I25509" t="s">
        <v>29904</v>
      </c>
      <c r="J25509" t="s">
        <v>8215</v>
      </c>
    </row>
    <row r="25510" spans="9:10" x14ac:dyDescent="0.3">
      <c r="I25510" t="s">
        <v>29905</v>
      </c>
      <c r="J25510" t="s">
        <v>8216</v>
      </c>
    </row>
    <row r="25511" spans="9:10" x14ac:dyDescent="0.3">
      <c r="I25511" t="s">
        <v>29906</v>
      </c>
    </row>
    <row r="25512" spans="9:10" x14ac:dyDescent="0.3">
      <c r="I25512" t="s">
        <v>29907</v>
      </c>
    </row>
    <row r="25513" spans="9:10" x14ac:dyDescent="0.3">
      <c r="I25513" t="s">
        <v>29908</v>
      </c>
      <c r="J25513" t="s">
        <v>8217</v>
      </c>
    </row>
    <row r="25514" spans="9:10" x14ac:dyDescent="0.3">
      <c r="I25514" t="s">
        <v>29909</v>
      </c>
      <c r="J25514" t="s">
        <v>8217</v>
      </c>
    </row>
    <row r="25515" spans="9:10" x14ac:dyDescent="0.3">
      <c r="I25515" t="s">
        <v>29910</v>
      </c>
      <c r="J25515" t="s">
        <v>8175</v>
      </c>
    </row>
    <row r="25516" spans="9:10" x14ac:dyDescent="0.3">
      <c r="I25516" t="s">
        <v>29911</v>
      </c>
    </row>
    <row r="25517" spans="9:10" x14ac:dyDescent="0.3">
      <c r="I25517" t="s">
        <v>29912</v>
      </c>
    </row>
    <row r="25518" spans="9:10" x14ac:dyDescent="0.3">
      <c r="I25518" t="s">
        <v>29913</v>
      </c>
      <c r="J25518" t="s">
        <v>8218</v>
      </c>
    </row>
    <row r="25519" spans="9:10" x14ac:dyDescent="0.3">
      <c r="I25519" t="s">
        <v>29914</v>
      </c>
      <c r="J25519" t="s">
        <v>8219</v>
      </c>
    </row>
    <row r="25520" spans="9:10" x14ac:dyDescent="0.3">
      <c r="I25520" t="s">
        <v>29915</v>
      </c>
    </row>
    <row r="25521" spans="9:10" x14ac:dyDescent="0.3">
      <c r="I25521" t="s">
        <v>29916</v>
      </c>
      <c r="J25521" t="s">
        <v>8220</v>
      </c>
    </row>
    <row r="25522" spans="9:10" x14ac:dyDescent="0.3">
      <c r="I25522" t="s">
        <v>29917</v>
      </c>
      <c r="J25522" t="s">
        <v>8221</v>
      </c>
    </row>
    <row r="25523" spans="9:10" x14ac:dyDescent="0.3">
      <c r="I25523" t="s">
        <v>29918</v>
      </c>
      <c r="J25523" t="s">
        <v>8222</v>
      </c>
    </row>
    <row r="25524" spans="9:10" x14ac:dyDescent="0.3">
      <c r="I25524" t="s">
        <v>29919</v>
      </c>
      <c r="J25524" t="s">
        <v>8223</v>
      </c>
    </row>
    <row r="25525" spans="9:10" x14ac:dyDescent="0.3">
      <c r="I25525" t="s">
        <v>29920</v>
      </c>
    </row>
    <row r="25526" spans="9:10" x14ac:dyDescent="0.3">
      <c r="I25526" t="s">
        <v>29921</v>
      </c>
      <c r="J25526" t="s">
        <v>8224</v>
      </c>
    </row>
    <row r="25527" spans="9:10" x14ac:dyDescent="0.3">
      <c r="I25527" t="s">
        <v>29922</v>
      </c>
      <c r="J25527" t="s">
        <v>8225</v>
      </c>
    </row>
    <row r="25528" spans="9:10" x14ac:dyDescent="0.3">
      <c r="I25528" t="s">
        <v>29923</v>
      </c>
      <c r="J25528" t="s">
        <v>8226</v>
      </c>
    </row>
    <row r="25529" spans="9:10" x14ac:dyDescent="0.3">
      <c r="I25529" t="s">
        <v>29924</v>
      </c>
    </row>
    <row r="25530" spans="9:10" x14ac:dyDescent="0.3">
      <c r="I25530" t="s">
        <v>29925</v>
      </c>
    </row>
    <row r="25531" spans="9:10" x14ac:dyDescent="0.3">
      <c r="I25531" t="s">
        <v>29926</v>
      </c>
    </row>
    <row r="25532" spans="9:10" x14ac:dyDescent="0.3">
      <c r="I25532" t="s">
        <v>29927</v>
      </c>
    </row>
    <row r="25533" spans="9:10" x14ac:dyDescent="0.3">
      <c r="I25533" t="s">
        <v>29928</v>
      </c>
    </row>
    <row r="25534" spans="9:10" x14ac:dyDescent="0.3">
      <c r="I25534" t="s">
        <v>29929</v>
      </c>
    </row>
    <row r="25535" spans="9:10" x14ac:dyDescent="0.3">
      <c r="I25535" t="s">
        <v>29930</v>
      </c>
    </row>
    <row r="25536" spans="9:10" x14ac:dyDescent="0.3">
      <c r="I25536" t="s">
        <v>29931</v>
      </c>
    </row>
    <row r="25537" spans="9:10" x14ac:dyDescent="0.3">
      <c r="I25537" t="s">
        <v>29932</v>
      </c>
    </row>
    <row r="25538" spans="9:10" x14ac:dyDescent="0.3">
      <c r="I25538" t="s">
        <v>29933</v>
      </c>
    </row>
    <row r="25539" spans="9:10" x14ac:dyDescent="0.3">
      <c r="I25539" t="s">
        <v>29934</v>
      </c>
      <c r="J25539" t="s">
        <v>8227</v>
      </c>
    </row>
    <row r="25540" spans="9:10" x14ac:dyDescent="0.3">
      <c r="I25540" t="s">
        <v>29935</v>
      </c>
      <c r="J25540" t="s">
        <v>8228</v>
      </c>
    </row>
    <row r="25541" spans="9:10" x14ac:dyDescent="0.3">
      <c r="I25541" t="s">
        <v>29936</v>
      </c>
      <c r="J25541" t="s">
        <v>8229</v>
      </c>
    </row>
    <row r="25542" spans="9:10" x14ac:dyDescent="0.3">
      <c r="I25542" t="s">
        <v>29937</v>
      </c>
      <c r="J25542" t="s">
        <v>8230</v>
      </c>
    </row>
    <row r="25543" spans="9:10" x14ac:dyDescent="0.3">
      <c r="I25543" t="s">
        <v>29938</v>
      </c>
      <c r="J25543" t="s">
        <v>8231</v>
      </c>
    </row>
    <row r="25544" spans="9:10" x14ac:dyDescent="0.3">
      <c r="I25544" t="s">
        <v>29939</v>
      </c>
    </row>
    <row r="25545" spans="9:10" x14ac:dyDescent="0.3">
      <c r="I25545" t="s">
        <v>29940</v>
      </c>
      <c r="J25545" t="s">
        <v>8232</v>
      </c>
    </row>
    <row r="25546" spans="9:10" x14ac:dyDescent="0.3">
      <c r="I25546" t="s">
        <v>29941</v>
      </c>
      <c r="J25546" t="s">
        <v>8233</v>
      </c>
    </row>
    <row r="25547" spans="9:10" x14ac:dyDescent="0.3">
      <c r="I25547" t="s">
        <v>29942</v>
      </c>
      <c r="J25547">
        <v>0</v>
      </c>
    </row>
    <row r="25548" spans="9:10" x14ac:dyDescent="0.3">
      <c r="I25548" t="s">
        <v>29943</v>
      </c>
      <c r="J25548" t="s">
        <v>8234</v>
      </c>
    </row>
    <row r="25549" spans="9:10" x14ac:dyDescent="0.3">
      <c r="I25549" t="s">
        <v>29944</v>
      </c>
      <c r="J25549" t="s">
        <v>8235</v>
      </c>
    </row>
    <row r="25550" spans="9:10" x14ac:dyDescent="0.3">
      <c r="I25550" t="s">
        <v>29945</v>
      </c>
      <c r="J25550" t="s">
        <v>8236</v>
      </c>
    </row>
    <row r="25551" spans="9:10" x14ac:dyDescent="0.3">
      <c r="I25551" t="s">
        <v>29946</v>
      </c>
      <c r="J25551" t="s">
        <v>8237</v>
      </c>
    </row>
    <row r="25552" spans="9:10" x14ac:dyDescent="0.3">
      <c r="I25552" t="s">
        <v>29947</v>
      </c>
    </row>
    <row r="25553" spans="9:10" x14ac:dyDescent="0.3">
      <c r="I25553" t="s">
        <v>29948</v>
      </c>
    </row>
    <row r="25554" spans="9:10" x14ac:dyDescent="0.3">
      <c r="I25554" t="s">
        <v>29949</v>
      </c>
    </row>
    <row r="25555" spans="9:10" x14ac:dyDescent="0.3">
      <c r="I25555" t="s">
        <v>29950</v>
      </c>
      <c r="J25555" t="s">
        <v>8238</v>
      </c>
    </row>
    <row r="25556" spans="9:10" x14ac:dyDescent="0.3">
      <c r="I25556" t="s">
        <v>29951</v>
      </c>
      <c r="J25556" t="s">
        <v>8239</v>
      </c>
    </row>
    <row r="25557" spans="9:10" x14ac:dyDescent="0.3">
      <c r="I25557" t="s">
        <v>29952</v>
      </c>
    </row>
    <row r="25558" spans="9:10" x14ac:dyDescent="0.3">
      <c r="I25558" t="s">
        <v>29953</v>
      </c>
    </row>
    <row r="25559" spans="9:10" x14ac:dyDescent="0.3">
      <c r="I25559" t="s">
        <v>29954</v>
      </c>
    </row>
    <row r="25560" spans="9:10" x14ac:dyDescent="0.3">
      <c r="I25560" t="s">
        <v>29955</v>
      </c>
    </row>
    <row r="25561" spans="9:10" x14ac:dyDescent="0.3">
      <c r="I25561" t="s">
        <v>29956</v>
      </c>
      <c r="J25561" t="s">
        <v>805</v>
      </c>
    </row>
    <row r="25562" spans="9:10" x14ac:dyDescent="0.3">
      <c r="I25562" t="s">
        <v>29957</v>
      </c>
      <c r="J25562" t="s">
        <v>8240</v>
      </c>
    </row>
    <row r="25563" spans="9:10" x14ac:dyDescent="0.3">
      <c r="I25563" t="s">
        <v>29958</v>
      </c>
      <c r="J25563" t="s">
        <v>8241</v>
      </c>
    </row>
    <row r="25564" spans="9:10" x14ac:dyDescent="0.3">
      <c r="I25564" t="s">
        <v>29959</v>
      </c>
    </row>
    <row r="25565" spans="9:10" x14ac:dyDescent="0.3">
      <c r="I25565" t="s">
        <v>29960</v>
      </c>
    </row>
    <row r="25566" spans="9:10" x14ac:dyDescent="0.3">
      <c r="I25566" t="s">
        <v>29961</v>
      </c>
      <c r="J25566" t="s">
        <v>8242</v>
      </c>
    </row>
    <row r="25567" spans="9:10" x14ac:dyDescent="0.3">
      <c r="I25567" t="s">
        <v>29962</v>
      </c>
      <c r="J25567" t="s">
        <v>8242</v>
      </c>
    </row>
    <row r="25568" spans="9:10" x14ac:dyDescent="0.3">
      <c r="I25568" t="s">
        <v>29963</v>
      </c>
    </row>
    <row r="25569" spans="9:10" x14ac:dyDescent="0.3">
      <c r="I25569" t="s">
        <v>29964</v>
      </c>
    </row>
    <row r="25570" spans="9:10" x14ac:dyDescent="0.3">
      <c r="I25570" t="s">
        <v>29965</v>
      </c>
      <c r="J25570" t="s">
        <v>8243</v>
      </c>
    </row>
    <row r="25571" spans="9:10" x14ac:dyDescent="0.3">
      <c r="I25571" t="s">
        <v>29965</v>
      </c>
      <c r="J25571" t="s">
        <v>8243</v>
      </c>
    </row>
    <row r="25572" spans="9:10" x14ac:dyDescent="0.3">
      <c r="I25572" t="s">
        <v>29966</v>
      </c>
      <c r="J25572" t="s">
        <v>8244</v>
      </c>
    </row>
    <row r="25573" spans="9:10" x14ac:dyDescent="0.3">
      <c r="I25573" t="s">
        <v>29967</v>
      </c>
      <c r="J25573" t="s">
        <v>8245</v>
      </c>
    </row>
    <row r="25574" spans="9:10" x14ac:dyDescent="0.3">
      <c r="I25574" t="s">
        <v>29968</v>
      </c>
      <c r="J25574" t="s">
        <v>8246</v>
      </c>
    </row>
    <row r="25575" spans="9:10" x14ac:dyDescent="0.3">
      <c r="I25575" t="s">
        <v>29969</v>
      </c>
    </row>
    <row r="25576" spans="9:10" x14ac:dyDescent="0.3">
      <c r="I25576" t="s">
        <v>29970</v>
      </c>
    </row>
    <row r="25577" spans="9:10" x14ac:dyDescent="0.3">
      <c r="I25577" t="s">
        <v>29971</v>
      </c>
    </row>
    <row r="25578" spans="9:10" x14ac:dyDescent="0.3">
      <c r="I25578" t="s">
        <v>29972</v>
      </c>
      <c r="J25578" t="s">
        <v>8247</v>
      </c>
    </row>
    <row r="25579" spans="9:10" x14ac:dyDescent="0.3">
      <c r="I25579" t="s">
        <v>26323</v>
      </c>
      <c r="J25579" t="s">
        <v>8248</v>
      </c>
    </row>
    <row r="25580" spans="9:10" x14ac:dyDescent="0.3">
      <c r="I25580" t="s">
        <v>29973</v>
      </c>
      <c r="J25580" t="s">
        <v>8248</v>
      </c>
    </row>
    <row r="25581" spans="9:10" x14ac:dyDescent="0.3">
      <c r="I25581" t="s">
        <v>29974</v>
      </c>
      <c r="J25581" t="s">
        <v>8248</v>
      </c>
    </row>
    <row r="25582" spans="9:10" x14ac:dyDescent="0.3">
      <c r="I25582" t="s">
        <v>29975</v>
      </c>
      <c r="J25582" t="s">
        <v>108</v>
      </c>
    </row>
    <row r="25583" spans="9:10" x14ac:dyDescent="0.3">
      <c r="I25583" t="s">
        <v>29976</v>
      </c>
      <c r="J25583" t="s">
        <v>8249</v>
      </c>
    </row>
    <row r="25584" spans="9:10" x14ac:dyDescent="0.3">
      <c r="I25584" t="s">
        <v>29977</v>
      </c>
      <c r="J25584" t="s">
        <v>8250</v>
      </c>
    </row>
    <row r="25585" spans="9:10" x14ac:dyDescent="0.3">
      <c r="I25585" t="s">
        <v>29978</v>
      </c>
      <c r="J25585" t="s">
        <v>144</v>
      </c>
    </row>
    <row r="25586" spans="9:10" x14ac:dyDescent="0.3">
      <c r="I25586" t="s">
        <v>29979</v>
      </c>
      <c r="J25586" t="s">
        <v>8251</v>
      </c>
    </row>
    <row r="25587" spans="9:10" x14ac:dyDescent="0.3">
      <c r="I25587" t="s">
        <v>29980</v>
      </c>
      <c r="J25587" t="s">
        <v>8252</v>
      </c>
    </row>
    <row r="25588" spans="9:10" x14ac:dyDescent="0.3">
      <c r="I25588" t="s">
        <v>29981</v>
      </c>
    </row>
    <row r="25589" spans="9:10" x14ac:dyDescent="0.3">
      <c r="I25589" t="s">
        <v>29982</v>
      </c>
    </row>
    <row r="25590" spans="9:10" x14ac:dyDescent="0.3">
      <c r="I25590" t="s">
        <v>29983</v>
      </c>
    </row>
    <row r="25591" spans="9:10" x14ac:dyDescent="0.3">
      <c r="I25591" t="s">
        <v>29984</v>
      </c>
      <c r="J25591" t="s">
        <v>126</v>
      </c>
    </row>
    <row r="25592" spans="9:10" x14ac:dyDescent="0.3">
      <c r="I25592" t="s">
        <v>29985</v>
      </c>
      <c r="J25592" t="s">
        <v>126</v>
      </c>
    </row>
    <row r="25593" spans="9:10" x14ac:dyDescent="0.3">
      <c r="I25593" t="s">
        <v>29986</v>
      </c>
      <c r="J25593" t="s">
        <v>126</v>
      </c>
    </row>
    <row r="25594" spans="9:10" x14ac:dyDescent="0.3">
      <c r="I25594" t="s">
        <v>29987</v>
      </c>
      <c r="J25594" t="s">
        <v>8253</v>
      </c>
    </row>
    <row r="25595" spans="9:10" x14ac:dyDescent="0.3">
      <c r="I25595" t="s">
        <v>29988</v>
      </c>
      <c r="J25595" t="s">
        <v>8253</v>
      </c>
    </row>
    <row r="25596" spans="9:10" x14ac:dyDescent="0.3">
      <c r="I25596" t="s">
        <v>29989</v>
      </c>
      <c r="J25596" t="s">
        <v>8253</v>
      </c>
    </row>
    <row r="25597" spans="9:10" x14ac:dyDescent="0.3">
      <c r="I25597" t="s">
        <v>29990</v>
      </c>
      <c r="J25597" t="s">
        <v>8253</v>
      </c>
    </row>
    <row r="25598" spans="9:10" x14ac:dyDescent="0.3">
      <c r="I25598" t="s">
        <v>29991</v>
      </c>
      <c r="J25598" t="s">
        <v>8253</v>
      </c>
    </row>
    <row r="25599" spans="9:10" x14ac:dyDescent="0.3">
      <c r="I25599" t="s">
        <v>29992</v>
      </c>
      <c r="J25599" t="s">
        <v>8253</v>
      </c>
    </row>
    <row r="25600" spans="9:10" x14ac:dyDescent="0.3">
      <c r="I25600" t="s">
        <v>29993</v>
      </c>
      <c r="J25600" t="s">
        <v>8254</v>
      </c>
    </row>
    <row r="25601" spans="9:10" x14ac:dyDescent="0.3">
      <c r="I25601" t="s">
        <v>29994</v>
      </c>
      <c r="J25601" t="s">
        <v>8254</v>
      </c>
    </row>
    <row r="25602" spans="9:10" x14ac:dyDescent="0.3">
      <c r="I25602" t="s">
        <v>29995</v>
      </c>
      <c r="J25602" t="s">
        <v>8254</v>
      </c>
    </row>
    <row r="25603" spans="9:10" x14ac:dyDescent="0.3">
      <c r="I25603" t="s">
        <v>29996</v>
      </c>
      <c r="J25603" t="s">
        <v>8255</v>
      </c>
    </row>
    <row r="25604" spans="9:10" x14ac:dyDescent="0.3">
      <c r="I25604" t="s">
        <v>29997</v>
      </c>
    </row>
    <row r="25605" spans="9:10" x14ac:dyDescent="0.3">
      <c r="I25605" t="s">
        <v>29997</v>
      </c>
    </row>
    <row r="25606" spans="9:10" x14ac:dyDescent="0.3">
      <c r="I25606" t="s">
        <v>29998</v>
      </c>
      <c r="J25606" t="s">
        <v>8256</v>
      </c>
    </row>
    <row r="25607" spans="9:10" x14ac:dyDescent="0.3">
      <c r="I25607" t="s">
        <v>29999</v>
      </c>
    </row>
    <row r="25608" spans="9:10" x14ac:dyDescent="0.3">
      <c r="I25608" t="s">
        <v>30000</v>
      </c>
    </row>
    <row r="25609" spans="9:10" x14ac:dyDescent="0.3">
      <c r="I25609" t="s">
        <v>30001</v>
      </c>
      <c r="J25609" t="s">
        <v>8257</v>
      </c>
    </row>
    <row r="25610" spans="9:10" x14ac:dyDescent="0.3">
      <c r="I25610" t="s">
        <v>30001</v>
      </c>
      <c r="J25610" t="s">
        <v>8257</v>
      </c>
    </row>
    <row r="25611" spans="9:10" x14ac:dyDescent="0.3">
      <c r="I25611" t="s">
        <v>30002</v>
      </c>
    </row>
    <row r="25612" spans="9:10" x14ac:dyDescent="0.3">
      <c r="I25612" t="s">
        <v>30003</v>
      </c>
    </row>
    <row r="25613" spans="9:10" x14ac:dyDescent="0.3">
      <c r="I25613" t="s">
        <v>30004</v>
      </c>
      <c r="J25613" t="s">
        <v>8258</v>
      </c>
    </row>
    <row r="25614" spans="9:10" x14ac:dyDescent="0.3">
      <c r="I25614" t="s">
        <v>30005</v>
      </c>
      <c r="J25614" t="s">
        <v>8259</v>
      </c>
    </row>
    <row r="25615" spans="9:10" x14ac:dyDescent="0.3">
      <c r="I25615" t="s">
        <v>30006</v>
      </c>
      <c r="J25615" t="s">
        <v>8260</v>
      </c>
    </row>
    <row r="25616" spans="9:10" x14ac:dyDescent="0.3">
      <c r="I25616" t="s">
        <v>30007</v>
      </c>
      <c r="J25616" t="s">
        <v>8261</v>
      </c>
    </row>
    <row r="25617" spans="9:10" x14ac:dyDescent="0.3">
      <c r="I25617" t="s">
        <v>30008</v>
      </c>
      <c r="J25617" t="s">
        <v>8262</v>
      </c>
    </row>
    <row r="25618" spans="9:10" x14ac:dyDescent="0.3">
      <c r="I25618" t="s">
        <v>30009</v>
      </c>
    </row>
    <row r="25619" spans="9:10" x14ac:dyDescent="0.3">
      <c r="I25619" t="s">
        <v>30010</v>
      </c>
    </row>
    <row r="25620" spans="9:10" x14ac:dyDescent="0.3">
      <c r="I25620" t="s">
        <v>30011</v>
      </c>
      <c r="J25620" t="s">
        <v>8263</v>
      </c>
    </row>
    <row r="25621" spans="9:10" x14ac:dyDescent="0.3">
      <c r="I25621" t="s">
        <v>30012</v>
      </c>
      <c r="J25621" t="s">
        <v>8263</v>
      </c>
    </row>
    <row r="25622" spans="9:10" x14ac:dyDescent="0.3">
      <c r="I25622" t="s">
        <v>30013</v>
      </c>
      <c r="J25622" t="s">
        <v>8263</v>
      </c>
    </row>
    <row r="25623" spans="9:10" x14ac:dyDescent="0.3">
      <c r="I25623" t="s">
        <v>30014</v>
      </c>
      <c r="J25623" t="s">
        <v>8263</v>
      </c>
    </row>
    <row r="25624" spans="9:10" x14ac:dyDescent="0.3">
      <c r="I25624" t="s">
        <v>30015</v>
      </c>
      <c r="J25624" t="s">
        <v>8263</v>
      </c>
    </row>
    <row r="25625" spans="9:10" x14ac:dyDescent="0.3">
      <c r="I25625" t="s">
        <v>30016</v>
      </c>
      <c r="J25625" t="s">
        <v>8263</v>
      </c>
    </row>
    <row r="25626" spans="9:10" x14ac:dyDescent="0.3">
      <c r="I25626" t="s">
        <v>30017</v>
      </c>
      <c r="J25626" t="s">
        <v>8263</v>
      </c>
    </row>
    <row r="25627" spans="9:10" x14ac:dyDescent="0.3">
      <c r="I25627" t="s">
        <v>30018</v>
      </c>
      <c r="J25627" t="s">
        <v>8263</v>
      </c>
    </row>
    <row r="25628" spans="9:10" x14ac:dyDescent="0.3">
      <c r="I25628" t="s">
        <v>30019</v>
      </c>
      <c r="J25628" t="s">
        <v>8263</v>
      </c>
    </row>
    <row r="25629" spans="9:10" x14ac:dyDescent="0.3">
      <c r="I25629" t="s">
        <v>30020</v>
      </c>
      <c r="J25629" t="s">
        <v>8264</v>
      </c>
    </row>
    <row r="25630" spans="9:10" x14ac:dyDescent="0.3">
      <c r="I25630" t="s">
        <v>30021</v>
      </c>
    </row>
    <row r="25631" spans="9:10" x14ac:dyDescent="0.3">
      <c r="I25631" t="s">
        <v>30022</v>
      </c>
    </row>
    <row r="25632" spans="9:10" x14ac:dyDescent="0.3">
      <c r="I25632" t="s">
        <v>30023</v>
      </c>
    </row>
    <row r="25633" spans="9:10" x14ac:dyDescent="0.3">
      <c r="I25633" t="s">
        <v>30024</v>
      </c>
      <c r="J25633" t="s">
        <v>8265</v>
      </c>
    </row>
    <row r="25634" spans="9:10" x14ac:dyDescent="0.3">
      <c r="I25634" t="s">
        <v>30025</v>
      </c>
      <c r="J25634" t="s">
        <v>8266</v>
      </c>
    </row>
    <row r="25635" spans="9:10" x14ac:dyDescent="0.3">
      <c r="I25635" t="s">
        <v>30026</v>
      </c>
      <c r="J25635" t="s">
        <v>8267</v>
      </c>
    </row>
    <row r="25636" spans="9:10" x14ac:dyDescent="0.3">
      <c r="I25636" t="s">
        <v>30027</v>
      </c>
    </row>
    <row r="25637" spans="9:10" x14ac:dyDescent="0.3">
      <c r="I25637" t="s">
        <v>30028</v>
      </c>
    </row>
    <row r="25638" spans="9:10" x14ac:dyDescent="0.3">
      <c r="I25638" t="s">
        <v>30029</v>
      </c>
    </row>
    <row r="25639" spans="9:10" x14ac:dyDescent="0.3">
      <c r="I25639" t="s">
        <v>30030</v>
      </c>
    </row>
    <row r="25640" spans="9:10" x14ac:dyDescent="0.3">
      <c r="I25640" t="s">
        <v>30031</v>
      </c>
      <c r="J25640" t="s">
        <v>8268</v>
      </c>
    </row>
    <row r="25641" spans="9:10" x14ac:dyDescent="0.3">
      <c r="I25641" t="s">
        <v>30032</v>
      </c>
      <c r="J25641" t="s">
        <v>8269</v>
      </c>
    </row>
    <row r="25642" spans="9:10" x14ac:dyDescent="0.3">
      <c r="I25642" t="s">
        <v>30033</v>
      </c>
      <c r="J25642" t="s">
        <v>8270</v>
      </c>
    </row>
    <row r="25643" spans="9:10" x14ac:dyDescent="0.3">
      <c r="I25643" t="s">
        <v>30034</v>
      </c>
      <c r="J25643" t="s">
        <v>8271</v>
      </c>
    </row>
    <row r="25644" spans="9:10" x14ac:dyDescent="0.3">
      <c r="I25644" t="s">
        <v>30035</v>
      </c>
    </row>
    <row r="25645" spans="9:10" x14ac:dyDescent="0.3">
      <c r="I25645" t="s">
        <v>30036</v>
      </c>
      <c r="J25645" t="s">
        <v>8272</v>
      </c>
    </row>
    <row r="25646" spans="9:10" x14ac:dyDescent="0.3">
      <c r="I25646" t="s">
        <v>30036</v>
      </c>
      <c r="J25646" t="s">
        <v>8272</v>
      </c>
    </row>
    <row r="25647" spans="9:10" x14ac:dyDescent="0.3">
      <c r="I25647" t="s">
        <v>30037</v>
      </c>
      <c r="J25647" t="s">
        <v>8273</v>
      </c>
    </row>
    <row r="25648" spans="9:10" x14ac:dyDescent="0.3">
      <c r="I25648" t="s">
        <v>30038</v>
      </c>
    </row>
    <row r="25649" spans="9:10" x14ac:dyDescent="0.3">
      <c r="I25649" t="s">
        <v>30039</v>
      </c>
    </row>
    <row r="25650" spans="9:10" x14ac:dyDescent="0.3">
      <c r="I25650" t="s">
        <v>30040</v>
      </c>
    </row>
    <row r="25651" spans="9:10" x14ac:dyDescent="0.3">
      <c r="I25651" t="s">
        <v>30041</v>
      </c>
      <c r="J25651" t="s">
        <v>8274</v>
      </c>
    </row>
    <row r="25652" spans="9:10" x14ac:dyDescent="0.3">
      <c r="I25652" t="s">
        <v>30042</v>
      </c>
      <c r="J25652" t="s">
        <v>8275</v>
      </c>
    </row>
    <row r="25653" spans="9:10" x14ac:dyDescent="0.3">
      <c r="I25653" t="s">
        <v>30043</v>
      </c>
      <c r="J25653" t="s">
        <v>8276</v>
      </c>
    </row>
    <row r="25654" spans="9:10" x14ac:dyDescent="0.3">
      <c r="I25654" t="s">
        <v>30044</v>
      </c>
      <c r="J25654" t="s">
        <v>8276</v>
      </c>
    </row>
    <row r="25655" spans="9:10" x14ac:dyDescent="0.3">
      <c r="I25655" t="s">
        <v>30045</v>
      </c>
      <c r="J25655" t="s">
        <v>8277</v>
      </c>
    </row>
    <row r="25656" spans="9:10" x14ac:dyDescent="0.3">
      <c r="I25656" t="s">
        <v>30046</v>
      </c>
    </row>
    <row r="25657" spans="9:10" x14ac:dyDescent="0.3">
      <c r="I25657" t="s">
        <v>30047</v>
      </c>
    </row>
    <row r="25658" spans="9:10" x14ac:dyDescent="0.3">
      <c r="I25658" t="s">
        <v>30048</v>
      </c>
    </row>
    <row r="25659" spans="9:10" x14ac:dyDescent="0.3">
      <c r="I25659" t="s">
        <v>30049</v>
      </c>
      <c r="J25659" t="s">
        <v>1200</v>
      </c>
    </row>
    <row r="25660" spans="9:10" x14ac:dyDescent="0.3">
      <c r="I25660" t="s">
        <v>29318</v>
      </c>
      <c r="J25660" t="s">
        <v>1200</v>
      </c>
    </row>
    <row r="25661" spans="9:10" x14ac:dyDescent="0.3">
      <c r="I25661" t="s">
        <v>30050</v>
      </c>
    </row>
    <row r="25662" spans="9:10" x14ac:dyDescent="0.3">
      <c r="I25662" t="s">
        <v>30051</v>
      </c>
      <c r="J25662" t="s">
        <v>8278</v>
      </c>
    </row>
    <row r="25663" spans="9:10" x14ac:dyDescent="0.3">
      <c r="I25663" t="s">
        <v>30052</v>
      </c>
      <c r="J25663" t="s">
        <v>8279</v>
      </c>
    </row>
    <row r="25664" spans="9:10" x14ac:dyDescent="0.3">
      <c r="I25664" t="s">
        <v>30053</v>
      </c>
      <c r="J25664" t="s">
        <v>8280</v>
      </c>
    </row>
    <row r="25665" spans="9:10" x14ac:dyDescent="0.3">
      <c r="I25665" t="s">
        <v>30054</v>
      </c>
    </row>
    <row r="25666" spans="9:10" x14ac:dyDescent="0.3">
      <c r="I25666" t="s">
        <v>30055</v>
      </c>
      <c r="J25666" t="s">
        <v>8281</v>
      </c>
    </row>
    <row r="25667" spans="9:10" x14ac:dyDescent="0.3">
      <c r="I25667" t="s">
        <v>30056</v>
      </c>
      <c r="J25667" t="s">
        <v>8282</v>
      </c>
    </row>
    <row r="25668" spans="9:10" x14ac:dyDescent="0.3">
      <c r="I25668" t="s">
        <v>30057</v>
      </c>
      <c r="J25668" t="s">
        <v>511</v>
      </c>
    </row>
    <row r="25669" spans="9:10" x14ac:dyDescent="0.3">
      <c r="I25669" t="s">
        <v>30058</v>
      </c>
    </row>
    <row r="25670" spans="9:10" x14ac:dyDescent="0.3">
      <c r="I25670" t="s">
        <v>30059</v>
      </c>
    </row>
    <row r="25671" spans="9:10" x14ac:dyDescent="0.3">
      <c r="I25671" t="s">
        <v>30060</v>
      </c>
    </row>
    <row r="25672" spans="9:10" x14ac:dyDescent="0.3">
      <c r="I25672" t="s">
        <v>30061</v>
      </c>
    </row>
    <row r="25673" spans="9:10" x14ac:dyDescent="0.3">
      <c r="I25673" t="s">
        <v>30062</v>
      </c>
    </row>
    <row r="25674" spans="9:10" x14ac:dyDescent="0.3">
      <c r="I25674" t="s">
        <v>30063</v>
      </c>
    </row>
    <row r="25675" spans="9:10" x14ac:dyDescent="0.3">
      <c r="I25675" t="s">
        <v>30064</v>
      </c>
      <c r="J25675" t="s">
        <v>8283</v>
      </c>
    </row>
    <row r="25676" spans="9:10" x14ac:dyDescent="0.3">
      <c r="I25676" t="s">
        <v>30065</v>
      </c>
      <c r="J25676" t="s">
        <v>8283</v>
      </c>
    </row>
    <row r="25677" spans="9:10" x14ac:dyDescent="0.3">
      <c r="I25677" t="s">
        <v>30066</v>
      </c>
    </row>
    <row r="25678" spans="9:10" x14ac:dyDescent="0.3">
      <c r="I25678" t="s">
        <v>30067</v>
      </c>
    </row>
    <row r="25679" spans="9:10" x14ac:dyDescent="0.3">
      <c r="I25679" t="s">
        <v>30068</v>
      </c>
      <c r="J25679" t="s">
        <v>8284</v>
      </c>
    </row>
    <row r="25680" spans="9:10" x14ac:dyDescent="0.3">
      <c r="I25680" t="s">
        <v>30069</v>
      </c>
      <c r="J25680" t="s">
        <v>8285</v>
      </c>
    </row>
    <row r="25681" spans="9:10" x14ac:dyDescent="0.3">
      <c r="I25681" t="s">
        <v>30070</v>
      </c>
    </row>
    <row r="25682" spans="9:10" x14ac:dyDescent="0.3">
      <c r="I25682" t="s">
        <v>30071</v>
      </c>
    </row>
    <row r="25683" spans="9:10" x14ac:dyDescent="0.3">
      <c r="I25683" t="s">
        <v>30072</v>
      </c>
    </row>
    <row r="25684" spans="9:10" x14ac:dyDescent="0.3">
      <c r="I25684" t="s">
        <v>30073</v>
      </c>
      <c r="J25684" t="s">
        <v>8286</v>
      </c>
    </row>
    <row r="25685" spans="9:10" x14ac:dyDescent="0.3">
      <c r="I25685" t="s">
        <v>30073</v>
      </c>
      <c r="J25685" t="s">
        <v>8286</v>
      </c>
    </row>
    <row r="25686" spans="9:10" x14ac:dyDescent="0.3">
      <c r="I25686" t="s">
        <v>30074</v>
      </c>
    </row>
    <row r="25687" spans="9:10" x14ac:dyDescent="0.3">
      <c r="I25687" t="s">
        <v>30075</v>
      </c>
    </row>
    <row r="25688" spans="9:10" x14ac:dyDescent="0.3">
      <c r="I25688" t="s">
        <v>30076</v>
      </c>
      <c r="J25688" t="s">
        <v>236</v>
      </c>
    </row>
    <row r="25689" spans="9:10" x14ac:dyDescent="0.3">
      <c r="I25689" t="s">
        <v>698</v>
      </c>
      <c r="J25689" t="s">
        <v>699</v>
      </c>
    </row>
    <row r="25690" spans="9:10" x14ac:dyDescent="0.3">
      <c r="I25690" t="s">
        <v>30077</v>
      </c>
    </row>
    <row r="25691" spans="9:10" x14ac:dyDescent="0.3">
      <c r="I25691" t="s">
        <v>30078</v>
      </c>
    </row>
    <row r="25692" spans="9:10" x14ac:dyDescent="0.3">
      <c r="I25692" t="s">
        <v>30079</v>
      </c>
    </row>
    <row r="25693" spans="9:10" x14ac:dyDescent="0.3">
      <c r="I25693" t="s">
        <v>30080</v>
      </c>
    </row>
    <row r="25694" spans="9:10" x14ac:dyDescent="0.3">
      <c r="I25694" t="s">
        <v>30081</v>
      </c>
    </row>
    <row r="25695" spans="9:10" x14ac:dyDescent="0.3">
      <c r="I25695" t="s">
        <v>30082</v>
      </c>
      <c r="J25695" t="s">
        <v>8287</v>
      </c>
    </row>
    <row r="25696" spans="9:10" x14ac:dyDescent="0.3">
      <c r="I25696" t="s">
        <v>30083</v>
      </c>
      <c r="J25696" t="s">
        <v>8288</v>
      </c>
    </row>
    <row r="25697" spans="9:10" x14ac:dyDescent="0.3">
      <c r="I25697" t="s">
        <v>30084</v>
      </c>
      <c r="J25697" t="s">
        <v>8289</v>
      </c>
    </row>
    <row r="25698" spans="9:10" x14ac:dyDescent="0.3">
      <c r="I25698" t="s">
        <v>30085</v>
      </c>
      <c r="J25698" t="s">
        <v>8290</v>
      </c>
    </row>
    <row r="25699" spans="9:10" x14ac:dyDescent="0.3">
      <c r="I25699" t="s">
        <v>30085</v>
      </c>
      <c r="J25699" t="s">
        <v>8290</v>
      </c>
    </row>
    <row r="25700" spans="9:10" x14ac:dyDescent="0.3">
      <c r="I25700" t="s">
        <v>30086</v>
      </c>
      <c r="J25700" t="s">
        <v>8291</v>
      </c>
    </row>
    <row r="25701" spans="9:10" x14ac:dyDescent="0.3">
      <c r="I25701" t="s">
        <v>30087</v>
      </c>
    </row>
    <row r="25702" spans="9:10" x14ac:dyDescent="0.3">
      <c r="I25702" t="s">
        <v>30088</v>
      </c>
    </row>
    <row r="25703" spans="9:10" x14ac:dyDescent="0.3">
      <c r="I25703" t="s">
        <v>30089</v>
      </c>
      <c r="J25703" t="s">
        <v>8292</v>
      </c>
    </row>
    <row r="25704" spans="9:10" x14ac:dyDescent="0.3">
      <c r="I25704" t="s">
        <v>30089</v>
      </c>
      <c r="J25704" t="s">
        <v>8292</v>
      </c>
    </row>
    <row r="25705" spans="9:10" x14ac:dyDescent="0.3">
      <c r="I25705" t="s">
        <v>30089</v>
      </c>
      <c r="J25705" t="s">
        <v>8292</v>
      </c>
    </row>
    <row r="25706" spans="9:10" x14ac:dyDescent="0.3">
      <c r="I25706" t="s">
        <v>30089</v>
      </c>
      <c r="J25706" t="s">
        <v>8292</v>
      </c>
    </row>
    <row r="25707" spans="9:10" x14ac:dyDescent="0.3">
      <c r="I25707" t="s">
        <v>30090</v>
      </c>
    </row>
    <row r="25708" spans="9:10" x14ac:dyDescent="0.3">
      <c r="I25708" t="s">
        <v>30090</v>
      </c>
    </row>
    <row r="25709" spans="9:10" x14ac:dyDescent="0.3">
      <c r="I25709" t="s">
        <v>30091</v>
      </c>
    </row>
    <row r="25710" spans="9:10" x14ac:dyDescent="0.3">
      <c r="I25710" t="s">
        <v>30091</v>
      </c>
    </row>
    <row r="25711" spans="9:10" x14ac:dyDescent="0.3">
      <c r="I25711" t="s">
        <v>30092</v>
      </c>
    </row>
    <row r="25712" spans="9:10" x14ac:dyDescent="0.3">
      <c r="I25712" t="s">
        <v>30093</v>
      </c>
    </row>
    <row r="25713" spans="9:10" x14ac:dyDescent="0.3">
      <c r="I25713" t="s">
        <v>30094</v>
      </c>
      <c r="J25713" t="s">
        <v>8293</v>
      </c>
    </row>
    <row r="25714" spans="9:10" x14ac:dyDescent="0.3">
      <c r="I25714" t="s">
        <v>30095</v>
      </c>
      <c r="J25714" t="s">
        <v>8294</v>
      </c>
    </row>
    <row r="25715" spans="9:10" x14ac:dyDescent="0.3">
      <c r="I25715" t="s">
        <v>30096</v>
      </c>
    </row>
    <row r="25716" spans="9:10" x14ac:dyDescent="0.3">
      <c r="I25716" t="s">
        <v>30097</v>
      </c>
    </row>
    <row r="25717" spans="9:10" x14ac:dyDescent="0.3">
      <c r="I25717" t="s">
        <v>30098</v>
      </c>
    </row>
    <row r="25718" spans="9:10" x14ac:dyDescent="0.3">
      <c r="I25718" t="s">
        <v>30099</v>
      </c>
      <c r="J25718" t="s">
        <v>8295</v>
      </c>
    </row>
    <row r="25719" spans="9:10" x14ac:dyDescent="0.3">
      <c r="I25719" t="s">
        <v>30100</v>
      </c>
      <c r="J25719" t="s">
        <v>8296</v>
      </c>
    </row>
    <row r="25720" spans="9:10" x14ac:dyDescent="0.3">
      <c r="I25720" t="s">
        <v>30101</v>
      </c>
    </row>
    <row r="25721" spans="9:10" x14ac:dyDescent="0.3">
      <c r="I25721" t="s">
        <v>30102</v>
      </c>
    </row>
    <row r="25722" spans="9:10" x14ac:dyDescent="0.3">
      <c r="I25722" t="s">
        <v>30103</v>
      </c>
    </row>
    <row r="25723" spans="9:10" x14ac:dyDescent="0.3">
      <c r="I25723" t="s">
        <v>30104</v>
      </c>
      <c r="J25723" t="s">
        <v>8297</v>
      </c>
    </row>
    <row r="25724" spans="9:10" x14ac:dyDescent="0.3">
      <c r="I25724" t="s">
        <v>30105</v>
      </c>
      <c r="J25724" t="s">
        <v>8298</v>
      </c>
    </row>
    <row r="25725" spans="9:10" x14ac:dyDescent="0.3">
      <c r="I25725" t="s">
        <v>30106</v>
      </c>
    </row>
    <row r="25726" spans="9:10" x14ac:dyDescent="0.3">
      <c r="I25726" t="s">
        <v>30107</v>
      </c>
    </row>
    <row r="25727" spans="9:10" x14ac:dyDescent="0.3">
      <c r="I25727" t="s">
        <v>30108</v>
      </c>
      <c r="J25727" t="s">
        <v>8299</v>
      </c>
    </row>
    <row r="25728" spans="9:10" x14ac:dyDescent="0.3">
      <c r="I25728" t="s">
        <v>30109</v>
      </c>
      <c r="J25728" t="s">
        <v>8300</v>
      </c>
    </row>
    <row r="25729" spans="9:10" x14ac:dyDescent="0.3">
      <c r="I25729" t="s">
        <v>30110</v>
      </c>
      <c r="J25729" t="s">
        <v>8301</v>
      </c>
    </row>
    <row r="25730" spans="9:10" x14ac:dyDescent="0.3">
      <c r="I25730" t="s">
        <v>30111</v>
      </c>
    </row>
    <row r="25731" spans="9:10" x14ac:dyDescent="0.3">
      <c r="I25731" t="s">
        <v>30112</v>
      </c>
    </row>
    <row r="25732" spans="9:10" x14ac:dyDescent="0.3">
      <c r="I25732" t="s">
        <v>30113</v>
      </c>
      <c r="J25732" t="s">
        <v>8302</v>
      </c>
    </row>
    <row r="25733" spans="9:10" x14ac:dyDescent="0.3">
      <c r="I25733" t="s">
        <v>30114</v>
      </c>
      <c r="J25733" t="s">
        <v>8303</v>
      </c>
    </row>
    <row r="25734" spans="9:10" x14ac:dyDescent="0.3">
      <c r="I25734" t="s">
        <v>30114</v>
      </c>
      <c r="J25734" t="s">
        <v>8303</v>
      </c>
    </row>
    <row r="25735" spans="9:10" x14ac:dyDescent="0.3">
      <c r="I25735" t="s">
        <v>30114</v>
      </c>
      <c r="J25735" t="s">
        <v>8303</v>
      </c>
    </row>
    <row r="25736" spans="9:10" x14ac:dyDescent="0.3">
      <c r="I25736" t="s">
        <v>30115</v>
      </c>
      <c r="J25736" t="s">
        <v>8304</v>
      </c>
    </row>
    <row r="25737" spans="9:10" x14ac:dyDescent="0.3">
      <c r="I25737" t="s">
        <v>30116</v>
      </c>
      <c r="J25737" t="s">
        <v>8305</v>
      </c>
    </row>
    <row r="25738" spans="9:10" x14ac:dyDescent="0.3">
      <c r="I25738" t="s">
        <v>30117</v>
      </c>
      <c r="J25738" t="s">
        <v>8306</v>
      </c>
    </row>
    <row r="25739" spans="9:10" x14ac:dyDescent="0.3">
      <c r="I25739" t="s">
        <v>30118</v>
      </c>
    </row>
    <row r="25740" spans="9:10" x14ac:dyDescent="0.3">
      <c r="I25740" t="s">
        <v>30119</v>
      </c>
    </row>
    <row r="25741" spans="9:10" x14ac:dyDescent="0.3">
      <c r="I25741" t="s">
        <v>30120</v>
      </c>
      <c r="J25741" t="s">
        <v>8307</v>
      </c>
    </row>
    <row r="25742" spans="9:10" x14ac:dyDescent="0.3">
      <c r="I25742" t="s">
        <v>30121</v>
      </c>
      <c r="J25742" t="s">
        <v>8308</v>
      </c>
    </row>
    <row r="25743" spans="9:10" x14ac:dyDescent="0.3">
      <c r="I25743" t="s">
        <v>30122</v>
      </c>
      <c r="J25743" t="s">
        <v>8309</v>
      </c>
    </row>
    <row r="25744" spans="9:10" x14ac:dyDescent="0.3">
      <c r="I25744" t="s">
        <v>30123</v>
      </c>
      <c r="J25744" t="s">
        <v>8310</v>
      </c>
    </row>
    <row r="25745" spans="9:10" x14ac:dyDescent="0.3">
      <c r="I25745" t="s">
        <v>30124</v>
      </c>
    </row>
    <row r="25746" spans="9:10" x14ac:dyDescent="0.3">
      <c r="I25746" t="s">
        <v>30125</v>
      </c>
    </row>
    <row r="25747" spans="9:10" x14ac:dyDescent="0.3">
      <c r="I25747" t="s">
        <v>30126</v>
      </c>
    </row>
    <row r="25748" spans="9:10" x14ac:dyDescent="0.3">
      <c r="I25748" t="s">
        <v>30127</v>
      </c>
    </row>
    <row r="25749" spans="9:10" x14ac:dyDescent="0.3">
      <c r="I25749" t="s">
        <v>30128</v>
      </c>
    </row>
    <row r="25750" spans="9:10" x14ac:dyDescent="0.3">
      <c r="I25750" t="s">
        <v>30129</v>
      </c>
      <c r="J25750" t="s">
        <v>8311</v>
      </c>
    </row>
    <row r="25751" spans="9:10" x14ac:dyDescent="0.3">
      <c r="I25751" t="s">
        <v>13332</v>
      </c>
      <c r="J25751" t="s">
        <v>8311</v>
      </c>
    </row>
    <row r="25752" spans="9:10" x14ac:dyDescent="0.3">
      <c r="I25752" t="s">
        <v>30130</v>
      </c>
      <c r="J25752" t="s">
        <v>2045</v>
      </c>
    </row>
    <row r="25753" spans="9:10" x14ac:dyDescent="0.3">
      <c r="I25753" t="s">
        <v>30131</v>
      </c>
      <c r="J25753" t="s">
        <v>2045</v>
      </c>
    </row>
    <row r="25754" spans="9:10" x14ac:dyDescent="0.3">
      <c r="I25754" t="s">
        <v>14242</v>
      </c>
      <c r="J25754" t="s">
        <v>8312</v>
      </c>
    </row>
    <row r="25755" spans="9:10" x14ac:dyDescent="0.3">
      <c r="I25755" t="s">
        <v>30132</v>
      </c>
      <c r="J25755" t="s">
        <v>8313</v>
      </c>
    </row>
    <row r="25756" spans="9:10" x14ac:dyDescent="0.3">
      <c r="I25756" t="s">
        <v>30133</v>
      </c>
      <c r="J25756" t="s">
        <v>8313</v>
      </c>
    </row>
    <row r="25757" spans="9:10" x14ac:dyDescent="0.3">
      <c r="I25757" t="s">
        <v>30134</v>
      </c>
      <c r="J25757" t="s">
        <v>8314</v>
      </c>
    </row>
    <row r="25758" spans="9:10" x14ac:dyDescent="0.3">
      <c r="I25758" t="s">
        <v>30135</v>
      </c>
    </row>
    <row r="25759" spans="9:10" x14ac:dyDescent="0.3">
      <c r="I25759" t="s">
        <v>30136</v>
      </c>
    </row>
    <row r="25760" spans="9:10" x14ac:dyDescent="0.3">
      <c r="I25760" t="s">
        <v>30137</v>
      </c>
    </row>
    <row r="25761" spans="9:10" x14ac:dyDescent="0.3">
      <c r="I25761" t="s">
        <v>30138</v>
      </c>
    </row>
    <row r="25762" spans="9:10" x14ac:dyDescent="0.3">
      <c r="I25762" t="s">
        <v>30139</v>
      </c>
      <c r="J25762" t="s">
        <v>8315</v>
      </c>
    </row>
    <row r="25763" spans="9:10" x14ac:dyDescent="0.3">
      <c r="I25763" t="s">
        <v>30140</v>
      </c>
      <c r="J25763" t="s">
        <v>8315</v>
      </c>
    </row>
    <row r="25764" spans="9:10" x14ac:dyDescent="0.3">
      <c r="I25764" t="s">
        <v>30141</v>
      </c>
      <c r="J25764" t="s">
        <v>8316</v>
      </c>
    </row>
    <row r="25765" spans="9:10" x14ac:dyDescent="0.3">
      <c r="I25765" t="s">
        <v>30142</v>
      </c>
    </row>
    <row r="25766" spans="9:10" x14ac:dyDescent="0.3">
      <c r="I25766" t="s">
        <v>30143</v>
      </c>
      <c r="J25766" t="s">
        <v>8317</v>
      </c>
    </row>
    <row r="25767" spans="9:10" x14ac:dyDescent="0.3">
      <c r="I25767" t="s">
        <v>30144</v>
      </c>
      <c r="J25767" t="s">
        <v>8318</v>
      </c>
    </row>
    <row r="25768" spans="9:10" x14ac:dyDescent="0.3">
      <c r="I25768" t="s">
        <v>30145</v>
      </c>
      <c r="J25768" t="s">
        <v>8319</v>
      </c>
    </row>
    <row r="25769" spans="9:10" x14ac:dyDescent="0.3">
      <c r="I25769" t="s">
        <v>30146</v>
      </c>
      <c r="J25769" t="s">
        <v>8320</v>
      </c>
    </row>
    <row r="25770" spans="9:10" x14ac:dyDescent="0.3">
      <c r="I25770" t="s">
        <v>30147</v>
      </c>
      <c r="J25770" t="s">
        <v>8321</v>
      </c>
    </row>
    <row r="25771" spans="9:10" x14ac:dyDescent="0.3">
      <c r="I25771" t="s">
        <v>30148</v>
      </c>
    </row>
    <row r="25772" spans="9:10" x14ac:dyDescent="0.3">
      <c r="I25772" t="s">
        <v>30148</v>
      </c>
    </row>
    <row r="25773" spans="9:10" x14ac:dyDescent="0.3">
      <c r="I25773" t="s">
        <v>30149</v>
      </c>
    </row>
    <row r="25774" spans="9:10" x14ac:dyDescent="0.3">
      <c r="I25774" t="s">
        <v>30150</v>
      </c>
      <c r="J25774" t="s">
        <v>8322</v>
      </c>
    </row>
    <row r="25775" spans="9:10" x14ac:dyDescent="0.3">
      <c r="I25775" t="s">
        <v>30151</v>
      </c>
      <c r="J25775" t="s">
        <v>8323</v>
      </c>
    </row>
    <row r="25776" spans="9:10" x14ac:dyDescent="0.3">
      <c r="I25776" t="s">
        <v>30152</v>
      </c>
      <c r="J25776" t="s">
        <v>8324</v>
      </c>
    </row>
    <row r="25777" spans="9:10" x14ac:dyDescent="0.3">
      <c r="I25777" t="s">
        <v>30153</v>
      </c>
      <c r="J25777" t="s">
        <v>8325</v>
      </c>
    </row>
    <row r="25778" spans="9:10" x14ac:dyDescent="0.3">
      <c r="I25778" t="s">
        <v>30154</v>
      </c>
      <c r="J25778" t="s">
        <v>8326</v>
      </c>
    </row>
    <row r="25779" spans="9:10" x14ac:dyDescent="0.3">
      <c r="I25779" t="s">
        <v>30155</v>
      </c>
      <c r="J25779" t="s">
        <v>8327</v>
      </c>
    </row>
    <row r="25780" spans="9:10" x14ac:dyDescent="0.3">
      <c r="I25780" t="s">
        <v>30156</v>
      </c>
      <c r="J25780" t="s">
        <v>8328</v>
      </c>
    </row>
    <row r="25781" spans="9:10" x14ac:dyDescent="0.3">
      <c r="I25781" t="s">
        <v>30157</v>
      </c>
      <c r="J25781" t="s">
        <v>8329</v>
      </c>
    </row>
    <row r="25782" spans="9:10" x14ac:dyDescent="0.3">
      <c r="I25782" t="s">
        <v>30158</v>
      </c>
      <c r="J25782" t="s">
        <v>8330</v>
      </c>
    </row>
    <row r="25783" spans="9:10" x14ac:dyDescent="0.3">
      <c r="I25783" t="s">
        <v>30159</v>
      </c>
      <c r="J25783" t="s">
        <v>8331</v>
      </c>
    </row>
    <row r="25784" spans="9:10" x14ac:dyDescent="0.3">
      <c r="I25784" t="s">
        <v>30160</v>
      </c>
    </row>
    <row r="25785" spans="9:10" x14ac:dyDescent="0.3">
      <c r="I25785" t="s">
        <v>30161</v>
      </c>
      <c r="J25785" t="s">
        <v>8332</v>
      </c>
    </row>
    <row r="25786" spans="9:10" x14ac:dyDescent="0.3">
      <c r="I25786" t="s">
        <v>30162</v>
      </c>
      <c r="J25786" t="s">
        <v>8333</v>
      </c>
    </row>
    <row r="25787" spans="9:10" x14ac:dyDescent="0.3">
      <c r="I25787" t="s">
        <v>30163</v>
      </c>
    </row>
    <row r="25788" spans="9:10" x14ac:dyDescent="0.3">
      <c r="I25788" t="s">
        <v>30164</v>
      </c>
    </row>
    <row r="25789" spans="9:10" x14ac:dyDescent="0.3">
      <c r="I25789" t="s">
        <v>30165</v>
      </c>
    </row>
    <row r="25790" spans="9:10" x14ac:dyDescent="0.3">
      <c r="I25790" t="s">
        <v>30166</v>
      </c>
    </row>
    <row r="25791" spans="9:10" x14ac:dyDescent="0.3">
      <c r="I25791" t="s">
        <v>30167</v>
      </c>
      <c r="J25791" t="s">
        <v>8334</v>
      </c>
    </row>
    <row r="25792" spans="9:10" x14ac:dyDescent="0.3">
      <c r="I25792" t="s">
        <v>30168</v>
      </c>
    </row>
    <row r="25793" spans="9:10" x14ac:dyDescent="0.3">
      <c r="I25793" t="s">
        <v>30169</v>
      </c>
      <c r="J25793" t="s">
        <v>8335</v>
      </c>
    </row>
    <row r="25794" spans="9:10" x14ac:dyDescent="0.3">
      <c r="I25794" t="s">
        <v>30170</v>
      </c>
      <c r="J25794" t="s">
        <v>8336</v>
      </c>
    </row>
    <row r="25795" spans="9:10" x14ac:dyDescent="0.3">
      <c r="I25795" t="s">
        <v>30171</v>
      </c>
      <c r="J25795" t="s">
        <v>8337</v>
      </c>
    </row>
    <row r="25796" spans="9:10" x14ac:dyDescent="0.3">
      <c r="I25796" t="s">
        <v>30172</v>
      </c>
      <c r="J25796" t="s">
        <v>8338</v>
      </c>
    </row>
    <row r="25797" spans="9:10" x14ac:dyDescent="0.3">
      <c r="I25797" t="s">
        <v>30173</v>
      </c>
    </row>
    <row r="25798" spans="9:10" x14ac:dyDescent="0.3">
      <c r="I25798" t="s">
        <v>30174</v>
      </c>
    </row>
    <row r="25799" spans="9:10" x14ac:dyDescent="0.3">
      <c r="I25799" t="s">
        <v>30175</v>
      </c>
      <c r="J25799" t="s">
        <v>8339</v>
      </c>
    </row>
    <row r="25800" spans="9:10" x14ac:dyDescent="0.3">
      <c r="I25800" t="s">
        <v>30176</v>
      </c>
      <c r="J25800" t="s">
        <v>8340</v>
      </c>
    </row>
    <row r="25801" spans="9:10" x14ac:dyDescent="0.3">
      <c r="I25801" t="s">
        <v>30177</v>
      </c>
      <c r="J25801" t="s">
        <v>8341</v>
      </c>
    </row>
    <row r="25802" spans="9:10" x14ac:dyDescent="0.3">
      <c r="I25802" t="s">
        <v>30178</v>
      </c>
      <c r="J25802" t="s">
        <v>8342</v>
      </c>
    </row>
    <row r="25803" spans="9:10" x14ac:dyDescent="0.3">
      <c r="I25803" t="s">
        <v>30179</v>
      </c>
      <c r="J25803" t="s">
        <v>8343</v>
      </c>
    </row>
    <row r="25804" spans="9:10" x14ac:dyDescent="0.3">
      <c r="I25804" t="s">
        <v>30180</v>
      </c>
      <c r="J25804" t="s">
        <v>8344</v>
      </c>
    </row>
    <row r="25805" spans="9:10" x14ac:dyDescent="0.3">
      <c r="I25805" t="s">
        <v>30181</v>
      </c>
    </row>
    <row r="25806" spans="9:10" x14ac:dyDescent="0.3">
      <c r="I25806" t="s">
        <v>30182</v>
      </c>
      <c r="J25806" t="s">
        <v>8345</v>
      </c>
    </row>
    <row r="25807" spans="9:10" x14ac:dyDescent="0.3">
      <c r="I25807" t="s">
        <v>30183</v>
      </c>
      <c r="J25807" t="s">
        <v>8346</v>
      </c>
    </row>
    <row r="25808" spans="9:10" x14ac:dyDescent="0.3">
      <c r="I25808" t="s">
        <v>30184</v>
      </c>
    </row>
    <row r="25809" spans="9:10" x14ac:dyDescent="0.3">
      <c r="I25809" t="s">
        <v>30185</v>
      </c>
    </row>
    <row r="25810" spans="9:10" x14ac:dyDescent="0.3">
      <c r="I25810" t="s">
        <v>30186</v>
      </c>
    </row>
    <row r="25811" spans="9:10" x14ac:dyDescent="0.3">
      <c r="I25811" t="s">
        <v>26125</v>
      </c>
      <c r="J25811" t="s">
        <v>8347</v>
      </c>
    </row>
    <row r="25812" spans="9:10" x14ac:dyDescent="0.3">
      <c r="I25812" t="s">
        <v>26124</v>
      </c>
      <c r="J25812" t="s">
        <v>8347</v>
      </c>
    </row>
    <row r="25813" spans="9:10" x14ac:dyDescent="0.3">
      <c r="I25813" t="s">
        <v>30187</v>
      </c>
    </row>
    <row r="25814" spans="9:10" x14ac:dyDescent="0.3">
      <c r="I25814" t="s">
        <v>30188</v>
      </c>
      <c r="J25814" t="s">
        <v>8348</v>
      </c>
    </row>
    <row r="25815" spans="9:10" x14ac:dyDescent="0.3">
      <c r="I25815" t="s">
        <v>30189</v>
      </c>
    </row>
    <row r="25816" spans="9:10" x14ac:dyDescent="0.3">
      <c r="I25816" t="s">
        <v>30190</v>
      </c>
      <c r="J25816" t="s">
        <v>8349</v>
      </c>
    </row>
    <row r="25817" spans="9:10" x14ac:dyDescent="0.3">
      <c r="I25817" t="s">
        <v>30191</v>
      </c>
      <c r="J25817" t="s">
        <v>8350</v>
      </c>
    </row>
    <row r="25818" spans="9:10" x14ac:dyDescent="0.3">
      <c r="I25818" t="s">
        <v>30192</v>
      </c>
    </row>
    <row r="25819" spans="9:10" x14ac:dyDescent="0.3">
      <c r="I25819" t="s">
        <v>30193</v>
      </c>
      <c r="J25819" t="s">
        <v>7561</v>
      </c>
    </row>
    <row r="25820" spans="9:10" x14ac:dyDescent="0.3">
      <c r="I25820" t="s">
        <v>30194</v>
      </c>
      <c r="J25820" t="s">
        <v>8351</v>
      </c>
    </row>
    <row r="25821" spans="9:10" x14ac:dyDescent="0.3">
      <c r="I25821" t="s">
        <v>30195</v>
      </c>
      <c r="J25821" t="s">
        <v>2163</v>
      </c>
    </row>
    <row r="25822" spans="9:10" x14ac:dyDescent="0.3">
      <c r="I25822" t="s">
        <v>30196</v>
      </c>
      <c r="J25822" t="s">
        <v>6383</v>
      </c>
    </row>
    <row r="25823" spans="9:10" x14ac:dyDescent="0.3">
      <c r="I25823" t="s">
        <v>30197</v>
      </c>
      <c r="J25823" t="s">
        <v>6383</v>
      </c>
    </row>
    <row r="25824" spans="9:10" x14ac:dyDescent="0.3">
      <c r="I25824" t="s">
        <v>30198</v>
      </c>
      <c r="J25824" t="s">
        <v>6383</v>
      </c>
    </row>
    <row r="25825" spans="9:10" x14ac:dyDescent="0.3">
      <c r="I25825" t="s">
        <v>30199</v>
      </c>
      <c r="J25825" t="s">
        <v>8352</v>
      </c>
    </row>
    <row r="25826" spans="9:10" x14ac:dyDescent="0.3">
      <c r="I25826" t="s">
        <v>30200</v>
      </c>
    </row>
    <row r="25827" spans="9:10" x14ac:dyDescent="0.3">
      <c r="I25827" t="s">
        <v>30201</v>
      </c>
      <c r="J25827" t="s">
        <v>8353</v>
      </c>
    </row>
    <row r="25828" spans="9:10" x14ac:dyDescent="0.3">
      <c r="I25828" t="s">
        <v>30202</v>
      </c>
      <c r="J25828" t="s">
        <v>8354</v>
      </c>
    </row>
    <row r="25829" spans="9:10" x14ac:dyDescent="0.3">
      <c r="I25829" t="s">
        <v>30203</v>
      </c>
    </row>
    <row r="25830" spans="9:10" x14ac:dyDescent="0.3">
      <c r="I25830" t="s">
        <v>30204</v>
      </c>
      <c r="J25830" t="s">
        <v>8355</v>
      </c>
    </row>
    <row r="25831" spans="9:10" x14ac:dyDescent="0.3">
      <c r="I25831" t="s">
        <v>30204</v>
      </c>
      <c r="J25831" t="s">
        <v>8355</v>
      </c>
    </row>
    <row r="25832" spans="9:10" x14ac:dyDescent="0.3">
      <c r="I25832" t="s">
        <v>30205</v>
      </c>
      <c r="J25832" t="s">
        <v>8356</v>
      </c>
    </row>
    <row r="25833" spans="9:10" x14ac:dyDescent="0.3">
      <c r="I25833" t="s">
        <v>30206</v>
      </c>
      <c r="J25833" t="s">
        <v>8357</v>
      </c>
    </row>
    <row r="25834" spans="9:10" x14ac:dyDescent="0.3">
      <c r="I25834" t="s">
        <v>30207</v>
      </c>
      <c r="J25834" t="s">
        <v>8358</v>
      </c>
    </row>
    <row r="25835" spans="9:10" x14ac:dyDescent="0.3">
      <c r="I25835" t="s">
        <v>30208</v>
      </c>
      <c r="J25835" t="s">
        <v>8359</v>
      </c>
    </row>
    <row r="25836" spans="9:10" x14ac:dyDescent="0.3">
      <c r="I25836" t="s">
        <v>30208</v>
      </c>
      <c r="J25836" t="s">
        <v>8359</v>
      </c>
    </row>
    <row r="25837" spans="9:10" x14ac:dyDescent="0.3">
      <c r="I25837" t="s">
        <v>30209</v>
      </c>
    </row>
    <row r="25838" spans="9:10" x14ac:dyDescent="0.3">
      <c r="I25838" t="s">
        <v>30210</v>
      </c>
    </row>
    <row r="25839" spans="9:10" x14ac:dyDescent="0.3">
      <c r="I25839" t="s">
        <v>30211</v>
      </c>
      <c r="J25839" t="s">
        <v>8360</v>
      </c>
    </row>
    <row r="25840" spans="9:10" x14ac:dyDescent="0.3">
      <c r="I25840" t="s">
        <v>30212</v>
      </c>
      <c r="J25840" t="s">
        <v>8361</v>
      </c>
    </row>
    <row r="25841" spans="9:10" x14ac:dyDescent="0.3">
      <c r="I25841" t="s">
        <v>30213</v>
      </c>
      <c r="J25841" t="s">
        <v>8362</v>
      </c>
    </row>
    <row r="25842" spans="9:10" x14ac:dyDescent="0.3">
      <c r="I25842" t="s">
        <v>30214</v>
      </c>
    </row>
    <row r="25843" spans="9:10" x14ac:dyDescent="0.3">
      <c r="I25843" t="s">
        <v>30215</v>
      </c>
      <c r="J25843" t="s">
        <v>8363</v>
      </c>
    </row>
    <row r="25844" spans="9:10" x14ac:dyDescent="0.3">
      <c r="I25844" t="s">
        <v>30216</v>
      </c>
    </row>
    <row r="25845" spans="9:10" x14ac:dyDescent="0.3">
      <c r="I25845" t="s">
        <v>30217</v>
      </c>
    </row>
    <row r="25846" spans="9:10" x14ac:dyDescent="0.3">
      <c r="I25846" t="s">
        <v>30218</v>
      </c>
      <c r="J25846" t="s">
        <v>8364</v>
      </c>
    </row>
    <row r="25847" spans="9:10" x14ac:dyDescent="0.3">
      <c r="I25847" t="s">
        <v>30219</v>
      </c>
      <c r="J25847" t="s">
        <v>701</v>
      </c>
    </row>
    <row r="25848" spans="9:10" x14ac:dyDescent="0.3">
      <c r="I25848" t="s">
        <v>30220</v>
      </c>
      <c r="J25848" t="s">
        <v>8365</v>
      </c>
    </row>
    <row r="25849" spans="9:10" x14ac:dyDescent="0.3">
      <c r="I25849" t="s">
        <v>30221</v>
      </c>
      <c r="J25849" t="s">
        <v>131</v>
      </c>
    </row>
    <row r="25850" spans="9:10" x14ac:dyDescent="0.3">
      <c r="I25850" t="s">
        <v>30222</v>
      </c>
    </row>
    <row r="25851" spans="9:10" x14ac:dyDescent="0.3">
      <c r="I25851" t="s">
        <v>30223</v>
      </c>
    </row>
    <row r="25852" spans="9:10" x14ac:dyDescent="0.3">
      <c r="I25852" t="s">
        <v>30224</v>
      </c>
    </row>
    <row r="25853" spans="9:10" x14ac:dyDescent="0.3">
      <c r="I25853" t="s">
        <v>30225</v>
      </c>
      <c r="J25853" t="s">
        <v>8366</v>
      </c>
    </row>
    <row r="25854" spans="9:10" x14ac:dyDescent="0.3">
      <c r="I25854" t="s">
        <v>30226</v>
      </c>
      <c r="J25854" t="s">
        <v>8366</v>
      </c>
    </row>
    <row r="25855" spans="9:10" x14ac:dyDescent="0.3">
      <c r="I25855" t="s">
        <v>30227</v>
      </c>
    </row>
    <row r="25856" spans="9:10" x14ac:dyDescent="0.3">
      <c r="I25856" t="s">
        <v>30228</v>
      </c>
      <c r="J25856" t="s">
        <v>1008</v>
      </c>
    </row>
    <row r="25857" spans="9:10" x14ac:dyDescent="0.3">
      <c r="I25857" t="s">
        <v>30228</v>
      </c>
      <c r="J25857" t="s">
        <v>1008</v>
      </c>
    </row>
    <row r="25858" spans="9:10" x14ac:dyDescent="0.3">
      <c r="I25858" t="s">
        <v>30229</v>
      </c>
      <c r="J25858" t="s">
        <v>8367</v>
      </c>
    </row>
    <row r="25859" spans="9:10" x14ac:dyDescent="0.3">
      <c r="I25859" t="s">
        <v>30230</v>
      </c>
      <c r="J25859" t="s">
        <v>8368</v>
      </c>
    </row>
    <row r="25860" spans="9:10" x14ac:dyDescent="0.3">
      <c r="I25860" t="s">
        <v>30231</v>
      </c>
      <c r="J25860" t="s">
        <v>8369</v>
      </c>
    </row>
    <row r="25861" spans="9:10" x14ac:dyDescent="0.3">
      <c r="I25861" t="s">
        <v>30232</v>
      </c>
      <c r="J25861" t="s">
        <v>8370</v>
      </c>
    </row>
    <row r="25862" spans="9:10" x14ac:dyDescent="0.3">
      <c r="I25862" t="s">
        <v>30233</v>
      </c>
      <c r="J25862" t="s">
        <v>8370</v>
      </c>
    </row>
    <row r="25863" spans="9:10" x14ac:dyDescent="0.3">
      <c r="I25863" t="s">
        <v>30234</v>
      </c>
      <c r="J25863" t="s">
        <v>8370</v>
      </c>
    </row>
    <row r="25864" spans="9:10" x14ac:dyDescent="0.3">
      <c r="I25864" t="s">
        <v>30235</v>
      </c>
      <c r="J25864" t="s">
        <v>8370</v>
      </c>
    </row>
    <row r="25865" spans="9:10" x14ac:dyDescent="0.3">
      <c r="I25865" t="s">
        <v>30236</v>
      </c>
      <c r="J25865" t="s">
        <v>8370</v>
      </c>
    </row>
    <row r="25866" spans="9:10" x14ac:dyDescent="0.3">
      <c r="I25866" t="s">
        <v>30237</v>
      </c>
    </row>
    <row r="25867" spans="9:10" x14ac:dyDescent="0.3">
      <c r="I25867" t="s">
        <v>30238</v>
      </c>
      <c r="J25867" t="s">
        <v>8371</v>
      </c>
    </row>
    <row r="25868" spans="9:10" x14ac:dyDescent="0.3">
      <c r="I25868" t="s">
        <v>30238</v>
      </c>
      <c r="J25868" t="s">
        <v>8371</v>
      </c>
    </row>
    <row r="25869" spans="9:10" x14ac:dyDescent="0.3">
      <c r="I25869" t="s">
        <v>30239</v>
      </c>
      <c r="J25869" t="s">
        <v>8372</v>
      </c>
    </row>
    <row r="25870" spans="9:10" x14ac:dyDescent="0.3">
      <c r="I25870" t="s">
        <v>30240</v>
      </c>
    </row>
    <row r="25871" spans="9:10" x14ac:dyDescent="0.3">
      <c r="I25871" t="s">
        <v>30241</v>
      </c>
    </row>
    <row r="25872" spans="9:10" x14ac:dyDescent="0.3">
      <c r="I25872" t="s">
        <v>30242</v>
      </c>
    </row>
    <row r="25873" spans="9:10" x14ac:dyDescent="0.3">
      <c r="I25873" t="s">
        <v>30243</v>
      </c>
    </row>
    <row r="25874" spans="9:10" x14ac:dyDescent="0.3">
      <c r="I25874" t="s">
        <v>30244</v>
      </c>
      <c r="J25874" t="s">
        <v>8373</v>
      </c>
    </row>
    <row r="25875" spans="9:10" x14ac:dyDescent="0.3">
      <c r="I25875" t="s">
        <v>30245</v>
      </c>
      <c r="J25875" t="s">
        <v>8374</v>
      </c>
    </row>
    <row r="25876" spans="9:10" x14ac:dyDescent="0.3">
      <c r="I25876" t="s">
        <v>30246</v>
      </c>
    </row>
    <row r="25877" spans="9:10" x14ac:dyDescent="0.3">
      <c r="I25877" t="s">
        <v>30247</v>
      </c>
    </row>
    <row r="25878" spans="9:10" x14ac:dyDescent="0.3">
      <c r="I25878" t="s">
        <v>30248</v>
      </c>
      <c r="J25878" t="s">
        <v>8375</v>
      </c>
    </row>
    <row r="25879" spans="9:10" x14ac:dyDescent="0.3">
      <c r="I25879" t="s">
        <v>30249</v>
      </c>
    </row>
    <row r="25880" spans="9:10" x14ac:dyDescent="0.3">
      <c r="I25880" t="s">
        <v>30250</v>
      </c>
      <c r="J25880" t="s">
        <v>8376</v>
      </c>
    </row>
    <row r="25881" spans="9:10" x14ac:dyDescent="0.3">
      <c r="I25881" t="s">
        <v>30251</v>
      </c>
      <c r="J25881" t="s">
        <v>8377</v>
      </c>
    </row>
    <row r="25882" spans="9:10" x14ac:dyDescent="0.3">
      <c r="I25882" t="s">
        <v>30252</v>
      </c>
      <c r="J25882" t="s">
        <v>8377</v>
      </c>
    </row>
    <row r="25883" spans="9:10" x14ac:dyDescent="0.3">
      <c r="I25883" t="s">
        <v>30253</v>
      </c>
      <c r="J25883" t="s">
        <v>8378</v>
      </c>
    </row>
    <row r="25884" spans="9:10" x14ac:dyDescent="0.3">
      <c r="I25884" t="s">
        <v>30254</v>
      </c>
      <c r="J25884" t="s">
        <v>8378</v>
      </c>
    </row>
    <row r="25885" spans="9:10" x14ac:dyDescent="0.3">
      <c r="I25885" t="s">
        <v>30255</v>
      </c>
      <c r="J25885" t="s">
        <v>8378</v>
      </c>
    </row>
    <row r="25886" spans="9:10" x14ac:dyDescent="0.3">
      <c r="I25886" t="s">
        <v>30256</v>
      </c>
    </row>
    <row r="25887" spans="9:10" x14ac:dyDescent="0.3">
      <c r="I25887" t="s">
        <v>30257</v>
      </c>
    </row>
    <row r="25888" spans="9:10" x14ac:dyDescent="0.3">
      <c r="I25888" t="s">
        <v>30258</v>
      </c>
    </row>
    <row r="25889" spans="9:10" x14ac:dyDescent="0.3">
      <c r="I25889" t="s">
        <v>30259</v>
      </c>
    </row>
    <row r="25890" spans="9:10" x14ac:dyDescent="0.3">
      <c r="I25890" t="s">
        <v>30260</v>
      </c>
    </row>
    <row r="25891" spans="9:10" x14ac:dyDescent="0.3">
      <c r="I25891" t="s">
        <v>30261</v>
      </c>
      <c r="J25891" t="s">
        <v>722</v>
      </c>
    </row>
    <row r="25892" spans="9:10" x14ac:dyDescent="0.3">
      <c r="I25892" t="s">
        <v>30261</v>
      </c>
      <c r="J25892" t="s">
        <v>722</v>
      </c>
    </row>
    <row r="25893" spans="9:10" x14ac:dyDescent="0.3">
      <c r="I25893" t="s">
        <v>30261</v>
      </c>
      <c r="J25893" t="s">
        <v>722</v>
      </c>
    </row>
    <row r="25894" spans="9:10" x14ac:dyDescent="0.3">
      <c r="I25894" t="s">
        <v>30262</v>
      </c>
      <c r="J25894" t="s">
        <v>8379</v>
      </c>
    </row>
    <row r="25895" spans="9:10" x14ac:dyDescent="0.3">
      <c r="I25895" t="s">
        <v>30263</v>
      </c>
      <c r="J25895" t="s">
        <v>8379</v>
      </c>
    </row>
    <row r="25896" spans="9:10" x14ac:dyDescent="0.3">
      <c r="I25896" t="s">
        <v>30264</v>
      </c>
    </row>
    <row r="25897" spans="9:10" x14ac:dyDescent="0.3">
      <c r="I25897" t="s">
        <v>30265</v>
      </c>
    </row>
    <row r="25898" spans="9:10" x14ac:dyDescent="0.3">
      <c r="I25898" t="s">
        <v>30266</v>
      </c>
      <c r="J25898" t="s">
        <v>8380</v>
      </c>
    </row>
    <row r="25899" spans="9:10" x14ac:dyDescent="0.3">
      <c r="I25899" t="s">
        <v>30267</v>
      </c>
      <c r="J25899" t="s">
        <v>973</v>
      </c>
    </row>
    <row r="25900" spans="9:10" x14ac:dyDescent="0.3">
      <c r="I25900" t="s">
        <v>30268</v>
      </c>
    </row>
    <row r="25901" spans="9:10" x14ac:dyDescent="0.3">
      <c r="I25901" t="s">
        <v>30269</v>
      </c>
      <c r="J25901" t="s">
        <v>8381</v>
      </c>
    </row>
    <row r="25902" spans="9:10" x14ac:dyDescent="0.3">
      <c r="I25902" t="s">
        <v>30270</v>
      </c>
    </row>
    <row r="25903" spans="9:10" x14ac:dyDescent="0.3">
      <c r="I25903" t="s">
        <v>30271</v>
      </c>
    </row>
    <row r="25904" spans="9:10" x14ac:dyDescent="0.3">
      <c r="I25904" t="s">
        <v>30272</v>
      </c>
    </row>
    <row r="25905" spans="9:10" x14ac:dyDescent="0.3">
      <c r="I25905" t="s">
        <v>30273</v>
      </c>
    </row>
    <row r="25906" spans="9:10" x14ac:dyDescent="0.3">
      <c r="I25906" t="s">
        <v>30274</v>
      </c>
      <c r="J25906" t="s">
        <v>8382</v>
      </c>
    </row>
    <row r="25907" spans="9:10" x14ac:dyDescent="0.3">
      <c r="I25907" t="s">
        <v>30274</v>
      </c>
      <c r="J25907" t="s">
        <v>8382</v>
      </c>
    </row>
    <row r="25908" spans="9:10" x14ac:dyDescent="0.3">
      <c r="I25908" t="s">
        <v>30275</v>
      </c>
    </row>
    <row r="25909" spans="9:10" x14ac:dyDescent="0.3">
      <c r="I25909" t="s">
        <v>30276</v>
      </c>
      <c r="J25909" t="s">
        <v>8383</v>
      </c>
    </row>
    <row r="25910" spans="9:10" x14ac:dyDescent="0.3">
      <c r="I25910" t="s">
        <v>30277</v>
      </c>
      <c r="J25910" t="s">
        <v>8384</v>
      </c>
    </row>
    <row r="25911" spans="9:10" x14ac:dyDescent="0.3">
      <c r="I25911" t="s">
        <v>30278</v>
      </c>
      <c r="J25911" t="s">
        <v>8384</v>
      </c>
    </row>
    <row r="25912" spans="9:10" x14ac:dyDescent="0.3">
      <c r="I25912" t="s">
        <v>30279</v>
      </c>
    </row>
    <row r="25913" spans="9:10" x14ac:dyDescent="0.3">
      <c r="I25913" t="s">
        <v>30280</v>
      </c>
      <c r="J25913" t="s">
        <v>8385</v>
      </c>
    </row>
    <row r="25914" spans="9:10" x14ac:dyDescent="0.3">
      <c r="I25914" t="s">
        <v>30281</v>
      </c>
      <c r="J25914" t="s">
        <v>8386</v>
      </c>
    </row>
    <row r="25915" spans="9:10" x14ac:dyDescent="0.3">
      <c r="I25915" t="s">
        <v>30281</v>
      </c>
      <c r="J25915" t="s">
        <v>8386</v>
      </c>
    </row>
    <row r="25916" spans="9:10" x14ac:dyDescent="0.3">
      <c r="I25916" t="s">
        <v>30282</v>
      </c>
      <c r="J25916" t="s">
        <v>8387</v>
      </c>
    </row>
    <row r="25917" spans="9:10" x14ac:dyDescent="0.3">
      <c r="I25917" t="s">
        <v>30282</v>
      </c>
      <c r="J25917" t="s">
        <v>8387</v>
      </c>
    </row>
    <row r="25918" spans="9:10" x14ac:dyDescent="0.3">
      <c r="I25918" t="s">
        <v>30282</v>
      </c>
      <c r="J25918" t="s">
        <v>8387</v>
      </c>
    </row>
    <row r="25919" spans="9:10" x14ac:dyDescent="0.3">
      <c r="I25919" t="s">
        <v>30283</v>
      </c>
    </row>
    <row r="25920" spans="9:10" x14ac:dyDescent="0.3">
      <c r="I25920" t="s">
        <v>30284</v>
      </c>
      <c r="J25920" t="s">
        <v>8388</v>
      </c>
    </row>
    <row r="25921" spans="9:10" x14ac:dyDescent="0.3">
      <c r="I25921" t="s">
        <v>30285</v>
      </c>
      <c r="J25921" t="s">
        <v>8389</v>
      </c>
    </row>
    <row r="25922" spans="9:10" x14ac:dyDescent="0.3">
      <c r="I25922" t="s">
        <v>30286</v>
      </c>
      <c r="J25922" t="s">
        <v>8390</v>
      </c>
    </row>
    <row r="25923" spans="9:10" x14ac:dyDescent="0.3">
      <c r="I25923" t="s">
        <v>30287</v>
      </c>
      <c r="J25923" t="s">
        <v>8391</v>
      </c>
    </row>
    <row r="25924" spans="9:10" x14ac:dyDescent="0.3">
      <c r="I25924" t="s">
        <v>30288</v>
      </c>
      <c r="J25924" t="s">
        <v>8392</v>
      </c>
    </row>
    <row r="25925" spans="9:10" x14ac:dyDescent="0.3">
      <c r="I25925" t="s">
        <v>30289</v>
      </c>
      <c r="J25925" t="s">
        <v>8392</v>
      </c>
    </row>
    <row r="25926" spans="9:10" x14ac:dyDescent="0.3">
      <c r="I25926" t="s">
        <v>30289</v>
      </c>
      <c r="J25926" t="s">
        <v>8392</v>
      </c>
    </row>
    <row r="25927" spans="9:10" x14ac:dyDescent="0.3">
      <c r="I25927" t="s">
        <v>30289</v>
      </c>
      <c r="J25927" t="s">
        <v>8392</v>
      </c>
    </row>
    <row r="25928" spans="9:10" x14ac:dyDescent="0.3">
      <c r="I25928" t="s">
        <v>30289</v>
      </c>
      <c r="J25928" t="s">
        <v>8392</v>
      </c>
    </row>
    <row r="25929" spans="9:10" x14ac:dyDescent="0.3">
      <c r="I25929" t="s">
        <v>30289</v>
      </c>
      <c r="J25929" t="s">
        <v>8392</v>
      </c>
    </row>
    <row r="25930" spans="9:10" x14ac:dyDescent="0.3">
      <c r="I25930" t="s">
        <v>30289</v>
      </c>
      <c r="J25930" t="s">
        <v>8392</v>
      </c>
    </row>
    <row r="25931" spans="9:10" x14ac:dyDescent="0.3">
      <c r="I25931" t="s">
        <v>30290</v>
      </c>
      <c r="J25931" t="s">
        <v>8393</v>
      </c>
    </row>
    <row r="25932" spans="9:10" x14ac:dyDescent="0.3">
      <c r="I25932" t="s">
        <v>30290</v>
      </c>
      <c r="J25932" t="s">
        <v>8393</v>
      </c>
    </row>
    <row r="25933" spans="9:10" x14ac:dyDescent="0.3">
      <c r="I25933" t="s">
        <v>30291</v>
      </c>
      <c r="J25933" t="s">
        <v>8394</v>
      </c>
    </row>
    <row r="25934" spans="9:10" x14ac:dyDescent="0.3">
      <c r="I25934" t="s">
        <v>30292</v>
      </c>
      <c r="J25934" t="s">
        <v>8395</v>
      </c>
    </row>
    <row r="25935" spans="9:10" x14ac:dyDescent="0.3">
      <c r="I25935" t="s">
        <v>30293</v>
      </c>
      <c r="J25935" t="s">
        <v>8396</v>
      </c>
    </row>
    <row r="25936" spans="9:10" x14ac:dyDescent="0.3">
      <c r="I25936" t="s">
        <v>30294</v>
      </c>
    </row>
    <row r="25937" spans="9:10" x14ac:dyDescent="0.3">
      <c r="I25937" t="s">
        <v>30295</v>
      </c>
    </row>
    <row r="25938" spans="9:10" x14ac:dyDescent="0.3">
      <c r="I25938" t="s">
        <v>30296</v>
      </c>
      <c r="J25938" t="s">
        <v>8397</v>
      </c>
    </row>
    <row r="25939" spans="9:10" x14ac:dyDescent="0.3">
      <c r="I25939" t="s">
        <v>30297</v>
      </c>
      <c r="J25939" t="s">
        <v>8398</v>
      </c>
    </row>
    <row r="25940" spans="9:10" x14ac:dyDescent="0.3">
      <c r="I25940" t="s">
        <v>30297</v>
      </c>
      <c r="J25940" t="s">
        <v>8398</v>
      </c>
    </row>
    <row r="25941" spans="9:10" x14ac:dyDescent="0.3">
      <c r="I25941" t="s">
        <v>30298</v>
      </c>
      <c r="J25941" t="s">
        <v>8399</v>
      </c>
    </row>
    <row r="25942" spans="9:10" x14ac:dyDescent="0.3">
      <c r="I25942" t="s">
        <v>30299</v>
      </c>
      <c r="J25942" t="s">
        <v>8400</v>
      </c>
    </row>
    <row r="25943" spans="9:10" x14ac:dyDescent="0.3">
      <c r="I25943" t="s">
        <v>30300</v>
      </c>
      <c r="J25943" t="s">
        <v>8401</v>
      </c>
    </row>
    <row r="25944" spans="9:10" x14ac:dyDescent="0.3">
      <c r="I25944" t="s">
        <v>30301</v>
      </c>
      <c r="J25944" t="s">
        <v>8402</v>
      </c>
    </row>
    <row r="25945" spans="9:10" x14ac:dyDescent="0.3">
      <c r="I25945" t="s">
        <v>30302</v>
      </c>
      <c r="J25945" t="s">
        <v>8403</v>
      </c>
    </row>
    <row r="25946" spans="9:10" x14ac:dyDescent="0.3">
      <c r="I25946" t="s">
        <v>30303</v>
      </c>
      <c r="J25946" t="s">
        <v>8404</v>
      </c>
    </row>
    <row r="25947" spans="9:10" x14ac:dyDescent="0.3">
      <c r="I25947" t="s">
        <v>30304</v>
      </c>
      <c r="J25947" t="s">
        <v>2763</v>
      </c>
    </row>
    <row r="25948" spans="9:10" x14ac:dyDescent="0.3">
      <c r="I25948" t="s">
        <v>30305</v>
      </c>
      <c r="J25948" t="s">
        <v>8405</v>
      </c>
    </row>
    <row r="25949" spans="9:10" x14ac:dyDescent="0.3">
      <c r="I25949" t="s">
        <v>30306</v>
      </c>
    </row>
    <row r="25950" spans="9:10" x14ac:dyDescent="0.3">
      <c r="I25950" t="s">
        <v>30307</v>
      </c>
    </row>
    <row r="25951" spans="9:10" x14ac:dyDescent="0.3">
      <c r="I25951" t="s">
        <v>30308</v>
      </c>
      <c r="J25951" t="s">
        <v>8406</v>
      </c>
    </row>
    <row r="25952" spans="9:10" x14ac:dyDescent="0.3">
      <c r="I25952" t="s">
        <v>30309</v>
      </c>
      <c r="J25952" t="s">
        <v>8407</v>
      </c>
    </row>
    <row r="25953" spans="9:10" x14ac:dyDescent="0.3">
      <c r="I25953" t="s">
        <v>30310</v>
      </c>
      <c r="J25953" t="s">
        <v>8408</v>
      </c>
    </row>
    <row r="25954" spans="9:10" x14ac:dyDescent="0.3">
      <c r="I25954" t="s">
        <v>30311</v>
      </c>
    </row>
    <row r="25955" spans="9:10" x14ac:dyDescent="0.3">
      <c r="I25955" t="s">
        <v>30312</v>
      </c>
    </row>
    <row r="25956" spans="9:10" x14ac:dyDescent="0.3">
      <c r="I25956" t="s">
        <v>30313</v>
      </c>
    </row>
    <row r="25957" spans="9:10" x14ac:dyDescent="0.3">
      <c r="I25957" t="s">
        <v>30314</v>
      </c>
      <c r="J25957" t="s">
        <v>8409</v>
      </c>
    </row>
    <row r="25958" spans="9:10" x14ac:dyDescent="0.3">
      <c r="I25958" t="s">
        <v>30315</v>
      </c>
    </row>
    <row r="25959" spans="9:10" x14ac:dyDescent="0.3">
      <c r="I25959" t="s">
        <v>30316</v>
      </c>
    </row>
    <row r="25960" spans="9:10" x14ac:dyDescent="0.3">
      <c r="I25960" t="s">
        <v>30317</v>
      </c>
    </row>
    <row r="25961" spans="9:10" x14ac:dyDescent="0.3">
      <c r="I25961" t="s">
        <v>30318</v>
      </c>
      <c r="J25961" t="s">
        <v>8410</v>
      </c>
    </row>
    <row r="25962" spans="9:10" x14ac:dyDescent="0.3">
      <c r="I25962" t="s">
        <v>30319</v>
      </c>
      <c r="J25962" t="s">
        <v>8411</v>
      </c>
    </row>
    <row r="25963" spans="9:10" x14ac:dyDescent="0.3">
      <c r="I25963" t="s">
        <v>30320</v>
      </c>
      <c r="J25963" t="s">
        <v>8412</v>
      </c>
    </row>
    <row r="25964" spans="9:10" x14ac:dyDescent="0.3">
      <c r="I25964" t="s">
        <v>30321</v>
      </c>
      <c r="J25964" t="s">
        <v>8413</v>
      </c>
    </row>
    <row r="25965" spans="9:10" x14ac:dyDescent="0.3">
      <c r="I25965" t="s">
        <v>30322</v>
      </c>
      <c r="J25965" t="s">
        <v>8414</v>
      </c>
    </row>
    <row r="25966" spans="9:10" x14ac:dyDescent="0.3">
      <c r="I25966" t="s">
        <v>30323</v>
      </c>
      <c r="J25966" t="s">
        <v>8415</v>
      </c>
    </row>
    <row r="25967" spans="9:10" x14ac:dyDescent="0.3">
      <c r="I25967" t="s">
        <v>30324</v>
      </c>
      <c r="J25967" t="s">
        <v>8416</v>
      </c>
    </row>
    <row r="25968" spans="9:10" x14ac:dyDescent="0.3">
      <c r="I25968" t="s">
        <v>30325</v>
      </c>
    </row>
    <row r="25969" spans="9:10" x14ac:dyDescent="0.3">
      <c r="I25969" t="s">
        <v>25753</v>
      </c>
      <c r="J25969" t="s">
        <v>6185</v>
      </c>
    </row>
    <row r="25970" spans="9:10" x14ac:dyDescent="0.3">
      <c r="I25970" t="s">
        <v>30326</v>
      </c>
      <c r="J25970" t="s">
        <v>8417</v>
      </c>
    </row>
    <row r="25971" spans="9:10" x14ac:dyDescent="0.3">
      <c r="I25971" t="s">
        <v>30327</v>
      </c>
      <c r="J25971" t="s">
        <v>8418</v>
      </c>
    </row>
    <row r="25972" spans="9:10" x14ac:dyDescent="0.3">
      <c r="I25972" t="s">
        <v>30328</v>
      </c>
      <c r="J25972" t="s">
        <v>8419</v>
      </c>
    </row>
    <row r="25973" spans="9:10" x14ac:dyDescent="0.3">
      <c r="I25973" t="s">
        <v>30329</v>
      </c>
      <c r="J25973" t="s">
        <v>8420</v>
      </c>
    </row>
    <row r="25974" spans="9:10" x14ac:dyDescent="0.3">
      <c r="I25974" t="s">
        <v>30330</v>
      </c>
      <c r="J25974" t="s">
        <v>8421</v>
      </c>
    </row>
    <row r="25975" spans="9:10" x14ac:dyDescent="0.3">
      <c r="I25975" t="s">
        <v>30331</v>
      </c>
      <c r="J25975" t="s">
        <v>8422</v>
      </c>
    </row>
    <row r="25976" spans="9:10" x14ac:dyDescent="0.3">
      <c r="I25976" t="s">
        <v>30332</v>
      </c>
      <c r="J25976" t="s">
        <v>8423</v>
      </c>
    </row>
    <row r="25977" spans="9:10" x14ac:dyDescent="0.3">
      <c r="I25977" t="s">
        <v>30333</v>
      </c>
      <c r="J25977" t="s">
        <v>8424</v>
      </c>
    </row>
    <row r="25978" spans="9:10" x14ac:dyDescent="0.3">
      <c r="I25978" t="s">
        <v>30334</v>
      </c>
      <c r="J25978" t="s">
        <v>8425</v>
      </c>
    </row>
    <row r="25979" spans="9:10" x14ac:dyDescent="0.3">
      <c r="I25979" t="s">
        <v>30335</v>
      </c>
      <c r="J25979" t="s">
        <v>8426</v>
      </c>
    </row>
    <row r="25980" spans="9:10" x14ac:dyDescent="0.3">
      <c r="I25980" t="s">
        <v>30336</v>
      </c>
    </row>
    <row r="25981" spans="9:10" x14ac:dyDescent="0.3">
      <c r="I25981" t="s">
        <v>30337</v>
      </c>
      <c r="J25981" t="s">
        <v>8427</v>
      </c>
    </row>
    <row r="25982" spans="9:10" x14ac:dyDescent="0.3">
      <c r="I25982" t="s">
        <v>30338</v>
      </c>
      <c r="J25982" t="s">
        <v>8428</v>
      </c>
    </row>
    <row r="25983" spans="9:10" x14ac:dyDescent="0.3">
      <c r="I25983" t="s">
        <v>30339</v>
      </c>
      <c r="J25983" t="s">
        <v>8429</v>
      </c>
    </row>
    <row r="25984" spans="9:10" x14ac:dyDescent="0.3">
      <c r="I25984" t="s">
        <v>30340</v>
      </c>
      <c r="J25984" t="s">
        <v>8430</v>
      </c>
    </row>
    <row r="25985" spans="9:10" x14ac:dyDescent="0.3">
      <c r="I25985" t="s">
        <v>30341</v>
      </c>
      <c r="J25985" t="s">
        <v>8431</v>
      </c>
    </row>
    <row r="25986" spans="9:10" x14ac:dyDescent="0.3">
      <c r="I25986" t="s">
        <v>30342</v>
      </c>
      <c r="J25986" t="s">
        <v>8431</v>
      </c>
    </row>
    <row r="25987" spans="9:10" x14ac:dyDescent="0.3">
      <c r="I25987" t="s">
        <v>30343</v>
      </c>
      <c r="J25987" t="s">
        <v>8432</v>
      </c>
    </row>
    <row r="25988" spans="9:10" x14ac:dyDescent="0.3">
      <c r="I25988" t="s">
        <v>30344</v>
      </c>
      <c r="J25988" t="s">
        <v>8433</v>
      </c>
    </row>
    <row r="25989" spans="9:10" x14ac:dyDescent="0.3">
      <c r="I25989" t="s">
        <v>30345</v>
      </c>
    </row>
    <row r="25990" spans="9:10" x14ac:dyDescent="0.3">
      <c r="I25990" t="s">
        <v>30346</v>
      </c>
    </row>
    <row r="25991" spans="9:10" x14ac:dyDescent="0.3">
      <c r="I25991" t="s">
        <v>30347</v>
      </c>
      <c r="J25991" t="s">
        <v>8434</v>
      </c>
    </row>
    <row r="25992" spans="9:10" x14ac:dyDescent="0.3">
      <c r="I25992" t="s">
        <v>30348</v>
      </c>
    </row>
    <row r="25993" spans="9:10" x14ac:dyDescent="0.3">
      <c r="I25993" t="s">
        <v>30349</v>
      </c>
      <c r="J25993" t="s">
        <v>8435</v>
      </c>
    </row>
    <row r="25994" spans="9:10" x14ac:dyDescent="0.3">
      <c r="I25994" t="s">
        <v>30350</v>
      </c>
      <c r="J25994" t="s">
        <v>8436</v>
      </c>
    </row>
    <row r="25995" spans="9:10" x14ac:dyDescent="0.3">
      <c r="I25995" t="s">
        <v>617</v>
      </c>
      <c r="J25995" t="s">
        <v>618</v>
      </c>
    </row>
    <row r="25996" spans="9:10" x14ac:dyDescent="0.3">
      <c r="I25996" t="s">
        <v>30351</v>
      </c>
      <c r="J25996" t="s">
        <v>618</v>
      </c>
    </row>
    <row r="25997" spans="9:10" x14ac:dyDescent="0.3">
      <c r="I25997" t="s">
        <v>30351</v>
      </c>
      <c r="J25997" t="s">
        <v>618</v>
      </c>
    </row>
    <row r="25998" spans="9:10" x14ac:dyDescent="0.3">
      <c r="I25998" t="s">
        <v>30351</v>
      </c>
      <c r="J25998" t="s">
        <v>618</v>
      </c>
    </row>
    <row r="25999" spans="9:10" x14ac:dyDescent="0.3">
      <c r="I25999" t="s">
        <v>30352</v>
      </c>
      <c r="J25999" t="s">
        <v>8437</v>
      </c>
    </row>
    <row r="26000" spans="9:10" x14ac:dyDescent="0.3">
      <c r="I26000" t="s">
        <v>30353</v>
      </c>
      <c r="J26000" t="s">
        <v>8438</v>
      </c>
    </row>
    <row r="26001" spans="9:10" x14ac:dyDescent="0.3">
      <c r="I26001" t="s">
        <v>30354</v>
      </c>
      <c r="J26001" t="s">
        <v>8439</v>
      </c>
    </row>
    <row r="26002" spans="9:10" x14ac:dyDescent="0.3">
      <c r="I26002" t="s">
        <v>30355</v>
      </c>
      <c r="J26002" t="s">
        <v>8440</v>
      </c>
    </row>
    <row r="26003" spans="9:10" x14ac:dyDescent="0.3">
      <c r="I26003" t="s">
        <v>30356</v>
      </c>
      <c r="J26003" t="s">
        <v>8441</v>
      </c>
    </row>
    <row r="26004" spans="9:10" x14ac:dyDescent="0.3">
      <c r="I26004" t="s">
        <v>30357</v>
      </c>
      <c r="J26004" t="s">
        <v>8442</v>
      </c>
    </row>
    <row r="26005" spans="9:10" x14ac:dyDescent="0.3">
      <c r="I26005" t="s">
        <v>30358</v>
      </c>
      <c r="J26005" t="s">
        <v>8443</v>
      </c>
    </row>
    <row r="26006" spans="9:10" x14ac:dyDescent="0.3">
      <c r="I26006" t="s">
        <v>30359</v>
      </c>
      <c r="J26006" t="s">
        <v>8444</v>
      </c>
    </row>
    <row r="26007" spans="9:10" x14ac:dyDescent="0.3">
      <c r="I26007" t="s">
        <v>30360</v>
      </c>
      <c r="J26007" t="s">
        <v>8445</v>
      </c>
    </row>
    <row r="26008" spans="9:10" x14ac:dyDescent="0.3">
      <c r="I26008" t="s">
        <v>30361</v>
      </c>
      <c r="J26008" t="s">
        <v>8446</v>
      </c>
    </row>
    <row r="26009" spans="9:10" x14ac:dyDescent="0.3">
      <c r="I26009" t="s">
        <v>30362</v>
      </c>
      <c r="J26009" t="s">
        <v>8447</v>
      </c>
    </row>
    <row r="26010" spans="9:10" x14ac:dyDescent="0.3">
      <c r="I26010" t="s">
        <v>30363</v>
      </c>
      <c r="J26010" t="s">
        <v>8448</v>
      </c>
    </row>
    <row r="26011" spans="9:10" x14ac:dyDescent="0.3">
      <c r="I26011" t="s">
        <v>30364</v>
      </c>
      <c r="J26011" t="s">
        <v>8449</v>
      </c>
    </row>
    <row r="26012" spans="9:10" x14ac:dyDescent="0.3">
      <c r="I26012" t="s">
        <v>30365</v>
      </c>
    </row>
    <row r="26013" spans="9:10" x14ac:dyDescent="0.3">
      <c r="I26013" t="s">
        <v>30366</v>
      </c>
      <c r="J26013" t="s">
        <v>8450</v>
      </c>
    </row>
    <row r="26014" spans="9:10" x14ac:dyDescent="0.3">
      <c r="I26014" t="s">
        <v>30367</v>
      </c>
      <c r="J26014" t="s">
        <v>8451</v>
      </c>
    </row>
    <row r="26015" spans="9:10" x14ac:dyDescent="0.3">
      <c r="I26015" t="s">
        <v>30368</v>
      </c>
    </row>
    <row r="26016" spans="9:10" x14ac:dyDescent="0.3">
      <c r="I26016" t="s">
        <v>30369</v>
      </c>
      <c r="J26016" t="s">
        <v>8452</v>
      </c>
    </row>
    <row r="26017" spans="9:10" x14ac:dyDescent="0.3">
      <c r="I26017" t="s">
        <v>30370</v>
      </c>
      <c r="J26017" t="s">
        <v>8453</v>
      </c>
    </row>
    <row r="26018" spans="9:10" x14ac:dyDescent="0.3">
      <c r="I26018" t="s">
        <v>30371</v>
      </c>
    </row>
    <row r="26019" spans="9:10" x14ac:dyDescent="0.3">
      <c r="I26019" t="s">
        <v>30372</v>
      </c>
      <c r="J26019" t="s">
        <v>8454</v>
      </c>
    </row>
    <row r="26020" spans="9:10" x14ac:dyDescent="0.3">
      <c r="I26020" t="s">
        <v>30373</v>
      </c>
    </row>
    <row r="26021" spans="9:10" x14ac:dyDescent="0.3">
      <c r="I26021" t="s">
        <v>30374</v>
      </c>
    </row>
    <row r="26022" spans="9:10" x14ac:dyDescent="0.3">
      <c r="I26022" t="s">
        <v>30375</v>
      </c>
    </row>
    <row r="26023" spans="9:10" x14ac:dyDescent="0.3">
      <c r="I26023" t="s">
        <v>30376</v>
      </c>
    </row>
    <row r="26024" spans="9:10" x14ac:dyDescent="0.3">
      <c r="I26024" t="s">
        <v>30377</v>
      </c>
      <c r="J26024" t="s">
        <v>8455</v>
      </c>
    </row>
    <row r="26025" spans="9:10" x14ac:dyDescent="0.3">
      <c r="I26025" t="s">
        <v>30378</v>
      </c>
    </row>
    <row r="26026" spans="9:10" x14ac:dyDescent="0.3">
      <c r="I26026" t="s">
        <v>30379</v>
      </c>
      <c r="J26026" t="s">
        <v>464</v>
      </c>
    </row>
    <row r="26027" spans="9:10" x14ac:dyDescent="0.3">
      <c r="I26027" t="s">
        <v>30380</v>
      </c>
      <c r="J26027" t="s">
        <v>464</v>
      </c>
    </row>
    <row r="26028" spans="9:10" x14ac:dyDescent="0.3">
      <c r="I26028" t="s">
        <v>30379</v>
      </c>
      <c r="J26028" t="s">
        <v>464</v>
      </c>
    </row>
    <row r="26029" spans="9:10" x14ac:dyDescent="0.3">
      <c r="I26029" t="s">
        <v>30381</v>
      </c>
      <c r="J26029" t="s">
        <v>936</v>
      </c>
    </row>
    <row r="26030" spans="9:10" x14ac:dyDescent="0.3">
      <c r="I26030" t="s">
        <v>30382</v>
      </c>
      <c r="J26030" t="s">
        <v>8456</v>
      </c>
    </row>
    <row r="26031" spans="9:10" x14ac:dyDescent="0.3">
      <c r="I26031" t="s">
        <v>30383</v>
      </c>
      <c r="J26031" t="s">
        <v>586</v>
      </c>
    </row>
    <row r="26032" spans="9:10" x14ac:dyDescent="0.3">
      <c r="I26032" t="s">
        <v>30384</v>
      </c>
      <c r="J26032" t="s">
        <v>8457</v>
      </c>
    </row>
    <row r="26033" spans="9:10" x14ac:dyDescent="0.3">
      <c r="I26033" t="s">
        <v>30385</v>
      </c>
      <c r="J26033" t="s">
        <v>8458</v>
      </c>
    </row>
    <row r="26034" spans="9:10" x14ac:dyDescent="0.3">
      <c r="I26034" t="s">
        <v>30386</v>
      </c>
      <c r="J26034" t="s">
        <v>8458</v>
      </c>
    </row>
    <row r="26035" spans="9:10" x14ac:dyDescent="0.3">
      <c r="I26035" t="s">
        <v>30387</v>
      </c>
      <c r="J26035" t="s">
        <v>8459</v>
      </c>
    </row>
    <row r="26036" spans="9:10" x14ac:dyDescent="0.3">
      <c r="I26036" t="s">
        <v>30388</v>
      </c>
      <c r="J26036" t="s">
        <v>8460</v>
      </c>
    </row>
    <row r="26037" spans="9:10" x14ac:dyDescent="0.3">
      <c r="I26037" t="s">
        <v>30389</v>
      </c>
      <c r="J26037" t="s">
        <v>8461</v>
      </c>
    </row>
    <row r="26038" spans="9:10" x14ac:dyDescent="0.3">
      <c r="I26038" t="s">
        <v>30390</v>
      </c>
      <c r="J26038" t="s">
        <v>8462</v>
      </c>
    </row>
    <row r="26039" spans="9:10" x14ac:dyDescent="0.3">
      <c r="I26039" t="s">
        <v>30391</v>
      </c>
      <c r="J26039" t="s">
        <v>8463</v>
      </c>
    </row>
    <row r="26040" spans="9:10" x14ac:dyDescent="0.3">
      <c r="I26040" t="s">
        <v>30392</v>
      </c>
      <c r="J26040" t="s">
        <v>8464</v>
      </c>
    </row>
    <row r="26041" spans="9:10" x14ac:dyDescent="0.3">
      <c r="I26041" t="s">
        <v>30393</v>
      </c>
      <c r="J26041" t="s">
        <v>8464</v>
      </c>
    </row>
    <row r="26042" spans="9:10" x14ac:dyDescent="0.3">
      <c r="I26042" t="s">
        <v>30394</v>
      </c>
      <c r="J26042" t="s">
        <v>8465</v>
      </c>
    </row>
    <row r="26043" spans="9:10" x14ac:dyDescent="0.3">
      <c r="I26043" t="s">
        <v>30395</v>
      </c>
      <c r="J26043" t="s">
        <v>8466</v>
      </c>
    </row>
    <row r="26044" spans="9:10" x14ac:dyDescent="0.3">
      <c r="I26044" t="s">
        <v>30396</v>
      </c>
    </row>
    <row r="26045" spans="9:10" x14ac:dyDescent="0.3">
      <c r="I26045" t="s">
        <v>30397</v>
      </c>
    </row>
    <row r="26046" spans="9:10" x14ac:dyDescent="0.3">
      <c r="I26046" t="s">
        <v>30398</v>
      </c>
      <c r="J26046" t="s">
        <v>8467</v>
      </c>
    </row>
    <row r="26047" spans="9:10" x14ac:dyDescent="0.3">
      <c r="I26047" t="s">
        <v>30399</v>
      </c>
      <c r="J26047" t="s">
        <v>8468</v>
      </c>
    </row>
    <row r="26048" spans="9:10" x14ac:dyDescent="0.3">
      <c r="I26048" t="s">
        <v>30400</v>
      </c>
      <c r="J26048" t="s">
        <v>8469</v>
      </c>
    </row>
    <row r="26049" spans="9:10" x14ac:dyDescent="0.3">
      <c r="I26049" t="s">
        <v>30401</v>
      </c>
      <c r="J26049" t="s">
        <v>8470</v>
      </c>
    </row>
    <row r="26050" spans="9:10" x14ac:dyDescent="0.3">
      <c r="I26050" t="s">
        <v>30402</v>
      </c>
      <c r="J26050" t="s">
        <v>8471</v>
      </c>
    </row>
    <row r="26051" spans="9:10" x14ac:dyDescent="0.3">
      <c r="I26051" t="s">
        <v>30403</v>
      </c>
    </row>
    <row r="26052" spans="9:10" x14ac:dyDescent="0.3">
      <c r="I26052" t="s">
        <v>30404</v>
      </c>
      <c r="J26052" t="s">
        <v>8472</v>
      </c>
    </row>
    <row r="26053" spans="9:10" x14ac:dyDescent="0.3">
      <c r="I26053" t="s">
        <v>30405</v>
      </c>
    </row>
    <row r="26054" spans="9:10" x14ac:dyDescent="0.3">
      <c r="I26054" t="s">
        <v>30406</v>
      </c>
      <c r="J26054" t="s">
        <v>8473</v>
      </c>
    </row>
    <row r="26055" spans="9:10" x14ac:dyDescent="0.3">
      <c r="I26055" t="s">
        <v>30407</v>
      </c>
    </row>
    <row r="26056" spans="9:10" x14ac:dyDescent="0.3">
      <c r="I26056" t="s">
        <v>30408</v>
      </c>
    </row>
    <row r="26057" spans="9:10" x14ac:dyDescent="0.3">
      <c r="I26057" t="s">
        <v>30409</v>
      </c>
    </row>
    <row r="26058" spans="9:10" x14ac:dyDescent="0.3">
      <c r="I26058" t="s">
        <v>30410</v>
      </c>
    </row>
    <row r="26059" spans="9:10" x14ac:dyDescent="0.3">
      <c r="I26059" t="s">
        <v>30411</v>
      </c>
    </row>
    <row r="26060" spans="9:10" x14ac:dyDescent="0.3">
      <c r="I26060" t="s">
        <v>30412</v>
      </c>
      <c r="J26060" t="s">
        <v>8474</v>
      </c>
    </row>
    <row r="26061" spans="9:10" x14ac:dyDescent="0.3">
      <c r="I26061" t="s">
        <v>30413</v>
      </c>
      <c r="J26061" t="s">
        <v>8474</v>
      </c>
    </row>
    <row r="26062" spans="9:10" x14ac:dyDescent="0.3">
      <c r="I26062" t="s">
        <v>30414</v>
      </c>
      <c r="J26062" t="s">
        <v>8475</v>
      </c>
    </row>
    <row r="26063" spans="9:10" x14ac:dyDescent="0.3">
      <c r="I26063" t="s">
        <v>30415</v>
      </c>
      <c r="J26063" t="s">
        <v>8476</v>
      </c>
    </row>
    <row r="26064" spans="9:10" x14ac:dyDescent="0.3">
      <c r="I26064" t="s">
        <v>30416</v>
      </c>
      <c r="J26064" t="s">
        <v>8477</v>
      </c>
    </row>
    <row r="26065" spans="9:10" x14ac:dyDescent="0.3">
      <c r="I26065" t="s">
        <v>30417</v>
      </c>
      <c r="J26065" t="s">
        <v>8478</v>
      </c>
    </row>
    <row r="26066" spans="9:10" x14ac:dyDescent="0.3">
      <c r="I26066" t="s">
        <v>30418</v>
      </c>
    </row>
    <row r="26067" spans="9:10" x14ac:dyDescent="0.3">
      <c r="I26067" t="s">
        <v>30419</v>
      </c>
    </row>
    <row r="26068" spans="9:10" x14ac:dyDescent="0.3">
      <c r="I26068" t="s">
        <v>30420</v>
      </c>
    </row>
    <row r="26069" spans="9:10" x14ac:dyDescent="0.3">
      <c r="I26069" t="s">
        <v>30421</v>
      </c>
      <c r="J26069" t="s">
        <v>8479</v>
      </c>
    </row>
    <row r="26070" spans="9:10" x14ac:dyDescent="0.3">
      <c r="I26070" t="s">
        <v>30422</v>
      </c>
    </row>
    <row r="26071" spans="9:10" x14ac:dyDescent="0.3">
      <c r="I26071" t="s">
        <v>30423</v>
      </c>
      <c r="J26071" t="s">
        <v>8480</v>
      </c>
    </row>
    <row r="26072" spans="9:10" x14ac:dyDescent="0.3">
      <c r="I26072" t="s">
        <v>30424</v>
      </c>
      <c r="J26072" t="s">
        <v>8481</v>
      </c>
    </row>
    <row r="26073" spans="9:10" x14ac:dyDescent="0.3">
      <c r="I26073" t="s">
        <v>30425</v>
      </c>
      <c r="J26073" t="s">
        <v>8482</v>
      </c>
    </row>
    <row r="26074" spans="9:10" x14ac:dyDescent="0.3">
      <c r="I26074" t="s">
        <v>30426</v>
      </c>
    </row>
    <row r="26075" spans="9:10" x14ac:dyDescent="0.3">
      <c r="I26075" t="s">
        <v>30427</v>
      </c>
      <c r="J26075" t="s">
        <v>8483</v>
      </c>
    </row>
    <row r="26076" spans="9:10" x14ac:dyDescent="0.3">
      <c r="I26076" t="s">
        <v>30427</v>
      </c>
      <c r="J26076" t="s">
        <v>8483</v>
      </c>
    </row>
    <row r="26077" spans="9:10" x14ac:dyDescent="0.3">
      <c r="I26077" t="s">
        <v>30428</v>
      </c>
      <c r="J26077" t="s">
        <v>8484</v>
      </c>
    </row>
    <row r="26078" spans="9:10" x14ac:dyDescent="0.3">
      <c r="I26078" t="s">
        <v>30429</v>
      </c>
      <c r="J26078" t="s">
        <v>8485</v>
      </c>
    </row>
    <row r="26079" spans="9:10" x14ac:dyDescent="0.3">
      <c r="I26079" t="s">
        <v>30430</v>
      </c>
      <c r="J26079" t="s">
        <v>8486</v>
      </c>
    </row>
    <row r="26080" spans="9:10" x14ac:dyDescent="0.3">
      <c r="I26080" t="s">
        <v>30431</v>
      </c>
      <c r="J26080" t="s">
        <v>8487</v>
      </c>
    </row>
    <row r="26081" spans="9:10" x14ac:dyDescent="0.3">
      <c r="I26081" t="s">
        <v>30432</v>
      </c>
      <c r="J26081" t="s">
        <v>8488</v>
      </c>
    </row>
    <row r="26082" spans="9:10" x14ac:dyDescent="0.3">
      <c r="I26082" t="s">
        <v>30433</v>
      </c>
    </row>
    <row r="26083" spans="9:10" x14ac:dyDescent="0.3">
      <c r="I26083" t="s">
        <v>30434</v>
      </c>
      <c r="J26083" t="s">
        <v>8489</v>
      </c>
    </row>
    <row r="26084" spans="9:10" x14ac:dyDescent="0.3">
      <c r="I26084" t="s">
        <v>30435</v>
      </c>
      <c r="J26084" t="s">
        <v>8490</v>
      </c>
    </row>
    <row r="26085" spans="9:10" x14ac:dyDescent="0.3">
      <c r="I26085" t="s">
        <v>30436</v>
      </c>
      <c r="J26085" t="s">
        <v>8490</v>
      </c>
    </row>
    <row r="26086" spans="9:10" x14ac:dyDescent="0.3">
      <c r="I26086" t="s">
        <v>30437</v>
      </c>
      <c r="J26086" t="s">
        <v>8491</v>
      </c>
    </row>
    <row r="26087" spans="9:10" x14ac:dyDescent="0.3">
      <c r="I26087" t="s">
        <v>30438</v>
      </c>
    </row>
    <row r="26088" spans="9:10" x14ac:dyDescent="0.3">
      <c r="I26088" t="s">
        <v>30439</v>
      </c>
      <c r="J26088" t="s">
        <v>8492</v>
      </c>
    </row>
    <row r="26089" spans="9:10" x14ac:dyDescent="0.3">
      <c r="I26089" t="s">
        <v>30440</v>
      </c>
      <c r="J26089" t="s">
        <v>8493</v>
      </c>
    </row>
    <row r="26090" spans="9:10" x14ac:dyDescent="0.3">
      <c r="I26090" t="s">
        <v>30441</v>
      </c>
      <c r="J26090" t="s">
        <v>8494</v>
      </c>
    </row>
    <row r="26091" spans="9:10" x14ac:dyDescent="0.3">
      <c r="I26091" t="s">
        <v>30442</v>
      </c>
      <c r="J26091" t="s">
        <v>8495</v>
      </c>
    </row>
    <row r="26092" spans="9:10" x14ac:dyDescent="0.3">
      <c r="I26092" t="s">
        <v>30443</v>
      </c>
    </row>
    <row r="26093" spans="9:10" x14ac:dyDescent="0.3">
      <c r="I26093" t="s">
        <v>30444</v>
      </c>
    </row>
    <row r="26094" spans="9:10" x14ac:dyDescent="0.3">
      <c r="I26094" t="s">
        <v>30445</v>
      </c>
      <c r="J26094" t="s">
        <v>8496</v>
      </c>
    </row>
    <row r="26095" spans="9:10" x14ac:dyDescent="0.3">
      <c r="I26095" t="s">
        <v>30446</v>
      </c>
      <c r="J26095" t="s">
        <v>8497</v>
      </c>
    </row>
    <row r="26096" spans="9:10" x14ac:dyDescent="0.3">
      <c r="I26096" t="s">
        <v>30447</v>
      </c>
      <c r="J26096" t="s">
        <v>8498</v>
      </c>
    </row>
    <row r="26097" spans="9:10" x14ac:dyDescent="0.3">
      <c r="I26097" t="s">
        <v>30448</v>
      </c>
      <c r="J26097" t="s">
        <v>8499</v>
      </c>
    </row>
    <row r="26098" spans="9:10" x14ac:dyDescent="0.3">
      <c r="I26098" t="s">
        <v>30449</v>
      </c>
      <c r="J26098" t="s">
        <v>8500</v>
      </c>
    </row>
    <row r="26099" spans="9:10" x14ac:dyDescent="0.3">
      <c r="I26099" t="s">
        <v>30450</v>
      </c>
      <c r="J26099" t="s">
        <v>8501</v>
      </c>
    </row>
    <row r="26100" spans="9:10" x14ac:dyDescent="0.3">
      <c r="I26100" t="s">
        <v>30451</v>
      </c>
      <c r="J26100" t="s">
        <v>8502</v>
      </c>
    </row>
    <row r="26101" spans="9:10" x14ac:dyDescent="0.3">
      <c r="I26101" t="s">
        <v>30452</v>
      </c>
      <c r="J26101" t="s">
        <v>8503</v>
      </c>
    </row>
    <row r="26102" spans="9:10" x14ac:dyDescent="0.3">
      <c r="I26102" t="s">
        <v>30453</v>
      </c>
      <c r="J26102" t="s">
        <v>8504</v>
      </c>
    </row>
    <row r="26103" spans="9:10" x14ac:dyDescent="0.3">
      <c r="I26103" t="s">
        <v>30454</v>
      </c>
      <c r="J26103" t="s">
        <v>8505</v>
      </c>
    </row>
    <row r="26104" spans="9:10" x14ac:dyDescent="0.3">
      <c r="I26104" t="s">
        <v>30455</v>
      </c>
      <c r="J26104" t="s">
        <v>8506</v>
      </c>
    </row>
    <row r="26105" spans="9:10" x14ac:dyDescent="0.3">
      <c r="I26105" t="s">
        <v>30456</v>
      </c>
    </row>
    <row r="26106" spans="9:10" x14ac:dyDescent="0.3">
      <c r="I26106" t="s">
        <v>30457</v>
      </c>
    </row>
    <row r="26107" spans="9:10" x14ac:dyDescent="0.3">
      <c r="I26107" t="s">
        <v>30458</v>
      </c>
    </row>
    <row r="26108" spans="9:10" x14ac:dyDescent="0.3">
      <c r="I26108" t="s">
        <v>30459</v>
      </c>
      <c r="J26108" t="s">
        <v>8507</v>
      </c>
    </row>
    <row r="26109" spans="9:10" x14ac:dyDescent="0.3">
      <c r="I26109" t="s">
        <v>30460</v>
      </c>
      <c r="J26109" t="s">
        <v>515</v>
      </c>
    </row>
    <row r="26110" spans="9:10" x14ac:dyDescent="0.3">
      <c r="I26110" t="s">
        <v>30461</v>
      </c>
      <c r="J26110" t="s">
        <v>8508</v>
      </c>
    </row>
    <row r="26111" spans="9:10" x14ac:dyDescent="0.3">
      <c r="I26111" t="s">
        <v>30462</v>
      </c>
    </row>
    <row r="26112" spans="9:10" x14ac:dyDescent="0.3">
      <c r="I26112" t="s">
        <v>30463</v>
      </c>
    </row>
    <row r="26113" spans="9:10" x14ac:dyDescent="0.3">
      <c r="I26113" t="s">
        <v>30464</v>
      </c>
    </row>
    <row r="26114" spans="9:10" x14ac:dyDescent="0.3">
      <c r="I26114" t="s">
        <v>30465</v>
      </c>
      <c r="J26114" t="s">
        <v>8509</v>
      </c>
    </row>
    <row r="26115" spans="9:10" x14ac:dyDescent="0.3">
      <c r="I26115" t="s">
        <v>30466</v>
      </c>
      <c r="J26115" t="s">
        <v>8510</v>
      </c>
    </row>
    <row r="26116" spans="9:10" x14ac:dyDescent="0.3">
      <c r="I26116" t="s">
        <v>30467</v>
      </c>
      <c r="J26116" t="s">
        <v>8511</v>
      </c>
    </row>
    <row r="26117" spans="9:10" x14ac:dyDescent="0.3">
      <c r="I26117" t="s">
        <v>30468</v>
      </c>
      <c r="J26117" t="s">
        <v>8512</v>
      </c>
    </row>
    <row r="26118" spans="9:10" x14ac:dyDescent="0.3">
      <c r="I26118" t="s">
        <v>30469</v>
      </c>
      <c r="J26118" t="s">
        <v>8513</v>
      </c>
    </row>
    <row r="26119" spans="9:10" x14ac:dyDescent="0.3">
      <c r="I26119" t="s">
        <v>30470</v>
      </c>
      <c r="J26119" t="s">
        <v>8514</v>
      </c>
    </row>
    <row r="26120" spans="9:10" x14ac:dyDescent="0.3">
      <c r="I26120" t="s">
        <v>30471</v>
      </c>
      <c r="J26120" t="s">
        <v>8515</v>
      </c>
    </row>
    <row r="26121" spans="9:10" x14ac:dyDescent="0.3">
      <c r="I26121" t="s">
        <v>30472</v>
      </c>
      <c r="J26121" t="s">
        <v>8516</v>
      </c>
    </row>
    <row r="26122" spans="9:10" x14ac:dyDescent="0.3">
      <c r="I26122" t="s">
        <v>30473</v>
      </c>
    </row>
    <row r="26123" spans="9:10" x14ac:dyDescent="0.3">
      <c r="I26123" t="s">
        <v>30474</v>
      </c>
    </row>
    <row r="26124" spans="9:10" x14ac:dyDescent="0.3">
      <c r="I26124" t="s">
        <v>30475</v>
      </c>
      <c r="J26124" t="s">
        <v>8517</v>
      </c>
    </row>
    <row r="26125" spans="9:10" x14ac:dyDescent="0.3">
      <c r="I26125" t="s">
        <v>30475</v>
      </c>
      <c r="J26125" t="s">
        <v>8517</v>
      </c>
    </row>
    <row r="26126" spans="9:10" x14ac:dyDescent="0.3">
      <c r="I26126" t="s">
        <v>30476</v>
      </c>
    </row>
    <row r="26127" spans="9:10" x14ac:dyDescent="0.3">
      <c r="I26127" t="s">
        <v>30477</v>
      </c>
      <c r="J26127" t="s">
        <v>8518</v>
      </c>
    </row>
    <row r="26128" spans="9:10" x14ac:dyDescent="0.3">
      <c r="I26128" t="s">
        <v>30478</v>
      </c>
    </row>
    <row r="26129" spans="9:10" x14ac:dyDescent="0.3">
      <c r="I26129" t="s">
        <v>30479</v>
      </c>
    </row>
    <row r="26130" spans="9:10" x14ac:dyDescent="0.3">
      <c r="I26130" t="s">
        <v>30480</v>
      </c>
    </row>
    <row r="26131" spans="9:10" x14ac:dyDescent="0.3">
      <c r="I26131" t="s">
        <v>30481</v>
      </c>
    </row>
    <row r="26132" spans="9:10" x14ac:dyDescent="0.3">
      <c r="I26132" t="s">
        <v>30482</v>
      </c>
    </row>
    <row r="26133" spans="9:10" x14ac:dyDescent="0.3">
      <c r="I26133" t="s">
        <v>30483</v>
      </c>
    </row>
    <row r="26134" spans="9:10" x14ac:dyDescent="0.3">
      <c r="I26134" t="s">
        <v>30484</v>
      </c>
      <c r="J26134" t="s">
        <v>8519</v>
      </c>
    </row>
    <row r="26135" spans="9:10" x14ac:dyDescent="0.3">
      <c r="I26135" t="s">
        <v>30485</v>
      </c>
    </row>
    <row r="26136" spans="9:10" x14ac:dyDescent="0.3">
      <c r="I26136" t="s">
        <v>30486</v>
      </c>
      <c r="J26136" t="s">
        <v>8520</v>
      </c>
    </row>
    <row r="26137" spans="9:10" x14ac:dyDescent="0.3">
      <c r="I26137" t="s">
        <v>30487</v>
      </c>
      <c r="J26137" t="s">
        <v>8521</v>
      </c>
    </row>
    <row r="26138" spans="9:10" x14ac:dyDescent="0.3">
      <c r="I26138" t="s">
        <v>30488</v>
      </c>
      <c r="J26138" t="s">
        <v>8522</v>
      </c>
    </row>
    <row r="26139" spans="9:10" x14ac:dyDescent="0.3">
      <c r="I26139" t="s">
        <v>30489</v>
      </c>
      <c r="J26139" t="s">
        <v>8523</v>
      </c>
    </row>
    <row r="26140" spans="9:10" x14ac:dyDescent="0.3">
      <c r="I26140" t="s">
        <v>30490</v>
      </c>
      <c r="J26140" t="s">
        <v>8523</v>
      </c>
    </row>
    <row r="26141" spans="9:10" x14ac:dyDescent="0.3">
      <c r="I26141" t="s">
        <v>30491</v>
      </c>
      <c r="J26141" t="s">
        <v>8524</v>
      </c>
    </row>
    <row r="26142" spans="9:10" x14ac:dyDescent="0.3">
      <c r="I26142" t="s">
        <v>30492</v>
      </c>
    </row>
    <row r="26143" spans="9:10" x14ac:dyDescent="0.3">
      <c r="I26143" t="s">
        <v>30493</v>
      </c>
      <c r="J26143">
        <v>0</v>
      </c>
    </row>
    <row r="26144" spans="9:10" x14ac:dyDescent="0.3">
      <c r="I26144" t="s">
        <v>30494</v>
      </c>
    </row>
    <row r="26145" spans="9:10" x14ac:dyDescent="0.3">
      <c r="I26145" t="s">
        <v>30495</v>
      </c>
      <c r="J26145" t="s">
        <v>8525</v>
      </c>
    </row>
    <row r="26146" spans="9:10" x14ac:dyDescent="0.3">
      <c r="I26146" t="s">
        <v>30496</v>
      </c>
      <c r="J26146" t="s">
        <v>8526</v>
      </c>
    </row>
    <row r="26147" spans="9:10" x14ac:dyDescent="0.3">
      <c r="I26147" t="s">
        <v>30497</v>
      </c>
      <c r="J26147" t="s">
        <v>8527</v>
      </c>
    </row>
    <row r="26148" spans="9:10" x14ac:dyDescent="0.3">
      <c r="I26148" t="s">
        <v>30498</v>
      </c>
      <c r="J26148" t="s">
        <v>8528</v>
      </c>
    </row>
    <row r="26149" spans="9:10" x14ac:dyDescent="0.3">
      <c r="I26149" t="s">
        <v>30499</v>
      </c>
    </row>
    <row r="26150" spans="9:10" x14ac:dyDescent="0.3">
      <c r="I26150" t="s">
        <v>30500</v>
      </c>
      <c r="J26150" t="s">
        <v>941</v>
      </c>
    </row>
    <row r="26151" spans="9:10" x14ac:dyDescent="0.3">
      <c r="I26151" t="s">
        <v>30501</v>
      </c>
      <c r="J26151" t="s">
        <v>8529</v>
      </c>
    </row>
    <row r="26152" spans="9:10" x14ac:dyDescent="0.3">
      <c r="I26152" t="s">
        <v>30502</v>
      </c>
      <c r="J26152" t="s">
        <v>8530</v>
      </c>
    </row>
    <row r="26153" spans="9:10" x14ac:dyDescent="0.3">
      <c r="I26153" t="s">
        <v>30503</v>
      </c>
      <c r="J26153" t="s">
        <v>8531</v>
      </c>
    </row>
    <row r="26154" spans="9:10" x14ac:dyDescent="0.3">
      <c r="I26154" t="s">
        <v>30504</v>
      </c>
      <c r="J26154" t="s">
        <v>8532</v>
      </c>
    </row>
    <row r="26155" spans="9:10" x14ac:dyDescent="0.3">
      <c r="I26155" t="s">
        <v>30505</v>
      </c>
    </row>
    <row r="26156" spans="9:10" x14ac:dyDescent="0.3">
      <c r="I26156" t="s">
        <v>30506</v>
      </c>
      <c r="J26156" t="s">
        <v>8533</v>
      </c>
    </row>
    <row r="26157" spans="9:10" x14ac:dyDescent="0.3">
      <c r="I26157" t="s">
        <v>30507</v>
      </c>
      <c r="J26157" t="s">
        <v>8534</v>
      </c>
    </row>
    <row r="26158" spans="9:10" x14ac:dyDescent="0.3">
      <c r="I26158" t="s">
        <v>30508</v>
      </c>
    </row>
    <row r="26159" spans="9:10" x14ac:dyDescent="0.3">
      <c r="I26159" t="s">
        <v>30509</v>
      </c>
    </row>
    <row r="26160" spans="9:10" x14ac:dyDescent="0.3">
      <c r="I26160" t="s">
        <v>30510</v>
      </c>
    </row>
    <row r="26161" spans="9:10" x14ac:dyDescent="0.3">
      <c r="I26161" t="s">
        <v>30511</v>
      </c>
    </row>
    <row r="26162" spans="9:10" x14ac:dyDescent="0.3">
      <c r="I26162" t="s">
        <v>30512</v>
      </c>
    </row>
    <row r="26163" spans="9:10" x14ac:dyDescent="0.3">
      <c r="I26163" t="s">
        <v>30513</v>
      </c>
    </row>
    <row r="26164" spans="9:10" x14ac:dyDescent="0.3">
      <c r="I26164" t="s">
        <v>30514</v>
      </c>
    </row>
    <row r="26165" spans="9:10" x14ac:dyDescent="0.3">
      <c r="I26165" t="s">
        <v>30515</v>
      </c>
      <c r="J26165" t="s">
        <v>8535</v>
      </c>
    </row>
    <row r="26166" spans="9:10" x14ac:dyDescent="0.3">
      <c r="I26166" t="s">
        <v>30516</v>
      </c>
    </row>
    <row r="26167" spans="9:10" x14ac:dyDescent="0.3">
      <c r="I26167" t="s">
        <v>30517</v>
      </c>
      <c r="J26167" t="s">
        <v>8536</v>
      </c>
    </row>
    <row r="26168" spans="9:10" x14ac:dyDescent="0.3">
      <c r="I26168" t="s">
        <v>30517</v>
      </c>
      <c r="J26168" t="s">
        <v>8536</v>
      </c>
    </row>
    <row r="26169" spans="9:10" x14ac:dyDescent="0.3">
      <c r="I26169" t="s">
        <v>30518</v>
      </c>
      <c r="J26169" t="s">
        <v>8537</v>
      </c>
    </row>
    <row r="26170" spans="9:10" x14ac:dyDescent="0.3">
      <c r="I26170" t="s">
        <v>30519</v>
      </c>
    </row>
    <row r="26171" spans="9:10" x14ac:dyDescent="0.3">
      <c r="I26171" t="s">
        <v>30520</v>
      </c>
      <c r="J26171" t="s">
        <v>8538</v>
      </c>
    </row>
    <row r="26172" spans="9:10" x14ac:dyDescent="0.3">
      <c r="I26172" t="s">
        <v>30521</v>
      </c>
      <c r="J26172" t="s">
        <v>8539</v>
      </c>
    </row>
    <row r="26173" spans="9:10" x14ac:dyDescent="0.3">
      <c r="I26173" t="s">
        <v>30522</v>
      </c>
      <c r="J26173" t="s">
        <v>8540</v>
      </c>
    </row>
    <row r="26174" spans="9:10" x14ac:dyDescent="0.3">
      <c r="I26174" t="s">
        <v>30522</v>
      </c>
      <c r="J26174" t="s">
        <v>8540</v>
      </c>
    </row>
    <row r="26175" spans="9:10" x14ac:dyDescent="0.3">
      <c r="I26175" t="s">
        <v>30523</v>
      </c>
      <c r="J26175" t="s">
        <v>8541</v>
      </c>
    </row>
    <row r="26176" spans="9:10" x14ac:dyDescent="0.3">
      <c r="I26176" t="s">
        <v>30524</v>
      </c>
      <c r="J26176" t="s">
        <v>8542</v>
      </c>
    </row>
    <row r="26177" spans="9:10" x14ac:dyDescent="0.3">
      <c r="I26177" t="s">
        <v>30525</v>
      </c>
    </row>
    <row r="26178" spans="9:10" x14ac:dyDescent="0.3">
      <c r="I26178" t="s">
        <v>30526</v>
      </c>
    </row>
    <row r="26179" spans="9:10" x14ac:dyDescent="0.3">
      <c r="I26179" t="s">
        <v>30527</v>
      </c>
    </row>
    <row r="26180" spans="9:10" x14ac:dyDescent="0.3">
      <c r="I26180" t="s">
        <v>30528</v>
      </c>
      <c r="J26180" t="s">
        <v>8543</v>
      </c>
    </row>
    <row r="26181" spans="9:10" x14ac:dyDescent="0.3">
      <c r="I26181" t="s">
        <v>30529</v>
      </c>
      <c r="J26181" t="s">
        <v>8544</v>
      </c>
    </row>
    <row r="26182" spans="9:10" x14ac:dyDescent="0.3">
      <c r="I26182" t="s">
        <v>30530</v>
      </c>
      <c r="J26182" t="s">
        <v>8545</v>
      </c>
    </row>
    <row r="26183" spans="9:10" x14ac:dyDescent="0.3">
      <c r="I26183" t="s">
        <v>30531</v>
      </c>
    </row>
    <row r="26184" spans="9:10" x14ac:dyDescent="0.3">
      <c r="I26184" t="s">
        <v>30532</v>
      </c>
      <c r="J26184" t="s">
        <v>8546</v>
      </c>
    </row>
    <row r="26185" spans="9:10" x14ac:dyDescent="0.3">
      <c r="I26185" t="s">
        <v>30533</v>
      </c>
      <c r="J26185" t="s">
        <v>8547</v>
      </c>
    </row>
    <row r="26186" spans="9:10" x14ac:dyDescent="0.3">
      <c r="I26186" t="s">
        <v>30534</v>
      </c>
      <c r="J26186" t="s">
        <v>8548</v>
      </c>
    </row>
    <row r="26187" spans="9:10" x14ac:dyDescent="0.3">
      <c r="I26187" t="s">
        <v>30535</v>
      </c>
    </row>
    <row r="26188" spans="9:10" x14ac:dyDescent="0.3">
      <c r="I26188" t="s">
        <v>30536</v>
      </c>
    </row>
    <row r="26189" spans="9:10" x14ac:dyDescent="0.3">
      <c r="I26189" t="s">
        <v>30537</v>
      </c>
    </row>
    <row r="26190" spans="9:10" x14ac:dyDescent="0.3">
      <c r="I26190" t="s">
        <v>30538</v>
      </c>
    </row>
    <row r="26191" spans="9:10" x14ac:dyDescent="0.3">
      <c r="I26191" t="s">
        <v>30539</v>
      </c>
    </row>
    <row r="26192" spans="9:10" x14ac:dyDescent="0.3">
      <c r="I26192" t="s">
        <v>30540</v>
      </c>
      <c r="J26192" t="s">
        <v>8549</v>
      </c>
    </row>
    <row r="26193" spans="9:10" x14ac:dyDescent="0.3">
      <c r="I26193" t="s">
        <v>30541</v>
      </c>
      <c r="J26193" t="s">
        <v>8550</v>
      </c>
    </row>
    <row r="26194" spans="9:10" x14ac:dyDescent="0.3">
      <c r="I26194" t="s">
        <v>30542</v>
      </c>
    </row>
    <row r="26195" spans="9:10" x14ac:dyDescent="0.3">
      <c r="I26195" t="s">
        <v>30543</v>
      </c>
    </row>
    <row r="26196" spans="9:10" x14ac:dyDescent="0.3">
      <c r="I26196" t="s">
        <v>30544</v>
      </c>
    </row>
    <row r="26197" spans="9:10" x14ac:dyDescent="0.3">
      <c r="I26197" t="s">
        <v>30545</v>
      </c>
    </row>
    <row r="26198" spans="9:10" x14ac:dyDescent="0.3">
      <c r="I26198" t="s">
        <v>30546</v>
      </c>
      <c r="J26198" t="s">
        <v>8551</v>
      </c>
    </row>
    <row r="26199" spans="9:10" x14ac:dyDescent="0.3">
      <c r="I26199" t="s">
        <v>30547</v>
      </c>
      <c r="J26199" t="s">
        <v>8552</v>
      </c>
    </row>
    <row r="26200" spans="9:10" x14ac:dyDescent="0.3">
      <c r="I26200" t="s">
        <v>30548</v>
      </c>
      <c r="J26200" t="s">
        <v>8553</v>
      </c>
    </row>
    <row r="26201" spans="9:10" x14ac:dyDescent="0.3">
      <c r="I26201" t="s">
        <v>30549</v>
      </c>
      <c r="J26201" t="s">
        <v>8554</v>
      </c>
    </row>
    <row r="26202" spans="9:10" x14ac:dyDescent="0.3">
      <c r="I26202" t="s">
        <v>30550</v>
      </c>
      <c r="J26202" t="s">
        <v>8554</v>
      </c>
    </row>
    <row r="26203" spans="9:10" x14ac:dyDescent="0.3">
      <c r="I26203" t="s">
        <v>30551</v>
      </c>
      <c r="J26203" t="s">
        <v>8555</v>
      </c>
    </row>
    <row r="26204" spans="9:10" x14ac:dyDescent="0.3">
      <c r="I26204" t="s">
        <v>30552</v>
      </c>
    </row>
    <row r="26205" spans="9:10" x14ac:dyDescent="0.3">
      <c r="I26205" t="s">
        <v>30553</v>
      </c>
    </row>
    <row r="26206" spans="9:10" x14ac:dyDescent="0.3">
      <c r="I26206" t="s">
        <v>30554</v>
      </c>
      <c r="J26206" t="s">
        <v>8556</v>
      </c>
    </row>
    <row r="26207" spans="9:10" x14ac:dyDescent="0.3">
      <c r="I26207" t="s">
        <v>30555</v>
      </c>
      <c r="J26207" t="s">
        <v>8557</v>
      </c>
    </row>
    <row r="26208" spans="9:10" x14ac:dyDescent="0.3">
      <c r="I26208" t="s">
        <v>30555</v>
      </c>
      <c r="J26208" t="s">
        <v>8557</v>
      </c>
    </row>
    <row r="26209" spans="9:10" x14ac:dyDescent="0.3">
      <c r="I26209" t="s">
        <v>30555</v>
      </c>
      <c r="J26209" t="s">
        <v>8557</v>
      </c>
    </row>
    <row r="26210" spans="9:10" x14ac:dyDescent="0.3">
      <c r="I26210" t="s">
        <v>30556</v>
      </c>
    </row>
    <row r="26211" spans="9:10" x14ac:dyDescent="0.3">
      <c r="I26211" t="s">
        <v>30557</v>
      </c>
      <c r="J26211" t="s">
        <v>8558</v>
      </c>
    </row>
    <row r="26212" spans="9:10" x14ac:dyDescent="0.3">
      <c r="I26212" t="s">
        <v>30558</v>
      </c>
      <c r="J26212" t="s">
        <v>8559</v>
      </c>
    </row>
    <row r="26213" spans="9:10" x14ac:dyDescent="0.3">
      <c r="I26213" t="s">
        <v>30559</v>
      </c>
      <c r="J26213" t="s">
        <v>8560</v>
      </c>
    </row>
    <row r="26214" spans="9:10" x14ac:dyDescent="0.3">
      <c r="I26214" t="s">
        <v>30560</v>
      </c>
      <c r="J26214" t="s">
        <v>8561</v>
      </c>
    </row>
    <row r="26215" spans="9:10" x14ac:dyDescent="0.3">
      <c r="I26215" t="s">
        <v>30561</v>
      </c>
    </row>
    <row r="26216" spans="9:10" x14ac:dyDescent="0.3">
      <c r="I26216" t="s">
        <v>30562</v>
      </c>
      <c r="J26216" t="s">
        <v>8562</v>
      </c>
    </row>
    <row r="26217" spans="9:10" x14ac:dyDescent="0.3">
      <c r="I26217" t="s">
        <v>30563</v>
      </c>
      <c r="J26217" t="s">
        <v>8563</v>
      </c>
    </row>
    <row r="26218" spans="9:10" x14ac:dyDescent="0.3">
      <c r="I26218" t="s">
        <v>30564</v>
      </c>
      <c r="J26218" t="s">
        <v>8564</v>
      </c>
    </row>
    <row r="26219" spans="9:10" x14ac:dyDescent="0.3">
      <c r="I26219" t="s">
        <v>30565</v>
      </c>
      <c r="J26219" t="s">
        <v>8565</v>
      </c>
    </row>
    <row r="26220" spans="9:10" x14ac:dyDescent="0.3">
      <c r="I26220" t="s">
        <v>30566</v>
      </c>
      <c r="J26220" t="s">
        <v>8566</v>
      </c>
    </row>
    <row r="26221" spans="9:10" x14ac:dyDescent="0.3">
      <c r="I26221" t="s">
        <v>30567</v>
      </c>
      <c r="J26221" t="s">
        <v>8567</v>
      </c>
    </row>
    <row r="26222" spans="9:10" x14ac:dyDescent="0.3">
      <c r="I26222" t="s">
        <v>30568</v>
      </c>
    </row>
    <row r="26223" spans="9:10" x14ac:dyDescent="0.3">
      <c r="I26223" t="s">
        <v>30569</v>
      </c>
    </row>
    <row r="26224" spans="9:10" x14ac:dyDescent="0.3">
      <c r="I26224" t="s">
        <v>30570</v>
      </c>
    </row>
    <row r="26225" spans="9:10" x14ac:dyDescent="0.3">
      <c r="I26225" t="s">
        <v>30571</v>
      </c>
    </row>
    <row r="26226" spans="9:10" x14ac:dyDescent="0.3">
      <c r="I26226" t="s">
        <v>30572</v>
      </c>
      <c r="J26226" t="s">
        <v>8568</v>
      </c>
    </row>
    <row r="26227" spans="9:10" x14ac:dyDescent="0.3">
      <c r="I26227" t="s">
        <v>30573</v>
      </c>
    </row>
    <row r="26228" spans="9:10" x14ac:dyDescent="0.3">
      <c r="I26228" t="s">
        <v>30574</v>
      </c>
    </row>
    <row r="26229" spans="9:10" x14ac:dyDescent="0.3">
      <c r="I26229" t="s">
        <v>30575</v>
      </c>
    </row>
    <row r="26230" spans="9:10" x14ac:dyDescent="0.3">
      <c r="I26230" t="s">
        <v>30576</v>
      </c>
    </row>
    <row r="26231" spans="9:10" x14ac:dyDescent="0.3">
      <c r="I26231" t="s">
        <v>30577</v>
      </c>
      <c r="J26231" t="s">
        <v>8569</v>
      </c>
    </row>
    <row r="26232" spans="9:10" x14ac:dyDescent="0.3">
      <c r="I26232" t="s">
        <v>30578</v>
      </c>
      <c r="J26232" t="s">
        <v>8570</v>
      </c>
    </row>
    <row r="26233" spans="9:10" x14ac:dyDescent="0.3">
      <c r="I26233" t="s">
        <v>30579</v>
      </c>
      <c r="J26233" t="s">
        <v>8571</v>
      </c>
    </row>
    <row r="26234" spans="9:10" x14ac:dyDescent="0.3">
      <c r="I26234" t="s">
        <v>30580</v>
      </c>
    </row>
    <row r="26235" spans="9:10" x14ac:dyDescent="0.3">
      <c r="I26235" t="s">
        <v>30581</v>
      </c>
      <c r="J26235" t="s">
        <v>784</v>
      </c>
    </row>
    <row r="26236" spans="9:10" x14ac:dyDescent="0.3">
      <c r="I26236" t="s">
        <v>30582</v>
      </c>
      <c r="J26236" t="s">
        <v>8572</v>
      </c>
    </row>
    <row r="26237" spans="9:10" x14ac:dyDescent="0.3">
      <c r="I26237" t="s">
        <v>30583</v>
      </c>
      <c r="J26237" t="s">
        <v>8573</v>
      </c>
    </row>
    <row r="26238" spans="9:10" x14ac:dyDescent="0.3">
      <c r="I26238" t="s">
        <v>30584</v>
      </c>
      <c r="J26238" t="s">
        <v>8574</v>
      </c>
    </row>
    <row r="26239" spans="9:10" x14ac:dyDescent="0.3">
      <c r="I26239" t="s">
        <v>30584</v>
      </c>
      <c r="J26239" t="s">
        <v>8574</v>
      </c>
    </row>
    <row r="26240" spans="9:10" x14ac:dyDescent="0.3">
      <c r="I26240" t="s">
        <v>30585</v>
      </c>
      <c r="J26240" t="s">
        <v>8575</v>
      </c>
    </row>
    <row r="26241" spans="9:10" x14ac:dyDescent="0.3">
      <c r="I26241" t="s">
        <v>30586</v>
      </c>
    </row>
    <row r="26242" spans="9:10" x14ac:dyDescent="0.3">
      <c r="I26242" t="s">
        <v>30587</v>
      </c>
      <c r="J26242" t="s">
        <v>8576</v>
      </c>
    </row>
    <row r="26243" spans="9:10" x14ac:dyDescent="0.3">
      <c r="I26243" t="s">
        <v>30588</v>
      </c>
      <c r="J26243" t="s">
        <v>8577</v>
      </c>
    </row>
    <row r="26244" spans="9:10" x14ac:dyDescent="0.3">
      <c r="I26244" t="s">
        <v>30589</v>
      </c>
      <c r="J26244" t="s">
        <v>8577</v>
      </c>
    </row>
    <row r="26245" spans="9:10" x14ac:dyDescent="0.3">
      <c r="I26245" t="s">
        <v>30590</v>
      </c>
      <c r="J26245" t="s">
        <v>8578</v>
      </c>
    </row>
    <row r="26246" spans="9:10" x14ac:dyDescent="0.3">
      <c r="I26246" t="s">
        <v>30591</v>
      </c>
      <c r="J26246" t="s">
        <v>8578</v>
      </c>
    </row>
    <row r="26247" spans="9:10" x14ac:dyDescent="0.3">
      <c r="I26247" t="s">
        <v>30592</v>
      </c>
      <c r="J26247" t="s">
        <v>8579</v>
      </c>
    </row>
    <row r="26248" spans="9:10" x14ac:dyDescent="0.3">
      <c r="I26248" t="s">
        <v>30593</v>
      </c>
      <c r="J26248" t="s">
        <v>8580</v>
      </c>
    </row>
    <row r="26249" spans="9:10" x14ac:dyDescent="0.3">
      <c r="I26249" t="s">
        <v>30594</v>
      </c>
    </row>
    <row r="26250" spans="9:10" x14ac:dyDescent="0.3">
      <c r="I26250" t="s">
        <v>30595</v>
      </c>
    </row>
    <row r="26251" spans="9:10" x14ac:dyDescent="0.3">
      <c r="I26251" t="s">
        <v>30596</v>
      </c>
      <c r="J26251" t="s">
        <v>8581</v>
      </c>
    </row>
    <row r="26252" spans="9:10" x14ac:dyDescent="0.3">
      <c r="I26252" t="s">
        <v>30597</v>
      </c>
      <c r="J26252" t="s">
        <v>8582</v>
      </c>
    </row>
    <row r="26253" spans="9:10" x14ac:dyDescent="0.3">
      <c r="I26253" t="s">
        <v>30598</v>
      </c>
      <c r="J26253" t="s">
        <v>8582</v>
      </c>
    </row>
    <row r="26254" spans="9:10" x14ac:dyDescent="0.3">
      <c r="I26254" t="s">
        <v>30599</v>
      </c>
      <c r="J26254" t="s">
        <v>8583</v>
      </c>
    </row>
    <row r="26255" spans="9:10" x14ac:dyDescent="0.3">
      <c r="I26255" t="s">
        <v>30600</v>
      </c>
    </row>
    <row r="26256" spans="9:10" x14ac:dyDescent="0.3">
      <c r="I26256" t="s">
        <v>30601</v>
      </c>
    </row>
    <row r="26257" spans="9:10" x14ac:dyDescent="0.3">
      <c r="I26257" t="s">
        <v>30602</v>
      </c>
    </row>
    <row r="26258" spans="9:10" x14ac:dyDescent="0.3">
      <c r="I26258" t="s">
        <v>30603</v>
      </c>
    </row>
    <row r="26259" spans="9:10" x14ac:dyDescent="0.3">
      <c r="I26259" t="s">
        <v>30604</v>
      </c>
      <c r="J26259" t="s">
        <v>8584</v>
      </c>
    </row>
    <row r="26260" spans="9:10" x14ac:dyDescent="0.3">
      <c r="I26260" t="s">
        <v>30605</v>
      </c>
    </row>
    <row r="26261" spans="9:10" x14ac:dyDescent="0.3">
      <c r="I26261" t="s">
        <v>30606</v>
      </c>
      <c r="J26261" t="s">
        <v>8585</v>
      </c>
    </row>
    <row r="26262" spans="9:10" x14ac:dyDescent="0.3">
      <c r="I26262" t="s">
        <v>30607</v>
      </c>
      <c r="J26262" t="s">
        <v>8586</v>
      </c>
    </row>
    <row r="26263" spans="9:10" x14ac:dyDescent="0.3">
      <c r="I26263" t="s">
        <v>30608</v>
      </c>
      <c r="J26263" t="s">
        <v>8587</v>
      </c>
    </row>
    <row r="26264" spans="9:10" x14ac:dyDescent="0.3">
      <c r="I26264" t="s">
        <v>30609</v>
      </c>
    </row>
    <row r="26265" spans="9:10" x14ac:dyDescent="0.3">
      <c r="I26265" t="s">
        <v>30610</v>
      </c>
    </row>
    <row r="26266" spans="9:10" x14ac:dyDescent="0.3">
      <c r="I26266" t="s">
        <v>30611</v>
      </c>
      <c r="J26266" t="s">
        <v>8588</v>
      </c>
    </row>
    <row r="26267" spans="9:10" x14ac:dyDescent="0.3">
      <c r="I26267" t="s">
        <v>30612</v>
      </c>
      <c r="J26267" t="s">
        <v>8589</v>
      </c>
    </row>
    <row r="26268" spans="9:10" x14ac:dyDescent="0.3">
      <c r="I26268" t="s">
        <v>30613</v>
      </c>
      <c r="J26268" t="s">
        <v>8589</v>
      </c>
    </row>
    <row r="26269" spans="9:10" x14ac:dyDescent="0.3">
      <c r="I26269" t="s">
        <v>30614</v>
      </c>
    </row>
    <row r="26270" spans="9:10" x14ac:dyDescent="0.3">
      <c r="I26270" t="s">
        <v>30615</v>
      </c>
    </row>
    <row r="26271" spans="9:10" x14ac:dyDescent="0.3">
      <c r="I26271" t="s">
        <v>30616</v>
      </c>
      <c r="J26271" t="s">
        <v>8590</v>
      </c>
    </row>
    <row r="26272" spans="9:10" x14ac:dyDescent="0.3">
      <c r="I26272" t="s">
        <v>30617</v>
      </c>
      <c r="J26272" t="s">
        <v>8591</v>
      </c>
    </row>
    <row r="26273" spans="9:10" x14ac:dyDescent="0.3">
      <c r="I26273" t="s">
        <v>30618</v>
      </c>
      <c r="J26273" t="s">
        <v>8591</v>
      </c>
    </row>
    <row r="26274" spans="9:10" x14ac:dyDescent="0.3">
      <c r="I26274" t="s">
        <v>30619</v>
      </c>
    </row>
    <row r="26275" spans="9:10" x14ac:dyDescent="0.3">
      <c r="I26275" t="s">
        <v>30620</v>
      </c>
      <c r="J26275" t="s">
        <v>8592</v>
      </c>
    </row>
    <row r="26276" spans="9:10" x14ac:dyDescent="0.3">
      <c r="I26276" t="s">
        <v>30621</v>
      </c>
    </row>
    <row r="26277" spans="9:10" x14ac:dyDescent="0.3">
      <c r="I26277" t="s">
        <v>30622</v>
      </c>
      <c r="J26277" t="s">
        <v>8593</v>
      </c>
    </row>
    <row r="26278" spans="9:10" x14ac:dyDescent="0.3">
      <c r="I26278" t="s">
        <v>30623</v>
      </c>
      <c r="J26278" t="s">
        <v>8594</v>
      </c>
    </row>
    <row r="26279" spans="9:10" x14ac:dyDescent="0.3">
      <c r="I26279" t="s">
        <v>30624</v>
      </c>
      <c r="J26279" t="s">
        <v>8595</v>
      </c>
    </row>
    <row r="26280" spans="9:10" x14ac:dyDescent="0.3">
      <c r="I26280" t="s">
        <v>30625</v>
      </c>
      <c r="J26280" t="s">
        <v>8595</v>
      </c>
    </row>
    <row r="26281" spans="9:10" x14ac:dyDescent="0.3">
      <c r="I26281" t="s">
        <v>30626</v>
      </c>
      <c r="J26281" t="s">
        <v>8596</v>
      </c>
    </row>
    <row r="26282" spans="9:10" x14ac:dyDescent="0.3">
      <c r="I26282" t="s">
        <v>30627</v>
      </c>
      <c r="J26282" t="s">
        <v>8597</v>
      </c>
    </row>
    <row r="26283" spans="9:10" x14ac:dyDescent="0.3">
      <c r="I26283" t="s">
        <v>30628</v>
      </c>
      <c r="J26283" t="s">
        <v>8598</v>
      </c>
    </row>
    <row r="26284" spans="9:10" x14ac:dyDescent="0.3">
      <c r="I26284" t="s">
        <v>30629</v>
      </c>
      <c r="J26284" t="s">
        <v>8599</v>
      </c>
    </row>
    <row r="26285" spans="9:10" x14ac:dyDescent="0.3">
      <c r="I26285" t="s">
        <v>30630</v>
      </c>
      <c r="J26285" t="s">
        <v>8600</v>
      </c>
    </row>
    <row r="26286" spans="9:10" x14ac:dyDescent="0.3">
      <c r="I26286" t="s">
        <v>30631</v>
      </c>
      <c r="J26286" t="s">
        <v>8600</v>
      </c>
    </row>
    <row r="26287" spans="9:10" x14ac:dyDescent="0.3">
      <c r="I26287" t="s">
        <v>30632</v>
      </c>
    </row>
    <row r="26288" spans="9:10" x14ac:dyDescent="0.3">
      <c r="I26288" t="s">
        <v>30633</v>
      </c>
      <c r="J26288" t="s">
        <v>8601</v>
      </c>
    </row>
    <row r="26289" spans="9:10" x14ac:dyDescent="0.3">
      <c r="I26289" t="s">
        <v>30634</v>
      </c>
      <c r="J26289" t="s">
        <v>8602</v>
      </c>
    </row>
    <row r="26290" spans="9:10" x14ac:dyDescent="0.3">
      <c r="I26290" t="s">
        <v>30635</v>
      </c>
      <c r="J26290" t="s">
        <v>8603</v>
      </c>
    </row>
    <row r="26291" spans="9:10" x14ac:dyDescent="0.3">
      <c r="I26291" t="s">
        <v>30636</v>
      </c>
      <c r="J26291" t="s">
        <v>8604</v>
      </c>
    </row>
    <row r="26292" spans="9:10" x14ac:dyDescent="0.3">
      <c r="I26292" t="s">
        <v>30637</v>
      </c>
      <c r="J26292" t="s">
        <v>8605</v>
      </c>
    </row>
    <row r="26293" spans="9:10" x14ac:dyDescent="0.3">
      <c r="I26293" t="s">
        <v>30638</v>
      </c>
      <c r="J26293" t="s">
        <v>3148</v>
      </c>
    </row>
    <row r="26294" spans="9:10" x14ac:dyDescent="0.3">
      <c r="I26294" t="s">
        <v>30639</v>
      </c>
    </row>
    <row r="26295" spans="9:10" x14ac:dyDescent="0.3">
      <c r="I26295" t="s">
        <v>30640</v>
      </c>
      <c r="J26295" t="s">
        <v>908</v>
      </c>
    </row>
    <row r="26296" spans="9:10" x14ac:dyDescent="0.3">
      <c r="I26296" t="s">
        <v>21526</v>
      </c>
      <c r="J26296" t="s">
        <v>908</v>
      </c>
    </row>
    <row r="26297" spans="9:10" x14ac:dyDescent="0.3">
      <c r="I26297" t="s">
        <v>30641</v>
      </c>
      <c r="J26297" t="s">
        <v>8606</v>
      </c>
    </row>
    <row r="26298" spans="9:10" x14ac:dyDescent="0.3">
      <c r="I26298" t="s">
        <v>30642</v>
      </c>
    </row>
    <row r="26299" spans="9:10" x14ac:dyDescent="0.3">
      <c r="I26299" t="s">
        <v>30643</v>
      </c>
      <c r="J26299" t="s">
        <v>8557</v>
      </c>
    </row>
    <row r="26300" spans="9:10" x14ac:dyDescent="0.3">
      <c r="I26300" t="s">
        <v>30644</v>
      </c>
      <c r="J26300" t="s">
        <v>8607</v>
      </c>
    </row>
    <row r="26301" spans="9:10" x14ac:dyDescent="0.3">
      <c r="I26301" t="s">
        <v>30644</v>
      </c>
      <c r="J26301" t="s">
        <v>8607</v>
      </c>
    </row>
    <row r="26302" spans="9:10" x14ac:dyDescent="0.3">
      <c r="I26302" t="s">
        <v>30644</v>
      </c>
      <c r="J26302" t="s">
        <v>8607</v>
      </c>
    </row>
    <row r="26303" spans="9:10" x14ac:dyDescent="0.3">
      <c r="I26303" t="s">
        <v>30645</v>
      </c>
      <c r="J26303" t="s">
        <v>8608</v>
      </c>
    </row>
    <row r="26304" spans="9:10" x14ac:dyDescent="0.3">
      <c r="I26304" t="s">
        <v>30646</v>
      </c>
      <c r="J26304" t="s">
        <v>8609</v>
      </c>
    </row>
    <row r="26305" spans="9:10" x14ac:dyDescent="0.3">
      <c r="I26305" t="s">
        <v>30647</v>
      </c>
      <c r="J26305" t="s">
        <v>8610</v>
      </c>
    </row>
    <row r="26306" spans="9:10" x14ac:dyDescent="0.3">
      <c r="I26306" t="s">
        <v>30648</v>
      </c>
      <c r="J26306" t="s">
        <v>8611</v>
      </c>
    </row>
    <row r="26307" spans="9:10" x14ac:dyDescent="0.3">
      <c r="I26307" t="s">
        <v>30649</v>
      </c>
      <c r="J26307" t="s">
        <v>8612</v>
      </c>
    </row>
    <row r="26308" spans="9:10" x14ac:dyDescent="0.3">
      <c r="I26308" t="s">
        <v>30650</v>
      </c>
      <c r="J26308" t="s">
        <v>8613</v>
      </c>
    </row>
    <row r="26309" spans="9:10" x14ac:dyDescent="0.3">
      <c r="I26309" t="s">
        <v>30651</v>
      </c>
      <c r="J26309" t="s">
        <v>8614</v>
      </c>
    </row>
    <row r="26310" spans="9:10" x14ac:dyDescent="0.3">
      <c r="I26310" t="s">
        <v>30652</v>
      </c>
      <c r="J26310" t="s">
        <v>8615</v>
      </c>
    </row>
    <row r="26311" spans="9:10" x14ac:dyDescent="0.3">
      <c r="I26311" t="s">
        <v>30653</v>
      </c>
      <c r="J26311" t="s">
        <v>8616</v>
      </c>
    </row>
    <row r="26312" spans="9:10" x14ac:dyDescent="0.3">
      <c r="I26312" t="s">
        <v>30654</v>
      </c>
    </row>
    <row r="26313" spans="9:10" x14ac:dyDescent="0.3">
      <c r="I26313" t="s">
        <v>30655</v>
      </c>
    </row>
    <row r="26314" spans="9:10" x14ac:dyDescent="0.3">
      <c r="I26314" t="s">
        <v>30656</v>
      </c>
    </row>
    <row r="26315" spans="9:10" x14ac:dyDescent="0.3">
      <c r="I26315" t="s">
        <v>30657</v>
      </c>
      <c r="J26315" t="s">
        <v>8617</v>
      </c>
    </row>
    <row r="26316" spans="9:10" x14ac:dyDescent="0.3">
      <c r="I26316" t="s">
        <v>30658</v>
      </c>
      <c r="J26316" t="s">
        <v>8618</v>
      </c>
    </row>
    <row r="26317" spans="9:10" x14ac:dyDescent="0.3">
      <c r="I26317" t="s">
        <v>30659</v>
      </c>
      <c r="J26317" t="s">
        <v>8619</v>
      </c>
    </row>
    <row r="26318" spans="9:10" x14ac:dyDescent="0.3">
      <c r="I26318" t="s">
        <v>30660</v>
      </c>
      <c r="J26318" t="s">
        <v>8620</v>
      </c>
    </row>
    <row r="26319" spans="9:10" x14ac:dyDescent="0.3">
      <c r="I26319" t="s">
        <v>30661</v>
      </c>
      <c r="J26319" t="s">
        <v>8621</v>
      </c>
    </row>
    <row r="26320" spans="9:10" x14ac:dyDescent="0.3">
      <c r="I26320" t="s">
        <v>30662</v>
      </c>
      <c r="J26320" t="s">
        <v>8622</v>
      </c>
    </row>
    <row r="26321" spans="9:10" x14ac:dyDescent="0.3">
      <c r="I26321" t="s">
        <v>30663</v>
      </c>
      <c r="J26321" t="s">
        <v>8623</v>
      </c>
    </row>
    <row r="26322" spans="9:10" x14ac:dyDescent="0.3">
      <c r="I26322" t="s">
        <v>30664</v>
      </c>
      <c r="J26322" t="s">
        <v>8624</v>
      </c>
    </row>
    <row r="26323" spans="9:10" x14ac:dyDescent="0.3">
      <c r="I26323" t="s">
        <v>30665</v>
      </c>
      <c r="J26323" t="s">
        <v>8625</v>
      </c>
    </row>
    <row r="26324" spans="9:10" x14ac:dyDescent="0.3">
      <c r="I26324" t="s">
        <v>30666</v>
      </c>
      <c r="J26324" t="s">
        <v>8626</v>
      </c>
    </row>
    <row r="26325" spans="9:10" x14ac:dyDescent="0.3">
      <c r="I26325" t="s">
        <v>30667</v>
      </c>
      <c r="J26325" t="s">
        <v>8627</v>
      </c>
    </row>
    <row r="26326" spans="9:10" x14ac:dyDescent="0.3">
      <c r="I26326" t="s">
        <v>30668</v>
      </c>
      <c r="J26326" t="s">
        <v>8628</v>
      </c>
    </row>
    <row r="26327" spans="9:10" x14ac:dyDescent="0.3">
      <c r="I26327" t="s">
        <v>30669</v>
      </c>
      <c r="J26327" t="s">
        <v>8629</v>
      </c>
    </row>
    <row r="26328" spans="9:10" x14ac:dyDescent="0.3">
      <c r="I26328" t="s">
        <v>30670</v>
      </c>
      <c r="J26328" t="s">
        <v>8630</v>
      </c>
    </row>
    <row r="26329" spans="9:10" x14ac:dyDescent="0.3">
      <c r="I26329" t="s">
        <v>30671</v>
      </c>
      <c r="J26329" t="s">
        <v>8630</v>
      </c>
    </row>
    <row r="26330" spans="9:10" x14ac:dyDescent="0.3">
      <c r="I26330" t="s">
        <v>30672</v>
      </c>
      <c r="J26330" t="s">
        <v>489</v>
      </c>
    </row>
    <row r="26331" spans="9:10" x14ac:dyDescent="0.3">
      <c r="I26331" t="s">
        <v>30672</v>
      </c>
      <c r="J26331" t="s">
        <v>489</v>
      </c>
    </row>
    <row r="26332" spans="9:10" x14ac:dyDescent="0.3">
      <c r="I26332" t="s">
        <v>30673</v>
      </c>
    </row>
    <row r="26333" spans="9:10" x14ac:dyDescent="0.3">
      <c r="I26333" t="s">
        <v>30674</v>
      </c>
      <c r="J26333" t="s">
        <v>8631</v>
      </c>
    </row>
    <row r="26334" spans="9:10" x14ac:dyDescent="0.3">
      <c r="I26334" t="s">
        <v>30675</v>
      </c>
    </row>
    <row r="26335" spans="9:10" x14ac:dyDescent="0.3">
      <c r="I26335" t="s">
        <v>30676</v>
      </c>
      <c r="J26335" t="s">
        <v>8632</v>
      </c>
    </row>
    <row r="26336" spans="9:10" x14ac:dyDescent="0.3">
      <c r="I26336" t="s">
        <v>30677</v>
      </c>
      <c r="J26336" t="s">
        <v>8633</v>
      </c>
    </row>
    <row r="26337" spans="9:10" x14ac:dyDescent="0.3">
      <c r="I26337" t="s">
        <v>30678</v>
      </c>
      <c r="J26337" t="s">
        <v>8634</v>
      </c>
    </row>
    <row r="26338" spans="9:10" x14ac:dyDescent="0.3">
      <c r="I26338" t="s">
        <v>30679</v>
      </c>
      <c r="J26338" t="s">
        <v>8635</v>
      </c>
    </row>
    <row r="26339" spans="9:10" x14ac:dyDescent="0.3">
      <c r="I26339" t="s">
        <v>30680</v>
      </c>
      <c r="J26339" t="s">
        <v>8636</v>
      </c>
    </row>
    <row r="26340" spans="9:10" x14ac:dyDescent="0.3">
      <c r="I26340" t="s">
        <v>30681</v>
      </c>
      <c r="J26340" t="s">
        <v>8637</v>
      </c>
    </row>
    <row r="26341" spans="9:10" x14ac:dyDescent="0.3">
      <c r="I26341" t="s">
        <v>30682</v>
      </c>
      <c r="J26341" t="s">
        <v>8638</v>
      </c>
    </row>
    <row r="26342" spans="9:10" x14ac:dyDescent="0.3">
      <c r="I26342" t="s">
        <v>30683</v>
      </c>
      <c r="J26342" t="s">
        <v>8639</v>
      </c>
    </row>
    <row r="26343" spans="9:10" x14ac:dyDescent="0.3">
      <c r="I26343" t="s">
        <v>30684</v>
      </c>
      <c r="J26343" t="s">
        <v>8640</v>
      </c>
    </row>
    <row r="26344" spans="9:10" x14ac:dyDescent="0.3">
      <c r="I26344" t="s">
        <v>30685</v>
      </c>
      <c r="J26344" t="s">
        <v>8641</v>
      </c>
    </row>
    <row r="26345" spans="9:10" x14ac:dyDescent="0.3">
      <c r="I26345" t="s">
        <v>30685</v>
      </c>
      <c r="J26345" t="s">
        <v>8641</v>
      </c>
    </row>
    <row r="26346" spans="9:10" x14ac:dyDescent="0.3">
      <c r="I26346" t="s">
        <v>30685</v>
      </c>
      <c r="J26346" t="s">
        <v>8641</v>
      </c>
    </row>
    <row r="26347" spans="9:10" x14ac:dyDescent="0.3">
      <c r="I26347" t="s">
        <v>30686</v>
      </c>
      <c r="J26347" t="s">
        <v>8641</v>
      </c>
    </row>
    <row r="26348" spans="9:10" x14ac:dyDescent="0.3">
      <c r="I26348" t="s">
        <v>30687</v>
      </c>
    </row>
    <row r="26349" spans="9:10" x14ac:dyDescent="0.3">
      <c r="I26349" t="s">
        <v>30688</v>
      </c>
      <c r="J26349" t="s">
        <v>8642</v>
      </c>
    </row>
    <row r="26350" spans="9:10" x14ac:dyDescent="0.3">
      <c r="I26350" t="s">
        <v>30688</v>
      </c>
      <c r="J26350" t="s">
        <v>8642</v>
      </c>
    </row>
    <row r="26351" spans="9:10" x14ac:dyDescent="0.3">
      <c r="I26351" t="s">
        <v>30688</v>
      </c>
      <c r="J26351" t="s">
        <v>8642</v>
      </c>
    </row>
    <row r="26352" spans="9:10" x14ac:dyDescent="0.3">
      <c r="I26352" t="s">
        <v>30688</v>
      </c>
      <c r="J26352" t="s">
        <v>8642</v>
      </c>
    </row>
    <row r="26353" spans="9:10" x14ac:dyDescent="0.3">
      <c r="I26353" t="s">
        <v>30688</v>
      </c>
      <c r="J26353" t="s">
        <v>8642</v>
      </c>
    </row>
    <row r="26354" spans="9:10" x14ac:dyDescent="0.3">
      <c r="I26354" t="s">
        <v>30688</v>
      </c>
      <c r="J26354" t="s">
        <v>8642</v>
      </c>
    </row>
    <row r="26355" spans="9:10" x14ac:dyDescent="0.3">
      <c r="I26355" t="s">
        <v>30689</v>
      </c>
      <c r="J26355" t="s">
        <v>8642</v>
      </c>
    </row>
    <row r="26356" spans="9:10" x14ac:dyDescent="0.3">
      <c r="I26356" t="s">
        <v>30690</v>
      </c>
      <c r="J26356" t="s">
        <v>8642</v>
      </c>
    </row>
    <row r="26357" spans="9:10" x14ac:dyDescent="0.3">
      <c r="I26357" t="s">
        <v>30691</v>
      </c>
      <c r="J26357" t="s">
        <v>8642</v>
      </c>
    </row>
    <row r="26358" spans="9:10" x14ac:dyDescent="0.3">
      <c r="I26358" t="s">
        <v>30692</v>
      </c>
      <c r="J26358" t="s">
        <v>8643</v>
      </c>
    </row>
    <row r="26359" spans="9:10" x14ac:dyDescent="0.3">
      <c r="I26359" t="s">
        <v>30693</v>
      </c>
      <c r="J26359" t="s">
        <v>8643</v>
      </c>
    </row>
    <row r="26360" spans="9:10" x14ac:dyDescent="0.3">
      <c r="I26360" t="s">
        <v>30694</v>
      </c>
      <c r="J26360" t="s">
        <v>8644</v>
      </c>
    </row>
    <row r="26361" spans="9:10" x14ac:dyDescent="0.3">
      <c r="I26361" t="s">
        <v>30695</v>
      </c>
      <c r="J26361" t="s">
        <v>8645</v>
      </c>
    </row>
    <row r="26362" spans="9:10" x14ac:dyDescent="0.3">
      <c r="I26362" t="s">
        <v>30696</v>
      </c>
      <c r="J26362" t="s">
        <v>8646</v>
      </c>
    </row>
    <row r="26363" spans="9:10" x14ac:dyDescent="0.3">
      <c r="I26363" t="s">
        <v>30697</v>
      </c>
      <c r="J26363" t="s">
        <v>8647</v>
      </c>
    </row>
    <row r="26364" spans="9:10" x14ac:dyDescent="0.3">
      <c r="I26364" t="s">
        <v>30698</v>
      </c>
      <c r="J26364" t="s">
        <v>8647</v>
      </c>
    </row>
    <row r="26365" spans="9:10" x14ac:dyDescent="0.3">
      <c r="I26365" t="s">
        <v>30699</v>
      </c>
      <c r="J26365" t="s">
        <v>8647</v>
      </c>
    </row>
    <row r="26366" spans="9:10" x14ac:dyDescent="0.3">
      <c r="I26366" t="s">
        <v>30700</v>
      </c>
      <c r="J26366" t="s">
        <v>8647</v>
      </c>
    </row>
    <row r="26367" spans="9:10" x14ac:dyDescent="0.3">
      <c r="I26367" t="s">
        <v>30701</v>
      </c>
      <c r="J26367" t="s">
        <v>8647</v>
      </c>
    </row>
    <row r="26368" spans="9:10" x14ac:dyDescent="0.3">
      <c r="I26368" t="s">
        <v>30702</v>
      </c>
      <c r="J26368" t="s">
        <v>8647</v>
      </c>
    </row>
    <row r="26369" spans="9:10" x14ac:dyDescent="0.3">
      <c r="I26369" t="s">
        <v>30703</v>
      </c>
      <c r="J26369" t="s">
        <v>8647</v>
      </c>
    </row>
    <row r="26370" spans="9:10" x14ac:dyDescent="0.3">
      <c r="I26370" t="s">
        <v>30703</v>
      </c>
      <c r="J26370" t="s">
        <v>8647</v>
      </c>
    </row>
    <row r="26371" spans="9:10" x14ac:dyDescent="0.3">
      <c r="I26371" t="s">
        <v>30702</v>
      </c>
      <c r="J26371" t="s">
        <v>8647</v>
      </c>
    </row>
    <row r="26372" spans="9:10" x14ac:dyDescent="0.3">
      <c r="I26372" t="s">
        <v>30702</v>
      </c>
      <c r="J26372" t="s">
        <v>8647</v>
      </c>
    </row>
    <row r="26373" spans="9:10" x14ac:dyDescent="0.3">
      <c r="I26373" t="s">
        <v>30702</v>
      </c>
      <c r="J26373" t="s">
        <v>8647</v>
      </c>
    </row>
    <row r="26374" spans="9:10" x14ac:dyDescent="0.3">
      <c r="I26374" t="s">
        <v>30704</v>
      </c>
      <c r="J26374" t="s">
        <v>8647</v>
      </c>
    </row>
    <row r="26375" spans="9:10" x14ac:dyDescent="0.3">
      <c r="I26375" t="s">
        <v>30705</v>
      </c>
      <c r="J26375" t="s">
        <v>8648</v>
      </c>
    </row>
    <row r="26376" spans="9:10" x14ac:dyDescent="0.3">
      <c r="I26376" t="s">
        <v>30706</v>
      </c>
      <c r="J26376" t="s">
        <v>8649</v>
      </c>
    </row>
    <row r="26377" spans="9:10" x14ac:dyDescent="0.3">
      <c r="I26377" t="s">
        <v>30707</v>
      </c>
      <c r="J26377" t="s">
        <v>8650</v>
      </c>
    </row>
    <row r="26378" spans="9:10" x14ac:dyDescent="0.3">
      <c r="I26378" t="s">
        <v>30708</v>
      </c>
      <c r="J26378" t="s">
        <v>8651</v>
      </c>
    </row>
    <row r="26379" spans="9:10" x14ac:dyDescent="0.3">
      <c r="I26379" t="s">
        <v>30709</v>
      </c>
      <c r="J26379" t="s">
        <v>8652</v>
      </c>
    </row>
    <row r="26380" spans="9:10" x14ac:dyDescent="0.3">
      <c r="I26380" t="s">
        <v>30710</v>
      </c>
    </row>
    <row r="26381" spans="9:10" x14ac:dyDescent="0.3">
      <c r="I26381" t="s">
        <v>30711</v>
      </c>
    </row>
    <row r="26382" spans="9:10" x14ac:dyDescent="0.3">
      <c r="I26382" t="s">
        <v>30712</v>
      </c>
      <c r="J26382" t="s">
        <v>8653</v>
      </c>
    </row>
    <row r="26383" spans="9:10" x14ac:dyDescent="0.3">
      <c r="I26383" t="s">
        <v>30713</v>
      </c>
      <c r="J26383" t="s">
        <v>8654</v>
      </c>
    </row>
    <row r="26384" spans="9:10" x14ac:dyDescent="0.3">
      <c r="I26384" t="s">
        <v>30714</v>
      </c>
      <c r="J26384" t="s">
        <v>8655</v>
      </c>
    </row>
    <row r="26385" spans="9:10" x14ac:dyDescent="0.3">
      <c r="I26385" t="s">
        <v>30715</v>
      </c>
      <c r="J26385" t="s">
        <v>8656</v>
      </c>
    </row>
    <row r="26386" spans="9:10" x14ac:dyDescent="0.3">
      <c r="I26386" t="s">
        <v>30716</v>
      </c>
    </row>
    <row r="26387" spans="9:10" x14ac:dyDescent="0.3">
      <c r="I26387" t="s">
        <v>30717</v>
      </c>
    </row>
    <row r="26388" spans="9:10" x14ac:dyDescent="0.3">
      <c r="I26388" t="s">
        <v>30718</v>
      </c>
      <c r="J26388" t="s">
        <v>8657</v>
      </c>
    </row>
    <row r="26389" spans="9:10" x14ac:dyDescent="0.3">
      <c r="I26389" t="s">
        <v>30719</v>
      </c>
      <c r="J26389" t="s">
        <v>8658</v>
      </c>
    </row>
    <row r="26390" spans="9:10" x14ac:dyDescent="0.3">
      <c r="I26390" t="s">
        <v>30720</v>
      </c>
      <c r="J26390" t="s">
        <v>8659</v>
      </c>
    </row>
    <row r="26391" spans="9:10" x14ac:dyDescent="0.3">
      <c r="I26391" t="s">
        <v>30721</v>
      </c>
      <c r="J26391" t="s">
        <v>8660</v>
      </c>
    </row>
    <row r="26392" spans="9:10" x14ac:dyDescent="0.3">
      <c r="I26392" t="s">
        <v>30722</v>
      </c>
      <c r="J26392" t="s">
        <v>8660</v>
      </c>
    </row>
    <row r="26393" spans="9:10" x14ac:dyDescent="0.3">
      <c r="I26393" t="s">
        <v>30722</v>
      </c>
      <c r="J26393" t="s">
        <v>8660</v>
      </c>
    </row>
    <row r="26394" spans="9:10" x14ac:dyDescent="0.3">
      <c r="I26394" t="s">
        <v>30723</v>
      </c>
      <c r="J26394" t="s">
        <v>8661</v>
      </c>
    </row>
    <row r="26395" spans="9:10" x14ac:dyDescent="0.3">
      <c r="I26395" t="s">
        <v>30724</v>
      </c>
      <c r="J26395" t="s">
        <v>8662</v>
      </c>
    </row>
    <row r="26396" spans="9:10" x14ac:dyDescent="0.3">
      <c r="I26396" t="s">
        <v>30724</v>
      </c>
      <c r="J26396" t="s">
        <v>8662</v>
      </c>
    </row>
    <row r="26397" spans="9:10" x14ac:dyDescent="0.3">
      <c r="I26397" t="s">
        <v>30724</v>
      </c>
      <c r="J26397" t="s">
        <v>8662</v>
      </c>
    </row>
    <row r="26398" spans="9:10" x14ac:dyDescent="0.3">
      <c r="I26398" t="s">
        <v>30724</v>
      </c>
      <c r="J26398" t="s">
        <v>8662</v>
      </c>
    </row>
    <row r="26399" spans="9:10" x14ac:dyDescent="0.3">
      <c r="I26399" t="s">
        <v>30724</v>
      </c>
      <c r="J26399" t="s">
        <v>8662</v>
      </c>
    </row>
    <row r="26400" spans="9:10" x14ac:dyDescent="0.3">
      <c r="I26400" t="s">
        <v>30724</v>
      </c>
      <c r="J26400" t="s">
        <v>8662</v>
      </c>
    </row>
    <row r="26401" spans="9:10" x14ac:dyDescent="0.3">
      <c r="I26401" t="s">
        <v>30725</v>
      </c>
      <c r="J26401" t="s">
        <v>8663</v>
      </c>
    </row>
    <row r="26402" spans="9:10" x14ac:dyDescent="0.3">
      <c r="I26402" t="s">
        <v>30726</v>
      </c>
      <c r="J26402" t="s">
        <v>8664</v>
      </c>
    </row>
    <row r="26403" spans="9:10" x14ac:dyDescent="0.3">
      <c r="I26403" t="s">
        <v>30727</v>
      </c>
      <c r="J26403" t="s">
        <v>803</v>
      </c>
    </row>
    <row r="26404" spans="9:10" x14ac:dyDescent="0.3">
      <c r="I26404" t="s">
        <v>30727</v>
      </c>
      <c r="J26404" t="s">
        <v>803</v>
      </c>
    </row>
    <row r="26405" spans="9:10" x14ac:dyDescent="0.3">
      <c r="I26405" t="s">
        <v>30728</v>
      </c>
    </row>
    <row r="26406" spans="9:10" x14ac:dyDescent="0.3">
      <c r="I26406" t="s">
        <v>30729</v>
      </c>
      <c r="J26406" t="s">
        <v>8665</v>
      </c>
    </row>
    <row r="26407" spans="9:10" x14ac:dyDescent="0.3">
      <c r="I26407" t="s">
        <v>30730</v>
      </c>
      <c r="J26407" t="s">
        <v>8666</v>
      </c>
    </row>
    <row r="26408" spans="9:10" x14ac:dyDescent="0.3">
      <c r="I26408" t="s">
        <v>30731</v>
      </c>
    </row>
    <row r="26409" spans="9:10" x14ac:dyDescent="0.3">
      <c r="I26409" t="s">
        <v>30732</v>
      </c>
    </row>
    <row r="26410" spans="9:10" x14ac:dyDescent="0.3">
      <c r="I26410" t="s">
        <v>30733</v>
      </c>
      <c r="J26410" t="s">
        <v>8667</v>
      </c>
    </row>
    <row r="26411" spans="9:10" x14ac:dyDescent="0.3">
      <c r="I26411" t="s">
        <v>30734</v>
      </c>
      <c r="J26411" t="s">
        <v>8668</v>
      </c>
    </row>
    <row r="26412" spans="9:10" x14ac:dyDescent="0.3">
      <c r="I26412" t="s">
        <v>30734</v>
      </c>
      <c r="J26412" t="s">
        <v>8668</v>
      </c>
    </row>
    <row r="26413" spans="9:10" x14ac:dyDescent="0.3">
      <c r="I26413" t="s">
        <v>30735</v>
      </c>
      <c r="J26413" t="s">
        <v>8669</v>
      </c>
    </row>
    <row r="26414" spans="9:10" x14ac:dyDescent="0.3">
      <c r="I26414" t="s">
        <v>30735</v>
      </c>
      <c r="J26414" t="s">
        <v>8669</v>
      </c>
    </row>
    <row r="26415" spans="9:10" x14ac:dyDescent="0.3">
      <c r="I26415" t="s">
        <v>30736</v>
      </c>
      <c r="J26415" t="s">
        <v>8670</v>
      </c>
    </row>
    <row r="26416" spans="9:10" x14ac:dyDescent="0.3">
      <c r="I26416" t="s">
        <v>30737</v>
      </c>
      <c r="J26416" t="s">
        <v>8671</v>
      </c>
    </row>
    <row r="26417" spans="9:10" x14ac:dyDescent="0.3">
      <c r="I26417" t="s">
        <v>30738</v>
      </c>
      <c r="J26417" t="s">
        <v>8672</v>
      </c>
    </row>
    <row r="26418" spans="9:10" x14ac:dyDescent="0.3">
      <c r="I26418" t="s">
        <v>30739</v>
      </c>
      <c r="J26418" t="s">
        <v>8673</v>
      </c>
    </row>
    <row r="26419" spans="9:10" x14ac:dyDescent="0.3">
      <c r="I26419" t="s">
        <v>30740</v>
      </c>
      <c r="J26419" t="s">
        <v>8674</v>
      </c>
    </row>
    <row r="26420" spans="9:10" x14ac:dyDescent="0.3">
      <c r="I26420" t="s">
        <v>30741</v>
      </c>
      <c r="J26420" t="s">
        <v>8675</v>
      </c>
    </row>
    <row r="26421" spans="9:10" x14ac:dyDescent="0.3">
      <c r="I26421" t="s">
        <v>30742</v>
      </c>
    </row>
    <row r="26422" spans="9:10" x14ac:dyDescent="0.3">
      <c r="I26422" t="s">
        <v>30743</v>
      </c>
    </row>
    <row r="26423" spans="9:10" x14ac:dyDescent="0.3">
      <c r="I26423" t="s">
        <v>30744</v>
      </c>
      <c r="J26423" t="s">
        <v>8676</v>
      </c>
    </row>
    <row r="26424" spans="9:10" x14ac:dyDescent="0.3">
      <c r="I26424" t="s">
        <v>30745</v>
      </c>
      <c r="J26424" t="s">
        <v>8677</v>
      </c>
    </row>
    <row r="26425" spans="9:10" x14ac:dyDescent="0.3">
      <c r="I26425" t="s">
        <v>30746</v>
      </c>
      <c r="J26425" t="s">
        <v>8677</v>
      </c>
    </row>
    <row r="26426" spans="9:10" x14ac:dyDescent="0.3">
      <c r="I26426" t="s">
        <v>30745</v>
      </c>
      <c r="J26426" t="s">
        <v>8677</v>
      </c>
    </row>
    <row r="26427" spans="9:10" x14ac:dyDescent="0.3">
      <c r="I26427" t="s">
        <v>30747</v>
      </c>
      <c r="J26427" t="s">
        <v>8678</v>
      </c>
    </row>
    <row r="26428" spans="9:10" x14ac:dyDescent="0.3">
      <c r="I26428" t="s">
        <v>30748</v>
      </c>
      <c r="J26428" t="s">
        <v>8679</v>
      </c>
    </row>
    <row r="26429" spans="9:10" x14ac:dyDescent="0.3">
      <c r="I26429" t="s">
        <v>30749</v>
      </c>
    </row>
    <row r="26430" spans="9:10" x14ac:dyDescent="0.3">
      <c r="I26430" t="s">
        <v>30750</v>
      </c>
      <c r="J26430" t="s">
        <v>8680</v>
      </c>
    </row>
    <row r="26431" spans="9:10" x14ac:dyDescent="0.3">
      <c r="I26431" t="s">
        <v>30751</v>
      </c>
      <c r="J26431" t="s">
        <v>8681</v>
      </c>
    </row>
    <row r="26432" spans="9:10" x14ac:dyDescent="0.3">
      <c r="I26432" t="s">
        <v>30752</v>
      </c>
      <c r="J26432" t="s">
        <v>8682</v>
      </c>
    </row>
    <row r="26433" spans="9:10" x14ac:dyDescent="0.3">
      <c r="I26433" t="s">
        <v>30753</v>
      </c>
      <c r="J26433" t="s">
        <v>8683</v>
      </c>
    </row>
    <row r="26434" spans="9:10" x14ac:dyDescent="0.3">
      <c r="I26434" t="s">
        <v>30754</v>
      </c>
      <c r="J26434" t="s">
        <v>8684</v>
      </c>
    </row>
    <row r="26435" spans="9:10" x14ac:dyDescent="0.3">
      <c r="I26435" t="s">
        <v>30755</v>
      </c>
      <c r="J26435" t="s">
        <v>8685</v>
      </c>
    </row>
    <row r="26436" spans="9:10" x14ac:dyDescent="0.3">
      <c r="I26436" t="s">
        <v>30755</v>
      </c>
      <c r="J26436" t="s">
        <v>8685</v>
      </c>
    </row>
    <row r="26437" spans="9:10" x14ac:dyDescent="0.3">
      <c r="I26437" t="s">
        <v>30756</v>
      </c>
      <c r="J26437" t="s">
        <v>8686</v>
      </c>
    </row>
    <row r="26438" spans="9:10" x14ac:dyDescent="0.3">
      <c r="I26438" t="s">
        <v>30757</v>
      </c>
      <c r="J26438" t="s">
        <v>8687</v>
      </c>
    </row>
    <row r="26439" spans="9:10" x14ac:dyDescent="0.3">
      <c r="I26439" t="s">
        <v>30758</v>
      </c>
      <c r="J26439" t="s">
        <v>8688</v>
      </c>
    </row>
    <row r="26440" spans="9:10" x14ac:dyDescent="0.3">
      <c r="I26440" t="s">
        <v>30759</v>
      </c>
      <c r="J26440" t="s">
        <v>8689</v>
      </c>
    </row>
    <row r="26441" spans="9:10" x14ac:dyDescent="0.3">
      <c r="I26441" t="s">
        <v>30760</v>
      </c>
      <c r="J26441" t="s">
        <v>8690</v>
      </c>
    </row>
    <row r="26442" spans="9:10" x14ac:dyDescent="0.3">
      <c r="I26442" t="s">
        <v>30761</v>
      </c>
      <c r="J26442" t="s">
        <v>8691</v>
      </c>
    </row>
    <row r="26443" spans="9:10" x14ac:dyDescent="0.3">
      <c r="I26443" t="s">
        <v>30762</v>
      </c>
      <c r="J26443" t="s">
        <v>8692</v>
      </c>
    </row>
    <row r="26444" spans="9:10" x14ac:dyDescent="0.3">
      <c r="I26444" t="s">
        <v>30762</v>
      </c>
      <c r="J26444" t="s">
        <v>8692</v>
      </c>
    </row>
    <row r="26445" spans="9:10" x14ac:dyDescent="0.3">
      <c r="I26445" t="s">
        <v>30763</v>
      </c>
      <c r="J26445" t="s">
        <v>8692</v>
      </c>
    </row>
    <row r="26446" spans="9:10" x14ac:dyDescent="0.3">
      <c r="I26446" t="s">
        <v>30762</v>
      </c>
      <c r="J26446" t="s">
        <v>8692</v>
      </c>
    </row>
    <row r="26447" spans="9:10" x14ac:dyDescent="0.3">
      <c r="I26447" t="s">
        <v>30764</v>
      </c>
    </row>
    <row r="26448" spans="9:10" x14ac:dyDescent="0.3">
      <c r="I26448" t="s">
        <v>30765</v>
      </c>
    </row>
    <row r="26449" spans="9:10" x14ac:dyDescent="0.3">
      <c r="I26449" t="s">
        <v>18874</v>
      </c>
      <c r="J26449" t="s">
        <v>872</v>
      </c>
    </row>
    <row r="26450" spans="9:10" x14ac:dyDescent="0.3">
      <c r="I26450" t="s">
        <v>30766</v>
      </c>
      <c r="J26450" t="s">
        <v>8693</v>
      </c>
    </row>
    <row r="26451" spans="9:10" x14ac:dyDescent="0.3">
      <c r="I26451" t="s">
        <v>30767</v>
      </c>
      <c r="J26451" t="s">
        <v>8694</v>
      </c>
    </row>
    <row r="26452" spans="9:10" x14ac:dyDescent="0.3">
      <c r="I26452" t="s">
        <v>30768</v>
      </c>
      <c r="J26452" t="s">
        <v>8695</v>
      </c>
    </row>
    <row r="26453" spans="9:10" x14ac:dyDescent="0.3">
      <c r="I26453" t="s">
        <v>30768</v>
      </c>
      <c r="J26453" t="s">
        <v>8695</v>
      </c>
    </row>
    <row r="26454" spans="9:10" x14ac:dyDescent="0.3">
      <c r="I26454" t="s">
        <v>30768</v>
      </c>
      <c r="J26454" t="s">
        <v>8695</v>
      </c>
    </row>
    <row r="26455" spans="9:10" x14ac:dyDescent="0.3">
      <c r="I26455" t="s">
        <v>30769</v>
      </c>
      <c r="J26455" t="s">
        <v>8695</v>
      </c>
    </row>
    <row r="26456" spans="9:10" x14ac:dyDescent="0.3">
      <c r="I26456" t="s">
        <v>30770</v>
      </c>
      <c r="J26456" t="s">
        <v>8696</v>
      </c>
    </row>
    <row r="26457" spans="9:10" x14ac:dyDescent="0.3">
      <c r="I26457" t="s">
        <v>30771</v>
      </c>
      <c r="J26457" t="s">
        <v>8696</v>
      </c>
    </row>
    <row r="26458" spans="9:10" x14ac:dyDescent="0.3">
      <c r="I26458" t="s">
        <v>30772</v>
      </c>
      <c r="J26458" t="s">
        <v>8696</v>
      </c>
    </row>
    <row r="26459" spans="9:10" x14ac:dyDescent="0.3">
      <c r="I26459" t="s">
        <v>30773</v>
      </c>
      <c r="J26459" t="s">
        <v>8696</v>
      </c>
    </row>
    <row r="26460" spans="9:10" x14ac:dyDescent="0.3">
      <c r="I26460" t="s">
        <v>30773</v>
      </c>
      <c r="J26460" t="s">
        <v>8696</v>
      </c>
    </row>
    <row r="26461" spans="9:10" x14ac:dyDescent="0.3">
      <c r="I26461" t="s">
        <v>30773</v>
      </c>
      <c r="J26461" t="s">
        <v>8696</v>
      </c>
    </row>
    <row r="26462" spans="9:10" x14ac:dyDescent="0.3">
      <c r="I26462" t="s">
        <v>30774</v>
      </c>
      <c r="J26462">
        <v>0</v>
      </c>
    </row>
    <row r="26463" spans="9:10" x14ac:dyDescent="0.3">
      <c r="I26463" t="s">
        <v>30775</v>
      </c>
      <c r="J26463" t="s">
        <v>8697</v>
      </c>
    </row>
    <row r="26464" spans="9:10" x14ac:dyDescent="0.3">
      <c r="I26464" t="s">
        <v>30776</v>
      </c>
      <c r="J26464" t="s">
        <v>8698</v>
      </c>
    </row>
    <row r="26465" spans="9:10" x14ac:dyDescent="0.3">
      <c r="I26465" t="s">
        <v>30777</v>
      </c>
      <c r="J26465" t="s">
        <v>8699</v>
      </c>
    </row>
    <row r="26466" spans="9:10" x14ac:dyDescent="0.3">
      <c r="I26466" t="s">
        <v>27344</v>
      </c>
      <c r="J26466" t="s">
        <v>6467</v>
      </c>
    </row>
    <row r="26467" spans="9:10" x14ac:dyDescent="0.3">
      <c r="I26467" t="s">
        <v>30778</v>
      </c>
      <c r="J26467" t="s">
        <v>8700</v>
      </c>
    </row>
    <row r="26468" spans="9:10" x14ac:dyDescent="0.3">
      <c r="I26468" t="s">
        <v>30779</v>
      </c>
    </row>
    <row r="26469" spans="9:10" x14ac:dyDescent="0.3">
      <c r="I26469" t="s">
        <v>30780</v>
      </c>
      <c r="J26469" t="s">
        <v>8701</v>
      </c>
    </row>
    <row r="26470" spans="9:10" x14ac:dyDescent="0.3">
      <c r="I26470" t="s">
        <v>30781</v>
      </c>
      <c r="J26470" t="s">
        <v>8702</v>
      </c>
    </row>
    <row r="26471" spans="9:10" x14ac:dyDescent="0.3">
      <c r="I26471" t="s">
        <v>30782</v>
      </c>
      <c r="J26471" t="s">
        <v>8703</v>
      </c>
    </row>
    <row r="26472" spans="9:10" x14ac:dyDescent="0.3">
      <c r="I26472" t="s">
        <v>30783</v>
      </c>
    </row>
    <row r="26473" spans="9:10" x14ac:dyDescent="0.3">
      <c r="I26473" t="s">
        <v>30784</v>
      </c>
    </row>
    <row r="26474" spans="9:10" x14ac:dyDescent="0.3">
      <c r="I26474" t="s">
        <v>30785</v>
      </c>
      <c r="J26474" t="s">
        <v>8704</v>
      </c>
    </row>
    <row r="26475" spans="9:10" x14ac:dyDescent="0.3">
      <c r="I26475" t="s">
        <v>30786</v>
      </c>
      <c r="J26475" t="s">
        <v>8705</v>
      </c>
    </row>
    <row r="26476" spans="9:10" x14ac:dyDescent="0.3">
      <c r="I26476" t="s">
        <v>30787</v>
      </c>
      <c r="J26476" t="s">
        <v>8706</v>
      </c>
    </row>
    <row r="26477" spans="9:10" x14ac:dyDescent="0.3">
      <c r="I26477" t="s">
        <v>30788</v>
      </c>
      <c r="J26477" t="s">
        <v>8707</v>
      </c>
    </row>
    <row r="26478" spans="9:10" x14ac:dyDescent="0.3">
      <c r="I26478" t="s">
        <v>30789</v>
      </c>
      <c r="J26478" t="s">
        <v>8708</v>
      </c>
    </row>
    <row r="26479" spans="9:10" x14ac:dyDescent="0.3">
      <c r="I26479" t="s">
        <v>30790</v>
      </c>
      <c r="J26479" t="s">
        <v>8709</v>
      </c>
    </row>
    <row r="26480" spans="9:10" x14ac:dyDescent="0.3">
      <c r="I26480" t="s">
        <v>30791</v>
      </c>
      <c r="J26480" t="s">
        <v>8710</v>
      </c>
    </row>
    <row r="26481" spans="9:10" x14ac:dyDescent="0.3">
      <c r="I26481" t="s">
        <v>30792</v>
      </c>
      <c r="J26481" t="s">
        <v>8711</v>
      </c>
    </row>
    <row r="26482" spans="9:10" x14ac:dyDescent="0.3">
      <c r="I26482" t="s">
        <v>30793</v>
      </c>
      <c r="J26482" t="s">
        <v>8712</v>
      </c>
    </row>
    <row r="26483" spans="9:10" x14ac:dyDescent="0.3">
      <c r="I26483" t="s">
        <v>30794</v>
      </c>
      <c r="J26483" t="s">
        <v>8713</v>
      </c>
    </row>
    <row r="26484" spans="9:10" x14ac:dyDescent="0.3">
      <c r="I26484" t="s">
        <v>30795</v>
      </c>
      <c r="J26484" t="s">
        <v>8714</v>
      </c>
    </row>
    <row r="26485" spans="9:10" x14ac:dyDescent="0.3">
      <c r="I26485" t="s">
        <v>30796</v>
      </c>
      <c r="J26485" t="s">
        <v>6599</v>
      </c>
    </row>
    <row r="26486" spans="9:10" x14ac:dyDescent="0.3">
      <c r="I26486" t="s">
        <v>30796</v>
      </c>
      <c r="J26486" t="s">
        <v>6599</v>
      </c>
    </row>
    <row r="26487" spans="9:10" x14ac:dyDescent="0.3">
      <c r="I26487" t="s">
        <v>30797</v>
      </c>
      <c r="J26487" t="s">
        <v>8715</v>
      </c>
    </row>
    <row r="26488" spans="9:10" x14ac:dyDescent="0.3">
      <c r="I26488" t="s">
        <v>30797</v>
      </c>
      <c r="J26488" t="s">
        <v>8715</v>
      </c>
    </row>
    <row r="26489" spans="9:10" x14ac:dyDescent="0.3">
      <c r="I26489" t="s">
        <v>30798</v>
      </c>
      <c r="J26489" t="s">
        <v>8716</v>
      </c>
    </row>
    <row r="26490" spans="9:10" x14ac:dyDescent="0.3">
      <c r="I26490" t="s">
        <v>30799</v>
      </c>
      <c r="J26490" t="s">
        <v>8716</v>
      </c>
    </row>
    <row r="26491" spans="9:10" x14ac:dyDescent="0.3">
      <c r="I26491" t="s">
        <v>30800</v>
      </c>
      <c r="J26491" t="s">
        <v>8716</v>
      </c>
    </row>
    <row r="26492" spans="9:10" x14ac:dyDescent="0.3">
      <c r="I26492" t="s">
        <v>30801</v>
      </c>
      <c r="J26492" t="s">
        <v>8716</v>
      </c>
    </row>
    <row r="26493" spans="9:10" x14ac:dyDescent="0.3">
      <c r="I26493" t="s">
        <v>30802</v>
      </c>
      <c r="J26493" t="s">
        <v>8717</v>
      </c>
    </row>
    <row r="26494" spans="9:10" x14ac:dyDescent="0.3">
      <c r="I26494" t="s">
        <v>30803</v>
      </c>
      <c r="J26494" t="s">
        <v>8718</v>
      </c>
    </row>
    <row r="26495" spans="9:10" x14ac:dyDescent="0.3">
      <c r="I26495" t="s">
        <v>30804</v>
      </c>
    </row>
    <row r="26496" spans="9:10" x14ac:dyDescent="0.3">
      <c r="I26496" t="s">
        <v>30805</v>
      </c>
      <c r="J26496" t="s">
        <v>8719</v>
      </c>
    </row>
    <row r="26497" spans="9:10" x14ac:dyDescent="0.3">
      <c r="I26497" t="s">
        <v>30806</v>
      </c>
      <c r="J26497" t="s">
        <v>8720</v>
      </c>
    </row>
    <row r="26498" spans="9:10" x14ac:dyDescent="0.3">
      <c r="I26498" t="s">
        <v>30807</v>
      </c>
      <c r="J26498" t="s">
        <v>8721</v>
      </c>
    </row>
    <row r="26499" spans="9:10" x14ac:dyDescent="0.3">
      <c r="I26499" t="s">
        <v>30808</v>
      </c>
      <c r="J26499" t="s">
        <v>8722</v>
      </c>
    </row>
    <row r="26500" spans="9:10" x14ac:dyDescent="0.3">
      <c r="I26500" t="s">
        <v>30809</v>
      </c>
    </row>
    <row r="26501" spans="9:10" x14ac:dyDescent="0.3">
      <c r="I26501" t="s">
        <v>27383</v>
      </c>
      <c r="J26501" t="s">
        <v>7035</v>
      </c>
    </row>
    <row r="26502" spans="9:10" x14ac:dyDescent="0.3">
      <c r="I26502" t="s">
        <v>27381</v>
      </c>
      <c r="J26502" t="s">
        <v>7034</v>
      </c>
    </row>
    <row r="26503" spans="9:10" x14ac:dyDescent="0.3">
      <c r="I26503" t="s">
        <v>27339</v>
      </c>
      <c r="J26503" t="s">
        <v>7012</v>
      </c>
    </row>
    <row r="26504" spans="9:10" x14ac:dyDescent="0.3">
      <c r="I26504" t="s">
        <v>27765</v>
      </c>
      <c r="J26504" t="s">
        <v>7217</v>
      </c>
    </row>
    <row r="26505" spans="9:10" x14ac:dyDescent="0.3">
      <c r="I26505" t="s">
        <v>16498</v>
      </c>
      <c r="J26505" t="s">
        <v>3832</v>
      </c>
    </row>
    <row r="26506" spans="9:10" x14ac:dyDescent="0.3">
      <c r="I26506" t="s">
        <v>27762</v>
      </c>
      <c r="J26506" t="s">
        <v>7216</v>
      </c>
    </row>
    <row r="26507" spans="9:10" x14ac:dyDescent="0.3">
      <c r="I26507" t="s">
        <v>30810</v>
      </c>
      <c r="J26507" t="s">
        <v>8723</v>
      </c>
    </row>
    <row r="26508" spans="9:10" x14ac:dyDescent="0.3">
      <c r="I26508" t="s">
        <v>30811</v>
      </c>
      <c r="J26508" t="s">
        <v>7438</v>
      </c>
    </row>
    <row r="26509" spans="9:10" x14ac:dyDescent="0.3">
      <c r="I26509" t="s">
        <v>30812</v>
      </c>
    </row>
    <row r="26510" spans="9:10" x14ac:dyDescent="0.3">
      <c r="I26510" t="s">
        <v>30813</v>
      </c>
    </row>
    <row r="26511" spans="9:10" x14ac:dyDescent="0.3">
      <c r="I26511" t="s">
        <v>30814</v>
      </c>
    </row>
    <row r="26512" spans="9:10" x14ac:dyDescent="0.3">
      <c r="I26512" t="s">
        <v>30815</v>
      </c>
      <c r="J26512" t="s">
        <v>8724</v>
      </c>
    </row>
    <row r="26513" spans="9:10" x14ac:dyDescent="0.3">
      <c r="I26513" t="s">
        <v>30816</v>
      </c>
      <c r="J26513" t="s">
        <v>8724</v>
      </c>
    </row>
    <row r="26514" spans="9:10" x14ac:dyDescent="0.3">
      <c r="I26514" t="s">
        <v>30817</v>
      </c>
      <c r="J26514" t="s">
        <v>8725</v>
      </c>
    </row>
    <row r="26515" spans="9:10" x14ac:dyDescent="0.3">
      <c r="I26515" t="s">
        <v>30818</v>
      </c>
      <c r="J26515" t="s">
        <v>8726</v>
      </c>
    </row>
    <row r="26516" spans="9:10" x14ac:dyDescent="0.3">
      <c r="I26516" t="s">
        <v>30819</v>
      </c>
    </row>
    <row r="26517" spans="9:10" x14ac:dyDescent="0.3">
      <c r="I26517" t="s">
        <v>30820</v>
      </c>
    </row>
    <row r="26518" spans="9:10" x14ac:dyDescent="0.3">
      <c r="I26518" t="s">
        <v>30820</v>
      </c>
    </row>
    <row r="26519" spans="9:10" x14ac:dyDescent="0.3">
      <c r="I26519" t="s">
        <v>30821</v>
      </c>
      <c r="J26519" t="s">
        <v>8727</v>
      </c>
    </row>
    <row r="26520" spans="9:10" x14ac:dyDescent="0.3">
      <c r="I26520" t="s">
        <v>30822</v>
      </c>
      <c r="J26520" t="s">
        <v>8728</v>
      </c>
    </row>
    <row r="26521" spans="9:10" x14ac:dyDescent="0.3">
      <c r="I26521" t="s">
        <v>30823</v>
      </c>
    </row>
    <row r="26522" spans="9:10" x14ac:dyDescent="0.3">
      <c r="I26522" t="s">
        <v>15456</v>
      </c>
      <c r="J26522" t="s">
        <v>246</v>
      </c>
    </row>
    <row r="26523" spans="9:10" x14ac:dyDescent="0.3">
      <c r="I26523" t="s">
        <v>30824</v>
      </c>
      <c r="J26523" t="s">
        <v>8729</v>
      </c>
    </row>
    <row r="26524" spans="9:10" x14ac:dyDescent="0.3">
      <c r="I26524" t="s">
        <v>30825</v>
      </c>
      <c r="J26524" t="s">
        <v>8730</v>
      </c>
    </row>
    <row r="26525" spans="9:10" x14ac:dyDescent="0.3">
      <c r="I26525" t="s">
        <v>30825</v>
      </c>
      <c r="J26525" t="s">
        <v>8730</v>
      </c>
    </row>
    <row r="26526" spans="9:10" x14ac:dyDescent="0.3">
      <c r="I26526" t="s">
        <v>30826</v>
      </c>
      <c r="J26526" t="s">
        <v>8731</v>
      </c>
    </row>
    <row r="26527" spans="9:10" x14ac:dyDescent="0.3">
      <c r="I26527" t="s">
        <v>30827</v>
      </c>
      <c r="J26527" t="s">
        <v>8731</v>
      </c>
    </row>
    <row r="26528" spans="9:10" x14ac:dyDescent="0.3">
      <c r="I26528" t="s">
        <v>30828</v>
      </c>
    </row>
    <row r="26529" spans="9:10" x14ac:dyDescent="0.3">
      <c r="I26529" t="s">
        <v>30829</v>
      </c>
    </row>
    <row r="26530" spans="9:10" x14ac:dyDescent="0.3">
      <c r="I26530" t="s">
        <v>30830</v>
      </c>
    </row>
    <row r="26531" spans="9:10" x14ac:dyDescent="0.3">
      <c r="I26531" t="s">
        <v>30831</v>
      </c>
      <c r="J26531" t="s">
        <v>8732</v>
      </c>
    </row>
    <row r="26532" spans="9:10" x14ac:dyDescent="0.3">
      <c r="I26532" t="s">
        <v>30832</v>
      </c>
    </row>
    <row r="26533" spans="9:10" x14ac:dyDescent="0.3">
      <c r="I26533" t="s">
        <v>30833</v>
      </c>
      <c r="J26533" t="s">
        <v>8733</v>
      </c>
    </row>
    <row r="26534" spans="9:10" x14ac:dyDescent="0.3">
      <c r="I26534" t="s">
        <v>30834</v>
      </c>
      <c r="J26534" t="s">
        <v>8734</v>
      </c>
    </row>
    <row r="26535" spans="9:10" x14ac:dyDescent="0.3">
      <c r="I26535" t="s">
        <v>30835</v>
      </c>
      <c r="J26535" t="s">
        <v>8734</v>
      </c>
    </row>
    <row r="26536" spans="9:10" x14ac:dyDescent="0.3">
      <c r="I26536" t="s">
        <v>30836</v>
      </c>
    </row>
    <row r="26537" spans="9:10" x14ac:dyDescent="0.3">
      <c r="I26537" t="s">
        <v>30837</v>
      </c>
    </row>
    <row r="26538" spans="9:10" x14ac:dyDescent="0.3">
      <c r="I26538" t="s">
        <v>30838</v>
      </c>
      <c r="J26538" t="s">
        <v>8735</v>
      </c>
    </row>
    <row r="26539" spans="9:10" x14ac:dyDescent="0.3">
      <c r="I26539" t="s">
        <v>30839</v>
      </c>
      <c r="J26539" t="s">
        <v>8736</v>
      </c>
    </row>
    <row r="26540" spans="9:10" x14ac:dyDescent="0.3">
      <c r="I26540" t="s">
        <v>30840</v>
      </c>
      <c r="J26540" t="s">
        <v>8737</v>
      </c>
    </row>
    <row r="26541" spans="9:10" x14ac:dyDescent="0.3">
      <c r="I26541" t="s">
        <v>30840</v>
      </c>
      <c r="J26541" t="s">
        <v>8737</v>
      </c>
    </row>
    <row r="26542" spans="9:10" x14ac:dyDescent="0.3">
      <c r="I26542" t="s">
        <v>30841</v>
      </c>
    </row>
    <row r="26543" spans="9:10" x14ac:dyDescent="0.3">
      <c r="I26543" t="s">
        <v>30842</v>
      </c>
    </row>
    <row r="26544" spans="9:10" x14ac:dyDescent="0.3">
      <c r="I26544" t="s">
        <v>30843</v>
      </c>
      <c r="J26544" t="s">
        <v>8738</v>
      </c>
    </row>
    <row r="26545" spans="9:10" x14ac:dyDescent="0.3">
      <c r="I26545" t="s">
        <v>30844</v>
      </c>
    </row>
    <row r="26546" spans="9:10" x14ac:dyDescent="0.3">
      <c r="I26546" t="s">
        <v>30845</v>
      </c>
    </row>
    <row r="26547" spans="9:10" x14ac:dyDescent="0.3">
      <c r="I26547" t="s">
        <v>30846</v>
      </c>
    </row>
    <row r="26548" spans="9:10" x14ac:dyDescent="0.3">
      <c r="I26548" t="s">
        <v>30847</v>
      </c>
      <c r="J26548" t="s">
        <v>8739</v>
      </c>
    </row>
    <row r="26549" spans="9:10" x14ac:dyDescent="0.3">
      <c r="I26549" t="s">
        <v>30848</v>
      </c>
      <c r="J26549" t="s">
        <v>8740</v>
      </c>
    </row>
    <row r="26550" spans="9:10" x14ac:dyDescent="0.3">
      <c r="I26550" t="s">
        <v>30849</v>
      </c>
      <c r="J26550" t="s">
        <v>222</v>
      </c>
    </row>
    <row r="26551" spans="9:10" x14ac:dyDescent="0.3">
      <c r="I26551" t="s">
        <v>30850</v>
      </c>
      <c r="J26551" t="s">
        <v>222</v>
      </c>
    </row>
    <row r="26552" spans="9:10" x14ac:dyDescent="0.3">
      <c r="I26552" t="s">
        <v>30851</v>
      </c>
      <c r="J26552" t="s">
        <v>8741</v>
      </c>
    </row>
    <row r="26553" spans="9:10" x14ac:dyDescent="0.3">
      <c r="I26553" t="s">
        <v>30852</v>
      </c>
    </row>
    <row r="26554" spans="9:10" x14ac:dyDescent="0.3">
      <c r="I26554" t="s">
        <v>30853</v>
      </c>
    </row>
    <row r="26555" spans="9:10" x14ac:dyDescent="0.3">
      <c r="I26555" t="s">
        <v>30854</v>
      </c>
    </row>
    <row r="26556" spans="9:10" x14ac:dyDescent="0.3">
      <c r="I26556" t="s">
        <v>30855</v>
      </c>
      <c r="J26556" t="s">
        <v>476</v>
      </c>
    </row>
    <row r="26557" spans="9:10" x14ac:dyDescent="0.3">
      <c r="I26557" t="s">
        <v>30855</v>
      </c>
      <c r="J26557" t="s">
        <v>476</v>
      </c>
    </row>
    <row r="26558" spans="9:10" x14ac:dyDescent="0.3">
      <c r="I26558" t="s">
        <v>30855</v>
      </c>
      <c r="J26558" t="s">
        <v>476</v>
      </c>
    </row>
    <row r="26559" spans="9:10" x14ac:dyDescent="0.3">
      <c r="I26559" t="s">
        <v>30855</v>
      </c>
      <c r="J26559" t="s">
        <v>476</v>
      </c>
    </row>
    <row r="26560" spans="9:10" x14ac:dyDescent="0.3">
      <c r="I26560" t="s">
        <v>30855</v>
      </c>
      <c r="J26560" t="s">
        <v>476</v>
      </c>
    </row>
    <row r="26561" spans="9:10" x14ac:dyDescent="0.3">
      <c r="I26561" t="s">
        <v>30856</v>
      </c>
      <c r="J26561" t="s">
        <v>221</v>
      </c>
    </row>
    <row r="26562" spans="9:10" x14ac:dyDescent="0.3">
      <c r="I26562" t="s">
        <v>30856</v>
      </c>
      <c r="J26562" t="s">
        <v>221</v>
      </c>
    </row>
    <row r="26563" spans="9:10" x14ac:dyDescent="0.3">
      <c r="I26563" t="s">
        <v>30857</v>
      </c>
      <c r="J26563" t="s">
        <v>8742</v>
      </c>
    </row>
    <row r="26564" spans="9:10" x14ac:dyDescent="0.3">
      <c r="I26564" t="s">
        <v>30858</v>
      </c>
      <c r="J26564" t="s">
        <v>8743</v>
      </c>
    </row>
    <row r="26565" spans="9:10" x14ac:dyDescent="0.3">
      <c r="I26565" t="s">
        <v>30859</v>
      </c>
      <c r="J26565" t="s">
        <v>8744</v>
      </c>
    </row>
    <row r="26566" spans="9:10" x14ac:dyDescent="0.3">
      <c r="I26566" t="s">
        <v>30860</v>
      </c>
    </row>
    <row r="26567" spans="9:10" x14ac:dyDescent="0.3">
      <c r="I26567" t="s">
        <v>30861</v>
      </c>
    </row>
    <row r="26568" spans="9:10" x14ac:dyDescent="0.3">
      <c r="I26568" t="s">
        <v>30862</v>
      </c>
      <c r="J26568" t="s">
        <v>8745</v>
      </c>
    </row>
    <row r="26569" spans="9:10" x14ac:dyDescent="0.3">
      <c r="I26569" t="s">
        <v>30863</v>
      </c>
      <c r="J26569" t="s">
        <v>8746</v>
      </c>
    </row>
    <row r="26570" spans="9:10" x14ac:dyDescent="0.3">
      <c r="I26570" t="s">
        <v>30864</v>
      </c>
    </row>
    <row r="26571" spans="9:10" x14ac:dyDescent="0.3">
      <c r="I26571" t="s">
        <v>30865</v>
      </c>
    </row>
    <row r="26572" spans="9:10" x14ac:dyDescent="0.3">
      <c r="I26572" t="s">
        <v>30866</v>
      </c>
    </row>
    <row r="26573" spans="9:10" x14ac:dyDescent="0.3">
      <c r="I26573" t="s">
        <v>30867</v>
      </c>
      <c r="J26573" t="s">
        <v>8747</v>
      </c>
    </row>
    <row r="26574" spans="9:10" x14ac:dyDescent="0.3">
      <c r="I26574" t="s">
        <v>30868</v>
      </c>
      <c r="J26574" t="s">
        <v>8748</v>
      </c>
    </row>
    <row r="26575" spans="9:10" x14ac:dyDescent="0.3">
      <c r="I26575" t="s">
        <v>30869</v>
      </c>
      <c r="J26575" t="s">
        <v>8749</v>
      </c>
    </row>
    <row r="26576" spans="9:10" x14ac:dyDescent="0.3">
      <c r="I26576" t="s">
        <v>30870</v>
      </c>
      <c r="J26576" t="s">
        <v>8750</v>
      </c>
    </row>
    <row r="26577" spans="9:10" x14ac:dyDescent="0.3">
      <c r="I26577" t="s">
        <v>30871</v>
      </c>
      <c r="J26577" t="s">
        <v>8751</v>
      </c>
    </row>
    <row r="26578" spans="9:10" x14ac:dyDescent="0.3">
      <c r="I26578" t="s">
        <v>30872</v>
      </c>
      <c r="J26578" t="s">
        <v>8752</v>
      </c>
    </row>
    <row r="26579" spans="9:10" x14ac:dyDescent="0.3">
      <c r="I26579" t="s">
        <v>30873</v>
      </c>
    </row>
    <row r="26580" spans="9:10" x14ac:dyDescent="0.3">
      <c r="I26580" t="s">
        <v>30874</v>
      </c>
    </row>
    <row r="26581" spans="9:10" x14ac:dyDescent="0.3">
      <c r="I26581" t="s">
        <v>30875</v>
      </c>
      <c r="J26581" t="s">
        <v>8753</v>
      </c>
    </row>
    <row r="26582" spans="9:10" x14ac:dyDescent="0.3">
      <c r="I26582" t="s">
        <v>30876</v>
      </c>
      <c r="J26582" t="s">
        <v>8753</v>
      </c>
    </row>
    <row r="26583" spans="9:10" x14ac:dyDescent="0.3">
      <c r="I26583" t="s">
        <v>30877</v>
      </c>
      <c r="J26583" t="s">
        <v>8753</v>
      </c>
    </row>
    <row r="26584" spans="9:10" x14ac:dyDescent="0.3">
      <c r="I26584" t="s">
        <v>30878</v>
      </c>
      <c r="J26584" t="s">
        <v>8754</v>
      </c>
    </row>
    <row r="26585" spans="9:10" x14ac:dyDescent="0.3">
      <c r="I26585" t="s">
        <v>30879</v>
      </c>
      <c r="J26585" t="s">
        <v>8755</v>
      </c>
    </row>
    <row r="26586" spans="9:10" x14ac:dyDescent="0.3">
      <c r="I26586" t="s">
        <v>30880</v>
      </c>
    </row>
    <row r="26587" spans="9:10" x14ac:dyDescent="0.3">
      <c r="I26587" t="s">
        <v>30881</v>
      </c>
    </row>
    <row r="26588" spans="9:10" x14ac:dyDescent="0.3">
      <c r="I26588" t="s">
        <v>30882</v>
      </c>
    </row>
    <row r="26589" spans="9:10" x14ac:dyDescent="0.3">
      <c r="I26589" t="s">
        <v>30883</v>
      </c>
    </row>
    <row r="26590" spans="9:10" x14ac:dyDescent="0.3">
      <c r="I26590" t="s">
        <v>30884</v>
      </c>
    </row>
    <row r="26591" spans="9:10" x14ac:dyDescent="0.3">
      <c r="I26591" t="s">
        <v>30885</v>
      </c>
    </row>
    <row r="26592" spans="9:10" x14ac:dyDescent="0.3">
      <c r="I26592" t="s">
        <v>30886</v>
      </c>
      <c r="J26592" t="s">
        <v>8756</v>
      </c>
    </row>
    <row r="26593" spans="9:10" x14ac:dyDescent="0.3">
      <c r="I26593" t="s">
        <v>30887</v>
      </c>
      <c r="J26593" t="s">
        <v>8757</v>
      </c>
    </row>
    <row r="26594" spans="9:10" x14ac:dyDescent="0.3">
      <c r="I26594" t="s">
        <v>30888</v>
      </c>
      <c r="J26594" t="s">
        <v>8757</v>
      </c>
    </row>
    <row r="26595" spans="9:10" x14ac:dyDescent="0.3">
      <c r="I26595" t="s">
        <v>30889</v>
      </c>
    </row>
    <row r="26596" spans="9:10" x14ac:dyDescent="0.3">
      <c r="I26596" t="s">
        <v>30890</v>
      </c>
      <c r="J26596" t="s">
        <v>8758</v>
      </c>
    </row>
    <row r="26597" spans="9:10" x14ac:dyDescent="0.3">
      <c r="I26597" t="s">
        <v>30891</v>
      </c>
      <c r="J26597" t="s">
        <v>8759</v>
      </c>
    </row>
    <row r="26598" spans="9:10" x14ac:dyDescent="0.3">
      <c r="I26598" t="s">
        <v>30892</v>
      </c>
      <c r="J26598" t="s">
        <v>8760</v>
      </c>
    </row>
    <row r="26599" spans="9:10" x14ac:dyDescent="0.3">
      <c r="I26599" t="s">
        <v>30893</v>
      </c>
      <c r="J26599" t="s">
        <v>8761</v>
      </c>
    </row>
    <row r="26600" spans="9:10" x14ac:dyDescent="0.3">
      <c r="I26600" t="s">
        <v>30893</v>
      </c>
      <c r="J26600" t="s">
        <v>8761</v>
      </c>
    </row>
    <row r="26601" spans="9:10" x14ac:dyDescent="0.3">
      <c r="I26601" t="s">
        <v>30894</v>
      </c>
      <c r="J26601" t="s">
        <v>8762</v>
      </c>
    </row>
    <row r="26602" spans="9:10" x14ac:dyDescent="0.3">
      <c r="I26602" t="s">
        <v>30895</v>
      </c>
      <c r="J26602" t="s">
        <v>8762</v>
      </c>
    </row>
    <row r="26603" spans="9:10" x14ac:dyDescent="0.3">
      <c r="I26603" t="s">
        <v>30894</v>
      </c>
      <c r="J26603" t="s">
        <v>8762</v>
      </c>
    </row>
    <row r="26604" spans="9:10" x14ac:dyDescent="0.3">
      <c r="I26604" t="s">
        <v>30896</v>
      </c>
      <c r="J26604" t="s">
        <v>8763</v>
      </c>
    </row>
    <row r="26605" spans="9:10" x14ac:dyDescent="0.3">
      <c r="I26605" t="s">
        <v>30896</v>
      </c>
      <c r="J26605" t="s">
        <v>8763</v>
      </c>
    </row>
    <row r="26606" spans="9:10" x14ac:dyDescent="0.3">
      <c r="I26606" t="s">
        <v>30897</v>
      </c>
      <c r="J26606" t="s">
        <v>8764</v>
      </c>
    </row>
    <row r="26607" spans="9:10" x14ac:dyDescent="0.3">
      <c r="I26607" t="s">
        <v>30898</v>
      </c>
    </row>
    <row r="26608" spans="9:10" x14ac:dyDescent="0.3">
      <c r="I26608" t="s">
        <v>30899</v>
      </c>
    </row>
    <row r="26609" spans="9:10" x14ac:dyDescent="0.3">
      <c r="I26609" t="s">
        <v>30900</v>
      </c>
      <c r="J26609" t="s">
        <v>8765</v>
      </c>
    </row>
    <row r="26610" spans="9:10" x14ac:dyDescent="0.3">
      <c r="I26610" t="s">
        <v>30901</v>
      </c>
      <c r="J26610" t="s">
        <v>8766</v>
      </c>
    </row>
    <row r="26611" spans="9:10" x14ac:dyDescent="0.3">
      <c r="I26611" t="s">
        <v>30902</v>
      </c>
      <c r="J26611" t="s">
        <v>1575</v>
      </c>
    </row>
    <row r="26612" spans="9:10" x14ac:dyDescent="0.3">
      <c r="I26612" t="s">
        <v>30903</v>
      </c>
      <c r="J26612" t="s">
        <v>1575</v>
      </c>
    </row>
    <row r="26613" spans="9:10" x14ac:dyDescent="0.3">
      <c r="I26613" t="s">
        <v>30904</v>
      </c>
      <c r="J26613" t="s">
        <v>8767</v>
      </c>
    </row>
    <row r="26614" spans="9:10" x14ac:dyDescent="0.3">
      <c r="I26614" t="s">
        <v>30905</v>
      </c>
      <c r="J26614" t="s">
        <v>8768</v>
      </c>
    </row>
    <row r="26615" spans="9:10" x14ac:dyDescent="0.3">
      <c r="I26615" t="s">
        <v>27378</v>
      </c>
      <c r="J26615" t="s">
        <v>7033</v>
      </c>
    </row>
    <row r="26616" spans="9:10" x14ac:dyDescent="0.3">
      <c r="I26616" t="s">
        <v>30906</v>
      </c>
      <c r="J26616" t="s">
        <v>8769</v>
      </c>
    </row>
    <row r="26617" spans="9:10" x14ac:dyDescent="0.3">
      <c r="I26617" t="s">
        <v>30907</v>
      </c>
      <c r="J26617" t="s">
        <v>8770</v>
      </c>
    </row>
    <row r="26618" spans="9:10" x14ac:dyDescent="0.3">
      <c r="I26618" t="s">
        <v>30908</v>
      </c>
      <c r="J26618" t="s">
        <v>8771</v>
      </c>
    </row>
    <row r="26619" spans="9:10" x14ac:dyDescent="0.3">
      <c r="I26619" t="s">
        <v>30909</v>
      </c>
      <c r="J26619" t="s">
        <v>8772</v>
      </c>
    </row>
    <row r="26620" spans="9:10" x14ac:dyDescent="0.3">
      <c r="I26620" t="s">
        <v>30910</v>
      </c>
    </row>
    <row r="26621" spans="9:10" x14ac:dyDescent="0.3">
      <c r="I26621" t="s">
        <v>30911</v>
      </c>
    </row>
    <row r="26622" spans="9:10" x14ac:dyDescent="0.3">
      <c r="I26622" t="s">
        <v>30912</v>
      </c>
    </row>
    <row r="26623" spans="9:10" x14ac:dyDescent="0.3">
      <c r="I26623" t="s">
        <v>30913</v>
      </c>
    </row>
    <row r="26624" spans="9:10" x14ac:dyDescent="0.3">
      <c r="I26624" t="s">
        <v>30914</v>
      </c>
    </row>
    <row r="26625" spans="9:10" x14ac:dyDescent="0.3">
      <c r="I26625" t="s">
        <v>30915</v>
      </c>
      <c r="J26625" t="s">
        <v>3945</v>
      </c>
    </row>
    <row r="26626" spans="9:10" x14ac:dyDescent="0.3">
      <c r="I26626" t="s">
        <v>30916</v>
      </c>
      <c r="J26626" t="s">
        <v>8773</v>
      </c>
    </row>
    <row r="26627" spans="9:10" x14ac:dyDescent="0.3">
      <c r="I26627" t="s">
        <v>30917</v>
      </c>
      <c r="J26627" t="s">
        <v>8774</v>
      </c>
    </row>
    <row r="26628" spans="9:10" x14ac:dyDescent="0.3">
      <c r="I26628" t="s">
        <v>30918</v>
      </c>
      <c r="J26628" t="s">
        <v>8775</v>
      </c>
    </row>
    <row r="26629" spans="9:10" x14ac:dyDescent="0.3">
      <c r="I26629" t="s">
        <v>30919</v>
      </c>
      <c r="J26629" t="s">
        <v>8776</v>
      </c>
    </row>
    <row r="26630" spans="9:10" x14ac:dyDescent="0.3">
      <c r="I26630" t="s">
        <v>30920</v>
      </c>
      <c r="J26630" t="s">
        <v>8777</v>
      </c>
    </row>
    <row r="26631" spans="9:10" x14ac:dyDescent="0.3">
      <c r="I26631" t="s">
        <v>30921</v>
      </c>
    </row>
    <row r="26632" spans="9:10" x14ac:dyDescent="0.3">
      <c r="I26632" t="s">
        <v>30922</v>
      </c>
      <c r="J26632" t="s">
        <v>8778</v>
      </c>
    </row>
    <row r="26633" spans="9:10" x14ac:dyDescent="0.3">
      <c r="I26633" t="s">
        <v>30923</v>
      </c>
      <c r="J26633" t="s">
        <v>8779</v>
      </c>
    </row>
    <row r="26634" spans="9:10" x14ac:dyDescent="0.3">
      <c r="I26634" t="s">
        <v>30924</v>
      </c>
      <c r="J26634" t="s">
        <v>8780</v>
      </c>
    </row>
    <row r="26635" spans="9:10" x14ac:dyDescent="0.3">
      <c r="I26635" t="s">
        <v>30925</v>
      </c>
      <c r="J26635" t="s">
        <v>8781</v>
      </c>
    </row>
    <row r="26636" spans="9:10" x14ac:dyDescent="0.3">
      <c r="I26636" t="s">
        <v>30925</v>
      </c>
      <c r="J26636" t="s">
        <v>8781</v>
      </c>
    </row>
    <row r="26637" spans="9:10" x14ac:dyDescent="0.3">
      <c r="I26637" t="s">
        <v>30926</v>
      </c>
      <c r="J26637" t="s">
        <v>8782</v>
      </c>
    </row>
    <row r="26638" spans="9:10" x14ac:dyDescent="0.3">
      <c r="I26638" t="s">
        <v>30927</v>
      </c>
    </row>
    <row r="26639" spans="9:10" x14ac:dyDescent="0.3">
      <c r="I26639" t="s">
        <v>30928</v>
      </c>
    </row>
    <row r="26640" spans="9:10" x14ac:dyDescent="0.3">
      <c r="I26640" t="s">
        <v>30929</v>
      </c>
      <c r="J26640" t="s">
        <v>935</v>
      </c>
    </row>
    <row r="26641" spans="9:10" x14ac:dyDescent="0.3">
      <c r="I26641" t="s">
        <v>30930</v>
      </c>
    </row>
    <row r="26642" spans="9:10" x14ac:dyDescent="0.3">
      <c r="I26642" t="s">
        <v>30931</v>
      </c>
    </row>
    <row r="26643" spans="9:10" x14ac:dyDescent="0.3">
      <c r="I26643" t="s">
        <v>30932</v>
      </c>
    </row>
    <row r="26644" spans="9:10" x14ac:dyDescent="0.3">
      <c r="I26644" t="s">
        <v>30933</v>
      </c>
      <c r="J26644" t="s">
        <v>8783</v>
      </c>
    </row>
    <row r="26645" spans="9:10" x14ac:dyDescent="0.3">
      <c r="I26645" t="s">
        <v>30934</v>
      </c>
      <c r="J26645" t="s">
        <v>8784</v>
      </c>
    </row>
    <row r="26646" spans="9:10" x14ac:dyDescent="0.3">
      <c r="I26646" t="s">
        <v>30935</v>
      </c>
      <c r="J26646" t="s">
        <v>3142</v>
      </c>
    </row>
    <row r="26647" spans="9:10" x14ac:dyDescent="0.3">
      <c r="I26647" t="s">
        <v>30935</v>
      </c>
      <c r="J26647" t="s">
        <v>3142</v>
      </c>
    </row>
    <row r="26648" spans="9:10" x14ac:dyDescent="0.3">
      <c r="I26648" t="s">
        <v>30936</v>
      </c>
      <c r="J26648" t="s">
        <v>8785</v>
      </c>
    </row>
    <row r="26649" spans="9:10" x14ac:dyDescent="0.3">
      <c r="I26649" t="s">
        <v>30937</v>
      </c>
    </row>
    <row r="26650" spans="9:10" x14ac:dyDescent="0.3">
      <c r="I26650" t="s">
        <v>30938</v>
      </c>
    </row>
    <row r="26651" spans="9:10" x14ac:dyDescent="0.3">
      <c r="I26651" t="s">
        <v>30939</v>
      </c>
      <c r="J26651" t="s">
        <v>8786</v>
      </c>
    </row>
    <row r="26652" spans="9:10" x14ac:dyDescent="0.3">
      <c r="I26652" t="s">
        <v>30940</v>
      </c>
    </row>
    <row r="26653" spans="9:10" x14ac:dyDescent="0.3">
      <c r="I26653" t="s">
        <v>14992</v>
      </c>
      <c r="J26653" t="s">
        <v>8787</v>
      </c>
    </row>
    <row r="26654" spans="9:10" x14ac:dyDescent="0.3">
      <c r="I26654" t="s">
        <v>30885</v>
      </c>
    </row>
    <row r="26655" spans="9:10" x14ac:dyDescent="0.3">
      <c r="I26655" t="s">
        <v>30941</v>
      </c>
      <c r="J26655" t="s">
        <v>867</v>
      </c>
    </row>
    <row r="26656" spans="9:10" x14ac:dyDescent="0.3">
      <c r="I26656" t="s">
        <v>30942</v>
      </c>
      <c r="J26656" t="s">
        <v>8788</v>
      </c>
    </row>
    <row r="26657" spans="9:10" x14ac:dyDescent="0.3">
      <c r="I26657" t="s">
        <v>30942</v>
      </c>
      <c r="J26657" t="s">
        <v>8788</v>
      </c>
    </row>
    <row r="26658" spans="9:10" x14ac:dyDescent="0.3">
      <c r="I26658" t="s">
        <v>30943</v>
      </c>
      <c r="J26658" t="s">
        <v>8789</v>
      </c>
    </row>
    <row r="26659" spans="9:10" x14ac:dyDescent="0.3">
      <c r="I26659" t="s">
        <v>30944</v>
      </c>
      <c r="J26659" t="s">
        <v>8790</v>
      </c>
    </row>
    <row r="26660" spans="9:10" x14ac:dyDescent="0.3">
      <c r="I26660" t="s">
        <v>30945</v>
      </c>
    </row>
    <row r="26661" spans="9:10" x14ac:dyDescent="0.3">
      <c r="I26661" t="s">
        <v>30946</v>
      </c>
    </row>
    <row r="26662" spans="9:10" x14ac:dyDescent="0.3">
      <c r="I26662" t="s">
        <v>30947</v>
      </c>
      <c r="J26662" t="s">
        <v>1968</v>
      </c>
    </row>
    <row r="26663" spans="9:10" x14ac:dyDescent="0.3">
      <c r="I26663" t="s">
        <v>30947</v>
      </c>
      <c r="J26663" t="s">
        <v>1968</v>
      </c>
    </row>
    <row r="26664" spans="9:10" x14ac:dyDescent="0.3">
      <c r="I26664" t="s">
        <v>30948</v>
      </c>
      <c r="J26664" t="s">
        <v>390</v>
      </c>
    </row>
    <row r="26665" spans="9:10" x14ac:dyDescent="0.3">
      <c r="I26665" t="s">
        <v>30949</v>
      </c>
      <c r="J26665" t="s">
        <v>8791</v>
      </c>
    </row>
    <row r="26666" spans="9:10" x14ac:dyDescent="0.3">
      <c r="I26666" t="s">
        <v>30950</v>
      </c>
      <c r="J26666" t="s">
        <v>8792</v>
      </c>
    </row>
    <row r="26667" spans="9:10" x14ac:dyDescent="0.3">
      <c r="I26667" t="s">
        <v>30951</v>
      </c>
    </row>
    <row r="26668" spans="9:10" x14ac:dyDescent="0.3">
      <c r="I26668" t="s">
        <v>30952</v>
      </c>
    </row>
    <row r="26669" spans="9:10" x14ac:dyDescent="0.3">
      <c r="I26669" t="s">
        <v>30953</v>
      </c>
      <c r="J26669" t="s">
        <v>8793</v>
      </c>
    </row>
    <row r="26670" spans="9:10" x14ac:dyDescent="0.3">
      <c r="I26670" t="s">
        <v>30954</v>
      </c>
      <c r="J26670" t="s">
        <v>8794</v>
      </c>
    </row>
    <row r="26671" spans="9:10" x14ac:dyDescent="0.3">
      <c r="I26671" t="s">
        <v>30955</v>
      </c>
      <c r="J26671" t="s">
        <v>8795</v>
      </c>
    </row>
    <row r="26672" spans="9:10" x14ac:dyDescent="0.3">
      <c r="I26672" t="s">
        <v>30955</v>
      </c>
      <c r="J26672" t="s">
        <v>8795</v>
      </c>
    </row>
    <row r="26673" spans="9:10" x14ac:dyDescent="0.3">
      <c r="I26673" t="s">
        <v>30956</v>
      </c>
      <c r="J26673" t="s">
        <v>415</v>
      </c>
    </row>
    <row r="26674" spans="9:10" x14ac:dyDescent="0.3">
      <c r="I26674" t="s">
        <v>30957</v>
      </c>
      <c r="J26674" t="s">
        <v>415</v>
      </c>
    </row>
    <row r="26675" spans="9:10" x14ac:dyDescent="0.3">
      <c r="I26675" t="s">
        <v>30956</v>
      </c>
      <c r="J26675" t="s">
        <v>415</v>
      </c>
    </row>
    <row r="26676" spans="9:10" x14ac:dyDescent="0.3">
      <c r="I26676" t="s">
        <v>30958</v>
      </c>
    </row>
    <row r="26677" spans="9:10" x14ac:dyDescent="0.3">
      <c r="I26677" t="s">
        <v>30959</v>
      </c>
    </row>
    <row r="26678" spans="9:10" x14ac:dyDescent="0.3">
      <c r="I26678" t="s">
        <v>30960</v>
      </c>
      <c r="J26678" t="s">
        <v>8796</v>
      </c>
    </row>
    <row r="26679" spans="9:10" x14ac:dyDescent="0.3">
      <c r="I26679" t="s">
        <v>30961</v>
      </c>
      <c r="J26679" t="s">
        <v>8797</v>
      </c>
    </row>
    <row r="26680" spans="9:10" x14ac:dyDescent="0.3">
      <c r="I26680" t="s">
        <v>30962</v>
      </c>
      <c r="J26680" t="s">
        <v>8797</v>
      </c>
    </row>
    <row r="26681" spans="9:10" x14ac:dyDescent="0.3">
      <c r="I26681" t="s">
        <v>30962</v>
      </c>
      <c r="J26681" t="s">
        <v>8797</v>
      </c>
    </row>
    <row r="26682" spans="9:10" x14ac:dyDescent="0.3">
      <c r="I26682" t="s">
        <v>30962</v>
      </c>
      <c r="J26682" t="s">
        <v>8797</v>
      </c>
    </row>
    <row r="26683" spans="9:10" x14ac:dyDescent="0.3">
      <c r="I26683" t="s">
        <v>30962</v>
      </c>
      <c r="J26683" t="s">
        <v>8797</v>
      </c>
    </row>
    <row r="26684" spans="9:10" x14ac:dyDescent="0.3">
      <c r="I26684" t="s">
        <v>30963</v>
      </c>
      <c r="J26684" t="s">
        <v>8797</v>
      </c>
    </row>
    <row r="26685" spans="9:10" x14ac:dyDescent="0.3">
      <c r="I26685" t="s">
        <v>30962</v>
      </c>
      <c r="J26685" t="s">
        <v>8797</v>
      </c>
    </row>
    <row r="26686" spans="9:10" x14ac:dyDescent="0.3">
      <c r="I26686" t="s">
        <v>30962</v>
      </c>
      <c r="J26686" t="s">
        <v>8797</v>
      </c>
    </row>
    <row r="26687" spans="9:10" x14ac:dyDescent="0.3">
      <c r="I26687" t="s">
        <v>30962</v>
      </c>
      <c r="J26687" t="s">
        <v>8797</v>
      </c>
    </row>
    <row r="26688" spans="9:10" x14ac:dyDescent="0.3">
      <c r="I26688" t="s">
        <v>30961</v>
      </c>
      <c r="J26688" t="s">
        <v>8797</v>
      </c>
    </row>
    <row r="26689" spans="9:10" x14ac:dyDescent="0.3">
      <c r="I26689" t="s">
        <v>30963</v>
      </c>
      <c r="J26689" t="s">
        <v>8797</v>
      </c>
    </row>
    <row r="26690" spans="9:10" x14ac:dyDescent="0.3">
      <c r="I26690" t="s">
        <v>30964</v>
      </c>
      <c r="J26690" t="s">
        <v>8798</v>
      </c>
    </row>
    <row r="26691" spans="9:10" x14ac:dyDescent="0.3">
      <c r="I26691" t="s">
        <v>30965</v>
      </c>
      <c r="J26691" t="s">
        <v>8799</v>
      </c>
    </row>
    <row r="26692" spans="9:10" x14ac:dyDescent="0.3">
      <c r="I26692" t="s">
        <v>30966</v>
      </c>
    </row>
    <row r="26693" spans="9:10" x14ac:dyDescent="0.3">
      <c r="I26693" t="s">
        <v>30967</v>
      </c>
    </row>
    <row r="26694" spans="9:10" x14ac:dyDescent="0.3">
      <c r="I26694" t="s">
        <v>30968</v>
      </c>
    </row>
    <row r="26695" spans="9:10" x14ac:dyDescent="0.3">
      <c r="I26695" t="s">
        <v>30969</v>
      </c>
    </row>
    <row r="26696" spans="9:10" x14ac:dyDescent="0.3">
      <c r="I26696" t="s">
        <v>30970</v>
      </c>
    </row>
    <row r="26697" spans="9:10" x14ac:dyDescent="0.3">
      <c r="I26697" t="s">
        <v>30971</v>
      </c>
    </row>
    <row r="26698" spans="9:10" x14ac:dyDescent="0.3">
      <c r="I26698" t="s">
        <v>30972</v>
      </c>
      <c r="J26698" t="s">
        <v>8800</v>
      </c>
    </row>
    <row r="26699" spans="9:10" x14ac:dyDescent="0.3">
      <c r="I26699" t="s">
        <v>30973</v>
      </c>
      <c r="J26699" t="s">
        <v>8801</v>
      </c>
    </row>
    <row r="26700" spans="9:10" x14ac:dyDescent="0.3">
      <c r="I26700" t="s">
        <v>30974</v>
      </c>
    </row>
    <row r="26701" spans="9:10" x14ac:dyDescent="0.3">
      <c r="I26701" t="s">
        <v>30975</v>
      </c>
      <c r="J26701" t="s">
        <v>8802</v>
      </c>
    </row>
    <row r="26702" spans="9:10" x14ac:dyDescent="0.3">
      <c r="I26702" t="s">
        <v>30976</v>
      </c>
      <c r="J26702" t="s">
        <v>8803</v>
      </c>
    </row>
    <row r="26703" spans="9:10" x14ac:dyDescent="0.3">
      <c r="I26703" t="s">
        <v>30977</v>
      </c>
    </row>
    <row r="26704" spans="9:10" x14ac:dyDescent="0.3">
      <c r="I26704" t="s">
        <v>30978</v>
      </c>
    </row>
    <row r="26705" spans="9:10" x14ac:dyDescent="0.3">
      <c r="I26705" t="s">
        <v>30979</v>
      </c>
    </row>
    <row r="26706" spans="9:10" x14ac:dyDescent="0.3">
      <c r="I26706" t="s">
        <v>30980</v>
      </c>
      <c r="J26706" t="s">
        <v>8804</v>
      </c>
    </row>
    <row r="26707" spans="9:10" x14ac:dyDescent="0.3">
      <c r="I26707" t="s">
        <v>30981</v>
      </c>
    </row>
    <row r="26708" spans="9:10" x14ac:dyDescent="0.3">
      <c r="I26708" t="s">
        <v>30982</v>
      </c>
      <c r="J26708" t="s">
        <v>8805</v>
      </c>
    </row>
    <row r="26709" spans="9:10" x14ac:dyDescent="0.3">
      <c r="I26709" t="s">
        <v>30983</v>
      </c>
    </row>
    <row r="26710" spans="9:10" x14ac:dyDescent="0.3">
      <c r="I26710" t="s">
        <v>30984</v>
      </c>
    </row>
    <row r="26711" spans="9:10" x14ac:dyDescent="0.3">
      <c r="I26711" t="s">
        <v>30985</v>
      </c>
    </row>
    <row r="26712" spans="9:10" x14ac:dyDescent="0.3">
      <c r="I26712" t="s">
        <v>30986</v>
      </c>
    </row>
    <row r="26713" spans="9:10" x14ac:dyDescent="0.3">
      <c r="I26713" t="s">
        <v>30987</v>
      </c>
    </row>
    <row r="26714" spans="9:10" x14ac:dyDescent="0.3">
      <c r="I26714" t="s">
        <v>30988</v>
      </c>
    </row>
    <row r="26715" spans="9:10" x14ac:dyDescent="0.3">
      <c r="I26715" t="s">
        <v>30989</v>
      </c>
    </row>
    <row r="26716" spans="9:10" x14ac:dyDescent="0.3">
      <c r="I26716" t="s">
        <v>30990</v>
      </c>
      <c r="J26716" t="s">
        <v>8806</v>
      </c>
    </row>
    <row r="26717" spans="9:10" x14ac:dyDescent="0.3">
      <c r="I26717" t="s">
        <v>30990</v>
      </c>
      <c r="J26717" t="s">
        <v>8806</v>
      </c>
    </row>
    <row r="26718" spans="9:10" x14ac:dyDescent="0.3">
      <c r="I26718" t="s">
        <v>30991</v>
      </c>
      <c r="J26718" t="s">
        <v>8807</v>
      </c>
    </row>
    <row r="26719" spans="9:10" x14ac:dyDescent="0.3">
      <c r="I26719" t="s">
        <v>30992</v>
      </c>
    </row>
    <row r="26720" spans="9:10" x14ac:dyDescent="0.3">
      <c r="I26720" t="s">
        <v>30993</v>
      </c>
    </row>
    <row r="26721" spans="9:10" x14ac:dyDescent="0.3">
      <c r="I26721" t="s">
        <v>30994</v>
      </c>
      <c r="J26721" t="s">
        <v>442</v>
      </c>
    </row>
    <row r="26722" spans="9:10" x14ac:dyDescent="0.3">
      <c r="I26722" t="s">
        <v>30995</v>
      </c>
      <c r="J26722" t="s">
        <v>8808</v>
      </c>
    </row>
    <row r="26723" spans="9:10" x14ac:dyDescent="0.3">
      <c r="I26723" t="s">
        <v>30996</v>
      </c>
      <c r="J26723" t="s">
        <v>8809</v>
      </c>
    </row>
    <row r="26724" spans="9:10" x14ac:dyDescent="0.3">
      <c r="I26724" t="s">
        <v>30997</v>
      </c>
      <c r="J26724" t="s">
        <v>211</v>
      </c>
    </row>
    <row r="26725" spans="9:10" x14ac:dyDescent="0.3">
      <c r="I26725" t="s">
        <v>30998</v>
      </c>
      <c r="J26725" t="s">
        <v>211</v>
      </c>
    </row>
    <row r="26726" spans="9:10" x14ac:dyDescent="0.3">
      <c r="I26726" t="s">
        <v>30999</v>
      </c>
    </row>
    <row r="26727" spans="9:10" x14ac:dyDescent="0.3">
      <c r="I26727" t="s">
        <v>31000</v>
      </c>
    </row>
    <row r="26728" spans="9:10" x14ac:dyDescent="0.3">
      <c r="I26728" t="s">
        <v>31001</v>
      </c>
    </row>
    <row r="26729" spans="9:10" x14ac:dyDescent="0.3">
      <c r="I26729" t="s">
        <v>31002</v>
      </c>
    </row>
    <row r="26730" spans="9:10" x14ac:dyDescent="0.3">
      <c r="I26730" t="s">
        <v>31003</v>
      </c>
    </row>
    <row r="26731" spans="9:10" x14ac:dyDescent="0.3">
      <c r="I26731" t="s">
        <v>31004</v>
      </c>
      <c r="J26731" t="s">
        <v>8810</v>
      </c>
    </row>
    <row r="26732" spans="9:10" x14ac:dyDescent="0.3">
      <c r="I26732" t="s">
        <v>31005</v>
      </c>
      <c r="J26732" t="s">
        <v>8811</v>
      </c>
    </row>
    <row r="26733" spans="9:10" x14ac:dyDescent="0.3">
      <c r="I26733" t="s">
        <v>31006</v>
      </c>
    </row>
    <row r="26734" spans="9:10" x14ac:dyDescent="0.3">
      <c r="I26734" t="s">
        <v>31007</v>
      </c>
    </row>
    <row r="26735" spans="9:10" x14ac:dyDescent="0.3">
      <c r="I26735" t="s">
        <v>31008</v>
      </c>
    </row>
    <row r="26736" spans="9:10" x14ac:dyDescent="0.3">
      <c r="I26736" t="s">
        <v>31009</v>
      </c>
    </row>
    <row r="26737" spans="9:10" x14ac:dyDescent="0.3">
      <c r="I26737" t="s">
        <v>31010</v>
      </c>
      <c r="J26737" t="s">
        <v>8812</v>
      </c>
    </row>
    <row r="26738" spans="9:10" x14ac:dyDescent="0.3">
      <c r="I26738" t="s">
        <v>31011</v>
      </c>
      <c r="J26738" t="s">
        <v>8813</v>
      </c>
    </row>
    <row r="26739" spans="9:10" x14ac:dyDescent="0.3">
      <c r="I26739" t="s">
        <v>31012</v>
      </c>
    </row>
    <row r="26740" spans="9:10" x14ac:dyDescent="0.3">
      <c r="I26740" t="s">
        <v>31013</v>
      </c>
    </row>
    <row r="26741" spans="9:10" x14ac:dyDescent="0.3">
      <c r="I26741" t="s">
        <v>31014</v>
      </c>
    </row>
    <row r="26742" spans="9:10" x14ac:dyDescent="0.3">
      <c r="I26742" t="s">
        <v>31015</v>
      </c>
    </row>
    <row r="26743" spans="9:10" x14ac:dyDescent="0.3">
      <c r="I26743" t="s">
        <v>31016</v>
      </c>
      <c r="J26743" t="s">
        <v>8814</v>
      </c>
    </row>
    <row r="26744" spans="9:10" x14ac:dyDescent="0.3">
      <c r="I26744" t="s">
        <v>31017</v>
      </c>
      <c r="J26744" t="s">
        <v>8815</v>
      </c>
    </row>
    <row r="26745" spans="9:10" x14ac:dyDescent="0.3">
      <c r="I26745" t="s">
        <v>31018</v>
      </c>
      <c r="J26745" t="s">
        <v>8816</v>
      </c>
    </row>
    <row r="26746" spans="9:10" x14ac:dyDescent="0.3">
      <c r="I26746" t="s">
        <v>31019</v>
      </c>
    </row>
    <row r="26747" spans="9:10" x14ac:dyDescent="0.3">
      <c r="I26747" t="s">
        <v>31020</v>
      </c>
    </row>
    <row r="26748" spans="9:10" x14ac:dyDescent="0.3">
      <c r="I26748" t="s">
        <v>31021</v>
      </c>
    </row>
    <row r="26749" spans="9:10" x14ac:dyDescent="0.3">
      <c r="I26749" t="s">
        <v>31022</v>
      </c>
    </row>
    <row r="26750" spans="9:10" x14ac:dyDescent="0.3">
      <c r="I26750" t="s">
        <v>31023</v>
      </c>
    </row>
    <row r="26751" spans="9:10" x14ac:dyDescent="0.3">
      <c r="I26751" t="s">
        <v>31024</v>
      </c>
    </row>
    <row r="26752" spans="9:10" x14ac:dyDescent="0.3">
      <c r="I26752" t="s">
        <v>31025</v>
      </c>
      <c r="J26752" t="s">
        <v>8817</v>
      </c>
    </row>
    <row r="26753" spans="9:10" x14ac:dyDescent="0.3">
      <c r="I26753" t="s">
        <v>31026</v>
      </c>
      <c r="J26753" t="s">
        <v>8818</v>
      </c>
    </row>
    <row r="26754" spans="9:10" x14ac:dyDescent="0.3">
      <c r="I26754" t="s">
        <v>31027</v>
      </c>
      <c r="J26754" t="s">
        <v>8819</v>
      </c>
    </row>
    <row r="26755" spans="9:10" x14ac:dyDescent="0.3">
      <c r="I26755" t="s">
        <v>31028</v>
      </c>
      <c r="J26755" t="s">
        <v>8820</v>
      </c>
    </row>
    <row r="26756" spans="9:10" x14ac:dyDescent="0.3">
      <c r="I26756" t="s">
        <v>31029</v>
      </c>
      <c r="J26756" t="s">
        <v>8821</v>
      </c>
    </row>
    <row r="26757" spans="9:10" x14ac:dyDescent="0.3">
      <c r="I26757" t="s">
        <v>31029</v>
      </c>
      <c r="J26757" t="s">
        <v>8821</v>
      </c>
    </row>
    <row r="26758" spans="9:10" x14ac:dyDescent="0.3">
      <c r="I26758" t="s">
        <v>31030</v>
      </c>
    </row>
    <row r="26759" spans="9:10" x14ac:dyDescent="0.3">
      <c r="I26759" t="s">
        <v>31031</v>
      </c>
    </row>
    <row r="26760" spans="9:10" x14ac:dyDescent="0.3">
      <c r="I26760" t="s">
        <v>31032</v>
      </c>
      <c r="J26760" t="s">
        <v>8822</v>
      </c>
    </row>
    <row r="26761" spans="9:10" x14ac:dyDescent="0.3">
      <c r="I26761" t="s">
        <v>31033</v>
      </c>
      <c r="J26761" t="s">
        <v>8823</v>
      </c>
    </row>
    <row r="26762" spans="9:10" x14ac:dyDescent="0.3">
      <c r="I26762" t="s">
        <v>31033</v>
      </c>
      <c r="J26762" t="s">
        <v>8823</v>
      </c>
    </row>
    <row r="26763" spans="9:10" x14ac:dyDescent="0.3">
      <c r="I26763" t="s">
        <v>31034</v>
      </c>
      <c r="J26763" t="s">
        <v>8824</v>
      </c>
    </row>
    <row r="26764" spans="9:10" x14ac:dyDescent="0.3">
      <c r="I26764" t="s">
        <v>31034</v>
      </c>
      <c r="J26764" t="s">
        <v>8824</v>
      </c>
    </row>
    <row r="26765" spans="9:10" x14ac:dyDescent="0.3">
      <c r="I26765" t="s">
        <v>31035</v>
      </c>
    </row>
    <row r="26766" spans="9:10" x14ac:dyDescent="0.3">
      <c r="I26766" t="s">
        <v>31036</v>
      </c>
    </row>
    <row r="26767" spans="9:10" x14ac:dyDescent="0.3">
      <c r="I26767" t="s">
        <v>31037</v>
      </c>
    </row>
    <row r="26768" spans="9:10" x14ac:dyDescent="0.3">
      <c r="I26768" t="s">
        <v>31038</v>
      </c>
    </row>
    <row r="26769" spans="9:10" x14ac:dyDescent="0.3">
      <c r="I26769" t="s">
        <v>31039</v>
      </c>
    </row>
    <row r="26770" spans="9:10" x14ac:dyDescent="0.3">
      <c r="I26770" t="s">
        <v>31040</v>
      </c>
    </row>
    <row r="26771" spans="9:10" x14ac:dyDescent="0.3">
      <c r="I26771" t="s">
        <v>31041</v>
      </c>
      <c r="J26771" t="s">
        <v>8825</v>
      </c>
    </row>
    <row r="26772" spans="9:10" x14ac:dyDescent="0.3">
      <c r="I26772" t="s">
        <v>31042</v>
      </c>
    </row>
    <row r="26773" spans="9:10" x14ac:dyDescent="0.3">
      <c r="I26773" t="s">
        <v>31043</v>
      </c>
    </row>
    <row r="26774" spans="9:10" x14ac:dyDescent="0.3">
      <c r="I26774" t="s">
        <v>31044</v>
      </c>
      <c r="J26774">
        <v>0</v>
      </c>
    </row>
    <row r="26775" spans="9:10" x14ac:dyDescent="0.3">
      <c r="I26775" t="s">
        <v>31045</v>
      </c>
      <c r="J26775" t="s">
        <v>8826</v>
      </c>
    </row>
    <row r="26776" spans="9:10" x14ac:dyDescent="0.3">
      <c r="I26776" t="s">
        <v>31046</v>
      </c>
      <c r="J26776" t="s">
        <v>8827</v>
      </c>
    </row>
    <row r="26777" spans="9:10" x14ac:dyDescent="0.3">
      <c r="I26777" t="s">
        <v>31047</v>
      </c>
    </row>
    <row r="26778" spans="9:10" x14ac:dyDescent="0.3">
      <c r="I26778" t="s">
        <v>31048</v>
      </c>
    </row>
    <row r="26779" spans="9:10" x14ac:dyDescent="0.3">
      <c r="I26779" t="s">
        <v>31049</v>
      </c>
      <c r="J26779" t="s">
        <v>8828</v>
      </c>
    </row>
    <row r="26780" spans="9:10" x14ac:dyDescent="0.3">
      <c r="I26780" t="s">
        <v>31050</v>
      </c>
    </row>
    <row r="26781" spans="9:10" x14ac:dyDescent="0.3">
      <c r="I26781" t="s">
        <v>31051</v>
      </c>
    </row>
    <row r="26782" spans="9:10" x14ac:dyDescent="0.3">
      <c r="I26782" t="s">
        <v>31052</v>
      </c>
    </row>
    <row r="26783" spans="9:10" x14ac:dyDescent="0.3">
      <c r="I26783" t="s">
        <v>31053</v>
      </c>
    </row>
    <row r="26784" spans="9:10" x14ac:dyDescent="0.3">
      <c r="I26784" t="s">
        <v>31054</v>
      </c>
      <c r="J26784">
        <v>0</v>
      </c>
    </row>
    <row r="26785" spans="9:10" x14ac:dyDescent="0.3">
      <c r="I26785" t="s">
        <v>31055</v>
      </c>
      <c r="J26785">
        <v>0</v>
      </c>
    </row>
    <row r="26786" spans="9:10" x14ac:dyDescent="0.3">
      <c r="I26786" t="s">
        <v>31054</v>
      </c>
      <c r="J26786">
        <v>0</v>
      </c>
    </row>
    <row r="26787" spans="9:10" x14ac:dyDescent="0.3">
      <c r="I26787" t="s">
        <v>31056</v>
      </c>
      <c r="J26787">
        <v>0</v>
      </c>
    </row>
    <row r="26788" spans="9:10" x14ac:dyDescent="0.3">
      <c r="I26788" t="s">
        <v>31057</v>
      </c>
    </row>
    <row r="26789" spans="9:10" x14ac:dyDescent="0.3">
      <c r="I26789" t="s">
        <v>31058</v>
      </c>
    </row>
    <row r="26790" spans="9:10" x14ac:dyDescent="0.3">
      <c r="I26790" t="s">
        <v>31059</v>
      </c>
    </row>
    <row r="26791" spans="9:10" x14ac:dyDescent="0.3">
      <c r="I26791" t="s">
        <v>31060</v>
      </c>
    </row>
    <row r="26792" spans="9:10" x14ac:dyDescent="0.3">
      <c r="I26792" t="s">
        <v>31061</v>
      </c>
    </row>
    <row r="26793" spans="9:10" x14ac:dyDescent="0.3">
      <c r="I26793" t="s">
        <v>31062</v>
      </c>
    </row>
    <row r="26794" spans="9:10" x14ac:dyDescent="0.3">
      <c r="I26794" t="s">
        <v>31063</v>
      </c>
      <c r="J26794" t="s">
        <v>8829</v>
      </c>
    </row>
    <row r="26795" spans="9:10" x14ac:dyDescent="0.3">
      <c r="I26795" t="s">
        <v>31064</v>
      </c>
    </row>
    <row r="26796" spans="9:10" x14ac:dyDescent="0.3">
      <c r="I26796" t="s">
        <v>31065</v>
      </c>
    </row>
    <row r="26797" spans="9:10" x14ac:dyDescent="0.3">
      <c r="I26797" t="s">
        <v>31066</v>
      </c>
    </row>
    <row r="26798" spans="9:10" x14ac:dyDescent="0.3">
      <c r="I26798" t="s">
        <v>31067</v>
      </c>
      <c r="J26798" t="s">
        <v>8830</v>
      </c>
    </row>
    <row r="26799" spans="9:10" x14ac:dyDescent="0.3">
      <c r="I26799" t="s">
        <v>31068</v>
      </c>
    </row>
    <row r="26800" spans="9:10" x14ac:dyDescent="0.3">
      <c r="I26800" t="s">
        <v>31069</v>
      </c>
    </row>
    <row r="26801" spans="9:10" x14ac:dyDescent="0.3">
      <c r="I26801" t="s">
        <v>31070</v>
      </c>
    </row>
    <row r="26802" spans="9:10" x14ac:dyDescent="0.3">
      <c r="I26802" t="s">
        <v>31071</v>
      </c>
    </row>
    <row r="26803" spans="9:10" x14ac:dyDescent="0.3">
      <c r="I26803" t="s">
        <v>31072</v>
      </c>
    </row>
    <row r="26804" spans="9:10" x14ac:dyDescent="0.3">
      <c r="I26804" t="s">
        <v>31073</v>
      </c>
    </row>
    <row r="26805" spans="9:10" x14ac:dyDescent="0.3">
      <c r="I26805" t="s">
        <v>31074</v>
      </c>
    </row>
    <row r="26806" spans="9:10" x14ac:dyDescent="0.3">
      <c r="I26806" t="s">
        <v>31075</v>
      </c>
    </row>
    <row r="26807" spans="9:10" x14ac:dyDescent="0.3">
      <c r="I26807" t="s">
        <v>31076</v>
      </c>
    </row>
    <row r="26808" spans="9:10" x14ac:dyDescent="0.3">
      <c r="I26808" t="s">
        <v>31077</v>
      </c>
    </row>
    <row r="26809" spans="9:10" x14ac:dyDescent="0.3">
      <c r="I26809" t="s">
        <v>31078</v>
      </c>
    </row>
    <row r="26810" spans="9:10" x14ac:dyDescent="0.3">
      <c r="I26810" t="s">
        <v>31079</v>
      </c>
    </row>
    <row r="26811" spans="9:10" x14ac:dyDescent="0.3">
      <c r="I26811" t="s">
        <v>31080</v>
      </c>
    </row>
    <row r="26812" spans="9:10" x14ac:dyDescent="0.3">
      <c r="I26812" t="s">
        <v>31081</v>
      </c>
    </row>
    <row r="26813" spans="9:10" x14ac:dyDescent="0.3">
      <c r="I26813" t="s">
        <v>31082</v>
      </c>
    </row>
    <row r="26814" spans="9:10" x14ac:dyDescent="0.3">
      <c r="I26814" t="s">
        <v>31083</v>
      </c>
    </row>
    <row r="26815" spans="9:10" x14ac:dyDescent="0.3">
      <c r="I26815" t="s">
        <v>31084</v>
      </c>
    </row>
    <row r="26816" spans="9:10" x14ac:dyDescent="0.3">
      <c r="I26816" t="s">
        <v>31085</v>
      </c>
      <c r="J26816" t="s">
        <v>8831</v>
      </c>
    </row>
    <row r="26817" spans="9:10" x14ac:dyDescent="0.3">
      <c r="I26817" t="s">
        <v>31086</v>
      </c>
    </row>
    <row r="26818" spans="9:10" x14ac:dyDescent="0.3">
      <c r="I26818" t="s">
        <v>31087</v>
      </c>
    </row>
    <row r="26819" spans="9:10" x14ac:dyDescent="0.3">
      <c r="I26819" t="s">
        <v>31088</v>
      </c>
    </row>
    <row r="26820" spans="9:10" x14ac:dyDescent="0.3">
      <c r="I26820" t="s">
        <v>31089</v>
      </c>
    </row>
    <row r="26821" spans="9:10" x14ac:dyDescent="0.3">
      <c r="I26821" t="s">
        <v>31090</v>
      </c>
    </row>
    <row r="26822" spans="9:10" x14ac:dyDescent="0.3">
      <c r="I26822" t="s">
        <v>31091</v>
      </c>
    </row>
    <row r="26823" spans="9:10" x14ac:dyDescent="0.3">
      <c r="I26823" t="s">
        <v>31092</v>
      </c>
      <c r="J26823" t="s">
        <v>8832</v>
      </c>
    </row>
    <row r="26824" spans="9:10" x14ac:dyDescent="0.3">
      <c r="I26824" t="s">
        <v>31093</v>
      </c>
      <c r="J26824" t="s">
        <v>860</v>
      </c>
    </row>
    <row r="26825" spans="9:10" x14ac:dyDescent="0.3">
      <c r="I26825" t="s">
        <v>31094</v>
      </c>
    </row>
    <row r="26826" spans="9:10" x14ac:dyDescent="0.3">
      <c r="I26826" t="s">
        <v>31095</v>
      </c>
    </row>
    <row r="26827" spans="9:10" x14ac:dyDescent="0.3">
      <c r="I26827" t="s">
        <v>31096</v>
      </c>
    </row>
    <row r="26828" spans="9:10" x14ac:dyDescent="0.3">
      <c r="I26828" t="s">
        <v>31097</v>
      </c>
      <c r="J26828" t="s">
        <v>8833</v>
      </c>
    </row>
    <row r="26829" spans="9:10" x14ac:dyDescent="0.3">
      <c r="I26829" t="s">
        <v>31098</v>
      </c>
      <c r="J26829" t="s">
        <v>8834</v>
      </c>
    </row>
    <row r="26830" spans="9:10" x14ac:dyDescent="0.3">
      <c r="I26830" t="s">
        <v>31099</v>
      </c>
    </row>
    <row r="26831" spans="9:10" x14ac:dyDescent="0.3">
      <c r="I26831" t="s">
        <v>31100</v>
      </c>
    </row>
    <row r="26832" spans="9:10" x14ac:dyDescent="0.3">
      <c r="I26832" t="s">
        <v>31101</v>
      </c>
    </row>
    <row r="26833" spans="9:10" x14ac:dyDescent="0.3">
      <c r="I26833" t="s">
        <v>31102</v>
      </c>
    </row>
    <row r="26834" spans="9:10" x14ac:dyDescent="0.3">
      <c r="I26834" t="s">
        <v>31103</v>
      </c>
    </row>
    <row r="26835" spans="9:10" x14ac:dyDescent="0.3">
      <c r="I26835" t="s">
        <v>31104</v>
      </c>
    </row>
    <row r="26836" spans="9:10" x14ac:dyDescent="0.3">
      <c r="I26836" t="s">
        <v>31105</v>
      </c>
    </row>
    <row r="26837" spans="9:10" x14ac:dyDescent="0.3">
      <c r="I26837" t="s">
        <v>31106</v>
      </c>
    </row>
    <row r="26838" spans="9:10" x14ac:dyDescent="0.3">
      <c r="I26838" t="s">
        <v>31107</v>
      </c>
    </row>
    <row r="26839" spans="9:10" x14ac:dyDescent="0.3">
      <c r="I26839" t="s">
        <v>31108</v>
      </c>
    </row>
    <row r="26840" spans="9:10" x14ac:dyDescent="0.3">
      <c r="I26840" t="s">
        <v>31109</v>
      </c>
    </row>
    <row r="26841" spans="9:10" x14ac:dyDescent="0.3">
      <c r="I26841" t="s">
        <v>31110</v>
      </c>
    </row>
    <row r="26842" spans="9:10" x14ac:dyDescent="0.3">
      <c r="I26842" t="s">
        <v>31111</v>
      </c>
    </row>
    <row r="26843" spans="9:10" x14ac:dyDescent="0.3">
      <c r="I26843" t="s">
        <v>31112</v>
      </c>
      <c r="J26843" t="s">
        <v>8835</v>
      </c>
    </row>
    <row r="26844" spans="9:10" x14ac:dyDescent="0.3">
      <c r="I26844" t="s">
        <v>31113</v>
      </c>
    </row>
    <row r="26845" spans="9:10" x14ac:dyDescent="0.3">
      <c r="I26845" t="s">
        <v>31114</v>
      </c>
    </row>
    <row r="26846" spans="9:10" x14ac:dyDescent="0.3">
      <c r="I26846" t="s">
        <v>31115</v>
      </c>
    </row>
    <row r="26847" spans="9:10" x14ac:dyDescent="0.3">
      <c r="I26847" t="s">
        <v>31116</v>
      </c>
    </row>
    <row r="26848" spans="9:10" x14ac:dyDescent="0.3">
      <c r="I26848" t="s">
        <v>31117</v>
      </c>
    </row>
    <row r="26849" spans="9:10" x14ac:dyDescent="0.3">
      <c r="I26849" t="s">
        <v>31118</v>
      </c>
    </row>
    <row r="26850" spans="9:10" x14ac:dyDescent="0.3">
      <c r="I26850" t="s">
        <v>31119</v>
      </c>
    </row>
    <row r="26851" spans="9:10" x14ac:dyDescent="0.3">
      <c r="I26851" t="s">
        <v>31120</v>
      </c>
    </row>
    <row r="26852" spans="9:10" x14ac:dyDescent="0.3">
      <c r="I26852" t="s">
        <v>31121</v>
      </c>
      <c r="J26852" t="s">
        <v>8836</v>
      </c>
    </row>
    <row r="26853" spans="9:10" x14ac:dyDescent="0.3">
      <c r="I26853" t="s">
        <v>31122</v>
      </c>
    </row>
    <row r="26854" spans="9:10" x14ac:dyDescent="0.3">
      <c r="I26854" t="s">
        <v>31123</v>
      </c>
    </row>
    <row r="26855" spans="9:10" x14ac:dyDescent="0.3">
      <c r="I26855" t="s">
        <v>31124</v>
      </c>
    </row>
    <row r="26856" spans="9:10" x14ac:dyDescent="0.3">
      <c r="I26856" t="s">
        <v>31125</v>
      </c>
    </row>
    <row r="26857" spans="9:10" x14ac:dyDescent="0.3">
      <c r="I26857" t="s">
        <v>31126</v>
      </c>
    </row>
    <row r="26858" spans="9:10" x14ac:dyDescent="0.3">
      <c r="I26858" t="s">
        <v>31127</v>
      </c>
    </row>
    <row r="26859" spans="9:10" x14ac:dyDescent="0.3">
      <c r="I26859" t="s">
        <v>31128</v>
      </c>
    </row>
    <row r="26860" spans="9:10" x14ac:dyDescent="0.3">
      <c r="I26860" t="s">
        <v>31129</v>
      </c>
      <c r="J26860" t="s">
        <v>8837</v>
      </c>
    </row>
    <row r="26861" spans="9:10" x14ac:dyDescent="0.3">
      <c r="I26861" t="s">
        <v>31129</v>
      </c>
      <c r="J26861" t="s">
        <v>8837</v>
      </c>
    </row>
    <row r="26862" spans="9:10" x14ac:dyDescent="0.3">
      <c r="I26862" t="s">
        <v>31130</v>
      </c>
      <c r="J26862" t="s">
        <v>8838</v>
      </c>
    </row>
    <row r="26863" spans="9:10" x14ac:dyDescent="0.3">
      <c r="I26863" t="s">
        <v>31131</v>
      </c>
    </row>
    <row r="26864" spans="9:10" x14ac:dyDescent="0.3">
      <c r="I26864" t="s">
        <v>31132</v>
      </c>
    </row>
    <row r="26865" spans="9:10" x14ac:dyDescent="0.3">
      <c r="I26865" t="s">
        <v>31133</v>
      </c>
    </row>
    <row r="26866" spans="9:10" x14ac:dyDescent="0.3">
      <c r="I26866" t="s">
        <v>31134</v>
      </c>
    </row>
    <row r="26867" spans="9:10" x14ac:dyDescent="0.3">
      <c r="I26867" t="s">
        <v>31135</v>
      </c>
    </row>
    <row r="26868" spans="9:10" x14ac:dyDescent="0.3">
      <c r="I26868" t="s">
        <v>31136</v>
      </c>
    </row>
    <row r="26869" spans="9:10" x14ac:dyDescent="0.3">
      <c r="I26869" t="s">
        <v>31137</v>
      </c>
    </row>
    <row r="26870" spans="9:10" x14ac:dyDescent="0.3">
      <c r="I26870" t="s">
        <v>31138</v>
      </c>
    </row>
    <row r="26871" spans="9:10" x14ac:dyDescent="0.3">
      <c r="I26871" t="s">
        <v>31139</v>
      </c>
    </row>
    <row r="26872" spans="9:10" x14ac:dyDescent="0.3">
      <c r="I26872" t="s">
        <v>31140</v>
      </c>
      <c r="J26872" t="s">
        <v>8839</v>
      </c>
    </row>
    <row r="26873" spans="9:10" x14ac:dyDescent="0.3">
      <c r="I26873" t="s">
        <v>31141</v>
      </c>
      <c r="J26873" t="s">
        <v>8839</v>
      </c>
    </row>
    <row r="26874" spans="9:10" x14ac:dyDescent="0.3">
      <c r="I26874" t="s">
        <v>31142</v>
      </c>
    </row>
    <row r="26875" spans="9:10" x14ac:dyDescent="0.3">
      <c r="I26875" t="s">
        <v>31143</v>
      </c>
    </row>
    <row r="26876" spans="9:10" x14ac:dyDescent="0.3">
      <c r="I26876" t="s">
        <v>31143</v>
      </c>
    </row>
    <row r="26877" spans="9:10" x14ac:dyDescent="0.3">
      <c r="I26877" t="s">
        <v>31144</v>
      </c>
    </row>
    <row r="26878" spans="9:10" x14ac:dyDescent="0.3">
      <c r="I26878" t="s">
        <v>31145</v>
      </c>
    </row>
    <row r="26879" spans="9:10" x14ac:dyDescent="0.3">
      <c r="I26879" t="s">
        <v>31146</v>
      </c>
      <c r="J26879" t="s">
        <v>396</v>
      </c>
    </row>
    <row r="26880" spans="9:10" x14ac:dyDescent="0.3">
      <c r="I26880" t="s">
        <v>31147</v>
      </c>
      <c r="J26880" t="s">
        <v>8840</v>
      </c>
    </row>
    <row r="26881" spans="9:10" x14ac:dyDescent="0.3">
      <c r="I26881" t="s">
        <v>31148</v>
      </c>
    </row>
    <row r="26882" spans="9:10" x14ac:dyDescent="0.3">
      <c r="I26882" t="s">
        <v>31149</v>
      </c>
      <c r="J26882" t="s">
        <v>8841</v>
      </c>
    </row>
    <row r="26883" spans="9:10" x14ac:dyDescent="0.3">
      <c r="I26883" t="s">
        <v>31150</v>
      </c>
      <c r="J26883">
        <v>0</v>
      </c>
    </row>
    <row r="26884" spans="9:10" x14ac:dyDescent="0.3">
      <c r="I26884" t="s">
        <v>31151</v>
      </c>
      <c r="J26884" t="s">
        <v>8842</v>
      </c>
    </row>
    <row r="26885" spans="9:10" x14ac:dyDescent="0.3">
      <c r="I26885" t="s">
        <v>31152</v>
      </c>
    </row>
    <row r="26886" spans="9:10" x14ac:dyDescent="0.3">
      <c r="I26886" t="s">
        <v>31153</v>
      </c>
    </row>
    <row r="26887" spans="9:10" x14ac:dyDescent="0.3">
      <c r="I26887" t="s">
        <v>31154</v>
      </c>
    </row>
    <row r="26888" spans="9:10" x14ac:dyDescent="0.3">
      <c r="I26888" t="s">
        <v>31155</v>
      </c>
    </row>
    <row r="26889" spans="9:10" x14ac:dyDescent="0.3">
      <c r="I26889" t="s">
        <v>31156</v>
      </c>
    </row>
    <row r="26890" spans="9:10" x14ac:dyDescent="0.3">
      <c r="I26890" t="s">
        <v>31157</v>
      </c>
      <c r="J26890" t="s">
        <v>8843</v>
      </c>
    </row>
    <row r="26891" spans="9:10" x14ac:dyDescent="0.3">
      <c r="I26891" t="s">
        <v>31158</v>
      </c>
      <c r="J26891" t="s">
        <v>8844</v>
      </c>
    </row>
    <row r="26892" spans="9:10" x14ac:dyDescent="0.3">
      <c r="I26892" t="s">
        <v>31159</v>
      </c>
      <c r="J26892" t="s">
        <v>8845</v>
      </c>
    </row>
    <row r="26893" spans="9:10" x14ac:dyDescent="0.3">
      <c r="I26893" t="s">
        <v>31159</v>
      </c>
      <c r="J26893" t="s">
        <v>8845</v>
      </c>
    </row>
    <row r="26894" spans="9:10" x14ac:dyDescent="0.3">
      <c r="I26894" t="s">
        <v>31160</v>
      </c>
      <c r="J26894" t="s">
        <v>8846</v>
      </c>
    </row>
    <row r="26895" spans="9:10" x14ac:dyDescent="0.3">
      <c r="I26895" t="s">
        <v>31161</v>
      </c>
      <c r="J26895" t="s">
        <v>8846</v>
      </c>
    </row>
    <row r="26896" spans="9:10" x14ac:dyDescent="0.3">
      <c r="I26896" t="s">
        <v>31162</v>
      </c>
      <c r="J26896" t="s">
        <v>8847</v>
      </c>
    </row>
    <row r="26897" spans="9:10" x14ac:dyDescent="0.3">
      <c r="I26897" t="s">
        <v>31163</v>
      </c>
      <c r="J26897" t="s">
        <v>8848</v>
      </c>
    </row>
    <row r="26898" spans="9:10" x14ac:dyDescent="0.3">
      <c r="I26898" t="s">
        <v>31164</v>
      </c>
      <c r="J26898" t="s">
        <v>8849</v>
      </c>
    </row>
    <row r="26899" spans="9:10" x14ac:dyDescent="0.3">
      <c r="I26899" t="s">
        <v>31164</v>
      </c>
      <c r="J26899" t="s">
        <v>8849</v>
      </c>
    </row>
    <row r="26900" spans="9:10" x14ac:dyDescent="0.3">
      <c r="I26900" t="s">
        <v>31165</v>
      </c>
      <c r="J26900" t="s">
        <v>8850</v>
      </c>
    </row>
    <row r="26901" spans="9:10" x14ac:dyDescent="0.3">
      <c r="I26901" t="s">
        <v>31166</v>
      </c>
    </row>
    <row r="26902" spans="9:10" x14ac:dyDescent="0.3">
      <c r="I26902" t="s">
        <v>31167</v>
      </c>
    </row>
    <row r="26903" spans="9:10" x14ac:dyDescent="0.3">
      <c r="I26903" t="s">
        <v>31168</v>
      </c>
    </row>
    <row r="26904" spans="9:10" x14ac:dyDescent="0.3">
      <c r="I26904" t="s">
        <v>31169</v>
      </c>
    </row>
    <row r="26905" spans="9:10" x14ac:dyDescent="0.3">
      <c r="I26905" t="s">
        <v>31170</v>
      </c>
    </row>
    <row r="26906" spans="9:10" x14ac:dyDescent="0.3">
      <c r="I26906" t="s">
        <v>31171</v>
      </c>
    </row>
    <row r="26907" spans="9:10" x14ac:dyDescent="0.3">
      <c r="I26907" t="s">
        <v>31172</v>
      </c>
      <c r="J26907" t="s">
        <v>8851</v>
      </c>
    </row>
    <row r="26908" spans="9:10" x14ac:dyDescent="0.3">
      <c r="I26908" t="s">
        <v>31172</v>
      </c>
      <c r="J26908" t="s">
        <v>8851</v>
      </c>
    </row>
    <row r="26909" spans="9:10" x14ac:dyDescent="0.3">
      <c r="I26909" t="s">
        <v>31173</v>
      </c>
      <c r="J26909" t="s">
        <v>8852</v>
      </c>
    </row>
    <row r="26910" spans="9:10" x14ac:dyDescent="0.3">
      <c r="I26910" t="s">
        <v>31174</v>
      </c>
    </row>
    <row r="26911" spans="9:10" x14ac:dyDescent="0.3">
      <c r="I26911" t="s">
        <v>31174</v>
      </c>
    </row>
    <row r="26912" spans="9:10" x14ac:dyDescent="0.3">
      <c r="I26912" t="s">
        <v>31174</v>
      </c>
    </row>
    <row r="26913" spans="9:10" x14ac:dyDescent="0.3">
      <c r="I26913" t="s">
        <v>31175</v>
      </c>
      <c r="J26913" t="s">
        <v>8853</v>
      </c>
    </row>
    <row r="26914" spans="9:10" x14ac:dyDescent="0.3">
      <c r="I26914" t="s">
        <v>31176</v>
      </c>
      <c r="J26914" t="s">
        <v>8853</v>
      </c>
    </row>
    <row r="26915" spans="9:10" x14ac:dyDescent="0.3">
      <c r="I26915" t="s">
        <v>31177</v>
      </c>
      <c r="J26915" t="s">
        <v>8854</v>
      </c>
    </row>
    <row r="26916" spans="9:10" x14ac:dyDescent="0.3">
      <c r="I26916" t="s">
        <v>31178</v>
      </c>
      <c r="J26916" t="s">
        <v>8855</v>
      </c>
    </row>
    <row r="26917" spans="9:10" x14ac:dyDescent="0.3">
      <c r="I26917" t="s">
        <v>31179</v>
      </c>
      <c r="J26917" t="s">
        <v>8855</v>
      </c>
    </row>
    <row r="26918" spans="9:10" x14ac:dyDescent="0.3">
      <c r="I26918" t="s">
        <v>31180</v>
      </c>
    </row>
    <row r="26919" spans="9:10" x14ac:dyDescent="0.3">
      <c r="I26919" t="s">
        <v>31181</v>
      </c>
      <c r="J26919" t="s">
        <v>2045</v>
      </c>
    </row>
    <row r="26920" spans="9:10" x14ac:dyDescent="0.3">
      <c r="I26920" t="s">
        <v>31182</v>
      </c>
    </row>
    <row r="26921" spans="9:10" x14ac:dyDescent="0.3">
      <c r="I26921" t="s">
        <v>31183</v>
      </c>
      <c r="J26921" t="s">
        <v>8856</v>
      </c>
    </row>
    <row r="26922" spans="9:10" x14ac:dyDescent="0.3">
      <c r="I26922" t="s">
        <v>31184</v>
      </c>
    </row>
    <row r="26923" spans="9:10" x14ac:dyDescent="0.3">
      <c r="I26923" t="s">
        <v>31185</v>
      </c>
      <c r="J26923" t="s">
        <v>8857</v>
      </c>
    </row>
    <row r="26924" spans="9:10" x14ac:dyDescent="0.3">
      <c r="I26924" t="s">
        <v>31186</v>
      </c>
      <c r="J26924" t="s">
        <v>8858</v>
      </c>
    </row>
    <row r="26925" spans="9:10" x14ac:dyDescent="0.3">
      <c r="I26925" t="s">
        <v>31186</v>
      </c>
      <c r="J26925" t="s">
        <v>8858</v>
      </c>
    </row>
    <row r="26926" spans="9:10" x14ac:dyDescent="0.3">
      <c r="I26926" t="s">
        <v>31186</v>
      </c>
      <c r="J26926" t="s">
        <v>8858</v>
      </c>
    </row>
    <row r="26927" spans="9:10" x14ac:dyDescent="0.3">
      <c r="I26927" t="s">
        <v>31186</v>
      </c>
      <c r="J26927" t="s">
        <v>8858</v>
      </c>
    </row>
    <row r="26928" spans="9:10" x14ac:dyDescent="0.3">
      <c r="I26928" t="s">
        <v>31186</v>
      </c>
      <c r="J26928" t="s">
        <v>8858</v>
      </c>
    </row>
    <row r="26929" spans="9:10" x14ac:dyDescent="0.3">
      <c r="I26929" t="s">
        <v>31186</v>
      </c>
      <c r="J26929" t="s">
        <v>8858</v>
      </c>
    </row>
    <row r="26930" spans="9:10" x14ac:dyDescent="0.3">
      <c r="I26930" t="s">
        <v>31187</v>
      </c>
    </row>
    <row r="26931" spans="9:10" x14ac:dyDescent="0.3">
      <c r="I26931" t="s">
        <v>31188</v>
      </c>
    </row>
    <row r="26932" spans="9:10" x14ac:dyDescent="0.3">
      <c r="I26932" t="s">
        <v>31188</v>
      </c>
    </row>
    <row r="26933" spans="9:10" x14ac:dyDescent="0.3">
      <c r="I26933" t="s">
        <v>31188</v>
      </c>
    </row>
    <row r="26934" spans="9:10" x14ac:dyDescent="0.3">
      <c r="I26934" t="s">
        <v>31188</v>
      </c>
    </row>
    <row r="26935" spans="9:10" x14ac:dyDescent="0.3">
      <c r="I26935" t="s">
        <v>31189</v>
      </c>
      <c r="J26935" t="s">
        <v>8859</v>
      </c>
    </row>
    <row r="26936" spans="9:10" x14ac:dyDescent="0.3">
      <c r="I26936" t="s">
        <v>31190</v>
      </c>
      <c r="J26936" t="s">
        <v>8860</v>
      </c>
    </row>
    <row r="26937" spans="9:10" x14ac:dyDescent="0.3">
      <c r="I26937" t="s">
        <v>31191</v>
      </c>
    </row>
    <row r="26938" spans="9:10" x14ac:dyDescent="0.3">
      <c r="I26938" t="s">
        <v>31192</v>
      </c>
    </row>
    <row r="26939" spans="9:10" x14ac:dyDescent="0.3">
      <c r="I26939" t="s">
        <v>31193</v>
      </c>
    </row>
    <row r="26940" spans="9:10" x14ac:dyDescent="0.3">
      <c r="I26940" t="s">
        <v>31194</v>
      </c>
    </row>
    <row r="26941" spans="9:10" x14ac:dyDescent="0.3">
      <c r="I26941" t="s">
        <v>31195</v>
      </c>
      <c r="J26941" t="s">
        <v>8861</v>
      </c>
    </row>
    <row r="26942" spans="9:10" x14ac:dyDescent="0.3">
      <c r="I26942" t="s">
        <v>31196</v>
      </c>
    </row>
    <row r="26943" spans="9:10" x14ac:dyDescent="0.3">
      <c r="I26943" t="s">
        <v>31197</v>
      </c>
    </row>
    <row r="26944" spans="9:10" x14ac:dyDescent="0.3">
      <c r="I26944" t="s">
        <v>31198</v>
      </c>
    </row>
    <row r="26945" spans="9:10" x14ac:dyDescent="0.3">
      <c r="I26945" t="s">
        <v>31199</v>
      </c>
      <c r="J26945" t="s">
        <v>182</v>
      </c>
    </row>
    <row r="26946" spans="9:10" x14ac:dyDescent="0.3">
      <c r="I26946" t="s">
        <v>31200</v>
      </c>
      <c r="J26946" t="s">
        <v>8862</v>
      </c>
    </row>
    <row r="26947" spans="9:10" x14ac:dyDescent="0.3">
      <c r="I26947" t="s">
        <v>31201</v>
      </c>
      <c r="J26947" t="s">
        <v>8863</v>
      </c>
    </row>
    <row r="26948" spans="9:10" x14ac:dyDescent="0.3">
      <c r="I26948" t="s">
        <v>31202</v>
      </c>
      <c r="J26948" t="s">
        <v>8864</v>
      </c>
    </row>
    <row r="26949" spans="9:10" x14ac:dyDescent="0.3">
      <c r="I26949" t="s">
        <v>31203</v>
      </c>
    </row>
    <row r="26950" spans="9:10" x14ac:dyDescent="0.3">
      <c r="I26950" t="s">
        <v>31204</v>
      </c>
    </row>
    <row r="26951" spans="9:10" x14ac:dyDescent="0.3">
      <c r="I26951" t="s">
        <v>31205</v>
      </c>
    </row>
    <row r="26952" spans="9:10" x14ac:dyDescent="0.3">
      <c r="I26952" t="s">
        <v>31206</v>
      </c>
    </row>
    <row r="26953" spans="9:10" x14ac:dyDescent="0.3">
      <c r="I26953" t="s">
        <v>31207</v>
      </c>
    </row>
    <row r="26954" spans="9:10" x14ac:dyDescent="0.3">
      <c r="I26954" t="s">
        <v>31208</v>
      </c>
    </row>
    <row r="26955" spans="9:10" x14ac:dyDescent="0.3">
      <c r="I26955" t="s">
        <v>31209</v>
      </c>
      <c r="J26955" t="s">
        <v>8865</v>
      </c>
    </row>
    <row r="26956" spans="9:10" x14ac:dyDescent="0.3">
      <c r="I26956" t="s">
        <v>31210</v>
      </c>
      <c r="J26956" t="s">
        <v>8866</v>
      </c>
    </row>
    <row r="26957" spans="9:10" x14ac:dyDescent="0.3">
      <c r="I26957" t="s">
        <v>31211</v>
      </c>
    </row>
    <row r="26958" spans="9:10" x14ac:dyDescent="0.3">
      <c r="I26958" t="s">
        <v>31212</v>
      </c>
    </row>
    <row r="26959" spans="9:10" x14ac:dyDescent="0.3">
      <c r="I26959" t="s">
        <v>31213</v>
      </c>
    </row>
    <row r="26960" spans="9:10" x14ac:dyDescent="0.3">
      <c r="I26960" t="s">
        <v>31214</v>
      </c>
      <c r="J26960" t="s">
        <v>8867</v>
      </c>
    </row>
    <row r="26961" spans="9:10" x14ac:dyDescent="0.3">
      <c r="I26961" t="s">
        <v>31215</v>
      </c>
      <c r="J26961" t="s">
        <v>8867</v>
      </c>
    </row>
    <row r="26962" spans="9:10" x14ac:dyDescent="0.3">
      <c r="I26962" t="s">
        <v>31216</v>
      </c>
      <c r="J26962" t="s">
        <v>972</v>
      </c>
    </row>
    <row r="26963" spans="9:10" x14ac:dyDescent="0.3">
      <c r="I26963" t="s">
        <v>31217</v>
      </c>
    </row>
    <row r="26964" spans="9:10" x14ac:dyDescent="0.3">
      <c r="I26964" t="s">
        <v>31218</v>
      </c>
    </row>
    <row r="26965" spans="9:10" x14ac:dyDescent="0.3">
      <c r="I26965" t="s">
        <v>31219</v>
      </c>
    </row>
    <row r="26966" spans="9:10" x14ac:dyDescent="0.3">
      <c r="I26966" t="s">
        <v>31220</v>
      </c>
    </row>
    <row r="26967" spans="9:10" x14ac:dyDescent="0.3">
      <c r="I26967" t="s">
        <v>31221</v>
      </c>
    </row>
    <row r="26968" spans="9:10" x14ac:dyDescent="0.3">
      <c r="I26968" t="s">
        <v>31222</v>
      </c>
    </row>
    <row r="26969" spans="9:10" x14ac:dyDescent="0.3">
      <c r="I26969" t="s">
        <v>31223</v>
      </c>
    </row>
    <row r="26970" spans="9:10" x14ac:dyDescent="0.3">
      <c r="I26970" t="s">
        <v>31224</v>
      </c>
    </row>
    <row r="26971" spans="9:10" x14ac:dyDescent="0.3">
      <c r="I26971" t="s">
        <v>31225</v>
      </c>
    </row>
    <row r="26972" spans="9:10" x14ac:dyDescent="0.3">
      <c r="I26972" t="s">
        <v>31226</v>
      </c>
    </row>
    <row r="26973" spans="9:10" x14ac:dyDescent="0.3">
      <c r="I26973" t="s">
        <v>31227</v>
      </c>
    </row>
    <row r="26974" spans="9:10" x14ac:dyDescent="0.3">
      <c r="I26974" t="s">
        <v>31228</v>
      </c>
    </row>
    <row r="26975" spans="9:10" x14ac:dyDescent="0.3">
      <c r="I26975" t="s">
        <v>31229</v>
      </c>
    </row>
    <row r="26976" spans="9:10" x14ac:dyDescent="0.3">
      <c r="I26976" t="s">
        <v>31230</v>
      </c>
    </row>
    <row r="26977" spans="9:10" x14ac:dyDescent="0.3">
      <c r="I26977" t="s">
        <v>31231</v>
      </c>
    </row>
    <row r="26978" spans="9:10" x14ac:dyDescent="0.3">
      <c r="I26978" t="s">
        <v>31232</v>
      </c>
    </row>
    <row r="26979" spans="9:10" x14ac:dyDescent="0.3">
      <c r="I26979" t="s">
        <v>31233</v>
      </c>
    </row>
    <row r="26980" spans="9:10" x14ac:dyDescent="0.3">
      <c r="I26980" t="s">
        <v>31234</v>
      </c>
      <c r="J26980" t="s">
        <v>8868</v>
      </c>
    </row>
    <row r="26981" spans="9:10" x14ac:dyDescent="0.3">
      <c r="I26981" t="s">
        <v>31235</v>
      </c>
    </row>
    <row r="26982" spans="9:10" x14ac:dyDescent="0.3">
      <c r="I26982" t="s">
        <v>31236</v>
      </c>
    </row>
    <row r="26983" spans="9:10" x14ac:dyDescent="0.3">
      <c r="I26983" t="s">
        <v>31237</v>
      </c>
    </row>
    <row r="26984" spans="9:10" x14ac:dyDescent="0.3">
      <c r="I26984" t="s">
        <v>31238</v>
      </c>
      <c r="J26984" t="s">
        <v>8869</v>
      </c>
    </row>
    <row r="26985" spans="9:10" x14ac:dyDescent="0.3">
      <c r="I26985" t="s">
        <v>31239</v>
      </c>
      <c r="J26985" t="s">
        <v>2045</v>
      </c>
    </row>
    <row r="26986" spans="9:10" x14ac:dyDescent="0.3">
      <c r="I26986" t="s">
        <v>31240</v>
      </c>
    </row>
    <row r="26987" spans="9:10" x14ac:dyDescent="0.3">
      <c r="I26987" t="s">
        <v>31241</v>
      </c>
    </row>
    <row r="26988" spans="9:10" x14ac:dyDescent="0.3">
      <c r="I26988" t="s">
        <v>31242</v>
      </c>
    </row>
    <row r="26989" spans="9:10" x14ac:dyDescent="0.3">
      <c r="I26989" t="s">
        <v>31243</v>
      </c>
    </row>
    <row r="26990" spans="9:10" x14ac:dyDescent="0.3">
      <c r="I26990" t="s">
        <v>31244</v>
      </c>
    </row>
    <row r="26991" spans="9:10" x14ac:dyDescent="0.3">
      <c r="I26991" t="s">
        <v>31244</v>
      </c>
    </row>
    <row r="26992" spans="9:10" x14ac:dyDescent="0.3">
      <c r="I26992" t="s">
        <v>31245</v>
      </c>
    </row>
    <row r="26993" spans="9:10" x14ac:dyDescent="0.3">
      <c r="I26993" t="s">
        <v>31246</v>
      </c>
    </row>
    <row r="26994" spans="9:10" x14ac:dyDescent="0.3">
      <c r="I26994" t="s">
        <v>31247</v>
      </c>
    </row>
    <row r="26995" spans="9:10" x14ac:dyDescent="0.3">
      <c r="I26995" t="s">
        <v>31248</v>
      </c>
    </row>
    <row r="26996" spans="9:10" x14ac:dyDescent="0.3">
      <c r="I26996" t="s">
        <v>31249</v>
      </c>
      <c r="J26996" t="s">
        <v>8870</v>
      </c>
    </row>
    <row r="26997" spans="9:10" x14ac:dyDescent="0.3">
      <c r="I26997" t="s">
        <v>31249</v>
      </c>
      <c r="J26997" t="s">
        <v>8870</v>
      </c>
    </row>
    <row r="26998" spans="9:10" x14ac:dyDescent="0.3">
      <c r="I26998" t="s">
        <v>31250</v>
      </c>
      <c r="J26998" t="s">
        <v>882</v>
      </c>
    </row>
    <row r="26999" spans="9:10" x14ac:dyDescent="0.3">
      <c r="I26999" t="s">
        <v>31251</v>
      </c>
      <c r="J26999" t="s">
        <v>8871</v>
      </c>
    </row>
    <row r="27000" spans="9:10" x14ac:dyDescent="0.3">
      <c r="I27000" t="s">
        <v>31252</v>
      </c>
      <c r="J27000" t="s">
        <v>8871</v>
      </c>
    </row>
    <row r="27001" spans="9:10" x14ac:dyDescent="0.3">
      <c r="I27001" t="s">
        <v>31253</v>
      </c>
    </row>
    <row r="27002" spans="9:10" x14ac:dyDescent="0.3">
      <c r="I27002" t="s">
        <v>31254</v>
      </c>
    </row>
    <row r="27003" spans="9:10" x14ac:dyDescent="0.3">
      <c r="I27003" t="s">
        <v>31255</v>
      </c>
    </row>
    <row r="27004" spans="9:10" x14ac:dyDescent="0.3">
      <c r="I27004" t="s">
        <v>31256</v>
      </c>
    </row>
    <row r="27005" spans="9:10" x14ac:dyDescent="0.3">
      <c r="I27005" t="s">
        <v>31257</v>
      </c>
      <c r="J27005" t="s">
        <v>8872</v>
      </c>
    </row>
    <row r="27006" spans="9:10" x14ac:dyDescent="0.3">
      <c r="I27006" t="s">
        <v>31258</v>
      </c>
      <c r="J27006" t="s">
        <v>8873</v>
      </c>
    </row>
    <row r="27007" spans="9:10" x14ac:dyDescent="0.3">
      <c r="I27007" t="s">
        <v>31259</v>
      </c>
      <c r="J27007" t="s">
        <v>8874</v>
      </c>
    </row>
    <row r="27008" spans="9:10" x14ac:dyDescent="0.3">
      <c r="I27008" t="s">
        <v>31260</v>
      </c>
      <c r="J27008" t="s">
        <v>8875</v>
      </c>
    </row>
    <row r="27009" spans="9:10" x14ac:dyDescent="0.3">
      <c r="I27009" t="s">
        <v>31261</v>
      </c>
      <c r="J27009" t="s">
        <v>8876</v>
      </c>
    </row>
    <row r="27010" spans="9:10" x14ac:dyDescent="0.3">
      <c r="I27010" t="s">
        <v>31262</v>
      </c>
      <c r="J27010" t="s">
        <v>8877</v>
      </c>
    </row>
    <row r="27011" spans="9:10" x14ac:dyDescent="0.3">
      <c r="I27011" t="s">
        <v>31263</v>
      </c>
      <c r="J27011" t="s">
        <v>8878</v>
      </c>
    </row>
    <row r="27012" spans="9:10" x14ac:dyDescent="0.3">
      <c r="I27012" t="s">
        <v>31264</v>
      </c>
      <c r="J27012" t="s">
        <v>8879</v>
      </c>
    </row>
    <row r="27013" spans="9:10" x14ac:dyDescent="0.3">
      <c r="I27013" t="s">
        <v>31265</v>
      </c>
      <c r="J27013" t="s">
        <v>8880</v>
      </c>
    </row>
    <row r="27014" spans="9:10" x14ac:dyDescent="0.3">
      <c r="I27014" t="s">
        <v>31266</v>
      </c>
      <c r="J27014" t="s">
        <v>8881</v>
      </c>
    </row>
    <row r="27015" spans="9:10" x14ac:dyDescent="0.3">
      <c r="I27015" t="s">
        <v>31267</v>
      </c>
      <c r="J27015" t="s">
        <v>8882</v>
      </c>
    </row>
    <row r="27016" spans="9:10" x14ac:dyDescent="0.3">
      <c r="I27016" t="s">
        <v>31268</v>
      </c>
      <c r="J27016" t="s">
        <v>8883</v>
      </c>
    </row>
    <row r="27017" spans="9:10" x14ac:dyDescent="0.3">
      <c r="I27017" t="s">
        <v>31269</v>
      </c>
      <c r="J27017" t="s">
        <v>8884</v>
      </c>
    </row>
    <row r="27018" spans="9:10" x14ac:dyDescent="0.3">
      <c r="I27018" t="s">
        <v>31270</v>
      </c>
      <c r="J27018" t="s">
        <v>8885</v>
      </c>
    </row>
    <row r="27019" spans="9:10" x14ac:dyDescent="0.3">
      <c r="I27019" t="s">
        <v>31271</v>
      </c>
      <c r="J27019" t="s">
        <v>8886</v>
      </c>
    </row>
    <row r="27020" spans="9:10" x14ac:dyDescent="0.3">
      <c r="I27020" t="s">
        <v>31272</v>
      </c>
    </row>
    <row r="27021" spans="9:10" x14ac:dyDescent="0.3">
      <c r="I27021" t="s">
        <v>31273</v>
      </c>
    </row>
    <row r="27022" spans="9:10" x14ac:dyDescent="0.3">
      <c r="I27022" t="s">
        <v>31274</v>
      </c>
    </row>
    <row r="27023" spans="9:10" x14ac:dyDescent="0.3">
      <c r="I27023" t="s">
        <v>31275</v>
      </c>
    </row>
    <row r="27024" spans="9:10" x14ac:dyDescent="0.3">
      <c r="I27024" t="s">
        <v>31276</v>
      </c>
    </row>
    <row r="27025" spans="9:10" x14ac:dyDescent="0.3">
      <c r="I27025" t="s">
        <v>31277</v>
      </c>
      <c r="J27025" t="s">
        <v>524</v>
      </c>
    </row>
    <row r="27026" spans="9:10" x14ac:dyDescent="0.3">
      <c r="I27026" t="s">
        <v>31278</v>
      </c>
      <c r="J27026" t="s">
        <v>524</v>
      </c>
    </row>
    <row r="27027" spans="9:10" x14ac:dyDescent="0.3">
      <c r="I27027" t="s">
        <v>31278</v>
      </c>
      <c r="J27027" t="s">
        <v>524</v>
      </c>
    </row>
    <row r="27028" spans="9:10" x14ac:dyDescent="0.3">
      <c r="I27028" t="s">
        <v>31279</v>
      </c>
    </row>
    <row r="27029" spans="9:10" x14ac:dyDescent="0.3">
      <c r="I27029" t="s">
        <v>31280</v>
      </c>
    </row>
    <row r="27030" spans="9:10" x14ac:dyDescent="0.3">
      <c r="I27030" t="s">
        <v>31281</v>
      </c>
    </row>
    <row r="27031" spans="9:10" x14ac:dyDescent="0.3">
      <c r="I27031" t="s">
        <v>31282</v>
      </c>
      <c r="J27031" t="s">
        <v>8887</v>
      </c>
    </row>
    <row r="27032" spans="9:10" x14ac:dyDescent="0.3">
      <c r="I27032" t="s">
        <v>31283</v>
      </c>
      <c r="J27032" t="s">
        <v>8888</v>
      </c>
    </row>
    <row r="27033" spans="9:10" x14ac:dyDescent="0.3">
      <c r="I27033" t="s">
        <v>31284</v>
      </c>
      <c r="J27033" t="s">
        <v>8889</v>
      </c>
    </row>
    <row r="27034" spans="9:10" x14ac:dyDescent="0.3">
      <c r="I27034" t="s">
        <v>31285</v>
      </c>
      <c r="J27034" t="s">
        <v>8890</v>
      </c>
    </row>
    <row r="27035" spans="9:10" x14ac:dyDescent="0.3">
      <c r="I27035" t="s">
        <v>31286</v>
      </c>
    </row>
    <row r="27036" spans="9:10" x14ac:dyDescent="0.3">
      <c r="I27036" t="s">
        <v>31287</v>
      </c>
    </row>
    <row r="27037" spans="9:10" x14ac:dyDescent="0.3">
      <c r="I27037" t="s">
        <v>31288</v>
      </c>
    </row>
    <row r="27038" spans="9:10" x14ac:dyDescent="0.3">
      <c r="I27038" t="s">
        <v>31289</v>
      </c>
    </row>
    <row r="27039" spans="9:10" x14ac:dyDescent="0.3">
      <c r="I27039" t="s">
        <v>31290</v>
      </c>
    </row>
    <row r="27040" spans="9:10" x14ac:dyDescent="0.3">
      <c r="I27040" t="s">
        <v>31291</v>
      </c>
    </row>
    <row r="27041" spans="9:10" x14ac:dyDescent="0.3">
      <c r="I27041" t="s">
        <v>31292</v>
      </c>
    </row>
    <row r="27042" spans="9:10" x14ac:dyDescent="0.3">
      <c r="I27042" t="s">
        <v>31293</v>
      </c>
    </row>
    <row r="27043" spans="9:10" x14ac:dyDescent="0.3">
      <c r="I27043" t="s">
        <v>31294</v>
      </c>
      <c r="J27043" t="s">
        <v>8891</v>
      </c>
    </row>
    <row r="27044" spans="9:10" x14ac:dyDescent="0.3">
      <c r="I27044" t="s">
        <v>31295</v>
      </c>
      <c r="J27044" t="s">
        <v>8892</v>
      </c>
    </row>
    <row r="27045" spans="9:10" x14ac:dyDescent="0.3">
      <c r="I27045" t="s">
        <v>31296</v>
      </c>
    </row>
    <row r="27046" spans="9:10" x14ac:dyDescent="0.3">
      <c r="I27046" t="s">
        <v>31297</v>
      </c>
    </row>
    <row r="27047" spans="9:10" x14ac:dyDescent="0.3">
      <c r="I27047" t="s">
        <v>31298</v>
      </c>
    </row>
    <row r="27048" spans="9:10" x14ac:dyDescent="0.3">
      <c r="I27048" t="s">
        <v>31299</v>
      </c>
    </row>
    <row r="27049" spans="9:10" x14ac:dyDescent="0.3">
      <c r="I27049" t="s">
        <v>31300</v>
      </c>
    </row>
    <row r="27050" spans="9:10" x14ac:dyDescent="0.3">
      <c r="I27050" t="s">
        <v>31301</v>
      </c>
    </row>
    <row r="27051" spans="9:10" x14ac:dyDescent="0.3">
      <c r="I27051" t="s">
        <v>31302</v>
      </c>
    </row>
    <row r="27052" spans="9:10" x14ac:dyDescent="0.3">
      <c r="I27052" t="s">
        <v>31303</v>
      </c>
      <c r="J27052" t="s">
        <v>8893</v>
      </c>
    </row>
    <row r="27053" spans="9:10" x14ac:dyDescent="0.3">
      <c r="I27053" t="s">
        <v>31304</v>
      </c>
    </row>
    <row r="27054" spans="9:10" x14ac:dyDescent="0.3">
      <c r="I27054" t="s">
        <v>31305</v>
      </c>
    </row>
    <row r="27055" spans="9:10" x14ac:dyDescent="0.3">
      <c r="I27055" t="s">
        <v>31306</v>
      </c>
    </row>
    <row r="27056" spans="9:10" x14ac:dyDescent="0.3">
      <c r="I27056" t="s">
        <v>31307</v>
      </c>
    </row>
    <row r="27057" spans="9:10" x14ac:dyDescent="0.3">
      <c r="I27057" t="s">
        <v>31308</v>
      </c>
    </row>
    <row r="27058" spans="9:10" x14ac:dyDescent="0.3">
      <c r="I27058" t="s">
        <v>31309</v>
      </c>
    </row>
    <row r="27059" spans="9:10" x14ac:dyDescent="0.3">
      <c r="I27059" t="s">
        <v>31310</v>
      </c>
    </row>
    <row r="27060" spans="9:10" x14ac:dyDescent="0.3">
      <c r="I27060" t="s">
        <v>31311</v>
      </c>
    </row>
    <row r="27061" spans="9:10" x14ac:dyDescent="0.3">
      <c r="I27061" t="s">
        <v>31312</v>
      </c>
    </row>
    <row r="27062" spans="9:10" x14ac:dyDescent="0.3">
      <c r="I27062" t="s">
        <v>31313</v>
      </c>
      <c r="J27062">
        <v>0</v>
      </c>
    </row>
    <row r="27063" spans="9:10" x14ac:dyDescent="0.3">
      <c r="I27063" t="s">
        <v>31313</v>
      </c>
      <c r="J27063">
        <v>0</v>
      </c>
    </row>
    <row r="27064" spans="9:10" x14ac:dyDescent="0.3">
      <c r="I27064" t="s">
        <v>31314</v>
      </c>
      <c r="J27064" t="s">
        <v>2045</v>
      </c>
    </row>
    <row r="27065" spans="9:10" x14ac:dyDescent="0.3">
      <c r="I27065" t="s">
        <v>31315</v>
      </c>
    </row>
    <row r="27066" spans="9:10" x14ac:dyDescent="0.3">
      <c r="I27066" t="s">
        <v>31316</v>
      </c>
    </row>
    <row r="27067" spans="9:10" x14ac:dyDescent="0.3">
      <c r="I27067" t="s">
        <v>31317</v>
      </c>
    </row>
    <row r="27068" spans="9:10" x14ac:dyDescent="0.3">
      <c r="I27068" t="s">
        <v>31318</v>
      </c>
    </row>
    <row r="27069" spans="9:10" x14ac:dyDescent="0.3">
      <c r="I27069" t="s">
        <v>31319</v>
      </c>
    </row>
    <row r="27070" spans="9:10" x14ac:dyDescent="0.3">
      <c r="I27070" t="s">
        <v>31320</v>
      </c>
    </row>
    <row r="27071" spans="9:10" x14ac:dyDescent="0.3">
      <c r="I27071" t="s">
        <v>31321</v>
      </c>
    </row>
    <row r="27072" spans="9:10" x14ac:dyDescent="0.3">
      <c r="I27072" t="s">
        <v>31322</v>
      </c>
      <c r="J27072" t="s">
        <v>8894</v>
      </c>
    </row>
    <row r="27073" spans="9:10" x14ac:dyDescent="0.3">
      <c r="I27073" t="s">
        <v>31323</v>
      </c>
    </row>
    <row r="27074" spans="9:10" x14ac:dyDescent="0.3">
      <c r="I27074" t="s">
        <v>31324</v>
      </c>
    </row>
    <row r="27075" spans="9:10" x14ac:dyDescent="0.3">
      <c r="I27075" t="s">
        <v>31325</v>
      </c>
    </row>
    <row r="27076" spans="9:10" x14ac:dyDescent="0.3">
      <c r="I27076" t="s">
        <v>31326</v>
      </c>
    </row>
    <row r="27077" spans="9:10" x14ac:dyDescent="0.3">
      <c r="I27077" t="s">
        <v>31327</v>
      </c>
    </row>
    <row r="27078" spans="9:10" x14ac:dyDescent="0.3">
      <c r="I27078" t="s">
        <v>31328</v>
      </c>
      <c r="J27078" t="s">
        <v>8895</v>
      </c>
    </row>
    <row r="27079" spans="9:10" x14ac:dyDescent="0.3">
      <c r="I27079" t="s">
        <v>31329</v>
      </c>
      <c r="J27079" t="s">
        <v>8896</v>
      </c>
    </row>
    <row r="27080" spans="9:10" x14ac:dyDescent="0.3">
      <c r="I27080" t="s">
        <v>31330</v>
      </c>
    </row>
    <row r="27081" spans="9:10" x14ac:dyDescent="0.3">
      <c r="I27081" t="s">
        <v>31331</v>
      </c>
      <c r="J27081" t="s">
        <v>8897</v>
      </c>
    </row>
    <row r="27082" spans="9:10" x14ac:dyDescent="0.3">
      <c r="I27082" t="s">
        <v>31332</v>
      </c>
    </row>
    <row r="27083" spans="9:10" x14ac:dyDescent="0.3">
      <c r="I27083" t="s">
        <v>31333</v>
      </c>
    </row>
    <row r="27084" spans="9:10" x14ac:dyDescent="0.3">
      <c r="I27084" t="s">
        <v>31334</v>
      </c>
    </row>
    <row r="27085" spans="9:10" x14ac:dyDescent="0.3">
      <c r="I27085" t="s">
        <v>31335</v>
      </c>
    </row>
    <row r="27086" spans="9:10" x14ac:dyDescent="0.3">
      <c r="I27086" t="s">
        <v>31336</v>
      </c>
    </row>
    <row r="27087" spans="9:10" x14ac:dyDescent="0.3">
      <c r="I27087" t="s">
        <v>31337</v>
      </c>
      <c r="J27087">
        <v>0</v>
      </c>
    </row>
    <row r="27088" spans="9:10" x14ac:dyDescent="0.3">
      <c r="I27088" t="s">
        <v>31338</v>
      </c>
      <c r="J27088">
        <v>0</v>
      </c>
    </row>
    <row r="27089" spans="9:10" x14ac:dyDescent="0.3">
      <c r="I27089" t="s">
        <v>31339</v>
      </c>
      <c r="J27089">
        <v>0</v>
      </c>
    </row>
    <row r="27090" spans="9:10" x14ac:dyDescent="0.3">
      <c r="I27090" t="s">
        <v>31340</v>
      </c>
    </row>
    <row r="27091" spans="9:10" x14ac:dyDescent="0.3">
      <c r="I27091" t="s">
        <v>31341</v>
      </c>
    </row>
    <row r="27092" spans="9:10" x14ac:dyDescent="0.3">
      <c r="I27092" t="s">
        <v>31342</v>
      </c>
    </row>
    <row r="27093" spans="9:10" x14ac:dyDescent="0.3">
      <c r="I27093" t="s">
        <v>31343</v>
      </c>
      <c r="J27093" t="s">
        <v>8898</v>
      </c>
    </row>
    <row r="27094" spans="9:10" x14ac:dyDescent="0.3">
      <c r="I27094" t="s">
        <v>31344</v>
      </c>
    </row>
    <row r="27095" spans="9:10" x14ac:dyDescent="0.3">
      <c r="I27095" t="s">
        <v>31345</v>
      </c>
    </row>
    <row r="27096" spans="9:10" x14ac:dyDescent="0.3">
      <c r="I27096" t="s">
        <v>31346</v>
      </c>
    </row>
    <row r="27097" spans="9:10" x14ac:dyDescent="0.3">
      <c r="I27097" t="s">
        <v>31347</v>
      </c>
    </row>
    <row r="27098" spans="9:10" x14ac:dyDescent="0.3">
      <c r="I27098" t="s">
        <v>31348</v>
      </c>
    </row>
    <row r="27099" spans="9:10" x14ac:dyDescent="0.3">
      <c r="I27099" t="s">
        <v>31349</v>
      </c>
    </row>
    <row r="27100" spans="9:10" x14ac:dyDescent="0.3">
      <c r="I27100" t="s">
        <v>31350</v>
      </c>
    </row>
    <row r="27101" spans="9:10" x14ac:dyDescent="0.3">
      <c r="I27101" t="s">
        <v>31351</v>
      </c>
    </row>
    <row r="27102" spans="9:10" x14ac:dyDescent="0.3">
      <c r="I27102" t="s">
        <v>31352</v>
      </c>
    </row>
    <row r="27103" spans="9:10" x14ac:dyDescent="0.3">
      <c r="I27103" t="s">
        <v>31353</v>
      </c>
    </row>
    <row r="27104" spans="9:10" x14ac:dyDescent="0.3">
      <c r="I27104" t="s">
        <v>31354</v>
      </c>
    </row>
    <row r="27105" spans="9:10" x14ac:dyDescent="0.3">
      <c r="I27105" t="s">
        <v>31355</v>
      </c>
    </row>
    <row r="27106" spans="9:10" x14ac:dyDescent="0.3">
      <c r="I27106" t="s">
        <v>31356</v>
      </c>
    </row>
    <row r="27107" spans="9:10" x14ac:dyDescent="0.3">
      <c r="I27107" t="s">
        <v>31357</v>
      </c>
      <c r="J27107" t="s">
        <v>8899</v>
      </c>
    </row>
    <row r="27108" spans="9:10" x14ac:dyDescent="0.3">
      <c r="I27108" t="s">
        <v>31358</v>
      </c>
    </row>
    <row r="27109" spans="9:10" x14ac:dyDescent="0.3">
      <c r="I27109" t="s">
        <v>31359</v>
      </c>
    </row>
    <row r="27110" spans="9:10" x14ac:dyDescent="0.3">
      <c r="I27110" t="s">
        <v>31360</v>
      </c>
    </row>
    <row r="27111" spans="9:10" x14ac:dyDescent="0.3">
      <c r="I27111" t="s">
        <v>31361</v>
      </c>
    </row>
    <row r="27112" spans="9:10" x14ac:dyDescent="0.3">
      <c r="I27112" t="s">
        <v>31362</v>
      </c>
    </row>
    <row r="27113" spans="9:10" x14ac:dyDescent="0.3">
      <c r="I27113" t="s">
        <v>31363</v>
      </c>
    </row>
    <row r="27114" spans="9:10" x14ac:dyDescent="0.3">
      <c r="I27114" t="s">
        <v>31364</v>
      </c>
      <c r="J27114" t="s">
        <v>8900</v>
      </c>
    </row>
    <row r="27115" spans="9:10" x14ac:dyDescent="0.3">
      <c r="I27115" t="s">
        <v>31364</v>
      </c>
      <c r="J27115" t="s">
        <v>8900</v>
      </c>
    </row>
    <row r="27116" spans="9:10" x14ac:dyDescent="0.3">
      <c r="I27116" t="s">
        <v>31365</v>
      </c>
      <c r="J27116" t="s">
        <v>8901</v>
      </c>
    </row>
    <row r="27117" spans="9:10" x14ac:dyDescent="0.3">
      <c r="I27117" t="s">
        <v>31366</v>
      </c>
      <c r="J27117" t="s">
        <v>8901</v>
      </c>
    </row>
    <row r="27118" spans="9:10" x14ac:dyDescent="0.3">
      <c r="I27118" t="s">
        <v>31367</v>
      </c>
      <c r="J27118" t="s">
        <v>8902</v>
      </c>
    </row>
    <row r="27119" spans="9:10" x14ac:dyDescent="0.3">
      <c r="I27119" t="s">
        <v>31368</v>
      </c>
    </row>
    <row r="27120" spans="9:10" x14ac:dyDescent="0.3">
      <c r="I27120" t="s">
        <v>31369</v>
      </c>
    </row>
    <row r="27121" spans="9:10" x14ac:dyDescent="0.3">
      <c r="I27121" t="s">
        <v>31370</v>
      </c>
    </row>
    <row r="27122" spans="9:10" x14ac:dyDescent="0.3">
      <c r="I27122" t="s">
        <v>31371</v>
      </c>
    </row>
    <row r="27123" spans="9:10" x14ac:dyDescent="0.3">
      <c r="I27123" t="s">
        <v>31372</v>
      </c>
    </row>
    <row r="27124" spans="9:10" x14ac:dyDescent="0.3">
      <c r="I27124" t="s">
        <v>31373</v>
      </c>
    </row>
    <row r="27125" spans="9:10" x14ac:dyDescent="0.3">
      <c r="I27125" t="s">
        <v>31374</v>
      </c>
    </row>
    <row r="27126" spans="9:10" x14ac:dyDescent="0.3">
      <c r="I27126" t="s">
        <v>31375</v>
      </c>
    </row>
    <row r="27127" spans="9:10" x14ac:dyDescent="0.3">
      <c r="I27127" t="s">
        <v>31376</v>
      </c>
    </row>
    <row r="27128" spans="9:10" x14ac:dyDescent="0.3">
      <c r="I27128" t="s">
        <v>31377</v>
      </c>
    </row>
    <row r="27129" spans="9:10" x14ac:dyDescent="0.3">
      <c r="I27129" t="s">
        <v>31378</v>
      </c>
    </row>
    <row r="27130" spans="9:10" x14ac:dyDescent="0.3">
      <c r="I27130" t="s">
        <v>31379</v>
      </c>
    </row>
    <row r="27131" spans="9:10" x14ac:dyDescent="0.3">
      <c r="I27131" t="s">
        <v>31380</v>
      </c>
      <c r="J27131">
        <v>0</v>
      </c>
    </row>
    <row r="27132" spans="9:10" x14ac:dyDescent="0.3">
      <c r="I27132" t="s">
        <v>31381</v>
      </c>
    </row>
    <row r="27133" spans="9:10" x14ac:dyDescent="0.3">
      <c r="I27133" t="s">
        <v>31382</v>
      </c>
    </row>
    <row r="27134" spans="9:10" x14ac:dyDescent="0.3">
      <c r="I27134" t="s">
        <v>31383</v>
      </c>
      <c r="J27134" t="s">
        <v>8903</v>
      </c>
    </row>
    <row r="27135" spans="9:10" x14ac:dyDescent="0.3">
      <c r="I27135" t="s">
        <v>31384</v>
      </c>
      <c r="J27135" t="s">
        <v>8904</v>
      </c>
    </row>
    <row r="27136" spans="9:10" x14ac:dyDescent="0.3">
      <c r="I27136" t="s">
        <v>31385</v>
      </c>
      <c r="J27136" t="s">
        <v>8905</v>
      </c>
    </row>
    <row r="27137" spans="9:10" x14ac:dyDescent="0.3">
      <c r="I27137" t="s">
        <v>31386</v>
      </c>
      <c r="J27137" t="s">
        <v>8905</v>
      </c>
    </row>
    <row r="27138" spans="9:10" x14ac:dyDescent="0.3">
      <c r="I27138" t="s">
        <v>31387</v>
      </c>
      <c r="J27138" s="155" t="s">
        <v>539</v>
      </c>
    </row>
    <row r="27139" spans="9:10" x14ac:dyDescent="0.3">
      <c r="I27139" t="s">
        <v>31388</v>
      </c>
    </row>
    <row r="27140" spans="9:10" x14ac:dyDescent="0.3">
      <c r="I27140" t="s">
        <v>31389</v>
      </c>
    </row>
    <row r="27141" spans="9:10" x14ac:dyDescent="0.3">
      <c r="I27141" t="s">
        <v>31390</v>
      </c>
    </row>
    <row r="27142" spans="9:10" x14ac:dyDescent="0.3">
      <c r="I27142" t="s">
        <v>31391</v>
      </c>
    </row>
    <row r="27143" spans="9:10" x14ac:dyDescent="0.3">
      <c r="I27143" t="s">
        <v>31392</v>
      </c>
    </row>
    <row r="27144" spans="9:10" x14ac:dyDescent="0.3">
      <c r="I27144" t="s">
        <v>31393</v>
      </c>
      <c r="J27144" t="s">
        <v>8906</v>
      </c>
    </row>
    <row r="27145" spans="9:10" x14ac:dyDescent="0.3">
      <c r="I27145" t="s">
        <v>31394</v>
      </c>
      <c r="J27145" t="s">
        <v>8907</v>
      </c>
    </row>
    <row r="27146" spans="9:10" x14ac:dyDescent="0.3">
      <c r="I27146" t="s">
        <v>31394</v>
      </c>
      <c r="J27146" t="s">
        <v>8907</v>
      </c>
    </row>
    <row r="27147" spans="9:10" x14ac:dyDescent="0.3">
      <c r="I27147" t="s">
        <v>31395</v>
      </c>
    </row>
    <row r="27148" spans="9:10" x14ac:dyDescent="0.3">
      <c r="I27148" t="s">
        <v>31396</v>
      </c>
    </row>
    <row r="27149" spans="9:10" x14ac:dyDescent="0.3">
      <c r="I27149" t="s">
        <v>31397</v>
      </c>
    </row>
    <row r="27150" spans="9:10" x14ac:dyDescent="0.3">
      <c r="I27150" t="s">
        <v>31398</v>
      </c>
    </row>
    <row r="27151" spans="9:10" x14ac:dyDescent="0.3">
      <c r="I27151" t="s">
        <v>31399</v>
      </c>
    </row>
    <row r="27152" spans="9:10" x14ac:dyDescent="0.3">
      <c r="I27152" t="s">
        <v>31400</v>
      </c>
      <c r="J27152" t="s">
        <v>8908</v>
      </c>
    </row>
    <row r="27153" spans="9:10" x14ac:dyDescent="0.3">
      <c r="I27153" t="s">
        <v>31401</v>
      </c>
      <c r="J27153" t="s">
        <v>8909</v>
      </c>
    </row>
    <row r="27154" spans="9:10" x14ac:dyDescent="0.3">
      <c r="I27154" t="s">
        <v>31402</v>
      </c>
      <c r="J27154" t="s">
        <v>8910</v>
      </c>
    </row>
    <row r="27155" spans="9:10" x14ac:dyDescent="0.3">
      <c r="I27155" t="s">
        <v>31403</v>
      </c>
      <c r="J27155" t="s">
        <v>8911</v>
      </c>
    </row>
    <row r="27156" spans="9:10" x14ac:dyDescent="0.3">
      <c r="I27156" t="s">
        <v>31404</v>
      </c>
    </row>
    <row r="27157" spans="9:10" x14ac:dyDescent="0.3">
      <c r="I27157" t="s">
        <v>31405</v>
      </c>
    </row>
    <row r="27158" spans="9:10" x14ac:dyDescent="0.3">
      <c r="I27158" t="s">
        <v>31406</v>
      </c>
    </row>
    <row r="27159" spans="9:10" x14ac:dyDescent="0.3">
      <c r="I27159" t="s">
        <v>31407</v>
      </c>
    </row>
    <row r="27160" spans="9:10" x14ac:dyDescent="0.3">
      <c r="I27160" t="s">
        <v>31408</v>
      </c>
      <c r="J27160" t="s">
        <v>8912</v>
      </c>
    </row>
    <row r="27161" spans="9:10" x14ac:dyDescent="0.3">
      <c r="I27161" t="s">
        <v>31409</v>
      </c>
      <c r="J27161" t="s">
        <v>8913</v>
      </c>
    </row>
    <row r="27162" spans="9:10" x14ac:dyDescent="0.3">
      <c r="I27162" t="s">
        <v>31410</v>
      </c>
      <c r="J27162" t="s">
        <v>8914</v>
      </c>
    </row>
    <row r="27163" spans="9:10" x14ac:dyDescent="0.3">
      <c r="I27163" t="s">
        <v>31411</v>
      </c>
      <c r="J27163" t="s">
        <v>872</v>
      </c>
    </row>
    <row r="27164" spans="9:10" x14ac:dyDescent="0.3">
      <c r="I27164" t="s">
        <v>31411</v>
      </c>
      <c r="J27164" t="s">
        <v>872</v>
      </c>
    </row>
    <row r="27165" spans="9:10" x14ac:dyDescent="0.3">
      <c r="I27165" t="s">
        <v>31412</v>
      </c>
    </row>
    <row r="27166" spans="9:10" x14ac:dyDescent="0.3">
      <c r="I27166" t="s">
        <v>31413</v>
      </c>
    </row>
    <row r="27167" spans="9:10" x14ac:dyDescent="0.3">
      <c r="I27167" t="s">
        <v>31414</v>
      </c>
    </row>
    <row r="27168" spans="9:10" x14ac:dyDescent="0.3">
      <c r="I27168" t="s">
        <v>31415</v>
      </c>
    </row>
    <row r="27169" spans="9:10" x14ac:dyDescent="0.3">
      <c r="I27169" t="s">
        <v>31416</v>
      </c>
    </row>
    <row r="27170" spans="9:10" x14ac:dyDescent="0.3">
      <c r="I27170" t="s">
        <v>31417</v>
      </c>
    </row>
    <row r="27171" spans="9:10" x14ac:dyDescent="0.3">
      <c r="I27171" t="s">
        <v>31418</v>
      </c>
    </row>
    <row r="27172" spans="9:10" x14ac:dyDescent="0.3">
      <c r="I27172" t="s">
        <v>31419</v>
      </c>
    </row>
    <row r="27173" spans="9:10" x14ac:dyDescent="0.3">
      <c r="I27173" t="s">
        <v>31420</v>
      </c>
    </row>
    <row r="27174" spans="9:10" x14ac:dyDescent="0.3">
      <c r="I27174" t="s">
        <v>31421</v>
      </c>
    </row>
    <row r="27175" spans="9:10" x14ac:dyDescent="0.3">
      <c r="I27175" t="s">
        <v>31422</v>
      </c>
    </row>
    <row r="27176" spans="9:10" x14ac:dyDescent="0.3">
      <c r="I27176" t="s">
        <v>31423</v>
      </c>
    </row>
    <row r="27177" spans="9:10" x14ac:dyDescent="0.3">
      <c r="I27177" t="s">
        <v>31424</v>
      </c>
    </row>
    <row r="27178" spans="9:10" x14ac:dyDescent="0.3">
      <c r="I27178" t="s">
        <v>31425</v>
      </c>
    </row>
    <row r="27179" spans="9:10" x14ac:dyDescent="0.3">
      <c r="I27179" t="s">
        <v>31426</v>
      </c>
      <c r="J27179" t="s">
        <v>8915</v>
      </c>
    </row>
    <row r="27180" spans="9:10" x14ac:dyDescent="0.3">
      <c r="I27180" t="s">
        <v>31427</v>
      </c>
    </row>
    <row r="27181" spans="9:10" x14ac:dyDescent="0.3">
      <c r="I27181" t="s">
        <v>31428</v>
      </c>
    </row>
    <row r="27182" spans="9:10" x14ac:dyDescent="0.3">
      <c r="I27182" t="s">
        <v>31429</v>
      </c>
    </row>
    <row r="27183" spans="9:10" x14ac:dyDescent="0.3">
      <c r="I27183" t="s">
        <v>31430</v>
      </c>
      <c r="J27183" t="s">
        <v>8916</v>
      </c>
    </row>
    <row r="27184" spans="9:10" x14ac:dyDescent="0.3">
      <c r="I27184" t="s">
        <v>31431</v>
      </c>
    </row>
    <row r="27185" spans="9:10" x14ac:dyDescent="0.3">
      <c r="I27185" t="s">
        <v>31432</v>
      </c>
    </row>
    <row r="27186" spans="9:10" x14ac:dyDescent="0.3">
      <c r="I27186" t="s">
        <v>31433</v>
      </c>
      <c r="J27186" t="s">
        <v>8917</v>
      </c>
    </row>
    <row r="27187" spans="9:10" x14ac:dyDescent="0.3">
      <c r="I27187" t="s">
        <v>31433</v>
      </c>
      <c r="J27187" t="s">
        <v>8917</v>
      </c>
    </row>
    <row r="27188" spans="9:10" x14ac:dyDescent="0.3">
      <c r="I27188" t="s">
        <v>31434</v>
      </c>
    </row>
    <row r="27189" spans="9:10" x14ac:dyDescent="0.3">
      <c r="I27189" t="s">
        <v>31435</v>
      </c>
    </row>
    <row r="27190" spans="9:10" x14ac:dyDescent="0.3">
      <c r="I27190" t="s">
        <v>31436</v>
      </c>
    </row>
    <row r="27191" spans="9:10" x14ac:dyDescent="0.3">
      <c r="I27191" t="s">
        <v>31437</v>
      </c>
    </row>
    <row r="27192" spans="9:10" x14ac:dyDescent="0.3">
      <c r="I27192" t="s">
        <v>31438</v>
      </c>
    </row>
    <row r="27193" spans="9:10" x14ac:dyDescent="0.3">
      <c r="I27193" t="s">
        <v>31439</v>
      </c>
    </row>
    <row r="27194" spans="9:10" x14ac:dyDescent="0.3">
      <c r="I27194" t="s">
        <v>31440</v>
      </c>
    </row>
    <row r="27195" spans="9:10" x14ac:dyDescent="0.3">
      <c r="I27195" t="s">
        <v>31441</v>
      </c>
    </row>
    <row r="27196" spans="9:10" x14ac:dyDescent="0.3">
      <c r="I27196" t="s">
        <v>31442</v>
      </c>
    </row>
    <row r="27197" spans="9:10" x14ac:dyDescent="0.3">
      <c r="I27197" t="s">
        <v>31443</v>
      </c>
    </row>
    <row r="27198" spans="9:10" x14ac:dyDescent="0.3">
      <c r="I27198" t="s">
        <v>31444</v>
      </c>
    </row>
    <row r="27199" spans="9:10" x14ac:dyDescent="0.3">
      <c r="I27199" t="s">
        <v>31445</v>
      </c>
    </row>
    <row r="27200" spans="9:10" x14ac:dyDescent="0.3">
      <c r="I27200" t="s">
        <v>31446</v>
      </c>
      <c r="J27200" t="s">
        <v>4962</v>
      </c>
    </row>
    <row r="27201" spans="9:10" x14ac:dyDescent="0.3">
      <c r="I27201" t="s">
        <v>31447</v>
      </c>
      <c r="J27201" t="s">
        <v>8918</v>
      </c>
    </row>
    <row r="27202" spans="9:10" x14ac:dyDescent="0.3">
      <c r="I27202" t="s">
        <v>31447</v>
      </c>
      <c r="J27202" t="s">
        <v>8918</v>
      </c>
    </row>
    <row r="27203" spans="9:10" x14ac:dyDescent="0.3">
      <c r="I27203" t="s">
        <v>31448</v>
      </c>
    </row>
    <row r="27204" spans="9:10" x14ac:dyDescent="0.3">
      <c r="I27204" t="s">
        <v>31449</v>
      </c>
    </row>
    <row r="27205" spans="9:10" x14ac:dyDescent="0.3">
      <c r="I27205" t="s">
        <v>31450</v>
      </c>
    </row>
    <row r="27206" spans="9:10" x14ac:dyDescent="0.3">
      <c r="I27206" t="s">
        <v>31451</v>
      </c>
    </row>
    <row r="27207" spans="9:10" x14ac:dyDescent="0.3">
      <c r="I27207" t="s">
        <v>31452</v>
      </c>
    </row>
    <row r="27208" spans="9:10" x14ac:dyDescent="0.3">
      <c r="I27208" t="s">
        <v>31453</v>
      </c>
    </row>
    <row r="27209" spans="9:10" x14ac:dyDescent="0.3">
      <c r="I27209" t="s">
        <v>31454</v>
      </c>
    </row>
    <row r="27210" spans="9:10" x14ac:dyDescent="0.3">
      <c r="I27210" t="s">
        <v>31455</v>
      </c>
      <c r="J27210">
        <v>0</v>
      </c>
    </row>
    <row r="27211" spans="9:10" x14ac:dyDescent="0.3">
      <c r="I27211" t="s">
        <v>31456</v>
      </c>
      <c r="J27211" t="s">
        <v>358</v>
      </c>
    </row>
    <row r="27212" spans="9:10" x14ac:dyDescent="0.3">
      <c r="I27212" t="s">
        <v>31457</v>
      </c>
    </row>
    <row r="27213" spans="9:10" x14ac:dyDescent="0.3">
      <c r="I27213" t="s">
        <v>31458</v>
      </c>
    </row>
    <row r="27214" spans="9:10" x14ac:dyDescent="0.3">
      <c r="I27214" t="s">
        <v>31459</v>
      </c>
    </row>
    <row r="27215" spans="9:10" x14ac:dyDescent="0.3">
      <c r="I27215" t="s">
        <v>31460</v>
      </c>
    </row>
    <row r="27216" spans="9:10" x14ac:dyDescent="0.3">
      <c r="I27216" t="s">
        <v>31461</v>
      </c>
    </row>
    <row r="27217" spans="9:10" x14ac:dyDescent="0.3">
      <c r="I27217" t="s">
        <v>18904</v>
      </c>
      <c r="J27217" t="s">
        <v>4962</v>
      </c>
    </row>
    <row r="27218" spans="9:10" x14ac:dyDescent="0.3">
      <c r="I27218" t="s">
        <v>18904</v>
      </c>
      <c r="J27218" t="s">
        <v>4962</v>
      </c>
    </row>
    <row r="27219" spans="9:10" x14ac:dyDescent="0.3">
      <c r="I27219" t="s">
        <v>18913</v>
      </c>
      <c r="J27219" t="s">
        <v>4962</v>
      </c>
    </row>
    <row r="27220" spans="9:10" x14ac:dyDescent="0.3">
      <c r="I27220" t="s">
        <v>31462</v>
      </c>
      <c r="J27220" t="s">
        <v>8919</v>
      </c>
    </row>
    <row r="27221" spans="9:10" x14ac:dyDescent="0.3">
      <c r="I27221" t="s">
        <v>31463</v>
      </c>
    </row>
    <row r="27222" spans="9:10" x14ac:dyDescent="0.3">
      <c r="I27222" t="s">
        <v>31464</v>
      </c>
    </row>
    <row r="27223" spans="9:10" x14ac:dyDescent="0.3">
      <c r="I27223" t="s">
        <v>31465</v>
      </c>
    </row>
    <row r="27224" spans="9:10" x14ac:dyDescent="0.3">
      <c r="I27224" t="s">
        <v>31466</v>
      </c>
    </row>
    <row r="27225" spans="9:10" x14ac:dyDescent="0.3">
      <c r="I27225" t="s">
        <v>31467</v>
      </c>
      <c r="J27225" t="s">
        <v>8920</v>
      </c>
    </row>
    <row r="27226" spans="9:10" x14ac:dyDescent="0.3">
      <c r="I27226" t="s">
        <v>31468</v>
      </c>
    </row>
    <row r="27227" spans="9:10" x14ac:dyDescent="0.3">
      <c r="I27227" t="s">
        <v>31469</v>
      </c>
      <c r="J27227" t="s">
        <v>8921</v>
      </c>
    </row>
    <row r="27228" spans="9:10" x14ac:dyDescent="0.3">
      <c r="I27228" t="s">
        <v>31470</v>
      </c>
      <c r="J27228" t="s">
        <v>8922</v>
      </c>
    </row>
    <row r="27229" spans="9:10" x14ac:dyDescent="0.3">
      <c r="I27229" t="s">
        <v>31470</v>
      </c>
      <c r="J27229" t="s">
        <v>8922</v>
      </c>
    </row>
    <row r="27230" spans="9:10" x14ac:dyDescent="0.3">
      <c r="I27230" t="s">
        <v>31471</v>
      </c>
    </row>
    <row r="27231" spans="9:10" x14ac:dyDescent="0.3">
      <c r="I27231" t="s">
        <v>31472</v>
      </c>
    </row>
    <row r="27232" spans="9:10" x14ac:dyDescent="0.3">
      <c r="I27232" t="s">
        <v>31473</v>
      </c>
    </row>
    <row r="27233" spans="9:10" x14ac:dyDescent="0.3">
      <c r="I27233" t="s">
        <v>31474</v>
      </c>
    </row>
    <row r="27234" spans="9:10" x14ac:dyDescent="0.3">
      <c r="I27234" t="s">
        <v>31475</v>
      </c>
    </row>
    <row r="27235" spans="9:10" x14ac:dyDescent="0.3">
      <c r="I27235" t="s">
        <v>31476</v>
      </c>
      <c r="J27235" t="s">
        <v>160</v>
      </c>
    </row>
    <row r="27236" spans="9:10" x14ac:dyDescent="0.3">
      <c r="I27236" t="s">
        <v>31477</v>
      </c>
      <c r="J27236" t="s">
        <v>160</v>
      </c>
    </row>
    <row r="27237" spans="9:10" x14ac:dyDescent="0.3">
      <c r="I27237" t="s">
        <v>31478</v>
      </c>
      <c r="J27237" t="s">
        <v>160</v>
      </c>
    </row>
    <row r="27238" spans="9:10" x14ac:dyDescent="0.3">
      <c r="I27238" t="s">
        <v>31479</v>
      </c>
      <c r="J27238" t="s">
        <v>8923</v>
      </c>
    </row>
    <row r="27239" spans="9:10" x14ac:dyDescent="0.3">
      <c r="I27239" t="s">
        <v>31480</v>
      </c>
      <c r="J27239" t="s">
        <v>8924</v>
      </c>
    </row>
    <row r="27240" spans="9:10" x14ac:dyDescent="0.3">
      <c r="I27240" t="s">
        <v>31480</v>
      </c>
      <c r="J27240" t="s">
        <v>8924</v>
      </c>
    </row>
    <row r="27241" spans="9:10" x14ac:dyDescent="0.3">
      <c r="I27241" t="s">
        <v>31480</v>
      </c>
      <c r="J27241" t="s">
        <v>8924</v>
      </c>
    </row>
    <row r="27242" spans="9:10" x14ac:dyDescent="0.3">
      <c r="I27242" t="s">
        <v>31481</v>
      </c>
      <c r="J27242" t="s">
        <v>8925</v>
      </c>
    </row>
    <row r="27243" spans="9:10" x14ac:dyDescent="0.3">
      <c r="I27243" t="s">
        <v>31481</v>
      </c>
      <c r="J27243" t="s">
        <v>8925</v>
      </c>
    </row>
    <row r="27244" spans="9:10" x14ac:dyDescent="0.3">
      <c r="I27244" t="s">
        <v>31481</v>
      </c>
      <c r="J27244" t="s">
        <v>8925</v>
      </c>
    </row>
    <row r="27245" spans="9:10" x14ac:dyDescent="0.3">
      <c r="I27245" t="s">
        <v>31482</v>
      </c>
    </row>
    <row r="27246" spans="9:10" x14ac:dyDescent="0.3">
      <c r="I27246" t="s">
        <v>31483</v>
      </c>
    </row>
    <row r="27247" spans="9:10" x14ac:dyDescent="0.3">
      <c r="I27247" t="s">
        <v>31484</v>
      </c>
    </row>
    <row r="27248" spans="9:10" x14ac:dyDescent="0.3">
      <c r="I27248" t="s">
        <v>31485</v>
      </c>
    </row>
    <row r="27249" spans="9:10" x14ac:dyDescent="0.3">
      <c r="I27249" t="s">
        <v>31486</v>
      </c>
    </row>
    <row r="27250" spans="9:10" x14ac:dyDescent="0.3">
      <c r="I27250" t="s">
        <v>31487</v>
      </c>
      <c r="J27250" t="s">
        <v>8926</v>
      </c>
    </row>
    <row r="27251" spans="9:10" x14ac:dyDescent="0.3">
      <c r="I27251" t="s">
        <v>31488</v>
      </c>
      <c r="J27251" t="s">
        <v>8927</v>
      </c>
    </row>
    <row r="27252" spans="9:10" x14ac:dyDescent="0.3">
      <c r="I27252" t="s">
        <v>31489</v>
      </c>
      <c r="J27252" t="s">
        <v>8928</v>
      </c>
    </row>
    <row r="27253" spans="9:10" x14ac:dyDescent="0.3">
      <c r="I27253" t="s">
        <v>31490</v>
      </c>
      <c r="J27253" t="s">
        <v>8929</v>
      </c>
    </row>
    <row r="27254" spans="9:10" x14ac:dyDescent="0.3">
      <c r="I27254" t="s">
        <v>31491</v>
      </c>
      <c r="J27254" t="s">
        <v>8930</v>
      </c>
    </row>
    <row r="27255" spans="9:10" x14ac:dyDescent="0.3">
      <c r="I27255" t="s">
        <v>31492</v>
      </c>
      <c r="J27255" t="s">
        <v>8931</v>
      </c>
    </row>
    <row r="27256" spans="9:10" x14ac:dyDescent="0.3">
      <c r="I27256" t="s">
        <v>31493</v>
      </c>
      <c r="J27256" t="s">
        <v>8932</v>
      </c>
    </row>
    <row r="27257" spans="9:10" x14ac:dyDescent="0.3">
      <c r="I27257" t="s">
        <v>31494</v>
      </c>
      <c r="J27257" t="s">
        <v>8933</v>
      </c>
    </row>
    <row r="27258" spans="9:10" x14ac:dyDescent="0.3">
      <c r="I27258" t="s">
        <v>31495</v>
      </c>
    </row>
    <row r="27259" spans="9:10" x14ac:dyDescent="0.3">
      <c r="I27259" t="s">
        <v>31496</v>
      </c>
    </row>
    <row r="27260" spans="9:10" x14ac:dyDescent="0.3">
      <c r="I27260" t="s">
        <v>31497</v>
      </c>
    </row>
    <row r="27261" spans="9:10" x14ac:dyDescent="0.3">
      <c r="I27261" t="s">
        <v>31498</v>
      </c>
    </row>
    <row r="27262" spans="9:10" x14ac:dyDescent="0.3">
      <c r="I27262" t="s">
        <v>31499</v>
      </c>
    </row>
    <row r="27263" spans="9:10" x14ac:dyDescent="0.3">
      <c r="I27263" t="s">
        <v>31500</v>
      </c>
    </row>
    <row r="27264" spans="9:10" x14ac:dyDescent="0.3">
      <c r="I27264" t="s">
        <v>31501</v>
      </c>
    </row>
    <row r="27265" spans="9:10" x14ac:dyDescent="0.3">
      <c r="I27265" t="s">
        <v>31502</v>
      </c>
    </row>
    <row r="27266" spans="9:10" x14ac:dyDescent="0.3">
      <c r="I27266" t="s">
        <v>31503</v>
      </c>
    </row>
    <row r="27267" spans="9:10" x14ac:dyDescent="0.3">
      <c r="I27267" t="s">
        <v>31504</v>
      </c>
    </row>
    <row r="27268" spans="9:10" x14ac:dyDescent="0.3">
      <c r="I27268" t="s">
        <v>31505</v>
      </c>
    </row>
    <row r="27269" spans="9:10" x14ac:dyDescent="0.3">
      <c r="I27269" t="s">
        <v>31506</v>
      </c>
    </row>
    <row r="27270" spans="9:10" x14ac:dyDescent="0.3">
      <c r="I27270" t="s">
        <v>31507</v>
      </c>
    </row>
    <row r="27271" spans="9:10" x14ac:dyDescent="0.3">
      <c r="I27271" t="s">
        <v>31508</v>
      </c>
      <c r="J27271" t="s">
        <v>8934</v>
      </c>
    </row>
    <row r="27272" spans="9:10" x14ac:dyDescent="0.3">
      <c r="I27272" t="s">
        <v>31509</v>
      </c>
    </row>
    <row r="27273" spans="9:10" x14ac:dyDescent="0.3">
      <c r="I27273" t="s">
        <v>31510</v>
      </c>
    </row>
    <row r="27274" spans="9:10" x14ac:dyDescent="0.3">
      <c r="I27274" t="s">
        <v>31511</v>
      </c>
    </row>
    <row r="27275" spans="9:10" x14ac:dyDescent="0.3">
      <c r="I27275" t="s">
        <v>31512</v>
      </c>
    </row>
    <row r="27276" spans="9:10" x14ac:dyDescent="0.3">
      <c r="I27276" t="s">
        <v>31513</v>
      </c>
    </row>
    <row r="27277" spans="9:10" x14ac:dyDescent="0.3">
      <c r="I27277" t="s">
        <v>31514</v>
      </c>
    </row>
    <row r="27278" spans="9:10" x14ac:dyDescent="0.3">
      <c r="I27278" t="s">
        <v>31515</v>
      </c>
    </row>
    <row r="27279" spans="9:10" x14ac:dyDescent="0.3">
      <c r="I27279" t="s">
        <v>31516</v>
      </c>
    </row>
    <row r="27280" spans="9:10" x14ac:dyDescent="0.3">
      <c r="I27280" t="s">
        <v>31517</v>
      </c>
    </row>
    <row r="27281" spans="9:10" x14ac:dyDescent="0.3">
      <c r="I27281" t="s">
        <v>31518</v>
      </c>
      <c r="J27281" t="s">
        <v>8935</v>
      </c>
    </row>
    <row r="27282" spans="9:10" x14ac:dyDescent="0.3">
      <c r="I27282" t="s">
        <v>31518</v>
      </c>
      <c r="J27282" t="s">
        <v>8935</v>
      </c>
    </row>
    <row r="27283" spans="9:10" x14ac:dyDescent="0.3">
      <c r="I27283" t="s">
        <v>31519</v>
      </c>
    </row>
    <row r="27284" spans="9:10" x14ac:dyDescent="0.3">
      <c r="I27284" t="s">
        <v>31520</v>
      </c>
      <c r="J27284" t="s">
        <v>8936</v>
      </c>
    </row>
    <row r="27285" spans="9:10" x14ac:dyDescent="0.3">
      <c r="I27285" t="s">
        <v>31521</v>
      </c>
    </row>
    <row r="27286" spans="9:10" x14ac:dyDescent="0.3">
      <c r="I27286" t="s">
        <v>31522</v>
      </c>
      <c r="J27286" t="s">
        <v>594</v>
      </c>
    </row>
    <row r="27287" spans="9:10" x14ac:dyDescent="0.3">
      <c r="I27287" t="s">
        <v>31522</v>
      </c>
      <c r="J27287" t="s">
        <v>594</v>
      </c>
    </row>
    <row r="27288" spans="9:10" x14ac:dyDescent="0.3">
      <c r="I27288" t="s">
        <v>31523</v>
      </c>
    </row>
    <row r="27289" spans="9:10" x14ac:dyDescent="0.3">
      <c r="I27289" t="s">
        <v>31524</v>
      </c>
    </row>
    <row r="27290" spans="9:10" x14ac:dyDescent="0.3">
      <c r="I27290" t="s">
        <v>31525</v>
      </c>
    </row>
    <row r="27291" spans="9:10" x14ac:dyDescent="0.3">
      <c r="I27291" t="s">
        <v>31526</v>
      </c>
    </row>
    <row r="27292" spans="9:10" x14ac:dyDescent="0.3">
      <c r="I27292" t="s">
        <v>31527</v>
      </c>
    </row>
    <row r="27293" spans="9:10" x14ac:dyDescent="0.3">
      <c r="I27293" t="s">
        <v>31528</v>
      </c>
    </row>
    <row r="27294" spans="9:10" x14ac:dyDescent="0.3">
      <c r="I27294" t="s">
        <v>31529</v>
      </c>
    </row>
    <row r="27295" spans="9:10" x14ac:dyDescent="0.3">
      <c r="I27295" t="s">
        <v>31530</v>
      </c>
    </row>
    <row r="27296" spans="9:10" x14ac:dyDescent="0.3">
      <c r="I27296" t="s">
        <v>31530</v>
      </c>
    </row>
    <row r="27297" spans="9:10" x14ac:dyDescent="0.3">
      <c r="I27297" t="s">
        <v>31531</v>
      </c>
    </row>
    <row r="27298" spans="9:10" x14ac:dyDescent="0.3">
      <c r="I27298" t="s">
        <v>31532</v>
      </c>
    </row>
    <row r="27299" spans="9:10" x14ac:dyDescent="0.3">
      <c r="I27299" t="s">
        <v>31533</v>
      </c>
    </row>
    <row r="27300" spans="9:10" x14ac:dyDescent="0.3">
      <c r="I27300" t="s">
        <v>31534</v>
      </c>
    </row>
    <row r="27301" spans="9:10" x14ac:dyDescent="0.3">
      <c r="I27301" t="s">
        <v>31535</v>
      </c>
    </row>
    <row r="27302" spans="9:10" x14ac:dyDescent="0.3">
      <c r="I27302" t="s">
        <v>31536</v>
      </c>
    </row>
    <row r="27303" spans="9:10" x14ac:dyDescent="0.3">
      <c r="I27303" t="s">
        <v>31537</v>
      </c>
    </row>
    <row r="27304" spans="9:10" x14ac:dyDescent="0.3">
      <c r="I27304" t="s">
        <v>31538</v>
      </c>
      <c r="J27304" t="s">
        <v>8937</v>
      </c>
    </row>
    <row r="27305" spans="9:10" x14ac:dyDescent="0.3">
      <c r="I27305" t="s">
        <v>31539</v>
      </c>
      <c r="J27305" t="s">
        <v>8938</v>
      </c>
    </row>
    <row r="27306" spans="9:10" x14ac:dyDescent="0.3">
      <c r="I27306" t="s">
        <v>31540</v>
      </c>
      <c r="J27306" t="s">
        <v>8939</v>
      </c>
    </row>
    <row r="27307" spans="9:10" x14ac:dyDescent="0.3">
      <c r="I27307" t="s">
        <v>31541</v>
      </c>
      <c r="J27307" t="s">
        <v>8940</v>
      </c>
    </row>
    <row r="27308" spans="9:10" x14ac:dyDescent="0.3">
      <c r="I27308" t="s">
        <v>31542</v>
      </c>
      <c r="J27308" t="s">
        <v>910</v>
      </c>
    </row>
    <row r="27309" spans="9:10" x14ac:dyDescent="0.3">
      <c r="I27309" t="s">
        <v>31543</v>
      </c>
      <c r="J27309" t="s">
        <v>8941</v>
      </c>
    </row>
    <row r="27310" spans="9:10" x14ac:dyDescent="0.3">
      <c r="I27310" t="s">
        <v>31544</v>
      </c>
      <c r="J27310" t="s">
        <v>8941</v>
      </c>
    </row>
    <row r="27311" spans="9:10" x14ac:dyDescent="0.3">
      <c r="I27311" t="s">
        <v>31545</v>
      </c>
      <c r="J27311" t="s">
        <v>8942</v>
      </c>
    </row>
    <row r="27312" spans="9:10" x14ac:dyDescent="0.3">
      <c r="I27312" t="s">
        <v>31546</v>
      </c>
      <c r="J27312" t="s">
        <v>8943</v>
      </c>
    </row>
    <row r="27313" spans="9:9" x14ac:dyDescent="0.3">
      <c r="I27313" t="s">
        <v>31547</v>
      </c>
    </row>
    <row r="27314" spans="9:9" x14ac:dyDescent="0.3">
      <c r="I27314" t="s">
        <v>31548</v>
      </c>
    </row>
    <row r="27315" spans="9:9" x14ac:dyDescent="0.3">
      <c r="I27315" t="s">
        <v>31549</v>
      </c>
    </row>
    <row r="27316" spans="9:9" x14ac:dyDescent="0.3">
      <c r="I27316" t="s">
        <v>31550</v>
      </c>
    </row>
    <row r="27317" spans="9:9" x14ac:dyDescent="0.3">
      <c r="I27317" t="s">
        <v>31551</v>
      </c>
    </row>
    <row r="27318" spans="9:9" x14ac:dyDescent="0.3">
      <c r="I27318" t="s">
        <v>31552</v>
      </c>
    </row>
    <row r="27319" spans="9:9" x14ac:dyDescent="0.3">
      <c r="I27319" t="s">
        <v>31553</v>
      </c>
    </row>
    <row r="27320" spans="9:9" x14ac:dyDescent="0.3">
      <c r="I27320" t="s">
        <v>31554</v>
      </c>
    </row>
    <row r="27321" spans="9:9" x14ac:dyDescent="0.3">
      <c r="I27321" t="s">
        <v>31555</v>
      </c>
    </row>
    <row r="27322" spans="9:9" x14ac:dyDescent="0.3">
      <c r="I27322" t="s">
        <v>31556</v>
      </c>
    </row>
    <row r="27323" spans="9:9" x14ac:dyDescent="0.3">
      <c r="I27323" t="s">
        <v>31557</v>
      </c>
    </row>
    <row r="27324" spans="9:9" x14ac:dyDescent="0.3">
      <c r="I27324" t="s">
        <v>31558</v>
      </c>
    </row>
    <row r="27325" spans="9:9" x14ac:dyDescent="0.3">
      <c r="I27325" t="s">
        <v>31559</v>
      </c>
    </row>
    <row r="27326" spans="9:9" x14ac:dyDescent="0.3">
      <c r="I27326" t="s">
        <v>31560</v>
      </c>
    </row>
    <row r="27327" spans="9:9" x14ac:dyDescent="0.3">
      <c r="I27327" t="s">
        <v>31560</v>
      </c>
    </row>
    <row r="27328" spans="9:9" x14ac:dyDescent="0.3">
      <c r="I27328" t="s">
        <v>31561</v>
      </c>
    </row>
    <row r="27329" spans="9:9" x14ac:dyDescent="0.3">
      <c r="I27329" t="s">
        <v>31562</v>
      </c>
    </row>
    <row r="27330" spans="9:9" x14ac:dyDescent="0.3">
      <c r="I27330" t="s">
        <v>31563</v>
      </c>
    </row>
    <row r="27331" spans="9:9" x14ac:dyDescent="0.3">
      <c r="I27331" t="s">
        <v>31564</v>
      </c>
    </row>
    <row r="27332" spans="9:9" x14ac:dyDescent="0.3">
      <c r="I27332" t="s">
        <v>31565</v>
      </c>
    </row>
    <row r="27333" spans="9:9" x14ac:dyDescent="0.3">
      <c r="I27333" t="s">
        <v>31566</v>
      </c>
    </row>
    <row r="27334" spans="9:9" x14ac:dyDescent="0.3">
      <c r="I27334" t="s">
        <v>31567</v>
      </c>
    </row>
    <row r="27335" spans="9:9" x14ac:dyDescent="0.3">
      <c r="I27335" t="s">
        <v>31568</v>
      </c>
    </row>
    <row r="27336" spans="9:9" x14ac:dyDescent="0.3">
      <c r="I27336" t="s">
        <v>31569</v>
      </c>
    </row>
    <row r="27337" spans="9:9" x14ac:dyDescent="0.3">
      <c r="I27337" t="s">
        <v>31570</v>
      </c>
    </row>
    <row r="27338" spans="9:9" x14ac:dyDescent="0.3">
      <c r="I27338" t="s">
        <v>31571</v>
      </c>
    </row>
    <row r="27339" spans="9:9" x14ac:dyDescent="0.3">
      <c r="I27339" t="s">
        <v>31572</v>
      </c>
    </row>
    <row r="27340" spans="9:9" x14ac:dyDescent="0.3">
      <c r="I27340" t="s">
        <v>31573</v>
      </c>
    </row>
    <row r="27341" spans="9:9" x14ac:dyDescent="0.3">
      <c r="I27341" t="s">
        <v>31574</v>
      </c>
    </row>
    <row r="27342" spans="9:9" x14ac:dyDescent="0.3">
      <c r="I27342" t="s">
        <v>31575</v>
      </c>
    </row>
    <row r="27343" spans="9:9" x14ac:dyDescent="0.3">
      <c r="I27343" t="s">
        <v>31576</v>
      </c>
    </row>
    <row r="27344" spans="9:9" x14ac:dyDescent="0.3">
      <c r="I27344" t="s">
        <v>31577</v>
      </c>
    </row>
    <row r="27345" spans="9:10" x14ac:dyDescent="0.3">
      <c r="I27345" t="s">
        <v>31578</v>
      </c>
    </row>
    <row r="27346" spans="9:10" x14ac:dyDescent="0.3">
      <c r="I27346" t="s">
        <v>31579</v>
      </c>
    </row>
    <row r="27347" spans="9:10" x14ac:dyDescent="0.3">
      <c r="I27347" t="s">
        <v>31580</v>
      </c>
    </row>
    <row r="27348" spans="9:10" x14ac:dyDescent="0.3">
      <c r="I27348" t="s">
        <v>31581</v>
      </c>
    </row>
    <row r="27349" spans="9:10" x14ac:dyDescent="0.3">
      <c r="I27349" t="s">
        <v>31582</v>
      </c>
    </row>
    <row r="27350" spans="9:10" x14ac:dyDescent="0.3">
      <c r="I27350" t="s">
        <v>31583</v>
      </c>
      <c r="J27350" t="s">
        <v>8944</v>
      </c>
    </row>
    <row r="27351" spans="9:10" x14ac:dyDescent="0.3">
      <c r="I27351" t="s">
        <v>31583</v>
      </c>
      <c r="J27351" t="s">
        <v>8944</v>
      </c>
    </row>
    <row r="27352" spans="9:10" x14ac:dyDescent="0.3">
      <c r="I27352" t="s">
        <v>31584</v>
      </c>
      <c r="J27352" t="s">
        <v>8945</v>
      </c>
    </row>
    <row r="27353" spans="9:10" x14ac:dyDescent="0.3">
      <c r="I27353" t="s">
        <v>31585</v>
      </c>
      <c r="J27353" t="s">
        <v>8946</v>
      </c>
    </row>
    <row r="27354" spans="9:10" x14ac:dyDescent="0.3">
      <c r="I27354" t="s">
        <v>31585</v>
      </c>
      <c r="J27354" t="s">
        <v>8946</v>
      </c>
    </row>
    <row r="27355" spans="9:10" x14ac:dyDescent="0.3">
      <c r="I27355" t="s">
        <v>31586</v>
      </c>
    </row>
    <row r="27356" spans="9:10" x14ac:dyDescent="0.3">
      <c r="I27356" t="s">
        <v>31587</v>
      </c>
    </row>
    <row r="27357" spans="9:10" x14ac:dyDescent="0.3">
      <c r="I27357" t="s">
        <v>31588</v>
      </c>
    </row>
    <row r="27358" spans="9:10" x14ac:dyDescent="0.3">
      <c r="I27358" t="s">
        <v>31589</v>
      </c>
    </row>
    <row r="27359" spans="9:10" x14ac:dyDescent="0.3">
      <c r="I27359" t="s">
        <v>31590</v>
      </c>
    </row>
    <row r="27360" spans="9:10" x14ac:dyDescent="0.3">
      <c r="I27360" t="s">
        <v>31591</v>
      </c>
    </row>
    <row r="27361" spans="9:10" x14ac:dyDescent="0.3">
      <c r="I27361" t="s">
        <v>31592</v>
      </c>
    </row>
    <row r="27362" spans="9:10" x14ac:dyDescent="0.3">
      <c r="I27362" t="s">
        <v>31593</v>
      </c>
    </row>
    <row r="27363" spans="9:10" x14ac:dyDescent="0.3">
      <c r="I27363" t="s">
        <v>31594</v>
      </c>
    </row>
    <row r="27364" spans="9:10" x14ac:dyDescent="0.3">
      <c r="I27364" t="s">
        <v>31595</v>
      </c>
    </row>
    <row r="27365" spans="9:10" x14ac:dyDescent="0.3">
      <c r="I27365" t="s">
        <v>31596</v>
      </c>
    </row>
    <row r="27366" spans="9:10" x14ac:dyDescent="0.3">
      <c r="I27366" t="s">
        <v>31597</v>
      </c>
      <c r="J27366" t="s">
        <v>8947</v>
      </c>
    </row>
    <row r="27367" spans="9:10" x14ac:dyDescent="0.3">
      <c r="I27367" t="s">
        <v>31598</v>
      </c>
      <c r="J27367" t="s">
        <v>8947</v>
      </c>
    </row>
    <row r="27368" spans="9:10" x14ac:dyDescent="0.3">
      <c r="I27368" t="s">
        <v>31599</v>
      </c>
      <c r="J27368" t="s">
        <v>8947</v>
      </c>
    </row>
    <row r="27369" spans="9:10" x14ac:dyDescent="0.3">
      <c r="I27369" t="s">
        <v>31600</v>
      </c>
      <c r="J27369" t="s">
        <v>8948</v>
      </c>
    </row>
    <row r="27370" spans="9:10" x14ac:dyDescent="0.3">
      <c r="I27370" t="s">
        <v>31601</v>
      </c>
      <c r="J27370" t="s">
        <v>8949</v>
      </c>
    </row>
    <row r="27371" spans="9:10" x14ac:dyDescent="0.3">
      <c r="I27371" t="s">
        <v>31602</v>
      </c>
    </row>
    <row r="27372" spans="9:10" x14ac:dyDescent="0.3">
      <c r="I27372" t="s">
        <v>31603</v>
      </c>
    </row>
    <row r="27373" spans="9:10" x14ac:dyDescent="0.3">
      <c r="I27373" t="s">
        <v>31604</v>
      </c>
    </row>
    <row r="27374" spans="9:10" x14ac:dyDescent="0.3">
      <c r="I27374" t="s">
        <v>31605</v>
      </c>
    </row>
    <row r="27375" spans="9:10" x14ac:dyDescent="0.3">
      <c r="I27375" t="s">
        <v>31606</v>
      </c>
    </row>
    <row r="27376" spans="9:10" x14ac:dyDescent="0.3">
      <c r="I27376" t="s">
        <v>31607</v>
      </c>
    </row>
    <row r="27377" spans="9:10" x14ac:dyDescent="0.3">
      <c r="I27377" t="s">
        <v>31608</v>
      </c>
    </row>
    <row r="27378" spans="9:10" x14ac:dyDescent="0.3">
      <c r="I27378" t="s">
        <v>31609</v>
      </c>
    </row>
    <row r="27379" spans="9:10" x14ac:dyDescent="0.3">
      <c r="I27379" t="s">
        <v>31610</v>
      </c>
    </row>
    <row r="27380" spans="9:10" x14ac:dyDescent="0.3">
      <c r="I27380" t="s">
        <v>31611</v>
      </c>
      <c r="J27380" t="s">
        <v>8950</v>
      </c>
    </row>
    <row r="27381" spans="9:10" x14ac:dyDescent="0.3">
      <c r="I27381" t="s">
        <v>31611</v>
      </c>
      <c r="J27381" t="s">
        <v>8950</v>
      </c>
    </row>
    <row r="27382" spans="9:10" x14ac:dyDescent="0.3">
      <c r="I27382" t="s">
        <v>31612</v>
      </c>
      <c r="J27382" t="s">
        <v>329</v>
      </c>
    </row>
    <row r="27383" spans="9:10" x14ac:dyDescent="0.3">
      <c r="I27383" t="s">
        <v>31613</v>
      </c>
      <c r="J27383" t="s">
        <v>8951</v>
      </c>
    </row>
    <row r="27384" spans="9:10" x14ac:dyDescent="0.3">
      <c r="I27384" t="s">
        <v>31614</v>
      </c>
    </row>
    <row r="27385" spans="9:10" x14ac:dyDescent="0.3">
      <c r="I27385" t="s">
        <v>31615</v>
      </c>
    </row>
    <row r="27386" spans="9:10" x14ac:dyDescent="0.3">
      <c r="I27386" t="s">
        <v>31616</v>
      </c>
    </row>
    <row r="27387" spans="9:10" x14ac:dyDescent="0.3">
      <c r="I27387" t="s">
        <v>31617</v>
      </c>
    </row>
    <row r="27388" spans="9:10" x14ac:dyDescent="0.3">
      <c r="I27388" t="s">
        <v>31618</v>
      </c>
    </row>
    <row r="27389" spans="9:10" x14ac:dyDescent="0.3">
      <c r="I27389" t="s">
        <v>31619</v>
      </c>
    </row>
    <row r="27390" spans="9:10" x14ac:dyDescent="0.3">
      <c r="I27390" t="s">
        <v>31620</v>
      </c>
    </row>
    <row r="27391" spans="9:10" x14ac:dyDescent="0.3">
      <c r="I27391" t="s">
        <v>31621</v>
      </c>
    </row>
    <row r="27392" spans="9:10" x14ac:dyDescent="0.3">
      <c r="I27392" t="s">
        <v>31622</v>
      </c>
    </row>
    <row r="27393" spans="9:10" x14ac:dyDescent="0.3">
      <c r="I27393" t="s">
        <v>31623</v>
      </c>
    </row>
    <row r="27394" spans="9:10" x14ac:dyDescent="0.3">
      <c r="I27394" t="s">
        <v>31624</v>
      </c>
    </row>
    <row r="27395" spans="9:10" x14ac:dyDescent="0.3">
      <c r="I27395" t="s">
        <v>31625</v>
      </c>
    </row>
    <row r="27396" spans="9:10" x14ac:dyDescent="0.3">
      <c r="I27396" t="s">
        <v>31626</v>
      </c>
    </row>
    <row r="27397" spans="9:10" x14ac:dyDescent="0.3">
      <c r="I27397" t="s">
        <v>31627</v>
      </c>
    </row>
    <row r="27398" spans="9:10" x14ac:dyDescent="0.3">
      <c r="I27398" t="s">
        <v>31628</v>
      </c>
    </row>
    <row r="27399" spans="9:10" x14ac:dyDescent="0.3">
      <c r="I27399" t="s">
        <v>31629</v>
      </c>
    </row>
    <row r="27400" spans="9:10" x14ac:dyDescent="0.3">
      <c r="I27400" t="s">
        <v>31630</v>
      </c>
    </row>
    <row r="27401" spans="9:10" x14ac:dyDescent="0.3">
      <c r="I27401" t="s">
        <v>31631</v>
      </c>
      <c r="J27401" t="s">
        <v>8952</v>
      </c>
    </row>
    <row r="27402" spans="9:10" x14ac:dyDescent="0.3">
      <c r="I27402" t="s">
        <v>31632</v>
      </c>
    </row>
    <row r="27403" spans="9:10" x14ac:dyDescent="0.3">
      <c r="I27403" t="s">
        <v>31633</v>
      </c>
    </row>
    <row r="27404" spans="9:10" x14ac:dyDescent="0.3">
      <c r="I27404" t="s">
        <v>31634</v>
      </c>
    </row>
    <row r="27405" spans="9:10" x14ac:dyDescent="0.3">
      <c r="I27405" t="s">
        <v>31635</v>
      </c>
    </row>
    <row r="27406" spans="9:10" x14ac:dyDescent="0.3">
      <c r="I27406" t="s">
        <v>31636</v>
      </c>
      <c r="J27406" t="s">
        <v>802</v>
      </c>
    </row>
    <row r="27407" spans="9:10" x14ac:dyDescent="0.3">
      <c r="I27407" t="s">
        <v>31637</v>
      </c>
    </row>
    <row r="27408" spans="9:10" x14ac:dyDescent="0.3">
      <c r="I27408" t="s">
        <v>31638</v>
      </c>
    </row>
    <row r="27409" spans="9:10" x14ac:dyDescent="0.3">
      <c r="I27409" t="s">
        <v>31639</v>
      </c>
    </row>
    <row r="27410" spans="9:10" x14ac:dyDescent="0.3">
      <c r="I27410" t="s">
        <v>31640</v>
      </c>
    </row>
    <row r="27411" spans="9:10" x14ac:dyDescent="0.3">
      <c r="I27411" t="s">
        <v>31641</v>
      </c>
    </row>
    <row r="27412" spans="9:10" x14ac:dyDescent="0.3">
      <c r="I27412" t="s">
        <v>31642</v>
      </c>
    </row>
    <row r="27413" spans="9:10" x14ac:dyDescent="0.3">
      <c r="I27413" t="s">
        <v>31643</v>
      </c>
    </row>
    <row r="27414" spans="9:10" x14ac:dyDescent="0.3">
      <c r="I27414" t="s">
        <v>31644</v>
      </c>
    </row>
    <row r="27415" spans="9:10" x14ac:dyDescent="0.3">
      <c r="I27415" t="s">
        <v>31645</v>
      </c>
      <c r="J27415" t="s">
        <v>8953</v>
      </c>
    </row>
    <row r="27416" spans="9:10" x14ac:dyDescent="0.3">
      <c r="I27416" t="s">
        <v>31646</v>
      </c>
      <c r="J27416" t="s">
        <v>8954</v>
      </c>
    </row>
    <row r="27417" spans="9:10" x14ac:dyDescent="0.3">
      <c r="I27417" t="s">
        <v>31647</v>
      </c>
      <c r="J27417" t="s">
        <v>8954</v>
      </c>
    </row>
    <row r="27418" spans="9:10" x14ac:dyDescent="0.3">
      <c r="I27418" t="s">
        <v>31648</v>
      </c>
      <c r="J27418" t="s">
        <v>8955</v>
      </c>
    </row>
    <row r="27419" spans="9:10" x14ac:dyDescent="0.3">
      <c r="I27419" t="s">
        <v>31649</v>
      </c>
      <c r="J27419" t="s">
        <v>8955</v>
      </c>
    </row>
    <row r="27420" spans="9:10" x14ac:dyDescent="0.3">
      <c r="I27420" t="s">
        <v>31650</v>
      </c>
      <c r="J27420" t="s">
        <v>8956</v>
      </c>
    </row>
    <row r="27421" spans="9:10" x14ac:dyDescent="0.3">
      <c r="I27421" t="s">
        <v>31651</v>
      </c>
    </row>
    <row r="27422" spans="9:10" x14ac:dyDescent="0.3">
      <c r="I27422" t="s">
        <v>31652</v>
      </c>
    </row>
    <row r="27423" spans="9:10" x14ac:dyDescent="0.3">
      <c r="I27423" t="s">
        <v>31653</v>
      </c>
    </row>
    <row r="27424" spans="9:10" x14ac:dyDescent="0.3">
      <c r="I27424" t="s">
        <v>31654</v>
      </c>
    </row>
    <row r="27425" spans="9:10" x14ac:dyDescent="0.3">
      <c r="I27425" t="s">
        <v>31655</v>
      </c>
    </row>
    <row r="27426" spans="9:10" x14ac:dyDescent="0.3">
      <c r="I27426" t="s">
        <v>31656</v>
      </c>
    </row>
    <row r="27427" spans="9:10" x14ac:dyDescent="0.3">
      <c r="I27427" t="s">
        <v>31657</v>
      </c>
    </row>
    <row r="27428" spans="9:10" x14ac:dyDescent="0.3">
      <c r="I27428" t="s">
        <v>31658</v>
      </c>
    </row>
    <row r="27429" spans="9:10" x14ac:dyDescent="0.3">
      <c r="I27429" t="s">
        <v>31659</v>
      </c>
      <c r="J27429" t="s">
        <v>8957</v>
      </c>
    </row>
    <row r="27430" spans="9:10" x14ac:dyDescent="0.3">
      <c r="I27430" t="s">
        <v>31660</v>
      </c>
      <c r="J27430" t="s">
        <v>8958</v>
      </c>
    </row>
    <row r="27431" spans="9:10" x14ac:dyDescent="0.3">
      <c r="I27431" t="s">
        <v>31661</v>
      </c>
    </row>
    <row r="27432" spans="9:10" x14ac:dyDescent="0.3">
      <c r="I27432" t="s">
        <v>31662</v>
      </c>
    </row>
    <row r="27433" spans="9:10" x14ac:dyDescent="0.3">
      <c r="I27433" t="s">
        <v>31663</v>
      </c>
    </row>
    <row r="27434" spans="9:10" x14ac:dyDescent="0.3">
      <c r="I27434" t="s">
        <v>31664</v>
      </c>
    </row>
    <row r="27435" spans="9:10" x14ac:dyDescent="0.3">
      <c r="I27435" t="s">
        <v>31665</v>
      </c>
    </row>
    <row r="27436" spans="9:10" x14ac:dyDescent="0.3">
      <c r="I27436" t="s">
        <v>31666</v>
      </c>
    </row>
    <row r="27437" spans="9:10" x14ac:dyDescent="0.3">
      <c r="I27437" t="s">
        <v>31667</v>
      </c>
    </row>
    <row r="27438" spans="9:10" x14ac:dyDescent="0.3">
      <c r="I27438" t="s">
        <v>31668</v>
      </c>
    </row>
    <row r="27439" spans="9:10" x14ac:dyDescent="0.3">
      <c r="I27439" t="s">
        <v>31669</v>
      </c>
    </row>
    <row r="27440" spans="9:10" x14ac:dyDescent="0.3">
      <c r="I27440" t="s">
        <v>31670</v>
      </c>
    </row>
    <row r="27441" spans="9:10" x14ac:dyDescent="0.3">
      <c r="I27441" t="s">
        <v>31671</v>
      </c>
    </row>
    <row r="27442" spans="9:10" x14ac:dyDescent="0.3">
      <c r="I27442" t="s">
        <v>31672</v>
      </c>
      <c r="J27442" t="s">
        <v>8959</v>
      </c>
    </row>
    <row r="27443" spans="9:10" x14ac:dyDescent="0.3">
      <c r="I27443" t="s">
        <v>31673</v>
      </c>
      <c r="J27443" t="s">
        <v>8959</v>
      </c>
    </row>
    <row r="27444" spans="9:10" x14ac:dyDescent="0.3">
      <c r="I27444" t="s">
        <v>31674</v>
      </c>
      <c r="J27444" t="s">
        <v>8959</v>
      </c>
    </row>
    <row r="27445" spans="9:10" x14ac:dyDescent="0.3">
      <c r="I27445" t="s">
        <v>31675</v>
      </c>
      <c r="J27445" t="s">
        <v>8959</v>
      </c>
    </row>
    <row r="27446" spans="9:10" x14ac:dyDescent="0.3">
      <c r="I27446" t="s">
        <v>31676</v>
      </c>
      <c r="J27446" t="s">
        <v>8959</v>
      </c>
    </row>
    <row r="27447" spans="9:10" x14ac:dyDescent="0.3">
      <c r="I27447" t="s">
        <v>31677</v>
      </c>
      <c r="J27447" t="s">
        <v>861</v>
      </c>
    </row>
    <row r="27448" spans="9:10" x14ac:dyDescent="0.3">
      <c r="I27448" t="s">
        <v>31678</v>
      </c>
      <c r="J27448" t="s">
        <v>8960</v>
      </c>
    </row>
    <row r="27449" spans="9:10" x14ac:dyDescent="0.3">
      <c r="I27449" t="s">
        <v>31679</v>
      </c>
    </row>
    <row r="27450" spans="9:10" x14ac:dyDescent="0.3">
      <c r="I27450" t="s">
        <v>31680</v>
      </c>
    </row>
    <row r="27451" spans="9:10" x14ac:dyDescent="0.3">
      <c r="I27451" t="s">
        <v>31681</v>
      </c>
    </row>
    <row r="27452" spans="9:10" x14ac:dyDescent="0.3">
      <c r="I27452" t="s">
        <v>31682</v>
      </c>
    </row>
    <row r="27453" spans="9:10" x14ac:dyDescent="0.3">
      <c r="I27453" t="s">
        <v>31683</v>
      </c>
      <c r="J27453" t="s">
        <v>8961</v>
      </c>
    </row>
    <row r="27454" spans="9:10" x14ac:dyDescent="0.3">
      <c r="I27454" t="s">
        <v>31684</v>
      </c>
      <c r="J27454" t="s">
        <v>8962</v>
      </c>
    </row>
    <row r="27455" spans="9:10" x14ac:dyDescent="0.3">
      <c r="I27455" t="s">
        <v>31685</v>
      </c>
      <c r="J27455" t="s">
        <v>8963</v>
      </c>
    </row>
    <row r="27456" spans="9:10" x14ac:dyDescent="0.3">
      <c r="I27456" t="s">
        <v>31686</v>
      </c>
      <c r="J27456" t="s">
        <v>8964</v>
      </c>
    </row>
    <row r="27457" spans="9:10" x14ac:dyDescent="0.3">
      <c r="I27457" t="s">
        <v>31687</v>
      </c>
      <c r="J27457" t="s">
        <v>8965</v>
      </c>
    </row>
    <row r="27458" spans="9:10" x14ac:dyDescent="0.3">
      <c r="I27458" t="s">
        <v>31688</v>
      </c>
      <c r="J27458" t="s">
        <v>8966</v>
      </c>
    </row>
    <row r="27459" spans="9:10" x14ac:dyDescent="0.3">
      <c r="I27459" t="s">
        <v>31689</v>
      </c>
      <c r="J27459" t="s">
        <v>8967</v>
      </c>
    </row>
    <row r="27460" spans="9:10" x14ac:dyDescent="0.3">
      <c r="I27460" t="s">
        <v>31690</v>
      </c>
    </row>
    <row r="27461" spans="9:10" x14ac:dyDescent="0.3">
      <c r="I27461" t="s">
        <v>31691</v>
      </c>
    </row>
    <row r="27462" spans="9:10" x14ac:dyDescent="0.3">
      <c r="I27462" t="s">
        <v>31692</v>
      </c>
    </row>
    <row r="27463" spans="9:10" x14ac:dyDescent="0.3">
      <c r="I27463" t="s">
        <v>31693</v>
      </c>
      <c r="J27463" t="s">
        <v>8968</v>
      </c>
    </row>
    <row r="27464" spans="9:10" x14ac:dyDescent="0.3">
      <c r="I27464" t="s">
        <v>31693</v>
      </c>
      <c r="J27464" t="s">
        <v>8968</v>
      </c>
    </row>
    <row r="27465" spans="9:10" x14ac:dyDescent="0.3">
      <c r="I27465" t="s">
        <v>31694</v>
      </c>
      <c r="J27465" t="s">
        <v>8969</v>
      </c>
    </row>
    <row r="27466" spans="9:10" x14ac:dyDescent="0.3">
      <c r="I27466" t="s">
        <v>31695</v>
      </c>
      <c r="J27466" t="s">
        <v>8969</v>
      </c>
    </row>
    <row r="27467" spans="9:10" x14ac:dyDescent="0.3">
      <c r="I27467" t="s">
        <v>31696</v>
      </c>
      <c r="J27467" t="s">
        <v>178</v>
      </c>
    </row>
    <row r="27468" spans="9:10" x14ac:dyDescent="0.3">
      <c r="I27468" t="s">
        <v>31697</v>
      </c>
    </row>
    <row r="27469" spans="9:10" x14ac:dyDescent="0.3">
      <c r="I27469" t="s">
        <v>31698</v>
      </c>
    </row>
    <row r="27470" spans="9:10" x14ac:dyDescent="0.3">
      <c r="I27470" t="s">
        <v>31699</v>
      </c>
    </row>
    <row r="27471" spans="9:10" x14ac:dyDescent="0.3">
      <c r="I27471" t="s">
        <v>31700</v>
      </c>
    </row>
    <row r="27472" spans="9:10" x14ac:dyDescent="0.3">
      <c r="I27472" t="s">
        <v>31701</v>
      </c>
    </row>
    <row r="27473" spans="9:10" x14ac:dyDescent="0.3">
      <c r="I27473" t="s">
        <v>31702</v>
      </c>
    </row>
    <row r="27474" spans="9:10" x14ac:dyDescent="0.3">
      <c r="I27474" t="s">
        <v>31703</v>
      </c>
    </row>
    <row r="27475" spans="9:10" x14ac:dyDescent="0.3">
      <c r="I27475" t="s">
        <v>31704</v>
      </c>
      <c r="J27475" t="s">
        <v>863</v>
      </c>
    </row>
    <row r="27476" spans="9:10" x14ac:dyDescent="0.3">
      <c r="I27476" t="s">
        <v>31705</v>
      </c>
    </row>
    <row r="27477" spans="9:10" x14ac:dyDescent="0.3">
      <c r="I27477" t="s">
        <v>31706</v>
      </c>
    </row>
    <row r="27478" spans="9:10" x14ac:dyDescent="0.3">
      <c r="I27478" t="s">
        <v>31707</v>
      </c>
    </row>
    <row r="27479" spans="9:10" x14ac:dyDescent="0.3">
      <c r="I27479" t="s">
        <v>31708</v>
      </c>
    </row>
    <row r="27480" spans="9:10" x14ac:dyDescent="0.3">
      <c r="I27480" t="s">
        <v>31709</v>
      </c>
    </row>
    <row r="27481" spans="9:10" x14ac:dyDescent="0.3">
      <c r="I27481" t="s">
        <v>31710</v>
      </c>
    </row>
    <row r="27482" spans="9:10" x14ac:dyDescent="0.3">
      <c r="I27482" t="s">
        <v>31711</v>
      </c>
    </row>
    <row r="27483" spans="9:10" x14ac:dyDescent="0.3">
      <c r="I27483" t="s">
        <v>31712</v>
      </c>
    </row>
    <row r="27484" spans="9:10" x14ac:dyDescent="0.3">
      <c r="I27484" t="s">
        <v>31713</v>
      </c>
      <c r="J27484" t="s">
        <v>8970</v>
      </c>
    </row>
    <row r="27485" spans="9:10" x14ac:dyDescent="0.3">
      <c r="I27485" t="s">
        <v>31714</v>
      </c>
      <c r="J27485" t="s">
        <v>8970</v>
      </c>
    </row>
    <row r="27486" spans="9:10" x14ac:dyDescent="0.3">
      <c r="I27486" t="s">
        <v>31715</v>
      </c>
      <c r="J27486" t="s">
        <v>4139</v>
      </c>
    </row>
    <row r="27487" spans="9:10" x14ac:dyDescent="0.3">
      <c r="I27487" t="s">
        <v>31715</v>
      </c>
      <c r="J27487" t="s">
        <v>4139</v>
      </c>
    </row>
    <row r="27488" spans="9:10" x14ac:dyDescent="0.3">
      <c r="I27488" t="s">
        <v>31716</v>
      </c>
    </row>
    <row r="27489" spans="9:10" x14ac:dyDescent="0.3">
      <c r="I27489" t="s">
        <v>31717</v>
      </c>
      <c r="J27489" t="s">
        <v>8971</v>
      </c>
    </row>
    <row r="27490" spans="9:10" x14ac:dyDescent="0.3">
      <c r="I27490" t="s">
        <v>31718</v>
      </c>
    </row>
    <row r="27491" spans="9:10" x14ac:dyDescent="0.3">
      <c r="I27491" t="s">
        <v>31719</v>
      </c>
    </row>
    <row r="27492" spans="9:10" x14ac:dyDescent="0.3">
      <c r="I27492" t="s">
        <v>31720</v>
      </c>
    </row>
    <row r="27493" spans="9:10" x14ac:dyDescent="0.3">
      <c r="I27493" t="s">
        <v>31721</v>
      </c>
    </row>
    <row r="27494" spans="9:10" x14ac:dyDescent="0.3">
      <c r="I27494" t="s">
        <v>31722</v>
      </c>
    </row>
    <row r="27495" spans="9:10" x14ac:dyDescent="0.3">
      <c r="I27495" t="s">
        <v>31723</v>
      </c>
    </row>
    <row r="27496" spans="9:10" x14ac:dyDescent="0.3">
      <c r="I27496" t="s">
        <v>31724</v>
      </c>
    </row>
    <row r="27497" spans="9:10" x14ac:dyDescent="0.3">
      <c r="I27497" t="s">
        <v>31725</v>
      </c>
      <c r="J27497" t="s">
        <v>8972</v>
      </c>
    </row>
    <row r="27498" spans="9:10" x14ac:dyDescent="0.3">
      <c r="I27498" t="s">
        <v>31726</v>
      </c>
      <c r="J27498" t="s">
        <v>8973</v>
      </c>
    </row>
    <row r="27499" spans="9:10" x14ac:dyDescent="0.3">
      <c r="I27499" t="s">
        <v>31727</v>
      </c>
    </row>
    <row r="27500" spans="9:10" x14ac:dyDescent="0.3">
      <c r="I27500" t="s">
        <v>31728</v>
      </c>
    </row>
    <row r="27501" spans="9:10" x14ac:dyDescent="0.3">
      <c r="I27501" t="s">
        <v>31729</v>
      </c>
    </row>
    <row r="27502" spans="9:10" x14ac:dyDescent="0.3">
      <c r="I27502" t="s">
        <v>31730</v>
      </c>
    </row>
    <row r="27503" spans="9:10" x14ac:dyDescent="0.3">
      <c r="I27503" t="s">
        <v>31731</v>
      </c>
    </row>
    <row r="27504" spans="9:10" x14ac:dyDescent="0.3">
      <c r="I27504" t="s">
        <v>31732</v>
      </c>
    </row>
    <row r="27505" spans="9:10" x14ac:dyDescent="0.3">
      <c r="I27505" t="s">
        <v>31733</v>
      </c>
    </row>
    <row r="27506" spans="9:10" x14ac:dyDescent="0.3">
      <c r="I27506" t="s">
        <v>31734</v>
      </c>
    </row>
    <row r="27507" spans="9:10" x14ac:dyDescent="0.3">
      <c r="I27507" t="s">
        <v>31735</v>
      </c>
    </row>
    <row r="27508" spans="9:10" x14ac:dyDescent="0.3">
      <c r="I27508" t="s">
        <v>31736</v>
      </c>
    </row>
    <row r="27509" spans="9:10" x14ac:dyDescent="0.3">
      <c r="I27509" t="s">
        <v>31737</v>
      </c>
    </row>
    <row r="27510" spans="9:10" x14ac:dyDescent="0.3">
      <c r="I27510" t="s">
        <v>31738</v>
      </c>
      <c r="J27510" t="s">
        <v>8974</v>
      </c>
    </row>
    <row r="27511" spans="9:10" x14ac:dyDescent="0.3">
      <c r="I27511" t="s">
        <v>31739</v>
      </c>
    </row>
    <row r="27512" spans="9:10" x14ac:dyDescent="0.3">
      <c r="I27512" t="s">
        <v>31740</v>
      </c>
    </row>
    <row r="27513" spans="9:10" x14ac:dyDescent="0.3">
      <c r="I27513" t="s">
        <v>31741</v>
      </c>
    </row>
    <row r="27514" spans="9:10" x14ac:dyDescent="0.3">
      <c r="I27514" t="s">
        <v>31742</v>
      </c>
    </row>
    <row r="27515" spans="9:10" x14ac:dyDescent="0.3">
      <c r="I27515" t="s">
        <v>31743</v>
      </c>
    </row>
    <row r="27516" spans="9:10" x14ac:dyDescent="0.3">
      <c r="I27516" t="s">
        <v>31744</v>
      </c>
    </row>
    <row r="27517" spans="9:10" x14ac:dyDescent="0.3">
      <c r="I27517" t="s">
        <v>31745</v>
      </c>
    </row>
    <row r="27518" spans="9:10" x14ac:dyDescent="0.3">
      <c r="I27518" t="s">
        <v>31746</v>
      </c>
    </row>
    <row r="27519" spans="9:10" x14ac:dyDescent="0.3">
      <c r="I27519" t="s">
        <v>31747</v>
      </c>
    </row>
    <row r="27520" spans="9:10" x14ac:dyDescent="0.3">
      <c r="I27520" t="s">
        <v>31748</v>
      </c>
    </row>
    <row r="27521" spans="9:9" x14ac:dyDescent="0.3">
      <c r="I27521" t="s">
        <v>31749</v>
      </c>
    </row>
    <row r="27522" spans="9:9" x14ac:dyDescent="0.3">
      <c r="I27522" t="s">
        <v>31750</v>
      </c>
    </row>
    <row r="27523" spans="9:9" x14ac:dyDescent="0.3">
      <c r="I27523" t="s">
        <v>31751</v>
      </c>
    </row>
    <row r="27524" spans="9:9" x14ac:dyDescent="0.3">
      <c r="I27524" t="s">
        <v>31752</v>
      </c>
    </row>
    <row r="27525" spans="9:9" x14ac:dyDescent="0.3">
      <c r="I27525" t="s">
        <v>31753</v>
      </c>
    </row>
    <row r="27526" spans="9:9" x14ac:dyDescent="0.3">
      <c r="I27526" t="s">
        <v>31754</v>
      </c>
    </row>
    <row r="27527" spans="9:9" x14ac:dyDescent="0.3">
      <c r="I27527" t="s">
        <v>31755</v>
      </c>
    </row>
    <row r="27528" spans="9:9" x14ac:dyDescent="0.3">
      <c r="I27528" t="s">
        <v>31756</v>
      </c>
    </row>
    <row r="27529" spans="9:9" x14ac:dyDescent="0.3">
      <c r="I27529" t="s">
        <v>31757</v>
      </c>
    </row>
    <row r="27530" spans="9:9" x14ac:dyDescent="0.3">
      <c r="I27530" t="s">
        <v>31758</v>
      </c>
    </row>
    <row r="27531" spans="9:9" x14ac:dyDescent="0.3">
      <c r="I27531" t="s">
        <v>31759</v>
      </c>
    </row>
    <row r="27532" spans="9:9" x14ac:dyDescent="0.3">
      <c r="I27532" t="s">
        <v>31760</v>
      </c>
    </row>
    <row r="27533" spans="9:9" x14ac:dyDescent="0.3">
      <c r="I27533" t="s">
        <v>31761</v>
      </c>
    </row>
    <row r="27534" spans="9:9" x14ac:dyDescent="0.3">
      <c r="I27534" t="s">
        <v>31762</v>
      </c>
    </row>
    <row r="27535" spans="9:9" x14ac:dyDescent="0.3">
      <c r="I27535" t="s">
        <v>31763</v>
      </c>
    </row>
    <row r="27536" spans="9:9" x14ac:dyDescent="0.3">
      <c r="I27536" t="s">
        <v>31764</v>
      </c>
    </row>
    <row r="27537" spans="9:10" x14ac:dyDescent="0.3">
      <c r="I27537" t="s">
        <v>31765</v>
      </c>
    </row>
    <row r="27538" spans="9:10" x14ac:dyDescent="0.3">
      <c r="I27538" t="s">
        <v>31766</v>
      </c>
      <c r="J27538" t="s">
        <v>8975</v>
      </c>
    </row>
    <row r="27539" spans="9:10" x14ac:dyDescent="0.3">
      <c r="I27539" t="s">
        <v>31767</v>
      </c>
      <c r="J27539" t="s">
        <v>8975</v>
      </c>
    </row>
    <row r="27540" spans="9:10" x14ac:dyDescent="0.3">
      <c r="I27540" t="s">
        <v>31768</v>
      </c>
    </row>
    <row r="27541" spans="9:10" x14ac:dyDescent="0.3">
      <c r="I27541" t="s">
        <v>31769</v>
      </c>
    </row>
    <row r="27542" spans="9:10" x14ac:dyDescent="0.3">
      <c r="I27542" t="s">
        <v>31770</v>
      </c>
    </row>
    <row r="27543" spans="9:10" x14ac:dyDescent="0.3">
      <c r="I27543" t="s">
        <v>31771</v>
      </c>
    </row>
    <row r="27544" spans="9:10" x14ac:dyDescent="0.3">
      <c r="I27544" t="s">
        <v>31772</v>
      </c>
    </row>
    <row r="27545" spans="9:10" x14ac:dyDescent="0.3">
      <c r="I27545" t="s">
        <v>31773</v>
      </c>
    </row>
    <row r="27546" spans="9:10" x14ac:dyDescent="0.3">
      <c r="I27546" t="s">
        <v>31774</v>
      </c>
    </row>
    <row r="27547" spans="9:10" x14ac:dyDescent="0.3">
      <c r="I27547" t="s">
        <v>31775</v>
      </c>
    </row>
    <row r="27548" spans="9:10" x14ac:dyDescent="0.3">
      <c r="I27548" t="s">
        <v>31776</v>
      </c>
    </row>
    <row r="27549" spans="9:10" x14ac:dyDescent="0.3">
      <c r="I27549" t="s">
        <v>31777</v>
      </c>
    </row>
    <row r="27550" spans="9:10" x14ac:dyDescent="0.3">
      <c r="I27550" t="s">
        <v>31778</v>
      </c>
    </row>
    <row r="27551" spans="9:10" x14ac:dyDescent="0.3">
      <c r="I27551" t="s">
        <v>31779</v>
      </c>
      <c r="J27551">
        <v>0</v>
      </c>
    </row>
    <row r="27552" spans="9:10" x14ac:dyDescent="0.3">
      <c r="I27552" t="s">
        <v>31780</v>
      </c>
      <c r="J27552" t="s">
        <v>8976</v>
      </c>
    </row>
    <row r="27553" spans="9:10" x14ac:dyDescent="0.3">
      <c r="I27553" t="s">
        <v>31781</v>
      </c>
      <c r="J27553" t="s">
        <v>8977</v>
      </c>
    </row>
    <row r="27554" spans="9:10" x14ac:dyDescent="0.3">
      <c r="I27554" t="s">
        <v>31782</v>
      </c>
      <c r="J27554" t="s">
        <v>8977</v>
      </c>
    </row>
    <row r="27555" spans="9:10" x14ac:dyDescent="0.3">
      <c r="I27555" t="s">
        <v>31783</v>
      </c>
    </row>
    <row r="27556" spans="9:10" x14ac:dyDescent="0.3">
      <c r="I27556" t="s">
        <v>31784</v>
      </c>
    </row>
    <row r="27557" spans="9:10" x14ac:dyDescent="0.3">
      <c r="I27557" t="s">
        <v>31785</v>
      </c>
    </row>
    <row r="27558" spans="9:10" x14ac:dyDescent="0.3">
      <c r="I27558" t="s">
        <v>31786</v>
      </c>
    </row>
    <row r="27559" spans="9:10" x14ac:dyDescent="0.3">
      <c r="I27559" t="s">
        <v>31787</v>
      </c>
    </row>
    <row r="27560" spans="9:10" x14ac:dyDescent="0.3">
      <c r="I27560" t="s">
        <v>31788</v>
      </c>
    </row>
    <row r="27561" spans="9:10" x14ac:dyDescent="0.3">
      <c r="I27561" t="s">
        <v>31789</v>
      </c>
    </row>
    <row r="27562" spans="9:10" x14ac:dyDescent="0.3">
      <c r="I27562" t="s">
        <v>31790</v>
      </c>
    </row>
    <row r="27563" spans="9:10" x14ac:dyDescent="0.3">
      <c r="I27563" t="s">
        <v>31791</v>
      </c>
      <c r="J27563" t="s">
        <v>818</v>
      </c>
    </row>
    <row r="27564" spans="9:10" x14ac:dyDescent="0.3">
      <c r="I27564" t="s">
        <v>31792</v>
      </c>
      <c r="J27564" t="s">
        <v>818</v>
      </c>
    </row>
    <row r="27565" spans="9:10" x14ac:dyDescent="0.3">
      <c r="I27565" t="s">
        <v>31793</v>
      </c>
    </row>
    <row r="27566" spans="9:10" x14ac:dyDescent="0.3">
      <c r="I27566" t="s">
        <v>31794</v>
      </c>
    </row>
    <row r="27567" spans="9:10" x14ac:dyDescent="0.3">
      <c r="I27567" t="s">
        <v>31795</v>
      </c>
    </row>
    <row r="27568" spans="9:10" x14ac:dyDescent="0.3">
      <c r="I27568" t="s">
        <v>31796</v>
      </c>
    </row>
    <row r="27569" spans="9:10" x14ac:dyDescent="0.3">
      <c r="I27569" t="s">
        <v>31797</v>
      </c>
    </row>
    <row r="27570" spans="9:10" x14ac:dyDescent="0.3">
      <c r="I27570" t="s">
        <v>31798</v>
      </c>
    </row>
    <row r="27571" spans="9:10" x14ac:dyDescent="0.3">
      <c r="I27571" t="s">
        <v>31799</v>
      </c>
    </row>
    <row r="27572" spans="9:10" x14ac:dyDescent="0.3">
      <c r="I27572" t="s">
        <v>31800</v>
      </c>
    </row>
    <row r="27573" spans="9:10" x14ac:dyDescent="0.3">
      <c r="I27573" t="s">
        <v>31801</v>
      </c>
    </row>
    <row r="27574" spans="9:10" x14ac:dyDescent="0.3">
      <c r="I27574" t="s">
        <v>31802</v>
      </c>
    </row>
    <row r="27575" spans="9:10" x14ac:dyDescent="0.3">
      <c r="I27575" t="s">
        <v>31803</v>
      </c>
    </row>
    <row r="27576" spans="9:10" x14ac:dyDescent="0.3">
      <c r="I27576" t="s">
        <v>31804</v>
      </c>
    </row>
    <row r="27577" spans="9:10" x14ac:dyDescent="0.3">
      <c r="I27577" t="s">
        <v>31805</v>
      </c>
    </row>
    <row r="27578" spans="9:10" x14ac:dyDescent="0.3">
      <c r="I27578" t="s">
        <v>31806</v>
      </c>
    </row>
    <row r="27579" spans="9:10" x14ac:dyDescent="0.3">
      <c r="I27579" t="s">
        <v>31807</v>
      </c>
    </row>
    <row r="27580" spans="9:10" x14ac:dyDescent="0.3">
      <c r="I27580" t="s">
        <v>31808</v>
      </c>
    </row>
    <row r="27581" spans="9:10" x14ac:dyDescent="0.3">
      <c r="I27581" t="s">
        <v>31809</v>
      </c>
      <c r="J27581" t="s">
        <v>654</v>
      </c>
    </row>
    <row r="27582" spans="9:10" x14ac:dyDescent="0.3">
      <c r="I27582" t="s">
        <v>31810</v>
      </c>
      <c r="J27582" t="s">
        <v>8978</v>
      </c>
    </row>
    <row r="27583" spans="9:10" x14ac:dyDescent="0.3">
      <c r="I27583" t="s">
        <v>31810</v>
      </c>
      <c r="J27583" t="s">
        <v>8978</v>
      </c>
    </row>
    <row r="27584" spans="9:10" x14ac:dyDescent="0.3">
      <c r="I27584" t="s">
        <v>31811</v>
      </c>
    </row>
    <row r="27585" spans="9:9" x14ac:dyDescent="0.3">
      <c r="I27585" t="s">
        <v>31812</v>
      </c>
    </row>
    <row r="27586" spans="9:9" x14ac:dyDescent="0.3">
      <c r="I27586" t="s">
        <v>31813</v>
      </c>
    </row>
    <row r="27587" spans="9:9" x14ac:dyDescent="0.3">
      <c r="I27587" t="s">
        <v>31814</v>
      </c>
    </row>
    <row r="27588" spans="9:9" x14ac:dyDescent="0.3">
      <c r="I27588" t="s">
        <v>31815</v>
      </c>
    </row>
    <row r="27589" spans="9:9" x14ac:dyDescent="0.3">
      <c r="I27589" t="s">
        <v>31816</v>
      </c>
    </row>
    <row r="27590" spans="9:9" x14ac:dyDescent="0.3">
      <c r="I27590" t="s">
        <v>31817</v>
      </c>
    </row>
    <row r="27591" spans="9:9" x14ac:dyDescent="0.3">
      <c r="I27591" t="s">
        <v>31818</v>
      </c>
    </row>
    <row r="27592" spans="9:9" x14ac:dyDescent="0.3">
      <c r="I27592" t="s">
        <v>31819</v>
      </c>
    </row>
    <row r="27593" spans="9:9" x14ac:dyDescent="0.3">
      <c r="I27593" t="s">
        <v>31820</v>
      </c>
    </row>
    <row r="27594" spans="9:9" x14ac:dyDescent="0.3">
      <c r="I27594" t="s">
        <v>31821</v>
      </c>
    </row>
    <row r="27595" spans="9:9" x14ac:dyDescent="0.3">
      <c r="I27595" t="s">
        <v>31822</v>
      </c>
    </row>
    <row r="27596" spans="9:9" x14ac:dyDescent="0.3">
      <c r="I27596" t="s">
        <v>31822</v>
      </c>
    </row>
    <row r="27597" spans="9:9" x14ac:dyDescent="0.3">
      <c r="I27597" t="s">
        <v>31823</v>
      </c>
    </row>
    <row r="27598" spans="9:9" x14ac:dyDescent="0.3">
      <c r="I27598" t="s">
        <v>31824</v>
      </c>
    </row>
    <row r="27599" spans="9:9" x14ac:dyDescent="0.3">
      <c r="I27599" t="s">
        <v>31825</v>
      </c>
    </row>
    <row r="27600" spans="9:9" x14ac:dyDescent="0.3">
      <c r="I27600" t="s">
        <v>31826</v>
      </c>
    </row>
    <row r="27601" spans="9:10" x14ac:dyDescent="0.3">
      <c r="I27601" t="s">
        <v>31827</v>
      </c>
    </row>
    <row r="27602" spans="9:10" x14ac:dyDescent="0.3">
      <c r="I27602" t="s">
        <v>31828</v>
      </c>
    </row>
    <row r="27603" spans="9:10" x14ac:dyDescent="0.3">
      <c r="I27603" t="s">
        <v>31829</v>
      </c>
      <c r="J27603" t="s">
        <v>333</v>
      </c>
    </row>
    <row r="27604" spans="9:10" x14ac:dyDescent="0.3">
      <c r="I27604" t="s">
        <v>31830</v>
      </c>
      <c r="J27604" t="s">
        <v>8979</v>
      </c>
    </row>
    <row r="27605" spans="9:10" x14ac:dyDescent="0.3">
      <c r="I27605" t="s">
        <v>31831</v>
      </c>
      <c r="J27605" t="s">
        <v>8980</v>
      </c>
    </row>
    <row r="27606" spans="9:10" x14ac:dyDescent="0.3">
      <c r="I27606" t="s">
        <v>31831</v>
      </c>
      <c r="J27606" t="s">
        <v>8980</v>
      </c>
    </row>
    <row r="27607" spans="9:10" x14ac:dyDescent="0.3">
      <c r="I27607" t="s">
        <v>31832</v>
      </c>
    </row>
    <row r="27608" spans="9:10" x14ac:dyDescent="0.3">
      <c r="I27608" t="s">
        <v>31833</v>
      </c>
    </row>
    <row r="27609" spans="9:10" x14ac:dyDescent="0.3">
      <c r="I27609" t="s">
        <v>31834</v>
      </c>
    </row>
    <row r="27610" spans="9:10" x14ac:dyDescent="0.3">
      <c r="I27610" t="s">
        <v>31835</v>
      </c>
    </row>
    <row r="27611" spans="9:10" x14ac:dyDescent="0.3">
      <c r="I27611" t="s">
        <v>31836</v>
      </c>
    </row>
    <row r="27612" spans="9:10" x14ac:dyDescent="0.3">
      <c r="I27612" t="s">
        <v>31837</v>
      </c>
    </row>
    <row r="27613" spans="9:10" x14ac:dyDescent="0.3">
      <c r="I27613" t="s">
        <v>31838</v>
      </c>
    </row>
    <row r="27614" spans="9:10" x14ac:dyDescent="0.3">
      <c r="I27614" t="s">
        <v>31839</v>
      </c>
    </row>
    <row r="27615" spans="9:10" x14ac:dyDescent="0.3">
      <c r="I27615" t="s">
        <v>31840</v>
      </c>
    </row>
    <row r="27616" spans="9:10" x14ac:dyDescent="0.3">
      <c r="I27616" t="s">
        <v>31841</v>
      </c>
      <c r="J27616" t="s">
        <v>8981</v>
      </c>
    </row>
    <row r="27617" spans="9:10" x14ac:dyDescent="0.3">
      <c r="I27617" t="s">
        <v>31842</v>
      </c>
    </row>
    <row r="27618" spans="9:10" x14ac:dyDescent="0.3">
      <c r="I27618" t="s">
        <v>31843</v>
      </c>
    </row>
    <row r="27619" spans="9:10" x14ac:dyDescent="0.3">
      <c r="I27619" t="s">
        <v>31844</v>
      </c>
    </row>
    <row r="27620" spans="9:10" x14ac:dyDescent="0.3">
      <c r="I27620" t="s">
        <v>31845</v>
      </c>
    </row>
    <row r="27621" spans="9:10" x14ac:dyDescent="0.3">
      <c r="I27621" t="s">
        <v>31846</v>
      </c>
    </row>
    <row r="27622" spans="9:10" x14ac:dyDescent="0.3">
      <c r="I27622" t="s">
        <v>31847</v>
      </c>
    </row>
    <row r="27623" spans="9:10" x14ac:dyDescent="0.3">
      <c r="I27623" t="s">
        <v>31848</v>
      </c>
    </row>
    <row r="27624" spans="9:10" x14ac:dyDescent="0.3">
      <c r="I27624" t="s">
        <v>31849</v>
      </c>
    </row>
    <row r="27625" spans="9:10" x14ac:dyDescent="0.3">
      <c r="I27625" t="s">
        <v>31850</v>
      </c>
    </row>
    <row r="27626" spans="9:10" x14ac:dyDescent="0.3">
      <c r="I27626" t="s">
        <v>31851</v>
      </c>
    </row>
    <row r="27627" spans="9:10" x14ac:dyDescent="0.3">
      <c r="I27627" t="s">
        <v>31852</v>
      </c>
    </row>
    <row r="27628" spans="9:10" x14ac:dyDescent="0.3">
      <c r="I27628" t="s">
        <v>31853</v>
      </c>
      <c r="J27628" t="s">
        <v>8982</v>
      </c>
    </row>
    <row r="27629" spans="9:10" x14ac:dyDescent="0.3">
      <c r="I27629" t="s">
        <v>31854</v>
      </c>
      <c r="J27629" t="s">
        <v>8983</v>
      </c>
    </row>
    <row r="27630" spans="9:10" x14ac:dyDescent="0.3">
      <c r="I27630" t="s">
        <v>31855</v>
      </c>
      <c r="J27630" t="s">
        <v>8983</v>
      </c>
    </row>
    <row r="27631" spans="9:10" x14ac:dyDescent="0.3">
      <c r="I27631" t="s">
        <v>31856</v>
      </c>
      <c r="J27631" t="s">
        <v>8983</v>
      </c>
    </row>
    <row r="27632" spans="9:10" x14ac:dyDescent="0.3">
      <c r="I27632" t="s">
        <v>31857</v>
      </c>
    </row>
    <row r="27633" spans="9:10" x14ac:dyDescent="0.3">
      <c r="I27633" t="s">
        <v>31244</v>
      </c>
    </row>
    <row r="27634" spans="9:10" x14ac:dyDescent="0.3">
      <c r="I27634" t="s">
        <v>31858</v>
      </c>
    </row>
    <row r="27635" spans="9:10" x14ac:dyDescent="0.3">
      <c r="I27635" t="s">
        <v>31859</v>
      </c>
    </row>
    <row r="27636" spans="9:10" x14ac:dyDescent="0.3">
      <c r="I27636" t="s">
        <v>31860</v>
      </c>
    </row>
    <row r="27637" spans="9:10" x14ac:dyDescent="0.3">
      <c r="I27637" t="s">
        <v>31861</v>
      </c>
    </row>
    <row r="27638" spans="9:10" x14ac:dyDescent="0.3">
      <c r="I27638" t="s">
        <v>31862</v>
      </c>
    </row>
    <row r="27639" spans="9:10" x14ac:dyDescent="0.3">
      <c r="I27639" t="s">
        <v>31863</v>
      </c>
    </row>
    <row r="27640" spans="9:10" x14ac:dyDescent="0.3">
      <c r="I27640" t="s">
        <v>31864</v>
      </c>
    </row>
    <row r="27641" spans="9:10" x14ac:dyDescent="0.3">
      <c r="I27641" t="s">
        <v>31865</v>
      </c>
    </row>
    <row r="27642" spans="9:10" x14ac:dyDescent="0.3">
      <c r="I27642" t="s">
        <v>31866</v>
      </c>
    </row>
    <row r="27643" spans="9:10" x14ac:dyDescent="0.3">
      <c r="I27643" t="s">
        <v>31867</v>
      </c>
    </row>
    <row r="27644" spans="9:10" x14ac:dyDescent="0.3">
      <c r="I27644" t="s">
        <v>31868</v>
      </c>
      <c r="J27644" t="s">
        <v>8984</v>
      </c>
    </row>
    <row r="27645" spans="9:10" x14ac:dyDescent="0.3">
      <c r="I27645" t="s">
        <v>31869</v>
      </c>
      <c r="J27645" t="s">
        <v>8985</v>
      </c>
    </row>
    <row r="27646" spans="9:10" x14ac:dyDescent="0.3">
      <c r="I27646" t="s">
        <v>31870</v>
      </c>
      <c r="J27646" t="s">
        <v>8986</v>
      </c>
    </row>
    <row r="27647" spans="9:10" x14ac:dyDescent="0.3">
      <c r="I27647" t="s">
        <v>31871</v>
      </c>
    </row>
    <row r="27648" spans="9:10" x14ac:dyDescent="0.3">
      <c r="I27648" t="s">
        <v>31872</v>
      </c>
    </row>
    <row r="27649" spans="9:10" x14ac:dyDescent="0.3">
      <c r="I27649" t="s">
        <v>31873</v>
      </c>
      <c r="J27649" t="s">
        <v>640</v>
      </c>
    </row>
    <row r="27650" spans="9:10" x14ac:dyDescent="0.3">
      <c r="I27650" t="s">
        <v>31874</v>
      </c>
      <c r="J27650" t="s">
        <v>8987</v>
      </c>
    </row>
    <row r="27651" spans="9:10" x14ac:dyDescent="0.3">
      <c r="I27651" t="s">
        <v>31875</v>
      </c>
      <c r="J27651" t="s">
        <v>8988</v>
      </c>
    </row>
    <row r="27652" spans="9:10" x14ac:dyDescent="0.3">
      <c r="I27652" t="s">
        <v>31876</v>
      </c>
      <c r="J27652" t="s">
        <v>8989</v>
      </c>
    </row>
    <row r="27653" spans="9:10" x14ac:dyDescent="0.3">
      <c r="I27653" t="s">
        <v>31877</v>
      </c>
      <c r="J27653" t="s">
        <v>8990</v>
      </c>
    </row>
    <row r="27654" spans="9:10" x14ac:dyDescent="0.3">
      <c r="I27654" t="s">
        <v>31878</v>
      </c>
      <c r="J27654" t="s">
        <v>8991</v>
      </c>
    </row>
    <row r="27655" spans="9:10" x14ac:dyDescent="0.3">
      <c r="I27655" t="s">
        <v>31879</v>
      </c>
    </row>
    <row r="27656" spans="9:10" x14ac:dyDescent="0.3">
      <c r="I27656" t="s">
        <v>31880</v>
      </c>
    </row>
    <row r="27657" spans="9:10" x14ac:dyDescent="0.3">
      <c r="I27657" t="s">
        <v>31881</v>
      </c>
    </row>
    <row r="27658" spans="9:10" x14ac:dyDescent="0.3">
      <c r="I27658" t="s">
        <v>31882</v>
      </c>
    </row>
    <row r="27659" spans="9:10" x14ac:dyDescent="0.3">
      <c r="I27659" t="s">
        <v>31883</v>
      </c>
      <c r="J27659" t="s">
        <v>8992</v>
      </c>
    </row>
    <row r="27660" spans="9:10" x14ac:dyDescent="0.3">
      <c r="I27660" t="s">
        <v>31884</v>
      </c>
    </row>
    <row r="27661" spans="9:10" x14ac:dyDescent="0.3">
      <c r="I27661" t="s">
        <v>31885</v>
      </c>
    </row>
    <row r="27662" spans="9:10" x14ac:dyDescent="0.3">
      <c r="I27662" t="s">
        <v>31886</v>
      </c>
    </row>
    <row r="27663" spans="9:10" x14ac:dyDescent="0.3">
      <c r="I27663" t="s">
        <v>31887</v>
      </c>
    </row>
    <row r="27664" spans="9:10" x14ac:dyDescent="0.3">
      <c r="I27664" t="s">
        <v>31888</v>
      </c>
    </row>
    <row r="27665" spans="9:10" x14ac:dyDescent="0.3">
      <c r="I27665" t="s">
        <v>31889</v>
      </c>
    </row>
    <row r="27666" spans="9:10" x14ac:dyDescent="0.3">
      <c r="I27666" t="s">
        <v>31890</v>
      </c>
    </row>
    <row r="27667" spans="9:10" x14ac:dyDescent="0.3">
      <c r="I27667" t="s">
        <v>31891</v>
      </c>
    </row>
    <row r="27668" spans="9:10" x14ac:dyDescent="0.3">
      <c r="I27668" t="s">
        <v>31892</v>
      </c>
    </row>
    <row r="27669" spans="9:10" x14ac:dyDescent="0.3">
      <c r="I27669" t="s">
        <v>31893</v>
      </c>
    </row>
    <row r="27670" spans="9:10" x14ac:dyDescent="0.3">
      <c r="I27670" t="s">
        <v>31894</v>
      </c>
    </row>
    <row r="27671" spans="9:10" x14ac:dyDescent="0.3">
      <c r="I27671" t="s">
        <v>31895</v>
      </c>
    </row>
    <row r="27672" spans="9:10" x14ac:dyDescent="0.3">
      <c r="I27672" t="s">
        <v>31896</v>
      </c>
    </row>
    <row r="27673" spans="9:10" x14ac:dyDescent="0.3">
      <c r="I27673" t="s">
        <v>31897</v>
      </c>
    </row>
    <row r="27674" spans="9:10" x14ac:dyDescent="0.3">
      <c r="I27674" t="s">
        <v>31898</v>
      </c>
    </row>
    <row r="27675" spans="9:10" x14ac:dyDescent="0.3">
      <c r="I27675" t="s">
        <v>31899</v>
      </c>
    </row>
    <row r="27676" spans="9:10" x14ac:dyDescent="0.3">
      <c r="I27676" t="s">
        <v>31900</v>
      </c>
    </row>
    <row r="27677" spans="9:10" x14ac:dyDescent="0.3">
      <c r="I27677" t="s">
        <v>31901</v>
      </c>
    </row>
    <row r="27678" spans="9:10" x14ac:dyDescent="0.3">
      <c r="I27678" t="s">
        <v>31902</v>
      </c>
      <c r="J27678" t="s">
        <v>8993</v>
      </c>
    </row>
    <row r="27679" spans="9:10" x14ac:dyDescent="0.3">
      <c r="I27679" t="s">
        <v>31903</v>
      </c>
      <c r="J27679" t="s">
        <v>8994</v>
      </c>
    </row>
    <row r="27680" spans="9:10" x14ac:dyDescent="0.3">
      <c r="I27680" t="s">
        <v>31904</v>
      </c>
      <c r="J27680" t="s">
        <v>8995</v>
      </c>
    </row>
    <row r="27681" spans="9:10" x14ac:dyDescent="0.3">
      <c r="I27681" t="s">
        <v>31905</v>
      </c>
      <c r="J27681" t="s">
        <v>8996</v>
      </c>
    </row>
    <row r="27682" spans="9:10" x14ac:dyDescent="0.3">
      <c r="I27682" t="s">
        <v>31906</v>
      </c>
    </row>
    <row r="27683" spans="9:10" x14ac:dyDescent="0.3">
      <c r="I27683" t="s">
        <v>31907</v>
      </c>
    </row>
    <row r="27684" spans="9:10" x14ac:dyDescent="0.3">
      <c r="I27684" t="s">
        <v>31908</v>
      </c>
    </row>
    <row r="27685" spans="9:10" x14ac:dyDescent="0.3">
      <c r="I27685" t="s">
        <v>31909</v>
      </c>
    </row>
    <row r="27686" spans="9:10" x14ac:dyDescent="0.3">
      <c r="I27686" t="s">
        <v>31910</v>
      </c>
      <c r="J27686" t="s">
        <v>862</v>
      </c>
    </row>
    <row r="27687" spans="9:10" x14ac:dyDescent="0.3">
      <c r="I27687" t="s">
        <v>31911</v>
      </c>
      <c r="J27687" t="s">
        <v>8997</v>
      </c>
    </row>
    <row r="27688" spans="9:10" x14ac:dyDescent="0.3">
      <c r="I27688" t="s">
        <v>31912</v>
      </c>
      <c r="J27688" t="s">
        <v>8998</v>
      </c>
    </row>
    <row r="27689" spans="9:10" x14ac:dyDescent="0.3">
      <c r="I27689" t="s">
        <v>31913</v>
      </c>
    </row>
    <row r="27690" spans="9:10" x14ac:dyDescent="0.3">
      <c r="I27690" t="s">
        <v>31914</v>
      </c>
    </row>
    <row r="27691" spans="9:10" x14ac:dyDescent="0.3">
      <c r="I27691" t="s">
        <v>31915</v>
      </c>
    </row>
    <row r="27692" spans="9:10" x14ac:dyDescent="0.3">
      <c r="I27692" t="s">
        <v>31916</v>
      </c>
    </row>
    <row r="27693" spans="9:10" x14ac:dyDescent="0.3">
      <c r="I27693" t="s">
        <v>31917</v>
      </c>
      <c r="J27693" t="s">
        <v>8999</v>
      </c>
    </row>
    <row r="27694" spans="9:10" x14ac:dyDescent="0.3">
      <c r="I27694" t="s">
        <v>31918</v>
      </c>
      <c r="J27694" t="s">
        <v>9000</v>
      </c>
    </row>
    <row r="27695" spans="9:10" x14ac:dyDescent="0.3">
      <c r="I27695" t="s">
        <v>31919</v>
      </c>
      <c r="J27695" t="s">
        <v>9001</v>
      </c>
    </row>
    <row r="27696" spans="9:10" x14ac:dyDescent="0.3">
      <c r="I27696" t="s">
        <v>31920</v>
      </c>
      <c r="J27696" t="s">
        <v>9002</v>
      </c>
    </row>
    <row r="27697" spans="9:10" x14ac:dyDescent="0.3">
      <c r="I27697" t="s">
        <v>31921</v>
      </c>
      <c r="J27697" t="s">
        <v>9003</v>
      </c>
    </row>
    <row r="27698" spans="9:10" x14ac:dyDescent="0.3">
      <c r="I27698" t="s">
        <v>31922</v>
      </c>
      <c r="J27698" t="s">
        <v>9004</v>
      </c>
    </row>
    <row r="27699" spans="9:10" x14ac:dyDescent="0.3">
      <c r="I27699" t="s">
        <v>31923</v>
      </c>
      <c r="J27699" t="s">
        <v>9005</v>
      </c>
    </row>
    <row r="27700" spans="9:10" x14ac:dyDescent="0.3">
      <c r="I27700" t="s">
        <v>31924</v>
      </c>
      <c r="J27700" t="s">
        <v>9006</v>
      </c>
    </row>
    <row r="27701" spans="9:10" x14ac:dyDescent="0.3">
      <c r="I27701" t="s">
        <v>31925</v>
      </c>
      <c r="J27701" t="s">
        <v>9007</v>
      </c>
    </row>
    <row r="27702" spans="9:10" x14ac:dyDescent="0.3">
      <c r="I27702" t="s">
        <v>31926</v>
      </c>
      <c r="J27702" t="s">
        <v>9008</v>
      </c>
    </row>
    <row r="27703" spans="9:10" x14ac:dyDescent="0.3">
      <c r="I27703" t="s">
        <v>31927</v>
      </c>
    </row>
    <row r="27704" spans="9:10" x14ac:dyDescent="0.3">
      <c r="I27704" t="s">
        <v>31928</v>
      </c>
    </row>
    <row r="27705" spans="9:10" x14ac:dyDescent="0.3">
      <c r="I27705" t="s">
        <v>31929</v>
      </c>
    </row>
    <row r="27706" spans="9:10" x14ac:dyDescent="0.3">
      <c r="I27706" t="s">
        <v>31930</v>
      </c>
    </row>
    <row r="27707" spans="9:10" x14ac:dyDescent="0.3">
      <c r="I27707" t="s">
        <v>31931</v>
      </c>
    </row>
    <row r="27708" spans="9:10" x14ac:dyDescent="0.3">
      <c r="I27708" t="s">
        <v>31932</v>
      </c>
    </row>
    <row r="27709" spans="9:10" x14ac:dyDescent="0.3">
      <c r="I27709" t="s">
        <v>31933</v>
      </c>
    </row>
    <row r="27710" spans="9:10" x14ac:dyDescent="0.3">
      <c r="I27710" t="s">
        <v>31934</v>
      </c>
    </row>
    <row r="27711" spans="9:10" x14ac:dyDescent="0.3">
      <c r="I27711" t="s">
        <v>31935</v>
      </c>
      <c r="J27711" t="s">
        <v>9009</v>
      </c>
    </row>
    <row r="27712" spans="9:10" x14ac:dyDescent="0.3">
      <c r="I27712" t="s">
        <v>31936</v>
      </c>
      <c r="J27712" t="s">
        <v>9010</v>
      </c>
    </row>
    <row r="27713" spans="9:10" x14ac:dyDescent="0.3">
      <c r="I27713" t="s">
        <v>31937</v>
      </c>
      <c r="J27713" t="s">
        <v>9011</v>
      </c>
    </row>
    <row r="27714" spans="9:10" x14ac:dyDescent="0.3">
      <c r="I27714" t="s">
        <v>31938</v>
      </c>
      <c r="J27714" t="s">
        <v>9012</v>
      </c>
    </row>
    <row r="27715" spans="9:10" x14ac:dyDescent="0.3">
      <c r="I27715" t="s">
        <v>31939</v>
      </c>
      <c r="J27715" t="s">
        <v>9013</v>
      </c>
    </row>
    <row r="27716" spans="9:10" x14ac:dyDescent="0.3">
      <c r="I27716" t="s">
        <v>31940</v>
      </c>
      <c r="J27716" t="s">
        <v>9014</v>
      </c>
    </row>
    <row r="27717" spans="9:10" x14ac:dyDescent="0.3">
      <c r="I27717" t="s">
        <v>31941</v>
      </c>
      <c r="J27717" t="s">
        <v>9015</v>
      </c>
    </row>
    <row r="27718" spans="9:10" x14ac:dyDescent="0.3">
      <c r="I27718" t="s">
        <v>31942</v>
      </c>
      <c r="J27718" t="s">
        <v>9016</v>
      </c>
    </row>
    <row r="27719" spans="9:10" x14ac:dyDescent="0.3">
      <c r="I27719" t="s">
        <v>31943</v>
      </c>
      <c r="J27719" t="s">
        <v>280</v>
      </c>
    </row>
    <row r="27720" spans="9:10" x14ac:dyDescent="0.3">
      <c r="I27720" t="s">
        <v>31944</v>
      </c>
      <c r="J27720" t="s">
        <v>9017</v>
      </c>
    </row>
    <row r="27721" spans="9:10" x14ac:dyDescent="0.3">
      <c r="I27721" t="s">
        <v>31945</v>
      </c>
    </row>
    <row r="27722" spans="9:10" x14ac:dyDescent="0.3">
      <c r="I27722" t="s">
        <v>31946</v>
      </c>
    </row>
    <row r="27723" spans="9:10" x14ac:dyDescent="0.3">
      <c r="I27723" t="s">
        <v>31947</v>
      </c>
    </row>
    <row r="27724" spans="9:10" x14ac:dyDescent="0.3">
      <c r="I27724" t="s">
        <v>31948</v>
      </c>
    </row>
    <row r="27725" spans="9:10" x14ac:dyDescent="0.3">
      <c r="I27725" t="s">
        <v>31949</v>
      </c>
      <c r="J27725" t="s">
        <v>9018</v>
      </c>
    </row>
    <row r="27726" spans="9:10" x14ac:dyDescent="0.3">
      <c r="I27726" t="s">
        <v>31950</v>
      </c>
      <c r="J27726" t="s">
        <v>9019</v>
      </c>
    </row>
    <row r="27727" spans="9:10" x14ac:dyDescent="0.3">
      <c r="I27727" t="s">
        <v>31951</v>
      </c>
      <c r="J27727" t="s">
        <v>9020</v>
      </c>
    </row>
    <row r="27728" spans="9:10" x14ac:dyDescent="0.3">
      <c r="I27728" t="s">
        <v>31952</v>
      </c>
      <c r="J27728" t="s">
        <v>9020</v>
      </c>
    </row>
    <row r="27729" spans="9:10" x14ac:dyDescent="0.3">
      <c r="I27729" t="s">
        <v>31953</v>
      </c>
      <c r="J27729" t="s">
        <v>9020</v>
      </c>
    </row>
    <row r="27730" spans="9:10" x14ac:dyDescent="0.3">
      <c r="I27730" t="s">
        <v>31954</v>
      </c>
      <c r="J27730" t="s">
        <v>9021</v>
      </c>
    </row>
    <row r="27731" spans="9:10" x14ac:dyDescent="0.3">
      <c r="I27731" t="s">
        <v>31955</v>
      </c>
      <c r="J27731" t="s">
        <v>9022</v>
      </c>
    </row>
    <row r="27732" spans="9:10" x14ac:dyDescent="0.3">
      <c r="I27732" t="s">
        <v>31956</v>
      </c>
    </row>
    <row r="27733" spans="9:10" x14ac:dyDescent="0.3">
      <c r="I27733" t="s">
        <v>31957</v>
      </c>
    </row>
    <row r="27734" spans="9:10" x14ac:dyDescent="0.3">
      <c r="I27734" t="s">
        <v>31958</v>
      </c>
    </row>
    <row r="27735" spans="9:10" x14ac:dyDescent="0.3">
      <c r="I27735" t="s">
        <v>31959</v>
      </c>
    </row>
    <row r="27736" spans="9:10" x14ac:dyDescent="0.3">
      <c r="I27736" t="s">
        <v>31960</v>
      </c>
    </row>
    <row r="27737" spans="9:10" x14ac:dyDescent="0.3">
      <c r="I27737" t="s">
        <v>31961</v>
      </c>
    </row>
    <row r="27738" spans="9:10" x14ac:dyDescent="0.3">
      <c r="I27738" t="s">
        <v>31962</v>
      </c>
    </row>
    <row r="27739" spans="9:10" x14ac:dyDescent="0.3">
      <c r="I27739" t="s">
        <v>31963</v>
      </c>
    </row>
    <row r="27740" spans="9:10" x14ac:dyDescent="0.3">
      <c r="I27740" t="s">
        <v>31964</v>
      </c>
    </row>
    <row r="27741" spans="9:10" x14ac:dyDescent="0.3">
      <c r="I27741" t="s">
        <v>31965</v>
      </c>
    </row>
    <row r="27742" spans="9:10" x14ac:dyDescent="0.3">
      <c r="I27742" t="s">
        <v>31966</v>
      </c>
    </row>
    <row r="27743" spans="9:10" x14ac:dyDescent="0.3">
      <c r="I27743" t="s">
        <v>31967</v>
      </c>
    </row>
    <row r="27744" spans="9:10" x14ac:dyDescent="0.3">
      <c r="I27744" t="s">
        <v>31968</v>
      </c>
    </row>
    <row r="27745" spans="9:10" x14ac:dyDescent="0.3">
      <c r="I27745" t="s">
        <v>31969</v>
      </c>
    </row>
    <row r="27746" spans="9:10" x14ac:dyDescent="0.3">
      <c r="I27746" t="s">
        <v>31970</v>
      </c>
    </row>
    <row r="27747" spans="9:10" x14ac:dyDescent="0.3">
      <c r="I27747" t="s">
        <v>31971</v>
      </c>
    </row>
    <row r="27748" spans="9:10" x14ac:dyDescent="0.3">
      <c r="I27748" t="s">
        <v>31972</v>
      </c>
    </row>
    <row r="27749" spans="9:10" x14ac:dyDescent="0.3">
      <c r="I27749" t="s">
        <v>31973</v>
      </c>
    </row>
    <row r="27750" spans="9:10" x14ac:dyDescent="0.3">
      <c r="I27750" t="s">
        <v>31974</v>
      </c>
    </row>
    <row r="27751" spans="9:10" x14ac:dyDescent="0.3">
      <c r="I27751" t="s">
        <v>31975</v>
      </c>
    </row>
    <row r="27752" spans="9:10" x14ac:dyDescent="0.3">
      <c r="I27752" t="s">
        <v>31976</v>
      </c>
    </row>
    <row r="27753" spans="9:10" x14ac:dyDescent="0.3">
      <c r="I27753" t="s">
        <v>31977</v>
      </c>
    </row>
    <row r="27754" spans="9:10" x14ac:dyDescent="0.3">
      <c r="I27754" t="s">
        <v>31978</v>
      </c>
    </row>
    <row r="27755" spans="9:10" x14ac:dyDescent="0.3">
      <c r="I27755" t="s">
        <v>31979</v>
      </c>
    </row>
    <row r="27756" spans="9:10" x14ac:dyDescent="0.3">
      <c r="I27756" t="s">
        <v>31980</v>
      </c>
    </row>
    <row r="27757" spans="9:10" x14ac:dyDescent="0.3">
      <c r="I27757" t="s">
        <v>31981</v>
      </c>
    </row>
    <row r="27758" spans="9:10" x14ac:dyDescent="0.3">
      <c r="I27758" t="s">
        <v>31982</v>
      </c>
      <c r="J27758" t="s">
        <v>9023</v>
      </c>
    </row>
    <row r="27759" spans="9:10" x14ac:dyDescent="0.3">
      <c r="I27759" t="s">
        <v>31983</v>
      </c>
    </row>
    <row r="27760" spans="9:10" x14ac:dyDescent="0.3">
      <c r="I27760" t="s">
        <v>31984</v>
      </c>
    </row>
    <row r="27761" spans="9:10" x14ac:dyDescent="0.3">
      <c r="I27761" t="s">
        <v>31985</v>
      </c>
    </row>
    <row r="27762" spans="9:10" x14ac:dyDescent="0.3">
      <c r="I27762" t="s">
        <v>31986</v>
      </c>
    </row>
    <row r="27763" spans="9:10" x14ac:dyDescent="0.3">
      <c r="I27763" t="s">
        <v>31987</v>
      </c>
    </row>
    <row r="27764" spans="9:10" x14ac:dyDescent="0.3">
      <c r="I27764" t="s">
        <v>31988</v>
      </c>
    </row>
    <row r="27765" spans="9:10" x14ac:dyDescent="0.3">
      <c r="I27765" t="s">
        <v>31989</v>
      </c>
    </row>
    <row r="27766" spans="9:10" x14ac:dyDescent="0.3">
      <c r="I27766" t="s">
        <v>31990</v>
      </c>
    </row>
    <row r="27767" spans="9:10" x14ac:dyDescent="0.3">
      <c r="I27767" t="s">
        <v>31991</v>
      </c>
      <c r="J27767" t="s">
        <v>9024</v>
      </c>
    </row>
    <row r="27768" spans="9:10" x14ac:dyDescent="0.3">
      <c r="I27768" t="s">
        <v>31991</v>
      </c>
      <c r="J27768" t="s">
        <v>9024</v>
      </c>
    </row>
    <row r="27769" spans="9:10" x14ac:dyDescent="0.3">
      <c r="I27769" t="s">
        <v>31992</v>
      </c>
      <c r="J27769" t="s">
        <v>9024</v>
      </c>
    </row>
    <row r="27770" spans="9:10" x14ac:dyDescent="0.3">
      <c r="I27770" t="s">
        <v>31993</v>
      </c>
    </row>
    <row r="27771" spans="9:10" x14ac:dyDescent="0.3">
      <c r="I27771" t="s">
        <v>31994</v>
      </c>
      <c r="J27771" t="s">
        <v>9025</v>
      </c>
    </row>
    <row r="27772" spans="9:10" x14ac:dyDescent="0.3">
      <c r="I27772" t="s">
        <v>31995</v>
      </c>
      <c r="J27772" t="s">
        <v>5878</v>
      </c>
    </row>
    <row r="27773" spans="9:10" x14ac:dyDescent="0.3">
      <c r="I27773" t="s">
        <v>31996</v>
      </c>
      <c r="J27773" t="s">
        <v>9026</v>
      </c>
    </row>
    <row r="27774" spans="9:10" x14ac:dyDescent="0.3">
      <c r="I27774" t="s">
        <v>31997</v>
      </c>
    </row>
    <row r="27775" spans="9:10" x14ac:dyDescent="0.3">
      <c r="I27775" t="s">
        <v>31998</v>
      </c>
      <c r="J27775" t="s">
        <v>171</v>
      </c>
    </row>
    <row r="27776" spans="9:10" x14ac:dyDescent="0.3">
      <c r="I27776" t="s">
        <v>31998</v>
      </c>
      <c r="J27776" t="s">
        <v>171</v>
      </c>
    </row>
    <row r="27777" spans="9:10" x14ac:dyDescent="0.3">
      <c r="I27777" t="s">
        <v>31999</v>
      </c>
      <c r="J27777" t="s">
        <v>9027</v>
      </c>
    </row>
    <row r="27778" spans="9:10" x14ac:dyDescent="0.3">
      <c r="I27778" t="s">
        <v>32000</v>
      </c>
      <c r="J27778" t="s">
        <v>9027</v>
      </c>
    </row>
    <row r="27779" spans="9:10" x14ac:dyDescent="0.3">
      <c r="I27779" t="s">
        <v>32001</v>
      </c>
      <c r="J27779" t="s">
        <v>9028</v>
      </c>
    </row>
    <row r="27780" spans="9:10" x14ac:dyDescent="0.3">
      <c r="I27780" t="s">
        <v>32002</v>
      </c>
    </row>
    <row r="27781" spans="9:10" x14ac:dyDescent="0.3">
      <c r="I27781" t="s">
        <v>32003</v>
      </c>
    </row>
    <row r="27782" spans="9:10" x14ac:dyDescent="0.3">
      <c r="I27782" t="s">
        <v>32004</v>
      </c>
    </row>
    <row r="27783" spans="9:10" x14ac:dyDescent="0.3">
      <c r="I27783" t="s">
        <v>32005</v>
      </c>
    </row>
    <row r="27784" spans="9:10" x14ac:dyDescent="0.3">
      <c r="I27784" t="s">
        <v>32006</v>
      </c>
    </row>
    <row r="27785" spans="9:10" x14ac:dyDescent="0.3">
      <c r="I27785" t="s">
        <v>32007</v>
      </c>
    </row>
    <row r="27786" spans="9:10" x14ac:dyDescent="0.3">
      <c r="I27786" t="s">
        <v>32008</v>
      </c>
    </row>
    <row r="27787" spans="9:10" x14ac:dyDescent="0.3">
      <c r="I27787" t="s">
        <v>32009</v>
      </c>
    </row>
    <row r="27788" spans="9:10" x14ac:dyDescent="0.3">
      <c r="I27788" t="s">
        <v>32010</v>
      </c>
    </row>
    <row r="27789" spans="9:10" x14ac:dyDescent="0.3">
      <c r="I27789" t="s">
        <v>32011</v>
      </c>
    </row>
    <row r="27790" spans="9:10" x14ac:dyDescent="0.3">
      <c r="I27790" t="s">
        <v>32012</v>
      </c>
    </row>
    <row r="27791" spans="9:10" x14ac:dyDescent="0.3">
      <c r="I27791" t="s">
        <v>32013</v>
      </c>
    </row>
    <row r="27792" spans="9:10" x14ac:dyDescent="0.3">
      <c r="I27792" t="s">
        <v>32014</v>
      </c>
      <c r="J27792" t="s">
        <v>9029</v>
      </c>
    </row>
    <row r="27793" spans="9:10" x14ac:dyDescent="0.3">
      <c r="I27793" t="s">
        <v>32015</v>
      </c>
      <c r="J27793" t="s">
        <v>9030</v>
      </c>
    </row>
    <row r="27794" spans="9:10" x14ac:dyDescent="0.3">
      <c r="I27794" t="s">
        <v>32016</v>
      </c>
    </row>
    <row r="27795" spans="9:10" x14ac:dyDescent="0.3">
      <c r="I27795" t="s">
        <v>32017</v>
      </c>
    </row>
    <row r="27796" spans="9:10" x14ac:dyDescent="0.3">
      <c r="I27796" t="s">
        <v>32018</v>
      </c>
    </row>
    <row r="27797" spans="9:10" x14ac:dyDescent="0.3">
      <c r="I27797" t="s">
        <v>32019</v>
      </c>
    </row>
    <row r="27798" spans="9:10" x14ac:dyDescent="0.3">
      <c r="I27798" t="s">
        <v>32020</v>
      </c>
    </row>
    <row r="27799" spans="9:10" x14ac:dyDescent="0.3">
      <c r="I27799" t="s">
        <v>32021</v>
      </c>
    </row>
    <row r="27800" spans="9:10" x14ac:dyDescent="0.3">
      <c r="I27800" t="s">
        <v>32022</v>
      </c>
    </row>
    <row r="27801" spans="9:10" x14ac:dyDescent="0.3">
      <c r="I27801" t="s">
        <v>32023</v>
      </c>
    </row>
    <row r="27802" spans="9:10" x14ac:dyDescent="0.3">
      <c r="I27802" t="s">
        <v>32024</v>
      </c>
    </row>
    <row r="27803" spans="9:10" x14ac:dyDescent="0.3">
      <c r="I27803" t="s">
        <v>32025</v>
      </c>
    </row>
    <row r="27804" spans="9:10" x14ac:dyDescent="0.3">
      <c r="I27804" t="s">
        <v>32026</v>
      </c>
    </row>
    <row r="27805" spans="9:10" x14ac:dyDescent="0.3">
      <c r="I27805" t="s">
        <v>32027</v>
      </c>
      <c r="J27805" t="s">
        <v>9031</v>
      </c>
    </row>
    <row r="27806" spans="9:10" x14ac:dyDescent="0.3">
      <c r="I27806" t="s">
        <v>32028</v>
      </c>
      <c r="J27806" t="s">
        <v>9032</v>
      </c>
    </row>
    <row r="27807" spans="9:10" x14ac:dyDescent="0.3">
      <c r="I27807" t="s">
        <v>32029</v>
      </c>
      <c r="J27807" t="s">
        <v>9032</v>
      </c>
    </row>
    <row r="27808" spans="9:10" x14ac:dyDescent="0.3">
      <c r="I27808" t="s">
        <v>32030</v>
      </c>
      <c r="J27808" t="s">
        <v>9033</v>
      </c>
    </row>
    <row r="27809" spans="9:10" x14ac:dyDescent="0.3">
      <c r="I27809" t="s">
        <v>32031</v>
      </c>
    </row>
    <row r="27810" spans="9:10" x14ac:dyDescent="0.3">
      <c r="I27810" t="s">
        <v>32032</v>
      </c>
      <c r="J27810" t="s">
        <v>103</v>
      </c>
    </row>
    <row r="27811" spans="9:10" x14ac:dyDescent="0.3">
      <c r="I27811" t="s">
        <v>32033</v>
      </c>
      <c r="J27811" t="s">
        <v>9034</v>
      </c>
    </row>
    <row r="27812" spans="9:10" x14ac:dyDescent="0.3">
      <c r="I27812" t="s">
        <v>32034</v>
      </c>
    </row>
    <row r="27813" spans="9:10" x14ac:dyDescent="0.3">
      <c r="I27813" t="s">
        <v>32035</v>
      </c>
      <c r="J27813" t="s">
        <v>9035</v>
      </c>
    </row>
    <row r="27814" spans="9:10" x14ac:dyDescent="0.3">
      <c r="I27814" t="s">
        <v>32036</v>
      </c>
    </row>
    <row r="27815" spans="9:10" x14ac:dyDescent="0.3">
      <c r="I27815" t="s">
        <v>32037</v>
      </c>
    </row>
    <row r="27816" spans="9:10" x14ac:dyDescent="0.3">
      <c r="I27816" t="s">
        <v>32038</v>
      </c>
    </row>
    <row r="27817" spans="9:10" x14ac:dyDescent="0.3">
      <c r="I27817" t="s">
        <v>32039</v>
      </c>
    </row>
    <row r="27818" spans="9:10" x14ac:dyDescent="0.3">
      <c r="I27818" t="s">
        <v>32040</v>
      </c>
    </row>
    <row r="27819" spans="9:10" x14ac:dyDescent="0.3">
      <c r="I27819" t="s">
        <v>32041</v>
      </c>
    </row>
    <row r="27820" spans="9:10" x14ac:dyDescent="0.3">
      <c r="I27820" t="s">
        <v>32042</v>
      </c>
    </row>
    <row r="27821" spans="9:10" x14ac:dyDescent="0.3">
      <c r="I27821" t="s">
        <v>32043</v>
      </c>
    </row>
    <row r="27822" spans="9:10" x14ac:dyDescent="0.3">
      <c r="I27822" t="s">
        <v>32044</v>
      </c>
    </row>
    <row r="27823" spans="9:10" x14ac:dyDescent="0.3">
      <c r="I27823" t="s">
        <v>32045</v>
      </c>
    </row>
    <row r="27824" spans="9:10" x14ac:dyDescent="0.3">
      <c r="I27824" t="s">
        <v>32046</v>
      </c>
    </row>
    <row r="27825" spans="9:10" x14ac:dyDescent="0.3">
      <c r="I27825" t="s">
        <v>32047</v>
      </c>
    </row>
    <row r="27826" spans="9:10" x14ac:dyDescent="0.3">
      <c r="I27826" t="s">
        <v>32048</v>
      </c>
    </row>
    <row r="27827" spans="9:10" x14ac:dyDescent="0.3">
      <c r="I27827" t="s">
        <v>32049</v>
      </c>
    </row>
    <row r="27828" spans="9:10" x14ac:dyDescent="0.3">
      <c r="I27828" t="s">
        <v>32050</v>
      </c>
    </row>
    <row r="27829" spans="9:10" x14ac:dyDescent="0.3">
      <c r="I27829" t="s">
        <v>32051</v>
      </c>
    </row>
    <row r="27830" spans="9:10" x14ac:dyDescent="0.3">
      <c r="I27830" t="s">
        <v>32052</v>
      </c>
    </row>
    <row r="27831" spans="9:10" x14ac:dyDescent="0.3">
      <c r="I27831" t="s">
        <v>32053</v>
      </c>
      <c r="J27831" t="s">
        <v>9036</v>
      </c>
    </row>
    <row r="27832" spans="9:10" x14ac:dyDescent="0.3">
      <c r="I27832" t="s">
        <v>32054</v>
      </c>
      <c r="J27832" t="s">
        <v>9037</v>
      </c>
    </row>
    <row r="27833" spans="9:10" x14ac:dyDescent="0.3">
      <c r="I27833" t="s">
        <v>32055</v>
      </c>
    </row>
    <row r="27834" spans="9:10" x14ac:dyDescent="0.3">
      <c r="I27834" t="s">
        <v>32056</v>
      </c>
    </row>
    <row r="27835" spans="9:10" x14ac:dyDescent="0.3">
      <c r="I27835" t="s">
        <v>32057</v>
      </c>
    </row>
    <row r="27836" spans="9:10" x14ac:dyDescent="0.3">
      <c r="I27836" t="s">
        <v>32058</v>
      </c>
    </row>
    <row r="27837" spans="9:10" x14ac:dyDescent="0.3">
      <c r="I27837" t="s">
        <v>32059</v>
      </c>
    </row>
    <row r="27838" spans="9:10" x14ac:dyDescent="0.3">
      <c r="I27838" t="s">
        <v>32060</v>
      </c>
    </row>
    <row r="27839" spans="9:10" x14ac:dyDescent="0.3">
      <c r="I27839" t="s">
        <v>32061</v>
      </c>
      <c r="J27839" t="s">
        <v>9038</v>
      </c>
    </row>
    <row r="27840" spans="9:10" x14ac:dyDescent="0.3">
      <c r="I27840" t="s">
        <v>32062</v>
      </c>
    </row>
    <row r="27841" spans="9:10" x14ac:dyDescent="0.3">
      <c r="I27841" t="s">
        <v>32063</v>
      </c>
    </row>
    <row r="27842" spans="9:10" x14ac:dyDescent="0.3">
      <c r="I27842" t="s">
        <v>32064</v>
      </c>
    </row>
    <row r="27843" spans="9:10" x14ac:dyDescent="0.3">
      <c r="I27843" t="s">
        <v>32065</v>
      </c>
    </row>
    <row r="27844" spans="9:10" x14ac:dyDescent="0.3">
      <c r="I27844" t="s">
        <v>32066</v>
      </c>
    </row>
    <row r="27845" spans="9:10" x14ac:dyDescent="0.3">
      <c r="I27845" t="s">
        <v>32067</v>
      </c>
    </row>
    <row r="27846" spans="9:10" x14ac:dyDescent="0.3">
      <c r="I27846" t="s">
        <v>32068</v>
      </c>
    </row>
    <row r="27847" spans="9:10" x14ac:dyDescent="0.3">
      <c r="I27847" t="s">
        <v>32069</v>
      </c>
    </row>
    <row r="27848" spans="9:10" x14ac:dyDescent="0.3">
      <c r="I27848" t="s">
        <v>32070</v>
      </c>
    </row>
    <row r="27849" spans="9:10" x14ac:dyDescent="0.3">
      <c r="I27849" t="s">
        <v>32071</v>
      </c>
    </row>
    <row r="27850" spans="9:10" x14ac:dyDescent="0.3">
      <c r="I27850" t="s">
        <v>32072</v>
      </c>
    </row>
    <row r="27851" spans="9:10" x14ac:dyDescent="0.3">
      <c r="I27851" t="s">
        <v>32073</v>
      </c>
      <c r="J27851" t="s">
        <v>9039</v>
      </c>
    </row>
    <row r="27852" spans="9:10" x14ac:dyDescent="0.3">
      <c r="I27852" t="s">
        <v>32073</v>
      </c>
      <c r="J27852" t="s">
        <v>9039</v>
      </c>
    </row>
    <row r="27853" spans="9:10" x14ac:dyDescent="0.3">
      <c r="I27853" t="s">
        <v>32074</v>
      </c>
    </row>
    <row r="27854" spans="9:10" x14ac:dyDescent="0.3">
      <c r="I27854" t="s">
        <v>32075</v>
      </c>
    </row>
    <row r="27855" spans="9:10" x14ac:dyDescent="0.3">
      <c r="I27855" t="s">
        <v>32076</v>
      </c>
    </row>
    <row r="27856" spans="9:10" x14ac:dyDescent="0.3">
      <c r="I27856" t="s">
        <v>32077</v>
      </c>
    </row>
    <row r="27857" spans="9:10" x14ac:dyDescent="0.3">
      <c r="I27857" t="s">
        <v>32078</v>
      </c>
    </row>
    <row r="27858" spans="9:10" x14ac:dyDescent="0.3">
      <c r="I27858" t="s">
        <v>32079</v>
      </c>
    </row>
    <row r="27859" spans="9:10" x14ac:dyDescent="0.3">
      <c r="I27859" t="s">
        <v>32080</v>
      </c>
    </row>
    <row r="27860" spans="9:10" x14ac:dyDescent="0.3">
      <c r="I27860" t="s">
        <v>32081</v>
      </c>
    </row>
    <row r="27861" spans="9:10" x14ac:dyDescent="0.3">
      <c r="I27861" t="s">
        <v>32082</v>
      </c>
    </row>
    <row r="27862" spans="9:10" x14ac:dyDescent="0.3">
      <c r="I27862" t="s">
        <v>32083</v>
      </c>
    </row>
    <row r="27863" spans="9:10" x14ac:dyDescent="0.3">
      <c r="I27863" t="s">
        <v>32084</v>
      </c>
    </row>
    <row r="27864" spans="9:10" x14ac:dyDescent="0.3">
      <c r="I27864" t="s">
        <v>32085</v>
      </c>
    </row>
    <row r="27865" spans="9:10" x14ac:dyDescent="0.3">
      <c r="I27865" t="s">
        <v>32086</v>
      </c>
    </row>
    <row r="27866" spans="9:10" x14ac:dyDescent="0.3">
      <c r="I27866" t="s">
        <v>32087</v>
      </c>
      <c r="J27866" t="s">
        <v>208</v>
      </c>
    </row>
    <row r="27867" spans="9:10" x14ac:dyDescent="0.3">
      <c r="I27867" t="s">
        <v>32088</v>
      </c>
      <c r="J27867" t="s">
        <v>9040</v>
      </c>
    </row>
    <row r="27868" spans="9:10" x14ac:dyDescent="0.3">
      <c r="I27868" t="s">
        <v>32089</v>
      </c>
    </row>
    <row r="27869" spans="9:10" x14ac:dyDescent="0.3">
      <c r="I27869" t="s">
        <v>32090</v>
      </c>
      <c r="J27869" t="s">
        <v>9041</v>
      </c>
    </row>
    <row r="27870" spans="9:10" x14ac:dyDescent="0.3">
      <c r="I27870" t="s">
        <v>32091</v>
      </c>
    </row>
    <row r="27871" spans="9:10" x14ac:dyDescent="0.3">
      <c r="I27871" t="s">
        <v>32092</v>
      </c>
    </row>
    <row r="27872" spans="9:10" x14ac:dyDescent="0.3">
      <c r="I27872" t="s">
        <v>32093</v>
      </c>
    </row>
    <row r="27873" spans="9:10" x14ac:dyDescent="0.3">
      <c r="I27873" t="s">
        <v>32094</v>
      </c>
      <c r="J27873" t="s">
        <v>9042</v>
      </c>
    </row>
    <row r="27874" spans="9:10" x14ac:dyDescent="0.3">
      <c r="I27874" t="s">
        <v>32095</v>
      </c>
      <c r="J27874" t="s">
        <v>397</v>
      </c>
    </row>
    <row r="27875" spans="9:10" x14ac:dyDescent="0.3">
      <c r="I27875" t="s">
        <v>32096</v>
      </c>
      <c r="J27875" t="s">
        <v>9043</v>
      </c>
    </row>
    <row r="27876" spans="9:10" x14ac:dyDescent="0.3">
      <c r="I27876" t="s">
        <v>32097</v>
      </c>
    </row>
    <row r="27877" spans="9:10" x14ac:dyDescent="0.3">
      <c r="I27877" t="s">
        <v>32098</v>
      </c>
      <c r="J27877" t="s">
        <v>9044</v>
      </c>
    </row>
    <row r="27878" spans="9:10" x14ac:dyDescent="0.3">
      <c r="I27878" t="s">
        <v>32099</v>
      </c>
    </row>
    <row r="27879" spans="9:10" x14ac:dyDescent="0.3">
      <c r="I27879" t="s">
        <v>32100</v>
      </c>
    </row>
    <row r="27880" spans="9:10" x14ac:dyDescent="0.3">
      <c r="I27880" t="s">
        <v>32101</v>
      </c>
    </row>
    <row r="27881" spans="9:10" x14ac:dyDescent="0.3">
      <c r="I27881" t="s">
        <v>32102</v>
      </c>
    </row>
    <row r="27882" spans="9:10" x14ac:dyDescent="0.3">
      <c r="I27882" t="s">
        <v>32103</v>
      </c>
    </row>
    <row r="27883" spans="9:10" x14ac:dyDescent="0.3">
      <c r="I27883" t="s">
        <v>32104</v>
      </c>
      <c r="J27883" t="s">
        <v>9045</v>
      </c>
    </row>
    <row r="27884" spans="9:10" x14ac:dyDescent="0.3">
      <c r="I27884" t="s">
        <v>32105</v>
      </c>
      <c r="J27884" t="s">
        <v>9045</v>
      </c>
    </row>
    <row r="27885" spans="9:10" x14ac:dyDescent="0.3">
      <c r="I27885" t="s">
        <v>32106</v>
      </c>
      <c r="J27885" t="s">
        <v>9046</v>
      </c>
    </row>
    <row r="27886" spans="9:10" x14ac:dyDescent="0.3">
      <c r="I27886" t="s">
        <v>32107</v>
      </c>
      <c r="J27886" t="s">
        <v>9047</v>
      </c>
    </row>
    <row r="27887" spans="9:10" x14ac:dyDescent="0.3">
      <c r="I27887" t="s">
        <v>32107</v>
      </c>
      <c r="J27887" t="s">
        <v>9047</v>
      </c>
    </row>
    <row r="27888" spans="9:10" x14ac:dyDescent="0.3">
      <c r="I27888" t="s">
        <v>32108</v>
      </c>
      <c r="J27888" t="s">
        <v>9048</v>
      </c>
    </row>
    <row r="27889" spans="9:10" x14ac:dyDescent="0.3">
      <c r="I27889" t="s">
        <v>32109</v>
      </c>
      <c r="J27889" t="s">
        <v>9049</v>
      </c>
    </row>
    <row r="27890" spans="9:10" x14ac:dyDescent="0.3">
      <c r="I27890" t="s">
        <v>32110</v>
      </c>
      <c r="J27890" t="s">
        <v>9049</v>
      </c>
    </row>
    <row r="27891" spans="9:10" x14ac:dyDescent="0.3">
      <c r="I27891" t="s">
        <v>32111</v>
      </c>
    </row>
    <row r="27892" spans="9:10" x14ac:dyDescent="0.3">
      <c r="I27892" t="s">
        <v>32112</v>
      </c>
    </row>
    <row r="27893" spans="9:10" x14ac:dyDescent="0.3">
      <c r="I27893" t="s">
        <v>32113</v>
      </c>
    </row>
    <row r="27894" spans="9:10" x14ac:dyDescent="0.3">
      <c r="I27894" t="s">
        <v>32114</v>
      </c>
    </row>
    <row r="27895" spans="9:10" x14ac:dyDescent="0.3">
      <c r="I27895" t="s">
        <v>32115</v>
      </c>
    </row>
    <row r="27896" spans="9:10" x14ac:dyDescent="0.3">
      <c r="I27896" t="s">
        <v>32116</v>
      </c>
    </row>
    <row r="27897" spans="9:10" x14ac:dyDescent="0.3">
      <c r="I27897" t="s">
        <v>32117</v>
      </c>
    </row>
    <row r="27898" spans="9:10" x14ac:dyDescent="0.3">
      <c r="I27898" t="s">
        <v>32118</v>
      </c>
      <c r="J27898" t="s">
        <v>9050</v>
      </c>
    </row>
    <row r="27899" spans="9:10" x14ac:dyDescent="0.3">
      <c r="I27899" t="s">
        <v>32119</v>
      </c>
      <c r="J27899" t="s">
        <v>9051</v>
      </c>
    </row>
    <row r="27900" spans="9:10" x14ac:dyDescent="0.3">
      <c r="I27900" t="s">
        <v>32120</v>
      </c>
      <c r="J27900" t="s">
        <v>9052</v>
      </c>
    </row>
    <row r="27901" spans="9:10" x14ac:dyDescent="0.3">
      <c r="I27901" t="s">
        <v>32121</v>
      </c>
    </row>
    <row r="27902" spans="9:10" x14ac:dyDescent="0.3">
      <c r="I27902" t="s">
        <v>32122</v>
      </c>
    </row>
    <row r="27903" spans="9:10" x14ac:dyDescent="0.3">
      <c r="I27903" t="s">
        <v>32123</v>
      </c>
    </row>
    <row r="27904" spans="9:10" x14ac:dyDescent="0.3">
      <c r="I27904" t="s">
        <v>32124</v>
      </c>
    </row>
    <row r="27905" spans="9:9" x14ac:dyDescent="0.3">
      <c r="I27905" t="s">
        <v>32125</v>
      </c>
    </row>
    <row r="27906" spans="9:9" x14ac:dyDescent="0.3">
      <c r="I27906" t="s">
        <v>32126</v>
      </c>
    </row>
    <row r="27907" spans="9:9" x14ac:dyDescent="0.3">
      <c r="I27907" t="s">
        <v>32127</v>
      </c>
    </row>
    <row r="27908" spans="9:9" x14ac:dyDescent="0.3">
      <c r="I27908" t="s">
        <v>32128</v>
      </c>
    </row>
    <row r="27909" spans="9:9" x14ac:dyDescent="0.3">
      <c r="I27909" t="s">
        <v>32129</v>
      </c>
    </row>
    <row r="27910" spans="9:9" x14ac:dyDescent="0.3">
      <c r="I27910" t="s">
        <v>32130</v>
      </c>
    </row>
    <row r="27911" spans="9:9" x14ac:dyDescent="0.3">
      <c r="I27911" t="s">
        <v>32131</v>
      </c>
    </row>
    <row r="27912" spans="9:9" x14ac:dyDescent="0.3">
      <c r="I27912" t="s">
        <v>32132</v>
      </c>
    </row>
    <row r="27913" spans="9:9" x14ac:dyDescent="0.3">
      <c r="I27913" t="s">
        <v>32133</v>
      </c>
    </row>
    <row r="27914" spans="9:9" x14ac:dyDescent="0.3">
      <c r="I27914" t="s">
        <v>32134</v>
      </c>
    </row>
    <row r="27915" spans="9:9" x14ac:dyDescent="0.3">
      <c r="I27915" t="s">
        <v>32135</v>
      </c>
    </row>
    <row r="27916" spans="9:9" x14ac:dyDescent="0.3">
      <c r="I27916" t="s">
        <v>32136</v>
      </c>
    </row>
    <row r="27917" spans="9:9" x14ac:dyDescent="0.3">
      <c r="I27917" t="s">
        <v>32137</v>
      </c>
    </row>
    <row r="27918" spans="9:9" x14ac:dyDescent="0.3">
      <c r="I27918" t="s">
        <v>32138</v>
      </c>
    </row>
    <row r="27919" spans="9:9" x14ac:dyDescent="0.3">
      <c r="I27919" t="s">
        <v>32139</v>
      </c>
    </row>
    <row r="27920" spans="9:9" x14ac:dyDescent="0.3">
      <c r="I27920" t="s">
        <v>32140</v>
      </c>
    </row>
    <row r="27921" spans="9:10" x14ac:dyDescent="0.3">
      <c r="I27921" t="s">
        <v>32141</v>
      </c>
      <c r="J27921" t="s">
        <v>1733</v>
      </c>
    </row>
    <row r="27922" spans="9:10" x14ac:dyDescent="0.3">
      <c r="I27922" t="s">
        <v>32142</v>
      </c>
      <c r="J27922" t="s">
        <v>9053</v>
      </c>
    </row>
    <row r="27923" spans="9:10" x14ac:dyDescent="0.3">
      <c r="I27923" t="s">
        <v>32143</v>
      </c>
    </row>
    <row r="27924" spans="9:10" x14ac:dyDescent="0.3">
      <c r="I27924" t="s">
        <v>32144</v>
      </c>
    </row>
    <row r="27925" spans="9:10" x14ac:dyDescent="0.3">
      <c r="I27925" t="s">
        <v>32145</v>
      </c>
    </row>
    <row r="27926" spans="9:10" x14ac:dyDescent="0.3">
      <c r="I27926" t="s">
        <v>32146</v>
      </c>
    </row>
    <row r="27927" spans="9:10" x14ac:dyDescent="0.3">
      <c r="I27927" t="s">
        <v>32147</v>
      </c>
    </row>
    <row r="27928" spans="9:10" x14ac:dyDescent="0.3">
      <c r="I27928" t="s">
        <v>32148</v>
      </c>
    </row>
    <row r="27929" spans="9:10" x14ac:dyDescent="0.3">
      <c r="I27929" t="s">
        <v>32149</v>
      </c>
    </row>
    <row r="27930" spans="9:10" x14ac:dyDescent="0.3">
      <c r="I27930" t="s">
        <v>32150</v>
      </c>
      <c r="J27930" t="s">
        <v>9054</v>
      </c>
    </row>
    <row r="27931" spans="9:10" x14ac:dyDescent="0.3">
      <c r="I27931" t="s">
        <v>32151</v>
      </c>
    </row>
    <row r="27932" spans="9:10" x14ac:dyDescent="0.3">
      <c r="I27932" t="s">
        <v>32152</v>
      </c>
      <c r="J27932" t="s">
        <v>9055</v>
      </c>
    </row>
    <row r="27933" spans="9:10" x14ac:dyDescent="0.3">
      <c r="I27933" t="s">
        <v>32153</v>
      </c>
      <c r="J27933" t="s">
        <v>9056</v>
      </c>
    </row>
    <row r="27934" spans="9:10" x14ac:dyDescent="0.3">
      <c r="I27934" t="s">
        <v>32154</v>
      </c>
      <c r="J27934" t="s">
        <v>647</v>
      </c>
    </row>
    <row r="27935" spans="9:10" x14ac:dyDescent="0.3">
      <c r="I27935" t="s">
        <v>32155</v>
      </c>
      <c r="J27935" t="s">
        <v>647</v>
      </c>
    </row>
    <row r="27936" spans="9:10" x14ac:dyDescent="0.3">
      <c r="I27936" t="s">
        <v>32156</v>
      </c>
    </row>
    <row r="27937" spans="9:10" x14ac:dyDescent="0.3">
      <c r="I27937" t="s">
        <v>32157</v>
      </c>
    </row>
    <row r="27938" spans="9:10" x14ac:dyDescent="0.3">
      <c r="I27938" t="s">
        <v>32158</v>
      </c>
    </row>
    <row r="27939" spans="9:10" x14ac:dyDescent="0.3">
      <c r="I27939" t="s">
        <v>32159</v>
      </c>
    </row>
    <row r="27940" spans="9:10" x14ac:dyDescent="0.3">
      <c r="I27940" t="s">
        <v>32160</v>
      </c>
    </row>
    <row r="27941" spans="9:10" x14ac:dyDescent="0.3">
      <c r="I27941" t="s">
        <v>32161</v>
      </c>
    </row>
    <row r="27942" spans="9:10" x14ac:dyDescent="0.3">
      <c r="I27942" t="s">
        <v>32162</v>
      </c>
      <c r="J27942" t="s">
        <v>9057</v>
      </c>
    </row>
    <row r="27943" spans="9:10" x14ac:dyDescent="0.3">
      <c r="I27943" t="s">
        <v>32163</v>
      </c>
      <c r="J27943" t="s">
        <v>9058</v>
      </c>
    </row>
    <row r="27944" spans="9:10" x14ac:dyDescent="0.3">
      <c r="I27944" t="s">
        <v>32164</v>
      </c>
      <c r="J27944" t="s">
        <v>9059</v>
      </c>
    </row>
    <row r="27945" spans="9:10" x14ac:dyDescent="0.3">
      <c r="I27945" t="s">
        <v>32165</v>
      </c>
    </row>
    <row r="27946" spans="9:10" x14ac:dyDescent="0.3">
      <c r="I27946" t="s">
        <v>32166</v>
      </c>
    </row>
    <row r="27947" spans="9:10" x14ac:dyDescent="0.3">
      <c r="I27947" t="s">
        <v>32167</v>
      </c>
    </row>
    <row r="27948" spans="9:10" x14ac:dyDescent="0.3">
      <c r="I27948" t="s">
        <v>32168</v>
      </c>
    </row>
    <row r="27949" spans="9:10" x14ac:dyDescent="0.3">
      <c r="I27949" t="s">
        <v>32169</v>
      </c>
    </row>
    <row r="27950" spans="9:10" x14ac:dyDescent="0.3">
      <c r="I27950" t="s">
        <v>32170</v>
      </c>
    </row>
    <row r="27951" spans="9:10" x14ac:dyDescent="0.3">
      <c r="I27951" t="s">
        <v>32171</v>
      </c>
    </row>
    <row r="27952" spans="9:10" x14ac:dyDescent="0.3">
      <c r="I27952" t="s">
        <v>32172</v>
      </c>
    </row>
    <row r="27953" spans="9:10" x14ac:dyDescent="0.3">
      <c r="I27953" t="s">
        <v>32173</v>
      </c>
    </row>
    <row r="27954" spans="9:10" x14ac:dyDescent="0.3">
      <c r="I27954" t="s">
        <v>32174</v>
      </c>
      <c r="J27954" t="s">
        <v>9060</v>
      </c>
    </row>
    <row r="27955" spans="9:10" x14ac:dyDescent="0.3">
      <c r="I27955" t="s">
        <v>32175</v>
      </c>
    </row>
    <row r="27956" spans="9:10" x14ac:dyDescent="0.3">
      <c r="I27956" t="s">
        <v>32176</v>
      </c>
    </row>
    <row r="27957" spans="9:10" x14ac:dyDescent="0.3">
      <c r="I27957" t="s">
        <v>32177</v>
      </c>
    </row>
    <row r="27958" spans="9:10" x14ac:dyDescent="0.3">
      <c r="I27958" t="s">
        <v>32178</v>
      </c>
    </row>
    <row r="27959" spans="9:10" x14ac:dyDescent="0.3">
      <c r="I27959" t="s">
        <v>32179</v>
      </c>
    </row>
    <row r="27960" spans="9:10" x14ac:dyDescent="0.3">
      <c r="I27960" t="s">
        <v>32180</v>
      </c>
    </row>
    <row r="27961" spans="9:10" x14ac:dyDescent="0.3">
      <c r="I27961" t="s">
        <v>32181</v>
      </c>
    </row>
    <row r="27962" spans="9:10" x14ac:dyDescent="0.3">
      <c r="I27962" t="s">
        <v>32182</v>
      </c>
      <c r="J27962" t="s">
        <v>9061</v>
      </c>
    </row>
    <row r="27963" spans="9:10" x14ac:dyDescent="0.3">
      <c r="I27963" t="s">
        <v>32183</v>
      </c>
    </row>
    <row r="27964" spans="9:10" x14ac:dyDescent="0.3">
      <c r="I27964" t="s">
        <v>32184</v>
      </c>
    </row>
    <row r="27965" spans="9:10" x14ac:dyDescent="0.3">
      <c r="I27965" t="s">
        <v>32185</v>
      </c>
    </row>
    <row r="27966" spans="9:10" x14ac:dyDescent="0.3">
      <c r="I27966" t="s">
        <v>32186</v>
      </c>
      <c r="J27966" t="s">
        <v>9062</v>
      </c>
    </row>
    <row r="27967" spans="9:10" x14ac:dyDescent="0.3">
      <c r="I27967" t="s">
        <v>32187</v>
      </c>
      <c r="J27967" t="s">
        <v>9063</v>
      </c>
    </row>
    <row r="27968" spans="9:10" x14ac:dyDescent="0.3">
      <c r="I27968" t="s">
        <v>32188</v>
      </c>
      <c r="J27968" t="s">
        <v>346</v>
      </c>
    </row>
    <row r="27969" spans="9:10" x14ac:dyDescent="0.3">
      <c r="I27969" t="s">
        <v>32189</v>
      </c>
      <c r="J27969" t="s">
        <v>9064</v>
      </c>
    </row>
    <row r="27970" spans="9:10" x14ac:dyDescent="0.3">
      <c r="I27970" t="s">
        <v>32190</v>
      </c>
    </row>
    <row r="27971" spans="9:10" x14ac:dyDescent="0.3">
      <c r="I27971" t="s">
        <v>32191</v>
      </c>
    </row>
    <row r="27972" spans="9:10" x14ac:dyDescent="0.3">
      <c r="I27972" t="s">
        <v>32192</v>
      </c>
    </row>
    <row r="27973" spans="9:10" x14ac:dyDescent="0.3">
      <c r="I27973" t="s">
        <v>32193</v>
      </c>
    </row>
    <row r="27974" spans="9:10" x14ac:dyDescent="0.3">
      <c r="I27974" t="s">
        <v>32194</v>
      </c>
    </row>
    <row r="27975" spans="9:10" x14ac:dyDescent="0.3">
      <c r="I27975" t="s">
        <v>32195</v>
      </c>
    </row>
    <row r="27976" spans="9:10" x14ac:dyDescent="0.3">
      <c r="I27976" t="s">
        <v>32196</v>
      </c>
    </row>
    <row r="27977" spans="9:10" x14ac:dyDescent="0.3">
      <c r="I27977" t="s">
        <v>32197</v>
      </c>
    </row>
    <row r="27978" spans="9:10" x14ac:dyDescent="0.3">
      <c r="I27978" t="s">
        <v>32198</v>
      </c>
    </row>
    <row r="27979" spans="9:10" x14ac:dyDescent="0.3">
      <c r="I27979" t="s">
        <v>32199</v>
      </c>
    </row>
    <row r="27980" spans="9:10" x14ac:dyDescent="0.3">
      <c r="I27980" t="s">
        <v>32200</v>
      </c>
    </row>
    <row r="27981" spans="9:10" x14ac:dyDescent="0.3">
      <c r="I27981" t="s">
        <v>32201</v>
      </c>
    </row>
    <row r="27982" spans="9:10" x14ac:dyDescent="0.3">
      <c r="I27982" t="s">
        <v>32202</v>
      </c>
    </row>
    <row r="27983" spans="9:10" x14ac:dyDescent="0.3">
      <c r="I27983" t="s">
        <v>32203</v>
      </c>
    </row>
    <row r="27984" spans="9:10" x14ac:dyDescent="0.3">
      <c r="I27984" t="s">
        <v>32204</v>
      </c>
      <c r="J27984" t="s">
        <v>347</v>
      </c>
    </row>
    <row r="27985" spans="9:10" x14ac:dyDescent="0.3">
      <c r="I27985" t="s">
        <v>32205</v>
      </c>
      <c r="J27985" t="s">
        <v>348</v>
      </c>
    </row>
    <row r="27986" spans="9:10" x14ac:dyDescent="0.3">
      <c r="I27986" t="s">
        <v>32206</v>
      </c>
      <c r="J27986" t="s">
        <v>9065</v>
      </c>
    </row>
    <row r="27987" spans="9:10" x14ac:dyDescent="0.3">
      <c r="I27987" t="s">
        <v>32207</v>
      </c>
      <c r="J27987" t="s">
        <v>9065</v>
      </c>
    </row>
    <row r="27988" spans="9:10" x14ac:dyDescent="0.3">
      <c r="I27988" t="s">
        <v>32207</v>
      </c>
      <c r="J27988" t="s">
        <v>9065</v>
      </c>
    </row>
    <row r="27989" spans="9:10" x14ac:dyDescent="0.3">
      <c r="I27989" t="s">
        <v>32208</v>
      </c>
      <c r="J27989" t="s">
        <v>9066</v>
      </c>
    </row>
    <row r="27990" spans="9:10" x14ac:dyDescent="0.3">
      <c r="I27990" t="s">
        <v>32209</v>
      </c>
    </row>
    <row r="27991" spans="9:10" x14ac:dyDescent="0.3">
      <c r="I27991" t="s">
        <v>32210</v>
      </c>
    </row>
    <row r="27992" spans="9:10" x14ac:dyDescent="0.3">
      <c r="I27992" t="s">
        <v>32211</v>
      </c>
    </row>
    <row r="27993" spans="9:10" x14ac:dyDescent="0.3">
      <c r="I27993" t="s">
        <v>32212</v>
      </c>
    </row>
    <row r="27994" spans="9:10" x14ac:dyDescent="0.3">
      <c r="I27994" t="s">
        <v>32213</v>
      </c>
    </row>
    <row r="27995" spans="9:10" x14ac:dyDescent="0.3">
      <c r="I27995" t="s">
        <v>32214</v>
      </c>
    </row>
    <row r="27996" spans="9:10" x14ac:dyDescent="0.3">
      <c r="I27996" t="s">
        <v>32215</v>
      </c>
    </row>
    <row r="27997" spans="9:10" x14ac:dyDescent="0.3">
      <c r="I27997" t="s">
        <v>32216</v>
      </c>
    </row>
    <row r="27998" spans="9:10" x14ac:dyDescent="0.3">
      <c r="I27998" t="s">
        <v>32217</v>
      </c>
    </row>
    <row r="27999" spans="9:10" x14ac:dyDescent="0.3">
      <c r="I27999" t="s">
        <v>32218</v>
      </c>
    </row>
    <row r="28000" spans="9:10" x14ac:dyDescent="0.3">
      <c r="I28000" t="s">
        <v>32219</v>
      </c>
    </row>
    <row r="28001" spans="9:10" x14ac:dyDescent="0.3">
      <c r="I28001" t="s">
        <v>32220</v>
      </c>
    </row>
    <row r="28002" spans="9:10" x14ac:dyDescent="0.3">
      <c r="I28002" t="s">
        <v>32221</v>
      </c>
    </row>
    <row r="28003" spans="9:10" x14ac:dyDescent="0.3">
      <c r="I28003" t="s">
        <v>32222</v>
      </c>
    </row>
    <row r="28004" spans="9:10" x14ac:dyDescent="0.3">
      <c r="I28004" t="s">
        <v>32223</v>
      </c>
    </row>
    <row r="28005" spans="9:10" x14ac:dyDescent="0.3">
      <c r="I28005" t="s">
        <v>32224</v>
      </c>
    </row>
    <row r="28006" spans="9:10" x14ac:dyDescent="0.3">
      <c r="I28006" t="s">
        <v>32225</v>
      </c>
    </row>
    <row r="28007" spans="9:10" x14ac:dyDescent="0.3">
      <c r="I28007" t="s">
        <v>32226</v>
      </c>
    </row>
    <row r="28008" spans="9:10" x14ac:dyDescent="0.3">
      <c r="I28008" t="s">
        <v>32227</v>
      </c>
    </row>
    <row r="28009" spans="9:10" x14ac:dyDescent="0.3">
      <c r="I28009" t="s">
        <v>32228</v>
      </c>
    </row>
    <row r="28010" spans="9:10" x14ac:dyDescent="0.3">
      <c r="I28010" t="s">
        <v>32229</v>
      </c>
    </row>
    <row r="28011" spans="9:10" x14ac:dyDescent="0.3">
      <c r="I28011" t="s">
        <v>32230</v>
      </c>
    </row>
    <row r="28012" spans="9:10" x14ac:dyDescent="0.3">
      <c r="I28012" t="s">
        <v>32231</v>
      </c>
    </row>
    <row r="28013" spans="9:10" x14ac:dyDescent="0.3">
      <c r="I28013" t="s">
        <v>32232</v>
      </c>
    </row>
    <row r="28014" spans="9:10" x14ac:dyDescent="0.3">
      <c r="I28014" t="s">
        <v>32233</v>
      </c>
    </row>
    <row r="28015" spans="9:10" x14ac:dyDescent="0.3">
      <c r="I28015" t="s">
        <v>32234</v>
      </c>
      <c r="J28015" t="s">
        <v>9067</v>
      </c>
    </row>
    <row r="28016" spans="9:10" x14ac:dyDescent="0.3">
      <c r="I28016" t="s">
        <v>32235</v>
      </c>
      <c r="J28016" t="s">
        <v>9068</v>
      </c>
    </row>
    <row r="28017" spans="9:10" x14ac:dyDescent="0.3">
      <c r="I28017" t="s">
        <v>32236</v>
      </c>
      <c r="J28017" t="s">
        <v>9069</v>
      </c>
    </row>
    <row r="28018" spans="9:10" x14ac:dyDescent="0.3">
      <c r="I28018" t="s">
        <v>32237</v>
      </c>
      <c r="J28018" t="s">
        <v>9070</v>
      </c>
    </row>
    <row r="28019" spans="9:10" x14ac:dyDescent="0.3">
      <c r="I28019" t="s">
        <v>32238</v>
      </c>
      <c r="J28019" t="s">
        <v>9071</v>
      </c>
    </row>
    <row r="28020" spans="9:10" x14ac:dyDescent="0.3">
      <c r="I28020" t="s">
        <v>32239</v>
      </c>
      <c r="J28020" t="s">
        <v>9071</v>
      </c>
    </row>
    <row r="28021" spans="9:10" x14ac:dyDescent="0.3">
      <c r="I28021" t="s">
        <v>32240</v>
      </c>
      <c r="J28021" t="s">
        <v>9071</v>
      </c>
    </row>
    <row r="28022" spans="9:10" x14ac:dyDescent="0.3">
      <c r="I28022" t="s">
        <v>32241</v>
      </c>
      <c r="J28022" t="s">
        <v>9072</v>
      </c>
    </row>
    <row r="28023" spans="9:10" x14ac:dyDescent="0.3">
      <c r="I28023" t="s">
        <v>32242</v>
      </c>
    </row>
    <row r="28024" spans="9:10" x14ac:dyDescent="0.3">
      <c r="I28024" t="s">
        <v>32243</v>
      </c>
    </row>
    <row r="28025" spans="9:10" x14ac:dyDescent="0.3">
      <c r="I28025" t="s">
        <v>32243</v>
      </c>
    </row>
    <row r="28026" spans="9:10" x14ac:dyDescent="0.3">
      <c r="I28026" t="s">
        <v>32244</v>
      </c>
    </row>
    <row r="28027" spans="9:10" x14ac:dyDescent="0.3">
      <c r="I28027" t="s">
        <v>32245</v>
      </c>
    </row>
    <row r="28028" spans="9:10" x14ac:dyDescent="0.3">
      <c r="I28028" t="s">
        <v>32246</v>
      </c>
    </row>
    <row r="28029" spans="9:10" x14ac:dyDescent="0.3">
      <c r="I28029" t="s">
        <v>32247</v>
      </c>
    </row>
    <row r="28030" spans="9:10" x14ac:dyDescent="0.3">
      <c r="I28030" t="s">
        <v>32248</v>
      </c>
    </row>
    <row r="28031" spans="9:10" x14ac:dyDescent="0.3">
      <c r="I28031" t="s">
        <v>32249</v>
      </c>
    </row>
    <row r="28032" spans="9:10" x14ac:dyDescent="0.3">
      <c r="I28032" t="s">
        <v>32250</v>
      </c>
    </row>
    <row r="28033" spans="9:10" x14ac:dyDescent="0.3">
      <c r="I28033" t="s">
        <v>32251</v>
      </c>
    </row>
    <row r="28034" spans="9:10" x14ac:dyDescent="0.3">
      <c r="I28034" t="s">
        <v>32252</v>
      </c>
      <c r="J28034" t="s">
        <v>9073</v>
      </c>
    </row>
    <row r="28035" spans="9:10" x14ac:dyDescent="0.3">
      <c r="I28035" t="s">
        <v>32253</v>
      </c>
      <c r="J28035" t="s">
        <v>9074</v>
      </c>
    </row>
    <row r="28036" spans="9:10" x14ac:dyDescent="0.3">
      <c r="I28036" t="s">
        <v>32254</v>
      </c>
      <c r="J28036" t="s">
        <v>9075</v>
      </c>
    </row>
    <row r="28037" spans="9:10" x14ac:dyDescent="0.3">
      <c r="I28037" t="s">
        <v>32255</v>
      </c>
      <c r="J28037" t="s">
        <v>9076</v>
      </c>
    </row>
    <row r="28038" spans="9:10" x14ac:dyDescent="0.3">
      <c r="I28038" t="s">
        <v>32256</v>
      </c>
      <c r="J28038" t="s">
        <v>9077</v>
      </c>
    </row>
    <row r="28039" spans="9:10" x14ac:dyDescent="0.3">
      <c r="I28039" t="s">
        <v>32257</v>
      </c>
    </row>
    <row r="28040" spans="9:10" x14ac:dyDescent="0.3">
      <c r="I28040" t="s">
        <v>32258</v>
      </c>
    </row>
    <row r="28041" spans="9:10" x14ac:dyDescent="0.3">
      <c r="I28041" t="s">
        <v>32259</v>
      </c>
      <c r="J28041" t="s">
        <v>187</v>
      </c>
    </row>
    <row r="28042" spans="9:10" x14ac:dyDescent="0.3">
      <c r="I28042" t="s">
        <v>32260</v>
      </c>
    </row>
    <row r="28043" spans="9:10" x14ac:dyDescent="0.3">
      <c r="I28043" t="s">
        <v>32261</v>
      </c>
    </row>
    <row r="28044" spans="9:10" x14ac:dyDescent="0.3">
      <c r="I28044" t="s">
        <v>32262</v>
      </c>
    </row>
    <row r="28045" spans="9:10" x14ac:dyDescent="0.3">
      <c r="I28045" t="s">
        <v>32263</v>
      </c>
      <c r="J28045" t="s">
        <v>9078</v>
      </c>
    </row>
    <row r="28046" spans="9:10" x14ac:dyDescent="0.3">
      <c r="I28046" t="s">
        <v>32264</v>
      </c>
      <c r="J28046" t="s">
        <v>9079</v>
      </c>
    </row>
    <row r="28047" spans="9:10" x14ac:dyDescent="0.3">
      <c r="I28047" t="s">
        <v>32265</v>
      </c>
    </row>
    <row r="28048" spans="9:10" x14ac:dyDescent="0.3">
      <c r="I28048" t="s">
        <v>32266</v>
      </c>
    </row>
    <row r="28049" spans="9:10" x14ac:dyDescent="0.3">
      <c r="I28049" t="s">
        <v>32267</v>
      </c>
    </row>
    <row r="28050" spans="9:10" x14ac:dyDescent="0.3">
      <c r="I28050" t="s">
        <v>32268</v>
      </c>
    </row>
    <row r="28051" spans="9:10" x14ac:dyDescent="0.3">
      <c r="I28051" t="s">
        <v>32269</v>
      </c>
    </row>
    <row r="28052" spans="9:10" x14ac:dyDescent="0.3">
      <c r="I28052" t="s">
        <v>32270</v>
      </c>
    </row>
    <row r="28053" spans="9:10" x14ac:dyDescent="0.3">
      <c r="I28053" t="s">
        <v>32271</v>
      </c>
    </row>
    <row r="28054" spans="9:10" x14ac:dyDescent="0.3">
      <c r="I28054" t="s">
        <v>32272</v>
      </c>
    </row>
    <row r="28055" spans="9:10" x14ac:dyDescent="0.3">
      <c r="I28055" t="s">
        <v>32273</v>
      </c>
    </row>
    <row r="28056" spans="9:10" x14ac:dyDescent="0.3">
      <c r="I28056" t="s">
        <v>32274</v>
      </c>
    </row>
    <row r="28057" spans="9:10" x14ac:dyDescent="0.3">
      <c r="I28057" t="s">
        <v>32275</v>
      </c>
      <c r="J28057" t="s">
        <v>9080</v>
      </c>
    </row>
    <row r="28058" spans="9:10" x14ac:dyDescent="0.3">
      <c r="I28058" t="s">
        <v>32276</v>
      </c>
    </row>
    <row r="28059" spans="9:10" x14ac:dyDescent="0.3">
      <c r="I28059" t="s">
        <v>32277</v>
      </c>
    </row>
    <row r="28060" spans="9:10" x14ac:dyDescent="0.3">
      <c r="I28060" t="s">
        <v>32278</v>
      </c>
    </row>
    <row r="28061" spans="9:10" x14ac:dyDescent="0.3">
      <c r="I28061" t="s">
        <v>32279</v>
      </c>
    </row>
    <row r="28062" spans="9:10" x14ac:dyDescent="0.3">
      <c r="I28062" t="s">
        <v>32280</v>
      </c>
    </row>
    <row r="28063" spans="9:10" x14ac:dyDescent="0.3">
      <c r="I28063" t="s">
        <v>32281</v>
      </c>
    </row>
    <row r="28064" spans="9:10" x14ac:dyDescent="0.3">
      <c r="I28064" t="s">
        <v>32282</v>
      </c>
    </row>
    <row r="28065" spans="9:9" x14ac:dyDescent="0.3">
      <c r="I28065" t="s">
        <v>32283</v>
      </c>
    </row>
    <row r="28066" spans="9:9" x14ac:dyDescent="0.3">
      <c r="I28066" t="s">
        <v>32284</v>
      </c>
    </row>
    <row r="28067" spans="9:9" x14ac:dyDescent="0.3">
      <c r="I28067" t="s">
        <v>32285</v>
      </c>
    </row>
    <row r="28068" spans="9:9" x14ac:dyDescent="0.3">
      <c r="I28068" t="s">
        <v>32286</v>
      </c>
    </row>
    <row r="28069" spans="9:9" x14ac:dyDescent="0.3">
      <c r="I28069" t="s">
        <v>32287</v>
      </c>
    </row>
    <row r="28070" spans="9:9" x14ac:dyDescent="0.3">
      <c r="I28070" t="s">
        <v>32288</v>
      </c>
    </row>
    <row r="28071" spans="9:9" x14ac:dyDescent="0.3">
      <c r="I28071" t="s">
        <v>32289</v>
      </c>
    </row>
    <row r="28072" spans="9:9" x14ac:dyDescent="0.3">
      <c r="I28072" t="s">
        <v>32290</v>
      </c>
    </row>
    <row r="28073" spans="9:9" x14ac:dyDescent="0.3">
      <c r="I28073" t="s">
        <v>32291</v>
      </c>
    </row>
    <row r="28074" spans="9:9" x14ac:dyDescent="0.3">
      <c r="I28074" t="s">
        <v>32292</v>
      </c>
    </row>
    <row r="28075" spans="9:9" x14ac:dyDescent="0.3">
      <c r="I28075" t="s">
        <v>32293</v>
      </c>
    </row>
    <row r="28076" spans="9:9" x14ac:dyDescent="0.3">
      <c r="I28076" t="s">
        <v>32294</v>
      </c>
    </row>
    <row r="28077" spans="9:9" x14ac:dyDescent="0.3">
      <c r="I28077" t="s">
        <v>32295</v>
      </c>
    </row>
    <row r="28078" spans="9:9" x14ac:dyDescent="0.3">
      <c r="I28078" t="s">
        <v>32296</v>
      </c>
    </row>
    <row r="28079" spans="9:9" x14ac:dyDescent="0.3">
      <c r="I28079" t="s">
        <v>32297</v>
      </c>
    </row>
    <row r="28080" spans="9:9" x14ac:dyDescent="0.3">
      <c r="I28080" t="s">
        <v>32298</v>
      </c>
    </row>
    <row r="28081" spans="9:10" x14ac:dyDescent="0.3">
      <c r="I28081" t="s">
        <v>32299</v>
      </c>
    </row>
    <row r="28082" spans="9:10" x14ac:dyDescent="0.3">
      <c r="I28082" t="s">
        <v>32300</v>
      </c>
    </row>
    <row r="28083" spans="9:10" x14ac:dyDescent="0.3">
      <c r="I28083" t="s">
        <v>32301</v>
      </c>
    </row>
    <row r="28084" spans="9:10" x14ac:dyDescent="0.3">
      <c r="I28084" t="s">
        <v>32302</v>
      </c>
    </row>
    <row r="28085" spans="9:10" x14ac:dyDescent="0.3">
      <c r="I28085" t="s">
        <v>32303</v>
      </c>
      <c r="J28085" t="s">
        <v>9081</v>
      </c>
    </row>
    <row r="28086" spans="9:10" x14ac:dyDescent="0.3">
      <c r="I28086" t="s">
        <v>32304</v>
      </c>
      <c r="J28086" t="s">
        <v>9081</v>
      </c>
    </row>
    <row r="28087" spans="9:10" x14ac:dyDescent="0.3">
      <c r="I28087" t="s">
        <v>32305</v>
      </c>
      <c r="J28087" t="s">
        <v>9082</v>
      </c>
    </row>
    <row r="28088" spans="9:10" x14ac:dyDescent="0.3">
      <c r="I28088" t="s">
        <v>32306</v>
      </c>
    </row>
    <row r="28089" spans="9:10" x14ac:dyDescent="0.3">
      <c r="I28089" t="s">
        <v>32307</v>
      </c>
    </row>
    <row r="28090" spans="9:10" x14ac:dyDescent="0.3">
      <c r="I28090" t="s">
        <v>32308</v>
      </c>
    </row>
    <row r="28091" spans="9:10" x14ac:dyDescent="0.3">
      <c r="I28091" t="s">
        <v>32309</v>
      </c>
    </row>
    <row r="28092" spans="9:10" x14ac:dyDescent="0.3">
      <c r="I28092" t="s">
        <v>32310</v>
      </c>
    </row>
    <row r="28093" spans="9:10" x14ac:dyDescent="0.3">
      <c r="I28093" t="s">
        <v>32311</v>
      </c>
      <c r="J28093" t="s">
        <v>528</v>
      </c>
    </row>
    <row r="28094" spans="9:10" x14ac:dyDescent="0.3">
      <c r="I28094" t="s">
        <v>32312</v>
      </c>
      <c r="J28094" t="s">
        <v>9083</v>
      </c>
    </row>
    <row r="28095" spans="9:10" x14ac:dyDescent="0.3">
      <c r="I28095" t="s">
        <v>32313</v>
      </c>
    </row>
    <row r="28096" spans="9:10" x14ac:dyDescent="0.3">
      <c r="I28096" t="s">
        <v>32314</v>
      </c>
    </row>
    <row r="28097" spans="9:10" x14ac:dyDescent="0.3">
      <c r="I28097" t="s">
        <v>32315</v>
      </c>
    </row>
    <row r="28098" spans="9:10" x14ac:dyDescent="0.3">
      <c r="I28098" t="s">
        <v>32316</v>
      </c>
    </row>
    <row r="28099" spans="9:10" x14ac:dyDescent="0.3">
      <c r="I28099" t="s">
        <v>32317</v>
      </c>
    </row>
    <row r="28100" spans="9:10" x14ac:dyDescent="0.3">
      <c r="I28100" t="s">
        <v>32318</v>
      </c>
    </row>
    <row r="28101" spans="9:10" x14ac:dyDescent="0.3">
      <c r="I28101" t="s">
        <v>32319</v>
      </c>
    </row>
    <row r="28102" spans="9:10" x14ac:dyDescent="0.3">
      <c r="I28102" t="s">
        <v>32320</v>
      </c>
    </row>
    <row r="28103" spans="9:10" x14ac:dyDescent="0.3">
      <c r="I28103" t="s">
        <v>32321</v>
      </c>
      <c r="J28103" t="s">
        <v>9084</v>
      </c>
    </row>
    <row r="28104" spans="9:10" x14ac:dyDescent="0.3">
      <c r="I28104" t="s">
        <v>32322</v>
      </c>
      <c r="J28104" t="s">
        <v>658</v>
      </c>
    </row>
    <row r="28105" spans="9:10" x14ac:dyDescent="0.3">
      <c r="I28105" t="s">
        <v>32323</v>
      </c>
      <c r="J28105" t="s">
        <v>9085</v>
      </c>
    </row>
    <row r="28106" spans="9:10" x14ac:dyDescent="0.3">
      <c r="I28106" t="s">
        <v>32324</v>
      </c>
      <c r="J28106" t="s">
        <v>9086</v>
      </c>
    </row>
    <row r="28107" spans="9:10" x14ac:dyDescent="0.3">
      <c r="I28107" t="s">
        <v>32325</v>
      </c>
      <c r="J28107" t="s">
        <v>9087</v>
      </c>
    </row>
    <row r="28108" spans="9:10" x14ac:dyDescent="0.3">
      <c r="I28108" t="s">
        <v>32326</v>
      </c>
      <c r="J28108" t="s">
        <v>9088</v>
      </c>
    </row>
    <row r="28109" spans="9:10" x14ac:dyDescent="0.3">
      <c r="I28109" t="s">
        <v>32327</v>
      </c>
      <c r="J28109" t="s">
        <v>9089</v>
      </c>
    </row>
    <row r="28110" spans="9:10" x14ac:dyDescent="0.3">
      <c r="I28110" t="s">
        <v>32328</v>
      </c>
      <c r="J28110" t="s">
        <v>9090</v>
      </c>
    </row>
    <row r="28111" spans="9:10" x14ac:dyDescent="0.3">
      <c r="I28111" t="s">
        <v>32329</v>
      </c>
      <c r="J28111" t="s">
        <v>9091</v>
      </c>
    </row>
    <row r="28112" spans="9:10" x14ac:dyDescent="0.3">
      <c r="I28112" t="s">
        <v>32330</v>
      </c>
      <c r="J28112" t="s">
        <v>9092</v>
      </c>
    </row>
    <row r="28113" spans="9:10" x14ac:dyDescent="0.3">
      <c r="I28113" t="s">
        <v>32331</v>
      </c>
    </row>
    <row r="28114" spans="9:10" x14ac:dyDescent="0.3">
      <c r="I28114" t="s">
        <v>32332</v>
      </c>
    </row>
    <row r="28115" spans="9:10" x14ac:dyDescent="0.3">
      <c r="I28115" t="s">
        <v>32333</v>
      </c>
    </row>
    <row r="28116" spans="9:10" x14ac:dyDescent="0.3">
      <c r="I28116" t="s">
        <v>32334</v>
      </c>
    </row>
    <row r="28117" spans="9:10" x14ac:dyDescent="0.3">
      <c r="I28117" t="s">
        <v>32335</v>
      </c>
    </row>
    <row r="28118" spans="9:10" x14ac:dyDescent="0.3">
      <c r="I28118" t="s">
        <v>32336</v>
      </c>
    </row>
    <row r="28119" spans="9:10" x14ac:dyDescent="0.3">
      <c r="I28119" t="s">
        <v>32337</v>
      </c>
    </row>
    <row r="28120" spans="9:10" x14ac:dyDescent="0.3">
      <c r="I28120" t="s">
        <v>32338</v>
      </c>
      <c r="J28120" t="s">
        <v>9093</v>
      </c>
    </row>
    <row r="28121" spans="9:10" x14ac:dyDescent="0.3">
      <c r="I28121" t="s">
        <v>32339</v>
      </c>
      <c r="J28121" t="s">
        <v>9094</v>
      </c>
    </row>
    <row r="28122" spans="9:10" x14ac:dyDescent="0.3">
      <c r="I28122" t="s">
        <v>32340</v>
      </c>
    </row>
    <row r="28123" spans="9:10" x14ac:dyDescent="0.3">
      <c r="I28123" t="s">
        <v>32341</v>
      </c>
    </row>
    <row r="28124" spans="9:10" x14ac:dyDescent="0.3">
      <c r="I28124" t="s">
        <v>32342</v>
      </c>
    </row>
    <row r="28125" spans="9:10" x14ac:dyDescent="0.3">
      <c r="I28125" t="s">
        <v>32343</v>
      </c>
    </row>
    <row r="28126" spans="9:10" x14ac:dyDescent="0.3">
      <c r="I28126" t="s">
        <v>32344</v>
      </c>
    </row>
    <row r="28127" spans="9:10" x14ac:dyDescent="0.3">
      <c r="I28127" t="s">
        <v>32345</v>
      </c>
    </row>
    <row r="28128" spans="9:10" x14ac:dyDescent="0.3">
      <c r="I28128" t="s">
        <v>32346</v>
      </c>
    </row>
    <row r="28129" spans="9:10" x14ac:dyDescent="0.3">
      <c r="I28129" t="s">
        <v>32347</v>
      </c>
    </row>
    <row r="28130" spans="9:10" x14ac:dyDescent="0.3">
      <c r="I28130" t="s">
        <v>32348</v>
      </c>
    </row>
    <row r="28131" spans="9:10" x14ac:dyDescent="0.3">
      <c r="I28131" t="s">
        <v>32349</v>
      </c>
    </row>
    <row r="28132" spans="9:10" x14ac:dyDescent="0.3">
      <c r="I28132" t="s">
        <v>32350</v>
      </c>
      <c r="J28132" t="s">
        <v>192</v>
      </c>
    </row>
    <row r="28133" spans="9:10" x14ac:dyDescent="0.3">
      <c r="I28133" t="s">
        <v>32351</v>
      </c>
    </row>
    <row r="28134" spans="9:10" x14ac:dyDescent="0.3">
      <c r="I28134" t="s">
        <v>32352</v>
      </c>
    </row>
    <row r="28135" spans="9:10" x14ac:dyDescent="0.3">
      <c r="I28135" t="s">
        <v>32353</v>
      </c>
    </row>
    <row r="28136" spans="9:10" x14ac:dyDescent="0.3">
      <c r="I28136" t="s">
        <v>32354</v>
      </c>
    </row>
    <row r="28137" spans="9:10" x14ac:dyDescent="0.3">
      <c r="I28137" t="s">
        <v>32355</v>
      </c>
    </row>
    <row r="28138" spans="9:10" x14ac:dyDescent="0.3">
      <c r="I28138" t="s">
        <v>32356</v>
      </c>
    </row>
    <row r="28139" spans="9:10" x14ac:dyDescent="0.3">
      <c r="I28139" t="s">
        <v>32357</v>
      </c>
      <c r="J28139" t="s">
        <v>9095</v>
      </c>
    </row>
    <row r="28140" spans="9:10" x14ac:dyDescent="0.3">
      <c r="I28140" t="s">
        <v>32358</v>
      </c>
      <c r="J28140" t="s">
        <v>9096</v>
      </c>
    </row>
    <row r="28141" spans="9:10" x14ac:dyDescent="0.3">
      <c r="I28141" t="s">
        <v>32359</v>
      </c>
    </row>
    <row r="28142" spans="9:10" x14ac:dyDescent="0.3">
      <c r="I28142" t="s">
        <v>32360</v>
      </c>
    </row>
    <row r="28143" spans="9:10" x14ac:dyDescent="0.3">
      <c r="I28143" t="s">
        <v>32361</v>
      </c>
    </row>
    <row r="28144" spans="9:10" x14ac:dyDescent="0.3">
      <c r="I28144" t="s">
        <v>32362</v>
      </c>
    </row>
    <row r="28145" spans="9:10" x14ac:dyDescent="0.3">
      <c r="I28145" t="s">
        <v>32363</v>
      </c>
    </row>
    <row r="28146" spans="9:10" x14ac:dyDescent="0.3">
      <c r="I28146" t="s">
        <v>32364</v>
      </c>
    </row>
    <row r="28147" spans="9:10" x14ac:dyDescent="0.3">
      <c r="I28147" t="s">
        <v>32365</v>
      </c>
    </row>
    <row r="28148" spans="9:10" x14ac:dyDescent="0.3">
      <c r="I28148" t="s">
        <v>32366</v>
      </c>
      <c r="J28148" t="s">
        <v>9097</v>
      </c>
    </row>
    <row r="28149" spans="9:10" x14ac:dyDescent="0.3">
      <c r="I28149" t="s">
        <v>32367</v>
      </c>
      <c r="J28149" t="s">
        <v>9098</v>
      </c>
    </row>
    <row r="28150" spans="9:10" x14ac:dyDescent="0.3">
      <c r="I28150" t="s">
        <v>32368</v>
      </c>
      <c r="J28150" t="s">
        <v>9099</v>
      </c>
    </row>
    <row r="28151" spans="9:10" x14ac:dyDescent="0.3">
      <c r="I28151" t="s">
        <v>32369</v>
      </c>
      <c r="J28151" t="s">
        <v>9100</v>
      </c>
    </row>
    <row r="28152" spans="9:10" x14ac:dyDescent="0.3">
      <c r="I28152" t="s">
        <v>32370</v>
      </c>
      <c r="J28152" t="s">
        <v>9100</v>
      </c>
    </row>
    <row r="28153" spans="9:10" x14ac:dyDescent="0.3">
      <c r="I28153" t="s">
        <v>32371</v>
      </c>
      <c r="J28153" t="s">
        <v>9100</v>
      </c>
    </row>
    <row r="28154" spans="9:10" x14ac:dyDescent="0.3">
      <c r="I28154" t="s">
        <v>32372</v>
      </c>
      <c r="J28154" t="s">
        <v>9101</v>
      </c>
    </row>
    <row r="28155" spans="9:10" x14ac:dyDescent="0.3">
      <c r="I28155" t="s">
        <v>32373</v>
      </c>
      <c r="J28155" t="s">
        <v>9102</v>
      </c>
    </row>
    <row r="28156" spans="9:10" x14ac:dyDescent="0.3">
      <c r="I28156" t="s">
        <v>32373</v>
      </c>
      <c r="J28156" t="s">
        <v>9102</v>
      </c>
    </row>
    <row r="28157" spans="9:10" x14ac:dyDescent="0.3">
      <c r="I28157" t="s">
        <v>32374</v>
      </c>
      <c r="J28157" t="s">
        <v>9103</v>
      </c>
    </row>
    <row r="28158" spans="9:10" x14ac:dyDescent="0.3">
      <c r="I28158" t="s">
        <v>32375</v>
      </c>
      <c r="J28158" t="s">
        <v>9104</v>
      </c>
    </row>
    <row r="28159" spans="9:10" x14ac:dyDescent="0.3">
      <c r="I28159" t="s">
        <v>32376</v>
      </c>
      <c r="J28159" t="s">
        <v>9105</v>
      </c>
    </row>
    <row r="28160" spans="9:10" x14ac:dyDescent="0.3">
      <c r="I28160" t="s">
        <v>32377</v>
      </c>
      <c r="J28160" t="s">
        <v>9106</v>
      </c>
    </row>
    <row r="28161" spans="9:10" x14ac:dyDescent="0.3">
      <c r="I28161" t="s">
        <v>32378</v>
      </c>
    </row>
    <row r="28162" spans="9:10" x14ac:dyDescent="0.3">
      <c r="I28162" t="s">
        <v>32379</v>
      </c>
    </row>
    <row r="28163" spans="9:10" x14ac:dyDescent="0.3">
      <c r="I28163" t="s">
        <v>32380</v>
      </c>
    </row>
    <row r="28164" spans="9:10" x14ac:dyDescent="0.3">
      <c r="I28164" t="s">
        <v>32381</v>
      </c>
    </row>
    <row r="28165" spans="9:10" x14ac:dyDescent="0.3">
      <c r="I28165" t="s">
        <v>32382</v>
      </c>
    </row>
    <row r="28166" spans="9:10" x14ac:dyDescent="0.3">
      <c r="I28166" t="s">
        <v>32383</v>
      </c>
      <c r="J28166" t="s">
        <v>9107</v>
      </c>
    </row>
    <row r="28167" spans="9:10" x14ac:dyDescent="0.3">
      <c r="I28167" t="s">
        <v>32384</v>
      </c>
      <c r="J28167" t="s">
        <v>9108</v>
      </c>
    </row>
    <row r="28168" spans="9:10" x14ac:dyDescent="0.3">
      <c r="I28168" t="s">
        <v>32385</v>
      </c>
    </row>
    <row r="28169" spans="9:10" x14ac:dyDescent="0.3">
      <c r="I28169" t="s">
        <v>32386</v>
      </c>
    </row>
    <row r="28170" spans="9:10" x14ac:dyDescent="0.3">
      <c r="I28170" t="s">
        <v>32387</v>
      </c>
    </row>
    <row r="28171" spans="9:10" x14ac:dyDescent="0.3">
      <c r="I28171" t="s">
        <v>32388</v>
      </c>
    </row>
    <row r="28172" spans="9:10" x14ac:dyDescent="0.3">
      <c r="I28172" t="s">
        <v>32389</v>
      </c>
    </row>
    <row r="28173" spans="9:10" x14ac:dyDescent="0.3">
      <c r="I28173" t="s">
        <v>32390</v>
      </c>
    </row>
    <row r="28174" spans="9:10" x14ac:dyDescent="0.3">
      <c r="I28174" t="s">
        <v>32391</v>
      </c>
    </row>
    <row r="28175" spans="9:10" x14ac:dyDescent="0.3">
      <c r="I28175" t="s">
        <v>32392</v>
      </c>
    </row>
    <row r="28176" spans="9:10" x14ac:dyDescent="0.3">
      <c r="I28176" t="s">
        <v>32393</v>
      </c>
    </row>
    <row r="28177" spans="9:10" x14ac:dyDescent="0.3">
      <c r="I28177" t="s">
        <v>32394</v>
      </c>
      <c r="J28177" t="s">
        <v>9109</v>
      </c>
    </row>
    <row r="28178" spans="9:10" x14ac:dyDescent="0.3">
      <c r="I28178" t="s">
        <v>32395</v>
      </c>
      <c r="J28178" t="s">
        <v>9109</v>
      </c>
    </row>
    <row r="28179" spans="9:10" x14ac:dyDescent="0.3">
      <c r="I28179" t="s">
        <v>32396</v>
      </c>
    </row>
    <row r="28180" spans="9:10" x14ac:dyDescent="0.3">
      <c r="I28180" t="s">
        <v>32397</v>
      </c>
    </row>
    <row r="28181" spans="9:10" x14ac:dyDescent="0.3">
      <c r="I28181" t="s">
        <v>32398</v>
      </c>
      <c r="J28181" t="s">
        <v>9110</v>
      </c>
    </row>
    <row r="28182" spans="9:10" x14ac:dyDescent="0.3">
      <c r="I28182" t="s">
        <v>32399</v>
      </c>
    </row>
    <row r="28183" spans="9:10" x14ac:dyDescent="0.3">
      <c r="I28183" t="s">
        <v>32400</v>
      </c>
      <c r="J28183" t="s">
        <v>9111</v>
      </c>
    </row>
    <row r="28184" spans="9:10" x14ac:dyDescent="0.3">
      <c r="I28184" t="s">
        <v>32401</v>
      </c>
    </row>
    <row r="28185" spans="9:10" x14ac:dyDescent="0.3">
      <c r="I28185" t="s">
        <v>32402</v>
      </c>
      <c r="J28185" t="s">
        <v>9112</v>
      </c>
    </row>
    <row r="28186" spans="9:10" x14ac:dyDescent="0.3">
      <c r="I28186" t="s">
        <v>32402</v>
      </c>
      <c r="J28186" t="s">
        <v>9112</v>
      </c>
    </row>
    <row r="28187" spans="9:10" x14ac:dyDescent="0.3">
      <c r="I28187" t="s">
        <v>32403</v>
      </c>
      <c r="J28187" t="s">
        <v>9113</v>
      </c>
    </row>
    <row r="28188" spans="9:10" x14ac:dyDescent="0.3">
      <c r="I28188" t="s">
        <v>32404</v>
      </c>
    </row>
    <row r="28189" spans="9:10" x14ac:dyDescent="0.3">
      <c r="I28189" t="s">
        <v>32405</v>
      </c>
    </row>
    <row r="28190" spans="9:10" x14ac:dyDescent="0.3">
      <c r="I28190" t="s">
        <v>32406</v>
      </c>
    </row>
    <row r="28191" spans="9:10" x14ac:dyDescent="0.3">
      <c r="I28191" t="s">
        <v>32407</v>
      </c>
    </row>
    <row r="28192" spans="9:10" x14ac:dyDescent="0.3">
      <c r="I28192" t="s">
        <v>32408</v>
      </c>
    </row>
    <row r="28193" spans="9:10" x14ac:dyDescent="0.3">
      <c r="I28193" t="s">
        <v>32409</v>
      </c>
    </row>
    <row r="28194" spans="9:10" x14ac:dyDescent="0.3">
      <c r="I28194" t="s">
        <v>32410</v>
      </c>
    </row>
    <row r="28195" spans="9:10" x14ac:dyDescent="0.3">
      <c r="I28195" t="s">
        <v>32411</v>
      </c>
    </row>
    <row r="28196" spans="9:10" x14ac:dyDescent="0.3">
      <c r="I28196" t="s">
        <v>32412</v>
      </c>
      <c r="J28196" t="s">
        <v>9114</v>
      </c>
    </row>
    <row r="28197" spans="9:10" x14ac:dyDescent="0.3">
      <c r="I28197" t="s">
        <v>32413</v>
      </c>
      <c r="J28197" t="s">
        <v>9115</v>
      </c>
    </row>
    <row r="28198" spans="9:10" x14ac:dyDescent="0.3">
      <c r="I28198" t="s">
        <v>32414</v>
      </c>
      <c r="J28198" t="s">
        <v>9116</v>
      </c>
    </row>
    <row r="28199" spans="9:10" x14ac:dyDescent="0.3">
      <c r="I28199" t="s">
        <v>32415</v>
      </c>
    </row>
    <row r="28200" spans="9:10" x14ac:dyDescent="0.3">
      <c r="I28200" t="s">
        <v>32416</v>
      </c>
    </row>
    <row r="28201" spans="9:10" x14ac:dyDescent="0.3">
      <c r="I28201" t="s">
        <v>32417</v>
      </c>
    </row>
    <row r="28202" spans="9:10" x14ac:dyDescent="0.3">
      <c r="I28202" t="s">
        <v>32418</v>
      </c>
    </row>
    <row r="28203" spans="9:10" x14ac:dyDescent="0.3">
      <c r="I28203" t="s">
        <v>32419</v>
      </c>
      <c r="J28203" t="s">
        <v>9117</v>
      </c>
    </row>
    <row r="28204" spans="9:10" x14ac:dyDescent="0.3">
      <c r="I28204" t="s">
        <v>32420</v>
      </c>
      <c r="J28204" t="s">
        <v>9118</v>
      </c>
    </row>
    <row r="28205" spans="9:10" x14ac:dyDescent="0.3">
      <c r="I28205" t="s">
        <v>32421</v>
      </c>
    </row>
    <row r="28206" spans="9:10" x14ac:dyDescent="0.3">
      <c r="I28206" t="s">
        <v>32422</v>
      </c>
    </row>
    <row r="28207" spans="9:10" x14ac:dyDescent="0.3">
      <c r="I28207" t="s">
        <v>32423</v>
      </c>
    </row>
    <row r="28208" spans="9:10" x14ac:dyDescent="0.3">
      <c r="I28208" t="s">
        <v>32424</v>
      </c>
    </row>
    <row r="28209" spans="9:10" x14ac:dyDescent="0.3">
      <c r="I28209" t="s">
        <v>32425</v>
      </c>
    </row>
    <row r="28210" spans="9:10" x14ac:dyDescent="0.3">
      <c r="I28210" t="s">
        <v>32426</v>
      </c>
    </row>
    <row r="28211" spans="9:10" x14ac:dyDescent="0.3">
      <c r="I28211" t="s">
        <v>32427</v>
      </c>
    </row>
    <row r="28212" spans="9:10" x14ac:dyDescent="0.3">
      <c r="I28212" t="s">
        <v>32428</v>
      </c>
    </row>
    <row r="28213" spans="9:10" x14ac:dyDescent="0.3">
      <c r="I28213" t="s">
        <v>32429</v>
      </c>
    </row>
    <row r="28214" spans="9:10" x14ac:dyDescent="0.3">
      <c r="I28214" t="s">
        <v>32429</v>
      </c>
    </row>
    <row r="28215" spans="9:10" x14ac:dyDescent="0.3">
      <c r="I28215" t="s">
        <v>32430</v>
      </c>
    </row>
    <row r="28216" spans="9:10" x14ac:dyDescent="0.3">
      <c r="I28216" t="s">
        <v>32431</v>
      </c>
    </row>
    <row r="28217" spans="9:10" x14ac:dyDescent="0.3">
      <c r="I28217" t="s">
        <v>32432</v>
      </c>
    </row>
    <row r="28218" spans="9:10" x14ac:dyDescent="0.3">
      <c r="I28218" t="s">
        <v>32433</v>
      </c>
    </row>
    <row r="28219" spans="9:10" x14ac:dyDescent="0.3">
      <c r="I28219" t="s">
        <v>32434</v>
      </c>
    </row>
    <row r="28220" spans="9:10" x14ac:dyDescent="0.3">
      <c r="I28220" t="s">
        <v>32434</v>
      </c>
    </row>
    <row r="28221" spans="9:10" x14ac:dyDescent="0.3">
      <c r="I28221" t="s">
        <v>32435</v>
      </c>
      <c r="J28221" t="s">
        <v>318</v>
      </c>
    </row>
    <row r="28222" spans="9:10" x14ac:dyDescent="0.3">
      <c r="I28222" t="s">
        <v>32436</v>
      </c>
      <c r="J28222" t="s">
        <v>318</v>
      </c>
    </row>
    <row r="28223" spans="9:10" x14ac:dyDescent="0.3">
      <c r="I28223" t="s">
        <v>32437</v>
      </c>
      <c r="J28223" t="s">
        <v>318</v>
      </c>
    </row>
    <row r="28224" spans="9:10" x14ac:dyDescent="0.3">
      <c r="I28224" t="s">
        <v>32438</v>
      </c>
    </row>
    <row r="28225" spans="9:10" x14ac:dyDescent="0.3">
      <c r="I28225" t="s">
        <v>32439</v>
      </c>
    </row>
    <row r="28226" spans="9:10" x14ac:dyDescent="0.3">
      <c r="I28226" t="s">
        <v>32440</v>
      </c>
    </row>
    <row r="28227" spans="9:10" x14ac:dyDescent="0.3">
      <c r="I28227" t="s">
        <v>32441</v>
      </c>
    </row>
    <row r="28228" spans="9:10" x14ac:dyDescent="0.3">
      <c r="I28228" t="s">
        <v>32442</v>
      </c>
    </row>
    <row r="28229" spans="9:10" x14ac:dyDescent="0.3">
      <c r="I28229" t="s">
        <v>32443</v>
      </c>
    </row>
    <row r="28230" spans="9:10" x14ac:dyDescent="0.3">
      <c r="I28230" t="s">
        <v>32444</v>
      </c>
    </row>
    <row r="28231" spans="9:10" x14ac:dyDescent="0.3">
      <c r="I28231" t="s">
        <v>32445</v>
      </c>
    </row>
    <row r="28232" spans="9:10" x14ac:dyDescent="0.3">
      <c r="I28232" t="s">
        <v>32446</v>
      </c>
    </row>
    <row r="28233" spans="9:10" x14ac:dyDescent="0.3">
      <c r="I28233" t="s">
        <v>32447</v>
      </c>
    </row>
    <row r="28234" spans="9:10" x14ac:dyDescent="0.3">
      <c r="I28234" t="s">
        <v>32448</v>
      </c>
    </row>
    <row r="28235" spans="9:10" x14ac:dyDescent="0.3">
      <c r="I28235" t="s">
        <v>32449</v>
      </c>
    </row>
    <row r="28236" spans="9:10" x14ac:dyDescent="0.3">
      <c r="I28236" t="s">
        <v>32450</v>
      </c>
    </row>
    <row r="28237" spans="9:10" x14ac:dyDescent="0.3">
      <c r="I28237" t="s">
        <v>32451</v>
      </c>
    </row>
    <row r="28238" spans="9:10" x14ac:dyDescent="0.3">
      <c r="I28238" t="s">
        <v>32452</v>
      </c>
      <c r="J28238" t="s">
        <v>317</v>
      </c>
    </row>
    <row r="28239" spans="9:10" x14ac:dyDescent="0.3">
      <c r="I28239" t="s">
        <v>32452</v>
      </c>
      <c r="J28239" t="s">
        <v>317</v>
      </c>
    </row>
    <row r="28240" spans="9:10" x14ac:dyDescent="0.3">
      <c r="I28240" t="s">
        <v>32453</v>
      </c>
      <c r="J28240" t="s">
        <v>317</v>
      </c>
    </row>
    <row r="28241" spans="9:10" x14ac:dyDescent="0.3">
      <c r="I28241" t="s">
        <v>18904</v>
      </c>
      <c r="J28241" t="s">
        <v>4962</v>
      </c>
    </row>
    <row r="28242" spans="9:10" x14ac:dyDescent="0.3">
      <c r="I28242" t="s">
        <v>18904</v>
      </c>
      <c r="J28242" t="s">
        <v>4962</v>
      </c>
    </row>
    <row r="28243" spans="9:10" x14ac:dyDescent="0.3">
      <c r="I28243" t="s">
        <v>18904</v>
      </c>
      <c r="J28243" t="s">
        <v>4962</v>
      </c>
    </row>
    <row r="28244" spans="9:10" x14ac:dyDescent="0.3">
      <c r="I28244" t="s">
        <v>18904</v>
      </c>
      <c r="J28244" t="s">
        <v>4962</v>
      </c>
    </row>
    <row r="28245" spans="9:10" x14ac:dyDescent="0.3">
      <c r="I28245" t="s">
        <v>32454</v>
      </c>
      <c r="J28245" t="s">
        <v>9119</v>
      </c>
    </row>
    <row r="28246" spans="9:10" x14ac:dyDescent="0.3">
      <c r="I28246" t="s">
        <v>32455</v>
      </c>
      <c r="J28246" t="s">
        <v>9120</v>
      </c>
    </row>
    <row r="28247" spans="9:10" x14ac:dyDescent="0.3">
      <c r="I28247" t="s">
        <v>32456</v>
      </c>
      <c r="J28247" t="s">
        <v>186</v>
      </c>
    </row>
    <row r="28248" spans="9:10" x14ac:dyDescent="0.3">
      <c r="I28248" t="s">
        <v>32456</v>
      </c>
      <c r="J28248" t="s">
        <v>186</v>
      </c>
    </row>
    <row r="28249" spans="9:10" x14ac:dyDescent="0.3">
      <c r="I28249" t="s">
        <v>32457</v>
      </c>
    </row>
    <row r="28250" spans="9:10" x14ac:dyDescent="0.3">
      <c r="I28250" t="s">
        <v>32458</v>
      </c>
    </row>
    <row r="28251" spans="9:10" x14ac:dyDescent="0.3">
      <c r="I28251" t="s">
        <v>32459</v>
      </c>
    </row>
    <row r="28252" spans="9:10" x14ac:dyDescent="0.3">
      <c r="I28252" t="s">
        <v>32460</v>
      </c>
    </row>
    <row r="28253" spans="9:10" x14ac:dyDescent="0.3">
      <c r="I28253" t="s">
        <v>32461</v>
      </c>
    </row>
    <row r="28254" spans="9:10" x14ac:dyDescent="0.3">
      <c r="I28254" t="s">
        <v>32462</v>
      </c>
    </row>
    <row r="28255" spans="9:10" x14ac:dyDescent="0.3">
      <c r="I28255" t="s">
        <v>32463</v>
      </c>
    </row>
    <row r="28256" spans="9:10" x14ac:dyDescent="0.3">
      <c r="I28256" t="s">
        <v>32464</v>
      </c>
      <c r="J28256" t="s">
        <v>9121</v>
      </c>
    </row>
    <row r="28257" spans="9:10" x14ac:dyDescent="0.3">
      <c r="I28257" t="s">
        <v>32465</v>
      </c>
    </row>
    <row r="28258" spans="9:10" x14ac:dyDescent="0.3">
      <c r="I28258" t="s">
        <v>32466</v>
      </c>
    </row>
    <row r="28259" spans="9:10" x14ac:dyDescent="0.3">
      <c r="I28259" t="s">
        <v>32467</v>
      </c>
    </row>
    <row r="28260" spans="9:10" x14ac:dyDescent="0.3">
      <c r="I28260" t="s">
        <v>32468</v>
      </c>
      <c r="J28260" t="s">
        <v>9122</v>
      </c>
    </row>
    <row r="28261" spans="9:10" x14ac:dyDescent="0.3">
      <c r="I28261" t="s">
        <v>32469</v>
      </c>
      <c r="J28261" t="s">
        <v>9123</v>
      </c>
    </row>
    <row r="28262" spans="9:10" x14ac:dyDescent="0.3">
      <c r="I28262" t="s">
        <v>32470</v>
      </c>
      <c r="J28262" t="s">
        <v>9124</v>
      </c>
    </row>
    <row r="28263" spans="9:10" x14ac:dyDescent="0.3">
      <c r="I28263" t="s">
        <v>32470</v>
      </c>
      <c r="J28263" t="s">
        <v>9124</v>
      </c>
    </row>
    <row r="28264" spans="9:10" x14ac:dyDescent="0.3">
      <c r="I28264" t="s">
        <v>32471</v>
      </c>
      <c r="J28264" t="s">
        <v>9125</v>
      </c>
    </row>
    <row r="28265" spans="9:10" x14ac:dyDescent="0.3">
      <c r="I28265" t="s">
        <v>32472</v>
      </c>
      <c r="J28265" t="s">
        <v>9126</v>
      </c>
    </row>
    <row r="28266" spans="9:10" x14ac:dyDescent="0.3">
      <c r="I28266" t="s">
        <v>32473</v>
      </c>
      <c r="J28266" t="s">
        <v>9126</v>
      </c>
    </row>
    <row r="28267" spans="9:10" x14ac:dyDescent="0.3">
      <c r="I28267" t="s">
        <v>32474</v>
      </c>
    </row>
    <row r="28268" spans="9:10" x14ac:dyDescent="0.3">
      <c r="I28268" t="s">
        <v>32475</v>
      </c>
      <c r="J28268" t="s">
        <v>504</v>
      </c>
    </row>
    <row r="28269" spans="9:10" x14ac:dyDescent="0.3">
      <c r="I28269" t="s">
        <v>448</v>
      </c>
      <c r="J28269" t="s">
        <v>449</v>
      </c>
    </row>
    <row r="28270" spans="9:10" x14ac:dyDescent="0.3">
      <c r="I28270" t="s">
        <v>32476</v>
      </c>
      <c r="J28270" t="s">
        <v>9127</v>
      </c>
    </row>
    <row r="28271" spans="9:10" x14ac:dyDescent="0.3">
      <c r="I28271" t="s">
        <v>32477</v>
      </c>
      <c r="J28271" t="s">
        <v>9127</v>
      </c>
    </row>
    <row r="28272" spans="9:10" x14ac:dyDescent="0.3">
      <c r="I28272" t="s">
        <v>32478</v>
      </c>
      <c r="J28272" t="s">
        <v>9127</v>
      </c>
    </row>
    <row r="28273" spans="9:10" x14ac:dyDescent="0.3">
      <c r="I28273" t="s">
        <v>32479</v>
      </c>
      <c r="J28273" t="s">
        <v>9127</v>
      </c>
    </row>
    <row r="28274" spans="9:10" x14ac:dyDescent="0.3">
      <c r="I28274" t="s">
        <v>32480</v>
      </c>
      <c r="J28274" t="s">
        <v>9128</v>
      </c>
    </row>
    <row r="28275" spans="9:10" x14ac:dyDescent="0.3">
      <c r="I28275" t="s">
        <v>32481</v>
      </c>
      <c r="J28275" t="s">
        <v>9129</v>
      </c>
    </row>
    <row r="28276" spans="9:10" x14ac:dyDescent="0.3">
      <c r="I28276" t="s">
        <v>32482</v>
      </c>
    </row>
    <row r="28277" spans="9:10" x14ac:dyDescent="0.3">
      <c r="I28277" t="s">
        <v>32483</v>
      </c>
    </row>
    <row r="28278" spans="9:10" x14ac:dyDescent="0.3">
      <c r="I28278" t="s">
        <v>32484</v>
      </c>
    </row>
    <row r="28279" spans="9:10" x14ac:dyDescent="0.3">
      <c r="I28279" t="s">
        <v>32485</v>
      </c>
    </row>
    <row r="28280" spans="9:10" x14ac:dyDescent="0.3">
      <c r="I28280" t="s">
        <v>32486</v>
      </c>
    </row>
    <row r="28281" spans="9:10" x14ac:dyDescent="0.3">
      <c r="I28281" t="s">
        <v>32487</v>
      </c>
    </row>
    <row r="28282" spans="9:10" x14ac:dyDescent="0.3">
      <c r="I28282" t="s">
        <v>32488</v>
      </c>
    </row>
    <row r="28283" spans="9:10" x14ac:dyDescent="0.3">
      <c r="I28283" t="s">
        <v>32489</v>
      </c>
    </row>
    <row r="28284" spans="9:10" x14ac:dyDescent="0.3">
      <c r="I28284" t="s">
        <v>32490</v>
      </c>
    </row>
    <row r="28285" spans="9:10" x14ac:dyDescent="0.3">
      <c r="I28285" t="s">
        <v>32491</v>
      </c>
    </row>
    <row r="28286" spans="9:10" x14ac:dyDescent="0.3">
      <c r="I28286" t="s">
        <v>32492</v>
      </c>
    </row>
    <row r="28287" spans="9:10" x14ac:dyDescent="0.3">
      <c r="I28287" t="s">
        <v>32493</v>
      </c>
      <c r="J28287" t="s">
        <v>9130</v>
      </c>
    </row>
    <row r="28288" spans="9:10" x14ac:dyDescent="0.3">
      <c r="I28288" t="s">
        <v>32494</v>
      </c>
    </row>
    <row r="28289" spans="9:10" x14ac:dyDescent="0.3">
      <c r="I28289" t="s">
        <v>32495</v>
      </c>
    </row>
    <row r="28290" spans="9:10" x14ac:dyDescent="0.3">
      <c r="I28290" t="s">
        <v>32496</v>
      </c>
    </row>
    <row r="28291" spans="9:10" x14ac:dyDescent="0.3">
      <c r="I28291" t="s">
        <v>32497</v>
      </c>
      <c r="J28291" t="s">
        <v>9131</v>
      </c>
    </row>
    <row r="28292" spans="9:10" x14ac:dyDescent="0.3">
      <c r="I28292" t="s">
        <v>32497</v>
      </c>
      <c r="J28292" t="s">
        <v>9131</v>
      </c>
    </row>
    <row r="28293" spans="9:10" x14ac:dyDescent="0.3">
      <c r="I28293" t="s">
        <v>32498</v>
      </c>
      <c r="J28293" t="s">
        <v>9132</v>
      </c>
    </row>
    <row r="28294" spans="9:10" x14ac:dyDescent="0.3">
      <c r="I28294" t="s">
        <v>32499</v>
      </c>
      <c r="J28294" t="s">
        <v>9133</v>
      </c>
    </row>
    <row r="28295" spans="9:10" x14ac:dyDescent="0.3">
      <c r="I28295" t="s">
        <v>32500</v>
      </c>
      <c r="J28295" t="s">
        <v>9133</v>
      </c>
    </row>
    <row r="28296" spans="9:10" x14ac:dyDescent="0.3">
      <c r="I28296" t="s">
        <v>32501</v>
      </c>
      <c r="J28296" t="s">
        <v>9134</v>
      </c>
    </row>
    <row r="28297" spans="9:10" x14ac:dyDescent="0.3">
      <c r="I28297" t="s">
        <v>32502</v>
      </c>
    </row>
    <row r="28298" spans="9:10" x14ac:dyDescent="0.3">
      <c r="I28298" t="s">
        <v>32503</v>
      </c>
    </row>
    <row r="28299" spans="9:10" x14ac:dyDescent="0.3">
      <c r="I28299" t="s">
        <v>32504</v>
      </c>
    </row>
    <row r="28300" spans="9:10" x14ac:dyDescent="0.3">
      <c r="I28300" t="s">
        <v>32505</v>
      </c>
    </row>
    <row r="28301" spans="9:10" x14ac:dyDescent="0.3">
      <c r="I28301" t="s">
        <v>32506</v>
      </c>
    </row>
    <row r="28302" spans="9:10" x14ac:dyDescent="0.3">
      <c r="I28302" t="s">
        <v>32507</v>
      </c>
    </row>
    <row r="28303" spans="9:10" x14ac:dyDescent="0.3">
      <c r="I28303" t="s">
        <v>32508</v>
      </c>
    </row>
    <row r="28304" spans="9:10" x14ac:dyDescent="0.3">
      <c r="I28304" t="s">
        <v>32509</v>
      </c>
    </row>
    <row r="28305" spans="9:10" x14ac:dyDescent="0.3">
      <c r="I28305" t="s">
        <v>32510</v>
      </c>
    </row>
    <row r="28306" spans="9:10" x14ac:dyDescent="0.3">
      <c r="I28306" t="s">
        <v>32511</v>
      </c>
    </row>
    <row r="28307" spans="9:10" x14ac:dyDescent="0.3">
      <c r="I28307" t="s">
        <v>32512</v>
      </c>
    </row>
    <row r="28308" spans="9:10" x14ac:dyDescent="0.3">
      <c r="I28308" t="s">
        <v>32513</v>
      </c>
      <c r="J28308" t="s">
        <v>9135</v>
      </c>
    </row>
    <row r="28309" spans="9:10" x14ac:dyDescent="0.3">
      <c r="I28309" t="s">
        <v>32514</v>
      </c>
      <c r="J28309" t="s">
        <v>9135</v>
      </c>
    </row>
    <row r="28310" spans="9:10" x14ac:dyDescent="0.3">
      <c r="I28310" t="s">
        <v>32515</v>
      </c>
      <c r="J28310" t="s">
        <v>9135</v>
      </c>
    </row>
    <row r="28311" spans="9:10" x14ac:dyDescent="0.3">
      <c r="I28311" t="s">
        <v>32516</v>
      </c>
      <c r="J28311" t="s">
        <v>7218</v>
      </c>
    </row>
    <row r="28312" spans="9:10" x14ac:dyDescent="0.3">
      <c r="I28312" t="s">
        <v>32516</v>
      </c>
      <c r="J28312" t="s">
        <v>7218</v>
      </c>
    </row>
    <row r="28313" spans="9:10" x14ac:dyDescent="0.3">
      <c r="I28313" t="s">
        <v>32517</v>
      </c>
      <c r="J28313" t="s">
        <v>7218</v>
      </c>
    </row>
    <row r="28314" spans="9:10" x14ac:dyDescent="0.3">
      <c r="I28314" t="s">
        <v>32518</v>
      </c>
    </row>
    <row r="28315" spans="9:10" x14ac:dyDescent="0.3">
      <c r="I28315" t="s">
        <v>32519</v>
      </c>
    </row>
    <row r="28316" spans="9:10" x14ac:dyDescent="0.3">
      <c r="I28316" t="s">
        <v>32520</v>
      </c>
    </row>
    <row r="28317" spans="9:10" x14ac:dyDescent="0.3">
      <c r="I28317" t="s">
        <v>32521</v>
      </c>
    </row>
    <row r="28318" spans="9:10" x14ac:dyDescent="0.3">
      <c r="I28318" t="s">
        <v>32522</v>
      </c>
    </row>
    <row r="28319" spans="9:10" x14ac:dyDescent="0.3">
      <c r="I28319" t="s">
        <v>32523</v>
      </c>
    </row>
    <row r="28320" spans="9:10" x14ac:dyDescent="0.3">
      <c r="I28320" t="s">
        <v>32524</v>
      </c>
    </row>
    <row r="28321" spans="9:10" x14ac:dyDescent="0.3">
      <c r="I28321" t="s">
        <v>32525</v>
      </c>
    </row>
    <row r="28322" spans="9:10" x14ac:dyDescent="0.3">
      <c r="I28322" t="s">
        <v>32526</v>
      </c>
    </row>
    <row r="28323" spans="9:10" x14ac:dyDescent="0.3">
      <c r="I28323" t="s">
        <v>32527</v>
      </c>
    </row>
    <row r="28324" spans="9:10" x14ac:dyDescent="0.3">
      <c r="I28324" t="s">
        <v>32528</v>
      </c>
    </row>
    <row r="28325" spans="9:10" x14ac:dyDescent="0.3">
      <c r="I28325" t="s">
        <v>32529</v>
      </c>
    </row>
    <row r="28326" spans="9:10" x14ac:dyDescent="0.3">
      <c r="I28326" t="s">
        <v>32530</v>
      </c>
    </row>
    <row r="28327" spans="9:10" x14ac:dyDescent="0.3">
      <c r="I28327" t="s">
        <v>17138</v>
      </c>
      <c r="J28327" t="s">
        <v>4128</v>
      </c>
    </row>
    <row r="28328" spans="9:10" x14ac:dyDescent="0.3">
      <c r="I28328" t="s">
        <v>32531</v>
      </c>
      <c r="J28328" t="s">
        <v>4128</v>
      </c>
    </row>
    <row r="28329" spans="9:10" x14ac:dyDescent="0.3">
      <c r="I28329" t="s">
        <v>32532</v>
      </c>
      <c r="J28329" t="s">
        <v>4128</v>
      </c>
    </row>
    <row r="28330" spans="9:10" x14ac:dyDescent="0.3">
      <c r="I28330" t="s">
        <v>32532</v>
      </c>
      <c r="J28330" t="s">
        <v>4128</v>
      </c>
    </row>
    <row r="28331" spans="9:10" x14ac:dyDescent="0.3">
      <c r="I28331" t="s">
        <v>32532</v>
      </c>
      <c r="J28331" t="s">
        <v>4128</v>
      </c>
    </row>
    <row r="28332" spans="9:10" x14ac:dyDescent="0.3">
      <c r="I28332" t="s">
        <v>32533</v>
      </c>
      <c r="J28332" t="s">
        <v>4128</v>
      </c>
    </row>
    <row r="28333" spans="9:10" x14ac:dyDescent="0.3">
      <c r="I28333" t="s">
        <v>32532</v>
      </c>
      <c r="J28333" t="s">
        <v>4128</v>
      </c>
    </row>
    <row r="28334" spans="9:10" x14ac:dyDescent="0.3">
      <c r="I28334" t="s">
        <v>17138</v>
      </c>
      <c r="J28334" t="s">
        <v>4128</v>
      </c>
    </row>
    <row r="28335" spans="9:10" x14ac:dyDescent="0.3">
      <c r="I28335" t="s">
        <v>27337</v>
      </c>
      <c r="J28335" t="s">
        <v>7011</v>
      </c>
    </row>
    <row r="28336" spans="9:10" x14ac:dyDescent="0.3">
      <c r="I28336" t="s">
        <v>32534</v>
      </c>
      <c r="J28336" t="s">
        <v>9136</v>
      </c>
    </row>
    <row r="28337" spans="9:10" x14ac:dyDescent="0.3">
      <c r="I28337" t="s">
        <v>32535</v>
      </c>
      <c r="J28337" t="s">
        <v>9136</v>
      </c>
    </row>
    <row r="28338" spans="9:10" x14ac:dyDescent="0.3">
      <c r="I28338" t="s">
        <v>32536</v>
      </c>
      <c r="J28338" t="s">
        <v>9136</v>
      </c>
    </row>
    <row r="28339" spans="9:10" x14ac:dyDescent="0.3">
      <c r="I28339" t="s">
        <v>32537</v>
      </c>
      <c r="J28339" t="s">
        <v>9136</v>
      </c>
    </row>
    <row r="28340" spans="9:10" x14ac:dyDescent="0.3">
      <c r="I28340" t="s">
        <v>32538</v>
      </c>
      <c r="J28340" t="s">
        <v>9137</v>
      </c>
    </row>
    <row r="28341" spans="9:10" x14ac:dyDescent="0.3">
      <c r="I28341" t="s">
        <v>32539</v>
      </c>
      <c r="J28341" t="s">
        <v>9137</v>
      </c>
    </row>
    <row r="28342" spans="9:10" x14ac:dyDescent="0.3">
      <c r="I28342" t="s">
        <v>32540</v>
      </c>
      <c r="J28342" t="s">
        <v>9137</v>
      </c>
    </row>
    <row r="28343" spans="9:10" x14ac:dyDescent="0.3">
      <c r="I28343" t="s">
        <v>32541</v>
      </c>
      <c r="J28343" t="s">
        <v>9137</v>
      </c>
    </row>
    <row r="28344" spans="9:10" x14ac:dyDescent="0.3">
      <c r="I28344" t="s">
        <v>32542</v>
      </c>
      <c r="J28344" t="s">
        <v>9138</v>
      </c>
    </row>
    <row r="28345" spans="9:10" x14ac:dyDescent="0.3">
      <c r="I28345" t="s">
        <v>32543</v>
      </c>
      <c r="J28345" t="s">
        <v>9139</v>
      </c>
    </row>
    <row r="28346" spans="9:10" x14ac:dyDescent="0.3">
      <c r="I28346" t="s">
        <v>32544</v>
      </c>
      <c r="J28346" t="s">
        <v>9140</v>
      </c>
    </row>
    <row r="28347" spans="9:10" x14ac:dyDescent="0.3">
      <c r="I28347" t="s">
        <v>32545</v>
      </c>
      <c r="J28347" t="s">
        <v>9141</v>
      </c>
    </row>
    <row r="28348" spans="9:10" x14ac:dyDescent="0.3">
      <c r="I28348" t="s">
        <v>32546</v>
      </c>
      <c r="J28348" t="s">
        <v>9142</v>
      </c>
    </row>
    <row r="28349" spans="9:10" x14ac:dyDescent="0.3">
      <c r="I28349" t="s">
        <v>32547</v>
      </c>
      <c r="J28349" t="s">
        <v>9143</v>
      </c>
    </row>
    <row r="28350" spans="9:10" x14ac:dyDescent="0.3">
      <c r="I28350" t="s">
        <v>32548</v>
      </c>
    </row>
    <row r="28351" spans="9:10" x14ac:dyDescent="0.3">
      <c r="I28351" t="s">
        <v>32549</v>
      </c>
    </row>
    <row r="28352" spans="9:10" x14ac:dyDescent="0.3">
      <c r="I28352" t="s">
        <v>32550</v>
      </c>
    </row>
    <row r="28353" spans="9:9" x14ac:dyDescent="0.3">
      <c r="I28353" t="s">
        <v>32551</v>
      </c>
    </row>
    <row r="28354" spans="9:9" x14ac:dyDescent="0.3">
      <c r="I28354" t="s">
        <v>32552</v>
      </c>
    </row>
    <row r="28355" spans="9:9" x14ac:dyDescent="0.3">
      <c r="I28355" t="s">
        <v>32553</v>
      </c>
    </row>
    <row r="28356" spans="9:9" x14ac:dyDescent="0.3">
      <c r="I28356" t="s">
        <v>32554</v>
      </c>
    </row>
    <row r="28357" spans="9:9" x14ac:dyDescent="0.3">
      <c r="I28357" t="s">
        <v>32555</v>
      </c>
    </row>
    <row r="28358" spans="9:9" x14ac:dyDescent="0.3">
      <c r="I28358" t="s">
        <v>32556</v>
      </c>
    </row>
    <row r="28359" spans="9:9" x14ac:dyDescent="0.3">
      <c r="I28359" t="s">
        <v>32557</v>
      </c>
    </row>
    <row r="28360" spans="9:9" x14ac:dyDescent="0.3">
      <c r="I28360" t="s">
        <v>32558</v>
      </c>
    </row>
    <row r="28361" spans="9:9" x14ac:dyDescent="0.3">
      <c r="I28361" t="s">
        <v>32559</v>
      </c>
    </row>
    <row r="28362" spans="9:9" x14ac:dyDescent="0.3">
      <c r="I28362" t="s">
        <v>32560</v>
      </c>
    </row>
    <row r="28363" spans="9:9" x14ac:dyDescent="0.3">
      <c r="I28363" t="s">
        <v>32561</v>
      </c>
    </row>
    <row r="28364" spans="9:9" x14ac:dyDescent="0.3">
      <c r="I28364" t="s">
        <v>32562</v>
      </c>
    </row>
    <row r="28365" spans="9:9" x14ac:dyDescent="0.3">
      <c r="I28365" t="s">
        <v>32563</v>
      </c>
    </row>
    <row r="28366" spans="9:9" x14ac:dyDescent="0.3">
      <c r="I28366" t="s">
        <v>32564</v>
      </c>
    </row>
    <row r="28367" spans="9:9" x14ac:dyDescent="0.3">
      <c r="I28367" t="s">
        <v>32565</v>
      </c>
    </row>
    <row r="28368" spans="9:9" x14ac:dyDescent="0.3">
      <c r="I28368" t="s">
        <v>32566</v>
      </c>
    </row>
    <row r="28369" spans="9:10" x14ac:dyDescent="0.3">
      <c r="I28369" t="s">
        <v>32567</v>
      </c>
    </row>
    <row r="28370" spans="9:10" x14ac:dyDescent="0.3">
      <c r="I28370" t="s">
        <v>32568</v>
      </c>
    </row>
    <row r="28371" spans="9:10" x14ac:dyDescent="0.3">
      <c r="I28371" t="s">
        <v>20618</v>
      </c>
    </row>
    <row r="28372" spans="9:10" x14ac:dyDescent="0.3">
      <c r="I28372" t="s">
        <v>32569</v>
      </c>
    </row>
    <row r="28373" spans="9:10" x14ac:dyDescent="0.3">
      <c r="I28373" t="s">
        <v>32570</v>
      </c>
    </row>
    <row r="28374" spans="9:10" x14ac:dyDescent="0.3">
      <c r="I28374" t="s">
        <v>32571</v>
      </c>
    </row>
    <row r="28375" spans="9:10" x14ac:dyDescent="0.3">
      <c r="I28375" t="s">
        <v>32572</v>
      </c>
    </row>
    <row r="28376" spans="9:10" x14ac:dyDescent="0.3">
      <c r="I28376" t="s">
        <v>32573</v>
      </c>
    </row>
    <row r="28377" spans="9:10" x14ac:dyDescent="0.3">
      <c r="I28377" t="s">
        <v>32574</v>
      </c>
    </row>
    <row r="28378" spans="9:10" x14ac:dyDescent="0.3">
      <c r="I28378" t="s">
        <v>32575</v>
      </c>
    </row>
    <row r="28379" spans="9:10" x14ac:dyDescent="0.3">
      <c r="I28379" t="s">
        <v>32576</v>
      </c>
    </row>
    <row r="28380" spans="9:10" x14ac:dyDescent="0.3">
      <c r="I28380" t="s">
        <v>32577</v>
      </c>
      <c r="J28380" t="s">
        <v>9144</v>
      </c>
    </row>
    <row r="28381" spans="9:10" x14ac:dyDescent="0.3">
      <c r="I28381" t="s">
        <v>32578</v>
      </c>
      <c r="J28381" t="s">
        <v>9145</v>
      </c>
    </row>
    <row r="28382" spans="9:10" x14ac:dyDescent="0.3">
      <c r="I28382" t="s">
        <v>32579</v>
      </c>
    </row>
    <row r="28383" spans="9:10" x14ac:dyDescent="0.3">
      <c r="I28383" t="s">
        <v>32580</v>
      </c>
    </row>
    <row r="28384" spans="9:10" x14ac:dyDescent="0.3">
      <c r="I28384" t="s">
        <v>32581</v>
      </c>
    </row>
    <row r="28385" spans="9:10" x14ac:dyDescent="0.3">
      <c r="I28385" t="s">
        <v>32582</v>
      </c>
    </row>
    <row r="28386" spans="9:10" x14ac:dyDescent="0.3">
      <c r="I28386" t="s">
        <v>32583</v>
      </c>
    </row>
    <row r="28387" spans="9:10" x14ac:dyDescent="0.3">
      <c r="I28387" t="s">
        <v>32584</v>
      </c>
    </row>
    <row r="28388" spans="9:10" x14ac:dyDescent="0.3">
      <c r="I28388" t="s">
        <v>32585</v>
      </c>
    </row>
    <row r="28389" spans="9:10" x14ac:dyDescent="0.3">
      <c r="I28389" t="s">
        <v>32586</v>
      </c>
    </row>
    <row r="28390" spans="9:10" x14ac:dyDescent="0.3">
      <c r="I28390" t="s">
        <v>32587</v>
      </c>
    </row>
    <row r="28391" spans="9:10" x14ac:dyDescent="0.3">
      <c r="I28391" t="s">
        <v>32588</v>
      </c>
    </row>
    <row r="28392" spans="9:10" x14ac:dyDescent="0.3">
      <c r="I28392" t="s">
        <v>32589</v>
      </c>
    </row>
    <row r="28393" spans="9:10" x14ac:dyDescent="0.3">
      <c r="I28393" t="s">
        <v>32590</v>
      </c>
    </row>
    <row r="28394" spans="9:10" x14ac:dyDescent="0.3">
      <c r="I28394" t="s">
        <v>32591</v>
      </c>
    </row>
    <row r="28395" spans="9:10" x14ac:dyDescent="0.3">
      <c r="I28395" t="s">
        <v>32592</v>
      </c>
    </row>
    <row r="28396" spans="9:10" x14ac:dyDescent="0.3">
      <c r="I28396" t="s">
        <v>32593</v>
      </c>
    </row>
    <row r="28397" spans="9:10" x14ac:dyDescent="0.3">
      <c r="I28397" t="s">
        <v>32594</v>
      </c>
    </row>
    <row r="28398" spans="9:10" x14ac:dyDescent="0.3">
      <c r="I28398" t="s">
        <v>32595</v>
      </c>
    </row>
    <row r="28399" spans="9:10" x14ac:dyDescent="0.3">
      <c r="I28399" t="s">
        <v>32596</v>
      </c>
    </row>
    <row r="28400" spans="9:10" x14ac:dyDescent="0.3">
      <c r="I28400" t="s">
        <v>32597</v>
      </c>
      <c r="J28400">
        <v>0</v>
      </c>
    </row>
    <row r="28401" spans="9:10" x14ac:dyDescent="0.3">
      <c r="I28401" t="s">
        <v>32598</v>
      </c>
      <c r="J28401">
        <v>0</v>
      </c>
    </row>
    <row r="28402" spans="9:10" x14ac:dyDescent="0.3">
      <c r="I28402" t="s">
        <v>32599</v>
      </c>
      <c r="J28402" t="s">
        <v>9146</v>
      </c>
    </row>
    <row r="28403" spans="9:10" x14ac:dyDescent="0.3">
      <c r="I28403" t="s">
        <v>32600</v>
      </c>
      <c r="J28403" t="s">
        <v>9147</v>
      </c>
    </row>
    <row r="28404" spans="9:10" x14ac:dyDescent="0.3">
      <c r="I28404" t="s">
        <v>32601</v>
      </c>
      <c r="J28404" t="s">
        <v>9148</v>
      </c>
    </row>
    <row r="28405" spans="9:10" x14ac:dyDescent="0.3">
      <c r="I28405" t="s">
        <v>32602</v>
      </c>
      <c r="J28405" t="s">
        <v>9149</v>
      </c>
    </row>
    <row r="28406" spans="9:10" x14ac:dyDescent="0.3">
      <c r="I28406" t="s">
        <v>32603</v>
      </c>
      <c r="J28406" t="s">
        <v>9150</v>
      </c>
    </row>
    <row r="28407" spans="9:10" x14ac:dyDescent="0.3">
      <c r="I28407" t="s">
        <v>32604</v>
      </c>
      <c r="J28407" t="s">
        <v>9151</v>
      </c>
    </row>
    <row r="28408" spans="9:10" x14ac:dyDescent="0.3">
      <c r="I28408" t="s">
        <v>32605</v>
      </c>
      <c r="J28408" t="s">
        <v>9152</v>
      </c>
    </row>
    <row r="28409" spans="9:10" x14ac:dyDescent="0.3">
      <c r="I28409" t="s">
        <v>32606</v>
      </c>
      <c r="J28409" t="s">
        <v>9153</v>
      </c>
    </row>
    <row r="28410" spans="9:10" x14ac:dyDescent="0.3">
      <c r="I28410" t="s">
        <v>32607</v>
      </c>
      <c r="J28410" t="s">
        <v>9154</v>
      </c>
    </row>
    <row r="28411" spans="9:10" x14ac:dyDescent="0.3">
      <c r="I28411" t="s">
        <v>32608</v>
      </c>
      <c r="J28411" t="s">
        <v>9155</v>
      </c>
    </row>
    <row r="28412" spans="9:10" x14ac:dyDescent="0.3">
      <c r="I28412" t="s">
        <v>32609</v>
      </c>
      <c r="J28412" t="s">
        <v>9156</v>
      </c>
    </row>
    <row r="28413" spans="9:10" x14ac:dyDescent="0.3">
      <c r="I28413" t="s">
        <v>32610</v>
      </c>
      <c r="J28413" t="s">
        <v>9157</v>
      </c>
    </row>
    <row r="28414" spans="9:10" x14ac:dyDescent="0.3">
      <c r="I28414" t="s">
        <v>32611</v>
      </c>
      <c r="J28414" t="s">
        <v>9158</v>
      </c>
    </row>
    <row r="28415" spans="9:10" x14ac:dyDescent="0.3">
      <c r="I28415" t="s">
        <v>32612</v>
      </c>
    </row>
    <row r="28416" spans="9:10" x14ac:dyDescent="0.3">
      <c r="I28416" t="s">
        <v>32613</v>
      </c>
    </row>
    <row r="28417" spans="9:10" x14ac:dyDescent="0.3">
      <c r="I28417" t="s">
        <v>32614</v>
      </c>
    </row>
    <row r="28418" spans="9:10" x14ac:dyDescent="0.3">
      <c r="I28418" t="s">
        <v>32615</v>
      </c>
    </row>
    <row r="28419" spans="9:10" x14ac:dyDescent="0.3">
      <c r="I28419" t="s">
        <v>32616</v>
      </c>
    </row>
    <row r="28420" spans="9:10" x14ac:dyDescent="0.3">
      <c r="I28420" t="s">
        <v>32617</v>
      </c>
      <c r="J28420" t="s">
        <v>9159</v>
      </c>
    </row>
    <row r="28421" spans="9:10" x14ac:dyDescent="0.3">
      <c r="I28421" t="s">
        <v>21360</v>
      </c>
    </row>
    <row r="28422" spans="9:10" x14ac:dyDescent="0.3">
      <c r="I28422" t="s">
        <v>32618</v>
      </c>
    </row>
    <row r="28423" spans="9:10" x14ac:dyDescent="0.3">
      <c r="I28423" t="s">
        <v>32619</v>
      </c>
    </row>
    <row r="28424" spans="9:10" x14ac:dyDescent="0.3">
      <c r="I28424" t="s">
        <v>32620</v>
      </c>
    </row>
    <row r="28425" spans="9:10" x14ac:dyDescent="0.3">
      <c r="I28425" t="s">
        <v>32621</v>
      </c>
    </row>
    <row r="28426" spans="9:10" x14ac:dyDescent="0.3">
      <c r="I28426" t="s">
        <v>32622</v>
      </c>
    </row>
    <row r="28427" spans="9:10" x14ac:dyDescent="0.3">
      <c r="I28427" t="s">
        <v>32623</v>
      </c>
    </row>
    <row r="28428" spans="9:10" x14ac:dyDescent="0.3">
      <c r="I28428" t="s">
        <v>32624</v>
      </c>
    </row>
    <row r="28429" spans="9:10" x14ac:dyDescent="0.3">
      <c r="I28429" t="s">
        <v>32625</v>
      </c>
    </row>
    <row r="28430" spans="9:10" x14ac:dyDescent="0.3">
      <c r="I28430" t="s">
        <v>32626</v>
      </c>
    </row>
    <row r="28431" spans="9:10" x14ac:dyDescent="0.3">
      <c r="I28431" t="s">
        <v>32627</v>
      </c>
    </row>
    <row r="28432" spans="9:10" x14ac:dyDescent="0.3">
      <c r="I28432" t="s">
        <v>32628</v>
      </c>
    </row>
    <row r="28433" spans="9:9" x14ac:dyDescent="0.3">
      <c r="I28433" t="s">
        <v>32629</v>
      </c>
    </row>
    <row r="28434" spans="9:9" x14ac:dyDescent="0.3">
      <c r="I28434" t="s">
        <v>32630</v>
      </c>
    </row>
    <row r="28435" spans="9:9" x14ac:dyDescent="0.3">
      <c r="I28435" t="s">
        <v>32631</v>
      </c>
    </row>
    <row r="28436" spans="9:9" x14ac:dyDescent="0.3">
      <c r="I28436" t="s">
        <v>32632</v>
      </c>
    </row>
    <row r="28437" spans="9:9" x14ac:dyDescent="0.3">
      <c r="I28437" t="s">
        <v>32633</v>
      </c>
    </row>
    <row r="28438" spans="9:9" x14ac:dyDescent="0.3">
      <c r="I28438" t="s">
        <v>32634</v>
      </c>
    </row>
    <row r="28439" spans="9:9" x14ac:dyDescent="0.3">
      <c r="I28439" t="s">
        <v>32635</v>
      </c>
    </row>
    <row r="28440" spans="9:9" x14ac:dyDescent="0.3">
      <c r="I28440" t="s">
        <v>32636</v>
      </c>
    </row>
    <row r="28441" spans="9:9" x14ac:dyDescent="0.3">
      <c r="I28441" t="s">
        <v>32637</v>
      </c>
    </row>
    <row r="28442" spans="9:9" x14ac:dyDescent="0.3">
      <c r="I28442" t="s">
        <v>32638</v>
      </c>
    </row>
    <row r="28443" spans="9:9" x14ac:dyDescent="0.3">
      <c r="I28443" t="s">
        <v>32639</v>
      </c>
    </row>
    <row r="28444" spans="9:9" x14ac:dyDescent="0.3">
      <c r="I28444" t="s">
        <v>32640</v>
      </c>
    </row>
    <row r="28445" spans="9:9" x14ac:dyDescent="0.3">
      <c r="I28445" t="s">
        <v>32641</v>
      </c>
    </row>
    <row r="28446" spans="9:9" x14ac:dyDescent="0.3">
      <c r="I28446" t="s">
        <v>32642</v>
      </c>
    </row>
    <row r="28447" spans="9:9" x14ac:dyDescent="0.3">
      <c r="I28447" t="s">
        <v>32643</v>
      </c>
    </row>
    <row r="28448" spans="9:9" x14ac:dyDescent="0.3">
      <c r="I28448" t="s">
        <v>32644</v>
      </c>
    </row>
    <row r="28449" spans="9:10" x14ac:dyDescent="0.3">
      <c r="I28449" t="s">
        <v>32645</v>
      </c>
    </row>
    <row r="28450" spans="9:10" x14ac:dyDescent="0.3">
      <c r="I28450" t="s">
        <v>32646</v>
      </c>
    </row>
    <row r="28451" spans="9:10" x14ac:dyDescent="0.3">
      <c r="I28451" t="s">
        <v>32647</v>
      </c>
    </row>
    <row r="28452" spans="9:10" x14ac:dyDescent="0.3">
      <c r="I28452" t="s">
        <v>32648</v>
      </c>
    </row>
    <row r="28453" spans="9:10" x14ac:dyDescent="0.3">
      <c r="I28453" t="s">
        <v>32649</v>
      </c>
    </row>
    <row r="28454" spans="9:10" x14ac:dyDescent="0.3">
      <c r="I28454" t="s">
        <v>32650</v>
      </c>
    </row>
    <row r="28455" spans="9:10" x14ac:dyDescent="0.3">
      <c r="I28455" t="s">
        <v>32651</v>
      </c>
    </row>
    <row r="28456" spans="9:10" x14ac:dyDescent="0.3">
      <c r="I28456" t="s">
        <v>32652</v>
      </c>
    </row>
    <row r="28457" spans="9:10" x14ac:dyDescent="0.3">
      <c r="I28457" t="s">
        <v>32653</v>
      </c>
    </row>
    <row r="28458" spans="9:10" x14ac:dyDescent="0.3">
      <c r="I28458" t="s">
        <v>32654</v>
      </c>
    </row>
    <row r="28459" spans="9:10" x14ac:dyDescent="0.3">
      <c r="I28459" t="s">
        <v>32655</v>
      </c>
    </row>
    <row r="28460" spans="9:10" x14ac:dyDescent="0.3">
      <c r="I28460" t="s">
        <v>32656</v>
      </c>
    </row>
    <row r="28461" spans="9:10" x14ac:dyDescent="0.3">
      <c r="I28461" t="s">
        <v>32657</v>
      </c>
      <c r="J28461" t="s">
        <v>9160</v>
      </c>
    </row>
    <row r="28462" spans="9:10" x14ac:dyDescent="0.3">
      <c r="I28462" t="s">
        <v>32658</v>
      </c>
    </row>
    <row r="28463" spans="9:10" x14ac:dyDescent="0.3">
      <c r="I28463" t="s">
        <v>32659</v>
      </c>
    </row>
    <row r="28464" spans="9:10" x14ac:dyDescent="0.3">
      <c r="I28464" t="s">
        <v>32660</v>
      </c>
    </row>
    <row r="28465" spans="9:9" x14ac:dyDescent="0.3">
      <c r="I28465" t="s">
        <v>32661</v>
      </c>
    </row>
    <row r="28466" spans="9:9" x14ac:dyDescent="0.3">
      <c r="I28466" t="s">
        <v>32662</v>
      </c>
    </row>
    <row r="28467" spans="9:9" x14ac:dyDescent="0.3">
      <c r="I28467" t="s">
        <v>32663</v>
      </c>
    </row>
    <row r="28468" spans="9:9" x14ac:dyDescent="0.3">
      <c r="I28468" t="s">
        <v>32664</v>
      </c>
    </row>
    <row r="28469" spans="9:9" x14ac:dyDescent="0.3">
      <c r="I28469" t="s">
        <v>32665</v>
      </c>
    </row>
    <row r="28470" spans="9:9" x14ac:dyDescent="0.3">
      <c r="I28470" t="s">
        <v>32665</v>
      </c>
    </row>
    <row r="28471" spans="9:9" x14ac:dyDescent="0.3">
      <c r="I28471" t="s">
        <v>32666</v>
      </c>
    </row>
    <row r="28472" spans="9:9" x14ac:dyDescent="0.3">
      <c r="I28472" t="s">
        <v>32667</v>
      </c>
    </row>
    <row r="28473" spans="9:9" x14ac:dyDescent="0.3">
      <c r="I28473" t="s">
        <v>32668</v>
      </c>
    </row>
    <row r="28474" spans="9:9" x14ac:dyDescent="0.3">
      <c r="I28474" t="s">
        <v>32669</v>
      </c>
    </row>
    <row r="28475" spans="9:9" x14ac:dyDescent="0.3">
      <c r="I28475" t="s">
        <v>32670</v>
      </c>
    </row>
    <row r="28476" spans="9:9" x14ac:dyDescent="0.3">
      <c r="I28476" t="s">
        <v>32671</v>
      </c>
    </row>
    <row r="28477" spans="9:9" x14ac:dyDescent="0.3">
      <c r="I28477" t="s">
        <v>32672</v>
      </c>
    </row>
    <row r="28478" spans="9:9" x14ac:dyDescent="0.3">
      <c r="I28478" t="s">
        <v>32673</v>
      </c>
    </row>
    <row r="28479" spans="9:9" x14ac:dyDescent="0.3">
      <c r="I28479" t="s">
        <v>32674</v>
      </c>
    </row>
    <row r="28480" spans="9:9" x14ac:dyDescent="0.3">
      <c r="I28480" t="s">
        <v>32675</v>
      </c>
    </row>
    <row r="28481" spans="9:10" x14ac:dyDescent="0.3">
      <c r="I28481" t="s">
        <v>32676</v>
      </c>
    </row>
    <row r="28482" spans="9:10" x14ac:dyDescent="0.3">
      <c r="I28482" t="s">
        <v>32677</v>
      </c>
    </row>
    <row r="28483" spans="9:10" x14ac:dyDescent="0.3">
      <c r="I28483" t="s">
        <v>32678</v>
      </c>
    </row>
    <row r="28484" spans="9:10" x14ac:dyDescent="0.3">
      <c r="I28484" t="s">
        <v>32679</v>
      </c>
      <c r="J28484" t="s">
        <v>9161</v>
      </c>
    </row>
    <row r="28485" spans="9:10" x14ac:dyDescent="0.3">
      <c r="I28485" t="s">
        <v>32680</v>
      </c>
      <c r="J28485" t="s">
        <v>9162</v>
      </c>
    </row>
    <row r="28486" spans="9:10" x14ac:dyDescent="0.3">
      <c r="I28486" t="s">
        <v>32681</v>
      </c>
    </row>
    <row r="28487" spans="9:10" x14ac:dyDescent="0.3">
      <c r="I28487" t="s">
        <v>32682</v>
      </c>
    </row>
    <row r="28488" spans="9:10" x14ac:dyDescent="0.3">
      <c r="I28488" t="s">
        <v>32683</v>
      </c>
    </row>
    <row r="28489" spans="9:10" x14ac:dyDescent="0.3">
      <c r="I28489" t="s">
        <v>32684</v>
      </c>
    </row>
    <row r="28490" spans="9:10" x14ac:dyDescent="0.3">
      <c r="I28490" t="s">
        <v>32685</v>
      </c>
    </row>
    <row r="28491" spans="9:10" x14ac:dyDescent="0.3">
      <c r="I28491" t="s">
        <v>32686</v>
      </c>
    </row>
    <row r="28492" spans="9:10" x14ac:dyDescent="0.3">
      <c r="I28492" t="s">
        <v>32687</v>
      </c>
    </row>
    <row r="28493" spans="9:10" x14ac:dyDescent="0.3">
      <c r="I28493" t="s">
        <v>32688</v>
      </c>
    </row>
    <row r="28494" spans="9:10" x14ac:dyDescent="0.3">
      <c r="I28494" t="s">
        <v>32689</v>
      </c>
    </row>
    <row r="28495" spans="9:10" x14ac:dyDescent="0.3">
      <c r="I28495" t="s">
        <v>32690</v>
      </c>
    </row>
    <row r="28496" spans="9:10" x14ac:dyDescent="0.3">
      <c r="I28496" t="s">
        <v>32691</v>
      </c>
    </row>
    <row r="28497" spans="9:10" x14ac:dyDescent="0.3">
      <c r="I28497" t="s">
        <v>32692</v>
      </c>
      <c r="J28497" t="s">
        <v>9163</v>
      </c>
    </row>
    <row r="28498" spans="9:10" x14ac:dyDescent="0.3">
      <c r="I28498" t="s">
        <v>32693</v>
      </c>
    </row>
    <row r="28499" spans="9:10" x14ac:dyDescent="0.3">
      <c r="I28499" t="s">
        <v>32694</v>
      </c>
    </row>
    <row r="28500" spans="9:10" x14ac:dyDescent="0.3">
      <c r="I28500" t="s">
        <v>32695</v>
      </c>
    </row>
    <row r="28501" spans="9:10" x14ac:dyDescent="0.3">
      <c r="I28501" t="s">
        <v>32696</v>
      </c>
    </row>
    <row r="28502" spans="9:10" x14ac:dyDescent="0.3">
      <c r="I28502" t="s">
        <v>32697</v>
      </c>
    </row>
    <row r="28503" spans="9:10" x14ac:dyDescent="0.3">
      <c r="I28503" t="s">
        <v>32698</v>
      </c>
    </row>
    <row r="28504" spans="9:10" x14ac:dyDescent="0.3">
      <c r="I28504" t="s">
        <v>32699</v>
      </c>
    </row>
    <row r="28505" spans="9:10" x14ac:dyDescent="0.3">
      <c r="I28505" t="s">
        <v>32700</v>
      </c>
    </row>
    <row r="28506" spans="9:10" x14ac:dyDescent="0.3">
      <c r="I28506" t="s">
        <v>32701</v>
      </c>
    </row>
    <row r="28507" spans="9:10" x14ac:dyDescent="0.3">
      <c r="I28507" t="s">
        <v>32702</v>
      </c>
    </row>
    <row r="28508" spans="9:10" x14ac:dyDescent="0.3">
      <c r="I28508" t="s">
        <v>32703</v>
      </c>
    </row>
    <row r="28509" spans="9:10" x14ac:dyDescent="0.3">
      <c r="I28509" t="s">
        <v>32704</v>
      </c>
    </row>
    <row r="28510" spans="9:10" x14ac:dyDescent="0.3">
      <c r="I28510" t="s">
        <v>32705</v>
      </c>
    </row>
    <row r="28511" spans="9:10" x14ac:dyDescent="0.3">
      <c r="I28511" t="s">
        <v>32706</v>
      </c>
    </row>
    <row r="28512" spans="9:10" x14ac:dyDescent="0.3">
      <c r="I28512" t="s">
        <v>32707</v>
      </c>
    </row>
    <row r="28513" spans="9:10" x14ac:dyDescent="0.3">
      <c r="I28513" t="s">
        <v>32708</v>
      </c>
    </row>
    <row r="28514" spans="9:10" x14ac:dyDescent="0.3">
      <c r="I28514" t="s">
        <v>32709</v>
      </c>
    </row>
    <row r="28515" spans="9:10" x14ac:dyDescent="0.3">
      <c r="I28515" t="s">
        <v>32710</v>
      </c>
    </row>
    <row r="28516" spans="9:10" x14ac:dyDescent="0.3">
      <c r="I28516" t="s">
        <v>32689</v>
      </c>
    </row>
    <row r="28517" spans="9:10" x14ac:dyDescent="0.3">
      <c r="I28517" t="s">
        <v>32711</v>
      </c>
    </row>
    <row r="28518" spans="9:10" x14ac:dyDescent="0.3">
      <c r="I28518" t="s">
        <v>32712</v>
      </c>
    </row>
    <row r="28519" spans="9:10" x14ac:dyDescent="0.3">
      <c r="I28519" t="s">
        <v>32713</v>
      </c>
    </row>
    <row r="28520" spans="9:10" x14ac:dyDescent="0.3">
      <c r="I28520" t="s">
        <v>32714</v>
      </c>
    </row>
    <row r="28521" spans="9:10" x14ac:dyDescent="0.3">
      <c r="I28521" t="s">
        <v>32715</v>
      </c>
    </row>
    <row r="28522" spans="9:10" x14ac:dyDescent="0.3">
      <c r="I28522" t="s">
        <v>32716</v>
      </c>
    </row>
    <row r="28523" spans="9:10" x14ac:dyDescent="0.3">
      <c r="I28523" t="s">
        <v>32717</v>
      </c>
    </row>
    <row r="28524" spans="9:10" x14ac:dyDescent="0.3">
      <c r="I28524" t="s">
        <v>32718</v>
      </c>
      <c r="J28524" t="s">
        <v>9164</v>
      </c>
    </row>
    <row r="28525" spans="9:10" x14ac:dyDescent="0.3">
      <c r="I28525" t="s">
        <v>32718</v>
      </c>
      <c r="J28525" t="s">
        <v>9164</v>
      </c>
    </row>
    <row r="28526" spans="9:10" x14ac:dyDescent="0.3">
      <c r="I28526" t="s">
        <v>32719</v>
      </c>
      <c r="J28526" t="s">
        <v>9165</v>
      </c>
    </row>
    <row r="28527" spans="9:10" x14ac:dyDescent="0.3">
      <c r="I28527" t="s">
        <v>32720</v>
      </c>
      <c r="J28527" t="s">
        <v>9166</v>
      </c>
    </row>
    <row r="28528" spans="9:10" x14ac:dyDescent="0.3">
      <c r="I28528" t="s">
        <v>32721</v>
      </c>
      <c r="J28528" t="s">
        <v>9166</v>
      </c>
    </row>
    <row r="28529" spans="9:10" x14ac:dyDescent="0.3">
      <c r="I28529" t="s">
        <v>32722</v>
      </c>
      <c r="J28529" t="s">
        <v>9167</v>
      </c>
    </row>
    <row r="28530" spans="9:10" x14ac:dyDescent="0.3">
      <c r="I28530" t="s">
        <v>32723</v>
      </c>
    </row>
    <row r="28531" spans="9:10" x14ac:dyDescent="0.3">
      <c r="I28531" t="s">
        <v>32724</v>
      </c>
      <c r="J28531" t="s">
        <v>9168</v>
      </c>
    </row>
    <row r="28532" spans="9:10" x14ac:dyDescent="0.3">
      <c r="I28532" t="s">
        <v>32725</v>
      </c>
      <c r="J28532" t="s">
        <v>9169</v>
      </c>
    </row>
    <row r="28533" spans="9:10" x14ac:dyDescent="0.3">
      <c r="I28533" t="s">
        <v>32725</v>
      </c>
      <c r="J28533" t="s">
        <v>9169</v>
      </c>
    </row>
    <row r="28534" spans="9:10" x14ac:dyDescent="0.3">
      <c r="I28534" t="s">
        <v>32726</v>
      </c>
    </row>
    <row r="28535" spans="9:10" x14ac:dyDescent="0.3">
      <c r="I28535" t="s">
        <v>32727</v>
      </c>
    </row>
    <row r="28536" spans="9:10" x14ac:dyDescent="0.3">
      <c r="I28536" t="s">
        <v>32728</v>
      </c>
    </row>
    <row r="28537" spans="9:10" x14ac:dyDescent="0.3">
      <c r="I28537" t="s">
        <v>32729</v>
      </c>
    </row>
    <row r="28538" spans="9:10" x14ac:dyDescent="0.3">
      <c r="I28538" t="s">
        <v>32730</v>
      </c>
    </row>
    <row r="28539" spans="9:10" x14ac:dyDescent="0.3">
      <c r="I28539" t="s">
        <v>32731</v>
      </c>
    </row>
    <row r="28540" spans="9:10" x14ac:dyDescent="0.3">
      <c r="I28540" t="s">
        <v>32732</v>
      </c>
    </row>
    <row r="28541" spans="9:10" x14ac:dyDescent="0.3">
      <c r="I28541" t="s">
        <v>32733</v>
      </c>
    </row>
    <row r="28542" spans="9:10" x14ac:dyDescent="0.3">
      <c r="I28542" t="s">
        <v>32734</v>
      </c>
    </row>
    <row r="28543" spans="9:10" x14ac:dyDescent="0.3">
      <c r="I28543" t="s">
        <v>32735</v>
      </c>
    </row>
    <row r="28544" spans="9:10" x14ac:dyDescent="0.3">
      <c r="I28544" t="s">
        <v>32736</v>
      </c>
    </row>
    <row r="28545" spans="9:10" x14ac:dyDescent="0.3">
      <c r="I28545" t="s">
        <v>32737</v>
      </c>
    </row>
    <row r="28546" spans="9:10" x14ac:dyDescent="0.3">
      <c r="I28546" t="s">
        <v>32738</v>
      </c>
    </row>
    <row r="28547" spans="9:10" x14ac:dyDescent="0.3">
      <c r="I28547" t="s">
        <v>32739</v>
      </c>
    </row>
    <row r="28548" spans="9:10" x14ac:dyDescent="0.3">
      <c r="I28548" t="s">
        <v>32740</v>
      </c>
    </row>
    <row r="28549" spans="9:10" x14ac:dyDescent="0.3">
      <c r="I28549" t="s">
        <v>32741</v>
      </c>
    </row>
    <row r="28550" spans="9:10" x14ac:dyDescent="0.3">
      <c r="I28550" t="s">
        <v>32742</v>
      </c>
    </row>
    <row r="28551" spans="9:10" x14ac:dyDescent="0.3">
      <c r="I28551" t="s">
        <v>32743</v>
      </c>
      <c r="J28551" t="s">
        <v>9170</v>
      </c>
    </row>
    <row r="28552" spans="9:10" x14ac:dyDescent="0.3">
      <c r="I28552" t="s">
        <v>32744</v>
      </c>
      <c r="J28552" t="s">
        <v>9171</v>
      </c>
    </row>
    <row r="28553" spans="9:10" x14ac:dyDescent="0.3">
      <c r="I28553" t="s">
        <v>32745</v>
      </c>
    </row>
    <row r="28554" spans="9:10" x14ac:dyDescent="0.3">
      <c r="I28554" t="s">
        <v>32746</v>
      </c>
    </row>
    <row r="28555" spans="9:10" x14ac:dyDescent="0.3">
      <c r="I28555" t="s">
        <v>32747</v>
      </c>
    </row>
    <row r="28556" spans="9:10" x14ac:dyDescent="0.3">
      <c r="I28556" t="s">
        <v>32748</v>
      </c>
    </row>
    <row r="28557" spans="9:10" x14ac:dyDescent="0.3">
      <c r="I28557" t="s">
        <v>32749</v>
      </c>
    </row>
    <row r="28558" spans="9:10" x14ac:dyDescent="0.3">
      <c r="I28558" t="s">
        <v>32750</v>
      </c>
    </row>
    <row r="28559" spans="9:10" x14ac:dyDescent="0.3">
      <c r="I28559" t="s">
        <v>32751</v>
      </c>
    </row>
    <row r="28560" spans="9:10" x14ac:dyDescent="0.3">
      <c r="I28560" t="s">
        <v>32752</v>
      </c>
    </row>
    <row r="28561" spans="9:10" x14ac:dyDescent="0.3">
      <c r="I28561" t="s">
        <v>10529</v>
      </c>
      <c r="J28561" t="s">
        <v>837</v>
      </c>
    </row>
    <row r="28562" spans="9:10" x14ac:dyDescent="0.3">
      <c r="I28562" t="s">
        <v>10529</v>
      </c>
      <c r="J28562" t="s">
        <v>837</v>
      </c>
    </row>
    <row r="28563" spans="9:10" x14ac:dyDescent="0.3">
      <c r="I28563" t="s">
        <v>10529</v>
      </c>
      <c r="J28563" t="s">
        <v>837</v>
      </c>
    </row>
    <row r="28564" spans="9:10" x14ac:dyDescent="0.3">
      <c r="I28564" t="s">
        <v>32753</v>
      </c>
      <c r="J28564" t="s">
        <v>9172</v>
      </c>
    </row>
    <row r="28565" spans="9:10" x14ac:dyDescent="0.3">
      <c r="I28565" t="s">
        <v>32754</v>
      </c>
      <c r="J28565" t="s">
        <v>610</v>
      </c>
    </row>
    <row r="28566" spans="9:10" x14ac:dyDescent="0.3">
      <c r="I28566" t="s">
        <v>32754</v>
      </c>
      <c r="J28566" t="s">
        <v>610</v>
      </c>
    </row>
    <row r="28567" spans="9:10" x14ac:dyDescent="0.3">
      <c r="I28567" t="s">
        <v>32755</v>
      </c>
      <c r="J28567" t="s">
        <v>9173</v>
      </c>
    </row>
    <row r="28568" spans="9:10" x14ac:dyDescent="0.3">
      <c r="I28568" t="s">
        <v>32755</v>
      </c>
      <c r="J28568" t="s">
        <v>9173</v>
      </c>
    </row>
    <row r="28569" spans="9:10" x14ac:dyDescent="0.3">
      <c r="I28569" t="s">
        <v>32756</v>
      </c>
      <c r="J28569" t="s">
        <v>9174</v>
      </c>
    </row>
    <row r="28570" spans="9:10" x14ac:dyDescent="0.3">
      <c r="I28570" t="s">
        <v>32757</v>
      </c>
      <c r="J28570" t="s">
        <v>9175</v>
      </c>
    </row>
    <row r="28571" spans="9:10" x14ac:dyDescent="0.3">
      <c r="I28571" t="s">
        <v>32758</v>
      </c>
    </row>
    <row r="28572" spans="9:10" x14ac:dyDescent="0.3">
      <c r="I28572" t="s">
        <v>32759</v>
      </c>
    </row>
    <row r="28573" spans="9:10" x14ac:dyDescent="0.3">
      <c r="I28573" t="s">
        <v>32760</v>
      </c>
    </row>
    <row r="28574" spans="9:10" x14ac:dyDescent="0.3">
      <c r="I28574" t="s">
        <v>32761</v>
      </c>
    </row>
    <row r="28575" spans="9:10" x14ac:dyDescent="0.3">
      <c r="I28575" t="s">
        <v>32762</v>
      </c>
    </row>
    <row r="28576" spans="9:10" x14ac:dyDescent="0.3">
      <c r="I28576" t="s">
        <v>32763</v>
      </c>
    </row>
    <row r="28577" spans="9:10" x14ac:dyDescent="0.3">
      <c r="I28577" t="s">
        <v>32764</v>
      </c>
    </row>
    <row r="28578" spans="9:10" x14ac:dyDescent="0.3">
      <c r="I28578" t="s">
        <v>32765</v>
      </c>
    </row>
    <row r="28579" spans="9:10" x14ac:dyDescent="0.3">
      <c r="I28579" t="s">
        <v>32766</v>
      </c>
    </row>
    <row r="28580" spans="9:10" x14ac:dyDescent="0.3">
      <c r="I28580" t="s">
        <v>32767</v>
      </c>
    </row>
    <row r="28581" spans="9:10" x14ac:dyDescent="0.3">
      <c r="I28581" t="s">
        <v>32768</v>
      </c>
    </row>
    <row r="28582" spans="9:10" x14ac:dyDescent="0.3">
      <c r="I28582" t="s">
        <v>32769</v>
      </c>
    </row>
    <row r="28583" spans="9:10" x14ac:dyDescent="0.3">
      <c r="I28583" t="s">
        <v>32770</v>
      </c>
    </row>
    <row r="28584" spans="9:10" x14ac:dyDescent="0.3">
      <c r="I28584" t="s">
        <v>32771</v>
      </c>
    </row>
    <row r="28585" spans="9:10" x14ac:dyDescent="0.3">
      <c r="I28585" t="s">
        <v>32772</v>
      </c>
    </row>
    <row r="28586" spans="9:10" x14ac:dyDescent="0.3">
      <c r="I28586" t="s">
        <v>32773</v>
      </c>
      <c r="J28586" t="s">
        <v>9176</v>
      </c>
    </row>
    <row r="28587" spans="9:10" x14ac:dyDescent="0.3">
      <c r="I28587" t="s">
        <v>32774</v>
      </c>
    </row>
    <row r="28588" spans="9:10" x14ac:dyDescent="0.3">
      <c r="I28588" t="s">
        <v>32775</v>
      </c>
    </row>
    <row r="28589" spans="9:10" x14ac:dyDescent="0.3">
      <c r="I28589" t="s">
        <v>32776</v>
      </c>
    </row>
    <row r="28590" spans="9:10" x14ac:dyDescent="0.3">
      <c r="I28590" t="s">
        <v>32777</v>
      </c>
      <c r="J28590" t="s">
        <v>9177</v>
      </c>
    </row>
    <row r="28591" spans="9:10" x14ac:dyDescent="0.3">
      <c r="I28591" t="s">
        <v>32777</v>
      </c>
      <c r="J28591" t="s">
        <v>9177</v>
      </c>
    </row>
    <row r="28592" spans="9:10" x14ac:dyDescent="0.3">
      <c r="I28592" t="s">
        <v>32778</v>
      </c>
    </row>
    <row r="28593" spans="9:10" x14ac:dyDescent="0.3">
      <c r="I28593" t="s">
        <v>32779</v>
      </c>
    </row>
    <row r="28594" spans="9:10" x14ac:dyDescent="0.3">
      <c r="I28594" t="s">
        <v>32780</v>
      </c>
    </row>
    <row r="28595" spans="9:10" x14ac:dyDescent="0.3">
      <c r="I28595" t="s">
        <v>32781</v>
      </c>
      <c r="J28595" t="s">
        <v>9178</v>
      </c>
    </row>
    <row r="28596" spans="9:10" x14ac:dyDescent="0.3">
      <c r="I28596" t="s">
        <v>32782</v>
      </c>
    </row>
    <row r="28597" spans="9:10" x14ac:dyDescent="0.3">
      <c r="I28597" t="s">
        <v>32782</v>
      </c>
    </row>
    <row r="28598" spans="9:10" x14ac:dyDescent="0.3">
      <c r="I28598" t="s">
        <v>32783</v>
      </c>
    </row>
    <row r="28599" spans="9:10" x14ac:dyDescent="0.3">
      <c r="I28599" t="s">
        <v>32784</v>
      </c>
    </row>
    <row r="28600" spans="9:10" x14ac:dyDescent="0.3">
      <c r="I28600" t="s">
        <v>32785</v>
      </c>
    </row>
    <row r="28601" spans="9:10" x14ac:dyDescent="0.3">
      <c r="I28601" t="s">
        <v>32786</v>
      </c>
    </row>
    <row r="28602" spans="9:10" x14ac:dyDescent="0.3">
      <c r="I28602" t="s">
        <v>32787</v>
      </c>
    </row>
    <row r="28603" spans="9:10" x14ac:dyDescent="0.3">
      <c r="I28603" t="s">
        <v>32788</v>
      </c>
    </row>
    <row r="28604" spans="9:10" x14ac:dyDescent="0.3">
      <c r="I28604" t="s">
        <v>32789</v>
      </c>
    </row>
    <row r="28605" spans="9:10" x14ac:dyDescent="0.3">
      <c r="I28605" t="s">
        <v>32790</v>
      </c>
      <c r="J28605" t="s">
        <v>9179</v>
      </c>
    </row>
    <row r="28606" spans="9:10" x14ac:dyDescent="0.3">
      <c r="I28606" t="s">
        <v>32791</v>
      </c>
      <c r="J28606" t="s">
        <v>9180</v>
      </c>
    </row>
    <row r="28607" spans="9:10" x14ac:dyDescent="0.3">
      <c r="I28607" t="s">
        <v>32791</v>
      </c>
      <c r="J28607" t="s">
        <v>9180</v>
      </c>
    </row>
    <row r="28608" spans="9:10" x14ac:dyDescent="0.3">
      <c r="I28608" t="s">
        <v>32792</v>
      </c>
      <c r="J28608" t="s">
        <v>9181</v>
      </c>
    </row>
    <row r="28609" spans="9:9" x14ac:dyDescent="0.3">
      <c r="I28609" t="s">
        <v>32793</v>
      </c>
    </row>
    <row r="28610" spans="9:9" x14ac:dyDescent="0.3">
      <c r="I28610" t="s">
        <v>32794</v>
      </c>
    </row>
    <row r="28611" spans="9:9" x14ac:dyDescent="0.3">
      <c r="I28611" t="s">
        <v>32795</v>
      </c>
    </row>
    <row r="28612" spans="9:9" x14ac:dyDescent="0.3">
      <c r="I28612" t="s">
        <v>32796</v>
      </c>
    </row>
    <row r="28613" spans="9:9" x14ac:dyDescent="0.3">
      <c r="I28613" t="s">
        <v>32797</v>
      </c>
    </row>
    <row r="28614" spans="9:9" x14ac:dyDescent="0.3">
      <c r="I28614" t="s">
        <v>32798</v>
      </c>
    </row>
    <row r="28615" spans="9:9" x14ac:dyDescent="0.3">
      <c r="I28615" t="s">
        <v>32799</v>
      </c>
    </row>
    <row r="28616" spans="9:9" x14ac:dyDescent="0.3">
      <c r="I28616" t="s">
        <v>32800</v>
      </c>
    </row>
    <row r="28617" spans="9:9" x14ac:dyDescent="0.3">
      <c r="I28617" t="s">
        <v>32801</v>
      </c>
    </row>
    <row r="28618" spans="9:9" x14ac:dyDescent="0.3">
      <c r="I28618" t="s">
        <v>32802</v>
      </c>
    </row>
    <row r="28619" spans="9:9" x14ac:dyDescent="0.3">
      <c r="I28619" t="s">
        <v>32803</v>
      </c>
    </row>
    <row r="28620" spans="9:9" x14ac:dyDescent="0.3">
      <c r="I28620" t="s">
        <v>32804</v>
      </c>
    </row>
    <row r="28621" spans="9:9" x14ac:dyDescent="0.3">
      <c r="I28621" t="s">
        <v>32805</v>
      </c>
    </row>
    <row r="28622" spans="9:9" x14ac:dyDescent="0.3">
      <c r="I28622" t="s">
        <v>32806</v>
      </c>
    </row>
    <row r="28623" spans="9:9" x14ac:dyDescent="0.3">
      <c r="I28623" t="s">
        <v>32807</v>
      </c>
    </row>
    <row r="28624" spans="9:9" x14ac:dyDescent="0.3">
      <c r="I28624" t="s">
        <v>32808</v>
      </c>
    </row>
    <row r="28625" spans="9:10" x14ac:dyDescent="0.3">
      <c r="I28625" t="s">
        <v>32809</v>
      </c>
    </row>
    <row r="28626" spans="9:10" x14ac:dyDescent="0.3">
      <c r="I28626" t="s">
        <v>32810</v>
      </c>
    </row>
    <row r="28627" spans="9:10" x14ac:dyDescent="0.3">
      <c r="I28627" t="s">
        <v>32811</v>
      </c>
    </row>
    <row r="28628" spans="9:10" x14ac:dyDescent="0.3">
      <c r="I28628" t="s">
        <v>32812</v>
      </c>
    </row>
    <row r="28629" spans="9:10" x14ac:dyDescent="0.3">
      <c r="I28629" t="s">
        <v>32813</v>
      </c>
      <c r="J28629" t="s">
        <v>9182</v>
      </c>
    </row>
    <row r="28630" spans="9:10" x14ac:dyDescent="0.3">
      <c r="I28630" t="s">
        <v>32814</v>
      </c>
      <c r="J28630" t="s">
        <v>9183</v>
      </c>
    </row>
    <row r="28631" spans="9:10" x14ac:dyDescent="0.3">
      <c r="I28631" t="s">
        <v>32815</v>
      </c>
    </row>
    <row r="28632" spans="9:10" x14ac:dyDescent="0.3">
      <c r="I28632" t="s">
        <v>32816</v>
      </c>
    </row>
    <row r="28633" spans="9:10" x14ac:dyDescent="0.3">
      <c r="I28633" t="s">
        <v>32817</v>
      </c>
    </row>
    <row r="28634" spans="9:10" x14ac:dyDescent="0.3">
      <c r="I28634" t="s">
        <v>32818</v>
      </c>
    </row>
    <row r="28635" spans="9:10" x14ac:dyDescent="0.3">
      <c r="I28635" t="s">
        <v>32819</v>
      </c>
    </row>
    <row r="28636" spans="9:10" x14ac:dyDescent="0.3">
      <c r="I28636" t="s">
        <v>32820</v>
      </c>
    </row>
    <row r="28637" spans="9:10" x14ac:dyDescent="0.3">
      <c r="I28637" t="s">
        <v>32821</v>
      </c>
    </row>
    <row r="28638" spans="9:10" x14ac:dyDescent="0.3">
      <c r="I28638" t="s">
        <v>32822</v>
      </c>
    </row>
    <row r="28639" spans="9:10" x14ac:dyDescent="0.3">
      <c r="I28639" t="s">
        <v>32823</v>
      </c>
      <c r="J28639" t="s">
        <v>523</v>
      </c>
    </row>
    <row r="28640" spans="9:10" x14ac:dyDescent="0.3">
      <c r="I28640" t="s">
        <v>32824</v>
      </c>
      <c r="J28640" t="s">
        <v>9184</v>
      </c>
    </row>
    <row r="28641" spans="9:10" x14ac:dyDescent="0.3">
      <c r="I28641" t="s">
        <v>32825</v>
      </c>
      <c r="J28641" t="s">
        <v>729</v>
      </c>
    </row>
    <row r="28642" spans="9:10" x14ac:dyDescent="0.3">
      <c r="I28642" t="s">
        <v>32826</v>
      </c>
      <c r="J28642" t="s">
        <v>729</v>
      </c>
    </row>
    <row r="28643" spans="9:10" x14ac:dyDescent="0.3">
      <c r="I28643" t="s">
        <v>32827</v>
      </c>
      <c r="J28643" t="s">
        <v>193</v>
      </c>
    </row>
    <row r="28644" spans="9:10" x14ac:dyDescent="0.3">
      <c r="I28644" t="s">
        <v>32828</v>
      </c>
    </row>
    <row r="28645" spans="9:10" x14ac:dyDescent="0.3">
      <c r="I28645" t="s">
        <v>32829</v>
      </c>
    </row>
    <row r="28646" spans="9:10" x14ac:dyDescent="0.3">
      <c r="I28646" t="s">
        <v>32830</v>
      </c>
    </row>
    <row r="28647" spans="9:10" x14ac:dyDescent="0.3">
      <c r="I28647" t="s">
        <v>32831</v>
      </c>
    </row>
    <row r="28648" spans="9:10" x14ac:dyDescent="0.3">
      <c r="I28648" t="s">
        <v>32832</v>
      </c>
    </row>
    <row r="28649" spans="9:10" x14ac:dyDescent="0.3">
      <c r="I28649" t="s">
        <v>32833</v>
      </c>
    </row>
    <row r="28650" spans="9:10" x14ac:dyDescent="0.3">
      <c r="I28650" t="s">
        <v>32834</v>
      </c>
    </row>
    <row r="28651" spans="9:10" x14ac:dyDescent="0.3">
      <c r="I28651" t="s">
        <v>32835</v>
      </c>
    </row>
    <row r="28652" spans="9:10" x14ac:dyDescent="0.3">
      <c r="I28652" t="s">
        <v>32836</v>
      </c>
    </row>
    <row r="28653" spans="9:10" x14ac:dyDescent="0.3">
      <c r="I28653" t="s">
        <v>21405</v>
      </c>
    </row>
    <row r="28654" spans="9:10" x14ac:dyDescent="0.3">
      <c r="I28654" t="s">
        <v>32837</v>
      </c>
    </row>
    <row r="28655" spans="9:10" x14ac:dyDescent="0.3">
      <c r="I28655" t="s">
        <v>32838</v>
      </c>
    </row>
    <row r="28656" spans="9:10" x14ac:dyDescent="0.3">
      <c r="I28656" t="s">
        <v>32839</v>
      </c>
      <c r="J28656" t="s">
        <v>9185</v>
      </c>
    </row>
    <row r="28657" spans="9:10" x14ac:dyDescent="0.3">
      <c r="I28657" t="s">
        <v>32840</v>
      </c>
    </row>
    <row r="28658" spans="9:10" x14ac:dyDescent="0.3">
      <c r="I28658" t="s">
        <v>32841</v>
      </c>
    </row>
    <row r="28659" spans="9:10" x14ac:dyDescent="0.3">
      <c r="I28659" t="s">
        <v>32842</v>
      </c>
    </row>
    <row r="28660" spans="9:10" x14ac:dyDescent="0.3">
      <c r="I28660" t="s">
        <v>32843</v>
      </c>
    </row>
    <row r="28661" spans="9:10" x14ac:dyDescent="0.3">
      <c r="I28661" t="s">
        <v>32844</v>
      </c>
    </row>
    <row r="28662" spans="9:10" x14ac:dyDescent="0.3">
      <c r="I28662" t="s">
        <v>32845</v>
      </c>
    </row>
    <row r="28663" spans="9:10" x14ac:dyDescent="0.3">
      <c r="I28663" t="s">
        <v>32846</v>
      </c>
    </row>
    <row r="28664" spans="9:10" x14ac:dyDescent="0.3">
      <c r="I28664" t="s">
        <v>32847</v>
      </c>
    </row>
    <row r="28665" spans="9:10" x14ac:dyDescent="0.3">
      <c r="I28665" t="s">
        <v>32848</v>
      </c>
    </row>
    <row r="28666" spans="9:10" x14ac:dyDescent="0.3">
      <c r="I28666" t="s">
        <v>32849</v>
      </c>
      <c r="J28666">
        <v>0</v>
      </c>
    </row>
    <row r="28667" spans="9:10" x14ac:dyDescent="0.3">
      <c r="I28667" t="s">
        <v>32850</v>
      </c>
      <c r="J28667" t="s">
        <v>9186</v>
      </c>
    </row>
    <row r="28668" spans="9:10" x14ac:dyDescent="0.3">
      <c r="I28668" t="s">
        <v>32851</v>
      </c>
    </row>
    <row r="28669" spans="9:10" x14ac:dyDescent="0.3">
      <c r="I28669" t="s">
        <v>32852</v>
      </c>
    </row>
    <row r="28670" spans="9:10" x14ac:dyDescent="0.3">
      <c r="I28670" t="s">
        <v>32853</v>
      </c>
    </row>
    <row r="28671" spans="9:10" x14ac:dyDescent="0.3">
      <c r="I28671" t="s">
        <v>32854</v>
      </c>
    </row>
    <row r="28672" spans="9:10" x14ac:dyDescent="0.3">
      <c r="I28672" t="s">
        <v>32855</v>
      </c>
    </row>
    <row r="28673" spans="9:10" x14ac:dyDescent="0.3">
      <c r="I28673" t="s">
        <v>32856</v>
      </c>
      <c r="J28673" t="s">
        <v>9187</v>
      </c>
    </row>
    <row r="28674" spans="9:10" x14ac:dyDescent="0.3">
      <c r="I28674" t="s">
        <v>32857</v>
      </c>
      <c r="J28674" t="s">
        <v>9188</v>
      </c>
    </row>
    <row r="28675" spans="9:10" x14ac:dyDescent="0.3">
      <c r="I28675" t="s">
        <v>32858</v>
      </c>
      <c r="J28675" t="s">
        <v>2973</v>
      </c>
    </row>
    <row r="28676" spans="9:10" x14ac:dyDescent="0.3">
      <c r="I28676" t="s">
        <v>14564</v>
      </c>
      <c r="J28676" t="s">
        <v>2973</v>
      </c>
    </row>
    <row r="28677" spans="9:10" x14ac:dyDescent="0.3">
      <c r="I28677" t="s">
        <v>32859</v>
      </c>
      <c r="J28677" t="s">
        <v>2973</v>
      </c>
    </row>
    <row r="28678" spans="9:10" x14ac:dyDescent="0.3">
      <c r="I28678" t="s">
        <v>32860</v>
      </c>
      <c r="J28678" t="s">
        <v>2973</v>
      </c>
    </row>
    <row r="28679" spans="9:10" x14ac:dyDescent="0.3">
      <c r="I28679" t="s">
        <v>32861</v>
      </c>
    </row>
    <row r="28680" spans="9:10" x14ac:dyDescent="0.3">
      <c r="I28680" t="s">
        <v>32862</v>
      </c>
    </row>
    <row r="28681" spans="9:10" x14ac:dyDescent="0.3">
      <c r="I28681" t="s">
        <v>32863</v>
      </c>
    </row>
    <row r="28682" spans="9:10" x14ac:dyDescent="0.3">
      <c r="I28682" t="s">
        <v>32864</v>
      </c>
    </row>
    <row r="28683" spans="9:10" x14ac:dyDescent="0.3">
      <c r="I28683" t="s">
        <v>32865</v>
      </c>
    </row>
    <row r="28684" spans="9:10" x14ac:dyDescent="0.3">
      <c r="I28684" t="s">
        <v>32866</v>
      </c>
      <c r="J28684" t="s">
        <v>9189</v>
      </c>
    </row>
    <row r="28685" spans="9:10" x14ac:dyDescent="0.3">
      <c r="I28685" t="s">
        <v>32867</v>
      </c>
    </row>
    <row r="28686" spans="9:10" x14ac:dyDescent="0.3">
      <c r="I28686" t="s">
        <v>32868</v>
      </c>
    </row>
    <row r="28687" spans="9:10" x14ac:dyDescent="0.3">
      <c r="I28687" t="s">
        <v>32869</v>
      </c>
    </row>
    <row r="28688" spans="9:10" x14ac:dyDescent="0.3">
      <c r="I28688" t="s">
        <v>32870</v>
      </c>
    </row>
    <row r="28689" spans="9:10" x14ac:dyDescent="0.3">
      <c r="I28689" t="s">
        <v>32871</v>
      </c>
      <c r="J28689" t="s">
        <v>9190</v>
      </c>
    </row>
    <row r="28690" spans="9:10" x14ac:dyDescent="0.3">
      <c r="I28690" t="s">
        <v>32872</v>
      </c>
    </row>
    <row r="28691" spans="9:10" x14ac:dyDescent="0.3">
      <c r="I28691" t="s">
        <v>32873</v>
      </c>
    </row>
    <row r="28692" spans="9:10" x14ac:dyDescent="0.3">
      <c r="I28692" t="s">
        <v>32874</v>
      </c>
    </row>
    <row r="28693" spans="9:10" x14ac:dyDescent="0.3">
      <c r="I28693" t="s">
        <v>32875</v>
      </c>
    </row>
    <row r="28694" spans="9:10" x14ac:dyDescent="0.3">
      <c r="I28694" t="s">
        <v>32876</v>
      </c>
    </row>
    <row r="28695" spans="9:10" x14ac:dyDescent="0.3">
      <c r="I28695" t="s">
        <v>32877</v>
      </c>
    </row>
    <row r="28696" spans="9:10" x14ac:dyDescent="0.3">
      <c r="I28696" t="s">
        <v>32878</v>
      </c>
    </row>
    <row r="28697" spans="9:10" x14ac:dyDescent="0.3">
      <c r="I28697" t="s">
        <v>32879</v>
      </c>
    </row>
    <row r="28698" spans="9:10" x14ac:dyDescent="0.3">
      <c r="I28698" t="s">
        <v>32880</v>
      </c>
    </row>
    <row r="28699" spans="9:10" x14ac:dyDescent="0.3">
      <c r="I28699" t="s">
        <v>32881</v>
      </c>
    </row>
    <row r="28700" spans="9:10" x14ac:dyDescent="0.3">
      <c r="I28700" t="s">
        <v>32882</v>
      </c>
    </row>
    <row r="28701" spans="9:10" x14ac:dyDescent="0.3">
      <c r="I28701" t="s">
        <v>32883</v>
      </c>
    </row>
    <row r="28702" spans="9:10" x14ac:dyDescent="0.3">
      <c r="I28702" t="s">
        <v>32884</v>
      </c>
    </row>
    <row r="28703" spans="9:10" x14ac:dyDescent="0.3">
      <c r="I28703" t="s">
        <v>32885</v>
      </c>
    </row>
    <row r="28704" spans="9:10" x14ac:dyDescent="0.3">
      <c r="I28704" t="s">
        <v>32886</v>
      </c>
    </row>
    <row r="28705" spans="9:10" x14ac:dyDescent="0.3">
      <c r="I28705" t="s">
        <v>32887</v>
      </c>
    </row>
    <row r="28706" spans="9:10" x14ac:dyDescent="0.3">
      <c r="I28706" t="s">
        <v>32888</v>
      </c>
    </row>
    <row r="28707" spans="9:10" x14ac:dyDescent="0.3">
      <c r="I28707" t="s">
        <v>32889</v>
      </c>
    </row>
    <row r="28708" spans="9:10" x14ac:dyDescent="0.3">
      <c r="I28708" t="s">
        <v>32890</v>
      </c>
      <c r="J28708" t="s">
        <v>9191</v>
      </c>
    </row>
    <row r="28709" spans="9:10" x14ac:dyDescent="0.3">
      <c r="I28709" t="s">
        <v>32891</v>
      </c>
      <c r="J28709" t="s">
        <v>9192</v>
      </c>
    </row>
    <row r="28710" spans="9:10" x14ac:dyDescent="0.3">
      <c r="I28710" t="s">
        <v>32892</v>
      </c>
      <c r="J28710" t="s">
        <v>230</v>
      </c>
    </row>
    <row r="28711" spans="9:10" x14ac:dyDescent="0.3">
      <c r="I28711" t="s">
        <v>32893</v>
      </c>
      <c r="J28711" t="s">
        <v>230</v>
      </c>
    </row>
    <row r="28712" spans="9:10" x14ac:dyDescent="0.3">
      <c r="I28712" t="s">
        <v>32894</v>
      </c>
    </row>
    <row r="28713" spans="9:10" x14ac:dyDescent="0.3">
      <c r="I28713" t="s">
        <v>32895</v>
      </c>
    </row>
    <row r="28714" spans="9:10" x14ac:dyDescent="0.3">
      <c r="I28714" t="s">
        <v>32896</v>
      </c>
    </row>
    <row r="28715" spans="9:10" x14ac:dyDescent="0.3">
      <c r="I28715" t="s">
        <v>32897</v>
      </c>
      <c r="J28715" t="s">
        <v>9193</v>
      </c>
    </row>
    <row r="28716" spans="9:10" x14ac:dyDescent="0.3">
      <c r="I28716" t="s">
        <v>32898</v>
      </c>
    </row>
    <row r="28717" spans="9:10" x14ac:dyDescent="0.3">
      <c r="I28717" t="s">
        <v>32899</v>
      </c>
      <c r="J28717" t="s">
        <v>9194</v>
      </c>
    </row>
    <row r="28718" spans="9:10" x14ac:dyDescent="0.3">
      <c r="I28718" t="s">
        <v>32900</v>
      </c>
    </row>
    <row r="28719" spans="9:10" x14ac:dyDescent="0.3">
      <c r="I28719" t="s">
        <v>32901</v>
      </c>
    </row>
    <row r="28720" spans="9:10" x14ac:dyDescent="0.3">
      <c r="I28720" t="s">
        <v>32902</v>
      </c>
    </row>
    <row r="28721" spans="9:10" x14ac:dyDescent="0.3">
      <c r="I28721" t="s">
        <v>32903</v>
      </c>
    </row>
    <row r="28722" spans="9:10" x14ac:dyDescent="0.3">
      <c r="I28722" t="s">
        <v>32904</v>
      </c>
    </row>
    <row r="28723" spans="9:10" x14ac:dyDescent="0.3">
      <c r="I28723" t="s">
        <v>32905</v>
      </c>
    </row>
    <row r="28724" spans="9:10" x14ac:dyDescent="0.3">
      <c r="I28724" t="s">
        <v>32906</v>
      </c>
    </row>
    <row r="28725" spans="9:10" x14ac:dyDescent="0.3">
      <c r="I28725" t="s">
        <v>32907</v>
      </c>
      <c r="J28725" t="s">
        <v>272</v>
      </c>
    </row>
    <row r="28726" spans="9:10" x14ac:dyDescent="0.3">
      <c r="I28726" t="s">
        <v>32908</v>
      </c>
    </row>
    <row r="28727" spans="9:10" x14ac:dyDescent="0.3">
      <c r="I28727" t="s">
        <v>32909</v>
      </c>
    </row>
    <row r="28728" spans="9:10" x14ac:dyDescent="0.3">
      <c r="I28728" t="s">
        <v>32910</v>
      </c>
      <c r="J28728" t="s">
        <v>9195</v>
      </c>
    </row>
    <row r="28729" spans="9:10" x14ac:dyDescent="0.3">
      <c r="I28729" t="s">
        <v>32911</v>
      </c>
    </row>
    <row r="28730" spans="9:10" x14ac:dyDescent="0.3">
      <c r="I28730" t="s">
        <v>32912</v>
      </c>
    </row>
    <row r="28731" spans="9:10" x14ac:dyDescent="0.3">
      <c r="I28731" t="s">
        <v>32913</v>
      </c>
    </row>
    <row r="28732" spans="9:10" x14ac:dyDescent="0.3">
      <c r="I28732" t="s">
        <v>32914</v>
      </c>
    </row>
    <row r="28733" spans="9:10" x14ac:dyDescent="0.3">
      <c r="I28733" t="s">
        <v>32915</v>
      </c>
    </row>
    <row r="28734" spans="9:10" x14ac:dyDescent="0.3">
      <c r="I28734" t="s">
        <v>32916</v>
      </c>
      <c r="J28734" t="s">
        <v>9196</v>
      </c>
    </row>
    <row r="28735" spans="9:10" x14ac:dyDescent="0.3">
      <c r="I28735" t="s">
        <v>32917</v>
      </c>
      <c r="J28735" t="s">
        <v>9197</v>
      </c>
    </row>
    <row r="28736" spans="9:10" x14ac:dyDescent="0.3">
      <c r="I28736" t="s">
        <v>32918</v>
      </c>
      <c r="J28736" t="s">
        <v>9198</v>
      </c>
    </row>
    <row r="28737" spans="9:10" x14ac:dyDescent="0.3">
      <c r="I28737" t="s">
        <v>32919</v>
      </c>
      <c r="J28737" t="s">
        <v>9199</v>
      </c>
    </row>
    <row r="28738" spans="9:10" x14ac:dyDescent="0.3">
      <c r="I28738" t="s">
        <v>32920</v>
      </c>
    </row>
    <row r="28739" spans="9:10" x14ac:dyDescent="0.3">
      <c r="I28739" t="s">
        <v>32921</v>
      </c>
    </row>
    <row r="28740" spans="9:10" x14ac:dyDescent="0.3">
      <c r="I28740" t="s">
        <v>32922</v>
      </c>
    </row>
    <row r="28741" spans="9:10" x14ac:dyDescent="0.3">
      <c r="I28741" t="s">
        <v>32923</v>
      </c>
    </row>
    <row r="28742" spans="9:10" x14ac:dyDescent="0.3">
      <c r="I28742" t="s">
        <v>32924</v>
      </c>
    </row>
    <row r="28743" spans="9:10" x14ac:dyDescent="0.3">
      <c r="I28743" t="s">
        <v>32925</v>
      </c>
    </row>
    <row r="28744" spans="9:10" x14ac:dyDescent="0.3">
      <c r="I28744" t="s">
        <v>32926</v>
      </c>
    </row>
    <row r="28745" spans="9:10" x14ac:dyDescent="0.3">
      <c r="I28745" t="s">
        <v>32927</v>
      </c>
    </row>
    <row r="28746" spans="9:10" x14ac:dyDescent="0.3">
      <c r="I28746" t="s">
        <v>32928</v>
      </c>
    </row>
    <row r="28747" spans="9:10" x14ac:dyDescent="0.3">
      <c r="I28747" t="s">
        <v>32929</v>
      </c>
    </row>
    <row r="28748" spans="9:10" x14ac:dyDescent="0.3">
      <c r="I28748" t="s">
        <v>32930</v>
      </c>
    </row>
    <row r="28749" spans="9:10" x14ac:dyDescent="0.3">
      <c r="I28749" t="s">
        <v>32931</v>
      </c>
    </row>
    <row r="28750" spans="9:10" x14ac:dyDescent="0.3">
      <c r="I28750" t="s">
        <v>32932</v>
      </c>
    </row>
    <row r="28751" spans="9:10" x14ac:dyDescent="0.3">
      <c r="I28751" t="s">
        <v>32933</v>
      </c>
      <c r="J28751" t="s">
        <v>9200</v>
      </c>
    </row>
    <row r="28752" spans="9:10" x14ac:dyDescent="0.3">
      <c r="I28752" t="s">
        <v>32934</v>
      </c>
    </row>
    <row r="28753" spans="9:10" x14ac:dyDescent="0.3">
      <c r="I28753" t="s">
        <v>32935</v>
      </c>
    </row>
    <row r="28754" spans="9:10" x14ac:dyDescent="0.3">
      <c r="I28754" t="s">
        <v>32936</v>
      </c>
      <c r="J28754" t="s">
        <v>9201</v>
      </c>
    </row>
    <row r="28755" spans="9:10" x14ac:dyDescent="0.3">
      <c r="I28755" t="s">
        <v>32937</v>
      </c>
    </row>
    <row r="28756" spans="9:10" x14ac:dyDescent="0.3">
      <c r="I28756" t="s">
        <v>32938</v>
      </c>
    </row>
    <row r="28757" spans="9:10" x14ac:dyDescent="0.3">
      <c r="I28757" t="s">
        <v>32939</v>
      </c>
    </row>
    <row r="28758" spans="9:10" x14ac:dyDescent="0.3">
      <c r="I28758" t="s">
        <v>32940</v>
      </c>
    </row>
    <row r="28759" spans="9:10" x14ac:dyDescent="0.3">
      <c r="I28759" t="s">
        <v>32941</v>
      </c>
    </row>
    <row r="28760" spans="9:10" x14ac:dyDescent="0.3">
      <c r="I28760" t="s">
        <v>32942</v>
      </c>
    </row>
    <row r="28761" spans="9:10" x14ac:dyDescent="0.3">
      <c r="I28761" t="s">
        <v>32943</v>
      </c>
    </row>
    <row r="28762" spans="9:10" x14ac:dyDescent="0.3">
      <c r="I28762" t="s">
        <v>32944</v>
      </c>
    </row>
    <row r="28763" spans="9:10" x14ac:dyDescent="0.3">
      <c r="I28763" t="s">
        <v>32945</v>
      </c>
    </row>
    <row r="28764" spans="9:10" x14ac:dyDescent="0.3">
      <c r="I28764" t="s">
        <v>32946</v>
      </c>
    </row>
    <row r="28765" spans="9:10" x14ac:dyDescent="0.3">
      <c r="I28765" t="s">
        <v>32947</v>
      </c>
    </row>
    <row r="28766" spans="9:10" x14ac:dyDescent="0.3">
      <c r="I28766" t="s">
        <v>32948</v>
      </c>
      <c r="J28766" t="s">
        <v>9202</v>
      </c>
    </row>
    <row r="28767" spans="9:10" x14ac:dyDescent="0.3">
      <c r="I28767" t="s">
        <v>32949</v>
      </c>
      <c r="J28767" t="s">
        <v>9203</v>
      </c>
    </row>
    <row r="28768" spans="9:10" x14ac:dyDescent="0.3">
      <c r="I28768" t="s">
        <v>32950</v>
      </c>
    </row>
    <row r="28769" spans="9:10" x14ac:dyDescent="0.3">
      <c r="I28769" t="s">
        <v>32951</v>
      </c>
    </row>
    <row r="28770" spans="9:10" x14ac:dyDescent="0.3">
      <c r="I28770" t="s">
        <v>32952</v>
      </c>
    </row>
    <row r="28771" spans="9:10" x14ac:dyDescent="0.3">
      <c r="I28771" t="s">
        <v>32953</v>
      </c>
    </row>
    <row r="28772" spans="9:10" x14ac:dyDescent="0.3">
      <c r="I28772" t="s">
        <v>32954</v>
      </c>
    </row>
    <row r="28773" spans="9:10" x14ac:dyDescent="0.3">
      <c r="I28773" t="s">
        <v>32955</v>
      </c>
    </row>
    <row r="28774" spans="9:10" x14ac:dyDescent="0.3">
      <c r="I28774" t="s">
        <v>32956</v>
      </c>
    </row>
    <row r="28775" spans="9:10" x14ac:dyDescent="0.3">
      <c r="I28775" t="s">
        <v>32957</v>
      </c>
    </row>
    <row r="28776" spans="9:10" x14ac:dyDescent="0.3">
      <c r="I28776" t="s">
        <v>32958</v>
      </c>
    </row>
    <row r="28777" spans="9:10" x14ac:dyDescent="0.3">
      <c r="I28777" t="s">
        <v>32959</v>
      </c>
    </row>
    <row r="28778" spans="9:10" x14ac:dyDescent="0.3">
      <c r="I28778" t="s">
        <v>32960</v>
      </c>
    </row>
    <row r="28779" spans="9:10" x14ac:dyDescent="0.3">
      <c r="I28779" t="s">
        <v>32961</v>
      </c>
    </row>
    <row r="28780" spans="9:10" x14ac:dyDescent="0.3">
      <c r="I28780" t="s">
        <v>32962</v>
      </c>
    </row>
    <row r="28781" spans="9:10" x14ac:dyDescent="0.3">
      <c r="I28781" t="s">
        <v>32963</v>
      </c>
    </row>
    <row r="28782" spans="9:10" x14ac:dyDescent="0.3">
      <c r="I28782" t="s">
        <v>32964</v>
      </c>
    </row>
    <row r="28783" spans="9:10" x14ac:dyDescent="0.3">
      <c r="I28783" t="s">
        <v>32965</v>
      </c>
    </row>
    <row r="28784" spans="9:10" x14ac:dyDescent="0.3">
      <c r="I28784" t="s">
        <v>32966</v>
      </c>
      <c r="J28784" t="s">
        <v>9204</v>
      </c>
    </row>
    <row r="28785" spans="9:10" x14ac:dyDescent="0.3">
      <c r="I28785" t="s">
        <v>32967</v>
      </c>
      <c r="J28785" t="s">
        <v>271</v>
      </c>
    </row>
    <row r="28786" spans="9:10" x14ac:dyDescent="0.3">
      <c r="I28786" t="s">
        <v>32968</v>
      </c>
      <c r="J28786" t="s">
        <v>9205</v>
      </c>
    </row>
    <row r="28787" spans="9:10" x14ac:dyDescent="0.3">
      <c r="I28787" t="s">
        <v>32969</v>
      </c>
    </row>
    <row r="28788" spans="9:10" x14ac:dyDescent="0.3">
      <c r="I28788" t="s">
        <v>32970</v>
      </c>
    </row>
    <row r="28789" spans="9:10" x14ac:dyDescent="0.3">
      <c r="I28789" t="s">
        <v>32971</v>
      </c>
    </row>
    <row r="28790" spans="9:10" x14ac:dyDescent="0.3">
      <c r="I28790" t="s">
        <v>32972</v>
      </c>
    </row>
    <row r="28791" spans="9:10" x14ac:dyDescent="0.3">
      <c r="I28791" t="s">
        <v>32973</v>
      </c>
    </row>
    <row r="28792" spans="9:10" x14ac:dyDescent="0.3">
      <c r="I28792" t="s">
        <v>32974</v>
      </c>
    </row>
    <row r="28793" spans="9:10" x14ac:dyDescent="0.3">
      <c r="I28793" t="s">
        <v>32975</v>
      </c>
    </row>
    <row r="28794" spans="9:10" x14ac:dyDescent="0.3">
      <c r="I28794" t="s">
        <v>32976</v>
      </c>
    </row>
    <row r="28795" spans="9:10" x14ac:dyDescent="0.3">
      <c r="I28795" t="s">
        <v>32977</v>
      </c>
    </row>
    <row r="28796" spans="9:10" x14ac:dyDescent="0.3">
      <c r="I28796" t="s">
        <v>32978</v>
      </c>
      <c r="J28796" t="s">
        <v>9206</v>
      </c>
    </row>
    <row r="28797" spans="9:10" x14ac:dyDescent="0.3">
      <c r="I28797" t="s">
        <v>32979</v>
      </c>
      <c r="J28797" t="s">
        <v>9207</v>
      </c>
    </row>
    <row r="28798" spans="9:10" x14ac:dyDescent="0.3">
      <c r="I28798" t="s">
        <v>32980</v>
      </c>
      <c r="J28798" t="s">
        <v>9208</v>
      </c>
    </row>
    <row r="28799" spans="9:10" x14ac:dyDescent="0.3">
      <c r="I28799" t="s">
        <v>32981</v>
      </c>
      <c r="J28799" t="s">
        <v>9209</v>
      </c>
    </row>
    <row r="28800" spans="9:10" x14ac:dyDescent="0.3">
      <c r="I28800" t="s">
        <v>32982</v>
      </c>
    </row>
    <row r="28801" spans="9:10" x14ac:dyDescent="0.3">
      <c r="I28801" t="s">
        <v>32983</v>
      </c>
    </row>
    <row r="28802" spans="9:10" x14ac:dyDescent="0.3">
      <c r="I28802" t="s">
        <v>32984</v>
      </c>
    </row>
    <row r="28803" spans="9:10" x14ac:dyDescent="0.3">
      <c r="I28803" t="s">
        <v>32985</v>
      </c>
    </row>
    <row r="28804" spans="9:10" x14ac:dyDescent="0.3">
      <c r="I28804" t="s">
        <v>32986</v>
      </c>
    </row>
    <row r="28805" spans="9:10" x14ac:dyDescent="0.3">
      <c r="I28805" t="s">
        <v>32987</v>
      </c>
    </row>
    <row r="28806" spans="9:10" x14ac:dyDescent="0.3">
      <c r="I28806" t="s">
        <v>32988</v>
      </c>
    </row>
    <row r="28807" spans="9:10" x14ac:dyDescent="0.3">
      <c r="I28807" t="s">
        <v>32989</v>
      </c>
    </row>
    <row r="28808" spans="9:10" x14ac:dyDescent="0.3">
      <c r="I28808" t="s">
        <v>32990</v>
      </c>
    </row>
    <row r="28809" spans="9:10" x14ac:dyDescent="0.3">
      <c r="I28809" t="s">
        <v>32991</v>
      </c>
    </row>
    <row r="28810" spans="9:10" x14ac:dyDescent="0.3">
      <c r="I28810" t="s">
        <v>32992</v>
      </c>
      <c r="J28810" t="s">
        <v>9210</v>
      </c>
    </row>
    <row r="28811" spans="9:10" x14ac:dyDescent="0.3">
      <c r="I28811" t="s">
        <v>32993</v>
      </c>
      <c r="J28811" t="s">
        <v>9211</v>
      </c>
    </row>
    <row r="28812" spans="9:10" x14ac:dyDescent="0.3">
      <c r="I28812" t="s">
        <v>32994</v>
      </c>
    </row>
    <row r="28813" spans="9:10" x14ac:dyDescent="0.3">
      <c r="I28813" t="s">
        <v>32995</v>
      </c>
    </row>
    <row r="28814" spans="9:10" x14ac:dyDescent="0.3">
      <c r="I28814" t="s">
        <v>32996</v>
      </c>
    </row>
    <row r="28815" spans="9:10" x14ac:dyDescent="0.3">
      <c r="I28815" t="s">
        <v>32997</v>
      </c>
    </row>
    <row r="28816" spans="9:10" x14ac:dyDescent="0.3">
      <c r="I28816" t="s">
        <v>32998</v>
      </c>
    </row>
    <row r="28817" spans="9:9" x14ac:dyDescent="0.3">
      <c r="I28817" t="s">
        <v>32999</v>
      </c>
    </row>
    <row r="28818" spans="9:9" x14ac:dyDescent="0.3">
      <c r="I28818" t="s">
        <v>33000</v>
      </c>
    </row>
    <row r="28819" spans="9:9" x14ac:dyDescent="0.3">
      <c r="I28819" t="s">
        <v>33001</v>
      </c>
    </row>
    <row r="28820" spans="9:9" x14ac:dyDescent="0.3">
      <c r="I28820" t="s">
        <v>33002</v>
      </c>
    </row>
    <row r="28821" spans="9:9" x14ac:dyDescent="0.3">
      <c r="I28821" t="s">
        <v>33003</v>
      </c>
    </row>
    <row r="28822" spans="9:9" x14ac:dyDescent="0.3">
      <c r="I28822" t="s">
        <v>33004</v>
      </c>
    </row>
    <row r="28823" spans="9:9" x14ac:dyDescent="0.3">
      <c r="I28823" t="s">
        <v>33005</v>
      </c>
    </row>
    <row r="28824" spans="9:9" x14ac:dyDescent="0.3">
      <c r="I28824" t="s">
        <v>33006</v>
      </c>
    </row>
    <row r="28825" spans="9:9" x14ac:dyDescent="0.3">
      <c r="I28825" t="s">
        <v>33007</v>
      </c>
    </row>
    <row r="28826" spans="9:9" x14ac:dyDescent="0.3">
      <c r="I28826" t="s">
        <v>33008</v>
      </c>
    </row>
    <row r="28827" spans="9:9" x14ac:dyDescent="0.3">
      <c r="I28827" t="s">
        <v>33009</v>
      </c>
    </row>
    <row r="28828" spans="9:9" x14ac:dyDescent="0.3">
      <c r="I28828" t="s">
        <v>33010</v>
      </c>
    </row>
    <row r="28829" spans="9:9" x14ac:dyDescent="0.3">
      <c r="I28829" t="s">
        <v>33011</v>
      </c>
    </row>
    <row r="28830" spans="9:9" x14ac:dyDescent="0.3">
      <c r="I28830" t="s">
        <v>33012</v>
      </c>
    </row>
    <row r="28831" spans="9:9" x14ac:dyDescent="0.3">
      <c r="I28831" t="s">
        <v>33013</v>
      </c>
    </row>
    <row r="28832" spans="9:9" x14ac:dyDescent="0.3">
      <c r="I28832" t="s">
        <v>33014</v>
      </c>
    </row>
    <row r="28833" spans="9:10" x14ac:dyDescent="0.3">
      <c r="I28833" t="s">
        <v>33015</v>
      </c>
    </row>
    <row r="28834" spans="9:10" x14ac:dyDescent="0.3">
      <c r="I28834" t="s">
        <v>33015</v>
      </c>
    </row>
    <row r="28835" spans="9:10" x14ac:dyDescent="0.3">
      <c r="I28835" t="s">
        <v>33016</v>
      </c>
      <c r="J28835" t="s">
        <v>9212</v>
      </c>
    </row>
    <row r="28836" spans="9:10" x14ac:dyDescent="0.3">
      <c r="I28836" t="s">
        <v>33017</v>
      </c>
    </row>
    <row r="28837" spans="9:10" x14ac:dyDescent="0.3">
      <c r="I28837" t="s">
        <v>33018</v>
      </c>
    </row>
    <row r="28838" spans="9:10" x14ac:dyDescent="0.3">
      <c r="I28838" t="s">
        <v>33019</v>
      </c>
    </row>
    <row r="28839" spans="9:10" x14ac:dyDescent="0.3">
      <c r="I28839" t="s">
        <v>33020</v>
      </c>
    </row>
    <row r="28840" spans="9:10" x14ac:dyDescent="0.3">
      <c r="I28840" t="s">
        <v>33021</v>
      </c>
    </row>
    <row r="28841" spans="9:10" x14ac:dyDescent="0.3">
      <c r="I28841" t="s">
        <v>33022</v>
      </c>
    </row>
    <row r="28842" spans="9:10" x14ac:dyDescent="0.3">
      <c r="I28842" t="s">
        <v>33023</v>
      </c>
    </row>
    <row r="28843" spans="9:10" x14ac:dyDescent="0.3">
      <c r="I28843" t="s">
        <v>33024</v>
      </c>
      <c r="J28843" t="s">
        <v>9213</v>
      </c>
    </row>
    <row r="28844" spans="9:10" x14ac:dyDescent="0.3">
      <c r="I28844" t="s">
        <v>33025</v>
      </c>
      <c r="J28844" t="s">
        <v>408</v>
      </c>
    </row>
    <row r="28845" spans="9:10" x14ac:dyDescent="0.3">
      <c r="I28845" t="s">
        <v>33026</v>
      </c>
      <c r="J28845" t="s">
        <v>9214</v>
      </c>
    </row>
    <row r="28846" spans="9:10" x14ac:dyDescent="0.3">
      <c r="I28846" t="s">
        <v>33027</v>
      </c>
    </row>
    <row r="28847" spans="9:10" x14ac:dyDescent="0.3">
      <c r="I28847" t="s">
        <v>33028</v>
      </c>
    </row>
    <row r="28848" spans="9:10" x14ac:dyDescent="0.3">
      <c r="I28848" t="s">
        <v>33028</v>
      </c>
    </row>
    <row r="28849" spans="9:10" x14ac:dyDescent="0.3">
      <c r="I28849" t="s">
        <v>33029</v>
      </c>
    </row>
    <row r="28850" spans="9:10" x14ac:dyDescent="0.3">
      <c r="I28850" t="s">
        <v>33030</v>
      </c>
    </row>
    <row r="28851" spans="9:10" x14ac:dyDescent="0.3">
      <c r="I28851" t="s">
        <v>33031</v>
      </c>
    </row>
    <row r="28852" spans="9:10" x14ac:dyDescent="0.3">
      <c r="I28852" t="s">
        <v>33032</v>
      </c>
    </row>
    <row r="28853" spans="9:10" x14ac:dyDescent="0.3">
      <c r="I28853" t="s">
        <v>33033</v>
      </c>
    </row>
    <row r="28854" spans="9:10" x14ac:dyDescent="0.3">
      <c r="I28854" t="s">
        <v>33034</v>
      </c>
    </row>
    <row r="28855" spans="9:10" x14ac:dyDescent="0.3">
      <c r="I28855" t="s">
        <v>33035</v>
      </c>
    </row>
    <row r="28856" spans="9:10" x14ac:dyDescent="0.3">
      <c r="I28856" t="s">
        <v>33036</v>
      </c>
    </row>
    <row r="28857" spans="9:10" x14ac:dyDescent="0.3">
      <c r="I28857" t="s">
        <v>33037</v>
      </c>
      <c r="J28857" t="s">
        <v>9215</v>
      </c>
    </row>
    <row r="28858" spans="9:10" x14ac:dyDescent="0.3">
      <c r="I28858" t="s">
        <v>33037</v>
      </c>
      <c r="J28858" t="s">
        <v>9215</v>
      </c>
    </row>
    <row r="28859" spans="9:10" x14ac:dyDescent="0.3">
      <c r="I28859" t="s">
        <v>33038</v>
      </c>
      <c r="J28859" t="s">
        <v>9216</v>
      </c>
    </row>
    <row r="28860" spans="9:10" x14ac:dyDescent="0.3">
      <c r="I28860" t="s">
        <v>33039</v>
      </c>
    </row>
    <row r="28861" spans="9:10" x14ac:dyDescent="0.3">
      <c r="I28861" t="s">
        <v>33040</v>
      </c>
    </row>
    <row r="28862" spans="9:10" x14ac:dyDescent="0.3">
      <c r="I28862" t="s">
        <v>33041</v>
      </c>
    </row>
    <row r="28863" spans="9:10" x14ac:dyDescent="0.3">
      <c r="I28863" t="s">
        <v>33042</v>
      </c>
    </row>
    <row r="28864" spans="9:10" x14ac:dyDescent="0.3">
      <c r="I28864" t="s">
        <v>33043</v>
      </c>
    </row>
    <row r="28865" spans="9:10" x14ac:dyDescent="0.3">
      <c r="I28865" t="s">
        <v>33044</v>
      </c>
    </row>
    <row r="28866" spans="9:10" x14ac:dyDescent="0.3">
      <c r="I28866" t="s">
        <v>33045</v>
      </c>
    </row>
    <row r="28867" spans="9:10" x14ac:dyDescent="0.3">
      <c r="I28867" t="s">
        <v>33046</v>
      </c>
    </row>
    <row r="28868" spans="9:10" x14ac:dyDescent="0.3">
      <c r="I28868" t="s">
        <v>33047</v>
      </c>
    </row>
    <row r="28869" spans="9:10" x14ac:dyDescent="0.3">
      <c r="I28869" t="s">
        <v>33048</v>
      </c>
    </row>
    <row r="28870" spans="9:10" x14ac:dyDescent="0.3">
      <c r="I28870" t="s">
        <v>33049</v>
      </c>
    </row>
    <row r="28871" spans="9:10" x14ac:dyDescent="0.3">
      <c r="I28871" t="s">
        <v>33050</v>
      </c>
    </row>
    <row r="28872" spans="9:10" x14ac:dyDescent="0.3">
      <c r="I28872" t="s">
        <v>33051</v>
      </c>
      <c r="J28872" t="s">
        <v>9217</v>
      </c>
    </row>
    <row r="28873" spans="9:10" x14ac:dyDescent="0.3">
      <c r="I28873" t="s">
        <v>33052</v>
      </c>
      <c r="J28873">
        <v>0</v>
      </c>
    </row>
    <row r="28874" spans="9:10" x14ac:dyDescent="0.3">
      <c r="I28874" t="s">
        <v>33053</v>
      </c>
    </row>
    <row r="28875" spans="9:10" x14ac:dyDescent="0.3">
      <c r="I28875" t="s">
        <v>33054</v>
      </c>
    </row>
    <row r="28876" spans="9:10" x14ac:dyDescent="0.3">
      <c r="I28876" t="s">
        <v>33055</v>
      </c>
    </row>
    <row r="28877" spans="9:10" x14ac:dyDescent="0.3">
      <c r="I28877" t="s">
        <v>33056</v>
      </c>
    </row>
    <row r="28878" spans="9:10" x14ac:dyDescent="0.3">
      <c r="I28878" t="s">
        <v>33057</v>
      </c>
    </row>
    <row r="28879" spans="9:10" x14ac:dyDescent="0.3">
      <c r="I28879" t="s">
        <v>33058</v>
      </c>
    </row>
    <row r="28880" spans="9:10" x14ac:dyDescent="0.3">
      <c r="I28880" t="s">
        <v>33059</v>
      </c>
    </row>
    <row r="28881" spans="9:10" x14ac:dyDescent="0.3">
      <c r="I28881" t="s">
        <v>33060</v>
      </c>
    </row>
    <row r="28882" spans="9:10" x14ac:dyDescent="0.3">
      <c r="I28882" t="s">
        <v>33061</v>
      </c>
    </row>
    <row r="28883" spans="9:10" x14ac:dyDescent="0.3">
      <c r="I28883" t="s">
        <v>33062</v>
      </c>
    </row>
    <row r="28884" spans="9:10" x14ac:dyDescent="0.3">
      <c r="I28884" t="s">
        <v>33063</v>
      </c>
    </row>
    <row r="28885" spans="9:10" x14ac:dyDescent="0.3">
      <c r="I28885" t="s">
        <v>33064</v>
      </c>
    </row>
    <row r="28886" spans="9:10" x14ac:dyDescent="0.3">
      <c r="I28886" t="s">
        <v>33065</v>
      </c>
    </row>
    <row r="28887" spans="9:10" x14ac:dyDescent="0.3">
      <c r="I28887" t="s">
        <v>33066</v>
      </c>
    </row>
    <row r="28888" spans="9:10" x14ac:dyDescent="0.3">
      <c r="I28888" t="s">
        <v>33067</v>
      </c>
    </row>
    <row r="28889" spans="9:10" x14ac:dyDescent="0.3">
      <c r="I28889" t="s">
        <v>33068</v>
      </c>
    </row>
    <row r="28890" spans="9:10" x14ac:dyDescent="0.3">
      <c r="I28890" t="s">
        <v>33069</v>
      </c>
      <c r="J28890" t="s">
        <v>9218</v>
      </c>
    </row>
    <row r="28891" spans="9:10" x14ac:dyDescent="0.3">
      <c r="I28891" t="s">
        <v>33070</v>
      </c>
    </row>
    <row r="28892" spans="9:10" x14ac:dyDescent="0.3">
      <c r="I28892" t="s">
        <v>33071</v>
      </c>
    </row>
    <row r="28893" spans="9:10" x14ac:dyDescent="0.3">
      <c r="I28893" t="s">
        <v>33072</v>
      </c>
    </row>
    <row r="28894" spans="9:10" x14ac:dyDescent="0.3">
      <c r="I28894" t="s">
        <v>33073</v>
      </c>
    </row>
    <row r="28895" spans="9:10" x14ac:dyDescent="0.3">
      <c r="I28895" t="s">
        <v>33074</v>
      </c>
    </row>
    <row r="28896" spans="9:10" x14ac:dyDescent="0.3">
      <c r="I28896" t="s">
        <v>33075</v>
      </c>
    </row>
    <row r="28897" spans="9:10" x14ac:dyDescent="0.3">
      <c r="I28897" t="s">
        <v>33076</v>
      </c>
    </row>
    <row r="28898" spans="9:10" x14ac:dyDescent="0.3">
      <c r="I28898" t="s">
        <v>33077</v>
      </c>
    </row>
    <row r="28899" spans="9:10" x14ac:dyDescent="0.3">
      <c r="I28899" t="s">
        <v>33078</v>
      </c>
    </row>
    <row r="28900" spans="9:10" x14ac:dyDescent="0.3">
      <c r="I28900" t="s">
        <v>33079</v>
      </c>
    </row>
    <row r="28901" spans="9:10" x14ac:dyDescent="0.3">
      <c r="I28901" t="s">
        <v>33080</v>
      </c>
    </row>
    <row r="28902" spans="9:10" x14ac:dyDescent="0.3">
      <c r="I28902" t="s">
        <v>33081</v>
      </c>
    </row>
    <row r="28903" spans="9:10" x14ac:dyDescent="0.3">
      <c r="I28903" t="s">
        <v>33082</v>
      </c>
    </row>
    <row r="28904" spans="9:10" x14ac:dyDescent="0.3">
      <c r="I28904" t="s">
        <v>33083</v>
      </c>
    </row>
    <row r="28905" spans="9:10" x14ac:dyDescent="0.3">
      <c r="I28905" t="s">
        <v>33084</v>
      </c>
    </row>
    <row r="28906" spans="9:10" x14ac:dyDescent="0.3">
      <c r="I28906" t="s">
        <v>33085</v>
      </c>
    </row>
    <row r="28907" spans="9:10" x14ac:dyDescent="0.3">
      <c r="I28907" t="s">
        <v>33086</v>
      </c>
    </row>
    <row r="28908" spans="9:10" x14ac:dyDescent="0.3">
      <c r="I28908" t="s">
        <v>33087</v>
      </c>
    </row>
    <row r="28909" spans="9:10" x14ac:dyDescent="0.3">
      <c r="I28909" t="s">
        <v>33088</v>
      </c>
    </row>
    <row r="28910" spans="9:10" x14ac:dyDescent="0.3">
      <c r="I28910" t="s">
        <v>33089</v>
      </c>
      <c r="J28910" t="s">
        <v>9219</v>
      </c>
    </row>
    <row r="28911" spans="9:10" x14ac:dyDescent="0.3">
      <c r="I28911" t="s">
        <v>33090</v>
      </c>
      <c r="J28911" t="s">
        <v>9220</v>
      </c>
    </row>
    <row r="28912" spans="9:10" x14ac:dyDescent="0.3">
      <c r="I28912" t="s">
        <v>33091</v>
      </c>
    </row>
    <row r="28913" spans="9:9" x14ac:dyDescent="0.3">
      <c r="I28913" t="s">
        <v>33092</v>
      </c>
    </row>
    <row r="28914" spans="9:9" x14ac:dyDescent="0.3">
      <c r="I28914" t="s">
        <v>33093</v>
      </c>
    </row>
    <row r="28915" spans="9:9" x14ac:dyDescent="0.3">
      <c r="I28915" t="s">
        <v>33094</v>
      </c>
    </row>
    <row r="28916" spans="9:9" x14ac:dyDescent="0.3">
      <c r="I28916" t="s">
        <v>33095</v>
      </c>
    </row>
    <row r="28917" spans="9:9" x14ac:dyDescent="0.3">
      <c r="I28917" t="s">
        <v>33096</v>
      </c>
    </row>
    <row r="28918" spans="9:9" x14ac:dyDescent="0.3">
      <c r="I28918" t="s">
        <v>33097</v>
      </c>
    </row>
    <row r="28919" spans="9:9" x14ac:dyDescent="0.3">
      <c r="I28919" t="s">
        <v>33098</v>
      </c>
    </row>
    <row r="28920" spans="9:9" x14ac:dyDescent="0.3">
      <c r="I28920" t="s">
        <v>33099</v>
      </c>
    </row>
    <row r="28921" spans="9:9" x14ac:dyDescent="0.3">
      <c r="I28921" t="s">
        <v>33100</v>
      </c>
    </row>
    <row r="28922" spans="9:9" x14ac:dyDescent="0.3">
      <c r="I28922" t="s">
        <v>33101</v>
      </c>
    </row>
    <row r="28923" spans="9:9" x14ac:dyDescent="0.3">
      <c r="I28923" t="s">
        <v>33102</v>
      </c>
    </row>
    <row r="28924" spans="9:9" x14ac:dyDescent="0.3">
      <c r="I28924" t="s">
        <v>33103</v>
      </c>
    </row>
    <row r="28925" spans="9:9" x14ac:dyDescent="0.3">
      <c r="I28925" t="s">
        <v>33104</v>
      </c>
    </row>
    <row r="28926" spans="9:9" x14ac:dyDescent="0.3">
      <c r="I28926" t="s">
        <v>33105</v>
      </c>
    </row>
    <row r="28927" spans="9:9" x14ac:dyDescent="0.3">
      <c r="I28927" t="s">
        <v>33106</v>
      </c>
    </row>
    <row r="28928" spans="9:9" x14ac:dyDescent="0.3">
      <c r="I28928" t="s">
        <v>33107</v>
      </c>
    </row>
    <row r="28929" spans="9:9" x14ac:dyDescent="0.3">
      <c r="I28929" t="s">
        <v>33108</v>
      </c>
    </row>
    <row r="28930" spans="9:9" x14ac:dyDescent="0.3">
      <c r="I28930" t="s">
        <v>33109</v>
      </c>
    </row>
    <row r="28931" spans="9:9" x14ac:dyDescent="0.3">
      <c r="I28931" t="s">
        <v>33110</v>
      </c>
    </row>
    <row r="28932" spans="9:9" x14ac:dyDescent="0.3">
      <c r="I28932" t="s">
        <v>33111</v>
      </c>
    </row>
    <row r="28933" spans="9:9" x14ac:dyDescent="0.3">
      <c r="I28933" t="s">
        <v>33112</v>
      </c>
    </row>
    <row r="28934" spans="9:9" x14ac:dyDescent="0.3">
      <c r="I28934" t="s">
        <v>33113</v>
      </c>
    </row>
    <row r="28935" spans="9:9" x14ac:dyDescent="0.3">
      <c r="I28935" t="s">
        <v>33114</v>
      </c>
    </row>
    <row r="28936" spans="9:9" x14ac:dyDescent="0.3">
      <c r="I28936" t="s">
        <v>33115</v>
      </c>
    </row>
    <row r="28937" spans="9:9" x14ac:dyDescent="0.3">
      <c r="I28937" t="s">
        <v>33116</v>
      </c>
    </row>
    <row r="28938" spans="9:9" x14ac:dyDescent="0.3">
      <c r="I28938" t="s">
        <v>33117</v>
      </c>
    </row>
    <row r="28939" spans="9:9" x14ac:dyDescent="0.3">
      <c r="I28939" t="s">
        <v>33118</v>
      </c>
    </row>
    <row r="28940" spans="9:9" x14ac:dyDescent="0.3">
      <c r="I28940" t="s">
        <v>33119</v>
      </c>
    </row>
    <row r="28941" spans="9:9" x14ac:dyDescent="0.3">
      <c r="I28941" t="s">
        <v>33120</v>
      </c>
    </row>
    <row r="28942" spans="9:9" x14ac:dyDescent="0.3">
      <c r="I28942" t="s">
        <v>33121</v>
      </c>
    </row>
    <row r="28943" spans="9:9" x14ac:dyDescent="0.3">
      <c r="I28943" t="s">
        <v>33122</v>
      </c>
    </row>
    <row r="28944" spans="9:9" x14ac:dyDescent="0.3">
      <c r="I28944" t="s">
        <v>33123</v>
      </c>
    </row>
    <row r="28945" spans="9:10" x14ac:dyDescent="0.3">
      <c r="I28945" t="s">
        <v>33124</v>
      </c>
    </row>
    <row r="28946" spans="9:10" x14ac:dyDescent="0.3">
      <c r="I28946" t="s">
        <v>33125</v>
      </c>
    </row>
    <row r="28947" spans="9:10" x14ac:dyDescent="0.3">
      <c r="I28947" t="s">
        <v>33126</v>
      </c>
    </row>
    <row r="28948" spans="9:10" x14ac:dyDescent="0.3">
      <c r="I28948" t="s">
        <v>33127</v>
      </c>
    </row>
    <row r="28949" spans="9:10" x14ac:dyDescent="0.3">
      <c r="I28949" t="s">
        <v>33128</v>
      </c>
    </row>
    <row r="28950" spans="9:10" x14ac:dyDescent="0.3">
      <c r="I28950" t="s">
        <v>33129</v>
      </c>
    </row>
    <row r="28951" spans="9:10" x14ac:dyDescent="0.3">
      <c r="I28951" t="s">
        <v>33130</v>
      </c>
    </row>
    <row r="28952" spans="9:10" x14ac:dyDescent="0.3">
      <c r="I28952" t="s">
        <v>33131</v>
      </c>
    </row>
    <row r="28953" spans="9:10" x14ac:dyDescent="0.3">
      <c r="I28953" t="s">
        <v>33132</v>
      </c>
    </row>
    <row r="28954" spans="9:10" x14ac:dyDescent="0.3">
      <c r="I28954" t="s">
        <v>33133</v>
      </c>
    </row>
    <row r="28955" spans="9:10" x14ac:dyDescent="0.3">
      <c r="I28955" t="s">
        <v>33134</v>
      </c>
    </row>
    <row r="28956" spans="9:10" x14ac:dyDescent="0.3">
      <c r="I28956" t="s">
        <v>33135</v>
      </c>
    </row>
    <row r="28957" spans="9:10" x14ac:dyDescent="0.3">
      <c r="I28957" t="s">
        <v>33136</v>
      </c>
      <c r="J28957" t="s">
        <v>9221</v>
      </c>
    </row>
    <row r="28958" spans="9:10" x14ac:dyDescent="0.3">
      <c r="I28958" t="s">
        <v>33137</v>
      </c>
      <c r="J28958" t="s">
        <v>9222</v>
      </c>
    </row>
    <row r="28959" spans="9:10" x14ac:dyDescent="0.3">
      <c r="I28959" t="s">
        <v>33138</v>
      </c>
    </row>
    <row r="28960" spans="9:10" x14ac:dyDescent="0.3">
      <c r="I28960" t="s">
        <v>33139</v>
      </c>
    </row>
    <row r="28961" spans="9:10" x14ac:dyDescent="0.3">
      <c r="I28961" t="s">
        <v>33140</v>
      </c>
    </row>
    <row r="28962" spans="9:10" x14ac:dyDescent="0.3">
      <c r="I28962" t="s">
        <v>33141</v>
      </c>
    </row>
    <row r="28963" spans="9:10" x14ac:dyDescent="0.3">
      <c r="I28963" t="s">
        <v>33142</v>
      </c>
    </row>
    <row r="28964" spans="9:10" x14ac:dyDescent="0.3">
      <c r="I28964" t="s">
        <v>33143</v>
      </c>
    </row>
    <row r="28965" spans="9:10" x14ac:dyDescent="0.3">
      <c r="I28965" t="s">
        <v>33144</v>
      </c>
    </row>
    <row r="28966" spans="9:10" x14ac:dyDescent="0.3">
      <c r="I28966" t="s">
        <v>33145</v>
      </c>
    </row>
    <row r="28967" spans="9:10" x14ac:dyDescent="0.3">
      <c r="I28967" t="s">
        <v>33146</v>
      </c>
    </row>
    <row r="28968" spans="9:10" x14ac:dyDescent="0.3">
      <c r="I28968" t="s">
        <v>33147</v>
      </c>
    </row>
    <row r="28969" spans="9:10" x14ac:dyDescent="0.3">
      <c r="I28969" t="s">
        <v>33148</v>
      </c>
      <c r="J28969" t="s">
        <v>9223</v>
      </c>
    </row>
    <row r="28970" spans="9:10" x14ac:dyDescent="0.3">
      <c r="I28970" t="s">
        <v>33149</v>
      </c>
      <c r="J28970" t="s">
        <v>9223</v>
      </c>
    </row>
    <row r="28971" spans="9:10" x14ac:dyDescent="0.3">
      <c r="I28971" t="s">
        <v>33150</v>
      </c>
    </row>
    <row r="28972" spans="9:10" x14ac:dyDescent="0.3">
      <c r="I28972" t="s">
        <v>33151</v>
      </c>
    </row>
    <row r="28973" spans="9:10" x14ac:dyDescent="0.3">
      <c r="I28973" t="s">
        <v>33152</v>
      </c>
    </row>
    <row r="28974" spans="9:10" x14ac:dyDescent="0.3">
      <c r="I28974" t="s">
        <v>33153</v>
      </c>
    </row>
    <row r="28975" spans="9:10" x14ac:dyDescent="0.3">
      <c r="I28975" t="s">
        <v>33154</v>
      </c>
    </row>
    <row r="28976" spans="9:10" x14ac:dyDescent="0.3">
      <c r="I28976" t="s">
        <v>33155</v>
      </c>
    </row>
    <row r="28977" spans="9:10" x14ac:dyDescent="0.3">
      <c r="I28977" t="s">
        <v>33156</v>
      </c>
    </row>
    <row r="28978" spans="9:10" x14ac:dyDescent="0.3">
      <c r="I28978" t="s">
        <v>33157</v>
      </c>
    </row>
    <row r="28979" spans="9:10" x14ac:dyDescent="0.3">
      <c r="I28979" t="s">
        <v>33158</v>
      </c>
    </row>
    <row r="28980" spans="9:10" x14ac:dyDescent="0.3">
      <c r="I28980" t="s">
        <v>33159</v>
      </c>
    </row>
    <row r="28981" spans="9:10" x14ac:dyDescent="0.3">
      <c r="I28981" t="s">
        <v>33160</v>
      </c>
      <c r="J28981" t="s">
        <v>9224</v>
      </c>
    </row>
    <row r="28982" spans="9:10" x14ac:dyDescent="0.3">
      <c r="I28982" t="s">
        <v>33161</v>
      </c>
    </row>
    <row r="28983" spans="9:10" x14ac:dyDescent="0.3">
      <c r="I28983" t="s">
        <v>33162</v>
      </c>
    </row>
    <row r="28984" spans="9:10" x14ac:dyDescent="0.3">
      <c r="I28984" t="s">
        <v>33163</v>
      </c>
    </row>
    <row r="28985" spans="9:10" x14ac:dyDescent="0.3">
      <c r="I28985" t="s">
        <v>33164</v>
      </c>
    </row>
    <row r="28986" spans="9:10" x14ac:dyDescent="0.3">
      <c r="I28986" t="s">
        <v>33165</v>
      </c>
    </row>
    <row r="28987" spans="9:10" x14ac:dyDescent="0.3">
      <c r="I28987" t="s">
        <v>33166</v>
      </c>
    </row>
    <row r="28988" spans="9:10" x14ac:dyDescent="0.3">
      <c r="I28988" t="s">
        <v>33167</v>
      </c>
    </row>
    <row r="28989" spans="9:10" x14ac:dyDescent="0.3">
      <c r="I28989" t="s">
        <v>33168</v>
      </c>
    </row>
    <row r="28990" spans="9:10" x14ac:dyDescent="0.3">
      <c r="I28990" t="s">
        <v>33169</v>
      </c>
    </row>
    <row r="28991" spans="9:10" x14ac:dyDescent="0.3">
      <c r="I28991" t="s">
        <v>33170</v>
      </c>
    </row>
    <row r="28992" spans="9:10" x14ac:dyDescent="0.3">
      <c r="I28992" t="s">
        <v>33171</v>
      </c>
    </row>
    <row r="28993" spans="9:10" x14ac:dyDescent="0.3">
      <c r="I28993" t="s">
        <v>33172</v>
      </c>
    </row>
    <row r="28994" spans="9:10" x14ac:dyDescent="0.3">
      <c r="I28994" t="s">
        <v>33173</v>
      </c>
    </row>
    <row r="28995" spans="9:10" x14ac:dyDescent="0.3">
      <c r="I28995" t="s">
        <v>33174</v>
      </c>
    </row>
    <row r="28996" spans="9:10" x14ac:dyDescent="0.3">
      <c r="I28996" t="s">
        <v>33175</v>
      </c>
    </row>
    <row r="28997" spans="9:10" x14ac:dyDescent="0.3">
      <c r="I28997" t="s">
        <v>33176</v>
      </c>
    </row>
    <row r="28998" spans="9:10" x14ac:dyDescent="0.3">
      <c r="I28998" t="s">
        <v>33177</v>
      </c>
    </row>
    <row r="28999" spans="9:10" x14ac:dyDescent="0.3">
      <c r="I28999" t="s">
        <v>33178</v>
      </c>
      <c r="J28999" t="s">
        <v>9225</v>
      </c>
    </row>
    <row r="29000" spans="9:10" x14ac:dyDescent="0.3">
      <c r="I29000" t="s">
        <v>33178</v>
      </c>
      <c r="J29000" t="s">
        <v>9225</v>
      </c>
    </row>
    <row r="29001" spans="9:10" x14ac:dyDescent="0.3">
      <c r="I29001" t="s">
        <v>33178</v>
      </c>
      <c r="J29001" t="s">
        <v>9225</v>
      </c>
    </row>
    <row r="29002" spans="9:10" x14ac:dyDescent="0.3">
      <c r="I29002" t="s">
        <v>33179</v>
      </c>
    </row>
    <row r="29003" spans="9:10" x14ac:dyDescent="0.3">
      <c r="I29003" t="s">
        <v>33180</v>
      </c>
    </row>
    <row r="29004" spans="9:10" x14ac:dyDescent="0.3">
      <c r="I29004" t="s">
        <v>33181</v>
      </c>
    </row>
    <row r="29005" spans="9:10" x14ac:dyDescent="0.3">
      <c r="I29005" t="s">
        <v>33182</v>
      </c>
    </row>
    <row r="29006" spans="9:10" x14ac:dyDescent="0.3">
      <c r="I29006" t="s">
        <v>33183</v>
      </c>
    </row>
    <row r="29007" spans="9:10" x14ac:dyDescent="0.3">
      <c r="I29007" t="s">
        <v>33184</v>
      </c>
    </row>
    <row r="29008" spans="9:10" x14ac:dyDescent="0.3">
      <c r="I29008" t="s">
        <v>33185</v>
      </c>
      <c r="J29008" t="s">
        <v>9226</v>
      </c>
    </row>
    <row r="29009" spans="9:10" x14ac:dyDescent="0.3">
      <c r="I29009" t="s">
        <v>33186</v>
      </c>
    </row>
    <row r="29010" spans="9:10" x14ac:dyDescent="0.3">
      <c r="I29010" t="s">
        <v>33187</v>
      </c>
    </row>
    <row r="29011" spans="9:10" x14ac:dyDescent="0.3">
      <c r="I29011" t="s">
        <v>33188</v>
      </c>
    </row>
    <row r="29012" spans="9:10" x14ac:dyDescent="0.3">
      <c r="I29012" t="s">
        <v>33189</v>
      </c>
    </row>
    <row r="29013" spans="9:10" x14ac:dyDescent="0.3">
      <c r="I29013" t="s">
        <v>33190</v>
      </c>
    </row>
    <row r="29014" spans="9:10" x14ac:dyDescent="0.3">
      <c r="I29014" t="s">
        <v>33191</v>
      </c>
    </row>
    <row r="29015" spans="9:10" x14ac:dyDescent="0.3">
      <c r="I29015" t="s">
        <v>33192</v>
      </c>
      <c r="J29015" t="s">
        <v>9227</v>
      </c>
    </row>
    <row r="29016" spans="9:10" x14ac:dyDescent="0.3">
      <c r="I29016" t="s">
        <v>33193</v>
      </c>
      <c r="J29016" t="s">
        <v>9228</v>
      </c>
    </row>
    <row r="29017" spans="9:10" x14ac:dyDescent="0.3">
      <c r="I29017" t="s">
        <v>33193</v>
      </c>
      <c r="J29017" t="s">
        <v>9228</v>
      </c>
    </row>
    <row r="29018" spans="9:10" x14ac:dyDescent="0.3">
      <c r="I29018" t="s">
        <v>33194</v>
      </c>
    </row>
    <row r="29019" spans="9:10" x14ac:dyDescent="0.3">
      <c r="I29019" t="s">
        <v>33195</v>
      </c>
    </row>
    <row r="29020" spans="9:10" x14ac:dyDescent="0.3">
      <c r="I29020" t="s">
        <v>33196</v>
      </c>
    </row>
    <row r="29021" spans="9:10" x14ac:dyDescent="0.3">
      <c r="I29021" t="s">
        <v>33197</v>
      </c>
    </row>
    <row r="29022" spans="9:10" x14ac:dyDescent="0.3">
      <c r="I29022" t="s">
        <v>33198</v>
      </c>
      <c r="J29022" t="s">
        <v>9229</v>
      </c>
    </row>
    <row r="29023" spans="9:10" x14ac:dyDescent="0.3">
      <c r="I29023" t="s">
        <v>33199</v>
      </c>
      <c r="J29023" t="s">
        <v>9230</v>
      </c>
    </row>
    <row r="29024" spans="9:10" x14ac:dyDescent="0.3">
      <c r="I29024" t="s">
        <v>33200</v>
      </c>
    </row>
    <row r="29025" spans="9:10" x14ac:dyDescent="0.3">
      <c r="I29025" t="s">
        <v>33201</v>
      </c>
    </row>
    <row r="29026" spans="9:10" x14ac:dyDescent="0.3">
      <c r="I29026" t="s">
        <v>33202</v>
      </c>
    </row>
    <row r="29027" spans="9:10" x14ac:dyDescent="0.3">
      <c r="I29027" t="s">
        <v>33203</v>
      </c>
    </row>
    <row r="29028" spans="9:10" x14ac:dyDescent="0.3">
      <c r="I29028" t="s">
        <v>33204</v>
      </c>
    </row>
    <row r="29029" spans="9:10" x14ac:dyDescent="0.3">
      <c r="I29029" t="s">
        <v>33205</v>
      </c>
    </row>
    <row r="29030" spans="9:10" x14ac:dyDescent="0.3">
      <c r="I29030" t="s">
        <v>33206</v>
      </c>
    </row>
    <row r="29031" spans="9:10" x14ac:dyDescent="0.3">
      <c r="I29031" t="s">
        <v>33207</v>
      </c>
    </row>
    <row r="29032" spans="9:10" x14ac:dyDescent="0.3">
      <c r="I29032" t="s">
        <v>33208</v>
      </c>
    </row>
    <row r="29033" spans="9:10" x14ac:dyDescent="0.3">
      <c r="I29033" t="s">
        <v>33209</v>
      </c>
    </row>
    <row r="29034" spans="9:10" x14ac:dyDescent="0.3">
      <c r="I29034" t="s">
        <v>33210</v>
      </c>
      <c r="J29034" t="s">
        <v>9231</v>
      </c>
    </row>
    <row r="29035" spans="9:10" x14ac:dyDescent="0.3">
      <c r="I29035" t="s">
        <v>33211</v>
      </c>
      <c r="J29035" t="s">
        <v>9232</v>
      </c>
    </row>
    <row r="29036" spans="9:10" x14ac:dyDescent="0.3">
      <c r="I29036" t="s">
        <v>33212</v>
      </c>
    </row>
    <row r="29037" spans="9:10" x14ac:dyDescent="0.3">
      <c r="I29037" t="s">
        <v>33213</v>
      </c>
    </row>
    <row r="29038" spans="9:10" x14ac:dyDescent="0.3">
      <c r="I29038" t="s">
        <v>33214</v>
      </c>
    </row>
    <row r="29039" spans="9:10" x14ac:dyDescent="0.3">
      <c r="I29039" t="s">
        <v>33215</v>
      </c>
    </row>
    <row r="29040" spans="9:10" x14ac:dyDescent="0.3">
      <c r="I29040" t="s">
        <v>33216</v>
      </c>
    </row>
    <row r="29041" spans="9:10" x14ac:dyDescent="0.3">
      <c r="I29041" t="s">
        <v>33217</v>
      </c>
    </row>
    <row r="29042" spans="9:10" x14ac:dyDescent="0.3">
      <c r="I29042" t="s">
        <v>33218</v>
      </c>
    </row>
    <row r="29043" spans="9:10" x14ac:dyDescent="0.3">
      <c r="I29043" t="s">
        <v>33219</v>
      </c>
    </row>
    <row r="29044" spans="9:10" x14ac:dyDescent="0.3">
      <c r="I29044" t="s">
        <v>33220</v>
      </c>
      <c r="J29044" t="s">
        <v>9233</v>
      </c>
    </row>
    <row r="29045" spans="9:10" x14ac:dyDescent="0.3">
      <c r="I29045" t="s">
        <v>33221</v>
      </c>
      <c r="J29045" t="s">
        <v>9233</v>
      </c>
    </row>
    <row r="29046" spans="9:10" x14ac:dyDescent="0.3">
      <c r="I29046" t="s">
        <v>33222</v>
      </c>
      <c r="J29046" t="s">
        <v>9234</v>
      </c>
    </row>
    <row r="29047" spans="9:10" x14ac:dyDescent="0.3">
      <c r="I29047" t="s">
        <v>33223</v>
      </c>
      <c r="J29047" t="s">
        <v>756</v>
      </c>
    </row>
    <row r="29048" spans="9:10" x14ac:dyDescent="0.3">
      <c r="I29048" t="s">
        <v>33224</v>
      </c>
      <c r="J29048" t="s">
        <v>9235</v>
      </c>
    </row>
    <row r="29049" spans="9:10" x14ac:dyDescent="0.3">
      <c r="I29049" t="s">
        <v>33225</v>
      </c>
    </row>
    <row r="29050" spans="9:10" x14ac:dyDescent="0.3">
      <c r="I29050" t="s">
        <v>33226</v>
      </c>
    </row>
    <row r="29051" spans="9:10" x14ac:dyDescent="0.3">
      <c r="I29051" t="s">
        <v>33227</v>
      </c>
    </row>
    <row r="29052" spans="9:10" x14ac:dyDescent="0.3">
      <c r="I29052" t="s">
        <v>33228</v>
      </c>
    </row>
    <row r="29053" spans="9:10" x14ac:dyDescent="0.3">
      <c r="I29053" t="s">
        <v>33229</v>
      </c>
    </row>
    <row r="29054" spans="9:10" x14ac:dyDescent="0.3">
      <c r="I29054" t="s">
        <v>33230</v>
      </c>
    </row>
    <row r="29055" spans="9:10" x14ac:dyDescent="0.3">
      <c r="I29055" t="s">
        <v>33231</v>
      </c>
    </row>
    <row r="29056" spans="9:10" x14ac:dyDescent="0.3">
      <c r="I29056" t="s">
        <v>33232</v>
      </c>
      <c r="J29056" t="s">
        <v>9236</v>
      </c>
    </row>
    <row r="29057" spans="9:10" x14ac:dyDescent="0.3">
      <c r="I29057" t="s">
        <v>33233</v>
      </c>
    </row>
    <row r="29058" spans="9:10" x14ac:dyDescent="0.3">
      <c r="I29058" t="s">
        <v>33234</v>
      </c>
      <c r="J29058" t="s">
        <v>9237</v>
      </c>
    </row>
    <row r="29059" spans="9:10" x14ac:dyDescent="0.3">
      <c r="I29059" t="s">
        <v>33235</v>
      </c>
      <c r="J29059" t="s">
        <v>490</v>
      </c>
    </row>
    <row r="29060" spans="9:10" x14ac:dyDescent="0.3">
      <c r="I29060" t="s">
        <v>33236</v>
      </c>
      <c r="J29060" t="s">
        <v>490</v>
      </c>
    </row>
    <row r="29061" spans="9:10" x14ac:dyDescent="0.3">
      <c r="I29061" t="s">
        <v>33237</v>
      </c>
    </row>
    <row r="29062" spans="9:10" x14ac:dyDescent="0.3">
      <c r="I29062" t="s">
        <v>33238</v>
      </c>
    </row>
    <row r="29063" spans="9:10" x14ac:dyDescent="0.3">
      <c r="I29063" t="s">
        <v>33239</v>
      </c>
    </row>
    <row r="29064" spans="9:10" x14ac:dyDescent="0.3">
      <c r="I29064" t="s">
        <v>33240</v>
      </c>
    </row>
    <row r="29065" spans="9:10" x14ac:dyDescent="0.3">
      <c r="I29065" t="s">
        <v>33241</v>
      </c>
    </row>
    <row r="29066" spans="9:10" x14ac:dyDescent="0.3">
      <c r="I29066" t="s">
        <v>33242</v>
      </c>
    </row>
    <row r="29067" spans="9:10" x14ac:dyDescent="0.3">
      <c r="I29067" t="s">
        <v>33243</v>
      </c>
    </row>
    <row r="29068" spans="9:10" x14ac:dyDescent="0.3">
      <c r="I29068" t="s">
        <v>33244</v>
      </c>
    </row>
    <row r="29069" spans="9:10" x14ac:dyDescent="0.3">
      <c r="I29069" t="s">
        <v>33245</v>
      </c>
    </row>
    <row r="29070" spans="9:10" x14ac:dyDescent="0.3">
      <c r="I29070" t="s">
        <v>33246</v>
      </c>
    </row>
    <row r="29071" spans="9:10" x14ac:dyDescent="0.3">
      <c r="I29071" t="s">
        <v>33247</v>
      </c>
    </row>
    <row r="29072" spans="9:10" x14ac:dyDescent="0.3">
      <c r="I29072" t="s">
        <v>33248</v>
      </c>
    </row>
    <row r="29073" spans="9:10" x14ac:dyDescent="0.3">
      <c r="I29073" t="s">
        <v>33249</v>
      </c>
      <c r="J29073" t="s">
        <v>9238</v>
      </c>
    </row>
    <row r="29074" spans="9:10" x14ac:dyDescent="0.3">
      <c r="I29074" t="s">
        <v>33250</v>
      </c>
      <c r="J29074" t="s">
        <v>9238</v>
      </c>
    </row>
    <row r="29075" spans="9:10" x14ac:dyDescent="0.3">
      <c r="I29075" t="s">
        <v>33251</v>
      </c>
    </row>
    <row r="29076" spans="9:10" x14ac:dyDescent="0.3">
      <c r="I29076" t="s">
        <v>33252</v>
      </c>
    </row>
    <row r="29077" spans="9:10" x14ac:dyDescent="0.3">
      <c r="I29077" t="s">
        <v>33253</v>
      </c>
    </row>
    <row r="29078" spans="9:10" x14ac:dyDescent="0.3">
      <c r="I29078" t="s">
        <v>33254</v>
      </c>
    </row>
    <row r="29079" spans="9:10" x14ac:dyDescent="0.3">
      <c r="I29079" t="s">
        <v>33255</v>
      </c>
    </row>
    <row r="29080" spans="9:10" x14ac:dyDescent="0.3">
      <c r="I29080" t="s">
        <v>33256</v>
      </c>
    </row>
    <row r="29081" spans="9:10" x14ac:dyDescent="0.3">
      <c r="I29081" t="s">
        <v>33257</v>
      </c>
    </row>
    <row r="29082" spans="9:10" x14ac:dyDescent="0.3">
      <c r="I29082" t="s">
        <v>33258</v>
      </c>
      <c r="J29082" t="s">
        <v>9239</v>
      </c>
    </row>
    <row r="29083" spans="9:10" x14ac:dyDescent="0.3">
      <c r="I29083" t="s">
        <v>33259</v>
      </c>
      <c r="J29083" t="s">
        <v>9239</v>
      </c>
    </row>
    <row r="29084" spans="9:10" x14ac:dyDescent="0.3">
      <c r="I29084" t="s">
        <v>349</v>
      </c>
      <c r="J29084" t="s">
        <v>350</v>
      </c>
    </row>
    <row r="29085" spans="9:10" x14ac:dyDescent="0.3">
      <c r="I29085" t="s">
        <v>33260</v>
      </c>
      <c r="J29085" t="s">
        <v>9240</v>
      </c>
    </row>
    <row r="29086" spans="9:10" x14ac:dyDescent="0.3">
      <c r="I29086" t="s">
        <v>33261</v>
      </c>
      <c r="J29086" t="s">
        <v>9241</v>
      </c>
    </row>
    <row r="29087" spans="9:10" x14ac:dyDescent="0.3">
      <c r="I29087" t="s">
        <v>33262</v>
      </c>
      <c r="J29087" t="s">
        <v>829</v>
      </c>
    </row>
    <row r="29088" spans="9:10" x14ac:dyDescent="0.3">
      <c r="I29088" t="s">
        <v>33263</v>
      </c>
    </row>
    <row r="29089" spans="9:10" x14ac:dyDescent="0.3">
      <c r="I29089" t="s">
        <v>33264</v>
      </c>
    </row>
    <row r="29090" spans="9:10" x14ac:dyDescent="0.3">
      <c r="I29090" t="s">
        <v>33265</v>
      </c>
    </row>
    <row r="29091" spans="9:10" x14ac:dyDescent="0.3">
      <c r="I29091" t="s">
        <v>33266</v>
      </c>
    </row>
    <row r="29092" spans="9:10" x14ac:dyDescent="0.3">
      <c r="I29092" t="s">
        <v>33267</v>
      </c>
    </row>
    <row r="29093" spans="9:10" x14ac:dyDescent="0.3">
      <c r="I29093" t="s">
        <v>33268</v>
      </c>
    </row>
    <row r="29094" spans="9:10" x14ac:dyDescent="0.3">
      <c r="I29094" t="s">
        <v>33269</v>
      </c>
    </row>
    <row r="29095" spans="9:10" x14ac:dyDescent="0.3">
      <c r="I29095" t="s">
        <v>33270</v>
      </c>
      <c r="J29095" t="s">
        <v>9242</v>
      </c>
    </row>
    <row r="29096" spans="9:10" x14ac:dyDescent="0.3">
      <c r="I29096" t="s">
        <v>33271</v>
      </c>
      <c r="J29096" t="s">
        <v>288</v>
      </c>
    </row>
    <row r="29097" spans="9:10" x14ac:dyDescent="0.3">
      <c r="I29097" t="s">
        <v>33272</v>
      </c>
      <c r="J29097" t="s">
        <v>288</v>
      </c>
    </row>
    <row r="29098" spans="9:10" x14ac:dyDescent="0.3">
      <c r="I29098" t="s">
        <v>33273</v>
      </c>
      <c r="J29098" t="s">
        <v>9243</v>
      </c>
    </row>
    <row r="29099" spans="9:10" x14ac:dyDescent="0.3">
      <c r="I29099" t="s">
        <v>33274</v>
      </c>
    </row>
    <row r="29100" spans="9:10" x14ac:dyDescent="0.3">
      <c r="I29100" t="s">
        <v>33275</v>
      </c>
    </row>
    <row r="29101" spans="9:10" x14ac:dyDescent="0.3">
      <c r="I29101" t="s">
        <v>33276</v>
      </c>
      <c r="J29101" t="s">
        <v>9244</v>
      </c>
    </row>
    <row r="29102" spans="9:10" x14ac:dyDescent="0.3">
      <c r="I29102" t="s">
        <v>33276</v>
      </c>
      <c r="J29102" t="s">
        <v>9244</v>
      </c>
    </row>
    <row r="29103" spans="9:10" x14ac:dyDescent="0.3">
      <c r="I29103" t="s">
        <v>33277</v>
      </c>
      <c r="J29103" t="s">
        <v>9245</v>
      </c>
    </row>
    <row r="29104" spans="9:10" x14ac:dyDescent="0.3">
      <c r="I29104" t="s">
        <v>33278</v>
      </c>
      <c r="J29104" t="s">
        <v>827</v>
      </c>
    </row>
    <row r="29105" spans="9:10" x14ac:dyDescent="0.3">
      <c r="I29105" t="s">
        <v>33279</v>
      </c>
      <c r="J29105" t="s">
        <v>828</v>
      </c>
    </row>
    <row r="29106" spans="9:10" x14ac:dyDescent="0.3">
      <c r="I29106" t="s">
        <v>33280</v>
      </c>
      <c r="J29106" t="s">
        <v>9246</v>
      </c>
    </row>
    <row r="29107" spans="9:10" x14ac:dyDescent="0.3">
      <c r="I29107" t="s">
        <v>33281</v>
      </c>
      <c r="J29107" t="s">
        <v>9247</v>
      </c>
    </row>
    <row r="29108" spans="9:10" x14ac:dyDescent="0.3">
      <c r="I29108" t="s">
        <v>33282</v>
      </c>
    </row>
    <row r="29109" spans="9:10" x14ac:dyDescent="0.3">
      <c r="I29109" t="s">
        <v>33283</v>
      </c>
    </row>
    <row r="29110" spans="9:10" x14ac:dyDescent="0.3">
      <c r="I29110" t="s">
        <v>33284</v>
      </c>
    </row>
    <row r="29111" spans="9:10" x14ac:dyDescent="0.3">
      <c r="I29111" t="s">
        <v>33285</v>
      </c>
    </row>
    <row r="29112" spans="9:10" x14ac:dyDescent="0.3">
      <c r="I29112" t="s">
        <v>33286</v>
      </c>
    </row>
    <row r="29113" spans="9:10" x14ac:dyDescent="0.3">
      <c r="I29113" t="s">
        <v>33287</v>
      </c>
      <c r="J29113" t="s">
        <v>9248</v>
      </c>
    </row>
    <row r="29114" spans="9:10" x14ac:dyDescent="0.3">
      <c r="I29114" t="s">
        <v>33288</v>
      </c>
      <c r="J29114" t="s">
        <v>9249</v>
      </c>
    </row>
    <row r="29115" spans="9:10" x14ac:dyDescent="0.3">
      <c r="I29115" t="s">
        <v>33289</v>
      </c>
      <c r="J29115" t="s">
        <v>9250</v>
      </c>
    </row>
    <row r="29116" spans="9:10" x14ac:dyDescent="0.3">
      <c r="I29116" t="s">
        <v>33290</v>
      </c>
    </row>
    <row r="29117" spans="9:10" x14ac:dyDescent="0.3">
      <c r="I29117" t="s">
        <v>33291</v>
      </c>
    </row>
    <row r="29118" spans="9:10" x14ac:dyDescent="0.3">
      <c r="I29118" t="s">
        <v>33292</v>
      </c>
    </row>
    <row r="29119" spans="9:10" x14ac:dyDescent="0.3">
      <c r="I29119" t="s">
        <v>33293</v>
      </c>
    </row>
    <row r="29120" spans="9:10" x14ac:dyDescent="0.3">
      <c r="I29120" t="s">
        <v>33294</v>
      </c>
    </row>
    <row r="29121" spans="9:10" x14ac:dyDescent="0.3">
      <c r="I29121" t="s">
        <v>33295</v>
      </c>
      <c r="J29121" t="s">
        <v>9251</v>
      </c>
    </row>
    <row r="29122" spans="9:10" x14ac:dyDescent="0.3">
      <c r="I29122" t="s">
        <v>33296</v>
      </c>
    </row>
    <row r="29123" spans="9:10" x14ac:dyDescent="0.3">
      <c r="I29123" t="s">
        <v>33297</v>
      </c>
    </row>
    <row r="29124" spans="9:10" x14ac:dyDescent="0.3">
      <c r="I29124" t="s">
        <v>33298</v>
      </c>
    </row>
    <row r="29125" spans="9:10" x14ac:dyDescent="0.3">
      <c r="I29125" t="s">
        <v>33299</v>
      </c>
    </row>
    <row r="29126" spans="9:10" x14ac:dyDescent="0.3">
      <c r="I29126" t="s">
        <v>33300</v>
      </c>
    </row>
    <row r="29127" spans="9:10" x14ac:dyDescent="0.3">
      <c r="I29127" t="s">
        <v>256</v>
      </c>
      <c r="J29127" t="s">
        <v>9252</v>
      </c>
    </row>
    <row r="29128" spans="9:10" x14ac:dyDescent="0.3">
      <c r="I29128" t="s">
        <v>33301</v>
      </c>
      <c r="J29128" t="s">
        <v>468</v>
      </c>
    </row>
    <row r="29129" spans="9:10" x14ac:dyDescent="0.3">
      <c r="I29129" t="s">
        <v>33302</v>
      </c>
    </row>
    <row r="29130" spans="9:10" x14ac:dyDescent="0.3">
      <c r="I29130" t="s">
        <v>33303</v>
      </c>
    </row>
    <row r="29131" spans="9:10" x14ac:dyDescent="0.3">
      <c r="I29131" t="s">
        <v>33304</v>
      </c>
    </row>
    <row r="29132" spans="9:10" x14ac:dyDescent="0.3">
      <c r="I29132" t="s">
        <v>33305</v>
      </c>
    </row>
    <row r="29133" spans="9:10" x14ac:dyDescent="0.3">
      <c r="I29133" t="s">
        <v>33306</v>
      </c>
    </row>
    <row r="29134" spans="9:10" x14ac:dyDescent="0.3">
      <c r="I29134" t="s">
        <v>33307</v>
      </c>
    </row>
    <row r="29135" spans="9:10" x14ac:dyDescent="0.3">
      <c r="I29135" t="s">
        <v>33308</v>
      </c>
    </row>
    <row r="29136" spans="9:10" x14ac:dyDescent="0.3">
      <c r="I29136" t="s">
        <v>33309</v>
      </c>
      <c r="J29136" t="s">
        <v>9253</v>
      </c>
    </row>
    <row r="29137" spans="9:10" x14ac:dyDescent="0.3">
      <c r="I29137" t="s">
        <v>33310</v>
      </c>
      <c r="J29137" t="s">
        <v>9254</v>
      </c>
    </row>
    <row r="29138" spans="9:10" x14ac:dyDescent="0.3">
      <c r="I29138" t="s">
        <v>33311</v>
      </c>
      <c r="J29138" t="s">
        <v>9255</v>
      </c>
    </row>
    <row r="29139" spans="9:10" x14ac:dyDescent="0.3">
      <c r="I29139" t="s">
        <v>33312</v>
      </c>
    </row>
    <row r="29140" spans="9:10" x14ac:dyDescent="0.3">
      <c r="I29140" t="s">
        <v>33313</v>
      </c>
    </row>
    <row r="29141" spans="9:10" x14ac:dyDescent="0.3">
      <c r="I29141" t="s">
        <v>33314</v>
      </c>
    </row>
    <row r="29142" spans="9:10" x14ac:dyDescent="0.3">
      <c r="I29142" t="s">
        <v>33315</v>
      </c>
    </row>
    <row r="29143" spans="9:10" x14ac:dyDescent="0.3">
      <c r="I29143" t="s">
        <v>33316</v>
      </c>
    </row>
    <row r="29144" spans="9:10" x14ac:dyDescent="0.3">
      <c r="I29144" t="s">
        <v>33317</v>
      </c>
    </row>
    <row r="29145" spans="9:10" x14ac:dyDescent="0.3">
      <c r="I29145" t="s">
        <v>33318</v>
      </c>
      <c r="J29145" t="s">
        <v>9256</v>
      </c>
    </row>
    <row r="29146" spans="9:10" x14ac:dyDescent="0.3">
      <c r="I29146" t="s">
        <v>33319</v>
      </c>
      <c r="J29146" t="s">
        <v>9257</v>
      </c>
    </row>
    <row r="29147" spans="9:10" x14ac:dyDescent="0.3">
      <c r="I29147" t="s">
        <v>33320</v>
      </c>
      <c r="J29147" t="s">
        <v>9258</v>
      </c>
    </row>
    <row r="29148" spans="9:10" x14ac:dyDescent="0.3">
      <c r="I29148" t="s">
        <v>33321</v>
      </c>
      <c r="J29148" t="s">
        <v>9259</v>
      </c>
    </row>
    <row r="29149" spans="9:10" x14ac:dyDescent="0.3">
      <c r="I29149" t="s">
        <v>33322</v>
      </c>
    </row>
    <row r="29150" spans="9:10" x14ac:dyDescent="0.3">
      <c r="I29150" t="s">
        <v>33323</v>
      </c>
    </row>
    <row r="29151" spans="9:10" x14ac:dyDescent="0.3">
      <c r="I29151" t="s">
        <v>33324</v>
      </c>
    </row>
    <row r="29152" spans="9:10" x14ac:dyDescent="0.3">
      <c r="I29152" t="s">
        <v>33325</v>
      </c>
    </row>
    <row r="29153" spans="9:10" x14ac:dyDescent="0.3">
      <c r="I29153" t="s">
        <v>33326</v>
      </c>
    </row>
    <row r="29154" spans="9:10" x14ac:dyDescent="0.3">
      <c r="I29154" t="s">
        <v>33327</v>
      </c>
    </row>
    <row r="29155" spans="9:10" x14ac:dyDescent="0.3">
      <c r="I29155" t="s">
        <v>33328</v>
      </c>
    </row>
    <row r="29156" spans="9:10" x14ac:dyDescent="0.3">
      <c r="I29156" t="s">
        <v>33329</v>
      </c>
    </row>
    <row r="29157" spans="9:10" x14ac:dyDescent="0.3">
      <c r="I29157" t="s">
        <v>33330</v>
      </c>
    </row>
    <row r="29158" spans="9:10" x14ac:dyDescent="0.3">
      <c r="I29158" t="s">
        <v>33331</v>
      </c>
    </row>
    <row r="29159" spans="9:10" x14ac:dyDescent="0.3">
      <c r="I29159" t="s">
        <v>33332</v>
      </c>
      <c r="J29159" t="s">
        <v>9260</v>
      </c>
    </row>
    <row r="29160" spans="9:10" x14ac:dyDescent="0.3">
      <c r="I29160" t="s">
        <v>33333</v>
      </c>
    </row>
    <row r="29161" spans="9:10" x14ac:dyDescent="0.3">
      <c r="I29161" t="s">
        <v>33334</v>
      </c>
    </row>
    <row r="29162" spans="9:10" x14ac:dyDescent="0.3">
      <c r="I29162" t="s">
        <v>33335</v>
      </c>
    </row>
    <row r="29163" spans="9:10" x14ac:dyDescent="0.3">
      <c r="I29163" t="s">
        <v>33336</v>
      </c>
    </row>
    <row r="29164" spans="9:10" x14ac:dyDescent="0.3">
      <c r="I29164" t="s">
        <v>33337</v>
      </c>
    </row>
    <row r="29165" spans="9:10" x14ac:dyDescent="0.3">
      <c r="I29165" t="s">
        <v>33338</v>
      </c>
    </row>
    <row r="29166" spans="9:10" x14ac:dyDescent="0.3">
      <c r="I29166" t="s">
        <v>33339</v>
      </c>
    </row>
    <row r="29167" spans="9:10" x14ac:dyDescent="0.3">
      <c r="I29167" t="s">
        <v>33340</v>
      </c>
    </row>
    <row r="29168" spans="9:10" x14ac:dyDescent="0.3">
      <c r="I29168" t="s">
        <v>33341</v>
      </c>
    </row>
    <row r="29169" spans="9:10" x14ac:dyDescent="0.3">
      <c r="I29169" t="s">
        <v>33342</v>
      </c>
    </row>
    <row r="29170" spans="9:10" x14ac:dyDescent="0.3">
      <c r="I29170" t="s">
        <v>33343</v>
      </c>
    </row>
    <row r="29171" spans="9:10" x14ac:dyDescent="0.3">
      <c r="I29171" t="s">
        <v>33344</v>
      </c>
    </row>
    <row r="29172" spans="9:10" x14ac:dyDescent="0.3">
      <c r="I29172" t="s">
        <v>33345</v>
      </c>
    </row>
    <row r="29173" spans="9:10" x14ac:dyDescent="0.3">
      <c r="I29173" t="s">
        <v>33346</v>
      </c>
      <c r="J29173" t="s">
        <v>9261</v>
      </c>
    </row>
    <row r="29174" spans="9:10" x14ac:dyDescent="0.3">
      <c r="I29174" t="s">
        <v>33347</v>
      </c>
    </row>
    <row r="29175" spans="9:10" x14ac:dyDescent="0.3">
      <c r="I29175" t="s">
        <v>33348</v>
      </c>
    </row>
    <row r="29176" spans="9:10" x14ac:dyDescent="0.3">
      <c r="I29176" t="s">
        <v>33349</v>
      </c>
    </row>
    <row r="29177" spans="9:10" x14ac:dyDescent="0.3">
      <c r="I29177" t="s">
        <v>33350</v>
      </c>
    </row>
    <row r="29178" spans="9:10" x14ac:dyDescent="0.3">
      <c r="I29178" t="s">
        <v>33351</v>
      </c>
    </row>
    <row r="29179" spans="9:10" x14ac:dyDescent="0.3">
      <c r="I29179" t="s">
        <v>33352</v>
      </c>
    </row>
    <row r="29180" spans="9:10" x14ac:dyDescent="0.3">
      <c r="I29180" t="s">
        <v>33353</v>
      </c>
    </row>
    <row r="29181" spans="9:10" x14ac:dyDescent="0.3">
      <c r="I29181" t="s">
        <v>33354</v>
      </c>
    </row>
    <row r="29182" spans="9:10" x14ac:dyDescent="0.3">
      <c r="I29182" t="s">
        <v>33355</v>
      </c>
    </row>
    <row r="29183" spans="9:10" x14ac:dyDescent="0.3">
      <c r="I29183" t="s">
        <v>33356</v>
      </c>
    </row>
    <row r="29184" spans="9:10" x14ac:dyDescent="0.3">
      <c r="I29184" t="s">
        <v>33357</v>
      </c>
    </row>
    <row r="29185" spans="9:10" x14ac:dyDescent="0.3">
      <c r="I29185" t="s">
        <v>33358</v>
      </c>
    </row>
    <row r="29186" spans="9:10" x14ac:dyDescent="0.3">
      <c r="I29186" t="s">
        <v>33359</v>
      </c>
    </row>
    <row r="29187" spans="9:10" x14ac:dyDescent="0.3">
      <c r="I29187" t="s">
        <v>33360</v>
      </c>
    </row>
    <row r="29188" spans="9:10" x14ac:dyDescent="0.3">
      <c r="I29188" t="s">
        <v>33361</v>
      </c>
    </row>
    <row r="29189" spans="9:10" x14ac:dyDescent="0.3">
      <c r="I29189" t="s">
        <v>33362</v>
      </c>
    </row>
    <row r="29190" spans="9:10" x14ac:dyDescent="0.3">
      <c r="I29190" t="s">
        <v>33363</v>
      </c>
    </row>
    <row r="29191" spans="9:10" x14ac:dyDescent="0.3">
      <c r="I29191" t="s">
        <v>33364</v>
      </c>
    </row>
    <row r="29192" spans="9:10" x14ac:dyDescent="0.3">
      <c r="I29192" t="s">
        <v>33365</v>
      </c>
    </row>
    <row r="29193" spans="9:10" x14ac:dyDescent="0.3">
      <c r="I29193" t="s">
        <v>33366</v>
      </c>
    </row>
    <row r="29194" spans="9:10" x14ac:dyDescent="0.3">
      <c r="I29194" t="s">
        <v>33367</v>
      </c>
    </row>
    <row r="29195" spans="9:10" x14ac:dyDescent="0.3">
      <c r="I29195" t="s">
        <v>33368</v>
      </c>
    </row>
    <row r="29196" spans="9:10" x14ac:dyDescent="0.3">
      <c r="I29196" t="s">
        <v>33369</v>
      </c>
    </row>
    <row r="29197" spans="9:10" x14ac:dyDescent="0.3">
      <c r="I29197" t="s">
        <v>33370</v>
      </c>
      <c r="J29197" t="s">
        <v>9262</v>
      </c>
    </row>
    <row r="29198" spans="9:10" x14ac:dyDescent="0.3">
      <c r="I29198" t="s">
        <v>33371</v>
      </c>
      <c r="J29198" t="s">
        <v>9263</v>
      </c>
    </row>
    <row r="29199" spans="9:10" x14ac:dyDescent="0.3">
      <c r="I29199" t="s">
        <v>33372</v>
      </c>
      <c r="J29199" t="s">
        <v>9263</v>
      </c>
    </row>
    <row r="29200" spans="9:10" x14ac:dyDescent="0.3">
      <c r="I29200" t="s">
        <v>33373</v>
      </c>
      <c r="J29200" t="s">
        <v>9264</v>
      </c>
    </row>
    <row r="29201" spans="9:10" x14ac:dyDescent="0.3">
      <c r="I29201" t="s">
        <v>33374</v>
      </c>
      <c r="J29201" t="s">
        <v>9265</v>
      </c>
    </row>
    <row r="29202" spans="9:10" x14ac:dyDescent="0.3">
      <c r="I29202" t="s">
        <v>33375</v>
      </c>
    </row>
    <row r="29203" spans="9:10" x14ac:dyDescent="0.3">
      <c r="I29203" t="s">
        <v>33376</v>
      </c>
    </row>
    <row r="29204" spans="9:10" x14ac:dyDescent="0.3">
      <c r="I29204" t="s">
        <v>33377</v>
      </c>
    </row>
    <row r="29205" spans="9:10" x14ac:dyDescent="0.3">
      <c r="I29205" t="s">
        <v>33378</v>
      </c>
    </row>
    <row r="29206" spans="9:10" x14ac:dyDescent="0.3">
      <c r="I29206" t="s">
        <v>33379</v>
      </c>
      <c r="J29206" t="s">
        <v>9266</v>
      </c>
    </row>
    <row r="29207" spans="9:10" x14ac:dyDescent="0.3">
      <c r="I29207" t="s">
        <v>33380</v>
      </c>
      <c r="J29207" t="s">
        <v>9267</v>
      </c>
    </row>
    <row r="29208" spans="9:10" x14ac:dyDescent="0.3">
      <c r="I29208" t="s">
        <v>33381</v>
      </c>
    </row>
    <row r="29209" spans="9:10" x14ac:dyDescent="0.3">
      <c r="I29209" t="s">
        <v>33382</v>
      </c>
    </row>
    <row r="29210" spans="9:10" x14ac:dyDescent="0.3">
      <c r="I29210" t="s">
        <v>33383</v>
      </c>
    </row>
    <row r="29211" spans="9:10" x14ac:dyDescent="0.3">
      <c r="I29211" t="s">
        <v>33384</v>
      </c>
    </row>
    <row r="29212" spans="9:10" x14ac:dyDescent="0.3">
      <c r="I29212" t="s">
        <v>33385</v>
      </c>
    </row>
    <row r="29213" spans="9:10" x14ac:dyDescent="0.3">
      <c r="I29213" t="s">
        <v>33386</v>
      </c>
    </row>
    <row r="29214" spans="9:10" x14ac:dyDescent="0.3">
      <c r="I29214" t="s">
        <v>33387</v>
      </c>
    </row>
    <row r="29215" spans="9:10" x14ac:dyDescent="0.3">
      <c r="I29215" t="s">
        <v>33388</v>
      </c>
    </row>
    <row r="29216" spans="9:10" x14ac:dyDescent="0.3">
      <c r="I29216" t="s">
        <v>33389</v>
      </c>
    </row>
    <row r="29217" spans="9:10" x14ac:dyDescent="0.3">
      <c r="I29217" t="s">
        <v>33390</v>
      </c>
    </row>
    <row r="29218" spans="9:10" x14ac:dyDescent="0.3">
      <c r="I29218" t="s">
        <v>33391</v>
      </c>
      <c r="J29218" t="s">
        <v>9268</v>
      </c>
    </row>
    <row r="29219" spans="9:10" x14ac:dyDescent="0.3">
      <c r="I29219" t="s">
        <v>33392</v>
      </c>
    </row>
    <row r="29220" spans="9:10" x14ac:dyDescent="0.3">
      <c r="I29220" t="s">
        <v>33393</v>
      </c>
    </row>
    <row r="29221" spans="9:10" x14ac:dyDescent="0.3">
      <c r="I29221" t="s">
        <v>33394</v>
      </c>
    </row>
    <row r="29222" spans="9:10" x14ac:dyDescent="0.3">
      <c r="I29222" t="s">
        <v>33395</v>
      </c>
    </row>
    <row r="29223" spans="9:10" x14ac:dyDescent="0.3">
      <c r="I29223" t="s">
        <v>33396</v>
      </c>
    </row>
    <row r="29224" spans="9:10" x14ac:dyDescent="0.3">
      <c r="I29224" t="s">
        <v>33397</v>
      </c>
    </row>
    <row r="29225" spans="9:10" x14ac:dyDescent="0.3">
      <c r="I29225" t="s">
        <v>33398</v>
      </c>
    </row>
    <row r="29226" spans="9:10" x14ac:dyDescent="0.3">
      <c r="I29226" t="s">
        <v>33399</v>
      </c>
    </row>
    <row r="29227" spans="9:10" x14ac:dyDescent="0.3">
      <c r="I29227" t="s">
        <v>33400</v>
      </c>
    </row>
    <row r="29228" spans="9:10" x14ac:dyDescent="0.3">
      <c r="I29228" t="s">
        <v>33401</v>
      </c>
    </row>
    <row r="29229" spans="9:10" x14ac:dyDescent="0.3">
      <c r="I29229" t="s">
        <v>33402</v>
      </c>
    </row>
    <row r="29230" spans="9:10" x14ac:dyDescent="0.3">
      <c r="I29230" t="s">
        <v>33403</v>
      </c>
    </row>
    <row r="29231" spans="9:10" x14ac:dyDescent="0.3">
      <c r="I29231" t="s">
        <v>33404</v>
      </c>
      <c r="J29231" t="s">
        <v>9269</v>
      </c>
    </row>
    <row r="29232" spans="9:10" x14ac:dyDescent="0.3">
      <c r="I29232" t="s">
        <v>33405</v>
      </c>
    </row>
    <row r="29233" spans="9:10" x14ac:dyDescent="0.3">
      <c r="I29233" t="s">
        <v>33406</v>
      </c>
    </row>
    <row r="29234" spans="9:10" x14ac:dyDescent="0.3">
      <c r="I29234" t="s">
        <v>33407</v>
      </c>
    </row>
    <row r="29235" spans="9:10" x14ac:dyDescent="0.3">
      <c r="I29235" t="s">
        <v>33408</v>
      </c>
      <c r="J29235" t="s">
        <v>9270</v>
      </c>
    </row>
    <row r="29236" spans="9:10" x14ac:dyDescent="0.3">
      <c r="I29236" t="s">
        <v>33409</v>
      </c>
    </row>
    <row r="29237" spans="9:10" x14ac:dyDescent="0.3">
      <c r="I29237" t="s">
        <v>33410</v>
      </c>
    </row>
    <row r="29238" spans="9:10" x14ac:dyDescent="0.3">
      <c r="I29238" t="s">
        <v>33411</v>
      </c>
    </row>
    <row r="29239" spans="9:10" x14ac:dyDescent="0.3">
      <c r="I29239" t="s">
        <v>33412</v>
      </c>
    </row>
    <row r="29240" spans="9:10" x14ac:dyDescent="0.3">
      <c r="I29240" t="s">
        <v>33413</v>
      </c>
    </row>
    <row r="29241" spans="9:10" x14ac:dyDescent="0.3">
      <c r="I29241" t="s">
        <v>33414</v>
      </c>
    </row>
    <row r="29242" spans="9:10" x14ac:dyDescent="0.3">
      <c r="I29242" t="s">
        <v>33415</v>
      </c>
    </row>
    <row r="29243" spans="9:10" x14ac:dyDescent="0.3">
      <c r="I29243" t="s">
        <v>33416</v>
      </c>
    </row>
    <row r="29244" spans="9:10" x14ac:dyDescent="0.3">
      <c r="I29244" t="s">
        <v>33417</v>
      </c>
    </row>
    <row r="29245" spans="9:10" x14ac:dyDescent="0.3">
      <c r="I29245" t="s">
        <v>33418</v>
      </c>
    </row>
    <row r="29246" spans="9:10" x14ac:dyDescent="0.3">
      <c r="I29246" t="s">
        <v>33419</v>
      </c>
      <c r="J29246" t="s">
        <v>9271</v>
      </c>
    </row>
    <row r="29247" spans="9:10" x14ac:dyDescent="0.3">
      <c r="I29247" t="s">
        <v>33420</v>
      </c>
      <c r="J29247" t="s">
        <v>9272</v>
      </c>
    </row>
    <row r="29248" spans="9:10" x14ac:dyDescent="0.3">
      <c r="I29248" t="s">
        <v>33421</v>
      </c>
      <c r="J29248" t="s">
        <v>9273</v>
      </c>
    </row>
    <row r="29249" spans="9:10" x14ac:dyDescent="0.3">
      <c r="I29249" t="s">
        <v>33421</v>
      </c>
      <c r="J29249" t="s">
        <v>9273</v>
      </c>
    </row>
    <row r="29250" spans="9:10" x14ac:dyDescent="0.3">
      <c r="I29250" t="s">
        <v>33422</v>
      </c>
    </row>
    <row r="29251" spans="9:10" x14ac:dyDescent="0.3">
      <c r="I29251" t="s">
        <v>33423</v>
      </c>
    </row>
    <row r="29252" spans="9:10" x14ac:dyDescent="0.3">
      <c r="I29252" t="s">
        <v>33424</v>
      </c>
    </row>
    <row r="29253" spans="9:10" x14ac:dyDescent="0.3">
      <c r="I29253" t="s">
        <v>33425</v>
      </c>
    </row>
    <row r="29254" spans="9:10" x14ac:dyDescent="0.3">
      <c r="I29254" t="s">
        <v>33426</v>
      </c>
    </row>
    <row r="29255" spans="9:10" x14ac:dyDescent="0.3">
      <c r="I29255" t="s">
        <v>33427</v>
      </c>
    </row>
    <row r="29256" spans="9:10" x14ac:dyDescent="0.3">
      <c r="I29256" t="s">
        <v>33428</v>
      </c>
    </row>
    <row r="29257" spans="9:10" x14ac:dyDescent="0.3">
      <c r="I29257" t="s">
        <v>33429</v>
      </c>
    </row>
    <row r="29258" spans="9:10" x14ac:dyDescent="0.3">
      <c r="I29258" t="s">
        <v>33430</v>
      </c>
    </row>
    <row r="29259" spans="9:10" x14ac:dyDescent="0.3">
      <c r="I29259" t="s">
        <v>33431</v>
      </c>
    </row>
    <row r="29260" spans="9:10" x14ac:dyDescent="0.3">
      <c r="I29260" t="s">
        <v>33432</v>
      </c>
    </row>
    <row r="29261" spans="9:10" x14ac:dyDescent="0.3">
      <c r="I29261" t="s">
        <v>33433</v>
      </c>
    </row>
    <row r="29262" spans="9:10" x14ac:dyDescent="0.3">
      <c r="I29262" t="s">
        <v>33434</v>
      </c>
    </row>
    <row r="29263" spans="9:10" x14ac:dyDescent="0.3">
      <c r="I29263" t="s">
        <v>33435</v>
      </c>
    </row>
    <row r="29264" spans="9:10" x14ac:dyDescent="0.3">
      <c r="I29264" t="s">
        <v>33436</v>
      </c>
    </row>
    <row r="29265" spans="9:10" x14ac:dyDescent="0.3">
      <c r="I29265" t="s">
        <v>33437</v>
      </c>
    </row>
    <row r="29266" spans="9:10" x14ac:dyDescent="0.3">
      <c r="I29266" t="s">
        <v>33438</v>
      </c>
    </row>
    <row r="29267" spans="9:10" x14ac:dyDescent="0.3">
      <c r="I29267" t="s">
        <v>33439</v>
      </c>
    </row>
    <row r="29268" spans="9:10" x14ac:dyDescent="0.3">
      <c r="I29268" t="s">
        <v>33440</v>
      </c>
      <c r="J29268" t="s">
        <v>9274</v>
      </c>
    </row>
    <row r="29269" spans="9:10" x14ac:dyDescent="0.3">
      <c r="I29269" t="s">
        <v>33441</v>
      </c>
      <c r="J29269" t="s">
        <v>9275</v>
      </c>
    </row>
    <row r="29270" spans="9:10" x14ac:dyDescent="0.3">
      <c r="I29270" t="s">
        <v>33442</v>
      </c>
    </row>
    <row r="29271" spans="9:10" x14ac:dyDescent="0.3">
      <c r="I29271" t="s">
        <v>33443</v>
      </c>
    </row>
    <row r="29272" spans="9:10" x14ac:dyDescent="0.3">
      <c r="I29272" t="s">
        <v>33444</v>
      </c>
    </row>
    <row r="29273" spans="9:10" x14ac:dyDescent="0.3">
      <c r="I29273" t="s">
        <v>33445</v>
      </c>
    </row>
    <row r="29274" spans="9:10" x14ac:dyDescent="0.3">
      <c r="I29274" t="s">
        <v>33446</v>
      </c>
    </row>
    <row r="29275" spans="9:10" x14ac:dyDescent="0.3">
      <c r="I29275" t="s">
        <v>33447</v>
      </c>
    </row>
    <row r="29276" spans="9:10" x14ac:dyDescent="0.3">
      <c r="I29276" t="s">
        <v>33448</v>
      </c>
      <c r="J29276" t="s">
        <v>9276</v>
      </c>
    </row>
    <row r="29277" spans="9:10" x14ac:dyDescent="0.3">
      <c r="I29277" t="s">
        <v>33449</v>
      </c>
      <c r="J29277" t="s">
        <v>9277</v>
      </c>
    </row>
    <row r="29278" spans="9:10" x14ac:dyDescent="0.3">
      <c r="I29278" t="s">
        <v>33450</v>
      </c>
      <c r="J29278" t="s">
        <v>9277</v>
      </c>
    </row>
    <row r="29279" spans="9:10" x14ac:dyDescent="0.3">
      <c r="I29279" t="s">
        <v>33451</v>
      </c>
    </row>
    <row r="29280" spans="9:10" x14ac:dyDescent="0.3">
      <c r="I29280" t="s">
        <v>33452</v>
      </c>
    </row>
    <row r="29281" spans="9:10" x14ac:dyDescent="0.3">
      <c r="I29281" t="s">
        <v>33453</v>
      </c>
    </row>
    <row r="29282" spans="9:10" x14ac:dyDescent="0.3">
      <c r="I29282" t="s">
        <v>33454</v>
      </c>
    </row>
    <row r="29283" spans="9:10" x14ac:dyDescent="0.3">
      <c r="I29283" t="s">
        <v>33455</v>
      </c>
    </row>
    <row r="29284" spans="9:10" x14ac:dyDescent="0.3">
      <c r="I29284" t="s">
        <v>33456</v>
      </c>
    </row>
    <row r="29285" spans="9:10" x14ac:dyDescent="0.3">
      <c r="I29285" t="s">
        <v>33457</v>
      </c>
    </row>
    <row r="29286" spans="9:10" x14ac:dyDescent="0.3">
      <c r="I29286" t="s">
        <v>33458</v>
      </c>
    </row>
    <row r="29287" spans="9:10" x14ac:dyDescent="0.3">
      <c r="I29287" t="s">
        <v>33459</v>
      </c>
    </row>
    <row r="29288" spans="9:10" x14ac:dyDescent="0.3">
      <c r="I29288" t="s">
        <v>33460</v>
      </c>
    </row>
    <row r="29289" spans="9:10" x14ac:dyDescent="0.3">
      <c r="I29289" t="s">
        <v>33461</v>
      </c>
    </row>
    <row r="29290" spans="9:10" x14ac:dyDescent="0.3">
      <c r="I29290" t="s">
        <v>33462</v>
      </c>
    </row>
    <row r="29291" spans="9:10" x14ac:dyDescent="0.3">
      <c r="I29291" t="s">
        <v>33463</v>
      </c>
      <c r="J29291" t="s">
        <v>175</v>
      </c>
    </row>
    <row r="29292" spans="9:10" x14ac:dyDescent="0.3">
      <c r="I29292" t="s">
        <v>174</v>
      </c>
      <c r="J29292" t="s">
        <v>175</v>
      </c>
    </row>
    <row r="29293" spans="9:10" x14ac:dyDescent="0.3">
      <c r="I29293" t="s">
        <v>174</v>
      </c>
      <c r="J29293" t="s">
        <v>175</v>
      </c>
    </row>
    <row r="29294" spans="9:10" x14ac:dyDescent="0.3">
      <c r="I29294" t="s">
        <v>33464</v>
      </c>
      <c r="J29294" t="s">
        <v>9278</v>
      </c>
    </row>
    <row r="29295" spans="9:10" x14ac:dyDescent="0.3">
      <c r="I29295" t="s">
        <v>33465</v>
      </c>
    </row>
    <row r="29296" spans="9:10" x14ac:dyDescent="0.3">
      <c r="I29296" t="s">
        <v>33466</v>
      </c>
    </row>
    <row r="29297" spans="9:10" x14ac:dyDescent="0.3">
      <c r="I29297" t="s">
        <v>33467</v>
      </c>
      <c r="J29297" t="s">
        <v>9279</v>
      </c>
    </row>
    <row r="29298" spans="9:10" x14ac:dyDescent="0.3">
      <c r="I29298" t="s">
        <v>33468</v>
      </c>
      <c r="J29298" t="s">
        <v>9280</v>
      </c>
    </row>
    <row r="29299" spans="9:10" x14ac:dyDescent="0.3">
      <c r="I29299" t="s">
        <v>33469</v>
      </c>
      <c r="J29299" t="s">
        <v>9281</v>
      </c>
    </row>
    <row r="29300" spans="9:10" x14ac:dyDescent="0.3">
      <c r="I29300" t="s">
        <v>33470</v>
      </c>
      <c r="J29300" t="s">
        <v>9282</v>
      </c>
    </row>
    <row r="29301" spans="9:10" x14ac:dyDescent="0.3">
      <c r="I29301" t="s">
        <v>33471</v>
      </c>
      <c r="J29301" t="s">
        <v>9283</v>
      </c>
    </row>
    <row r="29302" spans="9:10" x14ac:dyDescent="0.3">
      <c r="I29302" t="s">
        <v>33472</v>
      </c>
      <c r="J29302" t="s">
        <v>9284</v>
      </c>
    </row>
    <row r="29303" spans="9:10" x14ac:dyDescent="0.3">
      <c r="I29303" t="s">
        <v>33473</v>
      </c>
      <c r="J29303" t="s">
        <v>9285</v>
      </c>
    </row>
    <row r="29304" spans="9:10" x14ac:dyDescent="0.3">
      <c r="I29304" t="s">
        <v>33474</v>
      </c>
    </row>
    <row r="29305" spans="9:10" x14ac:dyDescent="0.3">
      <c r="I29305" t="s">
        <v>33475</v>
      </c>
      <c r="J29305" t="s">
        <v>9286</v>
      </c>
    </row>
    <row r="29306" spans="9:10" x14ac:dyDescent="0.3">
      <c r="I29306" t="s">
        <v>33476</v>
      </c>
      <c r="J29306" t="s">
        <v>9287</v>
      </c>
    </row>
    <row r="29307" spans="9:10" x14ac:dyDescent="0.3">
      <c r="I29307" t="s">
        <v>33477</v>
      </c>
      <c r="J29307" t="s">
        <v>9288</v>
      </c>
    </row>
    <row r="29308" spans="9:10" x14ac:dyDescent="0.3">
      <c r="I29308" t="s">
        <v>33478</v>
      </c>
      <c r="J29308" t="s">
        <v>9288</v>
      </c>
    </row>
    <row r="29309" spans="9:10" x14ac:dyDescent="0.3">
      <c r="I29309" t="s">
        <v>33479</v>
      </c>
    </row>
    <row r="29310" spans="9:10" x14ac:dyDescent="0.3">
      <c r="I29310" t="s">
        <v>33480</v>
      </c>
    </row>
    <row r="29311" spans="9:10" x14ac:dyDescent="0.3">
      <c r="I29311" t="s">
        <v>33481</v>
      </c>
    </row>
    <row r="29312" spans="9:10" x14ac:dyDescent="0.3">
      <c r="I29312" t="s">
        <v>33482</v>
      </c>
    </row>
    <row r="29313" spans="9:10" x14ac:dyDescent="0.3">
      <c r="I29313" t="s">
        <v>33483</v>
      </c>
      <c r="J29313" t="s">
        <v>9289</v>
      </c>
    </row>
    <row r="29314" spans="9:10" x14ac:dyDescent="0.3">
      <c r="I29314" t="s">
        <v>33484</v>
      </c>
      <c r="J29314" t="s">
        <v>9290</v>
      </c>
    </row>
    <row r="29315" spans="9:10" x14ac:dyDescent="0.3">
      <c r="I29315" t="s">
        <v>33485</v>
      </c>
      <c r="J29315" t="s">
        <v>9291</v>
      </c>
    </row>
    <row r="29316" spans="9:10" x14ac:dyDescent="0.3">
      <c r="I29316" t="s">
        <v>33486</v>
      </c>
      <c r="J29316" t="s">
        <v>9292</v>
      </c>
    </row>
    <row r="29317" spans="9:10" x14ac:dyDescent="0.3">
      <c r="I29317" t="s">
        <v>33487</v>
      </c>
      <c r="J29317" t="s">
        <v>9292</v>
      </c>
    </row>
    <row r="29318" spans="9:10" x14ac:dyDescent="0.3">
      <c r="I29318" t="s">
        <v>33488</v>
      </c>
      <c r="J29318" t="s">
        <v>9293</v>
      </c>
    </row>
    <row r="29319" spans="9:10" x14ac:dyDescent="0.3">
      <c r="I29319" t="s">
        <v>33488</v>
      </c>
      <c r="J29319" t="s">
        <v>9293</v>
      </c>
    </row>
    <row r="29320" spans="9:10" x14ac:dyDescent="0.3">
      <c r="I29320" t="s">
        <v>33489</v>
      </c>
    </row>
    <row r="29321" spans="9:10" x14ac:dyDescent="0.3">
      <c r="I29321" t="s">
        <v>33490</v>
      </c>
    </row>
    <row r="29322" spans="9:10" x14ac:dyDescent="0.3">
      <c r="I29322" t="s">
        <v>33491</v>
      </c>
    </row>
    <row r="29323" spans="9:10" x14ac:dyDescent="0.3">
      <c r="I29323" t="s">
        <v>33492</v>
      </c>
    </row>
    <row r="29324" spans="9:10" x14ac:dyDescent="0.3">
      <c r="I29324" t="s">
        <v>33493</v>
      </c>
      <c r="J29324" t="s">
        <v>9294</v>
      </c>
    </row>
    <row r="29325" spans="9:10" x14ac:dyDescent="0.3">
      <c r="I29325" t="s">
        <v>33494</v>
      </c>
      <c r="J29325" t="s">
        <v>9295</v>
      </c>
    </row>
    <row r="29326" spans="9:10" x14ac:dyDescent="0.3">
      <c r="I29326" t="s">
        <v>33495</v>
      </c>
    </row>
    <row r="29327" spans="9:10" x14ac:dyDescent="0.3">
      <c r="I29327" t="s">
        <v>33496</v>
      </c>
    </row>
    <row r="29328" spans="9:10" x14ac:dyDescent="0.3">
      <c r="I29328" t="s">
        <v>33497</v>
      </c>
    </row>
    <row r="29329" spans="9:10" x14ac:dyDescent="0.3">
      <c r="I29329" t="s">
        <v>33498</v>
      </c>
      <c r="J29329" t="s">
        <v>9296</v>
      </c>
    </row>
    <row r="29330" spans="9:10" x14ac:dyDescent="0.3">
      <c r="I29330" t="s">
        <v>33499</v>
      </c>
    </row>
    <row r="29331" spans="9:10" x14ac:dyDescent="0.3">
      <c r="I29331" t="s">
        <v>33500</v>
      </c>
    </row>
    <row r="29332" spans="9:10" x14ac:dyDescent="0.3">
      <c r="I29332" t="s">
        <v>33501</v>
      </c>
    </row>
    <row r="29333" spans="9:10" x14ac:dyDescent="0.3">
      <c r="I29333" t="s">
        <v>33502</v>
      </c>
    </row>
    <row r="29334" spans="9:10" x14ac:dyDescent="0.3">
      <c r="I29334" t="s">
        <v>33503</v>
      </c>
    </row>
    <row r="29335" spans="9:10" x14ac:dyDescent="0.3">
      <c r="I29335" t="s">
        <v>33504</v>
      </c>
    </row>
    <row r="29336" spans="9:10" x14ac:dyDescent="0.3">
      <c r="I29336" t="s">
        <v>33505</v>
      </c>
    </row>
    <row r="29337" spans="9:10" x14ac:dyDescent="0.3">
      <c r="I29337" t="s">
        <v>33506</v>
      </c>
    </row>
    <row r="29338" spans="9:10" x14ac:dyDescent="0.3">
      <c r="I29338" t="s">
        <v>33507</v>
      </c>
    </row>
    <row r="29339" spans="9:10" x14ac:dyDescent="0.3">
      <c r="I29339" t="s">
        <v>33508</v>
      </c>
    </row>
    <row r="29340" spans="9:10" x14ac:dyDescent="0.3">
      <c r="I29340" t="s">
        <v>33509</v>
      </c>
    </row>
    <row r="29341" spans="9:10" x14ac:dyDescent="0.3">
      <c r="I29341" t="s">
        <v>33510</v>
      </c>
    </row>
    <row r="29342" spans="9:10" x14ac:dyDescent="0.3">
      <c r="I29342" t="s">
        <v>33511</v>
      </c>
    </row>
    <row r="29343" spans="9:10" x14ac:dyDescent="0.3">
      <c r="I29343" t="s">
        <v>33512</v>
      </c>
    </row>
    <row r="29344" spans="9:10" x14ac:dyDescent="0.3">
      <c r="I29344" t="s">
        <v>33513</v>
      </c>
    </row>
    <row r="29345" spans="9:9" x14ac:dyDescent="0.3">
      <c r="I29345" t="s">
        <v>33514</v>
      </c>
    </row>
    <row r="29346" spans="9:9" x14ac:dyDescent="0.3">
      <c r="I29346" t="s">
        <v>33515</v>
      </c>
    </row>
    <row r="29347" spans="9:9" x14ac:dyDescent="0.3">
      <c r="I29347" t="s">
        <v>33516</v>
      </c>
    </row>
    <row r="29348" spans="9:9" x14ac:dyDescent="0.3">
      <c r="I29348" t="s">
        <v>33517</v>
      </c>
    </row>
    <row r="29349" spans="9:9" x14ac:dyDescent="0.3">
      <c r="I29349" t="s">
        <v>33518</v>
      </c>
    </row>
    <row r="29350" spans="9:9" x14ac:dyDescent="0.3">
      <c r="I29350" t="s">
        <v>33519</v>
      </c>
    </row>
    <row r="29351" spans="9:9" x14ac:dyDescent="0.3">
      <c r="I29351" t="s">
        <v>33520</v>
      </c>
    </row>
    <row r="29352" spans="9:9" x14ac:dyDescent="0.3">
      <c r="I29352" t="s">
        <v>33521</v>
      </c>
    </row>
    <row r="29353" spans="9:9" x14ac:dyDescent="0.3">
      <c r="I29353" t="s">
        <v>33522</v>
      </c>
    </row>
    <row r="29354" spans="9:9" x14ac:dyDescent="0.3">
      <c r="I29354" t="s">
        <v>33523</v>
      </c>
    </row>
    <row r="29355" spans="9:9" x14ac:dyDescent="0.3">
      <c r="I29355" t="s">
        <v>33524</v>
      </c>
    </row>
    <row r="29356" spans="9:9" x14ac:dyDescent="0.3">
      <c r="I29356" t="s">
        <v>33525</v>
      </c>
    </row>
    <row r="29357" spans="9:9" x14ac:dyDescent="0.3">
      <c r="I29357" t="s">
        <v>33526</v>
      </c>
    </row>
    <row r="29358" spans="9:9" x14ac:dyDescent="0.3">
      <c r="I29358" t="s">
        <v>33527</v>
      </c>
    </row>
    <row r="29359" spans="9:9" x14ac:dyDescent="0.3">
      <c r="I29359" t="s">
        <v>33528</v>
      </c>
    </row>
    <row r="29360" spans="9:9" x14ac:dyDescent="0.3">
      <c r="I29360" t="s">
        <v>33529</v>
      </c>
    </row>
    <row r="29361" spans="9:9" x14ac:dyDescent="0.3">
      <c r="I29361" t="s">
        <v>33530</v>
      </c>
    </row>
    <row r="29362" spans="9:9" x14ac:dyDescent="0.3">
      <c r="I29362" t="s">
        <v>33531</v>
      </c>
    </row>
    <row r="29363" spans="9:9" x14ac:dyDescent="0.3">
      <c r="I29363" t="s">
        <v>33532</v>
      </c>
    </row>
    <row r="29364" spans="9:9" x14ac:dyDescent="0.3">
      <c r="I29364" t="s">
        <v>33533</v>
      </c>
    </row>
    <row r="29365" spans="9:9" x14ac:dyDescent="0.3">
      <c r="I29365" t="s">
        <v>33534</v>
      </c>
    </row>
    <row r="29366" spans="9:9" x14ac:dyDescent="0.3">
      <c r="I29366" t="s">
        <v>33535</v>
      </c>
    </row>
    <row r="29367" spans="9:9" x14ac:dyDescent="0.3">
      <c r="I29367" t="s">
        <v>33536</v>
      </c>
    </row>
    <row r="29368" spans="9:9" x14ac:dyDescent="0.3">
      <c r="I29368" t="s">
        <v>33537</v>
      </c>
    </row>
    <row r="29369" spans="9:9" x14ac:dyDescent="0.3">
      <c r="I29369" t="s">
        <v>33538</v>
      </c>
    </row>
    <row r="29370" spans="9:9" x14ac:dyDescent="0.3">
      <c r="I29370" t="s">
        <v>33539</v>
      </c>
    </row>
    <row r="29371" spans="9:9" x14ac:dyDescent="0.3">
      <c r="I29371" t="s">
        <v>33540</v>
      </c>
    </row>
    <row r="29372" spans="9:9" x14ac:dyDescent="0.3">
      <c r="I29372" t="s">
        <v>33541</v>
      </c>
    </row>
    <row r="29373" spans="9:9" x14ac:dyDescent="0.3">
      <c r="I29373" t="s">
        <v>33542</v>
      </c>
    </row>
    <row r="29374" spans="9:9" x14ac:dyDescent="0.3">
      <c r="I29374" t="s">
        <v>33543</v>
      </c>
    </row>
    <row r="29375" spans="9:9" x14ac:dyDescent="0.3">
      <c r="I29375" t="s">
        <v>33544</v>
      </c>
    </row>
    <row r="29376" spans="9:9" x14ac:dyDescent="0.3">
      <c r="I29376" t="s">
        <v>33545</v>
      </c>
    </row>
    <row r="29377" spans="9:9" x14ac:dyDescent="0.3">
      <c r="I29377" t="s">
        <v>33546</v>
      </c>
    </row>
    <row r="29378" spans="9:9" x14ac:dyDescent="0.3">
      <c r="I29378" t="s">
        <v>33547</v>
      </c>
    </row>
    <row r="29379" spans="9:9" x14ac:dyDescent="0.3">
      <c r="I29379" t="s">
        <v>33548</v>
      </c>
    </row>
    <row r="29380" spans="9:9" x14ac:dyDescent="0.3">
      <c r="I29380" t="s">
        <v>33549</v>
      </c>
    </row>
    <row r="29381" spans="9:9" x14ac:dyDescent="0.3">
      <c r="I29381" t="s">
        <v>33550</v>
      </c>
    </row>
    <row r="29382" spans="9:9" x14ac:dyDescent="0.3">
      <c r="I29382" t="s">
        <v>33551</v>
      </c>
    </row>
    <row r="29383" spans="9:9" x14ac:dyDescent="0.3">
      <c r="I29383" t="s">
        <v>33552</v>
      </c>
    </row>
    <row r="29384" spans="9:9" x14ac:dyDescent="0.3">
      <c r="I29384" t="s">
        <v>32800</v>
      </c>
    </row>
    <row r="29385" spans="9:9" x14ac:dyDescent="0.3">
      <c r="I29385" t="s">
        <v>33553</v>
      </c>
    </row>
    <row r="29386" spans="9:9" x14ac:dyDescent="0.3">
      <c r="I29386" t="s">
        <v>33554</v>
      </c>
    </row>
    <row r="29387" spans="9:9" x14ac:dyDescent="0.3">
      <c r="I29387" t="s">
        <v>33555</v>
      </c>
    </row>
    <row r="29388" spans="9:9" x14ac:dyDescent="0.3">
      <c r="I29388" t="s">
        <v>33556</v>
      </c>
    </row>
    <row r="29389" spans="9:9" x14ac:dyDescent="0.3">
      <c r="I29389" t="s">
        <v>33557</v>
      </c>
    </row>
    <row r="29390" spans="9:9" x14ac:dyDescent="0.3">
      <c r="I29390" t="s">
        <v>33558</v>
      </c>
    </row>
    <row r="29391" spans="9:9" x14ac:dyDescent="0.3">
      <c r="I29391" t="s">
        <v>33559</v>
      </c>
    </row>
    <row r="29392" spans="9:9" x14ac:dyDescent="0.3">
      <c r="I29392" t="s">
        <v>33560</v>
      </c>
    </row>
    <row r="29393" spans="9:9" x14ac:dyDescent="0.3">
      <c r="I29393" t="s">
        <v>33561</v>
      </c>
    </row>
    <row r="29394" spans="9:9" x14ac:dyDescent="0.3">
      <c r="I29394" t="s">
        <v>33562</v>
      </c>
    </row>
    <row r="29395" spans="9:9" x14ac:dyDescent="0.3">
      <c r="I29395" t="s">
        <v>33563</v>
      </c>
    </row>
    <row r="29396" spans="9:9" x14ac:dyDescent="0.3">
      <c r="I29396" t="s">
        <v>33564</v>
      </c>
    </row>
    <row r="29397" spans="9:9" x14ac:dyDescent="0.3">
      <c r="I29397" t="s">
        <v>33565</v>
      </c>
    </row>
    <row r="29398" spans="9:9" x14ac:dyDescent="0.3">
      <c r="I29398" t="s">
        <v>33566</v>
      </c>
    </row>
    <row r="29399" spans="9:9" x14ac:dyDescent="0.3">
      <c r="I29399" t="s">
        <v>33567</v>
      </c>
    </row>
    <row r="29400" spans="9:9" x14ac:dyDescent="0.3">
      <c r="I29400" t="s">
        <v>33568</v>
      </c>
    </row>
    <row r="29401" spans="9:9" x14ac:dyDescent="0.3">
      <c r="I29401" t="s">
        <v>33569</v>
      </c>
    </row>
    <row r="29402" spans="9:9" x14ac:dyDescent="0.3">
      <c r="I29402" t="s">
        <v>33570</v>
      </c>
    </row>
    <row r="29403" spans="9:9" x14ac:dyDescent="0.3">
      <c r="I29403" t="s">
        <v>33571</v>
      </c>
    </row>
    <row r="29404" spans="9:9" x14ac:dyDescent="0.3">
      <c r="I29404" t="s">
        <v>33572</v>
      </c>
    </row>
    <row r="29405" spans="9:9" x14ac:dyDescent="0.3">
      <c r="I29405" t="s">
        <v>33573</v>
      </c>
    </row>
    <row r="29406" spans="9:9" x14ac:dyDescent="0.3">
      <c r="I29406" t="s">
        <v>33574</v>
      </c>
    </row>
    <row r="29407" spans="9:9" x14ac:dyDescent="0.3">
      <c r="I29407" t="s">
        <v>33575</v>
      </c>
    </row>
    <row r="29408" spans="9:9" x14ac:dyDescent="0.3">
      <c r="I29408" t="s">
        <v>33576</v>
      </c>
    </row>
    <row r="29409" spans="9:10" x14ac:dyDescent="0.3">
      <c r="I29409" t="s">
        <v>33577</v>
      </c>
      <c r="J29409" t="s">
        <v>9297</v>
      </c>
    </row>
    <row r="29410" spans="9:10" x14ac:dyDescent="0.3">
      <c r="I29410" t="s">
        <v>33578</v>
      </c>
      <c r="J29410" t="s">
        <v>9298</v>
      </c>
    </row>
    <row r="29411" spans="9:10" x14ac:dyDescent="0.3">
      <c r="I29411" t="s">
        <v>33579</v>
      </c>
      <c r="J29411" t="s">
        <v>9299</v>
      </c>
    </row>
    <row r="29412" spans="9:10" x14ac:dyDescent="0.3">
      <c r="I29412" t="s">
        <v>33580</v>
      </c>
    </row>
    <row r="29413" spans="9:10" x14ac:dyDescent="0.3">
      <c r="I29413" t="s">
        <v>33581</v>
      </c>
    </row>
    <row r="29414" spans="9:10" x14ac:dyDescent="0.3">
      <c r="I29414" t="s">
        <v>33582</v>
      </c>
      <c r="J29414" t="s">
        <v>9300</v>
      </c>
    </row>
    <row r="29415" spans="9:10" x14ac:dyDescent="0.3">
      <c r="I29415" t="s">
        <v>33583</v>
      </c>
      <c r="J29415" t="s">
        <v>9301</v>
      </c>
    </row>
    <row r="29416" spans="9:10" x14ac:dyDescent="0.3">
      <c r="I29416" t="s">
        <v>33584</v>
      </c>
      <c r="J29416" t="s">
        <v>9301</v>
      </c>
    </row>
    <row r="29417" spans="9:10" x14ac:dyDescent="0.3">
      <c r="I29417" t="s">
        <v>33585</v>
      </c>
    </row>
    <row r="29418" spans="9:10" x14ac:dyDescent="0.3">
      <c r="I29418" t="s">
        <v>33586</v>
      </c>
    </row>
    <row r="29419" spans="9:10" x14ac:dyDescent="0.3">
      <c r="I29419" t="s">
        <v>33587</v>
      </c>
    </row>
    <row r="29420" spans="9:10" x14ac:dyDescent="0.3">
      <c r="I29420" t="s">
        <v>33588</v>
      </c>
    </row>
    <row r="29421" spans="9:10" x14ac:dyDescent="0.3">
      <c r="I29421" t="s">
        <v>33589</v>
      </c>
    </row>
    <row r="29422" spans="9:10" x14ac:dyDescent="0.3">
      <c r="I29422" t="s">
        <v>33590</v>
      </c>
    </row>
    <row r="29423" spans="9:10" x14ac:dyDescent="0.3">
      <c r="I29423" t="s">
        <v>33591</v>
      </c>
      <c r="J29423" t="s">
        <v>9302</v>
      </c>
    </row>
    <row r="29424" spans="9:10" x14ac:dyDescent="0.3">
      <c r="I29424" t="s">
        <v>33592</v>
      </c>
      <c r="J29424" t="s">
        <v>9302</v>
      </c>
    </row>
    <row r="29425" spans="9:10" x14ac:dyDescent="0.3">
      <c r="I29425" t="s">
        <v>33593</v>
      </c>
    </row>
    <row r="29426" spans="9:10" x14ac:dyDescent="0.3">
      <c r="I29426" t="s">
        <v>33594</v>
      </c>
    </row>
    <row r="29427" spans="9:10" x14ac:dyDescent="0.3">
      <c r="I29427" t="s">
        <v>33595</v>
      </c>
    </row>
    <row r="29428" spans="9:10" x14ac:dyDescent="0.3">
      <c r="I29428" t="s">
        <v>33595</v>
      </c>
    </row>
    <row r="29429" spans="9:10" x14ac:dyDescent="0.3">
      <c r="I29429" t="s">
        <v>33595</v>
      </c>
    </row>
    <row r="29430" spans="9:10" x14ac:dyDescent="0.3">
      <c r="I29430" t="s">
        <v>33596</v>
      </c>
    </row>
    <row r="29431" spans="9:10" x14ac:dyDescent="0.3">
      <c r="I29431" t="s">
        <v>33597</v>
      </c>
    </row>
    <row r="29432" spans="9:10" x14ac:dyDescent="0.3">
      <c r="I29432" t="s">
        <v>33598</v>
      </c>
    </row>
    <row r="29433" spans="9:10" x14ac:dyDescent="0.3">
      <c r="I29433" t="s">
        <v>33599</v>
      </c>
    </row>
    <row r="29434" spans="9:10" x14ac:dyDescent="0.3">
      <c r="I29434" t="s">
        <v>33600</v>
      </c>
    </row>
    <row r="29435" spans="9:10" x14ac:dyDescent="0.3">
      <c r="I29435" t="s">
        <v>33601</v>
      </c>
    </row>
    <row r="29436" spans="9:10" x14ac:dyDescent="0.3">
      <c r="I29436" t="s">
        <v>33602</v>
      </c>
    </row>
    <row r="29437" spans="9:10" x14ac:dyDescent="0.3">
      <c r="I29437" t="s">
        <v>33603</v>
      </c>
      <c r="J29437" t="s">
        <v>9303</v>
      </c>
    </row>
    <row r="29438" spans="9:10" x14ac:dyDescent="0.3">
      <c r="I29438" t="s">
        <v>33604</v>
      </c>
    </row>
    <row r="29439" spans="9:10" x14ac:dyDescent="0.3">
      <c r="I29439" t="s">
        <v>33605</v>
      </c>
    </row>
    <row r="29440" spans="9:10" x14ac:dyDescent="0.3">
      <c r="I29440" t="s">
        <v>33606</v>
      </c>
    </row>
    <row r="29441" spans="9:10" x14ac:dyDescent="0.3">
      <c r="I29441" t="s">
        <v>33606</v>
      </c>
    </row>
    <row r="29442" spans="9:10" x14ac:dyDescent="0.3">
      <c r="I29442" t="s">
        <v>33607</v>
      </c>
    </row>
    <row r="29443" spans="9:10" x14ac:dyDescent="0.3">
      <c r="I29443" t="s">
        <v>33608</v>
      </c>
      <c r="J29443" t="s">
        <v>9304</v>
      </c>
    </row>
    <row r="29444" spans="9:10" x14ac:dyDescent="0.3">
      <c r="I29444" t="s">
        <v>33609</v>
      </c>
    </row>
    <row r="29445" spans="9:10" x14ac:dyDescent="0.3">
      <c r="I29445" t="s">
        <v>33610</v>
      </c>
    </row>
    <row r="29446" spans="9:10" x14ac:dyDescent="0.3">
      <c r="I29446" t="s">
        <v>33611</v>
      </c>
    </row>
    <row r="29447" spans="9:10" x14ac:dyDescent="0.3">
      <c r="I29447" t="s">
        <v>33612</v>
      </c>
      <c r="J29447" t="s">
        <v>9305</v>
      </c>
    </row>
    <row r="29448" spans="9:10" x14ac:dyDescent="0.3">
      <c r="I29448" t="s">
        <v>33613</v>
      </c>
      <c r="J29448" t="s">
        <v>9305</v>
      </c>
    </row>
    <row r="29449" spans="9:10" x14ac:dyDescent="0.3">
      <c r="I29449" t="s">
        <v>33614</v>
      </c>
    </row>
    <row r="29450" spans="9:10" x14ac:dyDescent="0.3">
      <c r="I29450" t="s">
        <v>33614</v>
      </c>
    </row>
    <row r="29451" spans="9:10" x14ac:dyDescent="0.3">
      <c r="I29451" t="s">
        <v>33615</v>
      </c>
    </row>
    <row r="29452" spans="9:10" x14ac:dyDescent="0.3">
      <c r="I29452" t="s">
        <v>33616</v>
      </c>
      <c r="J29452" t="s">
        <v>9306</v>
      </c>
    </row>
    <row r="29453" spans="9:10" x14ac:dyDescent="0.3">
      <c r="I29453" t="s">
        <v>33617</v>
      </c>
    </row>
    <row r="29454" spans="9:10" x14ac:dyDescent="0.3">
      <c r="I29454" t="s">
        <v>33617</v>
      </c>
    </row>
    <row r="29455" spans="9:10" x14ac:dyDescent="0.3">
      <c r="I29455" t="s">
        <v>33617</v>
      </c>
    </row>
    <row r="29456" spans="9:10" x14ac:dyDescent="0.3">
      <c r="I29456" t="s">
        <v>33618</v>
      </c>
    </row>
    <row r="29457" spans="9:10" x14ac:dyDescent="0.3">
      <c r="I29457" t="s">
        <v>33619</v>
      </c>
      <c r="J29457" t="s">
        <v>9307</v>
      </c>
    </row>
    <row r="29458" spans="9:10" x14ac:dyDescent="0.3">
      <c r="I29458" t="s">
        <v>33619</v>
      </c>
      <c r="J29458" t="s">
        <v>9307</v>
      </c>
    </row>
    <row r="29459" spans="9:10" x14ac:dyDescent="0.3">
      <c r="I29459" t="s">
        <v>33620</v>
      </c>
      <c r="J29459" t="s">
        <v>9308</v>
      </c>
    </row>
    <row r="29460" spans="9:10" x14ac:dyDescent="0.3">
      <c r="I29460" t="s">
        <v>33621</v>
      </c>
    </row>
    <row r="29461" spans="9:10" x14ac:dyDescent="0.3">
      <c r="I29461" t="s">
        <v>33622</v>
      </c>
    </row>
    <row r="29462" spans="9:10" x14ac:dyDescent="0.3">
      <c r="I29462" t="s">
        <v>33623</v>
      </c>
    </row>
    <row r="29463" spans="9:10" x14ac:dyDescent="0.3">
      <c r="I29463" t="s">
        <v>33624</v>
      </c>
      <c r="J29463" t="s">
        <v>9309</v>
      </c>
    </row>
    <row r="29464" spans="9:10" x14ac:dyDescent="0.3">
      <c r="I29464" t="s">
        <v>33625</v>
      </c>
      <c r="J29464" t="s">
        <v>9310</v>
      </c>
    </row>
    <row r="29465" spans="9:10" x14ac:dyDescent="0.3">
      <c r="I29465" t="s">
        <v>33626</v>
      </c>
    </row>
    <row r="29466" spans="9:10" x14ac:dyDescent="0.3">
      <c r="I29466" t="s">
        <v>33627</v>
      </c>
      <c r="J29466" t="s">
        <v>9311</v>
      </c>
    </row>
    <row r="29467" spans="9:10" x14ac:dyDescent="0.3">
      <c r="I29467" t="s">
        <v>33627</v>
      </c>
      <c r="J29467" t="s">
        <v>9311</v>
      </c>
    </row>
    <row r="29468" spans="9:10" x14ac:dyDescent="0.3">
      <c r="I29468" t="s">
        <v>33628</v>
      </c>
      <c r="J29468" t="s">
        <v>9312</v>
      </c>
    </row>
    <row r="29469" spans="9:10" x14ac:dyDescent="0.3">
      <c r="I29469" t="s">
        <v>33629</v>
      </c>
    </row>
    <row r="29470" spans="9:10" x14ac:dyDescent="0.3">
      <c r="I29470" t="s">
        <v>33630</v>
      </c>
      <c r="J29470" t="s">
        <v>9313</v>
      </c>
    </row>
    <row r="29471" spans="9:10" x14ac:dyDescent="0.3">
      <c r="I29471" t="s">
        <v>33631</v>
      </c>
    </row>
    <row r="29472" spans="9:10" x14ac:dyDescent="0.3">
      <c r="I29472" t="s">
        <v>33632</v>
      </c>
    </row>
    <row r="29473" spans="9:10" x14ac:dyDescent="0.3">
      <c r="I29473" t="s">
        <v>33633</v>
      </c>
    </row>
    <row r="29474" spans="9:10" x14ac:dyDescent="0.3">
      <c r="I29474" t="s">
        <v>33634</v>
      </c>
    </row>
    <row r="29475" spans="9:10" x14ac:dyDescent="0.3">
      <c r="I29475" t="s">
        <v>33635</v>
      </c>
    </row>
    <row r="29476" spans="9:10" x14ac:dyDescent="0.3">
      <c r="I29476" t="s">
        <v>33636</v>
      </c>
      <c r="J29476" t="s">
        <v>9314</v>
      </c>
    </row>
    <row r="29477" spans="9:10" x14ac:dyDescent="0.3">
      <c r="I29477" t="s">
        <v>33637</v>
      </c>
      <c r="J29477" t="s">
        <v>9315</v>
      </c>
    </row>
    <row r="29478" spans="9:10" x14ac:dyDescent="0.3">
      <c r="I29478" t="s">
        <v>33638</v>
      </c>
      <c r="J29478" t="s">
        <v>9316</v>
      </c>
    </row>
    <row r="29479" spans="9:10" x14ac:dyDescent="0.3">
      <c r="I29479" t="s">
        <v>33639</v>
      </c>
      <c r="J29479" t="s">
        <v>9317</v>
      </c>
    </row>
    <row r="29480" spans="9:10" x14ac:dyDescent="0.3">
      <c r="I29480" t="s">
        <v>33640</v>
      </c>
      <c r="J29480" t="s">
        <v>9318</v>
      </c>
    </row>
    <row r="29481" spans="9:10" x14ac:dyDescent="0.3">
      <c r="I29481" t="s">
        <v>33641</v>
      </c>
    </row>
    <row r="29482" spans="9:10" x14ac:dyDescent="0.3">
      <c r="I29482" t="s">
        <v>33642</v>
      </c>
      <c r="J29482" t="s">
        <v>9319</v>
      </c>
    </row>
    <row r="29483" spans="9:10" x14ac:dyDescent="0.3">
      <c r="I29483" t="s">
        <v>33643</v>
      </c>
    </row>
    <row r="29484" spans="9:10" x14ac:dyDescent="0.3">
      <c r="I29484" t="s">
        <v>33644</v>
      </c>
    </row>
    <row r="29485" spans="9:10" x14ac:dyDescent="0.3">
      <c r="I29485" t="s">
        <v>33645</v>
      </c>
    </row>
    <row r="29486" spans="9:10" x14ac:dyDescent="0.3">
      <c r="I29486" t="s">
        <v>33646</v>
      </c>
    </row>
    <row r="29487" spans="9:10" x14ac:dyDescent="0.3">
      <c r="I29487" t="s">
        <v>33647</v>
      </c>
    </row>
    <row r="29488" spans="9:10" x14ac:dyDescent="0.3">
      <c r="I29488" t="s">
        <v>33648</v>
      </c>
    </row>
    <row r="29489" spans="9:10" x14ac:dyDescent="0.3">
      <c r="I29489" t="s">
        <v>33649</v>
      </c>
    </row>
    <row r="29490" spans="9:10" x14ac:dyDescent="0.3">
      <c r="I29490" t="s">
        <v>33650</v>
      </c>
    </row>
    <row r="29491" spans="9:10" x14ac:dyDescent="0.3">
      <c r="I29491" t="s">
        <v>33651</v>
      </c>
      <c r="J29491" t="s">
        <v>9320</v>
      </c>
    </row>
    <row r="29492" spans="9:10" x14ac:dyDescent="0.3">
      <c r="I29492" t="s">
        <v>33652</v>
      </c>
    </row>
    <row r="29493" spans="9:10" x14ac:dyDescent="0.3">
      <c r="I29493" t="s">
        <v>33653</v>
      </c>
    </row>
    <row r="29494" spans="9:10" x14ac:dyDescent="0.3">
      <c r="I29494" t="s">
        <v>33654</v>
      </c>
    </row>
    <row r="29495" spans="9:10" x14ac:dyDescent="0.3">
      <c r="I29495" t="s">
        <v>33655</v>
      </c>
    </row>
    <row r="29496" spans="9:10" x14ac:dyDescent="0.3">
      <c r="I29496" t="s">
        <v>33656</v>
      </c>
    </row>
    <row r="29497" spans="9:10" x14ac:dyDescent="0.3">
      <c r="I29497" t="s">
        <v>33657</v>
      </c>
    </row>
    <row r="29498" spans="9:10" x14ac:dyDescent="0.3">
      <c r="I29498" t="s">
        <v>33658</v>
      </c>
    </row>
    <row r="29499" spans="9:10" x14ac:dyDescent="0.3">
      <c r="I29499" t="s">
        <v>33659</v>
      </c>
    </row>
    <row r="29500" spans="9:10" x14ac:dyDescent="0.3">
      <c r="I29500" t="s">
        <v>33660</v>
      </c>
    </row>
    <row r="29501" spans="9:10" x14ac:dyDescent="0.3">
      <c r="I29501" t="s">
        <v>33661</v>
      </c>
      <c r="J29501" t="s">
        <v>9321</v>
      </c>
    </row>
    <row r="29502" spans="9:10" x14ac:dyDescent="0.3">
      <c r="I29502" t="s">
        <v>33662</v>
      </c>
    </row>
    <row r="29503" spans="9:10" x14ac:dyDescent="0.3">
      <c r="I29503" t="s">
        <v>33663</v>
      </c>
    </row>
    <row r="29504" spans="9:10" x14ac:dyDescent="0.3">
      <c r="I29504" t="s">
        <v>33664</v>
      </c>
      <c r="J29504" t="s">
        <v>9322</v>
      </c>
    </row>
    <row r="29505" spans="9:10" x14ac:dyDescent="0.3">
      <c r="I29505" t="s">
        <v>33665</v>
      </c>
    </row>
    <row r="29506" spans="9:10" x14ac:dyDescent="0.3">
      <c r="I29506" t="s">
        <v>33666</v>
      </c>
    </row>
    <row r="29507" spans="9:10" x14ac:dyDescent="0.3">
      <c r="I29507" t="s">
        <v>33667</v>
      </c>
    </row>
    <row r="29508" spans="9:10" x14ac:dyDescent="0.3">
      <c r="I29508" t="s">
        <v>33668</v>
      </c>
    </row>
    <row r="29509" spans="9:10" x14ac:dyDescent="0.3">
      <c r="I29509" t="s">
        <v>33669</v>
      </c>
    </row>
    <row r="29510" spans="9:10" x14ac:dyDescent="0.3">
      <c r="I29510" t="s">
        <v>33670</v>
      </c>
      <c r="J29510" t="s">
        <v>9323</v>
      </c>
    </row>
    <row r="29511" spans="9:10" x14ac:dyDescent="0.3">
      <c r="I29511" t="s">
        <v>33671</v>
      </c>
      <c r="J29511" t="s">
        <v>9324</v>
      </c>
    </row>
    <row r="29512" spans="9:10" x14ac:dyDescent="0.3">
      <c r="I29512" t="s">
        <v>33672</v>
      </c>
      <c r="J29512" t="s">
        <v>9325</v>
      </c>
    </row>
    <row r="29513" spans="9:10" x14ac:dyDescent="0.3">
      <c r="I29513" t="s">
        <v>33673</v>
      </c>
    </row>
    <row r="29514" spans="9:10" x14ac:dyDescent="0.3">
      <c r="I29514" t="s">
        <v>33674</v>
      </c>
    </row>
    <row r="29515" spans="9:10" x14ac:dyDescent="0.3">
      <c r="I29515" t="s">
        <v>33675</v>
      </c>
    </row>
    <row r="29516" spans="9:10" x14ac:dyDescent="0.3">
      <c r="I29516" t="s">
        <v>33676</v>
      </c>
      <c r="J29516" t="s">
        <v>9326</v>
      </c>
    </row>
    <row r="29517" spans="9:10" x14ac:dyDescent="0.3">
      <c r="I29517" t="s">
        <v>33677</v>
      </c>
      <c r="J29517" t="s">
        <v>9327</v>
      </c>
    </row>
    <row r="29518" spans="9:10" x14ac:dyDescent="0.3">
      <c r="I29518" t="s">
        <v>33678</v>
      </c>
    </row>
    <row r="29519" spans="9:10" x14ac:dyDescent="0.3">
      <c r="I29519" t="s">
        <v>33679</v>
      </c>
    </row>
    <row r="29520" spans="9:10" x14ac:dyDescent="0.3">
      <c r="I29520" t="s">
        <v>33680</v>
      </c>
    </row>
    <row r="29521" spans="9:9" x14ac:dyDescent="0.3">
      <c r="I29521" t="s">
        <v>33681</v>
      </c>
    </row>
    <row r="29522" spans="9:9" x14ac:dyDescent="0.3">
      <c r="I29522" t="s">
        <v>33682</v>
      </c>
    </row>
    <row r="29523" spans="9:9" x14ac:dyDescent="0.3">
      <c r="I29523" t="s">
        <v>33683</v>
      </c>
    </row>
    <row r="29524" spans="9:9" x14ac:dyDescent="0.3">
      <c r="I29524" t="s">
        <v>33684</v>
      </c>
    </row>
    <row r="29525" spans="9:9" x14ac:dyDescent="0.3">
      <c r="I29525" t="s">
        <v>33685</v>
      </c>
    </row>
    <row r="29526" spans="9:9" x14ac:dyDescent="0.3">
      <c r="I29526" t="s">
        <v>33686</v>
      </c>
    </row>
    <row r="29527" spans="9:9" x14ac:dyDescent="0.3">
      <c r="I29527" t="s">
        <v>33687</v>
      </c>
    </row>
    <row r="29528" spans="9:9" x14ac:dyDescent="0.3">
      <c r="I29528" t="s">
        <v>33688</v>
      </c>
    </row>
    <row r="29529" spans="9:9" x14ac:dyDescent="0.3">
      <c r="I29529" t="s">
        <v>33689</v>
      </c>
    </row>
    <row r="29530" spans="9:9" x14ac:dyDescent="0.3">
      <c r="I29530" t="s">
        <v>33690</v>
      </c>
    </row>
    <row r="29531" spans="9:9" x14ac:dyDescent="0.3">
      <c r="I29531" t="s">
        <v>33691</v>
      </c>
    </row>
    <row r="29532" spans="9:9" x14ac:dyDescent="0.3">
      <c r="I29532" t="s">
        <v>33692</v>
      </c>
    </row>
    <row r="29533" spans="9:9" x14ac:dyDescent="0.3">
      <c r="I29533" t="s">
        <v>33693</v>
      </c>
    </row>
    <row r="29534" spans="9:9" x14ac:dyDescent="0.3">
      <c r="I29534" t="s">
        <v>33694</v>
      </c>
    </row>
    <row r="29535" spans="9:9" x14ac:dyDescent="0.3">
      <c r="I29535" t="s">
        <v>33695</v>
      </c>
    </row>
    <row r="29536" spans="9:9" x14ac:dyDescent="0.3">
      <c r="I29536" t="s">
        <v>33696</v>
      </c>
    </row>
    <row r="29537" spans="9:10" x14ac:dyDescent="0.3">
      <c r="I29537" t="s">
        <v>33697</v>
      </c>
    </row>
    <row r="29538" spans="9:10" x14ac:dyDescent="0.3">
      <c r="I29538" t="s">
        <v>33698</v>
      </c>
    </row>
    <row r="29539" spans="9:10" x14ac:dyDescent="0.3">
      <c r="I29539" t="s">
        <v>33699</v>
      </c>
    </row>
    <row r="29540" spans="9:10" x14ac:dyDescent="0.3">
      <c r="I29540" t="s">
        <v>33700</v>
      </c>
    </row>
    <row r="29541" spans="9:10" x14ac:dyDescent="0.3">
      <c r="I29541" t="s">
        <v>33701</v>
      </c>
    </row>
    <row r="29542" spans="9:10" x14ac:dyDescent="0.3">
      <c r="I29542" t="s">
        <v>33702</v>
      </c>
    </row>
    <row r="29543" spans="9:10" x14ac:dyDescent="0.3">
      <c r="I29543" t="s">
        <v>33703</v>
      </c>
    </row>
    <row r="29544" spans="9:10" x14ac:dyDescent="0.3">
      <c r="I29544" t="s">
        <v>33704</v>
      </c>
    </row>
    <row r="29545" spans="9:10" x14ac:dyDescent="0.3">
      <c r="I29545" t="s">
        <v>33705</v>
      </c>
    </row>
    <row r="29546" spans="9:10" x14ac:dyDescent="0.3">
      <c r="I29546" t="s">
        <v>33706</v>
      </c>
    </row>
    <row r="29547" spans="9:10" x14ac:dyDescent="0.3">
      <c r="I29547" t="s">
        <v>33707</v>
      </c>
    </row>
    <row r="29548" spans="9:10" x14ac:dyDescent="0.3">
      <c r="I29548" t="s">
        <v>33708</v>
      </c>
      <c r="J29548" t="s">
        <v>9328</v>
      </c>
    </row>
    <row r="29549" spans="9:10" x14ac:dyDescent="0.3">
      <c r="I29549" t="s">
        <v>33709</v>
      </c>
    </row>
    <row r="29550" spans="9:10" x14ac:dyDescent="0.3">
      <c r="I29550" t="s">
        <v>33710</v>
      </c>
    </row>
    <row r="29551" spans="9:10" x14ac:dyDescent="0.3">
      <c r="I29551" t="s">
        <v>33711</v>
      </c>
      <c r="J29551" t="s">
        <v>9329</v>
      </c>
    </row>
    <row r="29552" spans="9:10" x14ac:dyDescent="0.3">
      <c r="I29552" t="s">
        <v>33712</v>
      </c>
    </row>
    <row r="29553" spans="9:10" x14ac:dyDescent="0.3">
      <c r="I29553" t="s">
        <v>33713</v>
      </c>
    </row>
    <row r="29554" spans="9:10" x14ac:dyDescent="0.3">
      <c r="I29554" t="s">
        <v>33714</v>
      </c>
    </row>
    <row r="29555" spans="9:10" x14ac:dyDescent="0.3">
      <c r="I29555" t="s">
        <v>33715</v>
      </c>
    </row>
    <row r="29556" spans="9:10" x14ac:dyDescent="0.3">
      <c r="I29556" t="s">
        <v>33716</v>
      </c>
    </row>
    <row r="29557" spans="9:10" x14ac:dyDescent="0.3">
      <c r="I29557" t="s">
        <v>33717</v>
      </c>
    </row>
    <row r="29558" spans="9:10" x14ac:dyDescent="0.3">
      <c r="I29558" t="s">
        <v>33717</v>
      </c>
    </row>
    <row r="29559" spans="9:10" x14ac:dyDescent="0.3">
      <c r="I29559" t="s">
        <v>33717</v>
      </c>
    </row>
    <row r="29560" spans="9:10" x14ac:dyDescent="0.3">
      <c r="I29560" t="s">
        <v>33718</v>
      </c>
      <c r="J29560" t="s">
        <v>9330</v>
      </c>
    </row>
    <row r="29561" spans="9:10" x14ac:dyDescent="0.3">
      <c r="I29561" t="s">
        <v>33719</v>
      </c>
      <c r="J29561" t="s">
        <v>9330</v>
      </c>
    </row>
    <row r="29562" spans="9:10" x14ac:dyDescent="0.3">
      <c r="I29562" t="s">
        <v>33720</v>
      </c>
    </row>
    <row r="29563" spans="9:10" x14ac:dyDescent="0.3">
      <c r="I29563" t="s">
        <v>33721</v>
      </c>
    </row>
    <row r="29564" spans="9:10" x14ac:dyDescent="0.3">
      <c r="I29564" t="s">
        <v>33722</v>
      </c>
    </row>
    <row r="29565" spans="9:10" x14ac:dyDescent="0.3">
      <c r="I29565" t="s">
        <v>33723</v>
      </c>
    </row>
    <row r="29566" spans="9:10" x14ac:dyDescent="0.3">
      <c r="I29566" t="s">
        <v>33724</v>
      </c>
    </row>
    <row r="29567" spans="9:10" x14ac:dyDescent="0.3">
      <c r="I29567" t="s">
        <v>33725</v>
      </c>
      <c r="J29567" t="s">
        <v>9331</v>
      </c>
    </row>
    <row r="29568" spans="9:10" x14ac:dyDescent="0.3">
      <c r="I29568" t="s">
        <v>33726</v>
      </c>
    </row>
    <row r="29569" spans="9:10" x14ac:dyDescent="0.3">
      <c r="I29569" t="s">
        <v>33727</v>
      </c>
    </row>
    <row r="29570" spans="9:10" x14ac:dyDescent="0.3">
      <c r="I29570" t="s">
        <v>33728</v>
      </c>
    </row>
    <row r="29571" spans="9:10" x14ac:dyDescent="0.3">
      <c r="I29571" t="s">
        <v>33729</v>
      </c>
    </row>
    <row r="29572" spans="9:10" x14ac:dyDescent="0.3">
      <c r="I29572" t="s">
        <v>33729</v>
      </c>
    </row>
    <row r="29573" spans="9:10" x14ac:dyDescent="0.3">
      <c r="I29573" t="s">
        <v>33730</v>
      </c>
    </row>
    <row r="29574" spans="9:10" x14ac:dyDescent="0.3">
      <c r="I29574" t="s">
        <v>33731</v>
      </c>
    </row>
    <row r="29575" spans="9:10" x14ac:dyDescent="0.3">
      <c r="I29575" t="s">
        <v>33732</v>
      </c>
    </row>
    <row r="29576" spans="9:10" x14ac:dyDescent="0.3">
      <c r="I29576" t="s">
        <v>33733</v>
      </c>
    </row>
    <row r="29577" spans="9:10" x14ac:dyDescent="0.3">
      <c r="I29577" t="s">
        <v>33734</v>
      </c>
    </row>
    <row r="29578" spans="9:10" x14ac:dyDescent="0.3">
      <c r="I29578" t="s">
        <v>33735</v>
      </c>
    </row>
    <row r="29579" spans="9:10" x14ac:dyDescent="0.3">
      <c r="I29579" t="s">
        <v>33736</v>
      </c>
    </row>
    <row r="29580" spans="9:10" x14ac:dyDescent="0.3">
      <c r="I29580" t="s">
        <v>33737</v>
      </c>
      <c r="J29580" t="s">
        <v>9332</v>
      </c>
    </row>
    <row r="29581" spans="9:10" x14ac:dyDescent="0.3">
      <c r="I29581" t="s">
        <v>33738</v>
      </c>
    </row>
    <row r="29582" spans="9:10" x14ac:dyDescent="0.3">
      <c r="I29582" t="s">
        <v>33739</v>
      </c>
      <c r="J29582" t="s">
        <v>9333</v>
      </c>
    </row>
    <row r="29583" spans="9:10" x14ac:dyDescent="0.3">
      <c r="I29583" t="s">
        <v>33740</v>
      </c>
    </row>
    <row r="29584" spans="9:10" x14ac:dyDescent="0.3">
      <c r="I29584" t="s">
        <v>33741</v>
      </c>
      <c r="J29584" t="s">
        <v>9334</v>
      </c>
    </row>
    <row r="29585" spans="9:9" x14ac:dyDescent="0.3">
      <c r="I29585" t="s">
        <v>33742</v>
      </c>
    </row>
    <row r="29586" spans="9:9" x14ac:dyDescent="0.3">
      <c r="I29586" t="s">
        <v>33743</v>
      </c>
    </row>
    <row r="29587" spans="9:9" x14ac:dyDescent="0.3">
      <c r="I29587" t="s">
        <v>33744</v>
      </c>
    </row>
    <row r="29588" spans="9:9" x14ac:dyDescent="0.3">
      <c r="I29588" t="s">
        <v>33745</v>
      </c>
    </row>
    <row r="29589" spans="9:9" x14ac:dyDescent="0.3">
      <c r="I29589" t="s">
        <v>33746</v>
      </c>
    </row>
    <row r="29590" spans="9:9" x14ac:dyDescent="0.3">
      <c r="I29590" t="s">
        <v>33747</v>
      </c>
    </row>
    <row r="29591" spans="9:9" x14ac:dyDescent="0.3">
      <c r="I29591" t="s">
        <v>33748</v>
      </c>
    </row>
    <row r="29592" spans="9:9" x14ac:dyDescent="0.3">
      <c r="I29592" t="s">
        <v>33749</v>
      </c>
    </row>
    <row r="29593" spans="9:9" x14ac:dyDescent="0.3">
      <c r="I29593" t="s">
        <v>33750</v>
      </c>
    </row>
    <row r="29594" spans="9:9" x14ac:dyDescent="0.3">
      <c r="I29594" t="s">
        <v>33751</v>
      </c>
    </row>
    <row r="29595" spans="9:9" x14ac:dyDescent="0.3">
      <c r="I29595" t="s">
        <v>33752</v>
      </c>
    </row>
    <row r="29596" spans="9:9" x14ac:dyDescent="0.3">
      <c r="I29596" t="s">
        <v>33753</v>
      </c>
    </row>
    <row r="29597" spans="9:9" x14ac:dyDescent="0.3">
      <c r="I29597" t="s">
        <v>33753</v>
      </c>
    </row>
    <row r="29598" spans="9:9" x14ac:dyDescent="0.3">
      <c r="I29598" t="s">
        <v>33754</v>
      </c>
    </row>
    <row r="29599" spans="9:9" x14ac:dyDescent="0.3">
      <c r="I29599" t="s">
        <v>33755</v>
      </c>
    </row>
    <row r="29600" spans="9:9" x14ac:dyDescent="0.3">
      <c r="I29600" t="s">
        <v>33756</v>
      </c>
    </row>
    <row r="29601" spans="9:10" x14ac:dyDescent="0.3">
      <c r="I29601" t="s">
        <v>33757</v>
      </c>
    </row>
    <row r="29602" spans="9:10" x14ac:dyDescent="0.3">
      <c r="I29602" t="s">
        <v>33758</v>
      </c>
    </row>
    <row r="29603" spans="9:10" x14ac:dyDescent="0.3">
      <c r="I29603" t="s">
        <v>33759</v>
      </c>
      <c r="J29603" t="s">
        <v>9335</v>
      </c>
    </row>
    <row r="29604" spans="9:10" x14ac:dyDescent="0.3">
      <c r="I29604" t="s">
        <v>33760</v>
      </c>
      <c r="J29604" t="s">
        <v>9336</v>
      </c>
    </row>
    <row r="29605" spans="9:10" x14ac:dyDescent="0.3">
      <c r="I29605" t="s">
        <v>33761</v>
      </c>
    </row>
    <row r="29606" spans="9:10" x14ac:dyDescent="0.3">
      <c r="I29606" t="s">
        <v>33762</v>
      </c>
      <c r="J29606" t="s">
        <v>9337</v>
      </c>
    </row>
    <row r="29607" spans="9:10" x14ac:dyDescent="0.3">
      <c r="I29607" t="s">
        <v>33763</v>
      </c>
      <c r="J29607" t="s">
        <v>9338</v>
      </c>
    </row>
    <row r="29608" spans="9:10" x14ac:dyDescent="0.3">
      <c r="I29608" t="s">
        <v>33764</v>
      </c>
      <c r="J29608" t="s">
        <v>9339</v>
      </c>
    </row>
    <row r="29609" spans="9:10" x14ac:dyDescent="0.3">
      <c r="I29609" t="s">
        <v>33765</v>
      </c>
    </row>
    <row r="29610" spans="9:10" x14ac:dyDescent="0.3">
      <c r="I29610" t="s">
        <v>33766</v>
      </c>
    </row>
    <row r="29611" spans="9:10" x14ac:dyDescent="0.3">
      <c r="I29611" t="s">
        <v>33767</v>
      </c>
      <c r="J29611" t="s">
        <v>9340</v>
      </c>
    </row>
    <row r="29612" spans="9:10" x14ac:dyDescent="0.3">
      <c r="I29612" t="s">
        <v>33768</v>
      </c>
      <c r="J29612" t="s">
        <v>9340</v>
      </c>
    </row>
    <row r="29613" spans="9:10" x14ac:dyDescent="0.3">
      <c r="I29613" t="s">
        <v>33769</v>
      </c>
    </row>
    <row r="29614" spans="9:10" x14ac:dyDescent="0.3">
      <c r="I29614" t="s">
        <v>33770</v>
      </c>
      <c r="J29614" t="s">
        <v>9341</v>
      </c>
    </row>
    <row r="29615" spans="9:10" x14ac:dyDescent="0.3">
      <c r="I29615" t="s">
        <v>33771</v>
      </c>
    </row>
    <row r="29616" spans="9:10" x14ac:dyDescent="0.3">
      <c r="I29616" t="s">
        <v>33772</v>
      </c>
    </row>
    <row r="29617" spans="9:10" x14ac:dyDescent="0.3">
      <c r="I29617" t="s">
        <v>33773</v>
      </c>
    </row>
    <row r="29618" spans="9:10" x14ac:dyDescent="0.3">
      <c r="I29618" t="s">
        <v>33774</v>
      </c>
    </row>
    <row r="29619" spans="9:10" x14ac:dyDescent="0.3">
      <c r="I29619" t="s">
        <v>33775</v>
      </c>
    </row>
    <row r="29620" spans="9:10" x14ac:dyDescent="0.3">
      <c r="I29620" t="s">
        <v>33776</v>
      </c>
    </row>
    <row r="29621" spans="9:10" x14ac:dyDescent="0.3">
      <c r="I29621" t="s">
        <v>33777</v>
      </c>
    </row>
    <row r="29622" spans="9:10" x14ac:dyDescent="0.3">
      <c r="I29622" t="s">
        <v>33778</v>
      </c>
    </row>
    <row r="29623" spans="9:10" x14ac:dyDescent="0.3">
      <c r="I29623" t="s">
        <v>33779</v>
      </c>
    </row>
    <row r="29624" spans="9:10" x14ac:dyDescent="0.3">
      <c r="I29624" t="s">
        <v>33780</v>
      </c>
    </row>
    <row r="29625" spans="9:10" x14ac:dyDescent="0.3">
      <c r="I29625" t="s">
        <v>33781</v>
      </c>
    </row>
    <row r="29626" spans="9:10" x14ac:dyDescent="0.3">
      <c r="I29626" t="s">
        <v>33782</v>
      </c>
    </row>
    <row r="29627" spans="9:10" x14ac:dyDescent="0.3">
      <c r="I29627" t="s">
        <v>33783</v>
      </c>
    </row>
    <row r="29628" spans="9:10" x14ac:dyDescent="0.3">
      <c r="I29628" t="s">
        <v>33784</v>
      </c>
      <c r="J29628" t="s">
        <v>9342</v>
      </c>
    </row>
    <row r="29629" spans="9:10" x14ac:dyDescent="0.3">
      <c r="I29629" t="s">
        <v>33785</v>
      </c>
    </row>
    <row r="29630" spans="9:10" x14ac:dyDescent="0.3">
      <c r="I29630" t="s">
        <v>33786</v>
      </c>
      <c r="J29630" t="s">
        <v>9343</v>
      </c>
    </row>
    <row r="29631" spans="9:10" x14ac:dyDescent="0.3">
      <c r="I29631" t="s">
        <v>33787</v>
      </c>
      <c r="J29631" t="s">
        <v>9344</v>
      </c>
    </row>
    <row r="29632" spans="9:10" x14ac:dyDescent="0.3">
      <c r="I29632" t="s">
        <v>33788</v>
      </c>
      <c r="J29632" t="s">
        <v>9345</v>
      </c>
    </row>
    <row r="29633" spans="9:10" x14ac:dyDescent="0.3">
      <c r="I29633" t="s">
        <v>33789</v>
      </c>
      <c r="J29633" t="s">
        <v>9346</v>
      </c>
    </row>
    <row r="29634" spans="9:10" x14ac:dyDescent="0.3">
      <c r="I29634" t="s">
        <v>33790</v>
      </c>
    </row>
    <row r="29635" spans="9:10" x14ac:dyDescent="0.3">
      <c r="I29635" t="s">
        <v>33791</v>
      </c>
    </row>
    <row r="29636" spans="9:10" x14ac:dyDescent="0.3">
      <c r="I29636" t="s">
        <v>33792</v>
      </c>
    </row>
    <row r="29637" spans="9:10" x14ac:dyDescent="0.3">
      <c r="I29637" t="s">
        <v>33793</v>
      </c>
    </row>
    <row r="29638" spans="9:10" x14ac:dyDescent="0.3">
      <c r="I29638" t="s">
        <v>33794</v>
      </c>
    </row>
    <row r="29639" spans="9:10" x14ac:dyDescent="0.3">
      <c r="I29639" t="s">
        <v>33795</v>
      </c>
    </row>
    <row r="29640" spans="9:10" x14ac:dyDescent="0.3">
      <c r="I29640" t="s">
        <v>33796</v>
      </c>
    </row>
    <row r="29641" spans="9:10" x14ac:dyDescent="0.3">
      <c r="I29641" t="s">
        <v>33797</v>
      </c>
    </row>
    <row r="29642" spans="9:10" x14ac:dyDescent="0.3">
      <c r="I29642" t="s">
        <v>33798</v>
      </c>
    </row>
    <row r="29643" spans="9:10" x14ac:dyDescent="0.3">
      <c r="I29643" t="s">
        <v>33799</v>
      </c>
    </row>
    <row r="29644" spans="9:10" x14ac:dyDescent="0.3">
      <c r="I29644" t="s">
        <v>33800</v>
      </c>
    </row>
    <row r="29645" spans="9:10" x14ac:dyDescent="0.3">
      <c r="I29645" t="s">
        <v>33801</v>
      </c>
    </row>
    <row r="29646" spans="9:10" x14ac:dyDescent="0.3">
      <c r="I29646" t="s">
        <v>33801</v>
      </c>
    </row>
    <row r="29647" spans="9:10" x14ac:dyDescent="0.3">
      <c r="I29647" t="s">
        <v>33801</v>
      </c>
    </row>
    <row r="29648" spans="9:10" x14ac:dyDescent="0.3">
      <c r="I29648" t="s">
        <v>33801</v>
      </c>
    </row>
    <row r="29649" spans="9:10" x14ac:dyDescent="0.3">
      <c r="I29649" t="s">
        <v>33801</v>
      </c>
    </row>
    <row r="29650" spans="9:10" x14ac:dyDescent="0.3">
      <c r="I29650" t="s">
        <v>33802</v>
      </c>
    </row>
    <row r="29651" spans="9:10" x14ac:dyDescent="0.3">
      <c r="I29651" t="s">
        <v>33803</v>
      </c>
    </row>
    <row r="29652" spans="9:10" x14ac:dyDescent="0.3">
      <c r="I29652" t="s">
        <v>33804</v>
      </c>
    </row>
    <row r="29653" spans="9:10" x14ac:dyDescent="0.3">
      <c r="I29653" t="s">
        <v>33805</v>
      </c>
    </row>
    <row r="29654" spans="9:10" x14ac:dyDescent="0.3">
      <c r="I29654" t="s">
        <v>33806</v>
      </c>
    </row>
    <row r="29655" spans="9:10" x14ac:dyDescent="0.3">
      <c r="I29655" t="s">
        <v>33807</v>
      </c>
    </row>
    <row r="29656" spans="9:10" x14ac:dyDescent="0.3">
      <c r="I29656" t="s">
        <v>33808</v>
      </c>
    </row>
    <row r="29657" spans="9:10" x14ac:dyDescent="0.3">
      <c r="I29657" t="s">
        <v>33809</v>
      </c>
    </row>
    <row r="29658" spans="9:10" x14ac:dyDescent="0.3">
      <c r="I29658" t="s">
        <v>33810</v>
      </c>
    </row>
    <row r="29659" spans="9:10" x14ac:dyDescent="0.3">
      <c r="I29659" t="s">
        <v>33811</v>
      </c>
    </row>
    <row r="29660" spans="9:10" x14ac:dyDescent="0.3">
      <c r="I29660" t="s">
        <v>33812</v>
      </c>
    </row>
    <row r="29661" spans="9:10" x14ac:dyDescent="0.3">
      <c r="I29661" t="s">
        <v>33813</v>
      </c>
    </row>
    <row r="29662" spans="9:10" x14ac:dyDescent="0.3">
      <c r="I29662" t="s">
        <v>33814</v>
      </c>
      <c r="J29662" t="s">
        <v>9347</v>
      </c>
    </row>
    <row r="29663" spans="9:10" x14ac:dyDescent="0.3">
      <c r="I29663" t="s">
        <v>33815</v>
      </c>
    </row>
    <row r="29664" spans="9:10" x14ac:dyDescent="0.3">
      <c r="I29664" t="s">
        <v>33816</v>
      </c>
      <c r="J29664" t="s">
        <v>9348</v>
      </c>
    </row>
    <row r="29665" spans="9:10" x14ac:dyDescent="0.3">
      <c r="I29665" t="s">
        <v>33817</v>
      </c>
      <c r="J29665" t="s">
        <v>9349</v>
      </c>
    </row>
    <row r="29666" spans="9:10" x14ac:dyDescent="0.3">
      <c r="I29666" t="s">
        <v>33818</v>
      </c>
    </row>
    <row r="29667" spans="9:10" x14ac:dyDescent="0.3">
      <c r="I29667" t="s">
        <v>33819</v>
      </c>
      <c r="J29667" t="s">
        <v>9350</v>
      </c>
    </row>
    <row r="29668" spans="9:10" x14ac:dyDescent="0.3">
      <c r="I29668" t="s">
        <v>33820</v>
      </c>
      <c r="J29668" t="s">
        <v>9351</v>
      </c>
    </row>
    <row r="29669" spans="9:10" x14ac:dyDescent="0.3">
      <c r="I29669" t="s">
        <v>33821</v>
      </c>
    </row>
    <row r="29670" spans="9:10" x14ac:dyDescent="0.3">
      <c r="I29670" t="s">
        <v>33821</v>
      </c>
    </row>
    <row r="29671" spans="9:10" x14ac:dyDescent="0.3">
      <c r="I29671" t="s">
        <v>33822</v>
      </c>
    </row>
    <row r="29672" spans="9:10" x14ac:dyDescent="0.3">
      <c r="I29672" t="s">
        <v>33823</v>
      </c>
    </row>
    <row r="29673" spans="9:10" x14ac:dyDescent="0.3">
      <c r="I29673" t="s">
        <v>33824</v>
      </c>
    </row>
    <row r="29674" spans="9:10" x14ac:dyDescent="0.3">
      <c r="I29674" t="s">
        <v>33825</v>
      </c>
      <c r="J29674" t="s">
        <v>9352</v>
      </c>
    </row>
    <row r="29675" spans="9:10" x14ac:dyDescent="0.3">
      <c r="I29675" t="s">
        <v>33826</v>
      </c>
    </row>
    <row r="29676" spans="9:10" x14ac:dyDescent="0.3">
      <c r="I29676" t="s">
        <v>33827</v>
      </c>
    </row>
    <row r="29677" spans="9:10" x14ac:dyDescent="0.3">
      <c r="I29677" t="s">
        <v>33828</v>
      </c>
    </row>
    <row r="29678" spans="9:10" x14ac:dyDescent="0.3">
      <c r="I29678" t="s">
        <v>33829</v>
      </c>
    </row>
    <row r="29679" spans="9:10" x14ac:dyDescent="0.3">
      <c r="I29679" t="s">
        <v>33830</v>
      </c>
    </row>
    <row r="29680" spans="9:10" x14ac:dyDescent="0.3">
      <c r="I29680" t="s">
        <v>33831</v>
      </c>
    </row>
    <row r="29681" spans="9:10" x14ac:dyDescent="0.3">
      <c r="I29681" t="s">
        <v>33832</v>
      </c>
    </row>
    <row r="29682" spans="9:10" x14ac:dyDescent="0.3">
      <c r="I29682" t="s">
        <v>33833</v>
      </c>
      <c r="J29682" t="s">
        <v>9353</v>
      </c>
    </row>
    <row r="29683" spans="9:10" x14ac:dyDescent="0.3">
      <c r="I29683" t="s">
        <v>33834</v>
      </c>
      <c r="J29683" t="s">
        <v>9353</v>
      </c>
    </row>
    <row r="29684" spans="9:10" x14ac:dyDescent="0.3">
      <c r="I29684" t="s">
        <v>33833</v>
      </c>
      <c r="J29684" t="s">
        <v>9353</v>
      </c>
    </row>
    <row r="29685" spans="9:10" x14ac:dyDescent="0.3">
      <c r="I29685" t="s">
        <v>33834</v>
      </c>
      <c r="J29685" t="s">
        <v>9353</v>
      </c>
    </row>
    <row r="29686" spans="9:10" x14ac:dyDescent="0.3">
      <c r="I29686" t="s">
        <v>33834</v>
      </c>
      <c r="J29686" t="s">
        <v>9353</v>
      </c>
    </row>
    <row r="29687" spans="9:10" x14ac:dyDescent="0.3">
      <c r="I29687" t="s">
        <v>33833</v>
      </c>
      <c r="J29687" t="s">
        <v>9353</v>
      </c>
    </row>
    <row r="29688" spans="9:10" x14ac:dyDescent="0.3">
      <c r="I29688" t="s">
        <v>33834</v>
      </c>
      <c r="J29688" t="s">
        <v>9353</v>
      </c>
    </row>
    <row r="29689" spans="9:10" x14ac:dyDescent="0.3">
      <c r="I29689" t="s">
        <v>33833</v>
      </c>
      <c r="J29689" t="s">
        <v>9353</v>
      </c>
    </row>
    <row r="29690" spans="9:10" x14ac:dyDescent="0.3">
      <c r="I29690" t="s">
        <v>33834</v>
      </c>
      <c r="J29690" t="s">
        <v>9353</v>
      </c>
    </row>
    <row r="29691" spans="9:10" x14ac:dyDescent="0.3">
      <c r="I29691" t="s">
        <v>33835</v>
      </c>
    </row>
    <row r="29692" spans="9:10" x14ac:dyDescent="0.3">
      <c r="I29692" t="s">
        <v>33836</v>
      </c>
      <c r="J29692" t="s">
        <v>9354</v>
      </c>
    </row>
    <row r="29693" spans="9:10" x14ac:dyDescent="0.3">
      <c r="I29693" t="s">
        <v>33837</v>
      </c>
      <c r="J29693" t="s">
        <v>9355</v>
      </c>
    </row>
    <row r="29694" spans="9:10" x14ac:dyDescent="0.3">
      <c r="I29694" t="s">
        <v>33838</v>
      </c>
    </row>
    <row r="29695" spans="9:10" x14ac:dyDescent="0.3">
      <c r="I29695" t="s">
        <v>33839</v>
      </c>
    </row>
    <row r="29696" spans="9:10" x14ac:dyDescent="0.3">
      <c r="I29696" t="s">
        <v>33840</v>
      </c>
    </row>
    <row r="29697" spans="9:9" x14ac:dyDescent="0.3">
      <c r="I29697" t="s">
        <v>33841</v>
      </c>
    </row>
    <row r="29698" spans="9:9" x14ac:dyDescent="0.3">
      <c r="I29698" t="s">
        <v>33842</v>
      </c>
    </row>
    <row r="29699" spans="9:9" x14ac:dyDescent="0.3">
      <c r="I29699" t="s">
        <v>33843</v>
      </c>
    </row>
    <row r="29700" spans="9:9" x14ac:dyDescent="0.3">
      <c r="I29700" t="s">
        <v>33844</v>
      </c>
    </row>
    <row r="29701" spans="9:9" x14ac:dyDescent="0.3">
      <c r="I29701" t="s">
        <v>33845</v>
      </c>
    </row>
    <row r="29702" spans="9:9" x14ac:dyDescent="0.3">
      <c r="I29702" t="s">
        <v>33846</v>
      </c>
    </row>
    <row r="29703" spans="9:9" x14ac:dyDescent="0.3">
      <c r="I29703" t="s">
        <v>33847</v>
      </c>
    </row>
    <row r="29704" spans="9:9" x14ac:dyDescent="0.3">
      <c r="I29704" t="s">
        <v>33848</v>
      </c>
    </row>
    <row r="29705" spans="9:9" x14ac:dyDescent="0.3">
      <c r="I29705" t="s">
        <v>33849</v>
      </c>
    </row>
    <row r="29706" spans="9:9" x14ac:dyDescent="0.3">
      <c r="I29706" t="s">
        <v>33850</v>
      </c>
    </row>
    <row r="29707" spans="9:9" x14ac:dyDescent="0.3">
      <c r="I29707" t="s">
        <v>33851</v>
      </c>
    </row>
    <row r="29708" spans="9:9" x14ac:dyDescent="0.3">
      <c r="I29708" t="s">
        <v>33852</v>
      </c>
    </row>
    <row r="29709" spans="9:9" x14ac:dyDescent="0.3">
      <c r="I29709" t="s">
        <v>33853</v>
      </c>
    </row>
    <row r="29710" spans="9:9" x14ac:dyDescent="0.3">
      <c r="I29710" t="s">
        <v>33854</v>
      </c>
    </row>
    <row r="29711" spans="9:9" x14ac:dyDescent="0.3">
      <c r="I29711" t="s">
        <v>33855</v>
      </c>
    </row>
    <row r="29712" spans="9:9" x14ac:dyDescent="0.3">
      <c r="I29712" t="s">
        <v>33856</v>
      </c>
    </row>
    <row r="29713" spans="9:10" x14ac:dyDescent="0.3">
      <c r="I29713" t="s">
        <v>33857</v>
      </c>
    </row>
    <row r="29714" spans="9:10" x14ac:dyDescent="0.3">
      <c r="I29714" t="s">
        <v>33858</v>
      </c>
    </row>
    <row r="29715" spans="9:10" x14ac:dyDescent="0.3">
      <c r="I29715" t="s">
        <v>33859</v>
      </c>
    </row>
    <row r="29716" spans="9:10" x14ac:dyDescent="0.3">
      <c r="I29716" t="s">
        <v>33860</v>
      </c>
      <c r="J29716" t="s">
        <v>9356</v>
      </c>
    </row>
    <row r="29717" spans="9:10" x14ac:dyDescent="0.3">
      <c r="I29717" t="s">
        <v>33861</v>
      </c>
      <c r="J29717" t="s">
        <v>9357</v>
      </c>
    </row>
    <row r="29718" spans="9:10" x14ac:dyDescent="0.3">
      <c r="I29718" t="s">
        <v>33862</v>
      </c>
    </row>
    <row r="29719" spans="9:10" x14ac:dyDescent="0.3">
      <c r="I29719" t="s">
        <v>33863</v>
      </c>
    </row>
    <row r="29720" spans="9:10" x14ac:dyDescent="0.3">
      <c r="I29720" t="s">
        <v>33863</v>
      </c>
    </row>
    <row r="29721" spans="9:10" x14ac:dyDescent="0.3">
      <c r="I29721" t="s">
        <v>33864</v>
      </c>
    </row>
    <row r="29722" spans="9:10" x14ac:dyDescent="0.3">
      <c r="I29722" t="s">
        <v>33865</v>
      </c>
    </row>
    <row r="29723" spans="9:10" x14ac:dyDescent="0.3">
      <c r="I29723" t="s">
        <v>33866</v>
      </c>
    </row>
    <row r="29724" spans="9:10" x14ac:dyDescent="0.3">
      <c r="I29724" t="s">
        <v>33867</v>
      </c>
    </row>
    <row r="29725" spans="9:10" x14ac:dyDescent="0.3">
      <c r="I29725" t="s">
        <v>33868</v>
      </c>
      <c r="J29725" t="s">
        <v>9358</v>
      </c>
    </row>
    <row r="29726" spans="9:10" x14ac:dyDescent="0.3">
      <c r="I29726" t="s">
        <v>33869</v>
      </c>
    </row>
    <row r="29727" spans="9:10" x14ac:dyDescent="0.3">
      <c r="I29727" t="s">
        <v>33870</v>
      </c>
      <c r="J29727" t="s">
        <v>9359</v>
      </c>
    </row>
    <row r="29728" spans="9:10" x14ac:dyDescent="0.3">
      <c r="I29728" t="s">
        <v>33871</v>
      </c>
      <c r="J29728" t="s">
        <v>9360</v>
      </c>
    </row>
    <row r="29729" spans="9:10" x14ac:dyDescent="0.3">
      <c r="I29729" t="s">
        <v>33872</v>
      </c>
      <c r="J29729" t="s">
        <v>9361</v>
      </c>
    </row>
    <row r="29730" spans="9:10" x14ac:dyDescent="0.3">
      <c r="I29730" t="s">
        <v>33873</v>
      </c>
    </row>
    <row r="29731" spans="9:10" x14ac:dyDescent="0.3">
      <c r="I29731" t="s">
        <v>33874</v>
      </c>
    </row>
    <row r="29732" spans="9:10" x14ac:dyDescent="0.3">
      <c r="I29732" t="s">
        <v>33875</v>
      </c>
    </row>
    <row r="29733" spans="9:10" x14ac:dyDescent="0.3">
      <c r="I29733" t="s">
        <v>33876</v>
      </c>
    </row>
    <row r="29734" spans="9:10" x14ac:dyDescent="0.3">
      <c r="I29734" t="s">
        <v>33877</v>
      </c>
    </row>
    <row r="29735" spans="9:10" x14ac:dyDescent="0.3">
      <c r="I29735" t="s">
        <v>33878</v>
      </c>
    </row>
    <row r="29736" spans="9:10" x14ac:dyDescent="0.3">
      <c r="I29736" t="s">
        <v>33879</v>
      </c>
    </row>
    <row r="29737" spans="9:10" x14ac:dyDescent="0.3">
      <c r="I29737" t="s">
        <v>33880</v>
      </c>
    </row>
    <row r="29738" spans="9:10" x14ac:dyDescent="0.3">
      <c r="I29738" t="s">
        <v>33881</v>
      </c>
    </row>
    <row r="29739" spans="9:10" x14ac:dyDescent="0.3">
      <c r="I29739" t="s">
        <v>33882</v>
      </c>
    </row>
    <row r="29740" spans="9:10" x14ac:dyDescent="0.3">
      <c r="I29740" t="s">
        <v>33883</v>
      </c>
      <c r="J29740" t="s">
        <v>9362</v>
      </c>
    </row>
    <row r="29741" spans="9:10" x14ac:dyDescent="0.3">
      <c r="I29741" t="s">
        <v>33884</v>
      </c>
      <c r="J29741" t="s">
        <v>9363</v>
      </c>
    </row>
    <row r="29742" spans="9:10" x14ac:dyDescent="0.3">
      <c r="I29742" t="s">
        <v>33884</v>
      </c>
      <c r="J29742" t="s">
        <v>9363</v>
      </c>
    </row>
    <row r="29743" spans="9:10" x14ac:dyDescent="0.3">
      <c r="I29743" t="s">
        <v>33885</v>
      </c>
    </row>
    <row r="29744" spans="9:10" x14ac:dyDescent="0.3">
      <c r="I29744" t="s">
        <v>33886</v>
      </c>
      <c r="J29744" t="s">
        <v>9364</v>
      </c>
    </row>
    <row r="29745" spans="9:10" x14ac:dyDescent="0.3">
      <c r="I29745" t="s">
        <v>33886</v>
      </c>
      <c r="J29745" t="s">
        <v>9364</v>
      </c>
    </row>
    <row r="29746" spans="9:10" x14ac:dyDescent="0.3">
      <c r="I29746" t="s">
        <v>33887</v>
      </c>
    </row>
    <row r="29747" spans="9:10" x14ac:dyDescent="0.3">
      <c r="I29747" t="s">
        <v>33888</v>
      </c>
    </row>
    <row r="29748" spans="9:10" x14ac:dyDescent="0.3">
      <c r="I29748" t="s">
        <v>33889</v>
      </c>
    </row>
    <row r="29749" spans="9:10" x14ac:dyDescent="0.3">
      <c r="I29749" t="s">
        <v>33890</v>
      </c>
    </row>
    <row r="29750" spans="9:10" x14ac:dyDescent="0.3">
      <c r="I29750" t="s">
        <v>33891</v>
      </c>
    </row>
    <row r="29751" spans="9:10" x14ac:dyDescent="0.3">
      <c r="I29751" t="s">
        <v>33892</v>
      </c>
    </row>
    <row r="29752" spans="9:10" x14ac:dyDescent="0.3">
      <c r="I29752" t="s">
        <v>33893</v>
      </c>
      <c r="J29752" t="s">
        <v>9365</v>
      </c>
    </row>
    <row r="29753" spans="9:10" x14ac:dyDescent="0.3">
      <c r="I29753" t="s">
        <v>33894</v>
      </c>
    </row>
    <row r="29754" spans="9:10" x14ac:dyDescent="0.3">
      <c r="I29754" t="s">
        <v>33895</v>
      </c>
      <c r="J29754" t="s">
        <v>9366</v>
      </c>
    </row>
    <row r="29755" spans="9:10" x14ac:dyDescent="0.3">
      <c r="I29755" t="s">
        <v>33896</v>
      </c>
    </row>
    <row r="29756" spans="9:10" x14ac:dyDescent="0.3">
      <c r="I29756" t="s">
        <v>33897</v>
      </c>
    </row>
    <row r="29757" spans="9:10" x14ac:dyDescent="0.3">
      <c r="I29757" t="s">
        <v>33898</v>
      </c>
    </row>
    <row r="29758" spans="9:10" x14ac:dyDescent="0.3">
      <c r="I29758" t="s">
        <v>33899</v>
      </c>
    </row>
    <row r="29759" spans="9:10" x14ac:dyDescent="0.3">
      <c r="I29759" t="s">
        <v>33900</v>
      </c>
      <c r="J29759" t="s">
        <v>9367</v>
      </c>
    </row>
    <row r="29760" spans="9:10" x14ac:dyDescent="0.3">
      <c r="I29760" t="s">
        <v>33901</v>
      </c>
      <c r="J29760" t="s">
        <v>9367</v>
      </c>
    </row>
    <row r="29761" spans="9:10" x14ac:dyDescent="0.3">
      <c r="I29761" t="s">
        <v>33902</v>
      </c>
      <c r="J29761" t="s">
        <v>9368</v>
      </c>
    </row>
    <row r="29762" spans="9:10" x14ac:dyDescent="0.3">
      <c r="I29762" t="s">
        <v>33903</v>
      </c>
      <c r="J29762" t="s">
        <v>9369</v>
      </c>
    </row>
    <row r="29763" spans="9:10" x14ac:dyDescent="0.3">
      <c r="I29763" t="s">
        <v>33904</v>
      </c>
      <c r="J29763" t="s">
        <v>9370</v>
      </c>
    </row>
    <row r="29764" spans="9:10" x14ac:dyDescent="0.3">
      <c r="I29764" t="s">
        <v>33905</v>
      </c>
    </row>
    <row r="29765" spans="9:10" x14ac:dyDescent="0.3">
      <c r="I29765" t="s">
        <v>33906</v>
      </c>
    </row>
    <row r="29766" spans="9:10" x14ac:dyDescent="0.3">
      <c r="I29766" t="s">
        <v>33906</v>
      </c>
    </row>
    <row r="29767" spans="9:10" x14ac:dyDescent="0.3">
      <c r="I29767" t="s">
        <v>33907</v>
      </c>
    </row>
    <row r="29768" spans="9:10" x14ac:dyDescent="0.3">
      <c r="I29768" t="s">
        <v>33908</v>
      </c>
    </row>
    <row r="29769" spans="9:10" x14ac:dyDescent="0.3">
      <c r="I29769" t="s">
        <v>33909</v>
      </c>
      <c r="J29769" t="s">
        <v>9371</v>
      </c>
    </row>
    <row r="29770" spans="9:10" x14ac:dyDescent="0.3">
      <c r="I29770" t="s">
        <v>33910</v>
      </c>
    </row>
    <row r="29771" spans="9:10" x14ac:dyDescent="0.3">
      <c r="I29771" t="s">
        <v>33911</v>
      </c>
    </row>
    <row r="29772" spans="9:10" x14ac:dyDescent="0.3">
      <c r="I29772" t="s">
        <v>33911</v>
      </c>
    </row>
    <row r="29773" spans="9:10" x14ac:dyDescent="0.3">
      <c r="I29773" t="s">
        <v>33912</v>
      </c>
      <c r="J29773" t="s">
        <v>9372</v>
      </c>
    </row>
    <row r="29774" spans="9:10" x14ac:dyDescent="0.3">
      <c r="I29774" t="s">
        <v>33913</v>
      </c>
      <c r="J29774" t="s">
        <v>9373</v>
      </c>
    </row>
    <row r="29775" spans="9:10" x14ac:dyDescent="0.3">
      <c r="I29775" t="s">
        <v>33914</v>
      </c>
    </row>
    <row r="29776" spans="9:10" x14ac:dyDescent="0.3">
      <c r="I29776" t="s">
        <v>33915</v>
      </c>
      <c r="J29776" t="s">
        <v>9374</v>
      </c>
    </row>
    <row r="29777" spans="9:10" x14ac:dyDescent="0.3">
      <c r="I29777" t="s">
        <v>33916</v>
      </c>
    </row>
    <row r="29778" spans="9:10" x14ac:dyDescent="0.3">
      <c r="I29778" t="s">
        <v>33917</v>
      </c>
    </row>
    <row r="29779" spans="9:10" x14ac:dyDescent="0.3">
      <c r="I29779" t="s">
        <v>33918</v>
      </c>
      <c r="J29779" t="s">
        <v>9375</v>
      </c>
    </row>
    <row r="29780" spans="9:10" x14ac:dyDescent="0.3">
      <c r="I29780" t="s">
        <v>33919</v>
      </c>
    </row>
    <row r="29781" spans="9:10" x14ac:dyDescent="0.3">
      <c r="I29781" t="s">
        <v>33920</v>
      </c>
    </row>
    <row r="29782" spans="9:10" x14ac:dyDescent="0.3">
      <c r="I29782" t="s">
        <v>33921</v>
      </c>
      <c r="J29782" t="s">
        <v>9376</v>
      </c>
    </row>
    <row r="29783" spans="9:10" x14ac:dyDescent="0.3">
      <c r="I29783" t="s">
        <v>33922</v>
      </c>
    </row>
    <row r="29784" spans="9:10" x14ac:dyDescent="0.3">
      <c r="I29784" t="s">
        <v>33923</v>
      </c>
    </row>
    <row r="29785" spans="9:10" x14ac:dyDescent="0.3">
      <c r="I29785" t="s">
        <v>33924</v>
      </c>
    </row>
    <row r="29786" spans="9:10" x14ac:dyDescent="0.3">
      <c r="I29786" t="s">
        <v>33925</v>
      </c>
      <c r="J29786" t="s">
        <v>9377</v>
      </c>
    </row>
    <row r="29787" spans="9:10" x14ac:dyDescent="0.3">
      <c r="I29787" t="s">
        <v>33926</v>
      </c>
    </row>
    <row r="29788" spans="9:10" x14ac:dyDescent="0.3">
      <c r="I29788" t="s">
        <v>33927</v>
      </c>
      <c r="J29788" t="s">
        <v>9378</v>
      </c>
    </row>
    <row r="29789" spans="9:10" x14ac:dyDescent="0.3">
      <c r="I29789" t="s">
        <v>33625</v>
      </c>
    </row>
    <row r="29790" spans="9:10" x14ac:dyDescent="0.3">
      <c r="I29790" t="s">
        <v>33625</v>
      </c>
    </row>
    <row r="29791" spans="9:10" x14ac:dyDescent="0.3">
      <c r="I29791" t="s">
        <v>33928</v>
      </c>
      <c r="J29791" t="s">
        <v>9379</v>
      </c>
    </row>
    <row r="29792" spans="9:10" x14ac:dyDescent="0.3">
      <c r="I29792" t="s">
        <v>33929</v>
      </c>
    </row>
    <row r="29793" spans="9:10" x14ac:dyDescent="0.3">
      <c r="I29793" t="s">
        <v>33930</v>
      </c>
    </row>
    <row r="29794" spans="9:10" x14ac:dyDescent="0.3">
      <c r="I29794" t="s">
        <v>33931</v>
      </c>
      <c r="J29794" t="s">
        <v>9380</v>
      </c>
    </row>
    <row r="29795" spans="9:10" x14ac:dyDescent="0.3">
      <c r="I29795" t="s">
        <v>33932</v>
      </c>
    </row>
    <row r="29796" spans="9:10" x14ac:dyDescent="0.3">
      <c r="I29796" t="s">
        <v>33933</v>
      </c>
    </row>
    <row r="29797" spans="9:10" x14ac:dyDescent="0.3">
      <c r="I29797" t="s">
        <v>33934</v>
      </c>
    </row>
    <row r="29798" spans="9:10" x14ac:dyDescent="0.3">
      <c r="I29798" t="s">
        <v>33935</v>
      </c>
    </row>
    <row r="29799" spans="9:10" x14ac:dyDescent="0.3">
      <c r="I29799" t="s">
        <v>33936</v>
      </c>
      <c r="J29799" t="s">
        <v>9381</v>
      </c>
    </row>
    <row r="29800" spans="9:10" x14ac:dyDescent="0.3">
      <c r="I29800" t="s">
        <v>33937</v>
      </c>
    </row>
    <row r="29801" spans="9:10" x14ac:dyDescent="0.3">
      <c r="I29801" t="s">
        <v>33938</v>
      </c>
    </row>
    <row r="29802" spans="9:10" x14ac:dyDescent="0.3">
      <c r="I29802" t="s">
        <v>33939</v>
      </c>
    </row>
    <row r="29803" spans="9:10" x14ac:dyDescent="0.3">
      <c r="I29803" t="s">
        <v>33939</v>
      </c>
    </row>
    <row r="29804" spans="9:10" x14ac:dyDescent="0.3">
      <c r="I29804" t="s">
        <v>33940</v>
      </c>
    </row>
    <row r="29805" spans="9:10" x14ac:dyDescent="0.3">
      <c r="I29805" t="s">
        <v>33941</v>
      </c>
    </row>
    <row r="29806" spans="9:10" x14ac:dyDescent="0.3">
      <c r="I29806" t="s">
        <v>33942</v>
      </c>
      <c r="J29806" t="s">
        <v>9382</v>
      </c>
    </row>
    <row r="29807" spans="9:10" x14ac:dyDescent="0.3">
      <c r="I29807" t="s">
        <v>33943</v>
      </c>
    </row>
    <row r="29808" spans="9:10" x14ac:dyDescent="0.3">
      <c r="I29808" t="s">
        <v>33944</v>
      </c>
    </row>
    <row r="29809" spans="9:10" x14ac:dyDescent="0.3">
      <c r="I29809" t="s">
        <v>33945</v>
      </c>
    </row>
    <row r="29810" spans="9:10" x14ac:dyDescent="0.3">
      <c r="I29810" t="s">
        <v>33946</v>
      </c>
    </row>
    <row r="29811" spans="9:10" x14ac:dyDescent="0.3">
      <c r="I29811" t="s">
        <v>33947</v>
      </c>
      <c r="J29811" t="s">
        <v>9383</v>
      </c>
    </row>
    <row r="29812" spans="9:10" x14ac:dyDescent="0.3">
      <c r="I29812" t="s">
        <v>33948</v>
      </c>
      <c r="J29812" t="s">
        <v>9384</v>
      </c>
    </row>
    <row r="29813" spans="9:10" x14ac:dyDescent="0.3">
      <c r="I29813" t="s">
        <v>33949</v>
      </c>
    </row>
    <row r="29814" spans="9:10" x14ac:dyDescent="0.3">
      <c r="I29814" t="s">
        <v>33950</v>
      </c>
    </row>
    <row r="29815" spans="9:10" x14ac:dyDescent="0.3">
      <c r="I29815" t="s">
        <v>33951</v>
      </c>
    </row>
    <row r="29816" spans="9:10" x14ac:dyDescent="0.3">
      <c r="I29816" t="s">
        <v>33952</v>
      </c>
    </row>
    <row r="29817" spans="9:10" x14ac:dyDescent="0.3">
      <c r="I29817" t="s">
        <v>33953</v>
      </c>
    </row>
    <row r="29818" spans="9:10" x14ac:dyDescent="0.3">
      <c r="I29818" t="s">
        <v>33954</v>
      </c>
    </row>
    <row r="29819" spans="9:10" x14ac:dyDescent="0.3">
      <c r="I29819" t="s">
        <v>33955</v>
      </c>
    </row>
    <row r="29820" spans="9:10" x14ac:dyDescent="0.3">
      <c r="I29820" t="s">
        <v>33956</v>
      </c>
    </row>
    <row r="29821" spans="9:10" x14ac:dyDescent="0.3">
      <c r="I29821" t="s">
        <v>33957</v>
      </c>
    </row>
    <row r="29822" spans="9:10" x14ac:dyDescent="0.3">
      <c r="I29822" t="s">
        <v>33958</v>
      </c>
    </row>
    <row r="29823" spans="9:10" x14ac:dyDescent="0.3">
      <c r="I29823" t="s">
        <v>33959</v>
      </c>
    </row>
    <row r="29824" spans="9:10" x14ac:dyDescent="0.3">
      <c r="I29824" t="s">
        <v>33960</v>
      </c>
    </row>
    <row r="29825" spans="9:10" x14ac:dyDescent="0.3">
      <c r="I29825" t="s">
        <v>33961</v>
      </c>
    </row>
    <row r="29826" spans="9:10" x14ac:dyDescent="0.3">
      <c r="I29826" t="s">
        <v>33962</v>
      </c>
    </row>
    <row r="29827" spans="9:10" x14ac:dyDescent="0.3">
      <c r="I29827" t="s">
        <v>33963</v>
      </c>
    </row>
    <row r="29828" spans="9:10" x14ac:dyDescent="0.3">
      <c r="I29828" t="s">
        <v>33964</v>
      </c>
    </row>
    <row r="29829" spans="9:10" x14ac:dyDescent="0.3">
      <c r="I29829" t="s">
        <v>33965</v>
      </c>
    </row>
    <row r="29830" spans="9:10" x14ac:dyDescent="0.3">
      <c r="I29830" t="s">
        <v>33966</v>
      </c>
    </row>
    <row r="29831" spans="9:10" x14ac:dyDescent="0.3">
      <c r="I29831" t="s">
        <v>33967</v>
      </c>
    </row>
    <row r="29832" spans="9:10" x14ac:dyDescent="0.3">
      <c r="I29832" t="s">
        <v>33968</v>
      </c>
    </row>
    <row r="29833" spans="9:10" x14ac:dyDescent="0.3">
      <c r="I29833" t="s">
        <v>33969</v>
      </c>
      <c r="J29833" t="s">
        <v>9385</v>
      </c>
    </row>
    <row r="29834" spans="9:10" x14ac:dyDescent="0.3">
      <c r="I29834" t="s">
        <v>33970</v>
      </c>
      <c r="J29834" t="s">
        <v>9386</v>
      </c>
    </row>
    <row r="29835" spans="9:10" x14ac:dyDescent="0.3">
      <c r="I29835" t="s">
        <v>33971</v>
      </c>
    </row>
    <row r="29836" spans="9:10" x14ac:dyDescent="0.3">
      <c r="I29836" t="s">
        <v>33972</v>
      </c>
      <c r="J29836" t="s">
        <v>9387</v>
      </c>
    </row>
    <row r="29837" spans="9:10" x14ac:dyDescent="0.3">
      <c r="I29837" t="s">
        <v>33973</v>
      </c>
    </row>
    <row r="29838" spans="9:10" x14ac:dyDescent="0.3">
      <c r="I29838" t="s">
        <v>33974</v>
      </c>
      <c r="J29838" t="s">
        <v>9388</v>
      </c>
    </row>
    <row r="29839" spans="9:10" x14ac:dyDescent="0.3">
      <c r="I29839" t="s">
        <v>33975</v>
      </c>
      <c r="J29839" t="s">
        <v>9388</v>
      </c>
    </row>
    <row r="29840" spans="9:10" x14ac:dyDescent="0.3">
      <c r="I29840" t="s">
        <v>33976</v>
      </c>
      <c r="J29840" t="s">
        <v>9388</v>
      </c>
    </row>
    <row r="29841" spans="9:10" x14ac:dyDescent="0.3">
      <c r="I29841" t="s">
        <v>33977</v>
      </c>
      <c r="J29841" t="s">
        <v>9388</v>
      </c>
    </row>
    <row r="29842" spans="9:10" x14ac:dyDescent="0.3">
      <c r="I29842" t="s">
        <v>33978</v>
      </c>
    </row>
    <row r="29843" spans="9:10" x14ac:dyDescent="0.3">
      <c r="I29843" t="s">
        <v>33979</v>
      </c>
      <c r="J29843" t="s">
        <v>9389</v>
      </c>
    </row>
    <row r="29844" spans="9:10" x14ac:dyDescent="0.3">
      <c r="I29844" t="s">
        <v>33980</v>
      </c>
    </row>
    <row r="29845" spans="9:10" x14ac:dyDescent="0.3">
      <c r="I29845" t="s">
        <v>33981</v>
      </c>
    </row>
    <row r="29846" spans="9:10" x14ac:dyDescent="0.3">
      <c r="I29846" t="s">
        <v>33982</v>
      </c>
    </row>
    <row r="29847" spans="9:10" x14ac:dyDescent="0.3">
      <c r="I29847" t="s">
        <v>33983</v>
      </c>
    </row>
    <row r="29848" spans="9:10" x14ac:dyDescent="0.3">
      <c r="I29848" t="s">
        <v>33984</v>
      </c>
    </row>
    <row r="29849" spans="9:10" x14ac:dyDescent="0.3">
      <c r="I29849" t="s">
        <v>33985</v>
      </c>
    </row>
    <row r="29850" spans="9:10" x14ac:dyDescent="0.3">
      <c r="I29850" t="s">
        <v>33986</v>
      </c>
    </row>
    <row r="29851" spans="9:10" x14ac:dyDescent="0.3">
      <c r="I29851" t="s">
        <v>33987</v>
      </c>
    </row>
    <row r="29852" spans="9:10" x14ac:dyDescent="0.3">
      <c r="I29852" t="s">
        <v>33988</v>
      </c>
    </row>
    <row r="29853" spans="9:10" x14ac:dyDescent="0.3">
      <c r="I29853" t="s">
        <v>33989</v>
      </c>
    </row>
    <row r="29854" spans="9:10" x14ac:dyDescent="0.3">
      <c r="I29854" t="s">
        <v>33990</v>
      </c>
    </row>
    <row r="29855" spans="9:10" x14ac:dyDescent="0.3">
      <c r="I29855" t="s">
        <v>33991</v>
      </c>
    </row>
    <row r="29856" spans="9:10" x14ac:dyDescent="0.3">
      <c r="I29856" t="s">
        <v>33992</v>
      </c>
    </row>
    <row r="29857" spans="9:10" x14ac:dyDescent="0.3">
      <c r="I29857" t="s">
        <v>33993</v>
      </c>
    </row>
    <row r="29858" spans="9:10" x14ac:dyDescent="0.3">
      <c r="I29858" t="s">
        <v>33994</v>
      </c>
    </row>
    <row r="29859" spans="9:10" x14ac:dyDescent="0.3">
      <c r="I29859" t="s">
        <v>33995</v>
      </c>
    </row>
    <row r="29860" spans="9:10" x14ac:dyDescent="0.3">
      <c r="I29860" t="s">
        <v>33996</v>
      </c>
    </row>
    <row r="29861" spans="9:10" x14ac:dyDescent="0.3">
      <c r="I29861" t="s">
        <v>33997</v>
      </c>
    </row>
    <row r="29862" spans="9:10" x14ac:dyDescent="0.3">
      <c r="I29862" t="s">
        <v>33998</v>
      </c>
    </row>
    <row r="29863" spans="9:10" x14ac:dyDescent="0.3">
      <c r="I29863" t="s">
        <v>33999</v>
      </c>
    </row>
    <row r="29864" spans="9:10" x14ac:dyDescent="0.3">
      <c r="I29864" t="s">
        <v>34000</v>
      </c>
    </row>
    <row r="29865" spans="9:10" x14ac:dyDescent="0.3">
      <c r="I29865" t="s">
        <v>34001</v>
      </c>
    </row>
    <row r="29866" spans="9:10" x14ac:dyDescent="0.3">
      <c r="I29866" t="s">
        <v>34002</v>
      </c>
    </row>
    <row r="29867" spans="9:10" x14ac:dyDescent="0.3">
      <c r="I29867" t="s">
        <v>34003</v>
      </c>
    </row>
    <row r="29868" spans="9:10" x14ac:dyDescent="0.3">
      <c r="I29868" t="s">
        <v>34004</v>
      </c>
    </row>
    <row r="29869" spans="9:10" x14ac:dyDescent="0.3">
      <c r="I29869" t="s">
        <v>34005</v>
      </c>
    </row>
    <row r="29870" spans="9:10" x14ac:dyDescent="0.3">
      <c r="I29870" t="s">
        <v>34006</v>
      </c>
    </row>
    <row r="29871" spans="9:10" x14ac:dyDescent="0.3">
      <c r="I29871" t="s">
        <v>34007</v>
      </c>
      <c r="J29871" t="s">
        <v>9390</v>
      </c>
    </row>
    <row r="29872" spans="9:10" x14ac:dyDescent="0.3">
      <c r="I29872" t="s">
        <v>34008</v>
      </c>
      <c r="J29872" t="s">
        <v>9391</v>
      </c>
    </row>
    <row r="29873" spans="9:10" x14ac:dyDescent="0.3">
      <c r="I29873" t="s">
        <v>34009</v>
      </c>
      <c r="J29873" t="s">
        <v>9392</v>
      </c>
    </row>
    <row r="29874" spans="9:10" x14ac:dyDescent="0.3">
      <c r="I29874" t="s">
        <v>34010</v>
      </c>
    </row>
    <row r="29875" spans="9:10" x14ac:dyDescent="0.3">
      <c r="I29875" t="s">
        <v>34011</v>
      </c>
    </row>
    <row r="29876" spans="9:10" x14ac:dyDescent="0.3">
      <c r="I29876" t="s">
        <v>34012</v>
      </c>
    </row>
    <row r="29877" spans="9:10" x14ac:dyDescent="0.3">
      <c r="I29877" t="s">
        <v>34013</v>
      </c>
    </row>
    <row r="29878" spans="9:10" x14ac:dyDescent="0.3">
      <c r="I29878" t="s">
        <v>34014</v>
      </c>
    </row>
    <row r="29879" spans="9:10" x14ac:dyDescent="0.3">
      <c r="I29879" t="s">
        <v>34015</v>
      </c>
      <c r="J29879" t="s">
        <v>9393</v>
      </c>
    </row>
    <row r="29880" spans="9:10" x14ac:dyDescent="0.3">
      <c r="I29880" t="s">
        <v>34016</v>
      </c>
    </row>
    <row r="29881" spans="9:10" x14ac:dyDescent="0.3">
      <c r="I29881" t="s">
        <v>34016</v>
      </c>
    </row>
    <row r="29882" spans="9:10" x14ac:dyDescent="0.3">
      <c r="I29882" t="s">
        <v>34017</v>
      </c>
      <c r="J29882" t="s">
        <v>9394</v>
      </c>
    </row>
    <row r="29883" spans="9:10" x14ac:dyDescent="0.3">
      <c r="I29883" t="s">
        <v>34017</v>
      </c>
      <c r="J29883" t="s">
        <v>9394</v>
      </c>
    </row>
    <row r="29884" spans="9:10" x14ac:dyDescent="0.3">
      <c r="I29884" t="s">
        <v>34018</v>
      </c>
      <c r="J29884" t="s">
        <v>9395</v>
      </c>
    </row>
    <row r="29885" spans="9:10" x14ac:dyDescent="0.3">
      <c r="I29885" t="s">
        <v>34019</v>
      </c>
    </row>
    <row r="29886" spans="9:10" x14ac:dyDescent="0.3">
      <c r="I29886" t="s">
        <v>34020</v>
      </c>
    </row>
    <row r="29887" spans="9:10" x14ac:dyDescent="0.3">
      <c r="I29887" t="s">
        <v>34021</v>
      </c>
    </row>
    <row r="29888" spans="9:10" x14ac:dyDescent="0.3">
      <c r="I29888" t="s">
        <v>34022</v>
      </c>
    </row>
    <row r="29889" spans="9:10" x14ac:dyDescent="0.3">
      <c r="I29889" t="s">
        <v>34023</v>
      </c>
    </row>
    <row r="29890" spans="9:10" x14ac:dyDescent="0.3">
      <c r="I29890" t="s">
        <v>34024</v>
      </c>
    </row>
    <row r="29891" spans="9:10" x14ac:dyDescent="0.3">
      <c r="I29891" t="s">
        <v>34025</v>
      </c>
    </row>
    <row r="29892" spans="9:10" x14ac:dyDescent="0.3">
      <c r="I29892" t="s">
        <v>34026</v>
      </c>
    </row>
    <row r="29893" spans="9:10" x14ac:dyDescent="0.3">
      <c r="I29893" t="s">
        <v>34027</v>
      </c>
    </row>
    <row r="29894" spans="9:10" x14ac:dyDescent="0.3">
      <c r="I29894" t="s">
        <v>34028</v>
      </c>
    </row>
    <row r="29895" spans="9:10" x14ac:dyDescent="0.3">
      <c r="I29895" t="s">
        <v>34029</v>
      </c>
      <c r="J29895" t="s">
        <v>9396</v>
      </c>
    </row>
    <row r="29896" spans="9:10" x14ac:dyDescent="0.3">
      <c r="I29896" t="s">
        <v>34030</v>
      </c>
    </row>
    <row r="29897" spans="9:10" x14ac:dyDescent="0.3">
      <c r="I29897" t="s">
        <v>34031</v>
      </c>
      <c r="J29897" t="s">
        <v>9397</v>
      </c>
    </row>
    <row r="29898" spans="9:10" x14ac:dyDescent="0.3">
      <c r="I29898" t="s">
        <v>34032</v>
      </c>
      <c r="J29898" t="s">
        <v>9398</v>
      </c>
    </row>
    <row r="29899" spans="9:10" x14ac:dyDescent="0.3">
      <c r="I29899" t="s">
        <v>34033</v>
      </c>
      <c r="J29899" t="s">
        <v>9399</v>
      </c>
    </row>
    <row r="29900" spans="9:10" x14ac:dyDescent="0.3">
      <c r="I29900" t="s">
        <v>34034</v>
      </c>
    </row>
    <row r="29901" spans="9:10" x14ac:dyDescent="0.3">
      <c r="I29901" t="s">
        <v>34035</v>
      </c>
      <c r="J29901" t="s">
        <v>9400</v>
      </c>
    </row>
    <row r="29902" spans="9:10" x14ac:dyDescent="0.3">
      <c r="I29902" t="s">
        <v>34036</v>
      </c>
    </row>
    <row r="29903" spans="9:10" x14ac:dyDescent="0.3">
      <c r="I29903" t="s">
        <v>34037</v>
      </c>
    </row>
    <row r="29904" spans="9:10" x14ac:dyDescent="0.3">
      <c r="I29904" t="s">
        <v>34038</v>
      </c>
    </row>
    <row r="29905" spans="9:10" x14ac:dyDescent="0.3">
      <c r="I29905" t="s">
        <v>34039</v>
      </c>
    </row>
    <row r="29906" spans="9:10" x14ac:dyDescent="0.3">
      <c r="I29906" t="s">
        <v>34040</v>
      </c>
    </row>
    <row r="29907" spans="9:10" x14ac:dyDescent="0.3">
      <c r="I29907" t="s">
        <v>34040</v>
      </c>
    </row>
    <row r="29908" spans="9:10" x14ac:dyDescent="0.3">
      <c r="I29908" t="s">
        <v>34041</v>
      </c>
    </row>
    <row r="29909" spans="9:10" x14ac:dyDescent="0.3">
      <c r="I29909" t="s">
        <v>34042</v>
      </c>
    </row>
    <row r="29910" spans="9:10" x14ac:dyDescent="0.3">
      <c r="I29910" t="s">
        <v>34043</v>
      </c>
      <c r="J29910" t="s">
        <v>307</v>
      </c>
    </row>
    <row r="29911" spans="9:10" x14ac:dyDescent="0.3">
      <c r="I29911" t="s">
        <v>34043</v>
      </c>
      <c r="J29911" t="s">
        <v>307</v>
      </c>
    </row>
    <row r="29912" spans="9:10" x14ac:dyDescent="0.3">
      <c r="I29912" t="s">
        <v>34044</v>
      </c>
      <c r="J29912" t="s">
        <v>9401</v>
      </c>
    </row>
    <row r="29913" spans="9:10" x14ac:dyDescent="0.3">
      <c r="I29913" t="s">
        <v>34045</v>
      </c>
      <c r="J29913" t="s">
        <v>9402</v>
      </c>
    </row>
    <row r="29914" spans="9:10" x14ac:dyDescent="0.3">
      <c r="I29914" t="s">
        <v>34046</v>
      </c>
      <c r="J29914" t="s">
        <v>9403</v>
      </c>
    </row>
    <row r="29915" spans="9:10" x14ac:dyDescent="0.3">
      <c r="I29915" t="s">
        <v>34047</v>
      </c>
      <c r="J29915" t="s">
        <v>9403</v>
      </c>
    </row>
    <row r="29916" spans="9:10" x14ac:dyDescent="0.3">
      <c r="I29916" t="s">
        <v>34048</v>
      </c>
      <c r="J29916" t="s">
        <v>9404</v>
      </c>
    </row>
    <row r="29917" spans="9:10" x14ac:dyDescent="0.3">
      <c r="I29917" t="s">
        <v>34048</v>
      </c>
      <c r="J29917" t="s">
        <v>9404</v>
      </c>
    </row>
    <row r="29918" spans="9:10" x14ac:dyDescent="0.3">
      <c r="I29918" t="s">
        <v>34049</v>
      </c>
      <c r="J29918" t="s">
        <v>9405</v>
      </c>
    </row>
    <row r="29919" spans="9:10" x14ac:dyDescent="0.3">
      <c r="I29919" t="s">
        <v>34050</v>
      </c>
    </row>
    <row r="29920" spans="9:10" x14ac:dyDescent="0.3">
      <c r="I29920" t="s">
        <v>34051</v>
      </c>
      <c r="J29920" t="s">
        <v>9406</v>
      </c>
    </row>
    <row r="29921" spans="9:10" x14ac:dyDescent="0.3">
      <c r="I29921" t="s">
        <v>34052</v>
      </c>
      <c r="J29921" t="s">
        <v>9407</v>
      </c>
    </row>
    <row r="29922" spans="9:10" x14ac:dyDescent="0.3">
      <c r="I29922" t="s">
        <v>34053</v>
      </c>
    </row>
    <row r="29923" spans="9:10" x14ac:dyDescent="0.3">
      <c r="I29923" t="s">
        <v>34054</v>
      </c>
    </row>
    <row r="29924" spans="9:10" x14ac:dyDescent="0.3">
      <c r="I29924" t="s">
        <v>34055</v>
      </c>
    </row>
    <row r="29925" spans="9:10" x14ac:dyDescent="0.3">
      <c r="I29925" t="s">
        <v>34056</v>
      </c>
    </row>
    <row r="29926" spans="9:10" x14ac:dyDescent="0.3">
      <c r="I29926" t="s">
        <v>34057</v>
      </c>
    </row>
    <row r="29927" spans="9:10" x14ac:dyDescent="0.3">
      <c r="I29927" t="s">
        <v>34058</v>
      </c>
    </row>
    <row r="29928" spans="9:10" x14ac:dyDescent="0.3">
      <c r="I29928" t="s">
        <v>34059</v>
      </c>
    </row>
    <row r="29929" spans="9:10" x14ac:dyDescent="0.3">
      <c r="I29929" t="s">
        <v>34060</v>
      </c>
    </row>
    <row r="29930" spans="9:10" x14ac:dyDescent="0.3">
      <c r="I29930" t="s">
        <v>34061</v>
      </c>
    </row>
    <row r="29931" spans="9:10" x14ac:dyDescent="0.3">
      <c r="I29931" t="s">
        <v>34062</v>
      </c>
      <c r="J29931" t="s">
        <v>9408</v>
      </c>
    </row>
    <row r="29932" spans="9:10" x14ac:dyDescent="0.3">
      <c r="I29932" t="s">
        <v>34063</v>
      </c>
      <c r="J29932" t="s">
        <v>9409</v>
      </c>
    </row>
    <row r="29933" spans="9:10" x14ac:dyDescent="0.3">
      <c r="I29933" t="s">
        <v>34063</v>
      </c>
      <c r="J29933" t="s">
        <v>9409</v>
      </c>
    </row>
    <row r="29934" spans="9:10" x14ac:dyDescent="0.3">
      <c r="I29934" t="s">
        <v>34064</v>
      </c>
      <c r="J29934" t="s">
        <v>9410</v>
      </c>
    </row>
    <row r="29935" spans="9:10" x14ac:dyDescent="0.3">
      <c r="I29935" t="s">
        <v>34065</v>
      </c>
    </row>
    <row r="29936" spans="9:10" x14ac:dyDescent="0.3">
      <c r="I29936" t="s">
        <v>34066</v>
      </c>
    </row>
    <row r="29937" spans="9:10" x14ac:dyDescent="0.3">
      <c r="I29937" t="s">
        <v>34067</v>
      </c>
    </row>
    <row r="29938" spans="9:10" x14ac:dyDescent="0.3">
      <c r="I29938" t="s">
        <v>34068</v>
      </c>
    </row>
    <row r="29939" spans="9:10" x14ac:dyDescent="0.3">
      <c r="I29939" t="s">
        <v>34069</v>
      </c>
    </row>
    <row r="29940" spans="9:10" x14ac:dyDescent="0.3">
      <c r="I29940" t="s">
        <v>34070</v>
      </c>
    </row>
    <row r="29941" spans="9:10" x14ac:dyDescent="0.3">
      <c r="I29941" t="s">
        <v>34071</v>
      </c>
    </row>
    <row r="29942" spans="9:10" x14ac:dyDescent="0.3">
      <c r="I29942" t="s">
        <v>34072</v>
      </c>
    </row>
    <row r="29943" spans="9:10" x14ac:dyDescent="0.3">
      <c r="I29943" t="s">
        <v>34073</v>
      </c>
      <c r="J29943" t="s">
        <v>9411</v>
      </c>
    </row>
    <row r="29944" spans="9:10" x14ac:dyDescent="0.3">
      <c r="I29944" t="s">
        <v>34074</v>
      </c>
      <c r="J29944" t="s">
        <v>9411</v>
      </c>
    </row>
    <row r="29945" spans="9:10" x14ac:dyDescent="0.3">
      <c r="I29945" t="s">
        <v>34075</v>
      </c>
      <c r="J29945" t="s">
        <v>9412</v>
      </c>
    </row>
    <row r="29946" spans="9:10" x14ac:dyDescent="0.3">
      <c r="I29946" t="s">
        <v>34075</v>
      </c>
      <c r="J29946" t="s">
        <v>9412</v>
      </c>
    </row>
    <row r="29947" spans="9:10" x14ac:dyDescent="0.3">
      <c r="I29947" t="s">
        <v>34076</v>
      </c>
    </row>
    <row r="29948" spans="9:10" x14ac:dyDescent="0.3">
      <c r="I29948" t="s">
        <v>34077</v>
      </c>
      <c r="J29948" t="s">
        <v>9413</v>
      </c>
    </row>
    <row r="29949" spans="9:10" x14ac:dyDescent="0.3">
      <c r="I29949" t="s">
        <v>34078</v>
      </c>
      <c r="J29949" t="s">
        <v>9414</v>
      </c>
    </row>
    <row r="29950" spans="9:10" x14ac:dyDescent="0.3">
      <c r="I29950" t="s">
        <v>34079</v>
      </c>
      <c r="J29950" t="s">
        <v>9415</v>
      </c>
    </row>
    <row r="29951" spans="9:10" x14ac:dyDescent="0.3">
      <c r="I29951" t="s">
        <v>34080</v>
      </c>
    </row>
    <row r="29952" spans="9:10" x14ac:dyDescent="0.3">
      <c r="I29952" t="s">
        <v>34081</v>
      </c>
    </row>
    <row r="29953" spans="9:10" x14ac:dyDescent="0.3">
      <c r="I29953" t="s">
        <v>34082</v>
      </c>
      <c r="J29953" t="s">
        <v>9416</v>
      </c>
    </row>
    <row r="29954" spans="9:10" x14ac:dyDescent="0.3">
      <c r="I29954" t="s">
        <v>34083</v>
      </c>
      <c r="J29954" t="s">
        <v>9417</v>
      </c>
    </row>
    <row r="29955" spans="9:10" x14ac:dyDescent="0.3">
      <c r="I29955" t="s">
        <v>34084</v>
      </c>
      <c r="J29955" t="s">
        <v>9417</v>
      </c>
    </row>
    <row r="29956" spans="9:10" x14ac:dyDescent="0.3">
      <c r="I29956" t="s">
        <v>34085</v>
      </c>
      <c r="J29956" t="s">
        <v>9418</v>
      </c>
    </row>
    <row r="29957" spans="9:10" x14ac:dyDescent="0.3">
      <c r="I29957" t="s">
        <v>34086</v>
      </c>
      <c r="J29957" t="s">
        <v>9419</v>
      </c>
    </row>
    <row r="29958" spans="9:10" x14ac:dyDescent="0.3">
      <c r="I29958" t="s">
        <v>34087</v>
      </c>
      <c r="J29958" t="s">
        <v>9420</v>
      </c>
    </row>
    <row r="29959" spans="9:10" x14ac:dyDescent="0.3">
      <c r="I29959" t="s">
        <v>34088</v>
      </c>
      <c r="J29959" t="s">
        <v>9420</v>
      </c>
    </row>
    <row r="29960" spans="9:10" x14ac:dyDescent="0.3">
      <c r="I29960" t="s">
        <v>34089</v>
      </c>
      <c r="J29960" t="s">
        <v>9421</v>
      </c>
    </row>
    <row r="29961" spans="9:10" x14ac:dyDescent="0.3">
      <c r="I29961" t="s">
        <v>34090</v>
      </c>
      <c r="J29961" t="s">
        <v>9422</v>
      </c>
    </row>
    <row r="29962" spans="9:10" x14ac:dyDescent="0.3">
      <c r="I29962" t="s">
        <v>34091</v>
      </c>
      <c r="J29962" t="s">
        <v>9423</v>
      </c>
    </row>
    <row r="29963" spans="9:10" x14ac:dyDescent="0.3">
      <c r="I29963" t="s">
        <v>34091</v>
      </c>
      <c r="J29963" t="s">
        <v>9423</v>
      </c>
    </row>
    <row r="29964" spans="9:10" x14ac:dyDescent="0.3">
      <c r="I29964" t="s">
        <v>34092</v>
      </c>
      <c r="J29964" t="s">
        <v>9424</v>
      </c>
    </row>
    <row r="29965" spans="9:10" x14ac:dyDescent="0.3">
      <c r="I29965" t="s">
        <v>34093</v>
      </c>
      <c r="J29965" t="s">
        <v>9425</v>
      </c>
    </row>
    <row r="29966" spans="9:10" x14ac:dyDescent="0.3">
      <c r="I29966" t="s">
        <v>34094</v>
      </c>
      <c r="J29966" t="s">
        <v>9426</v>
      </c>
    </row>
    <row r="29967" spans="9:10" x14ac:dyDescent="0.3">
      <c r="I29967" t="s">
        <v>34095</v>
      </c>
      <c r="J29967" t="s">
        <v>9427</v>
      </c>
    </row>
    <row r="29968" spans="9:10" x14ac:dyDescent="0.3">
      <c r="I29968" t="s">
        <v>34096</v>
      </c>
      <c r="J29968" t="s">
        <v>9428</v>
      </c>
    </row>
    <row r="29969" spans="9:10" x14ac:dyDescent="0.3">
      <c r="I29969" t="s">
        <v>34097</v>
      </c>
      <c r="J29969" t="s">
        <v>9429</v>
      </c>
    </row>
    <row r="29970" spans="9:10" x14ac:dyDescent="0.3">
      <c r="I29970" t="s">
        <v>34098</v>
      </c>
    </row>
    <row r="29971" spans="9:10" x14ac:dyDescent="0.3">
      <c r="I29971" t="s">
        <v>34099</v>
      </c>
    </row>
    <row r="29972" spans="9:10" x14ac:dyDescent="0.3">
      <c r="I29972" t="s">
        <v>34100</v>
      </c>
      <c r="J29972" t="s">
        <v>9430</v>
      </c>
    </row>
    <row r="29973" spans="9:10" x14ac:dyDescent="0.3">
      <c r="I29973" t="s">
        <v>34101</v>
      </c>
      <c r="J29973" t="s">
        <v>9431</v>
      </c>
    </row>
    <row r="29974" spans="9:10" x14ac:dyDescent="0.3">
      <c r="I29974" t="s">
        <v>34102</v>
      </c>
    </row>
    <row r="29975" spans="9:10" x14ac:dyDescent="0.3">
      <c r="I29975" t="s">
        <v>34103</v>
      </c>
    </row>
    <row r="29976" spans="9:10" x14ac:dyDescent="0.3">
      <c r="I29976" t="s">
        <v>34104</v>
      </c>
    </row>
    <row r="29977" spans="9:10" x14ac:dyDescent="0.3">
      <c r="I29977" t="s">
        <v>34105</v>
      </c>
      <c r="J29977" t="s">
        <v>9432</v>
      </c>
    </row>
    <row r="29978" spans="9:10" x14ac:dyDescent="0.3">
      <c r="I29978" t="s">
        <v>34106</v>
      </c>
    </row>
    <row r="29979" spans="9:10" x14ac:dyDescent="0.3">
      <c r="I29979" t="s">
        <v>34107</v>
      </c>
      <c r="J29979" t="s">
        <v>9433</v>
      </c>
    </row>
    <row r="29980" spans="9:10" x14ac:dyDescent="0.3">
      <c r="I29980" t="s">
        <v>34108</v>
      </c>
      <c r="J29980" t="s">
        <v>9434</v>
      </c>
    </row>
    <row r="29981" spans="9:10" x14ac:dyDescent="0.3">
      <c r="I29981" t="s">
        <v>34109</v>
      </c>
    </row>
    <row r="29982" spans="9:10" x14ac:dyDescent="0.3">
      <c r="I29982" t="s">
        <v>34110</v>
      </c>
    </row>
    <row r="29983" spans="9:10" x14ac:dyDescent="0.3">
      <c r="I29983" t="s">
        <v>34110</v>
      </c>
    </row>
    <row r="29984" spans="9:10" x14ac:dyDescent="0.3">
      <c r="I29984" t="s">
        <v>34111</v>
      </c>
    </row>
    <row r="29985" spans="9:10" x14ac:dyDescent="0.3">
      <c r="I29985" t="s">
        <v>12500</v>
      </c>
    </row>
    <row r="29986" spans="9:10" x14ac:dyDescent="0.3">
      <c r="I29986" t="s">
        <v>34112</v>
      </c>
      <c r="J29986" t="s">
        <v>9435</v>
      </c>
    </row>
    <row r="29987" spans="9:10" x14ac:dyDescent="0.3">
      <c r="I29987" t="s">
        <v>34113</v>
      </c>
      <c r="J29987" t="s">
        <v>9436</v>
      </c>
    </row>
    <row r="29988" spans="9:10" x14ac:dyDescent="0.3">
      <c r="I29988" t="s">
        <v>34114</v>
      </c>
      <c r="J29988">
        <v>0</v>
      </c>
    </row>
    <row r="29989" spans="9:10" x14ac:dyDescent="0.3">
      <c r="I29989" t="s">
        <v>34115</v>
      </c>
    </row>
    <row r="29990" spans="9:10" x14ac:dyDescent="0.3">
      <c r="I29990" t="s">
        <v>34116</v>
      </c>
    </row>
    <row r="29991" spans="9:10" x14ac:dyDescent="0.3">
      <c r="I29991" t="s">
        <v>34117</v>
      </c>
      <c r="J29991">
        <v>0</v>
      </c>
    </row>
    <row r="29992" spans="9:10" x14ac:dyDescent="0.3">
      <c r="I29992" t="s">
        <v>34118</v>
      </c>
      <c r="J29992" t="s">
        <v>9437</v>
      </c>
    </row>
    <row r="29993" spans="9:10" x14ac:dyDescent="0.3">
      <c r="I29993" t="s">
        <v>34119</v>
      </c>
      <c r="J29993" t="s">
        <v>9438</v>
      </c>
    </row>
    <row r="29994" spans="9:10" x14ac:dyDescent="0.3">
      <c r="I29994" t="s">
        <v>34120</v>
      </c>
    </row>
    <row r="29995" spans="9:10" x14ac:dyDescent="0.3">
      <c r="I29995" t="s">
        <v>34121</v>
      </c>
    </row>
    <row r="29996" spans="9:10" x14ac:dyDescent="0.3">
      <c r="I29996" t="s">
        <v>34122</v>
      </c>
    </row>
    <row r="29997" spans="9:10" x14ac:dyDescent="0.3">
      <c r="I29997" t="s">
        <v>34123</v>
      </c>
    </row>
    <row r="29998" spans="9:10" x14ac:dyDescent="0.3">
      <c r="I29998" t="s">
        <v>34124</v>
      </c>
    </row>
    <row r="29999" spans="9:10" x14ac:dyDescent="0.3">
      <c r="I29999" t="s">
        <v>34125</v>
      </c>
    </row>
    <row r="30000" spans="9:10" x14ac:dyDescent="0.3">
      <c r="I30000" t="s">
        <v>34126</v>
      </c>
    </row>
    <row r="30001" spans="9:9" x14ac:dyDescent="0.3">
      <c r="I30001" t="s">
        <v>34127</v>
      </c>
    </row>
    <row r="30002" spans="9:9" x14ac:dyDescent="0.3">
      <c r="I30002" t="s">
        <v>34128</v>
      </c>
    </row>
    <row r="30003" spans="9:9" x14ac:dyDescent="0.3">
      <c r="I30003" t="s">
        <v>34129</v>
      </c>
    </row>
    <row r="30004" spans="9:9" x14ac:dyDescent="0.3">
      <c r="I30004" t="s">
        <v>34130</v>
      </c>
    </row>
    <row r="30005" spans="9:9" x14ac:dyDescent="0.3">
      <c r="I30005" t="s">
        <v>34131</v>
      </c>
    </row>
    <row r="30006" spans="9:9" x14ac:dyDescent="0.3">
      <c r="I30006" t="s">
        <v>34132</v>
      </c>
    </row>
    <row r="30007" spans="9:9" x14ac:dyDescent="0.3">
      <c r="I30007" t="s">
        <v>34133</v>
      </c>
    </row>
    <row r="30008" spans="9:9" x14ac:dyDescent="0.3">
      <c r="I30008" t="s">
        <v>34134</v>
      </c>
    </row>
    <row r="30009" spans="9:9" x14ac:dyDescent="0.3">
      <c r="I30009" t="s">
        <v>34135</v>
      </c>
    </row>
    <row r="30010" spans="9:9" x14ac:dyDescent="0.3">
      <c r="I30010" t="s">
        <v>34136</v>
      </c>
    </row>
    <row r="30011" spans="9:9" x14ac:dyDescent="0.3">
      <c r="I30011" t="s">
        <v>34137</v>
      </c>
    </row>
    <row r="30012" spans="9:9" x14ac:dyDescent="0.3">
      <c r="I30012" t="s">
        <v>34138</v>
      </c>
    </row>
    <row r="30013" spans="9:9" x14ac:dyDescent="0.3">
      <c r="I30013" t="s">
        <v>34139</v>
      </c>
    </row>
    <row r="30014" spans="9:9" x14ac:dyDescent="0.3">
      <c r="I30014" t="s">
        <v>34140</v>
      </c>
    </row>
    <row r="30015" spans="9:9" x14ac:dyDescent="0.3">
      <c r="I30015" t="s">
        <v>34141</v>
      </c>
    </row>
    <row r="30016" spans="9:9" x14ac:dyDescent="0.3">
      <c r="I30016" t="s">
        <v>34142</v>
      </c>
    </row>
    <row r="30017" spans="9:10" x14ac:dyDescent="0.3">
      <c r="I30017" t="s">
        <v>34143</v>
      </c>
    </row>
    <row r="30018" spans="9:10" x14ac:dyDescent="0.3">
      <c r="I30018" t="s">
        <v>34144</v>
      </c>
      <c r="J30018" t="s">
        <v>9439</v>
      </c>
    </row>
    <row r="30019" spans="9:10" x14ac:dyDescent="0.3">
      <c r="I30019" t="s">
        <v>34145</v>
      </c>
      <c r="J30019" t="s">
        <v>9440</v>
      </c>
    </row>
    <row r="30020" spans="9:10" x14ac:dyDescent="0.3">
      <c r="I30020" t="s">
        <v>34146</v>
      </c>
      <c r="J30020" t="s">
        <v>9441</v>
      </c>
    </row>
    <row r="30021" spans="9:10" x14ac:dyDescent="0.3">
      <c r="I30021" t="s">
        <v>34147</v>
      </c>
      <c r="J30021" t="s">
        <v>9442</v>
      </c>
    </row>
    <row r="30022" spans="9:10" x14ac:dyDescent="0.3">
      <c r="I30022" t="s">
        <v>34148</v>
      </c>
    </row>
    <row r="30023" spans="9:10" x14ac:dyDescent="0.3">
      <c r="I30023" t="s">
        <v>34149</v>
      </c>
    </row>
    <row r="30024" spans="9:10" x14ac:dyDescent="0.3">
      <c r="I30024" t="s">
        <v>34150</v>
      </c>
    </row>
    <row r="30025" spans="9:10" x14ac:dyDescent="0.3">
      <c r="I30025" t="s">
        <v>34151</v>
      </c>
    </row>
    <row r="30026" spans="9:10" x14ac:dyDescent="0.3">
      <c r="I30026" t="s">
        <v>34152</v>
      </c>
    </row>
    <row r="30027" spans="9:10" x14ac:dyDescent="0.3">
      <c r="I30027" t="s">
        <v>34153</v>
      </c>
    </row>
    <row r="30028" spans="9:10" x14ac:dyDescent="0.3">
      <c r="I30028" t="s">
        <v>34154</v>
      </c>
    </row>
    <row r="30029" spans="9:10" x14ac:dyDescent="0.3">
      <c r="I30029" t="s">
        <v>34155</v>
      </c>
    </row>
    <row r="30030" spans="9:10" x14ac:dyDescent="0.3">
      <c r="I30030" t="s">
        <v>34156</v>
      </c>
    </row>
    <row r="30031" spans="9:10" x14ac:dyDescent="0.3">
      <c r="I30031" t="s">
        <v>34157</v>
      </c>
    </row>
    <row r="30032" spans="9:10" x14ac:dyDescent="0.3">
      <c r="I30032" t="s">
        <v>34158</v>
      </c>
    </row>
    <row r="30033" spans="9:10" x14ac:dyDescent="0.3">
      <c r="I30033" t="s">
        <v>34159</v>
      </c>
    </row>
    <row r="30034" spans="9:10" x14ac:dyDescent="0.3">
      <c r="I30034" t="s">
        <v>34160</v>
      </c>
    </row>
    <row r="30035" spans="9:10" x14ac:dyDescent="0.3">
      <c r="I30035" t="s">
        <v>34161</v>
      </c>
    </row>
    <row r="30036" spans="9:10" x14ac:dyDescent="0.3">
      <c r="I30036" t="s">
        <v>34162</v>
      </c>
      <c r="J30036" t="s">
        <v>9443</v>
      </c>
    </row>
    <row r="30037" spans="9:10" x14ac:dyDescent="0.3">
      <c r="I30037" t="s">
        <v>34163</v>
      </c>
    </row>
    <row r="30038" spans="9:10" x14ac:dyDescent="0.3">
      <c r="I30038" t="s">
        <v>34164</v>
      </c>
    </row>
    <row r="30039" spans="9:10" x14ac:dyDescent="0.3">
      <c r="I30039" t="s">
        <v>34165</v>
      </c>
    </row>
    <row r="30040" spans="9:10" x14ac:dyDescent="0.3">
      <c r="I30040" t="s">
        <v>34166</v>
      </c>
    </row>
    <row r="30041" spans="9:10" x14ac:dyDescent="0.3">
      <c r="I30041" t="s">
        <v>34167</v>
      </c>
    </row>
    <row r="30042" spans="9:10" x14ac:dyDescent="0.3">
      <c r="I30042" t="s">
        <v>34168</v>
      </c>
    </row>
    <row r="30043" spans="9:10" x14ac:dyDescent="0.3">
      <c r="I30043" t="s">
        <v>34169</v>
      </c>
    </row>
    <row r="30044" spans="9:10" x14ac:dyDescent="0.3">
      <c r="I30044" t="s">
        <v>34170</v>
      </c>
    </row>
    <row r="30045" spans="9:10" x14ac:dyDescent="0.3">
      <c r="I30045" t="s">
        <v>34171</v>
      </c>
      <c r="J30045" t="s">
        <v>9444</v>
      </c>
    </row>
    <row r="30046" spans="9:10" x14ac:dyDescent="0.3">
      <c r="I30046" t="s">
        <v>34172</v>
      </c>
      <c r="J30046" t="s">
        <v>9445</v>
      </c>
    </row>
    <row r="30047" spans="9:10" x14ac:dyDescent="0.3">
      <c r="I30047" t="s">
        <v>34173</v>
      </c>
    </row>
    <row r="30048" spans="9:10" x14ac:dyDescent="0.3">
      <c r="I30048" t="s">
        <v>34174</v>
      </c>
    </row>
    <row r="30049" spans="9:10" x14ac:dyDescent="0.3">
      <c r="I30049" t="s">
        <v>34175</v>
      </c>
    </row>
    <row r="30050" spans="9:10" x14ac:dyDescent="0.3">
      <c r="I30050" t="s">
        <v>34176</v>
      </c>
    </row>
    <row r="30051" spans="9:10" x14ac:dyDescent="0.3">
      <c r="I30051" t="s">
        <v>34177</v>
      </c>
    </row>
    <row r="30052" spans="9:10" x14ac:dyDescent="0.3">
      <c r="I30052" t="s">
        <v>34178</v>
      </c>
      <c r="J30052" t="s">
        <v>9446</v>
      </c>
    </row>
    <row r="30053" spans="9:10" x14ac:dyDescent="0.3">
      <c r="I30053" t="s">
        <v>34179</v>
      </c>
    </row>
    <row r="30054" spans="9:10" x14ac:dyDescent="0.3">
      <c r="I30054" t="s">
        <v>34180</v>
      </c>
    </row>
    <row r="30055" spans="9:10" x14ac:dyDescent="0.3">
      <c r="I30055" t="s">
        <v>34181</v>
      </c>
    </row>
    <row r="30056" spans="9:10" x14ac:dyDescent="0.3">
      <c r="I30056" t="s">
        <v>34182</v>
      </c>
      <c r="J30056" t="s">
        <v>9447</v>
      </c>
    </row>
    <row r="30057" spans="9:10" x14ac:dyDescent="0.3">
      <c r="I30057" t="s">
        <v>34183</v>
      </c>
      <c r="J30057" t="s">
        <v>9448</v>
      </c>
    </row>
    <row r="30058" spans="9:10" x14ac:dyDescent="0.3">
      <c r="I30058" t="s">
        <v>34184</v>
      </c>
      <c r="J30058" t="s">
        <v>9449</v>
      </c>
    </row>
    <row r="30059" spans="9:10" x14ac:dyDescent="0.3">
      <c r="I30059" t="s">
        <v>34185</v>
      </c>
      <c r="J30059" t="s">
        <v>9450</v>
      </c>
    </row>
    <row r="30060" spans="9:10" x14ac:dyDescent="0.3">
      <c r="I30060" t="s">
        <v>34186</v>
      </c>
      <c r="J30060" t="s">
        <v>9451</v>
      </c>
    </row>
    <row r="30061" spans="9:10" x14ac:dyDescent="0.3">
      <c r="I30061" t="s">
        <v>34187</v>
      </c>
      <c r="J30061" t="s">
        <v>9452</v>
      </c>
    </row>
    <row r="30062" spans="9:10" x14ac:dyDescent="0.3">
      <c r="I30062" t="s">
        <v>34188</v>
      </c>
      <c r="J30062" t="s">
        <v>9453</v>
      </c>
    </row>
    <row r="30063" spans="9:10" x14ac:dyDescent="0.3">
      <c r="I30063" t="s">
        <v>34189</v>
      </c>
      <c r="J30063" t="s">
        <v>9454</v>
      </c>
    </row>
    <row r="30064" spans="9:10" x14ac:dyDescent="0.3">
      <c r="I30064" t="s">
        <v>34190</v>
      </c>
      <c r="J30064" t="s">
        <v>9455</v>
      </c>
    </row>
    <row r="30065" spans="9:10" x14ac:dyDescent="0.3">
      <c r="I30065" t="s">
        <v>34191</v>
      </c>
      <c r="J30065" t="s">
        <v>9456</v>
      </c>
    </row>
    <row r="30066" spans="9:10" x14ac:dyDescent="0.3">
      <c r="I30066" t="s">
        <v>34192</v>
      </c>
      <c r="J30066" t="s">
        <v>9457</v>
      </c>
    </row>
    <row r="30067" spans="9:10" x14ac:dyDescent="0.3">
      <c r="I30067" t="s">
        <v>34193</v>
      </c>
      <c r="J30067" t="s">
        <v>9458</v>
      </c>
    </row>
    <row r="30068" spans="9:10" x14ac:dyDescent="0.3">
      <c r="I30068" t="s">
        <v>34194</v>
      </c>
      <c r="J30068" t="s">
        <v>9459</v>
      </c>
    </row>
    <row r="30069" spans="9:10" x14ac:dyDescent="0.3">
      <c r="I30069" t="s">
        <v>34195</v>
      </c>
      <c r="J30069" t="s">
        <v>9460</v>
      </c>
    </row>
    <row r="30070" spans="9:10" x14ac:dyDescent="0.3">
      <c r="I30070" t="s">
        <v>34196</v>
      </c>
      <c r="J30070" t="s">
        <v>9460</v>
      </c>
    </row>
    <row r="30071" spans="9:10" x14ac:dyDescent="0.3">
      <c r="I30071" t="s">
        <v>34197</v>
      </c>
    </row>
    <row r="30072" spans="9:10" x14ac:dyDescent="0.3">
      <c r="I30072" t="s">
        <v>34198</v>
      </c>
      <c r="J30072" t="s">
        <v>2360</v>
      </c>
    </row>
    <row r="30073" spans="9:10" x14ac:dyDescent="0.3">
      <c r="I30073" t="s">
        <v>34199</v>
      </c>
    </row>
    <row r="30074" spans="9:10" x14ac:dyDescent="0.3">
      <c r="I30074" t="s">
        <v>34200</v>
      </c>
      <c r="J30074" t="s">
        <v>9461</v>
      </c>
    </row>
    <row r="30075" spans="9:10" x14ac:dyDescent="0.3">
      <c r="I30075" t="s">
        <v>34201</v>
      </c>
    </row>
    <row r="30076" spans="9:10" x14ac:dyDescent="0.3">
      <c r="I30076" t="s">
        <v>34202</v>
      </c>
      <c r="J30076" t="s">
        <v>9462</v>
      </c>
    </row>
    <row r="30077" spans="9:10" x14ac:dyDescent="0.3">
      <c r="I30077" t="s">
        <v>34203</v>
      </c>
      <c r="J30077" t="s">
        <v>9463</v>
      </c>
    </row>
    <row r="30078" spans="9:10" x14ac:dyDescent="0.3">
      <c r="I30078" t="s">
        <v>34204</v>
      </c>
      <c r="J30078" t="s">
        <v>9464</v>
      </c>
    </row>
    <row r="30079" spans="9:10" x14ac:dyDescent="0.3">
      <c r="I30079" t="s">
        <v>34205</v>
      </c>
    </row>
    <row r="30080" spans="9:10" x14ac:dyDescent="0.3">
      <c r="I30080" t="s">
        <v>34206</v>
      </c>
    </row>
    <row r="30081" spans="9:10" x14ac:dyDescent="0.3">
      <c r="I30081" t="s">
        <v>34207</v>
      </c>
      <c r="J30081" t="s">
        <v>9465</v>
      </c>
    </row>
    <row r="30082" spans="9:10" x14ac:dyDescent="0.3">
      <c r="I30082" t="s">
        <v>34208</v>
      </c>
      <c r="J30082" t="s">
        <v>9466</v>
      </c>
    </row>
    <row r="30083" spans="9:10" x14ac:dyDescent="0.3">
      <c r="I30083" t="s">
        <v>34209</v>
      </c>
      <c r="J30083" t="s">
        <v>9467</v>
      </c>
    </row>
    <row r="30084" spans="9:10" x14ac:dyDescent="0.3">
      <c r="I30084" t="s">
        <v>34210</v>
      </c>
      <c r="J30084" t="s">
        <v>9468</v>
      </c>
    </row>
    <row r="30085" spans="9:10" x14ac:dyDescent="0.3">
      <c r="I30085" t="s">
        <v>34211</v>
      </c>
      <c r="J30085" t="s">
        <v>9469</v>
      </c>
    </row>
    <row r="30086" spans="9:10" x14ac:dyDescent="0.3">
      <c r="I30086" t="s">
        <v>34212</v>
      </c>
      <c r="J30086" t="s">
        <v>9470</v>
      </c>
    </row>
    <row r="30087" spans="9:10" x14ac:dyDescent="0.3">
      <c r="I30087" t="s">
        <v>34212</v>
      </c>
      <c r="J30087" t="s">
        <v>9470</v>
      </c>
    </row>
    <row r="30088" spans="9:10" x14ac:dyDescent="0.3">
      <c r="I30088" t="s">
        <v>34213</v>
      </c>
      <c r="J30088" t="s">
        <v>9471</v>
      </c>
    </row>
    <row r="30089" spans="9:10" x14ac:dyDescent="0.3">
      <c r="I30089" t="s">
        <v>34214</v>
      </c>
      <c r="J30089" t="s">
        <v>909</v>
      </c>
    </row>
    <row r="30090" spans="9:10" x14ac:dyDescent="0.3">
      <c r="I30090" t="s">
        <v>34215</v>
      </c>
      <c r="J30090" t="s">
        <v>909</v>
      </c>
    </row>
    <row r="30091" spans="9:10" x14ac:dyDescent="0.3">
      <c r="I30091" t="s">
        <v>34216</v>
      </c>
      <c r="J30091" t="s">
        <v>9472</v>
      </c>
    </row>
    <row r="30092" spans="9:10" x14ac:dyDescent="0.3">
      <c r="I30092" t="s">
        <v>34217</v>
      </c>
    </row>
    <row r="30093" spans="9:10" x14ac:dyDescent="0.3">
      <c r="I30093" t="s">
        <v>34218</v>
      </c>
    </row>
    <row r="30094" spans="9:10" x14ac:dyDescent="0.3">
      <c r="I30094" t="s">
        <v>34219</v>
      </c>
    </row>
    <row r="30095" spans="9:10" x14ac:dyDescent="0.3">
      <c r="I30095" t="s">
        <v>34220</v>
      </c>
    </row>
    <row r="30096" spans="9:10" x14ac:dyDescent="0.3">
      <c r="I30096" t="s">
        <v>34221</v>
      </c>
      <c r="J30096" t="s">
        <v>9473</v>
      </c>
    </row>
    <row r="30097" spans="9:10" x14ac:dyDescent="0.3">
      <c r="I30097" t="s">
        <v>34222</v>
      </c>
      <c r="J30097" t="s">
        <v>825</v>
      </c>
    </row>
    <row r="30098" spans="9:10" x14ac:dyDescent="0.3">
      <c r="I30098" t="s">
        <v>34222</v>
      </c>
      <c r="J30098" t="s">
        <v>825</v>
      </c>
    </row>
    <row r="30099" spans="9:10" x14ac:dyDescent="0.3">
      <c r="I30099" t="s">
        <v>34223</v>
      </c>
      <c r="J30099" t="s">
        <v>9474</v>
      </c>
    </row>
    <row r="30100" spans="9:10" x14ac:dyDescent="0.3">
      <c r="I30100" t="s">
        <v>34224</v>
      </c>
      <c r="J30100" t="s">
        <v>9475</v>
      </c>
    </row>
    <row r="30101" spans="9:10" x14ac:dyDescent="0.3">
      <c r="I30101" t="s">
        <v>34225</v>
      </c>
    </row>
    <row r="30102" spans="9:10" x14ac:dyDescent="0.3">
      <c r="I30102" t="s">
        <v>34226</v>
      </c>
    </row>
    <row r="30103" spans="9:10" x14ac:dyDescent="0.3">
      <c r="I30103" t="s">
        <v>34227</v>
      </c>
    </row>
    <row r="30104" spans="9:10" x14ac:dyDescent="0.3">
      <c r="I30104" t="s">
        <v>34228</v>
      </c>
    </row>
    <row r="30105" spans="9:10" x14ac:dyDescent="0.3">
      <c r="I30105" t="s">
        <v>34229</v>
      </c>
    </row>
    <row r="30106" spans="9:10" x14ac:dyDescent="0.3">
      <c r="I30106" t="s">
        <v>34230</v>
      </c>
    </row>
    <row r="30107" spans="9:10" x14ac:dyDescent="0.3">
      <c r="I30107" t="s">
        <v>34231</v>
      </c>
    </row>
    <row r="30108" spans="9:10" x14ac:dyDescent="0.3">
      <c r="I30108" t="s">
        <v>34232</v>
      </c>
    </row>
    <row r="30109" spans="9:10" x14ac:dyDescent="0.3">
      <c r="I30109" t="s">
        <v>34233</v>
      </c>
    </row>
    <row r="30110" spans="9:10" x14ac:dyDescent="0.3">
      <c r="I30110" t="s">
        <v>34234</v>
      </c>
    </row>
    <row r="30111" spans="9:10" x14ac:dyDescent="0.3">
      <c r="I30111" t="s">
        <v>34235</v>
      </c>
    </row>
    <row r="30112" spans="9:10" x14ac:dyDescent="0.3">
      <c r="I30112" t="s">
        <v>34236</v>
      </c>
    </row>
    <row r="30113" spans="9:10" x14ac:dyDescent="0.3">
      <c r="I30113" t="s">
        <v>34237</v>
      </c>
    </row>
    <row r="30114" spans="9:10" x14ac:dyDescent="0.3">
      <c r="I30114" t="s">
        <v>34238</v>
      </c>
    </row>
    <row r="30115" spans="9:10" x14ac:dyDescent="0.3">
      <c r="I30115" t="s">
        <v>34239</v>
      </c>
      <c r="J30115" t="s">
        <v>9476</v>
      </c>
    </row>
    <row r="30116" spans="9:10" x14ac:dyDescent="0.3">
      <c r="I30116" t="s">
        <v>34240</v>
      </c>
    </row>
    <row r="30117" spans="9:10" x14ac:dyDescent="0.3">
      <c r="I30117" t="s">
        <v>34241</v>
      </c>
    </row>
    <row r="30118" spans="9:10" x14ac:dyDescent="0.3">
      <c r="I30118" t="s">
        <v>34242</v>
      </c>
    </row>
    <row r="30119" spans="9:10" x14ac:dyDescent="0.3">
      <c r="I30119" t="s">
        <v>34243</v>
      </c>
    </row>
    <row r="30120" spans="9:10" x14ac:dyDescent="0.3">
      <c r="I30120" t="s">
        <v>34244</v>
      </c>
    </row>
    <row r="30121" spans="9:10" x14ac:dyDescent="0.3">
      <c r="I30121" t="s">
        <v>34245</v>
      </c>
    </row>
    <row r="30122" spans="9:10" x14ac:dyDescent="0.3">
      <c r="I30122" t="s">
        <v>34246</v>
      </c>
    </row>
    <row r="30123" spans="9:10" x14ac:dyDescent="0.3">
      <c r="I30123" t="s">
        <v>34247</v>
      </c>
    </row>
    <row r="30124" spans="9:10" x14ac:dyDescent="0.3">
      <c r="I30124" t="s">
        <v>34248</v>
      </c>
    </row>
    <row r="30125" spans="9:10" x14ac:dyDescent="0.3">
      <c r="I30125" t="s">
        <v>34249</v>
      </c>
    </row>
    <row r="30126" spans="9:10" x14ac:dyDescent="0.3">
      <c r="I30126" t="s">
        <v>34250</v>
      </c>
    </row>
    <row r="30127" spans="9:10" x14ac:dyDescent="0.3">
      <c r="I30127" t="s">
        <v>34251</v>
      </c>
      <c r="J30127" t="s">
        <v>9477</v>
      </c>
    </row>
    <row r="30128" spans="9:10" x14ac:dyDescent="0.3">
      <c r="I30128" t="s">
        <v>34252</v>
      </c>
    </row>
    <row r="30129" spans="9:10" x14ac:dyDescent="0.3">
      <c r="I30129" t="s">
        <v>34253</v>
      </c>
    </row>
    <row r="30130" spans="9:10" x14ac:dyDescent="0.3">
      <c r="I30130" t="s">
        <v>34254</v>
      </c>
    </row>
    <row r="30131" spans="9:10" x14ac:dyDescent="0.3">
      <c r="I30131" t="s">
        <v>34255</v>
      </c>
    </row>
    <row r="30132" spans="9:10" x14ac:dyDescent="0.3">
      <c r="I30132" t="s">
        <v>34256</v>
      </c>
      <c r="J30132" t="s">
        <v>9478</v>
      </c>
    </row>
    <row r="30133" spans="9:10" x14ac:dyDescent="0.3">
      <c r="I30133" t="s">
        <v>34257</v>
      </c>
      <c r="J30133" t="s">
        <v>9479</v>
      </c>
    </row>
    <row r="30134" spans="9:10" x14ac:dyDescent="0.3">
      <c r="I30134" t="s">
        <v>34258</v>
      </c>
      <c r="J30134" t="s">
        <v>9480</v>
      </c>
    </row>
    <row r="30135" spans="9:10" x14ac:dyDescent="0.3">
      <c r="I30135" t="s">
        <v>34259</v>
      </c>
      <c r="J30135" t="s">
        <v>9480</v>
      </c>
    </row>
    <row r="30136" spans="9:10" x14ac:dyDescent="0.3">
      <c r="I30136" t="s">
        <v>34260</v>
      </c>
      <c r="J30136" t="s">
        <v>9480</v>
      </c>
    </row>
    <row r="30137" spans="9:10" x14ac:dyDescent="0.3">
      <c r="I30137" t="s">
        <v>34261</v>
      </c>
      <c r="J30137" t="s">
        <v>9481</v>
      </c>
    </row>
    <row r="30138" spans="9:10" x14ac:dyDescent="0.3">
      <c r="I30138" t="s">
        <v>34261</v>
      </c>
      <c r="J30138" t="s">
        <v>9481</v>
      </c>
    </row>
    <row r="30139" spans="9:10" x14ac:dyDescent="0.3">
      <c r="I30139" t="s">
        <v>34262</v>
      </c>
      <c r="J30139" t="s">
        <v>9482</v>
      </c>
    </row>
    <row r="30140" spans="9:10" x14ac:dyDescent="0.3">
      <c r="I30140" t="s">
        <v>34263</v>
      </c>
      <c r="J30140" t="s">
        <v>9483</v>
      </c>
    </row>
    <row r="30141" spans="9:10" x14ac:dyDescent="0.3">
      <c r="I30141" t="s">
        <v>34264</v>
      </c>
      <c r="J30141" t="s">
        <v>9483</v>
      </c>
    </row>
    <row r="30142" spans="9:10" x14ac:dyDescent="0.3">
      <c r="I30142" t="s">
        <v>34265</v>
      </c>
    </row>
    <row r="30143" spans="9:10" x14ac:dyDescent="0.3">
      <c r="I30143" t="s">
        <v>34266</v>
      </c>
      <c r="J30143" t="s">
        <v>932</v>
      </c>
    </row>
    <row r="30144" spans="9:10" x14ac:dyDescent="0.3">
      <c r="I30144" t="s">
        <v>34267</v>
      </c>
      <c r="J30144">
        <v>0</v>
      </c>
    </row>
    <row r="30145" spans="9:10" x14ac:dyDescent="0.3">
      <c r="I30145" t="s">
        <v>34268</v>
      </c>
      <c r="J30145" t="s">
        <v>9484</v>
      </c>
    </row>
    <row r="30146" spans="9:10" x14ac:dyDescent="0.3">
      <c r="I30146" t="s">
        <v>34269</v>
      </c>
      <c r="J30146" t="s">
        <v>9485</v>
      </c>
    </row>
    <row r="30147" spans="9:10" x14ac:dyDescent="0.3">
      <c r="I30147" t="s">
        <v>34270</v>
      </c>
      <c r="J30147" t="s">
        <v>9486</v>
      </c>
    </row>
    <row r="30148" spans="9:10" x14ac:dyDescent="0.3">
      <c r="I30148" t="s">
        <v>34271</v>
      </c>
      <c r="J30148" t="s">
        <v>9487</v>
      </c>
    </row>
    <row r="30149" spans="9:10" x14ac:dyDescent="0.3">
      <c r="I30149" t="s">
        <v>34272</v>
      </c>
    </row>
    <row r="30150" spans="9:10" x14ac:dyDescent="0.3">
      <c r="I30150" t="s">
        <v>34273</v>
      </c>
    </row>
    <row r="30151" spans="9:10" x14ac:dyDescent="0.3">
      <c r="I30151" t="s">
        <v>34274</v>
      </c>
    </row>
    <row r="30152" spans="9:10" x14ac:dyDescent="0.3">
      <c r="I30152" t="s">
        <v>34275</v>
      </c>
    </row>
    <row r="30153" spans="9:10" x14ac:dyDescent="0.3">
      <c r="I30153" t="s">
        <v>34276</v>
      </c>
    </row>
    <row r="30154" spans="9:10" x14ac:dyDescent="0.3">
      <c r="I30154" t="s">
        <v>34277</v>
      </c>
    </row>
    <row r="30155" spans="9:10" x14ac:dyDescent="0.3">
      <c r="I30155" t="s">
        <v>34278</v>
      </c>
    </row>
    <row r="30156" spans="9:10" x14ac:dyDescent="0.3">
      <c r="I30156" t="s">
        <v>34279</v>
      </c>
    </row>
    <row r="30157" spans="9:10" x14ac:dyDescent="0.3">
      <c r="I30157" t="s">
        <v>34280</v>
      </c>
      <c r="J30157" t="s">
        <v>2045</v>
      </c>
    </row>
    <row r="30158" spans="9:10" x14ac:dyDescent="0.3">
      <c r="I30158" t="s">
        <v>34281</v>
      </c>
    </row>
    <row r="30159" spans="9:10" x14ac:dyDescent="0.3">
      <c r="I30159" t="s">
        <v>34282</v>
      </c>
      <c r="J30159" t="s">
        <v>4350</v>
      </c>
    </row>
    <row r="30160" spans="9:10" x14ac:dyDescent="0.3">
      <c r="I30160" t="s">
        <v>34283</v>
      </c>
      <c r="J30160" t="s">
        <v>9488</v>
      </c>
    </row>
    <row r="30161" spans="9:10" x14ac:dyDescent="0.3">
      <c r="I30161" t="s">
        <v>34284</v>
      </c>
    </row>
    <row r="30162" spans="9:10" x14ac:dyDescent="0.3">
      <c r="I30162" t="s">
        <v>34285</v>
      </c>
    </row>
    <row r="30163" spans="9:10" x14ac:dyDescent="0.3">
      <c r="I30163" t="s">
        <v>34286</v>
      </c>
      <c r="J30163" t="s">
        <v>9489</v>
      </c>
    </row>
    <row r="30164" spans="9:10" x14ac:dyDescent="0.3">
      <c r="I30164" t="s">
        <v>34287</v>
      </c>
    </row>
    <row r="30165" spans="9:10" x14ac:dyDescent="0.3">
      <c r="I30165" t="s">
        <v>34288</v>
      </c>
    </row>
    <row r="30166" spans="9:10" x14ac:dyDescent="0.3">
      <c r="I30166" t="s">
        <v>34289</v>
      </c>
    </row>
    <row r="30167" spans="9:10" x14ac:dyDescent="0.3">
      <c r="I30167" t="s">
        <v>34290</v>
      </c>
    </row>
    <row r="30168" spans="9:10" x14ac:dyDescent="0.3">
      <c r="I30168" t="s">
        <v>34291</v>
      </c>
    </row>
    <row r="30169" spans="9:10" x14ac:dyDescent="0.3">
      <c r="I30169" t="s">
        <v>34292</v>
      </c>
    </row>
    <row r="30170" spans="9:10" x14ac:dyDescent="0.3">
      <c r="I30170" t="s">
        <v>34293</v>
      </c>
      <c r="J30170" t="s">
        <v>9490</v>
      </c>
    </row>
    <row r="30171" spans="9:10" x14ac:dyDescent="0.3">
      <c r="I30171" t="s">
        <v>34294</v>
      </c>
      <c r="J30171" t="s">
        <v>9491</v>
      </c>
    </row>
    <row r="30172" spans="9:10" x14ac:dyDescent="0.3">
      <c r="I30172" t="s">
        <v>34295</v>
      </c>
    </row>
    <row r="30173" spans="9:10" x14ac:dyDescent="0.3">
      <c r="I30173" t="s">
        <v>34296</v>
      </c>
    </row>
    <row r="30174" spans="9:10" x14ac:dyDescent="0.3">
      <c r="I30174" t="s">
        <v>34297</v>
      </c>
    </row>
    <row r="30175" spans="9:10" x14ac:dyDescent="0.3">
      <c r="I30175" t="s">
        <v>34298</v>
      </c>
    </row>
    <row r="30176" spans="9:10" x14ac:dyDescent="0.3">
      <c r="I30176" t="s">
        <v>34299</v>
      </c>
      <c r="J30176" t="s">
        <v>9492</v>
      </c>
    </row>
    <row r="30177" spans="9:10" x14ac:dyDescent="0.3">
      <c r="I30177" t="s">
        <v>34300</v>
      </c>
    </row>
    <row r="30178" spans="9:10" x14ac:dyDescent="0.3">
      <c r="I30178" t="s">
        <v>34301</v>
      </c>
    </row>
    <row r="30179" spans="9:10" x14ac:dyDescent="0.3">
      <c r="I30179" t="s">
        <v>34302</v>
      </c>
    </row>
    <row r="30180" spans="9:10" x14ac:dyDescent="0.3">
      <c r="I30180" t="s">
        <v>34303</v>
      </c>
      <c r="J30180" t="s">
        <v>9493</v>
      </c>
    </row>
    <row r="30181" spans="9:10" x14ac:dyDescent="0.3">
      <c r="I30181" t="s">
        <v>34304</v>
      </c>
      <c r="J30181" t="s">
        <v>814</v>
      </c>
    </row>
    <row r="30182" spans="9:10" x14ac:dyDescent="0.3">
      <c r="I30182" t="s">
        <v>34305</v>
      </c>
      <c r="J30182" t="s">
        <v>9494</v>
      </c>
    </row>
    <row r="30183" spans="9:10" x14ac:dyDescent="0.3">
      <c r="I30183" t="s">
        <v>34306</v>
      </c>
    </row>
    <row r="30184" spans="9:10" x14ac:dyDescent="0.3">
      <c r="I30184" t="s">
        <v>34307</v>
      </c>
    </row>
    <row r="30185" spans="9:10" x14ac:dyDescent="0.3">
      <c r="I30185" t="s">
        <v>34308</v>
      </c>
    </row>
    <row r="30186" spans="9:10" x14ac:dyDescent="0.3">
      <c r="I30186" t="s">
        <v>34309</v>
      </c>
    </row>
    <row r="30187" spans="9:10" x14ac:dyDescent="0.3">
      <c r="I30187" t="s">
        <v>34310</v>
      </c>
    </row>
    <row r="30188" spans="9:10" x14ac:dyDescent="0.3">
      <c r="I30188" t="s">
        <v>34311</v>
      </c>
    </row>
    <row r="30189" spans="9:10" x14ac:dyDescent="0.3">
      <c r="I30189" t="s">
        <v>34312</v>
      </c>
    </row>
    <row r="30190" spans="9:10" x14ac:dyDescent="0.3">
      <c r="I30190" t="s">
        <v>34313</v>
      </c>
    </row>
    <row r="30191" spans="9:10" x14ac:dyDescent="0.3">
      <c r="I30191" t="s">
        <v>34314</v>
      </c>
    </row>
    <row r="30192" spans="9:10" x14ac:dyDescent="0.3">
      <c r="I30192" t="s">
        <v>34315</v>
      </c>
    </row>
    <row r="30193" spans="9:10" x14ac:dyDescent="0.3">
      <c r="I30193" t="s">
        <v>34316</v>
      </c>
    </row>
    <row r="30194" spans="9:10" x14ac:dyDescent="0.3">
      <c r="I30194" t="s">
        <v>34317</v>
      </c>
    </row>
    <row r="30195" spans="9:10" x14ac:dyDescent="0.3">
      <c r="I30195" t="s">
        <v>34318</v>
      </c>
    </row>
    <row r="30196" spans="9:10" x14ac:dyDescent="0.3">
      <c r="I30196" t="s">
        <v>34319</v>
      </c>
    </row>
    <row r="30197" spans="9:10" x14ac:dyDescent="0.3">
      <c r="I30197" t="s">
        <v>34320</v>
      </c>
    </row>
    <row r="30198" spans="9:10" x14ac:dyDescent="0.3">
      <c r="I30198" t="s">
        <v>34321</v>
      </c>
    </row>
    <row r="30199" spans="9:10" x14ac:dyDescent="0.3">
      <c r="I30199" t="s">
        <v>34322</v>
      </c>
    </row>
    <row r="30200" spans="9:10" x14ac:dyDescent="0.3">
      <c r="I30200" t="s">
        <v>34323</v>
      </c>
    </row>
    <row r="30201" spans="9:10" x14ac:dyDescent="0.3">
      <c r="I30201" t="s">
        <v>34324</v>
      </c>
    </row>
    <row r="30202" spans="9:10" x14ac:dyDescent="0.3">
      <c r="I30202" t="s">
        <v>34325</v>
      </c>
    </row>
    <row r="30203" spans="9:10" x14ac:dyDescent="0.3">
      <c r="I30203" t="s">
        <v>34326</v>
      </c>
    </row>
    <row r="30204" spans="9:10" x14ac:dyDescent="0.3">
      <c r="I30204" t="s">
        <v>34327</v>
      </c>
    </row>
    <row r="30205" spans="9:10" x14ac:dyDescent="0.3">
      <c r="I30205" t="s">
        <v>34328</v>
      </c>
    </row>
    <row r="30206" spans="9:10" x14ac:dyDescent="0.3">
      <c r="I30206" t="s">
        <v>34329</v>
      </c>
    </row>
    <row r="30207" spans="9:10" x14ac:dyDescent="0.3">
      <c r="I30207" t="s">
        <v>34330</v>
      </c>
    </row>
    <row r="30208" spans="9:10" x14ac:dyDescent="0.3">
      <c r="I30208" t="s">
        <v>34331</v>
      </c>
      <c r="J30208" t="s">
        <v>3560</v>
      </c>
    </row>
    <row r="30209" spans="9:10" x14ac:dyDescent="0.3">
      <c r="I30209" t="s">
        <v>34332</v>
      </c>
      <c r="J30209" t="s">
        <v>3560</v>
      </c>
    </row>
    <row r="30210" spans="9:10" x14ac:dyDescent="0.3">
      <c r="I30210" t="s">
        <v>34333</v>
      </c>
      <c r="J30210" t="s">
        <v>3560</v>
      </c>
    </row>
    <row r="30211" spans="9:10" x14ac:dyDescent="0.3">
      <c r="I30211" t="s">
        <v>34334</v>
      </c>
      <c r="J30211" t="s">
        <v>3560</v>
      </c>
    </row>
    <row r="30212" spans="9:10" x14ac:dyDescent="0.3">
      <c r="I30212" t="s">
        <v>34335</v>
      </c>
      <c r="J30212" t="s">
        <v>3560</v>
      </c>
    </row>
    <row r="30213" spans="9:10" x14ac:dyDescent="0.3">
      <c r="I30213" t="s">
        <v>34336</v>
      </c>
      <c r="J30213" t="s">
        <v>3560</v>
      </c>
    </row>
    <row r="30214" spans="9:10" x14ac:dyDescent="0.3">
      <c r="I30214" t="s">
        <v>34337</v>
      </c>
      <c r="J30214" t="s">
        <v>3560</v>
      </c>
    </row>
    <row r="30215" spans="9:10" x14ac:dyDescent="0.3">
      <c r="I30215" t="s">
        <v>34338</v>
      </c>
      <c r="J30215" t="s">
        <v>3560</v>
      </c>
    </row>
    <row r="30216" spans="9:10" x14ac:dyDescent="0.3">
      <c r="I30216" t="s">
        <v>34339</v>
      </c>
      <c r="J30216" t="s">
        <v>3560</v>
      </c>
    </row>
    <row r="30217" spans="9:10" x14ac:dyDescent="0.3">
      <c r="I30217" t="s">
        <v>34340</v>
      </c>
      <c r="J30217" t="s">
        <v>3560</v>
      </c>
    </row>
    <row r="30218" spans="9:10" x14ac:dyDescent="0.3">
      <c r="I30218" t="s">
        <v>34341</v>
      </c>
      <c r="J30218" t="s">
        <v>3560</v>
      </c>
    </row>
    <row r="30219" spans="9:10" x14ac:dyDescent="0.3">
      <c r="I30219" t="s">
        <v>34342</v>
      </c>
      <c r="J30219" t="s">
        <v>3560</v>
      </c>
    </row>
    <row r="30220" spans="9:10" x14ac:dyDescent="0.3">
      <c r="I30220" t="s">
        <v>34343</v>
      </c>
      <c r="J30220" t="s">
        <v>3560</v>
      </c>
    </row>
    <row r="30221" spans="9:10" x14ac:dyDescent="0.3">
      <c r="I30221" t="s">
        <v>34344</v>
      </c>
      <c r="J30221" t="s">
        <v>3560</v>
      </c>
    </row>
    <row r="30222" spans="9:10" x14ac:dyDescent="0.3">
      <c r="I30222" t="s">
        <v>34345</v>
      </c>
      <c r="J30222" t="s">
        <v>3560</v>
      </c>
    </row>
    <row r="30223" spans="9:10" x14ac:dyDescent="0.3">
      <c r="I30223" t="s">
        <v>34346</v>
      </c>
      <c r="J30223" t="s">
        <v>3560</v>
      </c>
    </row>
    <row r="30224" spans="9:10" x14ac:dyDescent="0.3">
      <c r="I30224" t="s">
        <v>34347</v>
      </c>
      <c r="J30224" t="s">
        <v>3560</v>
      </c>
    </row>
    <row r="30225" spans="9:10" x14ac:dyDescent="0.3">
      <c r="I30225" t="s">
        <v>34348</v>
      </c>
      <c r="J30225" t="s">
        <v>3560</v>
      </c>
    </row>
    <row r="30226" spans="9:10" x14ac:dyDescent="0.3">
      <c r="I30226" t="s">
        <v>34349</v>
      </c>
      <c r="J30226" t="s">
        <v>3560</v>
      </c>
    </row>
    <row r="30227" spans="9:10" x14ac:dyDescent="0.3">
      <c r="I30227" t="s">
        <v>34350</v>
      </c>
      <c r="J30227" t="s">
        <v>3560</v>
      </c>
    </row>
    <row r="30228" spans="9:10" x14ac:dyDescent="0.3">
      <c r="I30228" t="s">
        <v>34351</v>
      </c>
      <c r="J30228" t="s">
        <v>3560</v>
      </c>
    </row>
    <row r="30229" spans="9:10" x14ac:dyDescent="0.3">
      <c r="I30229" t="s">
        <v>34352</v>
      </c>
      <c r="J30229" t="s">
        <v>3560</v>
      </c>
    </row>
    <row r="30230" spans="9:10" x14ac:dyDescent="0.3">
      <c r="I30230" t="s">
        <v>34353</v>
      </c>
      <c r="J30230" t="s">
        <v>3560</v>
      </c>
    </row>
    <row r="30231" spans="9:10" x14ac:dyDescent="0.3">
      <c r="I30231" t="s">
        <v>34354</v>
      </c>
      <c r="J30231" t="s">
        <v>3560</v>
      </c>
    </row>
    <row r="30232" spans="9:10" x14ac:dyDescent="0.3">
      <c r="I30232" t="s">
        <v>15891</v>
      </c>
      <c r="J30232" t="s">
        <v>3560</v>
      </c>
    </row>
    <row r="30233" spans="9:10" x14ac:dyDescent="0.3">
      <c r="I30233" t="s">
        <v>34338</v>
      </c>
      <c r="J30233" t="s">
        <v>3560</v>
      </c>
    </row>
    <row r="30234" spans="9:10" x14ac:dyDescent="0.3">
      <c r="I30234" t="s">
        <v>34339</v>
      </c>
      <c r="J30234" t="s">
        <v>3560</v>
      </c>
    </row>
    <row r="30235" spans="9:10" x14ac:dyDescent="0.3">
      <c r="I30235" t="s">
        <v>34355</v>
      </c>
      <c r="J30235" t="s">
        <v>3560</v>
      </c>
    </row>
    <row r="30236" spans="9:10" x14ac:dyDescent="0.3">
      <c r="I30236" t="s">
        <v>34355</v>
      </c>
      <c r="J30236" t="s">
        <v>3560</v>
      </c>
    </row>
    <row r="30237" spans="9:10" x14ac:dyDescent="0.3">
      <c r="I30237" t="s">
        <v>34356</v>
      </c>
      <c r="J30237" t="s">
        <v>9495</v>
      </c>
    </row>
    <row r="30238" spans="9:10" x14ac:dyDescent="0.3">
      <c r="I30238" t="s">
        <v>34357</v>
      </c>
    </row>
    <row r="30239" spans="9:10" x14ac:dyDescent="0.3">
      <c r="I30239" t="s">
        <v>34358</v>
      </c>
    </row>
    <row r="30240" spans="9:10" x14ac:dyDescent="0.3">
      <c r="I30240" t="s">
        <v>34359</v>
      </c>
    </row>
    <row r="30241" spans="9:10" x14ac:dyDescent="0.3">
      <c r="I30241" t="s">
        <v>34360</v>
      </c>
    </row>
    <row r="30242" spans="9:10" x14ac:dyDescent="0.3">
      <c r="I30242" t="s">
        <v>34361</v>
      </c>
    </row>
    <row r="30243" spans="9:10" x14ac:dyDescent="0.3">
      <c r="I30243" t="s">
        <v>34362</v>
      </c>
    </row>
    <row r="30244" spans="9:10" x14ac:dyDescent="0.3">
      <c r="I30244" t="s">
        <v>34363</v>
      </c>
    </row>
    <row r="30245" spans="9:10" x14ac:dyDescent="0.3">
      <c r="I30245" t="s">
        <v>34364</v>
      </c>
    </row>
    <row r="30246" spans="9:10" x14ac:dyDescent="0.3">
      <c r="I30246" t="s">
        <v>34365</v>
      </c>
    </row>
    <row r="30247" spans="9:10" x14ac:dyDescent="0.3">
      <c r="I30247" t="s">
        <v>34366</v>
      </c>
    </row>
    <row r="30248" spans="9:10" x14ac:dyDescent="0.3">
      <c r="I30248" t="s">
        <v>34367</v>
      </c>
    </row>
    <row r="30249" spans="9:10" x14ac:dyDescent="0.3">
      <c r="I30249" t="s">
        <v>34368</v>
      </c>
    </row>
    <row r="30250" spans="9:10" x14ac:dyDescent="0.3">
      <c r="I30250" t="s">
        <v>34369</v>
      </c>
    </row>
    <row r="30251" spans="9:10" x14ac:dyDescent="0.3">
      <c r="I30251" t="s">
        <v>34370</v>
      </c>
    </row>
    <row r="30252" spans="9:10" x14ac:dyDescent="0.3">
      <c r="I30252" t="s">
        <v>34371</v>
      </c>
    </row>
    <row r="30253" spans="9:10" x14ac:dyDescent="0.3">
      <c r="I30253" t="s">
        <v>34372</v>
      </c>
      <c r="J30253" t="s">
        <v>9496</v>
      </c>
    </row>
    <row r="30254" spans="9:10" x14ac:dyDescent="0.3">
      <c r="I30254" t="s">
        <v>34372</v>
      </c>
      <c r="J30254" t="s">
        <v>9496</v>
      </c>
    </row>
    <row r="30255" spans="9:10" x14ac:dyDescent="0.3">
      <c r="I30255" t="s">
        <v>34373</v>
      </c>
    </row>
    <row r="30256" spans="9:10" x14ac:dyDescent="0.3">
      <c r="I30256" t="s">
        <v>34373</v>
      </c>
    </row>
    <row r="30257" spans="9:10" x14ac:dyDescent="0.3">
      <c r="I30257" t="s">
        <v>34374</v>
      </c>
    </row>
    <row r="30258" spans="9:10" x14ac:dyDescent="0.3">
      <c r="I30258" t="s">
        <v>34375</v>
      </c>
    </row>
    <row r="30259" spans="9:10" x14ac:dyDescent="0.3">
      <c r="I30259" t="s">
        <v>34376</v>
      </c>
      <c r="J30259" t="s">
        <v>9497</v>
      </c>
    </row>
    <row r="30260" spans="9:10" x14ac:dyDescent="0.3">
      <c r="I30260" t="s">
        <v>34377</v>
      </c>
    </row>
    <row r="30261" spans="9:10" x14ac:dyDescent="0.3">
      <c r="I30261" t="s">
        <v>34378</v>
      </c>
    </row>
    <row r="30262" spans="9:10" x14ac:dyDescent="0.3">
      <c r="I30262" t="s">
        <v>34379</v>
      </c>
    </row>
    <row r="30263" spans="9:10" x14ac:dyDescent="0.3">
      <c r="I30263" t="s">
        <v>34380</v>
      </c>
    </row>
    <row r="30264" spans="9:10" x14ac:dyDescent="0.3">
      <c r="I30264" t="s">
        <v>34381</v>
      </c>
    </row>
    <row r="30265" spans="9:10" x14ac:dyDescent="0.3">
      <c r="I30265" t="s">
        <v>34382</v>
      </c>
    </row>
    <row r="30266" spans="9:10" x14ac:dyDescent="0.3">
      <c r="I30266" t="s">
        <v>34383</v>
      </c>
      <c r="J30266" t="s">
        <v>831</v>
      </c>
    </row>
    <row r="30267" spans="9:10" x14ac:dyDescent="0.3">
      <c r="I30267" t="s">
        <v>34384</v>
      </c>
      <c r="J30267" t="s">
        <v>9498</v>
      </c>
    </row>
    <row r="30268" spans="9:10" x14ac:dyDescent="0.3">
      <c r="I30268" t="s">
        <v>34385</v>
      </c>
    </row>
    <row r="30269" spans="9:10" x14ac:dyDescent="0.3">
      <c r="I30269" t="s">
        <v>34386</v>
      </c>
    </row>
    <row r="30270" spans="9:10" x14ac:dyDescent="0.3">
      <c r="I30270" t="s">
        <v>34387</v>
      </c>
    </row>
    <row r="30271" spans="9:10" x14ac:dyDescent="0.3">
      <c r="I30271" t="s">
        <v>34388</v>
      </c>
    </row>
    <row r="30272" spans="9:10" x14ac:dyDescent="0.3">
      <c r="I30272" t="s">
        <v>34389</v>
      </c>
    </row>
    <row r="30273" spans="9:10" x14ac:dyDescent="0.3">
      <c r="I30273" t="s">
        <v>34390</v>
      </c>
    </row>
    <row r="30274" spans="9:10" x14ac:dyDescent="0.3">
      <c r="I30274" t="s">
        <v>34391</v>
      </c>
    </row>
    <row r="30275" spans="9:10" x14ac:dyDescent="0.3">
      <c r="I30275" t="s">
        <v>34392</v>
      </c>
    </row>
    <row r="30276" spans="9:10" x14ac:dyDescent="0.3">
      <c r="I30276" t="s">
        <v>34393</v>
      </c>
    </row>
    <row r="30277" spans="9:10" x14ac:dyDescent="0.3">
      <c r="I30277" t="s">
        <v>34394</v>
      </c>
      <c r="J30277" t="s">
        <v>9499</v>
      </c>
    </row>
    <row r="30278" spans="9:10" x14ac:dyDescent="0.3">
      <c r="I30278" t="s">
        <v>34395</v>
      </c>
    </row>
    <row r="30279" spans="9:10" x14ac:dyDescent="0.3">
      <c r="I30279" t="s">
        <v>34396</v>
      </c>
    </row>
    <row r="30280" spans="9:10" x14ac:dyDescent="0.3">
      <c r="I30280" t="s">
        <v>34397</v>
      </c>
    </row>
    <row r="30281" spans="9:10" x14ac:dyDescent="0.3">
      <c r="I30281" t="s">
        <v>34398</v>
      </c>
    </row>
    <row r="30282" spans="9:10" x14ac:dyDescent="0.3">
      <c r="I30282" t="s">
        <v>34399</v>
      </c>
    </row>
    <row r="30283" spans="9:10" x14ac:dyDescent="0.3">
      <c r="I30283" t="s">
        <v>30013</v>
      </c>
      <c r="J30283" t="s">
        <v>9500</v>
      </c>
    </row>
    <row r="30284" spans="9:10" x14ac:dyDescent="0.3">
      <c r="I30284" t="s">
        <v>34400</v>
      </c>
      <c r="J30284" t="s">
        <v>9501</v>
      </c>
    </row>
    <row r="30285" spans="9:10" x14ac:dyDescent="0.3">
      <c r="I30285" t="s">
        <v>34400</v>
      </c>
      <c r="J30285" t="s">
        <v>9501</v>
      </c>
    </row>
    <row r="30286" spans="9:10" x14ac:dyDescent="0.3">
      <c r="I30286" t="s">
        <v>34401</v>
      </c>
      <c r="J30286" t="s">
        <v>9502</v>
      </c>
    </row>
    <row r="30287" spans="9:10" x14ac:dyDescent="0.3">
      <c r="I30287" t="s">
        <v>34402</v>
      </c>
    </row>
    <row r="30288" spans="9:10" x14ac:dyDescent="0.3">
      <c r="I30288" t="s">
        <v>34403</v>
      </c>
    </row>
    <row r="30289" spans="9:10" x14ac:dyDescent="0.3">
      <c r="I30289" t="s">
        <v>34404</v>
      </c>
    </row>
    <row r="30290" spans="9:10" x14ac:dyDescent="0.3">
      <c r="I30290" t="s">
        <v>34405</v>
      </c>
    </row>
    <row r="30291" spans="9:10" x14ac:dyDescent="0.3">
      <c r="I30291" t="s">
        <v>34406</v>
      </c>
    </row>
    <row r="30292" spans="9:10" x14ac:dyDescent="0.3">
      <c r="I30292" t="s">
        <v>34407</v>
      </c>
    </row>
    <row r="30293" spans="9:10" x14ac:dyDescent="0.3">
      <c r="I30293" t="s">
        <v>34408</v>
      </c>
    </row>
    <row r="30294" spans="9:10" x14ac:dyDescent="0.3">
      <c r="I30294" t="s">
        <v>34409</v>
      </c>
    </row>
    <row r="30295" spans="9:10" x14ac:dyDescent="0.3">
      <c r="I30295" t="s">
        <v>34410</v>
      </c>
    </row>
    <row r="30296" spans="9:10" x14ac:dyDescent="0.3">
      <c r="I30296" t="s">
        <v>34411</v>
      </c>
    </row>
    <row r="30297" spans="9:10" x14ac:dyDescent="0.3">
      <c r="I30297" t="s">
        <v>34412</v>
      </c>
    </row>
    <row r="30298" spans="9:10" x14ac:dyDescent="0.3">
      <c r="I30298" t="s">
        <v>34413</v>
      </c>
      <c r="J30298" t="s">
        <v>9503</v>
      </c>
    </row>
    <row r="30299" spans="9:10" x14ac:dyDescent="0.3">
      <c r="I30299" t="s">
        <v>34414</v>
      </c>
      <c r="J30299" t="s">
        <v>9504</v>
      </c>
    </row>
    <row r="30300" spans="9:10" x14ac:dyDescent="0.3">
      <c r="I30300" t="s">
        <v>34415</v>
      </c>
    </row>
    <row r="30301" spans="9:10" x14ac:dyDescent="0.3">
      <c r="I30301" t="s">
        <v>34416</v>
      </c>
    </row>
    <row r="30302" spans="9:10" x14ac:dyDescent="0.3">
      <c r="I30302" t="s">
        <v>34417</v>
      </c>
    </row>
    <row r="30303" spans="9:10" x14ac:dyDescent="0.3">
      <c r="I30303" t="s">
        <v>34418</v>
      </c>
    </row>
    <row r="30304" spans="9:10" x14ac:dyDescent="0.3">
      <c r="I30304" t="s">
        <v>34419</v>
      </c>
    </row>
    <row r="30305" spans="9:9" x14ac:dyDescent="0.3">
      <c r="I30305" t="s">
        <v>34420</v>
      </c>
    </row>
    <row r="30306" spans="9:9" x14ac:dyDescent="0.3">
      <c r="I30306" t="s">
        <v>34421</v>
      </c>
    </row>
    <row r="30307" spans="9:9" x14ac:dyDescent="0.3">
      <c r="I30307" t="s">
        <v>34422</v>
      </c>
    </row>
    <row r="30308" spans="9:9" x14ac:dyDescent="0.3">
      <c r="I30308" t="s">
        <v>34423</v>
      </c>
    </row>
    <row r="30309" spans="9:9" x14ac:dyDescent="0.3">
      <c r="I30309" t="s">
        <v>34424</v>
      </c>
    </row>
    <row r="30310" spans="9:9" x14ac:dyDescent="0.3">
      <c r="I30310" t="s">
        <v>34425</v>
      </c>
    </row>
    <row r="30311" spans="9:9" x14ac:dyDescent="0.3">
      <c r="I30311" t="s">
        <v>34426</v>
      </c>
    </row>
    <row r="30312" spans="9:9" x14ac:dyDescent="0.3">
      <c r="I30312" t="s">
        <v>34427</v>
      </c>
    </row>
    <row r="30313" spans="9:9" x14ac:dyDescent="0.3">
      <c r="I30313" t="s">
        <v>34428</v>
      </c>
    </row>
    <row r="30314" spans="9:9" x14ac:dyDescent="0.3">
      <c r="I30314" t="s">
        <v>34429</v>
      </c>
    </row>
    <row r="30315" spans="9:9" x14ac:dyDescent="0.3">
      <c r="I30315" t="s">
        <v>34430</v>
      </c>
    </row>
    <row r="30316" spans="9:9" x14ac:dyDescent="0.3">
      <c r="I30316" t="s">
        <v>34431</v>
      </c>
    </row>
    <row r="30317" spans="9:9" x14ac:dyDescent="0.3">
      <c r="I30317" t="s">
        <v>34432</v>
      </c>
    </row>
    <row r="30318" spans="9:9" x14ac:dyDescent="0.3">
      <c r="I30318" t="s">
        <v>34433</v>
      </c>
    </row>
    <row r="30319" spans="9:9" x14ac:dyDescent="0.3">
      <c r="I30319" t="s">
        <v>34434</v>
      </c>
    </row>
    <row r="30320" spans="9:9" x14ac:dyDescent="0.3">
      <c r="I30320" t="s">
        <v>34435</v>
      </c>
    </row>
    <row r="30321" spans="9:10" x14ac:dyDescent="0.3">
      <c r="I30321" t="s">
        <v>34436</v>
      </c>
    </row>
    <row r="30322" spans="9:10" x14ac:dyDescent="0.3">
      <c r="I30322" t="s">
        <v>34437</v>
      </c>
      <c r="J30322" t="s">
        <v>9505</v>
      </c>
    </row>
    <row r="30323" spans="9:10" x14ac:dyDescent="0.3">
      <c r="I30323" t="s">
        <v>34438</v>
      </c>
      <c r="J30323" t="s">
        <v>9506</v>
      </c>
    </row>
    <row r="30324" spans="9:10" x14ac:dyDescent="0.3">
      <c r="I30324" t="s">
        <v>34439</v>
      </c>
      <c r="J30324" t="s">
        <v>9507</v>
      </c>
    </row>
    <row r="30325" spans="9:10" x14ac:dyDescent="0.3">
      <c r="I30325" t="s">
        <v>34440</v>
      </c>
    </row>
    <row r="30326" spans="9:10" x14ac:dyDescent="0.3">
      <c r="I30326" t="s">
        <v>34441</v>
      </c>
      <c r="J30326" t="s">
        <v>9508</v>
      </c>
    </row>
    <row r="30327" spans="9:10" x14ac:dyDescent="0.3">
      <c r="I30327" t="s">
        <v>808</v>
      </c>
      <c r="J30327" t="s">
        <v>809</v>
      </c>
    </row>
    <row r="30328" spans="9:10" x14ac:dyDescent="0.3">
      <c r="I30328" t="s">
        <v>34442</v>
      </c>
    </row>
    <row r="30329" spans="9:10" x14ac:dyDescent="0.3">
      <c r="I30329" t="s">
        <v>34443</v>
      </c>
    </row>
    <row r="30330" spans="9:10" x14ac:dyDescent="0.3">
      <c r="I30330" t="s">
        <v>34444</v>
      </c>
    </row>
    <row r="30331" spans="9:10" x14ac:dyDescent="0.3">
      <c r="I30331" t="s">
        <v>34445</v>
      </c>
    </row>
    <row r="30332" spans="9:10" x14ac:dyDescent="0.3">
      <c r="I30332" t="s">
        <v>34446</v>
      </c>
    </row>
    <row r="30333" spans="9:10" x14ac:dyDescent="0.3">
      <c r="I30333" t="s">
        <v>34447</v>
      </c>
    </row>
    <row r="30334" spans="9:10" x14ac:dyDescent="0.3">
      <c r="I30334" t="s">
        <v>34448</v>
      </c>
      <c r="J30334" t="s">
        <v>9509</v>
      </c>
    </row>
    <row r="30335" spans="9:10" x14ac:dyDescent="0.3">
      <c r="I30335" t="s">
        <v>34449</v>
      </c>
      <c r="J30335" t="s">
        <v>9510</v>
      </c>
    </row>
    <row r="30336" spans="9:10" x14ac:dyDescent="0.3">
      <c r="I30336" t="s">
        <v>34450</v>
      </c>
      <c r="J30336" t="s">
        <v>9511</v>
      </c>
    </row>
    <row r="30337" spans="9:10" x14ac:dyDescent="0.3">
      <c r="I30337" t="s">
        <v>34451</v>
      </c>
      <c r="J30337" t="s">
        <v>9512</v>
      </c>
    </row>
    <row r="30338" spans="9:10" x14ac:dyDescent="0.3">
      <c r="I30338" t="s">
        <v>34452</v>
      </c>
      <c r="J30338" t="s">
        <v>9513</v>
      </c>
    </row>
    <row r="30339" spans="9:10" x14ac:dyDescent="0.3">
      <c r="I30339" t="s">
        <v>34453</v>
      </c>
    </row>
    <row r="30340" spans="9:10" x14ac:dyDescent="0.3">
      <c r="I30340" t="s">
        <v>34454</v>
      </c>
    </row>
    <row r="30341" spans="9:10" x14ac:dyDescent="0.3">
      <c r="I30341" t="s">
        <v>34455</v>
      </c>
    </row>
    <row r="30342" spans="9:10" x14ac:dyDescent="0.3">
      <c r="I30342" t="s">
        <v>34456</v>
      </c>
      <c r="J30342" t="s">
        <v>9514</v>
      </c>
    </row>
    <row r="30343" spans="9:10" x14ac:dyDescent="0.3">
      <c r="I30343" t="s">
        <v>34457</v>
      </c>
    </row>
    <row r="30344" spans="9:10" x14ac:dyDescent="0.3">
      <c r="I30344" t="s">
        <v>34458</v>
      </c>
    </row>
    <row r="30345" spans="9:10" x14ac:dyDescent="0.3">
      <c r="I30345" t="s">
        <v>34459</v>
      </c>
    </row>
    <row r="30346" spans="9:10" x14ac:dyDescent="0.3">
      <c r="I30346" t="s">
        <v>34460</v>
      </c>
    </row>
    <row r="30347" spans="9:10" x14ac:dyDescent="0.3">
      <c r="I30347" t="s">
        <v>34461</v>
      </c>
    </row>
    <row r="30348" spans="9:10" x14ac:dyDescent="0.3">
      <c r="I30348" t="s">
        <v>34462</v>
      </c>
    </row>
    <row r="30349" spans="9:10" x14ac:dyDescent="0.3">
      <c r="I30349" t="s">
        <v>34463</v>
      </c>
    </row>
    <row r="30350" spans="9:10" x14ac:dyDescent="0.3">
      <c r="I30350" t="s">
        <v>34464</v>
      </c>
    </row>
    <row r="30351" spans="9:10" x14ac:dyDescent="0.3">
      <c r="I30351" t="s">
        <v>34465</v>
      </c>
    </row>
    <row r="30352" spans="9:10" x14ac:dyDescent="0.3">
      <c r="I30352" t="s">
        <v>34466</v>
      </c>
    </row>
    <row r="30353" spans="9:10" x14ac:dyDescent="0.3">
      <c r="I30353" t="s">
        <v>34467</v>
      </c>
    </row>
    <row r="30354" spans="9:10" x14ac:dyDescent="0.3">
      <c r="I30354" t="s">
        <v>34468</v>
      </c>
      <c r="J30354" t="s">
        <v>823</v>
      </c>
    </row>
    <row r="30355" spans="9:10" x14ac:dyDescent="0.3">
      <c r="I30355" t="s">
        <v>34469</v>
      </c>
      <c r="J30355" t="s">
        <v>823</v>
      </c>
    </row>
    <row r="30356" spans="9:10" x14ac:dyDescent="0.3">
      <c r="I30356" t="s">
        <v>34470</v>
      </c>
    </row>
    <row r="30357" spans="9:10" x14ac:dyDescent="0.3">
      <c r="I30357" t="s">
        <v>34471</v>
      </c>
    </row>
    <row r="30358" spans="9:10" x14ac:dyDescent="0.3">
      <c r="I30358" t="s">
        <v>34472</v>
      </c>
    </row>
    <row r="30359" spans="9:10" x14ac:dyDescent="0.3">
      <c r="I30359" t="s">
        <v>34473</v>
      </c>
    </row>
    <row r="30360" spans="9:10" x14ac:dyDescent="0.3">
      <c r="I30360" t="s">
        <v>34474</v>
      </c>
    </row>
    <row r="30361" spans="9:10" x14ac:dyDescent="0.3">
      <c r="I30361" t="s">
        <v>34475</v>
      </c>
    </row>
    <row r="30362" spans="9:10" x14ac:dyDescent="0.3">
      <c r="I30362" t="s">
        <v>34476</v>
      </c>
    </row>
    <row r="30363" spans="9:10" x14ac:dyDescent="0.3">
      <c r="I30363" t="s">
        <v>34477</v>
      </c>
    </row>
    <row r="30364" spans="9:10" x14ac:dyDescent="0.3">
      <c r="I30364" t="s">
        <v>34478</v>
      </c>
    </row>
    <row r="30365" spans="9:10" x14ac:dyDescent="0.3">
      <c r="I30365" t="s">
        <v>34479</v>
      </c>
    </row>
    <row r="30366" spans="9:10" x14ac:dyDescent="0.3">
      <c r="I30366" t="s">
        <v>34480</v>
      </c>
    </row>
    <row r="30367" spans="9:10" x14ac:dyDescent="0.3">
      <c r="I30367" t="s">
        <v>34481</v>
      </c>
    </row>
    <row r="30368" spans="9:10" x14ac:dyDescent="0.3">
      <c r="I30368" t="s">
        <v>34482</v>
      </c>
    </row>
    <row r="30369" spans="9:9" x14ac:dyDescent="0.3">
      <c r="I30369" t="s">
        <v>34483</v>
      </c>
    </row>
    <row r="30370" spans="9:9" x14ac:dyDescent="0.3">
      <c r="I30370" t="s">
        <v>34484</v>
      </c>
    </row>
    <row r="30371" spans="9:9" x14ac:dyDescent="0.3">
      <c r="I30371" t="s">
        <v>34485</v>
      </c>
    </row>
    <row r="30372" spans="9:9" x14ac:dyDescent="0.3">
      <c r="I30372" t="s">
        <v>34486</v>
      </c>
    </row>
    <row r="30373" spans="9:9" x14ac:dyDescent="0.3">
      <c r="I30373" t="s">
        <v>34487</v>
      </c>
    </row>
    <row r="30374" spans="9:9" x14ac:dyDescent="0.3">
      <c r="I30374" t="s">
        <v>34488</v>
      </c>
    </row>
    <row r="30375" spans="9:9" x14ac:dyDescent="0.3">
      <c r="I30375" t="s">
        <v>34489</v>
      </c>
    </row>
    <row r="30376" spans="9:9" x14ac:dyDescent="0.3">
      <c r="I30376" t="s">
        <v>34490</v>
      </c>
    </row>
    <row r="30377" spans="9:9" x14ac:dyDescent="0.3">
      <c r="I30377" t="s">
        <v>34491</v>
      </c>
    </row>
    <row r="30378" spans="9:9" x14ac:dyDescent="0.3">
      <c r="I30378" t="s">
        <v>34492</v>
      </c>
    </row>
    <row r="30379" spans="9:9" x14ac:dyDescent="0.3">
      <c r="I30379" t="s">
        <v>34493</v>
      </c>
    </row>
    <row r="30380" spans="9:9" x14ac:dyDescent="0.3">
      <c r="I30380" t="s">
        <v>34494</v>
      </c>
    </row>
    <row r="30381" spans="9:9" x14ac:dyDescent="0.3">
      <c r="I30381" t="s">
        <v>34495</v>
      </c>
    </row>
    <row r="30382" spans="9:9" x14ac:dyDescent="0.3">
      <c r="I30382" t="s">
        <v>34496</v>
      </c>
    </row>
    <row r="30383" spans="9:9" x14ac:dyDescent="0.3">
      <c r="I30383" t="s">
        <v>34497</v>
      </c>
    </row>
    <row r="30384" spans="9:9" x14ac:dyDescent="0.3">
      <c r="I30384" t="s">
        <v>34498</v>
      </c>
    </row>
    <row r="30385" spans="9:10" x14ac:dyDescent="0.3">
      <c r="I30385" t="s">
        <v>34499</v>
      </c>
    </row>
    <row r="30386" spans="9:10" x14ac:dyDescent="0.3">
      <c r="I30386" t="s">
        <v>34500</v>
      </c>
    </row>
    <row r="30387" spans="9:10" x14ac:dyDescent="0.3">
      <c r="I30387" t="s">
        <v>34501</v>
      </c>
    </row>
    <row r="30388" spans="9:10" x14ac:dyDescent="0.3">
      <c r="I30388" t="s">
        <v>34502</v>
      </c>
    </row>
    <row r="30389" spans="9:10" x14ac:dyDescent="0.3">
      <c r="I30389" t="s">
        <v>34503</v>
      </c>
    </row>
    <row r="30390" spans="9:10" x14ac:dyDescent="0.3">
      <c r="I30390" t="s">
        <v>34504</v>
      </c>
    </row>
    <row r="30391" spans="9:10" x14ac:dyDescent="0.3">
      <c r="I30391" t="s">
        <v>34505</v>
      </c>
    </row>
    <row r="30392" spans="9:10" x14ac:dyDescent="0.3">
      <c r="I30392" t="s">
        <v>34506</v>
      </c>
    </row>
    <row r="30393" spans="9:10" x14ac:dyDescent="0.3">
      <c r="I30393" t="s">
        <v>34507</v>
      </c>
    </row>
    <row r="30394" spans="9:10" x14ac:dyDescent="0.3">
      <c r="I30394" t="s">
        <v>34508</v>
      </c>
    </row>
    <row r="30395" spans="9:10" x14ac:dyDescent="0.3">
      <c r="I30395" t="s">
        <v>34509</v>
      </c>
    </row>
    <row r="30396" spans="9:10" x14ac:dyDescent="0.3">
      <c r="I30396" t="s">
        <v>34510</v>
      </c>
    </row>
    <row r="30397" spans="9:10" x14ac:dyDescent="0.3">
      <c r="I30397" t="s">
        <v>34511</v>
      </c>
      <c r="J30397" t="s">
        <v>9515</v>
      </c>
    </row>
    <row r="30398" spans="9:10" x14ac:dyDescent="0.3">
      <c r="I30398" t="s">
        <v>34512</v>
      </c>
      <c r="J30398" t="s">
        <v>9516</v>
      </c>
    </row>
    <row r="30399" spans="9:10" x14ac:dyDescent="0.3">
      <c r="I30399" t="s">
        <v>34513</v>
      </c>
    </row>
    <row r="30400" spans="9:10" x14ac:dyDescent="0.3">
      <c r="I30400" t="s">
        <v>34514</v>
      </c>
    </row>
    <row r="30401" spans="9:10" x14ac:dyDescent="0.3">
      <c r="I30401" t="s">
        <v>34515</v>
      </c>
    </row>
    <row r="30402" spans="9:10" x14ac:dyDescent="0.3">
      <c r="I30402" t="s">
        <v>34516</v>
      </c>
    </row>
    <row r="30403" spans="9:10" x14ac:dyDescent="0.3">
      <c r="I30403" t="s">
        <v>34517</v>
      </c>
      <c r="J30403" t="s">
        <v>9517</v>
      </c>
    </row>
    <row r="30404" spans="9:10" x14ac:dyDescent="0.3">
      <c r="I30404" t="s">
        <v>34518</v>
      </c>
    </row>
    <row r="30405" spans="9:10" x14ac:dyDescent="0.3">
      <c r="I30405" t="s">
        <v>34519</v>
      </c>
    </row>
    <row r="30406" spans="9:10" x14ac:dyDescent="0.3">
      <c r="I30406" t="s">
        <v>34520</v>
      </c>
    </row>
    <row r="30407" spans="9:10" x14ac:dyDescent="0.3">
      <c r="I30407" t="s">
        <v>34521</v>
      </c>
    </row>
    <row r="30408" spans="9:10" x14ac:dyDescent="0.3">
      <c r="I30408" t="s">
        <v>34522</v>
      </c>
    </row>
    <row r="30409" spans="9:10" x14ac:dyDescent="0.3">
      <c r="I30409" t="s">
        <v>34523</v>
      </c>
    </row>
    <row r="30410" spans="9:10" x14ac:dyDescent="0.3">
      <c r="I30410" t="s">
        <v>34524</v>
      </c>
    </row>
    <row r="30411" spans="9:10" x14ac:dyDescent="0.3">
      <c r="I30411" t="s">
        <v>34525</v>
      </c>
    </row>
    <row r="30412" spans="9:10" x14ac:dyDescent="0.3">
      <c r="I30412" t="s">
        <v>34526</v>
      </c>
    </row>
    <row r="30413" spans="9:10" x14ac:dyDescent="0.3">
      <c r="I30413" t="s">
        <v>34527</v>
      </c>
    </row>
    <row r="30414" spans="9:10" x14ac:dyDescent="0.3">
      <c r="I30414" t="s">
        <v>34528</v>
      </c>
    </row>
    <row r="30415" spans="9:10" x14ac:dyDescent="0.3">
      <c r="I30415" t="s">
        <v>34529</v>
      </c>
    </row>
    <row r="30416" spans="9:10" x14ac:dyDescent="0.3">
      <c r="I30416" t="s">
        <v>34530</v>
      </c>
    </row>
    <row r="30417" spans="9:10" x14ac:dyDescent="0.3">
      <c r="I30417" t="s">
        <v>34531</v>
      </c>
    </row>
    <row r="30418" spans="9:10" x14ac:dyDescent="0.3">
      <c r="I30418" t="s">
        <v>34532</v>
      </c>
    </row>
    <row r="30419" spans="9:10" x14ac:dyDescent="0.3">
      <c r="I30419" t="s">
        <v>34533</v>
      </c>
    </row>
    <row r="30420" spans="9:10" x14ac:dyDescent="0.3">
      <c r="I30420" t="s">
        <v>34534</v>
      </c>
    </row>
    <row r="30421" spans="9:10" x14ac:dyDescent="0.3">
      <c r="I30421" t="s">
        <v>34535</v>
      </c>
    </row>
    <row r="30422" spans="9:10" x14ac:dyDescent="0.3">
      <c r="I30422" t="s">
        <v>34536</v>
      </c>
    </row>
    <row r="30423" spans="9:10" x14ac:dyDescent="0.3">
      <c r="I30423" t="s">
        <v>34537</v>
      </c>
    </row>
    <row r="30424" spans="9:10" x14ac:dyDescent="0.3">
      <c r="I30424" t="s">
        <v>34538</v>
      </c>
    </row>
    <row r="30425" spans="9:10" x14ac:dyDescent="0.3">
      <c r="I30425" t="s">
        <v>34539</v>
      </c>
    </row>
    <row r="30426" spans="9:10" x14ac:dyDescent="0.3">
      <c r="I30426" t="s">
        <v>34540</v>
      </c>
      <c r="J30426" t="s">
        <v>9518</v>
      </c>
    </row>
    <row r="30427" spans="9:10" x14ac:dyDescent="0.3">
      <c r="I30427" t="s">
        <v>34541</v>
      </c>
      <c r="J30427" t="s">
        <v>9519</v>
      </c>
    </row>
    <row r="30428" spans="9:10" x14ac:dyDescent="0.3">
      <c r="I30428" t="s">
        <v>34542</v>
      </c>
      <c r="J30428" t="s">
        <v>9520</v>
      </c>
    </row>
    <row r="30429" spans="9:10" x14ac:dyDescent="0.3">
      <c r="I30429" t="s">
        <v>34543</v>
      </c>
    </row>
    <row r="30430" spans="9:10" x14ac:dyDescent="0.3">
      <c r="I30430" t="s">
        <v>34544</v>
      </c>
    </row>
    <row r="30431" spans="9:10" x14ac:dyDescent="0.3">
      <c r="I30431" t="s">
        <v>34545</v>
      </c>
    </row>
    <row r="30432" spans="9:10" x14ac:dyDescent="0.3">
      <c r="I30432" t="s">
        <v>34546</v>
      </c>
    </row>
    <row r="30433" spans="9:10" x14ac:dyDescent="0.3">
      <c r="I30433" t="s">
        <v>34547</v>
      </c>
    </row>
    <row r="30434" spans="9:10" x14ac:dyDescent="0.3">
      <c r="I30434" t="s">
        <v>34548</v>
      </c>
    </row>
    <row r="30435" spans="9:10" x14ac:dyDescent="0.3">
      <c r="I30435" t="s">
        <v>34549</v>
      </c>
      <c r="J30435" t="s">
        <v>821</v>
      </c>
    </row>
    <row r="30436" spans="9:10" x14ac:dyDescent="0.3">
      <c r="I30436" t="s">
        <v>34550</v>
      </c>
      <c r="J30436" t="s">
        <v>822</v>
      </c>
    </row>
    <row r="30437" spans="9:10" x14ac:dyDescent="0.3">
      <c r="I30437" t="s">
        <v>34551</v>
      </c>
      <c r="J30437" t="s">
        <v>9521</v>
      </c>
    </row>
    <row r="30438" spans="9:10" x14ac:dyDescent="0.3">
      <c r="I30438" t="s">
        <v>34552</v>
      </c>
    </row>
    <row r="30439" spans="9:10" x14ac:dyDescent="0.3">
      <c r="I30439" t="s">
        <v>34553</v>
      </c>
      <c r="J30439" t="s">
        <v>9522</v>
      </c>
    </row>
    <row r="30440" spans="9:10" x14ac:dyDescent="0.3">
      <c r="I30440" t="s">
        <v>34554</v>
      </c>
    </row>
    <row r="30441" spans="9:10" x14ac:dyDescent="0.3">
      <c r="I30441" t="s">
        <v>34555</v>
      </c>
    </row>
    <row r="30442" spans="9:10" x14ac:dyDescent="0.3">
      <c r="I30442" t="s">
        <v>34556</v>
      </c>
    </row>
    <row r="30443" spans="9:10" x14ac:dyDescent="0.3">
      <c r="I30443" t="s">
        <v>34557</v>
      </c>
    </row>
    <row r="30444" spans="9:10" x14ac:dyDescent="0.3">
      <c r="I30444" t="s">
        <v>34558</v>
      </c>
    </row>
    <row r="30445" spans="9:10" x14ac:dyDescent="0.3">
      <c r="I30445" t="s">
        <v>34559</v>
      </c>
    </row>
    <row r="30446" spans="9:10" x14ac:dyDescent="0.3">
      <c r="I30446" t="s">
        <v>34560</v>
      </c>
    </row>
    <row r="30447" spans="9:10" x14ac:dyDescent="0.3">
      <c r="I30447" t="s">
        <v>34561</v>
      </c>
    </row>
    <row r="30448" spans="9:10" x14ac:dyDescent="0.3">
      <c r="I30448" t="s">
        <v>34562</v>
      </c>
    </row>
    <row r="30449" spans="9:10" x14ac:dyDescent="0.3">
      <c r="I30449" t="s">
        <v>34563</v>
      </c>
    </row>
    <row r="30450" spans="9:10" x14ac:dyDescent="0.3">
      <c r="I30450" t="s">
        <v>34564</v>
      </c>
    </row>
    <row r="30451" spans="9:10" x14ac:dyDescent="0.3">
      <c r="I30451" t="s">
        <v>34565</v>
      </c>
      <c r="J30451" t="s">
        <v>9523</v>
      </c>
    </row>
    <row r="30452" spans="9:10" x14ac:dyDescent="0.3">
      <c r="I30452" t="s">
        <v>34566</v>
      </c>
      <c r="J30452" t="s">
        <v>9523</v>
      </c>
    </row>
    <row r="30453" spans="9:10" x14ac:dyDescent="0.3">
      <c r="I30453" t="s">
        <v>34567</v>
      </c>
      <c r="J30453" t="s">
        <v>9523</v>
      </c>
    </row>
    <row r="30454" spans="9:10" x14ac:dyDescent="0.3">
      <c r="I30454" t="s">
        <v>34568</v>
      </c>
      <c r="J30454" t="s">
        <v>9524</v>
      </c>
    </row>
    <row r="30455" spans="9:10" x14ac:dyDescent="0.3">
      <c r="I30455" t="s">
        <v>34569</v>
      </c>
      <c r="J30455" t="s">
        <v>9525</v>
      </c>
    </row>
    <row r="30456" spans="9:10" x14ac:dyDescent="0.3">
      <c r="I30456" t="s">
        <v>34570</v>
      </c>
    </row>
    <row r="30457" spans="9:10" x14ac:dyDescent="0.3">
      <c r="I30457" t="s">
        <v>34571</v>
      </c>
    </row>
    <row r="30458" spans="9:10" x14ac:dyDescent="0.3">
      <c r="I30458" t="s">
        <v>34572</v>
      </c>
    </row>
    <row r="30459" spans="9:10" x14ac:dyDescent="0.3">
      <c r="I30459" t="s">
        <v>34573</v>
      </c>
    </row>
    <row r="30460" spans="9:10" x14ac:dyDescent="0.3">
      <c r="I30460" t="s">
        <v>34574</v>
      </c>
    </row>
    <row r="30461" spans="9:10" x14ac:dyDescent="0.3">
      <c r="I30461" t="s">
        <v>34575</v>
      </c>
    </row>
    <row r="30462" spans="9:10" x14ac:dyDescent="0.3">
      <c r="I30462" t="s">
        <v>34576</v>
      </c>
    </row>
    <row r="30463" spans="9:10" x14ac:dyDescent="0.3">
      <c r="I30463" t="s">
        <v>34577</v>
      </c>
    </row>
    <row r="30464" spans="9:10" x14ac:dyDescent="0.3">
      <c r="I30464" t="s">
        <v>34578</v>
      </c>
    </row>
    <row r="30465" spans="9:9" x14ac:dyDescent="0.3">
      <c r="I30465" t="s">
        <v>34579</v>
      </c>
    </row>
    <row r="30466" spans="9:9" x14ac:dyDescent="0.3">
      <c r="I30466" t="s">
        <v>34580</v>
      </c>
    </row>
    <row r="30467" spans="9:9" x14ac:dyDescent="0.3">
      <c r="I30467" t="s">
        <v>34581</v>
      </c>
    </row>
    <row r="30468" spans="9:9" x14ac:dyDescent="0.3">
      <c r="I30468" t="s">
        <v>34582</v>
      </c>
    </row>
    <row r="30469" spans="9:9" x14ac:dyDescent="0.3">
      <c r="I30469" t="s">
        <v>34583</v>
      </c>
    </row>
    <row r="30470" spans="9:9" x14ac:dyDescent="0.3">
      <c r="I30470" t="s">
        <v>34584</v>
      </c>
    </row>
    <row r="30471" spans="9:9" x14ac:dyDescent="0.3">
      <c r="I30471" t="s">
        <v>34585</v>
      </c>
    </row>
    <row r="30472" spans="9:9" x14ac:dyDescent="0.3">
      <c r="I30472" t="s">
        <v>34586</v>
      </c>
    </row>
    <row r="30473" spans="9:9" x14ac:dyDescent="0.3">
      <c r="I30473" t="s">
        <v>34587</v>
      </c>
    </row>
    <row r="30474" spans="9:9" x14ac:dyDescent="0.3">
      <c r="I30474" t="s">
        <v>34588</v>
      </c>
    </row>
    <row r="30475" spans="9:9" x14ac:dyDescent="0.3">
      <c r="I30475" t="s">
        <v>34589</v>
      </c>
    </row>
    <row r="30476" spans="9:9" x14ac:dyDescent="0.3">
      <c r="I30476" t="s">
        <v>34590</v>
      </c>
    </row>
    <row r="30477" spans="9:9" x14ac:dyDescent="0.3">
      <c r="I30477" t="s">
        <v>34591</v>
      </c>
    </row>
    <row r="30478" spans="9:9" x14ac:dyDescent="0.3">
      <c r="I30478" t="s">
        <v>34592</v>
      </c>
    </row>
    <row r="30479" spans="9:9" x14ac:dyDescent="0.3">
      <c r="I30479" t="s">
        <v>34593</v>
      </c>
    </row>
    <row r="30480" spans="9:9" x14ac:dyDescent="0.3">
      <c r="I30480" t="s">
        <v>34594</v>
      </c>
    </row>
    <row r="30481" spans="9:10" x14ac:dyDescent="0.3">
      <c r="I30481" t="s">
        <v>34595</v>
      </c>
    </row>
    <row r="30482" spans="9:10" x14ac:dyDescent="0.3">
      <c r="I30482" t="s">
        <v>34596</v>
      </c>
    </row>
    <row r="30483" spans="9:10" x14ac:dyDescent="0.3">
      <c r="I30483" t="s">
        <v>34597</v>
      </c>
    </row>
    <row r="30484" spans="9:10" x14ac:dyDescent="0.3">
      <c r="I30484" t="s">
        <v>34598</v>
      </c>
    </row>
    <row r="30485" spans="9:10" x14ac:dyDescent="0.3">
      <c r="I30485" t="s">
        <v>34599</v>
      </c>
    </row>
    <row r="30486" spans="9:10" x14ac:dyDescent="0.3">
      <c r="I30486" t="s">
        <v>34600</v>
      </c>
    </row>
    <row r="30487" spans="9:10" x14ac:dyDescent="0.3">
      <c r="I30487" t="s">
        <v>34601</v>
      </c>
    </row>
    <row r="30488" spans="9:10" x14ac:dyDescent="0.3">
      <c r="I30488" t="s">
        <v>34602</v>
      </c>
    </row>
    <row r="30489" spans="9:10" x14ac:dyDescent="0.3">
      <c r="I30489" t="s">
        <v>34603</v>
      </c>
      <c r="J30489" t="s">
        <v>9526</v>
      </c>
    </row>
    <row r="30490" spans="9:10" x14ac:dyDescent="0.3">
      <c r="I30490" t="s">
        <v>34603</v>
      </c>
      <c r="J30490" t="s">
        <v>9526</v>
      </c>
    </row>
    <row r="30491" spans="9:10" x14ac:dyDescent="0.3">
      <c r="I30491" t="s">
        <v>34604</v>
      </c>
    </row>
    <row r="30492" spans="9:10" x14ac:dyDescent="0.3">
      <c r="I30492" t="s">
        <v>34605</v>
      </c>
    </row>
    <row r="30493" spans="9:10" x14ac:dyDescent="0.3">
      <c r="I30493" t="s">
        <v>34606</v>
      </c>
    </row>
    <row r="30494" spans="9:10" x14ac:dyDescent="0.3">
      <c r="I30494" t="s">
        <v>34607</v>
      </c>
    </row>
    <row r="30495" spans="9:10" x14ac:dyDescent="0.3">
      <c r="I30495" t="s">
        <v>34608</v>
      </c>
      <c r="J30495" t="s">
        <v>9527</v>
      </c>
    </row>
    <row r="30496" spans="9:10" x14ac:dyDescent="0.3">
      <c r="I30496" t="s">
        <v>34608</v>
      </c>
      <c r="J30496" t="s">
        <v>9527</v>
      </c>
    </row>
    <row r="30497" spans="9:10" x14ac:dyDescent="0.3">
      <c r="I30497" t="s">
        <v>34609</v>
      </c>
    </row>
    <row r="30498" spans="9:10" x14ac:dyDescent="0.3">
      <c r="I30498" t="s">
        <v>34610</v>
      </c>
    </row>
    <row r="30499" spans="9:10" x14ac:dyDescent="0.3">
      <c r="I30499" t="s">
        <v>34611</v>
      </c>
    </row>
    <row r="30500" spans="9:10" x14ac:dyDescent="0.3">
      <c r="I30500" t="s">
        <v>34612</v>
      </c>
    </row>
    <row r="30501" spans="9:10" x14ac:dyDescent="0.3">
      <c r="I30501" t="s">
        <v>34613</v>
      </c>
    </row>
    <row r="30502" spans="9:10" x14ac:dyDescent="0.3">
      <c r="I30502" t="s">
        <v>34614</v>
      </c>
    </row>
    <row r="30503" spans="9:10" x14ac:dyDescent="0.3">
      <c r="I30503" t="s">
        <v>34615</v>
      </c>
    </row>
    <row r="30504" spans="9:10" x14ac:dyDescent="0.3">
      <c r="I30504" t="s">
        <v>34616</v>
      </c>
    </row>
    <row r="30505" spans="9:10" x14ac:dyDescent="0.3">
      <c r="I30505" t="s">
        <v>34617</v>
      </c>
    </row>
    <row r="30506" spans="9:10" x14ac:dyDescent="0.3">
      <c r="I30506" t="s">
        <v>34618</v>
      </c>
    </row>
    <row r="30507" spans="9:10" x14ac:dyDescent="0.3">
      <c r="I30507" t="s">
        <v>34619</v>
      </c>
    </row>
    <row r="30508" spans="9:10" x14ac:dyDescent="0.3">
      <c r="I30508" t="s">
        <v>34620</v>
      </c>
    </row>
    <row r="30509" spans="9:10" x14ac:dyDescent="0.3">
      <c r="I30509" t="s">
        <v>34621</v>
      </c>
    </row>
    <row r="30510" spans="9:10" x14ac:dyDescent="0.3">
      <c r="I30510" t="s">
        <v>34622</v>
      </c>
    </row>
    <row r="30511" spans="9:10" x14ac:dyDescent="0.3">
      <c r="I30511" t="s">
        <v>34623</v>
      </c>
    </row>
    <row r="30512" spans="9:10" x14ac:dyDescent="0.3">
      <c r="I30512" t="s">
        <v>18429</v>
      </c>
      <c r="J30512" t="s">
        <v>4697</v>
      </c>
    </row>
    <row r="30513" spans="9:10" x14ac:dyDescent="0.3">
      <c r="I30513" t="s">
        <v>18429</v>
      </c>
      <c r="J30513" t="s">
        <v>4697</v>
      </c>
    </row>
    <row r="30514" spans="9:10" x14ac:dyDescent="0.3">
      <c r="I30514" t="s">
        <v>34624</v>
      </c>
    </row>
    <row r="30515" spans="9:10" x14ac:dyDescent="0.3">
      <c r="I30515" t="s">
        <v>34625</v>
      </c>
    </row>
    <row r="30516" spans="9:10" x14ac:dyDescent="0.3">
      <c r="I30516" t="s">
        <v>34626</v>
      </c>
    </row>
    <row r="30517" spans="9:10" x14ac:dyDescent="0.3">
      <c r="I30517" t="s">
        <v>34627</v>
      </c>
    </row>
    <row r="30518" spans="9:10" x14ac:dyDescent="0.3">
      <c r="I30518" t="s">
        <v>34628</v>
      </c>
    </row>
    <row r="30519" spans="9:10" x14ac:dyDescent="0.3">
      <c r="I30519" t="s">
        <v>34629</v>
      </c>
    </row>
    <row r="30520" spans="9:10" x14ac:dyDescent="0.3">
      <c r="I30520" t="s">
        <v>34630</v>
      </c>
    </row>
    <row r="30521" spans="9:10" x14ac:dyDescent="0.3">
      <c r="I30521" t="s">
        <v>849</v>
      </c>
      <c r="J30521" t="s">
        <v>850</v>
      </c>
    </row>
    <row r="30522" spans="9:10" x14ac:dyDescent="0.3">
      <c r="I30522" t="s">
        <v>34631</v>
      </c>
      <c r="J30522" t="s">
        <v>9528</v>
      </c>
    </row>
    <row r="30523" spans="9:10" x14ac:dyDescent="0.3">
      <c r="I30523" t="s">
        <v>34632</v>
      </c>
      <c r="J30523" t="s">
        <v>9528</v>
      </c>
    </row>
    <row r="30524" spans="9:10" x14ac:dyDescent="0.3">
      <c r="I30524" t="s">
        <v>34633</v>
      </c>
      <c r="J30524" t="s">
        <v>9528</v>
      </c>
    </row>
    <row r="30525" spans="9:10" x14ac:dyDescent="0.3">
      <c r="I30525" t="s">
        <v>34632</v>
      </c>
      <c r="J30525" t="s">
        <v>9528</v>
      </c>
    </row>
    <row r="30526" spans="9:10" x14ac:dyDescent="0.3">
      <c r="I30526" t="s">
        <v>34632</v>
      </c>
      <c r="J30526" t="s">
        <v>9528</v>
      </c>
    </row>
    <row r="30527" spans="9:10" x14ac:dyDescent="0.3">
      <c r="I30527" t="s">
        <v>34634</v>
      </c>
      <c r="J30527" t="s">
        <v>9528</v>
      </c>
    </row>
    <row r="30528" spans="9:10" x14ac:dyDescent="0.3">
      <c r="I30528" t="s">
        <v>34635</v>
      </c>
    </row>
    <row r="30529" spans="9:10" x14ac:dyDescent="0.3">
      <c r="I30529" t="s">
        <v>34636</v>
      </c>
    </row>
    <row r="30530" spans="9:10" x14ac:dyDescent="0.3">
      <c r="I30530" t="s">
        <v>34637</v>
      </c>
    </row>
    <row r="30531" spans="9:10" x14ac:dyDescent="0.3">
      <c r="I30531" t="s">
        <v>34638</v>
      </c>
    </row>
    <row r="30532" spans="9:10" x14ac:dyDescent="0.3">
      <c r="I30532" t="s">
        <v>34639</v>
      </c>
    </row>
    <row r="30533" spans="9:10" x14ac:dyDescent="0.3">
      <c r="I30533" t="s">
        <v>34640</v>
      </c>
    </row>
    <row r="30534" spans="9:10" x14ac:dyDescent="0.3">
      <c r="I30534" t="s">
        <v>34641</v>
      </c>
    </row>
    <row r="30535" spans="9:10" x14ac:dyDescent="0.3">
      <c r="I30535" t="s">
        <v>34642</v>
      </c>
    </row>
    <row r="30536" spans="9:10" x14ac:dyDescent="0.3">
      <c r="I30536" t="s">
        <v>34643</v>
      </c>
      <c r="J30536" t="s">
        <v>9529</v>
      </c>
    </row>
    <row r="30537" spans="9:10" x14ac:dyDescent="0.3">
      <c r="I30537" t="s">
        <v>34644</v>
      </c>
    </row>
    <row r="30538" spans="9:10" x14ac:dyDescent="0.3">
      <c r="I30538" t="s">
        <v>34645</v>
      </c>
    </row>
    <row r="30539" spans="9:10" x14ac:dyDescent="0.3">
      <c r="I30539" t="s">
        <v>34646</v>
      </c>
    </row>
    <row r="30540" spans="9:10" x14ac:dyDescent="0.3">
      <c r="I30540" t="s">
        <v>34647</v>
      </c>
    </row>
    <row r="30541" spans="9:10" x14ac:dyDescent="0.3">
      <c r="I30541" t="s">
        <v>34648</v>
      </c>
    </row>
    <row r="30542" spans="9:10" x14ac:dyDescent="0.3">
      <c r="I30542" t="s">
        <v>34649</v>
      </c>
    </row>
    <row r="30543" spans="9:10" x14ac:dyDescent="0.3">
      <c r="I30543" t="s">
        <v>34650</v>
      </c>
    </row>
    <row r="30544" spans="9:10" x14ac:dyDescent="0.3">
      <c r="I30544" t="s">
        <v>34651</v>
      </c>
      <c r="J30544" t="s">
        <v>9530</v>
      </c>
    </row>
    <row r="30545" spans="9:10" x14ac:dyDescent="0.3">
      <c r="I30545" t="s">
        <v>34652</v>
      </c>
      <c r="J30545" t="s">
        <v>9530</v>
      </c>
    </row>
    <row r="30546" spans="9:10" x14ac:dyDescent="0.3">
      <c r="I30546" t="s">
        <v>34653</v>
      </c>
    </row>
    <row r="30547" spans="9:10" x14ac:dyDescent="0.3">
      <c r="I30547" t="s">
        <v>34654</v>
      </c>
    </row>
    <row r="30548" spans="9:10" x14ac:dyDescent="0.3">
      <c r="I30548" t="s">
        <v>34655</v>
      </c>
    </row>
    <row r="30549" spans="9:10" x14ac:dyDescent="0.3">
      <c r="I30549" t="s">
        <v>34656</v>
      </c>
    </row>
    <row r="30550" spans="9:10" x14ac:dyDescent="0.3">
      <c r="I30550" t="s">
        <v>34657</v>
      </c>
    </row>
    <row r="30551" spans="9:10" x14ac:dyDescent="0.3">
      <c r="I30551" t="s">
        <v>34658</v>
      </c>
    </row>
    <row r="30552" spans="9:10" x14ac:dyDescent="0.3">
      <c r="I30552" t="s">
        <v>34659</v>
      </c>
      <c r="J30552" t="s">
        <v>9531</v>
      </c>
    </row>
    <row r="30553" spans="9:10" x14ac:dyDescent="0.3">
      <c r="I30553" t="s">
        <v>34660</v>
      </c>
    </row>
    <row r="30554" spans="9:10" x14ac:dyDescent="0.3">
      <c r="I30554" t="s">
        <v>34661</v>
      </c>
    </row>
    <row r="30555" spans="9:10" x14ac:dyDescent="0.3">
      <c r="I30555" t="s">
        <v>34662</v>
      </c>
    </row>
    <row r="30556" spans="9:10" x14ac:dyDescent="0.3">
      <c r="I30556" t="s">
        <v>34663</v>
      </c>
    </row>
    <row r="30557" spans="9:10" x14ac:dyDescent="0.3">
      <c r="I30557" t="s">
        <v>34664</v>
      </c>
    </row>
    <row r="30558" spans="9:10" x14ac:dyDescent="0.3">
      <c r="I30558" t="s">
        <v>34665</v>
      </c>
    </row>
    <row r="30559" spans="9:10" x14ac:dyDescent="0.3">
      <c r="I30559" t="s">
        <v>34666</v>
      </c>
      <c r="J30559" t="s">
        <v>9532</v>
      </c>
    </row>
    <row r="30560" spans="9:10" x14ac:dyDescent="0.3">
      <c r="I30560" t="s">
        <v>34667</v>
      </c>
      <c r="J30560" t="s">
        <v>9533</v>
      </c>
    </row>
    <row r="30561" spans="9:10" x14ac:dyDescent="0.3">
      <c r="I30561" t="s">
        <v>34668</v>
      </c>
      <c r="J30561" t="s">
        <v>864</v>
      </c>
    </row>
    <row r="30562" spans="9:10" x14ac:dyDescent="0.3">
      <c r="I30562" t="s">
        <v>34669</v>
      </c>
    </row>
    <row r="30563" spans="9:10" x14ac:dyDescent="0.3">
      <c r="I30563" t="s">
        <v>34670</v>
      </c>
    </row>
    <row r="30564" spans="9:10" x14ac:dyDescent="0.3">
      <c r="I30564" t="s">
        <v>34671</v>
      </c>
    </row>
    <row r="30565" spans="9:10" x14ac:dyDescent="0.3">
      <c r="I30565" t="s">
        <v>34672</v>
      </c>
    </row>
    <row r="30566" spans="9:10" x14ac:dyDescent="0.3">
      <c r="I30566" t="s">
        <v>34673</v>
      </c>
    </row>
    <row r="30567" spans="9:10" x14ac:dyDescent="0.3">
      <c r="I30567" t="s">
        <v>34674</v>
      </c>
    </row>
    <row r="30568" spans="9:10" x14ac:dyDescent="0.3">
      <c r="I30568" t="s">
        <v>34675</v>
      </c>
    </row>
    <row r="30569" spans="9:10" x14ac:dyDescent="0.3">
      <c r="I30569" t="s">
        <v>34676</v>
      </c>
    </row>
    <row r="30570" spans="9:10" x14ac:dyDescent="0.3">
      <c r="I30570" t="s">
        <v>34677</v>
      </c>
    </row>
    <row r="30571" spans="9:10" x14ac:dyDescent="0.3">
      <c r="I30571" t="s">
        <v>34678</v>
      </c>
    </row>
    <row r="30572" spans="9:10" x14ac:dyDescent="0.3">
      <c r="I30572" t="s">
        <v>34679</v>
      </c>
    </row>
    <row r="30573" spans="9:10" x14ac:dyDescent="0.3">
      <c r="I30573" t="s">
        <v>34680</v>
      </c>
    </row>
    <row r="30574" spans="9:10" x14ac:dyDescent="0.3">
      <c r="I30574" t="s">
        <v>34681</v>
      </c>
    </row>
    <row r="30575" spans="9:10" x14ac:dyDescent="0.3">
      <c r="I30575" t="s">
        <v>34682</v>
      </c>
    </row>
    <row r="30576" spans="9:10" x14ac:dyDescent="0.3">
      <c r="I30576" t="s">
        <v>34683</v>
      </c>
    </row>
    <row r="30577" spans="9:10" x14ac:dyDescent="0.3">
      <c r="I30577" t="s">
        <v>34684</v>
      </c>
      <c r="J30577" t="s">
        <v>9534</v>
      </c>
    </row>
    <row r="30578" spans="9:10" x14ac:dyDescent="0.3">
      <c r="I30578" t="s">
        <v>34684</v>
      </c>
      <c r="J30578" t="s">
        <v>9534</v>
      </c>
    </row>
    <row r="30579" spans="9:10" x14ac:dyDescent="0.3">
      <c r="I30579" t="s">
        <v>34685</v>
      </c>
      <c r="J30579" t="s">
        <v>9535</v>
      </c>
    </row>
    <row r="30580" spans="9:10" x14ac:dyDescent="0.3">
      <c r="I30580" t="s">
        <v>34685</v>
      </c>
      <c r="J30580" t="s">
        <v>9535</v>
      </c>
    </row>
    <row r="30581" spans="9:10" x14ac:dyDescent="0.3">
      <c r="I30581" t="s">
        <v>34686</v>
      </c>
    </row>
    <row r="30582" spans="9:10" x14ac:dyDescent="0.3">
      <c r="I30582" t="s">
        <v>34687</v>
      </c>
    </row>
    <row r="30583" spans="9:10" x14ac:dyDescent="0.3">
      <c r="I30583" t="s">
        <v>34688</v>
      </c>
    </row>
    <row r="30584" spans="9:10" x14ac:dyDescent="0.3">
      <c r="I30584" t="s">
        <v>34689</v>
      </c>
    </row>
    <row r="30585" spans="9:10" x14ac:dyDescent="0.3">
      <c r="I30585" t="s">
        <v>34690</v>
      </c>
    </row>
    <row r="30586" spans="9:10" x14ac:dyDescent="0.3">
      <c r="I30586" t="s">
        <v>34691</v>
      </c>
    </row>
    <row r="30587" spans="9:10" x14ac:dyDescent="0.3">
      <c r="I30587" t="s">
        <v>34692</v>
      </c>
    </row>
    <row r="30588" spans="9:10" x14ac:dyDescent="0.3">
      <c r="I30588" t="s">
        <v>34693</v>
      </c>
    </row>
    <row r="30589" spans="9:10" x14ac:dyDescent="0.3">
      <c r="I30589" t="s">
        <v>34694</v>
      </c>
    </row>
    <row r="30590" spans="9:10" x14ac:dyDescent="0.3">
      <c r="I30590" t="s">
        <v>34695</v>
      </c>
    </row>
    <row r="30591" spans="9:10" x14ac:dyDescent="0.3">
      <c r="I30591" t="s">
        <v>34696</v>
      </c>
      <c r="J30591" t="s">
        <v>9536</v>
      </c>
    </row>
    <row r="30592" spans="9:10" x14ac:dyDescent="0.3">
      <c r="I30592" t="s">
        <v>34697</v>
      </c>
      <c r="J30592" t="s">
        <v>9537</v>
      </c>
    </row>
    <row r="30593" spans="9:10" x14ac:dyDescent="0.3">
      <c r="I30593" t="s">
        <v>34698</v>
      </c>
    </row>
    <row r="30594" spans="9:10" x14ac:dyDescent="0.3">
      <c r="I30594" t="s">
        <v>13218</v>
      </c>
      <c r="J30594" t="s">
        <v>2447</v>
      </c>
    </row>
    <row r="30595" spans="9:10" x14ac:dyDescent="0.3">
      <c r="I30595" t="s">
        <v>13218</v>
      </c>
      <c r="J30595" t="s">
        <v>2447</v>
      </c>
    </row>
    <row r="30596" spans="9:10" x14ac:dyDescent="0.3">
      <c r="I30596" t="s">
        <v>34699</v>
      </c>
    </row>
    <row r="30597" spans="9:10" x14ac:dyDescent="0.3">
      <c r="I30597" t="s">
        <v>34700</v>
      </c>
    </row>
    <row r="30598" spans="9:10" x14ac:dyDescent="0.3">
      <c r="I30598" t="s">
        <v>34701</v>
      </c>
    </row>
    <row r="30599" spans="9:10" x14ac:dyDescent="0.3">
      <c r="I30599" t="s">
        <v>34701</v>
      </c>
    </row>
    <row r="30600" spans="9:10" x14ac:dyDescent="0.3">
      <c r="I30600" t="s">
        <v>34702</v>
      </c>
    </row>
    <row r="30601" spans="9:10" x14ac:dyDescent="0.3">
      <c r="I30601" t="s">
        <v>34703</v>
      </c>
    </row>
    <row r="30602" spans="9:10" x14ac:dyDescent="0.3">
      <c r="I30602" t="s">
        <v>34704</v>
      </c>
    </row>
    <row r="30603" spans="9:10" x14ac:dyDescent="0.3">
      <c r="I30603" t="s">
        <v>34705</v>
      </c>
      <c r="J30603" t="s">
        <v>9538</v>
      </c>
    </row>
    <row r="30604" spans="9:10" x14ac:dyDescent="0.3">
      <c r="I30604" t="s">
        <v>34706</v>
      </c>
    </row>
    <row r="30605" spans="9:10" x14ac:dyDescent="0.3">
      <c r="I30605" t="s">
        <v>34707</v>
      </c>
    </row>
    <row r="30606" spans="9:10" x14ac:dyDescent="0.3">
      <c r="I30606" t="s">
        <v>34708</v>
      </c>
    </row>
    <row r="30607" spans="9:10" x14ac:dyDescent="0.3">
      <c r="I30607" t="s">
        <v>834</v>
      </c>
      <c r="J30607" t="s">
        <v>835</v>
      </c>
    </row>
    <row r="30608" spans="9:10" x14ac:dyDescent="0.3">
      <c r="I30608" t="s">
        <v>880</v>
      </c>
      <c r="J30608" t="s">
        <v>881</v>
      </c>
    </row>
    <row r="30609" spans="9:10" x14ac:dyDescent="0.3">
      <c r="I30609" t="s">
        <v>869</v>
      </c>
      <c r="J30609" t="s">
        <v>870</v>
      </c>
    </row>
    <row r="30610" spans="9:10" x14ac:dyDescent="0.3">
      <c r="I30610" t="s">
        <v>34709</v>
      </c>
      <c r="J30610" t="s">
        <v>9539</v>
      </c>
    </row>
    <row r="30611" spans="9:10" x14ac:dyDescent="0.3">
      <c r="I30611" t="s">
        <v>34710</v>
      </c>
    </row>
    <row r="30612" spans="9:10" x14ac:dyDescent="0.3">
      <c r="I30612" t="s">
        <v>34711</v>
      </c>
    </row>
    <row r="30613" spans="9:10" x14ac:dyDescent="0.3">
      <c r="I30613" t="s">
        <v>34712</v>
      </c>
    </row>
    <row r="30614" spans="9:10" x14ac:dyDescent="0.3">
      <c r="I30614" t="s">
        <v>34713</v>
      </c>
    </row>
    <row r="30615" spans="9:10" x14ac:dyDescent="0.3">
      <c r="I30615" t="s">
        <v>34714</v>
      </c>
      <c r="J30615" t="s">
        <v>9540</v>
      </c>
    </row>
    <row r="30616" spans="9:10" x14ac:dyDescent="0.3">
      <c r="I30616" t="s">
        <v>34714</v>
      </c>
      <c r="J30616" t="s">
        <v>9540</v>
      </c>
    </row>
    <row r="30617" spans="9:10" x14ac:dyDescent="0.3">
      <c r="I30617" t="s">
        <v>34715</v>
      </c>
    </row>
    <row r="30618" spans="9:10" x14ac:dyDescent="0.3">
      <c r="I30618" t="s">
        <v>34716</v>
      </c>
    </row>
    <row r="30619" spans="9:10" x14ac:dyDescent="0.3">
      <c r="I30619" t="s">
        <v>34717</v>
      </c>
    </row>
    <row r="30620" spans="9:10" x14ac:dyDescent="0.3">
      <c r="I30620" t="s">
        <v>34718</v>
      </c>
    </row>
    <row r="30621" spans="9:10" x14ac:dyDescent="0.3">
      <c r="I30621" t="s">
        <v>34719</v>
      </c>
    </row>
    <row r="30622" spans="9:10" x14ac:dyDescent="0.3">
      <c r="I30622" t="s">
        <v>34720</v>
      </c>
    </row>
    <row r="30623" spans="9:10" x14ac:dyDescent="0.3">
      <c r="I30623" t="s">
        <v>34721</v>
      </c>
    </row>
    <row r="30624" spans="9:10" x14ac:dyDescent="0.3">
      <c r="I30624" t="s">
        <v>34722</v>
      </c>
      <c r="J30624" t="s">
        <v>9541</v>
      </c>
    </row>
    <row r="30625" spans="9:10" x14ac:dyDescent="0.3">
      <c r="I30625" t="s">
        <v>34723</v>
      </c>
      <c r="J30625" t="s">
        <v>9541</v>
      </c>
    </row>
    <row r="30626" spans="9:10" x14ac:dyDescent="0.3">
      <c r="I30626" t="s">
        <v>34724</v>
      </c>
    </row>
    <row r="30627" spans="9:10" x14ac:dyDescent="0.3">
      <c r="I30627" t="s">
        <v>34725</v>
      </c>
      <c r="J30627" t="s">
        <v>9542</v>
      </c>
    </row>
    <row r="30628" spans="9:10" x14ac:dyDescent="0.3">
      <c r="I30628" t="s">
        <v>34726</v>
      </c>
      <c r="J30628" t="s">
        <v>9543</v>
      </c>
    </row>
    <row r="30629" spans="9:10" x14ac:dyDescent="0.3">
      <c r="I30629" t="s">
        <v>34727</v>
      </c>
      <c r="J30629" t="s">
        <v>9544</v>
      </c>
    </row>
    <row r="30630" spans="9:10" x14ac:dyDescent="0.3">
      <c r="I30630" t="s">
        <v>29974</v>
      </c>
    </row>
    <row r="30631" spans="9:10" x14ac:dyDescent="0.3">
      <c r="I30631" t="s">
        <v>34728</v>
      </c>
    </row>
    <row r="30632" spans="9:10" x14ac:dyDescent="0.3">
      <c r="I30632" t="s">
        <v>34729</v>
      </c>
    </row>
    <row r="30633" spans="9:10" x14ac:dyDescent="0.3">
      <c r="I30633" t="s">
        <v>16900</v>
      </c>
    </row>
    <row r="30634" spans="9:10" x14ac:dyDescent="0.3">
      <c r="I30634" t="s">
        <v>16900</v>
      </c>
    </row>
    <row r="30635" spans="9:10" x14ac:dyDescent="0.3">
      <c r="I30635" t="s">
        <v>12505</v>
      </c>
    </row>
    <row r="30636" spans="9:10" x14ac:dyDescent="0.3">
      <c r="I30636" t="s">
        <v>12506</v>
      </c>
    </row>
    <row r="30637" spans="9:10" x14ac:dyDescent="0.3">
      <c r="I30637" t="s">
        <v>12506</v>
      </c>
    </row>
    <row r="30638" spans="9:10" x14ac:dyDescent="0.3">
      <c r="I30638" t="s">
        <v>34730</v>
      </c>
    </row>
    <row r="30639" spans="9:10" x14ac:dyDescent="0.3">
      <c r="I30639" t="s">
        <v>34731</v>
      </c>
    </row>
    <row r="30640" spans="9:10" x14ac:dyDescent="0.3">
      <c r="I30640" t="s">
        <v>34731</v>
      </c>
    </row>
    <row r="30641" spans="9:10" x14ac:dyDescent="0.3">
      <c r="I30641" t="s">
        <v>34731</v>
      </c>
    </row>
    <row r="30642" spans="9:10" x14ac:dyDescent="0.3">
      <c r="I30642" t="s">
        <v>34732</v>
      </c>
      <c r="J30642" t="s">
        <v>9545</v>
      </c>
    </row>
    <row r="30643" spans="9:10" x14ac:dyDescent="0.3">
      <c r="I30643" t="s">
        <v>34733</v>
      </c>
      <c r="J30643" t="s">
        <v>9546</v>
      </c>
    </row>
    <row r="30644" spans="9:10" x14ac:dyDescent="0.3">
      <c r="I30644" t="s">
        <v>34733</v>
      </c>
      <c r="J30644" t="s">
        <v>9546</v>
      </c>
    </row>
    <row r="30645" spans="9:10" x14ac:dyDescent="0.3">
      <c r="I30645" t="s">
        <v>34734</v>
      </c>
      <c r="J30645" t="s">
        <v>9546</v>
      </c>
    </row>
    <row r="30646" spans="9:10" x14ac:dyDescent="0.3">
      <c r="I30646" t="s">
        <v>34735</v>
      </c>
      <c r="J30646" t="s">
        <v>9547</v>
      </c>
    </row>
    <row r="30647" spans="9:10" x14ac:dyDescent="0.3">
      <c r="I30647" t="s">
        <v>34736</v>
      </c>
      <c r="J30647" t="s">
        <v>993</v>
      </c>
    </row>
    <row r="30648" spans="9:10" x14ac:dyDescent="0.3">
      <c r="I30648" t="s">
        <v>34737</v>
      </c>
      <c r="J30648" t="s">
        <v>993</v>
      </c>
    </row>
    <row r="30649" spans="9:10" x14ac:dyDescent="0.3">
      <c r="I30649" t="s">
        <v>10684</v>
      </c>
      <c r="J30649" t="s">
        <v>1217</v>
      </c>
    </row>
    <row r="30650" spans="9:10" x14ac:dyDescent="0.3">
      <c r="I30650" t="s">
        <v>10684</v>
      </c>
      <c r="J30650" t="s">
        <v>1217</v>
      </c>
    </row>
    <row r="30651" spans="9:10" x14ac:dyDescent="0.3">
      <c r="I30651" t="s">
        <v>34738</v>
      </c>
      <c r="J30651" t="s">
        <v>1217</v>
      </c>
    </row>
    <row r="30652" spans="9:10" x14ac:dyDescent="0.3">
      <c r="I30652" t="s">
        <v>34739</v>
      </c>
      <c r="J30652" t="s">
        <v>9548</v>
      </c>
    </row>
    <row r="30653" spans="9:10" x14ac:dyDescent="0.3">
      <c r="I30653" t="s">
        <v>34740</v>
      </c>
      <c r="J30653" t="s">
        <v>9549</v>
      </c>
    </row>
    <row r="30654" spans="9:10" x14ac:dyDescent="0.3">
      <c r="I30654" t="s">
        <v>34741</v>
      </c>
      <c r="J30654" t="s">
        <v>9550</v>
      </c>
    </row>
    <row r="30655" spans="9:10" x14ac:dyDescent="0.3">
      <c r="I30655" t="s">
        <v>34742</v>
      </c>
    </row>
    <row r="30656" spans="9:10" x14ac:dyDescent="0.3">
      <c r="I30656" t="s">
        <v>34743</v>
      </c>
    </row>
    <row r="30657" spans="9:10" x14ac:dyDescent="0.3">
      <c r="I30657" t="s">
        <v>34744</v>
      </c>
    </row>
    <row r="30658" spans="9:10" x14ac:dyDescent="0.3">
      <c r="I30658" t="s">
        <v>34745</v>
      </c>
    </row>
    <row r="30659" spans="9:10" x14ac:dyDescent="0.3">
      <c r="I30659" t="s">
        <v>34746</v>
      </c>
    </row>
    <row r="30660" spans="9:10" x14ac:dyDescent="0.3">
      <c r="I30660" t="s">
        <v>34747</v>
      </c>
    </row>
    <row r="30661" spans="9:10" x14ac:dyDescent="0.3">
      <c r="I30661" t="s">
        <v>34748</v>
      </c>
    </row>
    <row r="30662" spans="9:10" x14ac:dyDescent="0.3">
      <c r="I30662" t="s">
        <v>34749</v>
      </c>
    </row>
    <row r="30663" spans="9:10" x14ac:dyDescent="0.3">
      <c r="I30663" t="s">
        <v>34750</v>
      </c>
    </row>
    <row r="30664" spans="9:10" x14ac:dyDescent="0.3">
      <c r="I30664" t="s">
        <v>34751</v>
      </c>
      <c r="J30664" t="s">
        <v>9551</v>
      </c>
    </row>
    <row r="30665" spans="9:10" x14ac:dyDescent="0.3">
      <c r="I30665" t="s">
        <v>34752</v>
      </c>
      <c r="J30665" t="s">
        <v>9552</v>
      </c>
    </row>
    <row r="30666" spans="9:10" x14ac:dyDescent="0.3">
      <c r="I30666" t="s">
        <v>34753</v>
      </c>
      <c r="J30666" t="s">
        <v>9553</v>
      </c>
    </row>
    <row r="30667" spans="9:10" x14ac:dyDescent="0.3">
      <c r="I30667" t="s">
        <v>34754</v>
      </c>
      <c r="J30667" t="s">
        <v>9553</v>
      </c>
    </row>
    <row r="30668" spans="9:10" x14ac:dyDescent="0.3">
      <c r="I30668" t="s">
        <v>34755</v>
      </c>
      <c r="J30668" t="s">
        <v>9554</v>
      </c>
    </row>
    <row r="30669" spans="9:10" x14ac:dyDescent="0.3">
      <c r="I30669" t="s">
        <v>34756</v>
      </c>
      <c r="J30669" t="s">
        <v>9555</v>
      </c>
    </row>
    <row r="30670" spans="9:10" x14ac:dyDescent="0.3">
      <c r="I30670" t="s">
        <v>34757</v>
      </c>
    </row>
    <row r="30671" spans="9:10" x14ac:dyDescent="0.3">
      <c r="I30671" t="s">
        <v>34758</v>
      </c>
    </row>
    <row r="30672" spans="9:10" x14ac:dyDescent="0.3">
      <c r="I30672" t="s">
        <v>34759</v>
      </c>
    </row>
    <row r="30673" spans="9:10" x14ac:dyDescent="0.3">
      <c r="I30673" t="s">
        <v>34760</v>
      </c>
    </row>
    <row r="30674" spans="9:10" x14ac:dyDescent="0.3">
      <c r="I30674" t="s">
        <v>34761</v>
      </c>
    </row>
    <row r="30675" spans="9:10" x14ac:dyDescent="0.3">
      <c r="I30675" t="s">
        <v>34762</v>
      </c>
    </row>
    <row r="30676" spans="9:10" x14ac:dyDescent="0.3">
      <c r="I30676" t="s">
        <v>34763</v>
      </c>
    </row>
    <row r="30677" spans="9:10" x14ac:dyDescent="0.3">
      <c r="I30677" t="s">
        <v>34764</v>
      </c>
      <c r="J30677" t="s">
        <v>9556</v>
      </c>
    </row>
    <row r="30678" spans="9:10" x14ac:dyDescent="0.3">
      <c r="I30678" t="s">
        <v>34765</v>
      </c>
      <c r="J30678" t="s">
        <v>9557</v>
      </c>
    </row>
    <row r="30679" spans="9:10" x14ac:dyDescent="0.3">
      <c r="I30679" t="s">
        <v>21854</v>
      </c>
      <c r="J30679" t="s">
        <v>9558</v>
      </c>
    </row>
    <row r="30680" spans="9:10" x14ac:dyDescent="0.3">
      <c r="I30680" t="s">
        <v>34766</v>
      </c>
      <c r="J30680" t="s">
        <v>9559</v>
      </c>
    </row>
    <row r="30681" spans="9:10" x14ac:dyDescent="0.3">
      <c r="I30681" t="s">
        <v>34767</v>
      </c>
    </row>
    <row r="30682" spans="9:10" x14ac:dyDescent="0.3">
      <c r="I30682" t="s">
        <v>34768</v>
      </c>
    </row>
    <row r="30683" spans="9:10" x14ac:dyDescent="0.3">
      <c r="I30683" t="s">
        <v>34769</v>
      </c>
    </row>
    <row r="30684" spans="9:10" x14ac:dyDescent="0.3">
      <c r="I30684" t="s">
        <v>34770</v>
      </c>
    </row>
    <row r="30685" spans="9:10" x14ac:dyDescent="0.3">
      <c r="I30685" t="s">
        <v>34771</v>
      </c>
    </row>
    <row r="30686" spans="9:10" x14ac:dyDescent="0.3">
      <c r="I30686" t="s">
        <v>34772</v>
      </c>
    </row>
    <row r="30687" spans="9:10" x14ac:dyDescent="0.3">
      <c r="I30687" t="s">
        <v>34773</v>
      </c>
      <c r="J30687" t="s">
        <v>9560</v>
      </c>
    </row>
    <row r="30688" spans="9:10" x14ac:dyDescent="0.3">
      <c r="I30688" t="s">
        <v>17895</v>
      </c>
      <c r="J30688" t="s">
        <v>9561</v>
      </c>
    </row>
    <row r="30689" spans="9:10" x14ac:dyDescent="0.3">
      <c r="I30689" t="s">
        <v>34774</v>
      </c>
      <c r="J30689" t="s">
        <v>9561</v>
      </c>
    </row>
    <row r="30690" spans="9:10" x14ac:dyDescent="0.3">
      <c r="I30690" t="s">
        <v>34775</v>
      </c>
      <c r="J30690" t="s">
        <v>5417</v>
      </c>
    </row>
    <row r="30691" spans="9:10" x14ac:dyDescent="0.3">
      <c r="I30691" t="s">
        <v>34776</v>
      </c>
      <c r="J30691" t="s">
        <v>9562</v>
      </c>
    </row>
    <row r="30692" spans="9:10" x14ac:dyDescent="0.3">
      <c r="I30692" t="s">
        <v>34777</v>
      </c>
      <c r="J30692" t="s">
        <v>9563</v>
      </c>
    </row>
    <row r="30693" spans="9:10" x14ac:dyDescent="0.3">
      <c r="I30693" t="s">
        <v>34778</v>
      </c>
      <c r="J30693" t="s">
        <v>9564</v>
      </c>
    </row>
    <row r="30694" spans="9:10" x14ac:dyDescent="0.3">
      <c r="I30694" t="s">
        <v>34779</v>
      </c>
      <c r="J30694" t="s">
        <v>9564</v>
      </c>
    </row>
    <row r="30695" spans="9:10" x14ac:dyDescent="0.3">
      <c r="I30695" t="s">
        <v>34780</v>
      </c>
    </row>
    <row r="30696" spans="9:10" x14ac:dyDescent="0.3">
      <c r="I30696" t="s">
        <v>34781</v>
      </c>
      <c r="J30696" t="s">
        <v>9565</v>
      </c>
    </row>
    <row r="30697" spans="9:10" x14ac:dyDescent="0.3">
      <c r="I30697" t="s">
        <v>34782</v>
      </c>
    </row>
    <row r="30698" spans="9:10" x14ac:dyDescent="0.3">
      <c r="I30698" t="s">
        <v>34783</v>
      </c>
    </row>
    <row r="30699" spans="9:10" x14ac:dyDescent="0.3">
      <c r="I30699" t="s">
        <v>34784</v>
      </c>
    </row>
    <row r="30700" spans="9:10" x14ac:dyDescent="0.3">
      <c r="I30700" t="s">
        <v>34785</v>
      </c>
    </row>
    <row r="30701" spans="9:10" x14ac:dyDescent="0.3">
      <c r="I30701" t="s">
        <v>34786</v>
      </c>
    </row>
    <row r="30702" spans="9:10" x14ac:dyDescent="0.3">
      <c r="I30702" t="s">
        <v>34787</v>
      </c>
    </row>
    <row r="30703" spans="9:10" x14ac:dyDescent="0.3">
      <c r="I30703" t="s">
        <v>34788</v>
      </c>
    </row>
    <row r="30704" spans="9:10" x14ac:dyDescent="0.3">
      <c r="I30704" t="s">
        <v>34789</v>
      </c>
    </row>
    <row r="30705" spans="9:9" x14ac:dyDescent="0.3">
      <c r="I30705" t="s">
        <v>34790</v>
      </c>
    </row>
    <row r="30706" spans="9:9" x14ac:dyDescent="0.3">
      <c r="I30706" t="s">
        <v>34791</v>
      </c>
    </row>
    <row r="30707" spans="9:9" x14ac:dyDescent="0.3">
      <c r="I30707" t="s">
        <v>34792</v>
      </c>
    </row>
    <row r="30708" spans="9:9" x14ac:dyDescent="0.3">
      <c r="I30708" t="s">
        <v>34793</v>
      </c>
    </row>
    <row r="30709" spans="9:9" x14ac:dyDescent="0.3">
      <c r="I30709" t="s">
        <v>34794</v>
      </c>
    </row>
    <row r="30710" spans="9:9" x14ac:dyDescent="0.3">
      <c r="I30710" t="s">
        <v>34795</v>
      </c>
    </row>
    <row r="30711" spans="9:9" x14ac:dyDescent="0.3">
      <c r="I30711" t="s">
        <v>34796</v>
      </c>
    </row>
    <row r="30712" spans="9:9" x14ac:dyDescent="0.3">
      <c r="I30712" t="s">
        <v>34797</v>
      </c>
    </row>
    <row r="30713" spans="9:9" x14ac:dyDescent="0.3">
      <c r="I30713" t="s">
        <v>34798</v>
      </c>
    </row>
    <row r="30714" spans="9:9" x14ac:dyDescent="0.3">
      <c r="I30714" t="s">
        <v>34799</v>
      </c>
    </row>
    <row r="30715" spans="9:9" x14ac:dyDescent="0.3">
      <c r="I30715" t="s">
        <v>34800</v>
      </c>
    </row>
    <row r="30716" spans="9:9" x14ac:dyDescent="0.3">
      <c r="I30716" t="s">
        <v>34801</v>
      </c>
    </row>
    <row r="30717" spans="9:9" x14ac:dyDescent="0.3">
      <c r="I30717" t="s">
        <v>34802</v>
      </c>
    </row>
    <row r="30718" spans="9:9" x14ac:dyDescent="0.3">
      <c r="I30718" t="s">
        <v>34802</v>
      </c>
    </row>
    <row r="30719" spans="9:9" x14ac:dyDescent="0.3">
      <c r="I30719" t="s">
        <v>34803</v>
      </c>
    </row>
    <row r="30720" spans="9:9" x14ac:dyDescent="0.3">
      <c r="I30720" t="s">
        <v>34804</v>
      </c>
    </row>
    <row r="30721" spans="9:10" x14ac:dyDescent="0.3">
      <c r="I30721" t="s">
        <v>34805</v>
      </c>
    </row>
    <row r="30722" spans="9:10" x14ac:dyDescent="0.3">
      <c r="I30722" t="s">
        <v>34806</v>
      </c>
    </row>
    <row r="30723" spans="9:10" x14ac:dyDescent="0.3">
      <c r="I30723" t="s">
        <v>34807</v>
      </c>
    </row>
    <row r="30724" spans="9:10" x14ac:dyDescent="0.3">
      <c r="I30724" t="s">
        <v>34808</v>
      </c>
    </row>
    <row r="30725" spans="9:10" x14ac:dyDescent="0.3">
      <c r="I30725" t="s">
        <v>34809</v>
      </c>
    </row>
    <row r="30726" spans="9:10" x14ac:dyDescent="0.3">
      <c r="I30726" t="s">
        <v>34810</v>
      </c>
    </row>
    <row r="30727" spans="9:10" x14ac:dyDescent="0.3">
      <c r="I30727" t="s">
        <v>34811</v>
      </c>
    </row>
    <row r="30728" spans="9:10" x14ac:dyDescent="0.3">
      <c r="I30728" t="s">
        <v>34812</v>
      </c>
      <c r="J30728" t="s">
        <v>943</v>
      </c>
    </row>
    <row r="30729" spans="9:10" x14ac:dyDescent="0.3">
      <c r="I30729" t="s">
        <v>34813</v>
      </c>
      <c r="J30729" t="s">
        <v>944</v>
      </c>
    </row>
    <row r="30730" spans="9:10" x14ac:dyDescent="0.3">
      <c r="I30730" t="s">
        <v>34814</v>
      </c>
      <c r="J30730" t="s">
        <v>9566</v>
      </c>
    </row>
    <row r="30731" spans="9:10" x14ac:dyDescent="0.3">
      <c r="I30731" t="s">
        <v>34815</v>
      </c>
      <c r="J30731" t="s">
        <v>9567</v>
      </c>
    </row>
    <row r="30732" spans="9:10" x14ac:dyDescent="0.3">
      <c r="I30732" t="s">
        <v>34816</v>
      </c>
    </row>
    <row r="30733" spans="9:10" x14ac:dyDescent="0.3">
      <c r="I30733" t="s">
        <v>34817</v>
      </c>
    </row>
    <row r="30734" spans="9:10" x14ac:dyDescent="0.3">
      <c r="I30734" t="s">
        <v>34818</v>
      </c>
    </row>
    <row r="30735" spans="9:10" x14ac:dyDescent="0.3">
      <c r="I30735" t="s">
        <v>34819</v>
      </c>
    </row>
    <row r="30736" spans="9:10" x14ac:dyDescent="0.3">
      <c r="I30736" t="s">
        <v>34820</v>
      </c>
    </row>
    <row r="30737" spans="9:9" x14ac:dyDescent="0.3">
      <c r="I30737" t="s">
        <v>34821</v>
      </c>
    </row>
    <row r="30738" spans="9:9" x14ac:dyDescent="0.3">
      <c r="I30738" t="s">
        <v>34822</v>
      </c>
    </row>
    <row r="30739" spans="9:9" x14ac:dyDescent="0.3">
      <c r="I30739" t="s">
        <v>34823</v>
      </c>
    </row>
    <row r="30740" spans="9:9" x14ac:dyDescent="0.3">
      <c r="I30740" t="s">
        <v>34824</v>
      </c>
    </row>
    <row r="30741" spans="9:9" x14ac:dyDescent="0.3">
      <c r="I30741" t="s">
        <v>34825</v>
      </c>
    </row>
    <row r="30742" spans="9:9" x14ac:dyDescent="0.3">
      <c r="I30742" t="s">
        <v>34826</v>
      </c>
    </row>
    <row r="30743" spans="9:9" x14ac:dyDescent="0.3">
      <c r="I30743" t="s">
        <v>12506</v>
      </c>
    </row>
    <row r="30744" spans="9:9" x14ac:dyDescent="0.3">
      <c r="I30744" t="s">
        <v>34827</v>
      </c>
    </row>
    <row r="30745" spans="9:9" x14ac:dyDescent="0.3">
      <c r="I30745" t="s">
        <v>34828</v>
      </c>
    </row>
    <row r="30746" spans="9:9" x14ac:dyDescent="0.3">
      <c r="I30746" t="s">
        <v>34829</v>
      </c>
    </row>
    <row r="30747" spans="9:9" x14ac:dyDescent="0.3">
      <c r="I30747" t="s">
        <v>34830</v>
      </c>
    </row>
    <row r="30748" spans="9:9" x14ac:dyDescent="0.3">
      <c r="I30748" t="s">
        <v>11028</v>
      </c>
    </row>
    <row r="30749" spans="9:9" x14ac:dyDescent="0.3">
      <c r="I30749" t="s">
        <v>11783</v>
      </c>
    </row>
    <row r="30750" spans="9:9" x14ac:dyDescent="0.3">
      <c r="I30750" t="s">
        <v>34831</v>
      </c>
    </row>
    <row r="30751" spans="9:9" x14ac:dyDescent="0.3">
      <c r="I30751" t="s">
        <v>34832</v>
      </c>
    </row>
    <row r="30752" spans="9:9" x14ac:dyDescent="0.3">
      <c r="I30752" t="s">
        <v>34833</v>
      </c>
    </row>
    <row r="30753" spans="9:10" x14ac:dyDescent="0.3">
      <c r="I30753" t="s">
        <v>34834</v>
      </c>
    </row>
    <row r="30754" spans="9:10" x14ac:dyDescent="0.3">
      <c r="I30754" t="s">
        <v>34835</v>
      </c>
    </row>
    <row r="30755" spans="9:10" x14ac:dyDescent="0.3">
      <c r="I30755" t="s">
        <v>34836</v>
      </c>
    </row>
    <row r="30756" spans="9:10" x14ac:dyDescent="0.3">
      <c r="I30756" t="s">
        <v>34837</v>
      </c>
    </row>
    <row r="30757" spans="9:10" x14ac:dyDescent="0.3">
      <c r="I30757" t="s">
        <v>34838</v>
      </c>
    </row>
    <row r="30758" spans="9:10" x14ac:dyDescent="0.3">
      <c r="I30758" t="s">
        <v>34839</v>
      </c>
    </row>
    <row r="30759" spans="9:10" x14ac:dyDescent="0.3">
      <c r="I30759" t="s">
        <v>34840</v>
      </c>
    </row>
    <row r="30760" spans="9:10" x14ac:dyDescent="0.3">
      <c r="I30760" t="s">
        <v>34841</v>
      </c>
    </row>
    <row r="30761" spans="9:10" x14ac:dyDescent="0.3">
      <c r="I30761" t="s">
        <v>34842</v>
      </c>
    </row>
    <row r="30762" spans="9:10" x14ac:dyDescent="0.3">
      <c r="I30762" t="s">
        <v>34843</v>
      </c>
    </row>
    <row r="30763" spans="9:10" x14ac:dyDescent="0.3">
      <c r="I30763" t="s">
        <v>34844</v>
      </c>
    </row>
    <row r="30764" spans="9:10" x14ac:dyDescent="0.3">
      <c r="I30764" t="s">
        <v>34845</v>
      </c>
      <c r="J30764" t="s">
        <v>9568</v>
      </c>
    </row>
    <row r="30765" spans="9:10" x14ac:dyDescent="0.3">
      <c r="I30765" t="s">
        <v>34846</v>
      </c>
    </row>
    <row r="30766" spans="9:10" x14ac:dyDescent="0.3">
      <c r="I30766" t="s">
        <v>34847</v>
      </c>
      <c r="J30766" t="s">
        <v>9569</v>
      </c>
    </row>
    <row r="30767" spans="9:10" x14ac:dyDescent="0.3">
      <c r="I30767" t="s">
        <v>34848</v>
      </c>
    </row>
    <row r="30768" spans="9:10" x14ac:dyDescent="0.3">
      <c r="I30768" t="s">
        <v>34849</v>
      </c>
    </row>
    <row r="30769" spans="9:10" x14ac:dyDescent="0.3">
      <c r="I30769" t="s">
        <v>34850</v>
      </c>
    </row>
    <row r="30770" spans="9:10" x14ac:dyDescent="0.3">
      <c r="I30770" t="s">
        <v>34851</v>
      </c>
      <c r="J30770">
        <v>0</v>
      </c>
    </row>
    <row r="30771" spans="9:10" x14ac:dyDescent="0.3">
      <c r="I30771" t="s">
        <v>34852</v>
      </c>
      <c r="J30771">
        <v>0</v>
      </c>
    </row>
    <row r="30772" spans="9:10" x14ac:dyDescent="0.3">
      <c r="I30772" t="s">
        <v>34853</v>
      </c>
      <c r="J30772" t="s">
        <v>9570</v>
      </c>
    </row>
    <row r="30773" spans="9:10" x14ac:dyDescent="0.3">
      <c r="I30773" t="s">
        <v>34854</v>
      </c>
    </row>
    <row r="30774" spans="9:10" x14ac:dyDescent="0.3">
      <c r="I30774" t="s">
        <v>34855</v>
      </c>
    </row>
    <row r="30775" spans="9:10" x14ac:dyDescent="0.3">
      <c r="I30775" t="s">
        <v>34856</v>
      </c>
      <c r="J30775" t="s">
        <v>9571</v>
      </c>
    </row>
    <row r="30776" spans="9:10" x14ac:dyDescent="0.3">
      <c r="I30776" t="s">
        <v>34857</v>
      </c>
      <c r="J30776" t="s">
        <v>9571</v>
      </c>
    </row>
    <row r="30777" spans="9:10" x14ac:dyDescent="0.3">
      <c r="I30777" t="s">
        <v>34858</v>
      </c>
      <c r="J30777" t="s">
        <v>9572</v>
      </c>
    </row>
    <row r="30778" spans="9:10" x14ac:dyDescent="0.3">
      <c r="I30778" t="s">
        <v>34859</v>
      </c>
    </row>
    <row r="30779" spans="9:10" x14ac:dyDescent="0.3">
      <c r="I30779" t="s">
        <v>34860</v>
      </c>
    </row>
    <row r="30780" spans="9:10" x14ac:dyDescent="0.3">
      <c r="I30780" t="s">
        <v>34861</v>
      </c>
    </row>
    <row r="30781" spans="9:10" x14ac:dyDescent="0.3">
      <c r="I30781" t="s">
        <v>34862</v>
      </c>
    </row>
    <row r="30782" spans="9:10" x14ac:dyDescent="0.3">
      <c r="I30782" t="s">
        <v>34863</v>
      </c>
    </row>
    <row r="30783" spans="9:10" x14ac:dyDescent="0.3">
      <c r="I30783" t="s">
        <v>34864</v>
      </c>
    </row>
    <row r="30784" spans="9:10" x14ac:dyDescent="0.3">
      <c r="I30784" t="s">
        <v>34865</v>
      </c>
    </row>
    <row r="30785" spans="9:10" x14ac:dyDescent="0.3">
      <c r="I30785" t="s">
        <v>34866</v>
      </c>
    </row>
    <row r="30786" spans="9:10" x14ac:dyDescent="0.3">
      <c r="I30786" t="s">
        <v>34867</v>
      </c>
    </row>
    <row r="30787" spans="9:10" x14ac:dyDescent="0.3">
      <c r="I30787" t="s">
        <v>34868</v>
      </c>
      <c r="J30787" t="s">
        <v>9573</v>
      </c>
    </row>
    <row r="30788" spans="9:10" x14ac:dyDescent="0.3">
      <c r="I30788" t="s">
        <v>34869</v>
      </c>
    </row>
    <row r="30789" spans="9:10" x14ac:dyDescent="0.3">
      <c r="I30789" t="s">
        <v>34870</v>
      </c>
    </row>
    <row r="30790" spans="9:10" x14ac:dyDescent="0.3">
      <c r="I30790" t="s">
        <v>34871</v>
      </c>
      <c r="J30790" t="s">
        <v>9574</v>
      </c>
    </row>
    <row r="30791" spans="9:10" x14ac:dyDescent="0.3">
      <c r="I30791" t="s">
        <v>34872</v>
      </c>
    </row>
    <row r="30792" spans="9:10" x14ac:dyDescent="0.3">
      <c r="I30792" t="s">
        <v>34873</v>
      </c>
    </row>
    <row r="30793" spans="9:10" x14ac:dyDescent="0.3">
      <c r="I30793" t="s">
        <v>34874</v>
      </c>
    </row>
    <row r="30794" spans="9:10" x14ac:dyDescent="0.3">
      <c r="I30794" t="s">
        <v>34875</v>
      </c>
    </row>
    <row r="30795" spans="9:10" x14ac:dyDescent="0.3">
      <c r="I30795" t="s">
        <v>34876</v>
      </c>
      <c r="J30795" t="s">
        <v>852</v>
      </c>
    </row>
    <row r="30796" spans="9:10" x14ac:dyDescent="0.3">
      <c r="I30796" t="s">
        <v>34876</v>
      </c>
      <c r="J30796" t="s">
        <v>852</v>
      </c>
    </row>
    <row r="30797" spans="9:10" x14ac:dyDescent="0.3">
      <c r="I30797" t="s">
        <v>34876</v>
      </c>
      <c r="J30797" t="s">
        <v>852</v>
      </c>
    </row>
    <row r="30798" spans="9:10" x14ac:dyDescent="0.3">
      <c r="I30798" t="s">
        <v>34877</v>
      </c>
      <c r="J30798" t="s">
        <v>9575</v>
      </c>
    </row>
    <row r="30799" spans="9:10" x14ac:dyDescent="0.3">
      <c r="I30799" t="s">
        <v>34878</v>
      </c>
    </row>
    <row r="30800" spans="9:10" x14ac:dyDescent="0.3">
      <c r="I30800" t="s">
        <v>34879</v>
      </c>
    </row>
    <row r="30801" spans="9:10" x14ac:dyDescent="0.3">
      <c r="I30801" t="s">
        <v>34879</v>
      </c>
    </row>
    <row r="30802" spans="9:10" x14ac:dyDescent="0.3">
      <c r="I30802" t="s">
        <v>34880</v>
      </c>
    </row>
    <row r="30803" spans="9:10" x14ac:dyDescent="0.3">
      <c r="I30803" t="s">
        <v>34881</v>
      </c>
    </row>
    <row r="30804" spans="9:10" x14ac:dyDescent="0.3">
      <c r="I30804" t="s">
        <v>34881</v>
      </c>
    </row>
    <row r="30805" spans="9:10" x14ac:dyDescent="0.3">
      <c r="I30805" t="s">
        <v>34882</v>
      </c>
    </row>
    <row r="30806" spans="9:10" x14ac:dyDescent="0.3">
      <c r="I30806" t="s">
        <v>34883</v>
      </c>
    </row>
    <row r="30807" spans="9:10" x14ac:dyDescent="0.3">
      <c r="I30807" t="s">
        <v>34884</v>
      </c>
    </row>
    <row r="30808" spans="9:10" x14ac:dyDescent="0.3">
      <c r="I30808" t="s">
        <v>34885</v>
      </c>
      <c r="J30808" t="s">
        <v>9576</v>
      </c>
    </row>
    <row r="30809" spans="9:10" x14ac:dyDescent="0.3">
      <c r="I30809" t="s">
        <v>34886</v>
      </c>
      <c r="J30809" t="s">
        <v>9577</v>
      </c>
    </row>
    <row r="30810" spans="9:10" x14ac:dyDescent="0.3">
      <c r="I30810" t="s">
        <v>34886</v>
      </c>
      <c r="J30810" t="s">
        <v>9577</v>
      </c>
    </row>
    <row r="30811" spans="9:10" x14ac:dyDescent="0.3">
      <c r="I30811" t="s">
        <v>34887</v>
      </c>
    </row>
    <row r="30812" spans="9:10" x14ac:dyDescent="0.3">
      <c r="I30812" t="s">
        <v>34888</v>
      </c>
      <c r="J30812" t="s">
        <v>6404</v>
      </c>
    </row>
    <row r="30813" spans="9:10" x14ac:dyDescent="0.3">
      <c r="I30813" t="s">
        <v>34889</v>
      </c>
    </row>
    <row r="30814" spans="9:10" x14ac:dyDescent="0.3">
      <c r="I30814" t="s">
        <v>34890</v>
      </c>
    </row>
    <row r="30815" spans="9:10" x14ac:dyDescent="0.3">
      <c r="I30815" t="s">
        <v>34891</v>
      </c>
    </row>
    <row r="30816" spans="9:10" x14ac:dyDescent="0.3">
      <c r="I30816" t="s">
        <v>34892</v>
      </c>
    </row>
    <row r="30817" spans="9:9" x14ac:dyDescent="0.3">
      <c r="I30817" t="s">
        <v>34893</v>
      </c>
    </row>
    <row r="30818" spans="9:9" x14ac:dyDescent="0.3">
      <c r="I30818" t="s">
        <v>34894</v>
      </c>
    </row>
    <row r="30819" spans="9:9" x14ac:dyDescent="0.3">
      <c r="I30819" t="s">
        <v>34895</v>
      </c>
    </row>
    <row r="30820" spans="9:9" x14ac:dyDescent="0.3">
      <c r="I30820" t="s">
        <v>34896</v>
      </c>
    </row>
    <row r="30821" spans="9:9" x14ac:dyDescent="0.3">
      <c r="I30821" t="s">
        <v>34897</v>
      </c>
    </row>
    <row r="30822" spans="9:9" x14ac:dyDescent="0.3">
      <c r="I30822" t="s">
        <v>34898</v>
      </c>
    </row>
    <row r="30823" spans="9:9" x14ac:dyDescent="0.3">
      <c r="I30823" t="s">
        <v>34899</v>
      </c>
    </row>
    <row r="30824" spans="9:9" x14ac:dyDescent="0.3">
      <c r="I30824" t="s">
        <v>34900</v>
      </c>
    </row>
    <row r="30825" spans="9:9" x14ac:dyDescent="0.3">
      <c r="I30825" t="s">
        <v>34901</v>
      </c>
    </row>
    <row r="30826" spans="9:9" x14ac:dyDescent="0.3">
      <c r="I30826" t="s">
        <v>34902</v>
      </c>
    </row>
    <row r="30827" spans="9:9" x14ac:dyDescent="0.3">
      <c r="I30827" t="s">
        <v>34903</v>
      </c>
    </row>
    <row r="30828" spans="9:9" x14ac:dyDescent="0.3">
      <c r="I30828" t="s">
        <v>34904</v>
      </c>
    </row>
    <row r="30829" spans="9:9" x14ac:dyDescent="0.3">
      <c r="I30829" t="s">
        <v>34905</v>
      </c>
    </row>
    <row r="30830" spans="9:9" x14ac:dyDescent="0.3">
      <c r="I30830" t="s">
        <v>34906</v>
      </c>
    </row>
    <row r="30831" spans="9:9" x14ac:dyDescent="0.3">
      <c r="I30831" t="s">
        <v>34907</v>
      </c>
    </row>
    <row r="30832" spans="9:9" x14ac:dyDescent="0.3">
      <c r="I30832" t="s">
        <v>34908</v>
      </c>
    </row>
    <row r="30833" spans="9:10" x14ac:dyDescent="0.3">
      <c r="I30833" t="s">
        <v>34909</v>
      </c>
    </row>
    <row r="30834" spans="9:10" x14ac:dyDescent="0.3">
      <c r="I30834" t="s">
        <v>34910</v>
      </c>
    </row>
    <row r="30835" spans="9:10" x14ac:dyDescent="0.3">
      <c r="I30835" t="s">
        <v>34911</v>
      </c>
    </row>
    <row r="30836" spans="9:10" x14ac:dyDescent="0.3">
      <c r="I30836" t="s">
        <v>34912</v>
      </c>
    </row>
    <row r="30837" spans="9:10" x14ac:dyDescent="0.3">
      <c r="I30837" t="s">
        <v>34913</v>
      </c>
    </row>
    <row r="30838" spans="9:10" x14ac:dyDescent="0.3">
      <c r="I30838" t="s">
        <v>34914</v>
      </c>
    </row>
    <row r="30839" spans="9:10" x14ac:dyDescent="0.3">
      <c r="I30839" t="s">
        <v>34915</v>
      </c>
    </row>
    <row r="30840" spans="9:10" x14ac:dyDescent="0.3">
      <c r="I30840" t="s">
        <v>34916</v>
      </c>
    </row>
    <row r="30841" spans="9:10" x14ac:dyDescent="0.3">
      <c r="I30841" t="s">
        <v>34917</v>
      </c>
    </row>
    <row r="30842" spans="9:10" x14ac:dyDescent="0.3">
      <c r="I30842" t="s">
        <v>34918</v>
      </c>
    </row>
    <row r="30843" spans="9:10" x14ac:dyDescent="0.3">
      <c r="I30843" t="s">
        <v>34919</v>
      </c>
    </row>
    <row r="30844" spans="9:10" x14ac:dyDescent="0.3">
      <c r="I30844" t="s">
        <v>34920</v>
      </c>
    </row>
    <row r="30845" spans="9:10" x14ac:dyDescent="0.3">
      <c r="I30845" t="s">
        <v>34921</v>
      </c>
      <c r="J30845" t="s">
        <v>9578</v>
      </c>
    </row>
    <row r="30846" spans="9:10" x14ac:dyDescent="0.3">
      <c r="I30846" t="s">
        <v>34922</v>
      </c>
    </row>
    <row r="30847" spans="9:10" x14ac:dyDescent="0.3">
      <c r="I30847" t="s">
        <v>34923</v>
      </c>
    </row>
    <row r="30848" spans="9:10" x14ac:dyDescent="0.3">
      <c r="I30848" t="s">
        <v>34924</v>
      </c>
    </row>
    <row r="30849" spans="9:10" x14ac:dyDescent="0.3">
      <c r="I30849" t="s">
        <v>34925</v>
      </c>
    </row>
    <row r="30850" spans="9:10" x14ac:dyDescent="0.3">
      <c r="I30850" t="s">
        <v>34926</v>
      </c>
    </row>
    <row r="30851" spans="9:10" x14ac:dyDescent="0.3">
      <c r="I30851" t="s">
        <v>34927</v>
      </c>
    </row>
    <row r="30852" spans="9:10" x14ac:dyDescent="0.3">
      <c r="I30852" t="s">
        <v>34928</v>
      </c>
      <c r="J30852" t="s">
        <v>9579</v>
      </c>
    </row>
    <row r="30853" spans="9:10" x14ac:dyDescent="0.3">
      <c r="I30853" t="s">
        <v>34929</v>
      </c>
      <c r="J30853" t="s">
        <v>9580</v>
      </c>
    </row>
    <row r="30854" spans="9:10" x14ac:dyDescent="0.3">
      <c r="I30854" t="s">
        <v>34930</v>
      </c>
    </row>
    <row r="30855" spans="9:10" x14ac:dyDescent="0.3">
      <c r="I30855" t="s">
        <v>34931</v>
      </c>
    </row>
    <row r="30856" spans="9:10" x14ac:dyDescent="0.3">
      <c r="I30856" t="s">
        <v>34932</v>
      </c>
    </row>
    <row r="30857" spans="9:10" x14ac:dyDescent="0.3">
      <c r="I30857" t="s">
        <v>34933</v>
      </c>
    </row>
    <row r="30858" spans="9:10" x14ac:dyDescent="0.3">
      <c r="I30858" t="s">
        <v>34934</v>
      </c>
      <c r="J30858" t="s">
        <v>9581</v>
      </c>
    </row>
    <row r="30859" spans="9:10" x14ac:dyDescent="0.3">
      <c r="I30859" t="s">
        <v>34935</v>
      </c>
      <c r="J30859" t="s">
        <v>9582</v>
      </c>
    </row>
    <row r="30860" spans="9:10" x14ac:dyDescent="0.3">
      <c r="I30860" t="s">
        <v>34936</v>
      </c>
      <c r="J30860" t="s">
        <v>9583</v>
      </c>
    </row>
    <row r="30861" spans="9:10" x14ac:dyDescent="0.3">
      <c r="I30861" t="s">
        <v>34937</v>
      </c>
      <c r="J30861" t="s">
        <v>9584</v>
      </c>
    </row>
    <row r="30862" spans="9:10" x14ac:dyDescent="0.3">
      <c r="I30862" t="s">
        <v>34938</v>
      </c>
      <c r="J30862" t="s">
        <v>9585</v>
      </c>
    </row>
    <row r="30863" spans="9:10" x14ac:dyDescent="0.3">
      <c r="I30863" t="s">
        <v>34939</v>
      </c>
      <c r="J30863" t="s">
        <v>9586</v>
      </c>
    </row>
    <row r="30864" spans="9:10" x14ac:dyDescent="0.3">
      <c r="I30864" t="s">
        <v>34940</v>
      </c>
      <c r="J30864" t="s">
        <v>9587</v>
      </c>
    </row>
    <row r="30865" spans="9:10" x14ac:dyDescent="0.3">
      <c r="I30865" t="s">
        <v>34941</v>
      </c>
      <c r="J30865" t="s">
        <v>9588</v>
      </c>
    </row>
    <row r="30866" spans="9:10" x14ac:dyDescent="0.3">
      <c r="I30866" t="s">
        <v>34942</v>
      </c>
      <c r="J30866" t="s">
        <v>9589</v>
      </c>
    </row>
    <row r="30867" spans="9:10" x14ac:dyDescent="0.3">
      <c r="I30867" t="s">
        <v>34943</v>
      </c>
      <c r="J30867" t="s">
        <v>9590</v>
      </c>
    </row>
    <row r="30868" spans="9:10" x14ac:dyDescent="0.3">
      <c r="I30868" t="s">
        <v>21879</v>
      </c>
      <c r="J30868" t="s">
        <v>9591</v>
      </c>
    </row>
    <row r="30869" spans="9:10" x14ac:dyDescent="0.3">
      <c r="I30869" t="s">
        <v>34944</v>
      </c>
    </row>
    <row r="30870" spans="9:10" x14ac:dyDescent="0.3">
      <c r="I30870" t="s">
        <v>34945</v>
      </c>
    </row>
    <row r="30871" spans="9:10" x14ac:dyDescent="0.3">
      <c r="I30871" t="s">
        <v>34946</v>
      </c>
    </row>
    <row r="30872" spans="9:10" x14ac:dyDescent="0.3">
      <c r="I30872" t="s">
        <v>34947</v>
      </c>
    </row>
    <row r="30873" spans="9:10" x14ac:dyDescent="0.3">
      <c r="I30873" t="s">
        <v>34948</v>
      </c>
    </row>
    <row r="30874" spans="9:10" x14ac:dyDescent="0.3">
      <c r="I30874" t="s">
        <v>34949</v>
      </c>
      <c r="J30874" t="s">
        <v>9592</v>
      </c>
    </row>
    <row r="30875" spans="9:10" x14ac:dyDescent="0.3">
      <c r="I30875" t="s">
        <v>34950</v>
      </c>
      <c r="J30875" t="s">
        <v>9593</v>
      </c>
    </row>
    <row r="30876" spans="9:10" x14ac:dyDescent="0.3">
      <c r="I30876" t="s">
        <v>34951</v>
      </c>
      <c r="J30876" t="s">
        <v>9594</v>
      </c>
    </row>
    <row r="30877" spans="9:10" x14ac:dyDescent="0.3">
      <c r="I30877" t="s">
        <v>34952</v>
      </c>
      <c r="J30877" t="s">
        <v>9594</v>
      </c>
    </row>
    <row r="30878" spans="9:10" x14ac:dyDescent="0.3">
      <c r="I30878" t="s">
        <v>34953</v>
      </c>
    </row>
    <row r="30879" spans="9:10" x14ac:dyDescent="0.3">
      <c r="I30879" t="s">
        <v>34954</v>
      </c>
    </row>
    <row r="30880" spans="9:10" x14ac:dyDescent="0.3">
      <c r="I30880" t="s">
        <v>34955</v>
      </c>
    </row>
    <row r="30881" spans="9:10" x14ac:dyDescent="0.3">
      <c r="I30881" t="s">
        <v>34956</v>
      </c>
    </row>
    <row r="30882" spans="9:10" x14ac:dyDescent="0.3">
      <c r="I30882" t="s">
        <v>34957</v>
      </c>
    </row>
    <row r="30883" spans="9:10" x14ac:dyDescent="0.3">
      <c r="I30883" t="s">
        <v>34958</v>
      </c>
    </row>
    <row r="30884" spans="9:10" x14ac:dyDescent="0.3">
      <c r="I30884" t="s">
        <v>34959</v>
      </c>
      <c r="J30884" t="s">
        <v>9595</v>
      </c>
    </row>
    <row r="30885" spans="9:10" x14ac:dyDescent="0.3">
      <c r="I30885" t="s">
        <v>34960</v>
      </c>
      <c r="J30885" t="s">
        <v>9595</v>
      </c>
    </row>
    <row r="30886" spans="9:10" x14ac:dyDescent="0.3">
      <c r="I30886" t="s">
        <v>34961</v>
      </c>
      <c r="J30886" t="s">
        <v>9596</v>
      </c>
    </row>
    <row r="30887" spans="9:10" x14ac:dyDescent="0.3">
      <c r="I30887" t="s">
        <v>34962</v>
      </c>
    </row>
    <row r="30888" spans="9:10" x14ac:dyDescent="0.3">
      <c r="I30888" t="s">
        <v>34963</v>
      </c>
      <c r="J30888" t="s">
        <v>9597</v>
      </c>
    </row>
    <row r="30889" spans="9:10" x14ac:dyDescent="0.3">
      <c r="I30889" t="s">
        <v>34964</v>
      </c>
      <c r="J30889" t="s">
        <v>9598</v>
      </c>
    </row>
    <row r="30890" spans="9:10" x14ac:dyDescent="0.3">
      <c r="I30890" t="s">
        <v>34965</v>
      </c>
      <c r="J30890" t="s">
        <v>839</v>
      </c>
    </row>
    <row r="30891" spans="9:10" x14ac:dyDescent="0.3">
      <c r="I30891" t="s">
        <v>34966</v>
      </c>
      <c r="J30891" t="s">
        <v>839</v>
      </c>
    </row>
    <row r="30892" spans="9:10" x14ac:dyDescent="0.3">
      <c r="I30892" t="s">
        <v>34967</v>
      </c>
    </row>
    <row r="30893" spans="9:10" x14ac:dyDescent="0.3">
      <c r="I30893" t="s">
        <v>34968</v>
      </c>
    </row>
    <row r="30894" spans="9:10" x14ac:dyDescent="0.3">
      <c r="I30894" t="s">
        <v>34969</v>
      </c>
    </row>
    <row r="30895" spans="9:10" x14ac:dyDescent="0.3">
      <c r="I30895" t="s">
        <v>34970</v>
      </c>
    </row>
    <row r="30896" spans="9:10" x14ac:dyDescent="0.3">
      <c r="I30896" t="s">
        <v>34971</v>
      </c>
    </row>
    <row r="30897" spans="9:10" x14ac:dyDescent="0.3">
      <c r="I30897" t="s">
        <v>34972</v>
      </c>
    </row>
    <row r="30898" spans="9:10" x14ac:dyDescent="0.3">
      <c r="I30898" t="s">
        <v>34973</v>
      </c>
      <c r="J30898" t="s">
        <v>9599</v>
      </c>
    </row>
    <row r="30899" spans="9:10" x14ac:dyDescent="0.3">
      <c r="I30899" t="s">
        <v>34974</v>
      </c>
    </row>
    <row r="30900" spans="9:10" x14ac:dyDescent="0.3">
      <c r="I30900" t="s">
        <v>34975</v>
      </c>
    </row>
    <row r="30901" spans="9:10" x14ac:dyDescent="0.3">
      <c r="I30901" t="s">
        <v>34976</v>
      </c>
    </row>
    <row r="30902" spans="9:10" x14ac:dyDescent="0.3">
      <c r="I30902" t="s">
        <v>34977</v>
      </c>
    </row>
    <row r="30903" spans="9:10" x14ac:dyDescent="0.3">
      <c r="I30903" t="s">
        <v>34978</v>
      </c>
    </row>
    <row r="30904" spans="9:10" x14ac:dyDescent="0.3">
      <c r="I30904" t="s">
        <v>34979</v>
      </c>
    </row>
    <row r="30905" spans="9:10" x14ac:dyDescent="0.3">
      <c r="I30905" t="s">
        <v>34980</v>
      </c>
    </row>
    <row r="30906" spans="9:10" x14ac:dyDescent="0.3">
      <c r="I30906" t="s">
        <v>34981</v>
      </c>
    </row>
    <row r="30907" spans="9:10" x14ac:dyDescent="0.3">
      <c r="I30907" t="s">
        <v>34982</v>
      </c>
    </row>
    <row r="30908" spans="9:10" x14ac:dyDescent="0.3">
      <c r="I30908" t="s">
        <v>34983</v>
      </c>
    </row>
    <row r="30909" spans="9:10" x14ac:dyDescent="0.3">
      <c r="I30909" t="s">
        <v>34984</v>
      </c>
    </row>
    <row r="30910" spans="9:10" x14ac:dyDescent="0.3">
      <c r="I30910" t="s">
        <v>34985</v>
      </c>
    </row>
    <row r="30911" spans="9:10" x14ac:dyDescent="0.3">
      <c r="I30911" t="s">
        <v>34986</v>
      </c>
    </row>
    <row r="30912" spans="9:10" x14ac:dyDescent="0.3">
      <c r="I30912" t="s">
        <v>34987</v>
      </c>
    </row>
    <row r="30913" spans="9:10" x14ac:dyDescent="0.3">
      <c r="I30913" t="s">
        <v>34988</v>
      </c>
    </row>
    <row r="30914" spans="9:10" x14ac:dyDescent="0.3">
      <c r="I30914" t="s">
        <v>34989</v>
      </c>
    </row>
    <row r="30915" spans="9:10" x14ac:dyDescent="0.3">
      <c r="I30915" t="s">
        <v>34990</v>
      </c>
      <c r="J30915" t="s">
        <v>9600</v>
      </c>
    </row>
    <row r="30916" spans="9:10" x14ac:dyDescent="0.3">
      <c r="I30916" t="s">
        <v>34991</v>
      </c>
      <c r="J30916" t="s">
        <v>9601</v>
      </c>
    </row>
    <row r="30917" spans="9:10" x14ac:dyDescent="0.3">
      <c r="I30917" t="s">
        <v>34991</v>
      </c>
      <c r="J30917" t="s">
        <v>9601</v>
      </c>
    </row>
    <row r="30918" spans="9:10" x14ac:dyDescent="0.3">
      <c r="I30918" t="s">
        <v>34992</v>
      </c>
      <c r="J30918" t="s">
        <v>9602</v>
      </c>
    </row>
    <row r="30919" spans="9:10" x14ac:dyDescent="0.3">
      <c r="I30919" t="s">
        <v>34993</v>
      </c>
    </row>
    <row r="30920" spans="9:10" x14ac:dyDescent="0.3">
      <c r="I30920" t="s">
        <v>34994</v>
      </c>
    </row>
    <row r="30921" spans="9:10" x14ac:dyDescent="0.3">
      <c r="I30921" t="s">
        <v>34995</v>
      </c>
    </row>
    <row r="30922" spans="9:10" x14ac:dyDescent="0.3">
      <c r="I30922" t="s">
        <v>34996</v>
      </c>
    </row>
    <row r="30923" spans="9:10" x14ac:dyDescent="0.3">
      <c r="I30923" t="s">
        <v>34997</v>
      </c>
    </row>
    <row r="30924" spans="9:10" x14ac:dyDescent="0.3">
      <c r="I30924" t="s">
        <v>34998</v>
      </c>
    </row>
    <row r="30925" spans="9:10" x14ac:dyDescent="0.3">
      <c r="I30925" t="s">
        <v>34999</v>
      </c>
    </row>
    <row r="30926" spans="9:10" x14ac:dyDescent="0.3">
      <c r="I30926" t="s">
        <v>35000</v>
      </c>
    </row>
    <row r="30927" spans="9:10" x14ac:dyDescent="0.3">
      <c r="I30927" t="s">
        <v>35001</v>
      </c>
    </row>
    <row r="30928" spans="9:10" x14ac:dyDescent="0.3">
      <c r="I30928" t="s">
        <v>35002</v>
      </c>
    </row>
    <row r="30929" spans="9:10" x14ac:dyDescent="0.3">
      <c r="I30929" t="s">
        <v>35003</v>
      </c>
    </row>
    <row r="30930" spans="9:10" x14ac:dyDescent="0.3">
      <c r="I30930" t="s">
        <v>35004</v>
      </c>
    </row>
    <row r="30931" spans="9:10" x14ac:dyDescent="0.3">
      <c r="I30931" t="s">
        <v>35005</v>
      </c>
    </row>
    <row r="30932" spans="9:10" x14ac:dyDescent="0.3">
      <c r="I30932" t="s">
        <v>35005</v>
      </c>
    </row>
    <row r="30933" spans="9:10" x14ac:dyDescent="0.3">
      <c r="I30933" t="s">
        <v>35006</v>
      </c>
    </row>
    <row r="30934" spans="9:10" x14ac:dyDescent="0.3">
      <c r="I30934" t="s">
        <v>35007</v>
      </c>
    </row>
    <row r="30935" spans="9:10" x14ac:dyDescent="0.3">
      <c r="I30935" t="s">
        <v>35008</v>
      </c>
    </row>
    <row r="30936" spans="9:10" x14ac:dyDescent="0.3">
      <c r="I30936" t="s">
        <v>35009</v>
      </c>
    </row>
    <row r="30937" spans="9:10" x14ac:dyDescent="0.3">
      <c r="I30937" t="s">
        <v>35009</v>
      </c>
    </row>
    <row r="30938" spans="9:10" x14ac:dyDescent="0.3">
      <c r="I30938" t="s">
        <v>35010</v>
      </c>
    </row>
    <row r="30939" spans="9:10" x14ac:dyDescent="0.3">
      <c r="I30939" t="s">
        <v>35011</v>
      </c>
    </row>
    <row r="30940" spans="9:10" x14ac:dyDescent="0.3">
      <c r="I30940" t="s">
        <v>35012</v>
      </c>
    </row>
    <row r="30941" spans="9:10" x14ac:dyDescent="0.3">
      <c r="I30941" t="s">
        <v>35013</v>
      </c>
      <c r="J30941" t="s">
        <v>9603</v>
      </c>
    </row>
    <row r="30942" spans="9:10" x14ac:dyDescent="0.3">
      <c r="I30942" t="s">
        <v>35014</v>
      </c>
      <c r="J30942" t="s">
        <v>9603</v>
      </c>
    </row>
    <row r="30943" spans="9:10" x14ac:dyDescent="0.3">
      <c r="I30943" t="s">
        <v>35015</v>
      </c>
      <c r="J30943" t="s">
        <v>9604</v>
      </c>
    </row>
    <row r="30944" spans="9:10" x14ac:dyDescent="0.3">
      <c r="I30944" t="s">
        <v>35016</v>
      </c>
      <c r="J30944" t="s">
        <v>9605</v>
      </c>
    </row>
    <row r="30945" spans="9:10" x14ac:dyDescent="0.3">
      <c r="I30945" t="s">
        <v>35017</v>
      </c>
      <c r="J30945" t="s">
        <v>9606</v>
      </c>
    </row>
    <row r="30946" spans="9:10" x14ac:dyDescent="0.3">
      <c r="I30946" t="s">
        <v>35018</v>
      </c>
    </row>
    <row r="30947" spans="9:10" x14ac:dyDescent="0.3">
      <c r="I30947" t="s">
        <v>35019</v>
      </c>
    </row>
    <row r="30948" spans="9:10" x14ac:dyDescent="0.3">
      <c r="I30948" t="s">
        <v>35020</v>
      </c>
    </row>
    <row r="30949" spans="9:10" x14ac:dyDescent="0.3">
      <c r="I30949" t="s">
        <v>35021</v>
      </c>
    </row>
    <row r="30950" spans="9:10" x14ac:dyDescent="0.3">
      <c r="I30950" t="s">
        <v>35022</v>
      </c>
    </row>
    <row r="30951" spans="9:10" x14ac:dyDescent="0.3">
      <c r="I30951" t="s">
        <v>35023</v>
      </c>
      <c r="J30951" t="s">
        <v>9607</v>
      </c>
    </row>
    <row r="30952" spans="9:10" x14ac:dyDescent="0.3">
      <c r="I30952" t="s">
        <v>35024</v>
      </c>
      <c r="J30952" t="s">
        <v>9608</v>
      </c>
    </row>
    <row r="30953" spans="9:10" x14ac:dyDescent="0.3">
      <c r="I30953" t="s">
        <v>35025</v>
      </c>
      <c r="J30953" t="s">
        <v>9609</v>
      </c>
    </row>
    <row r="30954" spans="9:10" x14ac:dyDescent="0.3">
      <c r="I30954" t="s">
        <v>35026</v>
      </c>
    </row>
    <row r="30955" spans="9:10" x14ac:dyDescent="0.3">
      <c r="I30955" t="s">
        <v>35027</v>
      </c>
    </row>
    <row r="30956" spans="9:10" x14ac:dyDescent="0.3">
      <c r="I30956" t="s">
        <v>35028</v>
      </c>
    </row>
    <row r="30957" spans="9:10" x14ac:dyDescent="0.3">
      <c r="I30957" t="s">
        <v>35029</v>
      </c>
    </row>
    <row r="30958" spans="9:10" x14ac:dyDescent="0.3">
      <c r="I30958" t="s">
        <v>35030</v>
      </c>
    </row>
    <row r="30959" spans="9:10" x14ac:dyDescent="0.3">
      <c r="I30959" t="s">
        <v>35031</v>
      </c>
    </row>
    <row r="30960" spans="9:10" x14ac:dyDescent="0.3">
      <c r="I30960" t="s">
        <v>35032</v>
      </c>
    </row>
    <row r="30961" spans="9:10" x14ac:dyDescent="0.3">
      <c r="I30961" t="s">
        <v>35033</v>
      </c>
    </row>
    <row r="30962" spans="9:10" x14ac:dyDescent="0.3">
      <c r="I30962" t="s">
        <v>35034</v>
      </c>
      <c r="J30962" t="s">
        <v>9610</v>
      </c>
    </row>
    <row r="30963" spans="9:10" x14ac:dyDescent="0.3">
      <c r="I30963" t="s">
        <v>35035</v>
      </c>
    </row>
    <row r="30964" spans="9:10" x14ac:dyDescent="0.3">
      <c r="I30964" t="s">
        <v>35036</v>
      </c>
    </row>
    <row r="30965" spans="9:10" x14ac:dyDescent="0.3">
      <c r="I30965" t="s">
        <v>35037</v>
      </c>
    </row>
    <row r="30966" spans="9:10" x14ac:dyDescent="0.3">
      <c r="I30966" t="s">
        <v>35038</v>
      </c>
    </row>
    <row r="30967" spans="9:10" x14ac:dyDescent="0.3">
      <c r="I30967" t="s">
        <v>35039</v>
      </c>
    </row>
    <row r="30968" spans="9:10" x14ac:dyDescent="0.3">
      <c r="I30968" t="s">
        <v>35040</v>
      </c>
    </row>
    <row r="30969" spans="9:10" x14ac:dyDescent="0.3">
      <c r="I30969" t="s">
        <v>35041</v>
      </c>
    </row>
    <row r="30970" spans="9:10" x14ac:dyDescent="0.3">
      <c r="I30970" t="s">
        <v>35042</v>
      </c>
    </row>
    <row r="30971" spans="9:10" x14ac:dyDescent="0.3">
      <c r="I30971" t="s">
        <v>35043</v>
      </c>
    </row>
    <row r="30972" spans="9:10" x14ac:dyDescent="0.3">
      <c r="I30972" t="s">
        <v>35044</v>
      </c>
    </row>
    <row r="30973" spans="9:10" x14ac:dyDescent="0.3">
      <c r="I30973" t="s">
        <v>35045</v>
      </c>
    </row>
    <row r="30974" spans="9:10" x14ac:dyDescent="0.3">
      <c r="I30974" t="s">
        <v>26201</v>
      </c>
      <c r="J30974" t="s">
        <v>2378</v>
      </c>
    </row>
    <row r="30975" spans="9:10" x14ac:dyDescent="0.3">
      <c r="I30975" t="s">
        <v>854</v>
      </c>
      <c r="J30975" t="s">
        <v>855</v>
      </c>
    </row>
    <row r="30976" spans="9:10" x14ac:dyDescent="0.3">
      <c r="I30976" t="s">
        <v>17138</v>
      </c>
      <c r="J30976" t="s">
        <v>4128</v>
      </c>
    </row>
    <row r="30977" spans="9:10" x14ac:dyDescent="0.3">
      <c r="I30977" t="s">
        <v>35046</v>
      </c>
      <c r="J30977" t="s">
        <v>9611</v>
      </c>
    </row>
    <row r="30978" spans="9:10" x14ac:dyDescent="0.3">
      <c r="I30978" t="s">
        <v>35047</v>
      </c>
      <c r="J30978" t="s">
        <v>9612</v>
      </c>
    </row>
    <row r="30979" spans="9:10" x14ac:dyDescent="0.3">
      <c r="I30979" t="s">
        <v>35048</v>
      </c>
    </row>
    <row r="30980" spans="9:10" x14ac:dyDescent="0.3">
      <c r="I30980" t="s">
        <v>35049</v>
      </c>
    </row>
    <row r="30981" spans="9:10" x14ac:dyDescent="0.3">
      <c r="I30981" t="s">
        <v>35050</v>
      </c>
    </row>
    <row r="30982" spans="9:10" x14ac:dyDescent="0.3">
      <c r="I30982" t="s">
        <v>35051</v>
      </c>
      <c r="J30982" t="s">
        <v>9613</v>
      </c>
    </row>
    <row r="30983" spans="9:10" x14ac:dyDescent="0.3">
      <c r="I30983" t="s">
        <v>35052</v>
      </c>
      <c r="J30983" t="s">
        <v>9614</v>
      </c>
    </row>
    <row r="30984" spans="9:10" x14ac:dyDescent="0.3">
      <c r="I30984" t="s">
        <v>35053</v>
      </c>
      <c r="J30984" t="s">
        <v>9615</v>
      </c>
    </row>
    <row r="30985" spans="9:10" x14ac:dyDescent="0.3">
      <c r="I30985" t="s">
        <v>35054</v>
      </c>
      <c r="J30985" t="s">
        <v>9616</v>
      </c>
    </row>
    <row r="30986" spans="9:10" x14ac:dyDescent="0.3">
      <c r="I30986" t="s">
        <v>35055</v>
      </c>
      <c r="J30986" t="s">
        <v>9616</v>
      </c>
    </row>
    <row r="30987" spans="9:10" x14ac:dyDescent="0.3">
      <c r="I30987" t="s">
        <v>35056</v>
      </c>
    </row>
    <row r="30988" spans="9:10" x14ac:dyDescent="0.3">
      <c r="I30988" t="s">
        <v>35057</v>
      </c>
    </row>
    <row r="30989" spans="9:10" x14ac:dyDescent="0.3">
      <c r="I30989" t="s">
        <v>35058</v>
      </c>
    </row>
    <row r="30990" spans="9:10" x14ac:dyDescent="0.3">
      <c r="I30990" t="s">
        <v>35059</v>
      </c>
    </row>
    <row r="30991" spans="9:10" x14ac:dyDescent="0.3">
      <c r="I30991" t="s">
        <v>35060</v>
      </c>
      <c r="J30991" t="s">
        <v>9617</v>
      </c>
    </row>
    <row r="30992" spans="9:10" x14ac:dyDescent="0.3">
      <c r="I30992" t="s">
        <v>35061</v>
      </c>
      <c r="J30992" t="s">
        <v>9618</v>
      </c>
    </row>
    <row r="30993" spans="9:10" x14ac:dyDescent="0.3">
      <c r="I30993" t="s">
        <v>35062</v>
      </c>
      <c r="J30993" t="s">
        <v>9619</v>
      </c>
    </row>
    <row r="30994" spans="9:10" x14ac:dyDescent="0.3">
      <c r="I30994" t="s">
        <v>35063</v>
      </c>
    </row>
    <row r="30995" spans="9:10" x14ac:dyDescent="0.3">
      <c r="I30995" t="s">
        <v>35064</v>
      </c>
    </row>
    <row r="30996" spans="9:10" x14ac:dyDescent="0.3">
      <c r="I30996" t="s">
        <v>35065</v>
      </c>
    </row>
    <row r="30997" spans="9:10" x14ac:dyDescent="0.3">
      <c r="I30997" t="s">
        <v>35066</v>
      </c>
    </row>
    <row r="30998" spans="9:10" x14ac:dyDescent="0.3">
      <c r="I30998" t="s">
        <v>35067</v>
      </c>
    </row>
    <row r="30999" spans="9:10" x14ac:dyDescent="0.3">
      <c r="I30999" t="s">
        <v>35068</v>
      </c>
    </row>
    <row r="31000" spans="9:10" x14ac:dyDescent="0.3">
      <c r="I31000" t="s">
        <v>35069</v>
      </c>
    </row>
    <row r="31001" spans="9:10" x14ac:dyDescent="0.3">
      <c r="I31001" t="s">
        <v>35070</v>
      </c>
    </row>
    <row r="31002" spans="9:10" x14ac:dyDescent="0.3">
      <c r="I31002" t="s">
        <v>35071</v>
      </c>
    </row>
    <row r="31003" spans="9:10" x14ac:dyDescent="0.3">
      <c r="I31003" t="s">
        <v>35072</v>
      </c>
    </row>
    <row r="31004" spans="9:10" x14ac:dyDescent="0.3">
      <c r="I31004" t="s">
        <v>35073</v>
      </c>
    </row>
    <row r="31005" spans="9:10" x14ac:dyDescent="0.3">
      <c r="I31005" t="s">
        <v>35074</v>
      </c>
      <c r="J31005" t="s">
        <v>9620</v>
      </c>
    </row>
    <row r="31006" spans="9:10" x14ac:dyDescent="0.3">
      <c r="I31006" t="s">
        <v>35075</v>
      </c>
    </row>
    <row r="31007" spans="9:10" x14ac:dyDescent="0.3">
      <c r="I31007" t="s">
        <v>35076</v>
      </c>
      <c r="J31007" t="s">
        <v>9621</v>
      </c>
    </row>
    <row r="31008" spans="9:10" x14ac:dyDescent="0.3">
      <c r="I31008" t="s">
        <v>35077</v>
      </c>
    </row>
    <row r="31009" spans="9:10" x14ac:dyDescent="0.3">
      <c r="I31009" t="s">
        <v>35078</v>
      </c>
    </row>
    <row r="31010" spans="9:10" x14ac:dyDescent="0.3">
      <c r="I31010" t="s">
        <v>35079</v>
      </c>
      <c r="J31010" t="s">
        <v>9622</v>
      </c>
    </row>
    <row r="31011" spans="9:10" x14ac:dyDescent="0.3">
      <c r="I31011" t="s">
        <v>35080</v>
      </c>
    </row>
    <row r="31012" spans="9:10" x14ac:dyDescent="0.3">
      <c r="I31012" t="s">
        <v>35081</v>
      </c>
    </row>
    <row r="31013" spans="9:10" x14ac:dyDescent="0.3">
      <c r="I31013" t="s">
        <v>35082</v>
      </c>
    </row>
    <row r="31014" spans="9:10" x14ac:dyDescent="0.3">
      <c r="I31014" t="s">
        <v>35083</v>
      </c>
    </row>
    <row r="31015" spans="9:10" x14ac:dyDescent="0.3">
      <c r="I31015" t="s">
        <v>35084</v>
      </c>
    </row>
    <row r="31016" spans="9:10" x14ac:dyDescent="0.3">
      <c r="I31016" t="s">
        <v>35085</v>
      </c>
    </row>
    <row r="31017" spans="9:10" x14ac:dyDescent="0.3">
      <c r="I31017" t="s">
        <v>35086</v>
      </c>
    </row>
    <row r="31018" spans="9:10" x14ac:dyDescent="0.3">
      <c r="I31018" t="s">
        <v>35087</v>
      </c>
    </row>
    <row r="31019" spans="9:10" x14ac:dyDescent="0.3">
      <c r="I31019" t="s">
        <v>35088</v>
      </c>
    </row>
    <row r="31020" spans="9:10" x14ac:dyDescent="0.3">
      <c r="I31020" t="s">
        <v>35089</v>
      </c>
    </row>
    <row r="31021" spans="9:10" x14ac:dyDescent="0.3">
      <c r="I31021" t="s">
        <v>35090</v>
      </c>
    </row>
    <row r="31022" spans="9:10" x14ac:dyDescent="0.3">
      <c r="I31022" t="s">
        <v>35091</v>
      </c>
      <c r="J31022" t="s">
        <v>832</v>
      </c>
    </row>
    <row r="31023" spans="9:10" x14ac:dyDescent="0.3">
      <c r="I31023" t="s">
        <v>10183</v>
      </c>
      <c r="J31023" t="s">
        <v>9623</v>
      </c>
    </row>
    <row r="31024" spans="9:10" x14ac:dyDescent="0.3">
      <c r="I31024" t="s">
        <v>35092</v>
      </c>
      <c r="J31024" t="s">
        <v>9624</v>
      </c>
    </row>
    <row r="31025" spans="9:10" x14ac:dyDescent="0.3">
      <c r="I31025" t="s">
        <v>35093</v>
      </c>
      <c r="J31025" t="s">
        <v>9625</v>
      </c>
    </row>
    <row r="31026" spans="9:10" x14ac:dyDescent="0.3">
      <c r="I31026" t="s">
        <v>35094</v>
      </c>
      <c r="J31026" t="s">
        <v>9626</v>
      </c>
    </row>
    <row r="31027" spans="9:10" x14ac:dyDescent="0.3">
      <c r="I31027" t="s">
        <v>35095</v>
      </c>
    </row>
    <row r="31028" spans="9:10" x14ac:dyDescent="0.3">
      <c r="I31028" t="s">
        <v>35096</v>
      </c>
    </row>
    <row r="31029" spans="9:10" x14ac:dyDescent="0.3">
      <c r="I31029" t="s">
        <v>35097</v>
      </c>
    </row>
    <row r="31030" spans="9:10" x14ac:dyDescent="0.3">
      <c r="I31030" t="s">
        <v>35098</v>
      </c>
    </row>
    <row r="31031" spans="9:10" x14ac:dyDescent="0.3">
      <c r="I31031" t="s">
        <v>35099</v>
      </c>
    </row>
    <row r="31032" spans="9:10" x14ac:dyDescent="0.3">
      <c r="I31032" t="s">
        <v>35100</v>
      </c>
    </row>
    <row r="31033" spans="9:10" x14ac:dyDescent="0.3">
      <c r="I31033" t="s">
        <v>35101</v>
      </c>
      <c r="J31033" t="s">
        <v>9627</v>
      </c>
    </row>
    <row r="31034" spans="9:10" x14ac:dyDescent="0.3">
      <c r="I31034" t="s">
        <v>35102</v>
      </c>
    </row>
    <row r="31035" spans="9:10" x14ac:dyDescent="0.3">
      <c r="I31035" t="s">
        <v>35103</v>
      </c>
    </row>
    <row r="31036" spans="9:10" x14ac:dyDescent="0.3">
      <c r="I31036" t="s">
        <v>35104</v>
      </c>
    </row>
    <row r="31037" spans="9:10" x14ac:dyDescent="0.3">
      <c r="I31037" t="s">
        <v>35105</v>
      </c>
    </row>
    <row r="31038" spans="9:10" x14ac:dyDescent="0.3">
      <c r="I31038" t="s">
        <v>35106</v>
      </c>
      <c r="J31038" t="s">
        <v>9628</v>
      </c>
    </row>
    <row r="31039" spans="9:10" x14ac:dyDescent="0.3">
      <c r="I31039" t="s">
        <v>11220</v>
      </c>
      <c r="J31039" t="s">
        <v>9629</v>
      </c>
    </row>
    <row r="31040" spans="9:10" x14ac:dyDescent="0.3">
      <c r="I31040" t="s">
        <v>35107</v>
      </c>
      <c r="J31040" t="s">
        <v>9630</v>
      </c>
    </row>
    <row r="31041" spans="9:10" x14ac:dyDescent="0.3">
      <c r="I31041" t="s">
        <v>35108</v>
      </c>
    </row>
    <row r="31042" spans="9:10" x14ac:dyDescent="0.3">
      <c r="I31042" t="s">
        <v>35109</v>
      </c>
    </row>
    <row r="31043" spans="9:10" x14ac:dyDescent="0.3">
      <c r="I31043" t="s">
        <v>35110</v>
      </c>
    </row>
    <row r="31044" spans="9:10" x14ac:dyDescent="0.3">
      <c r="I31044" t="s">
        <v>35111</v>
      </c>
      <c r="J31044" t="s">
        <v>9631</v>
      </c>
    </row>
    <row r="31045" spans="9:10" x14ac:dyDescent="0.3">
      <c r="I31045" t="s">
        <v>35112</v>
      </c>
    </row>
    <row r="31046" spans="9:10" x14ac:dyDescent="0.3">
      <c r="I31046" t="s">
        <v>35113</v>
      </c>
    </row>
    <row r="31047" spans="9:10" x14ac:dyDescent="0.3">
      <c r="I31047" t="s">
        <v>35114</v>
      </c>
      <c r="J31047" t="s">
        <v>9632</v>
      </c>
    </row>
    <row r="31048" spans="9:10" x14ac:dyDescent="0.3">
      <c r="I31048" t="s">
        <v>35114</v>
      </c>
      <c r="J31048" t="s">
        <v>9632</v>
      </c>
    </row>
    <row r="31049" spans="9:10" x14ac:dyDescent="0.3">
      <c r="I31049" t="s">
        <v>35114</v>
      </c>
      <c r="J31049" t="s">
        <v>9632</v>
      </c>
    </row>
    <row r="31050" spans="9:10" x14ac:dyDescent="0.3">
      <c r="I31050" t="s">
        <v>35115</v>
      </c>
      <c r="J31050" t="s">
        <v>9633</v>
      </c>
    </row>
    <row r="31051" spans="9:10" x14ac:dyDescent="0.3">
      <c r="I31051" t="s">
        <v>35115</v>
      </c>
      <c r="J31051" t="s">
        <v>9633</v>
      </c>
    </row>
    <row r="31052" spans="9:10" x14ac:dyDescent="0.3">
      <c r="I31052" t="s">
        <v>35116</v>
      </c>
      <c r="J31052" t="s">
        <v>9634</v>
      </c>
    </row>
    <row r="31053" spans="9:10" x14ac:dyDescent="0.3">
      <c r="I31053" t="s">
        <v>35116</v>
      </c>
      <c r="J31053" t="s">
        <v>9634</v>
      </c>
    </row>
    <row r="31054" spans="9:10" x14ac:dyDescent="0.3">
      <c r="I31054" t="s">
        <v>35117</v>
      </c>
      <c r="J31054" t="s">
        <v>9635</v>
      </c>
    </row>
    <row r="31055" spans="9:10" x14ac:dyDescent="0.3">
      <c r="I31055" t="s">
        <v>35117</v>
      </c>
      <c r="J31055" t="s">
        <v>9635</v>
      </c>
    </row>
    <row r="31056" spans="9:10" x14ac:dyDescent="0.3">
      <c r="I31056" t="s">
        <v>35118</v>
      </c>
    </row>
    <row r="31057" spans="9:10" x14ac:dyDescent="0.3">
      <c r="I31057" t="s">
        <v>35119</v>
      </c>
    </row>
    <row r="31058" spans="9:10" x14ac:dyDescent="0.3">
      <c r="I31058" t="s">
        <v>35120</v>
      </c>
    </row>
    <row r="31059" spans="9:10" x14ac:dyDescent="0.3">
      <c r="I31059" t="s">
        <v>35121</v>
      </c>
      <c r="J31059" t="s">
        <v>9636</v>
      </c>
    </row>
    <row r="31060" spans="9:10" x14ac:dyDescent="0.3">
      <c r="I31060" t="s">
        <v>35122</v>
      </c>
      <c r="J31060" t="s">
        <v>858</v>
      </c>
    </row>
    <row r="31061" spans="9:10" x14ac:dyDescent="0.3">
      <c r="I31061" t="s">
        <v>35123</v>
      </c>
      <c r="J31061" t="s">
        <v>9637</v>
      </c>
    </row>
    <row r="31062" spans="9:10" x14ac:dyDescent="0.3">
      <c r="I31062" t="s">
        <v>35124</v>
      </c>
    </row>
    <row r="31063" spans="9:10" x14ac:dyDescent="0.3">
      <c r="I31063" t="s">
        <v>35125</v>
      </c>
    </row>
    <row r="31064" spans="9:10" x14ac:dyDescent="0.3">
      <c r="I31064" t="s">
        <v>35126</v>
      </c>
      <c r="J31064" t="s">
        <v>9638</v>
      </c>
    </row>
    <row r="31065" spans="9:10" x14ac:dyDescent="0.3">
      <c r="I31065" t="s">
        <v>14280</v>
      </c>
      <c r="J31065" t="s">
        <v>9638</v>
      </c>
    </row>
    <row r="31066" spans="9:10" x14ac:dyDescent="0.3">
      <c r="I31066" t="s">
        <v>35127</v>
      </c>
      <c r="J31066" t="s">
        <v>9639</v>
      </c>
    </row>
    <row r="31067" spans="9:10" x14ac:dyDescent="0.3">
      <c r="I31067" t="s">
        <v>35128</v>
      </c>
      <c r="J31067">
        <v>0</v>
      </c>
    </row>
    <row r="31068" spans="9:10" x14ac:dyDescent="0.3">
      <c r="I31068" t="s">
        <v>35129</v>
      </c>
    </row>
    <row r="31069" spans="9:10" x14ac:dyDescent="0.3">
      <c r="I31069" t="s">
        <v>35130</v>
      </c>
    </row>
    <row r="31070" spans="9:10" x14ac:dyDescent="0.3">
      <c r="I31070" t="s">
        <v>35131</v>
      </c>
    </row>
    <row r="31071" spans="9:10" x14ac:dyDescent="0.3">
      <c r="I31071" t="s">
        <v>35132</v>
      </c>
    </row>
    <row r="31072" spans="9:10" x14ac:dyDescent="0.3">
      <c r="I31072" t="s">
        <v>35133</v>
      </c>
    </row>
    <row r="31073" spans="9:10" x14ac:dyDescent="0.3">
      <c r="I31073" t="s">
        <v>35134</v>
      </c>
    </row>
    <row r="31074" spans="9:10" x14ac:dyDescent="0.3">
      <c r="I31074" t="s">
        <v>35135</v>
      </c>
    </row>
    <row r="31075" spans="9:10" x14ac:dyDescent="0.3">
      <c r="I31075" t="s">
        <v>35136</v>
      </c>
      <c r="J31075" t="s">
        <v>9640</v>
      </c>
    </row>
    <row r="31076" spans="9:10" x14ac:dyDescent="0.3">
      <c r="I31076" t="s">
        <v>35137</v>
      </c>
    </row>
    <row r="31077" spans="9:10" x14ac:dyDescent="0.3">
      <c r="I31077" t="s">
        <v>35138</v>
      </c>
    </row>
    <row r="31078" spans="9:10" x14ac:dyDescent="0.3">
      <c r="I31078" t="s">
        <v>35139</v>
      </c>
      <c r="J31078" t="s">
        <v>9641</v>
      </c>
    </row>
    <row r="31079" spans="9:10" x14ac:dyDescent="0.3">
      <c r="I31079" t="s">
        <v>35140</v>
      </c>
      <c r="J31079" t="s">
        <v>9642</v>
      </c>
    </row>
    <row r="31080" spans="9:10" x14ac:dyDescent="0.3">
      <c r="I31080" t="s">
        <v>35141</v>
      </c>
      <c r="J31080" t="s">
        <v>9643</v>
      </c>
    </row>
    <row r="31081" spans="9:10" x14ac:dyDescent="0.3">
      <c r="I31081" t="s">
        <v>35142</v>
      </c>
      <c r="J31081" t="s">
        <v>9644</v>
      </c>
    </row>
    <row r="31082" spans="9:10" x14ac:dyDescent="0.3">
      <c r="I31082" t="s">
        <v>35143</v>
      </c>
      <c r="J31082" t="s">
        <v>9645</v>
      </c>
    </row>
    <row r="31083" spans="9:10" x14ac:dyDescent="0.3">
      <c r="I31083" t="s">
        <v>35144</v>
      </c>
      <c r="J31083" t="s">
        <v>9646</v>
      </c>
    </row>
    <row r="31084" spans="9:10" x14ac:dyDescent="0.3">
      <c r="I31084" t="s">
        <v>35145</v>
      </c>
      <c r="J31084" t="s">
        <v>9647</v>
      </c>
    </row>
    <row r="31085" spans="9:10" x14ac:dyDescent="0.3">
      <c r="I31085" t="s">
        <v>35146</v>
      </c>
      <c r="J31085" t="s">
        <v>9648</v>
      </c>
    </row>
    <row r="31086" spans="9:10" x14ac:dyDescent="0.3">
      <c r="I31086" t="s">
        <v>35147</v>
      </c>
      <c r="J31086" t="s">
        <v>9649</v>
      </c>
    </row>
    <row r="31087" spans="9:10" x14ac:dyDescent="0.3">
      <c r="I31087" t="s">
        <v>35148</v>
      </c>
      <c r="J31087" t="s">
        <v>9650</v>
      </c>
    </row>
    <row r="31088" spans="9:10" x14ac:dyDescent="0.3">
      <c r="I31088" t="s">
        <v>35149</v>
      </c>
      <c r="J31088" t="s">
        <v>9651</v>
      </c>
    </row>
    <row r="31089" spans="9:10" x14ac:dyDescent="0.3">
      <c r="I31089" t="s">
        <v>35150</v>
      </c>
      <c r="J31089" t="s">
        <v>9652</v>
      </c>
    </row>
    <row r="31090" spans="9:10" x14ac:dyDescent="0.3">
      <c r="I31090" t="s">
        <v>35151</v>
      </c>
      <c r="J31090" t="s">
        <v>9653</v>
      </c>
    </row>
    <row r="31091" spans="9:10" x14ac:dyDescent="0.3">
      <c r="I31091" t="s">
        <v>35152</v>
      </c>
      <c r="J31091" t="s">
        <v>9654</v>
      </c>
    </row>
    <row r="31092" spans="9:10" x14ac:dyDescent="0.3">
      <c r="I31092" t="s">
        <v>35153</v>
      </c>
      <c r="J31092" t="s">
        <v>9655</v>
      </c>
    </row>
    <row r="31093" spans="9:10" x14ac:dyDescent="0.3">
      <c r="I31093" t="s">
        <v>35154</v>
      </c>
    </row>
    <row r="31094" spans="9:10" x14ac:dyDescent="0.3">
      <c r="I31094" t="s">
        <v>35155</v>
      </c>
    </row>
    <row r="31095" spans="9:10" x14ac:dyDescent="0.3">
      <c r="I31095" t="s">
        <v>35156</v>
      </c>
      <c r="J31095" t="s">
        <v>9656</v>
      </c>
    </row>
    <row r="31096" spans="9:10" x14ac:dyDescent="0.3">
      <c r="I31096" t="s">
        <v>35157</v>
      </c>
      <c r="J31096" t="s">
        <v>9656</v>
      </c>
    </row>
    <row r="31097" spans="9:10" x14ac:dyDescent="0.3">
      <c r="I31097" t="s">
        <v>35157</v>
      </c>
      <c r="J31097" t="s">
        <v>9656</v>
      </c>
    </row>
    <row r="31098" spans="9:10" x14ac:dyDescent="0.3">
      <c r="I31098" t="s">
        <v>35158</v>
      </c>
    </row>
    <row r="31099" spans="9:10" x14ac:dyDescent="0.3">
      <c r="I31099" t="s">
        <v>35159</v>
      </c>
      <c r="J31099" t="s">
        <v>9657</v>
      </c>
    </row>
    <row r="31100" spans="9:10" x14ac:dyDescent="0.3">
      <c r="I31100" t="s">
        <v>35160</v>
      </c>
    </row>
    <row r="31101" spans="9:10" x14ac:dyDescent="0.3">
      <c r="I31101" t="s">
        <v>35161</v>
      </c>
    </row>
    <row r="31102" spans="9:10" x14ac:dyDescent="0.3">
      <c r="I31102" t="s">
        <v>35162</v>
      </c>
    </row>
    <row r="31103" spans="9:10" x14ac:dyDescent="0.3">
      <c r="I31103" t="s">
        <v>35163</v>
      </c>
      <c r="J31103" t="s">
        <v>9658</v>
      </c>
    </row>
    <row r="31104" spans="9:10" x14ac:dyDescent="0.3">
      <c r="I31104" t="s">
        <v>35164</v>
      </c>
    </row>
    <row r="31105" spans="9:10" x14ac:dyDescent="0.3">
      <c r="I31105" t="s">
        <v>35165</v>
      </c>
    </row>
    <row r="31106" spans="9:10" x14ac:dyDescent="0.3">
      <c r="I31106" t="s">
        <v>35166</v>
      </c>
      <c r="J31106" t="s">
        <v>9659</v>
      </c>
    </row>
    <row r="31107" spans="9:10" x14ac:dyDescent="0.3">
      <c r="I31107" t="s">
        <v>35167</v>
      </c>
      <c r="J31107" t="s">
        <v>9660</v>
      </c>
    </row>
    <row r="31108" spans="9:10" x14ac:dyDescent="0.3">
      <c r="I31108" t="s">
        <v>31939</v>
      </c>
      <c r="J31108" t="s">
        <v>9660</v>
      </c>
    </row>
    <row r="31109" spans="9:10" x14ac:dyDescent="0.3">
      <c r="I31109" t="s">
        <v>35168</v>
      </c>
    </row>
    <row r="31110" spans="9:10" x14ac:dyDescent="0.3">
      <c r="I31110" t="s">
        <v>35169</v>
      </c>
      <c r="J31110" t="s">
        <v>9661</v>
      </c>
    </row>
    <row r="31111" spans="9:10" x14ac:dyDescent="0.3">
      <c r="I31111" t="s">
        <v>35170</v>
      </c>
    </row>
    <row r="31112" spans="9:10" x14ac:dyDescent="0.3">
      <c r="I31112" t="s">
        <v>35171</v>
      </c>
    </row>
    <row r="31113" spans="9:10" x14ac:dyDescent="0.3">
      <c r="I31113" t="s">
        <v>35172</v>
      </c>
    </row>
    <row r="31114" spans="9:10" x14ac:dyDescent="0.3">
      <c r="I31114" t="s">
        <v>35173</v>
      </c>
    </row>
    <row r="31115" spans="9:10" x14ac:dyDescent="0.3">
      <c r="I31115" t="s">
        <v>35174</v>
      </c>
    </row>
    <row r="31116" spans="9:10" x14ac:dyDescent="0.3">
      <c r="I31116" t="s">
        <v>35175</v>
      </c>
    </row>
    <row r="31117" spans="9:10" x14ac:dyDescent="0.3">
      <c r="I31117" t="s">
        <v>35176</v>
      </c>
      <c r="J31117" t="s">
        <v>9662</v>
      </c>
    </row>
    <row r="31118" spans="9:10" x14ac:dyDescent="0.3">
      <c r="I31118" t="s">
        <v>35177</v>
      </c>
      <c r="J31118" t="s">
        <v>840</v>
      </c>
    </row>
    <row r="31119" spans="9:10" x14ac:dyDescent="0.3">
      <c r="I31119" t="s">
        <v>35178</v>
      </c>
    </row>
    <row r="31120" spans="9:10" x14ac:dyDescent="0.3">
      <c r="I31120" t="s">
        <v>35179</v>
      </c>
    </row>
    <row r="31121" spans="9:10" x14ac:dyDescent="0.3">
      <c r="I31121" t="s">
        <v>35180</v>
      </c>
    </row>
    <row r="31122" spans="9:10" x14ac:dyDescent="0.3">
      <c r="I31122" t="s">
        <v>35181</v>
      </c>
    </row>
    <row r="31123" spans="9:10" x14ac:dyDescent="0.3">
      <c r="I31123" t="s">
        <v>35182</v>
      </c>
    </row>
    <row r="31124" spans="9:10" x14ac:dyDescent="0.3">
      <c r="I31124" t="s">
        <v>35183</v>
      </c>
    </row>
    <row r="31125" spans="9:10" x14ac:dyDescent="0.3">
      <c r="I31125" t="s">
        <v>35184</v>
      </c>
      <c r="J31125" t="s">
        <v>9663</v>
      </c>
    </row>
    <row r="31126" spans="9:10" x14ac:dyDescent="0.3">
      <c r="I31126" t="s">
        <v>35184</v>
      </c>
      <c r="J31126" t="s">
        <v>9663</v>
      </c>
    </row>
    <row r="31127" spans="9:10" x14ac:dyDescent="0.3">
      <c r="I31127" t="s">
        <v>35185</v>
      </c>
      <c r="J31127" t="s">
        <v>9664</v>
      </c>
    </row>
    <row r="31128" spans="9:10" x14ac:dyDescent="0.3">
      <c r="I31128" t="s">
        <v>35186</v>
      </c>
    </row>
    <row r="31129" spans="9:10" x14ac:dyDescent="0.3">
      <c r="I31129" t="s">
        <v>35187</v>
      </c>
    </row>
    <row r="31130" spans="9:10" x14ac:dyDescent="0.3">
      <c r="I31130" t="s">
        <v>35188</v>
      </c>
    </row>
    <row r="31131" spans="9:10" x14ac:dyDescent="0.3">
      <c r="I31131" t="s">
        <v>35189</v>
      </c>
    </row>
    <row r="31132" spans="9:10" x14ac:dyDescent="0.3">
      <c r="I31132" t="s">
        <v>35190</v>
      </c>
    </row>
    <row r="31133" spans="9:10" x14ac:dyDescent="0.3">
      <c r="I31133" t="s">
        <v>35191</v>
      </c>
      <c r="J31133" t="s">
        <v>9665</v>
      </c>
    </row>
    <row r="31134" spans="9:10" x14ac:dyDescent="0.3">
      <c r="I31134" t="s">
        <v>35192</v>
      </c>
      <c r="J31134" t="s">
        <v>9666</v>
      </c>
    </row>
    <row r="31135" spans="9:10" x14ac:dyDescent="0.3">
      <c r="I31135" t="s">
        <v>35193</v>
      </c>
    </row>
    <row r="31136" spans="9:10" x14ac:dyDescent="0.3">
      <c r="I31136" t="s">
        <v>35194</v>
      </c>
    </row>
    <row r="31137" spans="9:10" x14ac:dyDescent="0.3">
      <c r="I31137" t="s">
        <v>35195</v>
      </c>
    </row>
    <row r="31138" spans="9:10" x14ac:dyDescent="0.3">
      <c r="I31138" t="s">
        <v>35196</v>
      </c>
    </row>
    <row r="31139" spans="9:10" x14ac:dyDescent="0.3">
      <c r="I31139" t="s">
        <v>35197</v>
      </c>
    </row>
    <row r="31140" spans="9:10" x14ac:dyDescent="0.3">
      <c r="I31140" t="s">
        <v>35198</v>
      </c>
    </row>
    <row r="31141" spans="9:10" x14ac:dyDescent="0.3">
      <c r="I31141" t="s">
        <v>35199</v>
      </c>
    </row>
    <row r="31142" spans="9:10" x14ac:dyDescent="0.3">
      <c r="I31142" t="s">
        <v>35200</v>
      </c>
    </row>
    <row r="31143" spans="9:10" x14ac:dyDescent="0.3">
      <c r="I31143" t="s">
        <v>35201</v>
      </c>
      <c r="J31143" t="s">
        <v>9667</v>
      </c>
    </row>
    <row r="31144" spans="9:10" x14ac:dyDescent="0.3">
      <c r="I31144" t="s">
        <v>35202</v>
      </c>
      <c r="J31144" t="s">
        <v>9668</v>
      </c>
    </row>
    <row r="31145" spans="9:10" x14ac:dyDescent="0.3">
      <c r="I31145" t="s">
        <v>35203</v>
      </c>
      <c r="J31145" t="s">
        <v>9669</v>
      </c>
    </row>
    <row r="31146" spans="9:10" x14ac:dyDescent="0.3">
      <c r="I31146" t="s">
        <v>35204</v>
      </c>
    </row>
    <row r="31147" spans="9:10" x14ac:dyDescent="0.3">
      <c r="I31147" t="s">
        <v>35205</v>
      </c>
    </row>
    <row r="31148" spans="9:10" x14ac:dyDescent="0.3">
      <c r="I31148" t="s">
        <v>35206</v>
      </c>
    </row>
    <row r="31149" spans="9:10" x14ac:dyDescent="0.3">
      <c r="I31149" t="s">
        <v>35207</v>
      </c>
    </row>
    <row r="31150" spans="9:10" x14ac:dyDescent="0.3">
      <c r="I31150" t="s">
        <v>35208</v>
      </c>
    </row>
    <row r="31151" spans="9:10" x14ac:dyDescent="0.3">
      <c r="I31151" t="s">
        <v>35209</v>
      </c>
    </row>
    <row r="31152" spans="9:10" x14ac:dyDescent="0.3">
      <c r="I31152" t="s">
        <v>35210</v>
      </c>
    </row>
    <row r="31153" spans="9:10" x14ac:dyDescent="0.3">
      <c r="I31153" t="s">
        <v>35211</v>
      </c>
    </row>
    <row r="31154" spans="9:10" x14ac:dyDescent="0.3">
      <c r="I31154" t="s">
        <v>35212</v>
      </c>
      <c r="J31154" t="s">
        <v>9670</v>
      </c>
    </row>
    <row r="31155" spans="9:10" x14ac:dyDescent="0.3">
      <c r="I31155" t="s">
        <v>35213</v>
      </c>
    </row>
    <row r="31156" spans="9:10" x14ac:dyDescent="0.3">
      <c r="I31156" t="s">
        <v>35214</v>
      </c>
    </row>
    <row r="31157" spans="9:10" x14ac:dyDescent="0.3">
      <c r="I31157" t="s">
        <v>35215</v>
      </c>
    </row>
    <row r="31158" spans="9:10" x14ac:dyDescent="0.3">
      <c r="I31158" t="s">
        <v>35216</v>
      </c>
    </row>
    <row r="31159" spans="9:10" x14ac:dyDescent="0.3">
      <c r="I31159" t="s">
        <v>35217</v>
      </c>
    </row>
    <row r="31160" spans="9:10" x14ac:dyDescent="0.3">
      <c r="I31160" t="s">
        <v>35218</v>
      </c>
    </row>
    <row r="31161" spans="9:10" x14ac:dyDescent="0.3">
      <c r="I31161" t="s">
        <v>35219</v>
      </c>
      <c r="J31161" t="s">
        <v>9671</v>
      </c>
    </row>
    <row r="31162" spans="9:10" x14ac:dyDescent="0.3">
      <c r="I31162" t="s">
        <v>35220</v>
      </c>
      <c r="J31162" t="s">
        <v>9672</v>
      </c>
    </row>
    <row r="31163" spans="9:10" x14ac:dyDescent="0.3">
      <c r="I31163" t="s">
        <v>35221</v>
      </c>
    </row>
    <row r="31164" spans="9:10" x14ac:dyDescent="0.3">
      <c r="I31164" t="s">
        <v>35222</v>
      </c>
    </row>
    <row r="31165" spans="9:10" x14ac:dyDescent="0.3">
      <c r="I31165" t="s">
        <v>35223</v>
      </c>
    </row>
    <row r="31166" spans="9:10" x14ac:dyDescent="0.3">
      <c r="I31166" t="s">
        <v>35224</v>
      </c>
    </row>
    <row r="31167" spans="9:10" x14ac:dyDescent="0.3">
      <c r="I31167" t="s">
        <v>35225</v>
      </c>
    </row>
    <row r="31168" spans="9:10" x14ac:dyDescent="0.3">
      <c r="I31168" t="s">
        <v>35226</v>
      </c>
    </row>
    <row r="31169" spans="9:10" x14ac:dyDescent="0.3">
      <c r="I31169" t="s">
        <v>35227</v>
      </c>
    </row>
    <row r="31170" spans="9:10" x14ac:dyDescent="0.3">
      <c r="I31170" t="s">
        <v>35228</v>
      </c>
    </row>
    <row r="31171" spans="9:10" x14ac:dyDescent="0.3">
      <c r="I31171" t="s">
        <v>35229</v>
      </c>
      <c r="J31171" t="s">
        <v>9673</v>
      </c>
    </row>
    <row r="31172" spans="9:10" x14ac:dyDescent="0.3">
      <c r="I31172" t="s">
        <v>35230</v>
      </c>
    </row>
    <row r="31173" spans="9:10" x14ac:dyDescent="0.3">
      <c r="I31173" t="s">
        <v>35231</v>
      </c>
    </row>
    <row r="31174" spans="9:10" x14ac:dyDescent="0.3">
      <c r="I31174" t="s">
        <v>35232</v>
      </c>
    </row>
    <row r="31175" spans="9:10" x14ac:dyDescent="0.3">
      <c r="I31175" t="s">
        <v>17630</v>
      </c>
      <c r="J31175">
        <v>0</v>
      </c>
    </row>
    <row r="31176" spans="9:10" x14ac:dyDescent="0.3">
      <c r="I31176" t="s">
        <v>35233</v>
      </c>
    </row>
    <row r="31177" spans="9:10" x14ac:dyDescent="0.3">
      <c r="I31177" t="s">
        <v>35234</v>
      </c>
    </row>
    <row r="31178" spans="9:10" x14ac:dyDescent="0.3">
      <c r="I31178" t="s">
        <v>35235</v>
      </c>
    </row>
    <row r="31179" spans="9:10" x14ac:dyDescent="0.3">
      <c r="I31179" t="s">
        <v>35236</v>
      </c>
    </row>
    <row r="31180" spans="9:10" x14ac:dyDescent="0.3">
      <c r="I31180" t="s">
        <v>35237</v>
      </c>
    </row>
    <row r="31181" spans="9:10" x14ac:dyDescent="0.3">
      <c r="I31181" t="s">
        <v>35238</v>
      </c>
    </row>
    <row r="31182" spans="9:10" x14ac:dyDescent="0.3">
      <c r="I31182" t="s">
        <v>35239</v>
      </c>
    </row>
    <row r="31183" spans="9:10" x14ac:dyDescent="0.3">
      <c r="I31183" t="s">
        <v>35240</v>
      </c>
      <c r="J31183" t="s">
        <v>873</v>
      </c>
    </row>
    <row r="31184" spans="9:10" x14ac:dyDescent="0.3">
      <c r="I31184" t="s">
        <v>35241</v>
      </c>
    </row>
    <row r="31185" spans="9:10" x14ac:dyDescent="0.3">
      <c r="I31185" t="s">
        <v>35242</v>
      </c>
    </row>
    <row r="31186" spans="9:10" x14ac:dyDescent="0.3">
      <c r="I31186" t="s">
        <v>35243</v>
      </c>
    </row>
    <row r="31187" spans="9:10" x14ac:dyDescent="0.3">
      <c r="I31187" t="s">
        <v>35244</v>
      </c>
    </row>
    <row r="31188" spans="9:10" x14ac:dyDescent="0.3">
      <c r="I31188" t="s">
        <v>35245</v>
      </c>
    </row>
    <row r="31189" spans="9:10" x14ac:dyDescent="0.3">
      <c r="I31189" t="s">
        <v>35246</v>
      </c>
    </row>
    <row r="31190" spans="9:10" x14ac:dyDescent="0.3">
      <c r="I31190" t="s">
        <v>35247</v>
      </c>
    </row>
    <row r="31191" spans="9:10" x14ac:dyDescent="0.3">
      <c r="I31191" t="s">
        <v>35248</v>
      </c>
    </row>
    <row r="31192" spans="9:10" x14ac:dyDescent="0.3">
      <c r="I31192" t="s">
        <v>35249</v>
      </c>
    </row>
    <row r="31193" spans="9:10" x14ac:dyDescent="0.3">
      <c r="I31193" t="s">
        <v>35250</v>
      </c>
      <c r="J31193" t="s">
        <v>9674</v>
      </c>
    </row>
    <row r="31194" spans="9:10" x14ac:dyDescent="0.3">
      <c r="I31194" t="s">
        <v>35251</v>
      </c>
    </row>
    <row r="31195" spans="9:10" x14ac:dyDescent="0.3">
      <c r="I31195" t="s">
        <v>35252</v>
      </c>
    </row>
    <row r="31196" spans="9:10" x14ac:dyDescent="0.3">
      <c r="I31196" t="s">
        <v>35253</v>
      </c>
    </row>
    <row r="31197" spans="9:10" x14ac:dyDescent="0.3">
      <c r="I31197" t="s">
        <v>35254</v>
      </c>
    </row>
    <row r="31198" spans="9:10" x14ac:dyDescent="0.3">
      <c r="I31198" t="s">
        <v>35255</v>
      </c>
    </row>
    <row r="31199" spans="9:10" x14ac:dyDescent="0.3">
      <c r="I31199" t="s">
        <v>35256</v>
      </c>
    </row>
    <row r="31200" spans="9:10" x14ac:dyDescent="0.3">
      <c r="I31200" t="s">
        <v>35257</v>
      </c>
    </row>
    <row r="31201" spans="9:10" x14ac:dyDescent="0.3">
      <c r="I31201" t="s">
        <v>35258</v>
      </c>
      <c r="J31201" t="s">
        <v>9675</v>
      </c>
    </row>
    <row r="31202" spans="9:10" x14ac:dyDescent="0.3">
      <c r="I31202" t="s">
        <v>35259</v>
      </c>
      <c r="J31202" t="s">
        <v>9676</v>
      </c>
    </row>
    <row r="31203" spans="9:10" x14ac:dyDescent="0.3">
      <c r="I31203" t="s">
        <v>35260</v>
      </c>
      <c r="J31203" t="s">
        <v>878</v>
      </c>
    </row>
    <row r="31204" spans="9:10" x14ac:dyDescent="0.3">
      <c r="I31204" t="s">
        <v>35261</v>
      </c>
      <c r="J31204" t="s">
        <v>9677</v>
      </c>
    </row>
    <row r="31205" spans="9:10" x14ac:dyDescent="0.3">
      <c r="I31205" t="s">
        <v>35262</v>
      </c>
      <c r="J31205" t="s">
        <v>9678</v>
      </c>
    </row>
    <row r="31206" spans="9:10" x14ac:dyDescent="0.3">
      <c r="I31206" t="s">
        <v>35263</v>
      </c>
    </row>
    <row r="31207" spans="9:10" x14ac:dyDescent="0.3">
      <c r="I31207" t="s">
        <v>35264</v>
      </c>
    </row>
    <row r="31208" spans="9:10" x14ac:dyDescent="0.3">
      <c r="I31208" t="s">
        <v>35265</v>
      </c>
    </row>
    <row r="31209" spans="9:10" x14ac:dyDescent="0.3">
      <c r="I31209" t="s">
        <v>35266</v>
      </c>
      <c r="J31209" t="s">
        <v>9679</v>
      </c>
    </row>
    <row r="31210" spans="9:10" x14ac:dyDescent="0.3">
      <c r="I31210" t="s">
        <v>35267</v>
      </c>
    </row>
    <row r="31211" spans="9:10" x14ac:dyDescent="0.3">
      <c r="I31211" t="s">
        <v>35268</v>
      </c>
    </row>
    <row r="31212" spans="9:10" x14ac:dyDescent="0.3">
      <c r="I31212" t="s">
        <v>35269</v>
      </c>
    </row>
    <row r="31213" spans="9:10" x14ac:dyDescent="0.3">
      <c r="I31213" t="s">
        <v>35270</v>
      </c>
    </row>
    <row r="31214" spans="9:10" x14ac:dyDescent="0.3">
      <c r="I31214" t="s">
        <v>35271</v>
      </c>
    </row>
    <row r="31215" spans="9:10" x14ac:dyDescent="0.3">
      <c r="I31215" t="s">
        <v>35272</v>
      </c>
    </row>
    <row r="31216" spans="9:10" x14ac:dyDescent="0.3">
      <c r="I31216" t="s">
        <v>35273</v>
      </c>
    </row>
    <row r="31217" spans="9:10" x14ac:dyDescent="0.3">
      <c r="I31217" t="s">
        <v>35274</v>
      </c>
      <c r="J31217" t="s">
        <v>9680</v>
      </c>
    </row>
    <row r="31218" spans="9:10" x14ac:dyDescent="0.3">
      <c r="I31218" t="s">
        <v>35275</v>
      </c>
      <c r="J31218" t="s">
        <v>9681</v>
      </c>
    </row>
    <row r="31219" spans="9:10" x14ac:dyDescent="0.3">
      <c r="I31219" t="s">
        <v>35276</v>
      </c>
      <c r="J31219" t="s">
        <v>9682</v>
      </c>
    </row>
    <row r="31220" spans="9:10" x14ac:dyDescent="0.3">
      <c r="I31220" t="s">
        <v>35277</v>
      </c>
      <c r="J31220" t="s">
        <v>9683</v>
      </c>
    </row>
    <row r="31221" spans="9:10" x14ac:dyDescent="0.3">
      <c r="I31221" t="s">
        <v>35278</v>
      </c>
      <c r="J31221" t="s">
        <v>9684</v>
      </c>
    </row>
    <row r="31222" spans="9:10" x14ac:dyDescent="0.3">
      <c r="I31222" t="s">
        <v>35279</v>
      </c>
    </row>
    <row r="31223" spans="9:10" x14ac:dyDescent="0.3">
      <c r="I31223" t="s">
        <v>35280</v>
      </c>
    </row>
    <row r="31224" spans="9:10" x14ac:dyDescent="0.3">
      <c r="I31224" t="s">
        <v>35281</v>
      </c>
    </row>
    <row r="31225" spans="9:10" x14ac:dyDescent="0.3">
      <c r="I31225" t="s">
        <v>35282</v>
      </c>
    </row>
    <row r="31226" spans="9:10" x14ac:dyDescent="0.3">
      <c r="I31226" t="s">
        <v>35283</v>
      </c>
    </row>
    <row r="31227" spans="9:10" x14ac:dyDescent="0.3">
      <c r="I31227" t="s">
        <v>35284</v>
      </c>
    </row>
    <row r="31228" spans="9:10" x14ac:dyDescent="0.3">
      <c r="I31228" t="s">
        <v>35285</v>
      </c>
    </row>
    <row r="31229" spans="9:10" x14ac:dyDescent="0.3">
      <c r="I31229" t="s">
        <v>35286</v>
      </c>
    </row>
    <row r="31230" spans="9:10" x14ac:dyDescent="0.3">
      <c r="I31230" t="s">
        <v>35287</v>
      </c>
    </row>
    <row r="31231" spans="9:10" x14ac:dyDescent="0.3">
      <c r="I31231" t="s">
        <v>35288</v>
      </c>
      <c r="J31231" t="s">
        <v>9685</v>
      </c>
    </row>
    <row r="31232" spans="9:10" x14ac:dyDescent="0.3">
      <c r="I31232" t="s">
        <v>35289</v>
      </c>
      <c r="J31232" t="s">
        <v>9686</v>
      </c>
    </row>
    <row r="31233" spans="9:10" x14ac:dyDescent="0.3">
      <c r="I31233" t="s">
        <v>35290</v>
      </c>
      <c r="J31233" t="s">
        <v>9686</v>
      </c>
    </row>
    <row r="31234" spans="9:10" x14ac:dyDescent="0.3">
      <c r="I31234" t="s">
        <v>35291</v>
      </c>
      <c r="J31234" t="s">
        <v>9687</v>
      </c>
    </row>
    <row r="31235" spans="9:10" x14ac:dyDescent="0.3">
      <c r="I31235" t="s">
        <v>35291</v>
      </c>
      <c r="J31235" t="s">
        <v>9687</v>
      </c>
    </row>
    <row r="31236" spans="9:10" x14ac:dyDescent="0.3">
      <c r="I31236" t="s">
        <v>35292</v>
      </c>
    </row>
    <row r="31237" spans="9:10" x14ac:dyDescent="0.3">
      <c r="I31237" t="s">
        <v>35293</v>
      </c>
    </row>
    <row r="31238" spans="9:10" x14ac:dyDescent="0.3">
      <c r="I31238" t="s">
        <v>35294</v>
      </c>
    </row>
    <row r="31239" spans="9:10" x14ac:dyDescent="0.3">
      <c r="I31239" t="s">
        <v>35295</v>
      </c>
      <c r="J31239" t="s">
        <v>9688</v>
      </c>
    </row>
    <row r="31240" spans="9:10" x14ac:dyDescent="0.3">
      <c r="I31240" t="s">
        <v>35296</v>
      </c>
    </row>
    <row r="31241" spans="9:10" x14ac:dyDescent="0.3">
      <c r="I31241" t="s">
        <v>35297</v>
      </c>
    </row>
    <row r="31242" spans="9:10" x14ac:dyDescent="0.3">
      <c r="I31242" t="s">
        <v>35298</v>
      </c>
    </row>
    <row r="31243" spans="9:10" x14ac:dyDescent="0.3">
      <c r="I31243" t="s">
        <v>35299</v>
      </c>
    </row>
    <row r="31244" spans="9:10" x14ac:dyDescent="0.3">
      <c r="I31244" t="s">
        <v>35300</v>
      </c>
    </row>
    <row r="31245" spans="9:10" x14ac:dyDescent="0.3">
      <c r="I31245" t="s">
        <v>35301</v>
      </c>
    </row>
    <row r="31246" spans="9:10" x14ac:dyDescent="0.3">
      <c r="I31246" t="s">
        <v>35302</v>
      </c>
    </row>
    <row r="31247" spans="9:10" x14ac:dyDescent="0.3">
      <c r="I31247" t="s">
        <v>35303</v>
      </c>
    </row>
    <row r="31248" spans="9:10" x14ac:dyDescent="0.3">
      <c r="I31248" t="s">
        <v>35304</v>
      </c>
    </row>
    <row r="31249" spans="9:10" x14ac:dyDescent="0.3">
      <c r="I31249" t="s">
        <v>35305</v>
      </c>
    </row>
    <row r="31250" spans="9:10" x14ac:dyDescent="0.3">
      <c r="I31250" t="s">
        <v>35306</v>
      </c>
    </row>
    <row r="31251" spans="9:10" x14ac:dyDescent="0.3">
      <c r="I31251" t="s">
        <v>35307</v>
      </c>
    </row>
    <row r="31252" spans="9:10" x14ac:dyDescent="0.3">
      <c r="I31252" t="s">
        <v>35308</v>
      </c>
    </row>
    <row r="31253" spans="9:10" x14ac:dyDescent="0.3">
      <c r="I31253" t="s">
        <v>35309</v>
      </c>
    </row>
    <row r="31254" spans="9:10" x14ac:dyDescent="0.3">
      <c r="I31254" t="s">
        <v>35310</v>
      </c>
    </row>
    <row r="31255" spans="9:10" x14ac:dyDescent="0.3">
      <c r="I31255" t="s">
        <v>35311</v>
      </c>
    </row>
    <row r="31256" spans="9:10" x14ac:dyDescent="0.3">
      <c r="I31256" t="s">
        <v>35312</v>
      </c>
      <c r="J31256" t="s">
        <v>9689</v>
      </c>
    </row>
    <row r="31257" spans="9:10" x14ac:dyDescent="0.3">
      <c r="I31257" t="s">
        <v>35313</v>
      </c>
    </row>
    <row r="31258" spans="9:10" x14ac:dyDescent="0.3">
      <c r="I31258" t="s">
        <v>35314</v>
      </c>
    </row>
    <row r="31259" spans="9:10" x14ac:dyDescent="0.3">
      <c r="I31259" t="s">
        <v>35315</v>
      </c>
    </row>
    <row r="31260" spans="9:10" x14ac:dyDescent="0.3">
      <c r="I31260" t="s">
        <v>35316</v>
      </c>
    </row>
    <row r="31261" spans="9:10" x14ac:dyDescent="0.3">
      <c r="I31261" t="s">
        <v>35317</v>
      </c>
    </row>
    <row r="31262" spans="9:10" x14ac:dyDescent="0.3">
      <c r="I31262" t="s">
        <v>35318</v>
      </c>
    </row>
    <row r="31263" spans="9:10" x14ac:dyDescent="0.3">
      <c r="I31263" t="s">
        <v>35319</v>
      </c>
      <c r="J31263" t="s">
        <v>971</v>
      </c>
    </row>
    <row r="31264" spans="9:10" x14ac:dyDescent="0.3">
      <c r="I31264" t="s">
        <v>35319</v>
      </c>
      <c r="J31264" t="s">
        <v>971</v>
      </c>
    </row>
    <row r="31265" spans="9:10" x14ac:dyDescent="0.3">
      <c r="I31265" t="s">
        <v>35319</v>
      </c>
      <c r="J31265" t="s">
        <v>971</v>
      </c>
    </row>
    <row r="31266" spans="9:10" x14ac:dyDescent="0.3">
      <c r="I31266" t="s">
        <v>35320</v>
      </c>
    </row>
    <row r="31267" spans="9:10" x14ac:dyDescent="0.3">
      <c r="I31267" t="s">
        <v>35321</v>
      </c>
    </row>
    <row r="31268" spans="9:10" x14ac:dyDescent="0.3">
      <c r="I31268" t="s">
        <v>35322</v>
      </c>
    </row>
    <row r="31269" spans="9:10" x14ac:dyDescent="0.3">
      <c r="I31269" t="s">
        <v>35323</v>
      </c>
    </row>
    <row r="31270" spans="9:10" x14ac:dyDescent="0.3">
      <c r="I31270" t="s">
        <v>35324</v>
      </c>
    </row>
    <row r="31271" spans="9:10" x14ac:dyDescent="0.3">
      <c r="I31271" t="s">
        <v>35325</v>
      </c>
    </row>
    <row r="31272" spans="9:10" x14ac:dyDescent="0.3">
      <c r="I31272" t="s">
        <v>35326</v>
      </c>
    </row>
    <row r="31273" spans="9:10" x14ac:dyDescent="0.3">
      <c r="I31273" t="s">
        <v>35327</v>
      </c>
    </row>
    <row r="31274" spans="9:10" x14ac:dyDescent="0.3">
      <c r="I31274" t="s">
        <v>35328</v>
      </c>
    </row>
    <row r="31275" spans="9:10" x14ac:dyDescent="0.3">
      <c r="I31275" t="s">
        <v>35329</v>
      </c>
    </row>
    <row r="31276" spans="9:10" x14ac:dyDescent="0.3">
      <c r="I31276" t="s">
        <v>35330</v>
      </c>
    </row>
    <row r="31277" spans="9:10" x14ac:dyDescent="0.3">
      <c r="I31277" t="s">
        <v>35331</v>
      </c>
    </row>
    <row r="31278" spans="9:10" x14ac:dyDescent="0.3">
      <c r="I31278" t="s">
        <v>35332</v>
      </c>
      <c r="J31278" t="s">
        <v>9690</v>
      </c>
    </row>
    <row r="31279" spans="9:10" x14ac:dyDescent="0.3">
      <c r="I31279" t="s">
        <v>35333</v>
      </c>
      <c r="J31279" t="s">
        <v>9691</v>
      </c>
    </row>
    <row r="31280" spans="9:10" x14ac:dyDescent="0.3">
      <c r="I31280" t="s">
        <v>35334</v>
      </c>
    </row>
    <row r="31281" spans="9:10" x14ac:dyDescent="0.3">
      <c r="I31281" t="s">
        <v>35335</v>
      </c>
    </row>
    <row r="31282" spans="9:10" x14ac:dyDescent="0.3">
      <c r="I31282" t="s">
        <v>35336</v>
      </c>
    </row>
    <row r="31283" spans="9:10" x14ac:dyDescent="0.3">
      <c r="I31283" t="s">
        <v>35337</v>
      </c>
    </row>
    <row r="31284" spans="9:10" x14ac:dyDescent="0.3">
      <c r="I31284" t="s">
        <v>35338</v>
      </c>
      <c r="J31284" t="s">
        <v>933</v>
      </c>
    </row>
    <row r="31285" spans="9:10" x14ac:dyDescent="0.3">
      <c r="I31285" t="s">
        <v>35339</v>
      </c>
      <c r="J31285" t="s">
        <v>9692</v>
      </c>
    </row>
    <row r="31286" spans="9:10" x14ac:dyDescent="0.3">
      <c r="I31286" t="s">
        <v>35340</v>
      </c>
      <c r="J31286" t="s">
        <v>9693</v>
      </c>
    </row>
    <row r="31287" spans="9:10" x14ac:dyDescent="0.3">
      <c r="I31287" t="s">
        <v>35341</v>
      </c>
      <c r="J31287" t="s">
        <v>9693</v>
      </c>
    </row>
    <row r="31288" spans="9:10" x14ac:dyDescent="0.3">
      <c r="I31288" t="s">
        <v>35342</v>
      </c>
    </row>
    <row r="31289" spans="9:10" x14ac:dyDescent="0.3">
      <c r="I31289" t="s">
        <v>35343</v>
      </c>
    </row>
    <row r="31290" spans="9:10" x14ac:dyDescent="0.3">
      <c r="I31290" t="s">
        <v>35344</v>
      </c>
    </row>
    <row r="31291" spans="9:10" x14ac:dyDescent="0.3">
      <c r="I31291" t="s">
        <v>35345</v>
      </c>
    </row>
    <row r="31292" spans="9:10" x14ac:dyDescent="0.3">
      <c r="I31292" t="s">
        <v>35346</v>
      </c>
    </row>
    <row r="31293" spans="9:10" x14ac:dyDescent="0.3">
      <c r="I31293" t="s">
        <v>35347</v>
      </c>
    </row>
    <row r="31294" spans="9:10" x14ac:dyDescent="0.3">
      <c r="I31294" t="s">
        <v>35348</v>
      </c>
      <c r="J31294" t="s">
        <v>9694</v>
      </c>
    </row>
    <row r="31295" spans="9:10" x14ac:dyDescent="0.3">
      <c r="I31295" t="s">
        <v>35349</v>
      </c>
    </row>
    <row r="31296" spans="9:10" x14ac:dyDescent="0.3">
      <c r="I31296" t="s">
        <v>35350</v>
      </c>
    </row>
    <row r="31297" spans="9:10" x14ac:dyDescent="0.3">
      <c r="I31297" t="s">
        <v>35351</v>
      </c>
      <c r="J31297" t="s">
        <v>9695</v>
      </c>
    </row>
    <row r="31298" spans="9:10" x14ac:dyDescent="0.3">
      <c r="I31298" t="s">
        <v>33463</v>
      </c>
      <c r="J31298" t="s">
        <v>9696</v>
      </c>
    </row>
    <row r="31299" spans="9:10" x14ac:dyDescent="0.3">
      <c r="I31299" t="s">
        <v>35352</v>
      </c>
    </row>
    <row r="31300" spans="9:10" x14ac:dyDescent="0.3">
      <c r="I31300" t="s">
        <v>35353</v>
      </c>
    </row>
    <row r="31301" spans="9:10" x14ac:dyDescent="0.3">
      <c r="I31301" t="s">
        <v>35354</v>
      </c>
    </row>
    <row r="31302" spans="9:10" x14ac:dyDescent="0.3">
      <c r="I31302" t="s">
        <v>35355</v>
      </c>
    </row>
    <row r="31303" spans="9:10" x14ac:dyDescent="0.3">
      <c r="I31303" t="s">
        <v>35356</v>
      </c>
      <c r="J31303" t="s">
        <v>9697</v>
      </c>
    </row>
    <row r="31304" spans="9:10" x14ac:dyDescent="0.3">
      <c r="I31304" t="s">
        <v>35357</v>
      </c>
    </row>
    <row r="31305" spans="9:10" x14ac:dyDescent="0.3">
      <c r="I31305" t="s">
        <v>35358</v>
      </c>
      <c r="J31305" t="s">
        <v>9698</v>
      </c>
    </row>
    <row r="31306" spans="9:10" x14ac:dyDescent="0.3">
      <c r="I31306" t="s">
        <v>35359</v>
      </c>
    </row>
    <row r="31307" spans="9:10" x14ac:dyDescent="0.3">
      <c r="I31307" t="s">
        <v>35360</v>
      </c>
    </row>
    <row r="31308" spans="9:10" x14ac:dyDescent="0.3">
      <c r="I31308" t="s">
        <v>35361</v>
      </c>
    </row>
    <row r="31309" spans="9:10" x14ac:dyDescent="0.3">
      <c r="I31309" t="s">
        <v>35362</v>
      </c>
    </row>
    <row r="31310" spans="9:10" x14ac:dyDescent="0.3">
      <c r="I31310" t="s">
        <v>35363</v>
      </c>
      <c r="J31310" t="s">
        <v>9699</v>
      </c>
    </row>
    <row r="31311" spans="9:10" x14ac:dyDescent="0.3">
      <c r="I31311" t="s">
        <v>35364</v>
      </c>
    </row>
    <row r="31312" spans="9:10" x14ac:dyDescent="0.3">
      <c r="I31312" t="s">
        <v>35365</v>
      </c>
    </row>
    <row r="31313" spans="9:10" x14ac:dyDescent="0.3">
      <c r="I31313" t="s">
        <v>35366</v>
      </c>
    </row>
    <row r="31314" spans="9:10" x14ac:dyDescent="0.3">
      <c r="I31314" t="s">
        <v>35367</v>
      </c>
    </row>
    <row r="31315" spans="9:10" x14ac:dyDescent="0.3">
      <c r="I31315" t="s">
        <v>35368</v>
      </c>
    </row>
    <row r="31316" spans="9:10" x14ac:dyDescent="0.3">
      <c r="I31316" t="s">
        <v>35369</v>
      </c>
    </row>
    <row r="31317" spans="9:10" x14ac:dyDescent="0.3">
      <c r="I31317" t="s">
        <v>35370</v>
      </c>
    </row>
    <row r="31318" spans="9:10" x14ac:dyDescent="0.3">
      <c r="I31318" t="s">
        <v>35371</v>
      </c>
    </row>
    <row r="31319" spans="9:10" x14ac:dyDescent="0.3">
      <c r="I31319" t="s">
        <v>35372</v>
      </c>
    </row>
    <row r="31320" spans="9:10" x14ac:dyDescent="0.3">
      <c r="I31320" t="s">
        <v>35373</v>
      </c>
    </row>
    <row r="31321" spans="9:10" x14ac:dyDescent="0.3">
      <c r="I31321" t="s">
        <v>35374</v>
      </c>
    </row>
    <row r="31322" spans="9:10" x14ac:dyDescent="0.3">
      <c r="I31322" t="s">
        <v>35375</v>
      </c>
    </row>
    <row r="31323" spans="9:10" x14ac:dyDescent="0.3">
      <c r="I31323" t="s">
        <v>35376</v>
      </c>
    </row>
    <row r="31324" spans="9:10" x14ac:dyDescent="0.3">
      <c r="I31324" t="s">
        <v>35377</v>
      </c>
      <c r="J31324" t="s">
        <v>9700</v>
      </c>
    </row>
    <row r="31325" spans="9:10" x14ac:dyDescent="0.3">
      <c r="I31325" t="s">
        <v>35378</v>
      </c>
      <c r="J31325" t="s">
        <v>9701</v>
      </c>
    </row>
    <row r="31326" spans="9:10" x14ac:dyDescent="0.3">
      <c r="I31326" t="s">
        <v>35379</v>
      </c>
    </row>
    <row r="31327" spans="9:10" x14ac:dyDescent="0.3">
      <c r="I31327" t="s">
        <v>35380</v>
      </c>
    </row>
    <row r="31328" spans="9:10" x14ac:dyDescent="0.3">
      <c r="I31328" t="s">
        <v>35381</v>
      </c>
      <c r="J31328" t="s">
        <v>9702</v>
      </c>
    </row>
    <row r="31329" spans="9:10" x14ac:dyDescent="0.3">
      <c r="I31329" t="s">
        <v>35382</v>
      </c>
    </row>
    <row r="31330" spans="9:10" x14ac:dyDescent="0.3">
      <c r="I31330" t="s">
        <v>35383</v>
      </c>
    </row>
    <row r="31331" spans="9:10" x14ac:dyDescent="0.3">
      <c r="I31331" t="s">
        <v>35384</v>
      </c>
    </row>
    <row r="31332" spans="9:10" x14ac:dyDescent="0.3">
      <c r="I31332" t="s">
        <v>35385</v>
      </c>
    </row>
    <row r="31333" spans="9:10" x14ac:dyDescent="0.3">
      <c r="I31333" t="s">
        <v>35386</v>
      </c>
    </row>
    <row r="31334" spans="9:10" x14ac:dyDescent="0.3">
      <c r="I31334" t="s">
        <v>35387</v>
      </c>
    </row>
    <row r="31335" spans="9:10" x14ac:dyDescent="0.3">
      <c r="I31335" t="s">
        <v>35388</v>
      </c>
    </row>
    <row r="31336" spans="9:10" x14ac:dyDescent="0.3">
      <c r="I31336" t="s">
        <v>35389</v>
      </c>
    </row>
    <row r="31337" spans="9:10" x14ac:dyDescent="0.3">
      <c r="I31337" t="s">
        <v>16851</v>
      </c>
      <c r="J31337" t="s">
        <v>3990</v>
      </c>
    </row>
    <row r="31338" spans="9:10" x14ac:dyDescent="0.3">
      <c r="I31338" t="s">
        <v>35390</v>
      </c>
      <c r="J31338" t="s">
        <v>3990</v>
      </c>
    </row>
    <row r="31339" spans="9:10" x14ac:dyDescent="0.3">
      <c r="I31339" t="s">
        <v>35391</v>
      </c>
      <c r="J31339" t="s">
        <v>3990</v>
      </c>
    </row>
    <row r="31340" spans="9:10" x14ac:dyDescent="0.3">
      <c r="I31340" t="s">
        <v>27866</v>
      </c>
      <c r="J31340" t="s">
        <v>9703</v>
      </c>
    </row>
    <row r="31341" spans="9:10" x14ac:dyDescent="0.3">
      <c r="I31341" t="s">
        <v>27866</v>
      </c>
      <c r="J31341" t="s">
        <v>9703</v>
      </c>
    </row>
    <row r="31342" spans="9:10" x14ac:dyDescent="0.3">
      <c r="I31342" t="s">
        <v>35392</v>
      </c>
      <c r="J31342" t="s">
        <v>9704</v>
      </c>
    </row>
    <row r="31343" spans="9:10" x14ac:dyDescent="0.3">
      <c r="I31343" t="s">
        <v>35393</v>
      </c>
    </row>
    <row r="31344" spans="9:10" x14ac:dyDescent="0.3">
      <c r="I31344" t="s">
        <v>35394</v>
      </c>
    </row>
    <row r="31345" spans="9:10" x14ac:dyDescent="0.3">
      <c r="I31345" t="s">
        <v>35395</v>
      </c>
      <c r="J31345" t="s">
        <v>9705</v>
      </c>
    </row>
    <row r="31346" spans="9:10" x14ac:dyDescent="0.3">
      <c r="I31346" t="s">
        <v>35396</v>
      </c>
    </row>
    <row r="31347" spans="9:10" x14ac:dyDescent="0.3">
      <c r="I31347" t="s">
        <v>35397</v>
      </c>
    </row>
    <row r="31348" spans="9:10" x14ac:dyDescent="0.3">
      <c r="I31348" t="s">
        <v>35398</v>
      </c>
    </row>
    <row r="31349" spans="9:10" x14ac:dyDescent="0.3">
      <c r="I31349" t="s">
        <v>35399</v>
      </c>
    </row>
    <row r="31350" spans="9:10" x14ac:dyDescent="0.3">
      <c r="I31350" t="s">
        <v>35400</v>
      </c>
      <c r="J31350" t="s">
        <v>3991</v>
      </c>
    </row>
    <row r="31351" spans="9:10" x14ac:dyDescent="0.3">
      <c r="I31351" t="s">
        <v>35401</v>
      </c>
      <c r="J31351">
        <v>0</v>
      </c>
    </row>
    <row r="31352" spans="9:10" x14ac:dyDescent="0.3">
      <c r="I31352" t="s">
        <v>35402</v>
      </c>
      <c r="J31352" t="s">
        <v>9706</v>
      </c>
    </row>
    <row r="31353" spans="9:10" x14ac:dyDescent="0.3">
      <c r="I31353" t="s">
        <v>35403</v>
      </c>
      <c r="J31353" t="s">
        <v>9706</v>
      </c>
    </row>
    <row r="31354" spans="9:10" x14ac:dyDescent="0.3">
      <c r="I31354" t="s">
        <v>35404</v>
      </c>
      <c r="J31354" t="s">
        <v>9707</v>
      </c>
    </row>
    <row r="31355" spans="9:10" x14ac:dyDescent="0.3">
      <c r="I31355" t="s">
        <v>35401</v>
      </c>
      <c r="J31355">
        <v>0</v>
      </c>
    </row>
    <row r="31356" spans="9:10" x14ac:dyDescent="0.3">
      <c r="I31356" t="s">
        <v>35405</v>
      </c>
    </row>
    <row r="31357" spans="9:10" x14ac:dyDescent="0.3">
      <c r="I31357" t="s">
        <v>35406</v>
      </c>
    </row>
    <row r="31358" spans="9:10" x14ac:dyDescent="0.3">
      <c r="I31358" t="s">
        <v>35407</v>
      </c>
    </row>
    <row r="31359" spans="9:10" x14ac:dyDescent="0.3">
      <c r="I31359" t="s">
        <v>35408</v>
      </c>
    </row>
    <row r="31360" spans="9:10" x14ac:dyDescent="0.3">
      <c r="I31360" t="s">
        <v>35409</v>
      </c>
    </row>
    <row r="31361" spans="9:10" x14ac:dyDescent="0.3">
      <c r="I31361" t="s">
        <v>35410</v>
      </c>
    </row>
    <row r="31362" spans="9:10" x14ac:dyDescent="0.3">
      <c r="I31362" t="s">
        <v>35411</v>
      </c>
    </row>
    <row r="31363" spans="9:10" x14ac:dyDescent="0.3">
      <c r="I31363" t="s">
        <v>35412</v>
      </c>
      <c r="J31363" t="s">
        <v>9708</v>
      </c>
    </row>
    <row r="31364" spans="9:10" x14ac:dyDescent="0.3">
      <c r="I31364" t="s">
        <v>35413</v>
      </c>
      <c r="J31364" t="s">
        <v>9709</v>
      </c>
    </row>
    <row r="31365" spans="9:10" x14ac:dyDescent="0.3">
      <c r="I31365" t="s">
        <v>35414</v>
      </c>
      <c r="J31365" t="s">
        <v>9709</v>
      </c>
    </row>
    <row r="31366" spans="9:10" x14ac:dyDescent="0.3">
      <c r="I31366" t="s">
        <v>35413</v>
      </c>
      <c r="J31366" t="s">
        <v>9709</v>
      </c>
    </row>
    <row r="31367" spans="9:10" x14ac:dyDescent="0.3">
      <c r="I31367" t="s">
        <v>35415</v>
      </c>
    </row>
    <row r="31368" spans="9:10" x14ac:dyDescent="0.3">
      <c r="I31368" t="s">
        <v>35416</v>
      </c>
    </row>
    <row r="31369" spans="9:10" x14ac:dyDescent="0.3">
      <c r="I31369" t="s">
        <v>35417</v>
      </c>
    </row>
    <row r="31370" spans="9:10" x14ac:dyDescent="0.3">
      <c r="I31370" t="s">
        <v>35418</v>
      </c>
    </row>
    <row r="31371" spans="9:10" x14ac:dyDescent="0.3">
      <c r="I31371" t="s">
        <v>35419</v>
      </c>
    </row>
    <row r="31372" spans="9:10" x14ac:dyDescent="0.3">
      <c r="I31372" t="s">
        <v>35420</v>
      </c>
    </row>
    <row r="31373" spans="9:10" x14ac:dyDescent="0.3">
      <c r="I31373" t="s">
        <v>35421</v>
      </c>
    </row>
    <row r="31374" spans="9:10" x14ac:dyDescent="0.3">
      <c r="I31374" t="s">
        <v>35422</v>
      </c>
    </row>
    <row r="31375" spans="9:10" x14ac:dyDescent="0.3">
      <c r="I31375" t="s">
        <v>35423</v>
      </c>
    </row>
    <row r="31376" spans="9:10" x14ac:dyDescent="0.3">
      <c r="I31376" t="s">
        <v>35424</v>
      </c>
    </row>
    <row r="31377" spans="9:10" x14ac:dyDescent="0.3">
      <c r="I31377" t="s">
        <v>35425</v>
      </c>
    </row>
    <row r="31378" spans="9:10" x14ac:dyDescent="0.3">
      <c r="I31378" t="s">
        <v>35426</v>
      </c>
      <c r="J31378" t="s">
        <v>9710</v>
      </c>
    </row>
    <row r="31379" spans="9:10" x14ac:dyDescent="0.3">
      <c r="I31379" t="s">
        <v>35427</v>
      </c>
    </row>
    <row r="31380" spans="9:10" x14ac:dyDescent="0.3">
      <c r="I31380" t="s">
        <v>35428</v>
      </c>
    </row>
    <row r="31381" spans="9:10" x14ac:dyDescent="0.3">
      <c r="I31381" t="s">
        <v>35429</v>
      </c>
    </row>
    <row r="31382" spans="9:10" x14ac:dyDescent="0.3">
      <c r="I31382" t="s">
        <v>35430</v>
      </c>
    </row>
    <row r="31383" spans="9:10" x14ac:dyDescent="0.3">
      <c r="I31383" t="s">
        <v>35431</v>
      </c>
    </row>
    <row r="31384" spans="9:10" x14ac:dyDescent="0.3">
      <c r="I31384" t="s">
        <v>35432</v>
      </c>
    </row>
    <row r="31385" spans="9:10" x14ac:dyDescent="0.3">
      <c r="I31385" t="s">
        <v>35433</v>
      </c>
    </row>
    <row r="31386" spans="9:10" x14ac:dyDescent="0.3">
      <c r="I31386" t="s">
        <v>35434</v>
      </c>
    </row>
    <row r="31387" spans="9:10" x14ac:dyDescent="0.3">
      <c r="I31387" t="s">
        <v>35435</v>
      </c>
    </row>
    <row r="31388" spans="9:10" x14ac:dyDescent="0.3">
      <c r="I31388" t="s">
        <v>35436</v>
      </c>
      <c r="J31388" t="s">
        <v>9711</v>
      </c>
    </row>
    <row r="31389" spans="9:10" x14ac:dyDescent="0.3">
      <c r="I31389" t="s">
        <v>35437</v>
      </c>
      <c r="J31389" t="s">
        <v>9712</v>
      </c>
    </row>
    <row r="31390" spans="9:10" x14ac:dyDescent="0.3">
      <c r="I31390" t="s">
        <v>35438</v>
      </c>
    </row>
    <row r="31391" spans="9:10" x14ac:dyDescent="0.3">
      <c r="I31391" t="s">
        <v>35439</v>
      </c>
    </row>
    <row r="31392" spans="9:10" x14ac:dyDescent="0.3">
      <c r="I31392" t="s">
        <v>35440</v>
      </c>
      <c r="J31392" t="s">
        <v>9713</v>
      </c>
    </row>
    <row r="31393" spans="9:10" x14ac:dyDescent="0.3">
      <c r="I31393" t="s">
        <v>35441</v>
      </c>
    </row>
    <row r="31394" spans="9:10" x14ac:dyDescent="0.3">
      <c r="I31394" t="s">
        <v>35442</v>
      </c>
    </row>
    <row r="31395" spans="9:10" x14ac:dyDescent="0.3">
      <c r="I31395" t="s">
        <v>35443</v>
      </c>
    </row>
    <row r="31396" spans="9:10" x14ac:dyDescent="0.3">
      <c r="I31396" t="s">
        <v>35444</v>
      </c>
    </row>
    <row r="31397" spans="9:10" x14ac:dyDescent="0.3">
      <c r="I31397" t="s">
        <v>35445</v>
      </c>
    </row>
    <row r="31398" spans="9:10" x14ac:dyDescent="0.3">
      <c r="I31398" t="s">
        <v>35446</v>
      </c>
      <c r="J31398" t="s">
        <v>9714</v>
      </c>
    </row>
    <row r="31399" spans="9:10" x14ac:dyDescent="0.3">
      <c r="I31399" t="s">
        <v>35447</v>
      </c>
      <c r="J31399" t="s">
        <v>9715</v>
      </c>
    </row>
    <row r="31400" spans="9:10" x14ac:dyDescent="0.3">
      <c r="I31400" t="s">
        <v>35447</v>
      </c>
      <c r="J31400" t="s">
        <v>9715</v>
      </c>
    </row>
    <row r="31401" spans="9:10" x14ac:dyDescent="0.3">
      <c r="I31401" t="s">
        <v>35448</v>
      </c>
      <c r="J31401" t="s">
        <v>9716</v>
      </c>
    </row>
    <row r="31402" spans="9:10" x14ac:dyDescent="0.3">
      <c r="I31402" t="s">
        <v>35449</v>
      </c>
      <c r="J31402" t="s">
        <v>9717</v>
      </c>
    </row>
    <row r="31403" spans="9:10" x14ac:dyDescent="0.3">
      <c r="I31403" t="s">
        <v>35450</v>
      </c>
      <c r="J31403" t="s">
        <v>9718</v>
      </c>
    </row>
    <row r="31404" spans="9:10" x14ac:dyDescent="0.3">
      <c r="I31404" t="s">
        <v>35450</v>
      </c>
      <c r="J31404" t="s">
        <v>9718</v>
      </c>
    </row>
    <row r="31405" spans="9:10" x14ac:dyDescent="0.3">
      <c r="I31405" t="s">
        <v>35451</v>
      </c>
    </row>
    <row r="31406" spans="9:10" x14ac:dyDescent="0.3">
      <c r="I31406" t="s">
        <v>35452</v>
      </c>
      <c r="J31406" t="s">
        <v>9719</v>
      </c>
    </row>
    <row r="31407" spans="9:10" x14ac:dyDescent="0.3">
      <c r="I31407" t="s">
        <v>35453</v>
      </c>
      <c r="J31407" t="s">
        <v>9720</v>
      </c>
    </row>
    <row r="31408" spans="9:10" x14ac:dyDescent="0.3">
      <c r="I31408" t="s">
        <v>35454</v>
      </c>
    </row>
    <row r="31409" spans="9:10" x14ac:dyDescent="0.3">
      <c r="I31409" t="s">
        <v>35455</v>
      </c>
    </row>
    <row r="31410" spans="9:10" x14ac:dyDescent="0.3">
      <c r="I31410" t="s">
        <v>35456</v>
      </c>
      <c r="J31410" t="s">
        <v>9721</v>
      </c>
    </row>
    <row r="31411" spans="9:10" x14ac:dyDescent="0.3">
      <c r="I31411" t="s">
        <v>35457</v>
      </c>
      <c r="J31411" t="s">
        <v>9722</v>
      </c>
    </row>
    <row r="31412" spans="9:10" x14ac:dyDescent="0.3">
      <c r="I31412" t="s">
        <v>35458</v>
      </c>
      <c r="J31412" t="s">
        <v>9722</v>
      </c>
    </row>
    <row r="31413" spans="9:10" x14ac:dyDescent="0.3">
      <c r="I31413" t="s">
        <v>35459</v>
      </c>
    </row>
    <row r="31414" spans="9:10" x14ac:dyDescent="0.3">
      <c r="I31414" t="s">
        <v>35460</v>
      </c>
    </row>
    <row r="31415" spans="9:10" x14ac:dyDescent="0.3">
      <c r="I31415" t="s">
        <v>35461</v>
      </c>
      <c r="J31415" t="s">
        <v>9723</v>
      </c>
    </row>
    <row r="31416" spans="9:10" x14ac:dyDescent="0.3">
      <c r="I31416" t="s">
        <v>35462</v>
      </c>
    </row>
    <row r="31417" spans="9:10" x14ac:dyDescent="0.3">
      <c r="I31417" t="s">
        <v>35463</v>
      </c>
    </row>
    <row r="31418" spans="9:10" x14ac:dyDescent="0.3">
      <c r="I31418" t="s">
        <v>35464</v>
      </c>
      <c r="J31418" t="s">
        <v>9724</v>
      </c>
    </row>
    <row r="31419" spans="9:10" x14ac:dyDescent="0.3">
      <c r="I31419" t="s">
        <v>35465</v>
      </c>
      <c r="J31419" t="s">
        <v>9724</v>
      </c>
    </row>
    <row r="31420" spans="9:10" x14ac:dyDescent="0.3">
      <c r="I31420" t="s">
        <v>35464</v>
      </c>
      <c r="J31420" t="s">
        <v>9724</v>
      </c>
    </row>
    <row r="31421" spans="9:10" x14ac:dyDescent="0.3">
      <c r="I31421" t="s">
        <v>35466</v>
      </c>
      <c r="J31421" t="s">
        <v>9725</v>
      </c>
    </row>
    <row r="31422" spans="9:10" x14ac:dyDescent="0.3">
      <c r="I31422" t="s">
        <v>35467</v>
      </c>
      <c r="J31422" t="s">
        <v>9726</v>
      </c>
    </row>
    <row r="31423" spans="9:10" x14ac:dyDescent="0.3">
      <c r="I31423" t="s">
        <v>35468</v>
      </c>
    </row>
    <row r="31424" spans="9:10" x14ac:dyDescent="0.3">
      <c r="I31424" t="s">
        <v>35469</v>
      </c>
    </row>
    <row r="31425" spans="9:10" x14ac:dyDescent="0.3">
      <c r="I31425" t="s">
        <v>35470</v>
      </c>
    </row>
    <row r="31426" spans="9:10" x14ac:dyDescent="0.3">
      <c r="I31426" t="s">
        <v>35471</v>
      </c>
    </row>
    <row r="31427" spans="9:10" x14ac:dyDescent="0.3">
      <c r="I31427" t="s">
        <v>35472</v>
      </c>
    </row>
    <row r="31428" spans="9:10" x14ac:dyDescent="0.3">
      <c r="I31428" t="s">
        <v>35473</v>
      </c>
    </row>
    <row r="31429" spans="9:10" x14ac:dyDescent="0.3">
      <c r="I31429" t="s">
        <v>35474</v>
      </c>
    </row>
    <row r="31430" spans="9:10" x14ac:dyDescent="0.3">
      <c r="I31430" t="s">
        <v>35475</v>
      </c>
    </row>
    <row r="31431" spans="9:10" x14ac:dyDescent="0.3">
      <c r="I31431" t="s">
        <v>35476</v>
      </c>
    </row>
    <row r="31432" spans="9:10" x14ac:dyDescent="0.3">
      <c r="I31432" t="s">
        <v>35477</v>
      </c>
    </row>
    <row r="31433" spans="9:10" x14ac:dyDescent="0.3">
      <c r="I31433" t="s">
        <v>35478</v>
      </c>
      <c r="J31433" t="s">
        <v>889</v>
      </c>
    </row>
    <row r="31434" spans="9:10" x14ac:dyDescent="0.3">
      <c r="I31434" t="s">
        <v>35479</v>
      </c>
      <c r="J31434" t="s">
        <v>9727</v>
      </c>
    </row>
    <row r="31435" spans="9:10" x14ac:dyDescent="0.3">
      <c r="I31435" t="s">
        <v>35479</v>
      </c>
      <c r="J31435" t="s">
        <v>9727</v>
      </c>
    </row>
    <row r="31436" spans="9:10" x14ac:dyDescent="0.3">
      <c r="I31436" t="s">
        <v>35480</v>
      </c>
    </row>
    <row r="31437" spans="9:10" x14ac:dyDescent="0.3">
      <c r="I31437" t="s">
        <v>35481</v>
      </c>
    </row>
    <row r="31438" spans="9:10" x14ac:dyDescent="0.3">
      <c r="I31438" t="s">
        <v>35482</v>
      </c>
    </row>
    <row r="31439" spans="9:10" x14ac:dyDescent="0.3">
      <c r="I31439" t="s">
        <v>35483</v>
      </c>
    </row>
    <row r="31440" spans="9:10" x14ac:dyDescent="0.3">
      <c r="I31440" t="s">
        <v>35484</v>
      </c>
    </row>
    <row r="31441" spans="9:10" x14ac:dyDescent="0.3">
      <c r="I31441" t="s">
        <v>35485</v>
      </c>
    </row>
    <row r="31442" spans="9:10" x14ac:dyDescent="0.3">
      <c r="I31442" t="s">
        <v>35486</v>
      </c>
    </row>
    <row r="31443" spans="9:10" x14ac:dyDescent="0.3">
      <c r="I31443" t="s">
        <v>35487</v>
      </c>
    </row>
    <row r="31444" spans="9:10" x14ac:dyDescent="0.3">
      <c r="I31444" t="s">
        <v>35488</v>
      </c>
      <c r="J31444" t="s">
        <v>9728</v>
      </c>
    </row>
    <row r="31445" spans="9:10" x14ac:dyDescent="0.3">
      <c r="I31445" t="s">
        <v>35489</v>
      </c>
    </row>
    <row r="31446" spans="9:10" x14ac:dyDescent="0.3">
      <c r="I31446" t="s">
        <v>35490</v>
      </c>
    </row>
    <row r="31447" spans="9:10" x14ac:dyDescent="0.3">
      <c r="I31447" t="s">
        <v>35491</v>
      </c>
    </row>
    <row r="31448" spans="9:10" x14ac:dyDescent="0.3">
      <c r="I31448" t="s">
        <v>35492</v>
      </c>
    </row>
    <row r="31449" spans="9:10" x14ac:dyDescent="0.3">
      <c r="I31449" t="s">
        <v>35493</v>
      </c>
    </row>
    <row r="31450" spans="9:10" x14ac:dyDescent="0.3">
      <c r="I31450" t="s">
        <v>35494</v>
      </c>
    </row>
    <row r="31451" spans="9:10" x14ac:dyDescent="0.3">
      <c r="I31451" t="s">
        <v>35495</v>
      </c>
    </row>
    <row r="31452" spans="9:10" x14ac:dyDescent="0.3">
      <c r="I31452" t="s">
        <v>35496</v>
      </c>
    </row>
    <row r="31453" spans="9:10" x14ac:dyDescent="0.3">
      <c r="I31453" t="s">
        <v>35497</v>
      </c>
    </row>
    <row r="31454" spans="9:10" x14ac:dyDescent="0.3">
      <c r="I31454" t="s">
        <v>35498</v>
      </c>
    </row>
    <row r="31455" spans="9:10" x14ac:dyDescent="0.3">
      <c r="I31455" t="s">
        <v>35499</v>
      </c>
    </row>
    <row r="31456" spans="9:10" x14ac:dyDescent="0.3">
      <c r="I31456" t="s">
        <v>35500</v>
      </c>
      <c r="J31456" t="s">
        <v>9729</v>
      </c>
    </row>
    <row r="31457" spans="9:10" x14ac:dyDescent="0.3">
      <c r="I31457" t="s">
        <v>35501</v>
      </c>
      <c r="J31457" t="s">
        <v>9729</v>
      </c>
    </row>
    <row r="31458" spans="9:10" x14ac:dyDescent="0.3">
      <c r="I31458" t="s">
        <v>35502</v>
      </c>
    </row>
    <row r="31459" spans="9:10" x14ac:dyDescent="0.3">
      <c r="I31459" t="s">
        <v>35503</v>
      </c>
    </row>
    <row r="31460" spans="9:10" x14ac:dyDescent="0.3">
      <c r="I31460" t="s">
        <v>35504</v>
      </c>
    </row>
    <row r="31461" spans="9:10" x14ac:dyDescent="0.3">
      <c r="I31461" t="s">
        <v>35505</v>
      </c>
    </row>
    <row r="31462" spans="9:10" x14ac:dyDescent="0.3">
      <c r="I31462" t="s">
        <v>35506</v>
      </c>
    </row>
    <row r="31463" spans="9:10" x14ac:dyDescent="0.3">
      <c r="I31463" t="s">
        <v>35507</v>
      </c>
    </row>
    <row r="31464" spans="9:10" x14ac:dyDescent="0.3">
      <c r="I31464" t="s">
        <v>35508</v>
      </c>
    </row>
    <row r="31465" spans="9:10" x14ac:dyDescent="0.3">
      <c r="I31465" t="s">
        <v>35509</v>
      </c>
    </row>
    <row r="31466" spans="9:10" x14ac:dyDescent="0.3">
      <c r="I31466" t="s">
        <v>35510</v>
      </c>
    </row>
    <row r="31467" spans="9:10" x14ac:dyDescent="0.3">
      <c r="I31467" t="s">
        <v>35511</v>
      </c>
      <c r="J31467" t="s">
        <v>9730</v>
      </c>
    </row>
    <row r="31468" spans="9:10" x14ac:dyDescent="0.3">
      <c r="I31468" t="s">
        <v>35512</v>
      </c>
      <c r="J31468" t="s">
        <v>9731</v>
      </c>
    </row>
    <row r="31469" spans="9:10" x14ac:dyDescent="0.3">
      <c r="I31469" t="s">
        <v>35513</v>
      </c>
      <c r="J31469" t="s">
        <v>9732</v>
      </c>
    </row>
    <row r="31470" spans="9:10" x14ac:dyDescent="0.3">
      <c r="I31470" t="s">
        <v>35514</v>
      </c>
      <c r="J31470" t="s">
        <v>9733</v>
      </c>
    </row>
    <row r="31471" spans="9:10" x14ac:dyDescent="0.3">
      <c r="I31471" t="s">
        <v>35515</v>
      </c>
      <c r="J31471" t="s">
        <v>9733</v>
      </c>
    </row>
    <row r="31472" spans="9:10" x14ac:dyDescent="0.3">
      <c r="I31472" t="s">
        <v>35516</v>
      </c>
    </row>
    <row r="31473" spans="9:10" x14ac:dyDescent="0.3">
      <c r="I31473" t="s">
        <v>35517</v>
      </c>
    </row>
    <row r="31474" spans="9:10" x14ac:dyDescent="0.3">
      <c r="I31474" t="s">
        <v>35518</v>
      </c>
    </row>
    <row r="31475" spans="9:10" x14ac:dyDescent="0.3">
      <c r="I31475" t="s">
        <v>35519</v>
      </c>
    </row>
    <row r="31476" spans="9:10" x14ac:dyDescent="0.3">
      <c r="I31476" t="s">
        <v>35520</v>
      </c>
    </row>
    <row r="31477" spans="9:10" x14ac:dyDescent="0.3">
      <c r="I31477" t="s">
        <v>35521</v>
      </c>
    </row>
    <row r="31478" spans="9:10" x14ac:dyDescent="0.3">
      <c r="I31478" t="s">
        <v>35522</v>
      </c>
      <c r="J31478" t="s">
        <v>9734</v>
      </c>
    </row>
    <row r="31479" spans="9:10" x14ac:dyDescent="0.3">
      <c r="I31479" t="s">
        <v>35523</v>
      </c>
    </row>
    <row r="31480" spans="9:10" x14ac:dyDescent="0.3">
      <c r="I31480" t="s">
        <v>35524</v>
      </c>
    </row>
    <row r="31481" spans="9:10" x14ac:dyDescent="0.3">
      <c r="I31481" t="s">
        <v>35525</v>
      </c>
    </row>
    <row r="31482" spans="9:10" x14ac:dyDescent="0.3">
      <c r="I31482" t="s">
        <v>35526</v>
      </c>
      <c r="J31482" t="s">
        <v>9735</v>
      </c>
    </row>
    <row r="31483" spans="9:10" x14ac:dyDescent="0.3">
      <c r="I31483" t="s">
        <v>35527</v>
      </c>
      <c r="J31483" t="s">
        <v>9736</v>
      </c>
    </row>
    <row r="31484" spans="9:10" x14ac:dyDescent="0.3">
      <c r="I31484" t="s">
        <v>35528</v>
      </c>
    </row>
    <row r="31485" spans="9:10" x14ac:dyDescent="0.3">
      <c r="I31485" t="s">
        <v>35529</v>
      </c>
    </row>
    <row r="31486" spans="9:10" x14ac:dyDescent="0.3">
      <c r="I31486" t="s">
        <v>35530</v>
      </c>
    </row>
    <row r="31487" spans="9:10" x14ac:dyDescent="0.3">
      <c r="I31487" t="s">
        <v>35531</v>
      </c>
      <c r="J31487" t="s">
        <v>9737</v>
      </c>
    </row>
    <row r="31488" spans="9:10" x14ac:dyDescent="0.3">
      <c r="I31488" t="s">
        <v>35532</v>
      </c>
    </row>
    <row r="31489" spans="9:10" x14ac:dyDescent="0.3">
      <c r="I31489" t="s">
        <v>35533</v>
      </c>
    </row>
    <row r="31490" spans="9:10" x14ac:dyDescent="0.3">
      <c r="I31490" t="s">
        <v>29531</v>
      </c>
      <c r="J31490" t="s">
        <v>9738</v>
      </c>
    </row>
    <row r="31491" spans="9:10" x14ac:dyDescent="0.3">
      <c r="I31491" t="s">
        <v>35534</v>
      </c>
    </row>
    <row r="31492" spans="9:10" x14ac:dyDescent="0.3">
      <c r="I31492" t="s">
        <v>35535</v>
      </c>
    </row>
    <row r="31493" spans="9:10" x14ac:dyDescent="0.3">
      <c r="I31493" t="s">
        <v>35536</v>
      </c>
    </row>
    <row r="31494" spans="9:10" x14ac:dyDescent="0.3">
      <c r="I31494" t="s">
        <v>35537</v>
      </c>
    </row>
    <row r="31495" spans="9:10" x14ac:dyDescent="0.3">
      <c r="I31495" t="s">
        <v>35538</v>
      </c>
    </row>
    <row r="31496" spans="9:10" x14ac:dyDescent="0.3">
      <c r="I31496" t="s">
        <v>35539</v>
      </c>
    </row>
    <row r="31497" spans="9:10" x14ac:dyDescent="0.3">
      <c r="I31497" t="s">
        <v>35540</v>
      </c>
    </row>
    <row r="31498" spans="9:10" x14ac:dyDescent="0.3">
      <c r="I31498" t="s">
        <v>35541</v>
      </c>
      <c r="J31498" t="s">
        <v>9739</v>
      </c>
    </row>
    <row r="31499" spans="9:10" x14ac:dyDescent="0.3">
      <c r="I31499" t="s">
        <v>35542</v>
      </c>
      <c r="J31499" t="s">
        <v>9740</v>
      </c>
    </row>
    <row r="31500" spans="9:10" x14ac:dyDescent="0.3">
      <c r="I31500" t="s">
        <v>35543</v>
      </c>
      <c r="J31500" t="s">
        <v>9741</v>
      </c>
    </row>
    <row r="31501" spans="9:10" x14ac:dyDescent="0.3">
      <c r="I31501" t="s">
        <v>35544</v>
      </c>
    </row>
    <row r="31502" spans="9:10" x14ac:dyDescent="0.3">
      <c r="I31502" t="s">
        <v>35545</v>
      </c>
    </row>
    <row r="31503" spans="9:10" x14ac:dyDescent="0.3">
      <c r="I31503" t="s">
        <v>35546</v>
      </c>
    </row>
    <row r="31504" spans="9:10" x14ac:dyDescent="0.3">
      <c r="I31504" t="s">
        <v>35547</v>
      </c>
    </row>
    <row r="31505" spans="9:10" x14ac:dyDescent="0.3">
      <c r="I31505" t="s">
        <v>35548</v>
      </c>
      <c r="J31505" t="s">
        <v>9742</v>
      </c>
    </row>
    <row r="31506" spans="9:10" x14ac:dyDescent="0.3">
      <c r="I31506" t="s">
        <v>35549</v>
      </c>
      <c r="J31506" t="s">
        <v>922</v>
      </c>
    </row>
    <row r="31507" spans="9:10" x14ac:dyDescent="0.3">
      <c r="I31507" t="s">
        <v>35550</v>
      </c>
      <c r="J31507" t="s">
        <v>9743</v>
      </c>
    </row>
    <row r="31508" spans="9:10" x14ac:dyDescent="0.3">
      <c r="I31508" t="s">
        <v>35551</v>
      </c>
    </row>
    <row r="31509" spans="9:10" x14ac:dyDescent="0.3">
      <c r="I31509" t="s">
        <v>35552</v>
      </c>
    </row>
    <row r="31510" spans="9:10" x14ac:dyDescent="0.3">
      <c r="I31510" t="s">
        <v>35553</v>
      </c>
    </row>
    <row r="31511" spans="9:10" x14ac:dyDescent="0.3">
      <c r="I31511" t="s">
        <v>35554</v>
      </c>
    </row>
    <row r="31512" spans="9:10" x14ac:dyDescent="0.3">
      <c r="I31512" t="s">
        <v>35555</v>
      </c>
    </row>
    <row r="31513" spans="9:10" x14ac:dyDescent="0.3">
      <c r="I31513" t="s">
        <v>35556</v>
      </c>
    </row>
    <row r="31514" spans="9:10" x14ac:dyDescent="0.3">
      <c r="I31514" t="s">
        <v>35557</v>
      </c>
    </row>
    <row r="31515" spans="9:10" x14ac:dyDescent="0.3">
      <c r="I31515" t="s">
        <v>35558</v>
      </c>
    </row>
    <row r="31516" spans="9:10" x14ac:dyDescent="0.3">
      <c r="I31516" t="s">
        <v>35559</v>
      </c>
    </row>
    <row r="31517" spans="9:10" x14ac:dyDescent="0.3">
      <c r="I31517" t="s">
        <v>35560</v>
      </c>
    </row>
    <row r="31518" spans="9:10" x14ac:dyDescent="0.3">
      <c r="I31518" t="s">
        <v>35561</v>
      </c>
    </row>
    <row r="31519" spans="9:10" x14ac:dyDescent="0.3">
      <c r="I31519" t="s">
        <v>35562</v>
      </c>
    </row>
    <row r="31520" spans="9:10" x14ac:dyDescent="0.3">
      <c r="I31520" t="s">
        <v>35563</v>
      </c>
      <c r="J31520" t="s">
        <v>9744</v>
      </c>
    </row>
    <row r="31521" spans="9:10" x14ac:dyDescent="0.3">
      <c r="I31521" t="s">
        <v>35564</v>
      </c>
      <c r="J31521" t="s">
        <v>9745</v>
      </c>
    </row>
    <row r="31522" spans="9:10" x14ac:dyDescent="0.3">
      <c r="I31522" t="s">
        <v>11057</v>
      </c>
      <c r="J31522" t="s">
        <v>9746</v>
      </c>
    </row>
    <row r="31523" spans="9:10" x14ac:dyDescent="0.3">
      <c r="I31523" t="s">
        <v>35565</v>
      </c>
    </row>
    <row r="31524" spans="9:10" x14ac:dyDescent="0.3">
      <c r="I31524" t="s">
        <v>35566</v>
      </c>
    </row>
    <row r="31525" spans="9:10" x14ac:dyDescent="0.3">
      <c r="I31525" t="s">
        <v>35567</v>
      </c>
    </row>
    <row r="31526" spans="9:10" x14ac:dyDescent="0.3">
      <c r="I31526" t="s">
        <v>35568</v>
      </c>
    </row>
    <row r="31527" spans="9:10" x14ac:dyDescent="0.3">
      <c r="I31527" t="s">
        <v>35569</v>
      </c>
    </row>
    <row r="31528" spans="9:10" x14ac:dyDescent="0.3">
      <c r="I31528" t="s">
        <v>35570</v>
      </c>
    </row>
    <row r="31529" spans="9:10" x14ac:dyDescent="0.3">
      <c r="I31529" t="s">
        <v>35571</v>
      </c>
    </row>
    <row r="31530" spans="9:10" x14ac:dyDescent="0.3">
      <c r="I31530" t="s">
        <v>35572</v>
      </c>
    </row>
    <row r="31531" spans="9:10" x14ac:dyDescent="0.3">
      <c r="I31531" t="s">
        <v>35573</v>
      </c>
    </row>
    <row r="31532" spans="9:10" x14ac:dyDescent="0.3">
      <c r="I31532" t="s">
        <v>35574</v>
      </c>
      <c r="J31532" t="s">
        <v>9747</v>
      </c>
    </row>
    <row r="31533" spans="9:10" x14ac:dyDescent="0.3">
      <c r="I31533" t="s">
        <v>34569</v>
      </c>
      <c r="J31533" t="s">
        <v>9748</v>
      </c>
    </row>
    <row r="31534" spans="9:10" x14ac:dyDescent="0.3">
      <c r="I31534" t="s">
        <v>35575</v>
      </c>
    </row>
    <row r="31535" spans="9:10" x14ac:dyDescent="0.3">
      <c r="I31535" t="s">
        <v>35576</v>
      </c>
    </row>
    <row r="31536" spans="9:10" x14ac:dyDescent="0.3">
      <c r="I31536" t="s">
        <v>35577</v>
      </c>
      <c r="J31536" t="s">
        <v>9749</v>
      </c>
    </row>
    <row r="31537" spans="9:10" x14ac:dyDescent="0.3">
      <c r="I31537" t="s">
        <v>35578</v>
      </c>
      <c r="J31537" t="s">
        <v>9749</v>
      </c>
    </row>
    <row r="31538" spans="9:10" x14ac:dyDescent="0.3">
      <c r="I31538" t="s">
        <v>22753</v>
      </c>
      <c r="J31538" t="s">
        <v>9750</v>
      </c>
    </row>
    <row r="31539" spans="9:10" x14ac:dyDescent="0.3">
      <c r="I31539" t="s">
        <v>21058</v>
      </c>
      <c r="J31539" t="s">
        <v>9751</v>
      </c>
    </row>
    <row r="31540" spans="9:10" x14ac:dyDescent="0.3">
      <c r="I31540" t="s">
        <v>35579</v>
      </c>
      <c r="J31540" t="s">
        <v>9752</v>
      </c>
    </row>
    <row r="31541" spans="9:10" x14ac:dyDescent="0.3">
      <c r="I31541" t="s">
        <v>35580</v>
      </c>
    </row>
    <row r="31542" spans="9:10" x14ac:dyDescent="0.3">
      <c r="I31542" t="s">
        <v>35581</v>
      </c>
    </row>
    <row r="31543" spans="9:10" x14ac:dyDescent="0.3">
      <c r="I31543" t="s">
        <v>35582</v>
      </c>
    </row>
    <row r="31544" spans="9:10" x14ac:dyDescent="0.3">
      <c r="I31544" t="s">
        <v>35583</v>
      </c>
    </row>
    <row r="31545" spans="9:10" x14ac:dyDescent="0.3">
      <c r="I31545" t="s">
        <v>35584</v>
      </c>
    </row>
    <row r="31546" spans="9:10" x14ac:dyDescent="0.3">
      <c r="I31546" t="s">
        <v>35585</v>
      </c>
      <c r="J31546" t="s">
        <v>921</v>
      </c>
    </row>
    <row r="31547" spans="9:10" x14ac:dyDescent="0.3">
      <c r="I31547" t="s">
        <v>35586</v>
      </c>
    </row>
    <row r="31548" spans="9:10" x14ac:dyDescent="0.3">
      <c r="I31548" t="s">
        <v>35587</v>
      </c>
    </row>
    <row r="31549" spans="9:10" x14ac:dyDescent="0.3">
      <c r="I31549" t="s">
        <v>35588</v>
      </c>
      <c r="J31549" t="s">
        <v>9753</v>
      </c>
    </row>
    <row r="31550" spans="9:10" x14ac:dyDescent="0.3">
      <c r="I31550" t="s">
        <v>35589</v>
      </c>
      <c r="J31550" t="s">
        <v>9754</v>
      </c>
    </row>
    <row r="31551" spans="9:10" x14ac:dyDescent="0.3">
      <c r="I31551" t="s">
        <v>35590</v>
      </c>
      <c r="J31551" t="s">
        <v>9755</v>
      </c>
    </row>
    <row r="31552" spans="9:10" x14ac:dyDescent="0.3">
      <c r="I31552" t="s">
        <v>35591</v>
      </c>
    </row>
    <row r="31553" spans="9:10" x14ac:dyDescent="0.3">
      <c r="I31553" t="s">
        <v>35592</v>
      </c>
    </row>
    <row r="31554" spans="9:10" x14ac:dyDescent="0.3">
      <c r="I31554" t="s">
        <v>35593</v>
      </c>
    </row>
    <row r="31555" spans="9:10" x14ac:dyDescent="0.3">
      <c r="I31555" t="s">
        <v>35594</v>
      </c>
    </row>
    <row r="31556" spans="9:10" x14ac:dyDescent="0.3">
      <c r="I31556" t="s">
        <v>35595</v>
      </c>
    </row>
    <row r="31557" spans="9:10" x14ac:dyDescent="0.3">
      <c r="I31557" t="s">
        <v>35596</v>
      </c>
    </row>
    <row r="31558" spans="9:10" x14ac:dyDescent="0.3">
      <c r="I31558" t="s">
        <v>35597</v>
      </c>
    </row>
    <row r="31559" spans="9:10" x14ac:dyDescent="0.3">
      <c r="I31559" t="s">
        <v>35598</v>
      </c>
    </row>
    <row r="31560" spans="9:10" x14ac:dyDescent="0.3">
      <c r="I31560" t="s">
        <v>35599</v>
      </c>
    </row>
    <row r="31561" spans="9:10" x14ac:dyDescent="0.3">
      <c r="I31561" t="s">
        <v>35600</v>
      </c>
      <c r="J31561" t="s">
        <v>9756</v>
      </c>
    </row>
    <row r="31562" spans="9:10" x14ac:dyDescent="0.3">
      <c r="I31562" t="s">
        <v>35601</v>
      </c>
      <c r="J31562" t="s">
        <v>9757</v>
      </c>
    </row>
    <row r="31563" spans="9:10" x14ac:dyDescent="0.3">
      <c r="I31563" t="s">
        <v>35602</v>
      </c>
    </row>
    <row r="31564" spans="9:10" x14ac:dyDescent="0.3">
      <c r="I31564" t="s">
        <v>35603</v>
      </c>
    </row>
    <row r="31565" spans="9:10" x14ac:dyDescent="0.3">
      <c r="I31565" t="s">
        <v>35604</v>
      </c>
      <c r="J31565" t="s">
        <v>9758</v>
      </c>
    </row>
    <row r="31566" spans="9:10" x14ac:dyDescent="0.3">
      <c r="I31566" t="s">
        <v>35605</v>
      </c>
      <c r="J31566" t="s">
        <v>9758</v>
      </c>
    </row>
    <row r="31567" spans="9:10" x14ac:dyDescent="0.3">
      <c r="I31567" t="s">
        <v>35606</v>
      </c>
    </row>
    <row r="31568" spans="9:10" x14ac:dyDescent="0.3">
      <c r="I31568" t="s">
        <v>35607</v>
      </c>
    </row>
    <row r="31569" spans="9:10" x14ac:dyDescent="0.3">
      <c r="I31569" t="s">
        <v>35608</v>
      </c>
    </row>
    <row r="31570" spans="9:10" x14ac:dyDescent="0.3">
      <c r="I31570" t="s">
        <v>35609</v>
      </c>
    </row>
    <row r="31571" spans="9:10" x14ac:dyDescent="0.3">
      <c r="I31571" t="s">
        <v>35610</v>
      </c>
    </row>
    <row r="31572" spans="9:10" x14ac:dyDescent="0.3">
      <c r="I31572" t="s">
        <v>35611</v>
      </c>
    </row>
    <row r="31573" spans="9:10" x14ac:dyDescent="0.3">
      <c r="I31573" t="s">
        <v>25685</v>
      </c>
      <c r="J31573" t="s">
        <v>9759</v>
      </c>
    </row>
    <row r="31574" spans="9:10" x14ac:dyDescent="0.3">
      <c r="I31574" t="s">
        <v>35612</v>
      </c>
    </row>
    <row r="31575" spans="9:10" x14ac:dyDescent="0.3">
      <c r="I31575" t="s">
        <v>35613</v>
      </c>
    </row>
    <row r="31576" spans="9:10" x14ac:dyDescent="0.3">
      <c r="I31576" t="s">
        <v>35614</v>
      </c>
      <c r="J31576" t="s">
        <v>9760</v>
      </c>
    </row>
    <row r="31577" spans="9:10" x14ac:dyDescent="0.3">
      <c r="I31577" t="s">
        <v>35615</v>
      </c>
      <c r="J31577" t="s">
        <v>9761</v>
      </c>
    </row>
    <row r="31578" spans="9:10" x14ac:dyDescent="0.3">
      <c r="I31578" t="s">
        <v>35616</v>
      </c>
    </row>
    <row r="31579" spans="9:10" x14ac:dyDescent="0.3">
      <c r="I31579" t="s">
        <v>35617</v>
      </c>
    </row>
    <row r="31580" spans="9:10" x14ac:dyDescent="0.3">
      <c r="I31580" t="s">
        <v>939</v>
      </c>
      <c r="J31580" t="s">
        <v>476</v>
      </c>
    </row>
    <row r="31581" spans="9:10" x14ac:dyDescent="0.3">
      <c r="I31581" t="s">
        <v>35618</v>
      </c>
      <c r="J31581" t="s">
        <v>9762</v>
      </c>
    </row>
    <row r="31582" spans="9:10" x14ac:dyDescent="0.3">
      <c r="I31582" t="s">
        <v>35619</v>
      </c>
      <c r="J31582" t="s">
        <v>9762</v>
      </c>
    </row>
    <row r="31583" spans="9:10" x14ac:dyDescent="0.3">
      <c r="I31583" t="s">
        <v>35620</v>
      </c>
      <c r="J31583" t="s">
        <v>9762</v>
      </c>
    </row>
    <row r="31584" spans="9:10" x14ac:dyDescent="0.3">
      <c r="I31584" t="s">
        <v>35621</v>
      </c>
      <c r="J31584" t="s">
        <v>9762</v>
      </c>
    </row>
    <row r="31585" spans="9:10" x14ac:dyDescent="0.3">
      <c r="I31585" t="s">
        <v>35622</v>
      </c>
    </row>
    <row r="31586" spans="9:10" x14ac:dyDescent="0.3">
      <c r="I31586" t="s">
        <v>35623</v>
      </c>
      <c r="J31586" t="s">
        <v>9763</v>
      </c>
    </row>
    <row r="31587" spans="9:10" x14ac:dyDescent="0.3">
      <c r="I31587" t="s">
        <v>35624</v>
      </c>
      <c r="J31587" t="s">
        <v>9763</v>
      </c>
    </row>
    <row r="31588" spans="9:10" x14ac:dyDescent="0.3">
      <c r="I31588" t="s">
        <v>35625</v>
      </c>
      <c r="J31588" t="s">
        <v>9763</v>
      </c>
    </row>
    <row r="31589" spans="9:10" x14ac:dyDescent="0.3">
      <c r="I31589" t="s">
        <v>35626</v>
      </c>
      <c r="J31589" t="s">
        <v>9763</v>
      </c>
    </row>
    <row r="31590" spans="9:10" x14ac:dyDescent="0.3">
      <c r="I31590" t="s">
        <v>35627</v>
      </c>
      <c r="J31590" t="s">
        <v>9763</v>
      </c>
    </row>
    <row r="31591" spans="9:10" x14ac:dyDescent="0.3">
      <c r="I31591" t="s">
        <v>35628</v>
      </c>
      <c r="J31591" t="s">
        <v>9763</v>
      </c>
    </row>
    <row r="31592" spans="9:10" x14ac:dyDescent="0.3">
      <c r="I31592" t="s">
        <v>35629</v>
      </c>
      <c r="J31592" t="s">
        <v>9763</v>
      </c>
    </row>
    <row r="31593" spans="9:10" x14ac:dyDescent="0.3">
      <c r="I31593" t="s">
        <v>35630</v>
      </c>
      <c r="J31593" t="s">
        <v>9764</v>
      </c>
    </row>
    <row r="31594" spans="9:10" x14ac:dyDescent="0.3">
      <c r="I31594" t="s">
        <v>35631</v>
      </c>
      <c r="J31594" t="s">
        <v>9764</v>
      </c>
    </row>
    <row r="31595" spans="9:10" x14ac:dyDescent="0.3">
      <c r="I31595" t="s">
        <v>35632</v>
      </c>
      <c r="J31595" t="s">
        <v>9764</v>
      </c>
    </row>
    <row r="31596" spans="9:10" x14ac:dyDescent="0.3">
      <c r="I31596" t="s">
        <v>35633</v>
      </c>
      <c r="J31596" t="s">
        <v>9764</v>
      </c>
    </row>
    <row r="31597" spans="9:10" x14ac:dyDescent="0.3">
      <c r="I31597" t="s">
        <v>35634</v>
      </c>
      <c r="J31597" t="s">
        <v>9764</v>
      </c>
    </row>
    <row r="31598" spans="9:10" x14ac:dyDescent="0.3">
      <c r="I31598" t="s">
        <v>35635</v>
      </c>
      <c r="J31598" t="s">
        <v>9764</v>
      </c>
    </row>
    <row r="31599" spans="9:10" x14ac:dyDescent="0.3">
      <c r="I31599" t="s">
        <v>35636</v>
      </c>
      <c r="J31599" t="s">
        <v>9764</v>
      </c>
    </row>
    <row r="31600" spans="9:10" x14ac:dyDescent="0.3">
      <c r="I31600" t="s">
        <v>35637</v>
      </c>
      <c r="J31600" t="s">
        <v>9765</v>
      </c>
    </row>
    <row r="31601" spans="9:10" x14ac:dyDescent="0.3">
      <c r="I31601" t="s">
        <v>35638</v>
      </c>
      <c r="J31601" t="s">
        <v>9765</v>
      </c>
    </row>
    <row r="31602" spans="9:10" x14ac:dyDescent="0.3">
      <c r="I31602" t="s">
        <v>35639</v>
      </c>
      <c r="J31602" t="s">
        <v>9765</v>
      </c>
    </row>
    <row r="31603" spans="9:10" x14ac:dyDescent="0.3">
      <c r="I31603" t="s">
        <v>35640</v>
      </c>
      <c r="J31603" t="s">
        <v>9765</v>
      </c>
    </row>
    <row r="31604" spans="9:10" x14ac:dyDescent="0.3">
      <c r="I31604" t="s">
        <v>35641</v>
      </c>
      <c r="J31604" t="s">
        <v>9765</v>
      </c>
    </row>
    <row r="31605" spans="9:10" x14ac:dyDescent="0.3">
      <c r="I31605" t="s">
        <v>35642</v>
      </c>
      <c r="J31605" t="s">
        <v>9765</v>
      </c>
    </row>
    <row r="31606" spans="9:10" x14ac:dyDescent="0.3">
      <c r="I31606" t="s">
        <v>35643</v>
      </c>
      <c r="J31606" t="s">
        <v>9765</v>
      </c>
    </row>
    <row r="31607" spans="9:10" x14ac:dyDescent="0.3">
      <c r="I31607" t="s">
        <v>27390</v>
      </c>
      <c r="J31607" t="s">
        <v>9766</v>
      </c>
    </row>
    <row r="31608" spans="9:10" x14ac:dyDescent="0.3">
      <c r="I31608" t="s">
        <v>35644</v>
      </c>
      <c r="J31608" t="s">
        <v>9767</v>
      </c>
    </row>
    <row r="31609" spans="9:10" x14ac:dyDescent="0.3">
      <c r="I31609" t="s">
        <v>35645</v>
      </c>
    </row>
    <row r="31610" spans="9:10" x14ac:dyDescent="0.3">
      <c r="I31610" t="s">
        <v>35646</v>
      </c>
    </row>
    <row r="31611" spans="9:10" x14ac:dyDescent="0.3">
      <c r="I31611" t="s">
        <v>35647</v>
      </c>
    </row>
    <row r="31612" spans="9:10" x14ac:dyDescent="0.3">
      <c r="I31612" t="s">
        <v>35648</v>
      </c>
    </row>
    <row r="31613" spans="9:10" x14ac:dyDescent="0.3">
      <c r="I31613" t="s">
        <v>35649</v>
      </c>
      <c r="J31613" t="s">
        <v>9768</v>
      </c>
    </row>
    <row r="31614" spans="9:10" x14ac:dyDescent="0.3">
      <c r="I31614" t="s">
        <v>35650</v>
      </c>
      <c r="J31614" t="s">
        <v>9769</v>
      </c>
    </row>
    <row r="31615" spans="9:10" x14ac:dyDescent="0.3">
      <c r="I31615" t="s">
        <v>35651</v>
      </c>
      <c r="J31615" t="s">
        <v>9770</v>
      </c>
    </row>
    <row r="31616" spans="9:10" x14ac:dyDescent="0.3">
      <c r="I31616" t="s">
        <v>35652</v>
      </c>
      <c r="J31616" t="s">
        <v>9771</v>
      </c>
    </row>
    <row r="31617" spans="9:10" x14ac:dyDescent="0.3">
      <c r="I31617" t="s">
        <v>35653</v>
      </c>
      <c r="J31617" t="s">
        <v>9772</v>
      </c>
    </row>
    <row r="31618" spans="9:10" x14ac:dyDescent="0.3">
      <c r="I31618" t="s">
        <v>35654</v>
      </c>
      <c r="J31618" t="s">
        <v>9772</v>
      </c>
    </row>
    <row r="31619" spans="9:10" x14ac:dyDescent="0.3">
      <c r="I31619" t="s">
        <v>35655</v>
      </c>
      <c r="J31619" t="s">
        <v>9772</v>
      </c>
    </row>
    <row r="31620" spans="9:10" x14ac:dyDescent="0.3">
      <c r="I31620" t="s">
        <v>35656</v>
      </c>
      <c r="J31620" t="s">
        <v>9772</v>
      </c>
    </row>
    <row r="31621" spans="9:10" x14ac:dyDescent="0.3">
      <c r="I31621" t="s">
        <v>35657</v>
      </c>
      <c r="J31621" t="s">
        <v>9772</v>
      </c>
    </row>
    <row r="31622" spans="9:10" x14ac:dyDescent="0.3">
      <c r="I31622" t="s">
        <v>35658</v>
      </c>
      <c r="J31622" t="s">
        <v>9772</v>
      </c>
    </row>
    <row r="31623" spans="9:10" x14ac:dyDescent="0.3">
      <c r="I31623" t="s">
        <v>35659</v>
      </c>
      <c r="J31623" t="s">
        <v>9772</v>
      </c>
    </row>
    <row r="31624" spans="9:10" x14ac:dyDescent="0.3">
      <c r="I31624" t="s">
        <v>35660</v>
      </c>
      <c r="J31624" t="s">
        <v>9772</v>
      </c>
    </row>
    <row r="31625" spans="9:10" x14ac:dyDescent="0.3">
      <c r="I31625" t="s">
        <v>35661</v>
      </c>
      <c r="J31625" t="s">
        <v>9772</v>
      </c>
    </row>
    <row r="31626" spans="9:10" x14ac:dyDescent="0.3">
      <c r="I31626" t="s">
        <v>35662</v>
      </c>
      <c r="J31626" t="s">
        <v>9772</v>
      </c>
    </row>
    <row r="31627" spans="9:10" x14ac:dyDescent="0.3">
      <c r="I31627" t="s">
        <v>35663</v>
      </c>
      <c r="J31627" t="s">
        <v>9772</v>
      </c>
    </row>
    <row r="31628" spans="9:10" x14ac:dyDescent="0.3">
      <c r="I31628" t="s">
        <v>35664</v>
      </c>
      <c r="J31628" t="s">
        <v>9772</v>
      </c>
    </row>
    <row r="31629" spans="9:10" x14ac:dyDescent="0.3">
      <c r="I31629" t="s">
        <v>35665</v>
      </c>
      <c r="J31629" t="s">
        <v>9772</v>
      </c>
    </row>
    <row r="31630" spans="9:10" x14ac:dyDescent="0.3">
      <c r="I31630" t="s">
        <v>35666</v>
      </c>
      <c r="J31630" t="s">
        <v>9772</v>
      </c>
    </row>
    <row r="31631" spans="9:10" x14ac:dyDescent="0.3">
      <c r="I31631" t="s">
        <v>35667</v>
      </c>
    </row>
    <row r="31632" spans="9:10" x14ac:dyDescent="0.3">
      <c r="I31632" t="s">
        <v>35668</v>
      </c>
    </row>
    <row r="31633" spans="9:10" x14ac:dyDescent="0.3">
      <c r="I31633" t="s">
        <v>35669</v>
      </c>
    </row>
    <row r="31634" spans="9:10" x14ac:dyDescent="0.3">
      <c r="I31634" t="s">
        <v>35670</v>
      </c>
    </row>
    <row r="31635" spans="9:10" x14ac:dyDescent="0.3">
      <c r="I31635" t="s">
        <v>35671</v>
      </c>
    </row>
    <row r="31636" spans="9:10" x14ac:dyDescent="0.3">
      <c r="I31636" t="s">
        <v>35672</v>
      </c>
    </row>
    <row r="31637" spans="9:10" x14ac:dyDescent="0.3">
      <c r="I31637" t="s">
        <v>35673</v>
      </c>
    </row>
    <row r="31638" spans="9:10" x14ac:dyDescent="0.3">
      <c r="I31638" t="s">
        <v>35674</v>
      </c>
    </row>
    <row r="31639" spans="9:10" x14ac:dyDescent="0.3">
      <c r="I31639" t="s">
        <v>35675</v>
      </c>
      <c r="J31639" t="s">
        <v>9773</v>
      </c>
    </row>
    <row r="31640" spans="9:10" x14ac:dyDescent="0.3">
      <c r="I31640" t="s">
        <v>35676</v>
      </c>
      <c r="J31640" t="s">
        <v>9774</v>
      </c>
    </row>
    <row r="31641" spans="9:10" x14ac:dyDescent="0.3">
      <c r="I31641" t="s">
        <v>35677</v>
      </c>
      <c r="J31641" t="s">
        <v>9775</v>
      </c>
    </row>
    <row r="31642" spans="9:10" x14ac:dyDescent="0.3">
      <c r="I31642" t="s">
        <v>35678</v>
      </c>
      <c r="J31642" t="s">
        <v>9776</v>
      </c>
    </row>
    <row r="31643" spans="9:10" x14ac:dyDescent="0.3">
      <c r="I31643" t="s">
        <v>35679</v>
      </c>
    </row>
    <row r="31644" spans="9:10" x14ac:dyDescent="0.3">
      <c r="I31644" t="s">
        <v>35680</v>
      </c>
    </row>
    <row r="31645" spans="9:10" x14ac:dyDescent="0.3">
      <c r="I31645" t="s">
        <v>35681</v>
      </c>
    </row>
    <row r="31646" spans="9:10" x14ac:dyDescent="0.3">
      <c r="I31646" t="s">
        <v>35682</v>
      </c>
    </row>
    <row r="31647" spans="9:10" x14ac:dyDescent="0.3">
      <c r="I31647" t="s">
        <v>35683</v>
      </c>
    </row>
    <row r="31648" spans="9:10" x14ac:dyDescent="0.3">
      <c r="I31648" t="s">
        <v>35684</v>
      </c>
      <c r="J31648" t="s">
        <v>9777</v>
      </c>
    </row>
    <row r="31649" spans="9:10" x14ac:dyDescent="0.3">
      <c r="I31649" t="s">
        <v>35685</v>
      </c>
      <c r="J31649" t="s">
        <v>9778</v>
      </c>
    </row>
    <row r="31650" spans="9:10" x14ac:dyDescent="0.3">
      <c r="I31650" t="s">
        <v>35686</v>
      </c>
      <c r="J31650" t="s">
        <v>9779</v>
      </c>
    </row>
    <row r="31651" spans="9:10" x14ac:dyDescent="0.3">
      <c r="I31651" t="s">
        <v>35687</v>
      </c>
    </row>
    <row r="31652" spans="9:10" x14ac:dyDescent="0.3">
      <c r="I31652" t="s">
        <v>35688</v>
      </c>
    </row>
    <row r="31653" spans="9:10" x14ac:dyDescent="0.3">
      <c r="I31653" t="s">
        <v>35689</v>
      </c>
    </row>
    <row r="31654" spans="9:10" x14ac:dyDescent="0.3">
      <c r="I31654" t="s">
        <v>35690</v>
      </c>
      <c r="J31654" t="s">
        <v>9780</v>
      </c>
    </row>
    <row r="31655" spans="9:10" x14ac:dyDescent="0.3">
      <c r="I31655" t="s">
        <v>35691</v>
      </c>
    </row>
    <row r="31656" spans="9:10" x14ac:dyDescent="0.3">
      <c r="I31656" t="s">
        <v>35692</v>
      </c>
      <c r="J31656" t="s">
        <v>9781</v>
      </c>
    </row>
    <row r="31657" spans="9:10" x14ac:dyDescent="0.3">
      <c r="I31657" t="s">
        <v>35693</v>
      </c>
    </row>
    <row r="31658" spans="9:10" x14ac:dyDescent="0.3">
      <c r="I31658" t="s">
        <v>35694</v>
      </c>
    </row>
    <row r="31659" spans="9:10" x14ac:dyDescent="0.3">
      <c r="I31659" t="s">
        <v>35695</v>
      </c>
    </row>
    <row r="31660" spans="9:10" x14ac:dyDescent="0.3">
      <c r="I31660" t="s">
        <v>35696</v>
      </c>
    </row>
    <row r="31661" spans="9:10" x14ac:dyDescent="0.3">
      <c r="I31661" t="s">
        <v>35697</v>
      </c>
      <c r="J31661" t="s">
        <v>9782</v>
      </c>
    </row>
    <row r="31662" spans="9:10" x14ac:dyDescent="0.3">
      <c r="I31662" t="s">
        <v>35698</v>
      </c>
      <c r="J31662" t="s">
        <v>9783</v>
      </c>
    </row>
    <row r="31663" spans="9:10" x14ac:dyDescent="0.3">
      <c r="I31663" t="s">
        <v>35699</v>
      </c>
    </row>
    <row r="31664" spans="9:10" x14ac:dyDescent="0.3">
      <c r="I31664" t="s">
        <v>35700</v>
      </c>
    </row>
    <row r="31665" spans="9:10" x14ac:dyDescent="0.3">
      <c r="I31665" t="s">
        <v>35701</v>
      </c>
    </row>
    <row r="31666" spans="9:10" x14ac:dyDescent="0.3">
      <c r="I31666" t="s">
        <v>35702</v>
      </c>
    </row>
    <row r="31667" spans="9:10" x14ac:dyDescent="0.3">
      <c r="I31667" t="s">
        <v>35703</v>
      </c>
    </row>
    <row r="31668" spans="9:10" x14ac:dyDescent="0.3">
      <c r="I31668" t="s">
        <v>35704</v>
      </c>
      <c r="J31668" t="s">
        <v>923</v>
      </c>
    </row>
    <row r="31669" spans="9:10" x14ac:dyDescent="0.3">
      <c r="I31669" t="s">
        <v>35705</v>
      </c>
    </row>
    <row r="31670" spans="9:10" x14ac:dyDescent="0.3">
      <c r="I31670" t="s">
        <v>35706</v>
      </c>
    </row>
    <row r="31671" spans="9:10" x14ac:dyDescent="0.3">
      <c r="I31671" t="s">
        <v>35707</v>
      </c>
    </row>
    <row r="31672" spans="9:10" x14ac:dyDescent="0.3">
      <c r="I31672" t="s">
        <v>13176</v>
      </c>
      <c r="J31672" t="s">
        <v>947</v>
      </c>
    </row>
    <row r="31673" spans="9:10" x14ac:dyDescent="0.3">
      <c r="I31673" t="s">
        <v>35708</v>
      </c>
    </row>
    <row r="31674" spans="9:10" x14ac:dyDescent="0.3">
      <c r="I31674" t="s">
        <v>35709</v>
      </c>
      <c r="J31674" t="s">
        <v>9784</v>
      </c>
    </row>
    <row r="31675" spans="9:10" x14ac:dyDescent="0.3">
      <c r="I31675" t="s">
        <v>35710</v>
      </c>
      <c r="J31675" t="s">
        <v>9785</v>
      </c>
    </row>
    <row r="31676" spans="9:10" x14ac:dyDescent="0.3">
      <c r="I31676" t="s">
        <v>35711</v>
      </c>
    </row>
    <row r="31677" spans="9:10" x14ac:dyDescent="0.3">
      <c r="I31677" t="s">
        <v>35712</v>
      </c>
    </row>
    <row r="31678" spans="9:10" x14ac:dyDescent="0.3">
      <c r="I31678" t="s">
        <v>35713</v>
      </c>
      <c r="J31678" t="s">
        <v>9786</v>
      </c>
    </row>
    <row r="31679" spans="9:10" x14ac:dyDescent="0.3">
      <c r="I31679" t="s">
        <v>35714</v>
      </c>
      <c r="J31679" t="s">
        <v>9787</v>
      </c>
    </row>
    <row r="31680" spans="9:10" x14ac:dyDescent="0.3">
      <c r="I31680" t="s">
        <v>35715</v>
      </c>
    </row>
    <row r="31681" spans="9:10" x14ac:dyDescent="0.3">
      <c r="I31681" t="s">
        <v>35716</v>
      </c>
    </row>
    <row r="31682" spans="9:10" x14ac:dyDescent="0.3">
      <c r="I31682" t="s">
        <v>35717</v>
      </c>
      <c r="J31682" t="s">
        <v>9788</v>
      </c>
    </row>
    <row r="31683" spans="9:10" x14ac:dyDescent="0.3">
      <c r="I31683" t="s">
        <v>35718</v>
      </c>
    </row>
    <row r="31684" spans="9:10" x14ac:dyDescent="0.3">
      <c r="I31684" t="s">
        <v>35719</v>
      </c>
      <c r="J31684">
        <v>0</v>
      </c>
    </row>
    <row r="31685" spans="9:10" x14ac:dyDescent="0.3">
      <c r="I31685" t="s">
        <v>35719</v>
      </c>
      <c r="J31685">
        <v>0</v>
      </c>
    </row>
    <row r="31686" spans="9:10" x14ac:dyDescent="0.3">
      <c r="I31686" t="s">
        <v>35720</v>
      </c>
      <c r="J31686" t="s">
        <v>9789</v>
      </c>
    </row>
    <row r="31687" spans="9:10" x14ac:dyDescent="0.3">
      <c r="I31687" t="s">
        <v>35721</v>
      </c>
    </row>
    <row r="31688" spans="9:10" x14ac:dyDescent="0.3">
      <c r="I31688" t="s">
        <v>35722</v>
      </c>
      <c r="J31688" t="s">
        <v>9790</v>
      </c>
    </row>
    <row r="31689" spans="9:10" x14ac:dyDescent="0.3">
      <c r="I31689" t="s">
        <v>35723</v>
      </c>
    </row>
    <row r="31690" spans="9:10" x14ac:dyDescent="0.3">
      <c r="I31690" t="s">
        <v>35724</v>
      </c>
    </row>
    <row r="31691" spans="9:10" x14ac:dyDescent="0.3">
      <c r="I31691" t="s">
        <v>35725</v>
      </c>
    </row>
    <row r="31692" spans="9:10" x14ac:dyDescent="0.3">
      <c r="I31692" t="s">
        <v>35726</v>
      </c>
    </row>
    <row r="31693" spans="9:10" x14ac:dyDescent="0.3">
      <c r="I31693" t="s">
        <v>35727</v>
      </c>
      <c r="J31693" t="s">
        <v>9791</v>
      </c>
    </row>
    <row r="31694" spans="9:10" x14ac:dyDescent="0.3">
      <c r="I31694" t="s">
        <v>35727</v>
      </c>
      <c r="J31694" t="s">
        <v>9791</v>
      </c>
    </row>
    <row r="31695" spans="9:10" x14ac:dyDescent="0.3">
      <c r="I31695" t="s">
        <v>35728</v>
      </c>
    </row>
    <row r="31696" spans="9:10" x14ac:dyDescent="0.3">
      <c r="I31696" t="s">
        <v>35729</v>
      </c>
    </row>
    <row r="31697" spans="9:10" x14ac:dyDescent="0.3">
      <c r="I31697" t="s">
        <v>35730</v>
      </c>
    </row>
    <row r="31698" spans="9:10" x14ac:dyDescent="0.3">
      <c r="I31698" t="s">
        <v>35731</v>
      </c>
    </row>
    <row r="31699" spans="9:10" x14ac:dyDescent="0.3">
      <c r="I31699" t="s">
        <v>35732</v>
      </c>
    </row>
    <row r="31700" spans="9:10" x14ac:dyDescent="0.3">
      <c r="I31700" t="s">
        <v>35733</v>
      </c>
    </row>
    <row r="31701" spans="9:10" x14ac:dyDescent="0.3">
      <c r="I31701" t="s">
        <v>35734</v>
      </c>
      <c r="J31701" t="s">
        <v>9792</v>
      </c>
    </row>
    <row r="31702" spans="9:10" x14ac:dyDescent="0.3">
      <c r="I31702" t="s">
        <v>35735</v>
      </c>
    </row>
    <row r="31703" spans="9:10" x14ac:dyDescent="0.3">
      <c r="I31703" t="s">
        <v>35736</v>
      </c>
    </row>
    <row r="31704" spans="9:10" x14ac:dyDescent="0.3">
      <c r="I31704" t="s">
        <v>35737</v>
      </c>
    </row>
    <row r="31705" spans="9:10" x14ac:dyDescent="0.3">
      <c r="I31705" t="s">
        <v>35738</v>
      </c>
    </row>
    <row r="31706" spans="9:10" x14ac:dyDescent="0.3">
      <c r="I31706" t="s">
        <v>35739</v>
      </c>
    </row>
    <row r="31707" spans="9:10" x14ac:dyDescent="0.3">
      <c r="I31707" t="s">
        <v>35740</v>
      </c>
    </row>
    <row r="31708" spans="9:10" x14ac:dyDescent="0.3">
      <c r="I31708" t="s">
        <v>35741</v>
      </c>
    </row>
    <row r="31709" spans="9:10" x14ac:dyDescent="0.3">
      <c r="I31709" t="s">
        <v>35742</v>
      </c>
    </row>
    <row r="31710" spans="9:10" x14ac:dyDescent="0.3">
      <c r="I31710" t="s">
        <v>35743</v>
      </c>
    </row>
    <row r="31711" spans="9:10" x14ac:dyDescent="0.3">
      <c r="I31711" t="s">
        <v>35744</v>
      </c>
    </row>
    <row r="31712" spans="9:10" x14ac:dyDescent="0.3">
      <c r="I31712" t="s">
        <v>35745</v>
      </c>
    </row>
    <row r="31713" spans="9:9" x14ac:dyDescent="0.3">
      <c r="I31713" t="s">
        <v>35746</v>
      </c>
    </row>
    <row r="31714" spans="9:9" x14ac:dyDescent="0.3">
      <c r="I31714" t="s">
        <v>35747</v>
      </c>
    </row>
    <row r="31715" spans="9:9" x14ac:dyDescent="0.3">
      <c r="I31715" t="s">
        <v>35748</v>
      </c>
    </row>
    <row r="31716" spans="9:9" x14ac:dyDescent="0.3">
      <c r="I31716" t="s">
        <v>35749</v>
      </c>
    </row>
    <row r="31717" spans="9:9" x14ac:dyDescent="0.3">
      <c r="I31717" t="s">
        <v>35750</v>
      </c>
    </row>
    <row r="31718" spans="9:9" x14ac:dyDescent="0.3">
      <c r="I31718" t="s">
        <v>35751</v>
      </c>
    </row>
    <row r="31719" spans="9:9" x14ac:dyDescent="0.3">
      <c r="I31719" t="s">
        <v>35752</v>
      </c>
    </row>
    <row r="31720" spans="9:9" x14ac:dyDescent="0.3">
      <c r="I31720" t="s">
        <v>35753</v>
      </c>
    </row>
    <row r="31721" spans="9:9" x14ac:dyDescent="0.3">
      <c r="I31721" t="s">
        <v>35754</v>
      </c>
    </row>
    <row r="31722" spans="9:9" x14ac:dyDescent="0.3">
      <c r="I31722" t="s">
        <v>35755</v>
      </c>
    </row>
    <row r="31723" spans="9:9" x14ac:dyDescent="0.3">
      <c r="I31723" t="s">
        <v>35756</v>
      </c>
    </row>
    <row r="31724" spans="9:9" x14ac:dyDescent="0.3">
      <c r="I31724" t="s">
        <v>35757</v>
      </c>
    </row>
    <row r="31725" spans="9:9" x14ac:dyDescent="0.3">
      <c r="I31725" t="s">
        <v>35758</v>
      </c>
    </row>
    <row r="31726" spans="9:9" x14ac:dyDescent="0.3">
      <c r="I31726" t="s">
        <v>35758</v>
      </c>
    </row>
    <row r="31727" spans="9:9" x14ac:dyDescent="0.3">
      <c r="I31727" t="s">
        <v>35759</v>
      </c>
    </row>
    <row r="31728" spans="9:9" x14ac:dyDescent="0.3">
      <c r="I31728" t="s">
        <v>35760</v>
      </c>
    </row>
    <row r="31729" spans="9:10" x14ac:dyDescent="0.3">
      <c r="I31729" t="s">
        <v>35761</v>
      </c>
    </row>
    <row r="31730" spans="9:10" x14ac:dyDescent="0.3">
      <c r="I31730" t="s">
        <v>35762</v>
      </c>
    </row>
    <row r="31731" spans="9:10" x14ac:dyDescent="0.3">
      <c r="I31731" t="s">
        <v>35266</v>
      </c>
      <c r="J31731" t="s">
        <v>9793</v>
      </c>
    </row>
    <row r="31732" spans="9:10" x14ac:dyDescent="0.3">
      <c r="I31732" t="s">
        <v>35763</v>
      </c>
      <c r="J31732" t="s">
        <v>9794</v>
      </c>
    </row>
    <row r="31733" spans="9:10" x14ac:dyDescent="0.3">
      <c r="I31733" t="s">
        <v>35763</v>
      </c>
      <c r="J31733" t="s">
        <v>9794</v>
      </c>
    </row>
    <row r="31734" spans="9:10" x14ac:dyDescent="0.3">
      <c r="I31734" t="s">
        <v>35764</v>
      </c>
      <c r="J31734" t="s">
        <v>9795</v>
      </c>
    </row>
    <row r="31735" spans="9:10" x14ac:dyDescent="0.3">
      <c r="I31735" t="s">
        <v>35765</v>
      </c>
      <c r="J31735" t="s">
        <v>9796</v>
      </c>
    </row>
    <row r="31736" spans="9:10" x14ac:dyDescent="0.3">
      <c r="I31736" t="s">
        <v>35766</v>
      </c>
    </row>
    <row r="31737" spans="9:10" x14ac:dyDescent="0.3">
      <c r="I31737" t="s">
        <v>35693</v>
      </c>
    </row>
    <row r="31738" spans="9:10" x14ac:dyDescent="0.3">
      <c r="I31738" t="s">
        <v>35767</v>
      </c>
    </row>
    <row r="31739" spans="9:10" x14ac:dyDescent="0.3">
      <c r="I31739" t="s">
        <v>35768</v>
      </c>
    </row>
    <row r="31740" spans="9:10" x14ac:dyDescent="0.3">
      <c r="I31740" t="s">
        <v>35769</v>
      </c>
    </row>
    <row r="31741" spans="9:10" x14ac:dyDescent="0.3">
      <c r="I31741" t="s">
        <v>35770</v>
      </c>
    </row>
    <row r="31742" spans="9:10" x14ac:dyDescent="0.3">
      <c r="I31742" t="s">
        <v>35771</v>
      </c>
    </row>
    <row r="31743" spans="9:10" x14ac:dyDescent="0.3">
      <c r="I31743" t="s">
        <v>35772</v>
      </c>
      <c r="J31743" t="s">
        <v>9797</v>
      </c>
    </row>
    <row r="31744" spans="9:10" x14ac:dyDescent="0.3">
      <c r="I31744" t="s">
        <v>35773</v>
      </c>
      <c r="J31744" t="s">
        <v>9797</v>
      </c>
    </row>
    <row r="31745" spans="9:10" x14ac:dyDescent="0.3">
      <c r="I31745" t="s">
        <v>35774</v>
      </c>
      <c r="J31745" t="s">
        <v>9797</v>
      </c>
    </row>
    <row r="31746" spans="9:10" x14ac:dyDescent="0.3">
      <c r="I31746" t="s">
        <v>35775</v>
      </c>
      <c r="J31746" t="s">
        <v>9798</v>
      </c>
    </row>
    <row r="31747" spans="9:10" x14ac:dyDescent="0.3">
      <c r="I31747" t="s">
        <v>35776</v>
      </c>
      <c r="J31747" t="s">
        <v>9798</v>
      </c>
    </row>
    <row r="31748" spans="9:10" x14ac:dyDescent="0.3">
      <c r="I31748" t="s">
        <v>35777</v>
      </c>
      <c r="J31748" t="s">
        <v>9799</v>
      </c>
    </row>
    <row r="31749" spans="9:10" x14ac:dyDescent="0.3">
      <c r="I31749" t="s">
        <v>35778</v>
      </c>
      <c r="J31749" t="s">
        <v>9799</v>
      </c>
    </row>
    <row r="31750" spans="9:10" x14ac:dyDescent="0.3">
      <c r="I31750" t="s">
        <v>35779</v>
      </c>
      <c r="J31750" t="s">
        <v>9799</v>
      </c>
    </row>
    <row r="31751" spans="9:10" x14ac:dyDescent="0.3">
      <c r="I31751" t="s">
        <v>35780</v>
      </c>
      <c r="J31751" t="s">
        <v>9800</v>
      </c>
    </row>
    <row r="31752" spans="9:10" x14ac:dyDescent="0.3">
      <c r="I31752" t="s">
        <v>35781</v>
      </c>
      <c r="J31752" t="s">
        <v>9800</v>
      </c>
    </row>
    <row r="31753" spans="9:10" x14ac:dyDescent="0.3">
      <c r="I31753" t="s">
        <v>35782</v>
      </c>
    </row>
    <row r="31754" spans="9:10" x14ac:dyDescent="0.3">
      <c r="I31754" t="s">
        <v>35783</v>
      </c>
    </row>
    <row r="31755" spans="9:10" x14ac:dyDescent="0.3">
      <c r="I31755" t="s">
        <v>35784</v>
      </c>
      <c r="J31755" t="s">
        <v>9801</v>
      </c>
    </row>
    <row r="31756" spans="9:10" x14ac:dyDescent="0.3">
      <c r="I31756" t="s">
        <v>35785</v>
      </c>
      <c r="J31756" t="s">
        <v>9801</v>
      </c>
    </row>
    <row r="31757" spans="9:10" x14ac:dyDescent="0.3">
      <c r="I31757" t="s">
        <v>35786</v>
      </c>
      <c r="J31757" t="s">
        <v>9801</v>
      </c>
    </row>
    <row r="31758" spans="9:10" x14ac:dyDescent="0.3">
      <c r="I31758" t="s">
        <v>35787</v>
      </c>
      <c r="J31758" t="s">
        <v>9802</v>
      </c>
    </row>
    <row r="31759" spans="9:10" x14ac:dyDescent="0.3">
      <c r="I31759" t="s">
        <v>35788</v>
      </c>
      <c r="J31759" t="s">
        <v>9802</v>
      </c>
    </row>
    <row r="31760" spans="9:10" x14ac:dyDescent="0.3">
      <c r="I31760" t="s">
        <v>35789</v>
      </c>
    </row>
    <row r="31761" spans="9:10" x14ac:dyDescent="0.3">
      <c r="I31761" t="s">
        <v>35790</v>
      </c>
    </row>
    <row r="31762" spans="9:10" x14ac:dyDescent="0.3">
      <c r="I31762" t="s">
        <v>35791</v>
      </c>
      <c r="J31762" t="s">
        <v>9803</v>
      </c>
    </row>
    <row r="31763" spans="9:10" x14ac:dyDescent="0.3">
      <c r="I31763" t="s">
        <v>35792</v>
      </c>
      <c r="J31763" t="s">
        <v>9803</v>
      </c>
    </row>
    <row r="31764" spans="9:10" x14ac:dyDescent="0.3">
      <c r="I31764" t="s">
        <v>35793</v>
      </c>
      <c r="J31764" t="s">
        <v>9803</v>
      </c>
    </row>
    <row r="31765" spans="9:10" x14ac:dyDescent="0.3">
      <c r="I31765" t="s">
        <v>35794</v>
      </c>
      <c r="J31765" t="s">
        <v>9804</v>
      </c>
    </row>
    <row r="31766" spans="9:10" x14ac:dyDescent="0.3">
      <c r="I31766" t="s">
        <v>35795</v>
      </c>
      <c r="J31766" t="s">
        <v>9804</v>
      </c>
    </row>
    <row r="31767" spans="9:10" x14ac:dyDescent="0.3">
      <c r="I31767" t="s">
        <v>35796</v>
      </c>
      <c r="J31767" t="s">
        <v>9804</v>
      </c>
    </row>
    <row r="31768" spans="9:10" x14ac:dyDescent="0.3">
      <c r="I31768" t="s">
        <v>35797</v>
      </c>
    </row>
    <row r="31769" spans="9:10" x14ac:dyDescent="0.3">
      <c r="I31769" t="s">
        <v>35798</v>
      </c>
    </row>
    <row r="31770" spans="9:10" x14ac:dyDescent="0.3">
      <c r="I31770" t="s">
        <v>35799</v>
      </c>
    </row>
    <row r="31771" spans="9:10" x14ac:dyDescent="0.3">
      <c r="I31771" t="s">
        <v>35800</v>
      </c>
    </row>
    <row r="31772" spans="9:10" x14ac:dyDescent="0.3">
      <c r="I31772" t="s">
        <v>35801</v>
      </c>
    </row>
    <row r="31773" spans="9:10" x14ac:dyDescent="0.3">
      <c r="I31773" t="s">
        <v>35802</v>
      </c>
      <c r="J31773" t="s">
        <v>9805</v>
      </c>
    </row>
    <row r="31774" spans="9:10" x14ac:dyDescent="0.3">
      <c r="I31774" t="s">
        <v>35803</v>
      </c>
    </row>
    <row r="31775" spans="9:10" x14ac:dyDescent="0.3">
      <c r="I31775" t="s">
        <v>35804</v>
      </c>
    </row>
    <row r="31776" spans="9:10" x14ac:dyDescent="0.3">
      <c r="I31776" t="s">
        <v>35805</v>
      </c>
    </row>
    <row r="31777" spans="9:10" x14ac:dyDescent="0.3">
      <c r="I31777" t="s">
        <v>35806</v>
      </c>
    </row>
    <row r="31778" spans="9:10" x14ac:dyDescent="0.3">
      <c r="I31778" t="s">
        <v>35807</v>
      </c>
    </row>
    <row r="31779" spans="9:10" x14ac:dyDescent="0.3">
      <c r="I31779" t="s">
        <v>35808</v>
      </c>
    </row>
    <row r="31780" spans="9:10" x14ac:dyDescent="0.3">
      <c r="I31780" t="s">
        <v>35809</v>
      </c>
    </row>
    <row r="31781" spans="9:10" x14ac:dyDescent="0.3">
      <c r="I31781" t="s">
        <v>35810</v>
      </c>
    </row>
    <row r="31782" spans="9:10" x14ac:dyDescent="0.3">
      <c r="I31782" t="s">
        <v>35811</v>
      </c>
    </row>
    <row r="31783" spans="9:10" x14ac:dyDescent="0.3">
      <c r="I31783" t="s">
        <v>35812</v>
      </c>
    </row>
    <row r="31784" spans="9:10" x14ac:dyDescent="0.3">
      <c r="I31784" t="s">
        <v>35813</v>
      </c>
    </row>
    <row r="31785" spans="9:10" x14ac:dyDescent="0.3">
      <c r="I31785" t="s">
        <v>35814</v>
      </c>
    </row>
    <row r="31786" spans="9:10" x14ac:dyDescent="0.3">
      <c r="I31786" t="s">
        <v>35815</v>
      </c>
      <c r="J31786" t="s">
        <v>9806</v>
      </c>
    </row>
    <row r="31787" spans="9:10" x14ac:dyDescent="0.3">
      <c r="I31787" t="s">
        <v>35816</v>
      </c>
      <c r="J31787" t="s">
        <v>9807</v>
      </c>
    </row>
    <row r="31788" spans="9:10" x14ac:dyDescent="0.3">
      <c r="I31788" t="s">
        <v>35817</v>
      </c>
    </row>
    <row r="31789" spans="9:10" x14ac:dyDescent="0.3">
      <c r="I31789" t="s">
        <v>35818</v>
      </c>
    </row>
    <row r="31790" spans="9:10" x14ac:dyDescent="0.3">
      <c r="I31790" t="s">
        <v>35819</v>
      </c>
    </row>
    <row r="31791" spans="9:10" x14ac:dyDescent="0.3">
      <c r="I31791" t="s">
        <v>35820</v>
      </c>
    </row>
    <row r="31792" spans="9:10" x14ac:dyDescent="0.3">
      <c r="I31792" t="s">
        <v>35821</v>
      </c>
    </row>
    <row r="31793" spans="9:10" x14ac:dyDescent="0.3">
      <c r="I31793" t="s">
        <v>35822</v>
      </c>
    </row>
    <row r="31794" spans="9:10" x14ac:dyDescent="0.3">
      <c r="I31794" t="s">
        <v>35823</v>
      </c>
    </row>
    <row r="31795" spans="9:10" x14ac:dyDescent="0.3">
      <c r="I31795" t="s">
        <v>35824</v>
      </c>
    </row>
    <row r="31796" spans="9:10" x14ac:dyDescent="0.3">
      <c r="I31796" t="s">
        <v>35825</v>
      </c>
    </row>
    <row r="31797" spans="9:10" x14ac:dyDescent="0.3">
      <c r="I31797" t="s">
        <v>35826</v>
      </c>
    </row>
    <row r="31798" spans="9:10" x14ac:dyDescent="0.3">
      <c r="I31798" t="s">
        <v>35827</v>
      </c>
    </row>
    <row r="31799" spans="9:10" x14ac:dyDescent="0.3">
      <c r="I31799" t="s">
        <v>35828</v>
      </c>
    </row>
    <row r="31800" spans="9:10" x14ac:dyDescent="0.3">
      <c r="I31800" t="s">
        <v>35829</v>
      </c>
    </row>
    <row r="31801" spans="9:10" x14ac:dyDescent="0.3">
      <c r="I31801" t="s">
        <v>35830</v>
      </c>
    </row>
    <row r="31802" spans="9:10" x14ac:dyDescent="0.3">
      <c r="I31802" t="s">
        <v>35831</v>
      </c>
    </row>
    <row r="31803" spans="9:10" x14ac:dyDescent="0.3">
      <c r="I31803" t="s">
        <v>35832</v>
      </c>
    </row>
    <row r="31804" spans="9:10" x14ac:dyDescent="0.3">
      <c r="I31804" t="s">
        <v>35833</v>
      </c>
      <c r="J31804" t="s">
        <v>9808</v>
      </c>
    </row>
    <row r="31805" spans="9:10" x14ac:dyDescent="0.3">
      <c r="I31805" t="s">
        <v>35834</v>
      </c>
      <c r="J31805" t="s">
        <v>9809</v>
      </c>
    </row>
    <row r="31806" spans="9:10" x14ac:dyDescent="0.3">
      <c r="I31806" t="s">
        <v>35835</v>
      </c>
      <c r="J31806" t="s">
        <v>9810</v>
      </c>
    </row>
    <row r="31807" spans="9:10" x14ac:dyDescent="0.3">
      <c r="I31807" t="s">
        <v>35836</v>
      </c>
    </row>
    <row r="31808" spans="9:10" x14ac:dyDescent="0.3">
      <c r="I31808" t="s">
        <v>35837</v>
      </c>
    </row>
    <row r="31809" spans="9:10" x14ac:dyDescent="0.3">
      <c r="I31809" t="s">
        <v>35838</v>
      </c>
    </row>
    <row r="31810" spans="9:10" x14ac:dyDescent="0.3">
      <c r="I31810" t="s">
        <v>35839</v>
      </c>
    </row>
    <row r="31811" spans="9:10" x14ac:dyDescent="0.3">
      <c r="I31811" t="s">
        <v>35840</v>
      </c>
    </row>
    <row r="31812" spans="9:10" x14ac:dyDescent="0.3">
      <c r="I31812" t="s">
        <v>35841</v>
      </c>
      <c r="J31812" t="s">
        <v>9811</v>
      </c>
    </row>
    <row r="31813" spans="9:10" x14ac:dyDescent="0.3">
      <c r="I31813" t="s">
        <v>35841</v>
      </c>
      <c r="J31813" t="s">
        <v>9811</v>
      </c>
    </row>
    <row r="31814" spans="9:10" x14ac:dyDescent="0.3">
      <c r="I31814" t="s">
        <v>35842</v>
      </c>
      <c r="J31814" t="s">
        <v>9812</v>
      </c>
    </row>
    <row r="31815" spans="9:10" x14ac:dyDescent="0.3">
      <c r="I31815" t="s">
        <v>35843</v>
      </c>
      <c r="J31815" t="s">
        <v>9813</v>
      </c>
    </row>
    <row r="31816" spans="9:10" x14ac:dyDescent="0.3">
      <c r="I31816" t="s">
        <v>35844</v>
      </c>
      <c r="J31816" t="s">
        <v>9814</v>
      </c>
    </row>
    <row r="31817" spans="9:10" x14ac:dyDescent="0.3">
      <c r="I31817" t="s">
        <v>35845</v>
      </c>
    </row>
    <row r="31818" spans="9:10" x14ac:dyDescent="0.3">
      <c r="I31818" t="s">
        <v>35846</v>
      </c>
    </row>
    <row r="31819" spans="9:10" x14ac:dyDescent="0.3">
      <c r="I31819" t="s">
        <v>35847</v>
      </c>
    </row>
    <row r="31820" spans="9:10" x14ac:dyDescent="0.3">
      <c r="I31820" t="s">
        <v>35848</v>
      </c>
    </row>
    <row r="31821" spans="9:10" x14ac:dyDescent="0.3">
      <c r="I31821" t="s">
        <v>35849</v>
      </c>
    </row>
    <row r="31822" spans="9:10" x14ac:dyDescent="0.3">
      <c r="I31822" t="s">
        <v>35850</v>
      </c>
    </row>
    <row r="31823" spans="9:10" x14ac:dyDescent="0.3">
      <c r="I31823" t="s">
        <v>35851</v>
      </c>
    </row>
    <row r="31824" spans="9:10" x14ac:dyDescent="0.3">
      <c r="I31824" t="s">
        <v>35852</v>
      </c>
    </row>
    <row r="31825" spans="9:9" x14ac:dyDescent="0.3">
      <c r="I31825" t="s">
        <v>35853</v>
      </c>
    </row>
    <row r="31826" spans="9:9" x14ac:dyDescent="0.3">
      <c r="I31826" t="s">
        <v>35854</v>
      </c>
    </row>
    <row r="31827" spans="9:9" x14ac:dyDescent="0.3">
      <c r="I31827" t="s">
        <v>35855</v>
      </c>
    </row>
    <row r="31828" spans="9:9" x14ac:dyDescent="0.3">
      <c r="I31828" t="s">
        <v>35856</v>
      </c>
    </row>
    <row r="31829" spans="9:9" x14ac:dyDescent="0.3">
      <c r="I31829" t="s">
        <v>35857</v>
      </c>
    </row>
    <row r="31830" spans="9:9" x14ac:dyDescent="0.3">
      <c r="I31830" t="s">
        <v>35858</v>
      </c>
    </row>
    <row r="31831" spans="9:9" x14ac:dyDescent="0.3">
      <c r="I31831" t="s">
        <v>35859</v>
      </c>
    </row>
    <row r="31832" spans="9:9" x14ac:dyDescent="0.3">
      <c r="I31832" t="s">
        <v>35860</v>
      </c>
    </row>
    <row r="31833" spans="9:9" x14ac:dyDescent="0.3">
      <c r="I31833" t="s">
        <v>35861</v>
      </c>
    </row>
    <row r="31834" spans="9:9" x14ac:dyDescent="0.3">
      <c r="I31834" t="s">
        <v>35862</v>
      </c>
    </row>
    <row r="31835" spans="9:9" x14ac:dyDescent="0.3">
      <c r="I31835" t="s">
        <v>35863</v>
      </c>
    </row>
    <row r="31836" spans="9:9" x14ac:dyDescent="0.3">
      <c r="I31836" t="s">
        <v>35864</v>
      </c>
    </row>
    <row r="31837" spans="9:9" x14ac:dyDescent="0.3">
      <c r="I31837" t="s">
        <v>35865</v>
      </c>
    </row>
    <row r="31838" spans="9:9" x14ac:dyDescent="0.3">
      <c r="I31838" t="s">
        <v>35866</v>
      </c>
    </row>
    <row r="31839" spans="9:9" x14ac:dyDescent="0.3">
      <c r="I31839" t="s">
        <v>35867</v>
      </c>
    </row>
    <row r="31840" spans="9:9" x14ac:dyDescent="0.3">
      <c r="I31840" t="s">
        <v>35868</v>
      </c>
    </row>
    <row r="31841" spans="9:10" x14ac:dyDescent="0.3">
      <c r="I31841" t="s">
        <v>35869</v>
      </c>
    </row>
    <row r="31842" spans="9:10" x14ac:dyDescent="0.3">
      <c r="I31842" t="s">
        <v>35870</v>
      </c>
    </row>
    <row r="31843" spans="9:10" x14ac:dyDescent="0.3">
      <c r="I31843" t="s">
        <v>35871</v>
      </c>
      <c r="J31843">
        <v>0</v>
      </c>
    </row>
    <row r="31844" spans="9:10" x14ac:dyDescent="0.3">
      <c r="I31844" t="s">
        <v>35872</v>
      </c>
    </row>
    <row r="31845" spans="9:10" x14ac:dyDescent="0.3">
      <c r="I31845" t="s">
        <v>35873</v>
      </c>
    </row>
    <row r="31846" spans="9:10" x14ac:dyDescent="0.3">
      <c r="I31846" t="s">
        <v>35874</v>
      </c>
    </row>
    <row r="31847" spans="9:10" x14ac:dyDescent="0.3">
      <c r="I31847" t="s">
        <v>35875</v>
      </c>
    </row>
    <row r="31848" spans="9:10" x14ac:dyDescent="0.3">
      <c r="I31848" t="s">
        <v>35876</v>
      </c>
    </row>
    <row r="31849" spans="9:10" x14ac:dyDescent="0.3">
      <c r="I31849" t="s">
        <v>35877</v>
      </c>
    </row>
    <row r="31850" spans="9:10" x14ac:dyDescent="0.3">
      <c r="I31850" t="s">
        <v>35878</v>
      </c>
    </row>
    <row r="31851" spans="9:10" x14ac:dyDescent="0.3">
      <c r="I31851" t="s">
        <v>35879</v>
      </c>
      <c r="J31851" t="s">
        <v>9815</v>
      </c>
    </row>
    <row r="31852" spans="9:10" x14ac:dyDescent="0.3">
      <c r="I31852" t="s">
        <v>35880</v>
      </c>
      <c r="J31852" t="s">
        <v>9816</v>
      </c>
    </row>
    <row r="31853" spans="9:10" x14ac:dyDescent="0.3">
      <c r="I31853" t="s">
        <v>35881</v>
      </c>
      <c r="J31853" t="s">
        <v>9817</v>
      </c>
    </row>
    <row r="31854" spans="9:10" x14ac:dyDescent="0.3">
      <c r="I31854" t="s">
        <v>35882</v>
      </c>
    </row>
    <row r="31855" spans="9:10" x14ac:dyDescent="0.3">
      <c r="I31855" t="s">
        <v>35883</v>
      </c>
    </row>
    <row r="31856" spans="9:10" x14ac:dyDescent="0.3">
      <c r="I31856" t="s">
        <v>35884</v>
      </c>
    </row>
    <row r="31857" spans="9:10" x14ac:dyDescent="0.3">
      <c r="I31857" t="s">
        <v>35885</v>
      </c>
    </row>
    <row r="31858" spans="9:10" x14ac:dyDescent="0.3">
      <c r="I31858" t="s">
        <v>35886</v>
      </c>
    </row>
    <row r="31859" spans="9:10" x14ac:dyDescent="0.3">
      <c r="I31859" t="s">
        <v>35887</v>
      </c>
    </row>
    <row r="31860" spans="9:10" x14ac:dyDescent="0.3">
      <c r="I31860" t="s">
        <v>35888</v>
      </c>
    </row>
    <row r="31861" spans="9:10" x14ac:dyDescent="0.3">
      <c r="I31861" t="s">
        <v>35889</v>
      </c>
    </row>
    <row r="31862" spans="9:10" x14ac:dyDescent="0.3">
      <c r="I31862" t="s">
        <v>35890</v>
      </c>
      <c r="J31862" t="s">
        <v>9818</v>
      </c>
    </row>
    <row r="31863" spans="9:10" x14ac:dyDescent="0.3">
      <c r="I31863" t="s">
        <v>35891</v>
      </c>
      <c r="J31863" t="s">
        <v>9819</v>
      </c>
    </row>
    <row r="31864" spans="9:10" x14ac:dyDescent="0.3">
      <c r="I31864" t="s">
        <v>35892</v>
      </c>
      <c r="J31864" t="s">
        <v>9820</v>
      </c>
    </row>
    <row r="31865" spans="9:10" x14ac:dyDescent="0.3">
      <c r="I31865" t="s">
        <v>35893</v>
      </c>
    </row>
    <row r="31866" spans="9:10" x14ac:dyDescent="0.3">
      <c r="I31866" t="s">
        <v>35894</v>
      </c>
    </row>
    <row r="31867" spans="9:10" x14ac:dyDescent="0.3">
      <c r="I31867" t="s">
        <v>35895</v>
      </c>
    </row>
    <row r="31868" spans="9:10" x14ac:dyDescent="0.3">
      <c r="I31868" t="s">
        <v>35896</v>
      </c>
    </row>
    <row r="31869" spans="9:10" x14ac:dyDescent="0.3">
      <c r="I31869" t="s">
        <v>35897</v>
      </c>
    </row>
    <row r="31870" spans="9:10" x14ac:dyDescent="0.3">
      <c r="I31870" t="s">
        <v>35898</v>
      </c>
    </row>
    <row r="31871" spans="9:10" x14ac:dyDescent="0.3">
      <c r="I31871" t="s">
        <v>35899</v>
      </c>
    </row>
    <row r="31872" spans="9:10" x14ac:dyDescent="0.3">
      <c r="I31872" t="s">
        <v>35900</v>
      </c>
    </row>
    <row r="31873" spans="9:10" x14ac:dyDescent="0.3">
      <c r="I31873" t="s">
        <v>35901</v>
      </c>
    </row>
    <row r="31874" spans="9:10" x14ac:dyDescent="0.3">
      <c r="I31874" t="s">
        <v>35902</v>
      </c>
    </row>
    <row r="31875" spans="9:10" x14ac:dyDescent="0.3">
      <c r="I31875" t="s">
        <v>35903</v>
      </c>
    </row>
    <row r="31876" spans="9:10" x14ac:dyDescent="0.3">
      <c r="I31876" t="s">
        <v>35904</v>
      </c>
      <c r="J31876" t="s">
        <v>9821</v>
      </c>
    </row>
    <row r="31877" spans="9:10" x14ac:dyDescent="0.3">
      <c r="I31877" t="s">
        <v>35905</v>
      </c>
      <c r="J31877" t="s">
        <v>1054</v>
      </c>
    </row>
    <row r="31878" spans="9:10" x14ac:dyDescent="0.3">
      <c r="I31878" t="s">
        <v>35906</v>
      </c>
      <c r="J31878" t="s">
        <v>1054</v>
      </c>
    </row>
    <row r="31879" spans="9:10" x14ac:dyDescent="0.3">
      <c r="I31879" t="s">
        <v>35907</v>
      </c>
      <c r="J31879" t="s">
        <v>1054</v>
      </c>
    </row>
    <row r="31880" spans="9:10" x14ac:dyDescent="0.3">
      <c r="I31880" t="s">
        <v>35908</v>
      </c>
      <c r="J31880" t="s">
        <v>1054</v>
      </c>
    </row>
    <row r="31881" spans="9:10" x14ac:dyDescent="0.3">
      <c r="I31881" t="s">
        <v>35909</v>
      </c>
      <c r="J31881" t="s">
        <v>1054</v>
      </c>
    </row>
    <row r="31882" spans="9:10" x14ac:dyDescent="0.3">
      <c r="I31882" t="s">
        <v>35910</v>
      </c>
      <c r="J31882" t="s">
        <v>1054</v>
      </c>
    </row>
    <row r="31883" spans="9:10" x14ac:dyDescent="0.3">
      <c r="I31883" t="s">
        <v>35911</v>
      </c>
      <c r="J31883" t="s">
        <v>1054</v>
      </c>
    </row>
    <row r="31884" spans="9:10" x14ac:dyDescent="0.3">
      <c r="I31884" t="s">
        <v>35912</v>
      </c>
      <c r="J31884" t="s">
        <v>1054</v>
      </c>
    </row>
    <row r="31885" spans="9:10" x14ac:dyDescent="0.3">
      <c r="I31885" t="s">
        <v>35913</v>
      </c>
      <c r="J31885" t="s">
        <v>1054</v>
      </c>
    </row>
    <row r="31886" spans="9:10" x14ac:dyDescent="0.3">
      <c r="I31886" t="s">
        <v>35914</v>
      </c>
      <c r="J31886" t="s">
        <v>1054</v>
      </c>
    </row>
    <row r="31887" spans="9:10" x14ac:dyDescent="0.3">
      <c r="I31887" t="s">
        <v>35915</v>
      </c>
      <c r="J31887" t="s">
        <v>1054</v>
      </c>
    </row>
    <row r="31888" spans="9:10" x14ac:dyDescent="0.3">
      <c r="I31888" t="s">
        <v>35916</v>
      </c>
    </row>
    <row r="31889" spans="9:10" x14ac:dyDescent="0.3">
      <c r="I31889" t="s">
        <v>35917</v>
      </c>
    </row>
    <row r="31890" spans="9:10" x14ac:dyDescent="0.3">
      <c r="I31890" t="s">
        <v>35918</v>
      </c>
    </row>
    <row r="31891" spans="9:10" x14ac:dyDescent="0.3">
      <c r="I31891" t="s">
        <v>35919</v>
      </c>
    </row>
    <row r="31892" spans="9:10" x14ac:dyDescent="0.3">
      <c r="I31892" t="s">
        <v>35920</v>
      </c>
    </row>
    <row r="31893" spans="9:10" x14ac:dyDescent="0.3">
      <c r="I31893" t="s">
        <v>35921</v>
      </c>
    </row>
    <row r="31894" spans="9:10" x14ac:dyDescent="0.3">
      <c r="I31894" t="s">
        <v>35922</v>
      </c>
      <c r="J31894" t="s">
        <v>979</v>
      </c>
    </row>
    <row r="31895" spans="9:10" x14ac:dyDescent="0.3">
      <c r="I31895" t="s">
        <v>35922</v>
      </c>
      <c r="J31895" t="s">
        <v>979</v>
      </c>
    </row>
    <row r="31896" spans="9:10" x14ac:dyDescent="0.3">
      <c r="I31896" t="s">
        <v>35923</v>
      </c>
      <c r="J31896" t="s">
        <v>9822</v>
      </c>
    </row>
    <row r="31897" spans="9:10" x14ac:dyDescent="0.3">
      <c r="I31897" t="s">
        <v>35924</v>
      </c>
    </row>
    <row r="31898" spans="9:10" x14ac:dyDescent="0.3">
      <c r="I31898" t="s">
        <v>35925</v>
      </c>
    </row>
    <row r="31899" spans="9:10" x14ac:dyDescent="0.3">
      <c r="I31899" t="s">
        <v>35926</v>
      </c>
    </row>
    <row r="31900" spans="9:10" x14ac:dyDescent="0.3">
      <c r="I31900" t="s">
        <v>35927</v>
      </c>
    </row>
    <row r="31901" spans="9:10" x14ac:dyDescent="0.3">
      <c r="I31901" t="s">
        <v>35928</v>
      </c>
    </row>
    <row r="31902" spans="9:10" x14ac:dyDescent="0.3">
      <c r="I31902" t="s">
        <v>35929</v>
      </c>
    </row>
    <row r="31903" spans="9:10" x14ac:dyDescent="0.3">
      <c r="I31903" t="s">
        <v>35930</v>
      </c>
    </row>
    <row r="31904" spans="9:10" x14ac:dyDescent="0.3">
      <c r="I31904" t="s">
        <v>35931</v>
      </c>
    </row>
    <row r="31905" spans="9:10" x14ac:dyDescent="0.3">
      <c r="I31905" t="s">
        <v>35932</v>
      </c>
    </row>
    <row r="31906" spans="9:10" x14ac:dyDescent="0.3">
      <c r="I31906" t="s">
        <v>35933</v>
      </c>
    </row>
    <row r="31907" spans="9:10" x14ac:dyDescent="0.3">
      <c r="I31907" t="s">
        <v>35934</v>
      </c>
    </row>
    <row r="31908" spans="9:10" x14ac:dyDescent="0.3">
      <c r="I31908" t="s">
        <v>35935</v>
      </c>
    </row>
    <row r="31909" spans="9:10" x14ac:dyDescent="0.3">
      <c r="I31909" t="s">
        <v>35936</v>
      </c>
    </row>
    <row r="31910" spans="9:10" x14ac:dyDescent="0.3">
      <c r="I31910" t="s">
        <v>35937</v>
      </c>
      <c r="J31910" t="s">
        <v>9823</v>
      </c>
    </row>
    <row r="31911" spans="9:10" x14ac:dyDescent="0.3">
      <c r="I31911" t="s">
        <v>35938</v>
      </c>
    </row>
    <row r="31912" spans="9:10" x14ac:dyDescent="0.3">
      <c r="I31912" t="s">
        <v>35939</v>
      </c>
    </row>
    <row r="31913" spans="9:10" x14ac:dyDescent="0.3">
      <c r="I31913" t="s">
        <v>35940</v>
      </c>
    </row>
    <row r="31914" spans="9:10" x14ac:dyDescent="0.3">
      <c r="I31914" t="s">
        <v>35941</v>
      </c>
    </row>
    <row r="31915" spans="9:10" x14ac:dyDescent="0.3">
      <c r="I31915" t="s">
        <v>35942</v>
      </c>
    </row>
    <row r="31916" spans="9:10" x14ac:dyDescent="0.3">
      <c r="I31916" t="s">
        <v>35943</v>
      </c>
    </row>
    <row r="31917" spans="9:10" x14ac:dyDescent="0.3">
      <c r="I31917" t="s">
        <v>35944</v>
      </c>
    </row>
    <row r="31918" spans="9:10" x14ac:dyDescent="0.3">
      <c r="I31918" t="s">
        <v>35945</v>
      </c>
    </row>
    <row r="31919" spans="9:10" x14ac:dyDescent="0.3">
      <c r="I31919" t="s">
        <v>35946</v>
      </c>
    </row>
    <row r="31920" spans="9:10" x14ac:dyDescent="0.3">
      <c r="I31920" t="s">
        <v>25721</v>
      </c>
      <c r="J31920" t="s">
        <v>9824</v>
      </c>
    </row>
    <row r="31921" spans="9:10" x14ac:dyDescent="0.3">
      <c r="I31921" t="s">
        <v>35947</v>
      </c>
    </row>
    <row r="31922" spans="9:10" x14ac:dyDescent="0.3">
      <c r="I31922" t="s">
        <v>35948</v>
      </c>
    </row>
    <row r="31923" spans="9:10" x14ac:dyDescent="0.3">
      <c r="I31923" t="s">
        <v>35949</v>
      </c>
    </row>
    <row r="31924" spans="9:10" x14ac:dyDescent="0.3">
      <c r="I31924" t="s">
        <v>35950</v>
      </c>
    </row>
    <row r="31925" spans="9:10" x14ac:dyDescent="0.3">
      <c r="I31925" t="s">
        <v>35951</v>
      </c>
    </row>
    <row r="31926" spans="9:10" x14ac:dyDescent="0.3">
      <c r="I31926" t="s">
        <v>35952</v>
      </c>
    </row>
    <row r="31927" spans="9:10" x14ac:dyDescent="0.3">
      <c r="I31927" t="s">
        <v>35953</v>
      </c>
    </row>
    <row r="31928" spans="9:10" x14ac:dyDescent="0.3">
      <c r="I31928" t="s">
        <v>35954</v>
      </c>
    </row>
    <row r="31929" spans="9:10" x14ac:dyDescent="0.3">
      <c r="I31929" t="s">
        <v>35955</v>
      </c>
    </row>
    <row r="31930" spans="9:10" x14ac:dyDescent="0.3">
      <c r="I31930" t="s">
        <v>35956</v>
      </c>
    </row>
    <row r="31931" spans="9:10" x14ac:dyDescent="0.3">
      <c r="I31931" t="s">
        <v>35957</v>
      </c>
    </row>
    <row r="31932" spans="9:10" x14ac:dyDescent="0.3">
      <c r="I31932" t="s">
        <v>35958</v>
      </c>
      <c r="J31932" t="s">
        <v>9825</v>
      </c>
    </row>
    <row r="31933" spans="9:10" x14ac:dyDescent="0.3">
      <c r="I31933" t="s">
        <v>35959</v>
      </c>
    </row>
    <row r="31934" spans="9:10" x14ac:dyDescent="0.3">
      <c r="I31934" t="s">
        <v>35960</v>
      </c>
    </row>
    <row r="31935" spans="9:10" x14ac:dyDescent="0.3">
      <c r="I31935" t="s">
        <v>35960</v>
      </c>
    </row>
    <row r="31936" spans="9:10" x14ac:dyDescent="0.3">
      <c r="I31936" t="s">
        <v>35961</v>
      </c>
    </row>
    <row r="31937" spans="9:9" x14ac:dyDescent="0.3">
      <c r="I31937" t="s">
        <v>35962</v>
      </c>
    </row>
    <row r="31938" spans="9:9" x14ac:dyDescent="0.3">
      <c r="I31938" t="s">
        <v>35963</v>
      </c>
    </row>
    <row r="31939" spans="9:9" x14ac:dyDescent="0.3">
      <c r="I31939" t="s">
        <v>35964</v>
      </c>
    </row>
    <row r="31940" spans="9:9" x14ac:dyDescent="0.3">
      <c r="I31940" t="s">
        <v>35965</v>
      </c>
    </row>
    <row r="31941" spans="9:9" x14ac:dyDescent="0.3">
      <c r="I31941" t="s">
        <v>35966</v>
      </c>
    </row>
    <row r="31942" spans="9:9" x14ac:dyDescent="0.3">
      <c r="I31942" t="s">
        <v>35967</v>
      </c>
    </row>
    <row r="31943" spans="9:9" x14ac:dyDescent="0.3">
      <c r="I31943" t="s">
        <v>35968</v>
      </c>
    </row>
    <row r="31944" spans="9:9" x14ac:dyDescent="0.3">
      <c r="I31944" t="s">
        <v>35969</v>
      </c>
    </row>
    <row r="31945" spans="9:9" x14ac:dyDescent="0.3">
      <c r="I31945" t="s">
        <v>35970</v>
      </c>
    </row>
    <row r="31946" spans="9:9" x14ac:dyDescent="0.3">
      <c r="I31946" t="s">
        <v>35971</v>
      </c>
    </row>
    <row r="31947" spans="9:9" x14ac:dyDescent="0.3">
      <c r="I31947" t="s">
        <v>35972</v>
      </c>
    </row>
    <row r="31948" spans="9:9" x14ac:dyDescent="0.3">
      <c r="I31948" t="s">
        <v>35973</v>
      </c>
    </row>
    <row r="31949" spans="9:9" x14ac:dyDescent="0.3">
      <c r="I31949" t="s">
        <v>35974</v>
      </c>
    </row>
    <row r="31950" spans="9:9" x14ac:dyDescent="0.3">
      <c r="I31950" t="s">
        <v>35975</v>
      </c>
    </row>
    <row r="31951" spans="9:9" x14ac:dyDescent="0.3">
      <c r="I31951" t="s">
        <v>35976</v>
      </c>
    </row>
    <row r="31952" spans="9:9" x14ac:dyDescent="0.3">
      <c r="I31952" t="s">
        <v>35977</v>
      </c>
    </row>
    <row r="31953" spans="9:10" x14ac:dyDescent="0.3">
      <c r="I31953" t="s">
        <v>35978</v>
      </c>
    </row>
    <row r="31954" spans="9:10" x14ac:dyDescent="0.3">
      <c r="I31954" t="s">
        <v>35979</v>
      </c>
    </row>
    <row r="31955" spans="9:10" x14ac:dyDescent="0.3">
      <c r="I31955" t="s">
        <v>35980</v>
      </c>
    </row>
    <row r="31956" spans="9:10" x14ac:dyDescent="0.3">
      <c r="I31956" t="s">
        <v>35981</v>
      </c>
      <c r="J31956" t="s">
        <v>9826</v>
      </c>
    </row>
    <row r="31957" spans="9:10" x14ac:dyDescent="0.3">
      <c r="I31957" t="s">
        <v>35982</v>
      </c>
      <c r="J31957" t="s">
        <v>9827</v>
      </c>
    </row>
    <row r="31958" spans="9:10" x14ac:dyDescent="0.3">
      <c r="I31958" t="s">
        <v>35983</v>
      </c>
      <c r="J31958" t="s">
        <v>9828</v>
      </c>
    </row>
    <row r="31959" spans="9:10" x14ac:dyDescent="0.3">
      <c r="I31959" t="s">
        <v>35984</v>
      </c>
    </row>
    <row r="31960" spans="9:10" x14ac:dyDescent="0.3">
      <c r="I31960" t="s">
        <v>35985</v>
      </c>
    </row>
    <row r="31961" spans="9:10" x14ac:dyDescent="0.3">
      <c r="I31961" t="s">
        <v>35986</v>
      </c>
    </row>
    <row r="31962" spans="9:10" x14ac:dyDescent="0.3">
      <c r="I31962" t="s">
        <v>35987</v>
      </c>
    </row>
    <row r="31963" spans="9:10" x14ac:dyDescent="0.3">
      <c r="I31963" t="s">
        <v>35988</v>
      </c>
    </row>
    <row r="31964" spans="9:10" x14ac:dyDescent="0.3">
      <c r="I31964" t="s">
        <v>35989</v>
      </c>
      <c r="J31964" t="s">
        <v>9829</v>
      </c>
    </row>
    <row r="31965" spans="9:10" x14ac:dyDescent="0.3">
      <c r="I31965" t="s">
        <v>35990</v>
      </c>
    </row>
    <row r="31966" spans="9:10" x14ac:dyDescent="0.3">
      <c r="I31966" t="s">
        <v>35991</v>
      </c>
    </row>
    <row r="31967" spans="9:10" x14ac:dyDescent="0.3">
      <c r="I31967" t="s">
        <v>35992</v>
      </c>
    </row>
    <row r="31968" spans="9:10" x14ac:dyDescent="0.3">
      <c r="I31968" t="s">
        <v>35993</v>
      </c>
    </row>
    <row r="31969" spans="9:10" x14ac:dyDescent="0.3">
      <c r="I31969" t="s">
        <v>35994</v>
      </c>
    </row>
    <row r="31970" spans="9:10" x14ac:dyDescent="0.3">
      <c r="I31970" t="s">
        <v>35995</v>
      </c>
    </row>
    <row r="31971" spans="9:10" x14ac:dyDescent="0.3">
      <c r="I31971" t="s">
        <v>35996</v>
      </c>
    </row>
    <row r="31972" spans="9:10" x14ac:dyDescent="0.3">
      <c r="I31972" t="s">
        <v>35997</v>
      </c>
    </row>
    <row r="31973" spans="9:10" x14ac:dyDescent="0.3">
      <c r="I31973" t="s">
        <v>35998</v>
      </c>
    </row>
    <row r="31974" spans="9:10" x14ac:dyDescent="0.3">
      <c r="I31974" t="s">
        <v>35999</v>
      </c>
    </row>
    <row r="31975" spans="9:10" x14ac:dyDescent="0.3">
      <c r="I31975" t="s">
        <v>36000</v>
      </c>
    </row>
    <row r="31976" spans="9:10" x14ac:dyDescent="0.3">
      <c r="I31976" t="s">
        <v>36001</v>
      </c>
    </row>
    <row r="31977" spans="9:10" x14ac:dyDescent="0.3">
      <c r="I31977" t="s">
        <v>36002</v>
      </c>
      <c r="J31977" t="s">
        <v>9830</v>
      </c>
    </row>
    <row r="31978" spans="9:10" x14ac:dyDescent="0.3">
      <c r="I31978" t="s">
        <v>36003</v>
      </c>
      <c r="J31978" t="s">
        <v>9831</v>
      </c>
    </row>
    <row r="31979" spans="9:10" x14ac:dyDescent="0.3">
      <c r="I31979" t="s">
        <v>36004</v>
      </c>
      <c r="J31979" t="s">
        <v>9832</v>
      </c>
    </row>
    <row r="31980" spans="9:10" x14ac:dyDescent="0.3">
      <c r="I31980" t="s">
        <v>36005</v>
      </c>
    </row>
    <row r="31981" spans="9:10" x14ac:dyDescent="0.3">
      <c r="I31981" t="s">
        <v>36006</v>
      </c>
    </row>
    <row r="31982" spans="9:10" x14ac:dyDescent="0.3">
      <c r="I31982" t="s">
        <v>36007</v>
      </c>
    </row>
    <row r="31983" spans="9:10" x14ac:dyDescent="0.3">
      <c r="I31983" t="s">
        <v>36008</v>
      </c>
    </row>
    <row r="31984" spans="9:10" x14ac:dyDescent="0.3">
      <c r="I31984" t="s">
        <v>36009</v>
      </c>
    </row>
    <row r="31985" spans="9:9" x14ac:dyDescent="0.3">
      <c r="I31985" t="s">
        <v>36010</v>
      </c>
    </row>
    <row r="31986" spans="9:9" x14ac:dyDescent="0.3">
      <c r="I31986" t="s">
        <v>36011</v>
      </c>
    </row>
    <row r="31987" spans="9:9" x14ac:dyDescent="0.3">
      <c r="I31987" t="s">
        <v>36012</v>
      </c>
    </row>
    <row r="31988" spans="9:9" x14ac:dyDescent="0.3">
      <c r="I31988" t="s">
        <v>36013</v>
      </c>
    </row>
    <row r="31989" spans="9:9" x14ac:dyDescent="0.3">
      <c r="I31989" t="s">
        <v>36014</v>
      </c>
    </row>
    <row r="31990" spans="9:9" x14ac:dyDescent="0.3">
      <c r="I31990" t="s">
        <v>36015</v>
      </c>
    </row>
    <row r="31991" spans="9:9" x14ac:dyDescent="0.3">
      <c r="I31991" t="s">
        <v>36016</v>
      </c>
    </row>
    <row r="31992" spans="9:9" x14ac:dyDescent="0.3">
      <c r="I31992" t="s">
        <v>36017</v>
      </c>
    </row>
    <row r="31993" spans="9:9" x14ac:dyDescent="0.3">
      <c r="I31993" t="s">
        <v>36018</v>
      </c>
    </row>
    <row r="31994" spans="9:9" x14ac:dyDescent="0.3">
      <c r="I31994" t="s">
        <v>36019</v>
      </c>
    </row>
    <row r="31995" spans="9:9" x14ac:dyDescent="0.3">
      <c r="I31995" t="s">
        <v>36020</v>
      </c>
    </row>
    <row r="31996" spans="9:9" x14ac:dyDescent="0.3">
      <c r="I31996" t="s">
        <v>36021</v>
      </c>
    </row>
    <row r="31997" spans="9:9" x14ac:dyDescent="0.3">
      <c r="I31997" t="s">
        <v>36022</v>
      </c>
    </row>
    <row r="31998" spans="9:9" x14ac:dyDescent="0.3">
      <c r="I31998" t="s">
        <v>36023</v>
      </c>
    </row>
    <row r="31999" spans="9:9" x14ac:dyDescent="0.3">
      <c r="I31999" t="s">
        <v>36024</v>
      </c>
    </row>
    <row r="32000" spans="9:9" x14ac:dyDescent="0.3">
      <c r="I32000" t="s">
        <v>36025</v>
      </c>
    </row>
    <row r="32001" spans="9:10" x14ac:dyDescent="0.3">
      <c r="I32001" t="s">
        <v>36026</v>
      </c>
    </row>
    <row r="32002" spans="9:10" x14ac:dyDescent="0.3">
      <c r="I32002" t="s">
        <v>36027</v>
      </c>
    </row>
    <row r="32003" spans="9:10" x14ac:dyDescent="0.3">
      <c r="I32003" t="s">
        <v>36028</v>
      </c>
    </row>
    <row r="32004" spans="9:10" x14ac:dyDescent="0.3">
      <c r="I32004" t="s">
        <v>36029</v>
      </c>
    </row>
    <row r="32005" spans="9:10" x14ac:dyDescent="0.3">
      <c r="I32005" t="s">
        <v>36030</v>
      </c>
    </row>
    <row r="32006" spans="9:10" x14ac:dyDescent="0.3">
      <c r="I32006" t="s">
        <v>36031</v>
      </c>
      <c r="J32006" t="s">
        <v>9833</v>
      </c>
    </row>
    <row r="32007" spans="9:10" x14ac:dyDescent="0.3">
      <c r="I32007" t="s">
        <v>36032</v>
      </c>
      <c r="J32007" t="s">
        <v>9834</v>
      </c>
    </row>
    <row r="32008" spans="9:10" x14ac:dyDescent="0.3">
      <c r="I32008" t="s">
        <v>36033</v>
      </c>
    </row>
    <row r="32009" spans="9:10" x14ac:dyDescent="0.3">
      <c r="I32009" t="s">
        <v>36034</v>
      </c>
    </row>
    <row r="32010" spans="9:10" x14ac:dyDescent="0.3">
      <c r="I32010" t="s">
        <v>36035</v>
      </c>
    </row>
    <row r="32011" spans="9:10" x14ac:dyDescent="0.3">
      <c r="I32011" t="s">
        <v>36036</v>
      </c>
    </row>
    <row r="32012" spans="9:10" x14ac:dyDescent="0.3">
      <c r="I32012" t="s">
        <v>36037</v>
      </c>
    </row>
    <row r="32013" spans="9:10" x14ac:dyDescent="0.3">
      <c r="I32013" t="s">
        <v>36038</v>
      </c>
    </row>
    <row r="32014" spans="9:10" x14ac:dyDescent="0.3">
      <c r="I32014" t="s">
        <v>36039</v>
      </c>
    </row>
    <row r="32015" spans="9:10" x14ac:dyDescent="0.3">
      <c r="I32015" t="s">
        <v>36040</v>
      </c>
    </row>
    <row r="32016" spans="9:10" x14ac:dyDescent="0.3">
      <c r="I32016" t="s">
        <v>36041</v>
      </c>
    </row>
    <row r="32017" spans="9:10" x14ac:dyDescent="0.3">
      <c r="I32017" t="s">
        <v>36042</v>
      </c>
    </row>
    <row r="32018" spans="9:10" x14ac:dyDescent="0.3">
      <c r="I32018" t="s">
        <v>36043</v>
      </c>
    </row>
    <row r="32019" spans="9:10" x14ac:dyDescent="0.3">
      <c r="I32019" t="s">
        <v>36044</v>
      </c>
    </row>
    <row r="32020" spans="9:10" x14ac:dyDescent="0.3">
      <c r="I32020" t="s">
        <v>36045</v>
      </c>
    </row>
    <row r="32021" spans="9:10" x14ac:dyDescent="0.3">
      <c r="I32021" t="s">
        <v>36046</v>
      </c>
    </row>
    <row r="32022" spans="9:10" x14ac:dyDescent="0.3">
      <c r="I32022" t="s">
        <v>36047</v>
      </c>
    </row>
    <row r="32023" spans="9:10" x14ac:dyDescent="0.3">
      <c r="I32023" t="s">
        <v>36048</v>
      </c>
    </row>
    <row r="32024" spans="9:10" x14ac:dyDescent="0.3">
      <c r="I32024" t="s">
        <v>36049</v>
      </c>
      <c r="J32024" t="s">
        <v>9835</v>
      </c>
    </row>
    <row r="32025" spans="9:10" x14ac:dyDescent="0.3">
      <c r="I32025" t="s">
        <v>36050</v>
      </c>
    </row>
    <row r="32026" spans="9:10" x14ac:dyDescent="0.3">
      <c r="I32026" t="s">
        <v>36051</v>
      </c>
    </row>
    <row r="32027" spans="9:10" x14ac:dyDescent="0.3">
      <c r="I32027" t="s">
        <v>36052</v>
      </c>
    </row>
    <row r="32028" spans="9:10" x14ac:dyDescent="0.3">
      <c r="I32028" t="s">
        <v>36053</v>
      </c>
    </row>
    <row r="32029" spans="9:10" x14ac:dyDescent="0.3">
      <c r="I32029" t="s">
        <v>36054</v>
      </c>
    </row>
    <row r="32030" spans="9:10" x14ac:dyDescent="0.3">
      <c r="I32030" t="s">
        <v>36055</v>
      </c>
    </row>
    <row r="32031" spans="9:10" x14ac:dyDescent="0.3">
      <c r="I32031" t="s">
        <v>36056</v>
      </c>
    </row>
    <row r="32032" spans="9:10" x14ac:dyDescent="0.3">
      <c r="I32032" t="s">
        <v>36057</v>
      </c>
    </row>
    <row r="32033" spans="9:10" x14ac:dyDescent="0.3">
      <c r="I32033" t="s">
        <v>10060</v>
      </c>
      <c r="J32033" t="s">
        <v>9836</v>
      </c>
    </row>
    <row r="32034" spans="9:10" x14ac:dyDescent="0.3">
      <c r="I32034" t="s">
        <v>36058</v>
      </c>
    </row>
    <row r="32035" spans="9:10" x14ac:dyDescent="0.3">
      <c r="I32035" t="s">
        <v>36059</v>
      </c>
    </row>
    <row r="32036" spans="9:10" x14ac:dyDescent="0.3">
      <c r="I32036" t="s">
        <v>36060</v>
      </c>
    </row>
    <row r="32037" spans="9:10" x14ac:dyDescent="0.3">
      <c r="I32037" t="s">
        <v>36061</v>
      </c>
    </row>
    <row r="32038" spans="9:10" x14ac:dyDescent="0.3">
      <c r="I32038" t="s">
        <v>36062</v>
      </c>
    </row>
    <row r="32039" spans="9:10" x14ac:dyDescent="0.3">
      <c r="I32039" t="s">
        <v>36063</v>
      </c>
      <c r="J32039" t="s">
        <v>9837</v>
      </c>
    </row>
    <row r="32040" spans="9:10" x14ac:dyDescent="0.3">
      <c r="I32040" t="s">
        <v>974</v>
      </c>
      <c r="J32040" t="s">
        <v>975</v>
      </c>
    </row>
    <row r="32041" spans="9:10" x14ac:dyDescent="0.3">
      <c r="I32041" t="s">
        <v>36064</v>
      </c>
    </row>
    <row r="32042" spans="9:10" x14ac:dyDescent="0.3">
      <c r="I32042" t="s">
        <v>36065</v>
      </c>
    </row>
    <row r="32043" spans="9:10" x14ac:dyDescent="0.3">
      <c r="I32043" t="s">
        <v>36066</v>
      </c>
    </row>
    <row r="32044" spans="9:10" x14ac:dyDescent="0.3">
      <c r="I32044" t="s">
        <v>36067</v>
      </c>
    </row>
    <row r="32045" spans="9:10" x14ac:dyDescent="0.3">
      <c r="I32045" t="s">
        <v>36068</v>
      </c>
    </row>
    <row r="32046" spans="9:10" x14ac:dyDescent="0.3">
      <c r="I32046" t="s">
        <v>36069</v>
      </c>
    </row>
    <row r="32047" spans="9:10" x14ac:dyDescent="0.3">
      <c r="I32047" t="s">
        <v>36070</v>
      </c>
    </row>
    <row r="32048" spans="9:10" x14ac:dyDescent="0.3">
      <c r="I32048" t="s">
        <v>36071</v>
      </c>
      <c r="J32048" t="s">
        <v>1380</v>
      </c>
    </row>
    <row r="32049" spans="9:10" x14ac:dyDescent="0.3">
      <c r="I32049" t="s">
        <v>36072</v>
      </c>
      <c r="J32049" t="s">
        <v>9838</v>
      </c>
    </row>
    <row r="32050" spans="9:10" x14ac:dyDescent="0.3">
      <c r="I32050" t="s">
        <v>36073</v>
      </c>
    </row>
    <row r="32051" spans="9:10" x14ac:dyDescent="0.3">
      <c r="I32051" t="s">
        <v>36074</v>
      </c>
    </row>
    <row r="32052" spans="9:10" x14ac:dyDescent="0.3">
      <c r="I32052" t="s">
        <v>36075</v>
      </c>
    </row>
    <row r="32053" spans="9:10" x14ac:dyDescent="0.3">
      <c r="I32053" t="s">
        <v>36076</v>
      </c>
      <c r="J32053" t="s">
        <v>9839</v>
      </c>
    </row>
    <row r="32054" spans="9:10" x14ac:dyDescent="0.3">
      <c r="I32054" t="s">
        <v>36077</v>
      </c>
    </row>
    <row r="32055" spans="9:10" x14ac:dyDescent="0.3">
      <c r="I32055" t="s">
        <v>36078</v>
      </c>
    </row>
    <row r="32056" spans="9:10" x14ac:dyDescent="0.3">
      <c r="I32056" t="s">
        <v>36079</v>
      </c>
      <c r="J32056" t="s">
        <v>9840</v>
      </c>
    </row>
    <row r="32057" spans="9:10" x14ac:dyDescent="0.3">
      <c r="I32057" t="s">
        <v>36079</v>
      </c>
      <c r="J32057" t="s">
        <v>9840</v>
      </c>
    </row>
    <row r="32058" spans="9:10" x14ac:dyDescent="0.3">
      <c r="I32058" t="s">
        <v>36080</v>
      </c>
    </row>
    <row r="32059" spans="9:10" x14ac:dyDescent="0.3">
      <c r="I32059" t="s">
        <v>36081</v>
      </c>
    </row>
    <row r="32060" spans="9:10" x14ac:dyDescent="0.3">
      <c r="I32060" t="s">
        <v>36082</v>
      </c>
    </row>
    <row r="32061" spans="9:10" x14ac:dyDescent="0.3">
      <c r="I32061" t="s">
        <v>36083</v>
      </c>
    </row>
    <row r="32062" spans="9:10" x14ac:dyDescent="0.3">
      <c r="I32062" t="s">
        <v>36084</v>
      </c>
    </row>
    <row r="32063" spans="9:10" x14ac:dyDescent="0.3">
      <c r="I32063" t="s">
        <v>36085</v>
      </c>
    </row>
    <row r="32064" spans="9:10" x14ac:dyDescent="0.3">
      <c r="I32064" t="s">
        <v>36086</v>
      </c>
    </row>
    <row r="32065" spans="9:10" x14ac:dyDescent="0.3">
      <c r="I32065" t="s">
        <v>36087</v>
      </c>
    </row>
    <row r="32066" spans="9:10" x14ac:dyDescent="0.3">
      <c r="I32066" t="s">
        <v>36088</v>
      </c>
    </row>
    <row r="32067" spans="9:10" x14ac:dyDescent="0.3">
      <c r="I32067" t="s">
        <v>36089</v>
      </c>
    </row>
    <row r="32068" spans="9:10" x14ac:dyDescent="0.3">
      <c r="I32068" t="s">
        <v>36090</v>
      </c>
    </row>
    <row r="32069" spans="9:10" x14ac:dyDescent="0.3">
      <c r="I32069" t="s">
        <v>36091</v>
      </c>
    </row>
    <row r="32070" spans="9:10" x14ac:dyDescent="0.3">
      <c r="I32070" t="s">
        <v>36092</v>
      </c>
    </row>
    <row r="32071" spans="9:10" x14ac:dyDescent="0.3">
      <c r="I32071" t="s">
        <v>36093</v>
      </c>
    </row>
    <row r="32072" spans="9:10" x14ac:dyDescent="0.3">
      <c r="I32072" t="s">
        <v>36094</v>
      </c>
    </row>
    <row r="32073" spans="9:10" x14ac:dyDescent="0.3">
      <c r="I32073" t="s">
        <v>36095</v>
      </c>
    </row>
    <row r="32074" spans="9:10" x14ac:dyDescent="0.3">
      <c r="I32074" t="s">
        <v>36096</v>
      </c>
    </row>
    <row r="32075" spans="9:10" x14ac:dyDescent="0.3">
      <c r="I32075" t="s">
        <v>36097</v>
      </c>
      <c r="J32075" t="s">
        <v>9841</v>
      </c>
    </row>
    <row r="32076" spans="9:10" x14ac:dyDescent="0.3">
      <c r="I32076" t="s">
        <v>36098</v>
      </c>
    </row>
    <row r="32077" spans="9:10" x14ac:dyDescent="0.3">
      <c r="I32077" t="s">
        <v>36099</v>
      </c>
      <c r="J32077" t="s">
        <v>9842</v>
      </c>
    </row>
    <row r="32078" spans="9:10" x14ac:dyDescent="0.3">
      <c r="I32078" t="s">
        <v>36099</v>
      </c>
      <c r="J32078" t="s">
        <v>9842</v>
      </c>
    </row>
    <row r="32079" spans="9:10" x14ac:dyDescent="0.3">
      <c r="I32079" t="s">
        <v>36100</v>
      </c>
    </row>
    <row r="32080" spans="9:10" x14ac:dyDescent="0.3">
      <c r="I32080" t="s">
        <v>36101</v>
      </c>
    </row>
    <row r="32081" spans="9:10" x14ac:dyDescent="0.3">
      <c r="I32081" t="s">
        <v>36102</v>
      </c>
    </row>
    <row r="32082" spans="9:10" x14ac:dyDescent="0.3">
      <c r="I32082" t="s">
        <v>36103</v>
      </c>
    </row>
    <row r="32083" spans="9:10" x14ac:dyDescent="0.3">
      <c r="I32083" t="s">
        <v>36104</v>
      </c>
    </row>
    <row r="32084" spans="9:10" x14ac:dyDescent="0.3">
      <c r="I32084" t="s">
        <v>36105</v>
      </c>
    </row>
    <row r="32085" spans="9:10" x14ac:dyDescent="0.3">
      <c r="I32085" t="s">
        <v>36106</v>
      </c>
    </row>
    <row r="32086" spans="9:10" x14ac:dyDescent="0.3">
      <c r="I32086" t="s">
        <v>36107</v>
      </c>
    </row>
    <row r="32087" spans="9:10" x14ac:dyDescent="0.3">
      <c r="I32087" t="s">
        <v>36108</v>
      </c>
    </row>
    <row r="32088" spans="9:10" x14ac:dyDescent="0.3">
      <c r="I32088" t="s">
        <v>13851</v>
      </c>
    </row>
    <row r="32089" spans="9:10" x14ac:dyDescent="0.3">
      <c r="I32089" t="s">
        <v>36109</v>
      </c>
    </row>
    <row r="32090" spans="9:10" x14ac:dyDescent="0.3">
      <c r="I32090" t="s">
        <v>36110</v>
      </c>
      <c r="J32090" t="s">
        <v>9843</v>
      </c>
    </row>
    <row r="32091" spans="9:10" x14ac:dyDescent="0.3">
      <c r="I32091" t="s">
        <v>36111</v>
      </c>
    </row>
    <row r="32092" spans="9:10" x14ac:dyDescent="0.3">
      <c r="I32092" t="s">
        <v>36112</v>
      </c>
    </row>
    <row r="32093" spans="9:10" x14ac:dyDescent="0.3">
      <c r="I32093" t="s">
        <v>36113</v>
      </c>
    </row>
    <row r="32094" spans="9:10" x14ac:dyDescent="0.3">
      <c r="I32094" t="s">
        <v>36114</v>
      </c>
    </row>
    <row r="32095" spans="9:10" x14ac:dyDescent="0.3">
      <c r="I32095" t="s">
        <v>36115</v>
      </c>
    </row>
    <row r="32096" spans="9:10" x14ac:dyDescent="0.3">
      <c r="I32096" t="s">
        <v>36116</v>
      </c>
    </row>
    <row r="32097" spans="9:10" x14ac:dyDescent="0.3">
      <c r="I32097" t="s">
        <v>36117</v>
      </c>
    </row>
    <row r="32098" spans="9:10" x14ac:dyDescent="0.3">
      <c r="I32098" t="s">
        <v>36118</v>
      </c>
    </row>
    <row r="32099" spans="9:10" x14ac:dyDescent="0.3">
      <c r="I32099" t="s">
        <v>36119</v>
      </c>
    </row>
    <row r="32100" spans="9:10" x14ac:dyDescent="0.3">
      <c r="I32100" t="s">
        <v>36120</v>
      </c>
    </row>
    <row r="32101" spans="9:10" x14ac:dyDescent="0.3">
      <c r="I32101" t="s">
        <v>36121</v>
      </c>
    </row>
    <row r="32102" spans="9:10" x14ac:dyDescent="0.3">
      <c r="I32102" t="s">
        <v>36122</v>
      </c>
    </row>
    <row r="32103" spans="9:10" x14ac:dyDescent="0.3">
      <c r="I32103" t="s">
        <v>36123</v>
      </c>
    </row>
    <row r="32104" spans="9:10" x14ac:dyDescent="0.3">
      <c r="I32104" t="s">
        <v>36124</v>
      </c>
    </row>
    <row r="32105" spans="9:10" x14ac:dyDescent="0.3">
      <c r="I32105" t="s">
        <v>36125</v>
      </c>
      <c r="J32105" t="s">
        <v>9844</v>
      </c>
    </row>
    <row r="32106" spans="9:10" x14ac:dyDescent="0.3">
      <c r="I32106" t="s">
        <v>36126</v>
      </c>
      <c r="J32106" t="s">
        <v>9845</v>
      </c>
    </row>
    <row r="32107" spans="9:10" x14ac:dyDescent="0.3">
      <c r="I32107" t="s">
        <v>36127</v>
      </c>
      <c r="J32107" t="s">
        <v>9846</v>
      </c>
    </row>
    <row r="32108" spans="9:10" x14ac:dyDescent="0.3">
      <c r="I32108" t="s">
        <v>36128</v>
      </c>
    </row>
    <row r="32109" spans="9:10" x14ac:dyDescent="0.3">
      <c r="I32109" t="s">
        <v>36129</v>
      </c>
    </row>
    <row r="32110" spans="9:10" x14ac:dyDescent="0.3">
      <c r="I32110" t="s">
        <v>36129</v>
      </c>
    </row>
    <row r="32111" spans="9:10" x14ac:dyDescent="0.3">
      <c r="I32111" t="s">
        <v>36130</v>
      </c>
    </row>
    <row r="32112" spans="9:10" x14ac:dyDescent="0.3">
      <c r="I32112" t="s">
        <v>36131</v>
      </c>
    </row>
    <row r="32113" spans="9:9" x14ac:dyDescent="0.3">
      <c r="I32113" t="s">
        <v>36132</v>
      </c>
    </row>
    <row r="32114" spans="9:9" x14ac:dyDescent="0.3">
      <c r="I32114" t="s">
        <v>36133</v>
      </c>
    </row>
    <row r="32115" spans="9:9" x14ac:dyDescent="0.3">
      <c r="I32115" t="s">
        <v>36134</v>
      </c>
    </row>
    <row r="32116" spans="9:9" x14ac:dyDescent="0.3">
      <c r="I32116" t="s">
        <v>36135</v>
      </c>
    </row>
    <row r="32117" spans="9:9" x14ac:dyDescent="0.3">
      <c r="I32117" t="s">
        <v>36136</v>
      </c>
    </row>
    <row r="32118" spans="9:9" x14ac:dyDescent="0.3">
      <c r="I32118" t="s">
        <v>36137</v>
      </c>
    </row>
    <row r="32119" spans="9:9" x14ac:dyDescent="0.3">
      <c r="I32119" t="s">
        <v>36138</v>
      </c>
    </row>
    <row r="32120" spans="9:9" x14ac:dyDescent="0.3">
      <c r="I32120" t="s">
        <v>36139</v>
      </c>
    </row>
    <row r="32121" spans="9:9" x14ac:dyDescent="0.3">
      <c r="I32121" t="s">
        <v>36140</v>
      </c>
    </row>
    <row r="32122" spans="9:9" x14ac:dyDescent="0.3">
      <c r="I32122" t="s">
        <v>36141</v>
      </c>
    </row>
    <row r="32123" spans="9:9" x14ac:dyDescent="0.3">
      <c r="I32123" t="s">
        <v>36142</v>
      </c>
    </row>
    <row r="32124" spans="9:9" x14ac:dyDescent="0.3">
      <c r="I32124" t="s">
        <v>36143</v>
      </c>
    </row>
    <row r="32125" spans="9:9" x14ac:dyDescent="0.3">
      <c r="I32125" t="s">
        <v>36144</v>
      </c>
    </row>
    <row r="32126" spans="9:9" x14ac:dyDescent="0.3">
      <c r="I32126" t="s">
        <v>36145</v>
      </c>
    </row>
    <row r="32127" spans="9:9" x14ac:dyDescent="0.3">
      <c r="I32127" t="s">
        <v>36146</v>
      </c>
    </row>
    <row r="32128" spans="9:9" x14ac:dyDescent="0.3">
      <c r="I32128" t="s">
        <v>36147</v>
      </c>
    </row>
    <row r="32129" spans="9:9" x14ac:dyDescent="0.3">
      <c r="I32129" t="s">
        <v>36148</v>
      </c>
    </row>
    <row r="32130" spans="9:9" x14ac:dyDescent="0.3">
      <c r="I32130" t="s">
        <v>36149</v>
      </c>
    </row>
    <row r="32131" spans="9:9" x14ac:dyDescent="0.3">
      <c r="I32131" t="s">
        <v>36150</v>
      </c>
    </row>
    <row r="32132" spans="9:9" x14ac:dyDescent="0.3">
      <c r="I32132" t="s">
        <v>36151</v>
      </c>
    </row>
    <row r="32133" spans="9:9" x14ac:dyDescent="0.3">
      <c r="I32133" t="s">
        <v>36152</v>
      </c>
    </row>
    <row r="32134" spans="9:9" x14ac:dyDescent="0.3">
      <c r="I32134" t="s">
        <v>36153</v>
      </c>
    </row>
    <row r="32135" spans="9:9" x14ac:dyDescent="0.3">
      <c r="I32135" t="s">
        <v>36154</v>
      </c>
    </row>
    <row r="32136" spans="9:9" x14ac:dyDescent="0.3">
      <c r="I32136" t="s">
        <v>36155</v>
      </c>
    </row>
    <row r="32137" spans="9:9" x14ac:dyDescent="0.3">
      <c r="I32137" t="s">
        <v>36156</v>
      </c>
    </row>
    <row r="32138" spans="9:9" x14ac:dyDescent="0.3">
      <c r="I32138" t="s">
        <v>36157</v>
      </c>
    </row>
    <row r="32139" spans="9:9" x14ac:dyDescent="0.3">
      <c r="I32139" t="s">
        <v>36158</v>
      </c>
    </row>
    <row r="32140" spans="9:9" x14ac:dyDescent="0.3">
      <c r="I32140" t="s">
        <v>36159</v>
      </c>
    </row>
    <row r="32141" spans="9:9" x14ac:dyDescent="0.3">
      <c r="I32141" t="s">
        <v>36160</v>
      </c>
    </row>
    <row r="32142" spans="9:9" x14ac:dyDescent="0.3">
      <c r="I32142" t="s">
        <v>36161</v>
      </c>
    </row>
    <row r="32143" spans="9:9" x14ac:dyDescent="0.3">
      <c r="I32143" t="s">
        <v>36162</v>
      </c>
    </row>
    <row r="32144" spans="9:9" x14ac:dyDescent="0.3">
      <c r="I32144" t="s">
        <v>36163</v>
      </c>
    </row>
    <row r="32145" spans="9:10" x14ac:dyDescent="0.3">
      <c r="I32145" t="s">
        <v>36164</v>
      </c>
    </row>
    <row r="32146" spans="9:10" x14ac:dyDescent="0.3">
      <c r="I32146" t="s">
        <v>36165</v>
      </c>
    </row>
    <row r="32147" spans="9:10" x14ac:dyDescent="0.3">
      <c r="I32147" t="s">
        <v>36166</v>
      </c>
    </row>
    <row r="32148" spans="9:10" x14ac:dyDescent="0.3">
      <c r="I32148" t="s">
        <v>36167</v>
      </c>
    </row>
    <row r="32149" spans="9:10" x14ac:dyDescent="0.3">
      <c r="I32149" t="s">
        <v>36168</v>
      </c>
    </row>
    <row r="32150" spans="9:10" x14ac:dyDescent="0.3">
      <c r="I32150" t="s">
        <v>36169</v>
      </c>
    </row>
    <row r="32151" spans="9:10" x14ac:dyDescent="0.3">
      <c r="I32151" t="s">
        <v>36170</v>
      </c>
    </row>
    <row r="32152" spans="9:10" x14ac:dyDescent="0.3">
      <c r="I32152" t="s">
        <v>36171</v>
      </c>
    </row>
    <row r="32153" spans="9:10" x14ac:dyDescent="0.3">
      <c r="I32153" t="s">
        <v>36172</v>
      </c>
    </row>
    <row r="32154" spans="9:10" x14ac:dyDescent="0.3">
      <c r="I32154" t="s">
        <v>36173</v>
      </c>
    </row>
    <row r="32155" spans="9:10" x14ac:dyDescent="0.3">
      <c r="I32155" t="s">
        <v>36174</v>
      </c>
    </row>
    <row r="32156" spans="9:10" x14ac:dyDescent="0.3">
      <c r="I32156" t="s">
        <v>36175</v>
      </c>
    </row>
    <row r="32157" spans="9:10" x14ac:dyDescent="0.3">
      <c r="I32157" t="s">
        <v>36176</v>
      </c>
      <c r="J32157" t="s">
        <v>9847</v>
      </c>
    </row>
    <row r="32158" spans="9:10" x14ac:dyDescent="0.3">
      <c r="I32158" t="s">
        <v>36177</v>
      </c>
    </row>
    <row r="32159" spans="9:10" x14ac:dyDescent="0.3">
      <c r="I32159" t="s">
        <v>36178</v>
      </c>
    </row>
    <row r="32160" spans="9:10" x14ac:dyDescent="0.3">
      <c r="I32160" t="s">
        <v>36179</v>
      </c>
    </row>
    <row r="32161" spans="9:10" x14ac:dyDescent="0.3">
      <c r="I32161" t="s">
        <v>36180</v>
      </c>
    </row>
    <row r="32162" spans="9:10" x14ac:dyDescent="0.3">
      <c r="I32162" t="s">
        <v>36181</v>
      </c>
    </row>
    <row r="32163" spans="9:10" x14ac:dyDescent="0.3">
      <c r="I32163" t="s">
        <v>36182</v>
      </c>
    </row>
    <row r="32164" spans="9:10" x14ac:dyDescent="0.3">
      <c r="I32164" t="s">
        <v>36183</v>
      </c>
    </row>
    <row r="32165" spans="9:10" x14ac:dyDescent="0.3">
      <c r="I32165" t="s">
        <v>36184</v>
      </c>
    </row>
    <row r="32166" spans="9:10" x14ac:dyDescent="0.3">
      <c r="I32166" t="s">
        <v>36185</v>
      </c>
    </row>
    <row r="32167" spans="9:10" x14ac:dyDescent="0.3">
      <c r="I32167" t="s">
        <v>36186</v>
      </c>
      <c r="J32167" t="s">
        <v>9848</v>
      </c>
    </row>
    <row r="32168" spans="9:10" x14ac:dyDescent="0.3">
      <c r="I32168" t="s">
        <v>36187</v>
      </c>
    </row>
    <row r="32169" spans="9:10" x14ac:dyDescent="0.3">
      <c r="I32169" t="s">
        <v>36188</v>
      </c>
    </row>
    <row r="32170" spans="9:10" x14ac:dyDescent="0.3">
      <c r="I32170" t="s">
        <v>36189</v>
      </c>
      <c r="J32170" t="s">
        <v>965</v>
      </c>
    </row>
    <row r="32171" spans="9:10" x14ac:dyDescent="0.3">
      <c r="I32171" t="s">
        <v>36190</v>
      </c>
      <c r="J32171" t="s">
        <v>9849</v>
      </c>
    </row>
    <row r="32172" spans="9:10" x14ac:dyDescent="0.3">
      <c r="I32172" t="s">
        <v>36191</v>
      </c>
      <c r="J32172" t="s">
        <v>9850</v>
      </c>
    </row>
    <row r="32173" spans="9:10" x14ac:dyDescent="0.3">
      <c r="I32173" t="s">
        <v>36192</v>
      </c>
    </row>
    <row r="32174" spans="9:10" x14ac:dyDescent="0.3">
      <c r="I32174" t="s">
        <v>36193</v>
      </c>
    </row>
    <row r="32175" spans="9:10" x14ac:dyDescent="0.3">
      <c r="I32175" t="s">
        <v>36194</v>
      </c>
    </row>
    <row r="32176" spans="9:10" x14ac:dyDescent="0.3">
      <c r="I32176" t="s">
        <v>36195</v>
      </c>
    </row>
    <row r="32177" spans="9:10" x14ac:dyDescent="0.3">
      <c r="I32177" t="s">
        <v>36196</v>
      </c>
    </row>
    <row r="32178" spans="9:10" x14ac:dyDescent="0.3">
      <c r="I32178" t="s">
        <v>36197</v>
      </c>
    </row>
    <row r="32179" spans="9:10" x14ac:dyDescent="0.3">
      <c r="I32179" t="s">
        <v>36198</v>
      </c>
      <c r="J32179" t="s">
        <v>966</v>
      </c>
    </row>
    <row r="32180" spans="9:10" x14ac:dyDescent="0.3">
      <c r="I32180" t="s">
        <v>36199</v>
      </c>
      <c r="J32180" t="s">
        <v>9851</v>
      </c>
    </row>
    <row r="32181" spans="9:10" x14ac:dyDescent="0.3">
      <c r="I32181" t="s">
        <v>36200</v>
      </c>
    </row>
    <row r="32182" spans="9:10" x14ac:dyDescent="0.3">
      <c r="I32182" t="s">
        <v>36201</v>
      </c>
    </row>
    <row r="32183" spans="9:10" x14ac:dyDescent="0.3">
      <c r="I32183" t="s">
        <v>36202</v>
      </c>
    </row>
    <row r="32184" spans="9:10" x14ac:dyDescent="0.3">
      <c r="I32184" t="s">
        <v>36203</v>
      </c>
    </row>
    <row r="32185" spans="9:10" x14ac:dyDescent="0.3">
      <c r="I32185" t="s">
        <v>36204</v>
      </c>
    </row>
    <row r="32186" spans="9:10" x14ac:dyDescent="0.3">
      <c r="I32186" t="s">
        <v>36205</v>
      </c>
    </row>
    <row r="32187" spans="9:10" x14ac:dyDescent="0.3">
      <c r="I32187" t="s">
        <v>36206</v>
      </c>
    </row>
    <row r="32188" spans="9:10" x14ac:dyDescent="0.3">
      <c r="I32188" t="s">
        <v>36207</v>
      </c>
    </row>
    <row r="32189" spans="9:10" x14ac:dyDescent="0.3">
      <c r="I32189" t="s">
        <v>36208</v>
      </c>
    </row>
    <row r="32190" spans="9:10" x14ac:dyDescent="0.3">
      <c r="I32190" t="s">
        <v>36209</v>
      </c>
    </row>
    <row r="32191" spans="9:10" x14ac:dyDescent="0.3">
      <c r="I32191" t="s">
        <v>36210</v>
      </c>
      <c r="J32191" t="s">
        <v>9852</v>
      </c>
    </row>
    <row r="32192" spans="9:10" x14ac:dyDescent="0.3">
      <c r="I32192" t="s">
        <v>36211</v>
      </c>
    </row>
    <row r="32193" spans="9:10" x14ac:dyDescent="0.3">
      <c r="I32193" t="s">
        <v>36212</v>
      </c>
    </row>
    <row r="32194" spans="9:10" x14ac:dyDescent="0.3">
      <c r="I32194" t="s">
        <v>36213</v>
      </c>
      <c r="J32194" t="s">
        <v>968</v>
      </c>
    </row>
    <row r="32195" spans="9:10" x14ac:dyDescent="0.3">
      <c r="I32195" t="s">
        <v>36214</v>
      </c>
      <c r="J32195" t="s">
        <v>967</v>
      </c>
    </row>
    <row r="32196" spans="9:10" x14ac:dyDescent="0.3">
      <c r="I32196" t="s">
        <v>36215</v>
      </c>
    </row>
    <row r="32197" spans="9:10" x14ac:dyDescent="0.3">
      <c r="I32197" t="s">
        <v>36215</v>
      </c>
    </row>
    <row r="32198" spans="9:10" x14ac:dyDescent="0.3">
      <c r="I32198" t="s">
        <v>36216</v>
      </c>
      <c r="J32198" t="s">
        <v>980</v>
      </c>
    </row>
    <row r="32199" spans="9:10" x14ac:dyDescent="0.3">
      <c r="I32199" t="s">
        <v>36217</v>
      </c>
      <c r="J32199" t="s">
        <v>980</v>
      </c>
    </row>
    <row r="32200" spans="9:10" x14ac:dyDescent="0.3">
      <c r="I32200" t="s">
        <v>36217</v>
      </c>
      <c r="J32200" t="s">
        <v>980</v>
      </c>
    </row>
    <row r="32201" spans="9:10" x14ac:dyDescent="0.3">
      <c r="I32201" t="s">
        <v>36218</v>
      </c>
    </row>
    <row r="32202" spans="9:10" x14ac:dyDescent="0.3">
      <c r="I32202" t="s">
        <v>36219</v>
      </c>
    </row>
    <row r="32203" spans="9:10" x14ac:dyDescent="0.3">
      <c r="I32203" t="s">
        <v>36220</v>
      </c>
    </row>
    <row r="32204" spans="9:10" x14ac:dyDescent="0.3">
      <c r="I32204" t="s">
        <v>36221</v>
      </c>
      <c r="J32204" t="s">
        <v>9853</v>
      </c>
    </row>
    <row r="32205" spans="9:10" x14ac:dyDescent="0.3">
      <c r="I32205" t="s">
        <v>36222</v>
      </c>
    </row>
    <row r="32206" spans="9:10" x14ac:dyDescent="0.3">
      <c r="I32206" t="s">
        <v>36223</v>
      </c>
    </row>
    <row r="32207" spans="9:10" x14ac:dyDescent="0.3">
      <c r="I32207" t="s">
        <v>36224</v>
      </c>
    </row>
    <row r="32208" spans="9:10" x14ac:dyDescent="0.3">
      <c r="I32208" t="s">
        <v>36225</v>
      </c>
    </row>
    <row r="32209" spans="9:10" x14ac:dyDescent="0.3">
      <c r="I32209" t="s">
        <v>36226</v>
      </c>
    </row>
    <row r="32210" spans="9:10" x14ac:dyDescent="0.3">
      <c r="I32210" t="s">
        <v>36227</v>
      </c>
    </row>
    <row r="32211" spans="9:10" x14ac:dyDescent="0.3">
      <c r="I32211" t="s">
        <v>36228</v>
      </c>
    </row>
    <row r="32212" spans="9:10" x14ac:dyDescent="0.3">
      <c r="I32212" t="s">
        <v>36229</v>
      </c>
      <c r="J32212" t="s">
        <v>970</v>
      </c>
    </row>
    <row r="32213" spans="9:10" x14ac:dyDescent="0.3">
      <c r="I32213" t="s">
        <v>36230</v>
      </c>
      <c r="J32213" t="s">
        <v>9854</v>
      </c>
    </row>
    <row r="32214" spans="9:10" x14ac:dyDescent="0.3">
      <c r="I32214" t="s">
        <v>36231</v>
      </c>
    </row>
    <row r="32215" spans="9:10" x14ac:dyDescent="0.3">
      <c r="I32215" t="s">
        <v>36232</v>
      </c>
    </row>
    <row r="32216" spans="9:10" x14ac:dyDescent="0.3">
      <c r="I32216" t="s">
        <v>36233</v>
      </c>
    </row>
    <row r="32217" spans="9:10" x14ac:dyDescent="0.3">
      <c r="I32217" t="s">
        <v>36233</v>
      </c>
    </row>
    <row r="32218" spans="9:10" x14ac:dyDescent="0.3">
      <c r="I32218" t="s">
        <v>36234</v>
      </c>
    </row>
    <row r="32219" spans="9:10" x14ac:dyDescent="0.3">
      <c r="I32219" t="s">
        <v>36235</v>
      </c>
    </row>
    <row r="32220" spans="9:10" x14ac:dyDescent="0.3">
      <c r="I32220" t="s">
        <v>36236</v>
      </c>
    </row>
    <row r="32221" spans="9:10" x14ac:dyDescent="0.3">
      <c r="I32221" t="s">
        <v>36237</v>
      </c>
    </row>
    <row r="32222" spans="9:10" x14ac:dyDescent="0.3">
      <c r="I32222" t="s">
        <v>36238</v>
      </c>
    </row>
    <row r="32223" spans="9:10" x14ac:dyDescent="0.3">
      <c r="I32223" t="s">
        <v>36239</v>
      </c>
    </row>
    <row r="32224" spans="9:10" x14ac:dyDescent="0.3">
      <c r="I32224" t="s">
        <v>36240</v>
      </c>
    </row>
    <row r="32225" spans="9:10" x14ac:dyDescent="0.3">
      <c r="I32225" t="s">
        <v>36241</v>
      </c>
    </row>
    <row r="32226" spans="9:10" x14ac:dyDescent="0.3">
      <c r="I32226" t="s">
        <v>36242</v>
      </c>
    </row>
    <row r="32227" spans="9:10" x14ac:dyDescent="0.3">
      <c r="I32227" t="s">
        <v>36243</v>
      </c>
    </row>
    <row r="32228" spans="9:10" x14ac:dyDescent="0.3">
      <c r="I32228" t="s">
        <v>36244</v>
      </c>
    </row>
    <row r="32229" spans="9:10" x14ac:dyDescent="0.3">
      <c r="I32229" t="s">
        <v>36245</v>
      </c>
    </row>
    <row r="32230" spans="9:10" x14ac:dyDescent="0.3">
      <c r="I32230" t="s">
        <v>36246</v>
      </c>
      <c r="J32230" t="s">
        <v>9855</v>
      </c>
    </row>
    <row r="32231" spans="9:10" x14ac:dyDescent="0.3">
      <c r="I32231" t="s">
        <v>36247</v>
      </c>
      <c r="J32231" t="s">
        <v>9856</v>
      </c>
    </row>
    <row r="32232" spans="9:10" x14ac:dyDescent="0.3">
      <c r="I32232" t="s">
        <v>36248</v>
      </c>
    </row>
    <row r="32233" spans="9:10" x14ac:dyDescent="0.3">
      <c r="I32233" t="s">
        <v>36249</v>
      </c>
    </row>
    <row r="32234" spans="9:10" x14ac:dyDescent="0.3">
      <c r="I32234" t="s">
        <v>36250</v>
      </c>
    </row>
    <row r="32235" spans="9:10" x14ac:dyDescent="0.3">
      <c r="I32235" t="s">
        <v>36251</v>
      </c>
    </row>
    <row r="32236" spans="9:10" x14ac:dyDescent="0.3">
      <c r="I32236" t="s">
        <v>36252</v>
      </c>
    </row>
    <row r="32237" spans="9:10" x14ac:dyDescent="0.3">
      <c r="I32237" t="s">
        <v>36253</v>
      </c>
      <c r="J32237" t="s">
        <v>9857</v>
      </c>
    </row>
    <row r="32238" spans="9:10" x14ac:dyDescent="0.3">
      <c r="I32238" t="s">
        <v>36254</v>
      </c>
    </row>
    <row r="32239" spans="9:10" x14ac:dyDescent="0.3">
      <c r="I32239" t="s">
        <v>36255</v>
      </c>
    </row>
    <row r="32240" spans="9:10" x14ac:dyDescent="0.3">
      <c r="I32240" t="s">
        <v>36256</v>
      </c>
    </row>
    <row r="32241" spans="9:10" x14ac:dyDescent="0.3">
      <c r="I32241" t="s">
        <v>36257</v>
      </c>
    </row>
    <row r="32242" spans="9:10" x14ac:dyDescent="0.3">
      <c r="I32242" t="s">
        <v>36258</v>
      </c>
    </row>
    <row r="32243" spans="9:10" x14ac:dyDescent="0.3">
      <c r="I32243" t="s">
        <v>36259</v>
      </c>
    </row>
    <row r="32244" spans="9:10" x14ac:dyDescent="0.3">
      <c r="I32244" t="s">
        <v>36260</v>
      </c>
      <c r="J32244" t="s">
        <v>9858</v>
      </c>
    </row>
    <row r="32245" spans="9:10" x14ac:dyDescent="0.3">
      <c r="I32245" t="s">
        <v>36261</v>
      </c>
    </row>
    <row r="32246" spans="9:10" x14ac:dyDescent="0.3">
      <c r="I32246" t="s">
        <v>36262</v>
      </c>
    </row>
    <row r="32247" spans="9:10" x14ac:dyDescent="0.3">
      <c r="I32247" t="s">
        <v>36263</v>
      </c>
    </row>
    <row r="32248" spans="9:10" x14ac:dyDescent="0.3">
      <c r="I32248" t="s">
        <v>36264</v>
      </c>
    </row>
    <row r="32249" spans="9:10" x14ac:dyDescent="0.3">
      <c r="I32249" t="s">
        <v>36265</v>
      </c>
    </row>
    <row r="32250" spans="9:10" x14ac:dyDescent="0.3">
      <c r="I32250" t="s">
        <v>36266</v>
      </c>
    </row>
    <row r="32251" spans="9:10" x14ac:dyDescent="0.3">
      <c r="I32251" t="s">
        <v>36267</v>
      </c>
    </row>
    <row r="32252" spans="9:10" x14ac:dyDescent="0.3">
      <c r="I32252" t="s">
        <v>36268</v>
      </c>
    </row>
    <row r="32253" spans="9:10" x14ac:dyDescent="0.3">
      <c r="I32253" t="s">
        <v>36269</v>
      </c>
    </row>
    <row r="32254" spans="9:10" x14ac:dyDescent="0.3">
      <c r="I32254" t="s">
        <v>36270</v>
      </c>
    </row>
    <row r="32255" spans="9:10" x14ac:dyDescent="0.3">
      <c r="I32255" t="s">
        <v>36271</v>
      </c>
    </row>
    <row r="32256" spans="9:10" x14ac:dyDescent="0.3">
      <c r="I32256" t="s">
        <v>36272</v>
      </c>
    </row>
    <row r="32257" spans="9:10" x14ac:dyDescent="0.3">
      <c r="I32257" t="s">
        <v>36273</v>
      </c>
    </row>
    <row r="32258" spans="9:10" x14ac:dyDescent="0.3">
      <c r="I32258" t="s">
        <v>36274</v>
      </c>
    </row>
    <row r="32259" spans="9:10" x14ac:dyDescent="0.3">
      <c r="I32259" t="s">
        <v>36275</v>
      </c>
    </row>
    <row r="32260" spans="9:10" x14ac:dyDescent="0.3">
      <c r="I32260" t="s">
        <v>36276</v>
      </c>
    </row>
    <row r="32261" spans="9:10" x14ac:dyDescent="0.3">
      <c r="I32261" t="s">
        <v>36277</v>
      </c>
    </row>
    <row r="32262" spans="9:10" x14ac:dyDescent="0.3">
      <c r="I32262" t="s">
        <v>36278</v>
      </c>
    </row>
    <row r="32263" spans="9:10" x14ac:dyDescent="0.3">
      <c r="I32263" t="s">
        <v>36279</v>
      </c>
    </row>
    <row r="32264" spans="9:10" x14ac:dyDescent="0.3">
      <c r="I32264" t="s">
        <v>36280</v>
      </c>
    </row>
    <row r="32265" spans="9:10" x14ac:dyDescent="0.3">
      <c r="I32265" t="s">
        <v>36281</v>
      </c>
    </row>
    <row r="32266" spans="9:10" x14ac:dyDescent="0.3">
      <c r="I32266" t="s">
        <v>36282</v>
      </c>
    </row>
    <row r="32267" spans="9:10" x14ac:dyDescent="0.3">
      <c r="I32267" t="s">
        <v>36283</v>
      </c>
    </row>
    <row r="32268" spans="9:10" x14ac:dyDescent="0.3">
      <c r="I32268" t="s">
        <v>36284</v>
      </c>
    </row>
    <row r="32269" spans="9:10" x14ac:dyDescent="0.3">
      <c r="I32269" t="s">
        <v>36285</v>
      </c>
    </row>
    <row r="32270" spans="9:10" x14ac:dyDescent="0.3">
      <c r="I32270" t="s">
        <v>36286</v>
      </c>
    </row>
    <row r="32271" spans="9:10" x14ac:dyDescent="0.3">
      <c r="I32271" t="s">
        <v>36287</v>
      </c>
      <c r="J32271" t="s">
        <v>9859</v>
      </c>
    </row>
    <row r="32272" spans="9:10" x14ac:dyDescent="0.3">
      <c r="I32272" t="s">
        <v>36288</v>
      </c>
      <c r="J32272" t="s">
        <v>9860</v>
      </c>
    </row>
    <row r="32273" spans="9:10" x14ac:dyDescent="0.3">
      <c r="I32273" t="s">
        <v>36288</v>
      </c>
      <c r="J32273" t="s">
        <v>9860</v>
      </c>
    </row>
    <row r="32274" spans="9:10" x14ac:dyDescent="0.3">
      <c r="I32274" t="s">
        <v>36289</v>
      </c>
      <c r="J32274" t="s">
        <v>9861</v>
      </c>
    </row>
    <row r="32275" spans="9:10" x14ac:dyDescent="0.3">
      <c r="I32275" t="s">
        <v>36290</v>
      </c>
    </row>
    <row r="32276" spans="9:10" x14ac:dyDescent="0.3">
      <c r="I32276" t="s">
        <v>36291</v>
      </c>
    </row>
    <row r="32277" spans="9:10" x14ac:dyDescent="0.3">
      <c r="I32277" t="s">
        <v>36292</v>
      </c>
    </row>
    <row r="32278" spans="9:10" x14ac:dyDescent="0.3">
      <c r="I32278" t="s">
        <v>36293</v>
      </c>
    </row>
    <row r="32279" spans="9:10" x14ac:dyDescent="0.3">
      <c r="I32279" t="s">
        <v>36294</v>
      </c>
    </row>
    <row r="32280" spans="9:10" x14ac:dyDescent="0.3">
      <c r="I32280" t="s">
        <v>36295</v>
      </c>
    </row>
    <row r="32281" spans="9:10" x14ac:dyDescent="0.3">
      <c r="I32281" t="s">
        <v>36296</v>
      </c>
    </row>
    <row r="32282" spans="9:10" x14ac:dyDescent="0.3">
      <c r="I32282" t="s">
        <v>36297</v>
      </c>
      <c r="J32282" t="s">
        <v>9862</v>
      </c>
    </row>
    <row r="32283" spans="9:10" x14ac:dyDescent="0.3">
      <c r="I32283" t="s">
        <v>36298</v>
      </c>
      <c r="J32283" t="s">
        <v>9863</v>
      </c>
    </row>
    <row r="32284" spans="9:10" x14ac:dyDescent="0.3">
      <c r="I32284" t="s">
        <v>36299</v>
      </c>
      <c r="J32284" t="s">
        <v>9864</v>
      </c>
    </row>
    <row r="32285" spans="9:10" x14ac:dyDescent="0.3">
      <c r="I32285" t="s">
        <v>36300</v>
      </c>
    </row>
    <row r="32286" spans="9:10" x14ac:dyDescent="0.3">
      <c r="I32286" t="s">
        <v>36301</v>
      </c>
    </row>
    <row r="32287" spans="9:10" x14ac:dyDescent="0.3">
      <c r="I32287" t="s">
        <v>36302</v>
      </c>
    </row>
    <row r="32288" spans="9:10" x14ac:dyDescent="0.3">
      <c r="I32288" t="s">
        <v>36303</v>
      </c>
      <c r="J32288" t="s">
        <v>9865</v>
      </c>
    </row>
    <row r="32289" spans="9:9" x14ac:dyDescent="0.3">
      <c r="I32289" t="s">
        <v>36304</v>
      </c>
    </row>
    <row r="32290" spans="9:9" x14ac:dyDescent="0.3">
      <c r="I32290" t="s">
        <v>36305</v>
      </c>
    </row>
    <row r="32291" spans="9:9" x14ac:dyDescent="0.3">
      <c r="I32291" t="s">
        <v>36306</v>
      </c>
    </row>
    <row r="32292" spans="9:9" x14ac:dyDescent="0.3">
      <c r="I32292" t="s">
        <v>36307</v>
      </c>
    </row>
    <row r="32293" spans="9:9" x14ac:dyDescent="0.3">
      <c r="I32293" t="s">
        <v>36308</v>
      </c>
    </row>
    <row r="32294" spans="9:9" x14ac:dyDescent="0.3">
      <c r="I32294" t="s">
        <v>36309</v>
      </c>
    </row>
    <row r="32295" spans="9:9" x14ac:dyDescent="0.3">
      <c r="I32295" t="s">
        <v>36310</v>
      </c>
    </row>
    <row r="32296" spans="9:9" x14ac:dyDescent="0.3">
      <c r="I32296" t="s">
        <v>36311</v>
      </c>
    </row>
    <row r="32297" spans="9:9" x14ac:dyDescent="0.3">
      <c r="I32297" t="s">
        <v>36312</v>
      </c>
    </row>
    <row r="32298" spans="9:9" x14ac:dyDescent="0.3">
      <c r="I32298" t="s">
        <v>36313</v>
      </c>
    </row>
    <row r="32299" spans="9:9" x14ac:dyDescent="0.3">
      <c r="I32299" t="s">
        <v>36314</v>
      </c>
    </row>
    <row r="32300" spans="9:9" x14ac:dyDescent="0.3">
      <c r="I32300" t="s">
        <v>36315</v>
      </c>
    </row>
    <row r="32301" spans="9:9" x14ac:dyDescent="0.3">
      <c r="I32301" t="s">
        <v>36316</v>
      </c>
    </row>
    <row r="32302" spans="9:9" x14ac:dyDescent="0.3">
      <c r="I32302" t="s">
        <v>36317</v>
      </c>
    </row>
    <row r="32303" spans="9:9" x14ac:dyDescent="0.3">
      <c r="I32303" t="s">
        <v>36318</v>
      </c>
    </row>
    <row r="32304" spans="9:9" x14ac:dyDescent="0.3">
      <c r="I32304" t="s">
        <v>36319</v>
      </c>
    </row>
    <row r="32305" spans="9:10" x14ac:dyDescent="0.3">
      <c r="I32305" t="s">
        <v>36320</v>
      </c>
    </row>
    <row r="32306" spans="9:10" x14ac:dyDescent="0.3">
      <c r="I32306" t="s">
        <v>36321</v>
      </c>
      <c r="J32306" t="s">
        <v>9866</v>
      </c>
    </row>
    <row r="32307" spans="9:10" x14ac:dyDescent="0.3">
      <c r="I32307" t="s">
        <v>36322</v>
      </c>
      <c r="J32307" t="s">
        <v>9867</v>
      </c>
    </row>
    <row r="32308" spans="9:10" x14ac:dyDescent="0.3">
      <c r="I32308" t="s">
        <v>36323</v>
      </c>
    </row>
    <row r="32309" spans="9:10" x14ac:dyDescent="0.3">
      <c r="I32309" t="s">
        <v>36324</v>
      </c>
    </row>
    <row r="32310" spans="9:10" x14ac:dyDescent="0.3">
      <c r="I32310" t="s">
        <v>36325</v>
      </c>
    </row>
    <row r="32311" spans="9:10" x14ac:dyDescent="0.3">
      <c r="I32311" t="s">
        <v>36326</v>
      </c>
    </row>
    <row r="32312" spans="9:10" x14ac:dyDescent="0.3">
      <c r="I32312" t="s">
        <v>36326</v>
      </c>
    </row>
    <row r="32313" spans="9:10" x14ac:dyDescent="0.3">
      <c r="I32313" t="s">
        <v>36327</v>
      </c>
    </row>
    <row r="32314" spans="9:10" x14ac:dyDescent="0.3">
      <c r="I32314" t="s">
        <v>36328</v>
      </c>
    </row>
    <row r="32315" spans="9:10" x14ac:dyDescent="0.3">
      <c r="I32315" t="s">
        <v>36329</v>
      </c>
    </row>
    <row r="32316" spans="9:10" x14ac:dyDescent="0.3">
      <c r="I32316" t="s">
        <v>36330</v>
      </c>
    </row>
    <row r="32317" spans="9:10" x14ac:dyDescent="0.3">
      <c r="I32317" t="s">
        <v>36331</v>
      </c>
      <c r="J32317" t="s">
        <v>310</v>
      </c>
    </row>
    <row r="32318" spans="9:10" x14ac:dyDescent="0.3">
      <c r="I32318" t="s">
        <v>36331</v>
      </c>
      <c r="J32318" t="s">
        <v>310</v>
      </c>
    </row>
    <row r="32319" spans="9:10" x14ac:dyDescent="0.3">
      <c r="I32319" t="s">
        <v>36332</v>
      </c>
      <c r="J32319" t="s">
        <v>311</v>
      </c>
    </row>
    <row r="32320" spans="9:10" x14ac:dyDescent="0.3">
      <c r="I32320" t="s">
        <v>36333</v>
      </c>
    </row>
    <row r="32321" spans="9:10" x14ac:dyDescent="0.3">
      <c r="I32321" t="s">
        <v>36334</v>
      </c>
    </row>
    <row r="32322" spans="9:10" x14ac:dyDescent="0.3">
      <c r="I32322" t="s">
        <v>36335</v>
      </c>
    </row>
    <row r="32323" spans="9:10" x14ac:dyDescent="0.3">
      <c r="I32323" t="s">
        <v>36336</v>
      </c>
    </row>
    <row r="32324" spans="9:10" x14ac:dyDescent="0.3">
      <c r="I32324" t="s">
        <v>36337</v>
      </c>
    </row>
    <row r="32325" spans="9:10" x14ac:dyDescent="0.3">
      <c r="I32325" t="s">
        <v>36338</v>
      </c>
    </row>
    <row r="32326" spans="9:10" x14ac:dyDescent="0.3">
      <c r="I32326" t="s">
        <v>36339</v>
      </c>
    </row>
    <row r="32327" spans="9:10" x14ac:dyDescent="0.3">
      <c r="I32327" t="s">
        <v>34774</v>
      </c>
      <c r="J32327" t="s">
        <v>9868</v>
      </c>
    </row>
    <row r="32328" spans="9:10" x14ac:dyDescent="0.3">
      <c r="I32328" t="s">
        <v>36340</v>
      </c>
      <c r="J32328" t="s">
        <v>9869</v>
      </c>
    </row>
    <row r="32329" spans="9:10" x14ac:dyDescent="0.3">
      <c r="I32329" t="s">
        <v>36341</v>
      </c>
      <c r="J32329" t="s">
        <v>9870</v>
      </c>
    </row>
    <row r="32330" spans="9:10" x14ac:dyDescent="0.3">
      <c r="I32330" t="s">
        <v>36342</v>
      </c>
    </row>
    <row r="32331" spans="9:10" x14ac:dyDescent="0.3">
      <c r="I32331" t="s">
        <v>36343</v>
      </c>
    </row>
    <row r="32332" spans="9:10" x14ac:dyDescent="0.3">
      <c r="I32332" t="s">
        <v>36344</v>
      </c>
    </row>
    <row r="32333" spans="9:10" x14ac:dyDescent="0.3">
      <c r="I32333" t="s">
        <v>36345</v>
      </c>
    </row>
    <row r="32334" spans="9:10" x14ac:dyDescent="0.3">
      <c r="I32334" t="s">
        <v>36346</v>
      </c>
    </row>
    <row r="32335" spans="9:10" x14ac:dyDescent="0.3">
      <c r="I32335" t="s">
        <v>36347</v>
      </c>
    </row>
    <row r="32336" spans="9:10" x14ac:dyDescent="0.3">
      <c r="I32336" t="s">
        <v>36348</v>
      </c>
    </row>
    <row r="32337" spans="9:10" x14ac:dyDescent="0.3">
      <c r="I32337" t="s">
        <v>36349</v>
      </c>
    </row>
    <row r="32338" spans="9:10" x14ac:dyDescent="0.3">
      <c r="I32338" t="s">
        <v>36350</v>
      </c>
    </row>
    <row r="32339" spans="9:10" x14ac:dyDescent="0.3">
      <c r="I32339" t="s">
        <v>36351</v>
      </c>
    </row>
    <row r="32340" spans="9:10" x14ac:dyDescent="0.3">
      <c r="I32340" t="s">
        <v>36352</v>
      </c>
    </row>
    <row r="32341" spans="9:10" x14ac:dyDescent="0.3">
      <c r="I32341" t="s">
        <v>36353</v>
      </c>
    </row>
    <row r="32342" spans="9:10" x14ac:dyDescent="0.3">
      <c r="I32342" t="s">
        <v>36354</v>
      </c>
    </row>
    <row r="32343" spans="9:10" x14ac:dyDescent="0.3">
      <c r="I32343" t="s">
        <v>36355</v>
      </c>
    </row>
    <row r="32344" spans="9:10" x14ac:dyDescent="0.3">
      <c r="I32344" t="s">
        <v>36356</v>
      </c>
    </row>
    <row r="32345" spans="9:10" x14ac:dyDescent="0.3">
      <c r="I32345" t="s">
        <v>36357</v>
      </c>
    </row>
    <row r="32346" spans="9:10" x14ac:dyDescent="0.3">
      <c r="I32346" t="s">
        <v>36358</v>
      </c>
    </row>
    <row r="32347" spans="9:10" x14ac:dyDescent="0.3">
      <c r="I32347" t="s">
        <v>36359</v>
      </c>
    </row>
    <row r="32348" spans="9:10" x14ac:dyDescent="0.3">
      <c r="I32348" t="s">
        <v>36360</v>
      </c>
    </row>
    <row r="32349" spans="9:10" x14ac:dyDescent="0.3">
      <c r="I32349" t="s">
        <v>36361</v>
      </c>
      <c r="J32349" t="s">
        <v>9871</v>
      </c>
    </row>
    <row r="32350" spans="9:10" x14ac:dyDescent="0.3">
      <c r="I32350" t="s">
        <v>36362</v>
      </c>
      <c r="J32350" t="s">
        <v>9872</v>
      </c>
    </row>
    <row r="32351" spans="9:10" x14ac:dyDescent="0.3">
      <c r="I32351" t="s">
        <v>36363</v>
      </c>
    </row>
    <row r="32352" spans="9:10" x14ac:dyDescent="0.3">
      <c r="I32352" t="s">
        <v>36364</v>
      </c>
    </row>
    <row r="32353" spans="9:9" x14ac:dyDescent="0.3">
      <c r="I32353" t="s">
        <v>36365</v>
      </c>
    </row>
    <row r="32354" spans="9:9" x14ac:dyDescent="0.3">
      <c r="I32354" t="s">
        <v>36366</v>
      </c>
    </row>
    <row r="32355" spans="9:9" x14ac:dyDescent="0.3">
      <c r="I32355" t="s">
        <v>36367</v>
      </c>
    </row>
    <row r="32356" spans="9:9" x14ac:dyDescent="0.3">
      <c r="I32356" t="s">
        <v>36368</v>
      </c>
    </row>
    <row r="32357" spans="9:9" x14ac:dyDescent="0.3">
      <c r="I32357" t="s">
        <v>36369</v>
      </c>
    </row>
    <row r="32358" spans="9:9" x14ac:dyDescent="0.3">
      <c r="I32358" t="s">
        <v>36370</v>
      </c>
    </row>
    <row r="32359" spans="9:9" x14ac:dyDescent="0.3">
      <c r="I32359" t="s">
        <v>36371</v>
      </c>
    </row>
    <row r="32360" spans="9:9" x14ac:dyDescent="0.3">
      <c r="I32360" t="s">
        <v>36372</v>
      </c>
    </row>
    <row r="32361" spans="9:9" x14ac:dyDescent="0.3">
      <c r="I32361" t="s">
        <v>36373</v>
      </c>
    </row>
    <row r="32362" spans="9:9" x14ac:dyDescent="0.3">
      <c r="I32362" t="s">
        <v>36374</v>
      </c>
    </row>
    <row r="32363" spans="9:9" x14ac:dyDescent="0.3">
      <c r="I32363" t="s">
        <v>36375</v>
      </c>
    </row>
    <row r="32364" spans="9:9" x14ac:dyDescent="0.3">
      <c r="I32364" t="s">
        <v>36376</v>
      </c>
    </row>
    <row r="32365" spans="9:9" x14ac:dyDescent="0.3">
      <c r="I32365" t="s">
        <v>36377</v>
      </c>
    </row>
    <row r="32366" spans="9:9" x14ac:dyDescent="0.3">
      <c r="I32366" t="s">
        <v>36378</v>
      </c>
    </row>
    <row r="32367" spans="9:9" x14ac:dyDescent="0.3">
      <c r="I32367" t="s">
        <v>36379</v>
      </c>
    </row>
    <row r="32368" spans="9:9" x14ac:dyDescent="0.3">
      <c r="I32368" t="s">
        <v>36380</v>
      </c>
    </row>
    <row r="32369" spans="9:9" x14ac:dyDescent="0.3">
      <c r="I32369" t="s">
        <v>36381</v>
      </c>
    </row>
    <row r="32370" spans="9:9" x14ac:dyDescent="0.3">
      <c r="I32370" t="s">
        <v>36382</v>
      </c>
    </row>
    <row r="32371" spans="9:9" x14ac:dyDescent="0.3">
      <c r="I32371" t="s">
        <v>36383</v>
      </c>
    </row>
    <row r="32372" spans="9:9" x14ac:dyDescent="0.3">
      <c r="I32372" t="s">
        <v>36384</v>
      </c>
    </row>
    <row r="32373" spans="9:9" x14ac:dyDescent="0.3">
      <c r="I32373" t="s">
        <v>22056</v>
      </c>
    </row>
  </sheetData>
  <conditionalFormatting sqref="A1:A16 A32374:A1048576">
    <cfRule type="duplicateValues" dxfId="3" priority="1"/>
  </conditionalFormatting>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0E0F7-B7F4-48E7-822B-C99352E22808}">
  <sheetPr codeName="Sheet13"/>
  <dimension ref="A1:L1"/>
  <sheetViews>
    <sheetView workbookViewId="0">
      <selection activeCell="A2" sqref="A2:L909"/>
    </sheetView>
  </sheetViews>
  <sheetFormatPr defaultRowHeight="14.4" x14ac:dyDescent="0.3"/>
  <cols>
    <col min="1" max="1" width="12.5546875" customWidth="1"/>
    <col min="2" max="2" width="158.109375" customWidth="1"/>
    <col min="3" max="3" width="28" customWidth="1"/>
    <col min="4" max="4" width="147.44140625" customWidth="1"/>
    <col min="5" max="5" width="23.5546875" customWidth="1"/>
    <col min="6" max="6" width="33.5546875" customWidth="1"/>
    <col min="7" max="7" width="38.109375" customWidth="1"/>
    <col min="8" max="8" width="90" customWidth="1"/>
    <col min="9" max="9" width="37.44140625" customWidth="1"/>
    <col min="10" max="10" width="51.44140625" customWidth="1"/>
    <col min="11" max="11" width="44.88671875" customWidth="1"/>
    <col min="12" max="12" width="104.44140625" customWidth="1"/>
  </cols>
  <sheetData>
    <row r="1" spans="1:12" x14ac:dyDescent="0.3">
      <c r="A1" t="s">
        <v>948</v>
      </c>
      <c r="B1" t="s">
        <v>949</v>
      </c>
      <c r="C1" t="s">
        <v>950</v>
      </c>
      <c r="D1" t="s">
        <v>951</v>
      </c>
      <c r="E1" t="s">
        <v>952</v>
      </c>
      <c r="F1" t="s">
        <v>953</v>
      </c>
      <c r="G1" t="s">
        <v>954</v>
      </c>
      <c r="H1" t="s">
        <v>955</v>
      </c>
      <c r="I1" t="s">
        <v>956</v>
      </c>
      <c r="J1" t="s">
        <v>957</v>
      </c>
      <c r="K1" t="s">
        <v>958</v>
      </c>
      <c r="L1" t="s">
        <v>959</v>
      </c>
    </row>
  </sheetData>
  <pageMargins left="0.7" right="0.7" top="0.75" bottom="0.75" header="0.3" footer="0.3"/>
  <pageSetup orientation="portrait" horizontalDpi="1200" verticalDpi="120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filterMode="1">
    <tabColor rgb="FF92D050"/>
  </sheetPr>
  <dimension ref="A1:F1590"/>
  <sheetViews>
    <sheetView tabSelected="1" workbookViewId="0">
      <selection activeCell="C4" sqref="C4"/>
    </sheetView>
  </sheetViews>
  <sheetFormatPr defaultColWidth="9.109375" defaultRowHeight="14.4" x14ac:dyDescent="0.3"/>
  <cols>
    <col min="1" max="1" width="11.88671875" bestFit="1" customWidth="1"/>
    <col min="2" max="2" width="9.88671875" bestFit="1" customWidth="1"/>
    <col min="3" max="3" width="34.88671875" bestFit="1" customWidth="1"/>
    <col min="4" max="4" width="24.44140625" style="157" customWidth="1"/>
    <col min="5" max="5" width="13.109375" bestFit="1" customWidth="1"/>
    <col min="6" max="6" width="11.5546875" bestFit="1" customWidth="1"/>
  </cols>
  <sheetData>
    <row r="1" spans="1:6" x14ac:dyDescent="0.3">
      <c r="A1" s="91" t="s">
        <v>94</v>
      </c>
      <c r="B1" s="91" t="s">
        <v>52</v>
      </c>
      <c r="C1" s="106" t="s">
        <v>3</v>
      </c>
      <c r="D1" s="156" t="s">
        <v>33</v>
      </c>
    </row>
    <row r="2" spans="1:6" x14ac:dyDescent="0.3">
      <c r="A2" t="s">
        <v>91</v>
      </c>
      <c r="B2" t="s">
        <v>90</v>
      </c>
      <c r="C2" s="108"/>
      <c r="D2" s="2"/>
      <c r="E2" s="2"/>
      <c r="F2" s="93"/>
    </row>
    <row r="3" spans="1:6" x14ac:dyDescent="0.3">
      <c r="A3" t="s">
        <v>91</v>
      </c>
      <c r="B3" t="s">
        <v>90</v>
      </c>
      <c r="C3" s="108"/>
      <c r="D3" s="2"/>
      <c r="E3" s="2"/>
      <c r="F3" s="93"/>
    </row>
    <row r="4" spans="1:6" x14ac:dyDescent="0.3">
      <c r="A4" t="s">
        <v>91</v>
      </c>
      <c r="B4" t="s">
        <v>90</v>
      </c>
      <c r="C4" s="108"/>
      <c r="D4" s="2"/>
      <c r="E4" s="2"/>
      <c r="F4" s="93"/>
    </row>
    <row r="5" spans="1:6" x14ac:dyDescent="0.3">
      <c r="A5" t="s">
        <v>91</v>
      </c>
      <c r="B5" t="s">
        <v>90</v>
      </c>
      <c r="C5" s="108"/>
      <c r="D5" s="2"/>
      <c r="E5" s="2"/>
      <c r="F5" s="93"/>
    </row>
    <row r="6" spans="1:6" x14ac:dyDescent="0.3">
      <c r="A6" t="s">
        <v>91</v>
      </c>
      <c r="B6" t="s">
        <v>90</v>
      </c>
      <c r="C6" s="108"/>
      <c r="D6" s="2"/>
      <c r="E6" s="2"/>
      <c r="F6" s="93"/>
    </row>
    <row r="7" spans="1:6" x14ac:dyDescent="0.3">
      <c r="A7" t="s">
        <v>91</v>
      </c>
      <c r="B7" t="s">
        <v>90</v>
      </c>
      <c r="C7" s="108"/>
      <c r="D7" s="2"/>
      <c r="E7" s="2"/>
      <c r="F7" s="93"/>
    </row>
    <row r="8" spans="1:6" x14ac:dyDescent="0.3">
      <c r="A8" t="s">
        <v>91</v>
      </c>
      <c r="B8" t="s">
        <v>90</v>
      </c>
      <c r="C8" s="108"/>
      <c r="D8" s="2"/>
      <c r="E8" s="2"/>
      <c r="F8" s="93"/>
    </row>
    <row r="9" spans="1:6" x14ac:dyDescent="0.3">
      <c r="A9" t="s">
        <v>91</v>
      </c>
      <c r="B9" t="s">
        <v>90</v>
      </c>
      <c r="C9" s="108"/>
      <c r="D9" s="2"/>
      <c r="E9" s="2"/>
      <c r="F9" s="93"/>
    </row>
    <row r="10" spans="1:6" x14ac:dyDescent="0.3">
      <c r="A10" t="s">
        <v>91</v>
      </c>
      <c r="B10" t="s">
        <v>90</v>
      </c>
      <c r="C10" s="108"/>
      <c r="D10" s="2"/>
      <c r="E10" s="2"/>
      <c r="F10" s="93"/>
    </row>
    <row r="11" spans="1:6" x14ac:dyDescent="0.3">
      <c r="A11" t="s">
        <v>91</v>
      </c>
      <c r="B11" t="s">
        <v>90</v>
      </c>
      <c r="C11" s="108"/>
      <c r="D11" s="2"/>
      <c r="E11" s="2"/>
      <c r="F11" s="93"/>
    </row>
    <row r="12" spans="1:6" x14ac:dyDescent="0.3">
      <c r="A12" t="s">
        <v>91</v>
      </c>
      <c r="B12" t="s">
        <v>90</v>
      </c>
      <c r="C12" s="108"/>
      <c r="D12" s="2"/>
      <c r="E12" s="2"/>
      <c r="F12" s="93"/>
    </row>
    <row r="13" spans="1:6" x14ac:dyDescent="0.3">
      <c r="A13" t="s">
        <v>91</v>
      </c>
      <c r="B13" t="s">
        <v>90</v>
      </c>
      <c r="C13" s="108"/>
      <c r="D13" s="2"/>
      <c r="E13" s="2"/>
      <c r="F13" s="93"/>
    </row>
    <row r="14" spans="1:6" x14ac:dyDescent="0.3">
      <c r="A14" t="s">
        <v>91</v>
      </c>
      <c r="B14" t="s">
        <v>90</v>
      </c>
      <c r="C14" s="108"/>
      <c r="D14" s="2"/>
      <c r="E14" s="2"/>
      <c r="F14" s="93"/>
    </row>
    <row r="15" spans="1:6" x14ac:dyDescent="0.3">
      <c r="A15" t="s">
        <v>91</v>
      </c>
      <c r="B15" t="s">
        <v>90</v>
      </c>
      <c r="C15" s="108"/>
      <c r="D15" s="2"/>
      <c r="E15" s="2"/>
      <c r="F15" s="93"/>
    </row>
    <row r="16" spans="1:6" x14ac:dyDescent="0.3">
      <c r="A16" t="s">
        <v>91</v>
      </c>
      <c r="B16" t="s">
        <v>90</v>
      </c>
      <c r="C16" s="108"/>
      <c r="D16" s="2"/>
      <c r="E16" s="2"/>
      <c r="F16" s="93"/>
    </row>
    <row r="17" spans="1:6" x14ac:dyDescent="0.3">
      <c r="A17" t="s">
        <v>91</v>
      </c>
      <c r="B17" t="s">
        <v>90</v>
      </c>
      <c r="C17" s="108"/>
      <c r="D17" s="2"/>
      <c r="E17" s="2"/>
      <c r="F17" s="93"/>
    </row>
    <row r="18" spans="1:6" x14ac:dyDescent="0.3">
      <c r="A18" t="s">
        <v>91</v>
      </c>
      <c r="B18" t="s">
        <v>90</v>
      </c>
      <c r="C18" s="108"/>
      <c r="D18" s="2"/>
      <c r="E18" s="2"/>
      <c r="F18" s="93"/>
    </row>
    <row r="19" spans="1:6" x14ac:dyDescent="0.3">
      <c r="A19" t="s">
        <v>91</v>
      </c>
      <c r="B19" t="s">
        <v>90</v>
      </c>
      <c r="C19" s="108"/>
      <c r="D19" s="2"/>
      <c r="E19" s="2"/>
      <c r="F19" s="93"/>
    </row>
    <row r="20" spans="1:6" x14ac:dyDescent="0.3">
      <c r="A20" t="s">
        <v>91</v>
      </c>
      <c r="B20" t="s">
        <v>90</v>
      </c>
      <c r="C20" s="108"/>
      <c r="D20" s="2"/>
      <c r="E20" s="2"/>
      <c r="F20" s="93"/>
    </row>
    <row r="21" spans="1:6" x14ac:dyDescent="0.3">
      <c r="A21" t="s">
        <v>91</v>
      </c>
      <c r="B21" t="s">
        <v>90</v>
      </c>
      <c r="C21" s="108"/>
      <c r="D21" s="2"/>
      <c r="E21" s="2"/>
      <c r="F21" s="93"/>
    </row>
    <row r="22" spans="1:6" x14ac:dyDescent="0.3">
      <c r="A22" t="s">
        <v>91</v>
      </c>
      <c r="B22" t="s">
        <v>90</v>
      </c>
      <c r="C22" s="108"/>
      <c r="D22" s="2"/>
      <c r="E22" s="2"/>
      <c r="F22" s="93"/>
    </row>
    <row r="23" spans="1:6" x14ac:dyDescent="0.3">
      <c r="A23" t="s">
        <v>91</v>
      </c>
      <c r="B23" t="s">
        <v>90</v>
      </c>
      <c r="C23" s="108"/>
      <c r="D23" s="2"/>
      <c r="E23" s="2"/>
      <c r="F23" s="93"/>
    </row>
    <row r="24" spans="1:6" x14ac:dyDescent="0.3">
      <c r="A24" t="s">
        <v>91</v>
      </c>
      <c r="B24" t="s">
        <v>90</v>
      </c>
      <c r="C24" s="108"/>
      <c r="D24" s="2"/>
      <c r="E24" s="2"/>
      <c r="F24" s="93"/>
    </row>
    <row r="25" spans="1:6" x14ac:dyDescent="0.3">
      <c r="A25" t="s">
        <v>91</v>
      </c>
      <c r="B25" t="s">
        <v>90</v>
      </c>
      <c r="C25" s="108"/>
      <c r="D25" s="2"/>
      <c r="E25" s="2"/>
      <c r="F25" s="93"/>
    </row>
    <row r="26" spans="1:6" x14ac:dyDescent="0.3">
      <c r="A26" t="s">
        <v>91</v>
      </c>
      <c r="B26" t="s">
        <v>90</v>
      </c>
      <c r="C26" s="108"/>
      <c r="D26" s="2"/>
      <c r="E26" s="2"/>
      <c r="F26" s="93"/>
    </row>
    <row r="27" spans="1:6" x14ac:dyDescent="0.3">
      <c r="A27" t="s">
        <v>91</v>
      </c>
      <c r="B27" t="s">
        <v>90</v>
      </c>
      <c r="C27" s="108"/>
      <c r="D27" s="2"/>
      <c r="E27" s="2"/>
      <c r="F27" s="93"/>
    </row>
    <row r="28" spans="1:6" x14ac:dyDescent="0.3">
      <c r="A28" t="s">
        <v>91</v>
      </c>
      <c r="B28" t="s">
        <v>90</v>
      </c>
      <c r="C28" s="108"/>
      <c r="D28" s="2"/>
      <c r="E28" s="2"/>
      <c r="F28" s="93"/>
    </row>
    <row r="29" spans="1:6" x14ac:dyDescent="0.3">
      <c r="A29" t="s">
        <v>91</v>
      </c>
      <c r="B29" t="s">
        <v>90</v>
      </c>
      <c r="C29" s="108"/>
      <c r="D29" s="2"/>
      <c r="E29" s="2"/>
      <c r="F29" s="93"/>
    </row>
    <row r="30" spans="1:6" x14ac:dyDescent="0.3">
      <c r="A30" t="s">
        <v>91</v>
      </c>
      <c r="B30" t="s">
        <v>90</v>
      </c>
      <c r="C30" s="108"/>
      <c r="D30" s="2"/>
      <c r="E30" s="2"/>
      <c r="F30" s="93"/>
    </row>
    <row r="31" spans="1:6" x14ac:dyDescent="0.3">
      <c r="A31" t="s">
        <v>91</v>
      </c>
      <c r="B31" t="s">
        <v>90</v>
      </c>
      <c r="C31" s="108"/>
      <c r="D31" s="2"/>
      <c r="E31" s="2"/>
      <c r="F31" s="93"/>
    </row>
    <row r="32" spans="1:6" x14ac:dyDescent="0.3">
      <c r="A32" t="s">
        <v>91</v>
      </c>
      <c r="B32" t="s">
        <v>90</v>
      </c>
      <c r="C32" s="108"/>
      <c r="D32" s="2"/>
      <c r="E32" s="2"/>
      <c r="F32" s="93"/>
    </row>
    <row r="33" spans="1:6" x14ac:dyDescent="0.3">
      <c r="A33" t="s">
        <v>91</v>
      </c>
      <c r="B33" t="s">
        <v>90</v>
      </c>
      <c r="C33" s="108"/>
      <c r="D33" s="2"/>
      <c r="E33" s="2"/>
      <c r="F33" s="93"/>
    </row>
    <row r="34" spans="1:6" x14ac:dyDescent="0.3">
      <c r="A34" t="s">
        <v>91</v>
      </c>
      <c r="B34" t="s">
        <v>90</v>
      </c>
      <c r="C34" s="108"/>
      <c r="D34" s="2"/>
      <c r="E34" s="2"/>
      <c r="F34" s="93"/>
    </row>
    <row r="35" spans="1:6" x14ac:dyDescent="0.3">
      <c r="A35" t="s">
        <v>91</v>
      </c>
      <c r="B35" t="s">
        <v>90</v>
      </c>
      <c r="C35" s="108"/>
      <c r="D35" s="2"/>
      <c r="E35" s="2"/>
      <c r="F35" s="93"/>
    </row>
    <row r="36" spans="1:6" x14ac:dyDescent="0.3">
      <c r="A36" t="s">
        <v>91</v>
      </c>
      <c r="B36" t="s">
        <v>90</v>
      </c>
      <c r="C36" s="108"/>
      <c r="D36" s="2"/>
      <c r="E36" s="2"/>
      <c r="F36" s="93"/>
    </row>
    <row r="37" spans="1:6" x14ac:dyDescent="0.3">
      <c r="A37" t="s">
        <v>91</v>
      </c>
      <c r="B37" t="s">
        <v>90</v>
      </c>
      <c r="C37" s="108"/>
      <c r="D37" s="2"/>
      <c r="E37" s="2"/>
      <c r="F37" s="93"/>
    </row>
    <row r="38" spans="1:6" x14ac:dyDescent="0.3">
      <c r="A38" t="s">
        <v>91</v>
      </c>
      <c r="B38" t="s">
        <v>90</v>
      </c>
      <c r="C38" s="108"/>
      <c r="D38" s="2"/>
      <c r="E38" s="2"/>
      <c r="F38" s="93"/>
    </row>
    <row r="39" spans="1:6" x14ac:dyDescent="0.3">
      <c r="A39" t="s">
        <v>91</v>
      </c>
      <c r="B39" t="s">
        <v>90</v>
      </c>
      <c r="C39" s="108"/>
      <c r="D39" s="2"/>
      <c r="E39" s="2"/>
      <c r="F39" s="93"/>
    </row>
    <row r="40" spans="1:6" x14ac:dyDescent="0.3">
      <c r="A40" t="s">
        <v>91</v>
      </c>
      <c r="B40" t="s">
        <v>90</v>
      </c>
      <c r="C40" s="108"/>
      <c r="D40" s="2"/>
      <c r="E40" s="2"/>
      <c r="F40" s="93"/>
    </row>
    <row r="41" spans="1:6" x14ac:dyDescent="0.3">
      <c r="A41" t="s">
        <v>91</v>
      </c>
      <c r="B41" t="s">
        <v>90</v>
      </c>
      <c r="C41" s="108"/>
      <c r="D41" s="2"/>
      <c r="E41" s="2"/>
      <c r="F41" s="93"/>
    </row>
    <row r="42" spans="1:6" x14ac:dyDescent="0.3">
      <c r="A42" t="s">
        <v>91</v>
      </c>
      <c r="B42" t="s">
        <v>90</v>
      </c>
      <c r="C42" s="108"/>
      <c r="D42" s="2"/>
      <c r="E42" s="2"/>
      <c r="F42" s="93"/>
    </row>
    <row r="43" spans="1:6" x14ac:dyDescent="0.3">
      <c r="A43" t="s">
        <v>91</v>
      </c>
      <c r="B43" t="s">
        <v>90</v>
      </c>
      <c r="C43" s="108"/>
      <c r="D43" s="2"/>
      <c r="E43" s="2"/>
      <c r="F43" s="93"/>
    </row>
    <row r="44" spans="1:6" x14ac:dyDescent="0.3">
      <c r="A44" t="s">
        <v>91</v>
      </c>
      <c r="B44" t="s">
        <v>90</v>
      </c>
      <c r="C44" s="108"/>
      <c r="D44" s="2"/>
      <c r="E44" s="2"/>
      <c r="F44" s="93"/>
    </row>
    <row r="45" spans="1:6" x14ac:dyDescent="0.3">
      <c r="A45" t="s">
        <v>91</v>
      </c>
      <c r="B45" t="s">
        <v>90</v>
      </c>
      <c r="C45" s="108"/>
      <c r="D45" s="2"/>
      <c r="E45" s="2"/>
      <c r="F45" s="93"/>
    </row>
    <row r="46" spans="1:6" x14ac:dyDescent="0.3">
      <c r="A46" t="s">
        <v>91</v>
      </c>
      <c r="B46" t="s">
        <v>90</v>
      </c>
      <c r="C46" s="108"/>
      <c r="D46" s="2"/>
      <c r="E46" s="2"/>
      <c r="F46" s="93"/>
    </row>
    <row r="47" spans="1:6" x14ac:dyDescent="0.3">
      <c r="A47" t="s">
        <v>91</v>
      </c>
      <c r="B47" t="s">
        <v>90</v>
      </c>
      <c r="C47" s="108"/>
      <c r="D47" s="2"/>
      <c r="E47" s="2"/>
      <c r="F47" s="93"/>
    </row>
    <row r="48" spans="1:6" x14ac:dyDescent="0.3">
      <c r="A48" t="s">
        <v>91</v>
      </c>
      <c r="B48" t="s">
        <v>90</v>
      </c>
      <c r="C48" s="108"/>
      <c r="D48" s="2"/>
      <c r="E48" s="2"/>
      <c r="F48" s="93"/>
    </row>
    <row r="49" spans="1:6" x14ac:dyDescent="0.3">
      <c r="A49" t="s">
        <v>91</v>
      </c>
      <c r="B49" t="s">
        <v>90</v>
      </c>
      <c r="C49" s="108"/>
      <c r="D49" s="2"/>
      <c r="E49" s="2"/>
      <c r="F49" s="93"/>
    </row>
    <row r="50" spans="1:6" x14ac:dyDescent="0.3">
      <c r="A50" t="s">
        <v>91</v>
      </c>
      <c r="B50" t="s">
        <v>90</v>
      </c>
      <c r="C50" s="108"/>
      <c r="D50" s="2"/>
      <c r="E50" s="2"/>
      <c r="F50" s="93"/>
    </row>
    <row r="51" spans="1:6" x14ac:dyDescent="0.3">
      <c r="A51" t="s">
        <v>91</v>
      </c>
      <c r="B51" t="s">
        <v>90</v>
      </c>
      <c r="C51" s="108"/>
      <c r="D51" s="2"/>
      <c r="E51" s="2"/>
      <c r="F51" s="93"/>
    </row>
    <row r="52" spans="1:6" x14ac:dyDescent="0.3">
      <c r="A52" t="s">
        <v>91</v>
      </c>
      <c r="B52" t="s">
        <v>90</v>
      </c>
      <c r="C52" s="108"/>
      <c r="D52" s="2"/>
      <c r="E52" s="2"/>
      <c r="F52" s="93"/>
    </row>
    <row r="53" spans="1:6" x14ac:dyDescent="0.3">
      <c r="A53" t="s">
        <v>91</v>
      </c>
      <c r="B53" t="s">
        <v>90</v>
      </c>
      <c r="C53" s="108"/>
      <c r="D53" s="2"/>
      <c r="E53" s="2"/>
      <c r="F53" s="93"/>
    </row>
    <row r="54" spans="1:6" x14ac:dyDescent="0.3">
      <c r="A54" t="s">
        <v>91</v>
      </c>
      <c r="B54" t="s">
        <v>90</v>
      </c>
      <c r="C54" s="108"/>
      <c r="D54" s="2"/>
      <c r="E54" s="2"/>
      <c r="F54" s="93"/>
    </row>
    <row r="55" spans="1:6" x14ac:dyDescent="0.3">
      <c r="A55" t="s">
        <v>91</v>
      </c>
      <c r="B55" t="s">
        <v>90</v>
      </c>
      <c r="C55" s="108"/>
      <c r="D55" s="2"/>
      <c r="E55" s="2"/>
      <c r="F55" s="93"/>
    </row>
    <row r="56" spans="1:6" x14ac:dyDescent="0.3">
      <c r="A56" t="s">
        <v>91</v>
      </c>
      <c r="B56" t="s">
        <v>90</v>
      </c>
      <c r="C56" s="108"/>
      <c r="D56" s="2"/>
      <c r="E56" s="2"/>
      <c r="F56" s="93"/>
    </row>
    <row r="57" spans="1:6" x14ac:dyDescent="0.3">
      <c r="A57" t="s">
        <v>91</v>
      </c>
      <c r="B57" t="s">
        <v>90</v>
      </c>
      <c r="C57" s="108"/>
      <c r="D57" s="2"/>
      <c r="E57" s="2"/>
      <c r="F57" s="93"/>
    </row>
    <row r="58" spans="1:6" x14ac:dyDescent="0.3">
      <c r="A58" t="s">
        <v>91</v>
      </c>
      <c r="B58" t="s">
        <v>90</v>
      </c>
      <c r="C58" s="108"/>
      <c r="D58" s="2"/>
      <c r="E58" s="2"/>
      <c r="F58" s="93"/>
    </row>
    <row r="59" spans="1:6" x14ac:dyDescent="0.3">
      <c r="A59" t="s">
        <v>91</v>
      </c>
      <c r="B59" t="s">
        <v>90</v>
      </c>
      <c r="C59" s="108"/>
      <c r="D59" s="2"/>
      <c r="E59" s="2"/>
      <c r="F59" s="93"/>
    </row>
    <row r="60" spans="1:6" x14ac:dyDescent="0.3">
      <c r="A60" t="s">
        <v>91</v>
      </c>
      <c r="B60" t="s">
        <v>90</v>
      </c>
      <c r="C60" s="108"/>
      <c r="D60" s="2"/>
      <c r="E60" s="2"/>
      <c r="F60" s="93"/>
    </row>
    <row r="61" spans="1:6" x14ac:dyDescent="0.3">
      <c r="A61" t="s">
        <v>91</v>
      </c>
      <c r="B61" t="s">
        <v>90</v>
      </c>
      <c r="C61" s="108"/>
      <c r="D61" s="2"/>
      <c r="E61" s="2"/>
      <c r="F61" s="93"/>
    </row>
    <row r="62" spans="1:6" x14ac:dyDescent="0.3">
      <c r="A62" t="s">
        <v>91</v>
      </c>
      <c r="B62" t="s">
        <v>90</v>
      </c>
      <c r="C62" s="108"/>
      <c r="D62" s="2"/>
      <c r="E62" s="2"/>
      <c r="F62" s="93"/>
    </row>
    <row r="63" spans="1:6" x14ac:dyDescent="0.3">
      <c r="A63" t="s">
        <v>91</v>
      </c>
      <c r="B63" t="s">
        <v>90</v>
      </c>
      <c r="C63" s="108"/>
      <c r="D63" s="2"/>
      <c r="E63" s="2"/>
      <c r="F63" s="93"/>
    </row>
    <row r="64" spans="1:6" x14ac:dyDescent="0.3">
      <c r="A64" t="s">
        <v>91</v>
      </c>
      <c r="B64" t="s">
        <v>90</v>
      </c>
      <c r="C64" s="108"/>
      <c r="D64" s="2"/>
      <c r="E64" s="2"/>
      <c r="F64" s="93"/>
    </row>
    <row r="65" spans="1:6" x14ac:dyDescent="0.3">
      <c r="A65" t="s">
        <v>91</v>
      </c>
      <c r="B65" t="s">
        <v>90</v>
      </c>
      <c r="C65" s="108"/>
      <c r="D65" s="2"/>
      <c r="E65" s="2"/>
      <c r="F65" s="93"/>
    </row>
    <row r="66" spans="1:6" x14ac:dyDescent="0.3">
      <c r="A66" t="s">
        <v>91</v>
      </c>
      <c r="B66" t="s">
        <v>90</v>
      </c>
      <c r="C66" s="108"/>
      <c r="D66" s="2"/>
      <c r="E66" s="2"/>
      <c r="F66" s="93"/>
    </row>
    <row r="67" spans="1:6" x14ac:dyDescent="0.3">
      <c r="A67" t="s">
        <v>91</v>
      </c>
      <c r="B67" t="s">
        <v>90</v>
      </c>
      <c r="C67" s="108"/>
      <c r="D67" s="2"/>
      <c r="E67" s="2"/>
      <c r="F67" s="93"/>
    </row>
    <row r="68" spans="1:6" x14ac:dyDescent="0.3">
      <c r="A68" t="s">
        <v>91</v>
      </c>
      <c r="B68" t="s">
        <v>90</v>
      </c>
      <c r="C68" s="108"/>
      <c r="D68" s="2"/>
      <c r="E68" s="2"/>
      <c r="F68" s="93"/>
    </row>
    <row r="69" spans="1:6" x14ac:dyDescent="0.3">
      <c r="A69" t="s">
        <v>91</v>
      </c>
      <c r="B69" t="s">
        <v>90</v>
      </c>
      <c r="C69" s="108"/>
      <c r="D69" s="2"/>
      <c r="E69" s="2"/>
      <c r="F69" s="93"/>
    </row>
    <row r="70" spans="1:6" x14ac:dyDescent="0.3">
      <c r="A70" t="s">
        <v>91</v>
      </c>
      <c r="B70" t="s">
        <v>90</v>
      </c>
      <c r="C70" s="108"/>
      <c r="D70" s="2"/>
      <c r="E70" s="2"/>
      <c r="F70" s="93"/>
    </row>
    <row r="71" spans="1:6" x14ac:dyDescent="0.3">
      <c r="A71" t="s">
        <v>91</v>
      </c>
      <c r="B71" t="s">
        <v>90</v>
      </c>
      <c r="C71" s="108"/>
      <c r="D71" s="2"/>
      <c r="E71" s="2"/>
      <c r="F71" s="93"/>
    </row>
    <row r="72" spans="1:6" x14ac:dyDescent="0.3">
      <c r="A72" t="s">
        <v>91</v>
      </c>
      <c r="B72" t="s">
        <v>90</v>
      </c>
      <c r="C72" s="108"/>
      <c r="D72" s="2"/>
      <c r="E72" s="2"/>
      <c r="F72" s="93"/>
    </row>
    <row r="73" spans="1:6" x14ac:dyDescent="0.3">
      <c r="A73" t="s">
        <v>91</v>
      </c>
      <c r="B73" t="s">
        <v>90</v>
      </c>
      <c r="C73" s="108"/>
      <c r="D73" s="2"/>
      <c r="E73" s="2"/>
      <c r="F73" s="93"/>
    </row>
    <row r="74" spans="1:6" x14ac:dyDescent="0.3">
      <c r="A74" t="s">
        <v>91</v>
      </c>
      <c r="B74" t="s">
        <v>90</v>
      </c>
      <c r="C74" s="108"/>
      <c r="D74" s="2"/>
      <c r="E74" s="2"/>
      <c r="F74" s="93"/>
    </row>
    <row r="75" spans="1:6" x14ac:dyDescent="0.3">
      <c r="A75" t="s">
        <v>91</v>
      </c>
      <c r="B75" t="s">
        <v>90</v>
      </c>
      <c r="C75" s="108"/>
      <c r="D75" s="2"/>
      <c r="E75" s="2"/>
      <c r="F75" s="93"/>
    </row>
    <row r="76" spans="1:6" x14ac:dyDescent="0.3">
      <c r="A76" t="s">
        <v>91</v>
      </c>
      <c r="B76" t="s">
        <v>90</v>
      </c>
      <c r="C76" s="108"/>
      <c r="D76" s="2"/>
      <c r="E76" s="2"/>
      <c r="F76" s="93"/>
    </row>
    <row r="77" spans="1:6" x14ac:dyDescent="0.3">
      <c r="A77" t="s">
        <v>91</v>
      </c>
      <c r="B77" t="s">
        <v>90</v>
      </c>
      <c r="C77" s="108"/>
      <c r="D77" s="2"/>
      <c r="E77" s="2"/>
      <c r="F77" s="93"/>
    </row>
    <row r="78" spans="1:6" x14ac:dyDescent="0.3">
      <c r="A78" t="s">
        <v>91</v>
      </c>
      <c r="B78" t="s">
        <v>90</v>
      </c>
      <c r="C78" s="108"/>
      <c r="D78" s="2"/>
      <c r="E78" s="2"/>
      <c r="F78" s="93"/>
    </row>
    <row r="79" spans="1:6" x14ac:dyDescent="0.3">
      <c r="A79" t="s">
        <v>91</v>
      </c>
      <c r="B79" t="s">
        <v>90</v>
      </c>
      <c r="C79" s="108"/>
      <c r="D79" s="2"/>
      <c r="E79" s="2"/>
      <c r="F79" s="93"/>
    </row>
    <row r="80" spans="1:6" x14ac:dyDescent="0.3">
      <c r="A80" t="s">
        <v>91</v>
      </c>
      <c r="B80" t="s">
        <v>90</v>
      </c>
      <c r="C80" s="108"/>
      <c r="D80" s="2"/>
      <c r="E80" s="2"/>
      <c r="F80" s="93"/>
    </row>
    <row r="81" spans="1:6" x14ac:dyDescent="0.3">
      <c r="A81" t="s">
        <v>91</v>
      </c>
      <c r="B81" t="s">
        <v>90</v>
      </c>
      <c r="C81" s="108"/>
      <c r="D81" s="2"/>
      <c r="E81" s="2"/>
      <c r="F81" s="93"/>
    </row>
    <row r="82" spans="1:6" x14ac:dyDescent="0.3">
      <c r="A82" t="s">
        <v>91</v>
      </c>
      <c r="B82" t="s">
        <v>90</v>
      </c>
      <c r="C82" s="108"/>
      <c r="D82" s="2"/>
      <c r="E82" s="2"/>
      <c r="F82" s="93"/>
    </row>
    <row r="83" spans="1:6" x14ac:dyDescent="0.3">
      <c r="A83" t="s">
        <v>91</v>
      </c>
      <c r="B83" t="s">
        <v>90</v>
      </c>
      <c r="C83" s="108"/>
      <c r="D83" s="2"/>
      <c r="E83" s="2"/>
      <c r="F83" s="93"/>
    </row>
    <row r="84" spans="1:6" x14ac:dyDescent="0.3">
      <c r="A84" t="s">
        <v>91</v>
      </c>
      <c r="B84" t="s">
        <v>90</v>
      </c>
      <c r="C84" s="108"/>
      <c r="D84" s="2"/>
      <c r="E84" s="2"/>
      <c r="F84" s="93"/>
    </row>
    <row r="85" spans="1:6" x14ac:dyDescent="0.3">
      <c r="A85" t="s">
        <v>91</v>
      </c>
      <c r="B85" t="s">
        <v>90</v>
      </c>
      <c r="C85" s="108"/>
      <c r="D85" s="2"/>
      <c r="E85" s="2"/>
      <c r="F85" s="93"/>
    </row>
    <row r="86" spans="1:6" x14ac:dyDescent="0.3">
      <c r="A86" t="s">
        <v>91</v>
      </c>
      <c r="B86" t="s">
        <v>90</v>
      </c>
      <c r="C86" s="108"/>
      <c r="D86" s="2"/>
      <c r="E86" s="2"/>
      <c r="F86" s="93"/>
    </row>
    <row r="87" spans="1:6" x14ac:dyDescent="0.3">
      <c r="A87" t="s">
        <v>91</v>
      </c>
      <c r="B87" t="s">
        <v>90</v>
      </c>
      <c r="C87" s="108"/>
      <c r="D87" s="2"/>
      <c r="E87" s="2"/>
      <c r="F87" s="93"/>
    </row>
    <row r="88" spans="1:6" x14ac:dyDescent="0.3">
      <c r="A88" t="s">
        <v>91</v>
      </c>
      <c r="B88" t="s">
        <v>90</v>
      </c>
      <c r="C88" s="108"/>
      <c r="D88" s="2"/>
      <c r="E88" s="2"/>
      <c r="F88" s="93"/>
    </row>
    <row r="89" spans="1:6" x14ac:dyDescent="0.3">
      <c r="A89" t="s">
        <v>91</v>
      </c>
      <c r="B89" t="s">
        <v>90</v>
      </c>
      <c r="C89" s="108"/>
      <c r="D89" s="2"/>
      <c r="E89" s="2"/>
      <c r="F89" s="93"/>
    </row>
    <row r="90" spans="1:6" x14ac:dyDescent="0.3">
      <c r="A90" t="s">
        <v>91</v>
      </c>
      <c r="B90" t="s">
        <v>90</v>
      </c>
      <c r="C90" s="108"/>
      <c r="D90" s="2"/>
      <c r="E90" s="2"/>
      <c r="F90" s="93"/>
    </row>
    <row r="91" spans="1:6" x14ac:dyDescent="0.3">
      <c r="A91" t="s">
        <v>91</v>
      </c>
      <c r="B91" t="s">
        <v>90</v>
      </c>
      <c r="C91" s="108"/>
      <c r="D91" s="2"/>
      <c r="E91" s="2"/>
      <c r="F91" s="93"/>
    </row>
    <row r="92" spans="1:6" x14ac:dyDescent="0.3">
      <c r="A92" t="s">
        <v>91</v>
      </c>
      <c r="B92" t="s">
        <v>90</v>
      </c>
      <c r="C92" s="108"/>
      <c r="D92" s="2"/>
      <c r="E92" s="2"/>
      <c r="F92" s="93"/>
    </row>
    <row r="93" spans="1:6" x14ac:dyDescent="0.3">
      <c r="A93" t="s">
        <v>91</v>
      </c>
      <c r="B93" t="s">
        <v>90</v>
      </c>
      <c r="C93" s="108"/>
      <c r="D93" s="2"/>
      <c r="E93" s="2"/>
      <c r="F93" s="93"/>
    </row>
    <row r="94" spans="1:6" x14ac:dyDescent="0.3">
      <c r="A94" t="s">
        <v>91</v>
      </c>
      <c r="B94" t="s">
        <v>90</v>
      </c>
      <c r="C94" s="108"/>
      <c r="D94" s="2"/>
      <c r="E94" s="2"/>
      <c r="F94" s="93"/>
    </row>
    <row r="95" spans="1:6" x14ac:dyDescent="0.3">
      <c r="A95" t="s">
        <v>91</v>
      </c>
      <c r="B95" t="s">
        <v>90</v>
      </c>
      <c r="C95" s="108"/>
      <c r="D95" s="2"/>
      <c r="E95" s="2"/>
      <c r="F95" s="93"/>
    </row>
    <row r="96" spans="1:6" x14ac:dyDescent="0.3">
      <c r="A96" t="s">
        <v>91</v>
      </c>
      <c r="B96" t="s">
        <v>90</v>
      </c>
      <c r="C96" s="108"/>
      <c r="D96" s="2"/>
      <c r="E96" s="2"/>
      <c r="F96" s="93"/>
    </row>
    <row r="97" spans="1:6" x14ac:dyDescent="0.3">
      <c r="A97" t="s">
        <v>91</v>
      </c>
      <c r="B97" t="s">
        <v>90</v>
      </c>
      <c r="C97" s="108"/>
      <c r="D97" s="2"/>
      <c r="E97" s="2"/>
      <c r="F97" s="93"/>
    </row>
    <row r="98" spans="1:6" x14ac:dyDescent="0.3">
      <c r="A98" t="s">
        <v>91</v>
      </c>
      <c r="B98" t="s">
        <v>90</v>
      </c>
      <c r="C98" s="108"/>
      <c r="D98" s="2"/>
      <c r="E98" s="2"/>
      <c r="F98" s="93"/>
    </row>
    <row r="99" spans="1:6" x14ac:dyDescent="0.3">
      <c r="A99" t="s">
        <v>91</v>
      </c>
      <c r="B99" t="s">
        <v>90</v>
      </c>
      <c r="C99" s="108"/>
      <c r="D99" s="2"/>
      <c r="E99" s="2"/>
      <c r="F99" s="93"/>
    </row>
    <row r="100" spans="1:6" x14ac:dyDescent="0.3">
      <c r="A100" t="s">
        <v>91</v>
      </c>
      <c r="B100" t="s">
        <v>90</v>
      </c>
      <c r="C100" s="108"/>
      <c r="D100" s="2"/>
      <c r="E100" s="2"/>
      <c r="F100" s="93"/>
    </row>
    <row r="101" spans="1:6" x14ac:dyDescent="0.3">
      <c r="A101" t="s">
        <v>91</v>
      </c>
      <c r="B101" t="s">
        <v>90</v>
      </c>
      <c r="C101" s="108"/>
      <c r="D101" s="2"/>
      <c r="E101" s="2"/>
      <c r="F101" s="93"/>
    </row>
    <row r="102" spans="1:6" x14ac:dyDescent="0.3">
      <c r="A102" t="s">
        <v>91</v>
      </c>
      <c r="B102" t="s">
        <v>90</v>
      </c>
      <c r="C102" s="108"/>
      <c r="D102" s="2"/>
      <c r="E102" s="2"/>
      <c r="F102" s="93"/>
    </row>
    <row r="103" spans="1:6" x14ac:dyDescent="0.3">
      <c r="A103" t="s">
        <v>91</v>
      </c>
      <c r="B103" t="s">
        <v>90</v>
      </c>
      <c r="C103" s="108"/>
      <c r="D103" s="2"/>
      <c r="E103" s="2"/>
      <c r="F103" s="93"/>
    </row>
    <row r="104" spans="1:6" x14ac:dyDescent="0.3">
      <c r="A104" t="s">
        <v>91</v>
      </c>
      <c r="B104" t="s">
        <v>90</v>
      </c>
      <c r="C104" s="108"/>
      <c r="D104" s="2"/>
      <c r="E104" s="2"/>
      <c r="F104" s="93"/>
    </row>
    <row r="105" spans="1:6" x14ac:dyDescent="0.3">
      <c r="A105" t="s">
        <v>91</v>
      </c>
      <c r="B105" t="s">
        <v>90</v>
      </c>
      <c r="C105" s="108"/>
      <c r="D105" s="2"/>
      <c r="E105" s="2"/>
      <c r="F105" s="93"/>
    </row>
    <row r="106" spans="1:6" x14ac:dyDescent="0.3">
      <c r="A106" t="s">
        <v>91</v>
      </c>
      <c r="B106" t="s">
        <v>90</v>
      </c>
      <c r="C106" s="108"/>
      <c r="D106" s="2"/>
      <c r="E106" s="2"/>
      <c r="F106" s="93"/>
    </row>
    <row r="107" spans="1:6" x14ac:dyDescent="0.3">
      <c r="A107" t="s">
        <v>91</v>
      </c>
      <c r="B107" t="s">
        <v>90</v>
      </c>
      <c r="C107" s="108"/>
      <c r="D107" s="2"/>
      <c r="E107" s="2"/>
      <c r="F107" s="93"/>
    </row>
    <row r="108" spans="1:6" x14ac:dyDescent="0.3">
      <c r="A108" t="s">
        <v>91</v>
      </c>
      <c r="B108" t="s">
        <v>90</v>
      </c>
      <c r="C108" s="108"/>
      <c r="D108" s="2"/>
      <c r="E108" s="2"/>
      <c r="F108" s="93"/>
    </row>
    <row r="109" spans="1:6" x14ac:dyDescent="0.3">
      <c r="A109" t="s">
        <v>91</v>
      </c>
      <c r="B109" t="s">
        <v>90</v>
      </c>
      <c r="C109" s="108"/>
      <c r="D109" s="2"/>
      <c r="E109" s="2"/>
      <c r="F109" s="93"/>
    </row>
    <row r="110" spans="1:6" x14ac:dyDescent="0.3">
      <c r="A110" t="s">
        <v>91</v>
      </c>
      <c r="B110" t="s">
        <v>90</v>
      </c>
      <c r="C110" s="108"/>
      <c r="D110" s="2"/>
      <c r="E110" s="2"/>
      <c r="F110" s="93"/>
    </row>
    <row r="111" spans="1:6" x14ac:dyDescent="0.3">
      <c r="A111" t="s">
        <v>91</v>
      </c>
      <c r="B111" t="s">
        <v>90</v>
      </c>
      <c r="C111" s="108"/>
      <c r="D111" s="2"/>
      <c r="E111" s="2"/>
      <c r="F111" s="93"/>
    </row>
    <row r="112" spans="1:6" x14ac:dyDescent="0.3">
      <c r="A112" t="s">
        <v>91</v>
      </c>
      <c r="B112" t="s">
        <v>90</v>
      </c>
      <c r="C112" s="108"/>
      <c r="D112" s="2"/>
      <c r="E112" s="2"/>
      <c r="F112" s="93"/>
    </row>
    <row r="113" spans="1:6" x14ac:dyDescent="0.3">
      <c r="A113" t="s">
        <v>91</v>
      </c>
      <c r="B113" t="s">
        <v>90</v>
      </c>
      <c r="C113" s="108"/>
      <c r="D113" s="2"/>
      <c r="E113" s="2"/>
      <c r="F113" s="93"/>
    </row>
    <row r="114" spans="1:6" x14ac:dyDescent="0.3">
      <c r="A114" t="s">
        <v>91</v>
      </c>
      <c r="B114" t="s">
        <v>90</v>
      </c>
      <c r="C114" s="108"/>
      <c r="D114" s="2"/>
      <c r="E114" s="2"/>
      <c r="F114" s="93"/>
    </row>
    <row r="115" spans="1:6" x14ac:dyDescent="0.3">
      <c r="A115" t="s">
        <v>91</v>
      </c>
      <c r="B115" t="s">
        <v>90</v>
      </c>
      <c r="C115" s="108"/>
      <c r="D115" s="2"/>
      <c r="E115" s="2"/>
      <c r="F115" s="93"/>
    </row>
    <row r="116" spans="1:6" x14ac:dyDescent="0.3">
      <c r="A116" t="s">
        <v>91</v>
      </c>
      <c r="B116" t="s">
        <v>90</v>
      </c>
      <c r="C116" s="108"/>
      <c r="D116" s="2"/>
      <c r="E116" s="2"/>
      <c r="F116" s="93"/>
    </row>
    <row r="117" spans="1:6" x14ac:dyDescent="0.3">
      <c r="A117" t="s">
        <v>91</v>
      </c>
      <c r="B117" t="s">
        <v>90</v>
      </c>
      <c r="C117" s="108"/>
      <c r="D117" s="2"/>
      <c r="E117" s="2"/>
      <c r="F117" s="93"/>
    </row>
    <row r="118" spans="1:6" x14ac:dyDescent="0.3">
      <c r="A118" t="s">
        <v>91</v>
      </c>
      <c r="B118" t="s">
        <v>90</v>
      </c>
      <c r="C118" s="108"/>
      <c r="D118" s="2"/>
      <c r="E118" s="2"/>
      <c r="F118" s="93"/>
    </row>
    <row r="119" spans="1:6" x14ac:dyDescent="0.3">
      <c r="A119" t="s">
        <v>91</v>
      </c>
      <c r="B119" t="s">
        <v>90</v>
      </c>
      <c r="C119" s="108"/>
      <c r="D119" s="2"/>
      <c r="E119" s="2"/>
      <c r="F119" s="93"/>
    </row>
    <row r="120" spans="1:6" x14ac:dyDescent="0.3">
      <c r="A120" t="s">
        <v>91</v>
      </c>
      <c r="B120" t="s">
        <v>90</v>
      </c>
      <c r="C120" s="108"/>
      <c r="D120" s="2"/>
      <c r="E120" s="2"/>
      <c r="F120" s="93"/>
    </row>
    <row r="121" spans="1:6" x14ac:dyDescent="0.3">
      <c r="A121" t="s">
        <v>91</v>
      </c>
      <c r="B121" t="s">
        <v>90</v>
      </c>
      <c r="C121" s="108"/>
      <c r="D121" s="2"/>
      <c r="E121" s="2"/>
      <c r="F121" s="93"/>
    </row>
    <row r="122" spans="1:6" x14ac:dyDescent="0.3">
      <c r="A122" t="s">
        <v>91</v>
      </c>
      <c r="B122" t="s">
        <v>90</v>
      </c>
      <c r="C122" s="108"/>
      <c r="D122" s="2"/>
      <c r="E122" s="2"/>
      <c r="F122" s="93"/>
    </row>
    <row r="123" spans="1:6" x14ac:dyDescent="0.3">
      <c r="A123" t="s">
        <v>91</v>
      </c>
      <c r="B123" t="s">
        <v>90</v>
      </c>
      <c r="C123" s="108"/>
      <c r="D123" s="2"/>
      <c r="E123" s="2"/>
      <c r="F123" s="93"/>
    </row>
    <row r="124" spans="1:6" x14ac:dyDescent="0.3">
      <c r="A124" t="s">
        <v>91</v>
      </c>
      <c r="B124" t="s">
        <v>90</v>
      </c>
      <c r="C124" s="108"/>
      <c r="D124" s="2"/>
      <c r="E124" s="2"/>
      <c r="F124" s="93"/>
    </row>
    <row r="125" spans="1:6" x14ac:dyDescent="0.3">
      <c r="A125" t="s">
        <v>91</v>
      </c>
      <c r="B125" t="s">
        <v>90</v>
      </c>
      <c r="C125" s="108"/>
      <c r="D125" s="2"/>
      <c r="E125" s="2"/>
      <c r="F125" s="93"/>
    </row>
    <row r="126" spans="1:6" x14ac:dyDescent="0.3">
      <c r="A126" t="s">
        <v>91</v>
      </c>
      <c r="B126" t="s">
        <v>90</v>
      </c>
      <c r="C126" s="108"/>
      <c r="D126" s="2"/>
      <c r="E126" s="2"/>
      <c r="F126" s="93"/>
    </row>
    <row r="127" spans="1:6" x14ac:dyDescent="0.3">
      <c r="A127" t="s">
        <v>91</v>
      </c>
      <c r="B127" t="s">
        <v>90</v>
      </c>
      <c r="C127" s="108"/>
      <c r="D127" s="2"/>
      <c r="E127" s="2"/>
      <c r="F127" s="93"/>
    </row>
    <row r="128" spans="1:6" x14ac:dyDescent="0.3">
      <c r="A128" t="s">
        <v>91</v>
      </c>
      <c r="B128" t="s">
        <v>90</v>
      </c>
      <c r="C128" s="108"/>
      <c r="D128" s="2"/>
      <c r="E128" s="2"/>
      <c r="F128" s="93"/>
    </row>
    <row r="129" spans="1:6" x14ac:dyDescent="0.3">
      <c r="A129" t="s">
        <v>91</v>
      </c>
      <c r="B129" t="s">
        <v>90</v>
      </c>
      <c r="C129" s="108"/>
      <c r="D129" s="2"/>
      <c r="E129" s="2"/>
      <c r="F129" s="93"/>
    </row>
    <row r="130" spans="1:6" x14ac:dyDescent="0.3">
      <c r="A130" t="s">
        <v>91</v>
      </c>
      <c r="B130" t="s">
        <v>90</v>
      </c>
      <c r="C130" s="108"/>
      <c r="D130" s="2"/>
      <c r="E130" s="2"/>
      <c r="F130" s="93"/>
    </row>
    <row r="131" spans="1:6" x14ac:dyDescent="0.3">
      <c r="A131" t="s">
        <v>91</v>
      </c>
      <c r="B131" t="s">
        <v>90</v>
      </c>
      <c r="C131" s="108"/>
      <c r="D131" s="2"/>
      <c r="E131" s="2"/>
      <c r="F131" s="93"/>
    </row>
    <row r="132" spans="1:6" x14ac:dyDescent="0.3">
      <c r="A132" t="s">
        <v>91</v>
      </c>
      <c r="B132" t="s">
        <v>90</v>
      </c>
      <c r="C132" s="108"/>
      <c r="D132" s="2"/>
      <c r="E132" s="2"/>
      <c r="F132" s="93"/>
    </row>
    <row r="133" spans="1:6" x14ac:dyDescent="0.3">
      <c r="A133" t="s">
        <v>91</v>
      </c>
      <c r="B133" t="s">
        <v>90</v>
      </c>
      <c r="C133" s="108"/>
      <c r="D133" s="2"/>
      <c r="E133" s="2"/>
      <c r="F133" s="93"/>
    </row>
    <row r="134" spans="1:6" x14ac:dyDescent="0.3">
      <c r="A134" t="s">
        <v>91</v>
      </c>
      <c r="B134" t="s">
        <v>90</v>
      </c>
      <c r="C134" s="108"/>
      <c r="D134" s="2"/>
      <c r="E134" s="2"/>
      <c r="F134" s="93"/>
    </row>
    <row r="135" spans="1:6" x14ac:dyDescent="0.3">
      <c r="A135" t="s">
        <v>91</v>
      </c>
      <c r="B135" t="s">
        <v>90</v>
      </c>
      <c r="C135" s="108"/>
      <c r="D135" s="2"/>
      <c r="E135" s="2"/>
      <c r="F135" s="93"/>
    </row>
    <row r="136" spans="1:6" x14ac:dyDescent="0.3">
      <c r="A136" t="s">
        <v>91</v>
      </c>
      <c r="B136" t="s">
        <v>90</v>
      </c>
      <c r="C136" s="108"/>
      <c r="D136" s="2"/>
      <c r="E136" s="2"/>
      <c r="F136" s="93"/>
    </row>
    <row r="137" spans="1:6" x14ac:dyDescent="0.3">
      <c r="A137" t="s">
        <v>91</v>
      </c>
      <c r="B137" t="s">
        <v>90</v>
      </c>
      <c r="C137" s="108"/>
      <c r="D137" s="2"/>
      <c r="E137" s="2"/>
      <c r="F137" s="93"/>
    </row>
    <row r="138" spans="1:6" x14ac:dyDescent="0.3">
      <c r="A138" t="s">
        <v>91</v>
      </c>
      <c r="B138" t="s">
        <v>90</v>
      </c>
      <c r="C138" s="108"/>
      <c r="D138" s="2"/>
      <c r="E138" s="2"/>
      <c r="F138" s="93"/>
    </row>
    <row r="139" spans="1:6" x14ac:dyDescent="0.3">
      <c r="A139" t="s">
        <v>91</v>
      </c>
      <c r="B139" t="s">
        <v>90</v>
      </c>
      <c r="C139" s="108"/>
      <c r="D139" s="2"/>
      <c r="E139" s="2"/>
      <c r="F139" s="93"/>
    </row>
    <row r="140" spans="1:6" x14ac:dyDescent="0.3">
      <c r="A140" t="s">
        <v>91</v>
      </c>
      <c r="B140" t="s">
        <v>90</v>
      </c>
      <c r="C140" s="108"/>
      <c r="D140" s="2"/>
      <c r="E140" s="2"/>
      <c r="F140" s="93"/>
    </row>
    <row r="141" spans="1:6" x14ac:dyDescent="0.3">
      <c r="A141" t="s">
        <v>91</v>
      </c>
      <c r="B141" t="s">
        <v>90</v>
      </c>
      <c r="C141" s="108"/>
      <c r="D141" s="2"/>
      <c r="E141" s="2"/>
      <c r="F141" s="93"/>
    </row>
    <row r="142" spans="1:6" x14ac:dyDescent="0.3">
      <c r="A142" t="s">
        <v>91</v>
      </c>
      <c r="B142" t="s">
        <v>90</v>
      </c>
      <c r="C142" s="108"/>
      <c r="D142" s="2"/>
      <c r="E142" s="2"/>
      <c r="F142" s="93"/>
    </row>
    <row r="143" spans="1:6" x14ac:dyDescent="0.3">
      <c r="A143" t="s">
        <v>91</v>
      </c>
      <c r="B143" t="s">
        <v>90</v>
      </c>
      <c r="C143" s="108"/>
      <c r="D143" s="2"/>
      <c r="E143" s="2"/>
      <c r="F143" s="93"/>
    </row>
    <row r="144" spans="1:6" x14ac:dyDescent="0.3">
      <c r="A144" t="s">
        <v>91</v>
      </c>
      <c r="B144" t="s">
        <v>90</v>
      </c>
      <c r="C144" s="108"/>
      <c r="D144" s="2"/>
      <c r="E144" s="2"/>
      <c r="F144" s="93"/>
    </row>
    <row r="145" spans="1:6" x14ac:dyDescent="0.3">
      <c r="A145" t="s">
        <v>91</v>
      </c>
      <c r="B145" t="s">
        <v>90</v>
      </c>
      <c r="C145" s="108"/>
      <c r="D145" s="2"/>
      <c r="E145" s="2"/>
      <c r="F145" s="93"/>
    </row>
    <row r="146" spans="1:6" x14ac:dyDescent="0.3">
      <c r="A146" t="s">
        <v>91</v>
      </c>
      <c r="B146" t="s">
        <v>90</v>
      </c>
      <c r="C146" s="108"/>
      <c r="D146" s="2"/>
      <c r="E146" s="2"/>
      <c r="F146" s="93"/>
    </row>
    <row r="147" spans="1:6" x14ac:dyDescent="0.3">
      <c r="A147" t="s">
        <v>91</v>
      </c>
      <c r="B147" t="s">
        <v>90</v>
      </c>
      <c r="C147" s="108"/>
      <c r="D147" s="2"/>
      <c r="E147" s="2"/>
      <c r="F147" s="93"/>
    </row>
    <row r="148" spans="1:6" x14ac:dyDescent="0.3">
      <c r="A148" t="s">
        <v>91</v>
      </c>
      <c r="B148" t="s">
        <v>90</v>
      </c>
      <c r="C148" s="108"/>
      <c r="D148" s="2"/>
      <c r="E148" s="2"/>
      <c r="F148" s="93"/>
    </row>
    <row r="149" spans="1:6" x14ac:dyDescent="0.3">
      <c r="A149" t="s">
        <v>91</v>
      </c>
      <c r="B149" t="s">
        <v>90</v>
      </c>
      <c r="C149" s="108"/>
      <c r="D149" s="2"/>
      <c r="E149" s="2"/>
      <c r="F149" s="93"/>
    </row>
    <row r="150" spans="1:6" x14ac:dyDescent="0.3">
      <c r="A150" t="s">
        <v>91</v>
      </c>
      <c r="B150" t="s">
        <v>90</v>
      </c>
      <c r="C150" s="108"/>
      <c r="D150" s="2"/>
      <c r="E150" s="2"/>
      <c r="F150" s="93"/>
    </row>
    <row r="151" spans="1:6" x14ac:dyDescent="0.3">
      <c r="A151" t="s">
        <v>91</v>
      </c>
      <c r="B151" t="s">
        <v>90</v>
      </c>
      <c r="C151" s="108"/>
      <c r="D151" s="2"/>
      <c r="E151" s="2"/>
      <c r="F151" s="93"/>
    </row>
    <row r="152" spans="1:6" x14ac:dyDescent="0.3">
      <c r="A152" t="s">
        <v>91</v>
      </c>
      <c r="B152" t="s">
        <v>90</v>
      </c>
      <c r="C152" s="108"/>
      <c r="D152" s="2"/>
      <c r="E152" s="2"/>
      <c r="F152" s="93"/>
    </row>
    <row r="153" spans="1:6" x14ac:dyDescent="0.3">
      <c r="A153" t="s">
        <v>91</v>
      </c>
      <c r="B153" t="s">
        <v>90</v>
      </c>
      <c r="C153" s="108"/>
      <c r="D153" s="2"/>
      <c r="E153" s="2"/>
      <c r="F153" s="93"/>
    </row>
    <row r="154" spans="1:6" x14ac:dyDescent="0.3">
      <c r="A154" t="s">
        <v>91</v>
      </c>
      <c r="B154" t="s">
        <v>90</v>
      </c>
      <c r="C154" s="108"/>
      <c r="D154" s="2"/>
      <c r="E154" s="2"/>
      <c r="F154" s="93"/>
    </row>
    <row r="155" spans="1:6" x14ac:dyDescent="0.3">
      <c r="A155" t="s">
        <v>91</v>
      </c>
      <c r="B155" t="s">
        <v>90</v>
      </c>
      <c r="C155" s="108"/>
      <c r="D155" s="2"/>
      <c r="E155" s="2"/>
      <c r="F155" s="93"/>
    </row>
    <row r="156" spans="1:6" x14ac:dyDescent="0.3">
      <c r="A156" t="s">
        <v>91</v>
      </c>
      <c r="B156" t="s">
        <v>90</v>
      </c>
      <c r="C156" s="108"/>
      <c r="D156" s="2"/>
      <c r="E156" s="2"/>
      <c r="F156" s="93"/>
    </row>
    <row r="157" spans="1:6" x14ac:dyDescent="0.3">
      <c r="A157" t="s">
        <v>91</v>
      </c>
      <c r="B157" t="s">
        <v>90</v>
      </c>
      <c r="C157" s="108"/>
      <c r="D157" s="2"/>
      <c r="E157" s="2"/>
      <c r="F157" s="93"/>
    </row>
    <row r="158" spans="1:6" x14ac:dyDescent="0.3">
      <c r="A158" t="s">
        <v>91</v>
      </c>
      <c r="B158" t="s">
        <v>90</v>
      </c>
      <c r="C158" s="108"/>
      <c r="D158" s="2"/>
      <c r="E158" s="2"/>
      <c r="F158" s="93"/>
    </row>
    <row r="159" spans="1:6" x14ac:dyDescent="0.3">
      <c r="A159" t="s">
        <v>91</v>
      </c>
      <c r="B159" t="s">
        <v>90</v>
      </c>
      <c r="C159" s="108"/>
      <c r="D159" s="2"/>
      <c r="E159" s="2"/>
      <c r="F159" s="93"/>
    </row>
    <row r="160" spans="1:6" x14ac:dyDescent="0.3">
      <c r="A160" t="s">
        <v>91</v>
      </c>
      <c r="B160" t="s">
        <v>90</v>
      </c>
      <c r="C160" s="108"/>
      <c r="D160" s="2"/>
      <c r="E160" s="2"/>
      <c r="F160" s="93"/>
    </row>
    <row r="161" spans="1:6" x14ac:dyDescent="0.3">
      <c r="A161" t="s">
        <v>91</v>
      </c>
      <c r="B161" t="s">
        <v>90</v>
      </c>
      <c r="C161" s="108"/>
      <c r="D161" s="2"/>
      <c r="E161" s="2"/>
      <c r="F161" s="93"/>
    </row>
    <row r="162" spans="1:6" x14ac:dyDescent="0.3">
      <c r="A162" t="s">
        <v>91</v>
      </c>
      <c r="B162" t="s">
        <v>90</v>
      </c>
      <c r="C162" s="108"/>
      <c r="D162" s="2"/>
      <c r="E162" s="2"/>
      <c r="F162" s="93"/>
    </row>
    <row r="163" spans="1:6" x14ac:dyDescent="0.3">
      <c r="A163" t="s">
        <v>91</v>
      </c>
      <c r="B163" t="s">
        <v>90</v>
      </c>
      <c r="C163" s="108"/>
      <c r="D163" s="2"/>
      <c r="E163" s="2"/>
      <c r="F163" s="93"/>
    </row>
    <row r="164" spans="1:6" x14ac:dyDescent="0.3">
      <c r="A164" t="s">
        <v>91</v>
      </c>
      <c r="B164" t="s">
        <v>90</v>
      </c>
      <c r="C164" s="108"/>
      <c r="D164" s="2"/>
      <c r="E164" s="2"/>
      <c r="F164" s="93"/>
    </row>
    <row r="165" spans="1:6" x14ac:dyDescent="0.3">
      <c r="A165" t="s">
        <v>91</v>
      </c>
      <c r="B165" t="s">
        <v>90</v>
      </c>
      <c r="C165" s="108"/>
      <c r="D165" s="2"/>
      <c r="E165" s="2"/>
      <c r="F165" s="93"/>
    </row>
    <row r="166" spans="1:6" x14ac:dyDescent="0.3">
      <c r="A166" t="s">
        <v>91</v>
      </c>
      <c r="B166" t="s">
        <v>90</v>
      </c>
      <c r="D166"/>
      <c r="E166" s="2"/>
      <c r="F166" s="93"/>
    </row>
    <row r="167" spans="1:6" x14ac:dyDescent="0.3">
      <c r="A167" t="s">
        <v>91</v>
      </c>
      <c r="B167" t="s">
        <v>90</v>
      </c>
      <c r="D167"/>
      <c r="E167" s="2"/>
      <c r="F167" s="93"/>
    </row>
    <row r="168" spans="1:6" x14ac:dyDescent="0.3">
      <c r="A168" t="s">
        <v>91</v>
      </c>
      <c r="B168" t="s">
        <v>90</v>
      </c>
      <c r="D168"/>
      <c r="E168" s="2"/>
      <c r="F168" s="93"/>
    </row>
    <row r="169" spans="1:6" x14ac:dyDescent="0.3">
      <c r="A169" t="s">
        <v>91</v>
      </c>
      <c r="B169" t="s">
        <v>90</v>
      </c>
      <c r="D169"/>
      <c r="E169" s="2"/>
      <c r="F169" s="93"/>
    </row>
    <row r="170" spans="1:6" x14ac:dyDescent="0.3">
      <c r="A170" t="s">
        <v>91</v>
      </c>
      <c r="B170" t="s">
        <v>90</v>
      </c>
      <c r="D170"/>
      <c r="E170" s="2"/>
      <c r="F170" s="93"/>
    </row>
    <row r="171" spans="1:6" x14ac:dyDescent="0.3">
      <c r="A171" t="s">
        <v>91</v>
      </c>
      <c r="B171" t="s">
        <v>90</v>
      </c>
      <c r="D171"/>
      <c r="E171" s="2"/>
      <c r="F171" s="93"/>
    </row>
    <row r="172" spans="1:6" x14ac:dyDescent="0.3">
      <c r="A172" t="s">
        <v>91</v>
      </c>
      <c r="B172" t="s">
        <v>90</v>
      </c>
      <c r="D172"/>
      <c r="E172" s="2"/>
      <c r="F172" s="93"/>
    </row>
    <row r="173" spans="1:6" x14ac:dyDescent="0.3">
      <c r="A173" t="s">
        <v>91</v>
      </c>
      <c r="B173" t="s">
        <v>90</v>
      </c>
      <c r="D173"/>
      <c r="E173" s="2"/>
      <c r="F173" s="93"/>
    </row>
    <row r="174" spans="1:6" x14ac:dyDescent="0.3">
      <c r="A174" t="s">
        <v>91</v>
      </c>
      <c r="B174" t="s">
        <v>90</v>
      </c>
      <c r="D174"/>
      <c r="E174" s="2"/>
      <c r="F174" s="93"/>
    </row>
    <row r="175" spans="1:6" x14ac:dyDescent="0.3">
      <c r="A175" t="s">
        <v>91</v>
      </c>
      <c r="B175" t="s">
        <v>90</v>
      </c>
      <c r="D175"/>
      <c r="E175" s="2"/>
      <c r="F175" s="93"/>
    </row>
    <row r="176" spans="1:6" x14ac:dyDescent="0.3">
      <c r="A176" t="s">
        <v>91</v>
      </c>
      <c r="B176" t="s">
        <v>90</v>
      </c>
      <c r="D176"/>
      <c r="E176" s="2"/>
      <c r="F176" s="93"/>
    </row>
    <row r="177" spans="1:6" x14ac:dyDescent="0.3">
      <c r="A177" t="s">
        <v>91</v>
      </c>
      <c r="B177" t="s">
        <v>90</v>
      </c>
      <c r="D177"/>
      <c r="E177" s="2"/>
      <c r="F177" s="93"/>
    </row>
    <row r="178" spans="1:6" x14ac:dyDescent="0.3">
      <c r="A178" t="s">
        <v>91</v>
      </c>
      <c r="B178" t="s">
        <v>90</v>
      </c>
      <c r="D178"/>
      <c r="E178" s="2"/>
      <c r="F178" s="93"/>
    </row>
    <row r="179" spans="1:6" x14ac:dyDescent="0.3">
      <c r="A179" t="s">
        <v>91</v>
      </c>
      <c r="B179" t="s">
        <v>90</v>
      </c>
      <c r="D179"/>
      <c r="E179" s="2"/>
      <c r="F179" s="93"/>
    </row>
    <row r="180" spans="1:6" x14ac:dyDescent="0.3">
      <c r="A180" t="s">
        <v>91</v>
      </c>
      <c r="B180" t="s">
        <v>90</v>
      </c>
      <c r="D180"/>
      <c r="E180" s="2"/>
      <c r="F180" s="93"/>
    </row>
    <row r="181" spans="1:6" x14ac:dyDescent="0.3">
      <c r="A181" t="s">
        <v>91</v>
      </c>
      <c r="B181" t="s">
        <v>90</v>
      </c>
      <c r="D181"/>
      <c r="E181" s="2"/>
      <c r="F181" s="93"/>
    </row>
    <row r="182" spans="1:6" x14ac:dyDescent="0.3">
      <c r="A182" t="s">
        <v>91</v>
      </c>
      <c r="B182" t="s">
        <v>90</v>
      </c>
      <c r="D182"/>
      <c r="E182" s="2"/>
      <c r="F182" s="93"/>
    </row>
    <row r="183" spans="1:6" x14ac:dyDescent="0.3">
      <c r="A183" t="s">
        <v>91</v>
      </c>
      <c r="B183" t="s">
        <v>90</v>
      </c>
      <c r="D183"/>
      <c r="E183" s="2"/>
      <c r="F183" s="93"/>
    </row>
    <row r="184" spans="1:6" x14ac:dyDescent="0.3">
      <c r="A184" t="s">
        <v>91</v>
      </c>
      <c r="B184" t="s">
        <v>90</v>
      </c>
      <c r="D184"/>
      <c r="E184" s="2"/>
      <c r="F184" s="93"/>
    </row>
    <row r="185" spans="1:6" x14ac:dyDescent="0.3">
      <c r="A185" t="s">
        <v>91</v>
      </c>
      <c r="B185" t="s">
        <v>90</v>
      </c>
      <c r="D185"/>
      <c r="E185" s="2"/>
      <c r="F185" s="93"/>
    </row>
    <row r="186" spans="1:6" x14ac:dyDescent="0.3">
      <c r="A186" t="s">
        <v>91</v>
      </c>
      <c r="B186" t="s">
        <v>90</v>
      </c>
      <c r="D186"/>
      <c r="E186" s="2"/>
      <c r="F186" s="93"/>
    </row>
    <row r="187" spans="1:6" x14ac:dyDescent="0.3">
      <c r="A187" t="s">
        <v>91</v>
      </c>
      <c r="B187" t="s">
        <v>90</v>
      </c>
      <c r="D187"/>
      <c r="E187" s="2"/>
      <c r="F187" s="93"/>
    </row>
    <row r="188" spans="1:6" x14ac:dyDescent="0.3">
      <c r="A188" t="s">
        <v>91</v>
      </c>
      <c r="B188" t="s">
        <v>90</v>
      </c>
      <c r="D188"/>
      <c r="E188" s="2"/>
      <c r="F188" s="93"/>
    </row>
    <row r="189" spans="1:6" x14ac:dyDescent="0.3">
      <c r="A189" t="s">
        <v>91</v>
      </c>
      <c r="B189" t="s">
        <v>90</v>
      </c>
      <c r="D189"/>
      <c r="E189" s="2"/>
      <c r="F189" s="93"/>
    </row>
    <row r="190" spans="1:6" x14ac:dyDescent="0.3">
      <c r="A190" t="s">
        <v>91</v>
      </c>
      <c r="B190" t="s">
        <v>90</v>
      </c>
      <c r="D190"/>
      <c r="E190" s="2"/>
      <c r="F190" s="93"/>
    </row>
    <row r="191" spans="1:6" x14ac:dyDescent="0.3">
      <c r="A191" t="s">
        <v>91</v>
      </c>
      <c r="B191" t="s">
        <v>90</v>
      </c>
      <c r="D191"/>
      <c r="E191" s="2"/>
      <c r="F191" s="93"/>
    </row>
    <row r="192" spans="1:6" hidden="1" x14ac:dyDescent="0.3">
      <c r="A192" t="s">
        <v>91</v>
      </c>
      <c r="B192" t="s">
        <v>90</v>
      </c>
      <c r="D192">
        <v>0</v>
      </c>
      <c r="E192" s="2"/>
      <c r="F192" s="93"/>
    </row>
    <row r="193" spans="1:6" hidden="1" x14ac:dyDescent="0.3">
      <c r="A193" t="s">
        <v>91</v>
      </c>
      <c r="B193" t="s">
        <v>90</v>
      </c>
      <c r="D193">
        <v>0</v>
      </c>
      <c r="E193" s="2"/>
      <c r="F193" s="93"/>
    </row>
    <row r="194" spans="1:6" hidden="1" x14ac:dyDescent="0.3">
      <c r="A194" t="s">
        <v>91</v>
      </c>
      <c r="B194" t="s">
        <v>90</v>
      </c>
      <c r="D194">
        <v>0</v>
      </c>
      <c r="E194" s="2"/>
      <c r="F194" s="93"/>
    </row>
    <row r="195" spans="1:6" hidden="1" x14ac:dyDescent="0.3">
      <c r="A195" t="s">
        <v>91</v>
      </c>
      <c r="B195" t="s">
        <v>90</v>
      </c>
      <c r="D195">
        <v>0</v>
      </c>
      <c r="E195" s="2"/>
      <c r="F195" s="93"/>
    </row>
    <row r="196" spans="1:6" hidden="1" x14ac:dyDescent="0.3">
      <c r="A196" t="s">
        <v>91</v>
      </c>
      <c r="B196" t="s">
        <v>90</v>
      </c>
      <c r="D196">
        <v>0</v>
      </c>
      <c r="E196" s="2"/>
      <c r="F196" s="93"/>
    </row>
    <row r="197" spans="1:6" hidden="1" x14ac:dyDescent="0.3">
      <c r="A197" t="s">
        <v>91</v>
      </c>
      <c r="B197" t="s">
        <v>90</v>
      </c>
      <c r="D197">
        <v>0</v>
      </c>
      <c r="E197" s="2"/>
      <c r="F197" s="93"/>
    </row>
    <row r="198" spans="1:6" hidden="1" x14ac:dyDescent="0.3">
      <c r="A198" t="s">
        <v>91</v>
      </c>
      <c r="B198" t="s">
        <v>90</v>
      </c>
      <c r="D198">
        <v>0</v>
      </c>
      <c r="E198" s="2"/>
      <c r="F198" s="93"/>
    </row>
    <row r="199" spans="1:6" hidden="1" x14ac:dyDescent="0.3">
      <c r="A199" t="s">
        <v>91</v>
      </c>
      <c r="B199" t="s">
        <v>90</v>
      </c>
      <c r="D199">
        <v>0</v>
      </c>
      <c r="E199" s="2"/>
      <c r="F199" s="93"/>
    </row>
    <row r="200" spans="1:6" hidden="1" x14ac:dyDescent="0.3">
      <c r="A200" t="s">
        <v>91</v>
      </c>
      <c r="B200" t="s">
        <v>90</v>
      </c>
      <c r="D200">
        <v>0</v>
      </c>
      <c r="E200" s="2"/>
      <c r="F200" s="93"/>
    </row>
    <row r="201" spans="1:6" hidden="1" x14ac:dyDescent="0.3">
      <c r="A201" t="s">
        <v>91</v>
      </c>
      <c r="B201" t="s">
        <v>90</v>
      </c>
      <c r="D201">
        <v>0</v>
      </c>
      <c r="E201" s="2"/>
      <c r="F201" s="93"/>
    </row>
    <row r="202" spans="1:6" hidden="1" x14ac:dyDescent="0.3">
      <c r="A202" t="s">
        <v>91</v>
      </c>
      <c r="B202" t="s">
        <v>90</v>
      </c>
      <c r="D202">
        <v>0</v>
      </c>
      <c r="E202" s="2"/>
      <c r="F202" s="93"/>
    </row>
    <row r="203" spans="1:6" hidden="1" x14ac:dyDescent="0.3">
      <c r="A203" t="s">
        <v>91</v>
      </c>
      <c r="B203" t="s">
        <v>90</v>
      </c>
      <c r="D203">
        <v>0</v>
      </c>
      <c r="E203" s="2"/>
      <c r="F203" s="93"/>
    </row>
    <row r="204" spans="1:6" hidden="1" x14ac:dyDescent="0.3">
      <c r="A204" t="s">
        <v>91</v>
      </c>
      <c r="B204" t="s">
        <v>90</v>
      </c>
      <c r="D204">
        <v>0</v>
      </c>
      <c r="E204" s="2"/>
      <c r="F204" s="93"/>
    </row>
    <row r="205" spans="1:6" ht="14.25" hidden="1" customHeight="1" x14ac:dyDescent="0.3">
      <c r="A205" t="s">
        <v>91</v>
      </c>
      <c r="B205" t="s">
        <v>90</v>
      </c>
      <c r="D205">
        <v>0</v>
      </c>
      <c r="E205" s="2"/>
      <c r="F205" s="93"/>
    </row>
    <row r="206" spans="1:6" ht="14.25" hidden="1" customHeight="1" x14ac:dyDescent="0.3">
      <c r="A206" t="s">
        <v>91</v>
      </c>
      <c r="B206" t="s">
        <v>90</v>
      </c>
      <c r="D206">
        <v>0</v>
      </c>
      <c r="E206" s="2"/>
      <c r="F206" s="93"/>
    </row>
    <row r="207" spans="1:6" hidden="1" x14ac:dyDescent="0.3">
      <c r="A207" t="s">
        <v>91</v>
      </c>
      <c r="B207" t="s">
        <v>90</v>
      </c>
      <c r="D207">
        <v>0</v>
      </c>
      <c r="E207" s="2"/>
      <c r="F207" s="93"/>
    </row>
    <row r="208" spans="1:6" hidden="1" x14ac:dyDescent="0.3">
      <c r="A208" t="s">
        <v>91</v>
      </c>
      <c r="B208" t="s">
        <v>90</v>
      </c>
      <c r="D208">
        <v>0</v>
      </c>
      <c r="E208" s="2"/>
      <c r="F208" s="93"/>
    </row>
    <row r="209" spans="1:6" hidden="1" x14ac:dyDescent="0.3">
      <c r="A209" t="s">
        <v>91</v>
      </c>
      <c r="B209" t="s">
        <v>90</v>
      </c>
      <c r="D209">
        <v>0</v>
      </c>
      <c r="E209" s="2"/>
      <c r="F209" s="93"/>
    </row>
    <row r="210" spans="1:6" hidden="1" x14ac:dyDescent="0.3">
      <c r="A210" t="s">
        <v>91</v>
      </c>
      <c r="B210" t="s">
        <v>90</v>
      </c>
      <c r="D210">
        <v>0</v>
      </c>
      <c r="E210" s="2"/>
      <c r="F210" s="93"/>
    </row>
    <row r="211" spans="1:6" hidden="1" x14ac:dyDescent="0.3">
      <c r="A211" t="s">
        <v>91</v>
      </c>
      <c r="B211" t="s">
        <v>90</v>
      </c>
      <c r="D211">
        <v>0</v>
      </c>
      <c r="E211" s="2"/>
      <c r="F211" s="93"/>
    </row>
    <row r="212" spans="1:6" hidden="1" x14ac:dyDescent="0.3">
      <c r="A212" t="s">
        <v>91</v>
      </c>
      <c r="B212" t="s">
        <v>90</v>
      </c>
      <c r="D212">
        <v>0</v>
      </c>
      <c r="E212" s="2"/>
      <c r="F212" s="93"/>
    </row>
    <row r="213" spans="1:6" hidden="1" x14ac:dyDescent="0.3">
      <c r="A213" t="s">
        <v>91</v>
      </c>
      <c r="B213" t="s">
        <v>90</v>
      </c>
      <c r="D213">
        <v>0</v>
      </c>
      <c r="E213" s="2"/>
      <c r="F213" s="93"/>
    </row>
    <row r="214" spans="1:6" hidden="1" x14ac:dyDescent="0.3">
      <c r="A214" t="s">
        <v>91</v>
      </c>
      <c r="B214" t="s">
        <v>90</v>
      </c>
      <c r="D214">
        <v>0</v>
      </c>
      <c r="E214" s="2"/>
      <c r="F214" s="93"/>
    </row>
    <row r="215" spans="1:6" hidden="1" x14ac:dyDescent="0.3">
      <c r="A215" t="s">
        <v>91</v>
      </c>
      <c r="B215" t="s">
        <v>90</v>
      </c>
      <c r="D215">
        <v>0</v>
      </c>
      <c r="E215" s="2"/>
      <c r="F215" s="93"/>
    </row>
    <row r="216" spans="1:6" hidden="1" x14ac:dyDescent="0.3">
      <c r="A216" t="s">
        <v>91</v>
      </c>
      <c r="B216" t="s">
        <v>90</v>
      </c>
      <c r="D216">
        <v>0</v>
      </c>
      <c r="E216" s="2"/>
      <c r="F216" s="93"/>
    </row>
    <row r="217" spans="1:6" hidden="1" x14ac:dyDescent="0.3">
      <c r="A217" t="s">
        <v>91</v>
      </c>
      <c r="B217" t="s">
        <v>90</v>
      </c>
      <c r="D217">
        <v>0</v>
      </c>
      <c r="E217" s="2"/>
      <c r="F217" s="93"/>
    </row>
    <row r="218" spans="1:6" hidden="1" x14ac:dyDescent="0.3">
      <c r="A218" t="s">
        <v>91</v>
      </c>
      <c r="B218" t="s">
        <v>90</v>
      </c>
      <c r="D218">
        <v>0</v>
      </c>
      <c r="E218" s="2"/>
      <c r="F218" s="93"/>
    </row>
    <row r="219" spans="1:6" hidden="1" x14ac:dyDescent="0.3">
      <c r="A219" t="s">
        <v>91</v>
      </c>
      <c r="B219" t="s">
        <v>90</v>
      </c>
      <c r="D219">
        <v>0</v>
      </c>
      <c r="E219" s="2"/>
      <c r="F219" s="93"/>
    </row>
    <row r="220" spans="1:6" hidden="1" x14ac:dyDescent="0.3">
      <c r="A220" t="s">
        <v>91</v>
      </c>
      <c r="B220" t="s">
        <v>90</v>
      </c>
      <c r="D220">
        <v>0</v>
      </c>
      <c r="E220" s="2"/>
      <c r="F220" s="93"/>
    </row>
    <row r="221" spans="1:6" hidden="1" x14ac:dyDescent="0.3">
      <c r="A221" t="s">
        <v>91</v>
      </c>
      <c r="B221" t="s">
        <v>90</v>
      </c>
      <c r="D221">
        <v>0</v>
      </c>
      <c r="E221" s="2"/>
      <c r="F221" s="93"/>
    </row>
    <row r="222" spans="1:6" hidden="1" x14ac:dyDescent="0.3">
      <c r="A222" t="s">
        <v>91</v>
      </c>
      <c r="B222" t="s">
        <v>90</v>
      </c>
      <c r="D222">
        <v>0</v>
      </c>
      <c r="E222" s="2"/>
      <c r="F222" s="93"/>
    </row>
    <row r="223" spans="1:6" hidden="1" x14ac:dyDescent="0.3">
      <c r="A223" t="s">
        <v>91</v>
      </c>
      <c r="B223" t="s">
        <v>90</v>
      </c>
      <c r="D223">
        <v>0</v>
      </c>
      <c r="E223" s="2"/>
      <c r="F223" s="93"/>
    </row>
    <row r="224" spans="1:6" hidden="1" x14ac:dyDescent="0.3">
      <c r="A224" t="s">
        <v>91</v>
      </c>
      <c r="B224" t="s">
        <v>90</v>
      </c>
      <c r="D224">
        <v>0</v>
      </c>
      <c r="E224" s="2"/>
      <c r="F224" s="93"/>
    </row>
    <row r="225" spans="1:6" hidden="1" x14ac:dyDescent="0.3">
      <c r="A225" t="s">
        <v>91</v>
      </c>
      <c r="B225" t="s">
        <v>90</v>
      </c>
      <c r="D225">
        <v>0</v>
      </c>
      <c r="E225" s="2"/>
      <c r="F225" s="93"/>
    </row>
    <row r="226" spans="1:6" hidden="1" x14ac:dyDescent="0.3">
      <c r="A226" t="s">
        <v>91</v>
      </c>
      <c r="B226" t="s">
        <v>90</v>
      </c>
      <c r="D226">
        <v>0</v>
      </c>
      <c r="E226" s="2"/>
      <c r="F226" s="93"/>
    </row>
    <row r="227" spans="1:6" hidden="1" x14ac:dyDescent="0.3">
      <c r="A227" t="s">
        <v>91</v>
      </c>
      <c r="B227" t="s">
        <v>90</v>
      </c>
      <c r="D227" s="5"/>
    </row>
    <row r="228" spans="1:6" hidden="1" x14ac:dyDescent="0.3">
      <c r="A228" t="s">
        <v>91</v>
      </c>
      <c r="B228" t="s">
        <v>90</v>
      </c>
      <c r="D228" s="5"/>
    </row>
    <row r="229" spans="1:6" hidden="1" x14ac:dyDescent="0.3">
      <c r="A229" t="s">
        <v>91</v>
      </c>
      <c r="B229" t="s">
        <v>90</v>
      </c>
      <c r="D229" s="5"/>
    </row>
    <row r="230" spans="1:6" hidden="1" x14ac:dyDescent="0.3">
      <c r="A230" t="s">
        <v>91</v>
      </c>
      <c r="B230" t="s">
        <v>90</v>
      </c>
      <c r="D230" s="5"/>
    </row>
    <row r="231" spans="1:6" hidden="1" x14ac:dyDescent="0.3">
      <c r="A231" t="s">
        <v>91</v>
      </c>
      <c r="B231" t="s">
        <v>90</v>
      </c>
      <c r="D231" s="5"/>
    </row>
    <row r="232" spans="1:6" hidden="1" x14ac:dyDescent="0.3">
      <c r="A232" t="s">
        <v>91</v>
      </c>
      <c r="B232" t="s">
        <v>90</v>
      </c>
      <c r="D232" s="5"/>
    </row>
    <row r="233" spans="1:6" hidden="1" x14ac:dyDescent="0.3">
      <c r="A233" t="s">
        <v>91</v>
      </c>
      <c r="B233" t="s">
        <v>90</v>
      </c>
      <c r="D233" s="5"/>
    </row>
    <row r="234" spans="1:6" hidden="1" x14ac:dyDescent="0.3">
      <c r="A234" t="s">
        <v>91</v>
      </c>
      <c r="B234" t="s">
        <v>90</v>
      </c>
      <c r="D234" s="5"/>
    </row>
    <row r="235" spans="1:6" hidden="1" x14ac:dyDescent="0.3">
      <c r="A235" t="s">
        <v>91</v>
      </c>
      <c r="B235" t="s">
        <v>90</v>
      </c>
      <c r="D235" s="5"/>
    </row>
    <row r="236" spans="1:6" hidden="1" x14ac:dyDescent="0.3">
      <c r="A236" t="s">
        <v>91</v>
      </c>
      <c r="B236" t="s">
        <v>90</v>
      </c>
      <c r="D236" s="5"/>
    </row>
    <row r="237" spans="1:6" hidden="1" x14ac:dyDescent="0.3">
      <c r="A237" t="s">
        <v>91</v>
      </c>
      <c r="B237" t="s">
        <v>90</v>
      </c>
      <c r="D237" s="5"/>
    </row>
    <row r="238" spans="1:6" hidden="1" x14ac:dyDescent="0.3">
      <c r="A238" t="s">
        <v>91</v>
      </c>
      <c r="B238" t="s">
        <v>90</v>
      </c>
      <c r="D238" s="5"/>
    </row>
    <row r="239" spans="1:6" hidden="1" x14ac:dyDescent="0.3">
      <c r="A239" t="s">
        <v>91</v>
      </c>
      <c r="B239" t="s">
        <v>90</v>
      </c>
      <c r="D239" s="5"/>
    </row>
    <row r="240" spans="1:6" hidden="1" x14ac:dyDescent="0.3">
      <c r="A240" t="s">
        <v>91</v>
      </c>
      <c r="B240" t="s">
        <v>90</v>
      </c>
      <c r="D240" s="5">
        <v>0</v>
      </c>
    </row>
    <row r="241" spans="1:4" hidden="1" x14ac:dyDescent="0.3">
      <c r="A241" t="s">
        <v>91</v>
      </c>
      <c r="B241" t="s">
        <v>90</v>
      </c>
      <c r="D241" s="5">
        <v>0</v>
      </c>
    </row>
    <row r="242" spans="1:4" hidden="1" x14ac:dyDescent="0.3">
      <c r="A242" t="s">
        <v>91</v>
      </c>
      <c r="B242" t="s">
        <v>90</v>
      </c>
      <c r="D242" s="5">
        <v>0</v>
      </c>
    </row>
    <row r="243" spans="1:4" hidden="1" x14ac:dyDescent="0.3">
      <c r="A243" t="s">
        <v>91</v>
      </c>
      <c r="B243" t="s">
        <v>90</v>
      </c>
      <c r="D243" s="5">
        <v>0</v>
      </c>
    </row>
    <row r="244" spans="1:4" hidden="1" x14ac:dyDescent="0.3">
      <c r="A244" t="s">
        <v>91</v>
      </c>
      <c r="B244" t="s">
        <v>90</v>
      </c>
      <c r="D244" s="5">
        <v>0</v>
      </c>
    </row>
    <row r="245" spans="1:4" hidden="1" x14ac:dyDescent="0.3">
      <c r="A245" t="s">
        <v>91</v>
      </c>
      <c r="B245" t="s">
        <v>90</v>
      </c>
      <c r="D245" s="5">
        <v>0</v>
      </c>
    </row>
    <row r="246" spans="1:4" hidden="1" x14ac:dyDescent="0.3">
      <c r="A246" t="s">
        <v>91</v>
      </c>
      <c r="B246" t="s">
        <v>90</v>
      </c>
      <c r="D246" s="5">
        <v>0</v>
      </c>
    </row>
    <row r="247" spans="1:4" hidden="1" x14ac:dyDescent="0.3">
      <c r="A247" t="s">
        <v>91</v>
      </c>
      <c r="B247" t="s">
        <v>90</v>
      </c>
      <c r="D247" s="5">
        <v>0</v>
      </c>
    </row>
    <row r="248" spans="1:4" hidden="1" x14ac:dyDescent="0.3">
      <c r="A248" t="s">
        <v>91</v>
      </c>
      <c r="B248" t="s">
        <v>90</v>
      </c>
      <c r="D248" s="5">
        <v>0</v>
      </c>
    </row>
    <row r="249" spans="1:4" hidden="1" x14ac:dyDescent="0.3">
      <c r="A249" t="s">
        <v>91</v>
      </c>
      <c r="B249" t="s">
        <v>90</v>
      </c>
      <c r="D249" s="5">
        <v>0</v>
      </c>
    </row>
    <row r="250" spans="1:4" hidden="1" x14ac:dyDescent="0.3">
      <c r="A250" t="s">
        <v>91</v>
      </c>
      <c r="B250" t="s">
        <v>90</v>
      </c>
      <c r="D250" s="5">
        <v>0</v>
      </c>
    </row>
    <row r="251" spans="1:4" hidden="1" x14ac:dyDescent="0.3">
      <c r="A251" t="s">
        <v>91</v>
      </c>
      <c r="B251" t="s">
        <v>90</v>
      </c>
      <c r="D251" s="5">
        <v>0</v>
      </c>
    </row>
    <row r="252" spans="1:4" hidden="1" x14ac:dyDescent="0.3">
      <c r="A252" t="s">
        <v>91</v>
      </c>
      <c r="B252" t="s">
        <v>90</v>
      </c>
      <c r="D252" s="5">
        <v>0</v>
      </c>
    </row>
    <row r="253" spans="1:4" hidden="1" x14ac:dyDescent="0.3">
      <c r="A253" t="s">
        <v>91</v>
      </c>
      <c r="B253" t="s">
        <v>90</v>
      </c>
      <c r="D253" s="5">
        <v>0</v>
      </c>
    </row>
    <row r="254" spans="1:4" hidden="1" x14ac:dyDescent="0.3">
      <c r="A254" t="s">
        <v>91</v>
      </c>
      <c r="B254" t="s">
        <v>90</v>
      </c>
      <c r="D254" s="5">
        <v>0</v>
      </c>
    </row>
    <row r="255" spans="1:4" hidden="1" x14ac:dyDescent="0.3">
      <c r="A255" t="s">
        <v>91</v>
      </c>
      <c r="B255" t="s">
        <v>90</v>
      </c>
      <c r="D255" s="5">
        <v>0</v>
      </c>
    </row>
    <row r="256" spans="1:4" hidden="1" x14ac:dyDescent="0.3">
      <c r="A256" t="s">
        <v>91</v>
      </c>
      <c r="B256" t="s">
        <v>90</v>
      </c>
      <c r="D256" s="5">
        <v>0</v>
      </c>
    </row>
    <row r="257" spans="1:4" hidden="1" x14ac:dyDescent="0.3">
      <c r="A257" t="s">
        <v>91</v>
      </c>
      <c r="B257" t="s">
        <v>90</v>
      </c>
      <c r="D257" s="5">
        <v>0</v>
      </c>
    </row>
    <row r="258" spans="1:4" hidden="1" x14ac:dyDescent="0.3">
      <c r="A258" t="s">
        <v>91</v>
      </c>
      <c r="B258" t="s">
        <v>90</v>
      </c>
      <c r="D258" s="5">
        <v>0</v>
      </c>
    </row>
    <row r="259" spans="1:4" hidden="1" x14ac:dyDescent="0.3">
      <c r="A259" t="s">
        <v>91</v>
      </c>
      <c r="B259" t="s">
        <v>90</v>
      </c>
      <c r="D259" s="5">
        <v>0</v>
      </c>
    </row>
    <row r="260" spans="1:4" hidden="1" x14ac:dyDescent="0.3">
      <c r="A260" t="s">
        <v>91</v>
      </c>
      <c r="B260" t="s">
        <v>90</v>
      </c>
      <c r="C260" s="108"/>
      <c r="D260" s="5">
        <v>0</v>
      </c>
    </row>
    <row r="261" spans="1:4" hidden="1" x14ac:dyDescent="0.3">
      <c r="A261" t="s">
        <v>91</v>
      </c>
      <c r="B261" t="s">
        <v>90</v>
      </c>
      <c r="C261" s="108"/>
      <c r="D261" s="5">
        <v>0</v>
      </c>
    </row>
    <row r="262" spans="1:4" hidden="1" x14ac:dyDescent="0.3">
      <c r="A262" t="s">
        <v>91</v>
      </c>
      <c r="B262" t="s">
        <v>90</v>
      </c>
      <c r="C262" s="108"/>
      <c r="D262" s="5">
        <v>0</v>
      </c>
    </row>
    <row r="263" spans="1:4" hidden="1" x14ac:dyDescent="0.3">
      <c r="A263" t="s">
        <v>91</v>
      </c>
      <c r="B263" t="s">
        <v>90</v>
      </c>
      <c r="C263" s="108"/>
      <c r="D263" s="5">
        <v>0</v>
      </c>
    </row>
    <row r="264" spans="1:4" hidden="1" x14ac:dyDescent="0.3">
      <c r="A264" t="s">
        <v>91</v>
      </c>
      <c r="B264" t="s">
        <v>90</v>
      </c>
      <c r="C264" s="108"/>
      <c r="D264" s="5">
        <v>0</v>
      </c>
    </row>
    <row r="265" spans="1:4" hidden="1" x14ac:dyDescent="0.3">
      <c r="A265" t="s">
        <v>91</v>
      </c>
      <c r="B265" t="s">
        <v>90</v>
      </c>
      <c r="C265" s="108"/>
      <c r="D265" s="5">
        <v>0</v>
      </c>
    </row>
    <row r="266" spans="1:4" hidden="1" x14ac:dyDescent="0.3">
      <c r="A266" t="s">
        <v>91</v>
      </c>
      <c r="B266" t="s">
        <v>90</v>
      </c>
      <c r="C266" s="108"/>
      <c r="D266" s="5">
        <v>0</v>
      </c>
    </row>
    <row r="267" spans="1:4" hidden="1" x14ac:dyDescent="0.3">
      <c r="A267" t="s">
        <v>91</v>
      </c>
      <c r="B267" t="s">
        <v>90</v>
      </c>
      <c r="C267" s="108"/>
      <c r="D267" s="5">
        <v>0</v>
      </c>
    </row>
    <row r="268" spans="1:4" hidden="1" x14ac:dyDescent="0.3">
      <c r="A268" t="s">
        <v>91</v>
      </c>
      <c r="B268" t="s">
        <v>90</v>
      </c>
      <c r="C268" s="108"/>
      <c r="D268" s="5">
        <v>0</v>
      </c>
    </row>
    <row r="269" spans="1:4" hidden="1" x14ac:dyDescent="0.3">
      <c r="A269" t="s">
        <v>91</v>
      </c>
      <c r="B269" t="s">
        <v>90</v>
      </c>
      <c r="C269" s="108"/>
      <c r="D269" s="5">
        <v>0</v>
      </c>
    </row>
    <row r="270" spans="1:4" hidden="1" x14ac:dyDescent="0.3">
      <c r="A270" t="s">
        <v>91</v>
      </c>
      <c r="B270" t="s">
        <v>90</v>
      </c>
      <c r="C270" s="108"/>
      <c r="D270" s="5">
        <v>0</v>
      </c>
    </row>
    <row r="271" spans="1:4" hidden="1" x14ac:dyDescent="0.3">
      <c r="A271" t="s">
        <v>91</v>
      </c>
      <c r="B271" t="s">
        <v>90</v>
      </c>
      <c r="C271" s="108"/>
      <c r="D271" s="5">
        <v>0</v>
      </c>
    </row>
    <row r="272" spans="1:4" hidden="1" x14ac:dyDescent="0.3">
      <c r="A272" t="s">
        <v>91</v>
      </c>
      <c r="B272" t="s">
        <v>90</v>
      </c>
      <c r="C272" s="108"/>
      <c r="D272" s="5">
        <v>0</v>
      </c>
    </row>
    <row r="273" spans="1:4" hidden="1" x14ac:dyDescent="0.3">
      <c r="A273" t="s">
        <v>91</v>
      </c>
      <c r="B273" t="s">
        <v>90</v>
      </c>
      <c r="C273" s="108"/>
      <c r="D273" s="5">
        <v>0</v>
      </c>
    </row>
    <row r="274" spans="1:4" hidden="1" x14ac:dyDescent="0.3">
      <c r="A274" t="s">
        <v>91</v>
      </c>
      <c r="B274" t="s">
        <v>90</v>
      </c>
      <c r="C274" s="108"/>
      <c r="D274" s="5">
        <v>0</v>
      </c>
    </row>
    <row r="275" spans="1:4" hidden="1" x14ac:dyDescent="0.3">
      <c r="A275" t="s">
        <v>91</v>
      </c>
      <c r="B275" t="s">
        <v>90</v>
      </c>
      <c r="C275" s="108"/>
      <c r="D275" s="5">
        <v>0</v>
      </c>
    </row>
    <row r="276" spans="1:4" hidden="1" x14ac:dyDescent="0.3">
      <c r="A276" t="s">
        <v>91</v>
      </c>
      <c r="B276" t="s">
        <v>90</v>
      </c>
      <c r="C276" s="108"/>
      <c r="D276" s="5">
        <v>0</v>
      </c>
    </row>
    <row r="277" spans="1:4" hidden="1" x14ac:dyDescent="0.3">
      <c r="A277" t="s">
        <v>91</v>
      </c>
      <c r="B277" t="s">
        <v>90</v>
      </c>
      <c r="C277" s="108"/>
      <c r="D277" s="5">
        <v>0</v>
      </c>
    </row>
    <row r="278" spans="1:4" hidden="1" x14ac:dyDescent="0.3">
      <c r="A278" t="s">
        <v>91</v>
      </c>
      <c r="B278" t="s">
        <v>90</v>
      </c>
      <c r="C278" s="108"/>
      <c r="D278" s="5">
        <v>0</v>
      </c>
    </row>
    <row r="279" spans="1:4" hidden="1" x14ac:dyDescent="0.3">
      <c r="A279" t="s">
        <v>91</v>
      </c>
      <c r="B279" t="s">
        <v>90</v>
      </c>
      <c r="C279" s="108"/>
      <c r="D279" s="5">
        <v>0</v>
      </c>
    </row>
    <row r="280" spans="1:4" hidden="1" x14ac:dyDescent="0.3">
      <c r="A280" t="s">
        <v>91</v>
      </c>
      <c r="B280" t="s">
        <v>90</v>
      </c>
      <c r="C280" s="108"/>
      <c r="D280" s="5">
        <v>0</v>
      </c>
    </row>
    <row r="281" spans="1:4" hidden="1" x14ac:dyDescent="0.3">
      <c r="A281" t="s">
        <v>91</v>
      </c>
      <c r="B281" t="s">
        <v>90</v>
      </c>
      <c r="C281" s="108"/>
      <c r="D281" s="5">
        <v>0</v>
      </c>
    </row>
    <row r="282" spans="1:4" hidden="1" x14ac:dyDescent="0.3">
      <c r="A282" t="s">
        <v>91</v>
      </c>
      <c r="B282" t="s">
        <v>90</v>
      </c>
      <c r="C282" s="108"/>
      <c r="D282" s="5">
        <v>0</v>
      </c>
    </row>
    <row r="283" spans="1:4" hidden="1" x14ac:dyDescent="0.3">
      <c r="A283" t="s">
        <v>91</v>
      </c>
      <c r="B283" t="s">
        <v>90</v>
      </c>
      <c r="C283" s="108"/>
      <c r="D283" s="5">
        <v>0</v>
      </c>
    </row>
    <row r="284" spans="1:4" hidden="1" x14ac:dyDescent="0.3">
      <c r="A284" t="s">
        <v>91</v>
      </c>
      <c r="B284" t="s">
        <v>90</v>
      </c>
      <c r="C284" s="108"/>
      <c r="D284" s="5">
        <v>0</v>
      </c>
    </row>
    <row r="285" spans="1:4" hidden="1" x14ac:dyDescent="0.3">
      <c r="A285" t="s">
        <v>91</v>
      </c>
      <c r="B285" t="s">
        <v>90</v>
      </c>
      <c r="C285" s="108"/>
      <c r="D285" s="5">
        <v>0</v>
      </c>
    </row>
    <row r="286" spans="1:4" hidden="1" x14ac:dyDescent="0.3">
      <c r="A286" t="s">
        <v>91</v>
      </c>
      <c r="B286" t="s">
        <v>90</v>
      </c>
      <c r="C286" s="108"/>
      <c r="D286" s="5">
        <v>0</v>
      </c>
    </row>
    <row r="287" spans="1:4" hidden="1" x14ac:dyDescent="0.3">
      <c r="A287" t="s">
        <v>91</v>
      </c>
      <c r="B287" t="s">
        <v>90</v>
      </c>
      <c r="C287" s="108"/>
      <c r="D287" s="5">
        <v>0</v>
      </c>
    </row>
    <row r="288" spans="1:4" hidden="1" x14ac:dyDescent="0.3">
      <c r="A288" t="s">
        <v>91</v>
      </c>
      <c r="B288" t="s">
        <v>90</v>
      </c>
      <c r="C288" s="108"/>
      <c r="D288" s="5">
        <v>0</v>
      </c>
    </row>
    <row r="289" spans="1:4" hidden="1" x14ac:dyDescent="0.3">
      <c r="A289" t="s">
        <v>91</v>
      </c>
      <c r="B289" t="s">
        <v>90</v>
      </c>
      <c r="C289" s="108"/>
      <c r="D289" s="5">
        <v>0</v>
      </c>
    </row>
    <row r="290" spans="1:4" hidden="1" x14ac:dyDescent="0.3">
      <c r="A290" t="s">
        <v>91</v>
      </c>
      <c r="B290" t="s">
        <v>90</v>
      </c>
      <c r="C290" s="108"/>
      <c r="D290" s="5">
        <v>0</v>
      </c>
    </row>
    <row r="291" spans="1:4" hidden="1" x14ac:dyDescent="0.3">
      <c r="A291" t="s">
        <v>91</v>
      </c>
      <c r="B291" t="s">
        <v>90</v>
      </c>
      <c r="C291" s="108"/>
      <c r="D291" s="5">
        <v>0</v>
      </c>
    </row>
    <row r="292" spans="1:4" hidden="1" x14ac:dyDescent="0.3">
      <c r="A292" t="s">
        <v>91</v>
      </c>
      <c r="B292" t="s">
        <v>90</v>
      </c>
      <c r="C292" s="108"/>
      <c r="D292" s="5">
        <v>0</v>
      </c>
    </row>
    <row r="293" spans="1:4" hidden="1" x14ac:dyDescent="0.3">
      <c r="A293" t="s">
        <v>91</v>
      </c>
      <c r="B293" t="s">
        <v>90</v>
      </c>
      <c r="C293" s="108"/>
      <c r="D293" s="5">
        <v>0</v>
      </c>
    </row>
    <row r="294" spans="1:4" hidden="1" x14ac:dyDescent="0.3">
      <c r="A294" t="s">
        <v>91</v>
      </c>
      <c r="B294" t="s">
        <v>90</v>
      </c>
      <c r="C294" s="108"/>
      <c r="D294" s="5">
        <v>0</v>
      </c>
    </row>
    <row r="295" spans="1:4" hidden="1" x14ac:dyDescent="0.3">
      <c r="A295" t="s">
        <v>91</v>
      </c>
      <c r="B295" t="s">
        <v>90</v>
      </c>
      <c r="C295" s="108"/>
      <c r="D295" s="5">
        <v>0</v>
      </c>
    </row>
    <row r="296" spans="1:4" hidden="1" x14ac:dyDescent="0.3">
      <c r="A296" t="s">
        <v>91</v>
      </c>
      <c r="B296" t="s">
        <v>90</v>
      </c>
      <c r="C296" s="108"/>
      <c r="D296" s="5">
        <v>0</v>
      </c>
    </row>
    <row r="297" spans="1:4" hidden="1" x14ac:dyDescent="0.3">
      <c r="A297" t="s">
        <v>91</v>
      </c>
      <c r="B297" t="s">
        <v>90</v>
      </c>
      <c r="C297" s="108"/>
      <c r="D297" s="5">
        <v>0</v>
      </c>
    </row>
    <row r="298" spans="1:4" hidden="1" x14ac:dyDescent="0.3">
      <c r="A298" t="s">
        <v>91</v>
      </c>
      <c r="B298" t="s">
        <v>90</v>
      </c>
      <c r="C298" s="108"/>
      <c r="D298" s="5">
        <v>0</v>
      </c>
    </row>
    <row r="299" spans="1:4" hidden="1" x14ac:dyDescent="0.3">
      <c r="A299" t="s">
        <v>91</v>
      </c>
      <c r="B299" t="s">
        <v>90</v>
      </c>
      <c r="C299" s="108"/>
      <c r="D299" s="5">
        <v>0</v>
      </c>
    </row>
    <row r="300" spans="1:4" hidden="1" x14ac:dyDescent="0.3">
      <c r="A300" t="s">
        <v>91</v>
      </c>
      <c r="B300" t="s">
        <v>90</v>
      </c>
      <c r="C300" s="108"/>
      <c r="D300" s="5">
        <v>0</v>
      </c>
    </row>
    <row r="301" spans="1:4" hidden="1" x14ac:dyDescent="0.3">
      <c r="A301" t="s">
        <v>91</v>
      </c>
      <c r="B301" t="s">
        <v>90</v>
      </c>
      <c r="C301" s="108"/>
      <c r="D301" s="5">
        <v>0</v>
      </c>
    </row>
    <row r="302" spans="1:4" hidden="1" x14ac:dyDescent="0.3">
      <c r="A302" t="s">
        <v>91</v>
      </c>
      <c r="B302" t="s">
        <v>90</v>
      </c>
      <c r="C302" s="108"/>
      <c r="D302" s="5">
        <v>0</v>
      </c>
    </row>
    <row r="303" spans="1:4" hidden="1" x14ac:dyDescent="0.3">
      <c r="A303" t="s">
        <v>91</v>
      </c>
      <c r="B303" t="s">
        <v>90</v>
      </c>
      <c r="C303" s="108"/>
      <c r="D303" s="5">
        <v>0</v>
      </c>
    </row>
    <row r="304" spans="1:4" hidden="1" x14ac:dyDescent="0.3">
      <c r="A304" t="s">
        <v>91</v>
      </c>
      <c r="B304" t="s">
        <v>90</v>
      </c>
      <c r="C304" s="108"/>
      <c r="D304" s="5">
        <v>0</v>
      </c>
    </row>
    <row r="305" spans="1:4" hidden="1" x14ac:dyDescent="0.3">
      <c r="A305" t="s">
        <v>91</v>
      </c>
      <c r="B305" t="s">
        <v>90</v>
      </c>
      <c r="C305" s="108"/>
      <c r="D305" s="5">
        <v>0</v>
      </c>
    </row>
    <row r="306" spans="1:4" hidden="1" x14ac:dyDescent="0.3">
      <c r="A306" t="s">
        <v>91</v>
      </c>
      <c r="B306" t="s">
        <v>90</v>
      </c>
      <c r="C306" s="108"/>
      <c r="D306" s="5">
        <v>0</v>
      </c>
    </row>
    <row r="307" spans="1:4" hidden="1" x14ac:dyDescent="0.3">
      <c r="A307" t="s">
        <v>91</v>
      </c>
      <c r="B307" t="s">
        <v>90</v>
      </c>
      <c r="C307" s="108"/>
      <c r="D307" s="5">
        <v>0</v>
      </c>
    </row>
    <row r="308" spans="1:4" hidden="1" x14ac:dyDescent="0.3">
      <c r="A308" t="s">
        <v>91</v>
      </c>
      <c r="B308" t="s">
        <v>90</v>
      </c>
      <c r="C308" s="108"/>
      <c r="D308" s="5">
        <v>0</v>
      </c>
    </row>
    <row r="309" spans="1:4" hidden="1" x14ac:dyDescent="0.3">
      <c r="A309" t="s">
        <v>91</v>
      </c>
      <c r="B309" t="s">
        <v>90</v>
      </c>
      <c r="C309" s="108"/>
      <c r="D309" s="5">
        <v>0</v>
      </c>
    </row>
    <row r="310" spans="1:4" hidden="1" x14ac:dyDescent="0.3">
      <c r="A310" t="s">
        <v>91</v>
      </c>
      <c r="B310" t="s">
        <v>90</v>
      </c>
      <c r="C310" s="108"/>
      <c r="D310" s="5">
        <v>0</v>
      </c>
    </row>
    <row r="311" spans="1:4" hidden="1" x14ac:dyDescent="0.3">
      <c r="A311" t="s">
        <v>91</v>
      </c>
      <c r="B311" t="s">
        <v>90</v>
      </c>
      <c r="C311" s="108"/>
      <c r="D311" s="5">
        <v>0</v>
      </c>
    </row>
    <row r="312" spans="1:4" hidden="1" x14ac:dyDescent="0.3">
      <c r="A312" t="s">
        <v>91</v>
      </c>
      <c r="B312" t="s">
        <v>90</v>
      </c>
      <c r="C312" s="108"/>
      <c r="D312" s="5">
        <v>0</v>
      </c>
    </row>
    <row r="313" spans="1:4" hidden="1" x14ac:dyDescent="0.3">
      <c r="A313" t="s">
        <v>91</v>
      </c>
      <c r="B313" t="s">
        <v>90</v>
      </c>
      <c r="C313" s="108"/>
      <c r="D313" s="5">
        <v>0</v>
      </c>
    </row>
    <row r="314" spans="1:4" hidden="1" x14ac:dyDescent="0.3">
      <c r="A314" t="s">
        <v>91</v>
      </c>
      <c r="B314" t="s">
        <v>90</v>
      </c>
      <c r="C314" s="108"/>
      <c r="D314" s="5">
        <v>0</v>
      </c>
    </row>
    <row r="315" spans="1:4" hidden="1" x14ac:dyDescent="0.3">
      <c r="A315" t="s">
        <v>91</v>
      </c>
      <c r="B315" t="s">
        <v>90</v>
      </c>
      <c r="C315" s="108"/>
      <c r="D315" s="5">
        <v>0</v>
      </c>
    </row>
    <row r="316" spans="1:4" hidden="1" x14ac:dyDescent="0.3">
      <c r="A316" t="s">
        <v>91</v>
      </c>
      <c r="B316" t="s">
        <v>90</v>
      </c>
      <c r="C316" s="108"/>
      <c r="D316" s="5">
        <v>0</v>
      </c>
    </row>
    <row r="317" spans="1:4" hidden="1" x14ac:dyDescent="0.3">
      <c r="A317" t="s">
        <v>91</v>
      </c>
      <c r="B317" t="s">
        <v>90</v>
      </c>
      <c r="C317" s="108"/>
      <c r="D317" s="5">
        <v>0</v>
      </c>
    </row>
    <row r="318" spans="1:4" hidden="1" x14ac:dyDescent="0.3">
      <c r="A318" t="s">
        <v>91</v>
      </c>
      <c r="B318" t="s">
        <v>90</v>
      </c>
      <c r="C318" s="108"/>
      <c r="D318" s="5">
        <v>0</v>
      </c>
    </row>
    <row r="319" spans="1:4" hidden="1" x14ac:dyDescent="0.3">
      <c r="A319" t="s">
        <v>91</v>
      </c>
      <c r="B319" t="s">
        <v>90</v>
      </c>
      <c r="C319" s="108"/>
      <c r="D319" s="5">
        <v>0</v>
      </c>
    </row>
    <row r="320" spans="1:4" hidden="1" x14ac:dyDescent="0.3">
      <c r="A320" t="s">
        <v>91</v>
      </c>
      <c r="B320" t="s">
        <v>90</v>
      </c>
      <c r="C320" s="108"/>
      <c r="D320" s="5">
        <v>0</v>
      </c>
    </row>
    <row r="321" spans="1:4" hidden="1" x14ac:dyDescent="0.3">
      <c r="A321" t="s">
        <v>91</v>
      </c>
      <c r="B321" t="s">
        <v>90</v>
      </c>
      <c r="C321" s="108"/>
      <c r="D321" s="5">
        <v>0</v>
      </c>
    </row>
    <row r="322" spans="1:4" hidden="1" x14ac:dyDescent="0.3">
      <c r="A322" t="s">
        <v>91</v>
      </c>
      <c r="B322" t="s">
        <v>90</v>
      </c>
      <c r="C322" s="108"/>
      <c r="D322" s="5">
        <v>0</v>
      </c>
    </row>
    <row r="323" spans="1:4" hidden="1" x14ac:dyDescent="0.3">
      <c r="A323" t="s">
        <v>91</v>
      </c>
      <c r="B323" t="s">
        <v>90</v>
      </c>
      <c r="C323" s="108"/>
      <c r="D323" s="5">
        <v>0</v>
      </c>
    </row>
    <row r="324" spans="1:4" hidden="1" x14ac:dyDescent="0.3">
      <c r="A324" t="s">
        <v>91</v>
      </c>
      <c r="B324" t="s">
        <v>90</v>
      </c>
      <c r="C324" s="108"/>
      <c r="D324" s="5">
        <v>0</v>
      </c>
    </row>
    <row r="325" spans="1:4" hidden="1" x14ac:dyDescent="0.3">
      <c r="A325" t="s">
        <v>91</v>
      </c>
      <c r="B325" t="s">
        <v>90</v>
      </c>
      <c r="C325" s="108"/>
      <c r="D325" s="5">
        <v>0</v>
      </c>
    </row>
    <row r="326" spans="1:4" hidden="1" x14ac:dyDescent="0.3">
      <c r="A326" t="s">
        <v>91</v>
      </c>
      <c r="B326" t="s">
        <v>90</v>
      </c>
      <c r="C326" s="108"/>
      <c r="D326" s="5">
        <v>0</v>
      </c>
    </row>
    <row r="327" spans="1:4" hidden="1" x14ac:dyDescent="0.3">
      <c r="A327" t="s">
        <v>91</v>
      </c>
      <c r="B327" t="s">
        <v>90</v>
      </c>
      <c r="C327" s="108"/>
      <c r="D327" s="5">
        <v>0</v>
      </c>
    </row>
    <row r="328" spans="1:4" hidden="1" x14ac:dyDescent="0.3">
      <c r="A328" t="s">
        <v>91</v>
      </c>
      <c r="B328" t="s">
        <v>90</v>
      </c>
      <c r="C328" s="108"/>
      <c r="D328" s="5">
        <v>0</v>
      </c>
    </row>
    <row r="329" spans="1:4" hidden="1" x14ac:dyDescent="0.3">
      <c r="A329" t="s">
        <v>91</v>
      </c>
      <c r="B329" t="s">
        <v>90</v>
      </c>
      <c r="C329" s="108"/>
      <c r="D329" s="5">
        <v>0</v>
      </c>
    </row>
    <row r="330" spans="1:4" hidden="1" x14ac:dyDescent="0.3">
      <c r="A330" t="s">
        <v>91</v>
      </c>
      <c r="B330" t="s">
        <v>90</v>
      </c>
      <c r="C330" s="108"/>
      <c r="D330" s="5">
        <v>0</v>
      </c>
    </row>
    <row r="331" spans="1:4" hidden="1" x14ac:dyDescent="0.3">
      <c r="A331" t="s">
        <v>91</v>
      </c>
      <c r="B331" t="s">
        <v>90</v>
      </c>
      <c r="C331" s="108"/>
      <c r="D331" s="5">
        <v>0</v>
      </c>
    </row>
    <row r="332" spans="1:4" hidden="1" x14ac:dyDescent="0.3">
      <c r="A332" t="s">
        <v>91</v>
      </c>
      <c r="B332" t="s">
        <v>90</v>
      </c>
      <c r="C332" s="108"/>
      <c r="D332" s="5">
        <v>0</v>
      </c>
    </row>
    <row r="333" spans="1:4" hidden="1" x14ac:dyDescent="0.3">
      <c r="A333" t="s">
        <v>91</v>
      </c>
      <c r="B333" t="s">
        <v>90</v>
      </c>
      <c r="C333" s="108"/>
      <c r="D333" s="5">
        <v>0</v>
      </c>
    </row>
    <row r="334" spans="1:4" hidden="1" x14ac:dyDescent="0.3">
      <c r="A334" t="s">
        <v>91</v>
      </c>
      <c r="B334" t="s">
        <v>90</v>
      </c>
      <c r="C334" s="108"/>
      <c r="D334" s="5">
        <v>0</v>
      </c>
    </row>
    <row r="335" spans="1:4" hidden="1" x14ac:dyDescent="0.3">
      <c r="A335" t="s">
        <v>91</v>
      </c>
      <c r="B335" t="s">
        <v>90</v>
      </c>
      <c r="C335" s="108"/>
      <c r="D335" s="5">
        <v>0</v>
      </c>
    </row>
    <row r="336" spans="1:4" hidden="1" x14ac:dyDescent="0.3">
      <c r="A336" t="s">
        <v>91</v>
      </c>
      <c r="B336" t="s">
        <v>90</v>
      </c>
      <c r="C336" s="108"/>
      <c r="D336" s="5">
        <v>0</v>
      </c>
    </row>
    <row r="337" spans="1:4" hidden="1" x14ac:dyDescent="0.3">
      <c r="A337" t="s">
        <v>91</v>
      </c>
      <c r="B337" t="s">
        <v>90</v>
      </c>
      <c r="C337" s="108"/>
      <c r="D337" s="5">
        <v>0</v>
      </c>
    </row>
    <row r="338" spans="1:4" hidden="1" x14ac:dyDescent="0.3">
      <c r="A338" t="s">
        <v>91</v>
      </c>
      <c r="B338" t="s">
        <v>90</v>
      </c>
      <c r="C338" s="108"/>
      <c r="D338" s="5">
        <v>0</v>
      </c>
    </row>
    <row r="339" spans="1:4" hidden="1" x14ac:dyDescent="0.3">
      <c r="A339" t="s">
        <v>91</v>
      </c>
      <c r="B339" t="s">
        <v>90</v>
      </c>
      <c r="C339" s="108"/>
      <c r="D339" s="5">
        <v>0</v>
      </c>
    </row>
    <row r="340" spans="1:4" hidden="1" x14ac:dyDescent="0.3">
      <c r="A340" t="s">
        <v>91</v>
      </c>
      <c r="B340" t="s">
        <v>90</v>
      </c>
      <c r="C340" s="108"/>
      <c r="D340" s="5">
        <v>0</v>
      </c>
    </row>
    <row r="341" spans="1:4" hidden="1" x14ac:dyDescent="0.3">
      <c r="A341" t="s">
        <v>91</v>
      </c>
      <c r="B341" t="s">
        <v>90</v>
      </c>
      <c r="C341" s="108"/>
      <c r="D341" s="5">
        <v>0</v>
      </c>
    </row>
    <row r="342" spans="1:4" hidden="1" x14ac:dyDescent="0.3">
      <c r="A342" t="s">
        <v>91</v>
      </c>
      <c r="B342" t="s">
        <v>90</v>
      </c>
      <c r="C342" s="108"/>
      <c r="D342" s="5">
        <v>0</v>
      </c>
    </row>
    <row r="343" spans="1:4" hidden="1" x14ac:dyDescent="0.3">
      <c r="A343" t="s">
        <v>91</v>
      </c>
      <c r="B343" t="s">
        <v>90</v>
      </c>
      <c r="C343" s="108"/>
      <c r="D343" s="5">
        <v>0</v>
      </c>
    </row>
    <row r="344" spans="1:4" hidden="1" x14ac:dyDescent="0.3">
      <c r="A344" t="s">
        <v>91</v>
      </c>
      <c r="B344" t="s">
        <v>90</v>
      </c>
      <c r="C344" s="108"/>
      <c r="D344" s="5">
        <v>0</v>
      </c>
    </row>
    <row r="345" spans="1:4" hidden="1" x14ac:dyDescent="0.3">
      <c r="A345" t="s">
        <v>91</v>
      </c>
      <c r="B345" t="s">
        <v>90</v>
      </c>
      <c r="C345" s="108"/>
      <c r="D345" s="5">
        <v>0</v>
      </c>
    </row>
    <row r="346" spans="1:4" hidden="1" x14ac:dyDescent="0.3">
      <c r="A346" t="s">
        <v>91</v>
      </c>
      <c r="B346" t="s">
        <v>90</v>
      </c>
      <c r="C346" s="108"/>
      <c r="D346" s="5">
        <v>0</v>
      </c>
    </row>
    <row r="347" spans="1:4" hidden="1" x14ac:dyDescent="0.3">
      <c r="A347" t="s">
        <v>91</v>
      </c>
      <c r="B347" t="s">
        <v>90</v>
      </c>
      <c r="C347" s="108"/>
      <c r="D347" s="5">
        <v>0</v>
      </c>
    </row>
    <row r="348" spans="1:4" hidden="1" x14ac:dyDescent="0.3">
      <c r="A348" t="s">
        <v>91</v>
      </c>
      <c r="B348" t="s">
        <v>90</v>
      </c>
      <c r="C348" s="108"/>
      <c r="D348" s="5">
        <v>0</v>
      </c>
    </row>
    <row r="349" spans="1:4" hidden="1" x14ac:dyDescent="0.3">
      <c r="A349" t="s">
        <v>91</v>
      </c>
      <c r="B349" t="s">
        <v>90</v>
      </c>
      <c r="C349" s="108"/>
      <c r="D349" s="5">
        <v>0</v>
      </c>
    </row>
    <row r="350" spans="1:4" hidden="1" x14ac:dyDescent="0.3">
      <c r="A350" t="s">
        <v>91</v>
      </c>
      <c r="B350" t="s">
        <v>90</v>
      </c>
      <c r="C350" s="108"/>
      <c r="D350" s="5">
        <v>0</v>
      </c>
    </row>
    <row r="351" spans="1:4" hidden="1" x14ac:dyDescent="0.3">
      <c r="A351" t="s">
        <v>91</v>
      </c>
      <c r="B351" t="s">
        <v>90</v>
      </c>
      <c r="C351" s="108"/>
      <c r="D351" s="5">
        <v>0</v>
      </c>
    </row>
    <row r="352" spans="1:4" hidden="1" x14ac:dyDescent="0.3">
      <c r="A352" t="s">
        <v>91</v>
      </c>
      <c r="B352" t="s">
        <v>90</v>
      </c>
      <c r="C352" s="108"/>
      <c r="D352" s="5">
        <v>0</v>
      </c>
    </row>
    <row r="353" spans="1:4" hidden="1" x14ac:dyDescent="0.3">
      <c r="A353" t="s">
        <v>91</v>
      </c>
      <c r="B353" t="s">
        <v>90</v>
      </c>
      <c r="C353" s="108"/>
      <c r="D353" s="5">
        <v>0</v>
      </c>
    </row>
    <row r="354" spans="1:4" hidden="1" x14ac:dyDescent="0.3">
      <c r="A354" t="s">
        <v>91</v>
      </c>
      <c r="B354" t="s">
        <v>90</v>
      </c>
      <c r="C354" s="108"/>
      <c r="D354" s="5">
        <v>0</v>
      </c>
    </row>
    <row r="355" spans="1:4" hidden="1" x14ac:dyDescent="0.3">
      <c r="A355" t="s">
        <v>91</v>
      </c>
      <c r="B355" t="s">
        <v>90</v>
      </c>
      <c r="C355" s="108"/>
      <c r="D355" s="5">
        <v>0</v>
      </c>
    </row>
    <row r="356" spans="1:4" hidden="1" x14ac:dyDescent="0.3">
      <c r="A356" t="s">
        <v>91</v>
      </c>
      <c r="B356" t="s">
        <v>90</v>
      </c>
      <c r="C356" s="108"/>
      <c r="D356" s="5"/>
    </row>
    <row r="357" spans="1:4" hidden="1" x14ac:dyDescent="0.3">
      <c r="A357" t="s">
        <v>91</v>
      </c>
      <c r="B357" t="s">
        <v>90</v>
      </c>
      <c r="C357" s="108"/>
      <c r="D357" s="5"/>
    </row>
    <row r="358" spans="1:4" hidden="1" x14ac:dyDescent="0.3">
      <c r="A358" t="s">
        <v>91</v>
      </c>
      <c r="B358" t="s">
        <v>90</v>
      </c>
      <c r="C358" s="108"/>
      <c r="D358" s="5"/>
    </row>
    <row r="359" spans="1:4" hidden="1" x14ac:dyDescent="0.3">
      <c r="A359" t="s">
        <v>91</v>
      </c>
      <c r="B359" t="s">
        <v>90</v>
      </c>
      <c r="C359" s="108"/>
      <c r="D359" s="5"/>
    </row>
    <row r="360" spans="1:4" hidden="1" x14ac:dyDescent="0.3">
      <c r="A360" t="s">
        <v>91</v>
      </c>
      <c r="B360" t="s">
        <v>90</v>
      </c>
      <c r="C360" s="108"/>
      <c r="D360" s="5"/>
    </row>
    <row r="361" spans="1:4" hidden="1" x14ac:dyDescent="0.3">
      <c r="A361" t="s">
        <v>91</v>
      </c>
      <c r="B361" t="s">
        <v>90</v>
      </c>
      <c r="C361" s="108"/>
      <c r="D361" s="5"/>
    </row>
    <row r="362" spans="1:4" hidden="1" x14ac:dyDescent="0.3">
      <c r="A362" t="s">
        <v>91</v>
      </c>
      <c r="B362" t="s">
        <v>90</v>
      </c>
      <c r="C362" s="108"/>
      <c r="D362" s="5"/>
    </row>
    <row r="363" spans="1:4" hidden="1" x14ac:dyDescent="0.3">
      <c r="A363" t="s">
        <v>91</v>
      </c>
      <c r="B363" t="s">
        <v>90</v>
      </c>
      <c r="D363"/>
    </row>
    <row r="364" spans="1:4" hidden="1" x14ac:dyDescent="0.3">
      <c r="A364" t="s">
        <v>91</v>
      </c>
      <c r="B364" t="s">
        <v>90</v>
      </c>
      <c r="D364"/>
    </row>
    <row r="365" spans="1:4" hidden="1" x14ac:dyDescent="0.3">
      <c r="A365" t="s">
        <v>91</v>
      </c>
      <c r="B365" t="s">
        <v>90</v>
      </c>
      <c r="D365"/>
    </row>
    <row r="366" spans="1:4" hidden="1" x14ac:dyDescent="0.3">
      <c r="A366" t="s">
        <v>91</v>
      </c>
      <c r="B366" t="s">
        <v>90</v>
      </c>
      <c r="D366"/>
    </row>
    <row r="367" spans="1:4" hidden="1" x14ac:dyDescent="0.3">
      <c r="A367" t="s">
        <v>91</v>
      </c>
      <c r="B367" t="s">
        <v>90</v>
      </c>
      <c r="D367"/>
    </row>
    <row r="368" spans="1:4" hidden="1" x14ac:dyDescent="0.3">
      <c r="A368" t="s">
        <v>91</v>
      </c>
      <c r="B368" t="s">
        <v>90</v>
      </c>
      <c r="D368"/>
    </row>
    <row r="369" spans="1:4" hidden="1" x14ac:dyDescent="0.3">
      <c r="A369" t="s">
        <v>91</v>
      </c>
      <c r="B369" t="s">
        <v>90</v>
      </c>
      <c r="D369"/>
    </row>
    <row r="370" spans="1:4" hidden="1" x14ac:dyDescent="0.3">
      <c r="A370" t="s">
        <v>91</v>
      </c>
      <c r="B370" t="s">
        <v>90</v>
      </c>
      <c r="D370"/>
    </row>
    <row r="371" spans="1:4" hidden="1" x14ac:dyDescent="0.3">
      <c r="A371" t="s">
        <v>91</v>
      </c>
      <c r="B371" t="s">
        <v>90</v>
      </c>
      <c r="D371"/>
    </row>
    <row r="372" spans="1:4" hidden="1" x14ac:dyDescent="0.3">
      <c r="A372" t="s">
        <v>91</v>
      </c>
      <c r="B372" t="s">
        <v>90</v>
      </c>
      <c r="D372"/>
    </row>
    <row r="373" spans="1:4" hidden="1" x14ac:dyDescent="0.3">
      <c r="A373" t="s">
        <v>91</v>
      </c>
      <c r="B373" t="s">
        <v>90</v>
      </c>
      <c r="D373"/>
    </row>
    <row r="374" spans="1:4" hidden="1" x14ac:dyDescent="0.3">
      <c r="A374" t="s">
        <v>91</v>
      </c>
      <c r="B374" t="s">
        <v>90</v>
      </c>
      <c r="D374"/>
    </row>
    <row r="375" spans="1:4" hidden="1" x14ac:dyDescent="0.3">
      <c r="A375" t="s">
        <v>91</v>
      </c>
      <c r="B375" t="s">
        <v>90</v>
      </c>
      <c r="D375"/>
    </row>
    <row r="376" spans="1:4" hidden="1" x14ac:dyDescent="0.3">
      <c r="A376" t="s">
        <v>91</v>
      </c>
      <c r="B376" t="s">
        <v>90</v>
      </c>
      <c r="D376"/>
    </row>
    <row r="377" spans="1:4" hidden="1" x14ac:dyDescent="0.3">
      <c r="A377" t="s">
        <v>91</v>
      </c>
      <c r="B377" t="s">
        <v>90</v>
      </c>
      <c r="D377"/>
    </row>
    <row r="378" spans="1:4" hidden="1" x14ac:dyDescent="0.3">
      <c r="A378" t="s">
        <v>91</v>
      </c>
      <c r="B378" t="s">
        <v>90</v>
      </c>
      <c r="D378"/>
    </row>
    <row r="379" spans="1:4" hidden="1" x14ac:dyDescent="0.3">
      <c r="A379" t="s">
        <v>91</v>
      </c>
      <c r="B379" t="s">
        <v>90</v>
      </c>
      <c r="D379"/>
    </row>
    <row r="380" spans="1:4" hidden="1" x14ac:dyDescent="0.3">
      <c r="A380" t="s">
        <v>91</v>
      </c>
      <c r="B380" t="s">
        <v>90</v>
      </c>
      <c r="D380"/>
    </row>
    <row r="381" spans="1:4" hidden="1" x14ac:dyDescent="0.3">
      <c r="A381" t="s">
        <v>91</v>
      </c>
      <c r="B381" t="s">
        <v>90</v>
      </c>
      <c r="D381"/>
    </row>
    <row r="382" spans="1:4" hidden="1" x14ac:dyDescent="0.3">
      <c r="A382" t="s">
        <v>91</v>
      </c>
      <c r="B382" t="s">
        <v>90</v>
      </c>
      <c r="D382"/>
    </row>
    <row r="383" spans="1:4" hidden="1" x14ac:dyDescent="0.3">
      <c r="A383" t="s">
        <v>91</v>
      </c>
      <c r="B383" t="s">
        <v>90</v>
      </c>
      <c r="D383"/>
    </row>
    <row r="384" spans="1:4" hidden="1" x14ac:dyDescent="0.3">
      <c r="A384" t="s">
        <v>91</v>
      </c>
      <c r="B384" t="s">
        <v>90</v>
      </c>
      <c r="D384"/>
    </row>
    <row r="385" spans="1:4" hidden="1" x14ac:dyDescent="0.3">
      <c r="A385" t="s">
        <v>91</v>
      </c>
      <c r="B385" t="s">
        <v>90</v>
      </c>
      <c r="D385"/>
    </row>
    <row r="386" spans="1:4" hidden="1" x14ac:dyDescent="0.3">
      <c r="A386" t="s">
        <v>91</v>
      </c>
      <c r="B386" t="s">
        <v>90</v>
      </c>
      <c r="D386"/>
    </row>
    <row r="387" spans="1:4" hidden="1" x14ac:dyDescent="0.3">
      <c r="A387" t="s">
        <v>91</v>
      </c>
      <c r="B387" t="s">
        <v>90</v>
      </c>
      <c r="D387"/>
    </row>
    <row r="388" spans="1:4" hidden="1" x14ac:dyDescent="0.3">
      <c r="A388" t="s">
        <v>91</v>
      </c>
      <c r="B388" t="s">
        <v>90</v>
      </c>
      <c r="D388"/>
    </row>
    <row r="389" spans="1:4" hidden="1" x14ac:dyDescent="0.3">
      <c r="A389" t="s">
        <v>91</v>
      </c>
      <c r="B389" t="s">
        <v>90</v>
      </c>
      <c r="D389"/>
    </row>
    <row r="390" spans="1:4" hidden="1" x14ac:dyDescent="0.3">
      <c r="A390" t="s">
        <v>91</v>
      </c>
      <c r="B390" t="s">
        <v>90</v>
      </c>
      <c r="D390"/>
    </row>
    <row r="391" spans="1:4" hidden="1" x14ac:dyDescent="0.3">
      <c r="A391" t="s">
        <v>91</v>
      </c>
      <c r="B391" t="s">
        <v>90</v>
      </c>
      <c r="D391"/>
    </row>
    <row r="392" spans="1:4" hidden="1" x14ac:dyDescent="0.3">
      <c r="A392" t="s">
        <v>91</v>
      </c>
      <c r="B392" t="s">
        <v>90</v>
      </c>
      <c r="D392"/>
    </row>
    <row r="393" spans="1:4" hidden="1" x14ac:dyDescent="0.3">
      <c r="A393" t="s">
        <v>91</v>
      </c>
      <c r="B393" t="s">
        <v>90</v>
      </c>
      <c r="D393"/>
    </row>
    <row r="394" spans="1:4" hidden="1" x14ac:dyDescent="0.3">
      <c r="A394" t="s">
        <v>91</v>
      </c>
      <c r="B394" t="s">
        <v>90</v>
      </c>
      <c r="D394"/>
    </row>
    <row r="395" spans="1:4" hidden="1" x14ac:dyDescent="0.3">
      <c r="A395" t="s">
        <v>91</v>
      </c>
      <c r="B395" t="s">
        <v>90</v>
      </c>
      <c r="D395"/>
    </row>
    <row r="396" spans="1:4" hidden="1" x14ac:dyDescent="0.3">
      <c r="A396" t="s">
        <v>91</v>
      </c>
      <c r="B396" t="s">
        <v>90</v>
      </c>
      <c r="D396"/>
    </row>
    <row r="397" spans="1:4" hidden="1" x14ac:dyDescent="0.3">
      <c r="A397" t="s">
        <v>91</v>
      </c>
      <c r="B397" t="s">
        <v>90</v>
      </c>
      <c r="D397"/>
    </row>
    <row r="398" spans="1:4" hidden="1" x14ac:dyDescent="0.3">
      <c r="A398" t="s">
        <v>91</v>
      </c>
      <c r="B398" t="s">
        <v>90</v>
      </c>
      <c r="D398"/>
    </row>
    <row r="399" spans="1:4" hidden="1" x14ac:dyDescent="0.3">
      <c r="A399" t="s">
        <v>91</v>
      </c>
      <c r="B399" t="s">
        <v>90</v>
      </c>
      <c r="D399"/>
    </row>
    <row r="400" spans="1:4" hidden="1" x14ac:dyDescent="0.3">
      <c r="A400" t="s">
        <v>91</v>
      </c>
      <c r="B400" t="s">
        <v>90</v>
      </c>
      <c r="D400"/>
    </row>
    <row r="401" spans="1:4" hidden="1" x14ac:dyDescent="0.3">
      <c r="A401" t="s">
        <v>91</v>
      </c>
      <c r="B401" t="s">
        <v>90</v>
      </c>
      <c r="D401"/>
    </row>
    <row r="402" spans="1:4" hidden="1" x14ac:dyDescent="0.3">
      <c r="A402" t="s">
        <v>91</v>
      </c>
      <c r="B402" t="s">
        <v>90</v>
      </c>
      <c r="D402"/>
    </row>
    <row r="403" spans="1:4" hidden="1" x14ac:dyDescent="0.3">
      <c r="A403" t="s">
        <v>91</v>
      </c>
      <c r="B403" t="s">
        <v>90</v>
      </c>
      <c r="D403"/>
    </row>
    <row r="404" spans="1:4" hidden="1" x14ac:dyDescent="0.3">
      <c r="A404" t="s">
        <v>91</v>
      </c>
      <c r="B404" t="s">
        <v>90</v>
      </c>
      <c r="D404"/>
    </row>
    <row r="405" spans="1:4" hidden="1" x14ac:dyDescent="0.3">
      <c r="A405" t="s">
        <v>91</v>
      </c>
      <c r="B405" t="s">
        <v>90</v>
      </c>
      <c r="D405"/>
    </row>
    <row r="406" spans="1:4" hidden="1" x14ac:dyDescent="0.3">
      <c r="A406" t="s">
        <v>91</v>
      </c>
      <c r="B406" t="s">
        <v>90</v>
      </c>
      <c r="D406"/>
    </row>
    <row r="407" spans="1:4" hidden="1" x14ac:dyDescent="0.3">
      <c r="A407" t="s">
        <v>91</v>
      </c>
      <c r="B407" t="s">
        <v>90</v>
      </c>
      <c r="D407"/>
    </row>
    <row r="408" spans="1:4" hidden="1" x14ac:dyDescent="0.3">
      <c r="A408" t="s">
        <v>91</v>
      </c>
      <c r="B408" t="s">
        <v>90</v>
      </c>
      <c r="D408"/>
    </row>
    <row r="409" spans="1:4" hidden="1" x14ac:dyDescent="0.3">
      <c r="A409" t="s">
        <v>91</v>
      </c>
      <c r="B409" t="s">
        <v>90</v>
      </c>
      <c r="D409"/>
    </row>
    <row r="410" spans="1:4" hidden="1" x14ac:dyDescent="0.3">
      <c r="A410" t="s">
        <v>91</v>
      </c>
      <c r="B410" t="s">
        <v>90</v>
      </c>
      <c r="D410"/>
    </row>
    <row r="411" spans="1:4" hidden="1" x14ac:dyDescent="0.3">
      <c r="A411" t="s">
        <v>91</v>
      </c>
      <c r="B411" t="s">
        <v>90</v>
      </c>
      <c r="D411"/>
    </row>
    <row r="412" spans="1:4" hidden="1" x14ac:dyDescent="0.3">
      <c r="A412" t="s">
        <v>91</v>
      </c>
      <c r="B412" t="s">
        <v>90</v>
      </c>
      <c r="D412"/>
    </row>
    <row r="413" spans="1:4" hidden="1" x14ac:dyDescent="0.3">
      <c r="A413" t="s">
        <v>91</v>
      </c>
      <c r="B413" t="s">
        <v>90</v>
      </c>
      <c r="D413"/>
    </row>
    <row r="414" spans="1:4" hidden="1" x14ac:dyDescent="0.3">
      <c r="A414" t="s">
        <v>91</v>
      </c>
      <c r="B414" t="s">
        <v>90</v>
      </c>
      <c r="D414"/>
    </row>
    <row r="415" spans="1:4" hidden="1" x14ac:dyDescent="0.3">
      <c r="A415" t="s">
        <v>91</v>
      </c>
      <c r="B415" t="s">
        <v>90</v>
      </c>
      <c r="D415"/>
    </row>
    <row r="416" spans="1:4" hidden="1" x14ac:dyDescent="0.3">
      <c r="A416" t="s">
        <v>91</v>
      </c>
      <c r="B416" t="s">
        <v>90</v>
      </c>
      <c r="D416"/>
    </row>
    <row r="417" spans="1:4" hidden="1" x14ac:dyDescent="0.3">
      <c r="A417" t="s">
        <v>91</v>
      </c>
      <c r="B417" t="s">
        <v>90</v>
      </c>
      <c r="D417"/>
    </row>
    <row r="418" spans="1:4" hidden="1" x14ac:dyDescent="0.3">
      <c r="A418" t="s">
        <v>91</v>
      </c>
      <c r="B418" t="s">
        <v>90</v>
      </c>
      <c r="D418"/>
    </row>
    <row r="419" spans="1:4" hidden="1" x14ac:dyDescent="0.3">
      <c r="A419" t="s">
        <v>91</v>
      </c>
      <c r="B419" t="s">
        <v>90</v>
      </c>
      <c r="D419"/>
    </row>
    <row r="420" spans="1:4" hidden="1" x14ac:dyDescent="0.3">
      <c r="A420" t="s">
        <v>91</v>
      </c>
      <c r="B420" t="s">
        <v>90</v>
      </c>
      <c r="D420"/>
    </row>
    <row r="421" spans="1:4" hidden="1" x14ac:dyDescent="0.3">
      <c r="A421" t="s">
        <v>91</v>
      </c>
      <c r="B421" t="s">
        <v>90</v>
      </c>
      <c r="D421"/>
    </row>
    <row r="422" spans="1:4" hidden="1" x14ac:dyDescent="0.3">
      <c r="A422" t="s">
        <v>91</v>
      </c>
      <c r="B422" t="s">
        <v>90</v>
      </c>
      <c r="D422"/>
    </row>
    <row r="423" spans="1:4" hidden="1" x14ac:dyDescent="0.3">
      <c r="A423" t="s">
        <v>91</v>
      </c>
      <c r="B423" t="s">
        <v>90</v>
      </c>
      <c r="D423"/>
    </row>
    <row r="424" spans="1:4" hidden="1" x14ac:dyDescent="0.3">
      <c r="A424" t="s">
        <v>91</v>
      </c>
      <c r="B424" t="s">
        <v>90</v>
      </c>
      <c r="D424"/>
    </row>
    <row r="425" spans="1:4" hidden="1" x14ac:dyDescent="0.3">
      <c r="A425" t="s">
        <v>91</v>
      </c>
      <c r="B425" t="s">
        <v>90</v>
      </c>
      <c r="D425"/>
    </row>
    <row r="426" spans="1:4" hidden="1" x14ac:dyDescent="0.3">
      <c r="A426" t="s">
        <v>91</v>
      </c>
      <c r="B426" t="s">
        <v>90</v>
      </c>
      <c r="D426"/>
    </row>
    <row r="427" spans="1:4" hidden="1" x14ac:dyDescent="0.3">
      <c r="A427" t="s">
        <v>91</v>
      </c>
      <c r="B427" t="s">
        <v>90</v>
      </c>
      <c r="D427"/>
    </row>
    <row r="428" spans="1:4" hidden="1" x14ac:dyDescent="0.3">
      <c r="A428" t="s">
        <v>91</v>
      </c>
      <c r="B428" t="s">
        <v>90</v>
      </c>
      <c r="D428"/>
    </row>
    <row r="429" spans="1:4" hidden="1" x14ac:dyDescent="0.3">
      <c r="A429" t="s">
        <v>91</v>
      </c>
      <c r="B429" t="s">
        <v>90</v>
      </c>
      <c r="D429"/>
    </row>
    <row r="430" spans="1:4" hidden="1" x14ac:dyDescent="0.3">
      <c r="A430" t="s">
        <v>91</v>
      </c>
      <c r="B430" t="s">
        <v>90</v>
      </c>
      <c r="D430"/>
    </row>
    <row r="431" spans="1:4" hidden="1" x14ac:dyDescent="0.3">
      <c r="A431" t="s">
        <v>91</v>
      </c>
      <c r="B431" t="s">
        <v>90</v>
      </c>
      <c r="D431"/>
    </row>
    <row r="432" spans="1:4" hidden="1" x14ac:dyDescent="0.3">
      <c r="A432" t="s">
        <v>91</v>
      </c>
      <c r="B432" t="s">
        <v>90</v>
      </c>
      <c r="D432"/>
    </row>
    <row r="433" spans="1:4" hidden="1" x14ac:dyDescent="0.3">
      <c r="A433" t="s">
        <v>91</v>
      </c>
      <c r="B433" t="s">
        <v>90</v>
      </c>
      <c r="D433"/>
    </row>
    <row r="434" spans="1:4" hidden="1" x14ac:dyDescent="0.3">
      <c r="A434" t="s">
        <v>91</v>
      </c>
      <c r="B434" t="s">
        <v>90</v>
      </c>
      <c r="D434"/>
    </row>
    <row r="435" spans="1:4" hidden="1" x14ac:dyDescent="0.3">
      <c r="A435" t="s">
        <v>91</v>
      </c>
      <c r="B435" t="s">
        <v>90</v>
      </c>
      <c r="D435"/>
    </row>
    <row r="436" spans="1:4" hidden="1" x14ac:dyDescent="0.3">
      <c r="A436" t="s">
        <v>91</v>
      </c>
      <c r="B436" t="s">
        <v>90</v>
      </c>
      <c r="D436"/>
    </row>
    <row r="437" spans="1:4" hidden="1" x14ac:dyDescent="0.3">
      <c r="A437" t="s">
        <v>91</v>
      </c>
      <c r="B437" t="s">
        <v>90</v>
      </c>
      <c r="D437"/>
    </row>
    <row r="438" spans="1:4" hidden="1" x14ac:dyDescent="0.3">
      <c r="A438" t="s">
        <v>91</v>
      </c>
      <c r="B438" t="s">
        <v>90</v>
      </c>
      <c r="D438"/>
    </row>
    <row r="439" spans="1:4" hidden="1" x14ac:dyDescent="0.3">
      <c r="A439" t="s">
        <v>91</v>
      </c>
      <c r="B439" t="s">
        <v>90</v>
      </c>
      <c r="D439"/>
    </row>
    <row r="440" spans="1:4" hidden="1" x14ac:dyDescent="0.3">
      <c r="A440" t="s">
        <v>91</v>
      </c>
      <c r="B440" t="s">
        <v>90</v>
      </c>
      <c r="D440"/>
    </row>
    <row r="441" spans="1:4" hidden="1" x14ac:dyDescent="0.3">
      <c r="A441" t="s">
        <v>91</v>
      </c>
      <c r="B441" t="s">
        <v>90</v>
      </c>
      <c r="D441"/>
    </row>
    <row r="442" spans="1:4" hidden="1" x14ac:dyDescent="0.3">
      <c r="A442" t="s">
        <v>91</v>
      </c>
      <c r="B442" t="s">
        <v>90</v>
      </c>
      <c r="D442"/>
    </row>
    <row r="443" spans="1:4" hidden="1" x14ac:dyDescent="0.3">
      <c r="A443" t="s">
        <v>91</v>
      </c>
      <c r="B443" t="s">
        <v>90</v>
      </c>
      <c r="D443"/>
    </row>
    <row r="444" spans="1:4" hidden="1" x14ac:dyDescent="0.3">
      <c r="A444" t="s">
        <v>91</v>
      </c>
      <c r="B444" t="s">
        <v>90</v>
      </c>
      <c r="D444"/>
    </row>
    <row r="445" spans="1:4" hidden="1" x14ac:dyDescent="0.3">
      <c r="A445" t="s">
        <v>91</v>
      </c>
      <c r="B445" t="s">
        <v>90</v>
      </c>
      <c r="D445"/>
    </row>
    <row r="446" spans="1:4" hidden="1" x14ac:dyDescent="0.3">
      <c r="A446" t="s">
        <v>91</v>
      </c>
      <c r="B446" t="s">
        <v>90</v>
      </c>
      <c r="D446"/>
    </row>
    <row r="447" spans="1:4" hidden="1" x14ac:dyDescent="0.3">
      <c r="A447" t="s">
        <v>91</v>
      </c>
      <c r="B447" t="s">
        <v>90</v>
      </c>
      <c r="D447"/>
    </row>
    <row r="448" spans="1:4" hidden="1" x14ac:dyDescent="0.3">
      <c r="A448" t="s">
        <v>91</v>
      </c>
      <c r="B448" t="s">
        <v>90</v>
      </c>
      <c r="D448"/>
    </row>
    <row r="449" spans="1:5" hidden="1" x14ac:dyDescent="0.3">
      <c r="A449" t="s">
        <v>91</v>
      </c>
      <c r="B449" t="s">
        <v>90</v>
      </c>
      <c r="D449"/>
    </row>
    <row r="450" spans="1:5" hidden="1" x14ac:dyDescent="0.3">
      <c r="A450" t="s">
        <v>91</v>
      </c>
      <c r="B450" t="s">
        <v>90</v>
      </c>
      <c r="D450"/>
    </row>
    <row r="451" spans="1:5" hidden="1" x14ac:dyDescent="0.3">
      <c r="A451" t="s">
        <v>91</v>
      </c>
      <c r="B451" t="s">
        <v>90</v>
      </c>
      <c r="D451"/>
    </row>
    <row r="452" spans="1:5" hidden="1" x14ac:dyDescent="0.3">
      <c r="A452" t="s">
        <v>91</v>
      </c>
      <c r="B452" t="s">
        <v>90</v>
      </c>
      <c r="D452"/>
    </row>
    <row r="453" spans="1:5" hidden="1" x14ac:dyDescent="0.3">
      <c r="A453" t="s">
        <v>91</v>
      </c>
      <c r="B453" t="s">
        <v>90</v>
      </c>
      <c r="D453"/>
    </row>
    <row r="454" spans="1:5" hidden="1" x14ac:dyDescent="0.3">
      <c r="A454" t="s">
        <v>91</v>
      </c>
      <c r="B454" t="s">
        <v>90</v>
      </c>
      <c r="D454"/>
    </row>
    <row r="455" spans="1:5" hidden="1" x14ac:dyDescent="0.3">
      <c r="A455" t="s">
        <v>91</v>
      </c>
      <c r="B455" t="s">
        <v>93</v>
      </c>
      <c r="D455"/>
      <c r="E455" s="2"/>
    </row>
    <row r="456" spans="1:5" hidden="1" x14ac:dyDescent="0.3">
      <c r="A456" t="s">
        <v>91</v>
      </c>
      <c r="B456" t="s">
        <v>93</v>
      </c>
      <c r="D456"/>
      <c r="E456" s="2"/>
    </row>
    <row r="457" spans="1:5" x14ac:dyDescent="0.3">
      <c r="A457" t="s">
        <v>80</v>
      </c>
      <c r="B457" t="s">
        <v>90</v>
      </c>
      <c r="C457" s="84"/>
      <c r="D457" s="84"/>
      <c r="E457" s="2"/>
    </row>
    <row r="458" spans="1:5" x14ac:dyDescent="0.3">
      <c r="A458" t="s">
        <v>80</v>
      </c>
      <c r="B458" t="s">
        <v>90</v>
      </c>
      <c r="C458" s="84"/>
      <c r="D458" s="84"/>
    </row>
    <row r="459" spans="1:5" x14ac:dyDescent="0.3">
      <c r="A459" t="s">
        <v>80</v>
      </c>
      <c r="B459" t="s">
        <v>90</v>
      </c>
      <c r="C459" s="84"/>
      <c r="D459" s="84"/>
    </row>
    <row r="460" spans="1:5" x14ac:dyDescent="0.3">
      <c r="A460" t="s">
        <v>80</v>
      </c>
      <c r="B460" t="s">
        <v>90</v>
      </c>
      <c r="C460" s="84"/>
      <c r="D460" s="84"/>
    </row>
    <row r="461" spans="1:5" x14ac:dyDescent="0.3">
      <c r="A461" t="s">
        <v>80</v>
      </c>
      <c r="B461" t="s">
        <v>90</v>
      </c>
      <c r="C461" s="84"/>
      <c r="D461" s="84"/>
    </row>
    <row r="462" spans="1:5" x14ac:dyDescent="0.3">
      <c r="A462" t="s">
        <v>80</v>
      </c>
      <c r="B462" t="s">
        <v>90</v>
      </c>
      <c r="C462" s="84"/>
      <c r="D462" s="84"/>
    </row>
    <row r="463" spans="1:5" x14ac:dyDescent="0.3">
      <c r="A463" t="s">
        <v>80</v>
      </c>
      <c r="B463" t="s">
        <v>90</v>
      </c>
      <c r="C463" s="84"/>
      <c r="D463" s="84"/>
    </row>
    <row r="464" spans="1:5" x14ac:dyDescent="0.3">
      <c r="A464" t="s">
        <v>80</v>
      </c>
      <c r="B464" t="s">
        <v>90</v>
      </c>
      <c r="C464" s="84"/>
      <c r="D464" s="84"/>
    </row>
    <row r="465" spans="1:4" x14ac:dyDescent="0.3">
      <c r="A465" t="s">
        <v>80</v>
      </c>
      <c r="B465" t="s">
        <v>90</v>
      </c>
      <c r="C465" s="84"/>
      <c r="D465" s="84"/>
    </row>
    <row r="466" spans="1:4" x14ac:dyDescent="0.3">
      <c r="A466" t="s">
        <v>80</v>
      </c>
      <c r="B466" t="s">
        <v>90</v>
      </c>
      <c r="C466" s="84"/>
      <c r="D466" s="84"/>
    </row>
    <row r="467" spans="1:4" x14ac:dyDescent="0.3">
      <c r="A467" t="s">
        <v>80</v>
      </c>
      <c r="B467" t="s">
        <v>90</v>
      </c>
      <c r="C467" s="84"/>
      <c r="D467" s="84"/>
    </row>
    <row r="468" spans="1:4" x14ac:dyDescent="0.3">
      <c r="A468" t="s">
        <v>80</v>
      </c>
      <c r="B468" t="s">
        <v>90</v>
      </c>
      <c r="C468" s="84"/>
      <c r="D468" s="84"/>
    </row>
    <row r="469" spans="1:4" x14ac:dyDescent="0.3">
      <c r="A469" t="s">
        <v>80</v>
      </c>
      <c r="B469" t="s">
        <v>90</v>
      </c>
      <c r="C469" s="84"/>
      <c r="D469" s="84"/>
    </row>
    <row r="470" spans="1:4" x14ac:dyDescent="0.3">
      <c r="A470" t="s">
        <v>80</v>
      </c>
      <c r="B470" t="s">
        <v>90</v>
      </c>
      <c r="C470" s="84"/>
      <c r="D470" s="84"/>
    </row>
    <row r="471" spans="1:4" x14ac:dyDescent="0.3">
      <c r="A471" t="s">
        <v>80</v>
      </c>
      <c r="B471" t="s">
        <v>90</v>
      </c>
      <c r="C471" s="84"/>
      <c r="D471" s="84"/>
    </row>
    <row r="472" spans="1:4" x14ac:dyDescent="0.3">
      <c r="A472" t="s">
        <v>80</v>
      </c>
      <c r="B472" t="s">
        <v>90</v>
      </c>
      <c r="C472" s="84"/>
      <c r="D472" s="84"/>
    </row>
    <row r="473" spans="1:4" x14ac:dyDescent="0.3">
      <c r="A473" t="s">
        <v>80</v>
      </c>
      <c r="B473" t="s">
        <v>90</v>
      </c>
      <c r="C473" s="84"/>
      <c r="D473" s="84"/>
    </row>
    <row r="474" spans="1:4" x14ac:dyDescent="0.3">
      <c r="A474" t="s">
        <v>80</v>
      </c>
      <c r="B474" t="s">
        <v>90</v>
      </c>
      <c r="C474" s="84"/>
      <c r="D474" s="84"/>
    </row>
    <row r="475" spans="1:4" x14ac:dyDescent="0.3">
      <c r="A475" t="s">
        <v>80</v>
      </c>
      <c r="B475" t="s">
        <v>90</v>
      </c>
      <c r="C475" s="84"/>
      <c r="D475" s="84"/>
    </row>
    <row r="476" spans="1:4" x14ac:dyDescent="0.3">
      <c r="A476" t="s">
        <v>80</v>
      </c>
      <c r="B476" t="s">
        <v>90</v>
      </c>
      <c r="C476" s="84"/>
      <c r="D476" s="84"/>
    </row>
    <row r="477" spans="1:4" x14ac:dyDescent="0.3">
      <c r="A477" t="s">
        <v>80</v>
      </c>
      <c r="B477" t="s">
        <v>90</v>
      </c>
      <c r="C477" s="84"/>
      <c r="D477" s="84"/>
    </row>
    <row r="478" spans="1:4" x14ac:dyDescent="0.3">
      <c r="A478" t="s">
        <v>80</v>
      </c>
      <c r="B478" t="s">
        <v>90</v>
      </c>
      <c r="C478" s="84"/>
      <c r="D478" s="84"/>
    </row>
    <row r="479" spans="1:4" x14ac:dyDescent="0.3">
      <c r="A479" t="s">
        <v>80</v>
      </c>
      <c r="B479" t="s">
        <v>90</v>
      </c>
      <c r="C479" s="84"/>
      <c r="D479" s="84"/>
    </row>
    <row r="480" spans="1:4" x14ac:dyDescent="0.3">
      <c r="A480" t="s">
        <v>80</v>
      </c>
      <c r="B480" t="s">
        <v>90</v>
      </c>
      <c r="C480" s="84"/>
      <c r="D480" s="84"/>
    </row>
    <row r="481" spans="1:4" x14ac:dyDescent="0.3">
      <c r="A481" t="s">
        <v>80</v>
      </c>
      <c r="B481" t="s">
        <v>90</v>
      </c>
      <c r="C481" s="84"/>
      <c r="D481" s="84"/>
    </row>
    <row r="482" spans="1:4" x14ac:dyDescent="0.3">
      <c r="A482" t="s">
        <v>80</v>
      </c>
      <c r="B482" t="s">
        <v>90</v>
      </c>
      <c r="C482" s="84"/>
      <c r="D482" s="84"/>
    </row>
    <row r="483" spans="1:4" x14ac:dyDescent="0.3">
      <c r="A483" t="s">
        <v>80</v>
      </c>
      <c r="B483" t="s">
        <v>90</v>
      </c>
      <c r="C483" s="84"/>
      <c r="D483" s="84"/>
    </row>
    <row r="484" spans="1:4" x14ac:dyDescent="0.3">
      <c r="A484" t="s">
        <v>80</v>
      </c>
      <c r="B484" t="s">
        <v>90</v>
      </c>
      <c r="C484" s="84"/>
      <c r="D484" s="84"/>
    </row>
    <row r="485" spans="1:4" x14ac:dyDescent="0.3">
      <c r="A485" t="s">
        <v>80</v>
      </c>
      <c r="B485" t="s">
        <v>90</v>
      </c>
      <c r="C485" s="84"/>
      <c r="D485" s="84"/>
    </row>
    <row r="486" spans="1:4" x14ac:dyDescent="0.3">
      <c r="A486" t="s">
        <v>80</v>
      </c>
      <c r="B486" t="s">
        <v>90</v>
      </c>
      <c r="C486" s="84"/>
      <c r="D486" s="84"/>
    </row>
    <row r="487" spans="1:4" x14ac:dyDescent="0.3">
      <c r="A487" t="s">
        <v>80</v>
      </c>
      <c r="B487" t="s">
        <v>90</v>
      </c>
      <c r="C487" s="84"/>
      <c r="D487" s="84"/>
    </row>
    <row r="488" spans="1:4" x14ac:dyDescent="0.3">
      <c r="A488" t="s">
        <v>80</v>
      </c>
      <c r="B488" t="s">
        <v>90</v>
      </c>
      <c r="C488" s="84"/>
      <c r="D488" s="84"/>
    </row>
    <row r="489" spans="1:4" x14ac:dyDescent="0.3">
      <c r="A489" t="s">
        <v>80</v>
      </c>
      <c r="B489" t="s">
        <v>90</v>
      </c>
      <c r="C489" s="84"/>
      <c r="D489" s="84"/>
    </row>
    <row r="490" spans="1:4" x14ac:dyDescent="0.3">
      <c r="A490" t="s">
        <v>80</v>
      </c>
      <c r="B490" t="s">
        <v>90</v>
      </c>
      <c r="C490" s="84"/>
      <c r="D490" s="84"/>
    </row>
    <row r="491" spans="1:4" x14ac:dyDescent="0.3">
      <c r="A491" t="s">
        <v>80</v>
      </c>
      <c r="B491" t="s">
        <v>90</v>
      </c>
      <c r="C491" s="84"/>
      <c r="D491" s="84"/>
    </row>
    <row r="492" spans="1:4" x14ac:dyDescent="0.3">
      <c r="A492" t="s">
        <v>80</v>
      </c>
      <c r="B492" t="s">
        <v>90</v>
      </c>
      <c r="C492" s="84"/>
      <c r="D492" s="84"/>
    </row>
    <row r="493" spans="1:4" x14ac:dyDescent="0.3">
      <c r="A493" t="s">
        <v>80</v>
      </c>
      <c r="B493" t="s">
        <v>90</v>
      </c>
      <c r="C493" s="84"/>
      <c r="D493" s="84"/>
    </row>
    <row r="494" spans="1:4" x14ac:dyDescent="0.3">
      <c r="A494" t="s">
        <v>80</v>
      </c>
      <c r="B494" t="s">
        <v>90</v>
      </c>
      <c r="C494" s="84"/>
      <c r="D494" s="84"/>
    </row>
    <row r="495" spans="1:4" x14ac:dyDescent="0.3">
      <c r="A495" t="s">
        <v>80</v>
      </c>
      <c r="B495" t="s">
        <v>90</v>
      </c>
      <c r="C495" s="84"/>
      <c r="D495" s="84"/>
    </row>
    <row r="496" spans="1:4" x14ac:dyDescent="0.3">
      <c r="A496" t="s">
        <v>80</v>
      </c>
      <c r="B496" t="s">
        <v>90</v>
      </c>
      <c r="C496" s="84"/>
      <c r="D496" s="84"/>
    </row>
    <row r="497" spans="1:4" x14ac:dyDescent="0.3">
      <c r="A497" t="s">
        <v>80</v>
      </c>
      <c r="B497" t="s">
        <v>90</v>
      </c>
      <c r="C497" s="84"/>
      <c r="D497" s="84"/>
    </row>
    <row r="498" spans="1:4" x14ac:dyDescent="0.3">
      <c r="A498" t="s">
        <v>80</v>
      </c>
      <c r="B498" t="s">
        <v>90</v>
      </c>
      <c r="C498" s="84"/>
      <c r="D498" s="84"/>
    </row>
    <row r="499" spans="1:4" x14ac:dyDescent="0.3">
      <c r="A499" t="s">
        <v>80</v>
      </c>
      <c r="B499" t="s">
        <v>90</v>
      </c>
      <c r="C499" s="84"/>
      <c r="D499" s="84"/>
    </row>
    <row r="500" spans="1:4" x14ac:dyDescent="0.3">
      <c r="A500" t="s">
        <v>80</v>
      </c>
      <c r="B500" t="s">
        <v>90</v>
      </c>
      <c r="C500" s="84"/>
      <c r="D500" s="84"/>
    </row>
    <row r="501" spans="1:4" x14ac:dyDescent="0.3">
      <c r="A501" t="s">
        <v>80</v>
      </c>
      <c r="B501" t="s">
        <v>90</v>
      </c>
      <c r="C501" s="84"/>
      <c r="D501" s="84"/>
    </row>
    <row r="502" spans="1:4" x14ac:dyDescent="0.3">
      <c r="A502" t="s">
        <v>80</v>
      </c>
      <c r="B502" t="s">
        <v>90</v>
      </c>
      <c r="C502" s="84"/>
      <c r="D502" s="84"/>
    </row>
    <row r="503" spans="1:4" x14ac:dyDescent="0.3">
      <c r="A503" t="s">
        <v>80</v>
      </c>
      <c r="B503" t="s">
        <v>90</v>
      </c>
      <c r="C503" s="84"/>
      <c r="D503" s="84"/>
    </row>
    <row r="504" spans="1:4" x14ac:dyDescent="0.3">
      <c r="A504" t="s">
        <v>80</v>
      </c>
      <c r="B504" t="s">
        <v>90</v>
      </c>
      <c r="C504" s="84"/>
      <c r="D504" s="84"/>
    </row>
    <row r="505" spans="1:4" x14ac:dyDescent="0.3">
      <c r="A505" t="s">
        <v>80</v>
      </c>
      <c r="B505" t="s">
        <v>90</v>
      </c>
      <c r="C505" s="84"/>
      <c r="D505" s="84"/>
    </row>
    <row r="506" spans="1:4" x14ac:dyDescent="0.3">
      <c r="A506" t="s">
        <v>80</v>
      </c>
      <c r="B506" t="s">
        <v>90</v>
      </c>
      <c r="C506" s="84"/>
      <c r="D506" s="84"/>
    </row>
    <row r="507" spans="1:4" x14ac:dyDescent="0.3">
      <c r="A507" t="s">
        <v>80</v>
      </c>
      <c r="B507" t="s">
        <v>90</v>
      </c>
      <c r="C507" s="84"/>
      <c r="D507" s="84"/>
    </row>
    <row r="508" spans="1:4" x14ac:dyDescent="0.3">
      <c r="A508" t="s">
        <v>80</v>
      </c>
      <c r="B508" t="s">
        <v>90</v>
      </c>
      <c r="C508" s="84"/>
      <c r="D508" s="84"/>
    </row>
    <row r="509" spans="1:4" x14ac:dyDescent="0.3">
      <c r="A509" t="s">
        <v>80</v>
      </c>
      <c r="B509" t="s">
        <v>90</v>
      </c>
      <c r="C509" s="84"/>
      <c r="D509" s="84"/>
    </row>
    <row r="510" spans="1:4" x14ac:dyDescent="0.3">
      <c r="A510" t="s">
        <v>80</v>
      </c>
      <c r="B510" t="s">
        <v>90</v>
      </c>
      <c r="C510" s="84"/>
      <c r="D510" s="84"/>
    </row>
    <row r="511" spans="1:4" x14ac:dyDescent="0.3">
      <c r="A511" t="s">
        <v>80</v>
      </c>
      <c r="B511" t="s">
        <v>90</v>
      </c>
      <c r="C511" s="84"/>
      <c r="D511" s="84"/>
    </row>
    <row r="512" spans="1:4" x14ac:dyDescent="0.3">
      <c r="A512" t="s">
        <v>80</v>
      </c>
      <c r="B512" t="s">
        <v>90</v>
      </c>
      <c r="C512" s="84"/>
      <c r="D512" s="84"/>
    </row>
    <row r="513" spans="1:4" x14ac:dyDescent="0.3">
      <c r="A513" t="s">
        <v>80</v>
      </c>
      <c r="B513" t="s">
        <v>90</v>
      </c>
      <c r="C513" s="84"/>
      <c r="D513" s="84"/>
    </row>
    <row r="514" spans="1:4" x14ac:dyDescent="0.3">
      <c r="A514" t="s">
        <v>80</v>
      </c>
      <c r="B514" t="s">
        <v>90</v>
      </c>
      <c r="C514" s="84"/>
      <c r="D514" s="84"/>
    </row>
    <row r="515" spans="1:4" x14ac:dyDescent="0.3">
      <c r="A515" t="s">
        <v>80</v>
      </c>
      <c r="B515" t="s">
        <v>90</v>
      </c>
      <c r="C515" s="84"/>
      <c r="D515" s="84"/>
    </row>
    <row r="516" spans="1:4" x14ac:dyDescent="0.3">
      <c r="A516" t="s">
        <v>80</v>
      </c>
      <c r="B516" t="s">
        <v>90</v>
      </c>
      <c r="C516" s="84"/>
      <c r="D516" s="84"/>
    </row>
    <row r="517" spans="1:4" x14ac:dyDescent="0.3">
      <c r="A517" t="s">
        <v>80</v>
      </c>
      <c r="B517" t="s">
        <v>90</v>
      </c>
      <c r="C517" s="84"/>
      <c r="D517" s="84"/>
    </row>
    <row r="518" spans="1:4" x14ac:dyDescent="0.3">
      <c r="A518" t="s">
        <v>80</v>
      </c>
      <c r="B518" t="s">
        <v>90</v>
      </c>
      <c r="C518" s="84"/>
      <c r="D518" s="84"/>
    </row>
    <row r="519" spans="1:4" x14ac:dyDescent="0.3">
      <c r="A519" t="s">
        <v>80</v>
      </c>
      <c r="B519" t="s">
        <v>90</v>
      </c>
      <c r="C519" s="84"/>
      <c r="D519" s="84"/>
    </row>
    <row r="520" spans="1:4" x14ac:dyDescent="0.3">
      <c r="A520" t="s">
        <v>80</v>
      </c>
      <c r="B520" t="s">
        <v>90</v>
      </c>
      <c r="C520" s="84"/>
      <c r="D520" s="84"/>
    </row>
    <row r="521" spans="1:4" x14ac:dyDescent="0.3">
      <c r="A521" t="s">
        <v>80</v>
      </c>
      <c r="B521" t="s">
        <v>90</v>
      </c>
      <c r="C521" s="84"/>
      <c r="D521" s="84"/>
    </row>
    <row r="522" spans="1:4" x14ac:dyDescent="0.3">
      <c r="A522" t="s">
        <v>80</v>
      </c>
      <c r="B522" t="s">
        <v>90</v>
      </c>
      <c r="C522" s="84"/>
      <c r="D522" s="84"/>
    </row>
    <row r="523" spans="1:4" x14ac:dyDescent="0.3">
      <c r="A523" t="s">
        <v>80</v>
      </c>
      <c r="B523" t="s">
        <v>90</v>
      </c>
      <c r="C523" s="84"/>
      <c r="D523" s="84"/>
    </row>
    <row r="524" spans="1:4" x14ac:dyDescent="0.3">
      <c r="A524" t="s">
        <v>80</v>
      </c>
      <c r="B524" t="s">
        <v>90</v>
      </c>
      <c r="C524" s="84"/>
      <c r="D524" s="84"/>
    </row>
    <row r="525" spans="1:4" x14ac:dyDescent="0.3">
      <c r="A525" t="s">
        <v>80</v>
      </c>
      <c r="B525" t="s">
        <v>90</v>
      </c>
      <c r="C525" s="84"/>
      <c r="D525" s="84"/>
    </row>
    <row r="526" spans="1:4" x14ac:dyDescent="0.3">
      <c r="A526" t="s">
        <v>80</v>
      </c>
      <c r="B526" t="s">
        <v>90</v>
      </c>
      <c r="C526" s="84"/>
      <c r="D526" s="84"/>
    </row>
    <row r="527" spans="1:4" x14ac:dyDescent="0.3">
      <c r="A527" t="s">
        <v>80</v>
      </c>
      <c r="B527" t="s">
        <v>90</v>
      </c>
      <c r="C527" s="84"/>
      <c r="D527" s="84"/>
    </row>
    <row r="528" spans="1:4" x14ac:dyDescent="0.3">
      <c r="A528" t="s">
        <v>80</v>
      </c>
      <c r="B528" t="s">
        <v>90</v>
      </c>
      <c r="C528" s="84"/>
      <c r="D528" s="84"/>
    </row>
    <row r="529" spans="1:4" x14ac:dyDescent="0.3">
      <c r="A529" t="s">
        <v>80</v>
      </c>
      <c r="B529" t="s">
        <v>90</v>
      </c>
      <c r="C529" s="84"/>
      <c r="D529" s="84"/>
    </row>
    <row r="530" spans="1:4" x14ac:dyDescent="0.3">
      <c r="A530" t="s">
        <v>80</v>
      </c>
      <c r="B530" t="s">
        <v>90</v>
      </c>
      <c r="C530" s="84"/>
      <c r="D530" s="84"/>
    </row>
    <row r="531" spans="1:4" x14ac:dyDescent="0.3">
      <c r="A531" t="s">
        <v>80</v>
      </c>
      <c r="B531" t="s">
        <v>90</v>
      </c>
      <c r="C531" s="84"/>
      <c r="D531" s="84"/>
    </row>
    <row r="532" spans="1:4" x14ac:dyDescent="0.3">
      <c r="A532" t="s">
        <v>80</v>
      </c>
      <c r="B532" t="s">
        <v>90</v>
      </c>
      <c r="C532" s="84"/>
      <c r="D532" s="84"/>
    </row>
    <row r="533" spans="1:4" x14ac:dyDescent="0.3">
      <c r="A533" t="s">
        <v>80</v>
      </c>
      <c r="B533" t="s">
        <v>90</v>
      </c>
      <c r="C533" s="84"/>
      <c r="D533" s="84"/>
    </row>
    <row r="534" spans="1:4" x14ac:dyDescent="0.3">
      <c r="A534" t="s">
        <v>80</v>
      </c>
      <c r="B534" t="s">
        <v>90</v>
      </c>
      <c r="C534" s="84"/>
      <c r="D534" s="84"/>
    </row>
    <row r="535" spans="1:4" x14ac:dyDescent="0.3">
      <c r="A535" t="s">
        <v>80</v>
      </c>
      <c r="B535" t="s">
        <v>90</v>
      </c>
      <c r="C535" s="84"/>
      <c r="D535" s="84"/>
    </row>
    <row r="536" spans="1:4" x14ac:dyDescent="0.3">
      <c r="A536" t="s">
        <v>80</v>
      </c>
      <c r="B536" t="s">
        <v>90</v>
      </c>
      <c r="C536" s="84"/>
      <c r="D536" s="84"/>
    </row>
    <row r="537" spans="1:4" x14ac:dyDescent="0.3">
      <c r="A537" t="s">
        <v>80</v>
      </c>
      <c r="B537" t="s">
        <v>90</v>
      </c>
      <c r="C537" s="84"/>
      <c r="D537" s="84"/>
    </row>
    <row r="538" spans="1:4" x14ac:dyDescent="0.3">
      <c r="A538" t="s">
        <v>80</v>
      </c>
      <c r="B538" t="s">
        <v>90</v>
      </c>
      <c r="C538" s="84"/>
      <c r="D538" s="84"/>
    </row>
    <row r="539" spans="1:4" x14ac:dyDescent="0.3">
      <c r="A539" t="s">
        <v>80</v>
      </c>
      <c r="B539" t="s">
        <v>90</v>
      </c>
      <c r="C539" s="84"/>
      <c r="D539" s="84"/>
    </row>
    <row r="540" spans="1:4" x14ac:dyDescent="0.3">
      <c r="A540" t="s">
        <v>80</v>
      </c>
      <c r="B540" t="s">
        <v>90</v>
      </c>
      <c r="C540" s="84"/>
      <c r="D540" s="84"/>
    </row>
    <row r="541" spans="1:4" x14ac:dyDescent="0.3">
      <c r="A541" t="s">
        <v>80</v>
      </c>
      <c r="B541" t="s">
        <v>90</v>
      </c>
      <c r="C541" s="84"/>
      <c r="D541" s="84"/>
    </row>
    <row r="542" spans="1:4" x14ac:dyDescent="0.3">
      <c r="A542" t="s">
        <v>80</v>
      </c>
      <c r="B542" t="s">
        <v>90</v>
      </c>
      <c r="C542" s="84"/>
      <c r="D542" s="84"/>
    </row>
    <row r="543" spans="1:4" x14ac:dyDescent="0.3">
      <c r="A543" t="s">
        <v>80</v>
      </c>
      <c r="B543" t="s">
        <v>90</v>
      </c>
      <c r="C543" s="84"/>
      <c r="D543" s="84"/>
    </row>
    <row r="544" spans="1:4" x14ac:dyDescent="0.3">
      <c r="A544" t="s">
        <v>80</v>
      </c>
      <c r="B544" t="s">
        <v>90</v>
      </c>
      <c r="C544" s="84"/>
      <c r="D544" s="84"/>
    </row>
    <row r="545" spans="1:4" x14ac:dyDescent="0.3">
      <c r="A545" t="s">
        <v>80</v>
      </c>
      <c r="B545" t="s">
        <v>90</v>
      </c>
      <c r="C545" s="84"/>
      <c r="D545" s="84"/>
    </row>
    <row r="546" spans="1:4" x14ac:dyDescent="0.3">
      <c r="A546" t="s">
        <v>80</v>
      </c>
      <c r="B546" t="s">
        <v>90</v>
      </c>
      <c r="C546" s="84"/>
      <c r="D546" s="84"/>
    </row>
    <row r="547" spans="1:4" x14ac:dyDescent="0.3">
      <c r="A547" t="s">
        <v>80</v>
      </c>
      <c r="B547" t="s">
        <v>90</v>
      </c>
      <c r="C547" s="84"/>
      <c r="D547" s="84"/>
    </row>
    <row r="548" spans="1:4" x14ac:dyDescent="0.3">
      <c r="A548" t="s">
        <v>80</v>
      </c>
      <c r="B548" t="s">
        <v>90</v>
      </c>
      <c r="C548" s="84"/>
      <c r="D548" s="84"/>
    </row>
    <row r="549" spans="1:4" x14ac:dyDescent="0.3">
      <c r="A549" t="s">
        <v>80</v>
      </c>
      <c r="B549" t="s">
        <v>90</v>
      </c>
      <c r="C549" s="84"/>
      <c r="D549" s="84"/>
    </row>
    <row r="550" spans="1:4" x14ac:dyDescent="0.3">
      <c r="A550" t="s">
        <v>80</v>
      </c>
      <c r="B550" t="s">
        <v>90</v>
      </c>
      <c r="C550" s="84"/>
      <c r="D550" s="84"/>
    </row>
    <row r="551" spans="1:4" x14ac:dyDescent="0.3">
      <c r="A551" t="s">
        <v>80</v>
      </c>
      <c r="B551" t="s">
        <v>90</v>
      </c>
      <c r="C551" s="84"/>
      <c r="D551" s="84"/>
    </row>
    <row r="552" spans="1:4" x14ac:dyDescent="0.3">
      <c r="A552" t="s">
        <v>80</v>
      </c>
      <c r="B552" t="s">
        <v>90</v>
      </c>
      <c r="C552" s="84"/>
      <c r="D552" s="84"/>
    </row>
    <row r="553" spans="1:4" x14ac:dyDescent="0.3">
      <c r="A553" t="s">
        <v>80</v>
      </c>
      <c r="B553" t="s">
        <v>90</v>
      </c>
      <c r="C553" s="84"/>
      <c r="D553" s="84"/>
    </row>
    <row r="554" spans="1:4" x14ac:dyDescent="0.3">
      <c r="A554" t="s">
        <v>80</v>
      </c>
      <c r="B554" t="s">
        <v>90</v>
      </c>
      <c r="C554" s="84"/>
      <c r="D554" s="84"/>
    </row>
    <row r="555" spans="1:4" x14ac:dyDescent="0.3">
      <c r="A555" t="s">
        <v>80</v>
      </c>
      <c r="B555" t="s">
        <v>90</v>
      </c>
      <c r="C555" s="84"/>
      <c r="D555" s="84"/>
    </row>
    <row r="556" spans="1:4" x14ac:dyDescent="0.3">
      <c r="A556" t="s">
        <v>80</v>
      </c>
      <c r="B556" t="s">
        <v>90</v>
      </c>
      <c r="C556" s="84"/>
      <c r="D556" s="84"/>
    </row>
    <row r="557" spans="1:4" x14ac:dyDescent="0.3">
      <c r="A557" t="s">
        <v>80</v>
      </c>
      <c r="B557" t="s">
        <v>90</v>
      </c>
      <c r="C557" s="84"/>
      <c r="D557" s="84"/>
    </row>
    <row r="558" spans="1:4" x14ac:dyDescent="0.3">
      <c r="A558" t="s">
        <v>80</v>
      </c>
      <c r="B558" t="s">
        <v>90</v>
      </c>
      <c r="C558" s="84"/>
      <c r="D558" s="84"/>
    </row>
    <row r="559" spans="1:4" x14ac:dyDescent="0.3">
      <c r="A559" t="s">
        <v>80</v>
      </c>
      <c r="B559" t="s">
        <v>90</v>
      </c>
      <c r="C559" s="84"/>
      <c r="D559" s="84"/>
    </row>
    <row r="560" spans="1:4" x14ac:dyDescent="0.3">
      <c r="A560" t="s">
        <v>80</v>
      </c>
      <c r="B560" t="s">
        <v>90</v>
      </c>
      <c r="C560" s="84"/>
      <c r="D560" s="84"/>
    </row>
    <row r="561" spans="1:4" x14ac:dyDescent="0.3">
      <c r="A561" t="s">
        <v>80</v>
      </c>
      <c r="B561" t="s">
        <v>90</v>
      </c>
      <c r="C561" s="84"/>
      <c r="D561" s="84"/>
    </row>
    <row r="562" spans="1:4" x14ac:dyDescent="0.3">
      <c r="A562" t="s">
        <v>80</v>
      </c>
      <c r="B562" t="s">
        <v>90</v>
      </c>
      <c r="C562" s="84"/>
      <c r="D562" s="84"/>
    </row>
    <row r="563" spans="1:4" x14ac:dyDescent="0.3">
      <c r="A563" t="s">
        <v>80</v>
      </c>
      <c r="B563" t="s">
        <v>90</v>
      </c>
      <c r="C563" s="84"/>
      <c r="D563" s="84"/>
    </row>
    <row r="564" spans="1:4" x14ac:dyDescent="0.3">
      <c r="A564" t="s">
        <v>80</v>
      </c>
      <c r="B564" t="s">
        <v>90</v>
      </c>
      <c r="C564" s="84"/>
      <c r="D564" s="84"/>
    </row>
    <row r="565" spans="1:4" x14ac:dyDescent="0.3">
      <c r="A565" t="s">
        <v>80</v>
      </c>
      <c r="B565" t="s">
        <v>90</v>
      </c>
      <c r="C565" s="84"/>
      <c r="D565" s="84"/>
    </row>
    <row r="566" spans="1:4" x14ac:dyDescent="0.3">
      <c r="A566" t="s">
        <v>80</v>
      </c>
      <c r="B566" t="s">
        <v>90</v>
      </c>
      <c r="C566" s="84"/>
      <c r="D566" s="84"/>
    </row>
    <row r="567" spans="1:4" x14ac:dyDescent="0.3">
      <c r="A567" t="s">
        <v>80</v>
      </c>
      <c r="B567" t="s">
        <v>90</v>
      </c>
      <c r="C567" s="84"/>
      <c r="D567" s="84"/>
    </row>
    <row r="568" spans="1:4" x14ac:dyDescent="0.3">
      <c r="A568" t="s">
        <v>80</v>
      </c>
      <c r="B568" t="s">
        <v>90</v>
      </c>
      <c r="C568" s="84"/>
      <c r="D568" s="84"/>
    </row>
    <row r="569" spans="1:4" x14ac:dyDescent="0.3">
      <c r="A569" t="s">
        <v>80</v>
      </c>
      <c r="B569" t="s">
        <v>90</v>
      </c>
      <c r="C569" s="84"/>
      <c r="D569" s="84"/>
    </row>
    <row r="570" spans="1:4" x14ac:dyDescent="0.3">
      <c r="A570" t="s">
        <v>80</v>
      </c>
      <c r="B570" t="s">
        <v>90</v>
      </c>
      <c r="C570" s="84"/>
      <c r="D570" s="84"/>
    </row>
    <row r="571" spans="1:4" x14ac:dyDescent="0.3">
      <c r="A571" t="s">
        <v>80</v>
      </c>
      <c r="B571" t="s">
        <v>90</v>
      </c>
      <c r="C571" s="84"/>
      <c r="D571" s="84"/>
    </row>
    <row r="572" spans="1:4" x14ac:dyDescent="0.3">
      <c r="A572" t="s">
        <v>80</v>
      </c>
      <c r="B572" t="s">
        <v>90</v>
      </c>
      <c r="C572" s="84"/>
      <c r="D572" s="84"/>
    </row>
    <row r="573" spans="1:4" x14ac:dyDescent="0.3">
      <c r="A573" t="s">
        <v>80</v>
      </c>
      <c r="B573" t="s">
        <v>90</v>
      </c>
      <c r="C573" s="84"/>
      <c r="D573" s="84"/>
    </row>
    <row r="574" spans="1:4" x14ac:dyDescent="0.3">
      <c r="A574" t="s">
        <v>80</v>
      </c>
      <c r="B574" t="s">
        <v>90</v>
      </c>
      <c r="C574" s="84"/>
      <c r="D574" s="84"/>
    </row>
    <row r="575" spans="1:4" x14ac:dyDescent="0.3">
      <c r="A575" t="s">
        <v>80</v>
      </c>
      <c r="B575" t="s">
        <v>90</v>
      </c>
      <c r="C575" s="84"/>
      <c r="D575" s="84"/>
    </row>
    <row r="576" spans="1:4" x14ac:dyDescent="0.3">
      <c r="A576" t="s">
        <v>80</v>
      </c>
      <c r="B576" t="s">
        <v>90</v>
      </c>
      <c r="C576" s="84"/>
      <c r="D576" s="84"/>
    </row>
    <row r="577" spans="1:4" x14ac:dyDescent="0.3">
      <c r="A577" t="s">
        <v>80</v>
      </c>
      <c r="B577" t="s">
        <v>90</v>
      </c>
      <c r="C577" s="84"/>
      <c r="D577" s="84"/>
    </row>
    <row r="578" spans="1:4" x14ac:dyDescent="0.3">
      <c r="A578" t="s">
        <v>80</v>
      </c>
      <c r="B578" t="s">
        <v>90</v>
      </c>
      <c r="C578" s="84"/>
      <c r="D578" s="84"/>
    </row>
    <row r="579" spans="1:4" x14ac:dyDescent="0.3">
      <c r="A579" t="s">
        <v>80</v>
      </c>
      <c r="B579" t="s">
        <v>90</v>
      </c>
      <c r="C579" s="84"/>
      <c r="D579" s="84"/>
    </row>
    <row r="580" spans="1:4" x14ac:dyDescent="0.3">
      <c r="A580" t="s">
        <v>80</v>
      </c>
      <c r="B580" t="s">
        <v>90</v>
      </c>
      <c r="C580" s="84"/>
      <c r="D580" s="84"/>
    </row>
    <row r="581" spans="1:4" x14ac:dyDescent="0.3">
      <c r="A581" t="s">
        <v>80</v>
      </c>
      <c r="B581" t="s">
        <v>90</v>
      </c>
      <c r="C581" s="84"/>
      <c r="D581" s="84"/>
    </row>
    <row r="582" spans="1:4" x14ac:dyDescent="0.3">
      <c r="A582" t="s">
        <v>80</v>
      </c>
      <c r="B582" t="s">
        <v>90</v>
      </c>
      <c r="C582" s="84"/>
      <c r="D582" s="84"/>
    </row>
    <row r="583" spans="1:4" x14ac:dyDescent="0.3">
      <c r="A583" t="s">
        <v>80</v>
      </c>
      <c r="B583" t="s">
        <v>90</v>
      </c>
      <c r="C583" s="84"/>
      <c r="D583" s="84"/>
    </row>
    <row r="584" spans="1:4" x14ac:dyDescent="0.3">
      <c r="A584" t="s">
        <v>80</v>
      </c>
      <c r="B584" t="s">
        <v>90</v>
      </c>
      <c r="C584" s="84"/>
      <c r="D584" s="84"/>
    </row>
    <row r="585" spans="1:4" x14ac:dyDescent="0.3">
      <c r="A585" t="s">
        <v>80</v>
      </c>
      <c r="B585" t="s">
        <v>90</v>
      </c>
      <c r="C585" s="84"/>
      <c r="D585" s="84"/>
    </row>
    <row r="586" spans="1:4" x14ac:dyDescent="0.3">
      <c r="A586" t="s">
        <v>80</v>
      </c>
      <c r="B586" t="s">
        <v>90</v>
      </c>
      <c r="C586" s="84"/>
      <c r="D586" s="84"/>
    </row>
    <row r="587" spans="1:4" x14ac:dyDescent="0.3">
      <c r="A587" t="s">
        <v>80</v>
      </c>
      <c r="B587" t="s">
        <v>90</v>
      </c>
      <c r="C587" s="84"/>
      <c r="D587" s="84"/>
    </row>
    <row r="588" spans="1:4" x14ac:dyDescent="0.3">
      <c r="A588" t="s">
        <v>80</v>
      </c>
      <c r="B588" t="s">
        <v>90</v>
      </c>
      <c r="C588" s="84"/>
      <c r="D588" s="84"/>
    </row>
    <row r="589" spans="1:4" x14ac:dyDescent="0.3">
      <c r="A589" t="s">
        <v>80</v>
      </c>
      <c r="B589" t="s">
        <v>90</v>
      </c>
      <c r="C589" s="84"/>
      <c r="D589" s="84"/>
    </row>
    <row r="590" spans="1:4" x14ac:dyDescent="0.3">
      <c r="A590" t="s">
        <v>80</v>
      </c>
      <c r="B590" t="s">
        <v>90</v>
      </c>
      <c r="C590" s="84"/>
      <c r="D590" s="84"/>
    </row>
    <row r="591" spans="1:4" x14ac:dyDescent="0.3">
      <c r="A591" t="s">
        <v>80</v>
      </c>
      <c r="B591" t="s">
        <v>90</v>
      </c>
      <c r="C591" s="84"/>
      <c r="D591" s="84"/>
    </row>
    <row r="592" spans="1:4" x14ac:dyDescent="0.3">
      <c r="A592" t="s">
        <v>80</v>
      </c>
      <c r="B592" t="s">
        <v>90</v>
      </c>
      <c r="C592" s="84"/>
      <c r="D592" s="84"/>
    </row>
    <row r="593" spans="1:4" x14ac:dyDescent="0.3">
      <c r="A593" t="s">
        <v>80</v>
      </c>
      <c r="B593" t="s">
        <v>90</v>
      </c>
      <c r="C593" s="84"/>
      <c r="D593" s="84"/>
    </row>
    <row r="594" spans="1:4" x14ac:dyDescent="0.3">
      <c r="A594" t="s">
        <v>80</v>
      </c>
      <c r="B594" t="s">
        <v>90</v>
      </c>
      <c r="C594" s="84"/>
      <c r="D594" s="84"/>
    </row>
    <row r="595" spans="1:4" x14ac:dyDescent="0.3">
      <c r="A595" t="s">
        <v>80</v>
      </c>
      <c r="B595" t="s">
        <v>90</v>
      </c>
      <c r="C595" s="84"/>
      <c r="D595" s="84"/>
    </row>
    <row r="596" spans="1:4" x14ac:dyDescent="0.3">
      <c r="A596" t="s">
        <v>80</v>
      </c>
      <c r="B596" t="s">
        <v>90</v>
      </c>
      <c r="C596" s="84"/>
      <c r="D596" s="84"/>
    </row>
    <row r="597" spans="1:4" x14ac:dyDescent="0.3">
      <c r="A597" t="s">
        <v>80</v>
      </c>
      <c r="B597" t="s">
        <v>90</v>
      </c>
      <c r="C597" s="84"/>
      <c r="D597" s="84"/>
    </row>
    <row r="598" spans="1:4" x14ac:dyDescent="0.3">
      <c r="A598" t="s">
        <v>80</v>
      </c>
      <c r="B598" t="s">
        <v>90</v>
      </c>
      <c r="C598" s="84"/>
      <c r="D598" s="84"/>
    </row>
    <row r="599" spans="1:4" x14ac:dyDescent="0.3">
      <c r="A599" t="s">
        <v>80</v>
      </c>
      <c r="B599" t="s">
        <v>90</v>
      </c>
      <c r="C599" s="84"/>
      <c r="D599" s="84"/>
    </row>
    <row r="600" spans="1:4" x14ac:dyDescent="0.3">
      <c r="A600" t="s">
        <v>80</v>
      </c>
      <c r="B600" t="s">
        <v>90</v>
      </c>
      <c r="C600" s="84"/>
      <c r="D600" s="84"/>
    </row>
    <row r="601" spans="1:4" x14ac:dyDescent="0.3">
      <c r="A601" t="s">
        <v>80</v>
      </c>
      <c r="B601" t="s">
        <v>90</v>
      </c>
      <c r="C601" s="84"/>
      <c r="D601" s="84"/>
    </row>
    <row r="602" spans="1:4" x14ac:dyDescent="0.3">
      <c r="A602" t="s">
        <v>80</v>
      </c>
      <c r="B602" t="s">
        <v>90</v>
      </c>
      <c r="C602" s="84"/>
      <c r="D602" s="84"/>
    </row>
    <row r="603" spans="1:4" x14ac:dyDescent="0.3">
      <c r="A603" t="s">
        <v>80</v>
      </c>
      <c r="B603" t="s">
        <v>90</v>
      </c>
      <c r="C603" s="84"/>
      <c r="D603" s="84"/>
    </row>
    <row r="604" spans="1:4" x14ac:dyDescent="0.3">
      <c r="A604" t="s">
        <v>80</v>
      </c>
      <c r="B604" t="s">
        <v>90</v>
      </c>
      <c r="C604" s="84"/>
      <c r="D604" s="84"/>
    </row>
    <row r="605" spans="1:4" x14ac:dyDescent="0.3">
      <c r="A605" t="s">
        <v>80</v>
      </c>
      <c r="B605" t="s">
        <v>90</v>
      </c>
      <c r="C605" s="84"/>
      <c r="D605" s="84"/>
    </row>
    <row r="606" spans="1:4" x14ac:dyDescent="0.3">
      <c r="A606" t="s">
        <v>80</v>
      </c>
      <c r="B606" t="s">
        <v>90</v>
      </c>
      <c r="C606" s="84"/>
      <c r="D606" s="84"/>
    </row>
    <row r="607" spans="1:4" x14ac:dyDescent="0.3">
      <c r="A607" t="s">
        <v>80</v>
      </c>
      <c r="B607" t="s">
        <v>90</v>
      </c>
      <c r="C607" s="84"/>
      <c r="D607" s="84"/>
    </row>
    <row r="608" spans="1:4" x14ac:dyDescent="0.3">
      <c r="A608" t="s">
        <v>80</v>
      </c>
      <c r="B608" t="s">
        <v>90</v>
      </c>
      <c r="C608" s="84"/>
      <c r="D608" s="84"/>
    </row>
    <row r="609" spans="1:4" x14ac:dyDescent="0.3">
      <c r="A609" t="s">
        <v>80</v>
      </c>
      <c r="B609" t="s">
        <v>90</v>
      </c>
      <c r="C609" s="84"/>
      <c r="D609" s="84"/>
    </row>
    <row r="610" spans="1:4" x14ac:dyDescent="0.3">
      <c r="A610" t="s">
        <v>80</v>
      </c>
      <c r="B610" t="s">
        <v>90</v>
      </c>
      <c r="C610" s="84"/>
      <c r="D610" s="84"/>
    </row>
    <row r="611" spans="1:4" x14ac:dyDescent="0.3">
      <c r="A611" t="s">
        <v>80</v>
      </c>
      <c r="B611" t="s">
        <v>90</v>
      </c>
      <c r="C611" s="84"/>
      <c r="D611" s="84"/>
    </row>
    <row r="612" spans="1:4" x14ac:dyDescent="0.3">
      <c r="A612" t="s">
        <v>80</v>
      </c>
      <c r="B612" t="s">
        <v>90</v>
      </c>
      <c r="C612" s="84"/>
      <c r="D612" s="84"/>
    </row>
    <row r="613" spans="1:4" x14ac:dyDescent="0.3">
      <c r="A613" t="s">
        <v>80</v>
      </c>
      <c r="B613" t="s">
        <v>90</v>
      </c>
      <c r="C613" s="84"/>
      <c r="D613" s="84"/>
    </row>
    <row r="614" spans="1:4" x14ac:dyDescent="0.3">
      <c r="A614" t="s">
        <v>80</v>
      </c>
      <c r="B614" t="s">
        <v>90</v>
      </c>
      <c r="C614" s="84"/>
      <c r="D614" s="84"/>
    </row>
    <row r="615" spans="1:4" x14ac:dyDescent="0.3">
      <c r="A615" t="s">
        <v>80</v>
      </c>
      <c r="B615" t="s">
        <v>90</v>
      </c>
      <c r="C615" s="84"/>
      <c r="D615" s="84"/>
    </row>
    <row r="616" spans="1:4" x14ac:dyDescent="0.3">
      <c r="A616" t="s">
        <v>80</v>
      </c>
      <c r="B616" t="s">
        <v>90</v>
      </c>
      <c r="C616" s="84"/>
      <c r="D616" s="84"/>
    </row>
    <row r="617" spans="1:4" x14ac:dyDescent="0.3">
      <c r="A617" t="s">
        <v>80</v>
      </c>
      <c r="B617" t="s">
        <v>90</v>
      </c>
      <c r="C617" s="84"/>
      <c r="D617" s="84"/>
    </row>
    <row r="618" spans="1:4" x14ac:dyDescent="0.3">
      <c r="A618" t="s">
        <v>80</v>
      </c>
      <c r="B618" t="s">
        <v>90</v>
      </c>
      <c r="C618" s="84"/>
      <c r="D618" s="84"/>
    </row>
    <row r="619" spans="1:4" x14ac:dyDescent="0.3">
      <c r="A619" t="s">
        <v>80</v>
      </c>
      <c r="B619" t="s">
        <v>90</v>
      </c>
      <c r="C619" s="84"/>
      <c r="D619" s="84"/>
    </row>
    <row r="620" spans="1:4" x14ac:dyDescent="0.3">
      <c r="A620" t="s">
        <v>80</v>
      </c>
      <c r="B620" t="s">
        <v>90</v>
      </c>
      <c r="C620" s="84"/>
      <c r="D620" s="84"/>
    </row>
    <row r="621" spans="1:4" x14ac:dyDescent="0.3">
      <c r="A621" t="s">
        <v>80</v>
      </c>
      <c r="B621" t="s">
        <v>90</v>
      </c>
      <c r="C621" s="84"/>
      <c r="D621" s="84"/>
    </row>
    <row r="622" spans="1:4" x14ac:dyDescent="0.3">
      <c r="A622" t="s">
        <v>80</v>
      </c>
      <c r="B622" t="s">
        <v>90</v>
      </c>
      <c r="C622" s="84"/>
      <c r="D622" s="84"/>
    </row>
    <row r="623" spans="1:4" x14ac:dyDescent="0.3">
      <c r="A623" t="s">
        <v>80</v>
      </c>
      <c r="B623" t="s">
        <v>90</v>
      </c>
      <c r="C623" s="84"/>
      <c r="D623" s="84"/>
    </row>
    <row r="624" spans="1:4" x14ac:dyDescent="0.3">
      <c r="A624" t="s">
        <v>80</v>
      </c>
      <c r="B624" t="s">
        <v>90</v>
      </c>
      <c r="C624" s="84"/>
      <c r="D624" s="84"/>
    </row>
    <row r="625" spans="1:4" x14ac:dyDescent="0.3">
      <c r="A625" t="s">
        <v>80</v>
      </c>
      <c r="B625" t="s">
        <v>90</v>
      </c>
      <c r="C625" s="84"/>
      <c r="D625" s="84"/>
    </row>
    <row r="626" spans="1:4" x14ac:dyDescent="0.3">
      <c r="A626" t="s">
        <v>80</v>
      </c>
      <c r="B626" t="s">
        <v>90</v>
      </c>
      <c r="C626" s="84"/>
      <c r="D626" s="84"/>
    </row>
    <row r="627" spans="1:4" x14ac:dyDescent="0.3">
      <c r="A627" t="s">
        <v>80</v>
      </c>
      <c r="B627" t="s">
        <v>90</v>
      </c>
      <c r="C627" s="84"/>
      <c r="D627" s="84"/>
    </row>
    <row r="628" spans="1:4" x14ac:dyDescent="0.3">
      <c r="A628" t="s">
        <v>80</v>
      </c>
      <c r="B628" t="s">
        <v>90</v>
      </c>
      <c r="C628" s="84"/>
      <c r="D628" s="84"/>
    </row>
    <row r="629" spans="1:4" x14ac:dyDescent="0.3">
      <c r="A629" t="s">
        <v>80</v>
      </c>
      <c r="B629" t="s">
        <v>90</v>
      </c>
      <c r="C629" s="84"/>
      <c r="D629" s="84"/>
    </row>
    <row r="630" spans="1:4" x14ac:dyDescent="0.3">
      <c r="A630" t="s">
        <v>80</v>
      </c>
      <c r="B630" t="s">
        <v>90</v>
      </c>
      <c r="C630" s="84"/>
      <c r="D630" s="84"/>
    </row>
    <row r="631" spans="1:4" x14ac:dyDescent="0.3">
      <c r="A631" t="s">
        <v>80</v>
      </c>
      <c r="B631" t="s">
        <v>90</v>
      </c>
      <c r="C631" s="84"/>
      <c r="D631" s="84"/>
    </row>
    <row r="632" spans="1:4" x14ac:dyDescent="0.3">
      <c r="A632" t="s">
        <v>80</v>
      </c>
      <c r="B632" t="s">
        <v>90</v>
      </c>
      <c r="C632" s="84"/>
      <c r="D632" s="84"/>
    </row>
    <row r="633" spans="1:4" x14ac:dyDescent="0.3">
      <c r="A633" t="s">
        <v>80</v>
      </c>
      <c r="B633" t="s">
        <v>90</v>
      </c>
      <c r="C633" s="84"/>
      <c r="D633" s="84"/>
    </row>
    <row r="634" spans="1:4" x14ac:dyDescent="0.3">
      <c r="A634" t="s">
        <v>80</v>
      </c>
      <c r="B634" t="s">
        <v>90</v>
      </c>
      <c r="C634" s="84"/>
      <c r="D634" s="84"/>
    </row>
    <row r="635" spans="1:4" x14ac:dyDescent="0.3">
      <c r="A635" t="s">
        <v>80</v>
      </c>
      <c r="B635" t="s">
        <v>90</v>
      </c>
      <c r="C635" s="84"/>
      <c r="D635" s="84"/>
    </row>
    <row r="636" spans="1:4" x14ac:dyDescent="0.3">
      <c r="A636" t="s">
        <v>80</v>
      </c>
      <c r="B636" t="s">
        <v>90</v>
      </c>
      <c r="C636" s="84"/>
      <c r="D636" s="84"/>
    </row>
    <row r="637" spans="1:4" x14ac:dyDescent="0.3">
      <c r="A637" t="s">
        <v>80</v>
      </c>
      <c r="B637" t="s">
        <v>90</v>
      </c>
      <c r="C637" s="84"/>
      <c r="D637" s="84"/>
    </row>
    <row r="638" spans="1:4" x14ac:dyDescent="0.3">
      <c r="A638" t="s">
        <v>80</v>
      </c>
      <c r="B638" t="s">
        <v>90</v>
      </c>
      <c r="C638" s="84"/>
      <c r="D638" s="84"/>
    </row>
    <row r="639" spans="1:4" x14ac:dyDescent="0.3">
      <c r="A639" t="s">
        <v>80</v>
      </c>
      <c r="B639" t="s">
        <v>90</v>
      </c>
      <c r="C639" s="84"/>
      <c r="D639" s="84"/>
    </row>
    <row r="640" spans="1:4" x14ac:dyDescent="0.3">
      <c r="A640" t="s">
        <v>80</v>
      </c>
      <c r="B640" t="s">
        <v>90</v>
      </c>
      <c r="C640" s="84"/>
      <c r="D640" s="84"/>
    </row>
    <row r="641" spans="1:4" x14ac:dyDescent="0.3">
      <c r="A641" t="s">
        <v>80</v>
      </c>
      <c r="B641" t="s">
        <v>90</v>
      </c>
      <c r="C641" s="84"/>
      <c r="D641" s="84"/>
    </row>
    <row r="642" spans="1:4" x14ac:dyDescent="0.3">
      <c r="A642" t="s">
        <v>80</v>
      </c>
      <c r="B642" t="s">
        <v>90</v>
      </c>
      <c r="C642" s="84"/>
      <c r="D642" s="84"/>
    </row>
    <row r="643" spans="1:4" x14ac:dyDescent="0.3">
      <c r="A643" t="s">
        <v>80</v>
      </c>
      <c r="B643" t="s">
        <v>90</v>
      </c>
      <c r="C643" s="84"/>
      <c r="D643" s="84"/>
    </row>
    <row r="644" spans="1:4" x14ac:dyDescent="0.3">
      <c r="A644" t="s">
        <v>80</v>
      </c>
      <c r="B644" t="s">
        <v>90</v>
      </c>
      <c r="C644" s="84"/>
      <c r="D644" s="84"/>
    </row>
    <row r="645" spans="1:4" x14ac:dyDescent="0.3">
      <c r="A645" t="s">
        <v>80</v>
      </c>
      <c r="B645" t="s">
        <v>90</v>
      </c>
      <c r="C645" s="84"/>
      <c r="D645" s="84"/>
    </row>
    <row r="646" spans="1:4" x14ac:dyDescent="0.3">
      <c r="A646" t="s">
        <v>80</v>
      </c>
      <c r="B646" t="s">
        <v>90</v>
      </c>
      <c r="C646" s="84"/>
      <c r="D646" s="84"/>
    </row>
    <row r="647" spans="1:4" x14ac:dyDescent="0.3">
      <c r="A647" t="s">
        <v>80</v>
      </c>
      <c r="B647" t="s">
        <v>90</v>
      </c>
      <c r="C647" s="84"/>
      <c r="D647" s="84"/>
    </row>
    <row r="648" spans="1:4" x14ac:dyDescent="0.3">
      <c r="A648" t="s">
        <v>80</v>
      </c>
      <c r="B648" t="s">
        <v>90</v>
      </c>
      <c r="C648" s="84"/>
      <c r="D648" s="84"/>
    </row>
    <row r="649" spans="1:4" x14ac:dyDescent="0.3">
      <c r="A649" t="s">
        <v>80</v>
      </c>
      <c r="B649" t="s">
        <v>90</v>
      </c>
      <c r="C649" s="84"/>
      <c r="D649" s="84"/>
    </row>
    <row r="650" spans="1:4" x14ac:dyDescent="0.3">
      <c r="A650" t="s">
        <v>80</v>
      </c>
      <c r="B650" t="s">
        <v>90</v>
      </c>
      <c r="C650" s="84"/>
      <c r="D650" s="84"/>
    </row>
    <row r="651" spans="1:4" x14ac:dyDescent="0.3">
      <c r="A651" t="s">
        <v>80</v>
      </c>
      <c r="B651" t="s">
        <v>90</v>
      </c>
      <c r="C651" s="84"/>
      <c r="D651" s="84"/>
    </row>
    <row r="652" spans="1:4" x14ac:dyDescent="0.3">
      <c r="A652" t="s">
        <v>80</v>
      </c>
      <c r="B652" t="s">
        <v>90</v>
      </c>
      <c r="C652" s="84"/>
      <c r="D652" s="84"/>
    </row>
    <row r="653" spans="1:4" x14ac:dyDescent="0.3">
      <c r="A653" t="s">
        <v>80</v>
      </c>
      <c r="B653" t="s">
        <v>90</v>
      </c>
      <c r="C653" s="84"/>
      <c r="D653" s="84"/>
    </row>
    <row r="654" spans="1:4" x14ac:dyDescent="0.3">
      <c r="A654" t="s">
        <v>80</v>
      </c>
      <c r="B654" t="s">
        <v>90</v>
      </c>
      <c r="C654" s="84"/>
      <c r="D654" s="84"/>
    </row>
    <row r="655" spans="1:4" x14ac:dyDescent="0.3">
      <c r="A655" t="s">
        <v>80</v>
      </c>
      <c r="B655" t="s">
        <v>90</v>
      </c>
      <c r="C655" s="84"/>
      <c r="D655" s="84"/>
    </row>
    <row r="656" spans="1:4" x14ac:dyDescent="0.3">
      <c r="A656" t="s">
        <v>80</v>
      </c>
      <c r="B656" t="s">
        <v>90</v>
      </c>
      <c r="C656" s="84"/>
      <c r="D656" s="84"/>
    </row>
    <row r="657" spans="1:4" x14ac:dyDescent="0.3">
      <c r="A657" t="s">
        <v>80</v>
      </c>
      <c r="B657" t="s">
        <v>90</v>
      </c>
      <c r="C657" s="84"/>
      <c r="D657" s="84"/>
    </row>
    <row r="658" spans="1:4" x14ac:dyDescent="0.3">
      <c r="A658" t="s">
        <v>80</v>
      </c>
      <c r="B658" t="s">
        <v>90</v>
      </c>
      <c r="C658" s="84"/>
      <c r="D658" s="84"/>
    </row>
    <row r="659" spans="1:4" x14ac:dyDescent="0.3">
      <c r="A659" t="s">
        <v>80</v>
      </c>
      <c r="B659" t="s">
        <v>90</v>
      </c>
      <c r="C659" s="84"/>
      <c r="D659" s="84"/>
    </row>
    <row r="660" spans="1:4" x14ac:dyDescent="0.3">
      <c r="A660" t="s">
        <v>80</v>
      </c>
      <c r="B660" t="s">
        <v>90</v>
      </c>
      <c r="C660" s="84"/>
      <c r="D660" s="84"/>
    </row>
    <row r="661" spans="1:4" x14ac:dyDescent="0.3">
      <c r="A661" t="s">
        <v>80</v>
      </c>
      <c r="B661" t="s">
        <v>90</v>
      </c>
      <c r="C661" s="84"/>
      <c r="D661" s="84"/>
    </row>
    <row r="662" spans="1:4" x14ac:dyDescent="0.3">
      <c r="A662" t="s">
        <v>80</v>
      </c>
      <c r="B662" t="s">
        <v>90</v>
      </c>
      <c r="C662" s="84"/>
      <c r="D662" s="84"/>
    </row>
    <row r="663" spans="1:4" x14ac:dyDescent="0.3">
      <c r="A663" t="s">
        <v>80</v>
      </c>
      <c r="B663" t="s">
        <v>90</v>
      </c>
      <c r="C663" s="84"/>
      <c r="D663" s="84"/>
    </row>
    <row r="664" spans="1:4" x14ac:dyDescent="0.3">
      <c r="A664" t="s">
        <v>80</v>
      </c>
      <c r="B664" t="s">
        <v>90</v>
      </c>
      <c r="C664" s="84"/>
      <c r="D664" s="84"/>
    </row>
    <row r="665" spans="1:4" x14ac:dyDescent="0.3">
      <c r="A665" t="s">
        <v>80</v>
      </c>
      <c r="B665" t="s">
        <v>90</v>
      </c>
      <c r="C665" s="84"/>
      <c r="D665" s="84"/>
    </row>
    <row r="666" spans="1:4" x14ac:dyDescent="0.3">
      <c r="A666" t="s">
        <v>80</v>
      </c>
      <c r="B666" t="s">
        <v>90</v>
      </c>
      <c r="C666" s="84"/>
      <c r="D666" s="84"/>
    </row>
    <row r="667" spans="1:4" x14ac:dyDescent="0.3">
      <c r="A667" t="s">
        <v>80</v>
      </c>
      <c r="B667" t="s">
        <v>90</v>
      </c>
      <c r="C667" s="84"/>
      <c r="D667" s="84"/>
    </row>
    <row r="668" spans="1:4" x14ac:dyDescent="0.3">
      <c r="A668" t="s">
        <v>80</v>
      </c>
      <c r="B668" t="s">
        <v>90</v>
      </c>
      <c r="C668" s="84"/>
      <c r="D668" s="84"/>
    </row>
    <row r="669" spans="1:4" x14ac:dyDescent="0.3">
      <c r="A669" t="s">
        <v>80</v>
      </c>
      <c r="B669" t="s">
        <v>90</v>
      </c>
      <c r="C669" s="84"/>
      <c r="D669" s="84"/>
    </row>
    <row r="670" spans="1:4" x14ac:dyDescent="0.3">
      <c r="A670" t="s">
        <v>80</v>
      </c>
      <c r="B670" t="s">
        <v>90</v>
      </c>
      <c r="C670" s="84"/>
      <c r="D670" s="84"/>
    </row>
    <row r="671" spans="1:4" x14ac:dyDescent="0.3">
      <c r="A671" t="s">
        <v>80</v>
      </c>
      <c r="B671" t="s">
        <v>90</v>
      </c>
      <c r="C671" s="84"/>
      <c r="D671" s="84"/>
    </row>
    <row r="672" spans="1:4" x14ac:dyDescent="0.3">
      <c r="A672" t="s">
        <v>80</v>
      </c>
      <c r="B672" t="s">
        <v>90</v>
      </c>
      <c r="C672" s="84"/>
      <c r="D672" s="84"/>
    </row>
    <row r="673" spans="1:4" x14ac:dyDescent="0.3">
      <c r="A673" t="s">
        <v>80</v>
      </c>
      <c r="B673" t="s">
        <v>90</v>
      </c>
      <c r="C673" s="84"/>
      <c r="D673" s="84"/>
    </row>
    <row r="674" spans="1:4" x14ac:dyDescent="0.3">
      <c r="A674" t="s">
        <v>80</v>
      </c>
      <c r="B674" t="s">
        <v>90</v>
      </c>
      <c r="C674" s="84"/>
      <c r="D674" s="84"/>
    </row>
    <row r="675" spans="1:4" x14ac:dyDescent="0.3">
      <c r="A675" t="s">
        <v>80</v>
      </c>
      <c r="B675" t="s">
        <v>90</v>
      </c>
      <c r="C675" s="84"/>
      <c r="D675" s="84"/>
    </row>
    <row r="676" spans="1:4" x14ac:dyDescent="0.3">
      <c r="A676" t="s">
        <v>80</v>
      </c>
      <c r="B676" t="s">
        <v>90</v>
      </c>
      <c r="C676" s="84"/>
      <c r="D676" s="84"/>
    </row>
    <row r="677" spans="1:4" x14ac:dyDescent="0.3">
      <c r="A677" t="s">
        <v>80</v>
      </c>
      <c r="B677" t="s">
        <v>90</v>
      </c>
      <c r="C677" s="84"/>
      <c r="D677" s="84"/>
    </row>
    <row r="678" spans="1:4" x14ac:dyDescent="0.3">
      <c r="A678" t="s">
        <v>80</v>
      </c>
      <c r="B678" t="s">
        <v>90</v>
      </c>
      <c r="C678" s="84"/>
      <c r="D678" s="84"/>
    </row>
    <row r="679" spans="1:4" x14ac:dyDescent="0.3">
      <c r="A679" t="s">
        <v>80</v>
      </c>
      <c r="B679" t="s">
        <v>90</v>
      </c>
      <c r="C679" s="84"/>
      <c r="D679" s="84"/>
    </row>
    <row r="680" spans="1:4" x14ac:dyDescent="0.3">
      <c r="A680" t="s">
        <v>80</v>
      </c>
      <c r="B680" t="s">
        <v>90</v>
      </c>
      <c r="C680" s="84"/>
      <c r="D680" s="84"/>
    </row>
    <row r="681" spans="1:4" x14ac:dyDescent="0.3">
      <c r="A681" t="s">
        <v>80</v>
      </c>
      <c r="B681" t="s">
        <v>90</v>
      </c>
      <c r="C681" s="84"/>
      <c r="D681" s="84"/>
    </row>
    <row r="682" spans="1:4" x14ac:dyDescent="0.3">
      <c r="A682" t="s">
        <v>80</v>
      </c>
      <c r="B682" t="s">
        <v>90</v>
      </c>
      <c r="C682" s="84"/>
      <c r="D682" s="84"/>
    </row>
    <row r="683" spans="1:4" x14ac:dyDescent="0.3">
      <c r="A683" t="s">
        <v>80</v>
      </c>
      <c r="B683" t="s">
        <v>90</v>
      </c>
      <c r="C683" s="84"/>
      <c r="D683" s="84"/>
    </row>
    <row r="684" spans="1:4" x14ac:dyDescent="0.3">
      <c r="A684" t="s">
        <v>80</v>
      </c>
      <c r="B684" t="s">
        <v>90</v>
      </c>
      <c r="C684" s="84"/>
      <c r="D684" s="84"/>
    </row>
    <row r="685" spans="1:4" x14ac:dyDescent="0.3">
      <c r="A685" t="s">
        <v>80</v>
      </c>
      <c r="B685" t="s">
        <v>90</v>
      </c>
      <c r="C685" s="84"/>
      <c r="D685" s="84"/>
    </row>
    <row r="686" spans="1:4" x14ac:dyDescent="0.3">
      <c r="A686" t="s">
        <v>80</v>
      </c>
      <c r="B686" t="s">
        <v>90</v>
      </c>
      <c r="C686" s="84"/>
      <c r="D686" s="84"/>
    </row>
    <row r="687" spans="1:4" x14ac:dyDescent="0.3">
      <c r="A687" t="s">
        <v>80</v>
      </c>
      <c r="B687" t="s">
        <v>90</v>
      </c>
      <c r="C687" s="84"/>
      <c r="D687" s="84"/>
    </row>
    <row r="688" spans="1:4" x14ac:dyDescent="0.3">
      <c r="A688" t="s">
        <v>80</v>
      </c>
      <c r="B688" t="s">
        <v>90</v>
      </c>
      <c r="C688" s="84"/>
      <c r="D688" s="84"/>
    </row>
    <row r="689" spans="1:4" x14ac:dyDescent="0.3">
      <c r="A689" t="s">
        <v>80</v>
      </c>
      <c r="B689" t="s">
        <v>90</v>
      </c>
      <c r="C689" s="84"/>
      <c r="D689" s="84"/>
    </row>
    <row r="690" spans="1:4" x14ac:dyDescent="0.3">
      <c r="A690" t="s">
        <v>80</v>
      </c>
      <c r="B690" t="s">
        <v>90</v>
      </c>
      <c r="C690" s="84"/>
      <c r="D690" s="84"/>
    </row>
    <row r="691" spans="1:4" x14ac:dyDescent="0.3">
      <c r="A691" t="s">
        <v>80</v>
      </c>
      <c r="B691" t="s">
        <v>90</v>
      </c>
      <c r="C691" s="84"/>
      <c r="D691" s="84"/>
    </row>
    <row r="692" spans="1:4" x14ac:dyDescent="0.3">
      <c r="A692" t="s">
        <v>80</v>
      </c>
      <c r="B692" t="s">
        <v>90</v>
      </c>
      <c r="C692" s="84"/>
      <c r="D692" s="84"/>
    </row>
    <row r="693" spans="1:4" x14ac:dyDescent="0.3">
      <c r="A693" t="s">
        <v>80</v>
      </c>
      <c r="B693" t="s">
        <v>90</v>
      </c>
      <c r="C693" s="84"/>
      <c r="D693" s="84"/>
    </row>
    <row r="694" spans="1:4" x14ac:dyDescent="0.3">
      <c r="A694" t="s">
        <v>80</v>
      </c>
      <c r="B694" t="s">
        <v>90</v>
      </c>
      <c r="C694" s="84"/>
      <c r="D694" s="84"/>
    </row>
    <row r="695" spans="1:4" x14ac:dyDescent="0.3">
      <c r="A695" t="s">
        <v>80</v>
      </c>
      <c r="B695" t="s">
        <v>90</v>
      </c>
      <c r="C695" s="84"/>
      <c r="D695" s="84"/>
    </row>
    <row r="696" spans="1:4" x14ac:dyDescent="0.3">
      <c r="A696" t="s">
        <v>80</v>
      </c>
      <c r="B696" t="s">
        <v>90</v>
      </c>
      <c r="C696" s="84"/>
      <c r="D696" s="84"/>
    </row>
    <row r="697" spans="1:4" x14ac:dyDescent="0.3">
      <c r="A697" t="s">
        <v>80</v>
      </c>
      <c r="B697" t="s">
        <v>90</v>
      </c>
      <c r="C697" s="84"/>
      <c r="D697" s="84"/>
    </row>
    <row r="698" spans="1:4" x14ac:dyDescent="0.3">
      <c r="A698" t="s">
        <v>80</v>
      </c>
      <c r="B698" t="s">
        <v>90</v>
      </c>
      <c r="C698" s="84"/>
      <c r="D698" s="84"/>
    </row>
    <row r="699" spans="1:4" x14ac:dyDescent="0.3">
      <c r="A699" t="s">
        <v>80</v>
      </c>
      <c r="B699" t="s">
        <v>90</v>
      </c>
      <c r="C699" s="84"/>
      <c r="D699" s="84"/>
    </row>
    <row r="700" spans="1:4" x14ac:dyDescent="0.3">
      <c r="A700" t="s">
        <v>80</v>
      </c>
      <c r="B700" t="s">
        <v>90</v>
      </c>
      <c r="C700" s="84"/>
      <c r="D700" s="84"/>
    </row>
    <row r="701" spans="1:4" x14ac:dyDescent="0.3">
      <c r="A701" t="s">
        <v>80</v>
      </c>
      <c r="B701" t="s">
        <v>90</v>
      </c>
      <c r="C701" s="84"/>
      <c r="D701" s="84"/>
    </row>
    <row r="702" spans="1:4" x14ac:dyDescent="0.3">
      <c r="A702" t="s">
        <v>80</v>
      </c>
      <c r="B702" t="s">
        <v>90</v>
      </c>
      <c r="C702" s="84"/>
      <c r="D702" s="84"/>
    </row>
    <row r="703" spans="1:4" x14ac:dyDescent="0.3">
      <c r="A703" t="s">
        <v>80</v>
      </c>
      <c r="B703" t="s">
        <v>90</v>
      </c>
      <c r="C703" s="84"/>
      <c r="D703" s="84"/>
    </row>
    <row r="704" spans="1:4" x14ac:dyDescent="0.3">
      <c r="A704" t="s">
        <v>80</v>
      </c>
      <c r="B704" t="s">
        <v>90</v>
      </c>
      <c r="C704" s="84"/>
      <c r="D704" s="84"/>
    </row>
    <row r="705" spans="1:4" x14ac:dyDescent="0.3">
      <c r="A705" t="s">
        <v>80</v>
      </c>
      <c r="B705" t="s">
        <v>90</v>
      </c>
      <c r="C705" s="84"/>
      <c r="D705" s="84"/>
    </row>
    <row r="706" spans="1:4" x14ac:dyDescent="0.3">
      <c r="A706" t="s">
        <v>80</v>
      </c>
      <c r="B706" t="s">
        <v>90</v>
      </c>
      <c r="C706" s="84"/>
      <c r="D706" s="84"/>
    </row>
    <row r="707" spans="1:4" x14ac:dyDescent="0.3">
      <c r="A707" t="s">
        <v>80</v>
      </c>
      <c r="B707" t="s">
        <v>90</v>
      </c>
      <c r="C707" s="84"/>
      <c r="D707" s="84"/>
    </row>
    <row r="708" spans="1:4" x14ac:dyDescent="0.3">
      <c r="A708" t="s">
        <v>80</v>
      </c>
      <c r="B708" t="s">
        <v>90</v>
      </c>
      <c r="C708" s="84"/>
      <c r="D708" s="84"/>
    </row>
    <row r="709" spans="1:4" x14ac:dyDescent="0.3">
      <c r="A709" t="s">
        <v>80</v>
      </c>
      <c r="B709" t="s">
        <v>90</v>
      </c>
      <c r="C709" s="84"/>
      <c r="D709" s="84"/>
    </row>
    <row r="710" spans="1:4" x14ac:dyDescent="0.3">
      <c r="A710" t="s">
        <v>80</v>
      </c>
      <c r="B710" t="s">
        <v>90</v>
      </c>
      <c r="D710"/>
    </row>
    <row r="711" spans="1:4" x14ac:dyDescent="0.3">
      <c r="A711" t="s">
        <v>80</v>
      </c>
      <c r="B711" t="s">
        <v>90</v>
      </c>
      <c r="D711"/>
    </row>
    <row r="712" spans="1:4" x14ac:dyDescent="0.3">
      <c r="A712" t="s">
        <v>80</v>
      </c>
      <c r="B712" t="s">
        <v>90</v>
      </c>
      <c r="D712"/>
    </row>
    <row r="713" spans="1:4" x14ac:dyDescent="0.3">
      <c r="A713" t="s">
        <v>80</v>
      </c>
      <c r="B713" t="s">
        <v>90</v>
      </c>
      <c r="D713"/>
    </row>
    <row r="714" spans="1:4" x14ac:dyDescent="0.3">
      <c r="A714" t="s">
        <v>80</v>
      </c>
      <c r="B714" t="s">
        <v>90</v>
      </c>
      <c r="D714"/>
    </row>
    <row r="715" spans="1:4" x14ac:dyDescent="0.3">
      <c r="A715" t="s">
        <v>80</v>
      </c>
      <c r="B715" t="s">
        <v>90</v>
      </c>
      <c r="D715"/>
    </row>
    <row r="716" spans="1:4" x14ac:dyDescent="0.3">
      <c r="A716" t="s">
        <v>80</v>
      </c>
      <c r="B716" t="s">
        <v>90</v>
      </c>
      <c r="D716"/>
    </row>
    <row r="717" spans="1:4" hidden="1" x14ac:dyDescent="0.3">
      <c r="A717" t="s">
        <v>80</v>
      </c>
      <c r="B717" t="s">
        <v>90</v>
      </c>
      <c r="D717"/>
    </row>
    <row r="718" spans="1:4" hidden="1" x14ac:dyDescent="0.3">
      <c r="A718" t="s">
        <v>80</v>
      </c>
      <c r="B718" t="s">
        <v>90</v>
      </c>
      <c r="D718"/>
    </row>
    <row r="719" spans="1:4" hidden="1" x14ac:dyDescent="0.3">
      <c r="A719" t="s">
        <v>80</v>
      </c>
      <c r="B719" t="s">
        <v>90</v>
      </c>
      <c r="D719"/>
    </row>
    <row r="720" spans="1:4" hidden="1" x14ac:dyDescent="0.3">
      <c r="A720" t="s">
        <v>80</v>
      </c>
      <c r="B720" t="s">
        <v>90</v>
      </c>
      <c r="D720"/>
    </row>
    <row r="721" spans="1:4" hidden="1" x14ac:dyDescent="0.3">
      <c r="A721" t="s">
        <v>80</v>
      </c>
      <c r="B721" t="s">
        <v>90</v>
      </c>
      <c r="D721"/>
    </row>
    <row r="722" spans="1:4" hidden="1" x14ac:dyDescent="0.3">
      <c r="A722" t="s">
        <v>80</v>
      </c>
      <c r="B722" t="s">
        <v>90</v>
      </c>
      <c r="D722"/>
    </row>
    <row r="723" spans="1:4" hidden="1" x14ac:dyDescent="0.3">
      <c r="A723" t="s">
        <v>80</v>
      </c>
      <c r="B723" t="s">
        <v>90</v>
      </c>
      <c r="D723"/>
    </row>
    <row r="724" spans="1:4" hidden="1" x14ac:dyDescent="0.3">
      <c r="A724" t="s">
        <v>80</v>
      </c>
      <c r="B724" t="s">
        <v>90</v>
      </c>
      <c r="D724"/>
    </row>
    <row r="725" spans="1:4" hidden="1" x14ac:dyDescent="0.3">
      <c r="A725" t="s">
        <v>80</v>
      </c>
      <c r="B725" t="s">
        <v>90</v>
      </c>
      <c r="D725"/>
    </row>
    <row r="726" spans="1:4" hidden="1" x14ac:dyDescent="0.3">
      <c r="A726" t="s">
        <v>80</v>
      </c>
      <c r="B726" t="s">
        <v>90</v>
      </c>
      <c r="D726"/>
    </row>
    <row r="727" spans="1:4" hidden="1" x14ac:dyDescent="0.3">
      <c r="A727" t="s">
        <v>80</v>
      </c>
      <c r="B727" t="s">
        <v>90</v>
      </c>
      <c r="D727"/>
    </row>
    <row r="728" spans="1:4" hidden="1" x14ac:dyDescent="0.3">
      <c r="A728" t="s">
        <v>80</v>
      </c>
      <c r="B728" t="s">
        <v>90</v>
      </c>
      <c r="D728"/>
    </row>
    <row r="729" spans="1:4" hidden="1" x14ac:dyDescent="0.3">
      <c r="A729" t="s">
        <v>80</v>
      </c>
      <c r="B729" t="s">
        <v>90</v>
      </c>
      <c r="D729"/>
    </row>
    <row r="730" spans="1:4" hidden="1" x14ac:dyDescent="0.3">
      <c r="A730" t="s">
        <v>80</v>
      </c>
      <c r="B730" t="s">
        <v>90</v>
      </c>
      <c r="D730"/>
    </row>
    <row r="731" spans="1:4" hidden="1" x14ac:dyDescent="0.3">
      <c r="A731" t="s">
        <v>80</v>
      </c>
      <c r="B731" t="s">
        <v>90</v>
      </c>
      <c r="D731"/>
    </row>
    <row r="732" spans="1:4" hidden="1" x14ac:dyDescent="0.3">
      <c r="A732" t="s">
        <v>80</v>
      </c>
      <c r="B732" t="s">
        <v>90</v>
      </c>
      <c r="D732"/>
    </row>
    <row r="733" spans="1:4" hidden="1" x14ac:dyDescent="0.3">
      <c r="A733" t="s">
        <v>80</v>
      </c>
      <c r="B733" t="s">
        <v>90</v>
      </c>
      <c r="D733"/>
    </row>
    <row r="734" spans="1:4" hidden="1" x14ac:dyDescent="0.3">
      <c r="A734" t="s">
        <v>80</v>
      </c>
      <c r="B734" t="s">
        <v>90</v>
      </c>
      <c r="D734"/>
    </row>
    <row r="735" spans="1:4" hidden="1" x14ac:dyDescent="0.3">
      <c r="A735" t="s">
        <v>80</v>
      </c>
      <c r="B735" t="s">
        <v>90</v>
      </c>
      <c r="D735"/>
    </row>
    <row r="736" spans="1:4" hidden="1" x14ac:dyDescent="0.3">
      <c r="A736" t="s">
        <v>80</v>
      </c>
      <c r="B736" t="s">
        <v>90</v>
      </c>
      <c r="D736"/>
    </row>
    <row r="737" spans="1:4" hidden="1" x14ac:dyDescent="0.3">
      <c r="A737" t="s">
        <v>80</v>
      </c>
      <c r="B737" t="s">
        <v>90</v>
      </c>
      <c r="D737"/>
    </row>
    <row r="738" spans="1:4" hidden="1" x14ac:dyDescent="0.3">
      <c r="A738" t="s">
        <v>80</v>
      </c>
      <c r="B738" t="s">
        <v>90</v>
      </c>
      <c r="D738"/>
    </row>
    <row r="739" spans="1:4" hidden="1" x14ac:dyDescent="0.3">
      <c r="A739" t="s">
        <v>80</v>
      </c>
      <c r="B739" t="s">
        <v>90</v>
      </c>
      <c r="D739"/>
    </row>
    <row r="740" spans="1:4" hidden="1" x14ac:dyDescent="0.3">
      <c r="A740" t="s">
        <v>80</v>
      </c>
      <c r="B740" t="s">
        <v>90</v>
      </c>
      <c r="D740"/>
    </row>
    <row r="741" spans="1:4" hidden="1" x14ac:dyDescent="0.3">
      <c r="A741" t="s">
        <v>80</v>
      </c>
      <c r="B741" t="s">
        <v>90</v>
      </c>
      <c r="D741"/>
    </row>
    <row r="742" spans="1:4" hidden="1" x14ac:dyDescent="0.3">
      <c r="A742" t="s">
        <v>80</v>
      </c>
      <c r="B742" t="s">
        <v>90</v>
      </c>
      <c r="D742"/>
    </row>
    <row r="743" spans="1:4" hidden="1" x14ac:dyDescent="0.3">
      <c r="A743" t="s">
        <v>80</v>
      </c>
      <c r="B743" t="s">
        <v>90</v>
      </c>
      <c r="D743"/>
    </row>
    <row r="744" spans="1:4" hidden="1" x14ac:dyDescent="0.3">
      <c r="A744" t="s">
        <v>80</v>
      </c>
      <c r="B744" t="s">
        <v>90</v>
      </c>
      <c r="D744"/>
    </row>
    <row r="745" spans="1:4" hidden="1" x14ac:dyDescent="0.3">
      <c r="A745" t="s">
        <v>80</v>
      </c>
      <c r="B745" t="s">
        <v>90</v>
      </c>
      <c r="D745"/>
    </row>
    <row r="746" spans="1:4" hidden="1" x14ac:dyDescent="0.3">
      <c r="A746" t="s">
        <v>80</v>
      </c>
      <c r="B746" t="s">
        <v>90</v>
      </c>
      <c r="D746"/>
    </row>
    <row r="747" spans="1:4" hidden="1" x14ac:dyDescent="0.3">
      <c r="A747" t="s">
        <v>80</v>
      </c>
      <c r="B747" t="s">
        <v>90</v>
      </c>
      <c r="D747"/>
    </row>
    <row r="748" spans="1:4" hidden="1" x14ac:dyDescent="0.3">
      <c r="A748" t="s">
        <v>80</v>
      </c>
      <c r="B748" t="s">
        <v>90</v>
      </c>
      <c r="D748"/>
    </row>
    <row r="749" spans="1:4" hidden="1" x14ac:dyDescent="0.3">
      <c r="A749" t="s">
        <v>80</v>
      </c>
      <c r="B749" t="s">
        <v>90</v>
      </c>
      <c r="D749"/>
    </row>
    <row r="750" spans="1:4" hidden="1" x14ac:dyDescent="0.3">
      <c r="A750" t="s">
        <v>80</v>
      </c>
      <c r="B750" t="s">
        <v>90</v>
      </c>
      <c r="D750"/>
    </row>
    <row r="751" spans="1:4" hidden="1" x14ac:dyDescent="0.3">
      <c r="A751" t="s">
        <v>80</v>
      </c>
      <c r="B751" t="s">
        <v>90</v>
      </c>
      <c r="D751"/>
    </row>
    <row r="752" spans="1:4" hidden="1" x14ac:dyDescent="0.3">
      <c r="A752" t="s">
        <v>80</v>
      </c>
      <c r="B752" t="s">
        <v>90</v>
      </c>
      <c r="D752"/>
    </row>
    <row r="753" spans="1:4" hidden="1" x14ac:dyDescent="0.3">
      <c r="A753" t="s">
        <v>80</v>
      </c>
      <c r="B753" t="s">
        <v>90</v>
      </c>
      <c r="D753"/>
    </row>
    <row r="754" spans="1:4" hidden="1" x14ac:dyDescent="0.3">
      <c r="A754" t="s">
        <v>80</v>
      </c>
      <c r="B754" t="s">
        <v>90</v>
      </c>
      <c r="D754"/>
    </row>
    <row r="755" spans="1:4" hidden="1" x14ac:dyDescent="0.3">
      <c r="A755" t="s">
        <v>80</v>
      </c>
      <c r="B755" t="s">
        <v>90</v>
      </c>
      <c r="D755"/>
    </row>
    <row r="756" spans="1:4" hidden="1" x14ac:dyDescent="0.3">
      <c r="A756" t="s">
        <v>80</v>
      </c>
      <c r="B756" t="s">
        <v>90</v>
      </c>
      <c r="D756"/>
    </row>
    <row r="757" spans="1:4" hidden="1" x14ac:dyDescent="0.3">
      <c r="A757" t="s">
        <v>80</v>
      </c>
      <c r="B757" t="s">
        <v>90</v>
      </c>
      <c r="D757"/>
    </row>
    <row r="758" spans="1:4" hidden="1" x14ac:dyDescent="0.3">
      <c r="A758" t="s">
        <v>80</v>
      </c>
      <c r="B758" t="s">
        <v>90</v>
      </c>
      <c r="D758"/>
    </row>
    <row r="759" spans="1:4" hidden="1" x14ac:dyDescent="0.3">
      <c r="A759" t="s">
        <v>80</v>
      </c>
      <c r="B759" t="s">
        <v>90</v>
      </c>
      <c r="D759"/>
    </row>
    <row r="760" spans="1:4" hidden="1" x14ac:dyDescent="0.3">
      <c r="A760" t="s">
        <v>80</v>
      </c>
      <c r="B760" t="s">
        <v>90</v>
      </c>
      <c r="D760"/>
    </row>
    <row r="761" spans="1:4" hidden="1" x14ac:dyDescent="0.3">
      <c r="A761" t="s">
        <v>80</v>
      </c>
      <c r="B761" t="s">
        <v>90</v>
      </c>
      <c r="D761"/>
    </row>
    <row r="762" spans="1:4" hidden="1" x14ac:dyDescent="0.3">
      <c r="A762" t="s">
        <v>80</v>
      </c>
      <c r="B762" t="s">
        <v>90</v>
      </c>
      <c r="D762"/>
    </row>
    <row r="763" spans="1:4" hidden="1" x14ac:dyDescent="0.3">
      <c r="A763" t="s">
        <v>80</v>
      </c>
      <c r="B763" t="s">
        <v>90</v>
      </c>
      <c r="D763"/>
    </row>
    <row r="764" spans="1:4" hidden="1" x14ac:dyDescent="0.3">
      <c r="A764" t="s">
        <v>80</v>
      </c>
      <c r="B764" t="s">
        <v>90</v>
      </c>
      <c r="D764"/>
    </row>
    <row r="765" spans="1:4" hidden="1" x14ac:dyDescent="0.3">
      <c r="A765" t="s">
        <v>80</v>
      </c>
      <c r="B765" t="s">
        <v>90</v>
      </c>
      <c r="D765"/>
    </row>
    <row r="766" spans="1:4" hidden="1" x14ac:dyDescent="0.3">
      <c r="A766" t="s">
        <v>80</v>
      </c>
      <c r="B766" t="s">
        <v>90</v>
      </c>
      <c r="D766"/>
    </row>
    <row r="767" spans="1:4" hidden="1" x14ac:dyDescent="0.3">
      <c r="A767" t="s">
        <v>80</v>
      </c>
      <c r="B767" t="s">
        <v>90</v>
      </c>
      <c r="D767"/>
    </row>
    <row r="768" spans="1:4" hidden="1" x14ac:dyDescent="0.3">
      <c r="A768" t="s">
        <v>80</v>
      </c>
      <c r="B768" t="s">
        <v>90</v>
      </c>
      <c r="D768"/>
    </row>
    <row r="769" spans="1:4" hidden="1" x14ac:dyDescent="0.3">
      <c r="A769" t="s">
        <v>80</v>
      </c>
      <c r="B769" t="s">
        <v>90</v>
      </c>
      <c r="D769"/>
    </row>
    <row r="770" spans="1:4" hidden="1" x14ac:dyDescent="0.3">
      <c r="A770" t="s">
        <v>80</v>
      </c>
      <c r="B770" t="s">
        <v>90</v>
      </c>
      <c r="D770"/>
    </row>
    <row r="771" spans="1:4" hidden="1" x14ac:dyDescent="0.3">
      <c r="A771" t="s">
        <v>80</v>
      </c>
      <c r="B771" t="s">
        <v>90</v>
      </c>
      <c r="D771"/>
    </row>
    <row r="772" spans="1:4" hidden="1" x14ac:dyDescent="0.3">
      <c r="A772" t="s">
        <v>80</v>
      </c>
      <c r="B772" t="s">
        <v>90</v>
      </c>
      <c r="D772"/>
    </row>
    <row r="773" spans="1:4" hidden="1" x14ac:dyDescent="0.3">
      <c r="A773" t="s">
        <v>80</v>
      </c>
      <c r="B773" t="s">
        <v>90</v>
      </c>
      <c r="D773"/>
    </row>
    <row r="774" spans="1:4" hidden="1" x14ac:dyDescent="0.3">
      <c r="A774" t="s">
        <v>80</v>
      </c>
      <c r="B774" t="s">
        <v>90</v>
      </c>
      <c r="D774"/>
    </row>
    <row r="775" spans="1:4" hidden="1" x14ac:dyDescent="0.3">
      <c r="A775" t="s">
        <v>80</v>
      </c>
      <c r="B775" t="s">
        <v>90</v>
      </c>
      <c r="D775"/>
    </row>
    <row r="776" spans="1:4" hidden="1" x14ac:dyDescent="0.3">
      <c r="A776" t="s">
        <v>80</v>
      </c>
      <c r="B776" t="s">
        <v>90</v>
      </c>
      <c r="D776"/>
    </row>
    <row r="777" spans="1:4" hidden="1" x14ac:dyDescent="0.3">
      <c r="A777" t="s">
        <v>80</v>
      </c>
      <c r="B777" t="s">
        <v>90</v>
      </c>
      <c r="D777"/>
    </row>
    <row r="778" spans="1:4" hidden="1" x14ac:dyDescent="0.3">
      <c r="A778" t="s">
        <v>80</v>
      </c>
      <c r="B778" t="s">
        <v>90</v>
      </c>
      <c r="D778"/>
    </row>
    <row r="779" spans="1:4" hidden="1" x14ac:dyDescent="0.3">
      <c r="A779" t="s">
        <v>80</v>
      </c>
      <c r="B779" t="s">
        <v>90</v>
      </c>
      <c r="D779"/>
    </row>
    <row r="780" spans="1:4" hidden="1" x14ac:dyDescent="0.3">
      <c r="A780" t="s">
        <v>80</v>
      </c>
      <c r="B780" t="s">
        <v>90</v>
      </c>
      <c r="D780"/>
    </row>
    <row r="781" spans="1:4" hidden="1" x14ac:dyDescent="0.3">
      <c r="A781" t="s">
        <v>80</v>
      </c>
      <c r="B781" t="s">
        <v>90</v>
      </c>
      <c r="D781"/>
    </row>
    <row r="782" spans="1:4" hidden="1" x14ac:dyDescent="0.3">
      <c r="A782" t="s">
        <v>80</v>
      </c>
      <c r="B782" t="s">
        <v>90</v>
      </c>
      <c r="D782"/>
    </row>
    <row r="783" spans="1:4" hidden="1" x14ac:dyDescent="0.3">
      <c r="A783" t="s">
        <v>80</v>
      </c>
      <c r="B783" t="s">
        <v>90</v>
      </c>
      <c r="D783"/>
    </row>
    <row r="784" spans="1:4" hidden="1" x14ac:dyDescent="0.3">
      <c r="A784" t="s">
        <v>80</v>
      </c>
      <c r="B784" t="s">
        <v>90</v>
      </c>
      <c r="D784"/>
    </row>
    <row r="785" spans="1:4" hidden="1" x14ac:dyDescent="0.3">
      <c r="A785" t="s">
        <v>80</v>
      </c>
      <c r="B785" t="s">
        <v>90</v>
      </c>
      <c r="D785"/>
    </row>
    <row r="786" spans="1:4" hidden="1" x14ac:dyDescent="0.3">
      <c r="A786" t="s">
        <v>80</v>
      </c>
      <c r="B786" t="s">
        <v>90</v>
      </c>
      <c r="D786"/>
    </row>
    <row r="787" spans="1:4" hidden="1" x14ac:dyDescent="0.3">
      <c r="A787" t="s">
        <v>80</v>
      </c>
      <c r="B787" t="s">
        <v>90</v>
      </c>
      <c r="D787"/>
    </row>
    <row r="788" spans="1:4" hidden="1" x14ac:dyDescent="0.3">
      <c r="A788" t="s">
        <v>80</v>
      </c>
      <c r="B788" t="s">
        <v>90</v>
      </c>
      <c r="D788"/>
    </row>
    <row r="789" spans="1:4" hidden="1" x14ac:dyDescent="0.3">
      <c r="A789" t="s">
        <v>80</v>
      </c>
      <c r="B789" t="s">
        <v>90</v>
      </c>
      <c r="D789"/>
    </row>
    <row r="790" spans="1:4" hidden="1" x14ac:dyDescent="0.3">
      <c r="A790" t="s">
        <v>80</v>
      </c>
      <c r="B790" t="s">
        <v>90</v>
      </c>
      <c r="D790"/>
    </row>
    <row r="791" spans="1:4" hidden="1" x14ac:dyDescent="0.3">
      <c r="A791" t="s">
        <v>80</v>
      </c>
      <c r="B791" t="s">
        <v>90</v>
      </c>
      <c r="D791"/>
    </row>
    <row r="792" spans="1:4" hidden="1" x14ac:dyDescent="0.3">
      <c r="A792" t="s">
        <v>80</v>
      </c>
      <c r="B792" t="s">
        <v>90</v>
      </c>
      <c r="D792"/>
    </row>
    <row r="793" spans="1:4" hidden="1" x14ac:dyDescent="0.3">
      <c r="A793" t="s">
        <v>80</v>
      </c>
      <c r="B793" t="s">
        <v>90</v>
      </c>
      <c r="D793"/>
    </row>
    <row r="794" spans="1:4" hidden="1" x14ac:dyDescent="0.3">
      <c r="A794" t="s">
        <v>80</v>
      </c>
      <c r="B794" t="s">
        <v>90</v>
      </c>
      <c r="D794"/>
    </row>
    <row r="795" spans="1:4" hidden="1" x14ac:dyDescent="0.3">
      <c r="A795" t="s">
        <v>80</v>
      </c>
      <c r="B795" t="s">
        <v>90</v>
      </c>
      <c r="D795"/>
    </row>
    <row r="796" spans="1:4" hidden="1" x14ac:dyDescent="0.3">
      <c r="A796" t="s">
        <v>80</v>
      </c>
      <c r="B796" t="s">
        <v>90</v>
      </c>
      <c r="D796"/>
    </row>
    <row r="797" spans="1:4" hidden="1" x14ac:dyDescent="0.3">
      <c r="A797" t="s">
        <v>80</v>
      </c>
      <c r="B797" t="s">
        <v>90</v>
      </c>
      <c r="D797"/>
    </row>
    <row r="798" spans="1:4" hidden="1" x14ac:dyDescent="0.3">
      <c r="A798" t="s">
        <v>80</v>
      </c>
      <c r="B798" t="s">
        <v>90</v>
      </c>
      <c r="D798"/>
    </row>
    <row r="799" spans="1:4" hidden="1" x14ac:dyDescent="0.3">
      <c r="A799" t="s">
        <v>80</v>
      </c>
      <c r="B799" t="s">
        <v>90</v>
      </c>
      <c r="D799"/>
    </row>
    <row r="800" spans="1:4" hidden="1" x14ac:dyDescent="0.3">
      <c r="A800" t="s">
        <v>80</v>
      </c>
      <c r="B800" t="s">
        <v>90</v>
      </c>
      <c r="D800"/>
    </row>
    <row r="801" spans="1:4" hidden="1" x14ac:dyDescent="0.3">
      <c r="A801" t="s">
        <v>80</v>
      </c>
      <c r="B801" t="s">
        <v>90</v>
      </c>
      <c r="D801"/>
    </row>
    <row r="802" spans="1:4" hidden="1" x14ac:dyDescent="0.3">
      <c r="A802" t="s">
        <v>80</v>
      </c>
      <c r="B802" t="s">
        <v>90</v>
      </c>
      <c r="D802"/>
    </row>
    <row r="803" spans="1:4" hidden="1" x14ac:dyDescent="0.3">
      <c r="A803" t="s">
        <v>80</v>
      </c>
      <c r="B803" t="s">
        <v>90</v>
      </c>
      <c r="D803"/>
    </row>
    <row r="804" spans="1:4" hidden="1" x14ac:dyDescent="0.3">
      <c r="A804" t="s">
        <v>80</v>
      </c>
      <c r="B804" t="s">
        <v>90</v>
      </c>
      <c r="D804"/>
    </row>
    <row r="805" spans="1:4" hidden="1" x14ac:dyDescent="0.3">
      <c r="A805" t="s">
        <v>80</v>
      </c>
      <c r="B805" t="s">
        <v>90</v>
      </c>
      <c r="D805"/>
    </row>
    <row r="806" spans="1:4" hidden="1" x14ac:dyDescent="0.3">
      <c r="A806" t="s">
        <v>80</v>
      </c>
      <c r="B806" t="s">
        <v>90</v>
      </c>
      <c r="D806"/>
    </row>
    <row r="807" spans="1:4" x14ac:dyDescent="0.3">
      <c r="A807" t="s">
        <v>80</v>
      </c>
      <c r="B807" t="s">
        <v>27</v>
      </c>
      <c r="C807" s="84"/>
      <c r="D807" s="84"/>
    </row>
    <row r="808" spans="1:4" x14ac:dyDescent="0.3">
      <c r="A808" t="s">
        <v>80</v>
      </c>
      <c r="B808" t="s">
        <v>27</v>
      </c>
      <c r="C808" s="84"/>
      <c r="D808" s="84"/>
    </row>
    <row r="809" spans="1:4" x14ac:dyDescent="0.3">
      <c r="A809" t="s">
        <v>80</v>
      </c>
      <c r="B809" t="s">
        <v>27</v>
      </c>
      <c r="C809" s="84"/>
      <c r="D809" s="84"/>
    </row>
    <row r="810" spans="1:4" x14ac:dyDescent="0.3">
      <c r="A810" t="s">
        <v>80</v>
      </c>
      <c r="B810" t="s">
        <v>27</v>
      </c>
      <c r="C810" s="84"/>
      <c r="D810" s="84"/>
    </row>
    <row r="811" spans="1:4" x14ac:dyDescent="0.3">
      <c r="A811" t="s">
        <v>80</v>
      </c>
      <c r="B811" t="s">
        <v>27</v>
      </c>
      <c r="C811" s="84"/>
      <c r="D811" s="84"/>
    </row>
    <row r="812" spans="1:4" x14ac:dyDescent="0.3">
      <c r="A812" t="s">
        <v>80</v>
      </c>
      <c r="B812" t="s">
        <v>27</v>
      </c>
      <c r="C812" s="84"/>
      <c r="D812" s="84"/>
    </row>
    <row r="813" spans="1:4" x14ac:dyDescent="0.3">
      <c r="A813" t="s">
        <v>80</v>
      </c>
      <c r="B813" t="s">
        <v>27</v>
      </c>
      <c r="C813" s="84"/>
      <c r="D813" s="84"/>
    </row>
    <row r="814" spans="1:4" x14ac:dyDescent="0.3">
      <c r="A814" t="s">
        <v>80</v>
      </c>
      <c r="B814" t="s">
        <v>27</v>
      </c>
      <c r="C814" s="84"/>
      <c r="D814" s="84"/>
    </row>
    <row r="815" spans="1:4" x14ac:dyDescent="0.3">
      <c r="A815" t="s">
        <v>80</v>
      </c>
      <c r="B815" t="s">
        <v>27</v>
      </c>
      <c r="C815" s="84"/>
      <c r="D815" s="84"/>
    </row>
    <row r="816" spans="1:4" x14ac:dyDescent="0.3">
      <c r="A816" t="s">
        <v>80</v>
      </c>
      <c r="B816" t="s">
        <v>27</v>
      </c>
      <c r="C816" s="84"/>
      <c r="D816" s="84"/>
    </row>
    <row r="817" spans="1:4" x14ac:dyDescent="0.3">
      <c r="A817" t="s">
        <v>80</v>
      </c>
      <c r="B817" t="s">
        <v>27</v>
      </c>
      <c r="C817" s="84"/>
      <c r="D817" s="84"/>
    </row>
    <row r="818" spans="1:4" x14ac:dyDescent="0.3">
      <c r="A818" t="s">
        <v>80</v>
      </c>
      <c r="B818" t="s">
        <v>27</v>
      </c>
      <c r="C818" s="84"/>
      <c r="D818" s="84"/>
    </row>
    <row r="819" spans="1:4" hidden="1" x14ac:dyDescent="0.3">
      <c r="A819" t="s">
        <v>80</v>
      </c>
      <c r="B819" t="s">
        <v>27</v>
      </c>
      <c r="C819" s="84"/>
      <c r="D819" s="84"/>
    </row>
    <row r="820" spans="1:4" hidden="1" x14ac:dyDescent="0.3">
      <c r="A820" t="s">
        <v>80</v>
      </c>
      <c r="B820" t="s">
        <v>27</v>
      </c>
      <c r="C820" s="84"/>
      <c r="D820" s="84"/>
    </row>
    <row r="821" spans="1:4" hidden="1" x14ac:dyDescent="0.3">
      <c r="A821" t="s">
        <v>80</v>
      </c>
      <c r="B821" t="s">
        <v>27</v>
      </c>
      <c r="D821"/>
    </row>
    <row r="822" spans="1:4" hidden="1" x14ac:dyDescent="0.3">
      <c r="A822" t="s">
        <v>80</v>
      </c>
      <c r="B822" t="s">
        <v>27</v>
      </c>
      <c r="D822"/>
    </row>
    <row r="823" spans="1:4" hidden="1" x14ac:dyDescent="0.3">
      <c r="A823" t="s">
        <v>80</v>
      </c>
      <c r="B823" t="s">
        <v>27</v>
      </c>
      <c r="D823"/>
    </row>
    <row r="824" spans="1:4" x14ac:dyDescent="0.3">
      <c r="A824" t="s">
        <v>80</v>
      </c>
      <c r="B824" t="s">
        <v>93</v>
      </c>
      <c r="C824" s="84"/>
      <c r="D824" s="84"/>
    </row>
    <row r="825" spans="1:4" x14ac:dyDescent="0.3">
      <c r="A825" t="s">
        <v>80</v>
      </c>
      <c r="B825" t="s">
        <v>93</v>
      </c>
      <c r="C825" s="84"/>
      <c r="D825" s="84"/>
    </row>
    <row r="826" spans="1:4" x14ac:dyDescent="0.3">
      <c r="A826" t="s">
        <v>80</v>
      </c>
      <c r="B826" t="s">
        <v>93</v>
      </c>
      <c r="C826" s="84"/>
      <c r="D826" s="84"/>
    </row>
    <row r="827" spans="1:4" x14ac:dyDescent="0.3">
      <c r="A827" t="s">
        <v>80</v>
      </c>
      <c r="B827" t="s">
        <v>93</v>
      </c>
      <c r="C827" s="84"/>
      <c r="D827" s="84"/>
    </row>
    <row r="828" spans="1:4" x14ac:dyDescent="0.3">
      <c r="A828" t="s">
        <v>80</v>
      </c>
      <c r="B828" t="s">
        <v>93</v>
      </c>
      <c r="C828" s="84"/>
      <c r="D828" s="84"/>
    </row>
    <row r="829" spans="1:4" x14ac:dyDescent="0.3">
      <c r="A829" t="s">
        <v>80</v>
      </c>
      <c r="B829" t="s">
        <v>93</v>
      </c>
      <c r="C829" s="84"/>
      <c r="D829" s="84"/>
    </row>
    <row r="830" spans="1:4" x14ac:dyDescent="0.3">
      <c r="A830" t="s">
        <v>80</v>
      </c>
      <c r="B830" t="s">
        <v>93</v>
      </c>
      <c r="C830" s="84"/>
      <c r="D830" s="84"/>
    </row>
    <row r="831" spans="1:4" x14ac:dyDescent="0.3">
      <c r="A831" t="s">
        <v>80</v>
      </c>
      <c r="B831" t="s">
        <v>93</v>
      </c>
      <c r="C831" s="84"/>
      <c r="D831" s="84"/>
    </row>
    <row r="832" spans="1:4" x14ac:dyDescent="0.3">
      <c r="A832" t="s">
        <v>80</v>
      </c>
      <c r="B832" t="s">
        <v>93</v>
      </c>
      <c r="C832" s="84"/>
      <c r="D832" s="84"/>
    </row>
    <row r="833" spans="1:4" x14ac:dyDescent="0.3">
      <c r="A833" t="s">
        <v>80</v>
      </c>
      <c r="B833" t="s">
        <v>93</v>
      </c>
      <c r="C833" s="84"/>
      <c r="D833" s="84"/>
    </row>
    <row r="834" spans="1:4" x14ac:dyDescent="0.3">
      <c r="A834" t="s">
        <v>80</v>
      </c>
      <c r="B834" t="s">
        <v>93</v>
      </c>
      <c r="C834" s="84"/>
      <c r="D834" s="84"/>
    </row>
    <row r="835" spans="1:4" x14ac:dyDescent="0.3">
      <c r="A835" t="s">
        <v>80</v>
      </c>
      <c r="B835" t="s">
        <v>93</v>
      </c>
      <c r="C835" s="84"/>
      <c r="D835" s="84"/>
    </row>
    <row r="836" spans="1:4" x14ac:dyDescent="0.3">
      <c r="A836" t="s">
        <v>80</v>
      </c>
      <c r="B836" t="s">
        <v>93</v>
      </c>
      <c r="C836" s="84"/>
      <c r="D836" s="84"/>
    </row>
    <row r="837" spans="1:4" x14ac:dyDescent="0.3">
      <c r="A837" t="s">
        <v>80</v>
      </c>
      <c r="B837" t="s">
        <v>93</v>
      </c>
      <c r="C837" s="84"/>
      <c r="D837" s="84"/>
    </row>
    <row r="838" spans="1:4" x14ac:dyDescent="0.3">
      <c r="A838" t="s">
        <v>80</v>
      </c>
      <c r="B838" t="s">
        <v>93</v>
      </c>
      <c r="C838" s="84"/>
      <c r="D838" s="84"/>
    </row>
    <row r="839" spans="1:4" x14ac:dyDescent="0.3">
      <c r="A839" t="s">
        <v>80</v>
      </c>
      <c r="B839" t="s">
        <v>93</v>
      </c>
      <c r="C839" s="84"/>
      <c r="D839" s="84"/>
    </row>
    <row r="840" spans="1:4" x14ac:dyDescent="0.3">
      <c r="A840" t="s">
        <v>80</v>
      </c>
      <c r="B840" t="s">
        <v>93</v>
      </c>
      <c r="C840" s="84"/>
      <c r="D840" s="84"/>
    </row>
    <row r="841" spans="1:4" x14ac:dyDescent="0.3">
      <c r="A841" t="s">
        <v>80</v>
      </c>
      <c r="B841" t="s">
        <v>93</v>
      </c>
      <c r="C841" s="84"/>
      <c r="D841" s="84"/>
    </row>
    <row r="842" spans="1:4" x14ac:dyDescent="0.3">
      <c r="A842" t="s">
        <v>80</v>
      </c>
      <c r="B842" t="s">
        <v>93</v>
      </c>
      <c r="C842" s="84"/>
      <c r="D842" s="84"/>
    </row>
    <row r="843" spans="1:4" x14ac:dyDescent="0.3">
      <c r="A843" t="s">
        <v>80</v>
      </c>
      <c r="B843" t="s">
        <v>93</v>
      </c>
      <c r="C843" s="84"/>
      <c r="D843" s="84"/>
    </row>
    <row r="844" spans="1:4" x14ac:dyDescent="0.3">
      <c r="A844" t="s">
        <v>80</v>
      </c>
      <c r="B844" t="s">
        <v>93</v>
      </c>
      <c r="C844" s="84"/>
      <c r="D844" s="84"/>
    </row>
    <row r="845" spans="1:4" x14ac:dyDescent="0.3">
      <c r="A845" t="s">
        <v>80</v>
      </c>
      <c r="B845" t="s">
        <v>93</v>
      </c>
      <c r="C845" s="84"/>
      <c r="D845" s="84"/>
    </row>
    <row r="846" spans="1:4" x14ac:dyDescent="0.3">
      <c r="A846" t="s">
        <v>80</v>
      </c>
      <c r="B846" t="s">
        <v>93</v>
      </c>
      <c r="C846" s="84"/>
      <c r="D846" s="84"/>
    </row>
    <row r="847" spans="1:4" x14ac:dyDescent="0.3">
      <c r="A847" t="s">
        <v>80</v>
      </c>
      <c r="B847" t="s">
        <v>93</v>
      </c>
      <c r="C847" s="84"/>
      <c r="D847" s="84"/>
    </row>
    <row r="848" spans="1:4" x14ac:dyDescent="0.3">
      <c r="A848" t="s">
        <v>80</v>
      </c>
      <c r="B848" t="s">
        <v>93</v>
      </c>
      <c r="C848" s="84"/>
      <c r="D848" s="84"/>
    </row>
    <row r="849" spans="1:4" x14ac:dyDescent="0.3">
      <c r="A849" t="s">
        <v>80</v>
      </c>
      <c r="B849" t="s">
        <v>93</v>
      </c>
      <c r="C849" s="84"/>
      <c r="D849" s="84"/>
    </row>
    <row r="850" spans="1:4" x14ac:dyDescent="0.3">
      <c r="A850" t="s">
        <v>80</v>
      </c>
      <c r="B850" t="s">
        <v>93</v>
      </c>
      <c r="C850" s="84"/>
      <c r="D850" s="84"/>
    </row>
    <row r="851" spans="1:4" x14ac:dyDescent="0.3">
      <c r="A851" t="s">
        <v>80</v>
      </c>
      <c r="B851" t="s">
        <v>93</v>
      </c>
      <c r="C851" s="84"/>
      <c r="D851" s="84"/>
    </row>
    <row r="852" spans="1:4" x14ac:dyDescent="0.3">
      <c r="A852" t="s">
        <v>80</v>
      </c>
      <c r="B852" t="s">
        <v>93</v>
      </c>
      <c r="C852" s="84"/>
      <c r="D852" s="84"/>
    </row>
    <row r="853" spans="1:4" x14ac:dyDescent="0.3">
      <c r="A853" t="s">
        <v>80</v>
      </c>
      <c r="B853" t="s">
        <v>93</v>
      </c>
      <c r="C853" s="84"/>
      <c r="D853" s="84"/>
    </row>
    <row r="854" spans="1:4" x14ac:dyDescent="0.3">
      <c r="A854" t="s">
        <v>80</v>
      </c>
      <c r="B854" t="s">
        <v>93</v>
      </c>
      <c r="C854" s="84"/>
      <c r="D854" s="84"/>
    </row>
    <row r="855" spans="1:4" x14ac:dyDescent="0.3">
      <c r="A855" t="s">
        <v>80</v>
      </c>
      <c r="B855" t="s">
        <v>93</v>
      </c>
      <c r="C855" s="84"/>
      <c r="D855" s="84"/>
    </row>
    <row r="856" spans="1:4" x14ac:dyDescent="0.3">
      <c r="A856" t="s">
        <v>80</v>
      </c>
      <c r="B856" t="s">
        <v>93</v>
      </c>
      <c r="C856" s="84"/>
      <c r="D856" s="84"/>
    </row>
    <row r="857" spans="1:4" hidden="1" x14ac:dyDescent="0.3">
      <c r="A857" t="s">
        <v>80</v>
      </c>
      <c r="B857" t="s">
        <v>93</v>
      </c>
      <c r="C857" s="84"/>
      <c r="D857" s="84"/>
    </row>
    <row r="858" spans="1:4" hidden="1" x14ac:dyDescent="0.3">
      <c r="A858" t="s">
        <v>80</v>
      </c>
      <c r="B858" t="s">
        <v>93</v>
      </c>
      <c r="C858" s="84"/>
      <c r="D858" s="84"/>
    </row>
    <row r="859" spans="1:4" hidden="1" x14ac:dyDescent="0.3">
      <c r="A859" t="s">
        <v>80</v>
      </c>
      <c r="B859" t="s">
        <v>93</v>
      </c>
      <c r="C859" s="84"/>
      <c r="D859" s="84"/>
    </row>
    <row r="860" spans="1:4" hidden="1" x14ac:dyDescent="0.3">
      <c r="A860" t="s">
        <v>80</v>
      </c>
      <c r="B860" t="s">
        <v>93</v>
      </c>
      <c r="C860" s="84"/>
      <c r="D860" s="84"/>
    </row>
    <row r="861" spans="1:4" hidden="1" x14ac:dyDescent="0.3">
      <c r="A861" t="s">
        <v>80</v>
      </c>
      <c r="B861" t="s">
        <v>93</v>
      </c>
      <c r="D861" s="171"/>
    </row>
    <row r="862" spans="1:4" hidden="1" x14ac:dyDescent="0.3">
      <c r="A862" t="s">
        <v>80</v>
      </c>
      <c r="B862" t="s">
        <v>93</v>
      </c>
      <c r="D862"/>
    </row>
    <row r="863" spans="1:4" hidden="1" x14ac:dyDescent="0.3">
      <c r="A863" t="s">
        <v>80</v>
      </c>
      <c r="B863" t="s">
        <v>93</v>
      </c>
      <c r="D863"/>
    </row>
    <row r="864" spans="1:4" hidden="1" x14ac:dyDescent="0.3">
      <c r="A864" t="s">
        <v>80</v>
      </c>
      <c r="B864" t="s">
        <v>93</v>
      </c>
      <c r="D864"/>
    </row>
    <row r="865" spans="1:4" hidden="1" x14ac:dyDescent="0.3">
      <c r="A865" t="s">
        <v>80</v>
      </c>
      <c r="B865" t="s">
        <v>93</v>
      </c>
      <c r="D865"/>
    </row>
    <row r="866" spans="1:4" hidden="1" x14ac:dyDescent="0.3">
      <c r="A866" t="s">
        <v>80</v>
      </c>
      <c r="B866" t="s">
        <v>93</v>
      </c>
      <c r="D866"/>
    </row>
    <row r="867" spans="1:4" hidden="1" x14ac:dyDescent="0.3">
      <c r="A867" t="s">
        <v>80</v>
      </c>
      <c r="B867" t="s">
        <v>93</v>
      </c>
      <c r="D867"/>
    </row>
    <row r="868" spans="1:4" hidden="1" x14ac:dyDescent="0.3">
      <c r="A868" t="s">
        <v>80</v>
      </c>
      <c r="B868" t="s">
        <v>93</v>
      </c>
      <c r="D868"/>
    </row>
    <row r="869" spans="1:4" hidden="1" x14ac:dyDescent="0.3">
      <c r="A869" t="s">
        <v>80</v>
      </c>
      <c r="B869" t="s">
        <v>93</v>
      </c>
      <c r="D869"/>
    </row>
    <row r="870" spans="1:4" hidden="1" x14ac:dyDescent="0.3">
      <c r="A870" t="s">
        <v>80</v>
      </c>
      <c r="B870" t="s">
        <v>93</v>
      </c>
      <c r="D870"/>
    </row>
    <row r="871" spans="1:4" hidden="1" x14ac:dyDescent="0.3">
      <c r="A871" t="s">
        <v>80</v>
      </c>
      <c r="B871" t="s">
        <v>93</v>
      </c>
      <c r="D871"/>
    </row>
    <row r="872" spans="1:4" hidden="1" x14ac:dyDescent="0.3">
      <c r="A872" t="s">
        <v>80</v>
      </c>
      <c r="B872" t="s">
        <v>93</v>
      </c>
      <c r="D872"/>
    </row>
    <row r="873" spans="1:4" hidden="1" x14ac:dyDescent="0.3">
      <c r="A873" t="s">
        <v>80</v>
      </c>
      <c r="B873" t="s">
        <v>93</v>
      </c>
      <c r="D873"/>
    </row>
    <row r="874" spans="1:4" hidden="1" x14ac:dyDescent="0.3">
      <c r="A874" t="s">
        <v>80</v>
      </c>
      <c r="B874" t="s">
        <v>93</v>
      </c>
      <c r="D874"/>
    </row>
    <row r="875" spans="1:4" hidden="1" x14ac:dyDescent="0.3">
      <c r="A875" t="s">
        <v>80</v>
      </c>
      <c r="B875" t="s">
        <v>93</v>
      </c>
      <c r="D875"/>
    </row>
    <row r="876" spans="1:4" hidden="1" x14ac:dyDescent="0.3">
      <c r="A876" t="s">
        <v>80</v>
      </c>
      <c r="B876" t="s">
        <v>93</v>
      </c>
      <c r="D876"/>
    </row>
    <row r="877" spans="1:4" hidden="1" x14ac:dyDescent="0.3">
      <c r="A877" t="s">
        <v>80</v>
      </c>
      <c r="B877" t="s">
        <v>93</v>
      </c>
      <c r="D877"/>
    </row>
    <row r="878" spans="1:4" hidden="1" x14ac:dyDescent="0.3">
      <c r="A878" t="s">
        <v>80</v>
      </c>
      <c r="B878" t="s">
        <v>93</v>
      </c>
      <c r="D878"/>
    </row>
    <row r="879" spans="1:4" hidden="1" x14ac:dyDescent="0.3">
      <c r="A879" t="s">
        <v>80</v>
      </c>
      <c r="B879" t="s">
        <v>93</v>
      </c>
      <c r="D879"/>
    </row>
    <row r="880" spans="1:4" hidden="1" x14ac:dyDescent="0.3">
      <c r="A880" t="s">
        <v>80</v>
      </c>
      <c r="B880" t="s">
        <v>93</v>
      </c>
      <c r="D880"/>
    </row>
    <row r="881" spans="1:4" hidden="1" x14ac:dyDescent="0.3">
      <c r="A881" t="s">
        <v>80</v>
      </c>
      <c r="B881" t="s">
        <v>93</v>
      </c>
      <c r="D881"/>
    </row>
    <row r="882" spans="1:4" hidden="1" x14ac:dyDescent="0.3">
      <c r="A882" t="s">
        <v>80</v>
      </c>
      <c r="B882" t="s">
        <v>93</v>
      </c>
      <c r="D882"/>
    </row>
    <row r="883" spans="1:4" hidden="1" x14ac:dyDescent="0.3">
      <c r="A883" t="s">
        <v>80</v>
      </c>
      <c r="B883" t="s">
        <v>93</v>
      </c>
      <c r="D883"/>
    </row>
    <row r="884" spans="1:4" hidden="1" x14ac:dyDescent="0.3">
      <c r="A884" t="s">
        <v>80</v>
      </c>
      <c r="B884" t="s">
        <v>93</v>
      </c>
      <c r="D884"/>
    </row>
    <row r="885" spans="1:4" hidden="1" x14ac:dyDescent="0.3">
      <c r="A885" t="s">
        <v>80</v>
      </c>
      <c r="B885" t="s">
        <v>93</v>
      </c>
      <c r="D885"/>
    </row>
    <row r="886" spans="1:4" hidden="1" x14ac:dyDescent="0.3">
      <c r="A886" t="s">
        <v>80</v>
      </c>
      <c r="B886" t="s">
        <v>93</v>
      </c>
      <c r="D886"/>
    </row>
    <row r="887" spans="1:4" hidden="1" x14ac:dyDescent="0.3">
      <c r="A887" t="s">
        <v>80</v>
      </c>
      <c r="B887" t="s">
        <v>93</v>
      </c>
      <c r="D887"/>
    </row>
    <row r="888" spans="1:4" hidden="1" x14ac:dyDescent="0.3">
      <c r="A888" t="s">
        <v>80</v>
      </c>
      <c r="B888" t="s">
        <v>93</v>
      </c>
      <c r="D888"/>
    </row>
    <row r="889" spans="1:4" hidden="1" x14ac:dyDescent="0.3">
      <c r="A889" t="s">
        <v>80</v>
      </c>
      <c r="B889" t="s">
        <v>93</v>
      </c>
      <c r="D889"/>
    </row>
    <row r="890" spans="1:4" hidden="1" x14ac:dyDescent="0.3">
      <c r="A890" t="s">
        <v>80</v>
      </c>
      <c r="B890" t="s">
        <v>93</v>
      </c>
      <c r="D890"/>
    </row>
    <row r="891" spans="1:4" hidden="1" x14ac:dyDescent="0.3">
      <c r="A891" t="s">
        <v>80</v>
      </c>
      <c r="B891" t="s">
        <v>93</v>
      </c>
      <c r="D891"/>
    </row>
    <row r="892" spans="1:4" hidden="1" x14ac:dyDescent="0.3">
      <c r="A892" t="s">
        <v>80</v>
      </c>
      <c r="B892" t="s">
        <v>93</v>
      </c>
      <c r="D892"/>
    </row>
    <row r="893" spans="1:4" hidden="1" x14ac:dyDescent="0.3">
      <c r="A893" t="s">
        <v>80</v>
      </c>
      <c r="B893" t="s">
        <v>93</v>
      </c>
      <c r="D893"/>
    </row>
    <row r="894" spans="1:4" hidden="1" x14ac:dyDescent="0.3">
      <c r="A894" t="s">
        <v>80</v>
      </c>
      <c r="B894" t="s">
        <v>93</v>
      </c>
      <c r="D894"/>
    </row>
    <row r="895" spans="1:4" hidden="1" x14ac:dyDescent="0.3">
      <c r="A895" t="s">
        <v>80</v>
      </c>
      <c r="B895" t="s">
        <v>93</v>
      </c>
      <c r="D895"/>
    </row>
    <row r="896" spans="1:4" hidden="1" x14ac:dyDescent="0.3">
      <c r="A896" t="s">
        <v>80</v>
      </c>
      <c r="B896" t="s">
        <v>93</v>
      </c>
      <c r="D896"/>
    </row>
    <row r="897" spans="1:4" hidden="1" x14ac:dyDescent="0.3">
      <c r="A897" t="s">
        <v>80</v>
      </c>
      <c r="B897" t="s">
        <v>93</v>
      </c>
      <c r="D897"/>
    </row>
    <row r="898" spans="1:4" hidden="1" x14ac:dyDescent="0.3">
      <c r="A898" t="s">
        <v>80</v>
      </c>
      <c r="B898" t="s">
        <v>93</v>
      </c>
      <c r="D898"/>
    </row>
    <row r="899" spans="1:4" hidden="1" x14ac:dyDescent="0.3">
      <c r="A899" t="s">
        <v>80</v>
      </c>
      <c r="B899" t="s">
        <v>93</v>
      </c>
      <c r="D899"/>
    </row>
    <row r="900" spans="1:4" hidden="1" x14ac:dyDescent="0.3">
      <c r="A900" t="s">
        <v>80</v>
      </c>
      <c r="B900" t="s">
        <v>93</v>
      </c>
      <c r="D900"/>
    </row>
    <row r="901" spans="1:4" hidden="1" x14ac:dyDescent="0.3">
      <c r="A901" t="s">
        <v>80</v>
      </c>
      <c r="B901" t="s">
        <v>93</v>
      </c>
      <c r="D901"/>
    </row>
    <row r="902" spans="1:4" hidden="1" x14ac:dyDescent="0.3">
      <c r="A902" t="s">
        <v>80</v>
      </c>
      <c r="B902" t="s">
        <v>93</v>
      </c>
      <c r="D902"/>
    </row>
    <row r="903" spans="1:4" hidden="1" x14ac:dyDescent="0.3">
      <c r="A903" t="s">
        <v>80</v>
      </c>
      <c r="B903" t="s">
        <v>93</v>
      </c>
      <c r="D903"/>
    </row>
    <row r="904" spans="1:4" hidden="1" x14ac:dyDescent="0.3">
      <c r="A904" t="s">
        <v>80</v>
      </c>
      <c r="B904" t="s">
        <v>93</v>
      </c>
      <c r="D904"/>
    </row>
    <row r="905" spans="1:4" hidden="1" x14ac:dyDescent="0.3">
      <c r="A905" t="s">
        <v>79</v>
      </c>
      <c r="B905" t="s">
        <v>90</v>
      </c>
      <c r="D905"/>
    </row>
    <row r="906" spans="1:4" hidden="1" x14ac:dyDescent="0.3">
      <c r="A906" t="s">
        <v>79</v>
      </c>
      <c r="B906" t="s">
        <v>90</v>
      </c>
      <c r="D906"/>
    </row>
    <row r="907" spans="1:4" hidden="1" x14ac:dyDescent="0.3">
      <c r="A907" t="s">
        <v>79</v>
      </c>
      <c r="B907" t="s">
        <v>90</v>
      </c>
      <c r="D907"/>
    </row>
    <row r="908" spans="1:4" hidden="1" x14ac:dyDescent="0.3">
      <c r="A908" t="s">
        <v>79</v>
      </c>
      <c r="B908" t="s">
        <v>90</v>
      </c>
      <c r="D908"/>
    </row>
    <row r="909" spans="1:4" hidden="1" x14ac:dyDescent="0.3">
      <c r="A909" t="s">
        <v>79</v>
      </c>
      <c r="B909" t="s">
        <v>90</v>
      </c>
      <c r="D909"/>
    </row>
    <row r="910" spans="1:4" hidden="1" x14ac:dyDescent="0.3">
      <c r="A910" t="s">
        <v>79</v>
      </c>
      <c r="B910" t="s">
        <v>90</v>
      </c>
      <c r="D910"/>
    </row>
    <row r="911" spans="1:4" hidden="1" x14ac:dyDescent="0.3">
      <c r="A911" t="s">
        <v>79</v>
      </c>
      <c r="B911" t="s">
        <v>90</v>
      </c>
      <c r="D911"/>
    </row>
    <row r="912" spans="1:4" hidden="1" x14ac:dyDescent="0.3">
      <c r="A912" t="s">
        <v>79</v>
      </c>
      <c r="B912" t="s">
        <v>90</v>
      </c>
      <c r="D912"/>
    </row>
    <row r="913" spans="1:4" hidden="1" x14ac:dyDescent="0.3">
      <c r="A913" t="s">
        <v>79</v>
      </c>
      <c r="B913" t="s">
        <v>90</v>
      </c>
      <c r="D913"/>
    </row>
    <row r="914" spans="1:4" hidden="1" x14ac:dyDescent="0.3">
      <c r="A914" t="s">
        <v>79</v>
      </c>
      <c r="B914" t="s">
        <v>90</v>
      </c>
      <c r="D914"/>
    </row>
    <row r="915" spans="1:4" hidden="1" x14ac:dyDescent="0.3">
      <c r="A915" t="s">
        <v>79</v>
      </c>
      <c r="B915" t="s">
        <v>90</v>
      </c>
      <c r="D915"/>
    </row>
    <row r="916" spans="1:4" hidden="1" x14ac:dyDescent="0.3">
      <c r="A916" t="s">
        <v>79</v>
      </c>
      <c r="B916" t="s">
        <v>90</v>
      </c>
      <c r="D916"/>
    </row>
    <row r="917" spans="1:4" hidden="1" x14ac:dyDescent="0.3">
      <c r="A917" t="s">
        <v>79</v>
      </c>
      <c r="B917" t="s">
        <v>90</v>
      </c>
      <c r="D917"/>
    </row>
    <row r="918" spans="1:4" hidden="1" x14ac:dyDescent="0.3">
      <c r="A918" t="s">
        <v>79</v>
      </c>
      <c r="B918" t="s">
        <v>90</v>
      </c>
      <c r="D918"/>
    </row>
    <row r="919" spans="1:4" hidden="1" x14ac:dyDescent="0.3">
      <c r="A919" t="s">
        <v>79</v>
      </c>
      <c r="B919" t="s">
        <v>90</v>
      </c>
      <c r="D919"/>
    </row>
    <row r="920" spans="1:4" hidden="1" x14ac:dyDescent="0.3">
      <c r="A920" t="s">
        <v>79</v>
      </c>
      <c r="B920" t="s">
        <v>90</v>
      </c>
      <c r="D920"/>
    </row>
    <row r="921" spans="1:4" hidden="1" x14ac:dyDescent="0.3">
      <c r="A921" t="s">
        <v>79</v>
      </c>
      <c r="B921" t="s">
        <v>90</v>
      </c>
      <c r="D921"/>
    </row>
    <row r="922" spans="1:4" hidden="1" x14ac:dyDescent="0.3">
      <c r="A922" t="s">
        <v>79</v>
      </c>
      <c r="B922" t="s">
        <v>90</v>
      </c>
      <c r="D922"/>
    </row>
    <row r="923" spans="1:4" hidden="1" x14ac:dyDescent="0.3">
      <c r="A923" t="s">
        <v>79</v>
      </c>
      <c r="B923" t="s">
        <v>90</v>
      </c>
      <c r="D923"/>
    </row>
    <row r="924" spans="1:4" hidden="1" x14ac:dyDescent="0.3">
      <c r="A924" t="s">
        <v>79</v>
      </c>
      <c r="B924" t="s">
        <v>90</v>
      </c>
      <c r="D924"/>
    </row>
    <row r="925" spans="1:4" hidden="1" x14ac:dyDescent="0.3">
      <c r="A925" t="s">
        <v>79</v>
      </c>
      <c r="B925" t="s">
        <v>90</v>
      </c>
      <c r="D925"/>
    </row>
    <row r="926" spans="1:4" hidden="1" x14ac:dyDescent="0.3">
      <c r="A926" t="s">
        <v>79</v>
      </c>
      <c r="B926" t="s">
        <v>90</v>
      </c>
      <c r="D926"/>
    </row>
    <row r="927" spans="1:4" hidden="1" x14ac:dyDescent="0.3">
      <c r="A927" t="s">
        <v>79</v>
      </c>
      <c r="B927" t="s">
        <v>90</v>
      </c>
      <c r="D927"/>
    </row>
    <row r="928" spans="1:4" hidden="1" x14ac:dyDescent="0.3">
      <c r="A928" t="s">
        <v>79</v>
      </c>
      <c r="B928" t="s">
        <v>90</v>
      </c>
      <c r="D928"/>
    </row>
    <row r="929" spans="1:4" hidden="1" x14ac:dyDescent="0.3">
      <c r="A929" t="s">
        <v>79</v>
      </c>
      <c r="B929" t="s">
        <v>90</v>
      </c>
      <c r="D929"/>
    </row>
    <row r="930" spans="1:4" hidden="1" x14ac:dyDescent="0.3">
      <c r="A930" t="s">
        <v>79</v>
      </c>
      <c r="B930" t="s">
        <v>90</v>
      </c>
      <c r="D930"/>
    </row>
    <row r="931" spans="1:4" hidden="1" x14ac:dyDescent="0.3">
      <c r="A931" t="s">
        <v>79</v>
      </c>
      <c r="B931" t="s">
        <v>90</v>
      </c>
      <c r="D931"/>
    </row>
    <row r="932" spans="1:4" hidden="1" x14ac:dyDescent="0.3">
      <c r="A932" t="s">
        <v>79</v>
      </c>
      <c r="B932" t="s">
        <v>90</v>
      </c>
      <c r="D932"/>
    </row>
    <row r="933" spans="1:4" hidden="1" x14ac:dyDescent="0.3">
      <c r="A933" t="s">
        <v>79</v>
      </c>
      <c r="B933" t="s">
        <v>90</v>
      </c>
      <c r="D933"/>
    </row>
    <row r="934" spans="1:4" hidden="1" x14ac:dyDescent="0.3">
      <c r="A934" t="s">
        <v>79</v>
      </c>
      <c r="B934" t="s">
        <v>90</v>
      </c>
      <c r="D934"/>
    </row>
    <row r="935" spans="1:4" hidden="1" x14ac:dyDescent="0.3">
      <c r="A935" t="s">
        <v>79</v>
      </c>
      <c r="B935" t="s">
        <v>90</v>
      </c>
      <c r="D935"/>
    </row>
    <row r="936" spans="1:4" hidden="1" x14ac:dyDescent="0.3">
      <c r="A936" t="s">
        <v>79</v>
      </c>
      <c r="B936" t="s">
        <v>90</v>
      </c>
      <c r="D936"/>
    </row>
    <row r="937" spans="1:4" hidden="1" x14ac:dyDescent="0.3">
      <c r="A937" t="s">
        <v>79</v>
      </c>
      <c r="B937" t="s">
        <v>27</v>
      </c>
      <c r="D937"/>
    </row>
    <row r="938" spans="1:4" hidden="1" x14ac:dyDescent="0.3">
      <c r="A938" t="s">
        <v>79</v>
      </c>
      <c r="B938" t="s">
        <v>27</v>
      </c>
      <c r="D938"/>
    </row>
    <row r="939" spans="1:4" hidden="1" x14ac:dyDescent="0.3">
      <c r="A939" t="s">
        <v>79</v>
      </c>
      <c r="B939" t="s">
        <v>27</v>
      </c>
      <c r="D939"/>
    </row>
    <row r="940" spans="1:4" hidden="1" x14ac:dyDescent="0.3">
      <c r="A940" t="s">
        <v>79</v>
      </c>
      <c r="B940" t="s">
        <v>27</v>
      </c>
      <c r="D940"/>
    </row>
    <row r="941" spans="1:4" hidden="1" x14ac:dyDescent="0.3">
      <c r="A941" t="s">
        <v>79</v>
      </c>
      <c r="B941" t="s">
        <v>27</v>
      </c>
      <c r="D941"/>
    </row>
    <row r="942" spans="1:4" hidden="1" x14ac:dyDescent="0.3">
      <c r="A942" t="s">
        <v>79</v>
      </c>
      <c r="B942" t="s">
        <v>27</v>
      </c>
      <c r="D942"/>
    </row>
    <row r="943" spans="1:4" hidden="1" x14ac:dyDescent="0.3">
      <c r="A943" t="s">
        <v>79</v>
      </c>
      <c r="B943" t="s">
        <v>27</v>
      </c>
      <c r="D943"/>
    </row>
    <row r="944" spans="1:4" hidden="1" x14ac:dyDescent="0.3">
      <c r="A944" t="s">
        <v>79</v>
      </c>
      <c r="B944" t="s">
        <v>27</v>
      </c>
      <c r="D944"/>
    </row>
    <row r="945" spans="1:4" hidden="1" x14ac:dyDescent="0.3">
      <c r="A945" t="s">
        <v>79</v>
      </c>
      <c r="B945" t="s">
        <v>27</v>
      </c>
      <c r="D945"/>
    </row>
    <row r="946" spans="1:4" hidden="1" x14ac:dyDescent="0.3">
      <c r="A946" t="s">
        <v>79</v>
      </c>
      <c r="B946" t="s">
        <v>27</v>
      </c>
      <c r="D946"/>
    </row>
    <row r="947" spans="1:4" hidden="1" x14ac:dyDescent="0.3">
      <c r="A947" t="s">
        <v>79</v>
      </c>
      <c r="B947" t="s">
        <v>27</v>
      </c>
      <c r="D947"/>
    </row>
    <row r="948" spans="1:4" hidden="1" x14ac:dyDescent="0.3">
      <c r="A948" t="s">
        <v>79</v>
      </c>
      <c r="B948" t="s">
        <v>27</v>
      </c>
      <c r="D948"/>
    </row>
    <row r="949" spans="1:4" hidden="1" x14ac:dyDescent="0.3">
      <c r="A949" t="s">
        <v>79</v>
      </c>
      <c r="B949" t="s">
        <v>27</v>
      </c>
      <c r="D949"/>
    </row>
    <row r="950" spans="1:4" hidden="1" x14ac:dyDescent="0.3">
      <c r="A950" t="s">
        <v>79</v>
      </c>
      <c r="B950" t="s">
        <v>27</v>
      </c>
      <c r="D950"/>
    </row>
    <row r="951" spans="1:4" hidden="1" x14ac:dyDescent="0.3">
      <c r="A951" t="s">
        <v>79</v>
      </c>
      <c r="B951" t="s">
        <v>27</v>
      </c>
      <c r="D951"/>
    </row>
    <row r="952" spans="1:4" hidden="1" x14ac:dyDescent="0.3">
      <c r="A952" t="s">
        <v>79</v>
      </c>
      <c r="B952" t="s">
        <v>27</v>
      </c>
      <c r="D952"/>
    </row>
    <row r="953" spans="1:4" hidden="1" x14ac:dyDescent="0.3">
      <c r="A953" t="s">
        <v>79</v>
      </c>
      <c r="B953" t="s">
        <v>27</v>
      </c>
      <c r="D953"/>
    </row>
    <row r="954" spans="1:4" hidden="1" x14ac:dyDescent="0.3">
      <c r="A954" t="s">
        <v>79</v>
      </c>
      <c r="B954" t="s">
        <v>27</v>
      </c>
      <c r="D954"/>
    </row>
    <row r="955" spans="1:4" hidden="1" x14ac:dyDescent="0.3">
      <c r="A955" t="s">
        <v>79</v>
      </c>
      <c r="B955" t="s">
        <v>27</v>
      </c>
      <c r="D955"/>
    </row>
    <row r="956" spans="1:4" hidden="1" x14ac:dyDescent="0.3">
      <c r="A956" t="s">
        <v>79</v>
      </c>
      <c r="B956" t="s">
        <v>27</v>
      </c>
      <c r="D956"/>
    </row>
    <row r="957" spans="1:4" hidden="1" x14ac:dyDescent="0.3">
      <c r="A957" t="s">
        <v>79</v>
      </c>
      <c r="B957" t="s">
        <v>27</v>
      </c>
      <c r="D957"/>
    </row>
    <row r="958" spans="1:4" hidden="1" x14ac:dyDescent="0.3">
      <c r="A958" t="s">
        <v>79</v>
      </c>
      <c r="B958" t="s">
        <v>27</v>
      </c>
      <c r="D958"/>
    </row>
    <row r="959" spans="1:4" hidden="1" x14ac:dyDescent="0.3">
      <c r="A959" t="s">
        <v>79</v>
      </c>
      <c r="B959" t="s">
        <v>27</v>
      </c>
      <c r="D959"/>
    </row>
    <row r="960" spans="1:4" hidden="1" x14ac:dyDescent="0.3">
      <c r="A960" t="s">
        <v>79</v>
      </c>
      <c r="B960" t="s">
        <v>27</v>
      </c>
      <c r="D960"/>
    </row>
    <row r="961" spans="1:4" hidden="1" x14ac:dyDescent="0.3">
      <c r="A961" t="s">
        <v>79</v>
      </c>
      <c r="B961" t="s">
        <v>27</v>
      </c>
      <c r="D961"/>
    </row>
    <row r="962" spans="1:4" hidden="1" x14ac:dyDescent="0.3">
      <c r="A962" t="s">
        <v>79</v>
      </c>
      <c r="B962" t="s">
        <v>27</v>
      </c>
      <c r="D962"/>
    </row>
    <row r="963" spans="1:4" hidden="1" x14ac:dyDescent="0.3">
      <c r="A963" t="s">
        <v>79</v>
      </c>
      <c r="B963" t="s">
        <v>27</v>
      </c>
      <c r="D963"/>
    </row>
    <row r="964" spans="1:4" hidden="1" x14ac:dyDescent="0.3">
      <c r="A964" t="s">
        <v>79</v>
      </c>
      <c r="B964" t="s">
        <v>27</v>
      </c>
      <c r="D964"/>
    </row>
    <row r="965" spans="1:4" hidden="1" x14ac:dyDescent="0.3">
      <c r="A965" t="s">
        <v>79</v>
      </c>
      <c r="B965" t="s">
        <v>27</v>
      </c>
      <c r="D965"/>
    </row>
    <row r="966" spans="1:4" hidden="1" x14ac:dyDescent="0.3">
      <c r="A966" t="s">
        <v>79</v>
      </c>
      <c r="B966" t="s">
        <v>27</v>
      </c>
      <c r="D966"/>
    </row>
    <row r="967" spans="1:4" hidden="1" x14ac:dyDescent="0.3">
      <c r="A967" t="s">
        <v>79</v>
      </c>
      <c r="B967" t="s">
        <v>27</v>
      </c>
      <c r="D967"/>
    </row>
    <row r="968" spans="1:4" hidden="1" x14ac:dyDescent="0.3">
      <c r="A968" t="s">
        <v>79</v>
      </c>
      <c r="B968" t="s">
        <v>27</v>
      </c>
      <c r="D968"/>
    </row>
    <row r="969" spans="1:4" hidden="1" x14ac:dyDescent="0.3">
      <c r="A969" t="s">
        <v>79</v>
      </c>
      <c r="B969" t="s">
        <v>27</v>
      </c>
      <c r="D969"/>
    </row>
    <row r="970" spans="1:4" hidden="1" x14ac:dyDescent="0.3">
      <c r="A970" t="s">
        <v>79</v>
      </c>
      <c r="B970" t="s">
        <v>27</v>
      </c>
      <c r="D970"/>
    </row>
    <row r="971" spans="1:4" hidden="1" x14ac:dyDescent="0.3">
      <c r="A971" t="s">
        <v>79</v>
      </c>
      <c r="B971" t="s">
        <v>27</v>
      </c>
      <c r="D971"/>
    </row>
    <row r="972" spans="1:4" hidden="1" x14ac:dyDescent="0.3">
      <c r="A972" t="s">
        <v>79</v>
      </c>
      <c r="B972" t="s">
        <v>27</v>
      </c>
      <c r="D972"/>
    </row>
    <row r="973" spans="1:4" hidden="1" x14ac:dyDescent="0.3">
      <c r="A973" t="s">
        <v>79</v>
      </c>
      <c r="B973" t="s">
        <v>27</v>
      </c>
      <c r="D973"/>
    </row>
    <row r="974" spans="1:4" hidden="1" x14ac:dyDescent="0.3">
      <c r="A974" t="s">
        <v>79</v>
      </c>
      <c r="B974" t="s">
        <v>27</v>
      </c>
      <c r="D974"/>
    </row>
    <row r="975" spans="1:4" hidden="1" x14ac:dyDescent="0.3">
      <c r="A975" t="s">
        <v>79</v>
      </c>
      <c r="B975" t="s">
        <v>27</v>
      </c>
      <c r="D975"/>
    </row>
    <row r="976" spans="1:4" hidden="1" x14ac:dyDescent="0.3">
      <c r="A976" t="s">
        <v>79</v>
      </c>
      <c r="B976" t="s">
        <v>27</v>
      </c>
      <c r="D976"/>
    </row>
    <row r="977" spans="1:4" hidden="1" x14ac:dyDescent="0.3">
      <c r="A977" t="s">
        <v>79</v>
      </c>
      <c r="B977" t="s">
        <v>27</v>
      </c>
      <c r="D977"/>
    </row>
    <row r="978" spans="1:4" hidden="1" x14ac:dyDescent="0.3">
      <c r="A978" t="s">
        <v>79</v>
      </c>
      <c r="B978" t="s">
        <v>27</v>
      </c>
      <c r="D978"/>
    </row>
    <row r="979" spans="1:4" hidden="1" x14ac:dyDescent="0.3">
      <c r="A979" t="s">
        <v>79</v>
      </c>
      <c r="B979" t="s">
        <v>27</v>
      </c>
      <c r="D979"/>
    </row>
    <row r="980" spans="1:4" hidden="1" x14ac:dyDescent="0.3">
      <c r="A980" t="s">
        <v>79</v>
      </c>
      <c r="B980" t="s">
        <v>27</v>
      </c>
      <c r="D980"/>
    </row>
    <row r="981" spans="1:4" hidden="1" x14ac:dyDescent="0.3">
      <c r="A981" t="s">
        <v>79</v>
      </c>
      <c r="B981" t="s">
        <v>27</v>
      </c>
      <c r="D981"/>
    </row>
    <row r="982" spans="1:4" hidden="1" x14ac:dyDescent="0.3">
      <c r="A982" t="s">
        <v>79</v>
      </c>
      <c r="B982" t="s">
        <v>27</v>
      </c>
      <c r="D982"/>
    </row>
    <row r="983" spans="1:4" hidden="1" x14ac:dyDescent="0.3">
      <c r="A983" t="s">
        <v>79</v>
      </c>
      <c r="B983" t="s">
        <v>27</v>
      </c>
      <c r="D983"/>
    </row>
    <row r="984" spans="1:4" hidden="1" x14ac:dyDescent="0.3">
      <c r="A984" t="s">
        <v>79</v>
      </c>
      <c r="B984" t="s">
        <v>27</v>
      </c>
      <c r="D984"/>
    </row>
    <row r="985" spans="1:4" hidden="1" x14ac:dyDescent="0.3">
      <c r="A985" t="s">
        <v>79</v>
      </c>
      <c r="B985" t="s">
        <v>27</v>
      </c>
      <c r="D985"/>
    </row>
    <row r="986" spans="1:4" hidden="1" x14ac:dyDescent="0.3">
      <c r="A986" t="s">
        <v>79</v>
      </c>
      <c r="B986" t="s">
        <v>27</v>
      </c>
      <c r="D986"/>
    </row>
    <row r="987" spans="1:4" hidden="1" x14ac:dyDescent="0.3">
      <c r="A987" t="s">
        <v>79</v>
      </c>
      <c r="B987" t="s">
        <v>27</v>
      </c>
      <c r="D987"/>
    </row>
    <row r="988" spans="1:4" hidden="1" x14ac:dyDescent="0.3">
      <c r="A988" t="s">
        <v>79</v>
      </c>
      <c r="B988" t="s">
        <v>27</v>
      </c>
      <c r="D988"/>
    </row>
    <row r="989" spans="1:4" hidden="1" x14ac:dyDescent="0.3">
      <c r="A989" t="s">
        <v>79</v>
      </c>
      <c r="B989" t="s">
        <v>27</v>
      </c>
      <c r="D989"/>
    </row>
    <row r="990" spans="1:4" hidden="1" x14ac:dyDescent="0.3">
      <c r="A990" t="s">
        <v>79</v>
      </c>
      <c r="B990" t="s">
        <v>27</v>
      </c>
      <c r="D990"/>
    </row>
    <row r="991" spans="1:4" hidden="1" x14ac:dyDescent="0.3">
      <c r="A991" t="s">
        <v>79</v>
      </c>
      <c r="B991" t="s">
        <v>27</v>
      </c>
      <c r="D991"/>
    </row>
    <row r="992" spans="1:4" hidden="1" x14ac:dyDescent="0.3">
      <c r="A992" t="s">
        <v>79</v>
      </c>
      <c r="B992" t="s">
        <v>27</v>
      </c>
      <c r="D992"/>
    </row>
    <row r="993" spans="1:4" hidden="1" x14ac:dyDescent="0.3">
      <c r="A993" t="s">
        <v>79</v>
      </c>
      <c r="B993" t="s">
        <v>27</v>
      </c>
      <c r="D993"/>
    </row>
    <row r="994" spans="1:4" hidden="1" x14ac:dyDescent="0.3">
      <c r="A994" t="s">
        <v>79</v>
      </c>
      <c r="B994" t="s">
        <v>27</v>
      </c>
      <c r="D994"/>
    </row>
    <row r="995" spans="1:4" hidden="1" x14ac:dyDescent="0.3">
      <c r="A995" t="s">
        <v>79</v>
      </c>
      <c r="B995" t="s">
        <v>27</v>
      </c>
      <c r="D995"/>
    </row>
    <row r="996" spans="1:4" hidden="1" x14ac:dyDescent="0.3">
      <c r="A996" t="s">
        <v>79</v>
      </c>
      <c r="B996" t="s">
        <v>27</v>
      </c>
      <c r="D996"/>
    </row>
    <row r="997" spans="1:4" hidden="1" x14ac:dyDescent="0.3">
      <c r="A997" t="s">
        <v>79</v>
      </c>
      <c r="B997" t="s">
        <v>27</v>
      </c>
      <c r="D997"/>
    </row>
    <row r="998" spans="1:4" hidden="1" x14ac:dyDescent="0.3">
      <c r="A998" t="s">
        <v>79</v>
      </c>
      <c r="B998" t="s">
        <v>27</v>
      </c>
      <c r="D998"/>
    </row>
    <row r="999" spans="1:4" hidden="1" x14ac:dyDescent="0.3">
      <c r="A999" t="s">
        <v>79</v>
      </c>
      <c r="B999" t="s">
        <v>27</v>
      </c>
      <c r="D999"/>
    </row>
    <row r="1000" spans="1:4" hidden="1" x14ac:dyDescent="0.3">
      <c r="A1000" t="s">
        <v>79</v>
      </c>
      <c r="B1000" t="s">
        <v>27</v>
      </c>
      <c r="D1000"/>
    </row>
    <row r="1001" spans="1:4" hidden="1" x14ac:dyDescent="0.3">
      <c r="A1001" t="s">
        <v>79</v>
      </c>
      <c r="B1001" t="s">
        <v>27</v>
      </c>
      <c r="D1001"/>
    </row>
    <row r="1002" spans="1:4" hidden="1" x14ac:dyDescent="0.3">
      <c r="A1002" t="s">
        <v>79</v>
      </c>
      <c r="B1002" t="s">
        <v>27</v>
      </c>
      <c r="D1002"/>
    </row>
    <row r="1003" spans="1:4" hidden="1" x14ac:dyDescent="0.3">
      <c r="A1003" t="s">
        <v>79</v>
      </c>
      <c r="B1003" t="s">
        <v>27</v>
      </c>
      <c r="D1003"/>
    </row>
    <row r="1004" spans="1:4" hidden="1" x14ac:dyDescent="0.3">
      <c r="A1004" t="s">
        <v>79</v>
      </c>
      <c r="B1004" t="s">
        <v>27</v>
      </c>
      <c r="D1004"/>
    </row>
    <row r="1005" spans="1:4" hidden="1" x14ac:dyDescent="0.3">
      <c r="A1005" t="s">
        <v>79</v>
      </c>
      <c r="B1005" t="s">
        <v>27</v>
      </c>
      <c r="D1005"/>
    </row>
    <row r="1006" spans="1:4" hidden="1" x14ac:dyDescent="0.3">
      <c r="A1006" t="s">
        <v>79</v>
      </c>
      <c r="B1006" t="s">
        <v>27</v>
      </c>
      <c r="D1006"/>
    </row>
    <row r="1007" spans="1:4" hidden="1" x14ac:dyDescent="0.3">
      <c r="A1007" t="s">
        <v>79</v>
      </c>
      <c r="B1007" t="s">
        <v>27</v>
      </c>
      <c r="D1007"/>
    </row>
    <row r="1008" spans="1:4" hidden="1" x14ac:dyDescent="0.3">
      <c r="A1008" t="s">
        <v>79</v>
      </c>
      <c r="B1008" t="s">
        <v>27</v>
      </c>
      <c r="D1008"/>
    </row>
    <row r="1009" spans="1:4" hidden="1" x14ac:dyDescent="0.3">
      <c r="A1009" t="s">
        <v>79</v>
      </c>
      <c r="B1009" t="s">
        <v>27</v>
      </c>
      <c r="D1009"/>
    </row>
    <row r="1010" spans="1:4" hidden="1" x14ac:dyDescent="0.3">
      <c r="A1010" t="s">
        <v>79</v>
      </c>
      <c r="B1010" t="s">
        <v>27</v>
      </c>
      <c r="D1010"/>
    </row>
    <row r="1011" spans="1:4" hidden="1" x14ac:dyDescent="0.3">
      <c r="A1011" t="s">
        <v>79</v>
      </c>
      <c r="B1011" t="s">
        <v>27</v>
      </c>
      <c r="D1011"/>
    </row>
    <row r="1012" spans="1:4" hidden="1" x14ac:dyDescent="0.3">
      <c r="A1012" t="s">
        <v>79</v>
      </c>
      <c r="B1012" t="s">
        <v>27</v>
      </c>
      <c r="D1012"/>
    </row>
    <row r="1013" spans="1:4" hidden="1" x14ac:dyDescent="0.3">
      <c r="A1013" t="s">
        <v>79</v>
      </c>
      <c r="B1013" t="s">
        <v>27</v>
      </c>
      <c r="D1013"/>
    </row>
    <row r="1014" spans="1:4" hidden="1" x14ac:dyDescent="0.3">
      <c r="A1014" t="s">
        <v>79</v>
      </c>
      <c r="B1014" t="s">
        <v>27</v>
      </c>
      <c r="D1014"/>
    </row>
    <row r="1015" spans="1:4" hidden="1" x14ac:dyDescent="0.3">
      <c r="A1015" t="s">
        <v>79</v>
      </c>
      <c r="B1015" t="s">
        <v>27</v>
      </c>
      <c r="D1015"/>
    </row>
    <row r="1016" spans="1:4" hidden="1" x14ac:dyDescent="0.3">
      <c r="A1016" t="s">
        <v>79</v>
      </c>
      <c r="B1016" t="s">
        <v>27</v>
      </c>
      <c r="D1016"/>
    </row>
    <row r="1017" spans="1:4" hidden="1" x14ac:dyDescent="0.3">
      <c r="A1017" t="s">
        <v>79</v>
      </c>
      <c r="B1017" t="s">
        <v>27</v>
      </c>
      <c r="D1017"/>
    </row>
    <row r="1018" spans="1:4" hidden="1" x14ac:dyDescent="0.3">
      <c r="A1018" t="s">
        <v>79</v>
      </c>
      <c r="B1018" t="s">
        <v>27</v>
      </c>
      <c r="D1018"/>
    </row>
    <row r="1019" spans="1:4" hidden="1" x14ac:dyDescent="0.3">
      <c r="A1019" t="s">
        <v>79</v>
      </c>
      <c r="B1019" t="s">
        <v>27</v>
      </c>
      <c r="D1019"/>
    </row>
    <row r="1020" spans="1:4" hidden="1" x14ac:dyDescent="0.3">
      <c r="A1020" t="s">
        <v>79</v>
      </c>
      <c r="B1020" t="s">
        <v>27</v>
      </c>
      <c r="D1020"/>
    </row>
    <row r="1021" spans="1:4" hidden="1" x14ac:dyDescent="0.3">
      <c r="A1021" t="s">
        <v>79</v>
      </c>
      <c r="B1021" t="s">
        <v>27</v>
      </c>
      <c r="D1021"/>
    </row>
    <row r="1022" spans="1:4" hidden="1" x14ac:dyDescent="0.3">
      <c r="A1022" t="s">
        <v>79</v>
      </c>
      <c r="B1022" t="s">
        <v>27</v>
      </c>
      <c r="D1022"/>
    </row>
    <row r="1023" spans="1:4" hidden="1" x14ac:dyDescent="0.3">
      <c r="A1023" t="s">
        <v>79</v>
      </c>
      <c r="B1023" t="s">
        <v>27</v>
      </c>
      <c r="D1023"/>
    </row>
    <row r="1024" spans="1:4" hidden="1" x14ac:dyDescent="0.3">
      <c r="A1024" t="s">
        <v>79</v>
      </c>
      <c r="B1024" t="s">
        <v>27</v>
      </c>
      <c r="D1024"/>
    </row>
    <row r="1025" spans="1:4" hidden="1" x14ac:dyDescent="0.3">
      <c r="A1025" t="s">
        <v>79</v>
      </c>
      <c r="B1025" t="s">
        <v>27</v>
      </c>
      <c r="D1025"/>
    </row>
    <row r="1026" spans="1:4" hidden="1" x14ac:dyDescent="0.3">
      <c r="A1026" t="s">
        <v>79</v>
      </c>
      <c r="B1026" t="s">
        <v>27</v>
      </c>
      <c r="D1026"/>
    </row>
    <row r="1027" spans="1:4" hidden="1" x14ac:dyDescent="0.3">
      <c r="A1027" t="s">
        <v>79</v>
      </c>
      <c r="B1027" t="s">
        <v>27</v>
      </c>
      <c r="D1027"/>
    </row>
    <row r="1028" spans="1:4" hidden="1" x14ac:dyDescent="0.3">
      <c r="A1028" t="s">
        <v>79</v>
      </c>
      <c r="B1028" t="s">
        <v>27</v>
      </c>
      <c r="D1028"/>
    </row>
    <row r="1029" spans="1:4" hidden="1" x14ac:dyDescent="0.3">
      <c r="A1029" t="s">
        <v>79</v>
      </c>
      <c r="B1029" t="s">
        <v>27</v>
      </c>
      <c r="D1029"/>
    </row>
    <row r="1030" spans="1:4" hidden="1" x14ac:dyDescent="0.3">
      <c r="A1030" t="s">
        <v>79</v>
      </c>
      <c r="B1030" t="s">
        <v>27</v>
      </c>
      <c r="D1030"/>
    </row>
    <row r="1031" spans="1:4" hidden="1" x14ac:dyDescent="0.3">
      <c r="A1031" t="s">
        <v>79</v>
      </c>
      <c r="B1031" t="s">
        <v>27</v>
      </c>
      <c r="D1031"/>
    </row>
    <row r="1032" spans="1:4" hidden="1" x14ac:dyDescent="0.3">
      <c r="A1032" t="s">
        <v>79</v>
      </c>
      <c r="B1032" t="s">
        <v>27</v>
      </c>
      <c r="D1032"/>
    </row>
    <row r="1033" spans="1:4" hidden="1" x14ac:dyDescent="0.3">
      <c r="A1033" t="s">
        <v>79</v>
      </c>
      <c r="B1033" t="s">
        <v>27</v>
      </c>
      <c r="D1033"/>
    </row>
    <row r="1034" spans="1:4" hidden="1" x14ac:dyDescent="0.3">
      <c r="A1034" t="s">
        <v>79</v>
      </c>
      <c r="B1034" t="s">
        <v>27</v>
      </c>
      <c r="D1034"/>
    </row>
    <row r="1035" spans="1:4" hidden="1" x14ac:dyDescent="0.3">
      <c r="A1035" t="s">
        <v>79</v>
      </c>
      <c r="B1035" t="s">
        <v>27</v>
      </c>
      <c r="D1035"/>
    </row>
    <row r="1036" spans="1:4" hidden="1" x14ac:dyDescent="0.3">
      <c r="A1036" t="s">
        <v>79</v>
      </c>
      <c r="B1036" t="s">
        <v>27</v>
      </c>
      <c r="D1036"/>
    </row>
    <row r="1037" spans="1:4" hidden="1" x14ac:dyDescent="0.3">
      <c r="A1037" t="s">
        <v>79</v>
      </c>
      <c r="B1037" t="s">
        <v>27</v>
      </c>
      <c r="D1037"/>
    </row>
    <row r="1038" spans="1:4" hidden="1" x14ac:dyDescent="0.3">
      <c r="A1038" t="s">
        <v>79</v>
      </c>
      <c r="B1038" t="s">
        <v>27</v>
      </c>
      <c r="D1038"/>
    </row>
    <row r="1039" spans="1:4" hidden="1" x14ac:dyDescent="0.3">
      <c r="A1039" t="s">
        <v>79</v>
      </c>
      <c r="B1039" t="s">
        <v>27</v>
      </c>
      <c r="D1039"/>
    </row>
    <row r="1040" spans="1:4" hidden="1" x14ac:dyDescent="0.3">
      <c r="A1040" t="s">
        <v>79</v>
      </c>
      <c r="B1040" t="s">
        <v>27</v>
      </c>
      <c r="D1040"/>
    </row>
    <row r="1041" spans="1:4" hidden="1" x14ac:dyDescent="0.3">
      <c r="A1041" t="s">
        <v>79</v>
      </c>
      <c r="B1041" t="s">
        <v>27</v>
      </c>
      <c r="D1041"/>
    </row>
    <row r="1042" spans="1:4" hidden="1" x14ac:dyDescent="0.3">
      <c r="A1042" t="s">
        <v>79</v>
      </c>
      <c r="B1042" t="s">
        <v>27</v>
      </c>
      <c r="D1042"/>
    </row>
    <row r="1043" spans="1:4" hidden="1" x14ac:dyDescent="0.3">
      <c r="A1043" t="s">
        <v>79</v>
      </c>
      <c r="B1043" t="s">
        <v>27</v>
      </c>
      <c r="D1043"/>
    </row>
    <row r="1044" spans="1:4" hidden="1" x14ac:dyDescent="0.3">
      <c r="A1044" t="s">
        <v>79</v>
      </c>
      <c r="B1044" t="s">
        <v>27</v>
      </c>
      <c r="D1044"/>
    </row>
    <row r="1045" spans="1:4" hidden="1" x14ac:dyDescent="0.3">
      <c r="A1045" t="s">
        <v>79</v>
      </c>
      <c r="B1045" t="s">
        <v>27</v>
      </c>
      <c r="D1045"/>
    </row>
    <row r="1046" spans="1:4" hidden="1" x14ac:dyDescent="0.3">
      <c r="A1046" t="s">
        <v>79</v>
      </c>
      <c r="B1046" t="s">
        <v>27</v>
      </c>
      <c r="D1046"/>
    </row>
    <row r="1047" spans="1:4" hidden="1" x14ac:dyDescent="0.3">
      <c r="A1047" t="s">
        <v>79</v>
      </c>
      <c r="B1047" t="s">
        <v>27</v>
      </c>
      <c r="D1047"/>
    </row>
    <row r="1048" spans="1:4" hidden="1" x14ac:dyDescent="0.3">
      <c r="A1048" t="s">
        <v>79</v>
      </c>
      <c r="B1048" t="s">
        <v>27</v>
      </c>
      <c r="D1048"/>
    </row>
    <row r="1049" spans="1:4" hidden="1" x14ac:dyDescent="0.3">
      <c r="A1049" t="s">
        <v>79</v>
      </c>
      <c r="B1049" t="s">
        <v>27</v>
      </c>
      <c r="D1049"/>
    </row>
    <row r="1050" spans="1:4" hidden="1" x14ac:dyDescent="0.3">
      <c r="A1050" t="s">
        <v>79</v>
      </c>
      <c r="B1050" t="s">
        <v>27</v>
      </c>
      <c r="D1050"/>
    </row>
    <row r="1051" spans="1:4" hidden="1" x14ac:dyDescent="0.3">
      <c r="A1051" t="s">
        <v>79</v>
      </c>
      <c r="B1051" t="s">
        <v>27</v>
      </c>
      <c r="D1051"/>
    </row>
    <row r="1052" spans="1:4" hidden="1" x14ac:dyDescent="0.3">
      <c r="A1052" t="s">
        <v>79</v>
      </c>
      <c r="B1052" t="s">
        <v>27</v>
      </c>
      <c r="D1052"/>
    </row>
    <row r="1053" spans="1:4" hidden="1" x14ac:dyDescent="0.3">
      <c r="A1053" t="s">
        <v>79</v>
      </c>
      <c r="B1053" t="s">
        <v>27</v>
      </c>
      <c r="D1053"/>
    </row>
    <row r="1054" spans="1:4" hidden="1" x14ac:dyDescent="0.3">
      <c r="A1054" t="s">
        <v>79</v>
      </c>
      <c r="B1054" t="s">
        <v>27</v>
      </c>
      <c r="D1054"/>
    </row>
    <row r="1055" spans="1:4" hidden="1" x14ac:dyDescent="0.3">
      <c r="A1055" t="s">
        <v>79</v>
      </c>
      <c r="B1055" t="s">
        <v>27</v>
      </c>
      <c r="D1055"/>
    </row>
    <row r="1056" spans="1:4" hidden="1" x14ac:dyDescent="0.3">
      <c r="A1056" t="s">
        <v>79</v>
      </c>
      <c r="B1056" t="s">
        <v>27</v>
      </c>
      <c r="D1056"/>
    </row>
    <row r="1057" spans="1:4" hidden="1" x14ac:dyDescent="0.3">
      <c r="A1057" t="s">
        <v>79</v>
      </c>
      <c r="B1057" t="s">
        <v>27</v>
      </c>
      <c r="D1057"/>
    </row>
    <row r="1058" spans="1:4" hidden="1" x14ac:dyDescent="0.3">
      <c r="A1058" t="s">
        <v>79</v>
      </c>
      <c r="B1058" t="s">
        <v>27</v>
      </c>
      <c r="D1058"/>
    </row>
    <row r="1059" spans="1:4" hidden="1" x14ac:dyDescent="0.3">
      <c r="A1059" t="s">
        <v>79</v>
      </c>
      <c r="B1059" t="s">
        <v>27</v>
      </c>
      <c r="D1059"/>
    </row>
    <row r="1060" spans="1:4" hidden="1" x14ac:dyDescent="0.3">
      <c r="A1060" t="s">
        <v>79</v>
      </c>
      <c r="B1060" t="s">
        <v>27</v>
      </c>
      <c r="D1060"/>
    </row>
    <row r="1061" spans="1:4" hidden="1" x14ac:dyDescent="0.3">
      <c r="A1061" t="s">
        <v>79</v>
      </c>
      <c r="B1061" t="s">
        <v>27</v>
      </c>
      <c r="D1061"/>
    </row>
    <row r="1062" spans="1:4" hidden="1" x14ac:dyDescent="0.3">
      <c r="A1062" t="s">
        <v>79</v>
      </c>
      <c r="B1062" t="s">
        <v>27</v>
      </c>
      <c r="D1062"/>
    </row>
    <row r="1063" spans="1:4" hidden="1" x14ac:dyDescent="0.3">
      <c r="A1063" t="s">
        <v>79</v>
      </c>
      <c r="B1063" t="s">
        <v>27</v>
      </c>
      <c r="D1063"/>
    </row>
    <row r="1064" spans="1:4" hidden="1" x14ac:dyDescent="0.3">
      <c r="A1064" t="s">
        <v>79</v>
      </c>
      <c r="B1064" t="s">
        <v>27</v>
      </c>
      <c r="D1064"/>
    </row>
    <row r="1065" spans="1:4" hidden="1" x14ac:dyDescent="0.3">
      <c r="A1065" t="s">
        <v>79</v>
      </c>
      <c r="B1065" t="s">
        <v>27</v>
      </c>
      <c r="D1065"/>
    </row>
    <row r="1066" spans="1:4" hidden="1" x14ac:dyDescent="0.3">
      <c r="A1066" t="s">
        <v>79</v>
      </c>
      <c r="B1066" t="s">
        <v>27</v>
      </c>
      <c r="D1066"/>
    </row>
    <row r="1067" spans="1:4" hidden="1" x14ac:dyDescent="0.3">
      <c r="A1067" t="s">
        <v>79</v>
      </c>
      <c r="B1067" t="s">
        <v>27</v>
      </c>
      <c r="D1067"/>
    </row>
    <row r="1068" spans="1:4" hidden="1" x14ac:dyDescent="0.3">
      <c r="A1068" t="s">
        <v>79</v>
      </c>
      <c r="B1068" t="s">
        <v>27</v>
      </c>
      <c r="D1068"/>
    </row>
    <row r="1069" spans="1:4" hidden="1" x14ac:dyDescent="0.3">
      <c r="A1069" t="s">
        <v>79</v>
      </c>
      <c r="B1069" t="s">
        <v>27</v>
      </c>
      <c r="D1069"/>
    </row>
    <row r="1070" spans="1:4" hidden="1" x14ac:dyDescent="0.3">
      <c r="A1070" t="s">
        <v>79</v>
      </c>
      <c r="B1070" t="s">
        <v>27</v>
      </c>
      <c r="D1070"/>
    </row>
    <row r="1071" spans="1:4" hidden="1" x14ac:dyDescent="0.3">
      <c r="A1071" t="s">
        <v>79</v>
      </c>
      <c r="B1071" t="s">
        <v>27</v>
      </c>
      <c r="D1071"/>
    </row>
    <row r="1072" spans="1:4" hidden="1" x14ac:dyDescent="0.3">
      <c r="A1072" t="s">
        <v>79</v>
      </c>
      <c r="B1072" t="s">
        <v>27</v>
      </c>
      <c r="D1072"/>
    </row>
    <row r="1073" spans="1:4" hidden="1" x14ac:dyDescent="0.3">
      <c r="A1073" t="s">
        <v>79</v>
      </c>
      <c r="B1073" t="s">
        <v>27</v>
      </c>
      <c r="D1073"/>
    </row>
    <row r="1074" spans="1:4" hidden="1" x14ac:dyDescent="0.3">
      <c r="A1074" t="s">
        <v>79</v>
      </c>
      <c r="B1074" t="s">
        <v>27</v>
      </c>
      <c r="D1074"/>
    </row>
    <row r="1075" spans="1:4" hidden="1" x14ac:dyDescent="0.3">
      <c r="A1075" t="s">
        <v>79</v>
      </c>
      <c r="B1075" t="s">
        <v>27</v>
      </c>
      <c r="D1075"/>
    </row>
    <row r="1076" spans="1:4" hidden="1" x14ac:dyDescent="0.3">
      <c r="A1076" t="s">
        <v>79</v>
      </c>
      <c r="B1076" t="s">
        <v>27</v>
      </c>
      <c r="D1076"/>
    </row>
    <row r="1077" spans="1:4" hidden="1" x14ac:dyDescent="0.3">
      <c r="A1077" t="s">
        <v>79</v>
      </c>
      <c r="B1077" t="s">
        <v>27</v>
      </c>
      <c r="D1077"/>
    </row>
    <row r="1078" spans="1:4" hidden="1" x14ac:dyDescent="0.3">
      <c r="A1078" t="s">
        <v>79</v>
      </c>
      <c r="B1078" t="s">
        <v>27</v>
      </c>
      <c r="D1078"/>
    </row>
    <row r="1079" spans="1:4" hidden="1" x14ac:dyDescent="0.3">
      <c r="A1079" t="s">
        <v>79</v>
      </c>
      <c r="B1079" t="s">
        <v>27</v>
      </c>
      <c r="D1079"/>
    </row>
    <row r="1080" spans="1:4" hidden="1" x14ac:dyDescent="0.3">
      <c r="A1080" t="s">
        <v>79</v>
      </c>
      <c r="B1080" t="s">
        <v>27</v>
      </c>
      <c r="D1080"/>
    </row>
    <row r="1081" spans="1:4" hidden="1" x14ac:dyDescent="0.3">
      <c r="A1081" t="s">
        <v>79</v>
      </c>
      <c r="B1081" t="s">
        <v>27</v>
      </c>
      <c r="D1081"/>
    </row>
    <row r="1082" spans="1:4" hidden="1" x14ac:dyDescent="0.3">
      <c r="A1082" t="s">
        <v>79</v>
      </c>
      <c r="B1082" t="s">
        <v>27</v>
      </c>
      <c r="D1082"/>
    </row>
    <row r="1083" spans="1:4" hidden="1" x14ac:dyDescent="0.3">
      <c r="A1083" t="s">
        <v>79</v>
      </c>
      <c r="B1083" t="s">
        <v>27</v>
      </c>
      <c r="D1083"/>
    </row>
    <row r="1084" spans="1:4" hidden="1" x14ac:dyDescent="0.3">
      <c r="A1084" t="s">
        <v>79</v>
      </c>
      <c r="B1084" t="s">
        <v>27</v>
      </c>
      <c r="D1084"/>
    </row>
    <row r="1085" spans="1:4" hidden="1" x14ac:dyDescent="0.3">
      <c r="A1085" t="s">
        <v>79</v>
      </c>
      <c r="B1085" t="s">
        <v>27</v>
      </c>
      <c r="D1085"/>
    </row>
    <row r="1086" spans="1:4" hidden="1" x14ac:dyDescent="0.3">
      <c r="A1086" t="s">
        <v>79</v>
      </c>
      <c r="B1086" t="s">
        <v>27</v>
      </c>
      <c r="D1086"/>
    </row>
    <row r="1087" spans="1:4" hidden="1" x14ac:dyDescent="0.3">
      <c r="A1087" t="s">
        <v>79</v>
      </c>
      <c r="B1087" t="s">
        <v>27</v>
      </c>
      <c r="D1087"/>
    </row>
    <row r="1088" spans="1:4" hidden="1" x14ac:dyDescent="0.3">
      <c r="A1088" t="s">
        <v>79</v>
      </c>
      <c r="B1088" t="s">
        <v>27</v>
      </c>
      <c r="D1088"/>
    </row>
    <row r="1089" spans="1:4" hidden="1" x14ac:dyDescent="0.3">
      <c r="A1089" t="s">
        <v>79</v>
      </c>
      <c r="B1089" t="s">
        <v>27</v>
      </c>
      <c r="D1089"/>
    </row>
    <row r="1090" spans="1:4" hidden="1" x14ac:dyDescent="0.3">
      <c r="A1090" t="s">
        <v>79</v>
      </c>
      <c r="B1090" t="s">
        <v>27</v>
      </c>
      <c r="D1090"/>
    </row>
    <row r="1091" spans="1:4" hidden="1" x14ac:dyDescent="0.3">
      <c r="A1091" t="s">
        <v>79</v>
      </c>
      <c r="B1091" t="s">
        <v>27</v>
      </c>
      <c r="D1091"/>
    </row>
    <row r="1092" spans="1:4" hidden="1" x14ac:dyDescent="0.3">
      <c r="A1092" t="s">
        <v>79</v>
      </c>
      <c r="B1092" t="s">
        <v>27</v>
      </c>
      <c r="D1092"/>
    </row>
    <row r="1093" spans="1:4" hidden="1" x14ac:dyDescent="0.3">
      <c r="A1093" t="s">
        <v>79</v>
      </c>
      <c r="B1093" t="s">
        <v>27</v>
      </c>
      <c r="D1093"/>
    </row>
    <row r="1094" spans="1:4" hidden="1" x14ac:dyDescent="0.3">
      <c r="A1094" t="s">
        <v>79</v>
      </c>
      <c r="B1094" t="s">
        <v>27</v>
      </c>
      <c r="D1094"/>
    </row>
    <row r="1095" spans="1:4" hidden="1" x14ac:dyDescent="0.3">
      <c r="A1095" t="s">
        <v>79</v>
      </c>
      <c r="B1095" t="s">
        <v>27</v>
      </c>
      <c r="D1095"/>
    </row>
    <row r="1096" spans="1:4" hidden="1" x14ac:dyDescent="0.3">
      <c r="A1096" t="s">
        <v>79</v>
      </c>
      <c r="B1096" t="s">
        <v>27</v>
      </c>
      <c r="D1096"/>
    </row>
    <row r="1097" spans="1:4" hidden="1" x14ac:dyDescent="0.3">
      <c r="A1097" t="s">
        <v>79</v>
      </c>
      <c r="B1097" t="s">
        <v>27</v>
      </c>
      <c r="D1097"/>
    </row>
    <row r="1098" spans="1:4" hidden="1" x14ac:dyDescent="0.3">
      <c r="A1098" t="s">
        <v>79</v>
      </c>
      <c r="B1098" t="s">
        <v>27</v>
      </c>
      <c r="D1098"/>
    </row>
    <row r="1099" spans="1:4" hidden="1" x14ac:dyDescent="0.3">
      <c r="A1099" t="s">
        <v>79</v>
      </c>
      <c r="B1099" t="s">
        <v>27</v>
      </c>
      <c r="D1099"/>
    </row>
    <row r="1100" spans="1:4" hidden="1" x14ac:dyDescent="0.3">
      <c r="A1100" t="s">
        <v>79</v>
      </c>
      <c r="B1100" t="s">
        <v>27</v>
      </c>
      <c r="D1100"/>
    </row>
    <row r="1101" spans="1:4" hidden="1" x14ac:dyDescent="0.3">
      <c r="A1101" t="s">
        <v>79</v>
      </c>
      <c r="B1101" t="s">
        <v>27</v>
      </c>
      <c r="D1101"/>
    </row>
    <row r="1102" spans="1:4" hidden="1" x14ac:dyDescent="0.3">
      <c r="A1102" t="s">
        <v>79</v>
      </c>
      <c r="B1102" t="s">
        <v>27</v>
      </c>
      <c r="D1102"/>
    </row>
    <row r="1103" spans="1:4" hidden="1" x14ac:dyDescent="0.3">
      <c r="A1103" t="s">
        <v>79</v>
      </c>
      <c r="B1103" t="s">
        <v>27</v>
      </c>
      <c r="D1103"/>
    </row>
    <row r="1104" spans="1:4" hidden="1" x14ac:dyDescent="0.3">
      <c r="A1104" t="s">
        <v>79</v>
      </c>
      <c r="B1104" t="s">
        <v>27</v>
      </c>
      <c r="D1104"/>
    </row>
    <row r="1105" spans="1:4" hidden="1" x14ac:dyDescent="0.3">
      <c r="A1105" t="s">
        <v>79</v>
      </c>
      <c r="B1105" t="s">
        <v>27</v>
      </c>
      <c r="D1105"/>
    </row>
    <row r="1106" spans="1:4" hidden="1" x14ac:dyDescent="0.3">
      <c r="A1106" t="s">
        <v>79</v>
      </c>
      <c r="B1106" t="s">
        <v>27</v>
      </c>
      <c r="D1106"/>
    </row>
    <row r="1107" spans="1:4" hidden="1" x14ac:dyDescent="0.3">
      <c r="A1107" t="s">
        <v>79</v>
      </c>
      <c r="B1107" t="s">
        <v>27</v>
      </c>
      <c r="D1107"/>
    </row>
    <row r="1108" spans="1:4" hidden="1" x14ac:dyDescent="0.3">
      <c r="A1108" t="s">
        <v>79</v>
      </c>
      <c r="B1108" t="s">
        <v>27</v>
      </c>
      <c r="D1108"/>
    </row>
    <row r="1109" spans="1:4" hidden="1" x14ac:dyDescent="0.3">
      <c r="A1109" t="s">
        <v>79</v>
      </c>
      <c r="B1109" t="s">
        <v>27</v>
      </c>
      <c r="D1109"/>
    </row>
    <row r="1110" spans="1:4" hidden="1" x14ac:dyDescent="0.3">
      <c r="A1110" t="s">
        <v>79</v>
      </c>
      <c r="B1110" t="s">
        <v>27</v>
      </c>
      <c r="D1110"/>
    </row>
    <row r="1111" spans="1:4" hidden="1" x14ac:dyDescent="0.3">
      <c r="A1111" t="s">
        <v>79</v>
      </c>
      <c r="B1111" t="s">
        <v>27</v>
      </c>
      <c r="D1111"/>
    </row>
    <row r="1112" spans="1:4" hidden="1" x14ac:dyDescent="0.3">
      <c r="A1112" t="s">
        <v>79</v>
      </c>
      <c r="B1112" t="s">
        <v>27</v>
      </c>
      <c r="D1112"/>
    </row>
    <row r="1113" spans="1:4" hidden="1" x14ac:dyDescent="0.3">
      <c r="A1113" t="s">
        <v>79</v>
      </c>
      <c r="B1113" t="s">
        <v>27</v>
      </c>
      <c r="D1113"/>
    </row>
    <row r="1114" spans="1:4" hidden="1" x14ac:dyDescent="0.3">
      <c r="A1114" t="s">
        <v>79</v>
      </c>
      <c r="B1114" t="s">
        <v>27</v>
      </c>
      <c r="D1114"/>
    </row>
    <row r="1115" spans="1:4" hidden="1" x14ac:dyDescent="0.3">
      <c r="A1115" t="s">
        <v>79</v>
      </c>
      <c r="B1115" t="s">
        <v>27</v>
      </c>
      <c r="D1115"/>
    </row>
    <row r="1116" spans="1:4" hidden="1" x14ac:dyDescent="0.3">
      <c r="A1116" t="s">
        <v>79</v>
      </c>
      <c r="B1116" t="s">
        <v>27</v>
      </c>
      <c r="D1116"/>
    </row>
    <row r="1117" spans="1:4" hidden="1" x14ac:dyDescent="0.3">
      <c r="A1117" t="s">
        <v>79</v>
      </c>
      <c r="B1117" t="s">
        <v>27</v>
      </c>
      <c r="D1117"/>
    </row>
    <row r="1118" spans="1:4" hidden="1" x14ac:dyDescent="0.3">
      <c r="A1118" t="s">
        <v>79</v>
      </c>
      <c r="B1118" t="s">
        <v>27</v>
      </c>
      <c r="D1118"/>
    </row>
    <row r="1119" spans="1:4" hidden="1" x14ac:dyDescent="0.3">
      <c r="A1119" t="s">
        <v>79</v>
      </c>
      <c r="B1119" t="s">
        <v>27</v>
      </c>
      <c r="D1119"/>
    </row>
    <row r="1120" spans="1:4" hidden="1" x14ac:dyDescent="0.3">
      <c r="A1120" t="s">
        <v>79</v>
      </c>
      <c r="B1120" t="s">
        <v>27</v>
      </c>
      <c r="D1120"/>
    </row>
    <row r="1121" spans="1:4" x14ac:dyDescent="0.3">
      <c r="A1121" t="s">
        <v>79</v>
      </c>
      <c r="B1121" t="s">
        <v>93</v>
      </c>
      <c r="D1121" s="162"/>
    </row>
    <row r="1122" spans="1:4" x14ac:dyDescent="0.3">
      <c r="A1122" t="s">
        <v>79</v>
      </c>
      <c r="B1122" t="s">
        <v>93</v>
      </c>
      <c r="D1122" s="162"/>
    </row>
    <row r="1123" spans="1:4" x14ac:dyDescent="0.3">
      <c r="A1123" t="s">
        <v>79</v>
      </c>
      <c r="B1123" t="s">
        <v>93</v>
      </c>
      <c r="D1123" s="162"/>
    </row>
    <row r="1124" spans="1:4" x14ac:dyDescent="0.3">
      <c r="A1124" t="s">
        <v>79</v>
      </c>
      <c r="B1124" t="s">
        <v>93</v>
      </c>
      <c r="D1124" s="162"/>
    </row>
    <row r="1125" spans="1:4" x14ac:dyDescent="0.3">
      <c r="A1125" t="s">
        <v>79</v>
      </c>
      <c r="B1125" t="s">
        <v>93</v>
      </c>
      <c r="D1125" s="162"/>
    </row>
    <row r="1126" spans="1:4" x14ac:dyDescent="0.3">
      <c r="A1126" t="s">
        <v>79</v>
      </c>
      <c r="B1126" t="s">
        <v>93</v>
      </c>
      <c r="D1126" s="162"/>
    </row>
    <row r="1127" spans="1:4" x14ac:dyDescent="0.3">
      <c r="A1127" t="s">
        <v>79</v>
      </c>
      <c r="B1127" t="s">
        <v>93</v>
      </c>
      <c r="D1127" s="103"/>
    </row>
    <row r="1128" spans="1:4" hidden="1" x14ac:dyDescent="0.3">
      <c r="A1128" t="s">
        <v>79</v>
      </c>
      <c r="B1128" t="s">
        <v>93</v>
      </c>
      <c r="D1128"/>
    </row>
    <row r="1129" spans="1:4" hidden="1" x14ac:dyDescent="0.3">
      <c r="A1129" t="s">
        <v>79</v>
      </c>
      <c r="B1129" t="s">
        <v>93</v>
      </c>
      <c r="D1129"/>
    </row>
    <row r="1130" spans="1:4" hidden="1" x14ac:dyDescent="0.3">
      <c r="A1130" t="s">
        <v>79</v>
      </c>
      <c r="B1130" t="s">
        <v>93</v>
      </c>
      <c r="D1130"/>
    </row>
    <row r="1131" spans="1:4" hidden="1" x14ac:dyDescent="0.3">
      <c r="A1131" t="s">
        <v>88</v>
      </c>
      <c r="B1131" t="s">
        <v>90</v>
      </c>
      <c r="D1131"/>
    </row>
    <row r="1132" spans="1:4" hidden="1" x14ac:dyDescent="0.3">
      <c r="A1132" t="s">
        <v>88</v>
      </c>
      <c r="B1132" t="s">
        <v>90</v>
      </c>
      <c r="D1132"/>
    </row>
    <row r="1133" spans="1:4" hidden="1" x14ac:dyDescent="0.3">
      <c r="A1133" t="s">
        <v>88</v>
      </c>
      <c r="B1133" t="s">
        <v>90</v>
      </c>
      <c r="D1133"/>
    </row>
    <row r="1134" spans="1:4" hidden="1" x14ac:dyDescent="0.3">
      <c r="A1134" t="s">
        <v>88</v>
      </c>
      <c r="B1134" t="s">
        <v>90</v>
      </c>
      <c r="D1134"/>
    </row>
    <row r="1135" spans="1:4" hidden="1" x14ac:dyDescent="0.3">
      <c r="A1135" t="s">
        <v>88</v>
      </c>
      <c r="B1135" t="s">
        <v>90</v>
      </c>
      <c r="D1135"/>
    </row>
    <row r="1136" spans="1:4" hidden="1" x14ac:dyDescent="0.3">
      <c r="A1136" t="s">
        <v>88</v>
      </c>
      <c r="B1136" t="s">
        <v>90</v>
      </c>
      <c r="D1136"/>
    </row>
    <row r="1137" spans="1:4" hidden="1" x14ac:dyDescent="0.3">
      <c r="A1137" t="s">
        <v>88</v>
      </c>
      <c r="B1137" t="s">
        <v>90</v>
      </c>
      <c r="D1137"/>
    </row>
    <row r="1138" spans="1:4" hidden="1" x14ac:dyDescent="0.3">
      <c r="A1138" t="s">
        <v>88</v>
      </c>
      <c r="B1138" t="s">
        <v>90</v>
      </c>
      <c r="D1138"/>
    </row>
    <row r="1139" spans="1:4" hidden="1" x14ac:dyDescent="0.3">
      <c r="A1139" t="s">
        <v>88</v>
      </c>
      <c r="B1139" t="s">
        <v>90</v>
      </c>
      <c r="D1139"/>
    </row>
    <row r="1140" spans="1:4" hidden="1" x14ac:dyDescent="0.3">
      <c r="A1140" t="s">
        <v>88</v>
      </c>
      <c r="B1140" t="s">
        <v>90</v>
      </c>
      <c r="D1140"/>
    </row>
    <row r="1141" spans="1:4" hidden="1" x14ac:dyDescent="0.3">
      <c r="A1141" t="s">
        <v>88</v>
      </c>
      <c r="B1141" t="s">
        <v>90</v>
      </c>
      <c r="D1141"/>
    </row>
    <row r="1142" spans="1:4" hidden="1" x14ac:dyDescent="0.3">
      <c r="A1142" t="s">
        <v>88</v>
      </c>
      <c r="B1142" t="s">
        <v>90</v>
      </c>
      <c r="D1142"/>
    </row>
    <row r="1143" spans="1:4" hidden="1" x14ac:dyDescent="0.3">
      <c r="A1143" t="s">
        <v>88</v>
      </c>
      <c r="B1143" t="s">
        <v>90</v>
      </c>
      <c r="D1143"/>
    </row>
    <row r="1144" spans="1:4" hidden="1" x14ac:dyDescent="0.3">
      <c r="A1144" t="s">
        <v>88</v>
      </c>
      <c r="B1144" t="s">
        <v>90</v>
      </c>
      <c r="D1144"/>
    </row>
    <row r="1145" spans="1:4" hidden="1" x14ac:dyDescent="0.3">
      <c r="A1145" t="s">
        <v>88</v>
      </c>
      <c r="B1145" t="s">
        <v>90</v>
      </c>
      <c r="D1145"/>
    </row>
    <row r="1146" spans="1:4" hidden="1" x14ac:dyDescent="0.3">
      <c r="A1146" t="s">
        <v>88</v>
      </c>
      <c r="B1146" t="s">
        <v>90</v>
      </c>
      <c r="D1146"/>
    </row>
    <row r="1147" spans="1:4" hidden="1" x14ac:dyDescent="0.3">
      <c r="A1147" t="s">
        <v>88</v>
      </c>
      <c r="B1147" t="s">
        <v>90</v>
      </c>
      <c r="D1147"/>
    </row>
    <row r="1148" spans="1:4" hidden="1" x14ac:dyDescent="0.3">
      <c r="A1148" t="s">
        <v>88</v>
      </c>
      <c r="B1148" t="s">
        <v>90</v>
      </c>
      <c r="D1148"/>
    </row>
    <row r="1149" spans="1:4" hidden="1" x14ac:dyDescent="0.3">
      <c r="A1149" t="s">
        <v>88</v>
      </c>
      <c r="B1149" t="s">
        <v>90</v>
      </c>
      <c r="D1149"/>
    </row>
    <row r="1150" spans="1:4" hidden="1" x14ac:dyDescent="0.3">
      <c r="A1150" t="s">
        <v>88</v>
      </c>
      <c r="B1150" t="s">
        <v>90</v>
      </c>
      <c r="D1150"/>
    </row>
    <row r="1151" spans="1:4" hidden="1" x14ac:dyDescent="0.3">
      <c r="A1151" t="s">
        <v>88</v>
      </c>
      <c r="B1151" t="s">
        <v>90</v>
      </c>
      <c r="D1151"/>
    </row>
    <row r="1152" spans="1:4" hidden="1" x14ac:dyDescent="0.3">
      <c r="A1152" t="s">
        <v>88</v>
      </c>
      <c r="B1152" t="s">
        <v>90</v>
      </c>
      <c r="D1152"/>
    </row>
    <row r="1153" spans="1:4" hidden="1" x14ac:dyDescent="0.3">
      <c r="A1153" t="s">
        <v>88</v>
      </c>
      <c r="B1153" t="s">
        <v>90</v>
      </c>
      <c r="D1153"/>
    </row>
    <row r="1154" spans="1:4" hidden="1" x14ac:dyDescent="0.3">
      <c r="A1154" t="s">
        <v>88</v>
      </c>
      <c r="B1154" t="s">
        <v>90</v>
      </c>
      <c r="D1154"/>
    </row>
    <row r="1155" spans="1:4" hidden="1" x14ac:dyDescent="0.3">
      <c r="A1155" t="s">
        <v>88</v>
      </c>
      <c r="B1155" t="s">
        <v>90</v>
      </c>
      <c r="D1155"/>
    </row>
    <row r="1156" spans="1:4" hidden="1" x14ac:dyDescent="0.3">
      <c r="A1156" t="s">
        <v>88</v>
      </c>
      <c r="B1156" t="s">
        <v>90</v>
      </c>
      <c r="D1156"/>
    </row>
    <row r="1157" spans="1:4" hidden="1" x14ac:dyDescent="0.3">
      <c r="A1157" t="s">
        <v>88</v>
      </c>
      <c r="B1157" t="s">
        <v>90</v>
      </c>
      <c r="D1157"/>
    </row>
    <row r="1158" spans="1:4" hidden="1" x14ac:dyDescent="0.3">
      <c r="A1158" t="s">
        <v>88</v>
      </c>
      <c r="B1158" t="s">
        <v>90</v>
      </c>
      <c r="D1158"/>
    </row>
    <row r="1159" spans="1:4" hidden="1" x14ac:dyDescent="0.3">
      <c r="A1159" t="s">
        <v>88</v>
      </c>
      <c r="B1159" t="s">
        <v>90</v>
      </c>
      <c r="D1159"/>
    </row>
    <row r="1160" spans="1:4" hidden="1" x14ac:dyDescent="0.3">
      <c r="A1160" t="s">
        <v>88</v>
      </c>
      <c r="B1160" t="s">
        <v>90</v>
      </c>
      <c r="D1160"/>
    </row>
    <row r="1161" spans="1:4" hidden="1" x14ac:dyDescent="0.3">
      <c r="A1161" t="s">
        <v>88</v>
      </c>
      <c r="B1161" t="s">
        <v>90</v>
      </c>
      <c r="D1161"/>
    </row>
    <row r="1162" spans="1:4" hidden="1" x14ac:dyDescent="0.3">
      <c r="A1162" t="s">
        <v>88</v>
      </c>
      <c r="B1162" t="s">
        <v>90</v>
      </c>
      <c r="D1162"/>
    </row>
    <row r="1163" spans="1:4" hidden="1" x14ac:dyDescent="0.3">
      <c r="A1163" t="s">
        <v>88</v>
      </c>
      <c r="B1163" t="s">
        <v>90</v>
      </c>
      <c r="D1163"/>
    </row>
    <row r="1164" spans="1:4" hidden="1" x14ac:dyDescent="0.3">
      <c r="A1164" t="s">
        <v>88</v>
      </c>
      <c r="B1164" t="s">
        <v>90</v>
      </c>
      <c r="D1164"/>
    </row>
    <row r="1165" spans="1:4" hidden="1" x14ac:dyDescent="0.3">
      <c r="A1165" t="s">
        <v>88</v>
      </c>
      <c r="B1165" t="s">
        <v>90</v>
      </c>
      <c r="D1165"/>
    </row>
    <row r="1166" spans="1:4" hidden="1" x14ac:dyDescent="0.3">
      <c r="A1166" t="s">
        <v>88</v>
      </c>
      <c r="B1166" t="s">
        <v>90</v>
      </c>
      <c r="D1166"/>
    </row>
    <row r="1167" spans="1:4" hidden="1" x14ac:dyDescent="0.3">
      <c r="A1167" t="s">
        <v>88</v>
      </c>
      <c r="B1167" t="s">
        <v>90</v>
      </c>
      <c r="D1167"/>
    </row>
    <row r="1168" spans="1:4" hidden="1" x14ac:dyDescent="0.3">
      <c r="A1168" t="s">
        <v>88</v>
      </c>
      <c r="B1168" t="s">
        <v>90</v>
      </c>
      <c r="C1168" s="83"/>
      <c r="D1168"/>
    </row>
    <row r="1169" spans="1:4" hidden="1" x14ac:dyDescent="0.3">
      <c r="A1169" t="s">
        <v>88</v>
      </c>
      <c r="B1169" t="s">
        <v>90</v>
      </c>
      <c r="C1169" s="83"/>
      <c r="D1169"/>
    </row>
    <row r="1170" spans="1:4" hidden="1" x14ac:dyDescent="0.3">
      <c r="A1170" t="s">
        <v>88</v>
      </c>
      <c r="B1170" t="s">
        <v>90</v>
      </c>
      <c r="C1170" s="83"/>
      <c r="D1170"/>
    </row>
    <row r="1171" spans="1:4" hidden="1" x14ac:dyDescent="0.3">
      <c r="A1171" t="s">
        <v>88</v>
      </c>
      <c r="B1171" t="s">
        <v>90</v>
      </c>
      <c r="C1171" s="83"/>
      <c r="D1171"/>
    </row>
    <row r="1172" spans="1:4" hidden="1" x14ac:dyDescent="0.3">
      <c r="A1172" t="s">
        <v>80</v>
      </c>
      <c r="B1172" t="s">
        <v>90</v>
      </c>
      <c r="C1172" s="83"/>
      <c r="D1172"/>
    </row>
    <row r="1173" spans="1:4" hidden="1" x14ac:dyDescent="0.3">
      <c r="A1173" t="s">
        <v>80</v>
      </c>
      <c r="B1173" t="s">
        <v>90</v>
      </c>
      <c r="C1173" s="83"/>
      <c r="D1173"/>
    </row>
    <row r="1174" spans="1:4" hidden="1" x14ac:dyDescent="0.3">
      <c r="A1174" t="s">
        <v>80</v>
      </c>
      <c r="B1174" t="s">
        <v>90</v>
      </c>
      <c r="C1174" s="83"/>
      <c r="D1174"/>
    </row>
    <row r="1175" spans="1:4" hidden="1" x14ac:dyDescent="0.3">
      <c r="A1175" t="s">
        <v>80</v>
      </c>
      <c r="B1175" t="s">
        <v>90</v>
      </c>
      <c r="C1175" s="83"/>
      <c r="D1175"/>
    </row>
    <row r="1176" spans="1:4" hidden="1" x14ac:dyDescent="0.3">
      <c r="A1176" t="s">
        <v>80</v>
      </c>
      <c r="B1176" t="s">
        <v>90</v>
      </c>
      <c r="C1176" s="83"/>
      <c r="D1176"/>
    </row>
    <row r="1177" spans="1:4" hidden="1" x14ac:dyDescent="0.3">
      <c r="A1177" t="s">
        <v>80</v>
      </c>
      <c r="B1177" t="s">
        <v>90</v>
      </c>
      <c r="C1177" s="83"/>
      <c r="D1177"/>
    </row>
    <row r="1178" spans="1:4" hidden="1" x14ac:dyDescent="0.3">
      <c r="A1178" t="s">
        <v>80</v>
      </c>
      <c r="B1178" t="s">
        <v>90</v>
      </c>
      <c r="C1178" s="83"/>
      <c r="D1178"/>
    </row>
    <row r="1179" spans="1:4" hidden="1" x14ac:dyDescent="0.3">
      <c r="A1179" t="s">
        <v>80</v>
      </c>
      <c r="B1179" t="s">
        <v>90</v>
      </c>
      <c r="C1179" s="83"/>
      <c r="D1179"/>
    </row>
    <row r="1180" spans="1:4" hidden="1" x14ac:dyDescent="0.3">
      <c r="A1180" t="s">
        <v>80</v>
      </c>
      <c r="B1180" t="s">
        <v>90</v>
      </c>
      <c r="C1180" s="83"/>
      <c r="D1180"/>
    </row>
    <row r="1181" spans="1:4" hidden="1" x14ac:dyDescent="0.3">
      <c r="A1181" t="s">
        <v>80</v>
      </c>
      <c r="B1181" t="s">
        <v>90</v>
      </c>
      <c r="C1181" s="83"/>
      <c r="D1181"/>
    </row>
    <row r="1182" spans="1:4" hidden="1" x14ac:dyDescent="0.3">
      <c r="A1182" t="s">
        <v>80</v>
      </c>
      <c r="B1182" t="s">
        <v>90</v>
      </c>
      <c r="C1182" s="83"/>
      <c r="D1182"/>
    </row>
    <row r="1183" spans="1:4" hidden="1" x14ac:dyDescent="0.3">
      <c r="A1183" t="s">
        <v>80</v>
      </c>
      <c r="B1183" t="s">
        <v>90</v>
      </c>
      <c r="C1183" s="83"/>
      <c r="D1183"/>
    </row>
    <row r="1184" spans="1:4" hidden="1" x14ac:dyDescent="0.3">
      <c r="A1184" t="s">
        <v>80</v>
      </c>
      <c r="B1184" t="s">
        <v>90</v>
      </c>
      <c r="C1184" s="83"/>
      <c r="D1184"/>
    </row>
    <row r="1185" spans="1:4" hidden="1" x14ac:dyDescent="0.3">
      <c r="A1185" t="s">
        <v>80</v>
      </c>
      <c r="B1185" t="s">
        <v>90</v>
      </c>
      <c r="C1185" s="83"/>
      <c r="D1185"/>
    </row>
    <row r="1186" spans="1:4" hidden="1" x14ac:dyDescent="0.3">
      <c r="A1186" t="s">
        <v>80</v>
      </c>
      <c r="B1186" t="s">
        <v>90</v>
      </c>
      <c r="C1186" s="83"/>
      <c r="D1186"/>
    </row>
    <row r="1187" spans="1:4" hidden="1" x14ac:dyDescent="0.3">
      <c r="A1187" t="s">
        <v>80</v>
      </c>
      <c r="B1187" t="s">
        <v>90</v>
      </c>
      <c r="C1187" s="83"/>
      <c r="D1187"/>
    </row>
    <row r="1188" spans="1:4" hidden="1" x14ac:dyDescent="0.3">
      <c r="A1188" t="s">
        <v>80</v>
      </c>
      <c r="B1188" t="s">
        <v>90</v>
      </c>
      <c r="C1188" s="83"/>
      <c r="D1188"/>
    </row>
    <row r="1189" spans="1:4" hidden="1" x14ac:dyDescent="0.3">
      <c r="A1189" t="s">
        <v>80</v>
      </c>
      <c r="B1189" t="s">
        <v>90</v>
      </c>
      <c r="C1189" s="83"/>
      <c r="D1189"/>
    </row>
    <row r="1190" spans="1:4" hidden="1" x14ac:dyDescent="0.3">
      <c r="A1190" t="s">
        <v>80</v>
      </c>
      <c r="B1190" t="s">
        <v>90</v>
      </c>
      <c r="C1190" s="83"/>
      <c r="D1190"/>
    </row>
    <row r="1191" spans="1:4" hidden="1" x14ac:dyDescent="0.3">
      <c r="A1191" t="s">
        <v>80</v>
      </c>
      <c r="B1191" t="s">
        <v>90</v>
      </c>
      <c r="C1191" s="83"/>
      <c r="D1191"/>
    </row>
    <row r="1192" spans="1:4" hidden="1" x14ac:dyDescent="0.3">
      <c r="A1192" t="s">
        <v>80</v>
      </c>
      <c r="B1192" t="s">
        <v>90</v>
      </c>
      <c r="C1192" s="83"/>
      <c r="D1192"/>
    </row>
    <row r="1193" spans="1:4" hidden="1" x14ac:dyDescent="0.3">
      <c r="A1193" t="s">
        <v>80</v>
      </c>
      <c r="B1193" t="s">
        <v>90</v>
      </c>
      <c r="C1193" s="83"/>
      <c r="D1193"/>
    </row>
    <row r="1194" spans="1:4" hidden="1" x14ac:dyDescent="0.3">
      <c r="A1194" t="s">
        <v>80</v>
      </c>
      <c r="B1194" t="s">
        <v>90</v>
      </c>
      <c r="C1194" s="83"/>
      <c r="D1194"/>
    </row>
    <row r="1195" spans="1:4" hidden="1" x14ac:dyDescent="0.3">
      <c r="A1195" t="s">
        <v>80</v>
      </c>
      <c r="B1195" t="s">
        <v>90</v>
      </c>
      <c r="C1195" s="83"/>
      <c r="D1195"/>
    </row>
    <row r="1196" spans="1:4" hidden="1" x14ac:dyDescent="0.3">
      <c r="A1196" t="s">
        <v>80</v>
      </c>
      <c r="B1196" t="s">
        <v>90</v>
      </c>
      <c r="C1196" s="83"/>
      <c r="D1196"/>
    </row>
    <row r="1197" spans="1:4" hidden="1" x14ac:dyDescent="0.3">
      <c r="A1197" t="s">
        <v>80</v>
      </c>
      <c r="B1197" t="s">
        <v>90</v>
      </c>
      <c r="C1197" s="83"/>
      <c r="D1197"/>
    </row>
    <row r="1198" spans="1:4" hidden="1" x14ac:dyDescent="0.3">
      <c r="A1198" t="s">
        <v>80</v>
      </c>
      <c r="B1198" t="s">
        <v>90</v>
      </c>
      <c r="C1198" s="83"/>
      <c r="D1198"/>
    </row>
    <row r="1199" spans="1:4" hidden="1" x14ac:dyDescent="0.3">
      <c r="A1199" t="s">
        <v>80</v>
      </c>
      <c r="B1199" t="s">
        <v>90</v>
      </c>
      <c r="C1199" s="83"/>
      <c r="D1199"/>
    </row>
    <row r="1200" spans="1:4" hidden="1" x14ac:dyDescent="0.3">
      <c r="A1200" t="s">
        <v>80</v>
      </c>
      <c r="B1200" t="s">
        <v>90</v>
      </c>
      <c r="C1200" s="83"/>
      <c r="D1200"/>
    </row>
    <row r="1201" spans="1:4" hidden="1" x14ac:dyDescent="0.3">
      <c r="A1201" t="s">
        <v>80</v>
      </c>
      <c r="B1201" t="s">
        <v>90</v>
      </c>
      <c r="C1201" s="83"/>
      <c r="D1201"/>
    </row>
    <row r="1202" spans="1:4" hidden="1" x14ac:dyDescent="0.3">
      <c r="A1202" t="s">
        <v>80</v>
      </c>
      <c r="B1202" t="s">
        <v>90</v>
      </c>
      <c r="C1202" s="83"/>
      <c r="D1202"/>
    </row>
    <row r="1203" spans="1:4" hidden="1" x14ac:dyDescent="0.3">
      <c r="A1203" t="s">
        <v>80</v>
      </c>
      <c r="B1203" t="s">
        <v>90</v>
      </c>
      <c r="C1203" s="83"/>
      <c r="D1203"/>
    </row>
    <row r="1204" spans="1:4" hidden="1" x14ac:dyDescent="0.3">
      <c r="A1204" t="s">
        <v>80</v>
      </c>
      <c r="B1204" t="s">
        <v>90</v>
      </c>
      <c r="C1204" s="83"/>
      <c r="D1204"/>
    </row>
    <row r="1205" spans="1:4" hidden="1" x14ac:dyDescent="0.3">
      <c r="A1205" t="s">
        <v>80</v>
      </c>
      <c r="B1205" t="s">
        <v>90</v>
      </c>
      <c r="C1205" s="83"/>
      <c r="D1205"/>
    </row>
    <row r="1206" spans="1:4" hidden="1" x14ac:dyDescent="0.3">
      <c r="A1206" t="s">
        <v>80</v>
      </c>
      <c r="B1206" t="s">
        <v>90</v>
      </c>
      <c r="C1206" s="83"/>
      <c r="D1206"/>
    </row>
    <row r="1207" spans="1:4" hidden="1" x14ac:dyDescent="0.3">
      <c r="A1207" t="s">
        <v>80</v>
      </c>
      <c r="B1207" t="s">
        <v>90</v>
      </c>
      <c r="C1207" s="42"/>
      <c r="D1207"/>
    </row>
    <row r="1208" spans="1:4" hidden="1" x14ac:dyDescent="0.3">
      <c r="A1208" t="s">
        <v>80</v>
      </c>
      <c r="B1208" t="s">
        <v>90</v>
      </c>
      <c r="C1208" s="42"/>
      <c r="D1208"/>
    </row>
    <row r="1209" spans="1:4" hidden="1" x14ac:dyDescent="0.3">
      <c r="A1209" t="s">
        <v>80</v>
      </c>
      <c r="B1209" t="s">
        <v>90</v>
      </c>
      <c r="C1209" s="42"/>
      <c r="D1209"/>
    </row>
    <row r="1210" spans="1:4" hidden="1" x14ac:dyDescent="0.3">
      <c r="A1210" t="s">
        <v>80</v>
      </c>
      <c r="B1210" t="s">
        <v>90</v>
      </c>
      <c r="C1210" s="42"/>
      <c r="D1210"/>
    </row>
    <row r="1211" spans="1:4" hidden="1" x14ac:dyDescent="0.3">
      <c r="A1211" t="s">
        <v>80</v>
      </c>
      <c r="B1211" t="s">
        <v>90</v>
      </c>
      <c r="C1211" s="42"/>
      <c r="D1211"/>
    </row>
    <row r="1212" spans="1:4" hidden="1" x14ac:dyDescent="0.3">
      <c r="A1212" t="s">
        <v>80</v>
      </c>
      <c r="B1212" t="s">
        <v>90</v>
      </c>
      <c r="C1212" s="42"/>
      <c r="D1212"/>
    </row>
    <row r="1213" spans="1:4" hidden="1" x14ac:dyDescent="0.3">
      <c r="A1213" t="s">
        <v>80</v>
      </c>
      <c r="B1213" t="s">
        <v>90</v>
      </c>
      <c r="C1213" s="42"/>
      <c r="D1213"/>
    </row>
    <row r="1214" spans="1:4" hidden="1" x14ac:dyDescent="0.3">
      <c r="A1214" t="s">
        <v>80</v>
      </c>
      <c r="B1214" t="s">
        <v>90</v>
      </c>
      <c r="C1214" s="42"/>
      <c r="D1214"/>
    </row>
    <row r="1215" spans="1:4" hidden="1" x14ac:dyDescent="0.3">
      <c r="A1215" t="s">
        <v>80</v>
      </c>
      <c r="B1215" t="s">
        <v>90</v>
      </c>
      <c r="C1215" s="42"/>
      <c r="D1215"/>
    </row>
    <row r="1216" spans="1:4" hidden="1" x14ac:dyDescent="0.3">
      <c r="A1216" t="s">
        <v>80</v>
      </c>
      <c r="B1216" t="s">
        <v>90</v>
      </c>
      <c r="C1216" s="36"/>
      <c r="D1216"/>
    </row>
    <row r="1217" spans="1:4" hidden="1" x14ac:dyDescent="0.3">
      <c r="A1217" t="s">
        <v>80</v>
      </c>
      <c r="B1217" t="s">
        <v>90</v>
      </c>
      <c r="C1217" s="36"/>
      <c r="D1217"/>
    </row>
    <row r="1218" spans="1:4" hidden="1" x14ac:dyDescent="0.3">
      <c r="A1218" t="s">
        <v>80</v>
      </c>
      <c r="B1218" t="s">
        <v>90</v>
      </c>
      <c r="C1218" s="36"/>
      <c r="D1218"/>
    </row>
    <row r="1219" spans="1:4" hidden="1" x14ac:dyDescent="0.3">
      <c r="A1219" t="s">
        <v>80</v>
      </c>
      <c r="B1219" t="s">
        <v>90</v>
      </c>
      <c r="C1219" s="36"/>
      <c r="D1219"/>
    </row>
    <row r="1220" spans="1:4" hidden="1" x14ac:dyDescent="0.3">
      <c r="A1220" t="s">
        <v>80</v>
      </c>
      <c r="B1220" t="s">
        <v>90</v>
      </c>
      <c r="C1220" s="36"/>
      <c r="D1220"/>
    </row>
    <row r="1221" spans="1:4" hidden="1" x14ac:dyDescent="0.3">
      <c r="A1221" t="s">
        <v>80</v>
      </c>
      <c r="B1221" t="s">
        <v>90</v>
      </c>
      <c r="C1221" s="36"/>
      <c r="D1221"/>
    </row>
    <row r="1222" spans="1:4" hidden="1" x14ac:dyDescent="0.3">
      <c r="A1222" t="s">
        <v>80</v>
      </c>
      <c r="B1222" t="s">
        <v>90</v>
      </c>
      <c r="C1222" s="36"/>
      <c r="D1222"/>
    </row>
    <row r="1223" spans="1:4" hidden="1" x14ac:dyDescent="0.3">
      <c r="A1223" t="s">
        <v>80</v>
      </c>
      <c r="B1223" t="s">
        <v>90</v>
      </c>
      <c r="C1223" s="36"/>
      <c r="D1223"/>
    </row>
    <row r="1224" spans="1:4" hidden="1" x14ac:dyDescent="0.3">
      <c r="A1224" t="s">
        <v>80</v>
      </c>
      <c r="B1224" t="s">
        <v>90</v>
      </c>
      <c r="C1224" s="36"/>
      <c r="D1224"/>
    </row>
    <row r="1225" spans="1:4" hidden="1" x14ac:dyDescent="0.3">
      <c r="A1225" t="s">
        <v>80</v>
      </c>
      <c r="B1225" t="s">
        <v>90</v>
      </c>
      <c r="C1225" s="36"/>
      <c r="D1225"/>
    </row>
    <row r="1226" spans="1:4" hidden="1" x14ac:dyDescent="0.3">
      <c r="A1226" t="s">
        <v>80</v>
      </c>
      <c r="B1226" t="s">
        <v>90</v>
      </c>
      <c r="C1226" s="36"/>
      <c r="D1226"/>
    </row>
    <row r="1227" spans="1:4" hidden="1" x14ac:dyDescent="0.3">
      <c r="A1227" t="s">
        <v>80</v>
      </c>
      <c r="B1227" t="s">
        <v>90</v>
      </c>
      <c r="C1227" s="36"/>
      <c r="D1227"/>
    </row>
    <row r="1228" spans="1:4" hidden="1" x14ac:dyDescent="0.3">
      <c r="A1228" t="s">
        <v>80</v>
      </c>
      <c r="B1228" t="s">
        <v>90</v>
      </c>
      <c r="C1228" s="36"/>
      <c r="D1228"/>
    </row>
    <row r="1229" spans="1:4" hidden="1" x14ac:dyDescent="0.3">
      <c r="A1229" t="s">
        <v>80</v>
      </c>
      <c r="B1229" t="s">
        <v>90</v>
      </c>
      <c r="C1229" s="36"/>
      <c r="D1229"/>
    </row>
    <row r="1230" spans="1:4" hidden="1" x14ac:dyDescent="0.3">
      <c r="A1230" t="s">
        <v>80</v>
      </c>
      <c r="B1230" t="s">
        <v>90</v>
      </c>
      <c r="C1230" s="36"/>
      <c r="D1230"/>
    </row>
    <row r="1231" spans="1:4" hidden="1" x14ac:dyDescent="0.3">
      <c r="A1231" t="s">
        <v>80</v>
      </c>
      <c r="B1231" t="s">
        <v>90</v>
      </c>
      <c r="D1231"/>
    </row>
    <row r="1232" spans="1:4" hidden="1" x14ac:dyDescent="0.3">
      <c r="A1232" t="s">
        <v>80</v>
      </c>
      <c r="B1232" t="s">
        <v>90</v>
      </c>
      <c r="D1232"/>
    </row>
    <row r="1233" spans="1:4" hidden="1" x14ac:dyDescent="0.3">
      <c r="A1233" t="s">
        <v>80</v>
      </c>
      <c r="B1233" t="s">
        <v>90</v>
      </c>
      <c r="D1233"/>
    </row>
    <row r="1234" spans="1:4" hidden="1" x14ac:dyDescent="0.3">
      <c r="A1234" t="s">
        <v>80</v>
      </c>
      <c r="B1234" t="s">
        <v>90</v>
      </c>
      <c r="D1234"/>
    </row>
    <row r="1235" spans="1:4" hidden="1" x14ac:dyDescent="0.3">
      <c r="A1235" t="s">
        <v>80</v>
      </c>
      <c r="B1235" t="s">
        <v>90</v>
      </c>
      <c r="D1235"/>
    </row>
    <row r="1236" spans="1:4" hidden="1" x14ac:dyDescent="0.3">
      <c r="A1236" t="s">
        <v>80</v>
      </c>
      <c r="B1236" t="s">
        <v>90</v>
      </c>
      <c r="D1236"/>
    </row>
    <row r="1237" spans="1:4" hidden="1" x14ac:dyDescent="0.3">
      <c r="A1237" t="s">
        <v>80</v>
      </c>
      <c r="B1237" t="s">
        <v>90</v>
      </c>
      <c r="D1237"/>
    </row>
    <row r="1238" spans="1:4" hidden="1" x14ac:dyDescent="0.3">
      <c r="A1238" t="s">
        <v>80</v>
      </c>
      <c r="B1238" t="s">
        <v>90</v>
      </c>
      <c r="D1238"/>
    </row>
    <row r="1239" spans="1:4" hidden="1" x14ac:dyDescent="0.3">
      <c r="A1239" t="s">
        <v>80</v>
      </c>
      <c r="B1239" t="s">
        <v>90</v>
      </c>
      <c r="D1239"/>
    </row>
    <row r="1240" spans="1:4" hidden="1" x14ac:dyDescent="0.3">
      <c r="A1240" t="s">
        <v>80</v>
      </c>
      <c r="B1240" t="s">
        <v>90</v>
      </c>
      <c r="D1240"/>
    </row>
    <row r="1241" spans="1:4" hidden="1" x14ac:dyDescent="0.3">
      <c r="A1241" t="s">
        <v>80</v>
      </c>
      <c r="B1241" t="s">
        <v>90</v>
      </c>
      <c r="D1241"/>
    </row>
    <row r="1242" spans="1:4" hidden="1" x14ac:dyDescent="0.3">
      <c r="A1242" t="s">
        <v>80</v>
      </c>
      <c r="B1242" t="s">
        <v>90</v>
      </c>
      <c r="D1242"/>
    </row>
    <row r="1243" spans="1:4" hidden="1" x14ac:dyDescent="0.3">
      <c r="A1243" t="s">
        <v>80</v>
      </c>
      <c r="B1243" t="s">
        <v>90</v>
      </c>
      <c r="D1243"/>
    </row>
    <row r="1244" spans="1:4" hidden="1" x14ac:dyDescent="0.3">
      <c r="A1244" t="s">
        <v>80</v>
      </c>
      <c r="B1244" t="s">
        <v>90</v>
      </c>
      <c r="D1244"/>
    </row>
    <row r="1245" spans="1:4" hidden="1" x14ac:dyDescent="0.3">
      <c r="A1245" t="s">
        <v>80</v>
      </c>
      <c r="B1245" t="s">
        <v>90</v>
      </c>
      <c r="D1245"/>
    </row>
    <row r="1246" spans="1:4" hidden="1" x14ac:dyDescent="0.3">
      <c r="A1246" t="s">
        <v>80</v>
      </c>
      <c r="B1246" t="s">
        <v>90</v>
      </c>
      <c r="D1246"/>
    </row>
    <row r="1247" spans="1:4" hidden="1" x14ac:dyDescent="0.3">
      <c r="A1247" t="s">
        <v>80</v>
      </c>
      <c r="B1247" t="s">
        <v>90</v>
      </c>
      <c r="D1247"/>
    </row>
    <row r="1248" spans="1:4" hidden="1" x14ac:dyDescent="0.3">
      <c r="A1248" t="s">
        <v>80</v>
      </c>
      <c r="B1248" t="s">
        <v>90</v>
      </c>
      <c r="D1248"/>
    </row>
    <row r="1249" spans="1:4" hidden="1" x14ac:dyDescent="0.3">
      <c r="A1249" t="s">
        <v>80</v>
      </c>
      <c r="B1249" t="s">
        <v>90</v>
      </c>
      <c r="D1249"/>
    </row>
    <row r="1250" spans="1:4" hidden="1" x14ac:dyDescent="0.3">
      <c r="A1250" t="s">
        <v>80</v>
      </c>
      <c r="B1250" t="s">
        <v>90</v>
      </c>
      <c r="D1250"/>
    </row>
    <row r="1251" spans="1:4" hidden="1" x14ac:dyDescent="0.3">
      <c r="A1251" t="s">
        <v>80</v>
      </c>
      <c r="B1251" t="s">
        <v>90</v>
      </c>
      <c r="D1251"/>
    </row>
    <row r="1252" spans="1:4" hidden="1" x14ac:dyDescent="0.3">
      <c r="A1252" t="s">
        <v>80</v>
      </c>
      <c r="B1252" t="s">
        <v>90</v>
      </c>
      <c r="D1252"/>
    </row>
    <row r="1253" spans="1:4" hidden="1" x14ac:dyDescent="0.3">
      <c r="A1253" t="s">
        <v>80</v>
      </c>
      <c r="B1253" t="s">
        <v>90</v>
      </c>
      <c r="D1253"/>
    </row>
    <row r="1254" spans="1:4" hidden="1" x14ac:dyDescent="0.3">
      <c r="A1254" t="s">
        <v>80</v>
      </c>
      <c r="B1254" t="s">
        <v>90</v>
      </c>
      <c r="D1254"/>
    </row>
    <row r="1255" spans="1:4" hidden="1" x14ac:dyDescent="0.3">
      <c r="A1255" t="s">
        <v>80</v>
      </c>
      <c r="B1255" t="s">
        <v>90</v>
      </c>
      <c r="D1255"/>
    </row>
    <row r="1256" spans="1:4" hidden="1" x14ac:dyDescent="0.3">
      <c r="A1256" t="s">
        <v>80</v>
      </c>
      <c r="B1256" t="s">
        <v>90</v>
      </c>
      <c r="D1256"/>
    </row>
    <row r="1257" spans="1:4" hidden="1" x14ac:dyDescent="0.3">
      <c r="A1257" t="s">
        <v>80</v>
      </c>
      <c r="B1257" t="s">
        <v>90</v>
      </c>
      <c r="D1257"/>
    </row>
    <row r="1258" spans="1:4" hidden="1" x14ac:dyDescent="0.3">
      <c r="A1258" t="s">
        <v>80</v>
      </c>
      <c r="B1258" t="s">
        <v>90</v>
      </c>
      <c r="D1258"/>
    </row>
    <row r="1259" spans="1:4" hidden="1" x14ac:dyDescent="0.3">
      <c r="A1259" t="s">
        <v>80</v>
      </c>
      <c r="B1259" t="s">
        <v>90</v>
      </c>
      <c r="D1259"/>
    </row>
    <row r="1260" spans="1:4" hidden="1" x14ac:dyDescent="0.3">
      <c r="A1260" t="s">
        <v>80</v>
      </c>
      <c r="B1260" t="s">
        <v>90</v>
      </c>
      <c r="D1260"/>
    </row>
    <row r="1261" spans="1:4" hidden="1" x14ac:dyDescent="0.3">
      <c r="A1261" t="s">
        <v>80</v>
      </c>
      <c r="B1261" t="s">
        <v>90</v>
      </c>
      <c r="D1261"/>
    </row>
    <row r="1262" spans="1:4" hidden="1" x14ac:dyDescent="0.3">
      <c r="A1262" t="s">
        <v>80</v>
      </c>
      <c r="B1262" t="s">
        <v>90</v>
      </c>
      <c r="D1262"/>
    </row>
    <row r="1263" spans="1:4" hidden="1" x14ac:dyDescent="0.3">
      <c r="A1263" t="s">
        <v>80</v>
      </c>
      <c r="B1263" t="s">
        <v>90</v>
      </c>
      <c r="D1263"/>
    </row>
    <row r="1264" spans="1:4" hidden="1" x14ac:dyDescent="0.3">
      <c r="A1264" t="s">
        <v>80</v>
      </c>
      <c r="B1264" t="s">
        <v>90</v>
      </c>
      <c r="D1264"/>
    </row>
    <row r="1265" spans="1:4" hidden="1" x14ac:dyDescent="0.3">
      <c r="A1265" t="s">
        <v>80</v>
      </c>
      <c r="B1265" t="s">
        <v>90</v>
      </c>
      <c r="D1265"/>
    </row>
    <row r="1266" spans="1:4" hidden="1" x14ac:dyDescent="0.3">
      <c r="A1266" t="s">
        <v>80</v>
      </c>
      <c r="B1266" t="s">
        <v>90</v>
      </c>
      <c r="D1266"/>
    </row>
    <row r="1267" spans="1:4" hidden="1" x14ac:dyDescent="0.3">
      <c r="A1267" t="s">
        <v>80</v>
      </c>
      <c r="B1267" t="s">
        <v>90</v>
      </c>
      <c r="D1267"/>
    </row>
    <row r="1268" spans="1:4" hidden="1" x14ac:dyDescent="0.3">
      <c r="A1268" t="s">
        <v>80</v>
      </c>
      <c r="B1268" t="s">
        <v>90</v>
      </c>
      <c r="D1268"/>
    </row>
    <row r="1269" spans="1:4" hidden="1" x14ac:dyDescent="0.3">
      <c r="A1269" t="s">
        <v>80</v>
      </c>
      <c r="B1269" t="s">
        <v>90</v>
      </c>
      <c r="D1269"/>
    </row>
    <row r="1270" spans="1:4" hidden="1" x14ac:dyDescent="0.3">
      <c r="A1270" t="s">
        <v>80</v>
      </c>
      <c r="B1270" t="s">
        <v>90</v>
      </c>
      <c r="D1270"/>
    </row>
    <row r="1271" spans="1:4" hidden="1" x14ac:dyDescent="0.3">
      <c r="A1271" t="s">
        <v>80</v>
      </c>
      <c r="B1271" t="s">
        <v>90</v>
      </c>
      <c r="D1271"/>
    </row>
    <row r="1272" spans="1:4" hidden="1" x14ac:dyDescent="0.3">
      <c r="A1272" t="s">
        <v>80</v>
      </c>
      <c r="B1272" t="s">
        <v>90</v>
      </c>
      <c r="D1272"/>
    </row>
    <row r="1273" spans="1:4" hidden="1" x14ac:dyDescent="0.3">
      <c r="A1273" t="s">
        <v>80</v>
      </c>
      <c r="B1273" t="s">
        <v>90</v>
      </c>
      <c r="D1273"/>
    </row>
    <row r="1274" spans="1:4" hidden="1" x14ac:dyDescent="0.3">
      <c r="A1274" t="s">
        <v>80</v>
      </c>
      <c r="B1274" t="s">
        <v>90</v>
      </c>
      <c r="D1274"/>
    </row>
    <row r="1275" spans="1:4" hidden="1" x14ac:dyDescent="0.3">
      <c r="A1275" t="s">
        <v>80</v>
      </c>
      <c r="B1275" t="s">
        <v>90</v>
      </c>
      <c r="D1275"/>
    </row>
    <row r="1276" spans="1:4" hidden="1" x14ac:dyDescent="0.3">
      <c r="A1276" t="s">
        <v>80</v>
      </c>
      <c r="B1276" t="s">
        <v>90</v>
      </c>
      <c r="D1276"/>
    </row>
    <row r="1277" spans="1:4" hidden="1" x14ac:dyDescent="0.3">
      <c r="A1277" t="s">
        <v>80</v>
      </c>
      <c r="B1277" t="s">
        <v>90</v>
      </c>
      <c r="D1277"/>
    </row>
    <row r="1278" spans="1:4" hidden="1" x14ac:dyDescent="0.3">
      <c r="A1278" t="s">
        <v>80</v>
      </c>
      <c r="B1278" t="s">
        <v>90</v>
      </c>
      <c r="D1278"/>
    </row>
    <row r="1279" spans="1:4" hidden="1" x14ac:dyDescent="0.3">
      <c r="A1279" t="s">
        <v>80</v>
      </c>
      <c r="B1279" t="s">
        <v>90</v>
      </c>
      <c r="D1279"/>
    </row>
    <row r="1280" spans="1:4" hidden="1" x14ac:dyDescent="0.3">
      <c r="A1280" t="s">
        <v>80</v>
      </c>
      <c r="B1280" t="s">
        <v>90</v>
      </c>
      <c r="D1280"/>
    </row>
    <row r="1281" spans="1:4" hidden="1" x14ac:dyDescent="0.3">
      <c r="A1281" t="s">
        <v>80</v>
      </c>
      <c r="B1281" t="s">
        <v>90</v>
      </c>
      <c r="D1281"/>
    </row>
    <row r="1282" spans="1:4" hidden="1" x14ac:dyDescent="0.3">
      <c r="A1282" t="s">
        <v>80</v>
      </c>
      <c r="B1282" t="s">
        <v>90</v>
      </c>
      <c r="D1282"/>
    </row>
    <row r="1283" spans="1:4" hidden="1" x14ac:dyDescent="0.3">
      <c r="A1283" t="s">
        <v>80</v>
      </c>
      <c r="B1283" t="s">
        <v>90</v>
      </c>
      <c r="D1283"/>
    </row>
    <row r="1284" spans="1:4" hidden="1" x14ac:dyDescent="0.3">
      <c r="A1284" t="s">
        <v>80</v>
      </c>
      <c r="B1284" t="s">
        <v>90</v>
      </c>
      <c r="D1284"/>
    </row>
    <row r="1285" spans="1:4" hidden="1" x14ac:dyDescent="0.3">
      <c r="A1285" t="s">
        <v>80</v>
      </c>
      <c r="B1285" t="s">
        <v>90</v>
      </c>
      <c r="D1285"/>
    </row>
    <row r="1286" spans="1:4" hidden="1" x14ac:dyDescent="0.3">
      <c r="A1286" t="s">
        <v>80</v>
      </c>
      <c r="B1286" t="s">
        <v>90</v>
      </c>
      <c r="D1286"/>
    </row>
    <row r="1287" spans="1:4" hidden="1" x14ac:dyDescent="0.3">
      <c r="A1287" t="s">
        <v>80</v>
      </c>
      <c r="B1287" t="s">
        <v>90</v>
      </c>
      <c r="D1287"/>
    </row>
    <row r="1288" spans="1:4" hidden="1" x14ac:dyDescent="0.3">
      <c r="A1288" t="s">
        <v>80</v>
      </c>
      <c r="B1288" t="s">
        <v>90</v>
      </c>
      <c r="D1288"/>
    </row>
    <row r="1289" spans="1:4" hidden="1" x14ac:dyDescent="0.3">
      <c r="A1289" t="s">
        <v>80</v>
      </c>
      <c r="B1289" t="s">
        <v>90</v>
      </c>
      <c r="D1289"/>
    </row>
    <row r="1290" spans="1:4" hidden="1" x14ac:dyDescent="0.3">
      <c r="A1290" t="s">
        <v>80</v>
      </c>
      <c r="B1290" t="s">
        <v>90</v>
      </c>
      <c r="D1290"/>
    </row>
    <row r="1291" spans="1:4" hidden="1" x14ac:dyDescent="0.3">
      <c r="A1291" t="s">
        <v>80</v>
      </c>
      <c r="B1291" t="s">
        <v>90</v>
      </c>
      <c r="D1291"/>
    </row>
    <row r="1292" spans="1:4" hidden="1" x14ac:dyDescent="0.3">
      <c r="A1292" t="s">
        <v>80</v>
      </c>
      <c r="B1292" t="s">
        <v>90</v>
      </c>
      <c r="D1292"/>
    </row>
    <row r="1293" spans="1:4" hidden="1" x14ac:dyDescent="0.3">
      <c r="A1293" t="s">
        <v>80</v>
      </c>
      <c r="B1293" t="s">
        <v>90</v>
      </c>
      <c r="D1293"/>
    </row>
    <row r="1294" spans="1:4" hidden="1" x14ac:dyDescent="0.3">
      <c r="A1294" t="s">
        <v>80</v>
      </c>
      <c r="B1294" t="s">
        <v>90</v>
      </c>
      <c r="D1294"/>
    </row>
    <row r="1295" spans="1:4" hidden="1" x14ac:dyDescent="0.3">
      <c r="A1295" t="s">
        <v>80</v>
      </c>
      <c r="B1295" t="s">
        <v>90</v>
      </c>
      <c r="D1295"/>
    </row>
    <row r="1296" spans="1:4" hidden="1" x14ac:dyDescent="0.3">
      <c r="A1296" t="s">
        <v>80</v>
      </c>
      <c r="B1296" t="s">
        <v>90</v>
      </c>
      <c r="D1296"/>
    </row>
    <row r="1297" spans="1:4" hidden="1" x14ac:dyDescent="0.3">
      <c r="A1297" t="s">
        <v>80</v>
      </c>
      <c r="B1297" t="s">
        <v>90</v>
      </c>
      <c r="D1297"/>
    </row>
    <row r="1298" spans="1:4" hidden="1" x14ac:dyDescent="0.3">
      <c r="A1298" t="s">
        <v>80</v>
      </c>
      <c r="B1298" t="s">
        <v>90</v>
      </c>
      <c r="D1298"/>
    </row>
    <row r="1299" spans="1:4" hidden="1" x14ac:dyDescent="0.3">
      <c r="A1299" t="s">
        <v>80</v>
      </c>
      <c r="B1299" t="s">
        <v>90</v>
      </c>
      <c r="D1299"/>
    </row>
    <row r="1300" spans="1:4" hidden="1" x14ac:dyDescent="0.3">
      <c r="A1300" t="s">
        <v>80</v>
      </c>
      <c r="B1300" t="s">
        <v>90</v>
      </c>
      <c r="D1300"/>
    </row>
    <row r="1301" spans="1:4" hidden="1" x14ac:dyDescent="0.3">
      <c r="A1301" t="s">
        <v>80</v>
      </c>
      <c r="B1301" t="s">
        <v>90</v>
      </c>
      <c r="D1301"/>
    </row>
    <row r="1302" spans="1:4" hidden="1" x14ac:dyDescent="0.3">
      <c r="A1302" t="s">
        <v>80</v>
      </c>
      <c r="B1302" t="s">
        <v>90</v>
      </c>
      <c r="D1302"/>
    </row>
    <row r="1303" spans="1:4" hidden="1" x14ac:dyDescent="0.3">
      <c r="A1303" t="s">
        <v>80</v>
      </c>
      <c r="B1303" t="s">
        <v>90</v>
      </c>
      <c r="D1303"/>
    </row>
    <row r="1304" spans="1:4" hidden="1" x14ac:dyDescent="0.3">
      <c r="A1304" t="s">
        <v>80</v>
      </c>
      <c r="B1304" t="s">
        <v>90</v>
      </c>
      <c r="D1304"/>
    </row>
    <row r="1305" spans="1:4" hidden="1" x14ac:dyDescent="0.3">
      <c r="A1305" t="s">
        <v>80</v>
      </c>
      <c r="B1305" t="s">
        <v>90</v>
      </c>
      <c r="D1305"/>
    </row>
    <row r="1306" spans="1:4" hidden="1" x14ac:dyDescent="0.3">
      <c r="A1306" t="s">
        <v>80</v>
      </c>
      <c r="B1306" t="s">
        <v>90</v>
      </c>
      <c r="D1306"/>
    </row>
    <row r="1307" spans="1:4" hidden="1" x14ac:dyDescent="0.3">
      <c r="A1307" t="s">
        <v>80</v>
      </c>
      <c r="B1307" t="s">
        <v>90</v>
      </c>
      <c r="D1307"/>
    </row>
    <row r="1308" spans="1:4" hidden="1" x14ac:dyDescent="0.3">
      <c r="A1308" t="s">
        <v>80</v>
      </c>
      <c r="B1308" t="s">
        <v>90</v>
      </c>
      <c r="D1308"/>
    </row>
    <row r="1309" spans="1:4" hidden="1" x14ac:dyDescent="0.3">
      <c r="A1309" t="s">
        <v>80</v>
      </c>
      <c r="B1309" t="s">
        <v>90</v>
      </c>
      <c r="D1309"/>
    </row>
    <row r="1310" spans="1:4" hidden="1" x14ac:dyDescent="0.3">
      <c r="A1310" t="s">
        <v>80</v>
      </c>
      <c r="B1310" t="s">
        <v>90</v>
      </c>
      <c r="D1310"/>
    </row>
    <row r="1311" spans="1:4" hidden="1" x14ac:dyDescent="0.3">
      <c r="A1311" t="s">
        <v>80</v>
      </c>
      <c r="B1311" t="s">
        <v>90</v>
      </c>
      <c r="D1311"/>
    </row>
    <row r="1312" spans="1:4" hidden="1" x14ac:dyDescent="0.3">
      <c r="A1312" t="s">
        <v>80</v>
      </c>
      <c r="B1312" t="s">
        <v>90</v>
      </c>
      <c r="D1312"/>
    </row>
    <row r="1313" spans="1:4" hidden="1" x14ac:dyDescent="0.3">
      <c r="A1313" t="s">
        <v>80</v>
      </c>
      <c r="B1313" t="s">
        <v>90</v>
      </c>
      <c r="D1313"/>
    </row>
    <row r="1314" spans="1:4" hidden="1" x14ac:dyDescent="0.3">
      <c r="A1314" t="s">
        <v>80</v>
      </c>
      <c r="B1314" t="s">
        <v>90</v>
      </c>
      <c r="D1314"/>
    </row>
    <row r="1315" spans="1:4" hidden="1" x14ac:dyDescent="0.3">
      <c r="A1315" t="s">
        <v>80</v>
      </c>
      <c r="B1315" t="s">
        <v>90</v>
      </c>
      <c r="D1315"/>
    </row>
    <row r="1316" spans="1:4" hidden="1" x14ac:dyDescent="0.3">
      <c r="A1316" t="s">
        <v>80</v>
      </c>
      <c r="B1316" t="s">
        <v>90</v>
      </c>
      <c r="D1316"/>
    </row>
    <row r="1317" spans="1:4" hidden="1" x14ac:dyDescent="0.3">
      <c r="A1317" t="s">
        <v>80</v>
      </c>
      <c r="B1317" t="s">
        <v>90</v>
      </c>
      <c r="D1317"/>
    </row>
    <row r="1318" spans="1:4" hidden="1" x14ac:dyDescent="0.3">
      <c r="A1318" t="s">
        <v>80</v>
      </c>
      <c r="B1318" t="s">
        <v>90</v>
      </c>
      <c r="D1318"/>
    </row>
    <row r="1319" spans="1:4" hidden="1" x14ac:dyDescent="0.3">
      <c r="A1319" t="s">
        <v>80</v>
      </c>
      <c r="B1319" t="s">
        <v>90</v>
      </c>
      <c r="D1319"/>
    </row>
    <row r="1320" spans="1:4" hidden="1" x14ac:dyDescent="0.3">
      <c r="A1320" t="s">
        <v>80</v>
      </c>
      <c r="B1320" t="s">
        <v>90</v>
      </c>
      <c r="D1320"/>
    </row>
    <row r="1321" spans="1:4" hidden="1" x14ac:dyDescent="0.3">
      <c r="A1321" t="s">
        <v>80</v>
      </c>
      <c r="B1321" t="s">
        <v>90</v>
      </c>
      <c r="D1321"/>
    </row>
    <row r="1322" spans="1:4" hidden="1" x14ac:dyDescent="0.3">
      <c r="A1322" t="s">
        <v>80</v>
      </c>
      <c r="B1322" t="s">
        <v>90</v>
      </c>
      <c r="D1322"/>
    </row>
    <row r="1323" spans="1:4" hidden="1" x14ac:dyDescent="0.3">
      <c r="A1323" t="s">
        <v>80</v>
      </c>
      <c r="B1323" t="s">
        <v>90</v>
      </c>
      <c r="D1323"/>
    </row>
    <row r="1324" spans="1:4" hidden="1" x14ac:dyDescent="0.3">
      <c r="A1324" t="s">
        <v>80</v>
      </c>
      <c r="B1324" t="s">
        <v>90</v>
      </c>
      <c r="D1324"/>
    </row>
    <row r="1325" spans="1:4" hidden="1" x14ac:dyDescent="0.3">
      <c r="A1325" t="s">
        <v>80</v>
      </c>
      <c r="B1325" t="s">
        <v>90</v>
      </c>
      <c r="D1325"/>
    </row>
    <row r="1326" spans="1:4" hidden="1" x14ac:dyDescent="0.3">
      <c r="A1326" t="s">
        <v>80</v>
      </c>
      <c r="B1326" t="s">
        <v>90</v>
      </c>
      <c r="D1326"/>
    </row>
    <row r="1327" spans="1:4" hidden="1" x14ac:dyDescent="0.3">
      <c r="A1327" t="s">
        <v>80</v>
      </c>
      <c r="B1327" t="s">
        <v>90</v>
      </c>
      <c r="D1327"/>
    </row>
    <row r="1328" spans="1:4" hidden="1" x14ac:dyDescent="0.3">
      <c r="A1328" t="s">
        <v>80</v>
      </c>
      <c r="B1328" t="s">
        <v>90</v>
      </c>
      <c r="D1328"/>
    </row>
    <row r="1329" spans="1:4" hidden="1" x14ac:dyDescent="0.3">
      <c r="A1329" t="s">
        <v>80</v>
      </c>
      <c r="B1329" t="s">
        <v>90</v>
      </c>
      <c r="D1329"/>
    </row>
    <row r="1330" spans="1:4" hidden="1" x14ac:dyDescent="0.3">
      <c r="A1330" t="s">
        <v>80</v>
      </c>
      <c r="B1330" t="s">
        <v>90</v>
      </c>
      <c r="D1330"/>
    </row>
    <row r="1331" spans="1:4" hidden="1" x14ac:dyDescent="0.3">
      <c r="A1331" t="s">
        <v>80</v>
      </c>
      <c r="B1331" t="s">
        <v>90</v>
      </c>
      <c r="D1331"/>
    </row>
    <row r="1332" spans="1:4" hidden="1" x14ac:dyDescent="0.3">
      <c r="A1332" t="s">
        <v>80</v>
      </c>
      <c r="B1332" t="s">
        <v>90</v>
      </c>
      <c r="D1332"/>
    </row>
    <row r="1333" spans="1:4" hidden="1" x14ac:dyDescent="0.3">
      <c r="A1333" t="s">
        <v>80</v>
      </c>
      <c r="B1333" t="s">
        <v>90</v>
      </c>
      <c r="D1333"/>
    </row>
    <row r="1334" spans="1:4" hidden="1" x14ac:dyDescent="0.3">
      <c r="A1334" t="s">
        <v>80</v>
      </c>
      <c r="B1334" t="s">
        <v>90</v>
      </c>
      <c r="D1334"/>
    </row>
    <row r="1335" spans="1:4" hidden="1" x14ac:dyDescent="0.3">
      <c r="A1335" t="s">
        <v>80</v>
      </c>
      <c r="B1335" t="s">
        <v>90</v>
      </c>
      <c r="D1335"/>
    </row>
    <row r="1336" spans="1:4" hidden="1" x14ac:dyDescent="0.3">
      <c r="A1336" t="s">
        <v>80</v>
      </c>
      <c r="B1336" t="s">
        <v>90</v>
      </c>
      <c r="D1336"/>
    </row>
    <row r="1337" spans="1:4" hidden="1" x14ac:dyDescent="0.3">
      <c r="A1337" t="s">
        <v>80</v>
      </c>
      <c r="B1337" t="s">
        <v>90</v>
      </c>
      <c r="D1337"/>
    </row>
    <row r="1338" spans="1:4" hidden="1" x14ac:dyDescent="0.3">
      <c r="A1338" t="s">
        <v>80</v>
      </c>
      <c r="B1338" t="s">
        <v>90</v>
      </c>
      <c r="D1338"/>
    </row>
    <row r="1339" spans="1:4" hidden="1" x14ac:dyDescent="0.3">
      <c r="A1339" t="s">
        <v>80</v>
      </c>
      <c r="B1339" t="s">
        <v>90</v>
      </c>
      <c r="D1339"/>
    </row>
    <row r="1340" spans="1:4" hidden="1" x14ac:dyDescent="0.3">
      <c r="A1340" t="s">
        <v>80</v>
      </c>
      <c r="B1340" t="s">
        <v>90</v>
      </c>
      <c r="D1340"/>
    </row>
    <row r="1341" spans="1:4" hidden="1" x14ac:dyDescent="0.3">
      <c r="A1341" t="s">
        <v>80</v>
      </c>
      <c r="B1341" t="s">
        <v>90</v>
      </c>
      <c r="D1341"/>
    </row>
    <row r="1342" spans="1:4" hidden="1" x14ac:dyDescent="0.3">
      <c r="A1342" t="s">
        <v>80</v>
      </c>
      <c r="B1342" t="s">
        <v>90</v>
      </c>
      <c r="D1342"/>
    </row>
    <row r="1343" spans="1:4" hidden="1" x14ac:dyDescent="0.3">
      <c r="A1343" t="s">
        <v>80</v>
      </c>
      <c r="B1343" t="s">
        <v>90</v>
      </c>
      <c r="D1343"/>
    </row>
    <row r="1344" spans="1:4" hidden="1" x14ac:dyDescent="0.3">
      <c r="A1344" t="s">
        <v>80</v>
      </c>
      <c r="B1344" t="s">
        <v>90</v>
      </c>
      <c r="D1344"/>
    </row>
    <row r="1345" spans="1:4" hidden="1" x14ac:dyDescent="0.3">
      <c r="A1345" t="s">
        <v>80</v>
      </c>
      <c r="B1345" t="s">
        <v>90</v>
      </c>
      <c r="D1345"/>
    </row>
    <row r="1346" spans="1:4" hidden="1" x14ac:dyDescent="0.3">
      <c r="A1346" t="s">
        <v>80</v>
      </c>
      <c r="B1346" t="s">
        <v>90</v>
      </c>
      <c r="D1346"/>
    </row>
    <row r="1347" spans="1:4" hidden="1" x14ac:dyDescent="0.3">
      <c r="A1347" t="s">
        <v>80</v>
      </c>
      <c r="B1347" t="s">
        <v>90</v>
      </c>
      <c r="D1347"/>
    </row>
    <row r="1348" spans="1:4" hidden="1" x14ac:dyDescent="0.3">
      <c r="A1348" t="s">
        <v>80</v>
      </c>
      <c r="B1348" t="s">
        <v>90</v>
      </c>
      <c r="D1348"/>
    </row>
    <row r="1349" spans="1:4" hidden="1" x14ac:dyDescent="0.3">
      <c r="A1349" t="s">
        <v>80</v>
      </c>
      <c r="B1349" t="s">
        <v>90</v>
      </c>
      <c r="D1349"/>
    </row>
    <row r="1350" spans="1:4" hidden="1" x14ac:dyDescent="0.3">
      <c r="A1350" t="s">
        <v>80</v>
      </c>
      <c r="B1350" t="s">
        <v>90</v>
      </c>
      <c r="D1350"/>
    </row>
    <row r="1351" spans="1:4" hidden="1" x14ac:dyDescent="0.3">
      <c r="A1351" t="s">
        <v>80</v>
      </c>
      <c r="B1351" t="s">
        <v>90</v>
      </c>
      <c r="D1351"/>
    </row>
    <row r="1352" spans="1:4" hidden="1" x14ac:dyDescent="0.3">
      <c r="A1352" t="s">
        <v>80</v>
      </c>
      <c r="B1352" t="s">
        <v>90</v>
      </c>
      <c r="D1352"/>
    </row>
    <row r="1353" spans="1:4" hidden="1" x14ac:dyDescent="0.3">
      <c r="A1353" t="s">
        <v>80</v>
      </c>
      <c r="B1353" t="s">
        <v>90</v>
      </c>
      <c r="D1353"/>
    </row>
    <row r="1354" spans="1:4" hidden="1" x14ac:dyDescent="0.3">
      <c r="A1354" t="s">
        <v>80</v>
      </c>
      <c r="B1354" t="s">
        <v>90</v>
      </c>
      <c r="D1354"/>
    </row>
    <row r="1355" spans="1:4" hidden="1" x14ac:dyDescent="0.3">
      <c r="A1355" t="s">
        <v>80</v>
      </c>
      <c r="B1355" t="s">
        <v>90</v>
      </c>
      <c r="D1355"/>
    </row>
    <row r="1356" spans="1:4" hidden="1" x14ac:dyDescent="0.3">
      <c r="A1356" t="s">
        <v>80</v>
      </c>
      <c r="B1356" t="s">
        <v>90</v>
      </c>
      <c r="D1356"/>
    </row>
    <row r="1357" spans="1:4" hidden="1" x14ac:dyDescent="0.3">
      <c r="A1357" t="s">
        <v>80</v>
      </c>
      <c r="B1357" t="s">
        <v>90</v>
      </c>
      <c r="D1357"/>
    </row>
    <row r="1358" spans="1:4" hidden="1" x14ac:dyDescent="0.3">
      <c r="A1358" t="s">
        <v>80</v>
      </c>
      <c r="B1358" t="s">
        <v>90</v>
      </c>
      <c r="D1358"/>
    </row>
    <row r="1359" spans="1:4" hidden="1" x14ac:dyDescent="0.3">
      <c r="A1359" t="s">
        <v>80</v>
      </c>
      <c r="B1359" t="s">
        <v>90</v>
      </c>
      <c r="D1359"/>
    </row>
    <row r="1360" spans="1:4" hidden="1" x14ac:dyDescent="0.3">
      <c r="A1360" t="s">
        <v>80</v>
      </c>
      <c r="B1360" t="s">
        <v>90</v>
      </c>
      <c r="D1360"/>
    </row>
    <row r="1361" spans="1:4" hidden="1" x14ac:dyDescent="0.3">
      <c r="A1361" t="s">
        <v>80</v>
      </c>
      <c r="B1361" t="s">
        <v>90</v>
      </c>
      <c r="D1361"/>
    </row>
    <row r="1362" spans="1:4" hidden="1" x14ac:dyDescent="0.3">
      <c r="A1362" t="s">
        <v>80</v>
      </c>
      <c r="B1362" t="s">
        <v>90</v>
      </c>
      <c r="D1362"/>
    </row>
    <row r="1363" spans="1:4" hidden="1" x14ac:dyDescent="0.3">
      <c r="A1363" t="s">
        <v>80</v>
      </c>
      <c r="B1363" t="s">
        <v>90</v>
      </c>
      <c r="D1363"/>
    </row>
    <row r="1364" spans="1:4" hidden="1" x14ac:dyDescent="0.3">
      <c r="A1364" t="s">
        <v>80</v>
      </c>
      <c r="B1364" t="s">
        <v>90</v>
      </c>
      <c r="D1364"/>
    </row>
    <row r="1365" spans="1:4" hidden="1" x14ac:dyDescent="0.3">
      <c r="A1365" t="s">
        <v>80</v>
      </c>
      <c r="B1365" t="s">
        <v>90</v>
      </c>
      <c r="D1365"/>
    </row>
    <row r="1366" spans="1:4" hidden="1" x14ac:dyDescent="0.3">
      <c r="A1366" t="s">
        <v>80</v>
      </c>
      <c r="B1366" t="s">
        <v>90</v>
      </c>
      <c r="D1366"/>
    </row>
    <row r="1367" spans="1:4" hidden="1" x14ac:dyDescent="0.3">
      <c r="A1367" t="s">
        <v>80</v>
      </c>
      <c r="B1367" t="s">
        <v>90</v>
      </c>
      <c r="D1367"/>
    </row>
    <row r="1368" spans="1:4" hidden="1" x14ac:dyDescent="0.3">
      <c r="A1368" t="s">
        <v>80</v>
      </c>
      <c r="B1368" t="s">
        <v>90</v>
      </c>
      <c r="D1368"/>
    </row>
    <row r="1369" spans="1:4" hidden="1" x14ac:dyDescent="0.3">
      <c r="A1369" t="s">
        <v>80</v>
      </c>
      <c r="B1369" t="s">
        <v>90</v>
      </c>
      <c r="D1369"/>
    </row>
    <row r="1370" spans="1:4" hidden="1" x14ac:dyDescent="0.3">
      <c r="A1370" t="s">
        <v>80</v>
      </c>
      <c r="B1370" t="s">
        <v>90</v>
      </c>
      <c r="D1370"/>
    </row>
    <row r="1371" spans="1:4" hidden="1" x14ac:dyDescent="0.3">
      <c r="A1371" t="s">
        <v>80</v>
      </c>
      <c r="B1371" t="s">
        <v>90</v>
      </c>
      <c r="D1371"/>
    </row>
    <row r="1372" spans="1:4" hidden="1" x14ac:dyDescent="0.3">
      <c r="A1372" t="s">
        <v>80</v>
      </c>
      <c r="B1372" t="s">
        <v>90</v>
      </c>
      <c r="D1372"/>
    </row>
    <row r="1373" spans="1:4" hidden="1" x14ac:dyDescent="0.3">
      <c r="A1373" t="s">
        <v>80</v>
      </c>
      <c r="B1373" t="s">
        <v>90</v>
      </c>
      <c r="D1373"/>
    </row>
    <row r="1374" spans="1:4" hidden="1" x14ac:dyDescent="0.3">
      <c r="A1374" t="s">
        <v>80</v>
      </c>
      <c r="B1374" t="s">
        <v>90</v>
      </c>
      <c r="D1374"/>
    </row>
    <row r="1375" spans="1:4" hidden="1" x14ac:dyDescent="0.3">
      <c r="A1375" t="s">
        <v>80</v>
      </c>
      <c r="B1375" t="s">
        <v>90</v>
      </c>
      <c r="D1375"/>
    </row>
    <row r="1376" spans="1:4" hidden="1" x14ac:dyDescent="0.3">
      <c r="A1376" t="s">
        <v>80</v>
      </c>
      <c r="B1376" t="s">
        <v>90</v>
      </c>
      <c r="D1376"/>
    </row>
    <row r="1377" spans="1:4" hidden="1" x14ac:dyDescent="0.3">
      <c r="A1377" t="s">
        <v>80</v>
      </c>
      <c r="B1377" t="s">
        <v>90</v>
      </c>
      <c r="D1377"/>
    </row>
    <row r="1378" spans="1:4" hidden="1" x14ac:dyDescent="0.3">
      <c r="A1378" t="s">
        <v>80</v>
      </c>
      <c r="B1378" t="s">
        <v>90</v>
      </c>
      <c r="D1378"/>
    </row>
    <row r="1379" spans="1:4" hidden="1" x14ac:dyDescent="0.3">
      <c r="A1379" t="s">
        <v>80</v>
      </c>
      <c r="B1379" t="s">
        <v>90</v>
      </c>
      <c r="D1379"/>
    </row>
    <row r="1380" spans="1:4" hidden="1" x14ac:dyDescent="0.3">
      <c r="A1380" t="s">
        <v>80</v>
      </c>
      <c r="B1380" t="s">
        <v>90</v>
      </c>
      <c r="D1380"/>
    </row>
    <row r="1381" spans="1:4" hidden="1" x14ac:dyDescent="0.3">
      <c r="A1381" t="s">
        <v>80</v>
      </c>
      <c r="B1381" t="s">
        <v>90</v>
      </c>
      <c r="D1381"/>
    </row>
    <row r="1382" spans="1:4" hidden="1" x14ac:dyDescent="0.3">
      <c r="A1382" t="s">
        <v>80</v>
      </c>
      <c r="B1382" t="s">
        <v>90</v>
      </c>
      <c r="D1382"/>
    </row>
    <row r="1383" spans="1:4" hidden="1" x14ac:dyDescent="0.3">
      <c r="A1383" t="s">
        <v>80</v>
      </c>
      <c r="B1383" t="s">
        <v>90</v>
      </c>
      <c r="D1383"/>
    </row>
    <row r="1384" spans="1:4" hidden="1" x14ac:dyDescent="0.3">
      <c r="A1384" t="s">
        <v>80</v>
      </c>
      <c r="B1384" t="s">
        <v>90</v>
      </c>
      <c r="D1384"/>
    </row>
    <row r="1385" spans="1:4" hidden="1" x14ac:dyDescent="0.3">
      <c r="A1385" t="s">
        <v>80</v>
      </c>
      <c r="B1385" t="s">
        <v>90</v>
      </c>
      <c r="D1385"/>
    </row>
    <row r="1386" spans="1:4" hidden="1" x14ac:dyDescent="0.3">
      <c r="A1386" t="s">
        <v>80</v>
      </c>
      <c r="B1386" t="s">
        <v>90</v>
      </c>
      <c r="D1386"/>
    </row>
    <row r="1387" spans="1:4" hidden="1" x14ac:dyDescent="0.3">
      <c r="A1387" t="s">
        <v>80</v>
      </c>
      <c r="B1387" t="s">
        <v>90</v>
      </c>
      <c r="D1387"/>
    </row>
    <row r="1388" spans="1:4" hidden="1" x14ac:dyDescent="0.3">
      <c r="A1388" t="s">
        <v>80</v>
      </c>
      <c r="B1388" t="s">
        <v>90</v>
      </c>
      <c r="D1388"/>
    </row>
    <row r="1389" spans="1:4" hidden="1" x14ac:dyDescent="0.3">
      <c r="A1389" t="s">
        <v>80</v>
      </c>
      <c r="B1389" t="s">
        <v>90</v>
      </c>
      <c r="D1389"/>
    </row>
    <row r="1390" spans="1:4" hidden="1" x14ac:dyDescent="0.3">
      <c r="A1390" t="s">
        <v>80</v>
      </c>
      <c r="B1390" t="s">
        <v>90</v>
      </c>
      <c r="D1390"/>
    </row>
    <row r="1391" spans="1:4" hidden="1" x14ac:dyDescent="0.3">
      <c r="A1391" t="s">
        <v>80</v>
      </c>
      <c r="B1391" t="s">
        <v>90</v>
      </c>
      <c r="D1391"/>
    </row>
    <row r="1392" spans="1:4" hidden="1" x14ac:dyDescent="0.3">
      <c r="A1392" t="s">
        <v>80</v>
      </c>
      <c r="B1392" t="s">
        <v>90</v>
      </c>
      <c r="D1392"/>
    </row>
    <row r="1393" spans="1:4" hidden="1" x14ac:dyDescent="0.3">
      <c r="A1393" t="s">
        <v>80</v>
      </c>
      <c r="B1393" t="s">
        <v>90</v>
      </c>
      <c r="D1393"/>
    </row>
    <row r="1394" spans="1:4" hidden="1" x14ac:dyDescent="0.3">
      <c r="A1394" t="s">
        <v>80</v>
      </c>
      <c r="B1394" t="s">
        <v>90</v>
      </c>
      <c r="D1394"/>
    </row>
    <row r="1395" spans="1:4" hidden="1" x14ac:dyDescent="0.3">
      <c r="A1395" t="s">
        <v>80</v>
      </c>
      <c r="B1395" t="s">
        <v>90</v>
      </c>
      <c r="D1395"/>
    </row>
    <row r="1396" spans="1:4" hidden="1" x14ac:dyDescent="0.3">
      <c r="A1396" t="s">
        <v>80</v>
      </c>
      <c r="B1396" t="s">
        <v>90</v>
      </c>
      <c r="D1396"/>
    </row>
    <row r="1397" spans="1:4" hidden="1" x14ac:dyDescent="0.3">
      <c r="A1397" t="s">
        <v>80</v>
      </c>
      <c r="B1397" t="s">
        <v>90</v>
      </c>
      <c r="D1397"/>
    </row>
    <row r="1398" spans="1:4" hidden="1" x14ac:dyDescent="0.3">
      <c r="A1398" t="s">
        <v>80</v>
      </c>
      <c r="B1398" t="s">
        <v>90</v>
      </c>
      <c r="D1398"/>
    </row>
    <row r="1399" spans="1:4" hidden="1" x14ac:dyDescent="0.3">
      <c r="A1399" t="s">
        <v>80</v>
      </c>
      <c r="B1399" t="s">
        <v>90</v>
      </c>
      <c r="D1399"/>
    </row>
    <row r="1400" spans="1:4" hidden="1" x14ac:dyDescent="0.3">
      <c r="A1400" t="s">
        <v>80</v>
      </c>
      <c r="B1400" t="s">
        <v>90</v>
      </c>
      <c r="D1400"/>
    </row>
    <row r="1401" spans="1:4" hidden="1" x14ac:dyDescent="0.3">
      <c r="A1401" t="s">
        <v>80</v>
      </c>
      <c r="B1401" t="s">
        <v>90</v>
      </c>
      <c r="D1401"/>
    </row>
    <row r="1402" spans="1:4" hidden="1" x14ac:dyDescent="0.3">
      <c r="A1402" t="s">
        <v>80</v>
      </c>
      <c r="B1402" t="s">
        <v>90</v>
      </c>
      <c r="D1402"/>
    </row>
    <row r="1403" spans="1:4" hidden="1" x14ac:dyDescent="0.3">
      <c r="A1403" t="s">
        <v>80</v>
      </c>
      <c r="B1403" t="s">
        <v>90</v>
      </c>
      <c r="D1403"/>
    </row>
    <row r="1404" spans="1:4" hidden="1" x14ac:dyDescent="0.3">
      <c r="A1404" t="s">
        <v>80</v>
      </c>
      <c r="B1404" t="s">
        <v>90</v>
      </c>
      <c r="D1404"/>
    </row>
    <row r="1405" spans="1:4" hidden="1" x14ac:dyDescent="0.3">
      <c r="A1405" t="s">
        <v>80</v>
      </c>
      <c r="B1405" t="s">
        <v>90</v>
      </c>
      <c r="D1405"/>
    </row>
    <row r="1406" spans="1:4" hidden="1" x14ac:dyDescent="0.3">
      <c r="A1406" t="s">
        <v>80</v>
      </c>
      <c r="B1406" t="s">
        <v>90</v>
      </c>
      <c r="D1406"/>
    </row>
    <row r="1407" spans="1:4" hidden="1" x14ac:dyDescent="0.3">
      <c r="A1407" t="s">
        <v>80</v>
      </c>
      <c r="B1407" t="s">
        <v>90</v>
      </c>
      <c r="D1407"/>
    </row>
    <row r="1408" spans="1:4" hidden="1" x14ac:dyDescent="0.3">
      <c r="A1408" t="s">
        <v>80</v>
      </c>
      <c r="B1408" t="s">
        <v>90</v>
      </c>
      <c r="D1408"/>
    </row>
    <row r="1409" spans="1:4" hidden="1" x14ac:dyDescent="0.3">
      <c r="A1409" t="s">
        <v>80</v>
      </c>
      <c r="B1409" t="s">
        <v>90</v>
      </c>
      <c r="D1409"/>
    </row>
    <row r="1410" spans="1:4" hidden="1" x14ac:dyDescent="0.3">
      <c r="A1410" t="s">
        <v>80</v>
      </c>
      <c r="B1410" t="s">
        <v>90</v>
      </c>
      <c r="D1410"/>
    </row>
    <row r="1411" spans="1:4" hidden="1" x14ac:dyDescent="0.3">
      <c r="A1411" t="s">
        <v>80</v>
      </c>
      <c r="B1411" t="s">
        <v>90</v>
      </c>
      <c r="D1411"/>
    </row>
    <row r="1412" spans="1:4" hidden="1" x14ac:dyDescent="0.3">
      <c r="A1412" t="s">
        <v>80</v>
      </c>
      <c r="B1412" t="s">
        <v>90</v>
      </c>
      <c r="D1412"/>
    </row>
    <row r="1413" spans="1:4" hidden="1" x14ac:dyDescent="0.3">
      <c r="A1413" t="s">
        <v>80</v>
      </c>
      <c r="B1413" t="s">
        <v>90</v>
      </c>
      <c r="D1413"/>
    </row>
    <row r="1414" spans="1:4" hidden="1" x14ac:dyDescent="0.3">
      <c r="A1414" t="s">
        <v>80</v>
      </c>
      <c r="B1414" t="s">
        <v>90</v>
      </c>
      <c r="D1414"/>
    </row>
    <row r="1415" spans="1:4" hidden="1" x14ac:dyDescent="0.3">
      <c r="A1415" t="s">
        <v>80</v>
      </c>
      <c r="B1415" t="s">
        <v>90</v>
      </c>
      <c r="D1415"/>
    </row>
    <row r="1416" spans="1:4" hidden="1" x14ac:dyDescent="0.3">
      <c r="A1416" t="s">
        <v>80</v>
      </c>
      <c r="B1416" t="s">
        <v>90</v>
      </c>
      <c r="D1416"/>
    </row>
    <row r="1417" spans="1:4" hidden="1" x14ac:dyDescent="0.3">
      <c r="A1417" t="s">
        <v>80</v>
      </c>
      <c r="B1417" t="s">
        <v>90</v>
      </c>
      <c r="D1417"/>
    </row>
    <row r="1418" spans="1:4" hidden="1" x14ac:dyDescent="0.3">
      <c r="A1418" t="s">
        <v>80</v>
      </c>
      <c r="B1418" t="s">
        <v>90</v>
      </c>
      <c r="D1418"/>
    </row>
    <row r="1419" spans="1:4" hidden="1" x14ac:dyDescent="0.3">
      <c r="A1419" t="s">
        <v>80</v>
      </c>
      <c r="B1419" t="s">
        <v>90</v>
      </c>
      <c r="D1419"/>
    </row>
    <row r="1420" spans="1:4" hidden="1" x14ac:dyDescent="0.3">
      <c r="A1420" t="s">
        <v>80</v>
      </c>
      <c r="B1420" t="s">
        <v>90</v>
      </c>
      <c r="D1420"/>
    </row>
    <row r="1421" spans="1:4" hidden="1" x14ac:dyDescent="0.3">
      <c r="A1421" t="s">
        <v>80</v>
      </c>
      <c r="B1421" t="s">
        <v>90</v>
      </c>
      <c r="D1421"/>
    </row>
    <row r="1422" spans="1:4" hidden="1" x14ac:dyDescent="0.3">
      <c r="A1422" t="s">
        <v>80</v>
      </c>
      <c r="B1422" t="s">
        <v>90</v>
      </c>
      <c r="D1422"/>
    </row>
    <row r="1423" spans="1:4" hidden="1" x14ac:dyDescent="0.3">
      <c r="A1423" t="s">
        <v>80</v>
      </c>
      <c r="B1423" t="s">
        <v>90</v>
      </c>
      <c r="D1423"/>
    </row>
    <row r="1424" spans="1:4" hidden="1" x14ac:dyDescent="0.3">
      <c r="A1424" t="s">
        <v>80</v>
      </c>
      <c r="B1424" t="s">
        <v>90</v>
      </c>
      <c r="D1424"/>
    </row>
    <row r="1425" spans="1:4" hidden="1" x14ac:dyDescent="0.3">
      <c r="A1425" t="s">
        <v>80</v>
      </c>
      <c r="B1425" t="s">
        <v>90</v>
      </c>
      <c r="D1425"/>
    </row>
    <row r="1426" spans="1:4" hidden="1" x14ac:dyDescent="0.3">
      <c r="A1426" t="s">
        <v>80</v>
      </c>
      <c r="B1426" t="s">
        <v>90</v>
      </c>
      <c r="D1426"/>
    </row>
    <row r="1427" spans="1:4" hidden="1" x14ac:dyDescent="0.3">
      <c r="A1427" t="s">
        <v>80</v>
      </c>
      <c r="B1427" t="s">
        <v>90</v>
      </c>
      <c r="D1427"/>
    </row>
    <row r="1428" spans="1:4" hidden="1" x14ac:dyDescent="0.3">
      <c r="A1428" t="s">
        <v>80</v>
      </c>
      <c r="B1428" t="s">
        <v>90</v>
      </c>
      <c r="D1428"/>
    </row>
    <row r="1429" spans="1:4" hidden="1" x14ac:dyDescent="0.3">
      <c r="A1429" t="s">
        <v>80</v>
      </c>
      <c r="B1429" t="s">
        <v>90</v>
      </c>
      <c r="D1429"/>
    </row>
    <row r="1430" spans="1:4" hidden="1" x14ac:dyDescent="0.3">
      <c r="A1430" t="s">
        <v>80</v>
      </c>
      <c r="B1430" t="s">
        <v>93</v>
      </c>
      <c r="D1430"/>
    </row>
    <row r="1431" spans="1:4" hidden="1" x14ac:dyDescent="0.3">
      <c r="A1431" t="s">
        <v>80</v>
      </c>
      <c r="B1431" t="s">
        <v>93</v>
      </c>
      <c r="D1431"/>
    </row>
    <row r="1432" spans="1:4" hidden="1" x14ac:dyDescent="0.3">
      <c r="A1432" t="s">
        <v>80</v>
      </c>
      <c r="B1432" t="s">
        <v>93</v>
      </c>
      <c r="D1432"/>
    </row>
    <row r="1433" spans="1:4" hidden="1" x14ac:dyDescent="0.3">
      <c r="A1433" t="s">
        <v>80</v>
      </c>
      <c r="B1433" t="s">
        <v>93</v>
      </c>
      <c r="D1433"/>
    </row>
    <row r="1434" spans="1:4" hidden="1" x14ac:dyDescent="0.3">
      <c r="A1434" t="s">
        <v>80</v>
      </c>
      <c r="B1434" t="s">
        <v>93</v>
      </c>
      <c r="D1434"/>
    </row>
    <row r="1435" spans="1:4" hidden="1" x14ac:dyDescent="0.3">
      <c r="A1435" t="s">
        <v>80</v>
      </c>
      <c r="B1435" t="s">
        <v>93</v>
      </c>
      <c r="D1435"/>
    </row>
    <row r="1436" spans="1:4" hidden="1" x14ac:dyDescent="0.3">
      <c r="A1436" t="s">
        <v>80</v>
      </c>
      <c r="B1436" t="s">
        <v>93</v>
      </c>
      <c r="D1436"/>
    </row>
    <row r="1437" spans="1:4" hidden="1" x14ac:dyDescent="0.3">
      <c r="A1437" t="s">
        <v>80</v>
      </c>
      <c r="B1437" t="s">
        <v>93</v>
      </c>
      <c r="D1437"/>
    </row>
    <row r="1438" spans="1:4" hidden="1" x14ac:dyDescent="0.3">
      <c r="A1438" t="s">
        <v>80</v>
      </c>
      <c r="B1438" t="s">
        <v>93</v>
      </c>
      <c r="D1438"/>
    </row>
    <row r="1439" spans="1:4" hidden="1" x14ac:dyDescent="0.3">
      <c r="A1439" t="s">
        <v>80</v>
      </c>
      <c r="B1439" t="s">
        <v>93</v>
      </c>
      <c r="D1439"/>
    </row>
    <row r="1440" spans="1:4" hidden="1" x14ac:dyDescent="0.3">
      <c r="A1440" t="s">
        <v>80</v>
      </c>
      <c r="B1440" t="s">
        <v>93</v>
      </c>
      <c r="D1440"/>
    </row>
    <row r="1441" spans="1:4" hidden="1" x14ac:dyDescent="0.3">
      <c r="A1441" t="s">
        <v>80</v>
      </c>
      <c r="B1441" t="s">
        <v>93</v>
      </c>
      <c r="D1441"/>
    </row>
    <row r="1442" spans="1:4" hidden="1" x14ac:dyDescent="0.3">
      <c r="A1442" t="s">
        <v>80</v>
      </c>
      <c r="B1442" t="s">
        <v>93</v>
      </c>
      <c r="D1442"/>
    </row>
    <row r="1443" spans="1:4" hidden="1" x14ac:dyDescent="0.3">
      <c r="A1443" t="s">
        <v>80</v>
      </c>
      <c r="B1443" t="s">
        <v>93</v>
      </c>
      <c r="D1443"/>
    </row>
    <row r="1444" spans="1:4" hidden="1" x14ac:dyDescent="0.3">
      <c r="A1444" t="s">
        <v>80</v>
      </c>
      <c r="B1444" t="s">
        <v>93</v>
      </c>
      <c r="D1444"/>
    </row>
    <row r="1445" spans="1:4" hidden="1" x14ac:dyDescent="0.3">
      <c r="A1445" t="s">
        <v>80</v>
      </c>
      <c r="B1445" t="s">
        <v>93</v>
      </c>
      <c r="D1445"/>
    </row>
    <row r="1446" spans="1:4" hidden="1" x14ac:dyDescent="0.3">
      <c r="A1446" t="s">
        <v>80</v>
      </c>
      <c r="B1446" t="s">
        <v>93</v>
      </c>
      <c r="D1446"/>
    </row>
    <row r="1447" spans="1:4" hidden="1" x14ac:dyDescent="0.3">
      <c r="A1447" t="s">
        <v>80</v>
      </c>
      <c r="B1447" t="s">
        <v>93</v>
      </c>
      <c r="D1447"/>
    </row>
    <row r="1448" spans="1:4" hidden="1" x14ac:dyDescent="0.3">
      <c r="A1448" t="s">
        <v>80</v>
      </c>
      <c r="B1448" t="s">
        <v>93</v>
      </c>
      <c r="D1448"/>
    </row>
    <row r="1449" spans="1:4" hidden="1" x14ac:dyDescent="0.3">
      <c r="A1449" t="s">
        <v>80</v>
      </c>
      <c r="B1449" t="s">
        <v>93</v>
      </c>
      <c r="D1449"/>
    </row>
    <row r="1450" spans="1:4" hidden="1" x14ac:dyDescent="0.3">
      <c r="A1450" t="s">
        <v>80</v>
      </c>
      <c r="B1450" t="s">
        <v>93</v>
      </c>
      <c r="D1450"/>
    </row>
    <row r="1451" spans="1:4" hidden="1" x14ac:dyDescent="0.3">
      <c r="A1451" t="s">
        <v>80</v>
      </c>
      <c r="B1451" t="s">
        <v>93</v>
      </c>
      <c r="D1451"/>
    </row>
    <row r="1452" spans="1:4" hidden="1" x14ac:dyDescent="0.3">
      <c r="A1452" t="s">
        <v>80</v>
      </c>
      <c r="B1452" t="s">
        <v>93</v>
      </c>
      <c r="D1452"/>
    </row>
    <row r="1453" spans="1:4" hidden="1" x14ac:dyDescent="0.3">
      <c r="A1453" t="s">
        <v>80</v>
      </c>
      <c r="B1453" t="s">
        <v>93</v>
      </c>
      <c r="D1453"/>
    </row>
    <row r="1454" spans="1:4" hidden="1" x14ac:dyDescent="0.3">
      <c r="A1454" t="s">
        <v>80</v>
      </c>
      <c r="B1454" t="s">
        <v>93</v>
      </c>
      <c r="D1454"/>
    </row>
    <row r="1455" spans="1:4" hidden="1" x14ac:dyDescent="0.3">
      <c r="A1455" t="s">
        <v>80</v>
      </c>
      <c r="B1455" t="s">
        <v>93</v>
      </c>
      <c r="D1455"/>
    </row>
    <row r="1456" spans="1:4" hidden="1" x14ac:dyDescent="0.3">
      <c r="A1456" t="s">
        <v>80</v>
      </c>
      <c r="B1456" t="s">
        <v>93</v>
      </c>
      <c r="D1456"/>
    </row>
    <row r="1457" spans="1:4" hidden="1" x14ac:dyDescent="0.3">
      <c r="A1457" t="s">
        <v>80</v>
      </c>
      <c r="B1457" t="s">
        <v>93</v>
      </c>
      <c r="D1457"/>
    </row>
    <row r="1458" spans="1:4" hidden="1" x14ac:dyDescent="0.3">
      <c r="A1458" t="s">
        <v>80</v>
      </c>
      <c r="B1458" t="s">
        <v>93</v>
      </c>
      <c r="D1458"/>
    </row>
    <row r="1459" spans="1:4" hidden="1" x14ac:dyDescent="0.3">
      <c r="A1459" t="s">
        <v>80</v>
      </c>
      <c r="B1459" t="s">
        <v>93</v>
      </c>
      <c r="D1459"/>
    </row>
    <row r="1460" spans="1:4" hidden="1" x14ac:dyDescent="0.3">
      <c r="A1460" t="s">
        <v>80</v>
      </c>
      <c r="B1460" t="s">
        <v>93</v>
      </c>
      <c r="D1460"/>
    </row>
    <row r="1461" spans="1:4" hidden="1" x14ac:dyDescent="0.3">
      <c r="A1461" t="s">
        <v>80</v>
      </c>
      <c r="B1461" t="s">
        <v>93</v>
      </c>
      <c r="D1461"/>
    </row>
    <row r="1462" spans="1:4" hidden="1" x14ac:dyDescent="0.3">
      <c r="A1462" t="s">
        <v>80</v>
      </c>
      <c r="B1462" t="s">
        <v>93</v>
      </c>
      <c r="D1462"/>
    </row>
    <row r="1463" spans="1:4" hidden="1" x14ac:dyDescent="0.3">
      <c r="A1463" t="s">
        <v>80</v>
      </c>
      <c r="B1463" t="s">
        <v>93</v>
      </c>
      <c r="D1463"/>
    </row>
    <row r="1464" spans="1:4" hidden="1" x14ac:dyDescent="0.3">
      <c r="A1464" t="s">
        <v>80</v>
      </c>
      <c r="B1464" t="s">
        <v>93</v>
      </c>
      <c r="D1464"/>
    </row>
    <row r="1465" spans="1:4" hidden="1" x14ac:dyDescent="0.3">
      <c r="A1465" t="s">
        <v>80</v>
      </c>
      <c r="B1465" t="s">
        <v>93</v>
      </c>
      <c r="D1465"/>
    </row>
    <row r="1466" spans="1:4" hidden="1" x14ac:dyDescent="0.3">
      <c r="A1466" t="s">
        <v>80</v>
      </c>
      <c r="B1466" t="s">
        <v>93</v>
      </c>
      <c r="D1466"/>
    </row>
    <row r="1467" spans="1:4" hidden="1" x14ac:dyDescent="0.3">
      <c r="A1467" t="s">
        <v>80</v>
      </c>
      <c r="B1467" t="s">
        <v>93</v>
      </c>
      <c r="D1467"/>
    </row>
    <row r="1468" spans="1:4" hidden="1" x14ac:dyDescent="0.3">
      <c r="A1468" t="s">
        <v>80</v>
      </c>
      <c r="B1468" t="s">
        <v>93</v>
      </c>
      <c r="D1468"/>
    </row>
    <row r="1469" spans="1:4" hidden="1" x14ac:dyDescent="0.3">
      <c r="A1469" t="s">
        <v>80</v>
      </c>
      <c r="B1469" t="s">
        <v>93</v>
      </c>
      <c r="D1469"/>
    </row>
    <row r="1470" spans="1:4" hidden="1" x14ac:dyDescent="0.3">
      <c r="A1470" t="s">
        <v>80</v>
      </c>
      <c r="B1470" t="s">
        <v>93</v>
      </c>
      <c r="D1470"/>
    </row>
    <row r="1471" spans="1:4" hidden="1" x14ac:dyDescent="0.3">
      <c r="A1471" t="s">
        <v>80</v>
      </c>
      <c r="B1471" t="s">
        <v>93</v>
      </c>
      <c r="D1471"/>
    </row>
    <row r="1472" spans="1:4" hidden="1" x14ac:dyDescent="0.3">
      <c r="A1472" t="s">
        <v>80</v>
      </c>
      <c r="B1472" t="s">
        <v>93</v>
      </c>
      <c r="D1472"/>
    </row>
    <row r="1473" spans="1:4" hidden="1" x14ac:dyDescent="0.3">
      <c r="A1473" t="s">
        <v>80</v>
      </c>
      <c r="B1473" t="s">
        <v>93</v>
      </c>
      <c r="D1473"/>
    </row>
    <row r="1474" spans="1:4" hidden="1" x14ac:dyDescent="0.3">
      <c r="A1474" t="s">
        <v>80</v>
      </c>
      <c r="B1474" t="s">
        <v>93</v>
      </c>
      <c r="D1474"/>
    </row>
    <row r="1475" spans="1:4" hidden="1" x14ac:dyDescent="0.3">
      <c r="A1475" t="s">
        <v>80</v>
      </c>
      <c r="B1475" t="s">
        <v>93</v>
      </c>
      <c r="D1475"/>
    </row>
    <row r="1476" spans="1:4" hidden="1" x14ac:dyDescent="0.3">
      <c r="A1476" t="s">
        <v>80</v>
      </c>
      <c r="B1476" t="s">
        <v>93</v>
      </c>
      <c r="D1476"/>
    </row>
    <row r="1477" spans="1:4" hidden="1" x14ac:dyDescent="0.3">
      <c r="A1477" t="s">
        <v>80</v>
      </c>
      <c r="B1477" t="s">
        <v>93</v>
      </c>
      <c r="D1477"/>
    </row>
    <row r="1478" spans="1:4" hidden="1" x14ac:dyDescent="0.3">
      <c r="A1478" t="s">
        <v>80</v>
      </c>
      <c r="B1478" t="s">
        <v>93</v>
      </c>
      <c r="D1478"/>
    </row>
    <row r="1479" spans="1:4" hidden="1" x14ac:dyDescent="0.3">
      <c r="A1479" t="s">
        <v>80</v>
      </c>
      <c r="B1479" t="s">
        <v>93</v>
      </c>
      <c r="D1479"/>
    </row>
    <row r="1480" spans="1:4" hidden="1" x14ac:dyDescent="0.3">
      <c r="A1480" t="s">
        <v>80</v>
      </c>
      <c r="B1480" t="s">
        <v>93</v>
      </c>
      <c r="D1480"/>
    </row>
    <row r="1481" spans="1:4" hidden="1" x14ac:dyDescent="0.3">
      <c r="A1481" t="s">
        <v>80</v>
      </c>
      <c r="B1481" t="s">
        <v>93</v>
      </c>
      <c r="D1481"/>
    </row>
    <row r="1482" spans="1:4" hidden="1" x14ac:dyDescent="0.3">
      <c r="A1482" t="s">
        <v>80</v>
      </c>
      <c r="B1482" t="s">
        <v>93</v>
      </c>
      <c r="D1482"/>
    </row>
    <row r="1483" spans="1:4" hidden="1" x14ac:dyDescent="0.3">
      <c r="A1483" t="s">
        <v>80</v>
      </c>
      <c r="B1483" t="s">
        <v>93</v>
      </c>
      <c r="D1483"/>
    </row>
    <row r="1484" spans="1:4" hidden="1" x14ac:dyDescent="0.3">
      <c r="A1484" t="s">
        <v>80</v>
      </c>
      <c r="B1484" t="s">
        <v>93</v>
      </c>
      <c r="D1484"/>
    </row>
    <row r="1485" spans="1:4" hidden="1" x14ac:dyDescent="0.3">
      <c r="A1485" t="s">
        <v>80</v>
      </c>
      <c r="B1485" t="s">
        <v>93</v>
      </c>
      <c r="D1485"/>
    </row>
    <row r="1486" spans="1:4" hidden="1" x14ac:dyDescent="0.3">
      <c r="A1486" t="s">
        <v>80</v>
      </c>
      <c r="B1486" t="s">
        <v>93</v>
      </c>
      <c r="D1486"/>
    </row>
    <row r="1487" spans="1:4" hidden="1" x14ac:dyDescent="0.3">
      <c r="A1487" t="s">
        <v>80</v>
      </c>
      <c r="B1487" t="s">
        <v>93</v>
      </c>
      <c r="D1487"/>
    </row>
    <row r="1488" spans="1:4" hidden="1" x14ac:dyDescent="0.3">
      <c r="A1488" t="s">
        <v>80</v>
      </c>
      <c r="B1488" t="s">
        <v>93</v>
      </c>
      <c r="D1488"/>
    </row>
    <row r="1489" spans="1:4" hidden="1" x14ac:dyDescent="0.3">
      <c r="A1489" t="s">
        <v>80</v>
      </c>
      <c r="B1489" t="s">
        <v>93</v>
      </c>
      <c r="D1489"/>
    </row>
    <row r="1490" spans="1:4" hidden="1" x14ac:dyDescent="0.3">
      <c r="A1490" t="s">
        <v>80</v>
      </c>
      <c r="B1490" t="s">
        <v>93</v>
      </c>
      <c r="D1490"/>
    </row>
    <row r="1491" spans="1:4" hidden="1" x14ac:dyDescent="0.3">
      <c r="A1491" t="s">
        <v>80</v>
      </c>
      <c r="B1491" t="s">
        <v>93</v>
      </c>
      <c r="D1491"/>
    </row>
    <row r="1492" spans="1:4" hidden="1" x14ac:dyDescent="0.3">
      <c r="A1492" t="s">
        <v>80</v>
      </c>
      <c r="B1492" t="s">
        <v>93</v>
      </c>
      <c r="D1492"/>
    </row>
    <row r="1493" spans="1:4" hidden="1" x14ac:dyDescent="0.3">
      <c r="A1493" t="s">
        <v>80</v>
      </c>
      <c r="B1493" t="s">
        <v>93</v>
      </c>
      <c r="D1493"/>
    </row>
    <row r="1494" spans="1:4" hidden="1" x14ac:dyDescent="0.3">
      <c r="A1494" t="s">
        <v>80</v>
      </c>
      <c r="B1494" t="s">
        <v>93</v>
      </c>
      <c r="D1494"/>
    </row>
    <row r="1495" spans="1:4" hidden="1" x14ac:dyDescent="0.3">
      <c r="A1495" t="s">
        <v>80</v>
      </c>
      <c r="B1495" t="s">
        <v>93</v>
      </c>
      <c r="D1495"/>
    </row>
    <row r="1496" spans="1:4" hidden="1" x14ac:dyDescent="0.3">
      <c r="A1496" t="s">
        <v>80</v>
      </c>
      <c r="B1496" t="s">
        <v>93</v>
      </c>
      <c r="D1496"/>
    </row>
    <row r="1497" spans="1:4" hidden="1" x14ac:dyDescent="0.3">
      <c r="A1497" t="s">
        <v>80</v>
      </c>
      <c r="B1497" t="s">
        <v>93</v>
      </c>
      <c r="D1497"/>
    </row>
    <row r="1498" spans="1:4" hidden="1" x14ac:dyDescent="0.3">
      <c r="A1498" t="s">
        <v>80</v>
      </c>
      <c r="B1498" t="s">
        <v>93</v>
      </c>
      <c r="D1498"/>
    </row>
    <row r="1499" spans="1:4" hidden="1" x14ac:dyDescent="0.3">
      <c r="A1499" t="s">
        <v>80</v>
      </c>
      <c r="B1499" t="s">
        <v>93</v>
      </c>
      <c r="D1499"/>
    </row>
    <row r="1500" spans="1:4" hidden="1" x14ac:dyDescent="0.3">
      <c r="A1500" t="s">
        <v>80</v>
      </c>
      <c r="B1500" t="s">
        <v>93</v>
      </c>
      <c r="D1500"/>
    </row>
    <row r="1501" spans="1:4" hidden="1" x14ac:dyDescent="0.3">
      <c r="A1501" t="s">
        <v>80</v>
      </c>
      <c r="B1501" t="s">
        <v>93</v>
      </c>
      <c r="D1501"/>
    </row>
    <row r="1502" spans="1:4" hidden="1" x14ac:dyDescent="0.3">
      <c r="A1502" t="s">
        <v>80</v>
      </c>
      <c r="B1502" t="s">
        <v>93</v>
      </c>
      <c r="D1502"/>
    </row>
    <row r="1503" spans="1:4" hidden="1" x14ac:dyDescent="0.3">
      <c r="A1503" t="s">
        <v>80</v>
      </c>
      <c r="B1503" t="s">
        <v>93</v>
      </c>
      <c r="D1503"/>
    </row>
    <row r="1504" spans="1:4" hidden="1" x14ac:dyDescent="0.3">
      <c r="A1504" t="s">
        <v>80</v>
      </c>
      <c r="B1504" t="s">
        <v>93</v>
      </c>
      <c r="D1504"/>
    </row>
    <row r="1505" spans="1:4" hidden="1" x14ac:dyDescent="0.3">
      <c r="A1505" t="s">
        <v>80</v>
      </c>
      <c r="B1505" t="s">
        <v>93</v>
      </c>
      <c r="D1505"/>
    </row>
    <row r="1506" spans="1:4" hidden="1" x14ac:dyDescent="0.3">
      <c r="A1506" t="s">
        <v>80</v>
      </c>
      <c r="B1506" t="s">
        <v>93</v>
      </c>
      <c r="D1506"/>
    </row>
    <row r="1507" spans="1:4" hidden="1" x14ac:dyDescent="0.3">
      <c r="A1507" t="s">
        <v>80</v>
      </c>
      <c r="B1507" t="s">
        <v>93</v>
      </c>
      <c r="D1507"/>
    </row>
    <row r="1508" spans="1:4" hidden="1" x14ac:dyDescent="0.3">
      <c r="A1508" t="s">
        <v>80</v>
      </c>
      <c r="B1508" t="s">
        <v>93</v>
      </c>
      <c r="D1508"/>
    </row>
    <row r="1509" spans="1:4" hidden="1" x14ac:dyDescent="0.3">
      <c r="A1509" t="s">
        <v>80</v>
      </c>
      <c r="B1509" t="s">
        <v>93</v>
      </c>
      <c r="D1509"/>
    </row>
    <row r="1510" spans="1:4" hidden="1" x14ac:dyDescent="0.3">
      <c r="A1510" t="s">
        <v>80</v>
      </c>
      <c r="B1510" t="s">
        <v>93</v>
      </c>
      <c r="D1510"/>
    </row>
    <row r="1511" spans="1:4" hidden="1" x14ac:dyDescent="0.3">
      <c r="A1511" t="s">
        <v>80</v>
      </c>
      <c r="B1511" t="s">
        <v>93</v>
      </c>
      <c r="D1511"/>
    </row>
    <row r="1512" spans="1:4" hidden="1" x14ac:dyDescent="0.3">
      <c r="A1512" t="s">
        <v>80</v>
      </c>
      <c r="B1512" t="s">
        <v>93</v>
      </c>
      <c r="D1512"/>
    </row>
    <row r="1513" spans="1:4" hidden="1" x14ac:dyDescent="0.3">
      <c r="A1513" t="s">
        <v>80</v>
      </c>
      <c r="B1513" t="s">
        <v>93</v>
      </c>
      <c r="D1513"/>
    </row>
    <row r="1514" spans="1:4" hidden="1" x14ac:dyDescent="0.3">
      <c r="A1514" t="s">
        <v>80</v>
      </c>
      <c r="B1514" t="s">
        <v>93</v>
      </c>
      <c r="D1514"/>
    </row>
    <row r="1515" spans="1:4" hidden="1" x14ac:dyDescent="0.3">
      <c r="A1515" t="s">
        <v>80</v>
      </c>
      <c r="B1515" t="s">
        <v>93</v>
      </c>
      <c r="D1515"/>
    </row>
    <row r="1516" spans="1:4" hidden="1" x14ac:dyDescent="0.3">
      <c r="A1516" t="s">
        <v>80</v>
      </c>
      <c r="B1516" t="s">
        <v>93</v>
      </c>
      <c r="D1516"/>
    </row>
    <row r="1517" spans="1:4" hidden="1" x14ac:dyDescent="0.3">
      <c r="A1517" t="s">
        <v>80</v>
      </c>
      <c r="B1517" t="s">
        <v>93</v>
      </c>
      <c r="D1517"/>
    </row>
    <row r="1518" spans="1:4" hidden="1" x14ac:dyDescent="0.3">
      <c r="A1518" t="s">
        <v>80</v>
      </c>
      <c r="B1518" t="s">
        <v>93</v>
      </c>
      <c r="D1518"/>
    </row>
    <row r="1519" spans="1:4" hidden="1" x14ac:dyDescent="0.3">
      <c r="A1519" t="s">
        <v>80</v>
      </c>
      <c r="B1519" t="s">
        <v>93</v>
      </c>
      <c r="D1519"/>
    </row>
    <row r="1520" spans="1:4" hidden="1" x14ac:dyDescent="0.3">
      <c r="A1520" t="s">
        <v>80</v>
      </c>
      <c r="B1520" t="s">
        <v>93</v>
      </c>
      <c r="D1520"/>
    </row>
    <row r="1521" spans="1:4" hidden="1" x14ac:dyDescent="0.3">
      <c r="A1521" t="s">
        <v>80</v>
      </c>
      <c r="B1521" t="s">
        <v>93</v>
      </c>
      <c r="D1521"/>
    </row>
    <row r="1522" spans="1:4" hidden="1" x14ac:dyDescent="0.3">
      <c r="A1522" t="s">
        <v>80</v>
      </c>
      <c r="B1522" t="s">
        <v>93</v>
      </c>
      <c r="D1522"/>
    </row>
    <row r="1523" spans="1:4" hidden="1" x14ac:dyDescent="0.3">
      <c r="A1523" t="s">
        <v>80</v>
      </c>
      <c r="B1523" t="s">
        <v>93</v>
      </c>
      <c r="D1523"/>
    </row>
    <row r="1524" spans="1:4" hidden="1" x14ac:dyDescent="0.3">
      <c r="A1524" t="s">
        <v>80</v>
      </c>
      <c r="B1524" t="s">
        <v>93</v>
      </c>
      <c r="D1524"/>
    </row>
    <row r="1525" spans="1:4" hidden="1" x14ac:dyDescent="0.3">
      <c r="A1525" t="s">
        <v>80</v>
      </c>
      <c r="B1525" t="s">
        <v>93</v>
      </c>
      <c r="D1525"/>
    </row>
    <row r="1526" spans="1:4" hidden="1" x14ac:dyDescent="0.3">
      <c r="A1526" t="s">
        <v>80</v>
      </c>
      <c r="B1526" t="s">
        <v>93</v>
      </c>
      <c r="D1526"/>
    </row>
    <row r="1527" spans="1:4" hidden="1" x14ac:dyDescent="0.3">
      <c r="A1527" t="s">
        <v>80</v>
      </c>
      <c r="B1527" t="s">
        <v>93</v>
      </c>
      <c r="D1527"/>
    </row>
    <row r="1528" spans="1:4" hidden="1" x14ac:dyDescent="0.3">
      <c r="A1528" t="s">
        <v>80</v>
      </c>
      <c r="B1528" t="s">
        <v>93</v>
      </c>
      <c r="D1528"/>
    </row>
    <row r="1529" spans="1:4" hidden="1" x14ac:dyDescent="0.3">
      <c r="A1529" t="s">
        <v>80</v>
      </c>
      <c r="B1529" t="s">
        <v>93</v>
      </c>
      <c r="D1529"/>
    </row>
    <row r="1530" spans="1:4" hidden="1" x14ac:dyDescent="0.3">
      <c r="A1530" t="s">
        <v>80</v>
      </c>
      <c r="B1530" t="s">
        <v>93</v>
      </c>
      <c r="D1530"/>
    </row>
    <row r="1531" spans="1:4" hidden="1" x14ac:dyDescent="0.3">
      <c r="A1531" t="s">
        <v>80</v>
      </c>
      <c r="B1531" t="s">
        <v>93</v>
      </c>
      <c r="D1531"/>
    </row>
    <row r="1532" spans="1:4" hidden="1" x14ac:dyDescent="0.3">
      <c r="A1532" t="s">
        <v>80</v>
      </c>
      <c r="B1532" t="s">
        <v>93</v>
      </c>
      <c r="D1532"/>
    </row>
    <row r="1533" spans="1:4" hidden="1" x14ac:dyDescent="0.3">
      <c r="A1533" t="s">
        <v>80</v>
      </c>
      <c r="B1533" t="s">
        <v>93</v>
      </c>
      <c r="D1533"/>
    </row>
    <row r="1534" spans="1:4" hidden="1" x14ac:dyDescent="0.3">
      <c r="A1534" t="s">
        <v>80</v>
      </c>
      <c r="B1534" t="s">
        <v>93</v>
      </c>
      <c r="D1534"/>
    </row>
    <row r="1535" spans="1:4" hidden="1" x14ac:dyDescent="0.3">
      <c r="A1535" t="s">
        <v>80</v>
      </c>
      <c r="B1535" t="s">
        <v>93</v>
      </c>
      <c r="D1535"/>
    </row>
    <row r="1536" spans="1:4" hidden="1" x14ac:dyDescent="0.3">
      <c r="A1536" t="s">
        <v>80</v>
      </c>
      <c r="B1536" t="s">
        <v>93</v>
      </c>
      <c r="D1536"/>
    </row>
    <row r="1537" spans="1:4" hidden="1" x14ac:dyDescent="0.3">
      <c r="A1537" t="s">
        <v>80</v>
      </c>
      <c r="B1537" t="s">
        <v>93</v>
      </c>
      <c r="D1537"/>
    </row>
    <row r="1538" spans="1:4" hidden="1" x14ac:dyDescent="0.3">
      <c r="A1538" t="s">
        <v>80</v>
      </c>
      <c r="B1538" t="s">
        <v>93</v>
      </c>
      <c r="D1538"/>
    </row>
    <row r="1539" spans="1:4" hidden="1" x14ac:dyDescent="0.3">
      <c r="A1539" t="s">
        <v>80</v>
      </c>
      <c r="B1539" t="s">
        <v>93</v>
      </c>
      <c r="D1539"/>
    </row>
    <row r="1540" spans="1:4" hidden="1" x14ac:dyDescent="0.3">
      <c r="A1540" t="s">
        <v>80</v>
      </c>
      <c r="B1540" t="s">
        <v>93</v>
      </c>
      <c r="D1540"/>
    </row>
    <row r="1541" spans="1:4" hidden="1" x14ac:dyDescent="0.3">
      <c r="A1541" t="s">
        <v>80</v>
      </c>
      <c r="B1541" t="s">
        <v>93</v>
      </c>
      <c r="D1541"/>
    </row>
    <row r="1542" spans="1:4" hidden="1" x14ac:dyDescent="0.3">
      <c r="A1542" t="s">
        <v>80</v>
      </c>
      <c r="B1542" t="s">
        <v>93</v>
      </c>
      <c r="D1542"/>
    </row>
    <row r="1543" spans="1:4" hidden="1" x14ac:dyDescent="0.3">
      <c r="A1543" t="s">
        <v>80</v>
      </c>
      <c r="B1543" t="s">
        <v>93</v>
      </c>
      <c r="D1543"/>
    </row>
    <row r="1544" spans="1:4" hidden="1" x14ac:dyDescent="0.3">
      <c r="A1544" t="s">
        <v>80</v>
      </c>
      <c r="B1544" t="s">
        <v>93</v>
      </c>
      <c r="D1544"/>
    </row>
    <row r="1545" spans="1:4" hidden="1" x14ac:dyDescent="0.3">
      <c r="A1545" t="s">
        <v>80</v>
      </c>
      <c r="B1545" t="s">
        <v>93</v>
      </c>
      <c r="D1545"/>
    </row>
    <row r="1546" spans="1:4" hidden="1" x14ac:dyDescent="0.3">
      <c r="A1546" t="s">
        <v>80</v>
      </c>
      <c r="B1546" t="s">
        <v>93</v>
      </c>
      <c r="D1546"/>
    </row>
    <row r="1547" spans="1:4" hidden="1" x14ac:dyDescent="0.3">
      <c r="A1547" t="s">
        <v>80</v>
      </c>
      <c r="B1547" t="s">
        <v>93</v>
      </c>
      <c r="D1547"/>
    </row>
    <row r="1548" spans="1:4" hidden="1" x14ac:dyDescent="0.3">
      <c r="A1548" t="s">
        <v>80</v>
      </c>
      <c r="B1548" t="s">
        <v>93</v>
      </c>
      <c r="D1548"/>
    </row>
    <row r="1549" spans="1:4" hidden="1" x14ac:dyDescent="0.3">
      <c r="A1549" t="s">
        <v>80</v>
      </c>
      <c r="B1549" t="s">
        <v>93</v>
      </c>
      <c r="D1549"/>
    </row>
    <row r="1550" spans="1:4" hidden="1" x14ac:dyDescent="0.3">
      <c r="A1550" t="s">
        <v>80</v>
      </c>
      <c r="B1550" t="s">
        <v>93</v>
      </c>
      <c r="D1550"/>
    </row>
    <row r="1551" spans="1:4" hidden="1" x14ac:dyDescent="0.3">
      <c r="A1551" t="s">
        <v>80</v>
      </c>
      <c r="B1551" t="s">
        <v>93</v>
      </c>
      <c r="D1551"/>
    </row>
    <row r="1552" spans="1:4" hidden="1" x14ac:dyDescent="0.3">
      <c r="A1552" t="s">
        <v>80</v>
      </c>
      <c r="B1552" t="s">
        <v>93</v>
      </c>
      <c r="D1552"/>
    </row>
    <row r="1553" spans="1:4" hidden="1" x14ac:dyDescent="0.3">
      <c r="A1553" t="s">
        <v>80</v>
      </c>
      <c r="B1553" t="s">
        <v>93</v>
      </c>
      <c r="D1553"/>
    </row>
    <row r="1554" spans="1:4" hidden="1" x14ac:dyDescent="0.3">
      <c r="A1554" t="s">
        <v>80</v>
      </c>
      <c r="B1554" t="s">
        <v>93</v>
      </c>
      <c r="D1554"/>
    </row>
    <row r="1555" spans="1:4" hidden="1" x14ac:dyDescent="0.3">
      <c r="A1555" t="s">
        <v>80</v>
      </c>
      <c r="B1555" t="s">
        <v>93</v>
      </c>
      <c r="D1555"/>
    </row>
    <row r="1556" spans="1:4" hidden="1" x14ac:dyDescent="0.3">
      <c r="A1556" t="s">
        <v>80</v>
      </c>
      <c r="B1556" t="s">
        <v>93</v>
      </c>
      <c r="D1556"/>
    </row>
    <row r="1557" spans="1:4" hidden="1" x14ac:dyDescent="0.3">
      <c r="A1557" t="s">
        <v>80</v>
      </c>
      <c r="B1557" t="s">
        <v>93</v>
      </c>
      <c r="D1557"/>
    </row>
    <row r="1558" spans="1:4" hidden="1" x14ac:dyDescent="0.3">
      <c r="A1558" t="s">
        <v>80</v>
      </c>
      <c r="B1558" t="s">
        <v>93</v>
      </c>
      <c r="D1558"/>
    </row>
    <row r="1559" spans="1:4" hidden="1" x14ac:dyDescent="0.3">
      <c r="A1559" t="s">
        <v>80</v>
      </c>
      <c r="B1559" t="s">
        <v>93</v>
      </c>
      <c r="D1559"/>
    </row>
    <row r="1560" spans="1:4" hidden="1" x14ac:dyDescent="0.3">
      <c r="A1560" t="s">
        <v>80</v>
      </c>
      <c r="B1560" t="s">
        <v>93</v>
      </c>
      <c r="D1560"/>
    </row>
    <row r="1561" spans="1:4" hidden="1" x14ac:dyDescent="0.3">
      <c r="A1561" t="s">
        <v>80</v>
      </c>
      <c r="B1561" t="s">
        <v>93</v>
      </c>
      <c r="D1561"/>
    </row>
    <row r="1562" spans="1:4" hidden="1" x14ac:dyDescent="0.3">
      <c r="A1562" t="s">
        <v>80</v>
      </c>
      <c r="B1562" t="s">
        <v>93</v>
      </c>
      <c r="D1562"/>
    </row>
    <row r="1563" spans="1:4" hidden="1" x14ac:dyDescent="0.3">
      <c r="A1563" t="s">
        <v>80</v>
      </c>
      <c r="B1563" t="s">
        <v>93</v>
      </c>
      <c r="D1563"/>
    </row>
    <row r="1564" spans="1:4" hidden="1" x14ac:dyDescent="0.3">
      <c r="A1564" t="s">
        <v>80</v>
      </c>
      <c r="B1564" t="s">
        <v>93</v>
      </c>
      <c r="D1564"/>
    </row>
    <row r="1565" spans="1:4" hidden="1" x14ac:dyDescent="0.3">
      <c r="A1565" t="s">
        <v>80</v>
      </c>
      <c r="B1565" t="s">
        <v>93</v>
      </c>
      <c r="D1565"/>
    </row>
    <row r="1566" spans="1:4" hidden="1" x14ac:dyDescent="0.3">
      <c r="A1566" t="s">
        <v>80</v>
      </c>
      <c r="B1566" t="s">
        <v>93</v>
      </c>
      <c r="D1566"/>
    </row>
    <row r="1567" spans="1:4" hidden="1" x14ac:dyDescent="0.3">
      <c r="A1567" t="s">
        <v>80</v>
      </c>
      <c r="B1567" t="s">
        <v>93</v>
      </c>
      <c r="D1567"/>
    </row>
    <row r="1568" spans="1:4" hidden="1" x14ac:dyDescent="0.3">
      <c r="A1568" t="s">
        <v>80</v>
      </c>
      <c r="B1568" t="s">
        <v>93</v>
      </c>
      <c r="D1568"/>
    </row>
    <row r="1569" spans="1:4" hidden="1" x14ac:dyDescent="0.3">
      <c r="A1569" t="s">
        <v>80</v>
      </c>
      <c r="B1569" t="s">
        <v>93</v>
      </c>
      <c r="D1569"/>
    </row>
    <row r="1570" spans="1:4" hidden="1" x14ac:dyDescent="0.3">
      <c r="A1570" t="s">
        <v>80</v>
      </c>
      <c r="B1570" t="s">
        <v>93</v>
      </c>
      <c r="D1570"/>
    </row>
    <row r="1571" spans="1:4" hidden="1" x14ac:dyDescent="0.3">
      <c r="A1571" t="s">
        <v>80</v>
      </c>
      <c r="B1571" t="s">
        <v>93</v>
      </c>
      <c r="D1571"/>
    </row>
    <row r="1572" spans="1:4" hidden="1" x14ac:dyDescent="0.3">
      <c r="A1572" t="s">
        <v>80</v>
      </c>
      <c r="B1572" t="s">
        <v>93</v>
      </c>
      <c r="D1572"/>
    </row>
    <row r="1573" spans="1:4" hidden="1" x14ac:dyDescent="0.3">
      <c r="A1573" t="s">
        <v>80</v>
      </c>
      <c r="B1573" t="s">
        <v>93</v>
      </c>
      <c r="D1573"/>
    </row>
    <row r="1574" spans="1:4" hidden="1" x14ac:dyDescent="0.3">
      <c r="A1574" t="s">
        <v>80</v>
      </c>
      <c r="B1574" t="s">
        <v>93</v>
      </c>
      <c r="D1574"/>
    </row>
    <row r="1575" spans="1:4" hidden="1" x14ac:dyDescent="0.3">
      <c r="A1575" t="s">
        <v>80</v>
      </c>
      <c r="B1575" t="s">
        <v>93</v>
      </c>
      <c r="D1575"/>
    </row>
    <row r="1576" spans="1:4" hidden="1" x14ac:dyDescent="0.3">
      <c r="C1576" s="108"/>
      <c r="D1576" s="2"/>
    </row>
    <row r="1577" spans="1:4" hidden="1" x14ac:dyDescent="0.3">
      <c r="C1577" s="108"/>
      <c r="D1577" s="2"/>
    </row>
    <row r="1578" spans="1:4" hidden="1" x14ac:dyDescent="0.3">
      <c r="D1578"/>
    </row>
    <row r="1579" spans="1:4" hidden="1" x14ac:dyDescent="0.3">
      <c r="D1579"/>
    </row>
    <row r="1580" spans="1:4" hidden="1" x14ac:dyDescent="0.3">
      <c r="D1580"/>
    </row>
    <row r="1581" spans="1:4" hidden="1" x14ac:dyDescent="0.3">
      <c r="D1581"/>
    </row>
    <row r="1582" spans="1:4" hidden="1" x14ac:dyDescent="0.3">
      <c r="A1582" t="s">
        <v>91</v>
      </c>
      <c r="B1582" t="s">
        <v>93</v>
      </c>
    </row>
    <row r="1583" spans="1:4" hidden="1" x14ac:dyDescent="0.3">
      <c r="A1583" t="s">
        <v>91</v>
      </c>
      <c r="B1583" t="s">
        <v>93</v>
      </c>
    </row>
    <row r="1584" spans="1:4" hidden="1" x14ac:dyDescent="0.3">
      <c r="A1584" t="s">
        <v>91</v>
      </c>
      <c r="B1584" t="s">
        <v>93</v>
      </c>
    </row>
    <row r="1585" spans="1:4" x14ac:dyDescent="0.3">
      <c r="A1585" t="s">
        <v>91</v>
      </c>
      <c r="B1585" t="s">
        <v>93</v>
      </c>
      <c r="C1585" s="108"/>
      <c r="D1585" s="2"/>
    </row>
    <row r="1586" spans="1:4" x14ac:dyDescent="0.3">
      <c r="A1586" t="s">
        <v>91</v>
      </c>
      <c r="B1586" t="s">
        <v>93</v>
      </c>
      <c r="C1586" s="108"/>
      <c r="D1586" s="2"/>
    </row>
    <row r="1587" spans="1:4" x14ac:dyDescent="0.3">
      <c r="A1587" t="s">
        <v>91</v>
      </c>
      <c r="B1587" t="s">
        <v>93</v>
      </c>
      <c r="D1587"/>
    </row>
    <row r="1588" spans="1:4" x14ac:dyDescent="0.3">
      <c r="A1588" t="s">
        <v>91</v>
      </c>
      <c r="B1588" t="s">
        <v>93</v>
      </c>
      <c r="D1588"/>
    </row>
    <row r="1589" spans="1:4" x14ac:dyDescent="0.3">
      <c r="A1589" t="s">
        <v>91</v>
      </c>
      <c r="B1589" t="s">
        <v>93</v>
      </c>
      <c r="D1589"/>
    </row>
    <row r="1590" spans="1:4" x14ac:dyDescent="0.3">
      <c r="A1590" t="s">
        <v>91</v>
      </c>
      <c r="B1590" t="s">
        <v>93</v>
      </c>
      <c r="D1590"/>
    </row>
  </sheetData>
  <autoFilter ref="A1:D1590" xr:uid="{00000000-0001-0000-0A00-000000000000}">
    <filterColumn colId="2">
      <customFilters>
        <customFilter operator="notEqual" val=" "/>
      </customFilters>
    </filterColumn>
  </autoFilter>
  <sortState xmlns:xlrd2="http://schemas.microsoft.com/office/spreadsheetml/2017/richdata2" ref="A2:D1165">
    <sortCondition ref="A2:A1165"/>
    <sortCondition ref="B2:B1165"/>
  </sortState>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M44"/>
  <sheetViews>
    <sheetView topLeftCell="A2" zoomScaleNormal="100" workbookViewId="0">
      <selection activeCell="K12" sqref="K12"/>
    </sheetView>
  </sheetViews>
  <sheetFormatPr defaultRowHeight="14.4" x14ac:dyDescent="0.3"/>
  <cols>
    <col min="1" max="1" width="12.44140625" bestFit="1" customWidth="1"/>
    <col min="2" max="2" width="20" style="44" bestFit="1" customWidth="1"/>
    <col min="3" max="3" width="29.44140625" style="77" hidden="1" customWidth="1"/>
    <col min="4" max="4" width="21" hidden="1" customWidth="1"/>
    <col min="5" max="5" width="29.44140625" hidden="1" customWidth="1"/>
    <col min="6" max="6" width="21" hidden="1" customWidth="1"/>
    <col min="7" max="7" width="29.44140625" hidden="1" customWidth="1"/>
    <col min="8" max="8" width="21" hidden="1" customWidth="1"/>
    <col min="9" max="9" width="29.44140625" hidden="1" customWidth="1"/>
    <col min="10" max="10" width="24.88671875" bestFit="1" customWidth="1"/>
    <col min="11" max="11" width="32.44140625" bestFit="1" customWidth="1"/>
    <col min="12" max="12" width="26.109375" bestFit="1" customWidth="1"/>
    <col min="13" max="13" width="34.5546875" bestFit="1" customWidth="1"/>
  </cols>
  <sheetData>
    <row r="1" spans="1:13" x14ac:dyDescent="0.3">
      <c r="B1" s="89" t="s">
        <v>83</v>
      </c>
      <c r="C1"/>
    </row>
    <row r="2" spans="1:13" x14ac:dyDescent="0.3">
      <c r="B2" t="s">
        <v>90</v>
      </c>
      <c r="C2"/>
      <c r="D2" t="s">
        <v>27</v>
      </c>
      <c r="F2" t="s">
        <v>93</v>
      </c>
      <c r="H2" t="s">
        <v>89</v>
      </c>
      <c r="J2" t="s">
        <v>86</v>
      </c>
      <c r="K2" t="s">
        <v>85</v>
      </c>
    </row>
    <row r="3" spans="1:13" x14ac:dyDescent="0.3">
      <c r="A3" s="89" t="s">
        <v>81</v>
      </c>
      <c r="B3" t="s">
        <v>87</v>
      </c>
      <c r="C3" t="s">
        <v>84</v>
      </c>
      <c r="D3" t="s">
        <v>87</v>
      </c>
      <c r="E3" t="s">
        <v>84</v>
      </c>
      <c r="F3" t="s">
        <v>87</v>
      </c>
      <c r="G3" t="s">
        <v>84</v>
      </c>
      <c r="H3" t="s">
        <v>87</v>
      </c>
      <c r="I3" t="s">
        <v>84</v>
      </c>
    </row>
    <row r="4" spans="1:13" x14ac:dyDescent="0.3">
      <c r="A4" s="105" t="s">
        <v>91</v>
      </c>
      <c r="B4"/>
      <c r="C4">
        <v>0</v>
      </c>
      <c r="K4" s="90">
        <v>0</v>
      </c>
    </row>
    <row r="5" spans="1:13" x14ac:dyDescent="0.3">
      <c r="A5" s="105" t="s">
        <v>80</v>
      </c>
      <c r="B5"/>
      <c r="C5"/>
      <c r="K5" s="90"/>
    </row>
    <row r="6" spans="1:13" x14ac:dyDescent="0.3">
      <c r="A6" s="105" t="s">
        <v>79</v>
      </c>
      <c r="B6" s="172"/>
      <c r="C6"/>
      <c r="K6" s="90"/>
    </row>
    <row r="7" spans="1:13" x14ac:dyDescent="0.3">
      <c r="A7" s="105" t="s">
        <v>88</v>
      </c>
      <c r="B7"/>
      <c r="C7"/>
      <c r="K7" s="90"/>
    </row>
    <row r="8" spans="1:13" x14ac:dyDescent="0.3">
      <c r="A8" s="105" t="s">
        <v>89</v>
      </c>
      <c r="B8"/>
      <c r="C8"/>
      <c r="K8" s="90"/>
    </row>
    <row r="9" spans="1:13" x14ac:dyDescent="0.3">
      <c r="A9" s="105" t="s">
        <v>82</v>
      </c>
      <c r="B9"/>
      <c r="C9">
        <v>0</v>
      </c>
      <c r="K9" s="90">
        <v>0</v>
      </c>
    </row>
    <row r="10" spans="1:13" x14ac:dyDescent="0.3">
      <c r="B10"/>
      <c r="C10"/>
    </row>
    <row r="11" spans="1:13" x14ac:dyDescent="0.3">
      <c r="B11"/>
      <c r="C11"/>
    </row>
    <row r="12" spans="1:13" x14ac:dyDescent="0.3">
      <c r="B12"/>
      <c r="C12"/>
      <c r="K12" s="5">
        <f>Details!S37</f>
        <v>0</v>
      </c>
      <c r="M12" s="25">
        <f>GETPIVOTDATA("Sum of Notional amount in USD",$A$1)-K12</f>
        <v>0</v>
      </c>
    </row>
    <row r="13" spans="1:13" x14ac:dyDescent="0.3">
      <c r="B13"/>
      <c r="C13"/>
    </row>
    <row r="14" spans="1:13" x14ac:dyDescent="0.3">
      <c r="B14"/>
      <c r="C14"/>
    </row>
    <row r="15" spans="1:13" hidden="1" x14ac:dyDescent="0.3">
      <c r="B15"/>
      <c r="C15"/>
    </row>
    <row r="16" spans="1:13" hidden="1" x14ac:dyDescent="0.3">
      <c r="B16"/>
      <c r="C16"/>
    </row>
    <row r="17" spans="1:3" hidden="1" x14ac:dyDescent="0.3">
      <c r="B17"/>
      <c r="C17"/>
    </row>
    <row r="18" spans="1:3" hidden="1" x14ac:dyDescent="0.3">
      <c r="B18"/>
      <c r="C18"/>
    </row>
    <row r="19" spans="1:3" hidden="1" x14ac:dyDescent="0.3"/>
    <row r="21" spans="1:3" x14ac:dyDescent="0.3">
      <c r="A21" s="89" t="s">
        <v>81</v>
      </c>
      <c r="B21" t="s">
        <v>87</v>
      </c>
      <c r="C21"/>
    </row>
    <row r="22" spans="1:3" x14ac:dyDescent="0.3">
      <c r="A22" s="105" t="s">
        <v>91</v>
      </c>
      <c r="B22"/>
      <c r="C22"/>
    </row>
    <row r="23" spans="1:3" x14ac:dyDescent="0.3">
      <c r="A23" s="143" t="s">
        <v>89</v>
      </c>
      <c r="B23"/>
      <c r="C23"/>
    </row>
    <row r="24" spans="1:3" x14ac:dyDescent="0.3">
      <c r="A24" s="105" t="s">
        <v>80</v>
      </c>
      <c r="B24"/>
      <c r="C24"/>
    </row>
    <row r="25" spans="1:3" x14ac:dyDescent="0.3">
      <c r="A25" s="143" t="s">
        <v>89</v>
      </c>
      <c r="B25"/>
      <c r="C25"/>
    </row>
    <row r="26" spans="1:3" x14ac:dyDescent="0.3">
      <c r="A26" s="105" t="s">
        <v>79</v>
      </c>
      <c r="B26"/>
      <c r="C26"/>
    </row>
    <row r="27" spans="1:3" x14ac:dyDescent="0.3">
      <c r="A27" s="143" t="s">
        <v>89</v>
      </c>
      <c r="B27"/>
      <c r="C27"/>
    </row>
    <row r="28" spans="1:3" x14ac:dyDescent="0.3">
      <c r="A28" s="105" t="s">
        <v>88</v>
      </c>
      <c r="B28"/>
      <c r="C28"/>
    </row>
    <row r="29" spans="1:3" x14ac:dyDescent="0.3">
      <c r="A29" s="143" t="s">
        <v>89</v>
      </c>
      <c r="B29"/>
      <c r="C29"/>
    </row>
    <row r="30" spans="1:3" x14ac:dyDescent="0.3">
      <c r="A30" s="105" t="s">
        <v>82</v>
      </c>
      <c r="B30"/>
      <c r="C30"/>
    </row>
    <row r="31" spans="1:3" x14ac:dyDescent="0.3">
      <c r="B31"/>
      <c r="C31"/>
    </row>
    <row r="32" spans="1:3" x14ac:dyDescent="0.3">
      <c r="B32"/>
      <c r="C32"/>
    </row>
    <row r="33" spans="2:3" x14ac:dyDescent="0.3">
      <c r="B33"/>
      <c r="C33"/>
    </row>
    <row r="34" spans="2:3" x14ac:dyDescent="0.3">
      <c r="B34"/>
      <c r="C34"/>
    </row>
    <row r="35" spans="2:3" x14ac:dyDescent="0.3">
      <c r="B35"/>
      <c r="C35"/>
    </row>
    <row r="36" spans="2:3" x14ac:dyDescent="0.3">
      <c r="B36"/>
      <c r="C36"/>
    </row>
    <row r="37" spans="2:3" x14ac:dyDescent="0.3">
      <c r="B37"/>
      <c r="C37"/>
    </row>
    <row r="38" spans="2:3" x14ac:dyDescent="0.3">
      <c r="B38"/>
      <c r="C38"/>
    </row>
    <row r="39" spans="2:3" x14ac:dyDescent="0.3">
      <c r="B39"/>
    </row>
    <row r="40" spans="2:3" x14ac:dyDescent="0.3">
      <c r="B40"/>
    </row>
    <row r="41" spans="2:3" x14ac:dyDescent="0.3">
      <c r="B41"/>
    </row>
    <row r="42" spans="2:3" x14ac:dyDescent="0.3">
      <c r="B42"/>
    </row>
    <row r="43" spans="2:3" x14ac:dyDescent="0.3">
      <c r="B43"/>
    </row>
    <row r="44" spans="2:3" x14ac:dyDescent="0.3">
      <c r="B44"/>
    </row>
  </sheetData>
  <conditionalFormatting sqref="M12">
    <cfRule type="cellIs" dxfId="2" priority="1" operator="equal">
      <formula>0</formula>
    </cfRule>
  </conditionalFormatting>
  <pageMargins left="0.7" right="0.7" top="0.75" bottom="0.75" header="0.3" footer="0.3"/>
  <pageSetup orientation="portrait" horizontalDpi="1200" verticalDpi="1200"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C7C55D7CDE6944EA1CE6657C62FC2B0" ma:contentTypeVersion="0" ma:contentTypeDescription="Create a new document." ma:contentTypeScope="" ma:versionID="739c587b606d4fd41a204d238aa1580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23326E4D-A92D-40A7-82F9-C59606F4B9E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43318D9B-A1C9-4356-B4E0-2046DDF57FCD}">
  <ds:schemaRefs>
    <ds:schemaRef ds:uri="http://schemas.microsoft.com/sharepoint/v3/contenttype/forms"/>
  </ds:schemaRefs>
</ds:datastoreItem>
</file>

<file path=customXml/itemProps3.xml><?xml version="1.0" encoding="utf-8"?>
<ds:datastoreItem xmlns:ds="http://schemas.openxmlformats.org/officeDocument/2006/customXml" ds:itemID="{3E28CF7D-397E-48C2-B21D-4F46F695931E}">
  <ds:schemaRefs>
    <ds:schemaRef ds:uri="http://purl.org/dc/elements/1.1/"/>
    <ds:schemaRef ds:uri="http://schemas.microsoft.com/office/2006/documentManagement/types"/>
    <ds:schemaRef ds:uri="http://schemas.openxmlformats.org/package/2006/metadata/core-properties"/>
    <ds:schemaRef ds:uri="http://purl.org/dc/terms/"/>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Details</vt:lpstr>
      <vt:lpstr>Swaps Mexico</vt:lpstr>
      <vt:lpstr>New Swaps Mexico</vt:lpstr>
      <vt:lpstr>Options Mexico</vt:lpstr>
      <vt:lpstr>NDFs Mexico</vt:lpstr>
      <vt:lpstr>NDFs Peru</vt:lpstr>
      <vt:lpstr>NDFs-Chile</vt:lpstr>
      <vt:lpstr>Swaps-Chile</vt:lpstr>
      <vt:lpstr>NDFs Colombia</vt:lpstr>
      <vt:lpstr>Swaps Colombia</vt:lpstr>
      <vt:lpstr>Options Colombia</vt:lpstr>
      <vt:lpstr>Special Entities Check</vt:lpstr>
      <vt:lpstr>DF Status Report</vt:lpstr>
      <vt:lpstr>Clients</vt:lpstr>
      <vt:lpstr>Completeness Check</vt:lpstr>
      <vt:lpstr>Details!Print_Area</vt:lpstr>
    </vt:vector>
  </TitlesOfParts>
  <Company>Scotiabank Inverlat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Crystal Wong</dc:creator>
  <cp:lastModifiedBy>ASUS</cp:lastModifiedBy>
  <cp:lastPrinted>2015-11-05T20:36:06Z</cp:lastPrinted>
  <dcterms:created xsi:type="dcterms:W3CDTF">2014-02-21T20:46:23Z</dcterms:created>
  <dcterms:modified xsi:type="dcterms:W3CDTF">2024-01-30T06:48:21Z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
    <vt:lpwstr>Draft</vt:lpwstr>
  </property>
  <property fmtid="{D5CDD505-2E9C-101B-9397-08002B2CF9AE}" pid="3" name="Owner">
    <vt:lpwstr/>
  </property>
</Properties>
</file>